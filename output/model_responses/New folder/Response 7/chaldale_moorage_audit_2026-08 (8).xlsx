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Queue Exceptions" sheetId="2" state="visible" r:id="rId2"/>
    <sheet xmlns:r="http://schemas.openxmlformats.org/officeDocument/2006/relationships" name="Billing Reconciliations" sheetId="3" state="visible" r:id="rId3"/>
    <sheet xmlns:r="http://schemas.openxmlformats.org/officeDocument/2006/relationships" name="Aging" sheetId="4" state="visible" r:id="rId4"/>
  </sheets>
  <definedNames>
    <definedName name="_xlnm.Print_Area" localSheetId="0">'Summary'!$A$1:$H$37</definedName>
    <definedName name="_xlnm._FilterDatabase" localSheetId="1" hidden="1">'Queue Exceptions'!$A$5:$L$314</definedName>
    <definedName name="_xlnm.Print_Titles" localSheetId="1">'Queue Exceptions'!1:5</definedName>
    <definedName name="_xlnm.Print_Area" localSheetId="1">'Queue Exceptions'!$A$1:$L$28</definedName>
    <definedName name="_xlnm.Print_Area" localSheetId="2">'Billing Reconciliations'!$A$1:$P$23</definedName>
    <definedName name="_xlnm.Print_Area" localSheetId="3">'Aging'!$A$1:$P$15</definedName>
  </definedNames>
  <calcPr calcId="124519" calcMode="auto" fullCalcOnLoad="1" forceFullCalc="1"/>
</workbook>
</file>

<file path=xl/styles.xml><?xml version="1.0" encoding="utf-8"?>
<styleSheet xmlns="http://schemas.openxmlformats.org/spreadsheetml/2006/main">
  <numFmts count="2">
    <numFmt numFmtId="164" formatCode="yyyy-mm-dd"/>
    <numFmt numFmtId="165" formatCode="$#,##0.00;[Red]-$#,##0.00"/>
  </numFmts>
  <fonts count="22">
    <font>
      <name val="Calibri"/>
      <family val="2"/>
      <color theme="1"/>
      <sz val="11"/>
      <scheme val="minor"/>
    </font>
    <font>
      <name val="Noto Sans"/>
      <b val="1"/>
      <color rgb="00FFFFFF"/>
      <sz val="20"/>
    </font>
    <font>
      <name val="Noto Sans"/>
      <i val="1"/>
      <color rgb="0066727D"/>
      <sz val="9"/>
    </font>
    <font>
      <name val="Noto Sans"/>
      <b val="1"/>
      <color rgb="0018324A"/>
      <sz val="9"/>
    </font>
    <font>
      <name val="Noto Sans"/>
      <b val="1"/>
      <color rgb="00FFFFFF"/>
      <sz val="9"/>
    </font>
    <font>
      <name val="Noto Sans"/>
      <color rgb="001E252B"/>
      <sz val="8"/>
    </font>
    <font>
      <name val="Noto Sans"/>
      <b val="1"/>
      <color rgb="009C2F2F"/>
      <sz val="8"/>
    </font>
    <font>
      <name val="Noto Sans"/>
      <b val="1"/>
      <color rgb="008A5A00"/>
      <sz val="8"/>
    </font>
    <font>
      <name val="Noto Sans"/>
      <b val="1"/>
      <color rgb="0018324A"/>
      <sz val="12"/>
    </font>
    <font>
      <name val="Noto Sans"/>
      <sz val="9"/>
    </font>
    <font>
      <name val="Noto Sans"/>
      <b val="1"/>
      <color rgb="009C2F2F"/>
      <sz val="9"/>
    </font>
    <font>
      <name val="Noto Sans"/>
      <b val="1"/>
      <color rgb="002E6B3B"/>
      <sz val="9"/>
    </font>
    <font>
      <name val="Noto Sans"/>
      <color rgb="002E6B3B"/>
      <sz val="9"/>
    </font>
    <font>
      <name val="Noto Sans"/>
      <color rgb="0066727D"/>
      <sz val="8"/>
    </font>
    <font>
      <name val="Noto Sans"/>
      <i val="1"/>
      <color rgb="009C2F2F"/>
      <sz val="8"/>
    </font>
    <font>
      <name val="Noto Sans"/>
      <b val="1"/>
      <color rgb="00FFFFFF"/>
      <sz val="13"/>
    </font>
    <font>
      <name val="Noto Sans"/>
      <b val="1"/>
      <color rgb="0018324A"/>
      <sz val="10"/>
    </font>
    <font>
      <name val="Noto Sans"/>
      <color rgb="0030383E"/>
      <sz val="9"/>
    </font>
    <font>
      <name val="Noto Sans"/>
      <b val="1"/>
      <color rgb="00FFFFFF"/>
      <sz val="12"/>
    </font>
    <font>
      <name val="Noto Sans"/>
      <color rgb="0018324A"/>
      <sz val="9"/>
    </font>
    <font>
      <name val="Noto Sans"/>
      <color rgb="009C2F2F"/>
      <sz val="9"/>
    </font>
    <font>
      <name val="Noto Sans"/>
      <b val="1"/>
      <color rgb="0018324A"/>
      <sz val="11"/>
    </font>
  </fonts>
  <fills count="8">
    <fill>
      <patternFill/>
    </fill>
    <fill>
      <patternFill patternType="gray125"/>
    </fill>
    <fill>
      <patternFill patternType="solid">
        <fgColor rgb="0018324A"/>
      </patternFill>
    </fill>
    <fill>
      <patternFill patternType="solid">
        <fgColor rgb="001C6673"/>
      </patternFill>
    </fill>
    <fill>
      <patternFill patternType="solid">
        <fgColor rgb="00FCE8E6"/>
      </patternFill>
    </fill>
    <fill>
      <patternFill patternType="solid">
        <fgColor rgb="00FFF2CC"/>
      </patternFill>
    </fill>
    <fill>
      <patternFill patternType="solid">
        <fgColor rgb="00E7EEF4"/>
      </patternFill>
    </fill>
    <fill>
      <patternFill patternType="solid">
        <fgColor rgb="00F2F4F5"/>
      </patternFill>
    </fill>
  </fills>
  <borders count="4">
    <border>
      <left/>
      <right/>
      <top/>
      <bottom/>
      <diagonal/>
    </border>
    <border>
      <bottom style="thin">
        <color rgb="00CDD3D8"/>
      </bottom>
    </border>
    <border>
      <bottom style="hair">
        <color rgb="00E0E3E5"/>
      </bottom>
    </border>
    <border>
      <left/>
      <right/>
      <top/>
      <bottom style="thin">
        <color rgb="00CDD3D8"/>
      </bottom>
      <diagonal/>
    </border>
  </borders>
  <cellStyleXfs count="1">
    <xf numFmtId="0" fontId="0" fillId="0" borderId="0"/>
  </cellStyleXfs>
  <cellXfs count="38">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15" fillId="3" borderId="0" pivotButton="0" quotePrefix="0" xfId="0"/>
    <xf numFmtId="0" fontId="16" fillId="0" borderId="0" applyAlignment="1" pivotButton="0" quotePrefix="0" xfId="0">
      <alignment vertical="center" wrapText="1"/>
    </xf>
    <xf numFmtId="0" fontId="4" fillId="3" borderId="1" applyAlignment="1" pivotButton="0" quotePrefix="0" xfId="0">
      <alignment vertical="center" wrapText="1"/>
    </xf>
    <xf numFmtId="0" fontId="3" fillId="7" borderId="0" applyAlignment="1" pivotButton="0" quotePrefix="0" xfId="0">
      <alignment vertical="center" wrapText="1"/>
    </xf>
    <xf numFmtId="0" fontId="17" fillId="7" borderId="0" applyAlignment="1" pivotButton="0" quotePrefix="0" xfId="0">
      <alignment vertical="center" wrapText="1"/>
    </xf>
    <xf numFmtId="0" fontId="3" fillId="0" borderId="0" applyAlignment="1" pivotButton="0" quotePrefix="0" xfId="0">
      <alignment vertical="center" wrapText="1"/>
    </xf>
    <xf numFmtId="0" fontId="17" fillId="0" borderId="0" applyAlignment="1" pivotButton="0" quotePrefix="0" xfId="0">
      <alignment vertical="center" wrapText="1"/>
    </xf>
    <xf numFmtId="165" fontId="3" fillId="0" borderId="0" applyAlignment="1" pivotButton="0" quotePrefix="0" xfId="0">
      <alignment vertical="center" wrapText="1"/>
    </xf>
    <xf numFmtId="165" fontId="3" fillId="7" borderId="0" applyAlignment="1" pivotButton="0" quotePrefix="0" xfId="0">
      <alignment vertical="center" wrapText="1"/>
    </xf>
    <xf numFmtId="0" fontId="18" fillId="3" borderId="0" pivotButton="0" quotePrefix="0" xfId="0"/>
    <xf numFmtId="0" fontId="19" fillId="0" borderId="0" applyAlignment="1" pivotButton="0" quotePrefix="0" xfId="0">
      <alignment vertical="center" wrapText="1"/>
    </xf>
    <xf numFmtId="0" fontId="20" fillId="0" borderId="0" applyAlignment="1" pivotButton="0" quotePrefix="0" xfId="0">
      <alignment vertical="center" wrapText="1"/>
    </xf>
    <xf numFmtId="0" fontId="21" fillId="0" borderId="0" pivotButton="0" quotePrefix="0" xfId="0"/>
    <xf numFmtId="0" fontId="13" fillId="0" borderId="0" applyAlignment="1" pivotButton="0" quotePrefix="0" xfId="0">
      <alignment vertical="top" wrapText="1"/>
    </xf>
    <xf numFmtId="0" fontId="5" fillId="0" borderId="2" applyAlignment="1" pivotButton="0" quotePrefix="0" xfId="0">
      <alignment vertical="top" wrapText="1"/>
    </xf>
    <xf numFmtId="0" fontId="6" fillId="4" borderId="2" applyAlignment="1" pivotButton="0" quotePrefix="0" xfId="0">
      <alignment vertical="top" wrapText="1"/>
    </xf>
    <xf numFmtId="0" fontId="7" fillId="5" borderId="2" applyAlignment="1" pivotButton="0" quotePrefix="0" xfId="0">
      <alignment vertical="top" wrapText="1"/>
    </xf>
    <xf numFmtId="0" fontId="3" fillId="0" borderId="0" pivotButton="0" quotePrefix="0" xfId="0"/>
    <xf numFmtId="0" fontId="8" fillId="0" borderId="0" pivotButton="0" quotePrefix="0" xfId="0"/>
    <xf numFmtId="0" fontId="0" fillId="0" borderId="3" pivotButton="0" quotePrefix="0" xfId="0"/>
    <xf numFmtId="0" fontId="9" fillId="0" borderId="0" applyAlignment="1" pivotButton="0" quotePrefix="0" xfId="0">
      <alignment vertical="top" wrapText="1"/>
    </xf>
    <xf numFmtId="0" fontId="0" fillId="6" borderId="0" applyAlignment="1" pivotButton="0" quotePrefix="0" xfId="0">
      <alignment wrapText="1"/>
    </xf>
    <xf numFmtId="0" fontId="3" fillId="6" borderId="0" applyAlignment="1" pivotButton="0" quotePrefix="0" xfId="0">
      <alignment wrapText="1"/>
    </xf>
    <xf numFmtId="165" fontId="9" fillId="0" borderId="0" applyAlignment="1" pivotButton="0" quotePrefix="0" xfId="0">
      <alignment vertical="top" wrapText="1"/>
    </xf>
    <xf numFmtId="164" fontId="9" fillId="0" borderId="0" applyAlignment="1" pivotButton="0" quotePrefix="0" xfId="0">
      <alignment vertical="top" wrapText="1"/>
    </xf>
    <xf numFmtId="0" fontId="3" fillId="6" borderId="0" pivotButton="0" quotePrefix="0" xfId="0"/>
    <xf numFmtId="0" fontId="10" fillId="0" borderId="0" pivotButton="0" quotePrefix="0" xfId="0"/>
    <xf numFmtId="165" fontId="10" fillId="0" borderId="0" pivotButton="0" quotePrefix="0" xfId="0"/>
    <xf numFmtId="0" fontId="11" fillId="0" borderId="0" pivotButton="0" quotePrefix="0" xfId="0"/>
    <xf numFmtId="0" fontId="12" fillId="0" borderId="0" pivotButton="0" quotePrefix="0" xfId="0"/>
    <xf numFmtId="165" fontId="9" fillId="0" borderId="0" applyAlignment="1" pivotButton="0" quotePrefix="0" xfId="0">
      <alignment horizontal="right" vertical="top"/>
    </xf>
    <xf numFmtId="0" fontId="9" fillId="0" borderId="0" applyAlignment="1" pivotButton="0" quotePrefix="0" xfId="0">
      <alignment horizontal="center" vertical="top"/>
    </xf>
    <xf numFmtId="165" fontId="3" fillId="6" borderId="0" pivotButton="0" quotePrefix="0" xfId="0"/>
    <xf numFmtId="0" fontId="13" fillId="0" borderId="0" applyAlignment="1" pivotButton="0" quotePrefix="0" xfId="0">
      <alignment wrapText="1"/>
    </xf>
    <xf numFmtId="0" fontId="14" fillId="0" borderId="0" applyAlignment="1" pivotButton="0" quotePrefix="0" xfId="0">
      <alignment wrapText="1"/>
    </xf>
  </cellXfs>
  <cellStyles count="1">
    <cellStyle name="Normal" xfId="0" builtinId="0" hidden="0"/>
  </cellStyles>
  <dxfs count="2">
    <dxf>
      <fill>
        <patternFill patternType="solid">
          <fgColor rgb="00E2F0D9"/>
        </patternFill>
      </fill>
    </dxf>
    <dxf>
      <fill>
        <patternFill patternType="solid">
          <fgColor rgb="00FCE8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QueueAuditTable" displayName="QueueAuditTable" ref="A5:L314" headerRowCount="1">
  <autoFilter ref="A5:L314"/>
  <tableColumns count="12">
    <tableColumn id="1" name="Board Review Order"/>
    <tableColumn id="2" name="Source / Skip"/>
    <tableColumn id="3" name="Worked / Offer"/>
    <tableColumn id="4" name="Applicant"/>
    <tableColumn id="5" name="Priority / Current Record"/>
    <tableColumn id="6" name="Vacancy"/>
    <tableColumn id="7" name="Reason / Support Index"/>
    <tableColumn id="8" name="Evidence Review"/>
    <tableColumn id="9" name="Exception Category"/>
    <tableColumn id="10" name="Amendment / Instrument"/>
    <tableColumn id="11" name="Data Integrity Flag"/>
    <tableColumn id="12" name="Board-Directed Next Step"/>
  </tableColumns>
  <tableStyleInfo name="TableStyleMedium2" showFirstColumn="0" showLastColumn="0" showRowStripes="1" showColumnStripes="0"/>
</table>
</file>

<file path=xl/tables/table2.xml><?xml version="1.0" encoding="utf-8"?>
<table xmlns="http://schemas.openxmlformats.org/spreadsheetml/2006/main" id="2" name="AgingAuditTable" displayName="AgingAuditTable" ref="A5:P11" headerRowCount="1">
  <autoFilter ref="A5:P11"/>
  <tableColumns count="16">
    <tableColumn id="1" name="Account"/>
    <tableColumn id="2" name="Customer"/>
    <tableColumn id="3" name="Applicant ID"/>
    <tableColumn id="4" name="Slip"/>
    <tableColumn id="5" name="Basin"/>
    <tableColumn id="6" name="Rate Class"/>
    <tableColumn id="7" name="Current"/>
    <tableColumn id="8" name="31-60"/>
    <tableColumn id="9" name="61-90"/>
    <tableColumn id="10" name="91-120"/>
    <tableColumn id="11" name="120+"/>
    <tableColumn id="12" name="Over 90"/>
    <tableColumn id="13" name="Total Due"/>
    <tableColumn id="14" name="Ledger Status"/>
    <tableColumn id="15" name="Aging Row"/>
    <tableColumn id="16" name="Inventory Row"/>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H37"/>
  <sheetViews>
    <sheetView showGridLines="0" workbookViewId="0">
      <pane ySplit="6" topLeftCell="A7" activePane="bottomLeft" state="frozen"/>
      <selection pane="bottomLeft" activeCell="A1" sqref="A1"/>
    </sheetView>
  </sheetViews>
  <sheetFormatPr baseColWidth="8" defaultRowHeight="15"/>
  <cols>
    <col width="36" customWidth="1" min="1" max="1"/>
    <col width="17" customWidth="1" min="2" max="2"/>
    <col width="18" customWidth="1" min="3" max="3"/>
    <col width="18" customWidth="1" min="4" max="4"/>
    <col width="18" customWidth="1" min="5" max="5"/>
    <col width="18" customWidth="1" min="6" max="6"/>
    <col width="18" customWidth="1" min="7" max="7"/>
    <col width="18" customWidth="1" min="8" max="8"/>
  </cols>
  <sheetData>
    <row r="1" ht="34" customHeight="1">
      <c r="A1" s="1" t="inlineStr">
        <is>
          <t>Chaldale Moorage Audit</t>
        </is>
      </c>
    </row>
    <row r="2" ht="30" customHeight="1">
      <c r="A2" s="2" t="inlineStr">
        <is>
          <t>Administrator review | As of 2026-08-01 | Queue scope 2023-01-01 through 2026-07-31 | Formula-driven summary linked to the three audit schedules</t>
        </is>
      </c>
    </row>
    <row r="4">
      <c r="A4" s="3" t="inlineStr">
        <is>
          <t>Executive result</t>
        </is>
      </c>
    </row>
    <row r="5" ht="34" customHeight="1">
      <c r="A5" s="4" t="inlineStr">
        <is>
          <t>Board action is warranted on queue documentation, one confirmed billing overcharge, and six collection accounts. Source-population conflicts require targeted reconstruction before applicant relief is ordered.</t>
        </is>
      </c>
    </row>
    <row r="7" ht="31" customHeight="1">
      <c r="A7" s="5" t="inlineStr">
        <is>
          <t>Audit metric</t>
        </is>
      </c>
      <c r="B7" s="5" t="inlineStr">
        <is>
          <t>Formula result</t>
        </is>
      </c>
      <c r="C7" s="5" t="inlineStr">
        <is>
          <t>Interpretation / basis</t>
        </is>
      </c>
      <c r="D7" s="5" t="n"/>
      <c r="E7" s="5" t="n"/>
      <c r="F7" s="5" t="n"/>
      <c r="G7" s="5" t="n"/>
      <c r="H7" s="5" t="n"/>
    </row>
    <row r="8" ht="28" customHeight="1">
      <c r="A8" s="6" t="inlineStr">
        <is>
          <t>In-period skips screened</t>
        </is>
      </c>
      <c r="B8" s="6">
        <f>COUNTA('Queue Exceptions'!B6:B314)</f>
        <v/>
      </c>
      <c r="C8" s="7" t="inlineStr">
        <is>
          <t>All skip_events rows dated 2023-01-01 through 2026-07-31.</t>
        </is>
      </c>
      <c r="D8" s="7" t="n"/>
      <c r="E8" s="7" t="n"/>
      <c r="F8" s="7" t="n"/>
      <c r="G8" s="7" t="n"/>
      <c r="H8" s="7" t="n"/>
    </row>
    <row r="9" ht="28" customHeight="1">
      <c r="A9" s="8" t="inlineStr">
        <is>
          <t>Unique queue exception records</t>
        </is>
      </c>
      <c r="B9" s="8">
        <f>COUNTIF('Queue Exceptions'!I6:I314,"&lt;&gt;No exception identified in screening")</f>
        <v/>
      </c>
      <c r="C9" s="9" t="inlineStr">
        <is>
          <t>19 proof exceptions plus 5 length-instrument items, with one overlap.</t>
        </is>
      </c>
      <c r="D9" s="9" t="n"/>
      <c r="E9" s="9" t="n"/>
      <c r="F9" s="9" t="n"/>
      <c r="G9" s="9" t="n"/>
      <c r="H9" s="9" t="n"/>
    </row>
    <row r="10" ht="28" customHeight="1">
      <c r="A10" s="6" t="inlineStr">
        <is>
          <t>Contemporaneous-proof exceptions</t>
        </is>
      </c>
      <c r="B10" s="6">
        <f>COUNTIF('Queue Exceptions'!I6:I314,"*proof*")</f>
        <v/>
      </c>
      <c r="C10" s="7" t="inlineStr">
        <is>
          <t>Standing Order 15-3 ss.3.2-3.3; includes three supplied cover-only PDFs.</t>
        </is>
      </c>
      <c r="D10" s="7" t="n"/>
      <c r="E10" s="7" t="n"/>
      <c r="F10" s="7" t="n"/>
      <c r="G10" s="7" t="n"/>
      <c r="H10" s="7" t="n"/>
    </row>
    <row r="11" ht="28" customHeight="1">
      <c r="A11" s="8" t="inlineStr">
        <is>
          <t>Length instruments not furnished</t>
        </is>
      </c>
      <c r="B11" s="8">
        <f>COUNTIF('Queue Exceptions'!I6:I314,"*length*")</f>
        <v/>
      </c>
      <c r="C11" s="9" t="inlineStr">
        <is>
          <t>Five outcome-determinative post-2022-08-01 LOA amendments; absence from the supplied set is not conclusive proof the instrument never existed.</t>
        </is>
      </c>
      <c r="D11" s="9" t="n"/>
      <c r="E11" s="9" t="n"/>
      <c r="F11" s="9" t="n"/>
      <c r="G11" s="9" t="n"/>
      <c r="H11" s="9" t="n"/>
    </row>
    <row r="12" ht="28" customHeight="1">
      <c r="A12" s="6" t="inlineStr">
        <is>
          <t>Skips predating current application date</t>
        </is>
      </c>
      <c r="B12" s="6">
        <f>COUNTIF('Queue Exceptions'!K6:K314,"*Predates*")</f>
        <v/>
      </c>
      <c r="C12" s="7" t="inlineStr">
        <is>
          <t>Reconcile against day logs and historical register snapshots before relief.</t>
        </is>
      </c>
      <c r="D12" s="7" t="n"/>
      <c r="E12" s="7" t="n"/>
      <c r="F12" s="7" t="n"/>
      <c r="G12" s="7" t="n"/>
      <c r="H12" s="7" t="n"/>
    </row>
    <row r="13" ht="28" customHeight="1">
      <c r="A13" s="8" t="inlineStr">
        <is>
          <t>Offer IDs absent from offer export</t>
        </is>
      </c>
      <c r="B13" s="8">
        <f>COUNTIF('Queue Exceptions'!K6:K314,"*Offer ID absent*")</f>
        <v/>
      </c>
      <c r="C13" s="9" t="inlineStr">
        <is>
          <t>Five orphan records ending in OFR-*-1487.</t>
        </is>
      </c>
      <c r="D13" s="9" t="n"/>
      <c r="E13" s="9" t="n"/>
      <c r="F13" s="9" t="n"/>
      <c r="G13" s="9" t="n"/>
      <c r="H13" s="9" t="n"/>
    </row>
    <row r="14" ht="28" customHeight="1">
      <c r="A14" s="6" t="inlineStr">
        <is>
          <t>Confirmed billing discrepancies</t>
        </is>
      </c>
      <c r="B14" s="6">
        <f>COUNTIF('Billing Reconciliations'!M16:M16,"&lt;&gt;0")</f>
        <v/>
      </c>
      <c r="C14" s="7" t="inlineStr">
        <is>
          <t>One covered-slip overbilling; no confirmed open-basin rate/length discrepancy.</t>
        </is>
      </c>
      <c r="D14" s="7" t="n"/>
      <c r="E14" s="7" t="n"/>
      <c r="F14" s="7" t="n"/>
      <c r="G14" s="7" t="n"/>
      <c r="H14" s="7" t="n"/>
    </row>
    <row r="15" ht="28" customHeight="1">
      <c r="A15" s="8" t="inlineStr">
        <is>
          <t>Monthly billing variance</t>
        </is>
      </c>
      <c r="B15" s="10">
        <f>SUM('Billing Reconciliations'!M16:M16)</f>
        <v/>
      </c>
      <c r="C15" s="9" t="inlineStr">
        <is>
          <t>Observed less correct, pre-tax; positive is overbilling.</t>
        </is>
      </c>
      <c r="D15" s="9" t="n"/>
      <c r="E15" s="9" t="n"/>
      <c r="F15" s="9" t="n"/>
      <c r="G15" s="9" t="n"/>
      <c r="H15" s="9" t="n"/>
    </row>
    <row r="16" ht="28" customHeight="1">
      <c r="A16" s="6" t="inlineStr">
        <is>
          <t>Occupied slips missing August bill row</t>
        </is>
      </c>
      <c r="B16" s="6">
        <f>'Billing Reconciliations'!D12</f>
        <v/>
      </c>
      <c r="C16" s="7" t="inlineStr">
        <is>
          <t>Population gap only; dollar variance cannot be established without complete run and check-in records.</t>
        </is>
      </c>
      <c r="D16" s="7" t="n"/>
      <c r="E16" s="7" t="n"/>
      <c r="F16" s="7" t="n"/>
      <c r="G16" s="7" t="n"/>
      <c r="H16" s="7" t="n"/>
    </row>
    <row r="17" ht="28" customHeight="1">
      <c r="A17" s="8" t="inlineStr">
        <is>
          <t>Active accounts over 90 days</t>
        </is>
      </c>
      <c r="B17" s="8">
        <f>COUNTIF(Aging!L6:L11,"&gt;0")</f>
        <v/>
      </c>
      <c r="C17" s="9" t="inlineStr">
        <is>
          <t>All qualifying accounts in the supplied July aging ledger.</t>
        </is>
      </c>
      <c r="D17" s="9" t="n"/>
      <c r="E17" s="9" t="n"/>
      <c r="F17" s="9" t="n"/>
      <c r="G17" s="9" t="n"/>
      <c r="H17" s="9" t="n"/>
    </row>
    <row r="18" ht="28" customHeight="1">
      <c r="A18" s="6" t="inlineStr">
        <is>
          <t>Balance more than 90 days</t>
        </is>
      </c>
      <c r="B18" s="11">
        <f>SUM(Aging!L6:L11)</f>
        <v/>
      </c>
      <c r="C18" s="7" t="inlineStr">
        <is>
          <t>91-120 plus 120+ buckets.</t>
        </is>
      </c>
      <c r="D18" s="7" t="n"/>
      <c r="E18" s="7" t="n"/>
      <c r="F18" s="7" t="n"/>
      <c r="G18" s="7" t="n"/>
      <c r="H18" s="7" t="n"/>
    </row>
    <row r="19" ht="28" customHeight="1">
      <c r="A19" s="8" t="inlineStr">
        <is>
          <t>Total due on those accounts</t>
        </is>
      </c>
      <c r="B19" s="10">
        <f>SUM(Aging!M6:M11)</f>
        <v/>
      </c>
      <c r="C19" s="9" t="inlineStr">
        <is>
          <t>All aging buckets for the six qualifying accounts.</t>
        </is>
      </c>
      <c r="D19" s="9" t="n"/>
      <c r="E19" s="9" t="n"/>
      <c r="F19" s="9" t="n"/>
      <c r="G19" s="9" t="n"/>
      <c r="H19" s="9" t="n"/>
    </row>
    <row r="21">
      <c r="A21" s="12" t="inlineStr">
        <is>
          <t>Category disposition</t>
        </is>
      </c>
    </row>
    <row r="22" ht="27" customHeight="1">
      <c r="A22" s="13" t="inlineStr">
        <is>
          <t>Queue / proof: exceptions identified - see historical-rank review order in Queue Exceptions.</t>
        </is>
      </c>
    </row>
    <row r="23" ht="27" customHeight="1">
      <c r="A23" s="14" t="inlineStr">
        <is>
          <t>Queue / certified length: five named instruments were not furnished; no conclusive finding of physical absence can be made without the original applicant files.</t>
        </is>
      </c>
    </row>
    <row r="24" ht="27" customHeight="1">
      <c r="A24" s="13" t="inlineStr">
        <is>
          <t>Billing / covered: one confirmed exception. Billing / open: no confirmed rate or length exception in the observed August rows.</t>
        </is>
      </c>
    </row>
    <row r="25" ht="27" customHeight="1">
      <c r="A25" s="13" t="inlineStr">
        <is>
          <t>Aging / covered: six accounts over 90 days. Aging / open: none in the supplied aging ledger.</t>
        </is>
      </c>
    </row>
    <row r="27">
      <c r="A27" s="12" t="inlineStr">
        <is>
          <t>Recommended Board sequence</t>
        </is>
      </c>
    </row>
    <row r="28" ht="30" customHeight="1">
      <c r="A28" s="9" t="inlineStr">
        <is>
          <t>1. Reconcile the five orphan offers and 124 chronology conflicts to day logs and historical register snapshots.</t>
        </is>
      </c>
    </row>
    <row r="29" ht="30" customHeight="1">
      <c r="A29" s="9" t="inlineStr">
        <is>
          <t>2. Review the 23 queue exception records in Queue Exceptions column A order; relief remains class- and preference-specific.</t>
        </is>
      </c>
    </row>
    <row r="30" ht="30" customHeight="1">
      <c r="A30" s="9" t="inlineStr">
        <is>
          <t>3. Where a skip lacks same-day support or a required signed length instrument, expunge it, preserve rank/date, and give the first next matching vacancy without displacing a good-faith assignee (Appeal 2018-3, p.3).</t>
        </is>
      </c>
    </row>
    <row r="31" ht="30" customHeight="1">
      <c r="A31" s="9" t="inlineStr">
        <is>
          <t>4. Correct VB-0208 prospectively and calculate/credit the pre-tax overcharge; obtain a complete August billing run for the 317-slip gap.</t>
        </is>
      </c>
    </row>
    <row r="32" ht="30" customHeight="1">
      <c r="A32" s="9" t="inlineStr">
        <is>
          <t>5. Proceed under collections policy on the six July-aging accounts and obtain a district-wide aging extract.</t>
        </is>
      </c>
    </row>
    <row r="34">
      <c r="A34" s="15" t="inlineStr">
        <is>
          <t>Principal sources</t>
        </is>
      </c>
    </row>
    <row r="35">
      <c r="A35" s="16" t="inlineStr">
        <is>
          <t>skip_events_2022_2026.csv; offer_events_2022_2026.csv; applicant_register_2026-08.csv; amendment_log_2022_2026.csv; six WL skip-justification PDFs; Standing Order 15-3; Resolution 2022-06; Tariff Resolution 2019-14; Appeal 2018-3; slip_inventory_2026-08.csv; billing_transactions_2022_2026.csv; 2024-09-09_moorage_agreement_VB-0208.pdf; 2024-06-03 and 2024-09-03 measurement certificates; ar_aging_2026-07-31.xlsx (AR_Aging).</t>
        </is>
      </c>
    </row>
    <row r="36"/>
    <row r="37"/>
  </sheetData>
  <mergeCells count="30">
    <mergeCell ref="A1:H1"/>
    <mergeCell ref="A2:H2"/>
    <mergeCell ref="A4:H4"/>
    <mergeCell ref="A5:H5"/>
    <mergeCell ref="C7:H7"/>
    <mergeCell ref="C8:H8"/>
    <mergeCell ref="C9:H9"/>
    <mergeCell ref="C10:H10"/>
    <mergeCell ref="C11:H11"/>
    <mergeCell ref="C12:H12"/>
    <mergeCell ref="C13:H13"/>
    <mergeCell ref="C14:H14"/>
    <mergeCell ref="C15:H15"/>
    <mergeCell ref="C16:H16"/>
    <mergeCell ref="C17:H17"/>
    <mergeCell ref="C18:H18"/>
    <mergeCell ref="C19:H19"/>
    <mergeCell ref="A21:H21"/>
    <mergeCell ref="A22:H22"/>
    <mergeCell ref="A23:H23"/>
    <mergeCell ref="A24:H24"/>
    <mergeCell ref="A25:H25"/>
    <mergeCell ref="A27:H27"/>
    <mergeCell ref="A28:H28"/>
    <mergeCell ref="A29:H29"/>
    <mergeCell ref="A30:H30"/>
    <mergeCell ref="A31:H31"/>
    <mergeCell ref="A32:H32"/>
    <mergeCell ref="A34:H34"/>
    <mergeCell ref="A35:H37"/>
  </mergeCells>
  <pageMargins left="0.75" right="0.75" top="1" bottom="1" header="0.5" footer="0.5"/>
  <pageSetup orientation="portrait" paperSize="1" fitToHeight="1" fitToWidth="1"/>
  <headerFooter>
    <oddHeader/>
    <oddFooter>&amp;CSummary | Page &amp;P of &amp;N&amp;RPrepared 2026-08-01</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314"/>
  <sheetViews>
    <sheetView showGridLines="0" workbookViewId="0">
      <pane ySplit="5" topLeftCell="A6" activePane="bottomLeft" state="frozen"/>
      <selection pane="bottomLeft" activeCell="A1" sqref="A1"/>
    </sheetView>
  </sheetViews>
  <sheetFormatPr baseColWidth="8" defaultRowHeight="15"/>
  <cols>
    <col width="10" customWidth="1" min="1" max="1"/>
    <col width="18" customWidth="1" min="2" max="2"/>
    <col width="21" customWidth="1" min="3" max="3"/>
    <col width="25" customWidth="1" min="4" max="4"/>
    <col width="26" customWidth="1" min="5" max="5"/>
    <col width="20" customWidth="1" min="6" max="6"/>
    <col width="23" customWidth="1" min="7" max="7"/>
    <col width="30" customWidth="1" min="8" max="8"/>
    <col width="27" customWidth="1" min="9" max="9"/>
    <col width="36" customWidth="1" min="10" max="10"/>
    <col width="25" customWidth="1" min="11" max="11"/>
    <col width="42" customWidth="1" min="12" max="12"/>
  </cols>
  <sheetData>
    <row r="1" ht="34" customHeight="1">
      <c r="A1" s="1" t="inlineStr">
        <is>
          <t>Queue Exceptions</t>
        </is>
      </c>
    </row>
    <row r="2" ht="30" customHeight="1">
      <c r="A2" s="2" t="inlineStr">
        <is>
          <t>Scope: all skips worked 2023-01-01 through 2026-07-31. All 309 records remain in this worksheet; the print view shows the 23 prioritized exceptions. A CSV 'Y' is an attachment claim, not independent proof of same-day assembly.</t>
        </is>
      </c>
    </row>
    <row r="3" ht="29" customHeight="1">
      <c r="A3" s="8" t="inlineStr">
        <is>
          <t>Governing basis: Standing Order 15-3 ss.3.2-3.3; Resolution 2022-06 s.4.3; Appeal 2018-3, pp.2-3. The day log and file as they existed when worked control. WL-02211's 2022-09-14 skip is outside scope.</t>
        </is>
      </c>
    </row>
    <row r="5" ht="31" customHeight="1">
      <c r="A5" s="5" t="inlineStr">
        <is>
          <t>Board Review Order</t>
        </is>
      </c>
      <c r="B5" s="5" t="inlineStr">
        <is>
          <t>Source / Skip</t>
        </is>
      </c>
      <c r="C5" s="5" t="inlineStr">
        <is>
          <t>Worked / Offer</t>
        </is>
      </c>
      <c r="D5" s="5" t="inlineStr">
        <is>
          <t>Applicant</t>
        </is>
      </c>
      <c r="E5" s="5" t="inlineStr">
        <is>
          <t>Priority / Current Record</t>
        </is>
      </c>
      <c r="F5" s="5" t="inlineStr">
        <is>
          <t>Vacancy</t>
        </is>
      </c>
      <c r="G5" s="5" t="inlineStr">
        <is>
          <t>Reason / Support Index</t>
        </is>
      </c>
      <c r="H5" s="5" t="inlineStr">
        <is>
          <t>Evidence Review</t>
        </is>
      </c>
      <c r="I5" s="5" t="inlineStr">
        <is>
          <t>Exception Category</t>
        </is>
      </c>
      <c r="J5" s="5" t="inlineStr">
        <is>
          <t>Amendment / Instrument</t>
        </is>
      </c>
      <c r="K5" s="5" t="inlineStr">
        <is>
          <t>Data Integrity Flag</t>
        </is>
      </c>
      <c r="L5" s="5" t="inlineStr">
        <is>
          <t>Board-Directed Next Step</t>
        </is>
      </c>
    </row>
    <row r="6">
      <c r="A6" s="17" t="n">
        <v>1</v>
      </c>
      <c r="B6" s="17" t="inlineStr">
        <is>
          <t>CSV row 329 | SKP-2025-0328</t>
        </is>
      </c>
      <c r="C6" s="17" t="inlineStr">
        <is>
          <t>2025-10-11 | OFR-2025-1230</t>
        </is>
      </c>
      <c r="D6" s="17" t="inlineStr">
        <is>
          <t>WL-01089 | Erin Holmes</t>
        </is>
      </c>
      <c r="E6" s="17" t="inlineStr">
        <is>
          <t>Rank 89 | current app 2022-05-19 | ACTIVE_WAITLIST</t>
        </is>
      </c>
      <c r="F6" s="17" t="inlineStr">
        <is>
          <t>SB-0115 / 24 ft | Salmonberry</t>
        </is>
      </c>
      <c r="G6" s="17" t="inlineStr">
        <is>
          <t>vessel-fit | N / REPAIR_ESTIMATE</t>
        </is>
      </c>
      <c r="H6" s="17" t="inlineStr">
        <is>
          <t>CSV says no attachment; original file not furnished</t>
        </is>
      </c>
      <c r="I6" s="18" t="inlineStr">
        <is>
          <t>Contemporaneous proof missing</t>
        </is>
      </c>
      <c r="J6" s="17" t="inlineStr"/>
      <c r="K6" s="17" t="inlineStr"/>
      <c r="L6" s="17" t="inlineStr">
        <is>
          <t>Retrieve day log/original file; if no same-day support, expunge skip and preserve rank for first next matching vacancy.</t>
        </is>
      </c>
    </row>
    <row r="7">
      <c r="A7" s="17" t="n">
        <v>2</v>
      </c>
      <c r="B7" s="17" t="inlineStr">
        <is>
          <t>CSV row 220 | SKP-2024-0219</t>
        </is>
      </c>
      <c r="C7" s="17" t="inlineStr">
        <is>
          <t>2024-06-05 | OFR-2024-0789</t>
        </is>
      </c>
      <c r="D7" s="17" t="inlineStr">
        <is>
          <t>WL-01144 | James Lopez</t>
        </is>
      </c>
      <c r="E7" s="17" t="inlineStr">
        <is>
          <t>Rank 144 | current app 2022-07-15 | ACTIVE_WAITLIST</t>
        </is>
      </c>
      <c r="F7" s="17" t="inlineStr">
        <is>
          <t>LP-0216 / 32 ft | Ledgport</t>
        </is>
      </c>
      <c r="G7" s="17" t="inlineStr">
        <is>
          <t>vessel-fit | N / WRITTEN_STATEMENT</t>
        </is>
      </c>
      <c r="H7" s="17" t="inlineStr">
        <is>
          <t>CSV says no attachment; original file not furnished</t>
        </is>
      </c>
      <c r="I7" s="18" t="inlineStr">
        <is>
          <t>Contemporaneous proof missing</t>
        </is>
      </c>
      <c r="J7" s="17" t="inlineStr"/>
      <c r="K7" s="17" t="inlineStr"/>
      <c r="L7" s="17" t="inlineStr">
        <is>
          <t>Retrieve day log/original file; if no same-day support, expunge skip and preserve rank for first next matching vacancy.</t>
        </is>
      </c>
    </row>
    <row r="8">
      <c r="A8" s="17" t="n">
        <v>3</v>
      </c>
      <c r="B8" s="17" t="inlineStr">
        <is>
          <t>CSV row 348 | SKP-2026-0347</t>
        </is>
      </c>
      <c r="C8" s="17" t="inlineStr">
        <is>
          <t>2026-02-22 | OFR-2026-1299</t>
        </is>
      </c>
      <c r="D8" s="17" t="inlineStr">
        <is>
          <t>WL-01550 | Brittany Grant</t>
        </is>
      </c>
      <c r="E8" s="17" t="inlineStr">
        <is>
          <t>Rank 550 | current app 2023-04-12 | ACTIVE_WAITLIST</t>
        </is>
      </c>
      <c r="F8" s="17" t="inlineStr">
        <is>
          <t>EW-1015 / 24 ft | Eastwey</t>
        </is>
      </c>
      <c r="G8" s="17" t="inlineStr">
        <is>
          <t>vessel-fit | Y / OTHER_SUPPORT</t>
        </is>
      </c>
      <c r="H8" s="17" t="inlineStr">
        <is>
          <t>CSV says attachment present; underlying file not individually furnished</t>
        </is>
      </c>
      <c r="I8" s="19" t="inlineStr">
        <is>
          <t>Length instrument not furnished</t>
        </is>
      </c>
      <c r="J8" s="17" t="inlineStr">
        <is>
          <t>AMD-001204 (2024-07-01; 44.2 to 43.0 ft; amendment CSV row 1205); named source: Foldview haul-out sheet dated 2024-02-12</t>
        </is>
      </c>
      <c r="K8" s="17" t="inlineStr"/>
      <c r="L8" s="17" t="inlineStr">
        <is>
          <t>Produce the named signed instrument; if absent when amendment/skip was entered, disregard amended LOA and grant prospective rank-preserving relief.</t>
        </is>
      </c>
    </row>
    <row r="9">
      <c r="A9" s="17" t="n">
        <v>4</v>
      </c>
      <c r="B9" s="17" t="inlineStr">
        <is>
          <t>CSV row 100 | SKP-2023-0099</t>
        </is>
      </c>
      <c r="C9" s="17" t="inlineStr">
        <is>
          <t>2023-01-10 | OFR-2023-0338</t>
        </is>
      </c>
      <c r="D9" s="17" t="inlineStr">
        <is>
          <t>WL-01695 | Antonio Leach</t>
        </is>
      </c>
      <c r="E9" s="17" t="inlineStr">
        <is>
          <t>Rank 695 | current app 2023-07-03 | ACTIVE_WAITLIST</t>
        </is>
      </c>
      <c r="F9" s="17" t="inlineStr">
        <is>
          <t>EW-0203 / 28 ft | Eastwey</t>
        </is>
      </c>
      <c r="G9" s="17" t="inlineStr">
        <is>
          <t>vessel-fit | N / INSURANCE_DECL</t>
        </is>
      </c>
      <c r="H9" s="17" t="inlineStr">
        <is>
          <t>CSV says no attachment; original file not furnished</t>
        </is>
      </c>
      <c r="I9" s="18" t="inlineStr">
        <is>
          <t>Contemporaneous proof missing</t>
        </is>
      </c>
      <c r="J9" s="17" t="inlineStr"/>
      <c r="K9" s="17" t="inlineStr">
        <is>
          <t>Predates current application date</t>
        </is>
      </c>
      <c r="L9" s="17" t="inlineStr">
        <is>
          <t>Retrieve day log/original file; if no same-day support, expunge skip and preserve rank for first next matching vacancy.</t>
        </is>
      </c>
    </row>
    <row r="10">
      <c r="A10" s="17" t="n">
        <v>5</v>
      </c>
      <c r="B10" s="17" t="inlineStr">
        <is>
          <t>CSV row 132 | SKP-2023-0131</t>
        </is>
      </c>
      <c r="C10" s="17" t="inlineStr">
        <is>
          <t>2023-06-15 | OFR-2023-0448</t>
        </is>
      </c>
      <c r="D10" s="17" t="inlineStr">
        <is>
          <t>WL-01781 | Crystal Parrish</t>
        </is>
      </c>
      <c r="E10" s="17" t="inlineStr">
        <is>
          <t>Rank 781 | current app 2023-08-22 | EXPIRED</t>
        </is>
      </c>
      <c r="F10" s="17" t="inlineStr">
        <is>
          <t>LP-0220 / 28 ft | Ledgport</t>
        </is>
      </c>
      <c r="G10" s="17" t="inlineStr">
        <is>
          <t>preference-mismatch | N / OTHER_SUPPORT</t>
        </is>
      </c>
      <c r="H10" s="17" t="inlineStr">
        <is>
          <t>CSV says no attachment; original file not furnished</t>
        </is>
      </c>
      <c r="I10" s="18" t="inlineStr">
        <is>
          <t>Contemporaneous proof missing</t>
        </is>
      </c>
      <c r="J10" s="17" t="inlineStr"/>
      <c r="K10" s="17" t="inlineStr">
        <is>
          <t>Predates current application date</t>
        </is>
      </c>
      <c r="L10" s="17" t="inlineStr">
        <is>
          <t>Retrieve day log/original file; if no same-day support, expunge skip and preserve rank for first next matching vacancy.</t>
        </is>
      </c>
    </row>
    <row r="11">
      <c r="A11" s="17" t="n">
        <v>6</v>
      </c>
      <c r="B11" s="17" t="inlineStr">
        <is>
          <t>CSV row 385 | SKP-2026-0384</t>
        </is>
      </c>
      <c r="C11" s="17" t="inlineStr">
        <is>
          <t>2026-06-22 | OFR-2026-1402</t>
        </is>
      </c>
      <c r="D11" s="17" t="inlineStr">
        <is>
          <t>WL-01936 | Deanna Livingston</t>
        </is>
      </c>
      <c r="E11" s="17" t="inlineStr">
        <is>
          <t>Rank 936 | current app 2023-11-04 | ACTIVE_WAITLIST</t>
        </is>
      </c>
      <c r="F11" s="17" t="inlineStr">
        <is>
          <t>VB-0507 / 40 ft | Vessbank</t>
        </is>
      </c>
      <c r="G11" s="17" t="inlineStr">
        <is>
          <t>not-current | N / WRITTEN_STATEMENT</t>
        </is>
      </c>
      <c r="H11" s="17" t="inlineStr">
        <is>
          <t>CSV says no attachment; original file not furnished</t>
        </is>
      </c>
      <c r="I11" s="18" t="inlineStr">
        <is>
          <t>Contemporaneous proof missing</t>
        </is>
      </c>
      <c r="J11" s="17" t="inlineStr"/>
      <c r="K11" s="17" t="inlineStr"/>
      <c r="L11" s="17" t="inlineStr">
        <is>
          <t>Retrieve day log/original file; if no same-day support, expunge skip and preserve rank for first next matching vacancy.</t>
        </is>
      </c>
    </row>
    <row r="12">
      <c r="A12" s="17" t="n">
        <v>7</v>
      </c>
      <c r="B12" s="17" t="inlineStr">
        <is>
          <t>CSV row 205 | SKP-2024-0204</t>
        </is>
      </c>
      <c r="C12" s="17" t="inlineStr">
        <is>
          <t>2024-04-02 | OFR-2024-0704</t>
        </is>
      </c>
      <c r="D12" s="17" t="inlineStr">
        <is>
          <t>WL-01950 | Mathew Trujillo</t>
        </is>
      </c>
      <c r="E12" s="17" t="inlineStr">
        <is>
          <t>Rank 950 | current app 2023-11-09 | ACTIVE_WAITLIST</t>
        </is>
      </c>
      <c r="F12" s="17" t="inlineStr">
        <is>
          <t>EW-0608 / 28 ft | Eastwey</t>
        </is>
      </c>
      <c r="G12" s="17" t="inlineStr">
        <is>
          <t>vessel-fit | N / OTHER_SUPPORT</t>
        </is>
      </c>
      <c r="H12" s="17" t="inlineStr">
        <is>
          <t>CSV says no attachment; original file not furnished</t>
        </is>
      </c>
      <c r="I12" s="18" t="inlineStr">
        <is>
          <t>Contemporaneous proof missing</t>
        </is>
      </c>
      <c r="J12" s="17" t="inlineStr"/>
      <c r="K12" s="17" t="inlineStr"/>
      <c r="L12" s="17" t="inlineStr">
        <is>
          <t>Retrieve day log/original file; if no same-day support, expunge skip and preserve rank for first next matching vacancy.</t>
        </is>
      </c>
    </row>
    <row r="13">
      <c r="A13" s="17" t="n">
        <v>8</v>
      </c>
      <c r="B13" s="17" t="inlineStr">
        <is>
          <t>CSV row 363 | SKP-2026-0362</t>
        </is>
      </c>
      <c r="C13" s="17" t="inlineStr">
        <is>
          <t>2026-04-13 | OFR-2026-1344</t>
        </is>
      </c>
      <c r="D13" s="17" t="inlineStr">
        <is>
          <t>WL-02120 | Jerry Reyes</t>
        </is>
      </c>
      <c r="E13" s="17" t="inlineStr">
        <is>
          <t>Rank 1120 | current app 2024-01-31 | ACTIVE_WAITLIST</t>
        </is>
      </c>
      <c r="F13" s="17" t="inlineStr">
        <is>
          <t>LP-0312 / 24 ft | Ledgport</t>
        </is>
      </c>
      <c r="G13" s="17" t="inlineStr">
        <is>
          <t>vessel-fit | Y / INSURANCE_DECL</t>
        </is>
      </c>
      <c r="H13" s="17" t="inlineStr">
        <is>
          <t>CSV says attachment present; underlying file not individually furnished</t>
        </is>
      </c>
      <c r="I13" s="19" t="inlineStr">
        <is>
          <t>Length instrument not furnished</t>
        </is>
      </c>
      <c r="J13" s="17" t="inlineStr">
        <is>
          <t>AMD-000380 (2022-10-17; 43.5 to 42.6 ft; amendment CSV row 381); named source: MC-2022-0916</t>
        </is>
      </c>
      <c r="K13" s="17" t="inlineStr"/>
      <c r="L13" s="17" t="inlineStr">
        <is>
          <t>Produce the named signed instrument; if absent when amendment/skip was entered, disregard amended LOA and grant prospective rank-preserving relief.</t>
        </is>
      </c>
    </row>
    <row r="14">
      <c r="A14" s="17" t="n">
        <v>9</v>
      </c>
      <c r="B14" s="17" t="inlineStr">
        <is>
          <t>CSV row 321 | SKP-2025-0320</t>
        </is>
      </c>
      <c r="C14" s="17" t="inlineStr">
        <is>
          <t>2025-09-09 | OFR-2025-1201</t>
        </is>
      </c>
      <c r="D14" s="17" t="inlineStr">
        <is>
          <t>WL-02167 | Jonathan Anderson</t>
        </is>
      </c>
      <c r="E14" s="17" t="inlineStr">
        <is>
          <t>Rank 1167 | current app 2024-02-23 | ACTIVE_WAITLIST</t>
        </is>
      </c>
      <c r="F14" s="17" t="inlineStr">
        <is>
          <t>VB-0304 / 32 ft | Vessbank</t>
        </is>
      </c>
      <c r="G14" s="17" t="inlineStr">
        <is>
          <t>vessel-fit | Y / OTHER_SUPPORT</t>
        </is>
      </c>
      <c r="H14" s="17" t="inlineStr">
        <is>
          <t>CSV says attachment present; underlying file not individually furnished</t>
        </is>
      </c>
      <c r="I14" s="19" t="inlineStr">
        <is>
          <t>Length instrument not furnished</t>
        </is>
      </c>
      <c r="J14" s="17" t="inlineStr">
        <is>
          <t>AMD-001109 (2024-04-13; 34.8 to 34.9 ft; amendment CSV row 1110); named source: MC-2024-0712</t>
        </is>
      </c>
      <c r="K14" s="17" t="inlineStr"/>
      <c r="L14" s="17" t="inlineStr">
        <is>
          <t>Produce the named signed instrument; if absent when amendment/skip was entered, disregard amended LOA and grant prospective rank-preserving relief.</t>
        </is>
      </c>
    </row>
    <row r="15">
      <c r="A15" s="17" t="n">
        <v>10</v>
      </c>
      <c r="B15" s="17" t="inlineStr">
        <is>
          <t>CSV row 175 | SKP-2023-0174</t>
        </is>
      </c>
      <c r="C15" s="17" t="inlineStr">
        <is>
          <t>2023-09-11 | OFR-2023-0578</t>
        </is>
      </c>
      <c r="D15" s="17" t="inlineStr">
        <is>
          <t>WL-02285 | Brian Scott</t>
        </is>
      </c>
      <c r="E15" s="17" t="inlineStr">
        <is>
          <t>Rank 1285 | current app 2024-04-22 | ACTIVE_WAITLIST</t>
        </is>
      </c>
      <c r="F15" s="17" t="inlineStr">
        <is>
          <t>EW-0107 / 28 ft | Eastwey</t>
        </is>
      </c>
      <c r="G15" s="17" t="inlineStr">
        <is>
          <t>declined-prior-offer | N / WRITTEN_STATEMENT</t>
        </is>
      </c>
      <c r="H15" s="17" t="inlineStr">
        <is>
          <t>CSV says no attachment; original file not furnished</t>
        </is>
      </c>
      <c r="I15" s="18" t="inlineStr">
        <is>
          <t>Contemporaneous proof missing</t>
        </is>
      </c>
      <c r="J15" s="17" t="inlineStr"/>
      <c r="K15" s="17" t="inlineStr">
        <is>
          <t>Predates current application date</t>
        </is>
      </c>
      <c r="L15" s="17" t="inlineStr">
        <is>
          <t>Retrieve day log/original file; if no same-day support, expunge skip and preserve rank for first next matching vacancy.</t>
        </is>
      </c>
    </row>
    <row r="16">
      <c r="A16" s="17" t="n">
        <v>11</v>
      </c>
      <c r="B16" s="17" t="inlineStr">
        <is>
          <t>CSV row 293 | SKP-2025-0292</t>
        </is>
      </c>
      <c r="C16" s="17" t="inlineStr">
        <is>
          <t>2025-07-06 | OFR-2025-1117</t>
        </is>
      </c>
      <c r="D16" s="17" t="inlineStr">
        <is>
          <t>WL-02298 | Ronald Simpson</t>
        </is>
      </c>
      <c r="E16" s="17" t="inlineStr">
        <is>
          <t>Rank 1298 | current app 2024-04-25 | ACTIVE_WAITLIST</t>
        </is>
      </c>
      <c r="F16" s="17" t="inlineStr">
        <is>
          <t>GW-1017 / 32 ft | Gullwing</t>
        </is>
      </c>
      <c r="G16" s="17" t="inlineStr">
        <is>
          <t>vessel-fit | N / REPAIR_ESTIMATE</t>
        </is>
      </c>
      <c r="H16" s="17" t="inlineStr">
        <is>
          <t>CSV says no attachment; original file not furnished</t>
        </is>
      </c>
      <c r="I16" s="18" t="inlineStr">
        <is>
          <t>Contemporaneous proof missing</t>
        </is>
      </c>
      <c r="J16" s="17" t="inlineStr"/>
      <c r="K16" s="17" t="inlineStr"/>
      <c r="L16" s="17" t="inlineStr">
        <is>
          <t>Retrieve day log/original file; if no same-day support, expunge skip and preserve rank for first next matching vacancy.</t>
        </is>
      </c>
    </row>
    <row r="17">
      <c r="A17" s="17" t="n">
        <v>12</v>
      </c>
      <c r="B17" s="17" t="inlineStr">
        <is>
          <t>CSV row 250 | SKP-2024-0249</t>
        </is>
      </c>
      <c r="C17" s="17" t="inlineStr">
        <is>
          <t>2024-11-17 | OFR-2024-0930</t>
        </is>
      </c>
      <c r="D17" s="17" t="inlineStr">
        <is>
          <t>WL-02598 | Nicole Rubio</t>
        </is>
      </c>
      <c r="E17" s="17" t="inlineStr">
        <is>
          <t>Rank 1598 | current app 2024-09-07 | ACTIVE_WAITLIST</t>
        </is>
      </c>
      <c r="F17" s="17" t="inlineStr">
        <is>
          <t>GW-0902 / 36 ft | Gullwing</t>
        </is>
      </c>
      <c r="G17" s="17" t="inlineStr">
        <is>
          <t>vessel-fit | N / INSURANCE_DECL</t>
        </is>
      </c>
      <c r="H17" s="17" t="inlineStr">
        <is>
          <t>CSV says no attachment; original file not furnished</t>
        </is>
      </c>
      <c r="I17" s="18" t="inlineStr">
        <is>
          <t>Contemporaneous proof missing</t>
        </is>
      </c>
      <c r="J17" s="17" t="inlineStr"/>
      <c r="K17" s="17" t="inlineStr"/>
      <c r="L17" s="17" t="inlineStr">
        <is>
          <t>Retrieve day log/original file; if no same-day support, expunge skip and preserve rank for first next matching vacancy.</t>
        </is>
      </c>
    </row>
    <row r="18">
      <c r="A18" s="17" t="n">
        <v>13</v>
      </c>
      <c r="B18" s="17" t="inlineStr">
        <is>
          <t>CSV row 409 | SKP-2023-0408</t>
        </is>
      </c>
      <c r="C18" s="17" t="inlineStr">
        <is>
          <t>2023-05-02 | OFR-2023-1487</t>
        </is>
      </c>
      <c r="D18" s="17" t="inlineStr">
        <is>
          <t>WL-02618 | Gary Tomlinson</t>
        </is>
      </c>
      <c r="E18" s="17" t="inlineStr">
        <is>
          <t>Rank 1618 | current app 2024-09-17 | RETAINER</t>
        </is>
      </c>
      <c r="F18" s="17" t="inlineStr">
        <is>
          <t>GW-0610 / 32 ft | Gullwing</t>
        </is>
      </c>
      <c r="G18" s="17" t="inlineStr">
        <is>
          <t>vessel-fit | N / blank</t>
        </is>
      </c>
      <c r="H18" s="17" t="inlineStr">
        <is>
          <t>Cover sheet only - confirmed; WL-02618 PDF p.1: cover only</t>
        </is>
      </c>
      <c r="I18" s="18" t="inlineStr">
        <is>
          <t>Contemporaneous proof missing</t>
        </is>
      </c>
      <c r="J18" s="17" t="inlineStr"/>
      <c r="K18" s="17" t="inlineStr">
        <is>
          <t>Predates current application date; Offer ID absent from offer export</t>
        </is>
      </c>
      <c r="L18" s="17" t="inlineStr">
        <is>
          <t>Retrieve day log/original file; if no same-day support, expunge skip and preserve rank for first next matching vacancy.</t>
        </is>
      </c>
    </row>
    <row r="19">
      <c r="A19" s="17" t="n">
        <v>14</v>
      </c>
      <c r="B19" s="17" t="inlineStr">
        <is>
          <t>CSV row 310 | SKP-2025-0309</t>
        </is>
      </c>
      <c r="C19" s="17" t="inlineStr">
        <is>
          <t>2025-08-28 | OFR-2025-1167</t>
        </is>
      </c>
      <c r="D19" s="17" t="inlineStr">
        <is>
          <t>WL-02838 | Kimberly Griffin</t>
        </is>
      </c>
      <c r="E19" s="17" t="inlineStr">
        <is>
          <t>Rank 1838 | current app 2024-12-18 | ACTIVE_WAITLIST</t>
        </is>
      </c>
      <c r="F19" s="17" t="inlineStr">
        <is>
          <t>LP-0413 / 28 ft | Ledgport</t>
        </is>
      </c>
      <c r="G19" s="17" t="inlineStr">
        <is>
          <t>declined-prior-offer | N / WRITTEN_STATEMENT</t>
        </is>
      </c>
      <c r="H19" s="17" t="inlineStr">
        <is>
          <t>CSV says no attachment; original file not furnished</t>
        </is>
      </c>
      <c r="I19" s="18" t="inlineStr">
        <is>
          <t>Contemporaneous proof missing</t>
        </is>
      </c>
      <c r="J19" s="17" t="inlineStr"/>
      <c r="K19" s="17" t="inlineStr"/>
      <c r="L19" s="17" t="inlineStr">
        <is>
          <t>Retrieve day log/original file; if no same-day support, expunge skip and preserve rank for first next matching vacancy.</t>
        </is>
      </c>
    </row>
    <row r="20">
      <c r="A20" s="17" t="n">
        <v>15</v>
      </c>
      <c r="B20" s="17" t="inlineStr">
        <is>
          <t>CSV row 208 | SKP-2024-0207</t>
        </is>
      </c>
      <c r="C20" s="17" t="inlineStr">
        <is>
          <t>2024-04-21 | OFR-2024-0729</t>
        </is>
      </c>
      <c r="D20" s="17" t="inlineStr">
        <is>
          <t>WL-02948 | Michael Salinas</t>
        </is>
      </c>
      <c r="E20" s="17" t="inlineStr">
        <is>
          <t>Rank 1948 | current app 2025-02-01 | ACTIVE_WAITLIST</t>
        </is>
      </c>
      <c r="F20" s="17" t="inlineStr">
        <is>
          <t>GW-1013 / 60 ft | Gullwing</t>
        </is>
      </c>
      <c r="G20" s="17" t="inlineStr">
        <is>
          <t>vessel-fit | N / INSURANCE_DECL</t>
        </is>
      </c>
      <c r="H20" s="17" t="inlineStr">
        <is>
          <t>CSV says no attachment; original file not furnished</t>
        </is>
      </c>
      <c r="I20" s="18" t="inlineStr">
        <is>
          <t>Contemporaneous proof missing</t>
        </is>
      </c>
      <c r="J20" s="17" t="inlineStr"/>
      <c r="K20" s="17" t="inlineStr">
        <is>
          <t>Predates current application date</t>
        </is>
      </c>
      <c r="L20" s="17" t="inlineStr">
        <is>
          <t>Retrieve day log/original file; if no same-day support, expunge skip and preserve rank for first next matching vacancy.</t>
        </is>
      </c>
    </row>
    <row r="21">
      <c r="A21" s="17" t="n">
        <v>16</v>
      </c>
      <c r="B21" s="17" t="inlineStr">
        <is>
          <t>CSV row 410 | SKP-2024-0409</t>
        </is>
      </c>
      <c r="C21" s="17" t="inlineStr">
        <is>
          <t>2024-02-20 | OFR-2024-1487</t>
        </is>
      </c>
      <c r="D21" s="17" t="inlineStr">
        <is>
          <t>WL-03044 | Iris Quan</t>
        </is>
      </c>
      <c r="E21" s="17" t="inlineStr">
        <is>
          <t>Rank 2044 | current app 2025-03-14 | ACTIVE_WAITLIST</t>
        </is>
      </c>
      <c r="F21" s="17" t="inlineStr">
        <is>
          <t>VB-0904 / 28 ft | Vessbank</t>
        </is>
      </c>
      <c r="G21" s="17" t="inlineStr">
        <is>
          <t>preference-mismatch | N / blank</t>
        </is>
      </c>
      <c r="H21" s="17" t="inlineStr">
        <is>
          <t>Cover sheet only - confirmed; WL-03044 PDF p.1: cover only</t>
        </is>
      </c>
      <c r="I21" s="18" t="inlineStr">
        <is>
          <t>Contemporaneous proof missing</t>
        </is>
      </c>
      <c r="J21" s="17" t="inlineStr"/>
      <c r="K21" s="17" t="inlineStr">
        <is>
          <t>Predates current application date; Offer ID absent from offer export</t>
        </is>
      </c>
      <c r="L21" s="17" t="inlineStr">
        <is>
          <t>Retrieve day log/original file; if no same-day support, expunge skip and preserve rank for first next matching vacancy.</t>
        </is>
      </c>
    </row>
    <row r="22">
      <c r="A22" s="17" t="n">
        <v>17</v>
      </c>
      <c r="B22" s="17" t="inlineStr">
        <is>
          <t>CSV row 344 | SKP-2026-0343</t>
        </is>
      </c>
      <c r="C22" s="17" t="inlineStr">
        <is>
          <t>2026-01-01 | OFR-2026-1285</t>
        </is>
      </c>
      <c r="D22" s="17" t="inlineStr">
        <is>
          <t>WL-03054 | Amanda Schmidt</t>
        </is>
      </c>
      <c r="E22" s="17" t="inlineStr">
        <is>
          <t>Rank 2054 | current app 2025-03-18 | ACTIVE_WAITLIST</t>
        </is>
      </c>
      <c r="F22" s="17" t="inlineStr">
        <is>
          <t>VB-0224 / 28 ft | Vessbank</t>
        </is>
      </c>
      <c r="G22" s="17" t="inlineStr">
        <is>
          <t>vessel-fit | N / OTHER_SUPPORT</t>
        </is>
      </c>
      <c r="H22" s="17" t="inlineStr">
        <is>
          <t>CSV says no attachment; original file not furnished</t>
        </is>
      </c>
      <c r="I22" s="18" t="inlineStr">
        <is>
          <t>Both: proof missing; length instrument not furnished</t>
        </is>
      </c>
      <c r="J22" s="17" t="inlineStr">
        <is>
          <t>AMD-000288 (2022-08-09; 46.9 to 45.3 ft; amendment CSV row 289); named source: MC-2022-0411</t>
        </is>
      </c>
      <c r="K22" s="17" t="inlineStr"/>
      <c r="L22" s="17" t="inlineStr">
        <is>
          <t>Retrieve day log/file and signed instrument; if either was absent when worked, expunge skip and preserve rank for first next matching vacancy.</t>
        </is>
      </c>
    </row>
    <row r="23">
      <c r="A23" s="17" t="n">
        <v>18</v>
      </c>
      <c r="B23" s="17" t="inlineStr">
        <is>
          <t>CSV row 298 | SKP-2025-0297</t>
        </is>
      </c>
      <c r="C23" s="17" t="inlineStr">
        <is>
          <t>2025-07-28 | OFR-2025-1129</t>
        </is>
      </c>
      <c r="D23" s="17" t="inlineStr">
        <is>
          <t>WL-03094 | Christine Cook</t>
        </is>
      </c>
      <c r="E23" s="17" t="inlineStr">
        <is>
          <t>Rank 2094 | current app 2025-04-06 | ACTIVE_WAITLIST</t>
        </is>
      </c>
      <c r="F23" s="17" t="inlineStr">
        <is>
          <t>GW-0103 / 45 ft | Gullwing</t>
        </is>
      </c>
      <c r="G23" s="17" t="inlineStr">
        <is>
          <t>not-current | N / REPAIR_ESTIMATE</t>
        </is>
      </c>
      <c r="H23" s="17" t="inlineStr">
        <is>
          <t>CSV says no attachment; original file not furnished</t>
        </is>
      </c>
      <c r="I23" s="18" t="inlineStr">
        <is>
          <t>Contemporaneous proof missing</t>
        </is>
      </c>
      <c r="J23" s="17" t="inlineStr"/>
      <c r="K23" s="17" t="inlineStr"/>
      <c r="L23" s="17" t="inlineStr">
        <is>
          <t>Retrieve day log/original file; if no same-day support, expunge skip and preserve rank for first next matching vacancy.</t>
        </is>
      </c>
    </row>
    <row r="24">
      <c r="A24" s="17" t="n">
        <v>19</v>
      </c>
      <c r="B24" s="17" t="inlineStr">
        <is>
          <t>CSV row 411 | SKP-2024-0410</t>
        </is>
      </c>
      <c r="C24" s="17" t="inlineStr">
        <is>
          <t>2024-11-05 | OFR-2024-1487</t>
        </is>
      </c>
      <c r="D24" s="17" t="inlineStr">
        <is>
          <t>WL-03390 | Phillip Ard</t>
        </is>
      </c>
      <c r="E24" s="17" t="inlineStr">
        <is>
          <t>Rank 2390 | current app 2025-08-19 | RETAINER</t>
        </is>
      </c>
      <c r="F24" s="17" t="inlineStr">
        <is>
          <t>SB-0120 / 40 ft | Salmonberry</t>
        </is>
      </c>
      <c r="G24" s="17" t="inlineStr">
        <is>
          <t>declined-prior-offer | N / blank</t>
        </is>
      </c>
      <c r="H24" s="17" t="inlineStr">
        <is>
          <t>Cover sheet only - confirmed; WL-03390 PDF p.1: cover only</t>
        </is>
      </c>
      <c r="I24" s="18" t="inlineStr">
        <is>
          <t>Contemporaneous proof missing</t>
        </is>
      </c>
      <c r="J24" s="17" t="inlineStr"/>
      <c r="K24" s="17" t="inlineStr">
        <is>
          <t>Predates current application date; Offer ID absent from offer export</t>
        </is>
      </c>
      <c r="L24" s="17" t="inlineStr">
        <is>
          <t>Retrieve day log/original file; if no same-day support, expunge skip and preserve rank for first next matching vacancy.</t>
        </is>
      </c>
    </row>
    <row r="25">
      <c r="A25" s="17" t="n">
        <v>20</v>
      </c>
      <c r="B25" s="17" t="inlineStr">
        <is>
          <t>CSV row 332 | SKP-2025-0331</t>
        </is>
      </c>
      <c r="C25" s="17" t="inlineStr">
        <is>
          <t>2025-10-07 | OFR-2025-1246</t>
        </is>
      </c>
      <c r="D25" s="17" t="inlineStr">
        <is>
          <t>WL-03455 | Taylor George</t>
        </is>
      </c>
      <c r="E25" s="17" t="inlineStr">
        <is>
          <t>Rank 2455 | current app 2025-09-25 | ACTIVE_WAITLIST</t>
        </is>
      </c>
      <c r="F25" s="17" t="inlineStr">
        <is>
          <t>SB-0402 / 32 ft | Salmonberry</t>
        </is>
      </c>
      <c r="G25" s="17" t="inlineStr">
        <is>
          <t>vessel-fit | Y / OTHER_SUPPORT</t>
        </is>
      </c>
      <c r="H25" s="17" t="inlineStr">
        <is>
          <t>CSV says attachment present; underlying file not individually furnished</t>
        </is>
      </c>
      <c r="I25" s="19" t="inlineStr">
        <is>
          <t>Length instrument not furnished</t>
        </is>
      </c>
      <c r="J25" s="17" t="inlineStr">
        <is>
          <t>AMD-000691 (2023-06-08; 36.5 to 39.0 ft; amendment CSV row 692); named source: MC-2023-0192</t>
        </is>
      </c>
      <c r="K25" s="17" t="inlineStr"/>
      <c r="L25" s="17" t="inlineStr">
        <is>
          <t>Produce the named signed instrument; if absent when amendment/skip was entered, disregard amended LOA and grant prospective rank-preserving relief.</t>
        </is>
      </c>
    </row>
    <row r="26">
      <c r="A26" s="17" t="n">
        <v>21</v>
      </c>
      <c r="B26" s="17" t="inlineStr">
        <is>
          <t>CSV row 105 | SKP-2023-0104</t>
        </is>
      </c>
      <c r="C26" s="17" t="inlineStr">
        <is>
          <t>2023-03-15 | OFR-2023-0360</t>
        </is>
      </c>
      <c r="D26" s="17" t="inlineStr">
        <is>
          <t>WL-03523 | Darlene Glover</t>
        </is>
      </c>
      <c r="E26" s="17" t="inlineStr">
        <is>
          <t>Rank 2523 | current app 2025-11-02 | ACTIVE_WAITLIST</t>
        </is>
      </c>
      <c r="F26" s="17" t="inlineStr">
        <is>
          <t>SB-0210 / 24 ft | Salmonberry</t>
        </is>
      </c>
      <c r="G26" s="17" t="inlineStr">
        <is>
          <t>vessel-fit | N / WRITTEN_STATEMENT</t>
        </is>
      </c>
      <c r="H26" s="17" t="inlineStr">
        <is>
          <t>CSV says no attachment; original file not furnished</t>
        </is>
      </c>
      <c r="I26" s="18" t="inlineStr">
        <is>
          <t>Contemporaneous proof missing</t>
        </is>
      </c>
      <c r="J26" s="17" t="inlineStr"/>
      <c r="K26" s="17" t="inlineStr">
        <is>
          <t>Predates current application date</t>
        </is>
      </c>
      <c r="L26" s="17" t="inlineStr">
        <is>
          <t>Retrieve day log/original file; if no same-day support, expunge skip and preserve rank for first next matching vacancy.</t>
        </is>
      </c>
    </row>
    <row r="27">
      <c r="A27" s="17" t="n">
        <v>22</v>
      </c>
      <c r="B27" s="17" t="inlineStr">
        <is>
          <t>CSV row 167 | SKP-2023-0166</t>
        </is>
      </c>
      <c r="C27" s="17" t="inlineStr">
        <is>
          <t>2023-09-16 | OFR-2023-0551</t>
        </is>
      </c>
      <c r="D27" s="17" t="inlineStr">
        <is>
          <t>WL-03844 | Janet Medina</t>
        </is>
      </c>
      <c r="E27" s="17" t="inlineStr">
        <is>
          <t>Rank 2844 | current app 2026-05-17 | RETAINER</t>
        </is>
      </c>
      <c r="F27" s="17" t="inlineStr">
        <is>
          <t>EW-0109 / 60 ft | Eastwey</t>
        </is>
      </c>
      <c r="G27" s="17" t="inlineStr">
        <is>
          <t>vessel-fit | N / OTHER_SUPPORT</t>
        </is>
      </c>
      <c r="H27" s="17" t="inlineStr">
        <is>
          <t>CSV says no attachment; original file not furnished</t>
        </is>
      </c>
      <c r="I27" s="18" t="inlineStr">
        <is>
          <t>Contemporaneous proof missing</t>
        </is>
      </c>
      <c r="J27" s="17" t="inlineStr"/>
      <c r="K27" s="17" t="inlineStr">
        <is>
          <t>Predates current application date</t>
        </is>
      </c>
      <c r="L27" s="17" t="inlineStr">
        <is>
          <t>Retrieve day log/original file; if no same-day support, expunge skip and preserve rank for first next matching vacancy.</t>
        </is>
      </c>
    </row>
    <row r="28">
      <c r="A28" s="17" t="n">
        <v>23</v>
      </c>
      <c r="B28" s="17" t="inlineStr">
        <is>
          <t>CSV row 372 | SKP-2026-0371</t>
        </is>
      </c>
      <c r="C28" s="17" t="inlineStr">
        <is>
          <t>2026-05-08 | OFR-2026-1363</t>
        </is>
      </c>
      <c r="D28" s="17" t="inlineStr">
        <is>
          <t>WL-03896 | Stephen Hammond</t>
        </is>
      </c>
      <c r="E28" s="17" t="inlineStr">
        <is>
          <t>Rank 2896 | current app 2026-07-05 | ACTIVE_WAITLIST</t>
        </is>
      </c>
      <c r="F28" s="17" t="inlineStr">
        <is>
          <t>LP-0220 / 28 ft | Ledgport</t>
        </is>
      </c>
      <c r="G28" s="17" t="inlineStr">
        <is>
          <t>vessel-fit | N / WRITTEN_STATEMENT</t>
        </is>
      </c>
      <c r="H28" s="17" t="inlineStr">
        <is>
          <t>CSV says no attachment; original file not furnished</t>
        </is>
      </c>
      <c r="I28" s="18" t="inlineStr">
        <is>
          <t>Contemporaneous proof missing</t>
        </is>
      </c>
      <c r="J28" s="17" t="inlineStr"/>
      <c r="K28" s="17" t="inlineStr">
        <is>
          <t>Predates current application date</t>
        </is>
      </c>
      <c r="L28" s="17" t="inlineStr">
        <is>
          <t>Retrieve day log/original file; if no same-day support, expunge skip and preserve rank for first next matching vacancy.</t>
        </is>
      </c>
    </row>
    <row r="29" outlineLevel="1">
      <c r="A29" s="17" t="inlineStr"/>
      <c r="B29" s="17" t="inlineStr">
        <is>
          <t>CSV row 96 | SKP-2023-0095</t>
        </is>
      </c>
      <c r="C29" s="17" t="inlineStr">
        <is>
          <t>2023-01-08 | OFR-2023-0323</t>
        </is>
      </c>
      <c r="D29" s="17" t="inlineStr">
        <is>
          <t>WL-03099 | Ryan Robertson</t>
        </is>
      </c>
      <c r="E29" s="17" t="inlineStr">
        <is>
          <t>Rank 2099 | current app 2025-04-08 | ACTIVE_WAITLIST</t>
        </is>
      </c>
      <c r="F29" s="17" t="inlineStr">
        <is>
          <t>LP-0317 / 40 ft | Ledgport</t>
        </is>
      </c>
      <c r="G29" s="17" t="inlineStr">
        <is>
          <t>vessel-fit | Y / OTHER_SUPPORT</t>
        </is>
      </c>
      <c r="H29" s="17" t="inlineStr">
        <is>
          <t>CSV says attachment present; underlying file not individually furnished</t>
        </is>
      </c>
      <c r="I29" s="17" t="inlineStr">
        <is>
          <t>No exception identified in screening</t>
        </is>
      </c>
      <c r="J29" s="17" t="inlineStr"/>
      <c r="K29" s="17" t="inlineStr">
        <is>
          <t>Predates current application date</t>
        </is>
      </c>
      <c r="L29" s="17" t="inlineStr">
        <is>
          <t>No Board remedy recommended from supplied screening record; retain file for source-population reconciliation.</t>
        </is>
      </c>
    </row>
    <row r="30" outlineLevel="1">
      <c r="A30" s="17" t="inlineStr"/>
      <c r="B30" s="17" t="inlineStr">
        <is>
          <t>CSV row 97 | SKP-2023-0096</t>
        </is>
      </c>
      <c r="C30" s="17" t="inlineStr">
        <is>
          <t>2023-01-08 | OFR-2023-0324</t>
        </is>
      </c>
      <c r="D30" s="17" t="inlineStr">
        <is>
          <t>WL-02685 | Stephanie Hill</t>
        </is>
      </c>
      <c r="E30" s="17" t="inlineStr">
        <is>
          <t>Rank 1685 | current app 2024-10-13 | ACTIVE_WAITLIST</t>
        </is>
      </c>
      <c r="F30" s="17" t="inlineStr">
        <is>
          <t>LP-0906 / 28 ft | Ledgport</t>
        </is>
      </c>
      <c r="G30" s="17" t="inlineStr">
        <is>
          <t>vessel-fit | Y / INSURANCE_DECL</t>
        </is>
      </c>
      <c r="H30" s="17" t="inlineStr">
        <is>
          <t>CSV says attachment present; underlying file not individually furnished</t>
        </is>
      </c>
      <c r="I30" s="17" t="inlineStr">
        <is>
          <t>No exception identified in screening</t>
        </is>
      </c>
      <c r="J30" s="17" t="inlineStr"/>
      <c r="K30" s="17" t="inlineStr">
        <is>
          <t>Predates current application date</t>
        </is>
      </c>
      <c r="L30" s="17" t="inlineStr">
        <is>
          <t>No Board remedy recommended from supplied screening record; retain file for source-population reconciliation.</t>
        </is>
      </c>
    </row>
    <row r="31" outlineLevel="1">
      <c r="A31" s="17" t="inlineStr"/>
      <c r="B31" s="17" t="inlineStr">
        <is>
          <t>CSV row 99 | SKP-2023-0098</t>
        </is>
      </c>
      <c r="C31" s="17" t="inlineStr">
        <is>
          <t>2023-01-08 | OFR-2023-0334</t>
        </is>
      </c>
      <c r="D31" s="17" t="inlineStr">
        <is>
          <t>WL-01959 | Jonathan Moore</t>
        </is>
      </c>
      <c r="E31" s="17" t="inlineStr">
        <is>
          <t>Rank 959 | current app 2023-11-14 | ACTIVE_WAITLIST</t>
        </is>
      </c>
      <c r="F31" s="17" t="inlineStr">
        <is>
          <t>VB-1023 / 28 ft | Vessbank</t>
        </is>
      </c>
      <c r="G31" s="17" t="inlineStr">
        <is>
          <t>not-current | Y / WRITTEN_STATEMENT</t>
        </is>
      </c>
      <c r="H31" s="17" t="inlineStr">
        <is>
          <t>CSV says attachment present; underlying file not individually furnished</t>
        </is>
      </c>
      <c r="I31" s="17" t="inlineStr">
        <is>
          <t>No exception identified in screening</t>
        </is>
      </c>
      <c r="J31" s="17" t="inlineStr"/>
      <c r="K31" s="17" t="inlineStr">
        <is>
          <t>Predates current application date</t>
        </is>
      </c>
      <c r="L31" s="17" t="inlineStr">
        <is>
          <t>No Board remedy recommended from supplied screening record; retain file for source-population reconciliation.</t>
        </is>
      </c>
    </row>
    <row r="32" outlineLevel="1">
      <c r="A32" s="17" t="inlineStr"/>
      <c r="B32" s="17" t="inlineStr">
        <is>
          <t>CSV row 98 | SKP-2023-0097</t>
        </is>
      </c>
      <c r="C32" s="17" t="inlineStr">
        <is>
          <t>2023-01-26 | OFR-2023-0326</t>
        </is>
      </c>
      <c r="D32" s="17" t="inlineStr">
        <is>
          <t>WL-01298 | Jason Boyd</t>
        </is>
      </c>
      <c r="E32" s="17" t="inlineStr">
        <is>
          <t>Rank 298 | current app 2022-11-17 | ACTIVE_WAITLIST</t>
        </is>
      </c>
      <c r="F32" s="17" t="inlineStr">
        <is>
          <t>GW-0708 / 70 ft | Gullwing</t>
        </is>
      </c>
      <c r="G32" s="17" t="inlineStr">
        <is>
          <t>vessel-fit | Y / OTHER_SUPPORT</t>
        </is>
      </c>
      <c r="H32" s="17" t="inlineStr">
        <is>
          <t>CSV says attachment present; underlying file not individually furnished</t>
        </is>
      </c>
      <c r="I32" s="17" t="inlineStr">
        <is>
          <t>No exception identified in screening</t>
        </is>
      </c>
      <c r="J32" s="17" t="inlineStr"/>
      <c r="K32" s="17" t="inlineStr"/>
      <c r="L32" s="17" t="inlineStr">
        <is>
          <t>No Board remedy recommended from supplied screening record; retain file for source-population reconciliation.</t>
        </is>
      </c>
    </row>
    <row r="33" outlineLevel="1">
      <c r="A33" s="17" t="inlineStr"/>
      <c r="B33" s="17" t="inlineStr">
        <is>
          <t>CSV row 103 | SKP-2023-0102</t>
        </is>
      </c>
      <c r="C33" s="17" t="inlineStr">
        <is>
          <t>2023-02-10 | OFR-2023-0346</t>
        </is>
      </c>
      <c r="D33" s="17" t="inlineStr">
        <is>
          <t>WL-03582 | Melissa Jones</t>
        </is>
      </c>
      <c r="E33" s="17" t="inlineStr">
        <is>
          <t>Rank 2582 | current app 2025-12-04 | ACTIVE_WAITLIST</t>
        </is>
      </c>
      <c r="F33" s="17" t="inlineStr">
        <is>
          <t>GW-0615 / 24 ft | Gullwing</t>
        </is>
      </c>
      <c r="G33" s="17" t="inlineStr">
        <is>
          <t>not-current | Y / INSURANCE_DECL</t>
        </is>
      </c>
      <c r="H33" s="17" t="inlineStr">
        <is>
          <t>CSV says attachment present; underlying file not individually furnished</t>
        </is>
      </c>
      <c r="I33" s="17" t="inlineStr">
        <is>
          <t>No exception identified in screening</t>
        </is>
      </c>
      <c r="J33" s="17" t="inlineStr"/>
      <c r="K33" s="17" t="inlineStr">
        <is>
          <t>Predates current application date</t>
        </is>
      </c>
      <c r="L33" s="17" t="inlineStr">
        <is>
          <t>No Board remedy recommended from supplied screening record; retain file for source-population reconciliation.</t>
        </is>
      </c>
    </row>
    <row r="34" outlineLevel="1">
      <c r="A34" s="17" t="inlineStr"/>
      <c r="B34" s="17" t="inlineStr">
        <is>
          <t>CSV row 104 | SKP-2023-0103</t>
        </is>
      </c>
      <c r="C34" s="17" t="inlineStr">
        <is>
          <t>2023-02-17 | OFR-2023-0350</t>
        </is>
      </c>
      <c r="D34" s="17" t="inlineStr">
        <is>
          <t>WL-02918 | Kara Aguilar</t>
        </is>
      </c>
      <c r="E34" s="17" t="inlineStr">
        <is>
          <t>Rank 1918 | current app 2025-01-16 | EXPIRED</t>
        </is>
      </c>
      <c r="F34" s="17" t="inlineStr">
        <is>
          <t>LP-1116 / 28 ft | Ledgport</t>
        </is>
      </c>
      <c r="G34" s="17" t="inlineStr">
        <is>
          <t>declined-prior-offer | Y / OTHER_SUPPORT</t>
        </is>
      </c>
      <c r="H34" s="17" t="inlineStr">
        <is>
          <t>CSV says attachment present; underlying file not individually furnished</t>
        </is>
      </c>
      <c r="I34" s="17" t="inlineStr">
        <is>
          <t>No exception identified in screening</t>
        </is>
      </c>
      <c r="J34" s="17" t="inlineStr"/>
      <c r="K34" s="17" t="inlineStr">
        <is>
          <t>Predates current application date</t>
        </is>
      </c>
      <c r="L34" s="17" t="inlineStr">
        <is>
          <t>No Board remedy recommended from supplied screening record; retain file for source-population reconciliation.</t>
        </is>
      </c>
    </row>
    <row r="35" outlineLevel="1">
      <c r="A35" s="17" t="inlineStr"/>
      <c r="B35" s="17" t="inlineStr">
        <is>
          <t>CSV row 101 | SKP-2023-0100</t>
        </is>
      </c>
      <c r="C35" s="17" t="inlineStr">
        <is>
          <t>2023-02-18 | OFR-2023-0343</t>
        </is>
      </c>
      <c r="D35" s="17" t="inlineStr">
        <is>
          <t>WL-02565 | Christina Smith</t>
        </is>
      </c>
      <c r="E35" s="17" t="inlineStr">
        <is>
          <t>Rank 1565 | current app 2024-08-26 | RETAINER</t>
        </is>
      </c>
      <c r="F35" s="17" t="inlineStr">
        <is>
          <t>GW-0116 / 32 ft | Gullwing</t>
        </is>
      </c>
      <c r="G35" s="17" t="inlineStr">
        <is>
          <t>vessel-fit | Y / REPAIR_ESTIMATE</t>
        </is>
      </c>
      <c r="H35" s="17" t="inlineStr">
        <is>
          <t>CSV says attachment present; underlying file not individually furnished</t>
        </is>
      </c>
      <c r="I35" s="17" t="inlineStr">
        <is>
          <t>No exception identified in screening</t>
        </is>
      </c>
      <c r="J35" s="17" t="inlineStr"/>
      <c r="K35" s="17" t="inlineStr">
        <is>
          <t>Predates current application date</t>
        </is>
      </c>
      <c r="L35" s="17" t="inlineStr">
        <is>
          <t>No Board remedy recommended from supplied screening record; retain file for source-population reconciliation.</t>
        </is>
      </c>
    </row>
    <row r="36" outlineLevel="1">
      <c r="A36" s="17" t="inlineStr"/>
      <c r="B36" s="17" t="inlineStr">
        <is>
          <t>CSV row 102 | SKP-2023-0101</t>
        </is>
      </c>
      <c r="C36" s="17" t="inlineStr">
        <is>
          <t>2023-02-19 | OFR-2023-0345</t>
        </is>
      </c>
      <c r="D36" s="17" t="inlineStr">
        <is>
          <t>WL-02664 | Mark Smith</t>
        </is>
      </c>
      <c r="E36" s="17" t="inlineStr">
        <is>
          <t>Rank 1664 | current app 2024-10-04 | ACTIVE_WAITLIST</t>
        </is>
      </c>
      <c r="F36" s="17" t="inlineStr">
        <is>
          <t>GW-0220 / 60 ft | Gullwing</t>
        </is>
      </c>
      <c r="G36" s="17" t="inlineStr">
        <is>
          <t>preference-mismatch | Y / WRITTEN_STATEMENT</t>
        </is>
      </c>
      <c r="H36" s="17" t="inlineStr">
        <is>
          <t>CSV says attachment present; underlying file not individually furnished</t>
        </is>
      </c>
      <c r="I36" s="17" t="inlineStr">
        <is>
          <t>No exception identified in screening</t>
        </is>
      </c>
      <c r="J36" s="17" t="inlineStr"/>
      <c r="K36" s="17" t="inlineStr">
        <is>
          <t>Predates current application date</t>
        </is>
      </c>
      <c r="L36" s="17" t="inlineStr">
        <is>
          <t>No Board remedy recommended from supplied screening record; retain file for source-population reconciliation.</t>
        </is>
      </c>
    </row>
    <row r="37" outlineLevel="1">
      <c r="A37" s="17" t="inlineStr"/>
      <c r="B37" s="17" t="inlineStr">
        <is>
          <t>CSV row 106 | SKP-2023-0105</t>
        </is>
      </c>
      <c r="C37" s="17" t="inlineStr">
        <is>
          <t>2023-03-06 | OFR-2023-0361</t>
        </is>
      </c>
      <c r="D37" s="17" t="inlineStr">
        <is>
          <t>WL-02366 | Megan Hoffman</t>
        </is>
      </c>
      <c r="E37" s="17" t="inlineStr">
        <is>
          <t>Rank 1366 | current app 2024-05-22 | SUSPENDED</t>
        </is>
      </c>
      <c r="F37" s="17" t="inlineStr">
        <is>
          <t>LP-1116 / 28 ft | Ledgport</t>
        </is>
      </c>
      <c r="G37" s="17" t="inlineStr">
        <is>
          <t>vessel-fit | Y / WRITTEN_STATEMENT</t>
        </is>
      </c>
      <c r="H37" s="17" t="inlineStr">
        <is>
          <t>CSV says attachment present; underlying file not individually furnished</t>
        </is>
      </c>
      <c r="I37" s="17" t="inlineStr">
        <is>
          <t>No exception identified in screening</t>
        </is>
      </c>
      <c r="J37" s="17" t="inlineStr"/>
      <c r="K37" s="17" t="inlineStr">
        <is>
          <t>Predates current application date</t>
        </is>
      </c>
      <c r="L37" s="17" t="inlineStr">
        <is>
          <t>No Board remedy recommended from supplied screening record; retain file for source-population reconciliation.</t>
        </is>
      </c>
    </row>
    <row r="38" outlineLevel="1">
      <c r="A38" s="17" t="inlineStr"/>
      <c r="B38" s="17" t="inlineStr">
        <is>
          <t>CSV row 108 | SKP-2023-0107</t>
        </is>
      </c>
      <c r="C38" s="17" t="inlineStr">
        <is>
          <t>2023-03-10 | OFR-2023-0368</t>
        </is>
      </c>
      <c r="D38" s="17" t="inlineStr">
        <is>
          <t>WL-01984 | Vanessa Jackson</t>
        </is>
      </c>
      <c r="E38" s="17" t="inlineStr">
        <is>
          <t>Rank 984 | current app 2023-11-27 | ACTIVE_WAITLIST</t>
        </is>
      </c>
      <c r="F38" s="17" t="inlineStr">
        <is>
          <t>GW-0606 / 60 ft | Gullwing</t>
        </is>
      </c>
      <c r="G38" s="17" t="inlineStr">
        <is>
          <t>declined-prior-offer | Y / WRITTEN_STATEMENT</t>
        </is>
      </c>
      <c r="H38" s="17" t="inlineStr">
        <is>
          <t>CSV says attachment present; underlying file not individually furnished</t>
        </is>
      </c>
      <c r="I38" s="17" t="inlineStr">
        <is>
          <t>No exception identified in screening</t>
        </is>
      </c>
      <c r="J38" s="17" t="inlineStr"/>
      <c r="K38" s="17" t="inlineStr">
        <is>
          <t>Predates current application date</t>
        </is>
      </c>
      <c r="L38" s="17" t="inlineStr">
        <is>
          <t>No Board remedy recommended from supplied screening record; retain file for source-population reconciliation.</t>
        </is>
      </c>
    </row>
    <row r="39" outlineLevel="1">
      <c r="A39" s="17" t="inlineStr"/>
      <c r="B39" s="17" t="inlineStr">
        <is>
          <t>CSV row 109 | SKP-2023-0108</t>
        </is>
      </c>
      <c r="C39" s="17" t="inlineStr">
        <is>
          <t>2023-03-21 | OFR-2023-0370</t>
        </is>
      </c>
      <c r="D39" s="17" t="inlineStr">
        <is>
          <t>WL-01649 | Amy Krueger</t>
        </is>
      </c>
      <c r="E39" s="17" t="inlineStr">
        <is>
          <t>Rank 649 | current app 2023-06-11 | ACTIVE_WAITLIST</t>
        </is>
      </c>
      <c r="F39" s="17" t="inlineStr">
        <is>
          <t>VB-0717 / 32 ft | Vessbank</t>
        </is>
      </c>
      <c r="G39" s="17" t="inlineStr">
        <is>
          <t>vessel-fit | Y / REPAIR_ESTIMATE</t>
        </is>
      </c>
      <c r="H39" s="17" t="inlineStr">
        <is>
          <t>CSV says attachment present; underlying file not individually furnished</t>
        </is>
      </c>
      <c r="I39" s="17" t="inlineStr">
        <is>
          <t>No exception identified in screening</t>
        </is>
      </c>
      <c r="J39" s="17" t="inlineStr"/>
      <c r="K39" s="17" t="inlineStr">
        <is>
          <t>Predates current application date</t>
        </is>
      </c>
      <c r="L39" s="17" t="inlineStr">
        <is>
          <t>No Board remedy recommended from supplied screening record; retain file for source-population reconciliation.</t>
        </is>
      </c>
    </row>
    <row r="40" outlineLevel="1">
      <c r="A40" s="17" t="inlineStr"/>
      <c r="B40" s="17" t="inlineStr">
        <is>
          <t>CSV row 110 | SKP-2023-0109</t>
        </is>
      </c>
      <c r="C40" s="17" t="inlineStr">
        <is>
          <t>2023-03-25 | OFR-2023-0371</t>
        </is>
      </c>
      <c r="D40" s="17" t="inlineStr">
        <is>
          <t>WL-03535 | Allison Castro</t>
        </is>
      </c>
      <c r="E40" s="17" t="inlineStr">
        <is>
          <t>Rank 2535 | current app 2025-11-08 | RETAINER</t>
        </is>
      </c>
      <c r="F40" s="17" t="inlineStr">
        <is>
          <t>GW-0101 / 24 ft | Gullwing</t>
        </is>
      </c>
      <c r="G40" s="17" t="inlineStr">
        <is>
          <t>vessel-fit | Y / OTHER_SUPPORT</t>
        </is>
      </c>
      <c r="H40" s="17" t="inlineStr">
        <is>
          <t>CSV says attachment present; underlying file not individually furnished</t>
        </is>
      </c>
      <c r="I40" s="17" t="inlineStr">
        <is>
          <t>No exception identified in screening</t>
        </is>
      </c>
      <c r="J40" s="17" t="inlineStr"/>
      <c r="K40" s="17" t="inlineStr">
        <is>
          <t>Predates current application date</t>
        </is>
      </c>
      <c r="L40" s="17" t="inlineStr">
        <is>
          <t>No Board remedy recommended from supplied screening record; retain file for source-population reconciliation.</t>
        </is>
      </c>
    </row>
    <row r="41" outlineLevel="1">
      <c r="A41" s="17" t="inlineStr"/>
      <c r="B41" s="17" t="inlineStr">
        <is>
          <t>CSV row 107 | SKP-2023-0106</t>
        </is>
      </c>
      <c r="C41" s="17" t="inlineStr">
        <is>
          <t>2023-03-27 | OFR-2023-0364</t>
        </is>
      </c>
      <c r="D41" s="17" t="inlineStr">
        <is>
          <t>WL-01388 | Sharon Young</t>
        </is>
      </c>
      <c r="E41" s="17" t="inlineStr">
        <is>
          <t>Rank 388 | current app 2023-01-07 | ACTIVE_WAITLIST</t>
        </is>
      </c>
      <c r="F41" s="17" t="inlineStr">
        <is>
          <t>SB-0617 / 36 ft | Salmonberry</t>
        </is>
      </c>
      <c r="G41" s="17" t="inlineStr">
        <is>
          <t>vessel-fit | Y / REPAIR_ESTIMATE</t>
        </is>
      </c>
      <c r="H41" s="17" t="inlineStr">
        <is>
          <t>CSV says attachment present; underlying file not individually furnished</t>
        </is>
      </c>
      <c r="I41" s="17" t="inlineStr">
        <is>
          <t>No exception identified in screening</t>
        </is>
      </c>
      <c r="J41" s="17" t="inlineStr"/>
      <c r="K41" s="17" t="inlineStr"/>
      <c r="L41" s="17" t="inlineStr">
        <is>
          <t>No Board remedy recommended from supplied screening record; retain file for source-population reconciliation.</t>
        </is>
      </c>
    </row>
    <row r="42" outlineLevel="1">
      <c r="A42" s="17" t="inlineStr"/>
      <c r="B42" s="17" t="inlineStr">
        <is>
          <t>CSV row 118 | SKP-2023-0117</t>
        </is>
      </c>
      <c r="C42" s="17" t="inlineStr">
        <is>
          <t>2023-04-02 | OFR-2023-0409</t>
        </is>
      </c>
      <c r="D42" s="17" t="inlineStr">
        <is>
          <t>WL-01089 | Erin Holmes</t>
        </is>
      </c>
      <c r="E42" s="17" t="inlineStr">
        <is>
          <t>Rank 89 | current app 2022-05-19 | ACTIVE_WAITLIST</t>
        </is>
      </c>
      <c r="F42" s="17" t="inlineStr">
        <is>
          <t>GW-0306 / 32 ft | Gullwing</t>
        </is>
      </c>
      <c r="G42" s="17" t="inlineStr">
        <is>
          <t>declined-prior-offer | Y / REPAIR_ESTIMATE</t>
        </is>
      </c>
      <c r="H42" s="17" t="inlineStr">
        <is>
          <t>CSV says attachment present; underlying file not individually furnished</t>
        </is>
      </c>
      <c r="I42" s="17" t="inlineStr">
        <is>
          <t>No exception identified in screening</t>
        </is>
      </c>
      <c r="J42" s="17" t="inlineStr"/>
      <c r="K42" s="17" t="inlineStr"/>
      <c r="L42" s="17" t="inlineStr">
        <is>
          <t>No Board remedy recommended from supplied screening record; retain file for source-population reconciliation.</t>
        </is>
      </c>
    </row>
    <row r="43" outlineLevel="1">
      <c r="A43" s="17" t="inlineStr"/>
      <c r="B43" s="17" t="inlineStr">
        <is>
          <t>CSV row 113 | SKP-2023-0112</t>
        </is>
      </c>
      <c r="C43" s="17" t="inlineStr">
        <is>
          <t>2023-04-03 | OFR-2023-0387</t>
        </is>
      </c>
      <c r="D43" s="17" t="inlineStr">
        <is>
          <t>WL-03014 | Daniel Mitchell</t>
        </is>
      </c>
      <c r="E43" s="17" t="inlineStr">
        <is>
          <t>Rank 2014 | current app 2025-03-03 | ACTIVE_WAITLIST</t>
        </is>
      </c>
      <c r="F43" s="17" t="inlineStr">
        <is>
          <t>LP-0204 / 28 ft | Ledgport</t>
        </is>
      </c>
      <c r="G43" s="17" t="inlineStr">
        <is>
          <t>vessel-fit | Y / WRITTEN_STATEMENT</t>
        </is>
      </c>
      <c r="H43" s="17" t="inlineStr">
        <is>
          <t>CSV says attachment present; underlying file not individually furnished</t>
        </is>
      </c>
      <c r="I43" s="17" t="inlineStr">
        <is>
          <t>No exception identified in screening</t>
        </is>
      </c>
      <c r="J43" s="17" t="inlineStr"/>
      <c r="K43" s="17" t="inlineStr">
        <is>
          <t>Predates current application date</t>
        </is>
      </c>
      <c r="L43" s="17" t="inlineStr">
        <is>
          <t>No Board remedy recommended from supplied screening record; retain file for source-population reconciliation.</t>
        </is>
      </c>
    </row>
    <row r="44" outlineLevel="1">
      <c r="A44" s="17" t="inlineStr"/>
      <c r="B44" s="17" t="inlineStr">
        <is>
          <t>CSV row 116 | SKP-2023-0115</t>
        </is>
      </c>
      <c r="C44" s="17" t="inlineStr">
        <is>
          <t>2023-04-08 | OFR-2023-0401</t>
        </is>
      </c>
      <c r="D44" s="17" t="inlineStr">
        <is>
          <t>WL-01145 | Francisco Weaver</t>
        </is>
      </c>
      <c r="E44" s="17" t="inlineStr">
        <is>
          <t>Rank 145 | current app 2022-07-17 | RETAINER</t>
        </is>
      </c>
      <c r="F44" s="17" t="inlineStr">
        <is>
          <t>EW-0304 / 36 ft | Eastwey</t>
        </is>
      </c>
      <c r="G44" s="17" t="inlineStr">
        <is>
          <t>not-current | Y / INSURANCE_DECL</t>
        </is>
      </c>
      <c r="H44" s="17" t="inlineStr">
        <is>
          <t>CSV says attachment present; underlying file not individually furnished</t>
        </is>
      </c>
      <c r="I44" s="17" t="inlineStr">
        <is>
          <t>No exception identified in screening</t>
        </is>
      </c>
      <c r="J44" s="17" t="inlineStr"/>
      <c r="K44" s="17" t="inlineStr"/>
      <c r="L44" s="17" t="inlineStr">
        <is>
          <t>No Board remedy recommended from supplied screening record; retain file for source-population reconciliation.</t>
        </is>
      </c>
    </row>
    <row r="45" outlineLevel="1">
      <c r="A45" s="17" t="inlineStr"/>
      <c r="B45" s="17" t="inlineStr">
        <is>
          <t>CSV row 114 | SKP-2023-0113</t>
        </is>
      </c>
      <c r="C45" s="17" t="inlineStr">
        <is>
          <t>2023-04-09 | OFR-2023-0392</t>
        </is>
      </c>
      <c r="D45" s="17" t="inlineStr">
        <is>
          <t>WL-01886 | Kenneth Riley</t>
        </is>
      </c>
      <c r="E45" s="17" t="inlineStr">
        <is>
          <t>Rank 886 | current app 2023-10-12 | ACTIVE_WAITLIST</t>
        </is>
      </c>
      <c r="F45" s="17" t="inlineStr">
        <is>
          <t>GW-0116 / 32 ft | Gullwing</t>
        </is>
      </c>
      <c r="G45" s="17" t="inlineStr">
        <is>
          <t>not-current | Y / WRITTEN_STATEMENT</t>
        </is>
      </c>
      <c r="H45" s="17" t="inlineStr">
        <is>
          <t>CSV says attachment present; underlying file not individually furnished</t>
        </is>
      </c>
      <c r="I45" s="17" t="inlineStr">
        <is>
          <t>No exception identified in screening</t>
        </is>
      </c>
      <c r="J45" s="17" t="inlineStr"/>
      <c r="K45" s="17" t="inlineStr">
        <is>
          <t>Predates current application date</t>
        </is>
      </c>
      <c r="L45" s="17" t="inlineStr">
        <is>
          <t>No Board remedy recommended from supplied screening record; retain file for source-population reconciliation.</t>
        </is>
      </c>
    </row>
    <row r="46" outlineLevel="1">
      <c r="A46" s="17" t="inlineStr"/>
      <c r="B46" s="17" t="inlineStr">
        <is>
          <t>CSV row 115 | SKP-2023-0114</t>
        </is>
      </c>
      <c r="C46" s="17" t="inlineStr">
        <is>
          <t>2023-04-11 | OFR-2023-0395</t>
        </is>
      </c>
      <c r="D46" s="17" t="inlineStr">
        <is>
          <t>WL-02074 | Erika Martin</t>
        </is>
      </c>
      <c r="E46" s="17" t="inlineStr">
        <is>
          <t>Rank 1074 | current app 2024-01-04 | ACTIVE_WAITLIST</t>
        </is>
      </c>
      <c r="F46" s="17" t="inlineStr">
        <is>
          <t>EW-1007 / 32 ft | Eastwey</t>
        </is>
      </c>
      <c r="G46" s="17" t="inlineStr">
        <is>
          <t>vessel-fit | Y / REPAIR_ESTIMATE</t>
        </is>
      </c>
      <c r="H46" s="17" t="inlineStr">
        <is>
          <t>CSV says attachment present; underlying file not individually furnished</t>
        </is>
      </c>
      <c r="I46" s="17" t="inlineStr">
        <is>
          <t>No exception identified in screening</t>
        </is>
      </c>
      <c r="J46" s="17" t="inlineStr"/>
      <c r="K46" s="17" t="inlineStr">
        <is>
          <t>Predates current application date</t>
        </is>
      </c>
      <c r="L46" s="17" t="inlineStr">
        <is>
          <t>No Board remedy recommended from supplied screening record; retain file for source-population reconciliation.</t>
        </is>
      </c>
    </row>
    <row r="47" outlineLevel="1">
      <c r="A47" s="17" t="inlineStr"/>
      <c r="B47" s="17" t="inlineStr">
        <is>
          <t>CSV row 111 | SKP-2023-0110</t>
        </is>
      </c>
      <c r="C47" s="17" t="inlineStr">
        <is>
          <t>2023-04-20 | OFR-2023-0374</t>
        </is>
      </c>
      <c r="D47" s="17" t="inlineStr">
        <is>
          <t>WL-01473 | Ian Parrish</t>
        </is>
      </c>
      <c r="E47" s="17" t="inlineStr">
        <is>
          <t>Rank 473 | current app 2023-02-25 | ACTIVE_WAITLIST</t>
        </is>
      </c>
      <c r="F47" s="17" t="inlineStr">
        <is>
          <t>SB-0623 / 28 ft | Salmonberry</t>
        </is>
      </c>
      <c r="G47" s="17" t="inlineStr">
        <is>
          <t>vessel-fit | Y / INSURANCE_DECL</t>
        </is>
      </c>
      <c r="H47" s="17" t="inlineStr">
        <is>
          <t>CSV says attachment present; underlying file not individually furnished</t>
        </is>
      </c>
      <c r="I47" s="17" t="inlineStr">
        <is>
          <t>No exception identified in screening</t>
        </is>
      </c>
      <c r="J47" s="17" t="inlineStr"/>
      <c r="K47" s="17" t="inlineStr"/>
      <c r="L47" s="17" t="inlineStr">
        <is>
          <t>No Board remedy recommended from supplied screening record; retain file for source-population reconciliation.</t>
        </is>
      </c>
    </row>
    <row r="48" outlineLevel="1">
      <c r="A48" s="17" t="inlineStr"/>
      <c r="B48" s="17" t="inlineStr">
        <is>
          <t>CSV row 112 | SKP-2023-0111</t>
        </is>
      </c>
      <c r="C48" s="17" t="inlineStr">
        <is>
          <t>2023-04-20 | OFR-2023-0375</t>
        </is>
      </c>
      <c r="D48" s="17" t="inlineStr">
        <is>
          <t>WL-02941 | Jose Benson</t>
        </is>
      </c>
      <c r="E48" s="17" t="inlineStr">
        <is>
          <t>Rank 1941 | current app 2025-01-28 | ACTIVE_WAITLIST</t>
        </is>
      </c>
      <c r="F48" s="17" t="inlineStr">
        <is>
          <t>SB-0109 / 32 ft | Salmonberry</t>
        </is>
      </c>
      <c r="G48" s="17" t="inlineStr">
        <is>
          <t>vessel-fit | Y / OTHER_SUPPORT</t>
        </is>
      </c>
      <c r="H48" s="17" t="inlineStr">
        <is>
          <t>CSV says attachment present; underlying file not individually furnished</t>
        </is>
      </c>
      <c r="I48" s="17" t="inlineStr">
        <is>
          <t>No exception identified in screening</t>
        </is>
      </c>
      <c r="J48" s="17" t="inlineStr"/>
      <c r="K48" s="17" t="inlineStr">
        <is>
          <t>Predates current application date</t>
        </is>
      </c>
      <c r="L48" s="17" t="inlineStr">
        <is>
          <t>No Board remedy recommended from supplied screening record; retain file for source-population reconciliation.</t>
        </is>
      </c>
    </row>
    <row r="49" outlineLevel="1">
      <c r="A49" s="17" t="inlineStr"/>
      <c r="B49" s="17" t="inlineStr">
        <is>
          <t>CSV row 117 | SKP-2023-0116</t>
        </is>
      </c>
      <c r="C49" s="17" t="inlineStr">
        <is>
          <t>2023-04-28 | OFR-2023-0403</t>
        </is>
      </c>
      <c r="D49" s="17" t="inlineStr">
        <is>
          <t>WL-01274 | Lisa Campbell</t>
        </is>
      </c>
      <c r="E49" s="17" t="inlineStr">
        <is>
          <t>Rank 274 | current app 2022-10-29 | ACTIVE_WAITLIST</t>
        </is>
      </c>
      <c r="F49" s="17" t="inlineStr">
        <is>
          <t>GW-0905 / 50 ft | Gullwing</t>
        </is>
      </c>
      <c r="G49" s="17" t="inlineStr">
        <is>
          <t>vessel-fit | Y / WRITTEN_STATEMENT</t>
        </is>
      </c>
      <c r="H49" s="17" t="inlineStr">
        <is>
          <t>CSV says attachment present; underlying file not individually furnished</t>
        </is>
      </c>
      <c r="I49" s="17" t="inlineStr">
        <is>
          <t>No exception identified in screening</t>
        </is>
      </c>
      <c r="J49" s="17" t="inlineStr"/>
      <c r="K49" s="17" t="inlineStr"/>
      <c r="L49" s="17" t="inlineStr">
        <is>
          <t>No Board remedy recommended from supplied screening record; retain file for source-population reconciliation.</t>
        </is>
      </c>
    </row>
    <row r="50" outlineLevel="1">
      <c r="A50" s="17" t="inlineStr"/>
      <c r="B50" s="17" t="inlineStr">
        <is>
          <t>CSV row 121 | SKP-2023-0120</t>
        </is>
      </c>
      <c r="C50" s="17" t="inlineStr">
        <is>
          <t>2023-05-02 | OFR-2023-0417</t>
        </is>
      </c>
      <c r="D50" s="17" t="inlineStr">
        <is>
          <t>WL-01469 | John Lynch</t>
        </is>
      </c>
      <c r="E50" s="17" t="inlineStr">
        <is>
          <t>Rank 469 | current app 2023-02-20 | ACTIVE_WAITLIST</t>
        </is>
      </c>
      <c r="F50" s="17" t="inlineStr">
        <is>
          <t>LP-1104 / 32 ft | Ledgport</t>
        </is>
      </c>
      <c r="G50" s="17" t="inlineStr">
        <is>
          <t>vessel-fit | Y / OTHER_SUPPORT</t>
        </is>
      </c>
      <c r="H50" s="17" t="inlineStr">
        <is>
          <t>CSV says attachment present; underlying file not individually furnished</t>
        </is>
      </c>
      <c r="I50" s="17" t="inlineStr">
        <is>
          <t>No exception identified in screening</t>
        </is>
      </c>
      <c r="J50" s="17" t="inlineStr"/>
      <c r="K50" s="17" t="inlineStr"/>
      <c r="L50" s="17" t="inlineStr">
        <is>
          <t>No Board remedy recommended from supplied screening record; retain file for source-population reconciliation.</t>
        </is>
      </c>
    </row>
    <row r="51" outlineLevel="1">
      <c r="A51" s="17" t="inlineStr"/>
      <c r="B51" s="17" t="inlineStr">
        <is>
          <t>CSV row 130 | SKP-2023-0129</t>
        </is>
      </c>
      <c r="C51" s="17" t="inlineStr">
        <is>
          <t>2023-05-02 | OFR-2023-0440</t>
        </is>
      </c>
      <c r="D51" s="17" t="inlineStr">
        <is>
          <t>WL-03178 | Kristen Schneider</t>
        </is>
      </c>
      <c r="E51" s="17" t="inlineStr">
        <is>
          <t>Rank 2178 | current app 2025-05-13 | RETAINER</t>
        </is>
      </c>
      <c r="F51" s="17" t="inlineStr">
        <is>
          <t>VB-0810 / 32 ft | Vessbank</t>
        </is>
      </c>
      <c r="G51" s="17" t="inlineStr">
        <is>
          <t>vessel-fit | Y / REPAIR_ESTIMATE</t>
        </is>
      </c>
      <c r="H51" s="17" t="inlineStr">
        <is>
          <t>CSV says attachment present; underlying file not individually furnished</t>
        </is>
      </c>
      <c r="I51" s="17" t="inlineStr">
        <is>
          <t>No exception identified in screening</t>
        </is>
      </c>
      <c r="J51" s="17" t="inlineStr"/>
      <c r="K51" s="17" t="inlineStr">
        <is>
          <t>Predates current application date</t>
        </is>
      </c>
      <c r="L51" s="17" t="inlineStr">
        <is>
          <t>No Board remedy recommended from supplied screening record; retain file for source-population reconciliation.</t>
        </is>
      </c>
    </row>
    <row r="52" outlineLevel="1">
      <c r="A52" s="17" t="inlineStr"/>
      <c r="B52" s="17" t="inlineStr">
        <is>
          <t>CSV row 129 | SKP-2023-0128</t>
        </is>
      </c>
      <c r="C52" s="17" t="inlineStr">
        <is>
          <t>2023-05-04 | OFR-2023-0436</t>
        </is>
      </c>
      <c r="D52" s="17" t="inlineStr">
        <is>
          <t>WL-03537 | Angel Wheeler</t>
        </is>
      </c>
      <c r="E52" s="17" t="inlineStr">
        <is>
          <t>Rank 2537 | current app 2025-11-08 | RETAINER</t>
        </is>
      </c>
      <c r="F52" s="17" t="inlineStr">
        <is>
          <t>GW-0709 / 32 ft | Gullwing</t>
        </is>
      </c>
      <c r="G52" s="17" t="inlineStr">
        <is>
          <t>not-current | Y / OTHER_SUPPORT</t>
        </is>
      </c>
      <c r="H52" s="17" t="inlineStr">
        <is>
          <t>CSV says attachment present; underlying file not individually furnished</t>
        </is>
      </c>
      <c r="I52" s="17" t="inlineStr">
        <is>
          <t>No exception identified in screening</t>
        </is>
      </c>
      <c r="J52" s="17" t="inlineStr"/>
      <c r="K52" s="17" t="inlineStr">
        <is>
          <t>Predates current application date</t>
        </is>
      </c>
      <c r="L52" s="17" t="inlineStr">
        <is>
          <t>No Board remedy recommended from supplied screening record; retain file for source-population reconciliation.</t>
        </is>
      </c>
    </row>
    <row r="53" outlineLevel="1">
      <c r="A53" s="17" t="inlineStr"/>
      <c r="B53" s="17" t="inlineStr">
        <is>
          <t>CSV row 120 | SKP-2023-0119</t>
        </is>
      </c>
      <c r="C53" s="17" t="inlineStr">
        <is>
          <t>2023-05-05 | OFR-2023-0412</t>
        </is>
      </c>
      <c r="D53" s="17" t="inlineStr">
        <is>
          <t>WL-03151 | Elizabeth King</t>
        </is>
      </c>
      <c r="E53" s="17" t="inlineStr">
        <is>
          <t>Rank 2151 | current app 2025-05-03 | ACTIVE_WAITLIST</t>
        </is>
      </c>
      <c r="F53" s="17" t="inlineStr">
        <is>
          <t>VB-0220 / 28 ft | Vessbank</t>
        </is>
      </c>
      <c r="G53" s="17" t="inlineStr">
        <is>
          <t>declined-prior-offer | Y / REPAIR_ESTIMATE</t>
        </is>
      </c>
      <c r="H53" s="17" t="inlineStr">
        <is>
          <t>CSV says attachment present; underlying file not individually furnished</t>
        </is>
      </c>
      <c r="I53" s="17" t="inlineStr">
        <is>
          <t>No exception identified in screening</t>
        </is>
      </c>
      <c r="J53" s="17" t="inlineStr"/>
      <c r="K53" s="17" t="inlineStr">
        <is>
          <t>Predates current application date</t>
        </is>
      </c>
      <c r="L53" s="17" t="inlineStr">
        <is>
          <t>No Board remedy recommended from supplied screening record; retain file for source-population reconciliation.</t>
        </is>
      </c>
    </row>
    <row r="54" outlineLevel="1">
      <c r="A54" s="17" t="inlineStr"/>
      <c r="B54" s="17" t="inlineStr">
        <is>
          <t>CSV row 127 | SKP-2023-0126</t>
        </is>
      </c>
      <c r="C54" s="17" t="inlineStr">
        <is>
          <t>2023-05-10 | OFR-2023-0432</t>
        </is>
      </c>
      <c r="D54" s="17" t="inlineStr">
        <is>
          <t>WL-02134 | James Martin</t>
        </is>
      </c>
      <c r="E54" s="17" t="inlineStr">
        <is>
          <t>Rank 1134 | current app 2024-02-08 | ACTIVE_WAITLIST</t>
        </is>
      </c>
      <c r="F54" s="17" t="inlineStr">
        <is>
          <t>EW-0320 / 60 ft | Eastwey</t>
        </is>
      </c>
      <c r="G54" s="17" t="inlineStr">
        <is>
          <t>not-current | Y / INSURANCE_DECL</t>
        </is>
      </c>
      <c r="H54" s="17" t="inlineStr">
        <is>
          <t>CSV says attachment present; underlying file not individually furnished</t>
        </is>
      </c>
      <c r="I54" s="17" t="inlineStr">
        <is>
          <t>No exception identified in screening</t>
        </is>
      </c>
      <c r="J54" s="17" t="inlineStr"/>
      <c r="K54" s="17" t="inlineStr">
        <is>
          <t>Predates current application date</t>
        </is>
      </c>
      <c r="L54" s="17" t="inlineStr">
        <is>
          <t>No Board remedy recommended from supplied screening record; retain file for source-population reconciliation.</t>
        </is>
      </c>
    </row>
    <row r="55" outlineLevel="1">
      <c r="A55" s="17" t="inlineStr"/>
      <c r="B55" s="17" t="inlineStr">
        <is>
          <t>CSV row 122 | SKP-2023-0121</t>
        </is>
      </c>
      <c r="C55" s="17" t="inlineStr">
        <is>
          <t>2023-05-12 | OFR-2023-0418</t>
        </is>
      </c>
      <c r="D55" s="17" t="inlineStr">
        <is>
          <t>WL-03181 | Annette Collins</t>
        </is>
      </c>
      <c r="E55" s="17" t="inlineStr">
        <is>
          <t>Rank 2181 | current app 2025-05-15 | ACTIVE_WAITLIST</t>
        </is>
      </c>
      <c r="F55" s="17" t="inlineStr">
        <is>
          <t>SB-0903 / 80 ft | Salmonberry</t>
        </is>
      </c>
      <c r="G55" s="17" t="inlineStr">
        <is>
          <t>vessel-fit | Y / OTHER_SUPPORT</t>
        </is>
      </c>
      <c r="H55" s="17" t="inlineStr">
        <is>
          <t>CSV says attachment present; underlying file not individually furnished</t>
        </is>
      </c>
      <c r="I55" s="17" t="inlineStr">
        <is>
          <t>No exception identified in screening</t>
        </is>
      </c>
      <c r="J55" s="17" t="inlineStr"/>
      <c r="K55" s="17" t="inlineStr">
        <is>
          <t>Predates current application date</t>
        </is>
      </c>
      <c r="L55" s="17" t="inlineStr">
        <is>
          <t>No Board remedy recommended from supplied screening record; retain file for source-population reconciliation.</t>
        </is>
      </c>
    </row>
    <row r="56" outlineLevel="1">
      <c r="A56" s="17" t="inlineStr"/>
      <c r="B56" s="17" t="inlineStr">
        <is>
          <t>CSV row 119 | SKP-2023-0118</t>
        </is>
      </c>
      <c r="C56" s="17" t="inlineStr">
        <is>
          <t>2023-05-13 | OFR-2023-0411</t>
        </is>
      </c>
      <c r="D56" s="17" t="inlineStr">
        <is>
          <t>WL-02485 | Matthew Dickerson</t>
        </is>
      </c>
      <c r="E56" s="17" t="inlineStr">
        <is>
          <t>Rank 1485 | current app 2024-07-16 | RETAINER</t>
        </is>
      </c>
      <c r="F56" s="17" t="inlineStr">
        <is>
          <t>VB-0521 / 32 ft | Vessbank</t>
        </is>
      </c>
      <c r="G56" s="17" t="inlineStr">
        <is>
          <t>not-current | Y / INSURANCE_DECL</t>
        </is>
      </c>
      <c r="H56" s="17" t="inlineStr">
        <is>
          <t>CSV says attachment present; underlying file not individually furnished</t>
        </is>
      </c>
      <c r="I56" s="17" t="inlineStr">
        <is>
          <t>No exception identified in screening</t>
        </is>
      </c>
      <c r="J56" s="17" t="inlineStr"/>
      <c r="K56" s="17" t="inlineStr">
        <is>
          <t>Predates current application date</t>
        </is>
      </c>
      <c r="L56" s="17" t="inlineStr">
        <is>
          <t>No Board remedy recommended from supplied screening record; retain file for source-population reconciliation.</t>
        </is>
      </c>
    </row>
    <row r="57" outlineLevel="1">
      <c r="A57" s="17" t="inlineStr"/>
      <c r="B57" s="17" t="inlineStr">
        <is>
          <t>CSV row 125 | SKP-2023-0124</t>
        </is>
      </c>
      <c r="C57" s="17" t="inlineStr">
        <is>
          <t>2023-05-19 | OFR-2023-0422</t>
        </is>
      </c>
      <c r="D57" s="17" t="inlineStr">
        <is>
          <t>WL-02100 | Michelle Pena</t>
        </is>
      </c>
      <c r="E57" s="17" t="inlineStr">
        <is>
          <t>Rank 1100 | current app 2024-01-21 | ACTIVE_WAITLIST</t>
        </is>
      </c>
      <c r="F57" s="17" t="inlineStr">
        <is>
          <t>VB-0504 / 36 ft | Vessbank</t>
        </is>
      </c>
      <c r="G57" s="17" t="inlineStr">
        <is>
          <t>preference-mismatch | Y / INSURANCE_DECL</t>
        </is>
      </c>
      <c r="H57" s="17" t="inlineStr">
        <is>
          <t>CSV says attachment present; underlying file not individually furnished</t>
        </is>
      </c>
      <c r="I57" s="17" t="inlineStr">
        <is>
          <t>No exception identified in screening</t>
        </is>
      </c>
      <c r="J57" s="17" t="inlineStr"/>
      <c r="K57" s="17" t="inlineStr">
        <is>
          <t>Predates current application date</t>
        </is>
      </c>
      <c r="L57" s="17" t="inlineStr">
        <is>
          <t>No Board remedy recommended from supplied screening record; retain file for source-population reconciliation.</t>
        </is>
      </c>
    </row>
    <row r="58" outlineLevel="1">
      <c r="A58" s="17" t="inlineStr"/>
      <c r="B58" s="17" t="inlineStr">
        <is>
          <t>CSV row 123 | SKP-2023-0122</t>
        </is>
      </c>
      <c r="C58" s="17" t="inlineStr">
        <is>
          <t>2023-05-20 | OFR-2023-0419</t>
        </is>
      </c>
      <c r="D58" s="17" t="inlineStr">
        <is>
          <t>WL-03816 | Brittany Lopez</t>
        </is>
      </c>
      <c r="E58" s="17" t="inlineStr">
        <is>
          <t>Rank 2816 | current app 2026-04-29 | ACTIVE_WAITLIST</t>
        </is>
      </c>
      <c r="F58" s="17" t="inlineStr">
        <is>
          <t>VB-0113 / 28 ft | Vessbank</t>
        </is>
      </c>
      <c r="G58" s="17" t="inlineStr">
        <is>
          <t>preference-mismatch | Y / OTHER_SUPPORT</t>
        </is>
      </c>
      <c r="H58" s="17" t="inlineStr">
        <is>
          <t>CSV says attachment present; underlying file not individually furnished</t>
        </is>
      </c>
      <c r="I58" s="17" t="inlineStr">
        <is>
          <t>No exception identified in screening</t>
        </is>
      </c>
      <c r="J58" s="17" t="inlineStr"/>
      <c r="K58" s="17" t="inlineStr">
        <is>
          <t>Predates current application date</t>
        </is>
      </c>
      <c r="L58" s="17" t="inlineStr">
        <is>
          <t>No Board remedy recommended from supplied screening record; retain file for source-population reconciliation.</t>
        </is>
      </c>
    </row>
    <row r="59" outlineLevel="1">
      <c r="A59" s="17" t="inlineStr"/>
      <c r="B59" s="17" t="inlineStr">
        <is>
          <t>CSV row 124 | SKP-2023-0123</t>
        </is>
      </c>
      <c r="C59" s="17" t="inlineStr">
        <is>
          <t>2023-05-21 | OFR-2023-0421</t>
        </is>
      </c>
      <c r="D59" s="17" t="inlineStr">
        <is>
          <t>WL-03712 | Charles Graham</t>
        </is>
      </c>
      <c r="E59" s="17" t="inlineStr">
        <is>
          <t>Rank 2712 | current app 2026-02-12 | RETAINER</t>
        </is>
      </c>
      <c r="F59" s="17" t="inlineStr">
        <is>
          <t>LP-0113 / 36 ft | Ledgport</t>
        </is>
      </c>
      <c r="G59" s="17" t="inlineStr">
        <is>
          <t>declined-prior-offer | Y / INSURANCE_DECL</t>
        </is>
      </c>
      <c r="H59" s="17" t="inlineStr">
        <is>
          <t>CSV says attachment present; underlying file not individually furnished</t>
        </is>
      </c>
      <c r="I59" s="17" t="inlineStr">
        <is>
          <t>No exception identified in screening</t>
        </is>
      </c>
      <c r="J59" s="17" t="inlineStr"/>
      <c r="K59" s="17" t="inlineStr">
        <is>
          <t>Predates current application date</t>
        </is>
      </c>
      <c r="L59" s="17" t="inlineStr">
        <is>
          <t>No Board remedy recommended from supplied screening record; retain file for source-population reconciliation.</t>
        </is>
      </c>
    </row>
    <row r="60" outlineLevel="1">
      <c r="A60" s="17" t="inlineStr"/>
      <c r="B60" s="17" t="inlineStr">
        <is>
          <t>CSV row 126 | SKP-2023-0125</t>
        </is>
      </c>
      <c r="C60" s="17" t="inlineStr">
        <is>
          <t>2023-05-21 | OFR-2023-0429</t>
        </is>
      </c>
      <c r="D60" s="17" t="inlineStr">
        <is>
          <t>WL-02777 | Carolyn Johnson</t>
        </is>
      </c>
      <c r="E60" s="17" t="inlineStr">
        <is>
          <t>Rank 1777 | current app 2024-11-22 | ACTIVE_WAITLIST</t>
        </is>
      </c>
      <c r="F60" s="17" t="inlineStr">
        <is>
          <t>LP-0402 / 28 ft | Ledgport</t>
        </is>
      </c>
      <c r="G60" s="17" t="inlineStr">
        <is>
          <t>vessel-fit | Y / OTHER_SUPPORT</t>
        </is>
      </c>
      <c r="H60" s="17" t="inlineStr">
        <is>
          <t>CSV says attachment present; underlying file not individually furnished</t>
        </is>
      </c>
      <c r="I60" s="17" t="inlineStr">
        <is>
          <t>No exception identified in screening</t>
        </is>
      </c>
      <c r="J60" s="17" t="inlineStr"/>
      <c r="K60" s="17" t="inlineStr">
        <is>
          <t>Predates current application date</t>
        </is>
      </c>
      <c r="L60" s="17" t="inlineStr">
        <is>
          <t>No Board remedy recommended from supplied screening record; retain file for source-population reconciliation.</t>
        </is>
      </c>
    </row>
    <row r="61" outlineLevel="1">
      <c r="A61" s="17" t="inlineStr"/>
      <c r="B61" s="17" t="inlineStr">
        <is>
          <t>CSV row 128 | SKP-2023-0127</t>
        </is>
      </c>
      <c r="C61" s="17" t="inlineStr">
        <is>
          <t>2023-05-21 | OFR-2023-0435</t>
        </is>
      </c>
      <c r="D61" s="17" t="inlineStr">
        <is>
          <t>WL-01420 | Patricia Wilson</t>
        </is>
      </c>
      <c r="E61" s="17" t="inlineStr">
        <is>
          <t>Rank 420 | current app 2023-01-25 | ACTIVE_WAITLIST</t>
        </is>
      </c>
      <c r="F61" s="17" t="inlineStr">
        <is>
          <t>SB-0405 / 45 ft | Salmonberry</t>
        </is>
      </c>
      <c r="G61" s="17" t="inlineStr">
        <is>
          <t>vessel-fit | Y / REPAIR_ESTIMATE</t>
        </is>
      </c>
      <c r="H61" s="17" t="inlineStr">
        <is>
          <t>CSV says attachment present; underlying file not individually furnished</t>
        </is>
      </c>
      <c r="I61" s="17" t="inlineStr">
        <is>
          <t>No exception identified in screening</t>
        </is>
      </c>
      <c r="J61" s="17" t="inlineStr"/>
      <c r="K61" s="17" t="inlineStr"/>
      <c r="L61" s="17" t="inlineStr">
        <is>
          <t>No Board remedy recommended from supplied screening record; retain file for source-population reconciliation.</t>
        </is>
      </c>
    </row>
    <row r="62" outlineLevel="1">
      <c r="A62" s="17" t="inlineStr"/>
      <c r="B62" s="17" t="inlineStr">
        <is>
          <t>CSV row 138 | SKP-2023-0137</t>
        </is>
      </c>
      <c r="C62" s="17" t="inlineStr">
        <is>
          <t>2023-06-07 | OFR-2023-0462</t>
        </is>
      </c>
      <c r="D62" s="17" t="inlineStr">
        <is>
          <t>WL-02535 | Shari Hess</t>
        </is>
      </c>
      <c r="E62" s="17" t="inlineStr">
        <is>
          <t>Rank 1535 | current app 2024-08-10 | ACTIVE_WAITLIST</t>
        </is>
      </c>
      <c r="F62" s="17" t="inlineStr">
        <is>
          <t>VB-0805 / 32 ft | Vessbank</t>
        </is>
      </c>
      <c r="G62" s="17" t="inlineStr">
        <is>
          <t>declined-prior-offer | Y / INSURANCE_DECL</t>
        </is>
      </c>
      <c r="H62" s="17" t="inlineStr">
        <is>
          <t>CSV says attachment present; underlying file not individually furnished</t>
        </is>
      </c>
      <c r="I62" s="17" t="inlineStr">
        <is>
          <t>No exception identified in screening</t>
        </is>
      </c>
      <c r="J62" s="17" t="inlineStr"/>
      <c r="K62" s="17" t="inlineStr">
        <is>
          <t>Predates current application date</t>
        </is>
      </c>
      <c r="L62" s="17" t="inlineStr">
        <is>
          <t>No Board remedy recommended from supplied screening record; retain file for source-population reconciliation.</t>
        </is>
      </c>
    </row>
    <row r="63" outlineLevel="1">
      <c r="A63" s="17" t="inlineStr"/>
      <c r="B63" s="17" t="inlineStr">
        <is>
          <t>CSV row 133 | SKP-2023-0132</t>
        </is>
      </c>
      <c r="C63" s="17" t="inlineStr">
        <is>
          <t>2023-06-08 | OFR-2023-0449</t>
        </is>
      </c>
      <c r="D63" s="17" t="inlineStr">
        <is>
          <t>WL-01193 | Mindy Medina</t>
        </is>
      </c>
      <c r="E63" s="17" t="inlineStr">
        <is>
          <t>Rank 193 | current app 2022-08-26 | ACTIVE_WAITLIST</t>
        </is>
      </c>
      <c r="F63" s="17" t="inlineStr">
        <is>
          <t>VB-0205 / 28 ft | Vessbank</t>
        </is>
      </c>
      <c r="G63" s="17" t="inlineStr">
        <is>
          <t>declined-prior-offer | Y / REPAIR_ESTIMATE</t>
        </is>
      </c>
      <c r="H63" s="17" t="inlineStr">
        <is>
          <t>CSV says attachment present; underlying file not individually furnished</t>
        </is>
      </c>
      <c r="I63" s="17" t="inlineStr">
        <is>
          <t>No exception identified in screening</t>
        </is>
      </c>
      <c r="J63" s="17" t="inlineStr"/>
      <c r="K63" s="17" t="inlineStr"/>
      <c r="L63" s="17" t="inlineStr">
        <is>
          <t>No Board remedy recommended from supplied screening record; retain file for source-population reconciliation.</t>
        </is>
      </c>
    </row>
    <row r="64" outlineLevel="1">
      <c r="A64" s="17" t="inlineStr"/>
      <c r="B64" s="17" t="inlineStr">
        <is>
          <t>CSV row 137 | SKP-2023-0136</t>
        </is>
      </c>
      <c r="C64" s="17" t="inlineStr">
        <is>
          <t>2023-06-08 | OFR-2023-0461</t>
        </is>
      </c>
      <c r="D64" s="17" t="inlineStr">
        <is>
          <t>WL-03758 | Sean Cherry</t>
        </is>
      </c>
      <c r="E64" s="17" t="inlineStr">
        <is>
          <t>Rank 2758 | current app 2026-03-17 | RETAINER</t>
        </is>
      </c>
      <c r="F64" s="17" t="inlineStr">
        <is>
          <t>LP-0121 / 32 ft | Ledgport</t>
        </is>
      </c>
      <c r="G64" s="17" t="inlineStr">
        <is>
          <t>preference-mismatch | Y / OTHER_SUPPORT</t>
        </is>
      </c>
      <c r="H64" s="17" t="inlineStr">
        <is>
          <t>CSV says attachment present; underlying file not individually furnished</t>
        </is>
      </c>
      <c r="I64" s="17" t="inlineStr">
        <is>
          <t>No exception identified in screening</t>
        </is>
      </c>
      <c r="J64" s="17" t="inlineStr"/>
      <c r="K64" s="17" t="inlineStr">
        <is>
          <t>Predates current application date</t>
        </is>
      </c>
      <c r="L64" s="17" t="inlineStr">
        <is>
          <t>No Board remedy recommended from supplied screening record; retain file for source-population reconciliation.</t>
        </is>
      </c>
    </row>
    <row r="65" outlineLevel="1">
      <c r="A65" s="17" t="inlineStr"/>
      <c r="B65" s="17" t="inlineStr">
        <is>
          <t>CSV row 140 | SKP-2023-0139</t>
        </is>
      </c>
      <c r="C65" s="17" t="inlineStr">
        <is>
          <t>2023-06-09 | OFR-2023-0469</t>
        </is>
      </c>
      <c r="D65" s="17" t="inlineStr">
        <is>
          <t>WL-01129 | Alexander Thompson</t>
        </is>
      </c>
      <c r="E65" s="17" t="inlineStr">
        <is>
          <t>Rank 129 | current app 2022-06-29 | ACTIVE_WAITLIST</t>
        </is>
      </c>
      <c r="F65" s="17" t="inlineStr">
        <is>
          <t>GW-0414 / 45 ft | Gullwing</t>
        </is>
      </c>
      <c r="G65" s="17" t="inlineStr">
        <is>
          <t>preference-mismatch | Y / WRITTEN_STATEMENT</t>
        </is>
      </c>
      <c r="H65" s="17" t="inlineStr">
        <is>
          <t>CSV says attachment present; underlying file not individually furnished</t>
        </is>
      </c>
      <c r="I65" s="17" t="inlineStr">
        <is>
          <t>No exception identified in screening</t>
        </is>
      </c>
      <c r="J65" s="17" t="inlineStr"/>
      <c r="K65" s="17" t="inlineStr"/>
      <c r="L65" s="17" t="inlineStr">
        <is>
          <t>No Board remedy recommended from supplied screening record; retain file for source-population reconciliation.</t>
        </is>
      </c>
    </row>
    <row r="66" outlineLevel="1">
      <c r="A66" s="17" t="inlineStr"/>
      <c r="B66" s="17" t="inlineStr">
        <is>
          <t>CSV row 134 | SKP-2023-0133</t>
        </is>
      </c>
      <c r="C66" s="17" t="inlineStr">
        <is>
          <t>2023-06-10 | OFR-2023-0457</t>
        </is>
      </c>
      <c r="D66" s="17" t="inlineStr">
        <is>
          <t>WL-01319 | Janice Roy</t>
        </is>
      </c>
      <c r="E66" s="17" t="inlineStr">
        <is>
          <t>Rank 319 | current app 2022-12-03 | ACTIVE_WAITLIST</t>
        </is>
      </c>
      <c r="F66" s="17" t="inlineStr">
        <is>
          <t>GW-1008 / 60 ft | Gullwing</t>
        </is>
      </c>
      <c r="G66" s="17" t="inlineStr">
        <is>
          <t>not-current | Y / INSURANCE_DECL</t>
        </is>
      </c>
      <c r="H66" s="17" t="inlineStr">
        <is>
          <t>CSV says attachment present; underlying file not individually furnished</t>
        </is>
      </c>
      <c r="I66" s="17" t="inlineStr">
        <is>
          <t>No exception identified in screening</t>
        </is>
      </c>
      <c r="J66" s="17" t="inlineStr"/>
      <c r="K66" s="17" t="inlineStr"/>
      <c r="L66" s="17" t="inlineStr">
        <is>
          <t>No Board remedy recommended from supplied screening record; retain file for source-population reconciliation.</t>
        </is>
      </c>
    </row>
    <row r="67" outlineLevel="1">
      <c r="A67" s="17" t="inlineStr"/>
      <c r="B67" s="17" t="inlineStr">
        <is>
          <t>CSV row 131 | SKP-2023-0130</t>
        </is>
      </c>
      <c r="C67" s="17" t="inlineStr">
        <is>
          <t>2023-06-12 | OFR-2023-0447</t>
        </is>
      </c>
      <c r="D67" s="17" t="inlineStr">
        <is>
          <t>WL-02924 | Heather Hall</t>
        </is>
      </c>
      <c r="E67" s="17" t="inlineStr">
        <is>
          <t>Rank 1924 | current app 2025-01-21 | ACTIVE_WAITLIST</t>
        </is>
      </c>
      <c r="F67" s="17" t="inlineStr">
        <is>
          <t>VB-0720 / 40 ft | Vessbank</t>
        </is>
      </c>
      <c r="G67" s="17" t="inlineStr">
        <is>
          <t>not-current | Y / INSURANCE_DECL</t>
        </is>
      </c>
      <c r="H67" s="17" t="inlineStr">
        <is>
          <t>CSV says attachment present; underlying file not individually furnished</t>
        </is>
      </c>
      <c r="I67" s="17" t="inlineStr">
        <is>
          <t>No exception identified in screening</t>
        </is>
      </c>
      <c r="J67" s="17" t="inlineStr"/>
      <c r="K67" s="17" t="inlineStr">
        <is>
          <t>Predates current application date</t>
        </is>
      </c>
      <c r="L67" s="17" t="inlineStr">
        <is>
          <t>No Board remedy recommended from supplied screening record; retain file for source-population reconciliation.</t>
        </is>
      </c>
    </row>
    <row r="68" outlineLevel="1">
      <c r="A68" s="17" t="inlineStr"/>
      <c r="B68" s="17" t="inlineStr">
        <is>
          <t>CSV row 141 | SKP-2023-0140</t>
        </is>
      </c>
      <c r="C68" s="17" t="inlineStr">
        <is>
          <t>2023-06-12 | OFR-2023-0473</t>
        </is>
      </c>
      <c r="D68" s="17" t="inlineStr">
        <is>
          <t>WL-03100 | Andrew Contreras</t>
        </is>
      </c>
      <c r="E68" s="17" t="inlineStr">
        <is>
          <t>Rank 2100 | current app 2025-04-08 | ACTIVE_WAITLIST</t>
        </is>
      </c>
      <c r="F68" s="17" t="inlineStr">
        <is>
          <t>EW-0622 / 70 ft | Eastwey</t>
        </is>
      </c>
      <c r="G68" s="17" t="inlineStr">
        <is>
          <t>vessel-fit | Y / REPAIR_ESTIMATE</t>
        </is>
      </c>
      <c r="H68" s="17" t="inlineStr">
        <is>
          <t>CSV says attachment present; underlying file not individually furnished</t>
        </is>
      </c>
      <c r="I68" s="17" t="inlineStr">
        <is>
          <t>No exception identified in screening</t>
        </is>
      </c>
      <c r="J68" s="17" t="inlineStr"/>
      <c r="K68" s="17" t="inlineStr">
        <is>
          <t>Predates current application date</t>
        </is>
      </c>
      <c r="L68" s="17" t="inlineStr">
        <is>
          <t>No Board remedy recommended from supplied screening record; retain file for source-population reconciliation.</t>
        </is>
      </c>
    </row>
    <row r="69" outlineLevel="1">
      <c r="A69" s="17" t="inlineStr"/>
      <c r="B69" s="17" t="inlineStr">
        <is>
          <t>CSV row 139 | SKP-2023-0138</t>
        </is>
      </c>
      <c r="C69" s="17" t="inlineStr">
        <is>
          <t>2023-06-13 | OFR-2023-0464</t>
        </is>
      </c>
      <c r="D69" s="17" t="inlineStr">
        <is>
          <t>WL-02663 | Susan Thompson</t>
        </is>
      </c>
      <c r="E69" s="17" t="inlineStr">
        <is>
          <t>Rank 1663 | current app 2024-10-04 | SUSPENDED</t>
        </is>
      </c>
      <c r="F69" s="17" t="inlineStr">
        <is>
          <t>GW-0810 / 70 ft | Gullwing</t>
        </is>
      </c>
      <c r="G69" s="17" t="inlineStr">
        <is>
          <t>vessel-fit | Y / INSURANCE_DECL</t>
        </is>
      </c>
      <c r="H69" s="17" t="inlineStr">
        <is>
          <t>CSV says attachment present; underlying file not individually furnished</t>
        </is>
      </c>
      <c r="I69" s="17" t="inlineStr">
        <is>
          <t>No exception identified in screening</t>
        </is>
      </c>
      <c r="J69" s="17" t="inlineStr"/>
      <c r="K69" s="17" t="inlineStr">
        <is>
          <t>Predates current application date</t>
        </is>
      </c>
      <c r="L69" s="17" t="inlineStr">
        <is>
          <t>No Board remedy recommended from supplied screening record; retain file for source-population reconciliation.</t>
        </is>
      </c>
    </row>
    <row r="70" outlineLevel="1">
      <c r="A70" s="17" t="inlineStr"/>
      <c r="B70" s="17" t="inlineStr">
        <is>
          <t>CSV row 135 | SKP-2023-0134</t>
        </is>
      </c>
      <c r="C70" s="17" t="inlineStr">
        <is>
          <t>2023-06-24 | OFR-2023-0458</t>
        </is>
      </c>
      <c r="D70" s="17" t="inlineStr">
        <is>
          <t>WL-02173 | Lisa Parker</t>
        </is>
      </c>
      <c r="E70" s="17" t="inlineStr">
        <is>
          <t>Rank 1173 | current app 2024-02-28 | ACTIVE_WAITLIST</t>
        </is>
      </c>
      <c r="F70" s="17" t="inlineStr">
        <is>
          <t>SB-0205 / 45 ft | Salmonberry</t>
        </is>
      </c>
      <c r="G70" s="17" t="inlineStr">
        <is>
          <t>vessel-fit | Y / WRITTEN_STATEMENT</t>
        </is>
      </c>
      <c r="H70" s="17" t="inlineStr">
        <is>
          <t>CSV says attachment present; underlying file not individually furnished</t>
        </is>
      </c>
      <c r="I70" s="17" t="inlineStr">
        <is>
          <t>No exception identified in screening</t>
        </is>
      </c>
      <c r="J70" s="17" t="inlineStr"/>
      <c r="K70" s="17" t="inlineStr">
        <is>
          <t>Predates current application date</t>
        </is>
      </c>
      <c r="L70" s="17" t="inlineStr">
        <is>
          <t>No Board remedy recommended from supplied screening record; retain file for source-population reconciliation.</t>
        </is>
      </c>
    </row>
    <row r="71" outlineLevel="1">
      <c r="A71" s="17" t="inlineStr"/>
      <c r="B71" s="17" t="inlineStr">
        <is>
          <t>CSV row 136 | SKP-2023-0135</t>
        </is>
      </c>
      <c r="C71" s="17" t="inlineStr">
        <is>
          <t>2023-06-25 | OFR-2023-0460</t>
        </is>
      </c>
      <c r="D71" s="17" t="inlineStr">
        <is>
          <t>WL-01568 | Rebecca Lozano</t>
        </is>
      </c>
      <c r="E71" s="17" t="inlineStr">
        <is>
          <t>Rank 568 | current app 2023-04-23 | ACTIVE_WAITLIST</t>
        </is>
      </c>
      <c r="F71" s="17" t="inlineStr">
        <is>
          <t>LP-0219 / 28 ft | Ledgport</t>
        </is>
      </c>
      <c r="G71" s="17" t="inlineStr">
        <is>
          <t>declined-prior-offer | Y / INSURANCE_DECL</t>
        </is>
      </c>
      <c r="H71" s="17" t="inlineStr">
        <is>
          <t>CSV says attachment present; underlying file not individually furnished</t>
        </is>
      </c>
      <c r="I71" s="17" t="inlineStr">
        <is>
          <t>No exception identified in screening</t>
        </is>
      </c>
      <c r="J71" s="17" t="inlineStr"/>
      <c r="K71" s="17" t="inlineStr"/>
      <c r="L71" s="17" t="inlineStr">
        <is>
          <t>No Board remedy recommended from supplied screening record; retain file for source-population reconciliation.</t>
        </is>
      </c>
    </row>
    <row r="72" outlineLevel="1">
      <c r="A72" s="17" t="inlineStr"/>
      <c r="B72" s="17" t="inlineStr">
        <is>
          <t>CSV row 144 | SKP-2023-0143</t>
        </is>
      </c>
      <c r="C72" s="17" t="inlineStr">
        <is>
          <t>2023-07-03 | OFR-2023-0481</t>
        </is>
      </c>
      <c r="D72" s="17" t="inlineStr">
        <is>
          <t>WL-01712 | Kevin Liu</t>
        </is>
      </c>
      <c r="E72" s="17" t="inlineStr">
        <is>
          <t>Rank 712 | current app 2023-07-13 | RETAINER</t>
        </is>
      </c>
      <c r="F72" s="17" t="inlineStr">
        <is>
          <t>GW-0118 / 60 ft | Gullwing</t>
        </is>
      </c>
      <c r="G72" s="17" t="inlineStr">
        <is>
          <t>vessel-fit | Y / INSURANCE_DECL</t>
        </is>
      </c>
      <c r="H72" s="17" t="inlineStr">
        <is>
          <t>CSV says attachment present; underlying file not individually furnished</t>
        </is>
      </c>
      <c r="I72" s="17" t="inlineStr">
        <is>
          <t>No exception identified in screening</t>
        </is>
      </c>
      <c r="J72" s="17" t="inlineStr"/>
      <c r="K72" s="17" t="inlineStr">
        <is>
          <t>Predates current application date</t>
        </is>
      </c>
      <c r="L72" s="17" t="inlineStr">
        <is>
          <t>No Board remedy recommended from supplied screening record; retain file for source-population reconciliation.</t>
        </is>
      </c>
    </row>
    <row r="73" outlineLevel="1">
      <c r="A73" s="17" t="inlineStr"/>
      <c r="B73" s="17" t="inlineStr">
        <is>
          <t>CSV row 151 | SKP-2023-0150</t>
        </is>
      </c>
      <c r="C73" s="17" t="inlineStr">
        <is>
          <t>2023-07-03 | OFR-2023-0501</t>
        </is>
      </c>
      <c r="D73" s="17" t="inlineStr">
        <is>
          <t>WL-01924 | Angela Alexander</t>
        </is>
      </c>
      <c r="E73" s="17" t="inlineStr">
        <is>
          <t>Rank 924 | current app 2023-10-31 | ACTIVE_WAITLIST</t>
        </is>
      </c>
      <c r="F73" s="17" t="inlineStr">
        <is>
          <t>EW-0111 / 28 ft | Eastwey</t>
        </is>
      </c>
      <c r="G73" s="17" t="inlineStr">
        <is>
          <t>vessel-fit | Y / WRITTEN_STATEMENT</t>
        </is>
      </c>
      <c r="H73" s="17" t="inlineStr">
        <is>
          <t>CSV says attachment present; underlying file not individually furnished</t>
        </is>
      </c>
      <c r="I73" s="17" t="inlineStr">
        <is>
          <t>No exception identified in screening</t>
        </is>
      </c>
      <c r="J73" s="17" t="inlineStr"/>
      <c r="K73" s="17" t="inlineStr">
        <is>
          <t>Predates current application date</t>
        </is>
      </c>
      <c r="L73" s="17" t="inlineStr">
        <is>
          <t>No Board remedy recommended from supplied screening record; retain file for source-population reconciliation.</t>
        </is>
      </c>
    </row>
    <row r="74" outlineLevel="1">
      <c r="A74" s="17" t="inlineStr"/>
      <c r="B74" s="17" t="inlineStr">
        <is>
          <t>CSV row 142 | SKP-2023-0141</t>
        </is>
      </c>
      <c r="C74" s="17" t="inlineStr">
        <is>
          <t>2023-07-04 | OFR-2023-0478</t>
        </is>
      </c>
      <c r="D74" s="17" t="inlineStr">
        <is>
          <t>WL-03857 | Catherine Davis</t>
        </is>
      </c>
      <c r="E74" s="17" t="inlineStr">
        <is>
          <t>Rank 2857 | current app 2026-06-03 | RETAINER</t>
        </is>
      </c>
      <c r="F74" s="17" t="inlineStr">
        <is>
          <t>SB-0602 / 40 ft | Salmonberry</t>
        </is>
      </c>
      <c r="G74" s="17" t="inlineStr">
        <is>
          <t>not-current | Y / OTHER_SUPPORT</t>
        </is>
      </c>
      <c r="H74" s="17" t="inlineStr">
        <is>
          <t>CSV says attachment present; underlying file not individually furnished</t>
        </is>
      </c>
      <c r="I74" s="17" t="inlineStr">
        <is>
          <t>No exception identified in screening</t>
        </is>
      </c>
      <c r="J74" s="17" t="inlineStr"/>
      <c r="K74" s="17" t="inlineStr">
        <is>
          <t>Predates current application date</t>
        </is>
      </c>
      <c r="L74" s="17" t="inlineStr">
        <is>
          <t>No Board remedy recommended from supplied screening record; retain file for source-population reconciliation.</t>
        </is>
      </c>
    </row>
    <row r="75" outlineLevel="1">
      <c r="A75" s="17" t="inlineStr"/>
      <c r="B75" s="17" t="inlineStr">
        <is>
          <t>CSV row 145 | SKP-2023-0144</t>
        </is>
      </c>
      <c r="C75" s="17" t="inlineStr">
        <is>
          <t>2023-07-07 | OFR-2023-0483</t>
        </is>
      </c>
      <c r="D75" s="17" t="inlineStr">
        <is>
          <t>WL-02160 | Alexander Lawrence</t>
        </is>
      </c>
      <c r="E75" s="17" t="inlineStr">
        <is>
          <t>Rank 1160 | current app 2024-02-18 | ACTIVE_WAITLIST</t>
        </is>
      </c>
      <c r="F75" s="17" t="inlineStr">
        <is>
          <t>LP-0520 / 32 ft | Ledgport</t>
        </is>
      </c>
      <c r="G75" s="17" t="inlineStr">
        <is>
          <t>not-current | Y / REPAIR_ESTIMATE</t>
        </is>
      </c>
      <c r="H75" s="17" t="inlineStr">
        <is>
          <t>CSV says attachment present; underlying file not individually furnished</t>
        </is>
      </c>
      <c r="I75" s="17" t="inlineStr">
        <is>
          <t>No exception identified in screening</t>
        </is>
      </c>
      <c r="J75" s="17" t="inlineStr"/>
      <c r="K75" s="17" t="inlineStr">
        <is>
          <t>Predates current application date</t>
        </is>
      </c>
      <c r="L75" s="17" t="inlineStr">
        <is>
          <t>No Board remedy recommended from supplied screening record; retain file for source-population reconciliation.</t>
        </is>
      </c>
    </row>
    <row r="76" outlineLevel="1">
      <c r="A76" s="17" t="inlineStr"/>
      <c r="B76" s="17" t="inlineStr">
        <is>
          <t>CSV row 146 | SKP-2023-0145</t>
        </is>
      </c>
      <c r="C76" s="17" t="inlineStr">
        <is>
          <t>2023-07-09 | OFR-2023-0485</t>
        </is>
      </c>
      <c r="D76" s="17" t="inlineStr">
        <is>
          <t>WL-01242 | Melissa Villanueva</t>
        </is>
      </c>
      <c r="E76" s="17" t="inlineStr">
        <is>
          <t>Rank 242 | current app 2022-10-04 | ACTIVE_WAITLIST</t>
        </is>
      </c>
      <c r="F76" s="17" t="inlineStr">
        <is>
          <t>SB-0314 / 70 ft | Salmonberry</t>
        </is>
      </c>
      <c r="G76" s="17" t="inlineStr">
        <is>
          <t>vessel-fit | Y / INSURANCE_DECL</t>
        </is>
      </c>
      <c r="H76" s="17" t="inlineStr">
        <is>
          <t>CSV says attachment present; underlying file not individually furnished</t>
        </is>
      </c>
      <c r="I76" s="17" t="inlineStr">
        <is>
          <t>No exception identified in screening</t>
        </is>
      </c>
      <c r="J76" s="17" t="inlineStr"/>
      <c r="K76" s="17" t="inlineStr"/>
      <c r="L76" s="17" t="inlineStr">
        <is>
          <t>No Board remedy recommended from supplied screening record; retain file for source-population reconciliation.</t>
        </is>
      </c>
    </row>
    <row r="77" outlineLevel="1">
      <c r="A77" s="17" t="inlineStr"/>
      <c r="B77" s="17" t="inlineStr">
        <is>
          <t>CSV row 149 | SKP-2023-0148</t>
        </is>
      </c>
      <c r="C77" s="17" t="inlineStr">
        <is>
          <t>2023-07-11 | OFR-2023-0490</t>
        </is>
      </c>
      <c r="D77" s="17" t="inlineStr">
        <is>
          <t>WL-02206 | Mary Morris</t>
        </is>
      </c>
      <c r="E77" s="17" t="inlineStr">
        <is>
          <t>Rank 1206 | current app 2024-03-15 | ACTIVE_WAITLIST</t>
        </is>
      </c>
      <c r="F77" s="17" t="inlineStr">
        <is>
          <t>GW-0719 / 50 ft | Gullwing</t>
        </is>
      </c>
      <c r="G77" s="17" t="inlineStr">
        <is>
          <t>vessel-fit | Y / INSURANCE_DECL</t>
        </is>
      </c>
      <c r="H77" s="17" t="inlineStr">
        <is>
          <t>CSV says attachment present; underlying file not individually furnished</t>
        </is>
      </c>
      <c r="I77" s="17" t="inlineStr">
        <is>
          <t>No exception identified in screening</t>
        </is>
      </c>
      <c r="J77" s="17" t="inlineStr"/>
      <c r="K77" s="17" t="inlineStr">
        <is>
          <t>Predates current application date</t>
        </is>
      </c>
      <c r="L77" s="17" t="inlineStr">
        <is>
          <t>No Board remedy recommended from supplied screening record; retain file for source-population reconciliation.</t>
        </is>
      </c>
    </row>
    <row r="78" outlineLevel="1">
      <c r="A78" s="17" t="inlineStr"/>
      <c r="B78" s="17" t="inlineStr">
        <is>
          <t>CSV row 143 | SKP-2023-0142</t>
        </is>
      </c>
      <c r="C78" s="17" t="inlineStr">
        <is>
          <t>2023-07-15 | OFR-2023-0479</t>
        </is>
      </c>
      <c r="D78" s="17" t="inlineStr">
        <is>
          <t>WL-01054 | Cynthia Smith</t>
        </is>
      </c>
      <c r="E78" s="17" t="inlineStr">
        <is>
          <t>Rank 54 | current app 2022-04-18 | ACTIVE_WAITLIST</t>
        </is>
      </c>
      <c r="F78" s="17" t="inlineStr">
        <is>
          <t>VB-0620 / 40 ft | Vessbank</t>
        </is>
      </c>
      <c r="G78" s="17" t="inlineStr">
        <is>
          <t>vessel-fit | Y / INSURANCE_DECL</t>
        </is>
      </c>
      <c r="H78" s="17" t="inlineStr">
        <is>
          <t>CSV says attachment present; underlying file not individually furnished</t>
        </is>
      </c>
      <c r="I78" s="17" t="inlineStr">
        <is>
          <t>No exception identified in screening</t>
        </is>
      </c>
      <c r="J78" s="17" t="inlineStr"/>
      <c r="K78" s="17" t="inlineStr"/>
      <c r="L78" s="17" t="inlineStr">
        <is>
          <t>No Board remedy recommended from supplied screening record; retain file for source-population reconciliation.</t>
        </is>
      </c>
    </row>
    <row r="79" outlineLevel="1">
      <c r="A79" s="17" t="inlineStr"/>
      <c r="B79" s="17" t="inlineStr">
        <is>
          <t>CSV row 153 | SKP-2023-0152</t>
        </is>
      </c>
      <c r="C79" s="17" t="inlineStr">
        <is>
          <t>2023-07-20 | OFR-2023-0505</t>
        </is>
      </c>
      <c r="D79" s="17" t="inlineStr">
        <is>
          <t>WL-03411 | Miguel Boyd</t>
        </is>
      </c>
      <c r="E79" s="17" t="inlineStr">
        <is>
          <t>Rank 2411 | current app 2025-09-01 | ACTIVE_WAITLIST</t>
        </is>
      </c>
      <c r="F79" s="17" t="inlineStr">
        <is>
          <t>VB-0719 / 32 ft | Vessbank</t>
        </is>
      </c>
      <c r="G79" s="17" t="inlineStr">
        <is>
          <t>preference-mismatch | Y / WRITTEN_STATEMENT</t>
        </is>
      </c>
      <c r="H79" s="17" t="inlineStr">
        <is>
          <t>CSV says attachment present; underlying file not individually furnished</t>
        </is>
      </c>
      <c r="I79" s="17" t="inlineStr">
        <is>
          <t>No exception identified in screening</t>
        </is>
      </c>
      <c r="J79" s="17" t="inlineStr"/>
      <c r="K79" s="17" t="inlineStr">
        <is>
          <t>Predates current application date</t>
        </is>
      </c>
      <c r="L79" s="17" t="inlineStr">
        <is>
          <t>No Board remedy recommended from supplied screening record; retain file for source-population reconciliation.</t>
        </is>
      </c>
    </row>
    <row r="80" outlineLevel="1">
      <c r="A80" s="17" t="inlineStr"/>
      <c r="B80" s="17" t="inlineStr">
        <is>
          <t>CSV row 147 | SKP-2023-0146</t>
        </is>
      </c>
      <c r="C80" s="17" t="inlineStr">
        <is>
          <t>2023-07-24 | OFR-2023-0486</t>
        </is>
      </c>
      <c r="D80" s="17" t="inlineStr">
        <is>
          <t>WL-02199 | Patricia Perez</t>
        </is>
      </c>
      <c r="E80" s="17" t="inlineStr">
        <is>
          <t>Rank 1199 | current app 2024-03-12 | EXPIRED</t>
        </is>
      </c>
      <c r="F80" s="17" t="inlineStr">
        <is>
          <t>GW-1003 / 24 ft | Gullwing</t>
        </is>
      </c>
      <c r="G80" s="17" t="inlineStr">
        <is>
          <t>not-current | Y / INSURANCE_DECL</t>
        </is>
      </c>
      <c r="H80" s="17" t="inlineStr">
        <is>
          <t>CSV says attachment present; underlying file not individually furnished</t>
        </is>
      </c>
      <c r="I80" s="17" t="inlineStr">
        <is>
          <t>No exception identified in screening</t>
        </is>
      </c>
      <c r="J80" s="17" t="inlineStr"/>
      <c r="K80" s="17" t="inlineStr">
        <is>
          <t>Predates current application date</t>
        </is>
      </c>
      <c r="L80" s="17" t="inlineStr">
        <is>
          <t>No Board remedy recommended from supplied screening record; retain file for source-population reconciliation.</t>
        </is>
      </c>
    </row>
    <row r="81" outlineLevel="1">
      <c r="A81" s="17" t="inlineStr"/>
      <c r="B81" s="17" t="inlineStr">
        <is>
          <t>CSV row 148 | SKP-2023-0147</t>
        </is>
      </c>
      <c r="C81" s="17" t="inlineStr">
        <is>
          <t>2023-07-26 | OFR-2023-0489</t>
        </is>
      </c>
      <c r="D81" s="17" t="inlineStr">
        <is>
          <t>WL-01248 | Michael Gray</t>
        </is>
      </c>
      <c r="E81" s="17" t="inlineStr">
        <is>
          <t>Rank 248 | current app 2022-10-09 | ACTIVE_WAITLIST</t>
        </is>
      </c>
      <c r="F81" s="17" t="inlineStr">
        <is>
          <t>SB-0915 / 32 ft | Salmonberry</t>
        </is>
      </c>
      <c r="G81" s="17" t="inlineStr">
        <is>
          <t>preference-mismatch | Y / INSURANCE_DECL</t>
        </is>
      </c>
      <c r="H81" s="17" t="inlineStr">
        <is>
          <t>CSV says attachment present; underlying file not individually furnished</t>
        </is>
      </c>
      <c r="I81" s="17" t="inlineStr">
        <is>
          <t>No exception identified in screening</t>
        </is>
      </c>
      <c r="J81" s="17" t="inlineStr"/>
      <c r="K81" s="17" t="inlineStr"/>
      <c r="L81" s="17" t="inlineStr">
        <is>
          <t>No Board remedy recommended from supplied screening record; retain file for source-population reconciliation.</t>
        </is>
      </c>
    </row>
    <row r="82" outlineLevel="1">
      <c r="A82" s="17" t="inlineStr"/>
      <c r="B82" s="17" t="inlineStr">
        <is>
          <t>CSV row 150 | SKP-2023-0149</t>
        </is>
      </c>
      <c r="C82" s="17" t="inlineStr">
        <is>
          <t>2023-07-26 | OFR-2023-0495</t>
        </is>
      </c>
      <c r="D82" s="17" t="inlineStr">
        <is>
          <t>WL-02706 | Allison Fisher</t>
        </is>
      </c>
      <c r="E82" s="17" t="inlineStr">
        <is>
          <t>Rank 1706 | current app 2024-10-25 | SUSPENDED</t>
        </is>
      </c>
      <c r="F82" s="17" t="inlineStr">
        <is>
          <t>LP-0104 / 24 ft | Ledgport</t>
        </is>
      </c>
      <c r="G82" s="17" t="inlineStr">
        <is>
          <t>declined-prior-offer | Y / OTHER_SUPPORT</t>
        </is>
      </c>
      <c r="H82" s="17" t="inlineStr">
        <is>
          <t>CSV says attachment present; underlying file not individually furnished</t>
        </is>
      </c>
      <c r="I82" s="17" t="inlineStr">
        <is>
          <t>No exception identified in screening</t>
        </is>
      </c>
      <c r="J82" s="17" t="inlineStr"/>
      <c r="K82" s="17" t="inlineStr">
        <is>
          <t>Predates current application date</t>
        </is>
      </c>
      <c r="L82" s="17" t="inlineStr">
        <is>
          <t>No Board remedy recommended from supplied screening record; retain file for source-population reconciliation.</t>
        </is>
      </c>
    </row>
    <row r="83" outlineLevel="1">
      <c r="A83" s="17" t="inlineStr"/>
      <c r="B83" s="17" t="inlineStr">
        <is>
          <t>CSV row 152 | SKP-2023-0151</t>
        </is>
      </c>
      <c r="C83" s="17" t="inlineStr">
        <is>
          <t>2023-07-27 | OFR-2023-0504</t>
        </is>
      </c>
      <c r="D83" s="17" t="inlineStr">
        <is>
          <t>WL-03652 | Lisa Strickland</t>
        </is>
      </c>
      <c r="E83" s="17" t="inlineStr">
        <is>
          <t>Rank 2652 | current app 2026-01-11 | ACTIVE_WAITLIST</t>
        </is>
      </c>
      <c r="F83" s="17" t="inlineStr">
        <is>
          <t>GW-0301 / 24 ft | Gullwing</t>
        </is>
      </c>
      <c r="G83" s="17" t="inlineStr">
        <is>
          <t>vessel-fit | Y / REPAIR_ESTIMATE</t>
        </is>
      </c>
      <c r="H83" s="17" t="inlineStr">
        <is>
          <t>CSV says attachment present; underlying file not individually furnished</t>
        </is>
      </c>
      <c r="I83" s="17" t="inlineStr">
        <is>
          <t>No exception identified in screening</t>
        </is>
      </c>
      <c r="J83" s="17" t="inlineStr"/>
      <c r="K83" s="17" t="inlineStr">
        <is>
          <t>Predates current application date</t>
        </is>
      </c>
      <c r="L83" s="17" t="inlineStr">
        <is>
          <t>No Board remedy recommended from supplied screening record; retain file for source-population reconciliation.</t>
        </is>
      </c>
    </row>
    <row r="84" outlineLevel="1">
      <c r="A84" s="17" t="inlineStr"/>
      <c r="B84" s="17" t="inlineStr">
        <is>
          <t>CSV row 157 | SKP-2023-0156</t>
        </is>
      </c>
      <c r="C84" s="17" t="inlineStr">
        <is>
          <t>2023-08-02 | OFR-2023-0518</t>
        </is>
      </c>
      <c r="D84" s="17" t="inlineStr">
        <is>
          <t>WL-02603 | Sharon Lopez</t>
        </is>
      </c>
      <c r="E84" s="17" t="inlineStr">
        <is>
          <t>Rank 1603 | current app 2024-09-09 | ACTIVE_WAITLIST</t>
        </is>
      </c>
      <c r="F84" s="17" t="inlineStr">
        <is>
          <t>GW-0611 / 24 ft | Gullwing</t>
        </is>
      </c>
      <c r="G84" s="17" t="inlineStr">
        <is>
          <t>declined-prior-offer | Y / WRITTEN_STATEMENT</t>
        </is>
      </c>
      <c r="H84" s="17" t="inlineStr">
        <is>
          <t>CSV says attachment present; underlying file not individually furnished</t>
        </is>
      </c>
      <c r="I84" s="17" t="inlineStr">
        <is>
          <t>No exception identified in screening</t>
        </is>
      </c>
      <c r="J84" s="17" t="inlineStr"/>
      <c r="K84" s="17" t="inlineStr">
        <is>
          <t>Predates current application date</t>
        </is>
      </c>
      <c r="L84" s="17" t="inlineStr">
        <is>
          <t>No Board remedy recommended from supplied screening record; retain file for source-population reconciliation.</t>
        </is>
      </c>
    </row>
    <row r="85" outlineLevel="1">
      <c r="A85" s="17" t="inlineStr"/>
      <c r="B85" s="17" t="inlineStr">
        <is>
          <t>CSV row 161 | SKP-2023-0160</t>
        </is>
      </c>
      <c r="C85" s="17" t="inlineStr">
        <is>
          <t>2023-08-05 | OFR-2023-0530</t>
        </is>
      </c>
      <c r="D85" s="17" t="inlineStr">
        <is>
          <t>WL-01367 | Stephen Golden</t>
        </is>
      </c>
      <c r="E85" s="17" t="inlineStr">
        <is>
          <t>Rank 367 | current app 2022-12-26 | ACTIVE_WAITLIST</t>
        </is>
      </c>
      <c r="F85" s="17" t="inlineStr">
        <is>
          <t>GW-0703 / 32 ft | Gullwing</t>
        </is>
      </c>
      <c r="G85" s="17" t="inlineStr">
        <is>
          <t>vessel-fit | Y / WRITTEN_STATEMENT</t>
        </is>
      </c>
      <c r="H85" s="17" t="inlineStr">
        <is>
          <t>CSV says attachment present; underlying file not individually furnished</t>
        </is>
      </c>
      <c r="I85" s="17" t="inlineStr">
        <is>
          <t>No exception identified in screening</t>
        </is>
      </c>
      <c r="J85" s="17" t="inlineStr"/>
      <c r="K85" s="17" t="inlineStr"/>
      <c r="L85" s="17" t="inlineStr">
        <is>
          <t>No Board remedy recommended from supplied screening record; retain file for source-population reconciliation.</t>
        </is>
      </c>
    </row>
    <row r="86" outlineLevel="1">
      <c r="A86" s="17" t="inlineStr"/>
      <c r="B86" s="17" t="inlineStr">
        <is>
          <t>CSV row 154 | SKP-2023-0153</t>
        </is>
      </c>
      <c r="C86" s="17" t="inlineStr">
        <is>
          <t>2023-08-06 | OFR-2023-0508</t>
        </is>
      </c>
      <c r="D86" s="17" t="inlineStr">
        <is>
          <t>WL-01029 | John Wang</t>
        </is>
      </c>
      <c r="E86" s="17" t="inlineStr">
        <is>
          <t>Rank 29 | current app 2022-03-18 | ACTIVE_WAITLIST</t>
        </is>
      </c>
      <c r="F86" s="17" t="inlineStr">
        <is>
          <t>EW-0119 / 32 ft | Eastwey</t>
        </is>
      </c>
      <c r="G86" s="17" t="inlineStr">
        <is>
          <t>preference-mismatch | Y / INSURANCE_DECL</t>
        </is>
      </c>
      <c r="H86" s="17" t="inlineStr">
        <is>
          <t>CSV says attachment present; underlying file not individually furnished</t>
        </is>
      </c>
      <c r="I86" s="17" t="inlineStr">
        <is>
          <t>No exception identified in screening</t>
        </is>
      </c>
      <c r="J86" s="17" t="inlineStr"/>
      <c r="K86" s="17" t="inlineStr"/>
      <c r="L86" s="17" t="inlineStr">
        <is>
          <t>No Board remedy recommended from supplied screening record; retain file for source-population reconciliation.</t>
        </is>
      </c>
    </row>
    <row r="87" outlineLevel="1">
      <c r="A87" s="17" t="inlineStr"/>
      <c r="B87" s="17" t="inlineStr">
        <is>
          <t>CSV row 156 | SKP-2023-0155</t>
        </is>
      </c>
      <c r="C87" s="17" t="inlineStr">
        <is>
          <t>2023-08-09 | OFR-2023-0517</t>
        </is>
      </c>
      <c r="D87" s="17" t="inlineStr">
        <is>
          <t>WL-01297 | Alan Harris</t>
        </is>
      </c>
      <c r="E87" s="17" t="inlineStr">
        <is>
          <t>Rank 297 | current app 2022-11-16 | ACTIVE_WAITLIST</t>
        </is>
      </c>
      <c r="F87" s="17" t="inlineStr">
        <is>
          <t>VB-0512 / 28 ft | Vessbank</t>
        </is>
      </c>
      <c r="G87" s="17" t="inlineStr">
        <is>
          <t>not-current | Y / INSURANCE_DECL</t>
        </is>
      </c>
      <c r="H87" s="17" t="inlineStr">
        <is>
          <t>CSV says attachment present; underlying file not individually furnished</t>
        </is>
      </c>
      <c r="I87" s="17" t="inlineStr">
        <is>
          <t>No exception identified in screening</t>
        </is>
      </c>
      <c r="J87" s="17" t="inlineStr"/>
      <c r="K87" s="17" t="inlineStr"/>
      <c r="L87" s="17" t="inlineStr">
        <is>
          <t>No Board remedy recommended from supplied screening record; retain file for source-population reconciliation.</t>
        </is>
      </c>
    </row>
    <row r="88" outlineLevel="1">
      <c r="A88" s="17" t="inlineStr"/>
      <c r="B88" s="17" t="inlineStr">
        <is>
          <t>CSV row 160 | SKP-2023-0159</t>
        </is>
      </c>
      <c r="C88" s="17" t="inlineStr">
        <is>
          <t>2023-08-10 | OFR-2023-0528</t>
        </is>
      </c>
      <c r="D88" s="17" t="inlineStr">
        <is>
          <t>WL-01360 | Desiree Sullivan</t>
        </is>
      </c>
      <c r="E88" s="17" t="inlineStr">
        <is>
          <t>Rank 360 | current app 2022-12-22 | ACTIVE_WAITLIST</t>
        </is>
      </c>
      <c r="F88" s="17" t="inlineStr">
        <is>
          <t>LP-0516 / 40 ft | Ledgport</t>
        </is>
      </c>
      <c r="G88" s="17" t="inlineStr">
        <is>
          <t>vessel-fit | Y / OTHER_SUPPORT</t>
        </is>
      </c>
      <c r="H88" s="17" t="inlineStr">
        <is>
          <t>CSV says attachment present; underlying file not individually furnished</t>
        </is>
      </c>
      <c r="I88" s="17" t="inlineStr">
        <is>
          <t>No exception identified in screening</t>
        </is>
      </c>
      <c r="J88" s="17" t="inlineStr"/>
      <c r="K88" s="17" t="inlineStr"/>
      <c r="L88" s="17" t="inlineStr">
        <is>
          <t>No Board remedy recommended from supplied screening record; retain file for source-population reconciliation.</t>
        </is>
      </c>
    </row>
    <row r="89" outlineLevel="1">
      <c r="A89" s="17" t="inlineStr"/>
      <c r="B89" s="17" t="inlineStr">
        <is>
          <t>CSV row 155 | SKP-2023-0154</t>
        </is>
      </c>
      <c r="C89" s="17" t="inlineStr">
        <is>
          <t>2023-08-16 | OFR-2023-0515</t>
        </is>
      </c>
      <c r="D89" s="17" t="inlineStr">
        <is>
          <t>WL-01847 | Amy Carlson</t>
        </is>
      </c>
      <c r="E89" s="17" t="inlineStr">
        <is>
          <t>Rank 847 | current app 2023-09-23 | RETAINER</t>
        </is>
      </c>
      <c r="F89" s="17" t="inlineStr">
        <is>
          <t>EW-0110 / 28 ft | Eastwey</t>
        </is>
      </c>
      <c r="G89" s="17" t="inlineStr">
        <is>
          <t>not-current | Y / OTHER_SUPPORT</t>
        </is>
      </c>
      <c r="H89" s="17" t="inlineStr">
        <is>
          <t>CSV says attachment present; underlying file not individually furnished</t>
        </is>
      </c>
      <c r="I89" s="17" t="inlineStr">
        <is>
          <t>No exception identified in screening</t>
        </is>
      </c>
      <c r="J89" s="17" t="inlineStr"/>
      <c r="K89" s="17" t="inlineStr">
        <is>
          <t>Predates current application date</t>
        </is>
      </c>
      <c r="L89" s="17" t="inlineStr">
        <is>
          <t>No Board remedy recommended from supplied screening record; retain file for source-population reconciliation.</t>
        </is>
      </c>
    </row>
    <row r="90" outlineLevel="1">
      <c r="A90" s="17" t="inlineStr"/>
      <c r="B90" s="17" t="inlineStr">
        <is>
          <t>CSV row 162 | SKP-2023-0161</t>
        </is>
      </c>
      <c r="C90" s="17" t="inlineStr">
        <is>
          <t>2023-08-18 | OFR-2023-0533</t>
        </is>
      </c>
      <c r="D90" s="17" t="inlineStr">
        <is>
          <t>WL-02793 | David Franco</t>
        </is>
      </c>
      <c r="E90" s="17" t="inlineStr">
        <is>
          <t>Rank 1793 | current app 2024-11-27 | ACTIVE_WAITLIST</t>
        </is>
      </c>
      <c r="F90" s="17" t="inlineStr">
        <is>
          <t>EW-0814 / 40 ft | Eastwey</t>
        </is>
      </c>
      <c r="G90" s="17" t="inlineStr">
        <is>
          <t>vessel-fit | Y / WRITTEN_STATEMENT</t>
        </is>
      </c>
      <c r="H90" s="17" t="inlineStr">
        <is>
          <t>CSV says attachment present; underlying file not individually furnished</t>
        </is>
      </c>
      <c r="I90" s="17" t="inlineStr">
        <is>
          <t>No exception identified in screening</t>
        </is>
      </c>
      <c r="J90" s="17" t="inlineStr"/>
      <c r="K90" s="17" t="inlineStr">
        <is>
          <t>Predates current application date</t>
        </is>
      </c>
      <c r="L90" s="17" t="inlineStr">
        <is>
          <t>No Board remedy recommended from supplied screening record; retain file for source-population reconciliation.</t>
        </is>
      </c>
    </row>
    <row r="91" outlineLevel="1">
      <c r="A91" s="17" t="inlineStr"/>
      <c r="B91" s="17" t="inlineStr">
        <is>
          <t>CSV row 158 | SKP-2023-0157</t>
        </is>
      </c>
      <c r="C91" s="17" t="inlineStr">
        <is>
          <t>2023-08-22 | OFR-2023-0524</t>
        </is>
      </c>
      <c r="D91" s="17" t="inlineStr">
        <is>
          <t>WL-03153 | Derrick Webb</t>
        </is>
      </c>
      <c r="E91" s="17" t="inlineStr">
        <is>
          <t>Rank 2153 | current app 2025-05-04 | ACTIVE_WAITLIST</t>
        </is>
      </c>
      <c r="F91" s="17" t="inlineStr">
        <is>
          <t>EW-0213 / 28 ft | Eastwey</t>
        </is>
      </c>
      <c r="G91" s="17" t="inlineStr">
        <is>
          <t>preference-mismatch | Y / REPAIR_ESTIMATE</t>
        </is>
      </c>
      <c r="H91" s="17" t="inlineStr">
        <is>
          <t>CSV says attachment present; underlying file not individually furnished</t>
        </is>
      </c>
      <c r="I91" s="17" t="inlineStr">
        <is>
          <t>No exception identified in screening</t>
        </is>
      </c>
      <c r="J91" s="17" t="inlineStr"/>
      <c r="K91" s="17" t="inlineStr">
        <is>
          <t>Predates current application date</t>
        </is>
      </c>
      <c r="L91" s="17" t="inlineStr">
        <is>
          <t>No Board remedy recommended from supplied screening record; retain file for source-population reconciliation.</t>
        </is>
      </c>
    </row>
    <row r="92" outlineLevel="1">
      <c r="A92" s="17" t="inlineStr"/>
      <c r="B92" s="17" t="inlineStr">
        <is>
          <t>CSV row 159 | SKP-2023-0158</t>
        </is>
      </c>
      <c r="C92" s="17" t="inlineStr">
        <is>
          <t>2023-08-22 | OFR-2023-0526</t>
        </is>
      </c>
      <c r="D92" s="17" t="inlineStr">
        <is>
          <t>WL-02650 | Alex White</t>
        </is>
      </c>
      <c r="E92" s="17" t="inlineStr">
        <is>
          <t>Rank 1650 | current app 2024-09-28 | ACTIVE_WAITLIST</t>
        </is>
      </c>
      <c r="F92" s="17" t="inlineStr">
        <is>
          <t>EW-0310 / 24 ft | Eastwey</t>
        </is>
      </c>
      <c r="G92" s="17" t="inlineStr">
        <is>
          <t>declined-prior-offer | Y / OTHER_SUPPORT</t>
        </is>
      </c>
      <c r="H92" s="17" t="inlineStr">
        <is>
          <t>CSV says attachment present; underlying file not individually furnished</t>
        </is>
      </c>
      <c r="I92" s="17" t="inlineStr">
        <is>
          <t>No exception identified in screening</t>
        </is>
      </c>
      <c r="J92" s="17" t="inlineStr"/>
      <c r="K92" s="17" t="inlineStr">
        <is>
          <t>Predates current application date</t>
        </is>
      </c>
      <c r="L92" s="17" t="inlineStr">
        <is>
          <t>No Board remedy recommended from supplied screening record; retain file for source-population reconciliation.</t>
        </is>
      </c>
    </row>
    <row r="93" outlineLevel="1">
      <c r="A93" s="17" t="inlineStr"/>
      <c r="B93" s="17" t="inlineStr">
        <is>
          <t>CSV row 174 | SKP-2023-0173</t>
        </is>
      </c>
      <c r="C93" s="17" t="inlineStr">
        <is>
          <t>2023-09-03 | OFR-2023-0577</t>
        </is>
      </c>
      <c r="D93" s="17" t="inlineStr">
        <is>
          <t>WL-03715 | Aaron Lee</t>
        </is>
      </c>
      <c r="E93" s="17" t="inlineStr">
        <is>
          <t>Rank 2715 | current app 2026-02-16 | ACTIVE_WAITLIST</t>
        </is>
      </c>
      <c r="F93" s="17" t="inlineStr">
        <is>
          <t>VB-0705 / 28 ft | Vessbank</t>
        </is>
      </c>
      <c r="G93" s="17" t="inlineStr">
        <is>
          <t>vessel-fit | Y / WRITTEN_STATEMENT</t>
        </is>
      </c>
      <c r="H93" s="17" t="inlineStr">
        <is>
          <t>CSV says attachment present; underlying file not individually furnished</t>
        </is>
      </c>
      <c r="I93" s="17" t="inlineStr">
        <is>
          <t>No exception identified in screening</t>
        </is>
      </c>
      <c r="J93" s="17" t="inlineStr"/>
      <c r="K93" s="17" t="inlineStr">
        <is>
          <t>Predates current application date</t>
        </is>
      </c>
      <c r="L93" s="17" t="inlineStr">
        <is>
          <t>No Board remedy recommended from supplied screening record; retain file for source-population reconciliation.</t>
        </is>
      </c>
    </row>
    <row r="94" outlineLevel="1">
      <c r="A94" s="17" t="inlineStr"/>
      <c r="B94" s="17" t="inlineStr">
        <is>
          <t>CSV row 171 | SKP-2023-0170</t>
        </is>
      </c>
      <c r="C94" s="17" t="inlineStr">
        <is>
          <t>2023-09-04 | OFR-2023-0571</t>
        </is>
      </c>
      <c r="D94" s="17" t="inlineStr">
        <is>
          <t>WL-03700 | Jonathan Diaz</t>
        </is>
      </c>
      <c r="E94" s="17" t="inlineStr">
        <is>
          <t>Rank 2700 | current app 2026-02-06 | ACTIVE_WAITLIST</t>
        </is>
      </c>
      <c r="F94" s="17" t="inlineStr">
        <is>
          <t>LP-0412 / 32 ft | Ledgport</t>
        </is>
      </c>
      <c r="G94" s="17" t="inlineStr">
        <is>
          <t>not-current | Y / OTHER_SUPPORT</t>
        </is>
      </c>
      <c r="H94" s="17" t="inlineStr">
        <is>
          <t>CSV says attachment present; underlying file not individually furnished</t>
        </is>
      </c>
      <c r="I94" s="17" t="inlineStr">
        <is>
          <t>No exception identified in screening</t>
        </is>
      </c>
      <c r="J94" s="17" t="inlineStr"/>
      <c r="K94" s="17" t="inlineStr">
        <is>
          <t>Predates current application date</t>
        </is>
      </c>
      <c r="L94" s="17" t="inlineStr">
        <is>
          <t>No Board remedy recommended from supplied screening record; retain file for source-population reconciliation.</t>
        </is>
      </c>
    </row>
    <row r="95" outlineLevel="1">
      <c r="A95" s="17" t="inlineStr"/>
      <c r="B95" s="17" t="inlineStr">
        <is>
          <t>CSV row 165 | SKP-2023-0164</t>
        </is>
      </c>
      <c r="C95" s="17" t="inlineStr">
        <is>
          <t>2023-09-05 | OFR-2023-0547</t>
        </is>
      </c>
      <c r="D95" s="17" t="inlineStr">
        <is>
          <t>WL-03673 | Angela Gibson</t>
        </is>
      </c>
      <c r="E95" s="17" t="inlineStr">
        <is>
          <t>Rank 2673 | current app 2026-01-24 | ACTIVE_WAITLIST</t>
        </is>
      </c>
      <c r="F95" s="17" t="inlineStr">
        <is>
          <t>GW-0801 / 80 ft | Gullwing</t>
        </is>
      </c>
      <c r="G95" s="17" t="inlineStr">
        <is>
          <t>preference-mismatch | Y / REPAIR_ESTIMATE</t>
        </is>
      </c>
      <c r="H95" s="17" t="inlineStr">
        <is>
          <t>CSV says attachment present; underlying file not individually furnished</t>
        </is>
      </c>
      <c r="I95" s="17" t="inlineStr">
        <is>
          <t>No exception identified in screening</t>
        </is>
      </c>
      <c r="J95" s="17" t="inlineStr"/>
      <c r="K95" s="17" t="inlineStr">
        <is>
          <t>Predates current application date</t>
        </is>
      </c>
      <c r="L95" s="17" t="inlineStr">
        <is>
          <t>No Board remedy recommended from supplied screening record; retain file for source-population reconciliation.</t>
        </is>
      </c>
    </row>
    <row r="96" outlineLevel="1">
      <c r="A96" s="17" t="inlineStr"/>
      <c r="B96" s="17" t="inlineStr">
        <is>
          <t>CSV row 166 | SKP-2023-0165</t>
        </is>
      </c>
      <c r="C96" s="17" t="inlineStr">
        <is>
          <t>2023-09-05 | OFR-2023-0550</t>
        </is>
      </c>
      <c r="D96" s="17" t="inlineStr">
        <is>
          <t>WL-01746 | Elizabeth Ward</t>
        </is>
      </c>
      <c r="E96" s="17" t="inlineStr">
        <is>
          <t>Rank 746 | current app 2023-07-31 | ACTIVE_WAITLIST</t>
        </is>
      </c>
      <c r="F96" s="17" t="inlineStr">
        <is>
          <t>SB-0209 / 24 ft | Salmonberry</t>
        </is>
      </c>
      <c r="G96" s="17" t="inlineStr">
        <is>
          <t>not-current | Y / INSURANCE_DECL</t>
        </is>
      </c>
      <c r="H96" s="17" t="inlineStr">
        <is>
          <t>CSV says attachment present; underlying file not individually furnished</t>
        </is>
      </c>
      <c r="I96" s="17" t="inlineStr">
        <is>
          <t>No exception identified in screening</t>
        </is>
      </c>
      <c r="J96" s="17" t="inlineStr"/>
      <c r="K96" s="17" t="inlineStr"/>
      <c r="L96" s="17" t="inlineStr">
        <is>
          <t>No Board remedy recommended from supplied screening record; retain file for source-population reconciliation.</t>
        </is>
      </c>
    </row>
    <row r="97" outlineLevel="1">
      <c r="A97" s="17" t="inlineStr"/>
      <c r="B97" s="17" t="inlineStr">
        <is>
          <t>CSV row 164 | SKP-2023-0163</t>
        </is>
      </c>
      <c r="C97" s="17" t="inlineStr">
        <is>
          <t>2023-09-11 | OFR-2023-0546</t>
        </is>
      </c>
      <c r="D97" s="17" t="inlineStr">
        <is>
          <t>WL-03629 | Justin Parks</t>
        </is>
      </c>
      <c r="E97" s="17" t="inlineStr">
        <is>
          <t>Rank 2629 | current app 2025-12-31 | ACTIVE_WAITLIST</t>
        </is>
      </c>
      <c r="F97" s="17" t="inlineStr">
        <is>
          <t>LP-1116 / 28 ft | Ledgport</t>
        </is>
      </c>
      <c r="G97" s="17" t="inlineStr">
        <is>
          <t>vessel-fit | Y / OTHER_SUPPORT</t>
        </is>
      </c>
      <c r="H97" s="17" t="inlineStr">
        <is>
          <t>CSV says attachment present; underlying file not individually furnished</t>
        </is>
      </c>
      <c r="I97" s="17" t="inlineStr">
        <is>
          <t>No exception identified in screening</t>
        </is>
      </c>
      <c r="J97" s="17" t="inlineStr"/>
      <c r="K97" s="17" t="inlineStr">
        <is>
          <t>Predates current application date</t>
        </is>
      </c>
      <c r="L97" s="17" t="inlineStr">
        <is>
          <t>No Board remedy recommended from supplied screening record; retain file for source-population reconciliation.</t>
        </is>
      </c>
    </row>
    <row r="98" outlineLevel="1">
      <c r="A98" s="17" t="inlineStr"/>
      <c r="B98" s="17" t="inlineStr">
        <is>
          <t>CSV row 169 | SKP-2023-0168</t>
        </is>
      </c>
      <c r="C98" s="17" t="inlineStr">
        <is>
          <t>2023-09-13 | OFR-2023-0559</t>
        </is>
      </c>
      <c r="D98" s="17" t="inlineStr">
        <is>
          <t>WL-02912 | Alan Ortiz</t>
        </is>
      </c>
      <c r="E98" s="17" t="inlineStr">
        <is>
          <t>Rank 1912 | current app 2025-01-15 | ACTIVE_WAITLIST</t>
        </is>
      </c>
      <c r="F98" s="17" t="inlineStr">
        <is>
          <t>SB-0916 / 60 ft | Salmonberry</t>
        </is>
      </c>
      <c r="G98" s="17" t="inlineStr">
        <is>
          <t>vessel-fit | Y / INSURANCE_DECL</t>
        </is>
      </c>
      <c r="H98" s="17" t="inlineStr">
        <is>
          <t>CSV says attachment present; underlying file not individually furnished</t>
        </is>
      </c>
      <c r="I98" s="17" t="inlineStr">
        <is>
          <t>No exception identified in screening</t>
        </is>
      </c>
      <c r="J98" s="17" t="inlineStr"/>
      <c r="K98" s="17" t="inlineStr">
        <is>
          <t>Predates current application date</t>
        </is>
      </c>
      <c r="L98" s="17" t="inlineStr">
        <is>
          <t>No Board remedy recommended from supplied screening record; retain file for source-population reconciliation.</t>
        </is>
      </c>
    </row>
    <row r="99" outlineLevel="1">
      <c r="A99" s="17" t="inlineStr"/>
      <c r="B99" s="17" t="inlineStr">
        <is>
          <t>CSV row 172 | SKP-2023-0171</t>
        </is>
      </c>
      <c r="C99" s="17" t="inlineStr">
        <is>
          <t>2023-09-16 | OFR-2023-0573</t>
        </is>
      </c>
      <c r="D99" s="17" t="inlineStr">
        <is>
          <t>WL-02000 | Erika Cruz</t>
        </is>
      </c>
      <c r="E99" s="17" t="inlineStr">
        <is>
          <t>Rank 1000 | current app 2023-12-04 | EXPIRED</t>
        </is>
      </c>
      <c r="F99" s="17" t="inlineStr">
        <is>
          <t>VB-0820 / 36 ft | Vessbank</t>
        </is>
      </c>
      <c r="G99" s="17" t="inlineStr">
        <is>
          <t>preference-mismatch | Y / REPAIR_ESTIMATE</t>
        </is>
      </c>
      <c r="H99" s="17" t="inlineStr">
        <is>
          <t>CSV says attachment present; underlying file not individually furnished</t>
        </is>
      </c>
      <c r="I99" s="17" t="inlineStr">
        <is>
          <t>No exception identified in screening</t>
        </is>
      </c>
      <c r="J99" s="17" t="inlineStr"/>
      <c r="K99" s="17" t="inlineStr">
        <is>
          <t>Predates current application date</t>
        </is>
      </c>
      <c r="L99" s="17" t="inlineStr">
        <is>
          <t>No Board remedy recommended from supplied screening record; retain file for source-population reconciliation.</t>
        </is>
      </c>
    </row>
    <row r="100" outlineLevel="1">
      <c r="A100" s="17" t="inlineStr"/>
      <c r="B100" s="17" t="inlineStr">
        <is>
          <t>CSV row 173 | SKP-2023-0172</t>
        </is>
      </c>
      <c r="C100" s="17" t="inlineStr">
        <is>
          <t>2023-09-17 | OFR-2023-0574</t>
        </is>
      </c>
      <c r="D100" s="17" t="inlineStr">
        <is>
          <t>WL-01080 | Jessica Lopez</t>
        </is>
      </c>
      <c r="E100" s="17" t="inlineStr">
        <is>
          <t>Rank 80 | current app 2022-05-10 | ACTIVE_WAITLIST</t>
        </is>
      </c>
      <c r="F100" s="17" t="inlineStr">
        <is>
          <t>EW-0511 / 28 ft | Eastwey</t>
        </is>
      </c>
      <c r="G100" s="17" t="inlineStr">
        <is>
          <t>declined-prior-offer | Y / OTHER_SUPPORT</t>
        </is>
      </c>
      <c r="H100" s="17" t="inlineStr">
        <is>
          <t>CSV says attachment present; underlying file not individually furnished</t>
        </is>
      </c>
      <c r="I100" s="17" t="inlineStr">
        <is>
          <t>No exception identified in screening</t>
        </is>
      </c>
      <c r="J100" s="17" t="inlineStr"/>
      <c r="K100" s="17" t="inlineStr"/>
      <c r="L100" s="17" t="inlineStr">
        <is>
          <t>No Board remedy recommended from supplied screening record; retain file for source-population reconciliation.</t>
        </is>
      </c>
    </row>
    <row r="101" outlineLevel="1">
      <c r="A101" s="17" t="inlineStr"/>
      <c r="B101" s="17" t="inlineStr">
        <is>
          <t>CSV row 163 | SKP-2023-0162</t>
        </is>
      </c>
      <c r="C101" s="17" t="inlineStr">
        <is>
          <t>2023-09-18 | OFR-2023-0541</t>
        </is>
      </c>
      <c r="D101" s="17" t="inlineStr">
        <is>
          <t>WL-03249 | Julia Anderson</t>
        </is>
      </c>
      <c r="E101" s="17" t="inlineStr">
        <is>
          <t>Rank 2249 | current app 2025-06-21 | ACTIVE_WAITLIST</t>
        </is>
      </c>
      <c r="F101" s="17" t="inlineStr">
        <is>
          <t>EW-0518 / 50 ft | Eastwey</t>
        </is>
      </c>
      <c r="G101" s="17" t="inlineStr">
        <is>
          <t>not-current | Y / OTHER_SUPPORT</t>
        </is>
      </c>
      <c r="H101" s="17" t="inlineStr">
        <is>
          <t>CSV says attachment present; underlying file not individually furnished</t>
        </is>
      </c>
      <c r="I101" s="17" t="inlineStr">
        <is>
          <t>No exception identified in screening</t>
        </is>
      </c>
      <c r="J101" s="17" t="inlineStr"/>
      <c r="K101" s="17" t="inlineStr">
        <is>
          <t>Predates current application date</t>
        </is>
      </c>
      <c r="L101" s="17" t="inlineStr">
        <is>
          <t>No Board remedy recommended from supplied screening record; retain file for source-population reconciliation.</t>
        </is>
      </c>
    </row>
    <row r="102" outlineLevel="1">
      <c r="A102" s="17" t="inlineStr"/>
      <c r="B102" s="17" t="inlineStr">
        <is>
          <t>CSV row 170 | SKP-2023-0169</t>
        </is>
      </c>
      <c r="C102" s="17" t="inlineStr">
        <is>
          <t>2023-09-21 | OFR-2023-0567</t>
        </is>
      </c>
      <c r="D102" s="17" t="inlineStr">
        <is>
          <t>WL-01168 | Wesley Bradford</t>
        </is>
      </c>
      <c r="E102" s="17" t="inlineStr">
        <is>
          <t>Rank 168 | current app 2022-08-09 | ACTIVE_WAITLIST</t>
        </is>
      </c>
      <c r="F102" s="17" t="inlineStr">
        <is>
          <t>LP-0604 / 40 ft | Ledgport</t>
        </is>
      </c>
      <c r="G102" s="17" t="inlineStr">
        <is>
          <t>declined-prior-offer | Y / OTHER_SUPPORT</t>
        </is>
      </c>
      <c r="H102" s="17" t="inlineStr">
        <is>
          <t>CSV says attachment present; underlying file not individually furnished</t>
        </is>
      </c>
      <c r="I102" s="17" t="inlineStr">
        <is>
          <t>No exception identified in screening</t>
        </is>
      </c>
      <c r="J102" s="17" t="inlineStr"/>
      <c r="K102" s="17" t="inlineStr"/>
      <c r="L102" s="17" t="inlineStr">
        <is>
          <t>No Board remedy recommended from supplied screening record; retain file for source-population reconciliation.</t>
        </is>
      </c>
    </row>
    <row r="103" outlineLevel="1">
      <c r="A103" s="17" t="inlineStr"/>
      <c r="B103" s="17" t="inlineStr">
        <is>
          <t>CSV row 168 | SKP-2023-0167</t>
        </is>
      </c>
      <c r="C103" s="17" t="inlineStr">
        <is>
          <t>2023-09-25 | OFR-2023-0555</t>
        </is>
      </c>
      <c r="D103" s="17" t="inlineStr">
        <is>
          <t>WL-01566 | Sara Garcia</t>
        </is>
      </c>
      <c r="E103" s="17" t="inlineStr">
        <is>
          <t>Rank 566 | current app 2023-04-22 | ACTIVE_WAITLIST</t>
        </is>
      </c>
      <c r="F103" s="17" t="inlineStr">
        <is>
          <t>LP-0706 / 28 ft | Ledgport</t>
        </is>
      </c>
      <c r="G103" s="17" t="inlineStr">
        <is>
          <t>vessel-fit | Y / INSURANCE_DECL</t>
        </is>
      </c>
      <c r="H103" s="17" t="inlineStr">
        <is>
          <t>CSV says attachment present; underlying file not individually furnished</t>
        </is>
      </c>
      <c r="I103" s="17" t="inlineStr">
        <is>
          <t>No exception identified in screening</t>
        </is>
      </c>
      <c r="J103" s="17" t="inlineStr"/>
      <c r="K103" s="17" t="inlineStr"/>
      <c r="L103" s="17" t="inlineStr">
        <is>
          <t>No Board remedy recommended from supplied screening record; retain file for source-population reconciliation.</t>
        </is>
      </c>
    </row>
    <row r="104" outlineLevel="1">
      <c r="A104" s="17" t="inlineStr"/>
      <c r="B104" s="17" t="inlineStr">
        <is>
          <t>CSV row 177 | SKP-2023-0176</t>
        </is>
      </c>
      <c r="C104" s="17" t="inlineStr">
        <is>
          <t>2023-10-05 | OFR-2023-0604</t>
        </is>
      </c>
      <c r="D104" s="17" t="inlineStr">
        <is>
          <t>WL-01594 | Tracey Johnson</t>
        </is>
      </c>
      <c r="E104" s="17" t="inlineStr">
        <is>
          <t>Rank 594 | current app 2023-05-12 | ACTIVE_WAITLIST</t>
        </is>
      </c>
      <c r="F104" s="17" t="inlineStr">
        <is>
          <t>GW-0705 / 24 ft | Gullwing</t>
        </is>
      </c>
      <c r="G104" s="17" t="inlineStr">
        <is>
          <t>vessel-fit | Y / REPAIR_ESTIMATE</t>
        </is>
      </c>
      <c r="H104" s="17" t="inlineStr">
        <is>
          <t>CSV says attachment present; underlying file not individually furnished</t>
        </is>
      </c>
      <c r="I104" s="17" t="inlineStr">
        <is>
          <t>No exception identified in screening</t>
        </is>
      </c>
      <c r="J104" s="17" t="inlineStr"/>
      <c r="K104" s="17" t="inlineStr"/>
      <c r="L104" s="17" t="inlineStr">
        <is>
          <t>No Board remedy recommended from supplied screening record; retain file for source-population reconciliation.</t>
        </is>
      </c>
    </row>
    <row r="105" outlineLevel="1">
      <c r="A105" s="17" t="inlineStr"/>
      <c r="B105" s="17" t="inlineStr">
        <is>
          <t>CSV row 176 | SKP-2023-0175</t>
        </is>
      </c>
      <c r="C105" s="17" t="inlineStr">
        <is>
          <t>2023-10-06 | OFR-2023-0586</t>
        </is>
      </c>
      <c r="D105" s="17" t="inlineStr">
        <is>
          <t>WL-01003 | Shannon Phillips</t>
        </is>
      </c>
      <c r="E105" s="17" t="inlineStr">
        <is>
          <t>Rank 3 | current app 2022-01-18 | ACTIVE_WAITLIST</t>
        </is>
      </c>
      <c r="F105" s="17" t="inlineStr">
        <is>
          <t>SB-0401 / 60 ft | Salmonberry</t>
        </is>
      </c>
      <c r="G105" s="17" t="inlineStr">
        <is>
          <t>not-current | Y / INSURANCE_DECL</t>
        </is>
      </c>
      <c r="H105" s="17" t="inlineStr">
        <is>
          <t>CSV says attachment present; underlying file not individually furnished</t>
        </is>
      </c>
      <c r="I105" s="17" t="inlineStr">
        <is>
          <t>No exception identified in screening</t>
        </is>
      </c>
      <c r="J105" s="17" t="inlineStr"/>
      <c r="K105" s="17" t="inlineStr"/>
      <c r="L105" s="17" t="inlineStr">
        <is>
          <t>No Board remedy recommended from supplied screening record; retain file for source-population reconciliation.</t>
        </is>
      </c>
    </row>
    <row r="106" outlineLevel="1">
      <c r="A106" s="17" t="inlineStr"/>
      <c r="B106" s="17" t="inlineStr">
        <is>
          <t>CSV row 180 | SKP-2023-0179</t>
        </is>
      </c>
      <c r="C106" s="17" t="inlineStr">
        <is>
          <t>2023-10-09 | OFR-2023-0617</t>
        </is>
      </c>
      <c r="D106" s="17" t="inlineStr">
        <is>
          <t>WL-01704 | Justin Horn</t>
        </is>
      </c>
      <c r="E106" s="17" t="inlineStr">
        <is>
          <t>Rank 704 | current app 2023-07-09 | ACTIVE_WAITLIST</t>
        </is>
      </c>
      <c r="F106" s="17" t="inlineStr">
        <is>
          <t>EW-0804 / 32 ft | Eastwey</t>
        </is>
      </c>
      <c r="G106" s="17" t="inlineStr">
        <is>
          <t>preference-mismatch | Y / WRITTEN_STATEMENT</t>
        </is>
      </c>
      <c r="H106" s="17" t="inlineStr">
        <is>
          <t>CSV says attachment present; underlying file not individually furnished</t>
        </is>
      </c>
      <c r="I106" s="17" t="inlineStr">
        <is>
          <t>No exception identified in screening</t>
        </is>
      </c>
      <c r="J106" s="17" t="inlineStr"/>
      <c r="K106" s="17" t="inlineStr"/>
      <c r="L106" s="17" t="inlineStr">
        <is>
          <t>No Board remedy recommended from supplied screening record; retain file for source-population reconciliation.</t>
        </is>
      </c>
    </row>
    <row r="107" outlineLevel="1">
      <c r="A107" s="17" t="inlineStr"/>
      <c r="B107" s="17" t="inlineStr">
        <is>
          <t>CSV row 178 | SKP-2023-0177</t>
        </is>
      </c>
      <c r="C107" s="17" t="inlineStr">
        <is>
          <t>2023-10-21 | OFR-2023-0609</t>
        </is>
      </c>
      <c r="D107" s="17" t="inlineStr">
        <is>
          <t>WL-01918 | Brittany Barrett</t>
        </is>
      </c>
      <c r="E107" s="17" t="inlineStr">
        <is>
          <t>Rank 918 | current app 2023-10-30 | ACTIVE_WAITLIST</t>
        </is>
      </c>
      <c r="F107" s="17" t="inlineStr">
        <is>
          <t>VB-0118 / 24 ft | Vessbank</t>
        </is>
      </c>
      <c r="G107" s="17" t="inlineStr">
        <is>
          <t>preference-mismatch | Y / REPAIR_ESTIMATE</t>
        </is>
      </c>
      <c r="H107" s="17" t="inlineStr">
        <is>
          <t>CSV says attachment present; underlying file not individually furnished</t>
        </is>
      </c>
      <c r="I107" s="17" t="inlineStr">
        <is>
          <t>No exception identified in screening</t>
        </is>
      </c>
      <c r="J107" s="17" t="inlineStr"/>
      <c r="K107" s="17" t="inlineStr">
        <is>
          <t>Predates current application date</t>
        </is>
      </c>
      <c r="L107" s="17" t="inlineStr">
        <is>
          <t>No Board remedy recommended from supplied screening record; retain file for source-population reconciliation.</t>
        </is>
      </c>
    </row>
    <row r="108" outlineLevel="1">
      <c r="A108" s="17" t="inlineStr"/>
      <c r="B108" s="17" t="inlineStr">
        <is>
          <t>CSV row 179 | SKP-2023-0178</t>
        </is>
      </c>
      <c r="C108" s="17" t="inlineStr">
        <is>
          <t>2023-10-24 | OFR-2023-0613</t>
        </is>
      </c>
      <c r="D108" s="17" t="inlineStr">
        <is>
          <t>WL-03849 | Melissa Ramirez</t>
        </is>
      </c>
      <c r="E108" s="17" t="inlineStr">
        <is>
          <t>Rank 2849 | current app 2026-05-24 | ACTIVE_WAITLIST</t>
        </is>
      </c>
      <c r="F108" s="17" t="inlineStr">
        <is>
          <t>SB-0406 / 40 ft | Salmonberry</t>
        </is>
      </c>
      <c r="G108" s="17" t="inlineStr">
        <is>
          <t>not-current | Y / OTHER_SUPPORT</t>
        </is>
      </c>
      <c r="H108" s="17" t="inlineStr">
        <is>
          <t>CSV says attachment present; underlying file not individually furnished</t>
        </is>
      </c>
      <c r="I108" s="17" t="inlineStr">
        <is>
          <t>No exception identified in screening</t>
        </is>
      </c>
      <c r="J108" s="17" t="inlineStr"/>
      <c r="K108" s="17" t="inlineStr">
        <is>
          <t>Predates current application date</t>
        </is>
      </c>
      <c r="L108" s="17" t="inlineStr">
        <is>
          <t>No Board remedy recommended from supplied screening record; retain file for source-population reconciliation.</t>
        </is>
      </c>
    </row>
    <row r="109" outlineLevel="1">
      <c r="A109" s="17" t="inlineStr"/>
      <c r="B109" s="17" t="inlineStr">
        <is>
          <t>CSV row 181 | SKP-2023-0180</t>
        </is>
      </c>
      <c r="C109" s="17" t="inlineStr">
        <is>
          <t>2023-11-22 | OFR-2023-0623</t>
        </is>
      </c>
      <c r="D109" s="17" t="inlineStr">
        <is>
          <t>WL-03696 | Natalie Duncan</t>
        </is>
      </c>
      <c r="E109" s="17" t="inlineStr">
        <is>
          <t>Rank 2696 | current app 2026-02-03 | ACTIVE_WAITLIST</t>
        </is>
      </c>
      <c r="F109" s="17" t="inlineStr">
        <is>
          <t>LP-0114 / 24 ft | Ledgport</t>
        </is>
      </c>
      <c r="G109" s="17" t="inlineStr">
        <is>
          <t>vessel-fit | Y / OTHER_SUPPORT</t>
        </is>
      </c>
      <c r="H109" s="17" t="inlineStr">
        <is>
          <t>CSV says attachment present; underlying file not individually furnished</t>
        </is>
      </c>
      <c r="I109" s="17" t="inlineStr">
        <is>
          <t>No exception identified in screening</t>
        </is>
      </c>
      <c r="J109" s="17" t="inlineStr"/>
      <c r="K109" s="17" t="inlineStr">
        <is>
          <t>Predates current application date</t>
        </is>
      </c>
      <c r="L109" s="17" t="inlineStr">
        <is>
          <t>No Board remedy recommended from supplied screening record; retain file for source-population reconciliation.</t>
        </is>
      </c>
    </row>
    <row r="110" outlineLevel="1">
      <c r="A110" s="17" t="inlineStr"/>
      <c r="B110" s="17" t="inlineStr">
        <is>
          <t>CSV row 187 | SKP-2023-0186</t>
        </is>
      </c>
      <c r="C110" s="17" t="inlineStr">
        <is>
          <t>2023-12-03 | OFR-2023-0648</t>
        </is>
      </c>
      <c r="D110" s="17" t="inlineStr">
        <is>
          <t>WL-01924 | Angela Alexander</t>
        </is>
      </c>
      <c r="E110" s="17" t="inlineStr">
        <is>
          <t>Rank 924 | current app 2023-10-31 | ACTIVE_WAITLIST</t>
        </is>
      </c>
      <c r="F110" s="17" t="inlineStr">
        <is>
          <t>EW-1002 / 28 ft | Eastwey</t>
        </is>
      </c>
      <c r="G110" s="17" t="inlineStr">
        <is>
          <t>declined-prior-offer | Y / WRITTEN_STATEMENT</t>
        </is>
      </c>
      <c r="H110" s="17" t="inlineStr">
        <is>
          <t>CSV says attachment present; underlying file not individually furnished</t>
        </is>
      </c>
      <c r="I110" s="17" t="inlineStr">
        <is>
          <t>No exception identified in screening</t>
        </is>
      </c>
      <c r="J110" s="17" t="inlineStr"/>
      <c r="K110" s="17" t="inlineStr"/>
      <c r="L110" s="17" t="inlineStr">
        <is>
          <t>No Board remedy recommended from supplied screening record; retain file for source-population reconciliation.</t>
        </is>
      </c>
    </row>
    <row r="111" outlineLevel="1">
      <c r="A111" s="17" t="inlineStr"/>
      <c r="B111" s="17" t="inlineStr">
        <is>
          <t>CSV row 182 | SKP-2023-0181</t>
        </is>
      </c>
      <c r="C111" s="17" t="inlineStr">
        <is>
          <t>2023-12-17 | OFR-2023-0634</t>
        </is>
      </c>
      <c r="D111" s="17" t="inlineStr">
        <is>
          <t>WL-01016 | Jared Mosley</t>
        </is>
      </c>
      <c r="E111" s="17" t="inlineStr">
        <is>
          <t>Rank 16 | current app 2022-02-17 | ACTIVE_WAITLIST</t>
        </is>
      </c>
      <c r="F111" s="17" t="inlineStr">
        <is>
          <t>LP-0416 / 24 ft | Ledgport</t>
        </is>
      </c>
      <c r="G111" s="17" t="inlineStr">
        <is>
          <t>vessel-fit | Y / INSURANCE_DECL</t>
        </is>
      </c>
      <c r="H111" s="17" t="inlineStr">
        <is>
          <t>CSV says attachment present; underlying file not individually furnished</t>
        </is>
      </c>
      <c r="I111" s="17" t="inlineStr">
        <is>
          <t>No exception identified in screening</t>
        </is>
      </c>
      <c r="J111" s="17" t="inlineStr"/>
      <c r="K111" s="17" t="inlineStr"/>
      <c r="L111" s="17" t="inlineStr">
        <is>
          <t>No Board remedy recommended from supplied screening record; retain file for source-population reconciliation.</t>
        </is>
      </c>
    </row>
    <row r="112" outlineLevel="1">
      <c r="A112" s="17" t="inlineStr"/>
      <c r="B112" s="17" t="inlineStr">
        <is>
          <t>CSV row 183 | SKP-2023-0182</t>
        </is>
      </c>
      <c r="C112" s="17" t="inlineStr">
        <is>
          <t>2023-12-21 | OFR-2023-0636</t>
        </is>
      </c>
      <c r="D112" s="17" t="inlineStr">
        <is>
          <t>WL-01186 | Amy Hartman</t>
        </is>
      </c>
      <c r="E112" s="17" t="inlineStr">
        <is>
          <t>Rank 186 | current app 2022-08-25 | ACTIVE_WAITLIST</t>
        </is>
      </c>
      <c r="F112" s="17" t="inlineStr">
        <is>
          <t>SB-0610 / 60 ft | Salmonberry</t>
        </is>
      </c>
      <c r="G112" s="17" t="inlineStr">
        <is>
          <t>not-current | Y / WRITTEN_STATEMENT</t>
        </is>
      </c>
      <c r="H112" s="17" t="inlineStr">
        <is>
          <t>CSV says attachment present; underlying file not individually furnished</t>
        </is>
      </c>
      <c r="I112" s="17" t="inlineStr">
        <is>
          <t>No exception identified in screening</t>
        </is>
      </c>
      <c r="J112" s="17" t="inlineStr"/>
      <c r="K112" s="17" t="inlineStr"/>
      <c r="L112" s="17" t="inlineStr">
        <is>
          <t>No Board remedy recommended from supplied screening record; retain file for source-population reconciliation.</t>
        </is>
      </c>
    </row>
    <row r="113" outlineLevel="1">
      <c r="A113" s="17" t="inlineStr"/>
      <c r="B113" s="17" t="inlineStr">
        <is>
          <t>CSV row 186 | SKP-2023-0185</t>
        </is>
      </c>
      <c r="C113" s="17" t="inlineStr">
        <is>
          <t>2023-12-24 | OFR-2023-0645</t>
        </is>
      </c>
      <c r="D113" s="17" t="inlineStr">
        <is>
          <t>WL-02726 | Michelle Herman</t>
        </is>
      </c>
      <c r="E113" s="17" t="inlineStr">
        <is>
          <t>Rank 1726 | current app 2024-11-03 | ACTIVE_WAITLIST</t>
        </is>
      </c>
      <c r="F113" s="17" t="inlineStr">
        <is>
          <t>EW-0916 / 24 ft | Eastwey</t>
        </is>
      </c>
      <c r="G113" s="17" t="inlineStr">
        <is>
          <t>vessel-fit | Y / REPAIR_ESTIMATE</t>
        </is>
      </c>
      <c r="H113" s="17" t="inlineStr">
        <is>
          <t>CSV says attachment present; underlying file not individually furnished</t>
        </is>
      </c>
      <c r="I113" s="17" t="inlineStr">
        <is>
          <t>No exception identified in screening</t>
        </is>
      </c>
      <c r="J113" s="17" t="inlineStr"/>
      <c r="K113" s="17" t="inlineStr">
        <is>
          <t>Predates current application date</t>
        </is>
      </c>
      <c r="L113" s="17" t="inlineStr">
        <is>
          <t>No Board remedy recommended from supplied screening record; retain file for source-population reconciliation.</t>
        </is>
      </c>
    </row>
    <row r="114" outlineLevel="1">
      <c r="A114" s="17" t="inlineStr"/>
      <c r="B114" s="17" t="inlineStr">
        <is>
          <t>CSV row 184 | SKP-2023-0183</t>
        </is>
      </c>
      <c r="C114" s="17" t="inlineStr">
        <is>
          <t>2023-12-26 | OFR-2023-0638</t>
        </is>
      </c>
      <c r="D114" s="17" t="inlineStr">
        <is>
          <t>WL-01524 | William Wright</t>
        </is>
      </c>
      <c r="E114" s="17" t="inlineStr">
        <is>
          <t>Rank 524 | current app 2023-03-28 | ACTIVE_WAITLIST</t>
        </is>
      </c>
      <c r="F114" s="17" t="inlineStr">
        <is>
          <t>VB-0804 / 24 ft | Vessbank</t>
        </is>
      </c>
      <c r="G114" s="17" t="inlineStr">
        <is>
          <t>not-current | Y / REPAIR_ESTIMATE</t>
        </is>
      </c>
      <c r="H114" s="17" t="inlineStr">
        <is>
          <t>CSV says attachment present; underlying file not individually furnished</t>
        </is>
      </c>
      <c r="I114" s="17" t="inlineStr">
        <is>
          <t>No exception identified in screening</t>
        </is>
      </c>
      <c r="J114" s="17" t="inlineStr"/>
      <c r="K114" s="17" t="inlineStr"/>
      <c r="L114" s="17" t="inlineStr">
        <is>
          <t>No Board remedy recommended from supplied screening record; retain file for source-population reconciliation.</t>
        </is>
      </c>
    </row>
    <row r="115" outlineLevel="1">
      <c r="A115" s="17" t="inlineStr"/>
      <c r="B115" s="17" t="inlineStr">
        <is>
          <t>CSV row 185 | SKP-2023-0184</t>
        </is>
      </c>
      <c r="C115" s="17" t="inlineStr">
        <is>
          <t>2023-12-26 | OFR-2023-0643</t>
        </is>
      </c>
      <c r="D115" s="17" t="inlineStr">
        <is>
          <t>WL-03111 | Kevin Gilbert</t>
        </is>
      </c>
      <c r="E115" s="17" t="inlineStr">
        <is>
          <t>Rank 2111 | current app 2025-04-13 | EXPIRED</t>
        </is>
      </c>
      <c r="F115" s="17" t="inlineStr">
        <is>
          <t>VB-0311 / 32 ft | Vessbank</t>
        </is>
      </c>
      <c r="G115" s="17" t="inlineStr">
        <is>
          <t>not-current | Y / REPAIR_ESTIMATE</t>
        </is>
      </c>
      <c r="H115" s="17" t="inlineStr">
        <is>
          <t>CSV says attachment present; underlying file not individually furnished</t>
        </is>
      </c>
      <c r="I115" s="17" t="inlineStr">
        <is>
          <t>No exception identified in screening</t>
        </is>
      </c>
      <c r="J115" s="17" t="inlineStr"/>
      <c r="K115" s="17" t="inlineStr">
        <is>
          <t>Predates current application date</t>
        </is>
      </c>
      <c r="L115" s="17" t="inlineStr">
        <is>
          <t>No Board remedy recommended from supplied screening record; retain file for source-population reconciliation.</t>
        </is>
      </c>
    </row>
    <row r="116" outlineLevel="1">
      <c r="A116" s="17" t="inlineStr"/>
      <c r="B116" s="17" t="inlineStr">
        <is>
          <t>CSV row 189 | SKP-2024-0188</t>
        </is>
      </c>
      <c r="C116" s="17" t="inlineStr">
        <is>
          <t>2024-01-04 | OFR-2024-0654</t>
        </is>
      </c>
      <c r="D116" s="17" t="inlineStr">
        <is>
          <t>WL-01632 | Laura Johnson</t>
        </is>
      </c>
      <c r="E116" s="17" t="inlineStr">
        <is>
          <t>Rank 632 | current app 2023-06-03 | RETAINER</t>
        </is>
      </c>
      <c r="F116" s="17" t="inlineStr">
        <is>
          <t>SB-0306 / 70 ft | Salmonberry</t>
        </is>
      </c>
      <c r="G116" s="17" t="inlineStr">
        <is>
          <t>preference-mismatch | Y / INSURANCE_DECL</t>
        </is>
      </c>
      <c r="H116" s="17" t="inlineStr">
        <is>
          <t>CSV says attachment present; underlying file not individually furnished</t>
        </is>
      </c>
      <c r="I116" s="17" t="inlineStr">
        <is>
          <t>No exception identified in screening</t>
        </is>
      </c>
      <c r="J116" s="17" t="inlineStr"/>
      <c r="K116" s="17" t="inlineStr"/>
      <c r="L116" s="17" t="inlineStr">
        <is>
          <t>No Board remedy recommended from supplied screening record; retain file for source-population reconciliation.</t>
        </is>
      </c>
    </row>
    <row r="117" outlineLevel="1">
      <c r="A117" s="17" t="inlineStr"/>
      <c r="B117" s="17" t="inlineStr">
        <is>
          <t>CSV row 188 | SKP-2024-0187</t>
        </is>
      </c>
      <c r="C117" s="17" t="inlineStr">
        <is>
          <t>2024-01-14 | OFR-2024-0653</t>
        </is>
      </c>
      <c r="D117" s="17" t="inlineStr">
        <is>
          <t>WL-02759 | Michael Rose</t>
        </is>
      </c>
      <c r="E117" s="17" t="inlineStr">
        <is>
          <t>Rank 1759 | current app 2024-11-14 | ACTIVE_WAITLIST</t>
        </is>
      </c>
      <c r="F117" s="17" t="inlineStr">
        <is>
          <t>EW-0708 / 50 ft | Eastwey</t>
        </is>
      </c>
      <c r="G117" s="17" t="inlineStr">
        <is>
          <t>vessel-fit | Y / INSURANCE_DECL</t>
        </is>
      </c>
      <c r="H117" s="17" t="inlineStr">
        <is>
          <t>CSV says attachment present; underlying file not individually furnished</t>
        </is>
      </c>
      <c r="I117" s="17" t="inlineStr">
        <is>
          <t>No exception identified in screening</t>
        </is>
      </c>
      <c r="J117" s="17" t="inlineStr"/>
      <c r="K117" s="17" t="inlineStr">
        <is>
          <t>Predates current application date</t>
        </is>
      </c>
      <c r="L117" s="17" t="inlineStr">
        <is>
          <t>No Board remedy recommended from supplied screening record; retain file for source-population reconciliation.</t>
        </is>
      </c>
    </row>
    <row r="118" outlineLevel="1">
      <c r="A118" s="17" t="inlineStr"/>
      <c r="B118" s="17" t="inlineStr">
        <is>
          <t>CSV row 192 | SKP-2024-0191</t>
        </is>
      </c>
      <c r="C118" s="17" t="inlineStr">
        <is>
          <t>2024-02-03 | OFR-2024-0666</t>
        </is>
      </c>
      <c r="D118" s="17" t="inlineStr">
        <is>
          <t>WL-01253 | Brandon Sawyer</t>
        </is>
      </c>
      <c r="E118" s="17" t="inlineStr">
        <is>
          <t>Rank 253 | current app 2022-10-12 | ACTIVE_WAITLIST</t>
        </is>
      </c>
      <c r="F118" s="17" t="inlineStr">
        <is>
          <t>LP-0307 / 36 ft | Ledgport</t>
        </is>
      </c>
      <c r="G118" s="17" t="inlineStr">
        <is>
          <t>declined-prior-offer | Y / INSURANCE_DECL</t>
        </is>
      </c>
      <c r="H118" s="17" t="inlineStr">
        <is>
          <t>CSV says attachment present; underlying file not individually furnished</t>
        </is>
      </c>
      <c r="I118" s="17" t="inlineStr">
        <is>
          <t>No exception identified in screening</t>
        </is>
      </c>
      <c r="J118" s="17" t="inlineStr"/>
      <c r="K118" s="17" t="inlineStr"/>
      <c r="L118" s="17" t="inlineStr">
        <is>
          <t>No Board remedy recommended from supplied screening record; retain file for source-population reconciliation.</t>
        </is>
      </c>
    </row>
    <row r="119" outlineLevel="1">
      <c r="A119" s="17" t="inlineStr"/>
      <c r="B119" s="17" t="inlineStr">
        <is>
          <t>CSV row 195 | SKP-2024-0194</t>
        </is>
      </c>
      <c r="C119" s="17" t="inlineStr">
        <is>
          <t>2024-02-07 | OFR-2024-0672</t>
        </is>
      </c>
      <c r="D119" s="17" t="inlineStr">
        <is>
          <t>WL-01347 | Ryan Bennett</t>
        </is>
      </c>
      <c r="E119" s="17" t="inlineStr">
        <is>
          <t>Rank 347 | current app 2022-12-16 | ACTIVE_WAITLIST</t>
        </is>
      </c>
      <c r="F119" s="17" t="inlineStr">
        <is>
          <t>EW-0624 / 60 ft | Eastwey</t>
        </is>
      </c>
      <c r="G119" s="17" t="inlineStr">
        <is>
          <t>preference-mismatch | Y / WRITTEN_STATEMENT</t>
        </is>
      </c>
      <c r="H119" s="17" t="inlineStr">
        <is>
          <t>CSV says attachment present; underlying file not individually furnished</t>
        </is>
      </c>
      <c r="I119" s="17" t="inlineStr">
        <is>
          <t>No exception identified in screening</t>
        </is>
      </c>
      <c r="J119" s="17" t="inlineStr"/>
      <c r="K119" s="17" t="inlineStr"/>
      <c r="L119" s="17" t="inlineStr">
        <is>
          <t>No Board remedy recommended from supplied screening record; retain file for source-population reconciliation.</t>
        </is>
      </c>
    </row>
    <row r="120" outlineLevel="1">
      <c r="A120" s="17" t="inlineStr"/>
      <c r="B120" s="17" t="inlineStr">
        <is>
          <t>CSV row 194 | SKP-2024-0193</t>
        </is>
      </c>
      <c r="C120" s="17" t="inlineStr">
        <is>
          <t>2024-02-08 | OFR-2024-0671</t>
        </is>
      </c>
      <c r="D120" s="17" t="inlineStr">
        <is>
          <t>WL-02653 | Christine Jones</t>
        </is>
      </c>
      <c r="E120" s="17" t="inlineStr">
        <is>
          <t>Rank 1653 | current app 2024-10-01 | ACTIVE_WAITLIST</t>
        </is>
      </c>
      <c r="F120" s="17" t="inlineStr">
        <is>
          <t>SB-0616 / 24 ft | Salmonberry</t>
        </is>
      </c>
      <c r="G120" s="17" t="inlineStr">
        <is>
          <t>vessel-fit | Y / OTHER_SUPPORT</t>
        </is>
      </c>
      <c r="H120" s="17" t="inlineStr">
        <is>
          <t>CSV says attachment present; underlying file not individually furnished</t>
        </is>
      </c>
      <c r="I120" s="17" t="inlineStr">
        <is>
          <t>No exception identified in screening</t>
        </is>
      </c>
      <c r="J120" s="17" t="inlineStr"/>
      <c r="K120" s="17" t="inlineStr">
        <is>
          <t>Predates current application date</t>
        </is>
      </c>
      <c r="L120" s="17" t="inlineStr">
        <is>
          <t>No Board remedy recommended from supplied screening record; retain file for source-population reconciliation.</t>
        </is>
      </c>
    </row>
    <row r="121" outlineLevel="1">
      <c r="A121" s="17" t="inlineStr"/>
      <c r="B121" s="17" t="inlineStr">
        <is>
          <t>CSV row 196 | SKP-2024-0195</t>
        </is>
      </c>
      <c r="C121" s="17" t="inlineStr">
        <is>
          <t>2024-02-09 | OFR-2024-0673</t>
        </is>
      </c>
      <c r="D121" s="17" t="inlineStr">
        <is>
          <t>WL-01562 | Karen Ward</t>
        </is>
      </c>
      <c r="E121" s="17" t="inlineStr">
        <is>
          <t>Rank 562 | current app 2023-04-18 | ACTIVE_WAITLIST</t>
        </is>
      </c>
      <c r="F121" s="17" t="inlineStr">
        <is>
          <t>GW-0219 / 80 ft | Gullwing</t>
        </is>
      </c>
      <c r="G121" s="17" t="inlineStr">
        <is>
          <t>preference-mismatch | Y / REPAIR_ESTIMATE</t>
        </is>
      </c>
      <c r="H121" s="17" t="inlineStr">
        <is>
          <t>CSV says attachment present; underlying file not individually furnished</t>
        </is>
      </c>
      <c r="I121" s="17" t="inlineStr">
        <is>
          <t>No exception identified in screening</t>
        </is>
      </c>
      <c r="J121" s="17" t="inlineStr"/>
      <c r="K121" s="17" t="inlineStr"/>
      <c r="L121" s="17" t="inlineStr">
        <is>
          <t>No Board remedy recommended from supplied screening record; retain file for source-population reconciliation.</t>
        </is>
      </c>
    </row>
    <row r="122" outlineLevel="1">
      <c r="A122" s="17" t="inlineStr"/>
      <c r="B122" s="17" t="inlineStr">
        <is>
          <t>CSV row 193 | SKP-2024-0192</t>
        </is>
      </c>
      <c r="C122" s="17" t="inlineStr">
        <is>
          <t>2024-02-15 | OFR-2024-0670</t>
        </is>
      </c>
      <c r="D122" s="17" t="inlineStr">
        <is>
          <t>WL-03127 | Lindsay Dixon</t>
        </is>
      </c>
      <c r="E122" s="17" t="inlineStr">
        <is>
          <t>Rank 2127 | current app 2025-04-22 | ACTIVE_WAITLIST</t>
        </is>
      </c>
      <c r="F122" s="17" t="inlineStr">
        <is>
          <t>LP-0515 / 40 ft | Ledgport</t>
        </is>
      </c>
      <c r="G122" s="17" t="inlineStr">
        <is>
          <t>preference-mismatch | Y / WRITTEN_STATEMENT</t>
        </is>
      </c>
      <c r="H122" s="17" t="inlineStr">
        <is>
          <t>CSV says attachment present; underlying file not individually furnished</t>
        </is>
      </c>
      <c r="I122" s="17" t="inlineStr">
        <is>
          <t>No exception identified in screening</t>
        </is>
      </c>
      <c r="J122" s="17" t="inlineStr"/>
      <c r="K122" s="17" t="inlineStr">
        <is>
          <t>Predates current application date</t>
        </is>
      </c>
      <c r="L122" s="17" t="inlineStr">
        <is>
          <t>No Board remedy recommended from supplied screening record; retain file for source-population reconciliation.</t>
        </is>
      </c>
    </row>
    <row r="123" outlineLevel="1">
      <c r="A123" s="17" t="inlineStr"/>
      <c r="B123" s="17" t="inlineStr">
        <is>
          <t>CSV row 190 | SKP-2024-0189</t>
        </is>
      </c>
      <c r="C123" s="17" t="inlineStr">
        <is>
          <t>2024-02-20 | OFR-2024-0661</t>
        </is>
      </c>
      <c r="D123" s="17" t="inlineStr">
        <is>
          <t>WL-03141 | Joseph Green</t>
        </is>
      </c>
      <c r="E123" s="17" t="inlineStr">
        <is>
          <t>Rank 2141 | current app 2025-04-30 | ACTIVE_WAITLIST</t>
        </is>
      </c>
      <c r="F123" s="17" t="inlineStr">
        <is>
          <t>LP-0203 / 28 ft | Ledgport</t>
        </is>
      </c>
      <c r="G123" s="17" t="inlineStr">
        <is>
          <t>vessel-fit | Y / WRITTEN_STATEMENT</t>
        </is>
      </c>
      <c r="H123" s="17" t="inlineStr">
        <is>
          <t>CSV says attachment present; underlying file not individually furnished</t>
        </is>
      </c>
      <c r="I123" s="17" t="inlineStr">
        <is>
          <t>No exception identified in screening</t>
        </is>
      </c>
      <c r="J123" s="17" t="inlineStr"/>
      <c r="K123" s="17" t="inlineStr">
        <is>
          <t>Predates current application date</t>
        </is>
      </c>
      <c r="L123" s="17" t="inlineStr">
        <is>
          <t>No Board remedy recommended from supplied screening record; retain file for source-population reconciliation.</t>
        </is>
      </c>
    </row>
    <row r="124" outlineLevel="1">
      <c r="A124" s="17" t="inlineStr"/>
      <c r="B124" s="17" t="inlineStr">
        <is>
          <t>CSV row 191 | SKP-2024-0190</t>
        </is>
      </c>
      <c r="C124" s="17" t="inlineStr">
        <is>
          <t>2024-02-24 | OFR-2024-0663</t>
        </is>
      </c>
      <c r="D124" s="17" t="inlineStr">
        <is>
          <t>WL-02349 | Natalie Mason</t>
        </is>
      </c>
      <c r="E124" s="17" t="inlineStr">
        <is>
          <t>Rank 1349 | current app 2024-05-17 | ACTIVE_WAITLIST</t>
        </is>
      </c>
      <c r="F124" s="17" t="inlineStr">
        <is>
          <t>SB-0403 / 24 ft | Salmonberry</t>
        </is>
      </c>
      <c r="G124" s="17" t="inlineStr">
        <is>
          <t>preference-mismatch | Y / REPAIR_ESTIMATE</t>
        </is>
      </c>
      <c r="H124" s="17" t="inlineStr">
        <is>
          <t>CSV says attachment present; underlying file not individually furnished</t>
        </is>
      </c>
      <c r="I124" s="17" t="inlineStr">
        <is>
          <t>No exception identified in screening</t>
        </is>
      </c>
      <c r="J124" s="17" t="inlineStr"/>
      <c r="K124" s="17" t="inlineStr">
        <is>
          <t>Predates current application date</t>
        </is>
      </c>
      <c r="L124" s="17" t="inlineStr">
        <is>
          <t>No Board remedy recommended from supplied screening record; retain file for source-population reconciliation.</t>
        </is>
      </c>
    </row>
    <row r="125" outlineLevel="1">
      <c r="A125" s="17" t="inlineStr"/>
      <c r="B125" s="17" t="inlineStr">
        <is>
          <t>CSV row 201 | SKP-2024-0200</t>
        </is>
      </c>
      <c r="C125" s="17" t="inlineStr">
        <is>
          <t>2024-03-02 | OFR-2024-0693</t>
        </is>
      </c>
      <c r="D125" s="17" t="inlineStr">
        <is>
          <t>WL-02893 | Christopher Carrillo</t>
        </is>
      </c>
      <c r="E125" s="17" t="inlineStr">
        <is>
          <t>Rank 1893 | current app 2025-01-07 | EXPIRED</t>
        </is>
      </c>
      <c r="F125" s="17" t="inlineStr">
        <is>
          <t>EW-1021 / 70 ft | Eastwey</t>
        </is>
      </c>
      <c r="G125" s="17" t="inlineStr">
        <is>
          <t>declined-prior-offer | Y / INSURANCE_DECL</t>
        </is>
      </c>
      <c r="H125" s="17" t="inlineStr">
        <is>
          <t>CSV says attachment present; underlying file not individually furnished</t>
        </is>
      </c>
      <c r="I125" s="17" t="inlineStr">
        <is>
          <t>No exception identified in screening</t>
        </is>
      </c>
      <c r="J125" s="17" t="inlineStr"/>
      <c r="K125" s="17" t="inlineStr">
        <is>
          <t>Predates current application date</t>
        </is>
      </c>
      <c r="L125" s="17" t="inlineStr">
        <is>
          <t>No Board remedy recommended from supplied screening record; retain file for source-population reconciliation.</t>
        </is>
      </c>
    </row>
    <row r="126" outlineLevel="1">
      <c r="A126" s="17" t="inlineStr"/>
      <c r="B126" s="17" t="inlineStr">
        <is>
          <t>CSV row 204 | SKP-2024-0203</t>
        </is>
      </c>
      <c r="C126" s="17" t="inlineStr">
        <is>
          <t>2024-03-02 | OFR-2024-0701</t>
        </is>
      </c>
      <c r="D126" s="17" t="inlineStr">
        <is>
          <t>WL-02769 | Jacqueline Simon</t>
        </is>
      </c>
      <c r="E126" s="17" t="inlineStr">
        <is>
          <t>Rank 1769 | current app 2024-11-19 | RETAINER</t>
        </is>
      </c>
      <c r="F126" s="17" t="inlineStr">
        <is>
          <t>EW-0902 / 80 ft | Eastwey</t>
        </is>
      </c>
      <c r="G126" s="17" t="inlineStr">
        <is>
          <t>declined-prior-offer | Y / OTHER_SUPPORT</t>
        </is>
      </c>
      <c r="H126" s="17" t="inlineStr">
        <is>
          <t>CSV says attachment present; underlying file not individually furnished</t>
        </is>
      </c>
      <c r="I126" s="17" t="inlineStr">
        <is>
          <t>No exception identified in screening</t>
        </is>
      </c>
      <c r="J126" s="17" t="inlineStr"/>
      <c r="K126" s="17" t="inlineStr">
        <is>
          <t>Predates current application date</t>
        </is>
      </c>
      <c r="L126" s="17" t="inlineStr">
        <is>
          <t>No Board remedy recommended from supplied screening record; retain file for source-population reconciliation.</t>
        </is>
      </c>
    </row>
    <row r="127" outlineLevel="1">
      <c r="A127" s="17" t="inlineStr"/>
      <c r="B127" s="17" t="inlineStr">
        <is>
          <t>CSV row 412 | SKP-2024-0411</t>
        </is>
      </c>
      <c r="C127" s="17" t="inlineStr">
        <is>
          <t>2024-03-19 | OFR-2024-1487</t>
        </is>
      </c>
      <c r="D127" s="17" t="inlineStr">
        <is>
          <t>WL-02877 | Sandra Milovich</t>
        </is>
      </c>
      <c r="E127" s="17" t="inlineStr">
        <is>
          <t>Rank 1877 | current app 2025-01-03 | ACTIVE_WAITLIST</t>
        </is>
      </c>
      <c r="F127" s="17" t="inlineStr">
        <is>
          <t>GW-1012 / 80 ft | Gullwing</t>
        </is>
      </c>
      <c r="G127" s="17" t="inlineStr">
        <is>
          <t>vessel-fit | Y / REPAIR_ESTIMATE</t>
        </is>
      </c>
      <c r="H127" s="17" t="inlineStr">
        <is>
          <t>WL-02877 PDF pp.1-3: facially complete</t>
        </is>
      </c>
      <c r="I127" s="17" t="inlineStr">
        <is>
          <t>No exception identified in screening</t>
        </is>
      </c>
      <c r="J127" s="17" t="inlineStr"/>
      <c r="K127" s="17" t="inlineStr">
        <is>
          <t>Predates current application date; Offer ID absent from offer export</t>
        </is>
      </c>
      <c r="L127" s="17" t="inlineStr">
        <is>
          <t>No Board remedy recommended from supplied screening record; retain file for source-population reconciliation.</t>
        </is>
      </c>
    </row>
    <row r="128" outlineLevel="1">
      <c r="A128" s="17" t="inlineStr"/>
      <c r="B128" s="17" t="inlineStr">
        <is>
          <t>CSV row 203 | SKP-2024-0202</t>
        </is>
      </c>
      <c r="C128" s="17" t="inlineStr">
        <is>
          <t>2024-03-20 | OFR-2024-0700</t>
        </is>
      </c>
      <c r="D128" s="17" t="inlineStr">
        <is>
          <t>WL-03661 | Kenneth Williams</t>
        </is>
      </c>
      <c r="E128" s="17" t="inlineStr">
        <is>
          <t>Rank 2661 | current app 2026-01-16 | ACTIVE_WAITLIST</t>
        </is>
      </c>
      <c r="F128" s="17" t="inlineStr">
        <is>
          <t>EW-0709 / 28 ft | Eastwey</t>
        </is>
      </c>
      <c r="G128" s="17" t="inlineStr">
        <is>
          <t>vessel-fit | Y / INSURANCE_DECL</t>
        </is>
      </c>
      <c r="H128" s="17" t="inlineStr">
        <is>
          <t>CSV says attachment present; underlying file not individually furnished</t>
        </is>
      </c>
      <c r="I128" s="17" t="inlineStr">
        <is>
          <t>No exception identified in screening</t>
        </is>
      </c>
      <c r="J128" s="17" t="inlineStr"/>
      <c r="K128" s="17" t="inlineStr">
        <is>
          <t>Predates current application date</t>
        </is>
      </c>
      <c r="L128" s="17" t="inlineStr">
        <is>
          <t>No Board remedy recommended from supplied screening record; retain file for source-population reconciliation.</t>
        </is>
      </c>
    </row>
    <row r="129" outlineLevel="1">
      <c r="A129" s="17" t="inlineStr"/>
      <c r="B129" s="17" t="inlineStr">
        <is>
          <t>CSV row 199 | SKP-2024-0198</t>
        </is>
      </c>
      <c r="C129" s="17" t="inlineStr">
        <is>
          <t>2024-03-22 | OFR-2024-0683</t>
        </is>
      </c>
      <c r="D129" s="17" t="inlineStr">
        <is>
          <t>WL-02027 | Monica Hammond</t>
        </is>
      </c>
      <c r="E129" s="17" t="inlineStr">
        <is>
          <t>Rank 1027 | current app 2023-12-19 | ACTIVE_WAITLIST</t>
        </is>
      </c>
      <c r="F129" s="17" t="inlineStr">
        <is>
          <t>GW-0801 / 80 ft | Gullwing</t>
        </is>
      </c>
      <c r="G129" s="17" t="inlineStr">
        <is>
          <t>not-current | Y / WRITTEN_STATEMENT</t>
        </is>
      </c>
      <c r="H129" s="17" t="inlineStr">
        <is>
          <t>CSV says attachment present; underlying file not individually furnished</t>
        </is>
      </c>
      <c r="I129" s="17" t="inlineStr">
        <is>
          <t>No exception identified in screening</t>
        </is>
      </c>
      <c r="J129" s="17" t="inlineStr"/>
      <c r="K129" s="17" t="inlineStr"/>
      <c r="L129" s="17" t="inlineStr">
        <is>
          <t>No Board remedy recommended from supplied screening record; retain file for source-population reconciliation.</t>
        </is>
      </c>
    </row>
    <row r="130" outlineLevel="1">
      <c r="A130" s="17" t="inlineStr"/>
      <c r="B130" s="17" t="inlineStr">
        <is>
          <t>CSV row 197 | SKP-2024-0196</t>
        </is>
      </c>
      <c r="C130" s="17" t="inlineStr">
        <is>
          <t>2024-03-23 | OFR-2024-0676</t>
        </is>
      </c>
      <c r="D130" s="17" t="inlineStr">
        <is>
          <t>WL-02629 | Joseph Powell</t>
        </is>
      </c>
      <c r="E130" s="17" t="inlineStr">
        <is>
          <t>Rank 1629 | current app 2024-09-22 | ACTIVE_WAITLIST</t>
        </is>
      </c>
      <c r="F130" s="17" t="inlineStr">
        <is>
          <t>VB-1021 / 40 ft | Vessbank</t>
        </is>
      </c>
      <c r="G130" s="17" t="inlineStr">
        <is>
          <t>vessel-fit | Y / REPAIR_ESTIMATE</t>
        </is>
      </c>
      <c r="H130" s="17" t="inlineStr">
        <is>
          <t>CSV says attachment present; underlying file not individually furnished</t>
        </is>
      </c>
      <c r="I130" s="17" t="inlineStr">
        <is>
          <t>No exception identified in screening</t>
        </is>
      </c>
      <c r="J130" s="17" t="inlineStr"/>
      <c r="K130" s="17" t="inlineStr">
        <is>
          <t>Predates current application date</t>
        </is>
      </c>
      <c r="L130" s="17" t="inlineStr">
        <is>
          <t>No Board remedy recommended from supplied screening record; retain file for source-population reconciliation.</t>
        </is>
      </c>
    </row>
    <row r="131" outlineLevel="1">
      <c r="A131" s="17" t="inlineStr"/>
      <c r="B131" s="17" t="inlineStr">
        <is>
          <t>CSV row 202 | SKP-2024-0201</t>
        </is>
      </c>
      <c r="C131" s="17" t="inlineStr">
        <is>
          <t>2024-03-25 | OFR-2024-0698</t>
        </is>
      </c>
      <c r="D131" s="17" t="inlineStr">
        <is>
          <t>WL-02274 | Kevin Green</t>
        </is>
      </c>
      <c r="E131" s="17" t="inlineStr">
        <is>
          <t>Rank 1274 | current app 2024-04-18 | ACTIVE_WAITLIST</t>
        </is>
      </c>
      <c r="F131" s="17" t="inlineStr">
        <is>
          <t>VB-0721 / 28 ft | Vessbank</t>
        </is>
      </c>
      <c r="G131" s="17" t="inlineStr">
        <is>
          <t>vessel-fit | Y / WRITTEN_STATEMENT</t>
        </is>
      </c>
      <c r="H131" s="17" t="inlineStr">
        <is>
          <t>CSV says attachment present; underlying file not individually furnished</t>
        </is>
      </c>
      <c r="I131" s="17" t="inlineStr">
        <is>
          <t>No exception identified in screening</t>
        </is>
      </c>
      <c r="J131" s="17" t="inlineStr"/>
      <c r="K131" s="17" t="inlineStr">
        <is>
          <t>Predates current application date</t>
        </is>
      </c>
      <c r="L131" s="17" t="inlineStr">
        <is>
          <t>No Board remedy recommended from supplied screening record; retain file for source-population reconciliation.</t>
        </is>
      </c>
    </row>
    <row r="132" outlineLevel="1">
      <c r="A132" s="17" t="inlineStr"/>
      <c r="B132" s="17" t="inlineStr">
        <is>
          <t>CSV row 200 | SKP-2024-0199</t>
        </is>
      </c>
      <c r="C132" s="17" t="inlineStr">
        <is>
          <t>2024-03-27 | OFR-2024-0690</t>
        </is>
      </c>
      <c r="D132" s="17" t="inlineStr">
        <is>
          <t>WL-03185 | Sarah Davis</t>
        </is>
      </c>
      <c r="E132" s="17" t="inlineStr">
        <is>
          <t>Rank 2185 | current app 2025-05-16 | ACTIVE_WAITLIST</t>
        </is>
      </c>
      <c r="F132" s="17" t="inlineStr">
        <is>
          <t>SB-0824 / 24 ft | Salmonberry</t>
        </is>
      </c>
      <c r="G132" s="17" t="inlineStr">
        <is>
          <t>vessel-fit | Y / OTHER_SUPPORT</t>
        </is>
      </c>
      <c r="H132" s="17" t="inlineStr">
        <is>
          <t>CSV says attachment present; underlying file not individually furnished</t>
        </is>
      </c>
      <c r="I132" s="17" t="inlineStr">
        <is>
          <t>No exception identified in screening</t>
        </is>
      </c>
      <c r="J132" s="17" t="inlineStr"/>
      <c r="K132" s="17" t="inlineStr">
        <is>
          <t>Predates current application date</t>
        </is>
      </c>
      <c r="L132" s="17" t="inlineStr">
        <is>
          <t>No Board remedy recommended from supplied screening record; retain file for source-population reconciliation.</t>
        </is>
      </c>
    </row>
    <row r="133" outlineLevel="1">
      <c r="A133" s="17" t="inlineStr"/>
      <c r="B133" s="17" t="inlineStr">
        <is>
          <t>CSV row 198 | SKP-2024-0197</t>
        </is>
      </c>
      <c r="C133" s="17" t="inlineStr">
        <is>
          <t>2024-03-28 | OFR-2024-0679</t>
        </is>
      </c>
      <c r="D133" s="17" t="inlineStr">
        <is>
          <t>WL-03621 | Denise Powers</t>
        </is>
      </c>
      <c r="E133" s="17" t="inlineStr">
        <is>
          <t>Rank 2621 | current app 2025-12-27 | ACTIVE_WAITLIST</t>
        </is>
      </c>
      <c r="F133" s="17" t="inlineStr">
        <is>
          <t>SB-0601 / 24 ft | Salmonberry</t>
        </is>
      </c>
      <c r="G133" s="17" t="inlineStr">
        <is>
          <t>declined-prior-offer | Y / OTHER_SUPPORT</t>
        </is>
      </c>
      <c r="H133" s="17" t="inlineStr">
        <is>
          <t>CSV says attachment present; underlying file not individually furnished</t>
        </is>
      </c>
      <c r="I133" s="17" t="inlineStr">
        <is>
          <t>No exception identified in screening</t>
        </is>
      </c>
      <c r="J133" s="17" t="inlineStr"/>
      <c r="K133" s="17" t="inlineStr">
        <is>
          <t>Predates current application date</t>
        </is>
      </c>
      <c r="L133" s="17" t="inlineStr">
        <is>
          <t>No Board remedy recommended from supplied screening record; retain file for source-population reconciliation.</t>
        </is>
      </c>
    </row>
    <row r="134" outlineLevel="1">
      <c r="A134" s="17" t="inlineStr"/>
      <c r="B134" s="17" t="inlineStr">
        <is>
          <t>CSV row 207 | SKP-2024-0206</t>
        </is>
      </c>
      <c r="C134" s="17" t="inlineStr">
        <is>
          <t>2024-04-08 | OFR-2024-0724</t>
        </is>
      </c>
      <c r="D134" s="17" t="inlineStr">
        <is>
          <t>WL-03018 | Jessica Duffy</t>
        </is>
      </c>
      <c r="E134" s="17" t="inlineStr">
        <is>
          <t>Rank 2018 | current app 2025-03-04 | ACTIVE_WAITLIST</t>
        </is>
      </c>
      <c r="F134" s="17" t="inlineStr">
        <is>
          <t>VB-0617 / 40 ft | Vessbank</t>
        </is>
      </c>
      <c r="G134" s="17" t="inlineStr">
        <is>
          <t>vessel-fit | Y / REPAIR_ESTIMATE</t>
        </is>
      </c>
      <c r="H134" s="17" t="inlineStr">
        <is>
          <t>CSV says attachment present; underlying file not individually furnished</t>
        </is>
      </c>
      <c r="I134" s="17" t="inlineStr">
        <is>
          <t>No exception identified in screening</t>
        </is>
      </c>
      <c r="J134" s="17" t="inlineStr"/>
      <c r="K134" s="17" t="inlineStr">
        <is>
          <t>Predates current application date</t>
        </is>
      </c>
      <c r="L134" s="17" t="inlineStr">
        <is>
          <t>No Board remedy recommended from supplied screening record; retain file for source-population reconciliation.</t>
        </is>
      </c>
    </row>
    <row r="135" outlineLevel="1">
      <c r="A135" s="17" t="inlineStr"/>
      <c r="B135" s="17" t="inlineStr">
        <is>
          <t>CSV row 206 | SKP-2024-0205</t>
        </is>
      </c>
      <c r="C135" s="17" t="inlineStr">
        <is>
          <t>2024-04-25 | OFR-2024-0707</t>
        </is>
      </c>
      <c r="D135" s="17" t="inlineStr">
        <is>
          <t>WL-02895 | Madison Hensley</t>
        </is>
      </c>
      <c r="E135" s="17" t="inlineStr">
        <is>
          <t>Rank 1895 | current app 2025-01-07 | ACTIVE_WAITLIST</t>
        </is>
      </c>
      <c r="F135" s="17" t="inlineStr">
        <is>
          <t>EW-0306 / 50 ft | Eastwey</t>
        </is>
      </c>
      <c r="G135" s="17" t="inlineStr">
        <is>
          <t>vessel-fit | Y / INSURANCE_DECL</t>
        </is>
      </c>
      <c r="H135" s="17" t="inlineStr">
        <is>
          <t>CSV says attachment present; underlying file not individually furnished</t>
        </is>
      </c>
      <c r="I135" s="17" t="inlineStr">
        <is>
          <t>No exception identified in screening</t>
        </is>
      </c>
      <c r="J135" s="17" t="inlineStr"/>
      <c r="K135" s="17" t="inlineStr">
        <is>
          <t>Predates current application date</t>
        </is>
      </c>
      <c r="L135" s="17" t="inlineStr">
        <is>
          <t>No Board remedy recommended from supplied screening record; retain file for source-population reconciliation.</t>
        </is>
      </c>
    </row>
    <row r="136" outlineLevel="1">
      <c r="A136" s="17" t="inlineStr"/>
      <c r="B136" s="17" t="inlineStr">
        <is>
          <t>CSV row 215 | SKP-2024-0214</t>
        </is>
      </c>
      <c r="C136" s="17" t="inlineStr">
        <is>
          <t>2024-05-01 | OFR-2024-0762</t>
        </is>
      </c>
      <c r="D136" s="17" t="inlineStr">
        <is>
          <t>WL-01318 | Denise Montgomery</t>
        </is>
      </c>
      <c r="E136" s="17" t="inlineStr">
        <is>
          <t>Rank 318 | current app 2022-12-02 | ACTIVE_WAITLIST</t>
        </is>
      </c>
      <c r="F136" s="17" t="inlineStr">
        <is>
          <t>SB-0405 / 45 ft | Salmonberry</t>
        </is>
      </c>
      <c r="G136" s="17" t="inlineStr">
        <is>
          <t>preference-mismatch | Y / REPAIR_ESTIMATE</t>
        </is>
      </c>
      <c r="H136" s="17" t="inlineStr">
        <is>
          <t>CSV says attachment present; underlying file not individually furnished</t>
        </is>
      </c>
      <c r="I136" s="17" t="inlineStr">
        <is>
          <t>No exception identified in screening</t>
        </is>
      </c>
      <c r="J136" s="17" t="inlineStr"/>
      <c r="K136" s="17" t="inlineStr"/>
      <c r="L136" s="17" t="inlineStr">
        <is>
          <t>No Board remedy recommended from supplied screening record; retain file for source-population reconciliation.</t>
        </is>
      </c>
    </row>
    <row r="137" outlineLevel="1">
      <c r="A137" s="17" t="inlineStr"/>
      <c r="B137" s="17" t="inlineStr">
        <is>
          <t>CSV row 209 | SKP-2024-0208</t>
        </is>
      </c>
      <c r="C137" s="17" t="inlineStr">
        <is>
          <t>2024-05-08 | OFR-2024-0737</t>
        </is>
      </c>
      <c r="D137" s="17" t="inlineStr">
        <is>
          <t>WL-02305 | John Patel</t>
        </is>
      </c>
      <c r="E137" s="17" t="inlineStr">
        <is>
          <t>Rank 1305 | current app 2024-04-28 | ACTIVE_WAITLIST</t>
        </is>
      </c>
      <c r="F137" s="17" t="inlineStr">
        <is>
          <t>GW-0823 / 60 ft | Gullwing</t>
        </is>
      </c>
      <c r="G137" s="17" t="inlineStr">
        <is>
          <t>declined-prior-offer | Y / REPAIR_ESTIMATE</t>
        </is>
      </c>
      <c r="H137" s="17" t="inlineStr">
        <is>
          <t>CSV says attachment present; underlying file not individually furnished</t>
        </is>
      </c>
      <c r="I137" s="17" t="inlineStr">
        <is>
          <t>No exception identified in screening</t>
        </is>
      </c>
      <c r="J137" s="17" t="inlineStr"/>
      <c r="K137" s="17" t="inlineStr"/>
      <c r="L137" s="17" t="inlineStr">
        <is>
          <t>No Board remedy recommended from supplied screening record; retain file for source-population reconciliation.</t>
        </is>
      </c>
    </row>
    <row r="138" outlineLevel="1">
      <c r="A138" s="17" t="inlineStr"/>
      <c r="B138" s="17" t="inlineStr">
        <is>
          <t>CSV row 210 | SKP-2024-0209</t>
        </is>
      </c>
      <c r="C138" s="17" t="inlineStr">
        <is>
          <t>2024-05-13 | OFR-2024-0746</t>
        </is>
      </c>
      <c r="D138" s="17" t="inlineStr">
        <is>
          <t>WL-01675 | Christina Smith</t>
        </is>
      </c>
      <c r="E138" s="17" t="inlineStr">
        <is>
          <t>Rank 675 | current app 2023-06-21 | ACTIVE_WAITLIST</t>
        </is>
      </c>
      <c r="F138" s="17" t="inlineStr">
        <is>
          <t>VB-0808 / 24 ft | Vessbank</t>
        </is>
      </c>
      <c r="G138" s="17" t="inlineStr">
        <is>
          <t>preference-mismatch | Y / INSURANCE_DECL</t>
        </is>
      </c>
      <c r="H138" s="17" t="inlineStr">
        <is>
          <t>CSV says attachment present; underlying file not individually furnished</t>
        </is>
      </c>
      <c r="I138" s="17" t="inlineStr">
        <is>
          <t>No exception identified in screening</t>
        </is>
      </c>
      <c r="J138" s="17" t="inlineStr"/>
      <c r="K138" s="17" t="inlineStr"/>
      <c r="L138" s="17" t="inlineStr">
        <is>
          <t>No Board remedy recommended from supplied screening record; retain file for source-population reconciliation.</t>
        </is>
      </c>
    </row>
    <row r="139" outlineLevel="1">
      <c r="A139" s="17" t="inlineStr"/>
      <c r="B139" s="17" t="inlineStr">
        <is>
          <t>CSV row 214 | SKP-2024-0213</t>
        </is>
      </c>
      <c r="C139" s="17" t="inlineStr">
        <is>
          <t>2024-05-15 | OFR-2024-0759</t>
        </is>
      </c>
      <c r="D139" s="17" t="inlineStr">
        <is>
          <t>WL-01753 | Erin Valencia</t>
        </is>
      </c>
      <c r="E139" s="17" t="inlineStr">
        <is>
          <t>Rank 753 | current app 2023-08-06 | ACTIVE_WAITLIST</t>
        </is>
      </c>
      <c r="F139" s="17" t="inlineStr">
        <is>
          <t>LP-0722 / 24 ft | Ledgport</t>
        </is>
      </c>
      <c r="G139" s="17" t="inlineStr">
        <is>
          <t>declined-prior-offer | Y / INSURANCE_DECL</t>
        </is>
      </c>
      <c r="H139" s="17" t="inlineStr">
        <is>
          <t>CSV says attachment present; underlying file not individually furnished</t>
        </is>
      </c>
      <c r="I139" s="17" t="inlineStr">
        <is>
          <t>No exception identified in screening</t>
        </is>
      </c>
      <c r="J139" s="17" t="inlineStr"/>
      <c r="K139" s="17" t="inlineStr"/>
      <c r="L139" s="17" t="inlineStr">
        <is>
          <t>No Board remedy recommended from supplied screening record; retain file for source-population reconciliation.</t>
        </is>
      </c>
    </row>
    <row r="140" outlineLevel="1">
      <c r="A140" s="17" t="inlineStr"/>
      <c r="B140" s="17" t="inlineStr">
        <is>
          <t>CSV row 212 | SKP-2024-0211</t>
        </is>
      </c>
      <c r="C140" s="17" t="inlineStr">
        <is>
          <t>2024-05-19 | OFR-2024-0752</t>
        </is>
      </c>
      <c r="D140" s="17" t="inlineStr">
        <is>
          <t>WL-01536 | Deborah Spears</t>
        </is>
      </c>
      <c r="E140" s="17" t="inlineStr">
        <is>
          <t>Rank 536 | current app 2023-04-03 | ACTIVE_WAITLIST</t>
        </is>
      </c>
      <c r="F140" s="17" t="inlineStr">
        <is>
          <t>GW-0522 / 28 ft | Gullwing</t>
        </is>
      </c>
      <c r="G140" s="17" t="inlineStr">
        <is>
          <t>not-current | Y / INSURANCE_DECL</t>
        </is>
      </c>
      <c r="H140" s="17" t="inlineStr">
        <is>
          <t>CSV says attachment present; underlying file not individually furnished</t>
        </is>
      </c>
      <c r="I140" s="17" t="inlineStr">
        <is>
          <t>No exception identified in screening</t>
        </is>
      </c>
      <c r="J140" s="17" t="inlineStr"/>
      <c r="K140" s="17" t="inlineStr"/>
      <c r="L140" s="17" t="inlineStr">
        <is>
          <t>No Board remedy recommended from supplied screening record; retain file for source-population reconciliation.</t>
        </is>
      </c>
    </row>
    <row r="141" outlineLevel="1">
      <c r="A141" s="17" t="inlineStr"/>
      <c r="B141" s="17" t="inlineStr">
        <is>
          <t>CSV row 216 | SKP-2024-0215</t>
        </is>
      </c>
      <c r="C141" s="17" t="inlineStr">
        <is>
          <t>2024-05-21 | OFR-2024-0766</t>
        </is>
      </c>
      <c r="D141" s="17" t="inlineStr">
        <is>
          <t>WL-03891 | David Melton</t>
        </is>
      </c>
      <c r="E141" s="17" t="inlineStr">
        <is>
          <t>Rank 2891 | current app 2026-06-27 | ACTIVE_WAITLIST</t>
        </is>
      </c>
      <c r="F141" s="17" t="inlineStr">
        <is>
          <t>EW-0607 / 24 ft | Eastwey</t>
        </is>
      </c>
      <c r="G141" s="17" t="inlineStr">
        <is>
          <t>vessel-fit | Y / REPAIR_ESTIMATE</t>
        </is>
      </c>
      <c r="H141" s="17" t="inlineStr">
        <is>
          <t>CSV says attachment present; underlying file not individually furnished</t>
        </is>
      </c>
      <c r="I141" s="17" t="inlineStr">
        <is>
          <t>No exception identified in screening</t>
        </is>
      </c>
      <c r="J141" s="17" t="inlineStr"/>
      <c r="K141" s="17" t="inlineStr">
        <is>
          <t>Predates current application date</t>
        </is>
      </c>
      <c r="L141" s="17" t="inlineStr">
        <is>
          <t>No Board remedy recommended from supplied screening record; retain file for source-population reconciliation.</t>
        </is>
      </c>
    </row>
    <row r="142" outlineLevel="1">
      <c r="A142" s="17" t="inlineStr"/>
      <c r="B142" s="17" t="inlineStr">
        <is>
          <t>CSV row 213 | SKP-2024-0212</t>
        </is>
      </c>
      <c r="C142" s="17" t="inlineStr">
        <is>
          <t>2024-05-22 | OFR-2024-0755</t>
        </is>
      </c>
      <c r="D142" s="17" t="inlineStr">
        <is>
          <t>WL-02013 | Elizabeth Harrison</t>
        </is>
      </c>
      <c r="E142" s="17" t="inlineStr">
        <is>
          <t>Rank 1013 | current app 2023-12-11 | ACTIVE_WAITLIST</t>
        </is>
      </c>
      <c r="F142" s="17" t="inlineStr">
        <is>
          <t>VB-0602 / 24 ft | Vessbank</t>
        </is>
      </c>
      <c r="G142" s="17" t="inlineStr">
        <is>
          <t>not-current | Y / REPAIR_ESTIMATE</t>
        </is>
      </c>
      <c r="H142" s="17" t="inlineStr">
        <is>
          <t>CSV says attachment present; underlying file not individually furnished</t>
        </is>
      </c>
      <c r="I142" s="17" t="inlineStr">
        <is>
          <t>No exception identified in screening</t>
        </is>
      </c>
      <c r="J142" s="17" t="inlineStr"/>
      <c r="K142" s="17" t="inlineStr"/>
      <c r="L142" s="17" t="inlineStr">
        <is>
          <t>No Board remedy recommended from supplied screening record; retain file for source-population reconciliation.</t>
        </is>
      </c>
    </row>
    <row r="143" outlineLevel="1">
      <c r="A143" s="17" t="inlineStr"/>
      <c r="B143" s="17" t="inlineStr">
        <is>
          <t>CSV row 211 | SKP-2024-0210</t>
        </is>
      </c>
      <c r="C143" s="17" t="inlineStr">
        <is>
          <t>2024-05-23 | OFR-2024-0747</t>
        </is>
      </c>
      <c r="D143" s="17" t="inlineStr">
        <is>
          <t>WL-01242 | Melissa Villanueva</t>
        </is>
      </c>
      <c r="E143" s="17" t="inlineStr">
        <is>
          <t>Rank 242 | current app 2022-10-04 | ACTIVE_WAITLIST</t>
        </is>
      </c>
      <c r="F143" s="17" t="inlineStr">
        <is>
          <t>GW-0905 / 50 ft | Gullwing</t>
        </is>
      </c>
      <c r="G143" s="17" t="inlineStr">
        <is>
          <t>declined-prior-offer | Y / REPAIR_ESTIMATE</t>
        </is>
      </c>
      <c r="H143" s="17" t="inlineStr">
        <is>
          <t>CSV says attachment present; underlying file not individually furnished</t>
        </is>
      </c>
      <c r="I143" s="17" t="inlineStr">
        <is>
          <t>No exception identified in screening</t>
        </is>
      </c>
      <c r="J143" s="17" t="inlineStr"/>
      <c r="K143" s="17" t="inlineStr"/>
      <c r="L143" s="17" t="inlineStr">
        <is>
          <t>No Board remedy recommended from supplied screening record; retain file for source-population reconciliation.</t>
        </is>
      </c>
    </row>
    <row r="144" outlineLevel="1">
      <c r="A144" s="17" t="inlineStr"/>
      <c r="B144" s="17" t="inlineStr">
        <is>
          <t>CSV row 221 | SKP-2024-0220</t>
        </is>
      </c>
      <c r="C144" s="17" t="inlineStr">
        <is>
          <t>2024-06-08 | OFR-2024-0791</t>
        </is>
      </c>
      <c r="D144" s="17" t="inlineStr">
        <is>
          <t>WL-03390 | Phillip Ard</t>
        </is>
      </c>
      <c r="E144" s="17" t="inlineStr">
        <is>
          <t>Rank 2390 | current app 2025-08-19 | RETAINER</t>
        </is>
      </c>
      <c r="F144" s="17" t="inlineStr">
        <is>
          <t>SB-0302 / 28 ft | Salmonberry</t>
        </is>
      </c>
      <c r="G144" s="17" t="inlineStr">
        <is>
          <t>declined-prior-offer | Y / INSURANCE_DECL</t>
        </is>
      </c>
      <c r="H144" s="17" t="inlineStr">
        <is>
          <t>CSV says attachment present; underlying file not individually furnished</t>
        </is>
      </c>
      <c r="I144" s="17" t="inlineStr">
        <is>
          <t>No exception identified in screening</t>
        </is>
      </c>
      <c r="J144" s="17" t="inlineStr"/>
      <c r="K144" s="17" t="inlineStr">
        <is>
          <t>Predates current application date</t>
        </is>
      </c>
      <c r="L144" s="17" t="inlineStr">
        <is>
          <t>No Board remedy recommended from supplied screening record; retain file for source-population reconciliation.</t>
        </is>
      </c>
    </row>
    <row r="145" outlineLevel="1">
      <c r="A145" s="17" t="inlineStr"/>
      <c r="B145" s="17" t="inlineStr">
        <is>
          <t>CSV row 222 | SKP-2024-0221</t>
        </is>
      </c>
      <c r="C145" s="17" t="inlineStr">
        <is>
          <t>2024-06-09 | OFR-2024-0792</t>
        </is>
      </c>
      <c r="D145" s="17" t="inlineStr">
        <is>
          <t>WL-01368 | Justin Turner</t>
        </is>
      </c>
      <c r="E145" s="17" t="inlineStr">
        <is>
          <t>Rank 368 | current app 2022-12-26 | ACTIVE_WAITLIST</t>
        </is>
      </c>
      <c r="F145" s="17" t="inlineStr">
        <is>
          <t>VB-0924 / 32 ft | Vessbank</t>
        </is>
      </c>
      <c r="G145" s="17" t="inlineStr">
        <is>
          <t>preference-mismatch | Y / OTHER_SUPPORT</t>
        </is>
      </c>
      <c r="H145" s="17" t="inlineStr">
        <is>
          <t>CSV says attachment present; underlying file not individually furnished</t>
        </is>
      </c>
      <c r="I145" s="17" t="inlineStr">
        <is>
          <t>No exception identified in screening</t>
        </is>
      </c>
      <c r="J145" s="17" t="inlineStr"/>
      <c r="K145" s="17" t="inlineStr"/>
      <c r="L145" s="17" t="inlineStr">
        <is>
          <t>No Board remedy recommended from supplied screening record; retain file for source-population reconciliation.</t>
        </is>
      </c>
    </row>
    <row r="146" outlineLevel="1">
      <c r="A146" s="17" t="inlineStr"/>
      <c r="B146" s="17" t="inlineStr">
        <is>
          <t>CSV row 217 | SKP-2024-0216</t>
        </is>
      </c>
      <c r="C146" s="17" t="inlineStr">
        <is>
          <t>2024-06-12 | OFR-2024-0772</t>
        </is>
      </c>
      <c r="D146" s="17" t="inlineStr">
        <is>
          <t>WL-03026 | Amanda Taylor</t>
        </is>
      </c>
      <c r="E146" s="17" t="inlineStr">
        <is>
          <t>Rank 2026 | current app 2025-03-06 | ACTIVE_WAITLIST</t>
        </is>
      </c>
      <c r="F146" s="17" t="inlineStr">
        <is>
          <t>LP-0324 / 32 ft | Ledgport</t>
        </is>
      </c>
      <c r="G146" s="17" t="inlineStr">
        <is>
          <t>not-current | Y / OTHER_SUPPORT</t>
        </is>
      </c>
      <c r="H146" s="17" t="inlineStr">
        <is>
          <t>CSV says attachment present; underlying file not individually furnished</t>
        </is>
      </c>
      <c r="I146" s="17" t="inlineStr">
        <is>
          <t>No exception identified in screening</t>
        </is>
      </c>
      <c r="J146" s="17" t="inlineStr"/>
      <c r="K146" s="17" t="inlineStr">
        <is>
          <t>Predates current application date</t>
        </is>
      </c>
      <c r="L146" s="17" t="inlineStr">
        <is>
          <t>No Board remedy recommended from supplied screening record; retain file for source-population reconciliation.</t>
        </is>
      </c>
    </row>
    <row r="147" outlineLevel="1">
      <c r="A147" s="17" t="inlineStr"/>
      <c r="B147" s="17" t="inlineStr">
        <is>
          <t>CSV row 219 | SKP-2024-0218</t>
        </is>
      </c>
      <c r="C147" s="17" t="inlineStr">
        <is>
          <t>2024-06-14 | OFR-2024-0784</t>
        </is>
      </c>
      <c r="D147" s="17" t="inlineStr">
        <is>
          <t>WL-03527 | Ashley Logan</t>
        </is>
      </c>
      <c r="E147" s="17" t="inlineStr">
        <is>
          <t>Rank 2527 | current app 2025-11-04 | ACTIVE_WAITLIST</t>
        </is>
      </c>
      <c r="F147" s="17" t="inlineStr">
        <is>
          <t>EW-0523 / 24 ft | Eastwey</t>
        </is>
      </c>
      <c r="G147" s="17" t="inlineStr">
        <is>
          <t>not-current | Y / INSURANCE_DECL</t>
        </is>
      </c>
      <c r="H147" s="17" t="inlineStr">
        <is>
          <t>CSV says attachment present; underlying file not individually furnished</t>
        </is>
      </c>
      <c r="I147" s="17" t="inlineStr">
        <is>
          <t>No exception identified in screening</t>
        </is>
      </c>
      <c r="J147" s="17" t="inlineStr"/>
      <c r="K147" s="17" t="inlineStr">
        <is>
          <t>Predates current application date</t>
        </is>
      </c>
      <c r="L147" s="17" t="inlineStr">
        <is>
          <t>No Board remedy recommended from supplied screening record; retain file for source-population reconciliation.</t>
        </is>
      </c>
    </row>
    <row r="148" outlineLevel="1">
      <c r="A148" s="17" t="inlineStr"/>
      <c r="B148" s="17" t="inlineStr">
        <is>
          <t>CSV row 218 | SKP-2024-0217</t>
        </is>
      </c>
      <c r="C148" s="17" t="inlineStr">
        <is>
          <t>2024-06-15 | OFR-2024-0774</t>
        </is>
      </c>
      <c r="D148" s="17" t="inlineStr">
        <is>
          <t>WL-03245 | Howard Sellers</t>
        </is>
      </c>
      <c r="E148" s="17" t="inlineStr">
        <is>
          <t>Rank 2245 | current app 2025-06-17 | ACTIVE_WAITLIST</t>
        </is>
      </c>
      <c r="F148" s="17" t="inlineStr">
        <is>
          <t>LP-1001 / 40 ft | Ledgport</t>
        </is>
      </c>
      <c r="G148" s="17" t="inlineStr">
        <is>
          <t>vessel-fit | Y / OTHER_SUPPORT</t>
        </is>
      </c>
      <c r="H148" s="17" t="inlineStr">
        <is>
          <t>CSV says attachment present; underlying file not individually furnished</t>
        </is>
      </c>
      <c r="I148" s="17" t="inlineStr">
        <is>
          <t>No exception identified in screening</t>
        </is>
      </c>
      <c r="J148" s="17" t="inlineStr"/>
      <c r="K148" s="17" t="inlineStr">
        <is>
          <t>Predates current application date</t>
        </is>
      </c>
      <c r="L148" s="17" t="inlineStr">
        <is>
          <t>No Board remedy recommended from supplied screening record; retain file for source-population reconciliation.</t>
        </is>
      </c>
    </row>
    <row r="149" outlineLevel="1">
      <c r="A149" s="17" t="inlineStr"/>
      <c r="B149" s="17" t="inlineStr">
        <is>
          <t>CSV row 224 | SKP-2024-0223</t>
        </is>
      </c>
      <c r="C149" s="17" t="inlineStr">
        <is>
          <t>2024-07-05 | OFR-2024-0823</t>
        </is>
      </c>
      <c r="D149" s="17" t="inlineStr">
        <is>
          <t>WL-01691 | Joshua Li</t>
        </is>
      </c>
      <c r="E149" s="17" t="inlineStr">
        <is>
          <t>Rank 691 | current app 2023-07-02 | ACTIVE_WAITLIST</t>
        </is>
      </c>
      <c r="F149" s="17" t="inlineStr">
        <is>
          <t>LP-1024 / 32 ft | Ledgport</t>
        </is>
      </c>
      <c r="G149" s="17" t="inlineStr">
        <is>
          <t>preference-mismatch | Y / INSURANCE_DECL</t>
        </is>
      </c>
      <c r="H149" s="17" t="inlineStr">
        <is>
          <t>CSV says attachment present; underlying file not individually furnished</t>
        </is>
      </c>
      <c r="I149" s="17" t="inlineStr">
        <is>
          <t>No exception identified in screening</t>
        </is>
      </c>
      <c r="J149" s="17" t="inlineStr"/>
      <c r="K149" s="17" t="inlineStr"/>
      <c r="L149" s="17" t="inlineStr">
        <is>
          <t>No Board remedy recommended from supplied screening record; retain file for source-population reconciliation.</t>
        </is>
      </c>
    </row>
    <row r="150" outlineLevel="1">
      <c r="A150" s="17" t="inlineStr"/>
      <c r="B150" s="17" t="inlineStr">
        <is>
          <t>CSV row 225 | SKP-2024-0224</t>
        </is>
      </c>
      <c r="C150" s="17" t="inlineStr">
        <is>
          <t>2024-07-14 | OFR-2024-0824</t>
        </is>
      </c>
      <c r="D150" s="17" t="inlineStr">
        <is>
          <t>WL-02850 | Edwin Boone</t>
        </is>
      </c>
      <c r="E150" s="17" t="inlineStr">
        <is>
          <t>Rank 1850 | current app 2024-12-24 | ACTIVE_WAITLIST</t>
        </is>
      </c>
      <c r="F150" s="17" t="inlineStr">
        <is>
          <t>SB-0107 / 40 ft | Salmonberry</t>
        </is>
      </c>
      <c r="G150" s="17" t="inlineStr">
        <is>
          <t>vessel-fit | Y / OTHER_SUPPORT</t>
        </is>
      </c>
      <c r="H150" s="17" t="inlineStr">
        <is>
          <t>CSV says attachment present; underlying file not individually furnished</t>
        </is>
      </c>
      <c r="I150" s="17" t="inlineStr">
        <is>
          <t>No exception identified in screening</t>
        </is>
      </c>
      <c r="J150" s="17" t="inlineStr"/>
      <c r="K150" s="17" t="inlineStr">
        <is>
          <t>Predates current application date</t>
        </is>
      </c>
      <c r="L150" s="17" t="inlineStr">
        <is>
          <t>No Board remedy recommended from supplied screening record; retain file for source-population reconciliation.</t>
        </is>
      </c>
    </row>
    <row r="151" outlineLevel="1">
      <c r="A151" s="17" t="inlineStr"/>
      <c r="B151" s="17" t="inlineStr">
        <is>
          <t>CSV row 223 | SKP-2024-0222</t>
        </is>
      </c>
      <c r="C151" s="17" t="inlineStr">
        <is>
          <t>2024-07-28 | OFR-2024-0818</t>
        </is>
      </c>
      <c r="D151" s="17" t="inlineStr">
        <is>
          <t>WL-01889 | Haley Scott</t>
        </is>
      </c>
      <c r="E151" s="17" t="inlineStr">
        <is>
          <t>Rank 889 | current app 2023-10-13 | ACTIVE_WAITLIST</t>
        </is>
      </c>
      <c r="F151" s="17" t="inlineStr">
        <is>
          <t>GW-0206 / 24 ft | Gullwing</t>
        </is>
      </c>
      <c r="G151" s="17" t="inlineStr">
        <is>
          <t>vessel-fit | Y / REPAIR_ESTIMATE</t>
        </is>
      </c>
      <c r="H151" s="17" t="inlineStr">
        <is>
          <t>CSV says attachment present; underlying file not individually furnished</t>
        </is>
      </c>
      <c r="I151" s="17" t="inlineStr">
        <is>
          <t>No exception identified in screening</t>
        </is>
      </c>
      <c r="J151" s="17" t="inlineStr"/>
      <c r="K151" s="17" t="inlineStr"/>
      <c r="L151" s="17" t="inlineStr">
        <is>
          <t>No Board remedy recommended from supplied screening record; retain file for source-population reconciliation.</t>
        </is>
      </c>
    </row>
    <row r="152" outlineLevel="1">
      <c r="A152" s="17" t="inlineStr"/>
      <c r="B152" s="17" t="inlineStr">
        <is>
          <t>CSV row 232 | SKP-2024-0231</t>
        </is>
      </c>
      <c r="C152" s="17" t="inlineStr">
        <is>
          <t>2024-08-04 | OFR-2024-0862</t>
        </is>
      </c>
      <c r="D152" s="17" t="inlineStr">
        <is>
          <t>WL-02925 | Leslie Marsh</t>
        </is>
      </c>
      <c r="E152" s="17" t="inlineStr">
        <is>
          <t>Rank 1925 | current app 2025-01-22 | ACTIVE_WAITLIST</t>
        </is>
      </c>
      <c r="F152" s="17" t="inlineStr">
        <is>
          <t>EW-0324 / 80 ft | Eastwey</t>
        </is>
      </c>
      <c r="G152" s="17" t="inlineStr">
        <is>
          <t>preference-mismatch | Y / WRITTEN_STATEMENT</t>
        </is>
      </c>
      <c r="H152" s="17" t="inlineStr">
        <is>
          <t>CSV says attachment present; underlying file not individually furnished</t>
        </is>
      </c>
      <c r="I152" s="17" t="inlineStr">
        <is>
          <t>No exception identified in screening</t>
        </is>
      </c>
      <c r="J152" s="17" t="inlineStr"/>
      <c r="K152" s="17" t="inlineStr">
        <is>
          <t>Predates current application date</t>
        </is>
      </c>
      <c r="L152" s="17" t="inlineStr">
        <is>
          <t>No Board remedy recommended from supplied screening record; retain file for source-population reconciliation.</t>
        </is>
      </c>
    </row>
    <row r="153" outlineLevel="1">
      <c r="A153" s="17" t="inlineStr"/>
      <c r="B153" s="17" t="inlineStr">
        <is>
          <t>CSV row 227 | SKP-2024-0226</t>
        </is>
      </c>
      <c r="C153" s="17" t="inlineStr">
        <is>
          <t>2024-08-06 | OFR-2024-0829</t>
        </is>
      </c>
      <c r="D153" s="17" t="inlineStr">
        <is>
          <t>WL-03542 | Kristina Rivas</t>
        </is>
      </c>
      <c r="E153" s="17" t="inlineStr">
        <is>
          <t>Rank 2542 | current app 2025-11-13 | RETAINER</t>
        </is>
      </c>
      <c r="F153" s="17" t="inlineStr">
        <is>
          <t>SB-0319 / 32 ft | Salmonberry</t>
        </is>
      </c>
      <c r="G153" s="17" t="inlineStr">
        <is>
          <t>vessel-fit | Y / REPAIR_ESTIMATE</t>
        </is>
      </c>
      <c r="H153" s="17" t="inlineStr">
        <is>
          <t>CSV says attachment present; underlying file not individually furnished</t>
        </is>
      </c>
      <c r="I153" s="17" t="inlineStr">
        <is>
          <t>No exception identified in screening</t>
        </is>
      </c>
      <c r="J153" s="17" t="inlineStr"/>
      <c r="K153" s="17" t="inlineStr">
        <is>
          <t>Predates current application date</t>
        </is>
      </c>
      <c r="L153" s="17" t="inlineStr">
        <is>
          <t>No Board remedy recommended from supplied screening record; retain file for source-population reconciliation.</t>
        </is>
      </c>
    </row>
    <row r="154" outlineLevel="1">
      <c r="A154" s="17" t="inlineStr"/>
      <c r="B154" s="17" t="inlineStr">
        <is>
          <t>CSV row 229 | SKP-2024-0228</t>
        </is>
      </c>
      <c r="C154" s="17" t="inlineStr">
        <is>
          <t>2024-08-10 | OFR-2024-0831</t>
        </is>
      </c>
      <c r="D154" s="17" t="inlineStr">
        <is>
          <t>WL-01001 | Valerie Jones</t>
        </is>
      </c>
      <c r="E154" s="17" t="inlineStr">
        <is>
          <t>Rank 1 | current app 2022-01-13 | EXPIRED</t>
        </is>
      </c>
      <c r="F154" s="17" t="inlineStr">
        <is>
          <t>VB-1008 / 36 ft | Vessbank</t>
        </is>
      </c>
      <c r="G154" s="17" t="inlineStr">
        <is>
          <t>not-current | Y / REPAIR_ESTIMATE</t>
        </is>
      </c>
      <c r="H154" s="17" t="inlineStr">
        <is>
          <t>CSV says attachment present; underlying file not individually furnished</t>
        </is>
      </c>
      <c r="I154" s="17" t="inlineStr">
        <is>
          <t>No exception identified in screening</t>
        </is>
      </c>
      <c r="J154" s="17" t="inlineStr"/>
      <c r="K154" s="17" t="inlineStr"/>
      <c r="L154" s="17" t="inlineStr">
        <is>
          <t>No Board remedy recommended from supplied screening record; retain file for source-population reconciliation.</t>
        </is>
      </c>
    </row>
    <row r="155" outlineLevel="1">
      <c r="A155" s="17" t="inlineStr"/>
      <c r="B155" s="17" t="inlineStr">
        <is>
          <t>CSV row 228 | SKP-2024-0227</t>
        </is>
      </c>
      <c r="C155" s="17" t="inlineStr">
        <is>
          <t>2024-08-16 | OFR-2024-0830</t>
        </is>
      </c>
      <c r="D155" s="17" t="inlineStr">
        <is>
          <t>WL-03759 | Ryan Newton</t>
        </is>
      </c>
      <c r="E155" s="17" t="inlineStr">
        <is>
          <t>Rank 2759 | current app 2026-03-18 | ACTIVE_WAITLIST</t>
        </is>
      </c>
      <c r="F155" s="17" t="inlineStr">
        <is>
          <t>GW-0123 / 80 ft | Gullwing</t>
        </is>
      </c>
      <c r="G155" s="17" t="inlineStr">
        <is>
          <t>not-current | Y / INSURANCE_DECL</t>
        </is>
      </c>
      <c r="H155" s="17" t="inlineStr">
        <is>
          <t>CSV says attachment present; underlying file not individually furnished</t>
        </is>
      </c>
      <c r="I155" s="17" t="inlineStr">
        <is>
          <t>No exception identified in screening</t>
        </is>
      </c>
      <c r="J155" s="17" t="inlineStr"/>
      <c r="K155" s="17" t="inlineStr">
        <is>
          <t>Predates current application date</t>
        </is>
      </c>
      <c r="L155" s="17" t="inlineStr">
        <is>
          <t>No Board remedy recommended from supplied screening record; retain file for source-population reconciliation.</t>
        </is>
      </c>
    </row>
    <row r="156" outlineLevel="1">
      <c r="A156" s="17" t="inlineStr"/>
      <c r="B156" s="17" t="inlineStr">
        <is>
          <t>CSV row 226 | SKP-2024-0225</t>
        </is>
      </c>
      <c r="C156" s="17" t="inlineStr">
        <is>
          <t>2024-08-18 | OFR-2024-0828</t>
        </is>
      </c>
      <c r="D156" s="17" t="inlineStr">
        <is>
          <t>WL-03762 | Kristen Anderson</t>
        </is>
      </c>
      <c r="E156" s="17" t="inlineStr">
        <is>
          <t>Rank 2762 | current app 2026-03-24 | ACTIVE_WAITLIST</t>
        </is>
      </c>
      <c r="F156" s="17" t="inlineStr">
        <is>
          <t>LP-0513 / 24 ft | Ledgport</t>
        </is>
      </c>
      <c r="G156" s="17" t="inlineStr">
        <is>
          <t>vessel-fit | Y / INSURANCE_DECL</t>
        </is>
      </c>
      <c r="H156" s="17" t="inlineStr">
        <is>
          <t>CSV says attachment present; underlying file not individually furnished</t>
        </is>
      </c>
      <c r="I156" s="17" t="inlineStr">
        <is>
          <t>No exception identified in screening</t>
        </is>
      </c>
      <c r="J156" s="17" t="inlineStr"/>
      <c r="K156" s="17" t="inlineStr">
        <is>
          <t>Predates current application date</t>
        </is>
      </c>
      <c r="L156" s="17" t="inlineStr">
        <is>
          <t>No Board remedy recommended from supplied screening record; retain file for source-population reconciliation.</t>
        </is>
      </c>
    </row>
    <row r="157" outlineLevel="1">
      <c r="A157" s="17" t="inlineStr"/>
      <c r="B157" s="17" t="inlineStr">
        <is>
          <t>CSV row 230 | SKP-2024-0229</t>
        </is>
      </c>
      <c r="C157" s="17" t="inlineStr">
        <is>
          <t>2024-08-25 | OFR-2024-0838</t>
        </is>
      </c>
      <c r="D157" s="17" t="inlineStr">
        <is>
          <t>WL-02791 | Kyle Jimenez</t>
        </is>
      </c>
      <c r="E157" s="17" t="inlineStr">
        <is>
          <t>Rank 1791 | current app 2024-11-27 | ACTIVE_WAITLIST</t>
        </is>
      </c>
      <c r="F157" s="17" t="inlineStr">
        <is>
          <t>SB-0205 / 45 ft | Salmonberry</t>
        </is>
      </c>
      <c r="G157" s="17" t="inlineStr">
        <is>
          <t>vessel-fit | Y / INSURANCE_DECL</t>
        </is>
      </c>
      <c r="H157" s="17" t="inlineStr">
        <is>
          <t>CSV says attachment present; underlying file not individually furnished</t>
        </is>
      </c>
      <c r="I157" s="17" t="inlineStr">
        <is>
          <t>No exception identified in screening</t>
        </is>
      </c>
      <c r="J157" s="17" t="inlineStr"/>
      <c r="K157" s="17" t="inlineStr">
        <is>
          <t>Predates current application date</t>
        </is>
      </c>
      <c r="L157" s="17" t="inlineStr">
        <is>
          <t>No Board remedy recommended from supplied screening record; retain file for source-population reconciliation.</t>
        </is>
      </c>
    </row>
    <row r="158" outlineLevel="1">
      <c r="A158" s="17" t="inlineStr"/>
      <c r="B158" s="17" t="inlineStr">
        <is>
          <t>CSV row 231 | SKP-2024-0230</t>
        </is>
      </c>
      <c r="C158" s="17" t="inlineStr">
        <is>
          <t>2024-08-28 | OFR-2024-0845</t>
        </is>
      </c>
      <c r="D158" s="17" t="inlineStr">
        <is>
          <t>WL-01998 | Katherine Johnson</t>
        </is>
      </c>
      <c r="E158" s="17" t="inlineStr">
        <is>
          <t>Rank 998 | current app 2023-12-03 | ACTIVE_WAITLIST</t>
        </is>
      </c>
      <c r="F158" s="17" t="inlineStr">
        <is>
          <t>EW-0118 / 45 ft | Eastwey</t>
        </is>
      </c>
      <c r="G158" s="17" t="inlineStr">
        <is>
          <t>vessel-fit | Y / INSURANCE_DECL</t>
        </is>
      </c>
      <c r="H158" s="17" t="inlineStr">
        <is>
          <t>CSV says attachment present; underlying file not individually furnished</t>
        </is>
      </c>
      <c r="I158" s="17" t="inlineStr">
        <is>
          <t>No exception identified in screening</t>
        </is>
      </c>
      <c r="J158" s="17" t="inlineStr"/>
      <c r="K158" s="17" t="inlineStr"/>
      <c r="L158" s="17" t="inlineStr">
        <is>
          <t>No Board remedy recommended from supplied screening record; retain file for source-population reconciliation.</t>
        </is>
      </c>
    </row>
    <row r="159" outlineLevel="1">
      <c r="A159" s="17" t="inlineStr"/>
      <c r="B159" s="17" t="inlineStr">
        <is>
          <t>CSV row 233 | SKP-2024-0232</t>
        </is>
      </c>
      <c r="C159" s="17" t="inlineStr">
        <is>
          <t>2024-09-01 | OFR-2024-0869</t>
        </is>
      </c>
      <c r="D159" s="17" t="inlineStr">
        <is>
          <t>WL-03615 | Kathryn Cook</t>
        </is>
      </c>
      <c r="E159" s="17" t="inlineStr">
        <is>
          <t>Rank 2615 | current app 2025-12-24 | ACTIVE_WAITLIST</t>
        </is>
      </c>
      <c r="F159" s="17" t="inlineStr">
        <is>
          <t>VB-0518 / 28 ft | Vessbank</t>
        </is>
      </c>
      <c r="G159" s="17" t="inlineStr">
        <is>
          <t>declined-prior-offer | Y / INSURANCE_DECL</t>
        </is>
      </c>
      <c r="H159" s="17" t="inlineStr">
        <is>
          <t>CSV says attachment present; underlying file not individually furnished</t>
        </is>
      </c>
      <c r="I159" s="17" t="inlineStr">
        <is>
          <t>No exception identified in screening</t>
        </is>
      </c>
      <c r="J159" s="17" t="inlineStr"/>
      <c r="K159" s="17" t="inlineStr">
        <is>
          <t>Predates current application date</t>
        </is>
      </c>
      <c r="L159" s="17" t="inlineStr">
        <is>
          <t>No Board remedy recommended from supplied screening record; retain file for source-population reconciliation.</t>
        </is>
      </c>
    </row>
    <row r="160" outlineLevel="1">
      <c r="A160" s="17" t="inlineStr"/>
      <c r="B160" s="17" t="inlineStr">
        <is>
          <t>CSV row 236 | SKP-2024-0235</t>
        </is>
      </c>
      <c r="C160" s="17" t="inlineStr">
        <is>
          <t>2024-09-01 | OFR-2024-0876</t>
        </is>
      </c>
      <c r="D160" s="17" t="inlineStr">
        <is>
          <t>WL-03228 | Roy Stuart</t>
        </is>
      </c>
      <c r="E160" s="17" t="inlineStr">
        <is>
          <t>Rank 2228 | current app 2025-06-08 | ACTIVE_WAITLIST</t>
        </is>
      </c>
      <c r="F160" s="17" t="inlineStr">
        <is>
          <t>EW-0319 / 70 ft | Eastwey</t>
        </is>
      </c>
      <c r="G160" s="17" t="inlineStr">
        <is>
          <t>declined-prior-offer | Y / WRITTEN_STATEMENT</t>
        </is>
      </c>
      <c r="H160" s="17" t="inlineStr">
        <is>
          <t>CSV says attachment present; underlying file not individually furnished</t>
        </is>
      </c>
      <c r="I160" s="17" t="inlineStr">
        <is>
          <t>No exception identified in screening</t>
        </is>
      </c>
      <c r="J160" s="17" t="inlineStr"/>
      <c r="K160" s="17" t="inlineStr">
        <is>
          <t>Predates current application date</t>
        </is>
      </c>
      <c r="L160" s="17" t="inlineStr">
        <is>
          <t>No Board remedy recommended from supplied screening record; retain file for source-population reconciliation.</t>
        </is>
      </c>
    </row>
    <row r="161" outlineLevel="1">
      <c r="A161" s="17" t="inlineStr"/>
      <c r="B161" s="17" t="inlineStr">
        <is>
          <t>CSV row 240 | SKP-2024-0239</t>
        </is>
      </c>
      <c r="C161" s="17" t="inlineStr">
        <is>
          <t>2024-09-02 | OFR-2024-0887</t>
        </is>
      </c>
      <c r="D161" s="17" t="inlineStr">
        <is>
          <t>WL-01504 | Margaret Johnson</t>
        </is>
      </c>
      <c r="E161" s="17" t="inlineStr">
        <is>
          <t>Rank 504 | current app 2023-03-15 | ACTIVE_WAITLIST</t>
        </is>
      </c>
      <c r="F161" s="17" t="inlineStr">
        <is>
          <t>VB-0223 / 32 ft | Vessbank</t>
        </is>
      </c>
      <c r="G161" s="17" t="inlineStr">
        <is>
          <t>vessel-fit | Y / REPAIR_ESTIMATE</t>
        </is>
      </c>
      <c r="H161" s="17" t="inlineStr">
        <is>
          <t>CSV says attachment present; underlying file not individually furnished</t>
        </is>
      </c>
      <c r="I161" s="17" t="inlineStr">
        <is>
          <t>No exception identified in screening</t>
        </is>
      </c>
      <c r="J161" s="17" t="inlineStr"/>
      <c r="K161" s="17" t="inlineStr"/>
      <c r="L161" s="17" t="inlineStr">
        <is>
          <t>No Board remedy recommended from supplied screening record; retain file for source-population reconciliation.</t>
        </is>
      </c>
    </row>
    <row r="162" outlineLevel="1">
      <c r="A162" s="17" t="inlineStr"/>
      <c r="B162" s="17" t="inlineStr">
        <is>
          <t>CSV row 235 | SKP-2024-0234</t>
        </is>
      </c>
      <c r="C162" s="17" t="inlineStr">
        <is>
          <t>2024-09-07 | OFR-2024-0871</t>
        </is>
      </c>
      <c r="D162" s="17" t="inlineStr">
        <is>
          <t>WL-01779 | Christy Burke</t>
        </is>
      </c>
      <c r="E162" s="17" t="inlineStr">
        <is>
          <t>Rank 779 | current app 2023-08-21 | EXPIRED</t>
        </is>
      </c>
      <c r="F162" s="17" t="inlineStr">
        <is>
          <t>SB-0313 / 24 ft | Salmonberry</t>
        </is>
      </c>
      <c r="G162" s="17" t="inlineStr">
        <is>
          <t>preference-mismatch | Y / OTHER_SUPPORT</t>
        </is>
      </c>
      <c r="H162" s="17" t="inlineStr">
        <is>
          <t>CSV says attachment present; underlying file not individually furnished</t>
        </is>
      </c>
      <c r="I162" s="17" t="inlineStr">
        <is>
          <t>No exception identified in screening</t>
        </is>
      </c>
      <c r="J162" s="17" t="inlineStr"/>
      <c r="K162" s="17" t="inlineStr"/>
      <c r="L162" s="17" t="inlineStr">
        <is>
          <t>No Board remedy recommended from supplied screening record; retain file for source-population reconciliation.</t>
        </is>
      </c>
    </row>
    <row r="163" outlineLevel="1">
      <c r="A163" s="17" t="inlineStr"/>
      <c r="B163" s="17" t="inlineStr">
        <is>
          <t>CSV row 237 | SKP-2024-0236</t>
        </is>
      </c>
      <c r="C163" s="17" t="inlineStr">
        <is>
          <t>2024-09-10 | OFR-2024-0877</t>
        </is>
      </c>
      <c r="D163" s="17" t="inlineStr">
        <is>
          <t>WL-03479 | Brittney Daugherty</t>
        </is>
      </c>
      <c r="E163" s="17" t="inlineStr">
        <is>
          <t>Rank 2479 | current app 2025-10-06 | ACTIVE_WAITLIST</t>
        </is>
      </c>
      <c r="F163" s="17" t="inlineStr">
        <is>
          <t>SB-0607 / 40 ft | Salmonberry</t>
        </is>
      </c>
      <c r="G163" s="17" t="inlineStr">
        <is>
          <t>vessel-fit | Y / WRITTEN_STATEMENT</t>
        </is>
      </c>
      <c r="H163" s="17" t="inlineStr">
        <is>
          <t>CSV says attachment present; underlying file not individually furnished</t>
        </is>
      </c>
      <c r="I163" s="17" t="inlineStr">
        <is>
          <t>No exception identified in screening</t>
        </is>
      </c>
      <c r="J163" s="17" t="inlineStr"/>
      <c r="K163" s="17" t="inlineStr">
        <is>
          <t>Predates current application date</t>
        </is>
      </c>
      <c r="L163" s="17" t="inlineStr">
        <is>
          <t>No Board remedy recommended from supplied screening record; retain file for source-population reconciliation.</t>
        </is>
      </c>
    </row>
    <row r="164" outlineLevel="1">
      <c r="A164" s="17" t="inlineStr"/>
      <c r="B164" s="17" t="inlineStr">
        <is>
          <t>CSV row 239 | SKP-2024-0238</t>
        </is>
      </c>
      <c r="C164" s="17" t="inlineStr">
        <is>
          <t>2024-09-10 | OFR-2024-0883</t>
        </is>
      </c>
      <c r="D164" s="17" t="inlineStr">
        <is>
          <t>WL-02336 | Jimmy Ford</t>
        </is>
      </c>
      <c r="E164" s="17" t="inlineStr">
        <is>
          <t>Rank 1336 | current app 2024-05-10 | RETAINER</t>
        </is>
      </c>
      <c r="F164" s="17" t="inlineStr">
        <is>
          <t>VB-0517 / 28 ft | Vessbank</t>
        </is>
      </c>
      <c r="G164" s="17" t="inlineStr">
        <is>
          <t>not-current | Y / WRITTEN_STATEMENT</t>
        </is>
      </c>
      <c r="H164" s="17" t="inlineStr">
        <is>
          <t>CSV says attachment present; underlying file not individually furnished</t>
        </is>
      </c>
      <c r="I164" s="17" t="inlineStr">
        <is>
          <t>No exception identified in screening</t>
        </is>
      </c>
      <c r="J164" s="17" t="inlineStr"/>
      <c r="K164" s="17" t="inlineStr"/>
      <c r="L164" s="17" t="inlineStr">
        <is>
          <t>No Board remedy recommended from supplied screening record; retain file for source-population reconciliation.</t>
        </is>
      </c>
    </row>
    <row r="165" outlineLevel="1">
      <c r="A165" s="17" t="inlineStr"/>
      <c r="B165" s="17" t="inlineStr">
        <is>
          <t>CSV row 234 | SKP-2024-0233</t>
        </is>
      </c>
      <c r="C165" s="17" t="inlineStr">
        <is>
          <t>2024-09-11 | OFR-2024-0870</t>
        </is>
      </c>
      <c r="D165" s="17" t="inlineStr">
        <is>
          <t>WL-03062 | Donna Garcia</t>
        </is>
      </c>
      <c r="E165" s="17" t="inlineStr">
        <is>
          <t>Rank 2062 | current app 2025-03-23 | ACTIVE_WAITLIST</t>
        </is>
      </c>
      <c r="F165" s="17" t="inlineStr">
        <is>
          <t>LP-0303 / 32 ft | Ledgport</t>
        </is>
      </c>
      <c r="G165" s="17" t="inlineStr">
        <is>
          <t>declined-prior-offer | Y / WRITTEN_STATEMENT</t>
        </is>
      </c>
      <c r="H165" s="17" t="inlineStr">
        <is>
          <t>CSV says attachment present; underlying file not individually furnished</t>
        </is>
      </c>
      <c r="I165" s="17" t="inlineStr">
        <is>
          <t>No exception identified in screening</t>
        </is>
      </c>
      <c r="J165" s="17" t="inlineStr"/>
      <c r="K165" s="17" t="inlineStr">
        <is>
          <t>Predates current application date</t>
        </is>
      </c>
      <c r="L165" s="17" t="inlineStr">
        <is>
          <t>No Board remedy recommended from supplied screening record; retain file for source-population reconciliation.</t>
        </is>
      </c>
    </row>
    <row r="166" outlineLevel="1">
      <c r="A166" s="17" t="inlineStr"/>
      <c r="B166" s="17" t="inlineStr">
        <is>
          <t>CSV row 238 | SKP-2024-0237</t>
        </is>
      </c>
      <c r="C166" s="17" t="inlineStr">
        <is>
          <t>2024-09-14 | OFR-2024-0878</t>
        </is>
      </c>
      <c r="D166" s="17" t="inlineStr">
        <is>
          <t>WL-02574 | Elizabeth Larsen</t>
        </is>
      </c>
      <c r="E166" s="17" t="inlineStr">
        <is>
          <t>Rank 1574 | current app 2024-08-29 | ACTIVE_WAITLIST</t>
        </is>
      </c>
      <c r="F166" s="17" t="inlineStr">
        <is>
          <t>SB-0403 / 24 ft | Salmonberry</t>
        </is>
      </c>
      <c r="G166" s="17" t="inlineStr">
        <is>
          <t>not-current | Y / INSURANCE_DECL</t>
        </is>
      </c>
      <c r="H166" s="17" t="inlineStr">
        <is>
          <t>CSV says attachment present; underlying file not individually furnished</t>
        </is>
      </c>
      <c r="I166" s="17" t="inlineStr">
        <is>
          <t>No exception identified in screening</t>
        </is>
      </c>
      <c r="J166" s="17" t="inlineStr"/>
      <c r="K166" s="17" t="inlineStr"/>
      <c r="L166" s="17" t="inlineStr">
        <is>
          <t>No Board remedy recommended from supplied screening record; retain file for source-population reconciliation.</t>
        </is>
      </c>
    </row>
    <row r="167" outlineLevel="1">
      <c r="A167" s="17" t="inlineStr"/>
      <c r="B167" s="17" t="inlineStr">
        <is>
          <t>CSV row 241 | SKP-2024-0240</t>
        </is>
      </c>
      <c r="C167" s="17" t="inlineStr">
        <is>
          <t>2024-09-25 | OFR-2024-0889</t>
        </is>
      </c>
      <c r="D167" s="17" t="inlineStr">
        <is>
          <t>WL-01718 | Christopher Welch</t>
        </is>
      </c>
      <c r="E167" s="17" t="inlineStr">
        <is>
          <t>Rank 718 | current app 2023-07-18 | ACTIVE_WAITLIST</t>
        </is>
      </c>
      <c r="F167" s="17" t="inlineStr">
        <is>
          <t>SB-0821 / 36 ft | Salmonberry</t>
        </is>
      </c>
      <c r="G167" s="17" t="inlineStr">
        <is>
          <t>declined-prior-offer | Y / REPAIR_ESTIMATE</t>
        </is>
      </c>
      <c r="H167" s="17" t="inlineStr">
        <is>
          <t>CSV says attachment present; underlying file not individually furnished</t>
        </is>
      </c>
      <c r="I167" s="17" t="inlineStr">
        <is>
          <t>No exception identified in screening</t>
        </is>
      </c>
      <c r="J167" s="17" t="inlineStr"/>
      <c r="K167" s="17" t="inlineStr"/>
      <c r="L167" s="17" t="inlineStr">
        <is>
          <t>No Board remedy recommended from supplied screening record; retain file for source-population reconciliation.</t>
        </is>
      </c>
    </row>
    <row r="168" outlineLevel="1">
      <c r="A168" s="17" t="inlineStr"/>
      <c r="B168" s="17" t="inlineStr">
        <is>
          <t>CSV row 247 | SKP-2024-0246</t>
        </is>
      </c>
      <c r="C168" s="17" t="inlineStr">
        <is>
          <t>2024-10-15 | OFR-2024-0922</t>
        </is>
      </c>
      <c r="D168" s="17" t="inlineStr">
        <is>
          <t>WL-01269 | Patricia Bennett</t>
        </is>
      </c>
      <c r="E168" s="17" t="inlineStr">
        <is>
          <t>Rank 269 | current app 2022-10-25 | EXPIRED</t>
        </is>
      </c>
      <c r="F168" s="17" t="inlineStr">
        <is>
          <t>VB-0306 / 28 ft | Vessbank</t>
        </is>
      </c>
      <c r="G168" s="17" t="inlineStr">
        <is>
          <t>vessel-fit | Y / WRITTEN_STATEMENT</t>
        </is>
      </c>
      <c r="H168" s="17" t="inlineStr">
        <is>
          <t>CSV says attachment present; underlying file not individually furnished</t>
        </is>
      </c>
      <c r="I168" s="17" t="inlineStr">
        <is>
          <t>No exception identified in screening</t>
        </is>
      </c>
      <c r="J168" s="17" t="inlineStr"/>
      <c r="K168" s="17" t="inlineStr"/>
      <c r="L168" s="17" t="inlineStr">
        <is>
          <t>No Board remedy recommended from supplied screening record; retain file for source-population reconciliation.</t>
        </is>
      </c>
    </row>
    <row r="169" outlineLevel="1">
      <c r="A169" s="17" t="inlineStr"/>
      <c r="B169" s="17" t="inlineStr">
        <is>
          <t>CSV row 248 | SKP-2024-0247</t>
        </is>
      </c>
      <c r="C169" s="17" t="inlineStr">
        <is>
          <t>2024-10-20 | OFR-2024-0924</t>
        </is>
      </c>
      <c r="D169" s="17" t="inlineStr">
        <is>
          <t>WL-03733 | Theresa Richmond</t>
        </is>
      </c>
      <c r="E169" s="17" t="inlineStr">
        <is>
          <t>Rank 2733 | current app 2026-02-28 | RETAINER</t>
        </is>
      </c>
      <c r="F169" s="17" t="inlineStr">
        <is>
          <t>GW-0814 / 70 ft | Gullwing</t>
        </is>
      </c>
      <c r="G169" s="17" t="inlineStr">
        <is>
          <t>vessel-fit | Y / WRITTEN_STATEMENT</t>
        </is>
      </c>
      <c r="H169" s="17" t="inlineStr">
        <is>
          <t>CSV says attachment present; underlying file not individually furnished</t>
        </is>
      </c>
      <c r="I169" s="17" t="inlineStr">
        <is>
          <t>No exception identified in screening</t>
        </is>
      </c>
      <c r="J169" s="17" t="inlineStr"/>
      <c r="K169" s="17" t="inlineStr">
        <is>
          <t>Predates current application date</t>
        </is>
      </c>
      <c r="L169" s="17" t="inlineStr">
        <is>
          <t>No Board remedy recommended from supplied screening record; retain file for source-population reconciliation.</t>
        </is>
      </c>
    </row>
    <row r="170" outlineLevel="1">
      <c r="A170" s="17" t="inlineStr"/>
      <c r="B170" s="17" t="inlineStr">
        <is>
          <t>CSV row 243 | SKP-2024-0242</t>
        </is>
      </c>
      <c r="C170" s="17" t="inlineStr">
        <is>
          <t>2024-10-21 | OFR-2024-0895</t>
        </is>
      </c>
      <c r="D170" s="17" t="inlineStr">
        <is>
          <t>WL-03831 | Michael Burns</t>
        </is>
      </c>
      <c r="E170" s="17" t="inlineStr">
        <is>
          <t>Rank 2831 | current app 2026-05-09 | ACTIVE_WAITLIST</t>
        </is>
      </c>
      <c r="F170" s="17" t="inlineStr">
        <is>
          <t>EW-1022 / 32 ft | Eastwey</t>
        </is>
      </c>
      <c r="G170" s="17" t="inlineStr">
        <is>
          <t>not-current | Y / OTHER_SUPPORT</t>
        </is>
      </c>
      <c r="H170" s="17" t="inlineStr">
        <is>
          <t>CSV says attachment present; underlying file not individually furnished</t>
        </is>
      </c>
      <c r="I170" s="17" t="inlineStr">
        <is>
          <t>No exception identified in screening</t>
        </is>
      </c>
      <c r="J170" s="17" t="inlineStr"/>
      <c r="K170" s="17" t="inlineStr">
        <is>
          <t>Predates current application date</t>
        </is>
      </c>
      <c r="L170" s="17" t="inlineStr">
        <is>
          <t>No Board remedy recommended from supplied screening record; retain file for source-population reconciliation.</t>
        </is>
      </c>
    </row>
    <row r="171" outlineLevel="1">
      <c r="A171" s="17" t="inlineStr"/>
      <c r="B171" s="17" t="inlineStr">
        <is>
          <t>CSV row 244 | SKP-2024-0243</t>
        </is>
      </c>
      <c r="C171" s="17" t="inlineStr">
        <is>
          <t>2024-10-21 | OFR-2024-0901</t>
        </is>
      </c>
      <c r="D171" s="17" t="inlineStr">
        <is>
          <t>WL-01264 | Jeffery Lewis</t>
        </is>
      </c>
      <c r="E171" s="17" t="inlineStr">
        <is>
          <t>Rank 264 | current app 2022-10-22 | ACTIVE_WAITLIST</t>
        </is>
      </c>
      <c r="F171" s="17" t="inlineStr">
        <is>
          <t>VB-0917 / 28 ft | Vessbank</t>
        </is>
      </c>
      <c r="G171" s="17" t="inlineStr">
        <is>
          <t>preference-mismatch | Y / INSURANCE_DECL</t>
        </is>
      </c>
      <c r="H171" s="17" t="inlineStr">
        <is>
          <t>CSV says attachment present; underlying file not individually furnished</t>
        </is>
      </c>
      <c r="I171" s="17" t="inlineStr">
        <is>
          <t>No exception identified in screening</t>
        </is>
      </c>
      <c r="J171" s="17" t="inlineStr"/>
      <c r="K171" s="17" t="inlineStr"/>
      <c r="L171" s="17" t="inlineStr">
        <is>
          <t>No Board remedy recommended from supplied screening record; retain file for source-population reconciliation.</t>
        </is>
      </c>
    </row>
    <row r="172" outlineLevel="1">
      <c r="A172" s="17" t="inlineStr"/>
      <c r="B172" s="17" t="inlineStr">
        <is>
          <t>CSV row 245 | SKP-2024-0244</t>
        </is>
      </c>
      <c r="C172" s="17" t="inlineStr">
        <is>
          <t>2024-10-25 | OFR-2024-0903</t>
        </is>
      </c>
      <c r="D172" s="17" t="inlineStr">
        <is>
          <t>WL-03708 | Catherine Anderson</t>
        </is>
      </c>
      <c r="E172" s="17" t="inlineStr">
        <is>
          <t>Rank 2708 | current app 2026-02-09 | ACTIVE_WAITLIST</t>
        </is>
      </c>
      <c r="F172" s="17" t="inlineStr">
        <is>
          <t>GW-0813 / 28 ft | Gullwing</t>
        </is>
      </c>
      <c r="G172" s="17" t="inlineStr">
        <is>
          <t>not-current | Y / INSURANCE_DECL</t>
        </is>
      </c>
      <c r="H172" s="17" t="inlineStr">
        <is>
          <t>CSV says attachment present; underlying file not individually furnished</t>
        </is>
      </c>
      <c r="I172" s="17" t="inlineStr">
        <is>
          <t>No exception identified in screening</t>
        </is>
      </c>
      <c r="J172" s="17" t="inlineStr"/>
      <c r="K172" s="17" t="inlineStr">
        <is>
          <t>Predates current application date</t>
        </is>
      </c>
      <c r="L172" s="17" t="inlineStr">
        <is>
          <t>No Board remedy recommended from supplied screening record; retain file for source-population reconciliation.</t>
        </is>
      </c>
    </row>
    <row r="173" outlineLevel="1">
      <c r="A173" s="17" t="inlineStr"/>
      <c r="B173" s="17" t="inlineStr">
        <is>
          <t>CSV row 242 | SKP-2024-0241</t>
        </is>
      </c>
      <c r="C173" s="17" t="inlineStr">
        <is>
          <t>2024-10-26 | OFR-2024-0893</t>
        </is>
      </c>
      <c r="D173" s="17" t="inlineStr">
        <is>
          <t>WL-01026 | Dawn Jacobs</t>
        </is>
      </c>
      <c r="E173" s="17" t="inlineStr">
        <is>
          <t>Rank 26 | current app 2022-03-13 | ACTIVE_WAITLIST</t>
        </is>
      </c>
      <c r="F173" s="17" t="inlineStr">
        <is>
          <t>SB-0214 / 28 ft | Salmonberry</t>
        </is>
      </c>
      <c r="G173" s="17" t="inlineStr">
        <is>
          <t>declined-prior-offer | Y / INSURANCE_DECL</t>
        </is>
      </c>
      <c r="H173" s="17" t="inlineStr">
        <is>
          <t>CSV says attachment present; underlying file not individually furnished</t>
        </is>
      </c>
      <c r="I173" s="17" t="inlineStr">
        <is>
          <t>No exception identified in screening</t>
        </is>
      </c>
      <c r="J173" s="17" t="inlineStr"/>
      <c r="K173" s="17" t="inlineStr"/>
      <c r="L173" s="17" t="inlineStr">
        <is>
          <t>No Board remedy recommended from supplied screening record; retain file for source-population reconciliation.</t>
        </is>
      </c>
    </row>
    <row r="174" outlineLevel="1">
      <c r="A174" s="17" t="inlineStr"/>
      <c r="B174" s="17" t="inlineStr">
        <is>
          <t>CSV row 246 | SKP-2024-0245</t>
        </is>
      </c>
      <c r="C174" s="17" t="inlineStr">
        <is>
          <t>2024-10-27 | OFR-2024-0909</t>
        </is>
      </c>
      <c r="D174" s="17" t="inlineStr">
        <is>
          <t>WL-03808 | Julie Peterson</t>
        </is>
      </c>
      <c r="E174" s="17" t="inlineStr">
        <is>
          <t>Rank 2808 | current app 2026-04-24 | ACTIVE_WAITLIST</t>
        </is>
      </c>
      <c r="F174" s="17" t="inlineStr">
        <is>
          <t>VB-0601 / 24 ft | Vessbank</t>
        </is>
      </c>
      <c r="G174" s="17" t="inlineStr">
        <is>
          <t>declined-prior-offer | Y / WRITTEN_STATEMENT</t>
        </is>
      </c>
      <c r="H174" s="17" t="inlineStr">
        <is>
          <t>CSV says attachment present; underlying file not individually furnished</t>
        </is>
      </c>
      <c r="I174" s="17" t="inlineStr">
        <is>
          <t>No exception identified in screening</t>
        </is>
      </c>
      <c r="J174" s="17" t="inlineStr"/>
      <c r="K174" s="17" t="inlineStr">
        <is>
          <t>Predates current application date</t>
        </is>
      </c>
      <c r="L174" s="17" t="inlineStr">
        <is>
          <t>No Board remedy recommended from supplied screening record; retain file for source-population reconciliation.</t>
        </is>
      </c>
    </row>
    <row r="175" outlineLevel="1">
      <c r="A175" s="17" t="inlineStr"/>
      <c r="B175" s="17" t="inlineStr">
        <is>
          <t>CSV row 252 | SKP-2024-0251</t>
        </is>
      </c>
      <c r="C175" s="17" t="inlineStr">
        <is>
          <t>2024-11-03 | OFR-2024-0942</t>
        </is>
      </c>
      <c r="D175" s="17" t="inlineStr">
        <is>
          <t>WL-03857 | Catherine Davis</t>
        </is>
      </c>
      <c r="E175" s="17" t="inlineStr">
        <is>
          <t>Rank 2857 | current app 2026-06-03 | RETAINER</t>
        </is>
      </c>
      <c r="F175" s="17" t="inlineStr">
        <is>
          <t>SB-0407 / 24 ft | Salmonberry</t>
        </is>
      </c>
      <c r="G175" s="17" t="inlineStr">
        <is>
          <t>vessel-fit | Y / OTHER_SUPPORT</t>
        </is>
      </c>
      <c r="H175" s="17" t="inlineStr">
        <is>
          <t>CSV says attachment present; underlying file not individually furnished</t>
        </is>
      </c>
      <c r="I175" s="17" t="inlineStr">
        <is>
          <t>No exception identified in screening</t>
        </is>
      </c>
      <c r="J175" s="17" t="inlineStr"/>
      <c r="K175" s="17" t="inlineStr">
        <is>
          <t>Predates current application date</t>
        </is>
      </c>
      <c r="L175" s="17" t="inlineStr">
        <is>
          <t>No Board remedy recommended from supplied screening record; retain file for source-population reconciliation.</t>
        </is>
      </c>
    </row>
    <row r="176" outlineLevel="1">
      <c r="A176" s="17" t="inlineStr"/>
      <c r="B176" s="17" t="inlineStr">
        <is>
          <t>CSV row 249 | SKP-2024-0248</t>
        </is>
      </c>
      <c r="C176" s="17" t="inlineStr">
        <is>
          <t>2024-11-22 | OFR-2024-0929</t>
        </is>
      </c>
      <c r="D176" s="17" t="inlineStr">
        <is>
          <t>WL-02139 | Jennifer Anderson</t>
        </is>
      </c>
      <c r="E176" s="17" t="inlineStr">
        <is>
          <t>Rank 1139 | current app 2024-02-09 | ACTIVE_WAITLIST</t>
        </is>
      </c>
      <c r="F176" s="17" t="inlineStr">
        <is>
          <t>LP-0215 / 28 ft | Ledgport</t>
        </is>
      </c>
      <c r="G176" s="17" t="inlineStr">
        <is>
          <t>vessel-fit | Y / INSURANCE_DECL</t>
        </is>
      </c>
      <c r="H176" s="17" t="inlineStr">
        <is>
          <t>CSV says attachment present; underlying file not individually furnished</t>
        </is>
      </c>
      <c r="I176" s="17" t="inlineStr">
        <is>
          <t>No exception identified in screening</t>
        </is>
      </c>
      <c r="J176" s="17" t="inlineStr"/>
      <c r="K176" s="17" t="inlineStr"/>
      <c r="L176" s="17" t="inlineStr">
        <is>
          <t>No Board remedy recommended from supplied screening record; retain file for source-population reconciliation.</t>
        </is>
      </c>
    </row>
    <row r="177" outlineLevel="1">
      <c r="A177" s="17" t="inlineStr"/>
      <c r="B177" s="17" t="inlineStr">
        <is>
          <t>CSV row 251 | SKP-2024-0250</t>
        </is>
      </c>
      <c r="C177" s="17" t="inlineStr">
        <is>
          <t>2024-11-23 | OFR-2024-0940</t>
        </is>
      </c>
      <c r="D177" s="17" t="inlineStr">
        <is>
          <t>WL-01832 | Bryan Spencer</t>
        </is>
      </c>
      <c r="E177" s="17" t="inlineStr">
        <is>
          <t>Rank 832 | current app 2023-09-13 | ACTIVE_WAITLIST</t>
        </is>
      </c>
      <c r="F177" s="17" t="inlineStr">
        <is>
          <t>VB-0222 / 28 ft | Vessbank</t>
        </is>
      </c>
      <c r="G177" s="17" t="inlineStr">
        <is>
          <t>not-current | Y / INSURANCE_DECL</t>
        </is>
      </c>
      <c r="H177" s="17" t="inlineStr">
        <is>
          <t>CSV says attachment present; underlying file not individually furnished</t>
        </is>
      </c>
      <c r="I177" s="17" t="inlineStr">
        <is>
          <t>No exception identified in screening</t>
        </is>
      </c>
      <c r="J177" s="17" t="inlineStr"/>
      <c r="K177" s="17" t="inlineStr"/>
      <c r="L177" s="17" t="inlineStr">
        <is>
          <t>No Board remedy recommended from supplied screening record; retain file for source-population reconciliation.</t>
        </is>
      </c>
    </row>
    <row r="178" outlineLevel="1">
      <c r="A178" s="17" t="inlineStr"/>
      <c r="B178" s="17" t="inlineStr">
        <is>
          <t>CSV row 255 | SKP-2024-0254</t>
        </is>
      </c>
      <c r="C178" s="17" t="inlineStr">
        <is>
          <t>2024-12-11 | OFR-2024-0954</t>
        </is>
      </c>
      <c r="D178" s="17" t="inlineStr">
        <is>
          <t>WL-03294 | Megan Nguyen</t>
        </is>
      </c>
      <c r="E178" s="17" t="inlineStr">
        <is>
          <t>Rank 2294 | current app 2025-07-12 | ACTIVE_WAITLIST</t>
        </is>
      </c>
      <c r="F178" s="17" t="inlineStr">
        <is>
          <t>LP-0102 / 40 ft | Ledgport</t>
        </is>
      </c>
      <c r="G178" s="17" t="inlineStr">
        <is>
          <t>vessel-fit | Y / INSURANCE_DECL</t>
        </is>
      </c>
      <c r="H178" s="17" t="inlineStr">
        <is>
          <t>CSV says attachment present; underlying file not individually furnished</t>
        </is>
      </c>
      <c r="I178" s="17" t="inlineStr">
        <is>
          <t>No exception identified in screening</t>
        </is>
      </c>
      <c r="J178" s="17" t="inlineStr"/>
      <c r="K178" s="17" t="inlineStr">
        <is>
          <t>Predates current application date</t>
        </is>
      </c>
      <c r="L178" s="17" t="inlineStr">
        <is>
          <t>No Board remedy recommended from supplied screening record; retain file for source-population reconciliation.</t>
        </is>
      </c>
    </row>
    <row r="179" outlineLevel="1">
      <c r="A179" s="17" t="inlineStr"/>
      <c r="B179" s="17" t="inlineStr">
        <is>
          <t>CSV row 253 | SKP-2024-0252</t>
        </is>
      </c>
      <c r="C179" s="17" t="inlineStr">
        <is>
          <t>2024-12-13 | OFR-2024-0951</t>
        </is>
      </c>
      <c r="D179" s="17" t="inlineStr">
        <is>
          <t>WL-02412 | Laura David</t>
        </is>
      </c>
      <c r="E179" s="17" t="inlineStr">
        <is>
          <t>Rank 1412 | current app 2024-06-14 | EXPIRED</t>
        </is>
      </c>
      <c r="F179" s="17" t="inlineStr">
        <is>
          <t>GW-0201 / 32 ft | Gullwing</t>
        </is>
      </c>
      <c r="G179" s="17" t="inlineStr">
        <is>
          <t>preference-mismatch | Y / OTHER_SUPPORT</t>
        </is>
      </c>
      <c r="H179" s="17" t="inlineStr">
        <is>
          <t>CSV says attachment present; underlying file not individually furnished</t>
        </is>
      </c>
      <c r="I179" s="17" t="inlineStr">
        <is>
          <t>No exception identified in screening</t>
        </is>
      </c>
      <c r="J179" s="17" t="inlineStr"/>
      <c r="K179" s="17" t="inlineStr"/>
      <c r="L179" s="17" t="inlineStr">
        <is>
          <t>No Board remedy recommended from supplied screening record; retain file for source-population reconciliation.</t>
        </is>
      </c>
    </row>
    <row r="180" outlineLevel="1">
      <c r="A180" s="17" t="inlineStr"/>
      <c r="B180" s="17" t="inlineStr">
        <is>
          <t>CSV row 257 | SKP-2024-0256</t>
        </is>
      </c>
      <c r="C180" s="17" t="inlineStr">
        <is>
          <t>2024-12-18 | OFR-2024-0960</t>
        </is>
      </c>
      <c r="D180" s="17" t="inlineStr">
        <is>
          <t>WL-02923 | Randall Cummings</t>
        </is>
      </c>
      <c r="E180" s="17" t="inlineStr">
        <is>
          <t>Rank 1923 | current app 2025-01-20 | ACTIVE_WAITLIST</t>
        </is>
      </c>
      <c r="F180" s="17" t="inlineStr">
        <is>
          <t>LP-0822 / 36 ft | Ledgport</t>
        </is>
      </c>
      <c r="G180" s="17" t="inlineStr">
        <is>
          <t>preference-mismatch | Y / INSURANCE_DECL</t>
        </is>
      </c>
      <c r="H180" s="17" t="inlineStr">
        <is>
          <t>CSV says attachment present; underlying file not individually furnished</t>
        </is>
      </c>
      <c r="I180" s="17" t="inlineStr">
        <is>
          <t>No exception identified in screening</t>
        </is>
      </c>
      <c r="J180" s="17" t="inlineStr"/>
      <c r="K180" s="17" t="inlineStr">
        <is>
          <t>Predates current application date</t>
        </is>
      </c>
      <c r="L180" s="17" t="inlineStr">
        <is>
          <t>No Board remedy recommended from supplied screening record; retain file for source-population reconciliation.</t>
        </is>
      </c>
    </row>
    <row r="181" outlineLevel="1">
      <c r="A181" s="17" t="inlineStr"/>
      <c r="B181" s="17" t="inlineStr">
        <is>
          <t>CSV row 256 | SKP-2024-0255</t>
        </is>
      </c>
      <c r="C181" s="17" t="inlineStr">
        <is>
          <t>2024-12-22 | OFR-2024-0955</t>
        </is>
      </c>
      <c r="D181" s="17" t="inlineStr">
        <is>
          <t>WL-01844 | Jeffrey Pearson</t>
        </is>
      </c>
      <c r="E181" s="17" t="inlineStr">
        <is>
          <t>Rank 844 | current app 2023-09-21 | ACTIVE_WAITLIST</t>
        </is>
      </c>
      <c r="F181" s="17" t="inlineStr">
        <is>
          <t>EW-0519 / 32 ft | Eastwey</t>
        </is>
      </c>
      <c r="G181" s="17" t="inlineStr">
        <is>
          <t>vessel-fit | Y / INSURANCE_DECL</t>
        </is>
      </c>
      <c r="H181" s="17" t="inlineStr">
        <is>
          <t>CSV says attachment present; underlying file not individually furnished</t>
        </is>
      </c>
      <c r="I181" s="17" t="inlineStr">
        <is>
          <t>No exception identified in screening</t>
        </is>
      </c>
      <c r="J181" s="17" t="inlineStr"/>
      <c r="K181" s="17" t="inlineStr"/>
      <c r="L181" s="17" t="inlineStr">
        <is>
          <t>No Board remedy recommended from supplied screening record; retain file for source-population reconciliation.</t>
        </is>
      </c>
    </row>
    <row r="182" outlineLevel="1">
      <c r="A182" s="17" t="inlineStr"/>
      <c r="B182" s="17" t="inlineStr">
        <is>
          <t>CSV row 254 | SKP-2024-0253</t>
        </is>
      </c>
      <c r="C182" s="17" t="inlineStr">
        <is>
          <t>2024-12-24 | OFR-2024-0952</t>
        </is>
      </c>
      <c r="D182" s="17" t="inlineStr">
        <is>
          <t>WL-03079 | Crystal Glover</t>
        </is>
      </c>
      <c r="E182" s="17" t="inlineStr">
        <is>
          <t>Rank 2079 | current app 2025-04-01 | ACTIVE_WAITLIST</t>
        </is>
      </c>
      <c r="F182" s="17" t="inlineStr">
        <is>
          <t>SB-0106 / 28 ft | Salmonberry</t>
        </is>
      </c>
      <c r="G182" s="17" t="inlineStr">
        <is>
          <t>not-current | Y / OTHER_SUPPORT</t>
        </is>
      </c>
      <c r="H182" s="17" t="inlineStr">
        <is>
          <t>CSV says attachment present; underlying file not individually furnished</t>
        </is>
      </c>
      <c r="I182" s="17" t="inlineStr">
        <is>
          <t>No exception identified in screening</t>
        </is>
      </c>
      <c r="J182" s="17" t="inlineStr"/>
      <c r="K182" s="17" t="inlineStr">
        <is>
          <t>Predates current application date</t>
        </is>
      </c>
      <c r="L182" s="17" t="inlineStr">
        <is>
          <t>No Board remedy recommended from supplied screening record; retain file for source-population reconciliation.</t>
        </is>
      </c>
    </row>
    <row r="183" outlineLevel="1">
      <c r="A183" s="17" t="inlineStr"/>
      <c r="B183" s="17" t="inlineStr">
        <is>
          <t>CSV row 260 | SKP-2025-0259</t>
        </is>
      </c>
      <c r="C183" s="17" t="inlineStr">
        <is>
          <t>2025-01-01 | OFR-2025-0969</t>
        </is>
      </c>
      <c r="D183" s="17" t="inlineStr">
        <is>
          <t>WL-01382 | Jose King</t>
        </is>
      </c>
      <c r="E183" s="17" t="inlineStr">
        <is>
          <t>Rank 382 | current app 2023-01-05 | ACTIVE_WAITLIST</t>
        </is>
      </c>
      <c r="F183" s="17" t="inlineStr">
        <is>
          <t>GW-0908 / 24 ft | Gullwing</t>
        </is>
      </c>
      <c r="G183" s="17" t="inlineStr">
        <is>
          <t>vessel-fit | Y / OTHER_SUPPORT</t>
        </is>
      </c>
      <c r="H183" s="17" t="inlineStr">
        <is>
          <t>CSV says attachment present; underlying file not individually furnished</t>
        </is>
      </c>
      <c r="I183" s="17" t="inlineStr">
        <is>
          <t>No exception identified in screening</t>
        </is>
      </c>
      <c r="J183" s="17" t="inlineStr"/>
      <c r="K183" s="17" t="inlineStr"/>
      <c r="L183" s="17" t="inlineStr">
        <is>
          <t>No Board remedy recommended from supplied screening record; retain file for source-population reconciliation.</t>
        </is>
      </c>
    </row>
    <row r="184" outlineLevel="1">
      <c r="A184" s="17" t="inlineStr"/>
      <c r="B184" s="17" t="inlineStr">
        <is>
          <t>CSV row 261 | SKP-2025-0260</t>
        </is>
      </c>
      <c r="C184" s="17" t="inlineStr">
        <is>
          <t>2025-01-12 | OFR-2025-0970</t>
        </is>
      </c>
      <c r="D184" s="17" t="inlineStr">
        <is>
          <t>WL-03888 | Christian Garcia</t>
        </is>
      </c>
      <c r="E184" s="17" t="inlineStr">
        <is>
          <t>Rank 2888 | current app 2026-06-23 | ACTIVE_WAITLIST</t>
        </is>
      </c>
      <c r="F184" s="17" t="inlineStr">
        <is>
          <t>SB-0603 / 32 ft | Salmonberry</t>
        </is>
      </c>
      <c r="G184" s="17" t="inlineStr">
        <is>
          <t>declined-prior-offer | Y / WRITTEN_STATEMENT</t>
        </is>
      </c>
      <c r="H184" s="17" t="inlineStr">
        <is>
          <t>CSV says attachment present; underlying file not individually furnished</t>
        </is>
      </c>
      <c r="I184" s="17" t="inlineStr">
        <is>
          <t>No exception identified in screening</t>
        </is>
      </c>
      <c r="J184" s="17" t="inlineStr"/>
      <c r="K184" s="17" t="inlineStr">
        <is>
          <t>Predates current application date</t>
        </is>
      </c>
      <c r="L184" s="17" t="inlineStr">
        <is>
          <t>No Board remedy recommended from supplied screening record; retain file for source-population reconciliation.</t>
        </is>
      </c>
    </row>
    <row r="185" outlineLevel="1">
      <c r="A185" s="17" t="inlineStr"/>
      <c r="B185" s="17" t="inlineStr">
        <is>
          <t>CSV row 258 | SKP-2025-0257</t>
        </is>
      </c>
      <c r="C185" s="17" t="inlineStr">
        <is>
          <t>2025-01-15 | OFR-2025-0964</t>
        </is>
      </c>
      <c r="D185" s="17" t="inlineStr">
        <is>
          <t>WL-03628 | Makayla Johnson</t>
        </is>
      </c>
      <c r="E185" s="17" t="inlineStr">
        <is>
          <t>Rank 2628 | current app 2025-12-31 | ACTIVE_WAITLIST</t>
        </is>
      </c>
      <c r="F185" s="17" t="inlineStr">
        <is>
          <t>LP-0715 / 32 ft | Ledgport</t>
        </is>
      </c>
      <c r="G185" s="17" t="inlineStr">
        <is>
          <t>preference-mismatch | Y / OTHER_SUPPORT</t>
        </is>
      </c>
      <c r="H185" s="17" t="inlineStr">
        <is>
          <t>CSV says attachment present; underlying file not individually furnished</t>
        </is>
      </c>
      <c r="I185" s="17" t="inlineStr">
        <is>
          <t>No exception identified in screening</t>
        </is>
      </c>
      <c r="J185" s="17" t="inlineStr"/>
      <c r="K185" s="17" t="inlineStr">
        <is>
          <t>Predates current application date</t>
        </is>
      </c>
      <c r="L185" s="17" t="inlineStr">
        <is>
          <t>No Board remedy recommended from supplied screening record; retain file for source-population reconciliation.</t>
        </is>
      </c>
    </row>
    <row r="186" outlineLevel="1">
      <c r="A186" s="17" t="inlineStr"/>
      <c r="B186" s="17" t="inlineStr">
        <is>
          <t>CSV row 262 | SKP-2025-0261</t>
        </is>
      </c>
      <c r="C186" s="17" t="inlineStr">
        <is>
          <t>2025-01-16 | OFR-2025-0974</t>
        </is>
      </c>
      <c r="D186" s="17" t="inlineStr">
        <is>
          <t>WL-02733 | Tiffany Melendez</t>
        </is>
      </c>
      <c r="E186" s="17" t="inlineStr">
        <is>
          <t>Rank 1733 | current app 2024-11-04 | ACTIVE_WAITLIST</t>
        </is>
      </c>
      <c r="F186" s="17" t="inlineStr">
        <is>
          <t>LP-0803 / 28 ft | Ledgport</t>
        </is>
      </c>
      <c r="G186" s="17" t="inlineStr">
        <is>
          <t>vessel-fit | Y / WRITTEN_STATEMENT</t>
        </is>
      </c>
      <c r="H186" s="17" t="inlineStr">
        <is>
          <t>CSV says attachment present; underlying file not individually furnished</t>
        </is>
      </c>
      <c r="I186" s="17" t="inlineStr">
        <is>
          <t>No exception identified in screening</t>
        </is>
      </c>
      <c r="J186" s="17" t="inlineStr"/>
      <c r="K186" s="17" t="inlineStr"/>
      <c r="L186" s="17" t="inlineStr">
        <is>
          <t>No Board remedy recommended from supplied screening record; retain file for source-population reconciliation.</t>
        </is>
      </c>
    </row>
    <row r="187" outlineLevel="1">
      <c r="A187" s="17" t="inlineStr"/>
      <c r="B187" s="17" t="inlineStr">
        <is>
          <t>CSV row 259 | SKP-2025-0258</t>
        </is>
      </c>
      <c r="C187" s="17" t="inlineStr">
        <is>
          <t>2025-01-17 | OFR-2025-0968</t>
        </is>
      </c>
      <c r="D187" s="17" t="inlineStr">
        <is>
          <t>WL-01918 | Brittany Barrett</t>
        </is>
      </c>
      <c r="E187" s="17" t="inlineStr">
        <is>
          <t>Rank 918 | current app 2023-10-30 | ACTIVE_WAITLIST</t>
        </is>
      </c>
      <c r="F187" s="17" t="inlineStr">
        <is>
          <t>GW-0517 / 24 ft | Gullwing</t>
        </is>
      </c>
      <c r="G187" s="17" t="inlineStr">
        <is>
          <t>not-current | Y / REPAIR_ESTIMATE</t>
        </is>
      </c>
      <c r="H187" s="17" t="inlineStr">
        <is>
          <t>CSV says attachment present; underlying file not individually furnished</t>
        </is>
      </c>
      <c r="I187" s="17" t="inlineStr">
        <is>
          <t>No exception identified in screening</t>
        </is>
      </c>
      <c r="J187" s="17" t="inlineStr"/>
      <c r="K187" s="17" t="inlineStr"/>
      <c r="L187" s="17" t="inlineStr">
        <is>
          <t>No Board remedy recommended from supplied screening record; retain file for source-population reconciliation.</t>
        </is>
      </c>
    </row>
    <row r="188" outlineLevel="1">
      <c r="A188" s="17" t="inlineStr"/>
      <c r="B188" s="17" t="inlineStr">
        <is>
          <t>CSV row 263 | SKP-2025-0262</t>
        </is>
      </c>
      <c r="C188" s="17" t="inlineStr">
        <is>
          <t>2025-02-20 | OFR-2025-0985</t>
        </is>
      </c>
      <c r="D188" s="17" t="inlineStr">
        <is>
          <t>WL-03244 | Norma Brown</t>
        </is>
      </c>
      <c r="E188" s="17" t="inlineStr">
        <is>
          <t>Rank 2244 | current app 2025-06-17 | ACTIVE_WAITLIST</t>
        </is>
      </c>
      <c r="F188" s="17" t="inlineStr">
        <is>
          <t>EW-1015 / 24 ft | Eastwey</t>
        </is>
      </c>
      <c r="G188" s="17" t="inlineStr">
        <is>
          <t>not-current | Y / WRITTEN_STATEMENT</t>
        </is>
      </c>
      <c r="H188" s="17" t="inlineStr">
        <is>
          <t>CSV says attachment present; underlying file not individually furnished</t>
        </is>
      </c>
      <c r="I188" s="17" t="inlineStr">
        <is>
          <t>No exception identified in screening</t>
        </is>
      </c>
      <c r="J188" s="17" t="inlineStr"/>
      <c r="K188" s="17" t="inlineStr">
        <is>
          <t>Predates current application date</t>
        </is>
      </c>
      <c r="L188" s="17" t="inlineStr">
        <is>
          <t>No Board remedy recommended from supplied screening record; retain file for source-population reconciliation.</t>
        </is>
      </c>
    </row>
    <row r="189" outlineLevel="1">
      <c r="A189" s="17" t="inlineStr"/>
      <c r="B189" s="17" t="inlineStr">
        <is>
          <t>CSV row 268 | SKP-2025-0267</t>
        </is>
      </c>
      <c r="C189" s="17" t="inlineStr">
        <is>
          <t>2025-03-01 | OFR-2025-1010</t>
        </is>
      </c>
      <c r="D189" s="17" t="inlineStr">
        <is>
          <t>WL-03815 | Jacqueline Jones</t>
        </is>
      </c>
      <c r="E189" s="17" t="inlineStr">
        <is>
          <t>Rank 2815 | current app 2026-04-28 | ACTIVE_WAITLIST</t>
        </is>
      </c>
      <c r="F189" s="17" t="inlineStr">
        <is>
          <t>LP-0324 / 32 ft | Ledgport</t>
        </is>
      </c>
      <c r="G189" s="17" t="inlineStr">
        <is>
          <t>preference-mismatch | Y / INSURANCE_DECL</t>
        </is>
      </c>
      <c r="H189" s="17" t="inlineStr">
        <is>
          <t>CSV says attachment present; underlying file not individually furnished</t>
        </is>
      </c>
      <c r="I189" s="17" t="inlineStr">
        <is>
          <t>No exception identified in screening</t>
        </is>
      </c>
      <c r="J189" s="17" t="inlineStr"/>
      <c r="K189" s="17" t="inlineStr">
        <is>
          <t>Predates current application date</t>
        </is>
      </c>
      <c r="L189" s="17" t="inlineStr">
        <is>
          <t>No Board remedy recommended from supplied screening record; retain file for source-population reconciliation.</t>
        </is>
      </c>
    </row>
    <row r="190" outlineLevel="1">
      <c r="A190" s="17" t="inlineStr"/>
      <c r="B190" s="17" t="inlineStr">
        <is>
          <t>CSV row 267 | SKP-2025-0266</t>
        </is>
      </c>
      <c r="C190" s="17" t="inlineStr">
        <is>
          <t>2025-03-09 | OFR-2025-1005</t>
        </is>
      </c>
      <c r="D190" s="17" t="inlineStr">
        <is>
          <t>WL-03604 | Lawrence Rodriguez</t>
        </is>
      </c>
      <c r="E190" s="17" t="inlineStr">
        <is>
          <t>Rank 2604 | current app 2025-12-17 | ACTIVE_WAITLIST</t>
        </is>
      </c>
      <c r="F190" s="17" t="inlineStr">
        <is>
          <t>EW-0909 / 45 ft | Eastwey</t>
        </is>
      </c>
      <c r="G190" s="17" t="inlineStr">
        <is>
          <t>not-current | Y / REPAIR_ESTIMATE</t>
        </is>
      </c>
      <c r="H190" s="17" t="inlineStr">
        <is>
          <t>CSV says attachment present; underlying file not individually furnished</t>
        </is>
      </c>
      <c r="I190" s="17" t="inlineStr">
        <is>
          <t>No exception identified in screening</t>
        </is>
      </c>
      <c r="J190" s="17" t="inlineStr"/>
      <c r="K190" s="17" t="inlineStr">
        <is>
          <t>Predates current application date</t>
        </is>
      </c>
      <c r="L190" s="17" t="inlineStr">
        <is>
          <t>No Board remedy recommended from supplied screening record; retain file for source-population reconciliation.</t>
        </is>
      </c>
    </row>
    <row r="191" outlineLevel="1">
      <c r="A191" s="17" t="inlineStr"/>
      <c r="B191" s="17" t="inlineStr">
        <is>
          <t>CSV row 266 | SKP-2025-0265</t>
        </is>
      </c>
      <c r="C191" s="17" t="inlineStr">
        <is>
          <t>2025-03-12 | OFR-2025-1003</t>
        </is>
      </c>
      <c r="D191" s="17" t="inlineStr">
        <is>
          <t>WL-03442 | Gary Russo</t>
        </is>
      </c>
      <c r="E191" s="17" t="inlineStr">
        <is>
          <t>Rank 2442 | current app 2025-09-18 | ACTIVE_WAITLIST</t>
        </is>
      </c>
      <c r="F191" s="17" t="inlineStr">
        <is>
          <t>SB-0203 / 36 ft | Salmonberry</t>
        </is>
      </c>
      <c r="G191" s="17" t="inlineStr">
        <is>
          <t>not-current | Y / OTHER_SUPPORT</t>
        </is>
      </c>
      <c r="H191" s="17" t="inlineStr">
        <is>
          <t>CSV says attachment present; underlying file not individually furnished</t>
        </is>
      </c>
      <c r="I191" s="17" t="inlineStr">
        <is>
          <t>No exception identified in screening</t>
        </is>
      </c>
      <c r="J191" s="17" t="inlineStr"/>
      <c r="K191" s="17" t="inlineStr">
        <is>
          <t>Predates current application date</t>
        </is>
      </c>
      <c r="L191" s="17" t="inlineStr">
        <is>
          <t>No Board remedy recommended from supplied screening record; retain file for source-population reconciliation.</t>
        </is>
      </c>
    </row>
    <row r="192" outlineLevel="1">
      <c r="A192" s="17" t="inlineStr"/>
      <c r="B192" s="17" t="inlineStr">
        <is>
          <t>CSV row 264 | SKP-2025-0263</t>
        </is>
      </c>
      <c r="C192" s="17" t="inlineStr">
        <is>
          <t>2025-03-22 | OFR-2025-0999</t>
        </is>
      </c>
      <c r="D192" s="17" t="inlineStr">
        <is>
          <t>WL-02067 | Craig Simon</t>
        </is>
      </c>
      <c r="E192" s="17" t="inlineStr">
        <is>
          <t>Rank 1067 | current app 2024-01-02 | ACTIVE_WAITLIST</t>
        </is>
      </c>
      <c r="F192" s="17" t="inlineStr">
        <is>
          <t>LP-1107 / 28 ft | Ledgport</t>
        </is>
      </c>
      <c r="G192" s="17" t="inlineStr">
        <is>
          <t>not-current | Y / REPAIR_ESTIMATE</t>
        </is>
      </c>
      <c r="H192" s="17" t="inlineStr">
        <is>
          <t>CSV says attachment present; underlying file not individually furnished</t>
        </is>
      </c>
      <c r="I192" s="17" t="inlineStr">
        <is>
          <t>No exception identified in screening</t>
        </is>
      </c>
      <c r="J192" s="17" t="inlineStr"/>
      <c r="K192" s="17" t="inlineStr"/>
      <c r="L192" s="17" t="inlineStr">
        <is>
          <t>No Board remedy recommended from supplied screening record; retain file for source-population reconciliation.</t>
        </is>
      </c>
    </row>
    <row r="193" outlineLevel="1">
      <c r="A193" s="17" t="inlineStr"/>
      <c r="B193" s="17" t="inlineStr">
        <is>
          <t>CSV row 265 | SKP-2025-0264</t>
        </is>
      </c>
      <c r="C193" s="17" t="inlineStr">
        <is>
          <t>2025-03-27 | OFR-2025-1001</t>
        </is>
      </c>
      <c r="D193" s="17" t="inlineStr">
        <is>
          <t>WL-01523 | Melissa Oneill</t>
        </is>
      </c>
      <c r="E193" s="17" t="inlineStr">
        <is>
          <t>Rank 523 | current app 2023-03-27 | RETAINER</t>
        </is>
      </c>
      <c r="F193" s="17" t="inlineStr">
        <is>
          <t>LP-0304 / 36 ft | Ledgport</t>
        </is>
      </c>
      <c r="G193" s="17" t="inlineStr">
        <is>
          <t>not-current | Y / WRITTEN_STATEMENT</t>
        </is>
      </c>
      <c r="H193" s="17" t="inlineStr">
        <is>
          <t>CSV says attachment present; underlying file not individually furnished</t>
        </is>
      </c>
      <c r="I193" s="17" t="inlineStr">
        <is>
          <t>No exception identified in screening</t>
        </is>
      </c>
      <c r="J193" s="17" t="inlineStr"/>
      <c r="K193" s="17" t="inlineStr"/>
      <c r="L193" s="17" t="inlineStr">
        <is>
          <t>No Board remedy recommended from supplied screening record; retain file for source-population reconciliation.</t>
        </is>
      </c>
    </row>
    <row r="194" outlineLevel="1">
      <c r="A194" s="17" t="inlineStr"/>
      <c r="B194" s="17" t="inlineStr">
        <is>
          <t>CSV row 270 | SKP-2025-0269</t>
        </is>
      </c>
      <c r="C194" s="17" t="inlineStr">
        <is>
          <t>2025-04-02 | OFR-2025-1018</t>
        </is>
      </c>
      <c r="D194" s="17" t="inlineStr">
        <is>
          <t>WL-02178 | Thomas Stone</t>
        </is>
      </c>
      <c r="E194" s="17" t="inlineStr">
        <is>
          <t>Rank 1178 | current app 2024-03-01 | ACTIVE_WAITLIST</t>
        </is>
      </c>
      <c r="F194" s="17" t="inlineStr">
        <is>
          <t>GW-0201 / 32 ft | Gullwing</t>
        </is>
      </c>
      <c r="G194" s="17" t="inlineStr">
        <is>
          <t>vessel-fit | Y / INSURANCE_DECL</t>
        </is>
      </c>
      <c r="H194" s="17" t="inlineStr">
        <is>
          <t>CSV says attachment present; underlying file not individually furnished</t>
        </is>
      </c>
      <c r="I194" s="17" t="inlineStr">
        <is>
          <t>No exception identified in screening</t>
        </is>
      </c>
      <c r="J194" s="17" t="inlineStr"/>
      <c r="K194" s="17" t="inlineStr"/>
      <c r="L194" s="17" t="inlineStr">
        <is>
          <t>No Board remedy recommended from supplied screening record; retain file for source-population reconciliation.</t>
        </is>
      </c>
    </row>
    <row r="195" outlineLevel="1">
      <c r="A195" s="17" t="inlineStr"/>
      <c r="B195" s="17" t="inlineStr">
        <is>
          <t>CSV row 276 | SKP-2025-0275</t>
        </is>
      </c>
      <c r="C195" s="17" t="inlineStr">
        <is>
          <t>2025-04-05 | OFR-2025-1037</t>
        </is>
      </c>
      <c r="D195" s="17" t="inlineStr">
        <is>
          <t>WL-02524 | Douglas Herrera</t>
        </is>
      </c>
      <c r="E195" s="17" t="inlineStr">
        <is>
          <t>Rank 1524 | current app 2024-08-07 | ACTIVE_WAITLIST</t>
        </is>
      </c>
      <c r="F195" s="17" t="inlineStr">
        <is>
          <t>SB-0102 / 32 ft | Salmonberry</t>
        </is>
      </c>
      <c r="G195" s="17" t="inlineStr">
        <is>
          <t>vessel-fit | Y / OTHER_SUPPORT</t>
        </is>
      </c>
      <c r="H195" s="17" t="inlineStr">
        <is>
          <t>CSV says attachment present; underlying file not individually furnished</t>
        </is>
      </c>
      <c r="I195" s="17" t="inlineStr">
        <is>
          <t>No exception identified in screening</t>
        </is>
      </c>
      <c r="J195" s="17" t="inlineStr"/>
      <c r="K195" s="17" t="inlineStr"/>
      <c r="L195" s="17" t="inlineStr">
        <is>
          <t>No Board remedy recommended from supplied screening record; retain file for source-population reconciliation.</t>
        </is>
      </c>
    </row>
    <row r="196" outlineLevel="1">
      <c r="A196" s="17" t="inlineStr"/>
      <c r="B196" s="17" t="inlineStr">
        <is>
          <t>CSV row 272 | SKP-2025-0271</t>
        </is>
      </c>
      <c r="C196" s="17" t="inlineStr">
        <is>
          <t>2025-04-07 | OFR-2025-1028</t>
        </is>
      </c>
      <c r="D196" s="17" t="inlineStr">
        <is>
          <t>WL-01808 | Jason Shepard</t>
        </is>
      </c>
      <c r="E196" s="17" t="inlineStr">
        <is>
          <t>Rank 808 | current app 2023-09-03 | ACTIVE_WAITLIST</t>
        </is>
      </c>
      <c r="F196" s="17" t="inlineStr">
        <is>
          <t>LP-0316 / 40 ft | Ledgport</t>
        </is>
      </c>
      <c r="G196" s="17" t="inlineStr">
        <is>
          <t>not-current | Y / OTHER_SUPPORT</t>
        </is>
      </c>
      <c r="H196" s="17" t="inlineStr">
        <is>
          <t>CSV says attachment present; underlying file not individually furnished</t>
        </is>
      </c>
      <c r="I196" s="17" t="inlineStr">
        <is>
          <t>No exception identified in screening</t>
        </is>
      </c>
      <c r="J196" s="17" t="inlineStr"/>
      <c r="K196" s="17" t="inlineStr"/>
      <c r="L196" s="17" t="inlineStr">
        <is>
          <t>No Board remedy recommended from supplied screening record; retain file for source-population reconciliation.</t>
        </is>
      </c>
    </row>
    <row r="197" outlineLevel="1">
      <c r="A197" s="17" t="inlineStr"/>
      <c r="B197" s="17" t="inlineStr">
        <is>
          <t>CSV row 271 | SKP-2025-0270</t>
        </is>
      </c>
      <c r="C197" s="17" t="inlineStr">
        <is>
          <t>2025-04-09 | OFR-2025-1023</t>
        </is>
      </c>
      <c r="D197" s="17" t="inlineStr">
        <is>
          <t>WL-02653 | Christine Jones</t>
        </is>
      </c>
      <c r="E197" s="17" t="inlineStr">
        <is>
          <t>Rank 1653 | current app 2024-10-01 | ACTIVE_WAITLIST</t>
        </is>
      </c>
      <c r="F197" s="17" t="inlineStr">
        <is>
          <t>GW-0615 / 24 ft | Gullwing</t>
        </is>
      </c>
      <c r="G197" s="17" t="inlineStr">
        <is>
          <t>not-current | Y / REPAIR_ESTIMATE</t>
        </is>
      </c>
      <c r="H197" s="17" t="inlineStr">
        <is>
          <t>CSV says attachment present; underlying file not individually furnished</t>
        </is>
      </c>
      <c r="I197" s="17" t="inlineStr">
        <is>
          <t>No exception identified in screening</t>
        </is>
      </c>
      <c r="J197" s="17" t="inlineStr"/>
      <c r="K197" s="17" t="inlineStr"/>
      <c r="L197" s="17" t="inlineStr">
        <is>
          <t>No Board remedy recommended from supplied screening record; retain file for source-population reconciliation.</t>
        </is>
      </c>
    </row>
    <row r="198" outlineLevel="1">
      <c r="A198" s="17" t="inlineStr"/>
      <c r="B198" s="17" t="inlineStr">
        <is>
          <t>CSV row 275 | SKP-2025-0274</t>
        </is>
      </c>
      <c r="C198" s="17" t="inlineStr">
        <is>
          <t>2025-04-09 | OFR-2025-1032</t>
        </is>
      </c>
      <c r="D198" s="17" t="inlineStr">
        <is>
          <t>WL-02188 | Courtney Zamora</t>
        </is>
      </c>
      <c r="E198" s="17" t="inlineStr">
        <is>
          <t>Rank 1188 | current app 2024-03-07 | ACTIVE_WAITLIST</t>
        </is>
      </c>
      <c r="F198" s="17" t="inlineStr">
        <is>
          <t>LP-0817 / 32 ft | Ledgport</t>
        </is>
      </c>
      <c r="G198" s="17" t="inlineStr">
        <is>
          <t>vessel-fit | Y / REPAIR_ESTIMATE</t>
        </is>
      </c>
      <c r="H198" s="17" t="inlineStr">
        <is>
          <t>CSV says attachment present; underlying file not individually furnished</t>
        </is>
      </c>
      <c r="I198" s="17" t="inlineStr">
        <is>
          <t>No exception identified in screening</t>
        </is>
      </c>
      <c r="J198" s="17" t="inlineStr"/>
      <c r="K198" s="17" t="inlineStr"/>
      <c r="L198" s="17" t="inlineStr">
        <is>
          <t>No Board remedy recommended from supplied screening record; retain file for source-population reconciliation.</t>
        </is>
      </c>
    </row>
    <row r="199" outlineLevel="1">
      <c r="A199" s="17" t="inlineStr"/>
      <c r="B199" s="17" t="inlineStr">
        <is>
          <t>CSV row 277 | SKP-2025-0276</t>
        </is>
      </c>
      <c r="C199" s="17" t="inlineStr">
        <is>
          <t>2025-04-14 | OFR-2025-1039</t>
        </is>
      </c>
      <c r="D199" s="17" t="inlineStr">
        <is>
          <t>WL-02845 | Joshua Ortiz</t>
        </is>
      </c>
      <c r="E199" s="17" t="inlineStr">
        <is>
          <t>Rank 1845 | current app 2024-12-22 | ACTIVE_WAITLIST</t>
        </is>
      </c>
      <c r="F199" s="17" t="inlineStr">
        <is>
          <t>SB-0410 / 24 ft | Salmonberry</t>
        </is>
      </c>
      <c r="G199" s="17" t="inlineStr">
        <is>
          <t>declined-prior-offer | Y / REPAIR_ESTIMATE</t>
        </is>
      </c>
      <c r="H199" s="17" t="inlineStr">
        <is>
          <t>CSV says attachment present; underlying file not individually furnished</t>
        </is>
      </c>
      <c r="I199" s="17" t="inlineStr">
        <is>
          <t>No exception identified in screening</t>
        </is>
      </c>
      <c r="J199" s="17" t="inlineStr"/>
      <c r="K199" s="17" t="inlineStr"/>
      <c r="L199" s="17" t="inlineStr">
        <is>
          <t>No Board remedy recommended from supplied screening record; retain file for source-population reconciliation.</t>
        </is>
      </c>
    </row>
    <row r="200" outlineLevel="1">
      <c r="A200" s="17" t="inlineStr"/>
      <c r="B200" s="17" t="inlineStr">
        <is>
          <t>CSV row 269 | SKP-2025-0268</t>
        </is>
      </c>
      <c r="C200" s="17" t="inlineStr">
        <is>
          <t>2025-04-16 | OFR-2025-1012</t>
        </is>
      </c>
      <c r="D200" s="17" t="inlineStr">
        <is>
          <t>WL-01578 | Ashley Green</t>
        </is>
      </c>
      <c r="E200" s="17" t="inlineStr">
        <is>
          <t>Rank 578 | current app 2023-05-01 | ACTIVE_WAITLIST</t>
        </is>
      </c>
      <c r="F200" s="17" t="inlineStr">
        <is>
          <t>LP-1108 / 32 ft | Ledgport</t>
        </is>
      </c>
      <c r="G200" s="17" t="inlineStr">
        <is>
          <t>not-current | Y / OTHER_SUPPORT</t>
        </is>
      </c>
      <c r="H200" s="17" t="inlineStr">
        <is>
          <t>CSV says attachment present; underlying file not individually furnished</t>
        </is>
      </c>
      <c r="I200" s="17" t="inlineStr">
        <is>
          <t>No exception identified in screening</t>
        </is>
      </c>
      <c r="J200" s="17" t="inlineStr"/>
      <c r="K200" s="17" t="inlineStr"/>
      <c r="L200" s="17" t="inlineStr">
        <is>
          <t>No Board remedy recommended from supplied screening record; retain file for source-population reconciliation.</t>
        </is>
      </c>
    </row>
    <row r="201" outlineLevel="1">
      <c r="A201" s="17" t="inlineStr"/>
      <c r="B201" s="17" t="inlineStr">
        <is>
          <t>CSV row 273 | SKP-2025-0272</t>
        </is>
      </c>
      <c r="C201" s="17" t="inlineStr">
        <is>
          <t>2025-04-22 | OFR-2025-1029</t>
        </is>
      </c>
      <c r="D201" s="17" t="inlineStr">
        <is>
          <t>WL-02693 | Patrick Allen</t>
        </is>
      </c>
      <c r="E201" s="17" t="inlineStr">
        <is>
          <t>Rank 1693 | current app 2024-10-16 | ACTIVE_WAITLIST</t>
        </is>
      </c>
      <c r="F201" s="17" t="inlineStr">
        <is>
          <t>VB-0906 / 36 ft | Vessbank</t>
        </is>
      </c>
      <c r="G201" s="17" t="inlineStr">
        <is>
          <t>preference-mismatch | Y / WRITTEN_STATEMENT</t>
        </is>
      </c>
      <c r="H201" s="17" t="inlineStr">
        <is>
          <t>CSV says attachment present; underlying file not individually furnished</t>
        </is>
      </c>
      <c r="I201" s="17" t="inlineStr">
        <is>
          <t>No exception identified in screening</t>
        </is>
      </c>
      <c r="J201" s="17" t="inlineStr"/>
      <c r="K201" s="17" t="inlineStr"/>
      <c r="L201" s="17" t="inlineStr">
        <is>
          <t>No Board remedy recommended from supplied screening record; retain file for source-population reconciliation.</t>
        </is>
      </c>
    </row>
    <row r="202" outlineLevel="1">
      <c r="A202" s="17" t="inlineStr"/>
      <c r="B202" s="17" t="inlineStr">
        <is>
          <t>CSV row 274 | SKP-2025-0273</t>
        </is>
      </c>
      <c r="C202" s="17" t="inlineStr">
        <is>
          <t>2025-04-27 | OFR-2025-1030</t>
        </is>
      </c>
      <c r="D202" s="17" t="inlineStr">
        <is>
          <t>WL-01328 | Charles Solis</t>
        </is>
      </c>
      <c r="E202" s="17" t="inlineStr">
        <is>
          <t>Rank 328 | current app 2022-12-07 | RETAINER</t>
        </is>
      </c>
      <c r="F202" s="17" t="inlineStr">
        <is>
          <t>SB-0704 / 70 ft | Salmonberry</t>
        </is>
      </c>
      <c r="G202" s="17" t="inlineStr">
        <is>
          <t>vessel-fit | Y / OTHER_SUPPORT</t>
        </is>
      </c>
      <c r="H202" s="17" t="inlineStr">
        <is>
          <t>CSV says attachment present; underlying file not individually furnished</t>
        </is>
      </c>
      <c r="I202" s="17" t="inlineStr">
        <is>
          <t>No exception identified in screening</t>
        </is>
      </c>
      <c r="J202" s="17" t="inlineStr"/>
      <c r="K202" s="17" t="inlineStr"/>
      <c r="L202" s="17" t="inlineStr">
        <is>
          <t>No Board remedy recommended from supplied screening record; retain file for source-population reconciliation.</t>
        </is>
      </c>
    </row>
    <row r="203" outlineLevel="1">
      <c r="A203" s="17" t="inlineStr"/>
      <c r="B203" s="17" t="inlineStr">
        <is>
          <t>CSV row 280 | SKP-2025-0279</t>
        </is>
      </c>
      <c r="C203" s="17" t="inlineStr">
        <is>
          <t>2025-05-05 | OFR-2025-1054</t>
        </is>
      </c>
      <c r="D203" s="17" t="inlineStr">
        <is>
          <t>WL-03662 | Kevin Murphy</t>
        </is>
      </c>
      <c r="E203" s="17" t="inlineStr">
        <is>
          <t>Rank 2662 | current app 2026-01-19 | EXPIRED</t>
        </is>
      </c>
      <c r="F203" s="17" t="inlineStr">
        <is>
          <t>VB-0604 / 28 ft | Vessbank</t>
        </is>
      </c>
      <c r="G203" s="17" t="inlineStr">
        <is>
          <t>not-current | Y / OTHER_SUPPORT</t>
        </is>
      </c>
      <c r="H203" s="17" t="inlineStr">
        <is>
          <t>CSV says attachment present; underlying file not individually furnished</t>
        </is>
      </c>
      <c r="I203" s="17" t="inlineStr">
        <is>
          <t>No exception identified in screening</t>
        </is>
      </c>
      <c r="J203" s="17" t="inlineStr"/>
      <c r="K203" s="17" t="inlineStr">
        <is>
          <t>Predates current application date</t>
        </is>
      </c>
      <c r="L203" s="17" t="inlineStr">
        <is>
          <t>No Board remedy recommended from supplied screening record; retain file for source-population reconciliation.</t>
        </is>
      </c>
    </row>
    <row r="204" outlineLevel="1">
      <c r="A204" s="17" t="inlineStr"/>
      <c r="B204" s="17" t="inlineStr">
        <is>
          <t>CSV row 278 | SKP-2025-0277</t>
        </is>
      </c>
      <c r="C204" s="17" t="inlineStr">
        <is>
          <t>2025-05-07 | OFR-2025-1042</t>
        </is>
      </c>
      <c r="D204" s="17" t="inlineStr">
        <is>
          <t>WL-03839 | Sonya May</t>
        </is>
      </c>
      <c r="E204" s="17" t="inlineStr">
        <is>
          <t>Rank 2839 | current app 2026-05-14 | ACTIVE_WAITLIST</t>
        </is>
      </c>
      <c r="F204" s="17" t="inlineStr">
        <is>
          <t>EW-0209 / 36 ft | Eastwey</t>
        </is>
      </c>
      <c r="G204" s="17" t="inlineStr">
        <is>
          <t>vessel-fit | Y / OTHER_SUPPORT</t>
        </is>
      </c>
      <c r="H204" s="17" t="inlineStr">
        <is>
          <t>CSV says attachment present; underlying file not individually furnished</t>
        </is>
      </c>
      <c r="I204" s="17" t="inlineStr">
        <is>
          <t>No exception identified in screening</t>
        </is>
      </c>
      <c r="J204" s="17" t="inlineStr"/>
      <c r="K204" s="17" t="inlineStr">
        <is>
          <t>Predates current application date</t>
        </is>
      </c>
      <c r="L204" s="17" t="inlineStr">
        <is>
          <t>No Board remedy recommended from supplied screening record; retain file for source-population reconciliation.</t>
        </is>
      </c>
    </row>
    <row r="205" outlineLevel="1">
      <c r="A205" s="17" t="inlineStr"/>
      <c r="B205" s="17" t="inlineStr">
        <is>
          <t>CSV row 281 | SKP-2025-0280</t>
        </is>
      </c>
      <c r="C205" s="17" t="inlineStr">
        <is>
          <t>2025-05-07 | OFR-2025-1059</t>
        </is>
      </c>
      <c r="D205" s="17" t="inlineStr">
        <is>
          <t>WL-01472 | Amber Rojas</t>
        </is>
      </c>
      <c r="E205" s="17" t="inlineStr">
        <is>
          <t>Rank 472 | current app 2023-02-23 | ACTIVE_WAITLIST</t>
        </is>
      </c>
      <c r="F205" s="17" t="inlineStr">
        <is>
          <t>SB-0720 / 28 ft | Salmonberry</t>
        </is>
      </c>
      <c r="G205" s="17" t="inlineStr">
        <is>
          <t>preference-mismatch | Y / OTHER_SUPPORT</t>
        </is>
      </c>
      <c r="H205" s="17" t="inlineStr">
        <is>
          <t>CSV says attachment present; underlying file not individually furnished</t>
        </is>
      </c>
      <c r="I205" s="17" t="inlineStr">
        <is>
          <t>No exception identified in screening</t>
        </is>
      </c>
      <c r="J205" s="17" t="inlineStr"/>
      <c r="K205" s="17" t="inlineStr"/>
      <c r="L205" s="17" t="inlineStr">
        <is>
          <t>No Board remedy recommended from supplied screening record; retain file for source-population reconciliation.</t>
        </is>
      </c>
    </row>
    <row r="206" outlineLevel="1">
      <c r="A206" s="17" t="inlineStr"/>
      <c r="B206" s="17" t="inlineStr">
        <is>
          <t>CSV row 282 | SKP-2025-0281</t>
        </is>
      </c>
      <c r="C206" s="17" t="inlineStr">
        <is>
          <t>2025-05-10 | OFR-2025-1068</t>
        </is>
      </c>
      <c r="D206" s="17" t="inlineStr">
        <is>
          <t>WL-03360 | Morgan Ramos</t>
        </is>
      </c>
      <c r="E206" s="17" t="inlineStr">
        <is>
          <t>Rank 2360 | current app 2025-08-10 | ACTIVE_WAITLIST</t>
        </is>
      </c>
      <c r="F206" s="17" t="inlineStr">
        <is>
          <t>EW-1003 / 40 ft | Eastwey</t>
        </is>
      </c>
      <c r="G206" s="17" t="inlineStr">
        <is>
          <t>not-current | Y / REPAIR_ESTIMATE</t>
        </is>
      </c>
      <c r="H206" s="17" t="inlineStr">
        <is>
          <t>CSV says attachment present; underlying file not individually furnished</t>
        </is>
      </c>
      <c r="I206" s="17" t="inlineStr">
        <is>
          <t>No exception identified in screening</t>
        </is>
      </c>
      <c r="J206" s="17" t="inlineStr"/>
      <c r="K206" s="17" t="inlineStr">
        <is>
          <t>Predates current application date</t>
        </is>
      </c>
      <c r="L206" s="17" t="inlineStr">
        <is>
          <t>No Board remedy recommended from supplied screening record; retain file for source-population reconciliation.</t>
        </is>
      </c>
    </row>
    <row r="207" outlineLevel="1">
      <c r="A207" s="17" t="inlineStr"/>
      <c r="B207" s="17" t="inlineStr">
        <is>
          <t>CSV row 279 | SKP-2025-0278</t>
        </is>
      </c>
      <c r="C207" s="17" t="inlineStr">
        <is>
          <t>2025-05-17 | OFR-2025-1053</t>
        </is>
      </c>
      <c r="D207" s="17" t="inlineStr">
        <is>
          <t>WL-03094 | Christine Cook</t>
        </is>
      </c>
      <c r="E207" s="17" t="inlineStr">
        <is>
          <t>Rank 2094 | current app 2025-04-06 | ACTIVE_WAITLIST</t>
        </is>
      </c>
      <c r="F207" s="17" t="inlineStr">
        <is>
          <t>LP-0316 / 40 ft | Ledgport</t>
        </is>
      </c>
      <c r="G207" s="17" t="inlineStr">
        <is>
          <t>vessel-fit | Y / OTHER_SUPPORT</t>
        </is>
      </c>
      <c r="H207" s="17" t="inlineStr">
        <is>
          <t>CSV says attachment present; underlying file not individually furnished</t>
        </is>
      </c>
      <c r="I207" s="17" t="inlineStr">
        <is>
          <t>No exception identified in screening</t>
        </is>
      </c>
      <c r="J207" s="17" t="inlineStr"/>
      <c r="K207" s="17" t="inlineStr"/>
      <c r="L207" s="17" t="inlineStr">
        <is>
          <t>No Board remedy recommended from supplied screening record; retain file for source-population reconciliation.</t>
        </is>
      </c>
    </row>
    <row r="208" outlineLevel="1">
      <c r="A208" s="17" t="inlineStr"/>
      <c r="B208" s="17" t="inlineStr">
        <is>
          <t>CSV row 286 | SKP-2025-0285</t>
        </is>
      </c>
      <c r="C208" s="17" t="inlineStr">
        <is>
          <t>2025-06-02 | OFR-2025-1079</t>
        </is>
      </c>
      <c r="D208" s="17" t="inlineStr">
        <is>
          <t>WL-03047 | Lauren Collins</t>
        </is>
      </c>
      <c r="E208" s="17" t="inlineStr">
        <is>
          <t>Rank 2047 | current app 2025-03-16 | ACTIVE_WAITLIST</t>
        </is>
      </c>
      <c r="F208" s="17" t="inlineStr">
        <is>
          <t>EW-0415 / 24 ft | Eastwey</t>
        </is>
      </c>
      <c r="G208" s="17" t="inlineStr">
        <is>
          <t>preference-mismatch | Y / REPAIR_ESTIMATE</t>
        </is>
      </c>
      <c r="H208" s="17" t="inlineStr">
        <is>
          <t>CSV says attachment present; underlying file not individually furnished</t>
        </is>
      </c>
      <c r="I208" s="17" t="inlineStr">
        <is>
          <t>No exception identified in screening</t>
        </is>
      </c>
      <c r="J208" s="17" t="inlineStr"/>
      <c r="K208" s="17" t="inlineStr"/>
      <c r="L208" s="17" t="inlineStr">
        <is>
          <t>No Board remedy recommended from supplied screening record; retain file for source-population reconciliation.</t>
        </is>
      </c>
    </row>
    <row r="209" outlineLevel="1">
      <c r="A209" s="17" t="inlineStr"/>
      <c r="B209" s="17" t="inlineStr">
        <is>
          <t>CSV row 290 | SKP-2025-0289</t>
        </is>
      </c>
      <c r="C209" s="17" t="inlineStr">
        <is>
          <t>2025-06-02 | OFR-2025-1098</t>
        </is>
      </c>
      <c r="D209" s="17" t="inlineStr">
        <is>
          <t>WL-02013 | Elizabeth Harrison</t>
        </is>
      </c>
      <c r="E209" s="17" t="inlineStr">
        <is>
          <t>Rank 1013 | current app 2023-12-11 | ACTIVE_WAITLIST</t>
        </is>
      </c>
      <c r="F209" s="17" t="inlineStr">
        <is>
          <t>LP-0901 / 40 ft | Ledgport</t>
        </is>
      </c>
      <c r="G209" s="17" t="inlineStr">
        <is>
          <t>not-current | Y / OTHER_SUPPORT</t>
        </is>
      </c>
      <c r="H209" s="17" t="inlineStr">
        <is>
          <t>CSV says attachment present; underlying file not individually furnished</t>
        </is>
      </c>
      <c r="I209" s="17" t="inlineStr">
        <is>
          <t>No exception identified in screening</t>
        </is>
      </c>
      <c r="J209" s="17" t="inlineStr"/>
      <c r="K209" s="17" t="inlineStr"/>
      <c r="L209" s="17" t="inlineStr">
        <is>
          <t>No Board remedy recommended from supplied screening record; retain file for source-population reconciliation.</t>
        </is>
      </c>
    </row>
    <row r="210" outlineLevel="1">
      <c r="A210" s="17" t="inlineStr"/>
      <c r="B210" s="17" t="inlineStr">
        <is>
          <t>CSV row 289 | SKP-2025-0288</t>
        </is>
      </c>
      <c r="C210" s="17" t="inlineStr">
        <is>
          <t>2025-06-09 | OFR-2025-1091</t>
        </is>
      </c>
      <c r="D210" s="17" t="inlineStr">
        <is>
          <t>WL-02356 | David Flores</t>
        </is>
      </c>
      <c r="E210" s="17" t="inlineStr">
        <is>
          <t>Rank 1356 | current app 2024-05-19 | ACTIVE_WAITLIST</t>
        </is>
      </c>
      <c r="F210" s="17" t="inlineStr">
        <is>
          <t>SB-0411 / 24 ft | Salmonberry</t>
        </is>
      </c>
      <c r="G210" s="17" t="inlineStr">
        <is>
          <t>preference-mismatch | Y / INSURANCE_DECL</t>
        </is>
      </c>
      <c r="H210" s="17" t="inlineStr">
        <is>
          <t>CSV says attachment present; underlying file not individually furnished</t>
        </is>
      </c>
      <c r="I210" s="17" t="inlineStr">
        <is>
          <t>No exception identified in screening</t>
        </is>
      </c>
      <c r="J210" s="17" t="inlineStr"/>
      <c r="K210" s="17" t="inlineStr"/>
      <c r="L210" s="17" t="inlineStr">
        <is>
          <t>No Board remedy recommended from supplied screening record; retain file for source-population reconciliation.</t>
        </is>
      </c>
    </row>
    <row r="211" outlineLevel="1">
      <c r="A211" s="17" t="inlineStr"/>
      <c r="B211" s="17" t="inlineStr">
        <is>
          <t>CSV row 287 | SKP-2025-0286</t>
        </is>
      </c>
      <c r="C211" s="17" t="inlineStr">
        <is>
          <t>2025-06-14 | OFR-2025-1081</t>
        </is>
      </c>
      <c r="D211" s="17" t="inlineStr">
        <is>
          <t>WL-01151 | Tamara Alvarez</t>
        </is>
      </c>
      <c r="E211" s="17" t="inlineStr">
        <is>
          <t>Rank 151 | current app 2022-07-24 | EXPIRED</t>
        </is>
      </c>
      <c r="F211" s="17" t="inlineStr">
        <is>
          <t>SB-0804 / 24 ft | Salmonberry</t>
        </is>
      </c>
      <c r="G211" s="17" t="inlineStr">
        <is>
          <t>not-current | Y / OTHER_SUPPORT</t>
        </is>
      </c>
      <c r="H211" s="17" t="inlineStr">
        <is>
          <t>CSV says attachment present; underlying file not individually furnished</t>
        </is>
      </c>
      <c r="I211" s="17" t="inlineStr">
        <is>
          <t>No exception identified in screening</t>
        </is>
      </c>
      <c r="J211" s="17" t="inlineStr"/>
      <c r="K211" s="17" t="inlineStr"/>
      <c r="L211" s="17" t="inlineStr">
        <is>
          <t>No Board remedy recommended from supplied screening record; retain file for source-population reconciliation.</t>
        </is>
      </c>
    </row>
    <row r="212" outlineLevel="1">
      <c r="A212" s="17" t="inlineStr"/>
      <c r="B212" s="17" t="inlineStr">
        <is>
          <t>CSV row 285 | SKP-2025-0284</t>
        </is>
      </c>
      <c r="C212" s="17" t="inlineStr">
        <is>
          <t>2025-06-15 | OFR-2025-1076</t>
        </is>
      </c>
      <c r="D212" s="17" t="inlineStr">
        <is>
          <t>WL-02698 | Laura Mckenzie</t>
        </is>
      </c>
      <c r="E212" s="17" t="inlineStr">
        <is>
          <t>Rank 1698 | current app 2024-10-19 | ACTIVE_WAITLIST</t>
        </is>
      </c>
      <c r="F212" s="17" t="inlineStr">
        <is>
          <t>VB-0409 / 32 ft | Vessbank</t>
        </is>
      </c>
      <c r="G212" s="17" t="inlineStr">
        <is>
          <t>preference-mismatch | Y / INSURANCE_DECL</t>
        </is>
      </c>
      <c r="H212" s="17" t="inlineStr">
        <is>
          <t>CSV says attachment present; underlying file not individually furnished</t>
        </is>
      </c>
      <c r="I212" s="17" t="inlineStr">
        <is>
          <t>No exception identified in screening</t>
        </is>
      </c>
      <c r="J212" s="17" t="inlineStr"/>
      <c r="K212" s="17" t="inlineStr"/>
      <c r="L212" s="17" t="inlineStr">
        <is>
          <t>No Board remedy recommended from supplied screening record; retain file for source-population reconciliation.</t>
        </is>
      </c>
    </row>
    <row r="213" outlineLevel="1">
      <c r="A213" s="17" t="inlineStr"/>
      <c r="B213" s="17" t="inlineStr">
        <is>
          <t>CSV row 283 | SKP-2025-0282</t>
        </is>
      </c>
      <c r="C213" s="17" t="inlineStr">
        <is>
          <t>2025-06-18 | OFR-2025-1072</t>
        </is>
      </c>
      <c r="D213" s="17" t="inlineStr">
        <is>
          <t>WL-02747 | Angel Massey</t>
        </is>
      </c>
      <c r="E213" s="17" t="inlineStr">
        <is>
          <t>Rank 1747 | current app 2024-11-10 | ACTIVE_WAITLIST</t>
        </is>
      </c>
      <c r="F213" s="17" t="inlineStr">
        <is>
          <t>GW-0401 / 45 ft | Gullwing</t>
        </is>
      </c>
      <c r="G213" s="17" t="inlineStr">
        <is>
          <t>preference-mismatch | Y / REPAIR_ESTIMATE</t>
        </is>
      </c>
      <c r="H213" s="17" t="inlineStr">
        <is>
          <t>CSV says attachment present; underlying file not individually furnished</t>
        </is>
      </c>
      <c r="I213" s="17" t="inlineStr">
        <is>
          <t>No exception identified in screening</t>
        </is>
      </c>
      <c r="J213" s="17" t="inlineStr"/>
      <c r="K213" s="17" t="inlineStr"/>
      <c r="L213" s="17" t="inlineStr">
        <is>
          <t>No Board remedy recommended from supplied screening record; retain file for source-population reconciliation.</t>
        </is>
      </c>
    </row>
    <row r="214" outlineLevel="1">
      <c r="A214" s="17" t="inlineStr"/>
      <c r="B214" s="17" t="inlineStr">
        <is>
          <t>CSV row 284 | SKP-2025-0283</t>
        </is>
      </c>
      <c r="C214" s="17" t="inlineStr">
        <is>
          <t>2025-06-18 | OFR-2025-1075</t>
        </is>
      </c>
      <c r="D214" s="17" t="inlineStr">
        <is>
          <t>WL-01333 | Andrew Hayden</t>
        </is>
      </c>
      <c r="E214" s="17" t="inlineStr">
        <is>
          <t>Rank 333 | current app 2022-12-09 | RETAINER</t>
        </is>
      </c>
      <c r="F214" s="17" t="inlineStr">
        <is>
          <t>LP-0208 / 32 ft | Ledgport</t>
        </is>
      </c>
      <c r="G214" s="17" t="inlineStr">
        <is>
          <t>not-current | Y / WRITTEN_STATEMENT</t>
        </is>
      </c>
      <c r="H214" s="17" t="inlineStr">
        <is>
          <t>CSV says attachment present; underlying file not individually furnished</t>
        </is>
      </c>
      <c r="I214" s="17" t="inlineStr">
        <is>
          <t>No exception identified in screening</t>
        </is>
      </c>
      <c r="J214" s="17" t="inlineStr"/>
      <c r="K214" s="17" t="inlineStr"/>
      <c r="L214" s="17" t="inlineStr">
        <is>
          <t>No Board remedy recommended from supplied screening record; retain file for source-population reconciliation.</t>
        </is>
      </c>
    </row>
    <row r="215" outlineLevel="1">
      <c r="A215" s="17" t="inlineStr"/>
      <c r="B215" s="17" t="inlineStr">
        <is>
          <t>CSV row 288 | SKP-2025-0287</t>
        </is>
      </c>
      <c r="C215" s="17" t="inlineStr">
        <is>
          <t>2025-06-19 | OFR-2025-1090</t>
        </is>
      </c>
      <c r="D215" s="17" t="inlineStr">
        <is>
          <t>WL-02314 | David Silva</t>
        </is>
      </c>
      <c r="E215" s="17" t="inlineStr">
        <is>
          <t>Rank 1314 | current app 2024-04-30 | ACTIVE_WAITLIST</t>
        </is>
      </c>
      <c r="F215" s="17" t="inlineStr">
        <is>
          <t>LP-0124 / 28 ft | Ledgport</t>
        </is>
      </c>
      <c r="G215" s="17" t="inlineStr">
        <is>
          <t>not-current | Y / WRITTEN_STATEMENT</t>
        </is>
      </c>
      <c r="H215" s="17" t="inlineStr">
        <is>
          <t>CSV says attachment present; underlying file not individually furnished</t>
        </is>
      </c>
      <c r="I215" s="17" t="inlineStr">
        <is>
          <t>No exception identified in screening</t>
        </is>
      </c>
      <c r="J215" s="17" t="inlineStr"/>
      <c r="K215" s="17" t="inlineStr"/>
      <c r="L215" s="17" t="inlineStr">
        <is>
          <t>No Board remedy recommended from supplied screening record; retain file for source-population reconciliation.</t>
        </is>
      </c>
    </row>
    <row r="216" outlineLevel="1">
      <c r="A216" s="17" t="inlineStr"/>
      <c r="B216" s="17" t="inlineStr">
        <is>
          <t>CSV row 291 | SKP-2025-0290</t>
        </is>
      </c>
      <c r="C216" s="17" t="inlineStr">
        <is>
          <t>2025-07-10 | OFR-2025-1101</t>
        </is>
      </c>
      <c r="D216" s="17" t="inlineStr">
        <is>
          <t>WL-01813 | Jessica Williams</t>
        </is>
      </c>
      <c r="E216" s="17" t="inlineStr">
        <is>
          <t>Rank 813 | current app 2023-09-06 | ACTIVE_WAITLIST</t>
        </is>
      </c>
      <c r="F216" s="17" t="inlineStr">
        <is>
          <t>GW-0910 / 50 ft | Gullwing</t>
        </is>
      </c>
      <c r="G216" s="17" t="inlineStr">
        <is>
          <t>not-current | Y / REPAIR_ESTIMATE</t>
        </is>
      </c>
      <c r="H216" s="17" t="inlineStr">
        <is>
          <t>CSV says attachment present; underlying file not individually furnished</t>
        </is>
      </c>
      <c r="I216" s="17" t="inlineStr">
        <is>
          <t>No exception identified in screening</t>
        </is>
      </c>
      <c r="J216" s="17" t="inlineStr"/>
      <c r="K216" s="17" t="inlineStr"/>
      <c r="L216" s="17" t="inlineStr">
        <is>
          <t>No Board remedy recommended from supplied screening record; retain file for source-population reconciliation.</t>
        </is>
      </c>
    </row>
    <row r="217" outlineLevel="1">
      <c r="A217" s="17" t="inlineStr"/>
      <c r="B217" s="17" t="inlineStr">
        <is>
          <t>CSV row 295 | SKP-2025-0294</t>
        </is>
      </c>
      <c r="C217" s="17" t="inlineStr">
        <is>
          <t>2025-07-11 | OFR-2025-1124</t>
        </is>
      </c>
      <c r="D217" s="17" t="inlineStr">
        <is>
          <t>WL-03579 | Jeanne Greer</t>
        </is>
      </c>
      <c r="E217" s="17" t="inlineStr">
        <is>
          <t>Rank 2579 | current app 2025-12-02 | ACTIVE_WAITLIST</t>
        </is>
      </c>
      <c r="F217" s="17" t="inlineStr">
        <is>
          <t>LP-0816 / 28 ft | Ledgport</t>
        </is>
      </c>
      <c r="G217" s="17" t="inlineStr">
        <is>
          <t>declined-prior-offer | Y / REPAIR_ESTIMATE</t>
        </is>
      </c>
      <c r="H217" s="17" t="inlineStr">
        <is>
          <t>CSV says attachment present; underlying file not individually furnished</t>
        </is>
      </c>
      <c r="I217" s="17" t="inlineStr">
        <is>
          <t>No exception identified in screening</t>
        </is>
      </c>
      <c r="J217" s="17" t="inlineStr"/>
      <c r="K217" s="17" t="inlineStr">
        <is>
          <t>Predates current application date</t>
        </is>
      </c>
      <c r="L217" s="17" t="inlineStr">
        <is>
          <t>No Board remedy recommended from supplied screening record; retain file for source-population reconciliation.</t>
        </is>
      </c>
    </row>
    <row r="218" outlineLevel="1">
      <c r="A218" s="17" t="inlineStr"/>
      <c r="B218" s="17" t="inlineStr">
        <is>
          <t>CSV row 294 | SKP-2025-0293</t>
        </is>
      </c>
      <c r="C218" s="17" t="inlineStr">
        <is>
          <t>2025-07-12 | OFR-2025-1123</t>
        </is>
      </c>
      <c r="D218" s="17" t="inlineStr">
        <is>
          <t>WL-03516 | Tiffany Mcgrath</t>
        </is>
      </c>
      <c r="E218" s="17" t="inlineStr">
        <is>
          <t>Rank 2516 | current app 2025-10-27 | ACTIVE_WAITLIST</t>
        </is>
      </c>
      <c r="F218" s="17" t="inlineStr">
        <is>
          <t>VB-0209 / 32 ft | Vessbank</t>
        </is>
      </c>
      <c r="G218" s="17" t="inlineStr">
        <is>
          <t>preference-mismatch | Y / OTHER_SUPPORT</t>
        </is>
      </c>
      <c r="H218" s="17" t="inlineStr">
        <is>
          <t>CSV says attachment present; underlying file not individually furnished</t>
        </is>
      </c>
      <c r="I218" s="17" t="inlineStr">
        <is>
          <t>No exception identified in screening</t>
        </is>
      </c>
      <c r="J218" s="17" t="inlineStr"/>
      <c r="K218" s="17" t="inlineStr">
        <is>
          <t>Predates current application date</t>
        </is>
      </c>
      <c r="L218" s="17" t="inlineStr">
        <is>
          <t>No Board remedy recommended from supplied screening record; retain file for source-population reconciliation.</t>
        </is>
      </c>
    </row>
    <row r="219" outlineLevel="1">
      <c r="A219" s="17" t="inlineStr"/>
      <c r="B219" s="17" t="inlineStr">
        <is>
          <t>CSV row 296 | SKP-2025-0295</t>
        </is>
      </c>
      <c r="C219" s="17" t="inlineStr">
        <is>
          <t>2025-07-17 | OFR-2025-1125</t>
        </is>
      </c>
      <c r="D219" s="17" t="inlineStr">
        <is>
          <t>WL-03248 | Theresa Grant</t>
        </is>
      </c>
      <c r="E219" s="17" t="inlineStr">
        <is>
          <t>Rank 2248 | current app 2025-06-20 | ACTIVE_WAITLIST</t>
        </is>
      </c>
      <c r="F219" s="17" t="inlineStr">
        <is>
          <t>LP-0616 / 24 ft | Ledgport</t>
        </is>
      </c>
      <c r="G219" s="17" t="inlineStr">
        <is>
          <t>preference-mismatch | Y / WRITTEN_STATEMENT</t>
        </is>
      </c>
      <c r="H219" s="17" t="inlineStr">
        <is>
          <t>CSV says attachment present; underlying file not individually furnished</t>
        </is>
      </c>
      <c r="I219" s="17" t="inlineStr">
        <is>
          <t>No exception identified in screening</t>
        </is>
      </c>
      <c r="J219" s="17" t="inlineStr"/>
      <c r="K219" s="17" t="inlineStr"/>
      <c r="L219" s="17" t="inlineStr">
        <is>
          <t>No Board remedy recommended from supplied screening record; retain file for source-population reconciliation.</t>
        </is>
      </c>
    </row>
    <row r="220" outlineLevel="1">
      <c r="A220" s="17" t="inlineStr"/>
      <c r="B220" s="17" t="inlineStr">
        <is>
          <t>CSV row 297 | SKP-2025-0296</t>
        </is>
      </c>
      <c r="C220" s="17" t="inlineStr">
        <is>
          <t>2025-07-22 | OFR-2025-1126</t>
        </is>
      </c>
      <c r="D220" s="17" t="inlineStr">
        <is>
          <t>WL-03526 | Michael West</t>
        </is>
      </c>
      <c r="E220" s="17" t="inlineStr">
        <is>
          <t>Rank 2526 | current app 2025-11-03 | ACTIVE_WAITLIST</t>
        </is>
      </c>
      <c r="F220" s="17" t="inlineStr">
        <is>
          <t>SB-0102 / 32 ft | Salmonberry</t>
        </is>
      </c>
      <c r="G220" s="17" t="inlineStr">
        <is>
          <t>preference-mismatch | Y / OTHER_SUPPORT</t>
        </is>
      </c>
      <c r="H220" s="17" t="inlineStr">
        <is>
          <t>CSV says attachment present; underlying file not individually furnished</t>
        </is>
      </c>
      <c r="I220" s="17" t="inlineStr">
        <is>
          <t>No exception identified in screening</t>
        </is>
      </c>
      <c r="J220" s="17" t="inlineStr"/>
      <c r="K220" s="17" t="inlineStr">
        <is>
          <t>Predates current application date</t>
        </is>
      </c>
      <c r="L220" s="17" t="inlineStr">
        <is>
          <t>No Board remedy recommended from supplied screening record; retain file for source-population reconciliation.</t>
        </is>
      </c>
    </row>
    <row r="221" outlineLevel="1">
      <c r="A221" s="17" t="inlineStr"/>
      <c r="B221" s="17" t="inlineStr">
        <is>
          <t>CSV row 292 | SKP-2025-0291</t>
        </is>
      </c>
      <c r="C221" s="17" t="inlineStr">
        <is>
          <t>2025-07-25 | OFR-2025-1113</t>
        </is>
      </c>
      <c r="D221" s="17" t="inlineStr">
        <is>
          <t>WL-03227 | Carrie Herrera</t>
        </is>
      </c>
      <c r="E221" s="17" t="inlineStr">
        <is>
          <t>Rank 2227 | current app 2025-06-07 | ACTIVE_WAITLIST</t>
        </is>
      </c>
      <c r="F221" s="17" t="inlineStr">
        <is>
          <t>LP-0414 / 40 ft | Ledgport</t>
        </is>
      </c>
      <c r="G221" s="17" t="inlineStr">
        <is>
          <t>declined-prior-offer | Y / WRITTEN_STATEMENT</t>
        </is>
      </c>
      <c r="H221" s="17" t="inlineStr">
        <is>
          <t>CSV says attachment present; underlying file not individually furnished</t>
        </is>
      </c>
      <c r="I221" s="17" t="inlineStr">
        <is>
          <t>No exception identified in screening</t>
        </is>
      </c>
      <c r="J221" s="17" t="inlineStr"/>
      <c r="K221" s="17" t="inlineStr"/>
      <c r="L221" s="17" t="inlineStr">
        <is>
          <t>No Board remedy recommended from supplied screening record; retain file for source-population reconciliation.</t>
        </is>
      </c>
    </row>
    <row r="222" outlineLevel="1">
      <c r="A222" s="17" t="inlineStr"/>
      <c r="B222" s="17" t="inlineStr">
        <is>
          <t>CSV row 309 | SKP-2025-0308</t>
        </is>
      </c>
      <c r="C222" s="17" t="inlineStr">
        <is>
          <t>2025-08-03 | OFR-2025-1165</t>
        </is>
      </c>
      <c r="D222" s="17" t="inlineStr">
        <is>
          <t>WL-03481 | William Madden</t>
        </is>
      </c>
      <c r="E222" s="17" t="inlineStr">
        <is>
          <t>Rank 2481 | current app 2025-10-07 | ACTIVE_WAITLIST</t>
        </is>
      </c>
      <c r="F222" s="17" t="inlineStr">
        <is>
          <t>GW-0915 / 32 ft | Gullwing</t>
        </is>
      </c>
      <c r="G222" s="17" t="inlineStr">
        <is>
          <t>vessel-fit | Y / OTHER_SUPPORT</t>
        </is>
      </c>
      <c r="H222" s="17" t="inlineStr">
        <is>
          <t>CSV says attachment present; underlying file not individually furnished</t>
        </is>
      </c>
      <c r="I222" s="17" t="inlineStr">
        <is>
          <t>No exception identified in screening</t>
        </is>
      </c>
      <c r="J222" s="17" t="inlineStr"/>
      <c r="K222" s="17" t="inlineStr">
        <is>
          <t>Predates current application date</t>
        </is>
      </c>
      <c r="L222" s="17" t="inlineStr">
        <is>
          <t>No Board remedy recommended from supplied screening record; retain file for source-population reconciliation.</t>
        </is>
      </c>
    </row>
    <row r="223" outlineLevel="1">
      <c r="A223" s="17" t="inlineStr"/>
      <c r="B223" s="17" t="inlineStr">
        <is>
          <t>CSV row 308 | SKP-2025-0307</t>
        </is>
      </c>
      <c r="C223" s="17" t="inlineStr">
        <is>
          <t>2025-08-05 | OFR-2025-1164</t>
        </is>
      </c>
      <c r="D223" s="17" t="inlineStr">
        <is>
          <t>WL-02323 | John Preston</t>
        </is>
      </c>
      <c r="E223" s="17" t="inlineStr">
        <is>
          <t>Rank 1323 | current app 2024-05-03 | ACTIVE_WAITLIST</t>
        </is>
      </c>
      <c r="F223" s="17" t="inlineStr">
        <is>
          <t>EW-0118 / 45 ft | Eastwey</t>
        </is>
      </c>
      <c r="G223" s="17" t="inlineStr">
        <is>
          <t>not-current | Y / INSURANCE_DECL</t>
        </is>
      </c>
      <c r="H223" s="17" t="inlineStr">
        <is>
          <t>CSV says attachment present; underlying file not individually furnished</t>
        </is>
      </c>
      <c r="I223" s="17" t="inlineStr">
        <is>
          <t>No exception identified in screening</t>
        </is>
      </c>
      <c r="J223" s="17" t="inlineStr"/>
      <c r="K223" s="17" t="inlineStr"/>
      <c r="L223" s="17" t="inlineStr">
        <is>
          <t>No Board remedy recommended from supplied screening record; retain file for source-population reconciliation.</t>
        </is>
      </c>
    </row>
    <row r="224" outlineLevel="1">
      <c r="A224" s="17" t="inlineStr"/>
      <c r="B224" s="17" t="inlineStr">
        <is>
          <t>CSV row 307 | SKP-2025-0306</t>
        </is>
      </c>
      <c r="C224" s="17" t="inlineStr">
        <is>
          <t>2025-08-08 | OFR-2025-1160</t>
        </is>
      </c>
      <c r="D224" s="17" t="inlineStr">
        <is>
          <t>WL-02912 | Alan Ortiz</t>
        </is>
      </c>
      <c r="E224" s="17" t="inlineStr">
        <is>
          <t>Rank 1912 | current app 2025-01-15 | ACTIVE_WAITLIST</t>
        </is>
      </c>
      <c r="F224" s="17" t="inlineStr">
        <is>
          <t>SB-0420 / 32 ft | Salmonberry</t>
        </is>
      </c>
      <c r="G224" s="17" t="inlineStr">
        <is>
          <t>preference-mismatch | Y / OTHER_SUPPORT</t>
        </is>
      </c>
      <c r="H224" s="17" t="inlineStr">
        <is>
          <t>CSV says attachment present; underlying file not individually furnished</t>
        </is>
      </c>
      <c r="I224" s="17" t="inlineStr">
        <is>
          <t>No exception identified in screening</t>
        </is>
      </c>
      <c r="J224" s="17" t="inlineStr"/>
      <c r="K224" s="17" t="inlineStr"/>
      <c r="L224" s="17" t="inlineStr">
        <is>
          <t>No Board remedy recommended from supplied screening record; retain file for source-population reconciliation.</t>
        </is>
      </c>
    </row>
    <row r="225" outlineLevel="1">
      <c r="A225" s="17" t="inlineStr"/>
      <c r="B225" s="17" t="inlineStr">
        <is>
          <t>CSV row 304 | SKP-2025-0303</t>
        </is>
      </c>
      <c r="C225" s="17" t="inlineStr">
        <is>
          <t>2025-08-10 | OFR-2025-1153</t>
        </is>
      </c>
      <c r="D225" s="17" t="inlineStr">
        <is>
          <t>WL-02607 | Sean Charles</t>
        </is>
      </c>
      <c r="E225" s="17" t="inlineStr">
        <is>
          <t>Rank 1607 | current app 2024-09-12 | ACTIVE_WAITLIST</t>
        </is>
      </c>
      <c r="F225" s="17" t="inlineStr">
        <is>
          <t>LP-1024 / 32 ft | Ledgport</t>
        </is>
      </c>
      <c r="G225" s="17" t="inlineStr">
        <is>
          <t>vessel-fit | Y / INSURANCE_DECL</t>
        </is>
      </c>
      <c r="H225" s="17" t="inlineStr">
        <is>
          <t>CSV says attachment present; underlying file not individually furnished</t>
        </is>
      </c>
      <c r="I225" s="17" t="inlineStr">
        <is>
          <t>No exception identified in screening</t>
        </is>
      </c>
      <c r="J225" s="17" t="inlineStr"/>
      <c r="K225" s="17" t="inlineStr"/>
      <c r="L225" s="17" t="inlineStr">
        <is>
          <t>No Board remedy recommended from supplied screening record; retain file for source-population reconciliation.</t>
        </is>
      </c>
    </row>
    <row r="226" outlineLevel="1">
      <c r="A226" s="17" t="inlineStr"/>
      <c r="B226" s="17" t="inlineStr">
        <is>
          <t>CSV row 306 | SKP-2025-0305</t>
        </is>
      </c>
      <c r="C226" s="17" t="inlineStr">
        <is>
          <t>2025-08-14 | OFR-2025-1157</t>
        </is>
      </c>
      <c r="D226" s="17" t="inlineStr">
        <is>
          <t>WL-03134 | Laurie Larson</t>
        </is>
      </c>
      <c r="E226" s="17" t="inlineStr">
        <is>
          <t>Rank 2134 | current app 2025-04-25 | RETAINER</t>
        </is>
      </c>
      <c r="F226" s="17" t="inlineStr">
        <is>
          <t>SB-0624 / 24 ft | Salmonberry</t>
        </is>
      </c>
      <c r="G226" s="17" t="inlineStr">
        <is>
          <t>vessel-fit | Y / WRITTEN_STATEMENT</t>
        </is>
      </c>
      <c r="H226" s="17" t="inlineStr">
        <is>
          <t>CSV says attachment present; underlying file not individually furnished</t>
        </is>
      </c>
      <c r="I226" s="17" t="inlineStr">
        <is>
          <t>No exception identified in screening</t>
        </is>
      </c>
      <c r="J226" s="17" t="inlineStr"/>
      <c r="K226" s="17" t="inlineStr"/>
      <c r="L226" s="17" t="inlineStr">
        <is>
          <t>No Board remedy recommended from supplied screening record; retain file for source-population reconciliation.</t>
        </is>
      </c>
    </row>
    <row r="227" outlineLevel="1">
      <c r="A227" s="17" t="inlineStr"/>
      <c r="B227" s="17" t="inlineStr">
        <is>
          <t>CSV row 305 | SKP-2025-0304</t>
        </is>
      </c>
      <c r="C227" s="17" t="inlineStr">
        <is>
          <t>2025-08-15 | OFR-2025-1155</t>
        </is>
      </c>
      <c r="D227" s="17" t="inlineStr">
        <is>
          <t>WL-03314 | Hannah Orozco</t>
        </is>
      </c>
      <c r="E227" s="17" t="inlineStr">
        <is>
          <t>Rank 2314 | current app 2025-07-21 | ACTIVE_WAITLIST</t>
        </is>
      </c>
      <c r="F227" s="17" t="inlineStr">
        <is>
          <t>LP-0319 / 32 ft | Ledgport</t>
        </is>
      </c>
      <c r="G227" s="17" t="inlineStr">
        <is>
          <t>preference-mismatch | Y / REPAIR_ESTIMATE</t>
        </is>
      </c>
      <c r="H227" s="17" t="inlineStr">
        <is>
          <t>CSV says attachment present; underlying file not individually furnished</t>
        </is>
      </c>
      <c r="I227" s="17" t="inlineStr">
        <is>
          <t>No exception identified in screening</t>
        </is>
      </c>
      <c r="J227" s="17" t="inlineStr"/>
      <c r="K227" s="17" t="inlineStr"/>
      <c r="L227" s="17" t="inlineStr">
        <is>
          <t>No Board remedy recommended from supplied screening record; retain file for source-population reconciliation.</t>
        </is>
      </c>
    </row>
    <row r="228" outlineLevel="1">
      <c r="A228" s="17" t="inlineStr"/>
      <c r="B228" s="17" t="inlineStr">
        <is>
          <t>CSV row 301 | SKP-2025-0300</t>
        </is>
      </c>
      <c r="C228" s="17" t="inlineStr">
        <is>
          <t>2025-08-18 | OFR-2025-1138</t>
        </is>
      </c>
      <c r="D228" s="17" t="inlineStr">
        <is>
          <t>WL-01537 | Jessica Johnson</t>
        </is>
      </c>
      <c r="E228" s="17" t="inlineStr">
        <is>
          <t>Rank 537 | current app 2023-04-04 | RETAINER</t>
        </is>
      </c>
      <c r="F228" s="17" t="inlineStr">
        <is>
          <t>GW-0701 / 80 ft | Gullwing</t>
        </is>
      </c>
      <c r="G228" s="17" t="inlineStr">
        <is>
          <t>vessel-fit | Y / OTHER_SUPPORT</t>
        </is>
      </c>
      <c r="H228" s="17" t="inlineStr">
        <is>
          <t>CSV says attachment present; underlying file not individually furnished</t>
        </is>
      </c>
      <c r="I228" s="17" t="inlineStr">
        <is>
          <t>No exception identified in screening</t>
        </is>
      </c>
      <c r="J228" s="17" t="inlineStr"/>
      <c r="K228" s="17" t="inlineStr"/>
      <c r="L228" s="17" t="inlineStr">
        <is>
          <t>No Board remedy recommended from supplied screening record; retain file for source-population reconciliation.</t>
        </is>
      </c>
    </row>
    <row r="229" outlineLevel="1">
      <c r="A229" s="17" t="inlineStr"/>
      <c r="B229" s="17" t="inlineStr">
        <is>
          <t>CSV row 312 | SKP-2025-0311</t>
        </is>
      </c>
      <c r="C229" s="17" t="inlineStr">
        <is>
          <t>2025-08-19 | OFR-2025-1171</t>
        </is>
      </c>
      <c r="D229" s="17" t="inlineStr">
        <is>
          <t>WL-01843 | Donna Kim</t>
        </is>
      </c>
      <c r="E229" s="17" t="inlineStr">
        <is>
          <t>Rank 843 | current app 2023-09-21 | ACTIVE_WAITLIST</t>
        </is>
      </c>
      <c r="F229" s="17" t="inlineStr">
        <is>
          <t>SB-0109 / 32 ft | Salmonberry</t>
        </is>
      </c>
      <c r="G229" s="17" t="inlineStr">
        <is>
          <t>preference-mismatch | Y / INSURANCE_DECL</t>
        </is>
      </c>
      <c r="H229" s="17" t="inlineStr">
        <is>
          <t>CSV says attachment present; underlying file not individually furnished</t>
        </is>
      </c>
      <c r="I229" s="17" t="inlineStr">
        <is>
          <t>No exception identified in screening</t>
        </is>
      </c>
      <c r="J229" s="17" t="inlineStr"/>
      <c r="K229" s="17" t="inlineStr"/>
      <c r="L229" s="17" t="inlineStr">
        <is>
          <t>No Board remedy recommended from supplied screening record; retain file for source-population reconciliation.</t>
        </is>
      </c>
    </row>
    <row r="230" outlineLevel="1">
      <c r="A230" s="17" t="inlineStr"/>
      <c r="B230" s="17" t="inlineStr">
        <is>
          <t>CSV row 303 | SKP-2025-0302</t>
        </is>
      </c>
      <c r="C230" s="17" t="inlineStr">
        <is>
          <t>2025-08-22 | OFR-2025-1147</t>
        </is>
      </c>
      <c r="D230" s="17" t="inlineStr">
        <is>
          <t>WL-01702 | Larry Carr</t>
        </is>
      </c>
      <c r="E230" s="17" t="inlineStr">
        <is>
          <t>Rank 702 | current app 2023-07-08 | ACTIVE_WAITLIST</t>
        </is>
      </c>
      <c r="F230" s="17" t="inlineStr">
        <is>
          <t>VB-1014 / 36 ft | Vessbank</t>
        </is>
      </c>
      <c r="G230" s="17" t="inlineStr">
        <is>
          <t>vessel-fit | Y / REPAIR_ESTIMATE</t>
        </is>
      </c>
      <c r="H230" s="17" t="inlineStr">
        <is>
          <t>CSV says attachment present; underlying file not individually furnished</t>
        </is>
      </c>
      <c r="I230" s="17" t="inlineStr">
        <is>
          <t>No exception identified in screening</t>
        </is>
      </c>
      <c r="J230" s="17" t="inlineStr"/>
      <c r="K230" s="17" t="inlineStr"/>
      <c r="L230" s="17" t="inlineStr">
        <is>
          <t>No Board remedy recommended from supplied screening record; retain file for source-population reconciliation.</t>
        </is>
      </c>
    </row>
    <row r="231" outlineLevel="1">
      <c r="A231" s="17" t="inlineStr"/>
      <c r="B231" s="17" t="inlineStr">
        <is>
          <t>CSV row 299 | SKP-2025-0298</t>
        </is>
      </c>
      <c r="C231" s="17" t="inlineStr">
        <is>
          <t>2025-08-26 | OFR-2025-1134</t>
        </is>
      </c>
      <c r="D231" s="17" t="inlineStr">
        <is>
          <t>WL-02774 | Benjamin Harris</t>
        </is>
      </c>
      <c r="E231" s="17" t="inlineStr">
        <is>
          <t>Rank 1774 | current app 2024-11-22 | ACTIVE_WAITLIST</t>
        </is>
      </c>
      <c r="F231" s="17" t="inlineStr">
        <is>
          <t>LP-0208 / 32 ft | Ledgport</t>
        </is>
      </c>
      <c r="G231" s="17" t="inlineStr">
        <is>
          <t>declined-prior-offer | Y / INSURANCE_DECL</t>
        </is>
      </c>
      <c r="H231" s="17" t="inlineStr">
        <is>
          <t>CSV says attachment present; underlying file not individually furnished</t>
        </is>
      </c>
      <c r="I231" s="17" t="inlineStr">
        <is>
          <t>No exception identified in screening</t>
        </is>
      </c>
      <c r="J231" s="17" t="inlineStr"/>
      <c r="K231" s="17" t="inlineStr"/>
      <c r="L231" s="17" t="inlineStr">
        <is>
          <t>No Board remedy recommended from supplied screening record; retain file for source-population reconciliation.</t>
        </is>
      </c>
    </row>
    <row r="232" outlineLevel="1">
      <c r="A232" s="17" t="inlineStr"/>
      <c r="B232" s="17" t="inlineStr">
        <is>
          <t>CSV row 300 | SKP-2025-0299</t>
        </is>
      </c>
      <c r="C232" s="17" t="inlineStr">
        <is>
          <t>2025-08-26 | OFR-2025-1136</t>
        </is>
      </c>
      <c r="D232" s="17" t="inlineStr">
        <is>
          <t>WL-03311 | Shane Lee</t>
        </is>
      </c>
      <c r="E232" s="17" t="inlineStr">
        <is>
          <t>Rank 2311 | current app 2025-07-20 | ACTIVE_WAITLIST</t>
        </is>
      </c>
      <c r="F232" s="17" t="inlineStr">
        <is>
          <t>GW-0116 / 32 ft | Gullwing</t>
        </is>
      </c>
      <c r="G232" s="17" t="inlineStr">
        <is>
          <t>preference-mismatch | Y / REPAIR_ESTIMATE</t>
        </is>
      </c>
      <c r="H232" s="17" t="inlineStr">
        <is>
          <t>CSV says attachment present; underlying file not individually furnished</t>
        </is>
      </c>
      <c r="I232" s="17" t="inlineStr">
        <is>
          <t>No exception identified in screening</t>
        </is>
      </c>
      <c r="J232" s="17" t="inlineStr"/>
      <c r="K232" s="17" t="inlineStr"/>
      <c r="L232" s="17" t="inlineStr">
        <is>
          <t>No Board remedy recommended from supplied screening record; retain file for source-population reconciliation.</t>
        </is>
      </c>
    </row>
    <row r="233" outlineLevel="1">
      <c r="A233" s="17" t="inlineStr"/>
      <c r="B233" s="17" t="inlineStr">
        <is>
          <t>CSV row 302 | SKP-2025-0301</t>
        </is>
      </c>
      <c r="C233" s="17" t="inlineStr">
        <is>
          <t>2025-08-26 | OFR-2025-1143</t>
        </is>
      </c>
      <c r="D233" s="17" t="inlineStr">
        <is>
          <t>WL-01788 | James Austin</t>
        </is>
      </c>
      <c r="E233" s="17" t="inlineStr">
        <is>
          <t>Rank 788 | current app 2023-08-24 | ACTIVE_WAITLIST</t>
        </is>
      </c>
      <c r="F233" s="17" t="inlineStr">
        <is>
          <t>GW-0305 / 80 ft | Gullwing</t>
        </is>
      </c>
      <c r="G233" s="17" t="inlineStr">
        <is>
          <t>vessel-fit | Y / INSURANCE_DECL</t>
        </is>
      </c>
      <c r="H233" s="17" t="inlineStr">
        <is>
          <t>CSV says attachment present; underlying file not individually furnished</t>
        </is>
      </c>
      <c r="I233" s="17" t="inlineStr">
        <is>
          <t>No exception identified in screening</t>
        </is>
      </c>
      <c r="J233" s="17" t="inlineStr"/>
      <c r="K233" s="17" t="inlineStr"/>
      <c r="L233" s="17" t="inlineStr">
        <is>
          <t>No Board remedy recommended from supplied screening record; retain file for source-population reconciliation.</t>
        </is>
      </c>
    </row>
    <row r="234" outlineLevel="1">
      <c r="A234" s="17" t="inlineStr"/>
      <c r="B234" s="17" t="inlineStr">
        <is>
          <t>CSV row 311 | SKP-2025-0310</t>
        </is>
      </c>
      <c r="C234" s="17" t="inlineStr">
        <is>
          <t>2025-08-28 | OFR-2025-1168</t>
        </is>
      </c>
      <c r="D234" s="17" t="inlineStr">
        <is>
          <t>WL-01617 | James Ferguson</t>
        </is>
      </c>
      <c r="E234" s="17" t="inlineStr">
        <is>
          <t>Rank 617 | current app 2023-05-25 | ACTIVE_WAITLIST</t>
        </is>
      </c>
      <c r="F234" s="17" t="inlineStr">
        <is>
          <t>VB-0813 / 28 ft | Vessbank</t>
        </is>
      </c>
      <c r="G234" s="17" t="inlineStr">
        <is>
          <t>vessel-fit | Y / REPAIR_ESTIMATE</t>
        </is>
      </c>
      <c r="H234" s="17" t="inlineStr">
        <is>
          <t>CSV says attachment present; underlying file not individually furnished</t>
        </is>
      </c>
      <c r="I234" s="17" t="inlineStr">
        <is>
          <t>No exception identified in screening</t>
        </is>
      </c>
      <c r="J234" s="17" t="inlineStr"/>
      <c r="K234" s="17" t="inlineStr"/>
      <c r="L234" s="17" t="inlineStr">
        <is>
          <t>No Board remedy recommended from supplied screening record; retain file for source-population reconciliation.</t>
        </is>
      </c>
    </row>
    <row r="235" outlineLevel="1">
      <c r="A235" s="17" t="inlineStr"/>
      <c r="B235" s="17" t="inlineStr">
        <is>
          <t>CSV row 314 | SKP-2025-0313</t>
        </is>
      </c>
      <c r="C235" s="17" t="inlineStr">
        <is>
          <t>2025-09-03 | OFR-2025-1182</t>
        </is>
      </c>
      <c r="D235" s="17" t="inlineStr">
        <is>
          <t>WL-01334 | Tammy Jones</t>
        </is>
      </c>
      <c r="E235" s="17" t="inlineStr">
        <is>
          <t>Rank 334 | current app 2022-12-11 | ACTIVE_WAITLIST</t>
        </is>
      </c>
      <c r="F235" s="17" t="inlineStr">
        <is>
          <t>LP-0514 / 28 ft | Ledgport</t>
        </is>
      </c>
      <c r="G235" s="17" t="inlineStr">
        <is>
          <t>not-current | Y / INSURANCE_DECL</t>
        </is>
      </c>
      <c r="H235" s="17" t="inlineStr">
        <is>
          <t>CSV says attachment present; underlying file not individually furnished</t>
        </is>
      </c>
      <c r="I235" s="17" t="inlineStr">
        <is>
          <t>No exception identified in screening</t>
        </is>
      </c>
      <c r="J235" s="17" t="inlineStr"/>
      <c r="K235" s="17" t="inlineStr"/>
      <c r="L235" s="17" t="inlineStr">
        <is>
          <t>No Board remedy recommended from supplied screening record; retain file for source-population reconciliation.</t>
        </is>
      </c>
    </row>
    <row r="236" outlineLevel="1">
      <c r="A236" s="17" t="inlineStr"/>
      <c r="B236" s="17" t="inlineStr">
        <is>
          <t>CSV row 323 | SKP-2025-0322</t>
        </is>
      </c>
      <c r="C236" s="17" t="inlineStr">
        <is>
          <t>2025-09-05 | OFR-2025-1208</t>
        </is>
      </c>
      <c r="D236" s="17" t="inlineStr">
        <is>
          <t>WL-02002 | Andrew Turner</t>
        </is>
      </c>
      <c r="E236" s="17" t="inlineStr">
        <is>
          <t>Rank 1002 | current app 2023-12-04 | ACTIVE_WAITLIST</t>
        </is>
      </c>
      <c r="F236" s="17" t="inlineStr">
        <is>
          <t>LP-0822 / 36 ft | Ledgport</t>
        </is>
      </c>
      <c r="G236" s="17" t="inlineStr">
        <is>
          <t>not-current | Y / REPAIR_ESTIMATE</t>
        </is>
      </c>
      <c r="H236" s="17" t="inlineStr">
        <is>
          <t>CSV says attachment present; underlying file not individually furnished</t>
        </is>
      </c>
      <c r="I236" s="17" t="inlineStr">
        <is>
          <t>No exception identified in screening</t>
        </is>
      </c>
      <c r="J236" s="17" t="inlineStr"/>
      <c r="K236" s="17" t="inlineStr"/>
      <c r="L236" s="17" t="inlineStr">
        <is>
          <t>No Board remedy recommended from supplied screening record; retain file for source-population reconciliation.</t>
        </is>
      </c>
    </row>
    <row r="237" outlineLevel="1">
      <c r="A237" s="17" t="inlineStr"/>
      <c r="B237" s="17" t="inlineStr">
        <is>
          <t>CSV row 413 | SKP-2025-0412</t>
        </is>
      </c>
      <c r="C237" s="17" t="inlineStr">
        <is>
          <t>2025-09-09 | OFR-2025-1487</t>
        </is>
      </c>
      <c r="D237" s="17" t="inlineStr">
        <is>
          <t>WL-03102 | Dennis Farlow</t>
        </is>
      </c>
      <c r="E237" s="17" t="inlineStr">
        <is>
          <t>Rank 2102 | current app 2025-04-10 | ACTIVE_WAITLIST</t>
        </is>
      </c>
      <c r="F237" s="17" t="inlineStr">
        <is>
          <t>LP-0806 / 36 ft | Ledgport</t>
        </is>
      </c>
      <c r="G237" s="17" t="inlineStr">
        <is>
          <t>preference-mismatch | Y / OTHER_SUPPORT</t>
        </is>
      </c>
      <c r="H237" s="17" t="inlineStr">
        <is>
          <t>WL-03102 PDF pp.1-3: facially complete</t>
        </is>
      </c>
      <c r="I237" s="17" t="inlineStr">
        <is>
          <t>No exception identified in screening</t>
        </is>
      </c>
      <c r="J237" s="17" t="inlineStr"/>
      <c r="K237" s="17" t="inlineStr">
        <is>
          <t>Offer ID absent from offer export</t>
        </is>
      </c>
      <c r="L237" s="17" t="inlineStr">
        <is>
          <t>No Board remedy recommended from supplied screening record; retain file for source-population reconciliation.</t>
        </is>
      </c>
    </row>
    <row r="238" outlineLevel="1">
      <c r="A238" s="17" t="inlineStr"/>
      <c r="B238" s="17" t="inlineStr">
        <is>
          <t>CSV row 322 | SKP-2025-0321</t>
        </is>
      </c>
      <c r="C238" s="17" t="inlineStr">
        <is>
          <t>2025-09-11 | OFR-2025-1207</t>
        </is>
      </c>
      <c r="D238" s="17" t="inlineStr">
        <is>
          <t>WL-03865 | William Moran</t>
        </is>
      </c>
      <c r="E238" s="17" t="inlineStr">
        <is>
          <t>Rank 2865 | current app 2026-06-09 | ACTIVE_WAITLIST</t>
        </is>
      </c>
      <c r="F238" s="17" t="inlineStr">
        <is>
          <t>SB-0106 / 28 ft | Salmonberry</t>
        </is>
      </c>
      <c r="G238" s="17" t="inlineStr">
        <is>
          <t>declined-prior-offer | Y / INSURANCE_DECL</t>
        </is>
      </c>
      <c r="H238" s="17" t="inlineStr">
        <is>
          <t>CSV says attachment present; underlying file not individually furnished</t>
        </is>
      </c>
      <c r="I238" s="17" t="inlineStr">
        <is>
          <t>No exception identified in screening</t>
        </is>
      </c>
      <c r="J238" s="17" t="inlineStr"/>
      <c r="K238" s="17" t="inlineStr">
        <is>
          <t>Predates current application date</t>
        </is>
      </c>
      <c r="L238" s="17" t="inlineStr">
        <is>
          <t>No Board remedy recommended from supplied screening record; retain file for source-population reconciliation.</t>
        </is>
      </c>
    </row>
    <row r="239" outlineLevel="1">
      <c r="A239" s="17" t="inlineStr"/>
      <c r="B239" s="17" t="inlineStr">
        <is>
          <t>CSV row 313 | SKP-2025-0312</t>
        </is>
      </c>
      <c r="C239" s="17" t="inlineStr">
        <is>
          <t>2025-09-17 | OFR-2025-1181</t>
        </is>
      </c>
      <c r="D239" s="17" t="inlineStr">
        <is>
          <t>WL-01715 | Richard Snyder</t>
        </is>
      </c>
      <c r="E239" s="17" t="inlineStr">
        <is>
          <t>Rank 715 | current app 2023-07-16 | ACTIVE_WAITLIST</t>
        </is>
      </c>
      <c r="F239" s="17" t="inlineStr">
        <is>
          <t>GW-0216 / 80 ft | Gullwing</t>
        </is>
      </c>
      <c r="G239" s="17" t="inlineStr">
        <is>
          <t>vessel-fit | Y / REPAIR_ESTIMATE</t>
        </is>
      </c>
      <c r="H239" s="17" t="inlineStr">
        <is>
          <t>CSV says attachment present; underlying file not individually furnished</t>
        </is>
      </c>
      <c r="I239" s="17" t="inlineStr">
        <is>
          <t>No exception identified in screening</t>
        </is>
      </c>
      <c r="J239" s="17" t="inlineStr"/>
      <c r="K239" s="17" t="inlineStr"/>
      <c r="L239" s="17" t="inlineStr">
        <is>
          <t>No Board remedy recommended from supplied screening record; retain file for source-population reconciliation.</t>
        </is>
      </c>
    </row>
    <row r="240" outlineLevel="1">
      <c r="A240" s="17" t="inlineStr"/>
      <c r="B240" s="17" t="inlineStr">
        <is>
          <t>CSV row 315 | SKP-2025-0314</t>
        </is>
      </c>
      <c r="C240" s="17" t="inlineStr">
        <is>
          <t>2025-09-17 | OFR-2025-1185</t>
        </is>
      </c>
      <c r="D240" s="17" t="inlineStr">
        <is>
          <t>WL-02428 | David Henry</t>
        </is>
      </c>
      <c r="E240" s="17" t="inlineStr">
        <is>
          <t>Rank 1428 | current app 2024-06-23 | EXPIRED</t>
        </is>
      </c>
      <c r="F240" s="17" t="inlineStr">
        <is>
          <t>SB-0109 / 32 ft | Salmonberry</t>
        </is>
      </c>
      <c r="G240" s="17" t="inlineStr">
        <is>
          <t>vessel-fit | Y / REPAIR_ESTIMATE</t>
        </is>
      </c>
      <c r="H240" s="17" t="inlineStr">
        <is>
          <t>CSV says attachment present; underlying file not individually furnished</t>
        </is>
      </c>
      <c r="I240" s="17" t="inlineStr">
        <is>
          <t>No exception identified in screening</t>
        </is>
      </c>
      <c r="J240" s="17" t="inlineStr"/>
      <c r="K240" s="17" t="inlineStr"/>
      <c r="L240" s="17" t="inlineStr">
        <is>
          <t>No Board remedy recommended from supplied screening record; retain file for source-population reconciliation.</t>
        </is>
      </c>
    </row>
    <row r="241" outlineLevel="1">
      <c r="A241" s="17" t="inlineStr"/>
      <c r="B241" s="17" t="inlineStr">
        <is>
          <t>CSV row 319 | SKP-2025-0318</t>
        </is>
      </c>
      <c r="C241" s="17" t="inlineStr">
        <is>
          <t>2025-09-19 | OFR-2025-1197</t>
        </is>
      </c>
      <c r="D241" s="17" t="inlineStr">
        <is>
          <t>WL-02890 | Crystal Morales</t>
        </is>
      </c>
      <c r="E241" s="17" t="inlineStr">
        <is>
          <t>Rank 1890 | current app 2025-01-06 | ACTIVE_WAITLIST</t>
        </is>
      </c>
      <c r="F241" s="17" t="inlineStr">
        <is>
          <t>EW-0716 / 28 ft | Eastwey</t>
        </is>
      </c>
      <c r="G241" s="17" t="inlineStr">
        <is>
          <t>not-current | Y / INSURANCE_DECL</t>
        </is>
      </c>
      <c r="H241" s="17" t="inlineStr">
        <is>
          <t>CSV says attachment present; underlying file not individually furnished</t>
        </is>
      </c>
      <c r="I241" s="17" t="inlineStr">
        <is>
          <t>No exception identified in screening</t>
        </is>
      </c>
      <c r="J241" s="17" t="inlineStr"/>
      <c r="K241" s="17" t="inlineStr"/>
      <c r="L241" s="17" t="inlineStr">
        <is>
          <t>No Board remedy recommended from supplied screening record; retain file for source-population reconciliation.</t>
        </is>
      </c>
    </row>
    <row r="242" outlineLevel="1">
      <c r="A242" s="17" t="inlineStr"/>
      <c r="B242" s="17" t="inlineStr">
        <is>
          <t>CSV row 317 | SKP-2025-0316</t>
        </is>
      </c>
      <c r="C242" s="17" t="inlineStr">
        <is>
          <t>2025-09-20 | OFR-2025-1189</t>
        </is>
      </c>
      <c r="D242" s="17" t="inlineStr">
        <is>
          <t>WL-02153 | Amy Murray</t>
        </is>
      </c>
      <c r="E242" s="17" t="inlineStr">
        <is>
          <t>Rank 1153 | current app 2024-02-14 | ACTIVE_WAITLIST</t>
        </is>
      </c>
      <c r="F242" s="17" t="inlineStr">
        <is>
          <t>LP-0113 / 36 ft | Ledgport</t>
        </is>
      </c>
      <c r="G242" s="17" t="inlineStr">
        <is>
          <t>preference-mismatch | Y / INSURANCE_DECL</t>
        </is>
      </c>
      <c r="H242" s="17" t="inlineStr">
        <is>
          <t>CSV says attachment present; underlying file not individually furnished</t>
        </is>
      </c>
      <c r="I242" s="17" t="inlineStr">
        <is>
          <t>No exception identified in screening</t>
        </is>
      </c>
      <c r="J242" s="17" t="inlineStr"/>
      <c r="K242" s="17" t="inlineStr"/>
      <c r="L242" s="17" t="inlineStr">
        <is>
          <t>No Board remedy recommended from supplied screening record; retain file for source-population reconciliation.</t>
        </is>
      </c>
    </row>
    <row r="243" outlineLevel="1">
      <c r="A243" s="17" t="inlineStr"/>
      <c r="B243" s="17" t="inlineStr">
        <is>
          <t>CSV row 320 | SKP-2025-0319</t>
        </is>
      </c>
      <c r="C243" s="17" t="inlineStr">
        <is>
          <t>2025-09-20 | OFR-2025-1199</t>
        </is>
      </c>
      <c r="D243" s="17" t="inlineStr">
        <is>
          <t>WL-01913 | Nicole Thompson</t>
        </is>
      </c>
      <c r="E243" s="17" t="inlineStr">
        <is>
          <t>Rank 913 | current app 2023-10-29 | EXPIRED</t>
        </is>
      </c>
      <c r="F243" s="17" t="inlineStr">
        <is>
          <t>EW-0819 / 24 ft | Eastwey</t>
        </is>
      </c>
      <c r="G243" s="17" t="inlineStr">
        <is>
          <t>preference-mismatch | Y / OTHER_SUPPORT</t>
        </is>
      </c>
      <c r="H243" s="17" t="inlineStr">
        <is>
          <t>CSV says attachment present; underlying file not individually furnished</t>
        </is>
      </c>
      <c r="I243" s="17" t="inlineStr">
        <is>
          <t>No exception identified in screening</t>
        </is>
      </c>
      <c r="J243" s="17" t="inlineStr"/>
      <c r="K243" s="17" t="inlineStr"/>
      <c r="L243" s="17" t="inlineStr">
        <is>
          <t>No Board remedy recommended from supplied screening record; retain file for source-population reconciliation.</t>
        </is>
      </c>
    </row>
    <row r="244" outlineLevel="1">
      <c r="A244" s="17" t="inlineStr"/>
      <c r="B244" s="17" t="inlineStr">
        <is>
          <t>CSV row 316 | SKP-2025-0315</t>
        </is>
      </c>
      <c r="C244" s="17" t="inlineStr">
        <is>
          <t>2025-09-22 | OFR-2025-1188</t>
        </is>
      </c>
      <c r="D244" s="17" t="inlineStr">
        <is>
          <t>WL-03861 | Joseph Koch</t>
        </is>
      </c>
      <c r="E244" s="17" t="inlineStr">
        <is>
          <t>Rank 2861 | current app 2026-06-07 | ACTIVE_WAITLIST</t>
        </is>
      </c>
      <c r="F244" s="17" t="inlineStr">
        <is>
          <t>VB-0123 / 36 ft | Vessbank</t>
        </is>
      </c>
      <c r="G244" s="17" t="inlineStr">
        <is>
          <t>not-current | Y / REPAIR_ESTIMATE</t>
        </is>
      </c>
      <c r="H244" s="17" t="inlineStr">
        <is>
          <t>CSV says attachment present; underlying file not individually furnished</t>
        </is>
      </c>
      <c r="I244" s="17" t="inlineStr">
        <is>
          <t>No exception identified in screening</t>
        </is>
      </c>
      <c r="J244" s="17" t="inlineStr"/>
      <c r="K244" s="17" t="inlineStr">
        <is>
          <t>Predates current application date</t>
        </is>
      </c>
      <c r="L244" s="17" t="inlineStr">
        <is>
          <t>No Board remedy recommended from supplied screening record; retain file for source-population reconciliation.</t>
        </is>
      </c>
    </row>
    <row r="245" outlineLevel="1">
      <c r="A245" s="17" t="inlineStr"/>
      <c r="B245" s="17" t="inlineStr">
        <is>
          <t>CSV row 318 | SKP-2025-0317</t>
        </is>
      </c>
      <c r="C245" s="17" t="inlineStr">
        <is>
          <t>2025-09-23 | OFR-2025-1195</t>
        </is>
      </c>
      <c r="D245" s="17" t="inlineStr">
        <is>
          <t>WL-02445 | Marcus Yee</t>
        </is>
      </c>
      <c r="E245" s="17" t="inlineStr">
        <is>
          <t>Rank 1445 | current app 2024-06-29 | ACTIVE_WAITLIST</t>
        </is>
      </c>
      <c r="F245" s="17" t="inlineStr">
        <is>
          <t>SB-0222 / 32 ft | Salmonberry</t>
        </is>
      </c>
      <c r="G245" s="17" t="inlineStr">
        <is>
          <t>vessel-fit | Y / WRITTEN_STATEMENT</t>
        </is>
      </c>
      <c r="H245" s="17" t="inlineStr">
        <is>
          <t>CSV says attachment present; underlying file not individually furnished</t>
        </is>
      </c>
      <c r="I245" s="17" t="inlineStr">
        <is>
          <t>No exception identified in screening</t>
        </is>
      </c>
      <c r="J245" s="17" t="inlineStr"/>
      <c r="K245" s="17" t="inlineStr"/>
      <c r="L245" s="17" t="inlineStr">
        <is>
          <t>No Board remedy recommended from supplied screening record; retain file for source-population reconciliation.</t>
        </is>
      </c>
    </row>
    <row r="246" outlineLevel="1">
      <c r="A246" s="17" t="inlineStr"/>
      <c r="B246" s="17" t="inlineStr">
        <is>
          <t>CSV row 331 | SKP-2025-0330</t>
        </is>
      </c>
      <c r="C246" s="17" t="inlineStr">
        <is>
          <t>2025-10-02 | OFR-2025-1240</t>
        </is>
      </c>
      <c r="D246" s="17" t="inlineStr">
        <is>
          <t>WL-02676 | Janice Walker</t>
        </is>
      </c>
      <c r="E246" s="17" t="inlineStr">
        <is>
          <t>Rank 1676 | current app 2024-10-08 | ACTIVE_WAITLIST</t>
        </is>
      </c>
      <c r="F246" s="17" t="inlineStr">
        <is>
          <t>EW-0124 / 32 ft | Eastwey</t>
        </is>
      </c>
      <c r="G246" s="17" t="inlineStr">
        <is>
          <t>vessel-fit | Y / WRITTEN_STATEMENT</t>
        </is>
      </c>
      <c r="H246" s="17" t="inlineStr">
        <is>
          <t>CSV says attachment present; underlying file not individually furnished</t>
        </is>
      </c>
      <c r="I246" s="17" t="inlineStr">
        <is>
          <t>No exception identified in screening</t>
        </is>
      </c>
      <c r="J246" s="17" t="inlineStr"/>
      <c r="K246" s="17" t="inlineStr"/>
      <c r="L246" s="17" t="inlineStr">
        <is>
          <t>No Board remedy recommended from supplied screening record; retain file for source-population reconciliation.</t>
        </is>
      </c>
    </row>
    <row r="247" outlineLevel="1">
      <c r="A247" s="17" t="inlineStr"/>
      <c r="B247" s="17" t="inlineStr">
        <is>
          <t>CSV row 326 | SKP-2025-0325</t>
        </is>
      </c>
      <c r="C247" s="17" t="inlineStr">
        <is>
          <t>2025-10-03 | OFR-2025-1218</t>
        </is>
      </c>
      <c r="D247" s="17" t="inlineStr">
        <is>
          <t>WL-03750 | Michael Phillips</t>
        </is>
      </c>
      <c r="E247" s="17" t="inlineStr">
        <is>
          <t>Rank 2750 | current app 2026-03-09 | ACTIVE_WAITLIST</t>
        </is>
      </c>
      <c r="F247" s="17" t="inlineStr">
        <is>
          <t>GW-0622 / 60 ft | Gullwing</t>
        </is>
      </c>
      <c r="G247" s="17" t="inlineStr">
        <is>
          <t>vessel-fit | Y / WRITTEN_STATEMENT</t>
        </is>
      </c>
      <c r="H247" s="17" t="inlineStr">
        <is>
          <t>CSV says attachment present; underlying file not individually furnished</t>
        </is>
      </c>
      <c r="I247" s="17" t="inlineStr">
        <is>
          <t>No exception identified in screening</t>
        </is>
      </c>
      <c r="J247" s="17" t="inlineStr"/>
      <c r="K247" s="17" t="inlineStr">
        <is>
          <t>Predates current application date</t>
        </is>
      </c>
      <c r="L247" s="17" t="inlineStr">
        <is>
          <t>No Board remedy recommended from supplied screening record; retain file for source-population reconciliation.</t>
        </is>
      </c>
    </row>
    <row r="248" outlineLevel="1">
      <c r="A248" s="17" t="inlineStr"/>
      <c r="B248" s="17" t="inlineStr">
        <is>
          <t>CSV row 330 | SKP-2025-0329</t>
        </is>
      </c>
      <c r="C248" s="17" t="inlineStr">
        <is>
          <t>2025-10-13 | OFR-2025-1233</t>
        </is>
      </c>
      <c r="D248" s="17" t="inlineStr">
        <is>
          <t>WL-01128 | Angela Smith</t>
        </is>
      </c>
      <c r="E248" s="17" t="inlineStr">
        <is>
          <t>Rank 128 | current app 2022-06-27 | ACTIVE_WAITLIST</t>
        </is>
      </c>
      <c r="F248" s="17" t="inlineStr">
        <is>
          <t>LP-0504 / 28 ft | Ledgport</t>
        </is>
      </c>
      <c r="G248" s="17" t="inlineStr">
        <is>
          <t>declined-prior-offer | Y / OTHER_SUPPORT</t>
        </is>
      </c>
      <c r="H248" s="17" t="inlineStr">
        <is>
          <t>CSV says attachment present; underlying file not individually furnished</t>
        </is>
      </c>
      <c r="I248" s="17" t="inlineStr">
        <is>
          <t>No exception identified in screening</t>
        </is>
      </c>
      <c r="J248" s="17" t="inlineStr"/>
      <c r="K248" s="17" t="inlineStr"/>
      <c r="L248" s="17" t="inlineStr">
        <is>
          <t>No Board remedy recommended from supplied screening record; retain file for source-population reconciliation.</t>
        </is>
      </c>
    </row>
    <row r="249" outlineLevel="1">
      <c r="A249" s="17" t="inlineStr"/>
      <c r="B249" s="17" t="inlineStr">
        <is>
          <t>CSV row 333 | SKP-2025-0332</t>
        </is>
      </c>
      <c r="C249" s="17" t="inlineStr">
        <is>
          <t>2025-10-13 | OFR-2025-1247</t>
        </is>
      </c>
      <c r="D249" s="17" t="inlineStr">
        <is>
          <t>WL-02711 | David Baker</t>
        </is>
      </c>
      <c r="E249" s="17" t="inlineStr">
        <is>
          <t>Rank 1711 | current app 2024-10-27 | ACTIVE_WAITLIST</t>
        </is>
      </c>
      <c r="F249" s="17" t="inlineStr">
        <is>
          <t>LP-0215 / 28 ft | Ledgport</t>
        </is>
      </c>
      <c r="G249" s="17" t="inlineStr">
        <is>
          <t>declined-prior-offer | Y / OTHER_SUPPORT</t>
        </is>
      </c>
      <c r="H249" s="17" t="inlineStr">
        <is>
          <t>CSV says attachment present; underlying file not individually furnished</t>
        </is>
      </c>
      <c r="I249" s="17" t="inlineStr">
        <is>
          <t>No exception identified in screening</t>
        </is>
      </c>
      <c r="J249" s="17" t="inlineStr"/>
      <c r="K249" s="17" t="inlineStr"/>
      <c r="L249" s="17" t="inlineStr">
        <is>
          <t>No Board remedy recommended from supplied screening record; retain file for source-population reconciliation.</t>
        </is>
      </c>
    </row>
    <row r="250" outlineLevel="1">
      <c r="A250" s="17" t="inlineStr"/>
      <c r="B250" s="17" t="inlineStr">
        <is>
          <t>CSV row 334 | SKP-2025-0333</t>
        </is>
      </c>
      <c r="C250" s="17" t="inlineStr">
        <is>
          <t>2025-10-13 | OFR-2025-1249</t>
        </is>
      </c>
      <c r="D250" s="17" t="inlineStr">
        <is>
          <t>WL-02448 | Mark Bolton</t>
        </is>
      </c>
      <c r="E250" s="17" t="inlineStr">
        <is>
          <t>Rank 1448 | current app 2024-07-02 | ACTIVE_WAITLIST</t>
        </is>
      </c>
      <c r="F250" s="17" t="inlineStr">
        <is>
          <t>LP-0908 / 28 ft | Ledgport</t>
        </is>
      </c>
      <c r="G250" s="17" t="inlineStr">
        <is>
          <t>vessel-fit | Y / WRITTEN_STATEMENT</t>
        </is>
      </c>
      <c r="H250" s="17" t="inlineStr">
        <is>
          <t>CSV says attachment present; underlying file not individually furnished</t>
        </is>
      </c>
      <c r="I250" s="17" t="inlineStr">
        <is>
          <t>No exception identified in screening</t>
        </is>
      </c>
      <c r="J250" s="17" t="inlineStr"/>
      <c r="K250" s="17" t="inlineStr"/>
      <c r="L250" s="17" t="inlineStr">
        <is>
          <t>No Board remedy recommended from supplied screening record; retain file for source-population reconciliation.</t>
        </is>
      </c>
    </row>
    <row r="251" outlineLevel="1">
      <c r="A251" s="17" t="inlineStr"/>
      <c r="B251" s="17" t="inlineStr">
        <is>
          <t>CSV row 328 | SKP-2025-0327</t>
        </is>
      </c>
      <c r="C251" s="17" t="inlineStr">
        <is>
          <t>2025-10-23 | OFR-2025-1225</t>
        </is>
      </c>
      <c r="D251" s="17" t="inlineStr">
        <is>
          <t>WL-01645 | Michael Walker</t>
        </is>
      </c>
      <c r="E251" s="17" t="inlineStr">
        <is>
          <t>Rank 645 | current app 2023-06-08 | RETAINER</t>
        </is>
      </c>
      <c r="F251" s="17" t="inlineStr">
        <is>
          <t>GW-1020 / 32 ft | Gullwing</t>
        </is>
      </c>
      <c r="G251" s="17" t="inlineStr">
        <is>
          <t>declined-prior-offer | Y / OTHER_SUPPORT</t>
        </is>
      </c>
      <c r="H251" s="17" t="inlineStr">
        <is>
          <t>CSV says attachment present; underlying file not individually furnished</t>
        </is>
      </c>
      <c r="I251" s="17" t="inlineStr">
        <is>
          <t>No exception identified in screening</t>
        </is>
      </c>
      <c r="J251" s="17" t="inlineStr"/>
      <c r="K251" s="17" t="inlineStr"/>
      <c r="L251" s="17" t="inlineStr">
        <is>
          <t>No Board remedy recommended from supplied screening record; retain file for source-population reconciliation.</t>
        </is>
      </c>
    </row>
    <row r="252" outlineLevel="1">
      <c r="A252" s="17" t="inlineStr"/>
      <c r="B252" s="17" t="inlineStr">
        <is>
          <t>CSV row 324 | SKP-2025-0323</t>
        </is>
      </c>
      <c r="C252" s="17" t="inlineStr">
        <is>
          <t>2025-10-26 | OFR-2025-1212</t>
        </is>
      </c>
      <c r="D252" s="17" t="inlineStr">
        <is>
          <t>WL-02284 | Tonya Ruiz</t>
        </is>
      </c>
      <c r="E252" s="17" t="inlineStr">
        <is>
          <t>Rank 1284 | current app 2024-04-22 | ACTIVE_WAITLIST</t>
        </is>
      </c>
      <c r="F252" s="17" t="inlineStr">
        <is>
          <t>SB-0801 / 32 ft | Salmonberry</t>
        </is>
      </c>
      <c r="G252" s="17" t="inlineStr">
        <is>
          <t>vessel-fit | Y / OTHER_SUPPORT</t>
        </is>
      </c>
      <c r="H252" s="17" t="inlineStr">
        <is>
          <t>CSV says attachment present; underlying file not individually furnished</t>
        </is>
      </c>
      <c r="I252" s="17" t="inlineStr">
        <is>
          <t>No exception identified in screening</t>
        </is>
      </c>
      <c r="J252" s="17" t="inlineStr"/>
      <c r="K252" s="17" t="inlineStr"/>
      <c r="L252" s="17" t="inlineStr">
        <is>
          <t>No Board remedy recommended from supplied screening record; retain file for source-population reconciliation.</t>
        </is>
      </c>
    </row>
    <row r="253" outlineLevel="1">
      <c r="A253" s="17" t="inlineStr"/>
      <c r="B253" s="17" t="inlineStr">
        <is>
          <t>CSV row 327 | SKP-2025-0326</t>
        </is>
      </c>
      <c r="C253" s="17" t="inlineStr">
        <is>
          <t>2025-10-26 | OFR-2025-1219</t>
        </is>
      </c>
      <c r="D253" s="17" t="inlineStr">
        <is>
          <t>WL-03857 | Catherine Davis</t>
        </is>
      </c>
      <c r="E253" s="17" t="inlineStr">
        <is>
          <t>Rank 2857 | current app 2026-06-03 | RETAINER</t>
        </is>
      </c>
      <c r="F253" s="17" t="inlineStr">
        <is>
          <t>LP-0705 / 24 ft | Ledgport</t>
        </is>
      </c>
      <c r="G253" s="17" t="inlineStr">
        <is>
          <t>not-current | Y / WRITTEN_STATEMENT</t>
        </is>
      </c>
      <c r="H253" s="17" t="inlineStr">
        <is>
          <t>CSV says attachment present; underlying file not individually furnished</t>
        </is>
      </c>
      <c r="I253" s="17" t="inlineStr">
        <is>
          <t>No exception identified in screening</t>
        </is>
      </c>
      <c r="J253" s="17" t="inlineStr"/>
      <c r="K253" s="17" t="inlineStr">
        <is>
          <t>Predates current application date</t>
        </is>
      </c>
      <c r="L253" s="17" t="inlineStr">
        <is>
          <t>No Board remedy recommended from supplied screening record; retain file for source-population reconciliation.</t>
        </is>
      </c>
    </row>
    <row r="254" outlineLevel="1">
      <c r="A254" s="17" t="inlineStr"/>
      <c r="B254" s="17" t="inlineStr">
        <is>
          <t>CSV row 325 | SKP-2025-0324</t>
        </is>
      </c>
      <c r="C254" s="17" t="inlineStr">
        <is>
          <t>2025-10-28 | OFR-2025-1215</t>
        </is>
      </c>
      <c r="D254" s="17" t="inlineStr">
        <is>
          <t>WL-02187 | Leonard Gordon</t>
        </is>
      </c>
      <c r="E254" s="17" t="inlineStr">
        <is>
          <t>Rank 1187 | current app 2024-03-07 | ACTIVE_WAITLIST</t>
        </is>
      </c>
      <c r="F254" s="17" t="inlineStr">
        <is>
          <t>SB-0806 / 28 ft | Salmonberry</t>
        </is>
      </c>
      <c r="G254" s="17" t="inlineStr">
        <is>
          <t>vessel-fit | Y / INSURANCE_DECL</t>
        </is>
      </c>
      <c r="H254" s="17" t="inlineStr">
        <is>
          <t>CSV says attachment present; underlying file not individually furnished</t>
        </is>
      </c>
      <c r="I254" s="17" t="inlineStr">
        <is>
          <t>No exception identified in screening</t>
        </is>
      </c>
      <c r="J254" s="17" t="inlineStr"/>
      <c r="K254" s="17" t="inlineStr"/>
      <c r="L254" s="17" t="inlineStr">
        <is>
          <t>No Board remedy recommended from supplied screening record; retain file for source-population reconciliation.</t>
        </is>
      </c>
    </row>
    <row r="255" outlineLevel="1">
      <c r="A255" s="17" t="inlineStr"/>
      <c r="B255" s="17" t="inlineStr">
        <is>
          <t>CSV row 336 | SKP-2025-0335</t>
        </is>
      </c>
      <c r="C255" s="17" t="inlineStr">
        <is>
          <t>2025-11-17 | OFR-2025-1258</t>
        </is>
      </c>
      <c r="D255" s="17" t="inlineStr">
        <is>
          <t>WL-02404 | Samuel King</t>
        </is>
      </c>
      <c r="E255" s="17" t="inlineStr">
        <is>
          <t>Rank 1404 | current app 2024-06-09 | ACTIVE_WAITLIST</t>
        </is>
      </c>
      <c r="F255" s="17" t="inlineStr">
        <is>
          <t>VB-0201 / 32 ft | Vessbank</t>
        </is>
      </c>
      <c r="G255" s="17" t="inlineStr">
        <is>
          <t>not-current | Y / WRITTEN_STATEMENT</t>
        </is>
      </c>
      <c r="H255" s="17" t="inlineStr">
        <is>
          <t>CSV says attachment present; underlying file not individually furnished</t>
        </is>
      </c>
      <c r="I255" s="17" t="inlineStr">
        <is>
          <t>No exception identified in screening</t>
        </is>
      </c>
      <c r="J255" s="17" t="inlineStr"/>
      <c r="K255" s="17" t="inlineStr"/>
      <c r="L255" s="17" t="inlineStr">
        <is>
          <t>No Board remedy recommended from supplied screening record; retain file for source-population reconciliation.</t>
        </is>
      </c>
    </row>
    <row r="256" outlineLevel="1">
      <c r="A256" s="17" t="inlineStr"/>
      <c r="B256" s="17" t="inlineStr">
        <is>
          <t>CSV row 335 | SKP-2025-0334</t>
        </is>
      </c>
      <c r="C256" s="17" t="inlineStr">
        <is>
          <t>2025-11-27 | OFR-2025-1253</t>
        </is>
      </c>
      <c r="D256" s="17" t="inlineStr">
        <is>
          <t>WL-01264 | Jeffery Lewis</t>
        </is>
      </c>
      <c r="E256" s="17" t="inlineStr">
        <is>
          <t>Rank 264 | current app 2022-10-22 | ACTIVE_WAITLIST</t>
        </is>
      </c>
      <c r="F256" s="17" t="inlineStr">
        <is>
          <t>SB-0623 / 28 ft | Salmonberry</t>
        </is>
      </c>
      <c r="G256" s="17" t="inlineStr">
        <is>
          <t>vessel-fit | Y / REPAIR_ESTIMATE</t>
        </is>
      </c>
      <c r="H256" s="17" t="inlineStr">
        <is>
          <t>CSV says attachment present; underlying file not individually furnished</t>
        </is>
      </c>
      <c r="I256" s="17" t="inlineStr">
        <is>
          <t>No exception identified in screening</t>
        </is>
      </c>
      <c r="J256" s="17" t="inlineStr"/>
      <c r="K256" s="17" t="inlineStr"/>
      <c r="L256" s="17" t="inlineStr">
        <is>
          <t>No Board remedy recommended from supplied screening record; retain file for source-population reconciliation.</t>
        </is>
      </c>
    </row>
    <row r="257" outlineLevel="1">
      <c r="A257" s="17" t="inlineStr"/>
      <c r="B257" s="17" t="inlineStr">
        <is>
          <t>CSV row 337 | SKP-2025-0336</t>
        </is>
      </c>
      <c r="C257" s="17" t="inlineStr">
        <is>
          <t>2025-12-15 | OFR-2025-1265</t>
        </is>
      </c>
      <c r="D257" s="17" t="inlineStr">
        <is>
          <t>WL-01776 | Theresa Pena</t>
        </is>
      </c>
      <c r="E257" s="17" t="inlineStr">
        <is>
          <t>Rank 776 | current app 2023-08-20 | ACTIVE_WAITLIST</t>
        </is>
      </c>
      <c r="F257" s="17" t="inlineStr">
        <is>
          <t>GW-0419 / 32 ft | Gullwing</t>
        </is>
      </c>
      <c r="G257" s="17" t="inlineStr">
        <is>
          <t>not-current | Y / OTHER_SUPPORT</t>
        </is>
      </c>
      <c r="H257" s="17" t="inlineStr">
        <is>
          <t>CSV says attachment present; underlying file not individually furnished</t>
        </is>
      </c>
      <c r="I257" s="17" t="inlineStr">
        <is>
          <t>No exception identified in screening</t>
        </is>
      </c>
      <c r="J257" s="17" t="inlineStr"/>
      <c r="K257" s="17" t="inlineStr"/>
      <c r="L257" s="17" t="inlineStr">
        <is>
          <t>No Board remedy recommended from supplied screening record; retain file for source-population reconciliation.</t>
        </is>
      </c>
    </row>
    <row r="258" outlineLevel="1">
      <c r="A258" s="17" t="inlineStr"/>
      <c r="B258" s="17" t="inlineStr">
        <is>
          <t>CSV row 338 | SKP-2025-0337</t>
        </is>
      </c>
      <c r="C258" s="17" t="inlineStr">
        <is>
          <t>2025-12-26 | OFR-2025-1276</t>
        </is>
      </c>
      <c r="D258" s="17" t="inlineStr">
        <is>
          <t>WL-02991 | Cole Palmer</t>
        </is>
      </c>
      <c r="E258" s="17" t="inlineStr">
        <is>
          <t>Rank 1991 | current app 2025-02-22 | ACTIVE_WAITLIST</t>
        </is>
      </c>
      <c r="F258" s="17" t="inlineStr">
        <is>
          <t>SB-0408 / 28 ft | Salmonberry</t>
        </is>
      </c>
      <c r="G258" s="17" t="inlineStr">
        <is>
          <t>vessel-fit | Y / WRITTEN_STATEMENT</t>
        </is>
      </c>
      <c r="H258" s="17" t="inlineStr">
        <is>
          <t>CSV says attachment present; underlying file not individually furnished</t>
        </is>
      </c>
      <c r="I258" s="17" t="inlineStr">
        <is>
          <t>No exception identified in screening</t>
        </is>
      </c>
      <c r="J258" s="17" t="inlineStr"/>
      <c r="K258" s="17" t="inlineStr"/>
      <c r="L258" s="17" t="inlineStr">
        <is>
          <t>No Board remedy recommended from supplied screening record; retain file for source-population reconciliation.</t>
        </is>
      </c>
    </row>
    <row r="259" outlineLevel="1">
      <c r="A259" s="17" t="inlineStr"/>
      <c r="B259" s="17" t="inlineStr">
        <is>
          <t>CSV row 343 | SKP-2026-0342</t>
        </is>
      </c>
      <c r="C259" s="17" t="inlineStr">
        <is>
          <t>2026-01-01 | OFR-2026-1284</t>
        </is>
      </c>
      <c r="D259" s="17" t="inlineStr">
        <is>
          <t>WL-01558 | Edward Carter</t>
        </is>
      </c>
      <c r="E259" s="17" t="inlineStr">
        <is>
          <t>Rank 558 | current app 2023-04-15 | ACTIVE_WAITLIST</t>
        </is>
      </c>
      <c r="F259" s="17" t="inlineStr">
        <is>
          <t>EW-0421 / 36 ft | Eastwey</t>
        </is>
      </c>
      <c r="G259" s="17" t="inlineStr">
        <is>
          <t>vessel-fit | Y / WRITTEN_STATEMENT</t>
        </is>
      </c>
      <c r="H259" s="17" t="inlineStr">
        <is>
          <t>CSV says attachment present; underlying file not individually furnished</t>
        </is>
      </c>
      <c r="I259" s="17" t="inlineStr">
        <is>
          <t>No exception identified in screening</t>
        </is>
      </c>
      <c r="J259" s="17" t="inlineStr"/>
      <c r="K259" s="17" t="inlineStr"/>
      <c r="L259" s="17" t="inlineStr">
        <is>
          <t>No Board remedy recommended from supplied screening record; retain file for source-population reconciliation.</t>
        </is>
      </c>
    </row>
    <row r="260" outlineLevel="1">
      <c r="A260" s="17" t="inlineStr"/>
      <c r="B260" s="17" t="inlineStr">
        <is>
          <t>CSV row 339 | SKP-2026-0338</t>
        </is>
      </c>
      <c r="C260" s="17" t="inlineStr">
        <is>
          <t>2026-01-13 | OFR-2026-1278</t>
        </is>
      </c>
      <c r="D260" s="17" t="inlineStr">
        <is>
          <t>WL-03011 | Christopher Schultz</t>
        </is>
      </c>
      <c r="E260" s="17" t="inlineStr">
        <is>
          <t>Rank 2011 | current app 2025-03-02 | ACTIVE_WAITLIST</t>
        </is>
      </c>
      <c r="F260" s="17" t="inlineStr">
        <is>
          <t>SB-0719 / 28 ft | Salmonberry</t>
        </is>
      </c>
      <c r="G260" s="17" t="inlineStr">
        <is>
          <t>vessel-fit | Y / OTHER_SUPPORT</t>
        </is>
      </c>
      <c r="H260" s="17" t="inlineStr">
        <is>
          <t>CSV says attachment present; underlying file not individually furnished</t>
        </is>
      </c>
      <c r="I260" s="17" t="inlineStr">
        <is>
          <t>No exception identified in screening</t>
        </is>
      </c>
      <c r="J260" s="17" t="inlineStr"/>
      <c r="K260" s="17" t="inlineStr"/>
      <c r="L260" s="17" t="inlineStr">
        <is>
          <t>No Board remedy recommended from supplied screening record; retain file for source-population reconciliation.</t>
        </is>
      </c>
    </row>
    <row r="261" outlineLevel="1">
      <c r="A261" s="17" t="inlineStr"/>
      <c r="B261" s="17" t="inlineStr">
        <is>
          <t>CSV row 340 | SKP-2026-0339</t>
        </is>
      </c>
      <c r="C261" s="17" t="inlineStr">
        <is>
          <t>2026-01-13 | OFR-2026-1279</t>
        </is>
      </c>
      <c r="D261" s="17" t="inlineStr">
        <is>
          <t>WL-01368 | Justin Turner</t>
        </is>
      </c>
      <c r="E261" s="17" t="inlineStr">
        <is>
          <t>Rank 368 | current app 2022-12-26 | ACTIVE_WAITLIST</t>
        </is>
      </c>
      <c r="F261" s="17" t="inlineStr">
        <is>
          <t>EW-0813 / 45 ft | Eastwey</t>
        </is>
      </c>
      <c r="G261" s="17" t="inlineStr">
        <is>
          <t>preference-mismatch | Y / REPAIR_ESTIMATE</t>
        </is>
      </c>
      <c r="H261" s="17" t="inlineStr">
        <is>
          <t>CSV says attachment present; underlying file not individually furnished</t>
        </is>
      </c>
      <c r="I261" s="17" t="inlineStr">
        <is>
          <t>No exception identified in screening</t>
        </is>
      </c>
      <c r="J261" s="17" t="inlineStr"/>
      <c r="K261" s="17" t="inlineStr"/>
      <c r="L261" s="17" t="inlineStr">
        <is>
          <t>No Board remedy recommended from supplied screening record; retain file for source-population reconciliation.</t>
        </is>
      </c>
    </row>
    <row r="262" outlineLevel="1">
      <c r="A262" s="17" t="inlineStr"/>
      <c r="B262" s="17" t="inlineStr">
        <is>
          <t>CSV row 341 | SKP-2026-0340</t>
        </is>
      </c>
      <c r="C262" s="17" t="inlineStr">
        <is>
          <t>2026-01-21 | OFR-2026-1280</t>
        </is>
      </c>
      <c r="D262" s="17" t="inlineStr">
        <is>
          <t>WL-01435 | Jessica Schultz</t>
        </is>
      </c>
      <c r="E262" s="17" t="inlineStr">
        <is>
          <t>Rank 435 | current app 2023-02-01 | ACTIVE_WAITLIST</t>
        </is>
      </c>
      <c r="F262" s="17" t="inlineStr">
        <is>
          <t>GW-0708 / 70 ft | Gullwing</t>
        </is>
      </c>
      <c r="G262" s="17" t="inlineStr">
        <is>
          <t>not-current | Y / INSURANCE_DECL</t>
        </is>
      </c>
      <c r="H262" s="17" t="inlineStr">
        <is>
          <t>CSV says attachment present; underlying file not individually furnished</t>
        </is>
      </c>
      <c r="I262" s="17" t="inlineStr">
        <is>
          <t>No exception identified in screening</t>
        </is>
      </c>
      <c r="J262" s="17" t="inlineStr"/>
      <c r="K262" s="17" t="inlineStr"/>
      <c r="L262" s="17" t="inlineStr">
        <is>
          <t>No Board remedy recommended from supplied screening record; retain file for source-population reconciliation.</t>
        </is>
      </c>
    </row>
    <row r="263" outlineLevel="1">
      <c r="A263" s="17" t="inlineStr"/>
      <c r="B263" s="17" t="inlineStr">
        <is>
          <t>CSV row 342 | SKP-2026-0341</t>
        </is>
      </c>
      <c r="C263" s="17" t="inlineStr">
        <is>
          <t>2026-01-27 | OFR-2026-1283</t>
        </is>
      </c>
      <c r="D263" s="17" t="inlineStr">
        <is>
          <t>WL-03197 | Thomas Lee</t>
        </is>
      </c>
      <c r="E263" s="17" t="inlineStr">
        <is>
          <t>Rank 2197 | current app 2025-05-21 | ACTIVE_WAITLIST</t>
        </is>
      </c>
      <c r="F263" s="17" t="inlineStr">
        <is>
          <t>LP-1109 / 24 ft | Ledgport</t>
        </is>
      </c>
      <c r="G263" s="17" t="inlineStr">
        <is>
          <t>declined-prior-offer | Y / REPAIR_ESTIMATE</t>
        </is>
      </c>
      <c r="H263" s="17" t="inlineStr">
        <is>
          <t>CSV says attachment present; underlying file not individually furnished</t>
        </is>
      </c>
      <c r="I263" s="17" t="inlineStr">
        <is>
          <t>No exception identified in screening</t>
        </is>
      </c>
      <c r="J263" s="17" t="inlineStr"/>
      <c r="K263" s="17" t="inlineStr"/>
      <c r="L263" s="17" t="inlineStr">
        <is>
          <t>No Board remedy recommended from supplied screening record; retain file for source-population reconciliation.</t>
        </is>
      </c>
    </row>
    <row r="264" outlineLevel="1">
      <c r="A264" s="17" t="inlineStr"/>
      <c r="B264" s="17" t="inlineStr">
        <is>
          <t>CSV row 350 | SKP-2026-0349</t>
        </is>
      </c>
      <c r="C264" s="17" t="inlineStr">
        <is>
          <t>2026-02-07 | OFR-2026-1306</t>
        </is>
      </c>
      <c r="D264" s="17" t="inlineStr">
        <is>
          <t>WL-03816 | Brittany Lopez</t>
        </is>
      </c>
      <c r="E264" s="17" t="inlineStr">
        <is>
          <t>Rank 2816 | current app 2026-04-29 | ACTIVE_WAITLIST</t>
        </is>
      </c>
      <c r="F264" s="17" t="inlineStr">
        <is>
          <t>EW-0804 / 32 ft | Eastwey</t>
        </is>
      </c>
      <c r="G264" s="17" t="inlineStr">
        <is>
          <t>vessel-fit | Y / WRITTEN_STATEMENT</t>
        </is>
      </c>
      <c r="H264" s="17" t="inlineStr">
        <is>
          <t>CSV says attachment present; underlying file not individually furnished</t>
        </is>
      </c>
      <c r="I264" s="17" t="inlineStr">
        <is>
          <t>No exception identified in screening</t>
        </is>
      </c>
      <c r="J264" s="17" t="inlineStr"/>
      <c r="K264" s="17" t="inlineStr">
        <is>
          <t>Predates current application date</t>
        </is>
      </c>
      <c r="L264" s="17" t="inlineStr">
        <is>
          <t>No Board remedy recommended from supplied screening record; retain file for source-population reconciliation.</t>
        </is>
      </c>
    </row>
    <row r="265" outlineLevel="1">
      <c r="A265" s="17" t="inlineStr"/>
      <c r="B265" s="17" t="inlineStr">
        <is>
          <t>CSV row 347 | SKP-2026-0346</t>
        </is>
      </c>
      <c r="C265" s="17" t="inlineStr">
        <is>
          <t>2026-02-14 | OFR-2026-1298</t>
        </is>
      </c>
      <c r="D265" s="17" t="inlineStr">
        <is>
          <t>WL-01605 | Michael Curtis</t>
        </is>
      </c>
      <c r="E265" s="17" t="inlineStr">
        <is>
          <t>Rank 605 | current app 2023-05-20 | ACTIVE_WAITLIST</t>
        </is>
      </c>
      <c r="F265" s="17" t="inlineStr">
        <is>
          <t>VB-0912 / 40 ft | Vessbank</t>
        </is>
      </c>
      <c r="G265" s="17" t="inlineStr">
        <is>
          <t>preference-mismatch | Y / REPAIR_ESTIMATE</t>
        </is>
      </c>
      <c r="H265" s="17" t="inlineStr">
        <is>
          <t>CSV says attachment present; underlying file not individually furnished</t>
        </is>
      </c>
      <c r="I265" s="17" t="inlineStr">
        <is>
          <t>No exception identified in screening</t>
        </is>
      </c>
      <c r="J265" s="17" t="inlineStr"/>
      <c r="K265" s="17" t="inlineStr"/>
      <c r="L265" s="17" t="inlineStr">
        <is>
          <t>No Board remedy recommended from supplied screening record; retain file for source-population reconciliation.</t>
        </is>
      </c>
    </row>
    <row r="266" outlineLevel="1">
      <c r="A266" s="17" t="inlineStr"/>
      <c r="B266" s="17" t="inlineStr">
        <is>
          <t>CSV row 345 | SKP-2026-0344</t>
        </is>
      </c>
      <c r="C266" s="17" t="inlineStr">
        <is>
          <t>2026-02-22 | OFR-2026-1291</t>
        </is>
      </c>
      <c r="D266" s="17" t="inlineStr">
        <is>
          <t>WL-03817 | Leslie Short</t>
        </is>
      </c>
      <c r="E266" s="17" t="inlineStr">
        <is>
          <t>Rank 2817 | current app 2026-04-29 | EXPIRED</t>
        </is>
      </c>
      <c r="F266" s="17" t="inlineStr">
        <is>
          <t>SB-0907 / 32 ft | Salmonberry</t>
        </is>
      </c>
      <c r="G266" s="17" t="inlineStr">
        <is>
          <t>vessel-fit | Y / INSURANCE_DECL</t>
        </is>
      </c>
      <c r="H266" s="17" t="inlineStr">
        <is>
          <t>CSV says attachment present; underlying file not individually furnished</t>
        </is>
      </c>
      <c r="I266" s="17" t="inlineStr">
        <is>
          <t>No exception identified in screening</t>
        </is>
      </c>
      <c r="J266" s="17" t="inlineStr"/>
      <c r="K266" s="17" t="inlineStr">
        <is>
          <t>Predates current application date</t>
        </is>
      </c>
      <c r="L266" s="17" t="inlineStr">
        <is>
          <t>No Board remedy recommended from supplied screening record; retain file for source-population reconciliation.</t>
        </is>
      </c>
    </row>
    <row r="267" outlineLevel="1">
      <c r="A267" s="17" t="inlineStr"/>
      <c r="B267" s="17" t="inlineStr">
        <is>
          <t>CSV row 349 | SKP-2026-0348</t>
        </is>
      </c>
      <c r="C267" s="17" t="inlineStr">
        <is>
          <t>2026-02-22 | OFR-2026-1305</t>
        </is>
      </c>
      <c r="D267" s="17" t="inlineStr">
        <is>
          <t>WL-02930 | Carmen Strickland</t>
        </is>
      </c>
      <c r="E267" s="17" t="inlineStr">
        <is>
          <t>Rank 1930 | current app 2025-01-24 | EXPIRED</t>
        </is>
      </c>
      <c r="F267" s="17" t="inlineStr">
        <is>
          <t>LP-0915 / 32 ft | Ledgport</t>
        </is>
      </c>
      <c r="G267" s="17" t="inlineStr">
        <is>
          <t>declined-prior-offer | Y / OTHER_SUPPORT</t>
        </is>
      </c>
      <c r="H267" s="17" t="inlineStr">
        <is>
          <t>CSV says attachment present; underlying file not individually furnished</t>
        </is>
      </c>
      <c r="I267" s="17" t="inlineStr">
        <is>
          <t>No exception identified in screening</t>
        </is>
      </c>
      <c r="J267" s="17" t="inlineStr"/>
      <c r="K267" s="17" t="inlineStr"/>
      <c r="L267" s="17" t="inlineStr">
        <is>
          <t>No Board remedy recommended from supplied screening record; retain file for source-population reconciliation.</t>
        </is>
      </c>
    </row>
    <row r="268" outlineLevel="1">
      <c r="A268" s="17" t="inlineStr"/>
      <c r="B268" s="17" t="inlineStr">
        <is>
          <t>CSV row 346 | SKP-2026-0345</t>
        </is>
      </c>
      <c r="C268" s="17" t="inlineStr">
        <is>
          <t>2026-02-27 | OFR-2026-1297</t>
        </is>
      </c>
      <c r="D268" s="17" t="inlineStr">
        <is>
          <t>WL-03653 | Rodney Carter</t>
        </is>
      </c>
      <c r="E268" s="17" t="inlineStr">
        <is>
          <t>Rank 2653 | current app 2026-01-11 | ACTIVE_WAITLIST</t>
        </is>
      </c>
      <c r="F268" s="17" t="inlineStr">
        <is>
          <t>LP-0614 / 28 ft | Ledgport</t>
        </is>
      </c>
      <c r="G268" s="17" t="inlineStr">
        <is>
          <t>vessel-fit | Y / OTHER_SUPPORT</t>
        </is>
      </c>
      <c r="H268" s="17" t="inlineStr">
        <is>
          <t>CSV says attachment present; underlying file not individually furnished</t>
        </is>
      </c>
      <c r="I268" s="17" t="inlineStr">
        <is>
          <t>No exception identified in screening</t>
        </is>
      </c>
      <c r="J268" s="17" t="inlineStr"/>
      <c r="K268" s="17" t="inlineStr"/>
      <c r="L268" s="17" t="inlineStr">
        <is>
          <t>No Board remedy recommended from supplied screening record; retain file for source-population reconciliation.</t>
        </is>
      </c>
    </row>
    <row r="269" outlineLevel="1">
      <c r="A269" s="17" t="inlineStr"/>
      <c r="B269" s="17" t="inlineStr">
        <is>
          <t>CSV row 351 | SKP-2026-0350</t>
        </is>
      </c>
      <c r="C269" s="17" t="inlineStr">
        <is>
          <t>2026-03-12 | OFR-2026-1310</t>
        </is>
      </c>
      <c r="D269" s="17" t="inlineStr">
        <is>
          <t>WL-01038 | Laura Collins</t>
        </is>
      </c>
      <c r="E269" s="17" t="inlineStr">
        <is>
          <t>Rank 38 | current app 2022-03-27 | EXPIRED</t>
        </is>
      </c>
      <c r="F269" s="17" t="inlineStr">
        <is>
          <t>GW-0105 / 60 ft | Gullwing</t>
        </is>
      </c>
      <c r="G269" s="17" t="inlineStr">
        <is>
          <t>not-current | Y / OTHER_SUPPORT</t>
        </is>
      </c>
      <c r="H269" s="17" t="inlineStr">
        <is>
          <t>CSV says attachment present; underlying file not individually furnished</t>
        </is>
      </c>
      <c r="I269" s="17" t="inlineStr">
        <is>
          <t>No exception identified in screening</t>
        </is>
      </c>
      <c r="J269" s="17" t="inlineStr"/>
      <c r="K269" s="17" t="inlineStr"/>
      <c r="L269" s="17" t="inlineStr">
        <is>
          <t>No Board remedy recommended from supplied screening record; retain file for source-population reconciliation.</t>
        </is>
      </c>
    </row>
    <row r="270" outlineLevel="1">
      <c r="A270" s="17" t="inlineStr"/>
      <c r="B270" s="17" t="inlineStr">
        <is>
          <t>CSV row 354 | SKP-2026-0353</t>
        </is>
      </c>
      <c r="C270" s="17" t="inlineStr">
        <is>
          <t>2026-03-13 | OFR-2026-1323</t>
        </is>
      </c>
      <c r="D270" s="17" t="inlineStr">
        <is>
          <t>WL-03279 | David Marshall</t>
        </is>
      </c>
      <c r="E270" s="17" t="inlineStr">
        <is>
          <t>Rank 2279 | current app 2025-07-03 | ACTIVE_WAITLIST</t>
        </is>
      </c>
      <c r="F270" s="17" t="inlineStr">
        <is>
          <t>EW-0916 / 24 ft | Eastwey</t>
        </is>
      </c>
      <c r="G270" s="17" t="inlineStr">
        <is>
          <t>vessel-fit | Y / INSURANCE_DECL</t>
        </is>
      </c>
      <c r="H270" s="17" t="inlineStr">
        <is>
          <t>CSV says attachment present; underlying file not individually furnished</t>
        </is>
      </c>
      <c r="I270" s="17" t="inlineStr">
        <is>
          <t>No exception identified in screening</t>
        </is>
      </c>
      <c r="J270" s="17" t="inlineStr"/>
      <c r="K270" s="17" t="inlineStr"/>
      <c r="L270" s="17" t="inlineStr">
        <is>
          <t>No Board remedy recommended from supplied screening record; retain file for source-population reconciliation.</t>
        </is>
      </c>
    </row>
    <row r="271" outlineLevel="1">
      <c r="A271" s="17" t="inlineStr"/>
      <c r="B271" s="17" t="inlineStr">
        <is>
          <t>CSV row 352 | SKP-2026-0351</t>
        </is>
      </c>
      <c r="C271" s="17" t="inlineStr">
        <is>
          <t>2026-03-15 | OFR-2026-1321</t>
        </is>
      </c>
      <c r="D271" s="17" t="inlineStr">
        <is>
          <t>WL-02306 | Lori Schneider</t>
        </is>
      </c>
      <c r="E271" s="17" t="inlineStr">
        <is>
          <t>Rank 1306 | current app 2024-04-28 | ACTIVE_WAITLIST</t>
        </is>
      </c>
      <c r="F271" s="17" t="inlineStr">
        <is>
          <t>SB-0709 / 28 ft | Salmonberry</t>
        </is>
      </c>
      <c r="G271" s="17" t="inlineStr">
        <is>
          <t>not-current | Y / INSURANCE_DECL</t>
        </is>
      </c>
      <c r="H271" s="17" t="inlineStr">
        <is>
          <t>CSV says attachment present; underlying file not individually furnished</t>
        </is>
      </c>
      <c r="I271" s="17" t="inlineStr">
        <is>
          <t>No exception identified in screening</t>
        </is>
      </c>
      <c r="J271" s="17" t="inlineStr"/>
      <c r="K271" s="17" t="inlineStr"/>
      <c r="L271" s="17" t="inlineStr">
        <is>
          <t>No Board remedy recommended from supplied screening record; retain file for source-population reconciliation.</t>
        </is>
      </c>
    </row>
    <row r="272" outlineLevel="1">
      <c r="A272" s="17" t="inlineStr"/>
      <c r="B272" s="17" t="inlineStr">
        <is>
          <t>CSV row 356 | SKP-2026-0355</t>
        </is>
      </c>
      <c r="C272" s="17" t="inlineStr">
        <is>
          <t>2026-03-18 | OFR-2026-1328</t>
        </is>
      </c>
      <c r="D272" s="17" t="inlineStr">
        <is>
          <t>WL-02417 | Eric Benjamin</t>
        </is>
      </c>
      <c r="E272" s="17" t="inlineStr">
        <is>
          <t>Rank 1417 | current app 2024-06-17 | ACTIVE_WAITLIST</t>
        </is>
      </c>
      <c r="F272" s="17" t="inlineStr">
        <is>
          <t>GW-0323 / 80 ft | Gullwing</t>
        </is>
      </c>
      <c r="G272" s="17" t="inlineStr">
        <is>
          <t>declined-prior-offer | Y / OTHER_SUPPORT</t>
        </is>
      </c>
      <c r="H272" s="17" t="inlineStr">
        <is>
          <t>CSV says attachment present; underlying file not individually furnished</t>
        </is>
      </c>
      <c r="I272" s="17" t="inlineStr">
        <is>
          <t>No exception identified in screening</t>
        </is>
      </c>
      <c r="J272" s="17" t="inlineStr"/>
      <c r="K272" s="17" t="inlineStr"/>
      <c r="L272" s="17" t="inlineStr">
        <is>
          <t>No Board remedy recommended from supplied screening record; retain file for source-population reconciliation.</t>
        </is>
      </c>
    </row>
    <row r="273" outlineLevel="1">
      <c r="A273" s="17" t="inlineStr"/>
      <c r="B273" s="17" t="inlineStr">
        <is>
          <t>CSV row 353 | SKP-2026-0352</t>
        </is>
      </c>
      <c r="C273" s="17" t="inlineStr">
        <is>
          <t>2026-03-26 | OFR-2026-1322</t>
        </is>
      </c>
      <c r="D273" s="17" t="inlineStr">
        <is>
          <t>WL-01139 | Zachary Martin</t>
        </is>
      </c>
      <c r="E273" s="17" t="inlineStr">
        <is>
          <t>Rank 139 | current app 2022-07-08 | ACTIVE_WAITLIST</t>
        </is>
      </c>
      <c r="F273" s="17" t="inlineStr">
        <is>
          <t>GW-0314 / 32 ft | Gullwing</t>
        </is>
      </c>
      <c r="G273" s="17" t="inlineStr">
        <is>
          <t>vessel-fit | Y / WRITTEN_STATEMENT</t>
        </is>
      </c>
      <c r="H273" s="17" t="inlineStr">
        <is>
          <t>CSV says attachment present; underlying file not individually furnished</t>
        </is>
      </c>
      <c r="I273" s="17" t="inlineStr">
        <is>
          <t>No exception identified in screening</t>
        </is>
      </c>
      <c r="J273" s="17" t="inlineStr"/>
      <c r="K273" s="17" t="inlineStr"/>
      <c r="L273" s="17" t="inlineStr">
        <is>
          <t>No Board remedy recommended from supplied screening record; retain file for source-population reconciliation.</t>
        </is>
      </c>
    </row>
    <row r="274" outlineLevel="1">
      <c r="A274" s="17" t="inlineStr"/>
      <c r="B274" s="17" t="inlineStr">
        <is>
          <t>CSV row 355 | SKP-2026-0354</t>
        </is>
      </c>
      <c r="C274" s="17" t="inlineStr">
        <is>
          <t>2026-03-26 | OFR-2026-1327</t>
        </is>
      </c>
      <c r="D274" s="17" t="inlineStr">
        <is>
          <t>WL-03305 | Monica Garcia</t>
        </is>
      </c>
      <c r="E274" s="17" t="inlineStr">
        <is>
          <t>Rank 2305 | current app 2025-07-18 | ACTIVE_WAITLIST</t>
        </is>
      </c>
      <c r="F274" s="17" t="inlineStr">
        <is>
          <t>GW-0509 / 45 ft | Gullwing</t>
        </is>
      </c>
      <c r="G274" s="17" t="inlineStr">
        <is>
          <t>declined-prior-offer | Y / WRITTEN_STATEMENT</t>
        </is>
      </c>
      <c r="H274" s="17" t="inlineStr">
        <is>
          <t>CSV says attachment present; underlying file not individually furnished</t>
        </is>
      </c>
      <c r="I274" s="17" t="inlineStr">
        <is>
          <t>No exception identified in screening</t>
        </is>
      </c>
      <c r="J274" s="17" t="inlineStr"/>
      <c r="K274" s="17" t="inlineStr"/>
      <c r="L274" s="17" t="inlineStr">
        <is>
          <t>No Board remedy recommended from supplied screening record; retain file for source-population reconciliation.</t>
        </is>
      </c>
    </row>
    <row r="275" outlineLevel="1">
      <c r="A275" s="17" t="inlineStr"/>
      <c r="B275" s="17" t="inlineStr">
        <is>
          <t>CSV row 357 | SKP-2026-0356</t>
        </is>
      </c>
      <c r="C275" s="17" t="inlineStr">
        <is>
          <t>2026-04-01 | OFR-2026-1330</t>
        </is>
      </c>
      <c r="D275" s="17" t="inlineStr">
        <is>
          <t>WL-01084 | Lisa Adams</t>
        </is>
      </c>
      <c r="E275" s="17" t="inlineStr">
        <is>
          <t>Rank 84 | current app 2022-05-14 | ACTIVE_WAITLIST</t>
        </is>
      </c>
      <c r="F275" s="17" t="inlineStr">
        <is>
          <t>SB-0419 / 32 ft | Salmonberry</t>
        </is>
      </c>
      <c r="G275" s="17" t="inlineStr">
        <is>
          <t>declined-prior-offer | Y / REPAIR_ESTIMATE</t>
        </is>
      </c>
      <c r="H275" s="17" t="inlineStr">
        <is>
          <t>CSV says attachment present; underlying file not individually furnished</t>
        </is>
      </c>
      <c r="I275" s="17" t="inlineStr">
        <is>
          <t>No exception identified in screening</t>
        </is>
      </c>
      <c r="J275" s="17" t="inlineStr"/>
      <c r="K275" s="17" t="inlineStr"/>
      <c r="L275" s="17" t="inlineStr">
        <is>
          <t>No Board remedy recommended from supplied screening record; retain file for source-population reconciliation.</t>
        </is>
      </c>
    </row>
    <row r="276" outlineLevel="1">
      <c r="A276" s="17" t="inlineStr"/>
      <c r="B276" s="17" t="inlineStr">
        <is>
          <t>CSV row 360 | SKP-2026-0359</t>
        </is>
      </c>
      <c r="C276" s="17" t="inlineStr">
        <is>
          <t>2026-04-01 | OFR-2026-1335</t>
        </is>
      </c>
      <c r="D276" s="17" t="inlineStr">
        <is>
          <t>WL-02766 | Valerie Macias</t>
        </is>
      </c>
      <c r="E276" s="17" t="inlineStr">
        <is>
          <t>Rank 1766 | current app 2024-11-17 | ACTIVE_WAITLIST</t>
        </is>
      </c>
      <c r="F276" s="17" t="inlineStr">
        <is>
          <t>SB-0908 / 36 ft | Salmonberry</t>
        </is>
      </c>
      <c r="G276" s="17" t="inlineStr">
        <is>
          <t>not-current | Y / INSURANCE_DECL</t>
        </is>
      </c>
      <c r="H276" s="17" t="inlineStr">
        <is>
          <t>CSV says attachment present; underlying file not individually furnished</t>
        </is>
      </c>
      <c r="I276" s="17" t="inlineStr">
        <is>
          <t>No exception identified in screening</t>
        </is>
      </c>
      <c r="J276" s="17" t="inlineStr"/>
      <c r="K276" s="17" t="inlineStr"/>
      <c r="L276" s="17" t="inlineStr">
        <is>
          <t>No Board remedy recommended from supplied screening record; retain file for source-population reconciliation.</t>
        </is>
      </c>
    </row>
    <row r="277" outlineLevel="1">
      <c r="A277" s="17" t="inlineStr"/>
      <c r="B277" s="17" t="inlineStr">
        <is>
          <t>CSV row 367 | SKP-2026-0366</t>
        </is>
      </c>
      <c r="C277" s="17" t="inlineStr">
        <is>
          <t>2026-04-02 | OFR-2026-1348</t>
        </is>
      </c>
      <c r="D277" s="17" t="inlineStr">
        <is>
          <t>WL-01288 | Christopher Riley</t>
        </is>
      </c>
      <c r="E277" s="17" t="inlineStr">
        <is>
          <t>Rank 288 | current app 2022-11-12 | RETAINER</t>
        </is>
      </c>
      <c r="F277" s="17" t="inlineStr">
        <is>
          <t>VB-0916 / 24 ft | Vessbank</t>
        </is>
      </c>
      <c r="G277" s="17" t="inlineStr">
        <is>
          <t>declined-prior-offer | Y / INSURANCE_DECL</t>
        </is>
      </c>
      <c r="H277" s="17" t="inlineStr">
        <is>
          <t>CSV says attachment present; underlying file not individually furnished</t>
        </is>
      </c>
      <c r="I277" s="17" t="inlineStr">
        <is>
          <t>No exception identified in screening</t>
        </is>
      </c>
      <c r="J277" s="17" t="inlineStr"/>
      <c r="K277" s="17" t="inlineStr"/>
      <c r="L277" s="17" t="inlineStr">
        <is>
          <t>No Board remedy recommended from supplied screening record; retain file for source-population reconciliation.</t>
        </is>
      </c>
    </row>
    <row r="278" outlineLevel="1">
      <c r="A278" s="17" t="inlineStr"/>
      <c r="B278" s="17" t="inlineStr">
        <is>
          <t>CSV row 359 | SKP-2026-0358</t>
        </is>
      </c>
      <c r="C278" s="17" t="inlineStr">
        <is>
          <t>2026-04-04 | OFR-2026-1333</t>
        </is>
      </c>
      <c r="D278" s="17" t="inlineStr">
        <is>
          <t>WL-01283 | Jay Gregory</t>
        </is>
      </c>
      <c r="E278" s="17" t="inlineStr">
        <is>
          <t>Rank 283 | current app 2022-11-07 | ACTIVE_WAITLIST</t>
        </is>
      </c>
      <c r="F278" s="17" t="inlineStr">
        <is>
          <t>SB-0911 / 28 ft | Salmonberry</t>
        </is>
      </c>
      <c r="G278" s="17" t="inlineStr">
        <is>
          <t>vessel-fit | Y / INSURANCE_DECL</t>
        </is>
      </c>
      <c r="H278" s="17" t="inlineStr">
        <is>
          <t>CSV says attachment present; underlying file not individually furnished</t>
        </is>
      </c>
      <c r="I278" s="17" t="inlineStr">
        <is>
          <t>No exception identified in screening</t>
        </is>
      </c>
      <c r="J278" s="17" t="inlineStr"/>
      <c r="K278" s="17" t="inlineStr"/>
      <c r="L278" s="17" t="inlineStr">
        <is>
          <t>No Board remedy recommended from supplied screening record; retain file for source-population reconciliation.</t>
        </is>
      </c>
    </row>
    <row r="279" outlineLevel="1">
      <c r="A279" s="17" t="inlineStr"/>
      <c r="B279" s="17" t="inlineStr">
        <is>
          <t>CSV row 358 | SKP-2026-0357</t>
        </is>
      </c>
      <c r="C279" s="17" t="inlineStr">
        <is>
          <t>2026-04-05 | OFR-2026-1332</t>
        </is>
      </c>
      <c r="D279" s="17" t="inlineStr">
        <is>
          <t>WL-03306 | Rebecca Martin</t>
        </is>
      </c>
      <c r="E279" s="17" t="inlineStr">
        <is>
          <t>Rank 2306 | current app 2025-07-19 | ACTIVE_WAITLIST</t>
        </is>
      </c>
      <c r="F279" s="17" t="inlineStr">
        <is>
          <t>SB-0307 / 32 ft | Salmonberry</t>
        </is>
      </c>
      <c r="G279" s="17" t="inlineStr">
        <is>
          <t>declined-prior-offer | Y / REPAIR_ESTIMATE</t>
        </is>
      </c>
      <c r="H279" s="17" t="inlineStr">
        <is>
          <t>CSV says attachment present; underlying file not individually furnished</t>
        </is>
      </c>
      <c r="I279" s="17" t="inlineStr">
        <is>
          <t>No exception identified in screening</t>
        </is>
      </c>
      <c r="J279" s="17" t="inlineStr"/>
      <c r="K279" s="17" t="inlineStr"/>
      <c r="L279" s="17" t="inlineStr">
        <is>
          <t>No Board remedy recommended from supplied screening record; retain file for source-population reconciliation.</t>
        </is>
      </c>
    </row>
    <row r="280" outlineLevel="1">
      <c r="A280" s="17" t="inlineStr"/>
      <c r="B280" s="17" t="inlineStr">
        <is>
          <t>CSV row 361 | SKP-2026-0360</t>
        </is>
      </c>
      <c r="C280" s="17" t="inlineStr">
        <is>
          <t>2026-04-05 | OFR-2026-1337</t>
        </is>
      </c>
      <c r="D280" s="17" t="inlineStr">
        <is>
          <t>WL-03088 | Heather Williams</t>
        </is>
      </c>
      <c r="E280" s="17" t="inlineStr">
        <is>
          <t>Rank 2088 | current app 2025-04-03 | ACTIVE_WAITLIST</t>
        </is>
      </c>
      <c r="F280" s="17" t="inlineStr">
        <is>
          <t>SB-0213 / 40 ft | Salmonberry</t>
        </is>
      </c>
      <c r="G280" s="17" t="inlineStr">
        <is>
          <t>declined-prior-offer | Y / OTHER_SUPPORT</t>
        </is>
      </c>
      <c r="H280" s="17" t="inlineStr">
        <is>
          <t>CSV says attachment present; underlying file not individually furnished</t>
        </is>
      </c>
      <c r="I280" s="17" t="inlineStr">
        <is>
          <t>No exception identified in screening</t>
        </is>
      </c>
      <c r="J280" s="17" t="inlineStr"/>
      <c r="K280" s="17" t="inlineStr"/>
      <c r="L280" s="17" t="inlineStr">
        <is>
          <t>No Board remedy recommended from supplied screening record; retain file for source-population reconciliation.</t>
        </is>
      </c>
    </row>
    <row r="281" outlineLevel="1">
      <c r="A281" s="17" t="inlineStr"/>
      <c r="B281" s="17" t="inlineStr">
        <is>
          <t>CSV row 364 | SKP-2026-0363</t>
        </is>
      </c>
      <c r="C281" s="17" t="inlineStr">
        <is>
          <t>2026-04-06 | OFR-2026-1345</t>
        </is>
      </c>
      <c r="D281" s="17" t="inlineStr">
        <is>
          <t>WL-02353 | Jonathan Freeman</t>
        </is>
      </c>
      <c r="E281" s="17" t="inlineStr">
        <is>
          <t>Rank 1353 | current app 2024-05-19 | ACTIVE_WAITLIST</t>
        </is>
      </c>
      <c r="F281" s="17" t="inlineStr">
        <is>
          <t>LP-0601 / 24 ft | Ledgport</t>
        </is>
      </c>
      <c r="G281" s="17" t="inlineStr">
        <is>
          <t>preference-mismatch | Y / INSURANCE_DECL</t>
        </is>
      </c>
      <c r="H281" s="17" t="inlineStr">
        <is>
          <t>CSV says attachment present; underlying file not individually furnished</t>
        </is>
      </c>
      <c r="I281" s="17" t="inlineStr">
        <is>
          <t>No exception identified in screening</t>
        </is>
      </c>
      <c r="J281" s="17" t="inlineStr"/>
      <c r="K281" s="17" t="inlineStr"/>
      <c r="L281" s="17" t="inlineStr">
        <is>
          <t>No Board remedy recommended from supplied screening record; retain file for source-population reconciliation.</t>
        </is>
      </c>
    </row>
    <row r="282" outlineLevel="1">
      <c r="A282" s="17" t="inlineStr"/>
      <c r="B282" s="17" t="inlineStr">
        <is>
          <t>CSV row 368 | SKP-2026-0367</t>
        </is>
      </c>
      <c r="C282" s="17" t="inlineStr">
        <is>
          <t>2026-04-07 | OFR-2026-1350</t>
        </is>
      </c>
      <c r="D282" s="17" t="inlineStr">
        <is>
          <t>WL-02639 | Ronald Moore</t>
        </is>
      </c>
      <c r="E282" s="17" t="inlineStr">
        <is>
          <t>Rank 1639 | current app 2024-09-24 | ACTIVE_WAITLIST</t>
        </is>
      </c>
      <c r="F282" s="17" t="inlineStr">
        <is>
          <t>LP-1102 / 28 ft | Ledgport</t>
        </is>
      </c>
      <c r="G282" s="17" t="inlineStr">
        <is>
          <t>vessel-fit | Y / REPAIR_ESTIMATE</t>
        </is>
      </c>
      <c r="H282" s="17" t="inlineStr">
        <is>
          <t>CSV says attachment present; underlying file not individually furnished</t>
        </is>
      </c>
      <c r="I282" s="17" t="inlineStr">
        <is>
          <t>No exception identified in screening</t>
        </is>
      </c>
      <c r="J282" s="17" t="inlineStr"/>
      <c r="K282" s="17" t="inlineStr"/>
      <c r="L282" s="17" t="inlineStr">
        <is>
          <t>No Board remedy recommended from supplied screening record; retain file for source-population reconciliation.</t>
        </is>
      </c>
    </row>
    <row r="283" outlineLevel="1">
      <c r="A283" s="17" t="inlineStr"/>
      <c r="B283" s="17" t="inlineStr">
        <is>
          <t>CSV row 362 | SKP-2026-0361</t>
        </is>
      </c>
      <c r="C283" s="17" t="inlineStr">
        <is>
          <t>2026-04-12 | OFR-2026-1339</t>
        </is>
      </c>
      <c r="D283" s="17" t="inlineStr">
        <is>
          <t>WL-03139 | Stanley Peterson</t>
        </is>
      </c>
      <c r="E283" s="17" t="inlineStr">
        <is>
          <t>Rank 2139 | current app 2025-04-29 | ACTIVE_WAITLIST</t>
        </is>
      </c>
      <c r="F283" s="17" t="inlineStr">
        <is>
          <t>GW-0601 / 32 ft | Gullwing</t>
        </is>
      </c>
      <c r="G283" s="17" t="inlineStr">
        <is>
          <t>declined-prior-offer | Y / REPAIR_ESTIMATE</t>
        </is>
      </c>
      <c r="H283" s="17" t="inlineStr">
        <is>
          <t>CSV says attachment present; underlying file not individually furnished</t>
        </is>
      </c>
      <c r="I283" s="17" t="inlineStr">
        <is>
          <t>No exception identified in screening</t>
        </is>
      </c>
      <c r="J283" s="17" t="inlineStr"/>
      <c r="K283" s="17" t="inlineStr"/>
      <c r="L283" s="17" t="inlineStr">
        <is>
          <t>No Board remedy recommended from supplied screening record; retain file for source-population reconciliation.</t>
        </is>
      </c>
    </row>
    <row r="284" outlineLevel="1">
      <c r="A284" s="17" t="inlineStr"/>
      <c r="B284" s="17" t="inlineStr">
        <is>
          <t>CSV row 366 | SKP-2026-0365</t>
        </is>
      </c>
      <c r="C284" s="17" t="inlineStr">
        <is>
          <t>2026-04-17 | OFR-2026-1347</t>
        </is>
      </c>
      <c r="D284" s="17" t="inlineStr">
        <is>
          <t>WL-02706 | Allison Fisher</t>
        </is>
      </c>
      <c r="E284" s="17" t="inlineStr">
        <is>
          <t>Rank 1706 | current app 2024-10-25 | SUSPENDED</t>
        </is>
      </c>
      <c r="F284" s="17" t="inlineStr">
        <is>
          <t>GW-0513 / 32 ft | Gullwing</t>
        </is>
      </c>
      <c r="G284" s="17" t="inlineStr">
        <is>
          <t>not-current | Y / REPAIR_ESTIMATE</t>
        </is>
      </c>
      <c r="H284" s="17" t="inlineStr">
        <is>
          <t>CSV says attachment present; underlying file not individually furnished</t>
        </is>
      </c>
      <c r="I284" s="17" t="inlineStr">
        <is>
          <t>No exception identified in screening</t>
        </is>
      </c>
      <c r="J284" s="17" t="inlineStr"/>
      <c r="K284" s="17" t="inlineStr"/>
      <c r="L284" s="17" t="inlineStr">
        <is>
          <t>No Board remedy recommended from supplied screening record; retain file for source-population reconciliation.</t>
        </is>
      </c>
    </row>
    <row r="285" outlineLevel="1">
      <c r="A285" s="17" t="inlineStr"/>
      <c r="B285" s="17" t="inlineStr">
        <is>
          <t>CSV row 365 | SKP-2026-0364</t>
        </is>
      </c>
      <c r="C285" s="17" t="inlineStr">
        <is>
          <t>2026-04-19 | OFR-2026-1346</t>
        </is>
      </c>
      <c r="D285" s="17" t="inlineStr">
        <is>
          <t>WL-02504 | Crystal Stevenson</t>
        </is>
      </c>
      <c r="E285" s="17" t="inlineStr">
        <is>
          <t>Rank 1504 | current app 2024-07-29 | ACTIVE_WAITLIST</t>
        </is>
      </c>
      <c r="F285" s="17" t="inlineStr">
        <is>
          <t>SB-0104 / 50 ft | Salmonberry</t>
        </is>
      </c>
      <c r="G285" s="17" t="inlineStr">
        <is>
          <t>not-current | Y / INSURANCE_DECL</t>
        </is>
      </c>
      <c r="H285" s="17" t="inlineStr">
        <is>
          <t>CSV says attachment present; underlying file not individually furnished</t>
        </is>
      </c>
      <c r="I285" s="17" t="inlineStr">
        <is>
          <t>No exception identified in screening</t>
        </is>
      </c>
      <c r="J285" s="17" t="inlineStr"/>
      <c r="K285" s="17" t="inlineStr"/>
      <c r="L285" s="17" t="inlineStr">
        <is>
          <t>No Board remedy recommended from supplied screening record; retain file for source-population reconciliation.</t>
        </is>
      </c>
    </row>
    <row r="286" outlineLevel="1">
      <c r="A286" s="17" t="inlineStr"/>
      <c r="B286" s="17" t="inlineStr">
        <is>
          <t>CSV row 374 | SKP-2026-0373</t>
        </is>
      </c>
      <c r="C286" s="17" t="inlineStr">
        <is>
          <t>2026-05-02 | OFR-2026-1372</t>
        </is>
      </c>
      <c r="D286" s="17" t="inlineStr">
        <is>
          <t>WL-02671 | Monica Stephens</t>
        </is>
      </c>
      <c r="E286" s="17" t="inlineStr">
        <is>
          <t>Rank 1671 | current app 2024-10-07 | ACTIVE_WAITLIST</t>
        </is>
      </c>
      <c r="F286" s="17" t="inlineStr">
        <is>
          <t>LP-1019 / 32 ft | Ledgport</t>
        </is>
      </c>
      <c r="G286" s="17" t="inlineStr">
        <is>
          <t>vessel-fit | Y / REPAIR_ESTIMATE</t>
        </is>
      </c>
      <c r="H286" s="17" t="inlineStr">
        <is>
          <t>CSV says attachment present; underlying file not individually furnished</t>
        </is>
      </c>
      <c r="I286" s="17" t="inlineStr">
        <is>
          <t>No exception identified in screening</t>
        </is>
      </c>
      <c r="J286" s="17" t="inlineStr"/>
      <c r="K286" s="17" t="inlineStr"/>
      <c r="L286" s="17" t="inlineStr">
        <is>
          <t>No Board remedy recommended from supplied screening record; retain file for source-population reconciliation.</t>
        </is>
      </c>
    </row>
    <row r="287" outlineLevel="1">
      <c r="A287" s="17" t="inlineStr"/>
      <c r="B287" s="17" t="inlineStr">
        <is>
          <t>CSV row 377 | SKP-2026-0376</t>
        </is>
      </c>
      <c r="C287" s="17" t="inlineStr">
        <is>
          <t>2026-05-02 | OFR-2026-1380</t>
        </is>
      </c>
      <c r="D287" s="17" t="inlineStr">
        <is>
          <t>WL-03152 | Kenneth Simmons</t>
        </is>
      </c>
      <c r="E287" s="17" t="inlineStr">
        <is>
          <t>Rank 2152 | current app 2025-05-03 | ACTIVE_WAITLIST</t>
        </is>
      </c>
      <c r="F287" s="17" t="inlineStr">
        <is>
          <t>LP-0104 / 24 ft | Ledgport</t>
        </is>
      </c>
      <c r="G287" s="17" t="inlineStr">
        <is>
          <t>preference-mismatch | Y / OTHER_SUPPORT</t>
        </is>
      </c>
      <c r="H287" s="17" t="inlineStr">
        <is>
          <t>CSV says attachment present; underlying file not individually furnished</t>
        </is>
      </c>
      <c r="I287" s="17" t="inlineStr">
        <is>
          <t>No exception identified in screening</t>
        </is>
      </c>
      <c r="J287" s="17" t="inlineStr"/>
      <c r="K287" s="17" t="inlineStr"/>
      <c r="L287" s="17" t="inlineStr">
        <is>
          <t>No Board remedy recommended from supplied screening record; retain file for source-population reconciliation.</t>
        </is>
      </c>
    </row>
    <row r="288" outlineLevel="1">
      <c r="A288" s="17" t="inlineStr"/>
      <c r="B288" s="17" t="inlineStr">
        <is>
          <t>CSV row 370 | SKP-2026-0369</t>
        </is>
      </c>
      <c r="C288" s="17" t="inlineStr">
        <is>
          <t>2026-05-06 | OFR-2026-1360</t>
        </is>
      </c>
      <c r="D288" s="17" t="inlineStr">
        <is>
          <t>WL-01205 | Brian Osborne</t>
        </is>
      </c>
      <c r="E288" s="17" t="inlineStr">
        <is>
          <t>Rank 205 | current app 2022-09-05 | ACTIVE_WAITLIST</t>
        </is>
      </c>
      <c r="F288" s="17" t="inlineStr">
        <is>
          <t>GW-0620 / 70 ft | Gullwing</t>
        </is>
      </c>
      <c r="G288" s="17" t="inlineStr">
        <is>
          <t>preference-mismatch | Y / WRITTEN_STATEMENT</t>
        </is>
      </c>
      <c r="H288" s="17" t="inlineStr">
        <is>
          <t>CSV says attachment present; underlying file not individually furnished</t>
        </is>
      </c>
      <c r="I288" s="17" t="inlineStr">
        <is>
          <t>No exception identified in screening</t>
        </is>
      </c>
      <c r="J288" s="17" t="inlineStr"/>
      <c r="K288" s="17" t="inlineStr"/>
      <c r="L288" s="17" t="inlineStr">
        <is>
          <t>No Board remedy recommended from supplied screening record; retain file for source-population reconciliation.</t>
        </is>
      </c>
    </row>
    <row r="289" outlineLevel="1">
      <c r="A289" s="17" t="inlineStr"/>
      <c r="B289" s="17" t="inlineStr">
        <is>
          <t>CSV row 369 | SKP-2026-0368</t>
        </is>
      </c>
      <c r="C289" s="17" t="inlineStr">
        <is>
          <t>2026-05-09 | OFR-2026-1358</t>
        </is>
      </c>
      <c r="D289" s="17" t="inlineStr">
        <is>
          <t>WL-03754 | Carolyn Ali</t>
        </is>
      </c>
      <c r="E289" s="17" t="inlineStr">
        <is>
          <t>Rank 2754 | current app 2026-03-13 | ACTIVE_WAITLIST</t>
        </is>
      </c>
      <c r="F289" s="17" t="inlineStr">
        <is>
          <t>LP-0923 / 24 ft | Ledgport</t>
        </is>
      </c>
      <c r="G289" s="17" t="inlineStr">
        <is>
          <t>not-current | Y / INSURANCE_DECL</t>
        </is>
      </c>
      <c r="H289" s="17" t="inlineStr">
        <is>
          <t>CSV says attachment present; underlying file not individually furnished</t>
        </is>
      </c>
      <c r="I289" s="17" t="inlineStr">
        <is>
          <t>No exception identified in screening</t>
        </is>
      </c>
      <c r="J289" s="17" t="inlineStr"/>
      <c r="K289" s="17" t="inlineStr"/>
      <c r="L289" s="17" t="inlineStr">
        <is>
          <t>No Board remedy recommended from supplied screening record; retain file for source-population reconciliation.</t>
        </is>
      </c>
    </row>
    <row r="290" outlineLevel="1">
      <c r="A290" s="17" t="inlineStr"/>
      <c r="B290" s="17" t="inlineStr">
        <is>
          <t>CSV row 379 | SKP-2026-0378</t>
        </is>
      </c>
      <c r="C290" s="17" t="inlineStr">
        <is>
          <t>2026-05-10 | OFR-2026-1384</t>
        </is>
      </c>
      <c r="D290" s="17" t="inlineStr">
        <is>
          <t>WL-01109 | Patrick Sanchez</t>
        </is>
      </c>
      <c r="E290" s="17" t="inlineStr">
        <is>
          <t>Rank 109 | current app 2022-06-05 | ACTIVE_WAITLIST</t>
        </is>
      </c>
      <c r="F290" s="17" t="inlineStr">
        <is>
          <t>LP-0820 / 32 ft | Ledgport</t>
        </is>
      </c>
      <c r="G290" s="17" t="inlineStr">
        <is>
          <t>preference-mismatch | Y / REPAIR_ESTIMATE</t>
        </is>
      </c>
      <c r="H290" s="17" t="inlineStr">
        <is>
          <t>CSV says attachment present; underlying file not individually furnished</t>
        </is>
      </c>
      <c r="I290" s="17" t="inlineStr">
        <is>
          <t>No exception identified in screening</t>
        </is>
      </c>
      <c r="J290" s="17" t="inlineStr"/>
      <c r="K290" s="17" t="inlineStr"/>
      <c r="L290" s="17" t="inlineStr">
        <is>
          <t>No Board remedy recommended from supplied screening record; retain file for source-population reconciliation.</t>
        </is>
      </c>
    </row>
    <row r="291" outlineLevel="1">
      <c r="A291" s="17" t="inlineStr"/>
      <c r="B291" s="17" t="inlineStr">
        <is>
          <t>CSV row 375 | SKP-2026-0374</t>
        </is>
      </c>
      <c r="C291" s="17" t="inlineStr">
        <is>
          <t>2026-05-11 | OFR-2026-1375</t>
        </is>
      </c>
      <c r="D291" s="17" t="inlineStr">
        <is>
          <t>WL-01404 | Eric Boyle</t>
        </is>
      </c>
      <c r="E291" s="17" t="inlineStr">
        <is>
          <t>Rank 404 | current app 2023-01-15 | ACTIVE_WAITLIST</t>
        </is>
      </c>
      <c r="F291" s="17" t="inlineStr">
        <is>
          <t>VB-0619 / 24 ft | Vessbank</t>
        </is>
      </c>
      <c r="G291" s="17" t="inlineStr">
        <is>
          <t>not-current | Y / INSURANCE_DECL</t>
        </is>
      </c>
      <c r="H291" s="17" t="inlineStr">
        <is>
          <t>CSV says attachment present; underlying file not individually furnished</t>
        </is>
      </c>
      <c r="I291" s="17" t="inlineStr">
        <is>
          <t>No exception identified in screening</t>
        </is>
      </c>
      <c r="J291" s="17" t="inlineStr"/>
      <c r="K291" s="17" t="inlineStr"/>
      <c r="L291" s="17" t="inlineStr">
        <is>
          <t>No Board remedy recommended from supplied screening record; retain file for source-population reconciliation.</t>
        </is>
      </c>
    </row>
    <row r="292" outlineLevel="1">
      <c r="A292" s="17" t="inlineStr"/>
      <c r="B292" s="17" t="inlineStr">
        <is>
          <t>CSV row 378 | SKP-2026-0377</t>
        </is>
      </c>
      <c r="C292" s="17" t="inlineStr">
        <is>
          <t>2026-05-14 | OFR-2026-1381</t>
        </is>
      </c>
      <c r="D292" s="17" t="inlineStr">
        <is>
          <t>WL-01255 | Dana Walker</t>
        </is>
      </c>
      <c r="E292" s="17" t="inlineStr">
        <is>
          <t>Rank 255 | current app 2022-10-16 | ACTIVE_WAITLIST</t>
        </is>
      </c>
      <c r="F292" s="17" t="inlineStr">
        <is>
          <t>EW-0522 / 36 ft | Eastwey</t>
        </is>
      </c>
      <c r="G292" s="17" t="inlineStr">
        <is>
          <t>not-current | Y / WRITTEN_STATEMENT</t>
        </is>
      </c>
      <c r="H292" s="17" t="inlineStr">
        <is>
          <t>CSV says attachment present; underlying file not individually furnished</t>
        </is>
      </c>
      <c r="I292" s="17" t="inlineStr">
        <is>
          <t>No exception identified in screening</t>
        </is>
      </c>
      <c r="J292" s="17" t="inlineStr"/>
      <c r="K292" s="17" t="inlineStr"/>
      <c r="L292" s="17" t="inlineStr">
        <is>
          <t>No Board remedy recommended from supplied screening record; retain file for source-population reconciliation.</t>
        </is>
      </c>
    </row>
    <row r="293" outlineLevel="1">
      <c r="A293" s="17" t="inlineStr"/>
      <c r="B293" s="17" t="inlineStr">
        <is>
          <t>CSV row 371 | SKP-2026-0370</t>
        </is>
      </c>
      <c r="C293" s="17" t="inlineStr">
        <is>
          <t>2026-05-18 | OFR-2026-1361</t>
        </is>
      </c>
      <c r="D293" s="17" t="inlineStr">
        <is>
          <t>WL-03607 | Ross Green</t>
        </is>
      </c>
      <c r="E293" s="17" t="inlineStr">
        <is>
          <t>Rank 2607 | current app 2025-12-19 | ACTIVE_WAITLIST</t>
        </is>
      </c>
      <c r="F293" s="17" t="inlineStr">
        <is>
          <t>LP-1105 / 36 ft | Ledgport</t>
        </is>
      </c>
      <c r="G293" s="17" t="inlineStr">
        <is>
          <t>not-current | Y / OTHER_SUPPORT</t>
        </is>
      </c>
      <c r="H293" s="17" t="inlineStr">
        <is>
          <t>CSV says attachment present; underlying file not individually furnished</t>
        </is>
      </c>
      <c r="I293" s="17" t="inlineStr">
        <is>
          <t>No exception identified in screening</t>
        </is>
      </c>
      <c r="J293" s="17" t="inlineStr"/>
      <c r="K293" s="17" t="inlineStr"/>
      <c r="L293" s="17" t="inlineStr">
        <is>
          <t>No Board remedy recommended from supplied screening record; retain file for source-population reconciliation.</t>
        </is>
      </c>
    </row>
    <row r="294" outlineLevel="1">
      <c r="A294" s="17" t="inlineStr"/>
      <c r="B294" s="17" t="inlineStr">
        <is>
          <t>CSV row 376 | SKP-2026-0375</t>
        </is>
      </c>
      <c r="C294" s="17" t="inlineStr">
        <is>
          <t>2026-05-18 | OFR-2026-1378</t>
        </is>
      </c>
      <c r="D294" s="17" t="inlineStr">
        <is>
          <t>WL-01299 | Wayne Andrews</t>
        </is>
      </c>
      <c r="E294" s="17" t="inlineStr">
        <is>
          <t>Rank 299 | current app 2022-11-18 | ACTIVE_WAITLIST</t>
        </is>
      </c>
      <c r="F294" s="17" t="inlineStr">
        <is>
          <t>GW-0814 / 70 ft | Gullwing</t>
        </is>
      </c>
      <c r="G294" s="17" t="inlineStr">
        <is>
          <t>not-current | Y / OTHER_SUPPORT</t>
        </is>
      </c>
      <c r="H294" s="17" t="inlineStr">
        <is>
          <t>CSV says attachment present; underlying file not individually furnished</t>
        </is>
      </c>
      <c r="I294" s="17" t="inlineStr">
        <is>
          <t>No exception identified in screening</t>
        </is>
      </c>
      <c r="J294" s="17" t="inlineStr"/>
      <c r="K294" s="17" t="inlineStr"/>
      <c r="L294" s="17" t="inlineStr">
        <is>
          <t>No Board remedy recommended from supplied screening record; retain file for source-population reconciliation.</t>
        </is>
      </c>
    </row>
    <row r="295" outlineLevel="1">
      <c r="A295" s="17" t="inlineStr"/>
      <c r="B295" s="17" t="inlineStr">
        <is>
          <t>CSV row 373 | SKP-2026-0372</t>
        </is>
      </c>
      <c r="C295" s="17" t="inlineStr">
        <is>
          <t>2026-05-24 | OFR-2026-1366</t>
        </is>
      </c>
      <c r="D295" s="17" t="inlineStr">
        <is>
          <t>WL-03247 | Tina Armstrong</t>
        </is>
      </c>
      <c r="E295" s="17" t="inlineStr">
        <is>
          <t>Rank 2247 | current app 2025-06-20 | SUSPENDED</t>
        </is>
      </c>
      <c r="F295" s="17" t="inlineStr">
        <is>
          <t>VB-0916 / 24 ft | Vessbank</t>
        </is>
      </c>
      <c r="G295" s="17" t="inlineStr">
        <is>
          <t>vessel-fit | Y / OTHER_SUPPORT</t>
        </is>
      </c>
      <c r="H295" s="17" t="inlineStr">
        <is>
          <t>CSV says attachment present; underlying file not individually furnished</t>
        </is>
      </c>
      <c r="I295" s="17" t="inlineStr">
        <is>
          <t>No exception identified in screening</t>
        </is>
      </c>
      <c r="J295" s="17" t="inlineStr"/>
      <c r="K295" s="17" t="inlineStr"/>
      <c r="L295" s="17" t="inlineStr">
        <is>
          <t>No Board remedy recommended from supplied screening record; retain file for source-population reconciliation.</t>
        </is>
      </c>
    </row>
    <row r="296" outlineLevel="1">
      <c r="A296" s="17" t="inlineStr"/>
      <c r="B296" s="17" t="inlineStr">
        <is>
          <t>CSV row 380 | SKP-2026-0379</t>
        </is>
      </c>
      <c r="C296" s="17" t="inlineStr">
        <is>
          <t>2026-06-02 | OFR-2026-1387</t>
        </is>
      </c>
      <c r="D296" s="17" t="inlineStr">
        <is>
          <t>WL-02315 | Mitchell Mendez</t>
        </is>
      </c>
      <c r="E296" s="17" t="inlineStr">
        <is>
          <t>Rank 1315 | current app 2024-04-30 | ACTIVE_WAITLIST</t>
        </is>
      </c>
      <c r="F296" s="17" t="inlineStr">
        <is>
          <t>SB-0302 / 28 ft | Salmonberry</t>
        </is>
      </c>
      <c r="G296" s="17" t="inlineStr">
        <is>
          <t>not-current | Y / INSURANCE_DECL</t>
        </is>
      </c>
      <c r="H296" s="17" t="inlineStr">
        <is>
          <t>CSV says attachment present; underlying file not individually furnished</t>
        </is>
      </c>
      <c r="I296" s="17" t="inlineStr">
        <is>
          <t>No exception identified in screening</t>
        </is>
      </c>
      <c r="J296" s="17" t="inlineStr"/>
      <c r="K296" s="17" t="inlineStr"/>
      <c r="L296" s="17" t="inlineStr">
        <is>
          <t>No Board remedy recommended from supplied screening record; retain file for source-population reconciliation.</t>
        </is>
      </c>
    </row>
    <row r="297" outlineLevel="1">
      <c r="A297" s="17" t="inlineStr"/>
      <c r="B297" s="17" t="inlineStr">
        <is>
          <t>CSV row 387 | SKP-2026-0386</t>
        </is>
      </c>
      <c r="C297" s="17" t="inlineStr">
        <is>
          <t>2026-06-03 | OFR-2026-1410</t>
        </is>
      </c>
      <c r="D297" s="17" t="inlineStr">
        <is>
          <t>WL-03787 | John Mcneil</t>
        </is>
      </c>
      <c r="E297" s="17" t="inlineStr">
        <is>
          <t>Rank 2787 | current app 2026-04-12 | ACTIVE_WAITLIST</t>
        </is>
      </c>
      <c r="F297" s="17" t="inlineStr">
        <is>
          <t>GW-0214 / 24 ft | Gullwing</t>
        </is>
      </c>
      <c r="G297" s="17" t="inlineStr">
        <is>
          <t>declined-prior-offer | Y / REPAIR_ESTIMATE</t>
        </is>
      </c>
      <c r="H297" s="17" t="inlineStr">
        <is>
          <t>CSV says attachment present; underlying file not individually furnished</t>
        </is>
      </c>
      <c r="I297" s="17" t="inlineStr">
        <is>
          <t>No exception identified in screening</t>
        </is>
      </c>
      <c r="J297" s="17" t="inlineStr"/>
      <c r="K297" s="17" t="inlineStr"/>
      <c r="L297" s="17" t="inlineStr">
        <is>
          <t>No Board remedy recommended from supplied screening record; retain file for source-population reconciliation.</t>
        </is>
      </c>
    </row>
    <row r="298" outlineLevel="1">
      <c r="A298" s="17" t="inlineStr"/>
      <c r="B298" s="17" t="inlineStr">
        <is>
          <t>CSV row 389 | SKP-2026-0388</t>
        </is>
      </c>
      <c r="C298" s="17" t="inlineStr">
        <is>
          <t>2026-06-04 | OFR-2026-1412</t>
        </is>
      </c>
      <c r="D298" s="17" t="inlineStr">
        <is>
          <t>WL-01982 | Jeffrey Harrison</t>
        </is>
      </c>
      <c r="E298" s="17" t="inlineStr">
        <is>
          <t>Rank 982 | current app 2023-11-26 | ACTIVE_WAITLIST</t>
        </is>
      </c>
      <c r="F298" s="17" t="inlineStr">
        <is>
          <t>GW-0305 / 80 ft | Gullwing</t>
        </is>
      </c>
      <c r="G298" s="17" t="inlineStr">
        <is>
          <t>vessel-fit | Y / OTHER_SUPPORT</t>
        </is>
      </c>
      <c r="H298" s="17" t="inlineStr">
        <is>
          <t>CSV says attachment present; underlying file not individually furnished</t>
        </is>
      </c>
      <c r="I298" s="17" t="inlineStr">
        <is>
          <t>No exception identified in screening</t>
        </is>
      </c>
      <c r="J298" s="17" t="inlineStr"/>
      <c r="K298" s="17" t="inlineStr"/>
      <c r="L298" s="17" t="inlineStr">
        <is>
          <t>No Board remedy recommended from supplied screening record; retain file for source-population reconciliation.</t>
        </is>
      </c>
    </row>
    <row r="299" outlineLevel="1">
      <c r="A299" s="17" t="inlineStr"/>
      <c r="B299" s="17" t="inlineStr">
        <is>
          <t>CSV row 382 | SKP-2026-0381</t>
        </is>
      </c>
      <c r="C299" s="17" t="inlineStr">
        <is>
          <t>2026-06-09 | OFR-2026-1398</t>
        </is>
      </c>
      <c r="D299" s="17" t="inlineStr">
        <is>
          <t>WL-01954 | Richard Smith</t>
        </is>
      </c>
      <c r="E299" s="17" t="inlineStr">
        <is>
          <t>Rank 954 | current app 2023-11-11 | RETAINER</t>
        </is>
      </c>
      <c r="F299" s="17" t="inlineStr">
        <is>
          <t>SB-0416 / 28 ft | Salmonberry</t>
        </is>
      </c>
      <c r="G299" s="17" t="inlineStr">
        <is>
          <t>preference-mismatch | Y / OTHER_SUPPORT</t>
        </is>
      </c>
      <c r="H299" s="17" t="inlineStr">
        <is>
          <t>CSV says attachment present; underlying file not individually furnished</t>
        </is>
      </c>
      <c r="I299" s="17" t="inlineStr">
        <is>
          <t>No exception identified in screening</t>
        </is>
      </c>
      <c r="J299" s="17" t="inlineStr"/>
      <c r="K299" s="17" t="inlineStr"/>
      <c r="L299" s="17" t="inlineStr">
        <is>
          <t>No Board remedy recommended from supplied screening record; retain file for source-population reconciliation.</t>
        </is>
      </c>
    </row>
    <row r="300" outlineLevel="1">
      <c r="A300" s="17" t="inlineStr"/>
      <c r="B300" s="17" t="inlineStr">
        <is>
          <t>CSV row 384 | SKP-2026-0383</t>
        </is>
      </c>
      <c r="C300" s="17" t="inlineStr">
        <is>
          <t>2026-06-20 | OFR-2026-1400</t>
        </is>
      </c>
      <c r="D300" s="17" t="inlineStr">
        <is>
          <t>WL-01256 | Andrew Glover</t>
        </is>
      </c>
      <c r="E300" s="17" t="inlineStr">
        <is>
          <t>Rank 256 | current app 2022-10-16 | ACTIVE_WAITLIST</t>
        </is>
      </c>
      <c r="F300" s="17" t="inlineStr">
        <is>
          <t>LP-1103 / 32 ft | Ledgport</t>
        </is>
      </c>
      <c r="G300" s="17" t="inlineStr">
        <is>
          <t>not-current | Y / REPAIR_ESTIMATE</t>
        </is>
      </c>
      <c r="H300" s="17" t="inlineStr">
        <is>
          <t>CSV says attachment present; underlying file not individually furnished</t>
        </is>
      </c>
      <c r="I300" s="17" t="inlineStr">
        <is>
          <t>No exception identified in screening</t>
        </is>
      </c>
      <c r="J300" s="17" t="inlineStr"/>
      <c r="K300" s="17" t="inlineStr"/>
      <c r="L300" s="17" t="inlineStr">
        <is>
          <t>No Board remedy recommended from supplied screening record; retain file for source-population reconciliation.</t>
        </is>
      </c>
    </row>
    <row r="301" outlineLevel="1">
      <c r="A301" s="17" t="inlineStr"/>
      <c r="B301" s="17" t="inlineStr">
        <is>
          <t>CSV row 381 | SKP-2026-0380</t>
        </is>
      </c>
      <c r="C301" s="17" t="inlineStr">
        <is>
          <t>2026-06-21 | OFR-2026-1391</t>
        </is>
      </c>
      <c r="D301" s="17" t="inlineStr">
        <is>
          <t>WL-03078 | Rachael Mitchell</t>
        </is>
      </c>
      <c r="E301" s="17" t="inlineStr">
        <is>
          <t>Rank 2078 | current app 2025-04-01 | ACTIVE_WAITLIST</t>
        </is>
      </c>
      <c r="F301" s="17" t="inlineStr">
        <is>
          <t>VB-0415 / 24 ft | Vessbank</t>
        </is>
      </c>
      <c r="G301" s="17" t="inlineStr">
        <is>
          <t>declined-prior-offer | Y / REPAIR_ESTIMATE</t>
        </is>
      </c>
      <c r="H301" s="17" t="inlineStr">
        <is>
          <t>CSV says attachment present; underlying file not individually furnished</t>
        </is>
      </c>
      <c r="I301" s="17" t="inlineStr">
        <is>
          <t>No exception identified in screening</t>
        </is>
      </c>
      <c r="J301" s="17" t="inlineStr"/>
      <c r="K301" s="17" t="inlineStr"/>
      <c r="L301" s="17" t="inlineStr">
        <is>
          <t>No Board remedy recommended from supplied screening record; retain file for source-population reconciliation.</t>
        </is>
      </c>
    </row>
    <row r="302" outlineLevel="1">
      <c r="A302" s="17" t="inlineStr"/>
      <c r="B302" s="17" t="inlineStr">
        <is>
          <t>CSV row 386 | SKP-2026-0385</t>
        </is>
      </c>
      <c r="C302" s="17" t="inlineStr">
        <is>
          <t>2026-06-25 | OFR-2026-1403</t>
        </is>
      </c>
      <c r="D302" s="17" t="inlineStr">
        <is>
          <t>WL-03690 | John Patel</t>
        </is>
      </c>
      <c r="E302" s="17" t="inlineStr">
        <is>
          <t>Rank 2690 | current app 2026-02-01 | ACTIVE_WAITLIST</t>
        </is>
      </c>
      <c r="F302" s="17" t="inlineStr">
        <is>
          <t>VB-0312 / 24 ft | Vessbank</t>
        </is>
      </c>
      <c r="G302" s="17" t="inlineStr">
        <is>
          <t>vessel-fit | Y / WRITTEN_STATEMENT</t>
        </is>
      </c>
      <c r="H302" s="17" t="inlineStr">
        <is>
          <t>CSV says attachment present; underlying file not individually furnished</t>
        </is>
      </c>
      <c r="I302" s="17" t="inlineStr">
        <is>
          <t>No exception identified in screening</t>
        </is>
      </c>
      <c r="J302" s="17" t="inlineStr"/>
      <c r="K302" s="17" t="inlineStr"/>
      <c r="L302" s="17" t="inlineStr">
        <is>
          <t>No Board remedy recommended from supplied screening record; retain file for source-population reconciliation.</t>
        </is>
      </c>
    </row>
    <row r="303" outlineLevel="1">
      <c r="A303" s="17" t="inlineStr"/>
      <c r="B303" s="17" t="inlineStr">
        <is>
          <t>CSV row 388 | SKP-2026-0387</t>
        </is>
      </c>
      <c r="C303" s="17" t="inlineStr">
        <is>
          <t>2026-06-25 | OFR-2026-1411</t>
        </is>
      </c>
      <c r="D303" s="17" t="inlineStr">
        <is>
          <t>WL-01843 | Donna Kim</t>
        </is>
      </c>
      <c r="E303" s="17" t="inlineStr">
        <is>
          <t>Rank 843 | current app 2023-09-21 | ACTIVE_WAITLIST</t>
        </is>
      </c>
      <c r="F303" s="17" t="inlineStr">
        <is>
          <t>VB-0402 / 36 ft | Vessbank</t>
        </is>
      </c>
      <c r="G303" s="17" t="inlineStr">
        <is>
          <t>not-current | Y / REPAIR_ESTIMATE</t>
        </is>
      </c>
      <c r="H303" s="17" t="inlineStr">
        <is>
          <t>CSV says attachment present; underlying file not individually furnished</t>
        </is>
      </c>
      <c r="I303" s="17" t="inlineStr">
        <is>
          <t>No exception identified in screening</t>
        </is>
      </c>
      <c r="J303" s="17" t="inlineStr"/>
      <c r="K303" s="17" t="inlineStr"/>
      <c r="L303" s="17" t="inlineStr">
        <is>
          <t>No Board remedy recommended from supplied screening record; retain file for source-population reconciliation.</t>
        </is>
      </c>
    </row>
    <row r="304" outlineLevel="1">
      <c r="A304" s="17" t="inlineStr"/>
      <c r="B304" s="17" t="inlineStr">
        <is>
          <t>CSV row 383 | SKP-2026-0382</t>
        </is>
      </c>
      <c r="C304" s="17" t="inlineStr">
        <is>
          <t>2026-06-28 | OFR-2026-1399</t>
        </is>
      </c>
      <c r="D304" s="17" t="inlineStr">
        <is>
          <t>WL-02098 | Rhonda James</t>
        </is>
      </c>
      <c r="E304" s="17" t="inlineStr">
        <is>
          <t>Rank 1098 | current app 2024-01-20 | EXPIRED</t>
        </is>
      </c>
      <c r="F304" s="17" t="inlineStr">
        <is>
          <t>VB-0707 / 28 ft | Vessbank</t>
        </is>
      </c>
      <c r="G304" s="17" t="inlineStr">
        <is>
          <t>vessel-fit | Y / WRITTEN_STATEMENT</t>
        </is>
      </c>
      <c r="H304" s="17" t="inlineStr">
        <is>
          <t>CSV says attachment present; underlying file not individually furnished</t>
        </is>
      </c>
      <c r="I304" s="17" t="inlineStr">
        <is>
          <t>No exception identified in screening</t>
        </is>
      </c>
      <c r="J304" s="17" t="inlineStr"/>
      <c r="K304" s="17" t="inlineStr"/>
      <c r="L304" s="17" t="inlineStr">
        <is>
          <t>No Board remedy recommended from supplied screening record; retain file for source-population reconciliation.</t>
        </is>
      </c>
    </row>
    <row r="305" outlineLevel="1">
      <c r="A305" s="17" t="inlineStr"/>
      <c r="B305" s="17" t="inlineStr">
        <is>
          <t>CSV row 393 | SKP-2026-0392</t>
        </is>
      </c>
      <c r="C305" s="17" t="inlineStr">
        <is>
          <t>2026-07-02 | OFR-2026-1432</t>
        </is>
      </c>
      <c r="D305" s="17" t="inlineStr">
        <is>
          <t>WL-03260 | Joel Thomas</t>
        </is>
      </c>
      <c r="E305" s="17" t="inlineStr">
        <is>
          <t>Rank 2260 | current app 2025-06-26 | ACTIVE_WAITLIST</t>
        </is>
      </c>
      <c r="F305" s="17" t="inlineStr">
        <is>
          <t>EW-0104 / 40 ft | Eastwey</t>
        </is>
      </c>
      <c r="G305" s="17" t="inlineStr">
        <is>
          <t>preference-mismatch | Y / OTHER_SUPPORT</t>
        </is>
      </c>
      <c r="H305" s="17" t="inlineStr">
        <is>
          <t>CSV says attachment present; underlying file not individually furnished</t>
        </is>
      </c>
      <c r="I305" s="17" t="inlineStr">
        <is>
          <t>No exception identified in screening</t>
        </is>
      </c>
      <c r="J305" s="17" t="inlineStr"/>
      <c r="K305" s="17" t="inlineStr"/>
      <c r="L305" s="17" t="inlineStr">
        <is>
          <t>No Board remedy recommended from supplied screening record; retain file for source-population reconciliation.</t>
        </is>
      </c>
    </row>
    <row r="306" outlineLevel="1">
      <c r="A306" s="17" t="inlineStr"/>
      <c r="B306" s="17" t="inlineStr">
        <is>
          <t>CSV row 395 | SKP-2026-0394</t>
        </is>
      </c>
      <c r="C306" s="17" t="inlineStr">
        <is>
          <t>2026-07-03 | OFR-2026-1441</t>
        </is>
      </c>
      <c r="D306" s="17" t="inlineStr">
        <is>
          <t>WL-03397 | Jessica Daugherty</t>
        </is>
      </c>
      <c r="E306" s="17" t="inlineStr">
        <is>
          <t>Rank 2397 | current app 2025-08-23 | ACTIVE_WAITLIST</t>
        </is>
      </c>
      <c r="F306" s="17" t="inlineStr">
        <is>
          <t>LP-0104 / 24 ft | Ledgport</t>
        </is>
      </c>
      <c r="G306" s="17" t="inlineStr">
        <is>
          <t>declined-prior-offer | Y / REPAIR_ESTIMATE</t>
        </is>
      </c>
      <c r="H306" s="17" t="inlineStr">
        <is>
          <t>CSV says attachment present; underlying file not individually furnished</t>
        </is>
      </c>
      <c r="I306" s="17" t="inlineStr">
        <is>
          <t>No exception identified in screening</t>
        </is>
      </c>
      <c r="J306" s="17" t="inlineStr"/>
      <c r="K306" s="17" t="inlineStr"/>
      <c r="L306" s="17" t="inlineStr">
        <is>
          <t>No Board remedy recommended from supplied screening record; retain file for source-population reconciliation.</t>
        </is>
      </c>
    </row>
    <row r="307" outlineLevel="1">
      <c r="A307" s="17" t="inlineStr"/>
      <c r="B307" s="17" t="inlineStr">
        <is>
          <t>CSV row 399 | SKP-2026-0398</t>
        </is>
      </c>
      <c r="C307" s="17" t="inlineStr">
        <is>
          <t>2026-07-05 | OFR-2026-1452</t>
        </is>
      </c>
      <c r="D307" s="17" t="inlineStr">
        <is>
          <t>WL-03059 | Jonathan Daniels</t>
        </is>
      </c>
      <c r="E307" s="17" t="inlineStr">
        <is>
          <t>Rank 2059 | current app 2025-03-21 | EXPIRED</t>
        </is>
      </c>
      <c r="F307" s="17" t="inlineStr">
        <is>
          <t>GW-0223 / 28 ft | Gullwing</t>
        </is>
      </c>
      <c r="G307" s="17" t="inlineStr">
        <is>
          <t>not-current | Y / WRITTEN_STATEMENT</t>
        </is>
      </c>
      <c r="H307" s="17" t="inlineStr">
        <is>
          <t>CSV says attachment present; underlying file not individually furnished</t>
        </is>
      </c>
      <c r="I307" s="17" t="inlineStr">
        <is>
          <t>No exception identified in screening</t>
        </is>
      </c>
      <c r="J307" s="17" t="inlineStr"/>
      <c r="K307" s="17" t="inlineStr"/>
      <c r="L307" s="17" t="inlineStr">
        <is>
          <t>No Board remedy recommended from supplied screening record; retain file for source-population reconciliation.</t>
        </is>
      </c>
    </row>
    <row r="308" outlineLevel="1">
      <c r="A308" s="17" t="inlineStr"/>
      <c r="B308" s="17" t="inlineStr">
        <is>
          <t>CSV row 396 | SKP-2026-0395</t>
        </is>
      </c>
      <c r="C308" s="17" t="inlineStr">
        <is>
          <t>2026-07-07 | OFR-2026-1442</t>
        </is>
      </c>
      <c r="D308" s="17" t="inlineStr">
        <is>
          <t>WL-02900 | Timothy Henderson</t>
        </is>
      </c>
      <c r="E308" s="17" t="inlineStr">
        <is>
          <t>Rank 1900 | current app 2025-01-09 | SUSPENDED</t>
        </is>
      </c>
      <c r="F308" s="17" t="inlineStr">
        <is>
          <t>GW-0415 / 24 ft | Gullwing</t>
        </is>
      </c>
      <c r="G308" s="17" t="inlineStr">
        <is>
          <t>preference-mismatch | Y / INSURANCE_DECL</t>
        </is>
      </c>
      <c r="H308" s="17" t="inlineStr">
        <is>
          <t>CSV says attachment present; underlying file not individually furnished</t>
        </is>
      </c>
      <c r="I308" s="17" t="inlineStr">
        <is>
          <t>No exception identified in screening</t>
        </is>
      </c>
      <c r="J308" s="17" t="inlineStr"/>
      <c r="K308" s="17" t="inlineStr"/>
      <c r="L308" s="17" t="inlineStr">
        <is>
          <t>No Board remedy recommended from supplied screening record; retain file for source-population reconciliation.</t>
        </is>
      </c>
    </row>
    <row r="309" outlineLevel="1">
      <c r="A309" s="17" t="inlineStr"/>
      <c r="B309" s="17" t="inlineStr">
        <is>
          <t>CSV row 394 | SKP-2026-0393</t>
        </is>
      </c>
      <c r="C309" s="17" t="inlineStr">
        <is>
          <t>2026-07-14 | OFR-2026-1436</t>
        </is>
      </c>
      <c r="D309" s="17" t="inlineStr">
        <is>
          <t>WL-02358 | Kelly Mccoy</t>
        </is>
      </c>
      <c r="E309" s="17" t="inlineStr">
        <is>
          <t>Rank 1358 | current app 2024-05-19 | ACTIVE_WAITLIST</t>
        </is>
      </c>
      <c r="F309" s="17" t="inlineStr">
        <is>
          <t>LP-1009 / 32 ft | Ledgport</t>
        </is>
      </c>
      <c r="G309" s="17" t="inlineStr">
        <is>
          <t>declined-prior-offer | Y / REPAIR_ESTIMATE</t>
        </is>
      </c>
      <c r="H309" s="17" t="inlineStr">
        <is>
          <t>CSV says attachment present; underlying file not individually furnished</t>
        </is>
      </c>
      <c r="I309" s="17" t="inlineStr">
        <is>
          <t>No exception identified in screening</t>
        </is>
      </c>
      <c r="J309" s="17" t="inlineStr"/>
      <c r="K309" s="17" t="inlineStr"/>
      <c r="L309" s="17" t="inlineStr">
        <is>
          <t>No Board remedy recommended from supplied screening record; retain file for source-population reconciliation.</t>
        </is>
      </c>
    </row>
    <row r="310" outlineLevel="1">
      <c r="A310" s="17" t="inlineStr"/>
      <c r="B310" s="17" t="inlineStr">
        <is>
          <t>CSV row 397 | SKP-2026-0396</t>
        </is>
      </c>
      <c r="C310" s="17" t="inlineStr">
        <is>
          <t>2026-07-15 | OFR-2026-1443</t>
        </is>
      </c>
      <c r="D310" s="17" t="inlineStr">
        <is>
          <t>WL-02436 | Jeffrey Allen</t>
        </is>
      </c>
      <c r="E310" s="17" t="inlineStr">
        <is>
          <t>Rank 1436 | current app 2024-06-24 | ACTIVE_WAITLIST</t>
        </is>
      </c>
      <c r="F310" s="17" t="inlineStr">
        <is>
          <t>SB-0905 / 32 ft | Salmonberry</t>
        </is>
      </c>
      <c r="G310" s="17" t="inlineStr">
        <is>
          <t>preference-mismatch | Y / REPAIR_ESTIMATE</t>
        </is>
      </c>
      <c r="H310" s="17" t="inlineStr">
        <is>
          <t>CSV says attachment present; underlying file not individually furnished</t>
        </is>
      </c>
      <c r="I310" s="17" t="inlineStr">
        <is>
          <t>No exception identified in screening</t>
        </is>
      </c>
      <c r="J310" s="17" t="inlineStr"/>
      <c r="K310" s="17" t="inlineStr"/>
      <c r="L310" s="17" t="inlineStr">
        <is>
          <t>No Board remedy recommended from supplied screening record; retain file for source-population reconciliation.</t>
        </is>
      </c>
    </row>
    <row r="311" outlineLevel="1">
      <c r="A311" s="17" t="inlineStr"/>
      <c r="B311" s="17" t="inlineStr">
        <is>
          <t>CSV row 390 | SKP-2026-0389</t>
        </is>
      </c>
      <c r="C311" s="17" t="inlineStr">
        <is>
          <t>2026-07-17 | OFR-2026-1419</t>
        </is>
      </c>
      <c r="D311" s="17" t="inlineStr">
        <is>
          <t>WL-02013 | Elizabeth Harrison</t>
        </is>
      </c>
      <c r="E311" s="17" t="inlineStr">
        <is>
          <t>Rank 1013 | current app 2023-12-11 | ACTIVE_WAITLIST</t>
        </is>
      </c>
      <c r="F311" s="17" t="inlineStr">
        <is>
          <t>SB-0902 / 24 ft | Salmonberry</t>
        </is>
      </c>
      <c r="G311" s="17" t="inlineStr">
        <is>
          <t>not-current | Y / WRITTEN_STATEMENT</t>
        </is>
      </c>
      <c r="H311" s="17" t="inlineStr">
        <is>
          <t>CSV says attachment present; underlying file not individually furnished</t>
        </is>
      </c>
      <c r="I311" s="17" t="inlineStr">
        <is>
          <t>No exception identified in screening</t>
        </is>
      </c>
      <c r="J311" s="17" t="inlineStr"/>
      <c r="K311" s="17" t="inlineStr"/>
      <c r="L311" s="17" t="inlineStr">
        <is>
          <t>No Board remedy recommended from supplied screening record; retain file for source-population reconciliation.</t>
        </is>
      </c>
    </row>
    <row r="312" outlineLevel="1">
      <c r="A312" s="17" t="inlineStr"/>
      <c r="B312" s="17" t="inlineStr">
        <is>
          <t>CSV row 392 | SKP-2026-0391</t>
        </is>
      </c>
      <c r="C312" s="17" t="inlineStr">
        <is>
          <t>2026-07-21 | OFR-2026-1429</t>
        </is>
      </c>
      <c r="D312" s="17" t="inlineStr">
        <is>
          <t>WL-03106 | Shannon Morales</t>
        </is>
      </c>
      <c r="E312" s="17" t="inlineStr">
        <is>
          <t>Rank 2106 | current app 2025-04-11 | ACTIVE_WAITLIST</t>
        </is>
      </c>
      <c r="F312" s="17" t="inlineStr">
        <is>
          <t>LP-0609 / 24 ft | Ledgport</t>
        </is>
      </c>
      <c r="G312" s="17" t="inlineStr">
        <is>
          <t>not-current | Y / REPAIR_ESTIMATE</t>
        </is>
      </c>
      <c r="H312" s="17" t="inlineStr">
        <is>
          <t>CSV says attachment present; underlying file not individually furnished</t>
        </is>
      </c>
      <c r="I312" s="17" t="inlineStr">
        <is>
          <t>No exception identified in screening</t>
        </is>
      </c>
      <c r="J312" s="17" t="inlineStr"/>
      <c r="K312" s="17" t="inlineStr"/>
      <c r="L312" s="17" t="inlineStr">
        <is>
          <t>No Board remedy recommended from supplied screening record; retain file for source-population reconciliation.</t>
        </is>
      </c>
    </row>
    <row r="313" outlineLevel="1">
      <c r="A313" s="17" t="inlineStr"/>
      <c r="B313" s="17" t="inlineStr">
        <is>
          <t>CSV row 398 | SKP-2026-0397</t>
        </is>
      </c>
      <c r="C313" s="17" t="inlineStr">
        <is>
          <t>2026-07-21 | OFR-2026-1447</t>
        </is>
      </c>
      <c r="D313" s="17" t="inlineStr">
        <is>
          <t>WL-01722 | Gregory Collins</t>
        </is>
      </c>
      <c r="E313" s="17" t="inlineStr">
        <is>
          <t>Rank 722 | current app 2023-07-20 | ACTIVE_WAITLIST</t>
        </is>
      </c>
      <c r="F313" s="17" t="inlineStr">
        <is>
          <t>VB-0404 / 28 ft | Vessbank</t>
        </is>
      </c>
      <c r="G313" s="17" t="inlineStr">
        <is>
          <t>not-current | Y / OTHER_SUPPORT</t>
        </is>
      </c>
      <c r="H313" s="17" t="inlineStr">
        <is>
          <t>CSV says attachment present; underlying file not individually furnished</t>
        </is>
      </c>
      <c r="I313" s="17" t="inlineStr">
        <is>
          <t>No exception identified in screening</t>
        </is>
      </c>
      <c r="J313" s="17" t="inlineStr"/>
      <c r="K313" s="17" t="inlineStr"/>
      <c r="L313" s="17" t="inlineStr">
        <is>
          <t>No Board remedy recommended from supplied screening record; retain file for source-population reconciliation.</t>
        </is>
      </c>
    </row>
    <row r="314" outlineLevel="1">
      <c r="A314" s="17" t="inlineStr"/>
      <c r="B314" s="17" t="inlineStr">
        <is>
          <t>CSV row 391 | SKP-2026-0390</t>
        </is>
      </c>
      <c r="C314" s="17" t="inlineStr">
        <is>
          <t>2026-07-25 | OFR-2026-1422</t>
        </is>
      </c>
      <c r="D314" s="17" t="inlineStr">
        <is>
          <t>WL-03071 | Kenneth Jones</t>
        </is>
      </c>
      <c r="E314" s="17" t="inlineStr">
        <is>
          <t>Rank 2071 | current app 2025-03-27 | ACTIVE_WAITLIST</t>
        </is>
      </c>
      <c r="F314" s="17" t="inlineStr">
        <is>
          <t>SB-0411 / 24 ft | Salmonberry</t>
        </is>
      </c>
      <c r="G314" s="17" t="inlineStr">
        <is>
          <t>vessel-fit | Y / WRITTEN_STATEMENT</t>
        </is>
      </c>
      <c r="H314" s="17" t="inlineStr">
        <is>
          <t>CSV says attachment present; underlying file not individually furnished</t>
        </is>
      </c>
      <c r="I314" s="17" t="inlineStr">
        <is>
          <t>No exception identified in screening</t>
        </is>
      </c>
      <c r="J314" s="17" t="inlineStr"/>
      <c r="K314" s="17" t="inlineStr"/>
      <c r="L314" s="17" t="inlineStr">
        <is>
          <t>No Board remedy recommended from supplied screening record; retain file for source-population reconciliation.</t>
        </is>
      </c>
    </row>
  </sheetData>
  <autoFilter ref="A5:L314"/>
  <mergeCells count="3">
    <mergeCell ref="A1:L1"/>
    <mergeCell ref="A2:L2"/>
    <mergeCell ref="A3:L3"/>
  </mergeCells>
  <conditionalFormatting sqref="I6:I314">
    <cfRule type="expression" priority="1" dxfId="0">
      <formula>ISNUMBER(SEARCH("No exception",I6))</formula>
    </cfRule>
  </conditionalFormatting>
  <pageMargins left="0.75" right="0.75" top="1" bottom="1" header="0.5" footer="0.5"/>
  <pageSetup orientation="landscape" paperSize="5" fitToHeight="0" fitToWidth="1"/>
  <headerFooter>
    <oddHeader/>
    <oddFooter>&amp;CQueue Exceptions | Page &amp;P of &amp;N&amp;RPrepared 2026-08-01</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P23"/>
  <sheetViews>
    <sheetView showGridLines="0" workbookViewId="0">
      <pane ySplit="14" topLeftCell="A15" activePane="bottomLeft" state="frozen"/>
      <selection pane="bottomLeft" activeCell="A1" sqref="A1"/>
    </sheetView>
  </sheetViews>
  <sheetFormatPr baseColWidth="8" defaultRowHeight="15"/>
  <cols>
    <col width="14" customWidth="1" min="1" max="1"/>
    <col width="12" customWidth="1" min="2" max="2"/>
    <col width="16" customWidth="1" min="3" max="3"/>
    <col width="27" customWidth="1" min="4" max="4"/>
    <col width="12" customWidth="1" min="5" max="5"/>
    <col width="13" customWidth="1" min="6" max="6"/>
    <col width="15" customWidth="1" min="7" max="7"/>
    <col width="15" customWidth="1" min="8" max="8"/>
    <col width="14" customWidth="1" min="9" max="9"/>
    <col width="14" customWidth="1" min="10" max="10"/>
    <col width="16" customWidth="1" min="11" max="11"/>
    <col width="16" customWidth="1" min="12" max="12"/>
    <col width="16" customWidth="1" min="13" max="13"/>
    <col width="14" customWidth="1" min="14" max="14"/>
    <col width="14" customWidth="1" min="15" max="15"/>
    <col width="14" customWidth="1" min="16" max="16"/>
  </cols>
  <sheetData>
    <row r="1" ht="34" customHeight="1">
      <c r="A1" s="1" t="inlineStr">
        <is>
          <t>Billing Reconciliations</t>
        </is>
      </c>
    </row>
    <row r="2" ht="30" customHeight="1">
      <c r="A2" s="2" t="inlineStr">
        <is>
          <t>Rates effective 2022-08-01: $10.40/foot-month covered; $7.55/foot-month open. Billable feet are the greater of posted slip length and check-in LOA rounded up. Positive variance means overbilling.</t>
        </is>
      </c>
    </row>
    <row r="3">
      <c r="A3" s="20" t="inlineStr">
        <is>
          <t>Authority: Resolution 2022-06 ss.1.1-2.1 and Tariff Resolution 2019-14 ss.1.4, 2.4, 7.3. Charges shown pre-tax.</t>
        </is>
      </c>
    </row>
    <row r="5">
      <c r="A5" s="21" t="inlineStr">
        <is>
          <t>August 2026 population control</t>
        </is>
      </c>
    </row>
    <row r="6" ht="31" customHeight="1">
      <c r="A6" s="5" t="inlineStr">
        <is>
          <t>Basin</t>
        </is>
      </c>
      <c r="B6" s="5" t="inlineStr">
        <is>
          <t>Occupied Inventory</t>
        </is>
      </c>
      <c r="C6" s="5" t="inlineStr">
        <is>
          <t>August Moorage Accounts</t>
        </is>
      </c>
      <c r="D6" s="5" t="inlineStr">
        <is>
          <t>Difference</t>
        </is>
      </c>
      <c r="E6" s="5" t="inlineStr">
        <is>
          <t>Control Result</t>
        </is>
      </c>
      <c r="F6" s="22" t="n"/>
    </row>
    <row r="7">
      <c r="A7" s="23" t="inlineStr">
        <is>
          <t>Ledgport</t>
        </is>
      </c>
      <c r="B7" s="23" t="n">
        <v>241</v>
      </c>
      <c r="C7" s="23" t="n">
        <v>241</v>
      </c>
      <c r="D7" s="23">
        <f>B7-C7</f>
        <v/>
      </c>
      <c r="E7" s="23">
        <f>IF(D7=0,"Reconciled","Gap; dollar variance unavailable")</f>
        <v/>
      </c>
    </row>
    <row r="8">
      <c r="A8" s="23" t="inlineStr">
        <is>
          <t>Vessbank</t>
        </is>
      </c>
      <c r="B8" s="23" t="n">
        <v>227</v>
      </c>
      <c r="C8" s="23" t="n">
        <v>227</v>
      </c>
      <c r="D8" s="23">
        <f>B8-C8</f>
        <v/>
      </c>
      <c r="E8" s="23">
        <f>IF(D8=0,"Reconciled","Gap; dollar variance unavailable")</f>
        <v/>
      </c>
    </row>
    <row r="9">
      <c r="A9" s="23" t="inlineStr">
        <is>
          <t>Eastwey</t>
        </is>
      </c>
      <c r="B9" s="23" t="n">
        <v>215</v>
      </c>
      <c r="C9" s="23" t="n">
        <v>215</v>
      </c>
      <c r="D9" s="23">
        <f>B9-C9</f>
        <v/>
      </c>
      <c r="E9" s="23">
        <f>IF(D9=0,"Reconciled","Gap; dollar variance unavailable")</f>
        <v/>
      </c>
    </row>
    <row r="10">
      <c r="A10" s="23" t="inlineStr">
        <is>
          <t>Gullwing</t>
        </is>
      </c>
      <c r="B10" s="23" t="n">
        <v>213</v>
      </c>
      <c r="C10" s="23" t="n">
        <v>86</v>
      </c>
      <c r="D10" s="23">
        <f>B10-C10</f>
        <v/>
      </c>
      <c r="E10" s="23">
        <f>IF(D10=0,"Reconciled","Gap; dollar variance unavailable")</f>
        <v/>
      </c>
    </row>
    <row r="11">
      <c r="A11" s="23" t="inlineStr">
        <is>
          <t>Salmonberry</t>
        </is>
      </c>
      <c r="B11" s="23" t="n">
        <v>190</v>
      </c>
      <c r="C11" s="23" t="n">
        <v>0</v>
      </c>
      <c r="D11" s="23">
        <f>B11-C11</f>
        <v/>
      </c>
      <c r="E11" s="23">
        <f>IF(D11=0,"Reconciled","Gap; dollar variance unavailable")</f>
        <v/>
      </c>
    </row>
    <row r="12">
      <c r="A12" s="24" t="inlineStr">
        <is>
          <t>Formula total</t>
        </is>
      </c>
      <c r="B12" s="25">
        <f>SUM(B7:B11)</f>
        <v/>
      </c>
      <c r="C12" s="25">
        <f>SUM(C7:C11)</f>
        <v/>
      </c>
      <c r="D12" s="25">
        <f>SUM(D7:D11)</f>
        <v/>
      </c>
      <c r="E12" s="24">
        <f>IF(D12=0,"Reconciled","Source files required")</f>
        <v/>
      </c>
    </row>
    <row r="14">
      <c r="A14" s="21" t="inlineStr">
        <is>
          <t>Confirmed customer-level discrepancy</t>
        </is>
      </c>
    </row>
    <row r="15" ht="31" customHeight="1">
      <c r="A15" s="5" t="inlineStr">
        <is>
          <t>Exception ID</t>
        </is>
      </c>
      <c r="B15" s="5" t="inlineStr">
        <is>
          <t>Slip</t>
        </is>
      </c>
      <c r="C15" s="5" t="inlineStr">
        <is>
          <t>Account</t>
        </is>
      </c>
      <c r="D15" s="5" t="inlineStr">
        <is>
          <t>Governing Customer Record</t>
        </is>
      </c>
      <c r="E15" s="5" t="inlineStr">
        <is>
          <t>Class</t>
        </is>
      </c>
      <c r="F15" s="5" t="inlineStr">
        <is>
          <t>Nominal Slip Ft</t>
        </is>
      </c>
      <c r="G15" s="5" t="inlineStr">
        <is>
          <t>Certified Check-in LOA</t>
        </is>
      </c>
      <c r="H15" s="5" t="inlineStr">
        <is>
          <t>Correct Billable Ft</t>
        </is>
      </c>
      <c r="I15" s="5" t="inlineStr">
        <is>
          <t>Observed Billed Ft</t>
        </is>
      </c>
      <c r="J15" s="5" t="inlineStr">
        <is>
          <t>Rate / Ft-Month</t>
        </is>
      </c>
      <c r="K15" s="5" t="inlineStr">
        <is>
          <t>Observed Monthly Charge</t>
        </is>
      </c>
      <c r="L15" s="5" t="inlineStr">
        <is>
          <t>Correct Monthly Charge</t>
        </is>
      </c>
      <c r="M15" s="5" t="inlineStr">
        <is>
          <t>Monthly Variance</t>
        </is>
      </c>
      <c r="N15" s="5" t="inlineStr">
        <is>
          <t>First Affected Month</t>
        </is>
      </c>
      <c r="O15" s="5" t="inlineStr">
        <is>
          <t>Through Month</t>
        </is>
      </c>
      <c r="P15" s="5" t="inlineStr">
        <is>
          <t>Affected Months</t>
        </is>
      </c>
    </row>
    <row r="16">
      <c r="A16" s="23" t="inlineStr">
        <is>
          <t>BR-001</t>
        </is>
      </c>
      <c r="B16" s="23" t="inlineStr">
        <is>
          <t>VB-0208</t>
        </is>
      </c>
      <c r="C16" s="23" t="inlineStr">
        <is>
          <t>AC-VB-0208</t>
        </is>
      </c>
      <c r="D16" s="23" t="inlineStr">
        <is>
          <t>Laura T. Beesley / MARBLE WING</t>
        </is>
      </c>
      <c r="E16" s="23" t="inlineStr">
        <is>
          <t>Covered</t>
        </is>
      </c>
      <c r="F16" s="23" t="n">
        <v>32</v>
      </c>
      <c r="G16" s="23" t="n">
        <v>31.4</v>
      </c>
      <c r="H16" s="23">
        <f>MAX(F16,ROUNDUP(G16,0))</f>
        <v/>
      </c>
      <c r="I16" s="23" t="n">
        <v>40</v>
      </c>
      <c r="J16" s="26" t="n">
        <v>10.4</v>
      </c>
      <c r="K16" s="26">
        <f>I16*J16</f>
        <v/>
      </c>
      <c r="L16" s="26">
        <f>H16*J16</f>
        <v/>
      </c>
      <c r="M16" s="26">
        <f>K16-L16</f>
        <v/>
      </c>
      <c r="N16" s="27" t="n">
        <v>45566</v>
      </c>
      <c r="O16" s="27" t="n">
        <v>46235</v>
      </c>
      <c r="P16" s="23">
        <f>(YEAR(O16)-YEAR(N16))*12+MONTH(O16)-MONTH(N16)+1</f>
        <v/>
      </c>
    </row>
    <row r="17">
      <c r="A17" s="28" t="inlineStr">
        <is>
          <t>Formula total</t>
        </is>
      </c>
      <c r="B17" s="28" t="n"/>
      <c r="C17" s="28" t="n"/>
      <c r="D17" s="28" t="n"/>
      <c r="E17" s="28" t="n"/>
      <c r="F17" s="28" t="n"/>
      <c r="G17" s="28" t="n"/>
      <c r="H17" s="28" t="n"/>
      <c r="I17" s="28" t="n"/>
      <c r="J17" s="28" t="n"/>
      <c r="K17" s="28" t="n"/>
      <c r="L17" s="28">
        <f>SUM(L16:L16)</f>
        <v/>
      </c>
      <c r="M17" s="28">
        <f>SUM(M16:M16)</f>
        <v/>
      </c>
      <c r="N17" s="28" t="n"/>
      <c r="O17" s="28" t="n"/>
      <c r="P17" s="28">
        <f>SUM(P16:P16)</f>
        <v/>
      </c>
    </row>
    <row r="18">
      <c r="L18" s="29" t="inlineStr">
        <is>
          <t>Cumulative pre-tax variance</t>
        </is>
      </c>
      <c r="M18" s="30">
        <f>M16*P16</f>
        <v/>
      </c>
    </row>
    <row r="19">
      <c r="A19" s="31" t="inlineStr">
        <is>
          <t>Open-basin result</t>
        </is>
      </c>
      <c r="B19" s="32">
        <f>IF(COUNTIFS(E16:E16,"Open",M16:M16,"&lt;&gt;0")=0,"No confirmed open-basin rate or length exceptions in the observed August billing population.","See discrepancy rows.")</f>
        <v/>
      </c>
    </row>
    <row r="21" ht="42" customHeight="1">
      <c r="A21" s="16" t="inlineStr">
        <is>
          <t>Source and authority: billing_transactions_2022_2026.csv rows 21665, 22756, 23876, 24962, 26053, 27178, 28293, 29384, 30487, 31593, 32728, 33852, 34970, 36117, 37221, 38345, 39453, 40569, 41691, 42805, 43884, 44987, 46091; 2024-09-09_moorage_agreement_VB-0208.pdf p.1; 2024-06-03_measurement_certificate_WL-01893.pdf p.1.</t>
        </is>
      </c>
    </row>
    <row r="22" ht="30" customHeight="1">
      <c r="A22" s="16" t="inlineStr">
        <is>
          <t>Record conflict: slip_inventory_2026-08.csv row 293 reports VB-0208 as 40 ft and Cameron Foster/WL-03499. The signed agreement identifies a 32-ft covered slip and Laura Beesley; the certificate matches Laura, vessel, HIN, and 31.4-ft LOA. The specific signed records govern absent a later executed reassignment.</t>
        </is>
      </c>
    </row>
    <row r="23" ht="30" customHeight="1">
      <c r="A23" s="16" t="inlineStr">
        <is>
          <t>Population limitation: 317 occupied Gullwing/Salmonberry slips lack an August MONTHLY_MOORAGE row (formula control above). No customer-level dollar variance is stated because the complete billing run, agreements, and check-in measurements were not furnished.</t>
        </is>
      </c>
    </row>
  </sheetData>
  <mergeCells count="14">
    <mergeCell ref="A1:P1"/>
    <mergeCell ref="A2:P2"/>
    <mergeCell ref="A3:P3"/>
    <mergeCell ref="E6:F6"/>
    <mergeCell ref="E7:F7"/>
    <mergeCell ref="E8:F8"/>
    <mergeCell ref="E9:F9"/>
    <mergeCell ref="E10:F10"/>
    <mergeCell ref="E11:F11"/>
    <mergeCell ref="E12:F12"/>
    <mergeCell ref="B19:P19"/>
    <mergeCell ref="A21:P21"/>
    <mergeCell ref="A22:P22"/>
    <mergeCell ref="A23:P23"/>
  </mergeCells>
  <conditionalFormatting sqref="M16">
    <cfRule type="cellIs" priority="1" operator="greaterThan" dxfId="1">
      <formula>0</formula>
    </cfRule>
  </conditionalFormatting>
  <pageMargins left="0.75" right="0.75" top="1" bottom="1" header="0.5" footer="0.5"/>
  <pageSetup orientation="landscape" paperSize="5" fitToHeight="1" fitToWidth="1"/>
  <headerFooter>
    <oddHeader/>
    <oddFooter>&amp;CBilling Reconciliations | Page &amp;P of &amp;N&amp;RPrepared 2026-08-01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P15"/>
  <sheetViews>
    <sheetView showGridLines="0" workbookViewId="0">
      <pane ySplit="5" topLeftCell="A6" activePane="bottomLeft" state="frozen"/>
      <selection pane="bottomLeft" activeCell="A1" sqref="A1"/>
    </sheetView>
  </sheetViews>
  <sheetFormatPr baseColWidth="8" defaultRowHeight="15"/>
  <cols>
    <col width="16" customWidth="1" min="1" max="1"/>
    <col width="20" customWidth="1" min="2" max="2"/>
    <col width="13" customWidth="1" min="3" max="3"/>
    <col width="12" customWidth="1" min="4" max="4"/>
    <col width="13" customWidth="1" min="5" max="5"/>
    <col width="19" customWidth="1" min="6" max="6"/>
    <col width="12" customWidth="1" min="7" max="7"/>
    <col width="12" customWidth="1" min="8" max="8"/>
    <col width="12" customWidth="1" min="9" max="9"/>
    <col width="12" customWidth="1" min="10" max="10"/>
    <col width="12" customWidth="1" min="11" max="11"/>
    <col width="13" customWidth="1" min="12" max="12"/>
    <col width="13" customWidth="1" min="13" max="13"/>
    <col width="15" customWidth="1" min="14" max="14"/>
    <col width="11" customWidth="1" min="15" max="15"/>
    <col width="12" customWidth="1" min="16" max="16"/>
  </cols>
  <sheetData>
    <row r="1" ht="34" customHeight="1">
      <c r="A1" s="1" t="inlineStr">
        <is>
          <t>Aging</t>
        </is>
      </c>
    </row>
    <row r="2" ht="30" customHeight="1">
      <c r="A2" s="2" t="inlineStr">
        <is>
          <t>Active slips with balances more than 90 days delinquent as of 2026-08-01. Basis: 91-120 plus 120+ buckets in the 2026-07-31 aging ledger. Formula totals are pre-tax ledger balances.</t>
        </is>
      </c>
    </row>
    <row r="3">
      <c r="A3" s="20" t="inlineStr">
        <is>
          <t>The July aging ledger governs this point-in-time test. Six accounts qualify; all are occupied Ledgport slips. No qualifying open-basin account appears in the supplied ledger.</t>
        </is>
      </c>
    </row>
    <row r="5" ht="31" customHeight="1">
      <c r="A5" s="5" t="inlineStr">
        <is>
          <t>Account</t>
        </is>
      </c>
      <c r="B5" s="5" t="inlineStr">
        <is>
          <t>Customer</t>
        </is>
      </c>
      <c r="C5" s="5" t="inlineStr">
        <is>
          <t>Applicant ID</t>
        </is>
      </c>
      <c r="D5" s="5" t="inlineStr">
        <is>
          <t>Slip</t>
        </is>
      </c>
      <c r="E5" s="5" t="inlineStr">
        <is>
          <t>Basin</t>
        </is>
      </c>
      <c r="F5" s="5" t="inlineStr">
        <is>
          <t>Rate Class</t>
        </is>
      </c>
      <c r="G5" s="5" t="inlineStr">
        <is>
          <t>Current</t>
        </is>
      </c>
      <c r="H5" s="5" t="inlineStr">
        <is>
          <t>31-60</t>
        </is>
      </c>
      <c r="I5" s="5" t="inlineStr">
        <is>
          <t>61-90</t>
        </is>
      </c>
      <c r="J5" s="5" t="inlineStr">
        <is>
          <t>91-120</t>
        </is>
      </c>
      <c r="K5" s="5" t="inlineStr">
        <is>
          <t>120+</t>
        </is>
      </c>
      <c r="L5" s="5" t="inlineStr">
        <is>
          <t>Over 90</t>
        </is>
      </c>
      <c r="M5" s="5" t="inlineStr">
        <is>
          <t>Total Due</t>
        </is>
      </c>
      <c r="N5" s="5" t="inlineStr">
        <is>
          <t>Ledger Status</t>
        </is>
      </c>
      <c r="O5" s="5" t="inlineStr">
        <is>
          <t>Aging Row</t>
        </is>
      </c>
      <c r="P5" s="5" t="inlineStr">
        <is>
          <t>Inventory Row</t>
        </is>
      </c>
    </row>
    <row r="6">
      <c r="A6" s="23" t="inlineStr">
        <is>
          <t>AC-LP-0122</t>
        </is>
      </c>
      <c r="B6" s="23" t="inlineStr">
        <is>
          <t>Paula Arroyo</t>
        </is>
      </c>
      <c r="C6" s="23" t="inlineStr">
        <is>
          <t>WL-01974</t>
        </is>
      </c>
      <c r="D6" s="23" t="inlineStr">
        <is>
          <t>LP-0122</t>
        </is>
      </c>
      <c r="E6" s="23" t="inlineStr">
        <is>
          <t>Ledgport</t>
        </is>
      </c>
      <c r="F6" s="23" t="inlineStr">
        <is>
          <t>NON_COMM_MONTHLY</t>
        </is>
      </c>
      <c r="G6" s="33" t="n">
        <v>509.6</v>
      </c>
      <c r="H6" s="33" t="n">
        <v>509.6</v>
      </c>
      <c r="I6" s="33" t="n">
        <v>509.6</v>
      </c>
      <c r="J6" s="33" t="n">
        <v>509.6</v>
      </c>
      <c r="K6" s="33" t="n">
        <v>0</v>
      </c>
      <c r="L6" s="33">
        <f>SUM(J6:K6)</f>
        <v/>
      </c>
      <c r="M6" s="33">
        <f>SUM(G6:K6)</f>
        <v/>
      </c>
      <c r="N6" s="34" t="inlineStr">
        <is>
          <t>COLLECTIONS</t>
        </is>
      </c>
      <c r="O6" s="23" t="n">
        <v>23</v>
      </c>
      <c r="P6" s="23" t="n">
        <v>23</v>
      </c>
    </row>
    <row r="7">
      <c r="A7" s="23" t="inlineStr">
        <is>
          <t>AC-LP-0402</t>
        </is>
      </c>
      <c r="B7" s="23" t="inlineStr">
        <is>
          <t>Dawn Brown</t>
        </is>
      </c>
      <c r="C7" s="23" t="inlineStr">
        <is>
          <t>WL-01188</t>
        </is>
      </c>
      <c r="D7" s="23" t="inlineStr">
        <is>
          <t>LP-0402</t>
        </is>
      </c>
      <c r="E7" s="23" t="inlineStr">
        <is>
          <t>Ledgport</t>
        </is>
      </c>
      <c r="F7" s="23" t="inlineStr">
        <is>
          <t>NON_COMM_MONTHLY</t>
        </is>
      </c>
      <c r="G7" s="33" t="n">
        <v>384.8</v>
      </c>
      <c r="H7" s="33" t="n">
        <v>384.8</v>
      </c>
      <c r="I7" s="33" t="n">
        <v>384.8</v>
      </c>
      <c r="J7" s="33" t="n">
        <v>384.8</v>
      </c>
      <c r="K7" s="33" t="n">
        <v>0</v>
      </c>
      <c r="L7" s="33">
        <f>SUM(J7:K7)</f>
        <v/>
      </c>
      <c r="M7" s="33">
        <f>SUM(G7:K7)</f>
        <v/>
      </c>
      <c r="N7" s="34" t="inlineStr">
        <is>
          <t>COLLECTIONS</t>
        </is>
      </c>
      <c r="O7" s="23" t="n">
        <v>68</v>
      </c>
      <c r="P7" s="23" t="n">
        <v>75</v>
      </c>
    </row>
    <row r="8">
      <c r="A8" s="23" t="inlineStr">
        <is>
          <t>AC-LP-0602</t>
        </is>
      </c>
      <c r="B8" s="23" t="inlineStr">
        <is>
          <t>Lee Maldonado</t>
        </is>
      </c>
      <c r="C8" s="23" t="inlineStr">
        <is>
          <t>WL-01342</t>
        </is>
      </c>
      <c r="D8" s="23" t="inlineStr">
        <is>
          <t>LP-0602</t>
        </is>
      </c>
      <c r="E8" s="23" t="inlineStr">
        <is>
          <t>Ledgport</t>
        </is>
      </c>
      <c r="F8" s="23" t="inlineStr">
        <is>
          <t>NON_COMM_MONTHLY</t>
        </is>
      </c>
      <c r="G8" s="33" t="n">
        <v>603.2</v>
      </c>
      <c r="H8" s="33" t="n">
        <v>603.2</v>
      </c>
      <c r="I8" s="33" t="n">
        <v>603.2</v>
      </c>
      <c r="J8" s="33" t="n">
        <v>603.2</v>
      </c>
      <c r="K8" s="33" t="n">
        <v>603.2</v>
      </c>
      <c r="L8" s="33">
        <f>SUM(J8:K8)</f>
        <v/>
      </c>
      <c r="M8" s="33">
        <f>SUM(G8:K8)</f>
        <v/>
      </c>
      <c r="N8" s="34" t="inlineStr">
        <is>
          <t>COLLECTIONS</t>
        </is>
      </c>
      <c r="O8" s="23" t="n">
        <v>113</v>
      </c>
      <c r="P8" s="23" t="n">
        <v>123</v>
      </c>
    </row>
    <row r="9">
      <c r="A9" s="23" t="inlineStr">
        <is>
          <t>AC-LP-0605</t>
        </is>
      </c>
      <c r="B9" s="23" t="inlineStr">
        <is>
          <t>Andrew Anderson</t>
        </is>
      </c>
      <c r="C9" s="23" t="inlineStr">
        <is>
          <t>WL-01747</t>
        </is>
      </c>
      <c r="D9" s="23" t="inlineStr">
        <is>
          <t>LP-0605</t>
        </is>
      </c>
      <c r="E9" s="23" t="inlineStr">
        <is>
          <t>Ledgport</t>
        </is>
      </c>
      <c r="F9" s="23" t="inlineStr">
        <is>
          <t>NON_COMM_MONTHLY</t>
        </is>
      </c>
      <c r="G9" s="33" t="n">
        <v>530.4</v>
      </c>
      <c r="H9" s="33" t="n">
        <v>530.4</v>
      </c>
      <c r="I9" s="33" t="n">
        <v>530.4</v>
      </c>
      <c r="J9" s="33" t="n">
        <v>530.4</v>
      </c>
      <c r="K9" s="33" t="n">
        <v>0</v>
      </c>
      <c r="L9" s="33">
        <f>SUM(J9:K9)</f>
        <v/>
      </c>
      <c r="M9" s="33">
        <f>SUM(G9:K9)</f>
        <v/>
      </c>
      <c r="N9" s="34" t="inlineStr">
        <is>
          <t>COLLECTIONS</t>
        </is>
      </c>
      <c r="O9" s="23" t="n">
        <v>116</v>
      </c>
      <c r="P9" s="23" t="n">
        <v>126</v>
      </c>
    </row>
    <row r="10">
      <c r="A10" s="23" t="inlineStr">
        <is>
          <t>AC-LP-0713</t>
        </is>
      </c>
      <c r="B10" s="23" t="inlineStr">
        <is>
          <t>Stacey Mitchell</t>
        </is>
      </c>
      <c r="C10" s="23" t="inlineStr">
        <is>
          <t>WL-03438</t>
        </is>
      </c>
      <c r="D10" s="23" t="inlineStr">
        <is>
          <t>LP-0713</t>
        </is>
      </c>
      <c r="E10" s="23" t="inlineStr">
        <is>
          <t>Ledgport</t>
        </is>
      </c>
      <c r="F10" s="23" t="inlineStr">
        <is>
          <t>NON_COMM_MONTHLY</t>
        </is>
      </c>
      <c r="G10" s="33" t="n">
        <v>416</v>
      </c>
      <c r="H10" s="33" t="n">
        <v>416</v>
      </c>
      <c r="I10" s="33" t="n">
        <v>416</v>
      </c>
      <c r="J10" s="33" t="n">
        <v>416</v>
      </c>
      <c r="K10" s="33" t="n">
        <v>832</v>
      </c>
      <c r="L10" s="33">
        <f>SUM(J10:K10)</f>
        <v/>
      </c>
      <c r="M10" s="33">
        <f>SUM(G10:K10)</f>
        <v/>
      </c>
      <c r="N10" s="34" t="inlineStr">
        <is>
          <t>COLLECTIONS</t>
        </is>
      </c>
      <c r="O10" s="23" t="n">
        <v>147</v>
      </c>
      <c r="P10" s="23" t="n">
        <v>158</v>
      </c>
    </row>
    <row r="11">
      <c r="A11" s="23" t="inlineStr">
        <is>
          <t>AC-LP-0801</t>
        </is>
      </c>
      <c r="B11" s="23" t="inlineStr">
        <is>
          <t>Allison Nguyen</t>
        </is>
      </c>
      <c r="C11" s="23" t="inlineStr">
        <is>
          <t>WL-02322</t>
        </is>
      </c>
      <c r="D11" s="23" t="inlineStr">
        <is>
          <t>LP-0801</t>
        </is>
      </c>
      <c r="E11" s="23" t="inlineStr">
        <is>
          <t>Ledgport</t>
        </is>
      </c>
      <c r="F11" s="23" t="inlineStr">
        <is>
          <t>NON_COMM_MONTHLY</t>
        </is>
      </c>
      <c r="G11" s="33" t="n">
        <v>488.8</v>
      </c>
      <c r="H11" s="33" t="n">
        <v>488.8</v>
      </c>
      <c r="I11" s="33" t="n">
        <v>488.8</v>
      </c>
      <c r="J11" s="33" t="n">
        <v>488.8</v>
      </c>
      <c r="K11" s="33" t="n">
        <v>0</v>
      </c>
      <c r="L11" s="33">
        <f>SUM(J11:K11)</f>
        <v/>
      </c>
      <c r="M11" s="33">
        <f>SUM(G11:K11)</f>
        <v/>
      </c>
      <c r="N11" s="34" t="inlineStr">
        <is>
          <t>COLLECTIONS</t>
        </is>
      </c>
      <c r="O11" s="23" t="n">
        <v>158</v>
      </c>
      <c r="P11" s="23" t="n">
        <v>170</v>
      </c>
    </row>
    <row r="12">
      <c r="A12" s="28" t="inlineStr">
        <is>
          <t>Formula total</t>
        </is>
      </c>
      <c r="B12" s="28" t="n"/>
      <c r="C12" s="28" t="n"/>
      <c r="D12" s="28" t="n"/>
      <c r="E12" s="28" t="n"/>
      <c r="F12" s="28" t="n"/>
      <c r="G12" s="35">
        <f>SUM(G6:G11)</f>
        <v/>
      </c>
      <c r="H12" s="35">
        <f>SUM(H6:H11)</f>
        <v/>
      </c>
      <c r="I12" s="35">
        <f>SUM(I6:I11)</f>
        <v/>
      </c>
      <c r="J12" s="35">
        <f>SUM(J6:J11)</f>
        <v/>
      </c>
      <c r="K12" s="35">
        <f>SUM(K6:K11)</f>
        <v/>
      </c>
      <c r="L12" s="35">
        <f>SUM(L6:L11)</f>
        <v/>
      </c>
      <c r="M12" s="35">
        <f>SUM(M6:M11)</f>
        <v/>
      </c>
      <c r="N12" s="28" t="n"/>
      <c r="O12" s="28" t="n"/>
      <c r="P12" s="28" t="n"/>
    </row>
    <row r="14">
      <c r="A14" s="36" t="inlineStr">
        <is>
          <t>Sources: ar_aging_2026-07-31.xlsx, AR_Aging rows shown; slip_inventory_2026-08.csv rows shown. The billing transaction export marks July invoices paid, but the specifically requested July 31 aging ledger is the controlling receivables record.</t>
        </is>
      </c>
    </row>
    <row r="15">
      <c r="A15" s="37" t="inlineStr">
        <is>
          <t>Coverage limitation: the supplied aging ledger has 260 accounts, compared with 1,086 occupied inventory slips. These are all qualifying accounts in that ledger, not proof that no other District account is over 90 days.</t>
        </is>
      </c>
    </row>
  </sheetData>
  <mergeCells count="5">
    <mergeCell ref="A1:P1"/>
    <mergeCell ref="A2:P2"/>
    <mergeCell ref="A3:P3"/>
    <mergeCell ref="A14:P14"/>
    <mergeCell ref="A15:P15"/>
  </mergeCells>
  <pageMargins left="0.75" right="0.75" top="1" bottom="1" header="0.5" footer="0.5"/>
  <pageSetup orientation="landscape" paperSize="5" fitToHeight="1" fitToWidth="1"/>
  <headerFooter>
    <oddHeader/>
    <oddFooter>&amp;CAging | Page &amp;P of &amp;N&amp;RPrepared 2026-08-01</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2026-09-13T21:27:23Z</dcterms:created>
  <dcterms:modified xmlns:dcterms="http://purl.org/dc/terms/" xmlns:xsi="http://www.w3.org/2001/XMLSchema-instance" xsi:type="dcterms:W3CDTF">2026-09-13T21:27:23Z</dcterms:modified>
</cp:coreProperties>
</file>