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Queue Exceptions" sheetId="2" state="visible" r:id="rId4"/>
    <sheet name="Billing Reconciliations" sheetId="3" state="visible" r:id="rId5"/>
    <sheet name="Aging" sheetId="4" state="visible" r:id="rId6"/>
  </sheets>
  <definedNames>
    <definedName function="false" hidden="false" localSheetId="3" name="_xlnm.Print_Area" vbProcedure="false">Aging!$A$1:$Q$12</definedName>
    <definedName function="false" hidden="false" localSheetId="2" name="_xlnm.Print_Area" vbProcedure="false">'Billing Reconciliations'!$A$1:$F$14</definedName>
    <definedName function="false" hidden="false" localSheetId="1" name="_xlnm.Print_Area" vbProcedure="false">'Queue Exceptions'!$A$1:$J$29</definedName>
    <definedName function="false" hidden="false" localSheetId="0" name="_xlnm.Print_Area" vbProcedure="false">Summary!$A$1:$H$27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<sst xmlns="http://schemas.openxmlformats.org/spreadsheetml/2006/main" count="16460" uniqueCount="7086">
  <si>
    <t xml:space="preserve">MOORAGE AUDIT | BOARD REVIEW</t>
  </si>
  <si>
    <t xml:space="preserve">Prepared for Administrator Ginny Marina | As of August 1, 2026 | Skip period January 1, 2023 - July 31, 2026</t>
  </si>
  <si>
    <t xml:space="preserve">QUEUE EXCEPTIONS</t>
  </si>
  <si>
    <t xml:space="preserve">CONFIRMED LEAKAGE</t>
  </si>
  <si>
    <t xml:space="preserve">HOLDERS &gt;90 DAYS</t>
  </si>
  <si>
    <t xml:space="preserve">OVER-90 BALANCE</t>
  </si>
  <si>
    <t xml:space="preserve">AUDIT RESULTS</t>
  </si>
  <si>
    <t xml:space="preserve">Area</t>
  </si>
  <si>
    <t xml:space="preserve">Population</t>
  </si>
  <si>
    <t xml:space="preserve">Exceptions / gap</t>
  </si>
  <si>
    <t xml:space="preserve">Financial basis</t>
  </si>
  <si>
    <t xml:space="preserve">Status</t>
  </si>
  <si>
    <t xml:space="preserve">Board interpretation</t>
  </si>
  <si>
    <t xml:space="preserve">Queue skips</t>
  </si>
  <si>
    <t xml:space="preserve">N/A</t>
  </si>
  <si>
    <t xml:space="preserve">Dedicated skip register governs; offer export contains five fewer scoped events.</t>
  </si>
  <si>
    <t xml:space="preserve">Length amendments</t>
  </si>
  <si>
    <t xml:space="preserve">12 unsupported entries, but no scoped skip use</t>
  </si>
  <si>
    <t xml:space="preserve">Resolution 2022-06 s.4.3 was applied prospectively from August 1, 2022.</t>
  </si>
  <si>
    <t xml:space="preserve">July monthly billings</t>
  </si>
  <si>
    <t xml:space="preserve">Tested rows reprice at tariff rates using greater of rounded LOA or posted slip length.</t>
  </si>
  <si>
    <t xml:space="preserve">Billing coverage</t>
  </si>
  <si>
    <t xml:space="preserve">Occupied slips without a July monthly row are not called leakage; term/prepayment evidence is required.</t>
  </si>
  <si>
    <t xml:space="preserve">Aging &gt;90 days</t>
  </si>
  <si>
    <t xml:space="preserve">Six active holders have 91+ day balances; two include 120+ day amounts.</t>
  </si>
  <si>
    <t xml:space="preserve">GOVERNING BASIS AND SOURCE HIERARCHY</t>
  </si>
  <si>
    <t xml:space="preserve">1. Skip population: skip_events_2022_2026.csv governs because Standing Order 15-3 s.5.1 names the skip event register as a District record. offer_events_2022_2026.csv is the cross-check.</t>
  </si>
  <si>
    <t xml:space="preserve">2. Skip evidence: Standing Order 15-3 ss.3.2-3.3 requires same-day cover and supporting record. Physical skip files govern their contents; Appeal 2018-3 rejects later reconstruction.</t>
  </si>
  <si>
    <t xml:space="preserve">3. LOA evidence: amendment_log_2022_2026.csv tested against Resolution 2022-06 s.4.3; only signed measurement certificates or yard haul-out measurement sheets qualify from 2022-08-01.</t>
  </si>
  <si>
    <t xml:space="preserve">4. Billing: tariff_resolution_2019-14 ss.1-2 and Resolution 2022-06 ss.1-2; billable length is MAX(rounded-up check-in LOA, posted slip length). July transactions are pre-tax.</t>
  </si>
  <si>
    <t xml:space="preserve">5. Aging: ar_aging_2026-07-31.xlsx, AR_Aging sheet. More than 90 days is the 91-120 plus 120+ buckets, not total account due.</t>
  </si>
  <si>
    <t xml:space="preserve">BOARD PRIORITIES</t>
  </si>
  <si>
    <t xml:space="preserve">1 | Preserve and reconcile the seven Tier 1 queue records before the next matching vacancy is worked.</t>
  </si>
  <si>
    <t xml:space="preserve">2 | Obtain the agreement-term and prepayment schedule for 317 occupied slips not represented by a July monthly billing row.</t>
  </si>
  <si>
    <t xml:space="preserve">3 | Begin collections review for the two 120+ day accounts, then the four 91-120 day accounts.</t>
  </si>
  <si>
    <t xml:space="preserve">Scope: January 1, 2023 - July 31, 2026 | Printed view lists confirmed exceptions; full populations follow below</t>
  </si>
  <si>
    <t xml:space="preserve">Registered skips</t>
  </si>
  <si>
    <t xml:space="preserve">Offer-export matches</t>
  </si>
  <si>
    <t xml:space="preserve">Confirmed exceptions</t>
  </si>
  <si>
    <t xml:space="preserve">Uncertified LOA uses</t>
  </si>
  <si>
    <t xml:space="preserve">Orphan event links</t>
  </si>
  <si>
    <t xml:space="preserve">Priority</t>
  </si>
  <si>
    <t xml:space="preserve">Applicant</t>
  </si>
  <si>
    <t xml:space="preserve">Name</t>
  </si>
  <si>
    <t xml:space="preserve">Date</t>
  </si>
  <si>
    <t xml:space="preserve">Reason</t>
  </si>
  <si>
    <t xml:space="preserve">Register slip</t>
  </si>
  <si>
    <t xml:space="preserve">File slip</t>
  </si>
  <si>
    <t xml:space="preserve">Exception</t>
  </si>
  <si>
    <t xml:space="preserve">Current status</t>
  </si>
  <si>
    <t xml:space="preserve">Evidence / action</t>
  </si>
  <si>
    <t xml:space="preserve">Tier 1</t>
  </si>
  <si>
    <t xml:space="preserve">WL-02618</t>
  </si>
  <si>
    <t xml:space="preserve">Gary Tomlinson</t>
  </si>
  <si>
    <t xml:space="preserve">2023-05-02</t>
  </si>
  <si>
    <t xml:space="preserve">vessel-fit</t>
  </si>
  <si>
    <t xml:space="preserve">GW-0610</t>
  </si>
  <si>
    <t xml:space="preserve">EW-0414</t>
  </si>
  <si>
    <t xml:space="preserve">Missing contemporaneous support</t>
  </si>
  <si>
    <t xml:space="preserve">RETAINER</t>
  </si>
  <si>
    <t xml:space="preserve">Cover sheet only — supporting record not attached WL-02618 file has no supporting particulars; file slip EW-0414 differs from register slip GW-0610.</t>
  </si>
  <si>
    <t xml:space="preserve">WL-03044</t>
  </si>
  <si>
    <t xml:space="preserve">Iris Quan</t>
  </si>
  <si>
    <t xml:space="preserve">2024-02-20</t>
  </si>
  <si>
    <t xml:space="preserve">preference-mismatch</t>
  </si>
  <si>
    <t xml:space="preserve">VB-0904</t>
  </si>
  <si>
    <t xml:space="preserve">EW-0603</t>
  </si>
  <si>
    <t xml:space="preserve">ACTIVE_WAITLIST</t>
  </si>
  <si>
    <t xml:space="preserve">Cover sheet only — supporting record not attached WL-03044 file has no preference sheet; file slip EW-0603 differs from register slip VB-0904.</t>
  </si>
  <si>
    <t xml:space="preserve">WL-02877</t>
  </si>
  <si>
    <t xml:space="preserve">Sandra Milovich</t>
  </si>
  <si>
    <t xml:space="preserve">2024-03-19</t>
  </si>
  <si>
    <t xml:space="preserve">GW-1012</t>
  </si>
  <si>
    <t xml:space="preserve">GW-0702</t>
  </si>
  <si>
    <t xml:space="preserve">File/event identity mismatch</t>
  </si>
  <si>
    <t xml:space="preserve">WL-02877 file supports GW-0702, not the registered event for GW-1012.</t>
  </si>
  <si>
    <t xml:space="preserve">WL-03390</t>
  </si>
  <si>
    <t xml:space="preserve">Phillip Ard</t>
  </si>
  <si>
    <t xml:space="preserve">2024-11-05</t>
  </si>
  <si>
    <t xml:space="preserve">declined-prior-offer</t>
  </si>
  <si>
    <t xml:space="preserve">SB-0120</t>
  </si>
  <si>
    <t xml:space="preserve">VB-0144</t>
  </si>
  <si>
    <t xml:space="preserve">Cover sheet only — supporting record not attached WL-03390 file has no cited prior offer; file slip VB-0144 differs from register slip SB-0120.</t>
  </si>
  <si>
    <t xml:space="preserve">WL-03102</t>
  </si>
  <si>
    <t xml:space="preserve">Dennis Farlow</t>
  </si>
  <si>
    <t xml:space="preserve">2025-09-09</t>
  </si>
  <si>
    <t xml:space="preserve">LP-0806</t>
  </si>
  <si>
    <t xml:space="preserve">EW-0620</t>
  </si>
  <si>
    <t xml:space="preserve">WL-03102 file supports EW-0620, not the registered event for LP-0806; LOA support itself is valid.</t>
  </si>
  <si>
    <t xml:space="preserve">WL-02319</t>
  </si>
  <si>
    <t xml:space="preserve">Elizabeth Pacheco</t>
  </si>
  <si>
    <t xml:space="preserve">Not stated</t>
  </si>
  <si>
    <t xml:space="preserve">Late supporting record</t>
  </si>
  <si>
    <t xml:space="preserve">2025-Q3 calibration workpaper: supporting record was dated 3 days after the slip was worked; event is absent from offer and skip exports.</t>
  </si>
  <si>
    <t xml:space="preserve">WL-02712</t>
  </si>
  <si>
    <t xml:space="preserve">Sarah Garcia</t>
  </si>
  <si>
    <t xml:space="preserve">28-ft slip (workpaper)</t>
  </si>
  <si>
    <t xml:space="preserve">Invalid vessel-fit basis</t>
  </si>
  <si>
    <t xml:space="preserve">2025-Q3 calibration workpaper: particulars showed 27.9 ft for a 28-ft slip, so vessel-fit did not establish ineligibility; event is absent from event exports.</t>
  </si>
  <si>
    <t xml:space="preserve">Tier 2</t>
  </si>
  <si>
    <t xml:space="preserve">WL-01695</t>
  </si>
  <si>
    <t xml:space="preserve">Antonio Leach</t>
  </si>
  <si>
    <t xml:space="preserve">2023-01-10</t>
  </si>
  <si>
    <t xml:space="preserve">EW-0203</t>
  </si>
  <si>
    <t xml:space="preserve">Not inspected</t>
  </si>
  <si>
    <t xml:space="preserve">Skip event register explicitly records documentation_attached=N; physical file was not among the supplied skip files.</t>
  </si>
  <si>
    <t xml:space="preserve">WL-03523</t>
  </si>
  <si>
    <t xml:space="preserve">Darlene Glover</t>
  </si>
  <si>
    <t xml:space="preserve">2023-03-15</t>
  </si>
  <si>
    <t xml:space="preserve">SB-0210</t>
  </si>
  <si>
    <t xml:space="preserve">WL-01781</t>
  </si>
  <si>
    <t xml:space="preserve">Crystal Parrish</t>
  </si>
  <si>
    <t xml:space="preserve">2023-06-15</t>
  </si>
  <si>
    <t xml:space="preserve">LP-0220</t>
  </si>
  <si>
    <t xml:space="preserve">EXPIRED</t>
  </si>
  <si>
    <t xml:space="preserve">WL-02285</t>
  </si>
  <si>
    <t xml:space="preserve">Brian Scott</t>
  </si>
  <si>
    <t xml:space="preserve">2023-09-11</t>
  </si>
  <si>
    <t xml:space="preserve">EW-0107</t>
  </si>
  <si>
    <t xml:space="preserve">WL-03844</t>
  </si>
  <si>
    <t xml:space="preserve">Janet Medina</t>
  </si>
  <si>
    <t xml:space="preserve">2023-09-16</t>
  </si>
  <si>
    <t xml:space="preserve">EW-0109</t>
  </si>
  <si>
    <t xml:space="preserve">WL-01950</t>
  </si>
  <si>
    <t xml:space="preserve">Mathew Trujillo</t>
  </si>
  <si>
    <t xml:space="preserve">2024-04-02</t>
  </si>
  <si>
    <t xml:space="preserve">EW-0608</t>
  </si>
  <si>
    <t xml:space="preserve">WL-02948</t>
  </si>
  <si>
    <t xml:space="preserve">Michael Salinas</t>
  </si>
  <si>
    <t xml:space="preserve">2024-04-21</t>
  </si>
  <si>
    <t xml:space="preserve">GW-1013</t>
  </si>
  <si>
    <t xml:space="preserve">WL-01144</t>
  </si>
  <si>
    <t xml:space="preserve">James Lopez</t>
  </si>
  <si>
    <t xml:space="preserve">2024-06-05</t>
  </si>
  <si>
    <t xml:space="preserve">LP-0216</t>
  </si>
  <si>
    <t xml:space="preserve">WL-02598</t>
  </si>
  <si>
    <t xml:space="preserve">Nicole Rubio</t>
  </si>
  <si>
    <t xml:space="preserve">2024-11-17</t>
  </si>
  <si>
    <t xml:space="preserve">GW-0902</t>
  </si>
  <si>
    <t xml:space="preserve">WL-02298</t>
  </si>
  <si>
    <t xml:space="preserve">Ronald Simpson</t>
  </si>
  <si>
    <t xml:space="preserve">2025-07-06</t>
  </si>
  <si>
    <t xml:space="preserve">GW-1017</t>
  </si>
  <si>
    <t xml:space="preserve">WL-03094</t>
  </si>
  <si>
    <t xml:space="preserve">Christine Cook</t>
  </si>
  <si>
    <t xml:space="preserve">2025-07-28</t>
  </si>
  <si>
    <t xml:space="preserve">not-current</t>
  </si>
  <si>
    <t xml:space="preserve">GW-0103</t>
  </si>
  <si>
    <t xml:space="preserve">WL-02838</t>
  </si>
  <si>
    <t xml:space="preserve">Kimberly Griffin</t>
  </si>
  <si>
    <t xml:space="preserve">2025-08-28</t>
  </si>
  <si>
    <t xml:space="preserve">LP-0413</t>
  </si>
  <si>
    <t xml:space="preserve">WL-01089</t>
  </si>
  <si>
    <t xml:space="preserve">Erin Holmes</t>
  </si>
  <si>
    <t xml:space="preserve">2025-10-11</t>
  </si>
  <si>
    <t xml:space="preserve">SB-0115</t>
  </si>
  <si>
    <t xml:space="preserve">WL-03054</t>
  </si>
  <si>
    <t xml:space="preserve">Amanda Schmidt</t>
  </si>
  <si>
    <t xml:space="preserve">2026-01-01</t>
  </si>
  <si>
    <t xml:space="preserve">VB-0224</t>
  </si>
  <si>
    <t xml:space="preserve">WL-03896</t>
  </si>
  <si>
    <t xml:space="preserve">Stephen Hammond</t>
  </si>
  <si>
    <t xml:space="preserve">2026-05-08</t>
  </si>
  <si>
    <t xml:space="preserve">WL-01936</t>
  </si>
  <si>
    <t xml:space="preserve">Deanna Livingston</t>
  </si>
  <si>
    <t xml:space="preserve">2026-06-22</t>
  </si>
  <si>
    <t xml:space="preserve">VB-0507</t>
  </si>
  <si>
    <t xml:space="preserve">Row Type</t>
  </si>
  <si>
    <t xml:space="preserve">Skip ID</t>
  </si>
  <si>
    <t xml:space="preserve">Offer ID</t>
  </si>
  <si>
    <t xml:space="preserve">Skip Date</t>
  </si>
  <si>
    <t xml:space="preserve">Applicant ID</t>
  </si>
  <si>
    <t xml:space="preserve">Applicant Name</t>
  </si>
  <si>
    <t xml:space="preserve">Rank</t>
  </si>
  <si>
    <t xml:space="preserve">Current Status</t>
  </si>
  <si>
    <t xml:space="preserve">Application Date</t>
  </si>
  <si>
    <t xml:space="preserve">Register Slip</t>
  </si>
  <si>
    <t xml:space="preserve">File Slip</t>
  </si>
  <si>
    <t xml:space="preserve">Basin</t>
  </si>
  <si>
    <t xml:space="preserve">Slip Size</t>
  </si>
  <si>
    <t xml:space="preserve">Doc Attached</t>
  </si>
  <si>
    <t xml:space="preserve">File Review</t>
  </si>
  <si>
    <t xml:space="preserve">Offer Match</t>
  </si>
  <si>
    <t xml:space="preserve">LOA Certification Trace</t>
  </si>
  <si>
    <t xml:space="preserve">Finding Status</t>
  </si>
  <si>
    <t xml:space="preserve">Exception Category</t>
  </si>
  <si>
    <t xml:space="preserve">Appeal Priority</t>
  </si>
  <si>
    <t xml:space="preserve">Evidence / Notes</t>
  </si>
  <si>
    <t xml:space="preserve">REGISTER</t>
  </si>
  <si>
    <t xml:space="preserve">SKP-2023-0408</t>
  </si>
  <si>
    <t xml:space="preserve">OFR-2023-1487</t>
  </si>
  <si>
    <t xml:space="preserve">2024-09-17</t>
  </si>
  <si>
    <t xml:space="preserve">Gullwing</t>
  </si>
  <si>
    <t xml:space="preserve">N</t>
  </si>
  <si>
    <t xml:space="preserve">COVER ONLY</t>
  </si>
  <si>
    <t xml:space="preserve">N/A - no post-effective LOA amendment</t>
  </si>
  <si>
    <t xml:space="preserve">EXCEPTION</t>
  </si>
  <si>
    <t xml:space="preserve">SKP-2024-0409</t>
  </si>
  <si>
    <t xml:space="preserve">OFR-2024-1487</t>
  </si>
  <si>
    <t xml:space="preserve">2025-03-14</t>
  </si>
  <si>
    <t xml:space="preserve">Vessbank</t>
  </si>
  <si>
    <t xml:space="preserve">SKP-2024-0411</t>
  </si>
  <si>
    <t xml:space="preserve">2025-01-03</t>
  </si>
  <si>
    <t xml:space="preserve">Y</t>
  </si>
  <si>
    <t xml:space="preserve">COMPLETE - DIFFERENT SLIP</t>
  </si>
  <si>
    <t xml:space="preserve">SKP-2024-0410</t>
  </si>
  <si>
    <t xml:space="preserve">2025-08-19</t>
  </si>
  <si>
    <t xml:space="preserve">Salmonberry</t>
  </si>
  <si>
    <t xml:space="preserve">SKP-2025-0412</t>
  </si>
  <si>
    <t xml:space="preserve">OFR-2025-1487</t>
  </si>
  <si>
    <t xml:space="preserve">2025-04-10</t>
  </si>
  <si>
    <t xml:space="preserve">Ledgport</t>
  </si>
  <si>
    <t xml:space="preserve">SUPPORTED: AMD-001702 / Foldview Marine Services haul-out measurement sheet 2025-06-29</t>
  </si>
  <si>
    <t xml:space="preserve">CALIBRATION</t>
  </si>
  <si>
    <t xml:space="preserve">CAL-WL-02319</t>
  </si>
  <si>
    <t xml:space="preserve">Not in event exports</t>
  </si>
  <si>
    <t xml:space="preserve">2024-05-02</t>
  </si>
  <si>
    <t xml:space="preserve">LATE SUPPORT</t>
  </si>
  <si>
    <t xml:space="preserve">CAL-WL-02712</t>
  </si>
  <si>
    <t xml:space="preserve">2024-10-27</t>
  </si>
  <si>
    <t xml:space="preserve">INVALID VESSEL-FIT BASIS</t>
  </si>
  <si>
    <t xml:space="preserve">SKP-2023-0099</t>
  </si>
  <si>
    <t xml:space="preserve">OFR-2023-0338</t>
  </si>
  <si>
    <t xml:space="preserve">2023-07-03</t>
  </si>
  <si>
    <t xml:space="preserve">Eastwey</t>
  </si>
  <si>
    <t xml:space="preserve">REGISTER METADATA ONLY</t>
  </si>
  <si>
    <t xml:space="preserve">SKP-2023-0104</t>
  </si>
  <si>
    <t xml:space="preserve">OFR-2023-0360</t>
  </si>
  <si>
    <t xml:space="preserve">2025-11-02</t>
  </si>
  <si>
    <t xml:space="preserve">SKP-2023-0131</t>
  </si>
  <si>
    <t xml:space="preserve">OFR-2023-0448</t>
  </si>
  <si>
    <t xml:space="preserve">2023-08-22</t>
  </si>
  <si>
    <t xml:space="preserve">SKP-2023-0174</t>
  </si>
  <si>
    <t xml:space="preserve">OFR-2023-0578</t>
  </si>
  <si>
    <t xml:space="preserve">2024-04-22</t>
  </si>
  <si>
    <t xml:space="preserve">SKP-2023-0166</t>
  </si>
  <si>
    <t xml:space="preserve">OFR-2023-0551</t>
  </si>
  <si>
    <t xml:space="preserve">2026-05-17</t>
  </si>
  <si>
    <t xml:space="preserve">SKP-2024-0204</t>
  </si>
  <si>
    <t xml:space="preserve">OFR-2024-0704</t>
  </si>
  <si>
    <t xml:space="preserve">2023-11-09</t>
  </si>
  <si>
    <t xml:space="preserve">SKP-2024-0207</t>
  </si>
  <si>
    <t xml:space="preserve">OFR-2024-0729</t>
  </si>
  <si>
    <t xml:space="preserve">2025-02-01</t>
  </si>
  <si>
    <t xml:space="preserve">SKP-2024-0219</t>
  </si>
  <si>
    <t xml:space="preserve">OFR-2024-0789</t>
  </si>
  <si>
    <t xml:space="preserve">2022-07-15</t>
  </si>
  <si>
    <t xml:space="preserve">SKP-2024-0249</t>
  </si>
  <si>
    <t xml:space="preserve">OFR-2024-0930</t>
  </si>
  <si>
    <t xml:space="preserve">2024-09-07</t>
  </si>
  <si>
    <t xml:space="preserve">SKP-2025-0292</t>
  </si>
  <si>
    <t xml:space="preserve">OFR-2025-1117</t>
  </si>
  <si>
    <t xml:space="preserve">2024-04-25</t>
  </si>
  <si>
    <t xml:space="preserve">SKP-2025-0297</t>
  </si>
  <si>
    <t xml:space="preserve">OFR-2025-1129</t>
  </si>
  <si>
    <t xml:space="preserve">2025-04-06</t>
  </si>
  <si>
    <t xml:space="preserve">SKP-2025-0309</t>
  </si>
  <si>
    <t xml:space="preserve">OFR-2025-1167</t>
  </si>
  <si>
    <t xml:space="preserve">2024-12-18</t>
  </si>
  <si>
    <t xml:space="preserve">SKP-2025-0328</t>
  </si>
  <si>
    <t xml:space="preserve">OFR-2025-1230</t>
  </si>
  <si>
    <t xml:space="preserve">2022-05-19</t>
  </si>
  <si>
    <t xml:space="preserve">SKP-2026-0343</t>
  </si>
  <si>
    <t xml:space="preserve">OFR-2026-1285</t>
  </si>
  <si>
    <t xml:space="preserve">2025-03-18</t>
  </si>
  <si>
    <t xml:space="preserve">SUPPORTED: AMD-000288 / MC-2022-0411</t>
  </si>
  <si>
    <t xml:space="preserve">SKP-2026-0371</t>
  </si>
  <si>
    <t xml:space="preserve">OFR-2026-1363</t>
  </si>
  <si>
    <t xml:space="preserve">2026-07-05</t>
  </si>
  <si>
    <t xml:space="preserve">SKP-2026-0384</t>
  </si>
  <si>
    <t xml:space="preserve">OFR-2026-1402</t>
  </si>
  <si>
    <t xml:space="preserve">2023-11-04</t>
  </si>
  <si>
    <t xml:space="preserve">SKP-2023-0098</t>
  </si>
  <si>
    <t xml:space="preserve">OFR-2023-0334</t>
  </si>
  <si>
    <t xml:space="preserve">2023-01-08</t>
  </si>
  <si>
    <t xml:space="preserve">WL-01959</t>
  </si>
  <si>
    <t xml:space="preserve">Jonathan Moore</t>
  </si>
  <si>
    <t xml:space="preserve">2023-11-14</t>
  </si>
  <si>
    <t xml:space="preserve">VB-1023</t>
  </si>
  <si>
    <t xml:space="preserve">NO EXCEPTION IDENTIFIED</t>
  </si>
  <si>
    <t xml:space="preserve">SKP-2023-0096</t>
  </si>
  <si>
    <t xml:space="preserve">OFR-2023-0324</t>
  </si>
  <si>
    <t xml:space="preserve">WL-02685</t>
  </si>
  <si>
    <t xml:space="preserve">Stephanie Hill</t>
  </si>
  <si>
    <t xml:space="preserve">2024-10-13</t>
  </si>
  <si>
    <t xml:space="preserve">LP-0906</t>
  </si>
  <si>
    <t xml:space="preserve">SKP-2023-0095</t>
  </si>
  <si>
    <t xml:space="preserve">OFR-2023-0323</t>
  </si>
  <si>
    <t xml:space="preserve">WL-03099</t>
  </si>
  <si>
    <t xml:space="preserve">Ryan Robertson</t>
  </si>
  <si>
    <t xml:space="preserve">2025-04-08</t>
  </si>
  <si>
    <t xml:space="preserve">LP-0317</t>
  </si>
  <si>
    <t xml:space="preserve">SKP-2023-0097</t>
  </si>
  <si>
    <t xml:space="preserve">OFR-2023-0326</t>
  </si>
  <si>
    <t xml:space="preserve">2023-01-26</t>
  </si>
  <si>
    <t xml:space="preserve">WL-01298</t>
  </si>
  <si>
    <t xml:space="preserve">Jason Boyd</t>
  </si>
  <si>
    <t xml:space="preserve">2022-11-17</t>
  </si>
  <si>
    <t xml:space="preserve">GW-0708</t>
  </si>
  <si>
    <t xml:space="preserve">SKP-2023-0102</t>
  </si>
  <si>
    <t xml:space="preserve">OFR-2023-0346</t>
  </si>
  <si>
    <t xml:space="preserve">2023-02-10</t>
  </si>
  <si>
    <t xml:space="preserve">WL-03582</t>
  </si>
  <si>
    <t xml:space="preserve">Melissa Jones</t>
  </si>
  <si>
    <t xml:space="preserve">2025-12-04</t>
  </si>
  <si>
    <t xml:space="preserve">GW-0615</t>
  </si>
  <si>
    <t xml:space="preserve">SKP-2023-0103</t>
  </si>
  <si>
    <t xml:space="preserve">OFR-2023-0350</t>
  </si>
  <si>
    <t xml:space="preserve">2023-02-17</t>
  </si>
  <si>
    <t xml:space="preserve">WL-02918</t>
  </si>
  <si>
    <t xml:space="preserve">Kara Aguilar</t>
  </si>
  <si>
    <t xml:space="preserve">2025-01-16</t>
  </si>
  <si>
    <t xml:space="preserve">LP-1116</t>
  </si>
  <si>
    <t xml:space="preserve">SKP-2023-0100</t>
  </si>
  <si>
    <t xml:space="preserve">OFR-2023-0343</t>
  </si>
  <si>
    <t xml:space="preserve">2023-02-18</t>
  </si>
  <si>
    <t xml:space="preserve">WL-02565</t>
  </si>
  <si>
    <t xml:space="preserve">Christina Smith</t>
  </si>
  <si>
    <t xml:space="preserve">2024-08-26</t>
  </si>
  <si>
    <t xml:space="preserve">GW-0116</t>
  </si>
  <si>
    <t xml:space="preserve">SKP-2023-0101</t>
  </si>
  <si>
    <t xml:space="preserve">OFR-2023-0345</t>
  </si>
  <si>
    <t xml:space="preserve">2023-02-19</t>
  </si>
  <si>
    <t xml:space="preserve">WL-02664</t>
  </si>
  <si>
    <t xml:space="preserve">Mark Smith</t>
  </si>
  <si>
    <t xml:space="preserve">2024-10-04</t>
  </si>
  <si>
    <t xml:space="preserve">GW-0220</t>
  </si>
  <si>
    <t xml:space="preserve">SKP-2023-0105</t>
  </si>
  <si>
    <t xml:space="preserve">OFR-2023-0361</t>
  </si>
  <si>
    <t xml:space="preserve">2023-03-06</t>
  </si>
  <si>
    <t xml:space="preserve">WL-02366</t>
  </si>
  <si>
    <t xml:space="preserve">Megan Hoffman</t>
  </si>
  <si>
    <t xml:space="preserve">SUSPENDED</t>
  </si>
  <si>
    <t xml:space="preserve">2024-05-22</t>
  </si>
  <si>
    <t xml:space="preserve">SKP-2023-0107</t>
  </si>
  <si>
    <t xml:space="preserve">OFR-2023-0368</t>
  </si>
  <si>
    <t xml:space="preserve">2023-03-10</t>
  </si>
  <si>
    <t xml:space="preserve">WL-01984</t>
  </si>
  <si>
    <t xml:space="preserve">Vanessa Jackson</t>
  </si>
  <si>
    <t xml:space="preserve">2023-11-27</t>
  </si>
  <si>
    <t xml:space="preserve">GW-0606</t>
  </si>
  <si>
    <t xml:space="preserve">SKP-2023-0108</t>
  </si>
  <si>
    <t xml:space="preserve">OFR-2023-0370</t>
  </si>
  <si>
    <t xml:space="preserve">2023-03-21</t>
  </si>
  <si>
    <t xml:space="preserve">WL-01649</t>
  </si>
  <si>
    <t xml:space="preserve">Amy Krueger</t>
  </si>
  <si>
    <t xml:space="preserve">2023-06-11</t>
  </si>
  <si>
    <t xml:space="preserve">VB-0717</t>
  </si>
  <si>
    <t xml:space="preserve">SKP-2023-0109</t>
  </si>
  <si>
    <t xml:space="preserve">OFR-2023-0371</t>
  </si>
  <si>
    <t xml:space="preserve">2023-03-25</t>
  </si>
  <si>
    <t xml:space="preserve">WL-03535</t>
  </si>
  <si>
    <t xml:space="preserve">Allison Castro</t>
  </si>
  <si>
    <t xml:space="preserve">2025-11-08</t>
  </si>
  <si>
    <t xml:space="preserve">GW-0101</t>
  </si>
  <si>
    <t xml:space="preserve">SKP-2023-0106</t>
  </si>
  <si>
    <t xml:space="preserve">OFR-2023-0364</t>
  </si>
  <si>
    <t xml:space="preserve">2023-03-27</t>
  </si>
  <si>
    <t xml:space="preserve">WL-01388</t>
  </si>
  <si>
    <t xml:space="preserve">Sharon Young</t>
  </si>
  <si>
    <t xml:space="preserve">2023-01-07</t>
  </si>
  <si>
    <t xml:space="preserve">SB-0617</t>
  </si>
  <si>
    <t xml:space="preserve">SKP-2023-0117</t>
  </si>
  <si>
    <t xml:space="preserve">OFR-2023-0409</t>
  </si>
  <si>
    <t xml:space="preserve">2023-04-02</t>
  </si>
  <si>
    <t xml:space="preserve">GW-0306</t>
  </si>
  <si>
    <t xml:space="preserve">SKP-2023-0112</t>
  </si>
  <si>
    <t xml:space="preserve">OFR-2023-0387</t>
  </si>
  <si>
    <t xml:space="preserve">2023-04-03</t>
  </si>
  <si>
    <t xml:space="preserve">WL-03014</t>
  </si>
  <si>
    <t xml:space="preserve">Daniel Mitchell</t>
  </si>
  <si>
    <t xml:space="preserve">2025-03-03</t>
  </si>
  <si>
    <t xml:space="preserve">LP-0204</t>
  </si>
  <si>
    <t xml:space="preserve">SKP-2023-0115</t>
  </si>
  <si>
    <t xml:space="preserve">OFR-2023-0401</t>
  </si>
  <si>
    <t xml:space="preserve">2023-04-08</t>
  </si>
  <si>
    <t xml:space="preserve">WL-01145</t>
  </si>
  <si>
    <t xml:space="preserve">Francisco Weaver</t>
  </si>
  <si>
    <t xml:space="preserve">2022-07-17</t>
  </si>
  <si>
    <t xml:space="preserve">EW-0304</t>
  </si>
  <si>
    <t xml:space="preserve">SKP-2023-0113</t>
  </si>
  <si>
    <t xml:space="preserve">OFR-2023-0392</t>
  </si>
  <si>
    <t xml:space="preserve">2023-04-09</t>
  </si>
  <si>
    <t xml:space="preserve">WL-01886</t>
  </si>
  <si>
    <t xml:space="preserve">Kenneth Riley</t>
  </si>
  <si>
    <t xml:space="preserve">2023-10-12</t>
  </si>
  <si>
    <t xml:space="preserve">SKP-2023-0114</t>
  </si>
  <si>
    <t xml:space="preserve">OFR-2023-0395</t>
  </si>
  <si>
    <t xml:space="preserve">2023-04-11</t>
  </si>
  <si>
    <t xml:space="preserve">WL-02074</t>
  </si>
  <si>
    <t xml:space="preserve">Erika Martin</t>
  </si>
  <si>
    <t xml:space="preserve">2024-01-04</t>
  </si>
  <si>
    <t xml:space="preserve">EW-1007</t>
  </si>
  <si>
    <t xml:space="preserve">SKP-2023-0110</t>
  </si>
  <si>
    <t xml:space="preserve">OFR-2023-0374</t>
  </si>
  <si>
    <t xml:space="preserve">2023-04-20</t>
  </si>
  <si>
    <t xml:space="preserve">WL-01473</t>
  </si>
  <si>
    <t xml:space="preserve">Ian Parrish</t>
  </si>
  <si>
    <t xml:space="preserve">2023-02-25</t>
  </si>
  <si>
    <t xml:space="preserve">SB-0623</t>
  </si>
  <si>
    <t xml:space="preserve">SKP-2023-0111</t>
  </si>
  <si>
    <t xml:space="preserve">OFR-2023-0375</t>
  </si>
  <si>
    <t xml:space="preserve">WL-02941</t>
  </si>
  <si>
    <t xml:space="preserve">Jose Benson</t>
  </si>
  <si>
    <t xml:space="preserve">2025-01-28</t>
  </si>
  <si>
    <t xml:space="preserve">SB-0109</t>
  </si>
  <si>
    <t xml:space="preserve">SKP-2023-0116</t>
  </si>
  <si>
    <t xml:space="preserve">OFR-2023-0403</t>
  </si>
  <si>
    <t xml:space="preserve">2023-04-28</t>
  </si>
  <si>
    <t xml:space="preserve">WL-01274</t>
  </si>
  <si>
    <t xml:space="preserve">Lisa Campbell</t>
  </si>
  <si>
    <t xml:space="preserve">2022-10-29</t>
  </si>
  <si>
    <t xml:space="preserve">GW-0905</t>
  </si>
  <si>
    <t xml:space="preserve">SKP-2023-0120</t>
  </si>
  <si>
    <t xml:space="preserve">OFR-2023-0417</t>
  </si>
  <si>
    <t xml:space="preserve">WL-01469</t>
  </si>
  <si>
    <t xml:space="preserve">John Lynch</t>
  </si>
  <si>
    <t xml:space="preserve">2023-02-20</t>
  </si>
  <si>
    <t xml:space="preserve">LP-1104</t>
  </si>
  <si>
    <t xml:space="preserve">SKP-2023-0129</t>
  </si>
  <si>
    <t xml:space="preserve">OFR-2023-0440</t>
  </si>
  <si>
    <t xml:space="preserve">WL-03178</t>
  </si>
  <si>
    <t xml:space="preserve">Kristen Schneider</t>
  </si>
  <si>
    <t xml:space="preserve">2025-05-13</t>
  </si>
  <si>
    <t xml:space="preserve">VB-0810</t>
  </si>
  <si>
    <t xml:space="preserve">SKP-2023-0128</t>
  </si>
  <si>
    <t xml:space="preserve">OFR-2023-0436</t>
  </si>
  <si>
    <t xml:space="preserve">2023-05-04</t>
  </si>
  <si>
    <t xml:space="preserve">WL-03537</t>
  </si>
  <si>
    <t xml:space="preserve">Angel Wheeler</t>
  </si>
  <si>
    <t xml:space="preserve">GW-0709</t>
  </si>
  <si>
    <t xml:space="preserve">SKP-2023-0119</t>
  </si>
  <si>
    <t xml:space="preserve">OFR-2023-0412</t>
  </si>
  <si>
    <t xml:space="preserve">2023-05-05</t>
  </si>
  <si>
    <t xml:space="preserve">WL-03151</t>
  </si>
  <si>
    <t xml:space="preserve">Elizabeth King</t>
  </si>
  <si>
    <t xml:space="preserve">2025-05-03</t>
  </si>
  <si>
    <t xml:space="preserve">VB-0220</t>
  </si>
  <si>
    <t xml:space="preserve">SKP-2023-0126</t>
  </si>
  <si>
    <t xml:space="preserve">OFR-2023-0432</t>
  </si>
  <si>
    <t xml:space="preserve">2023-05-10</t>
  </si>
  <si>
    <t xml:space="preserve">WL-02134</t>
  </si>
  <si>
    <t xml:space="preserve">James Martin</t>
  </si>
  <si>
    <t xml:space="preserve">2024-02-08</t>
  </si>
  <si>
    <t xml:space="preserve">EW-0320</t>
  </si>
  <si>
    <t xml:space="preserve">SKP-2023-0121</t>
  </si>
  <si>
    <t xml:space="preserve">OFR-2023-0418</t>
  </si>
  <si>
    <t xml:space="preserve">2023-05-12</t>
  </si>
  <si>
    <t xml:space="preserve">WL-03181</t>
  </si>
  <si>
    <t xml:space="preserve">Annette Collins</t>
  </si>
  <si>
    <t xml:space="preserve">2025-05-15</t>
  </si>
  <si>
    <t xml:space="preserve">SB-0903</t>
  </si>
  <si>
    <t xml:space="preserve">SKP-2023-0118</t>
  </si>
  <si>
    <t xml:space="preserve">OFR-2023-0411</t>
  </si>
  <si>
    <t xml:space="preserve">2023-05-13</t>
  </si>
  <si>
    <t xml:space="preserve">WL-02485</t>
  </si>
  <si>
    <t xml:space="preserve">Matthew Dickerson</t>
  </si>
  <si>
    <t xml:space="preserve">2024-07-16</t>
  </si>
  <si>
    <t xml:space="preserve">VB-0521</t>
  </si>
  <si>
    <t xml:space="preserve">SKP-2023-0124</t>
  </si>
  <si>
    <t xml:space="preserve">OFR-2023-0422</t>
  </si>
  <si>
    <t xml:space="preserve">2023-05-19</t>
  </si>
  <si>
    <t xml:space="preserve">WL-02100</t>
  </si>
  <si>
    <t xml:space="preserve">Michelle Pena</t>
  </si>
  <si>
    <t xml:space="preserve">2024-01-21</t>
  </si>
  <si>
    <t xml:space="preserve">VB-0504</t>
  </si>
  <si>
    <t xml:space="preserve">SKP-2023-0122</t>
  </si>
  <si>
    <t xml:space="preserve">OFR-2023-0419</t>
  </si>
  <si>
    <t xml:space="preserve">2023-05-20</t>
  </si>
  <si>
    <t xml:space="preserve">WL-03816</t>
  </si>
  <si>
    <t xml:space="preserve">Brittany Lopez</t>
  </si>
  <si>
    <t xml:space="preserve">2026-04-29</t>
  </si>
  <si>
    <t xml:space="preserve">VB-0113</t>
  </si>
  <si>
    <t xml:space="preserve">SKP-2023-0127</t>
  </si>
  <si>
    <t xml:space="preserve">OFR-2023-0435</t>
  </si>
  <si>
    <t xml:space="preserve">2023-05-21</t>
  </si>
  <si>
    <t xml:space="preserve">WL-01420</t>
  </si>
  <si>
    <t xml:space="preserve">Patricia Wilson</t>
  </si>
  <si>
    <t xml:space="preserve">2023-01-25</t>
  </si>
  <si>
    <t xml:space="preserve">SB-0405</t>
  </si>
  <si>
    <t xml:space="preserve">SKP-2023-0125</t>
  </si>
  <si>
    <t xml:space="preserve">OFR-2023-0429</t>
  </si>
  <si>
    <t xml:space="preserve">WL-02777</t>
  </si>
  <si>
    <t xml:space="preserve">Carolyn Johnson</t>
  </si>
  <si>
    <t xml:space="preserve">2024-11-22</t>
  </si>
  <si>
    <t xml:space="preserve">LP-0402</t>
  </si>
  <si>
    <t xml:space="preserve">SKP-2023-0123</t>
  </si>
  <si>
    <t xml:space="preserve">OFR-2023-0421</t>
  </si>
  <si>
    <t xml:space="preserve">WL-03712</t>
  </si>
  <si>
    <t xml:space="preserve">Charles Graham</t>
  </si>
  <si>
    <t xml:space="preserve">2026-02-12</t>
  </si>
  <si>
    <t xml:space="preserve">LP-0113</t>
  </si>
  <si>
    <t xml:space="preserve">SKP-2023-0137</t>
  </si>
  <si>
    <t xml:space="preserve">OFR-2023-0462</t>
  </si>
  <si>
    <t xml:space="preserve">2023-06-07</t>
  </si>
  <si>
    <t xml:space="preserve">WL-02535</t>
  </si>
  <si>
    <t xml:space="preserve">Shari Hess</t>
  </si>
  <si>
    <t xml:space="preserve">2024-08-10</t>
  </si>
  <si>
    <t xml:space="preserve">VB-0805</t>
  </si>
  <si>
    <t xml:space="preserve">SKP-2023-0132</t>
  </si>
  <si>
    <t xml:space="preserve">OFR-2023-0449</t>
  </si>
  <si>
    <t xml:space="preserve">2023-06-08</t>
  </si>
  <si>
    <t xml:space="preserve">WL-01193</t>
  </si>
  <si>
    <t xml:space="preserve">Mindy Medina</t>
  </si>
  <si>
    <t xml:space="preserve">2022-08-26</t>
  </si>
  <si>
    <t xml:space="preserve">VB-0205</t>
  </si>
  <si>
    <t xml:space="preserve">SKP-2023-0136</t>
  </si>
  <si>
    <t xml:space="preserve">OFR-2023-0461</t>
  </si>
  <si>
    <t xml:space="preserve">WL-03758</t>
  </si>
  <si>
    <t xml:space="preserve">Sean Cherry</t>
  </si>
  <si>
    <t xml:space="preserve">2026-03-17</t>
  </si>
  <si>
    <t xml:space="preserve">LP-0121</t>
  </si>
  <si>
    <t xml:space="preserve">SUPPORTED: AMD-000435 / MC-2022-0410</t>
  </si>
  <si>
    <t xml:space="preserve">SKP-2023-0139</t>
  </si>
  <si>
    <t xml:space="preserve">OFR-2023-0469</t>
  </si>
  <si>
    <t xml:space="preserve">2023-06-09</t>
  </si>
  <si>
    <t xml:space="preserve">WL-01129</t>
  </si>
  <si>
    <t xml:space="preserve">Alexander Thompson</t>
  </si>
  <si>
    <t xml:space="preserve">2022-06-29</t>
  </si>
  <si>
    <t xml:space="preserve">GW-0414</t>
  </si>
  <si>
    <t xml:space="preserve">SKP-2023-0133</t>
  </si>
  <si>
    <t xml:space="preserve">OFR-2023-0457</t>
  </si>
  <si>
    <t xml:space="preserve">2023-06-10</t>
  </si>
  <si>
    <t xml:space="preserve">WL-01319</t>
  </si>
  <si>
    <t xml:space="preserve">Janice Roy</t>
  </si>
  <si>
    <t xml:space="preserve">2022-12-03</t>
  </si>
  <si>
    <t xml:space="preserve">GW-1008</t>
  </si>
  <si>
    <t xml:space="preserve">SKP-2023-0130</t>
  </si>
  <si>
    <t xml:space="preserve">OFR-2023-0447</t>
  </si>
  <si>
    <t xml:space="preserve">2023-06-12</t>
  </si>
  <si>
    <t xml:space="preserve">WL-02924</t>
  </si>
  <si>
    <t xml:space="preserve">Heather Hall</t>
  </si>
  <si>
    <t xml:space="preserve">2025-01-21</t>
  </si>
  <si>
    <t xml:space="preserve">VB-0720</t>
  </si>
  <si>
    <t xml:space="preserve">SKP-2023-0140</t>
  </si>
  <si>
    <t xml:space="preserve">OFR-2023-0473</t>
  </si>
  <si>
    <t xml:space="preserve">WL-03100</t>
  </si>
  <si>
    <t xml:space="preserve">Andrew Contreras</t>
  </si>
  <si>
    <t xml:space="preserve">EW-0622</t>
  </si>
  <si>
    <t xml:space="preserve">SKP-2023-0138</t>
  </si>
  <si>
    <t xml:space="preserve">OFR-2023-0464</t>
  </si>
  <si>
    <t xml:space="preserve">2023-06-13</t>
  </si>
  <si>
    <t xml:space="preserve">WL-02663</t>
  </si>
  <si>
    <t xml:space="preserve">Susan Thompson</t>
  </si>
  <si>
    <t xml:space="preserve">GW-0810</t>
  </si>
  <si>
    <t xml:space="preserve">SKP-2023-0134</t>
  </si>
  <si>
    <t xml:space="preserve">OFR-2023-0458</t>
  </si>
  <si>
    <t xml:space="preserve">2023-06-24</t>
  </si>
  <si>
    <t xml:space="preserve">WL-02173</t>
  </si>
  <si>
    <t xml:space="preserve">Lisa Parker</t>
  </si>
  <si>
    <t xml:space="preserve">2024-02-28</t>
  </si>
  <si>
    <t xml:space="preserve">SB-0205</t>
  </si>
  <si>
    <t xml:space="preserve">SKP-2023-0135</t>
  </si>
  <si>
    <t xml:space="preserve">OFR-2023-0460</t>
  </si>
  <si>
    <t xml:space="preserve">2023-06-25</t>
  </si>
  <si>
    <t xml:space="preserve">WL-01568</t>
  </si>
  <si>
    <t xml:space="preserve">Rebecca Lozano</t>
  </si>
  <si>
    <t xml:space="preserve">2023-04-23</t>
  </si>
  <si>
    <t xml:space="preserve">LP-0219</t>
  </si>
  <si>
    <t xml:space="preserve">SKP-2023-0143</t>
  </si>
  <si>
    <t xml:space="preserve">OFR-2023-0481</t>
  </si>
  <si>
    <t xml:space="preserve">WL-01712</t>
  </si>
  <si>
    <t xml:space="preserve">Kevin Liu</t>
  </si>
  <si>
    <t xml:space="preserve">2023-07-13</t>
  </si>
  <si>
    <t xml:space="preserve">GW-0118</t>
  </si>
  <si>
    <t xml:space="preserve">SKP-2023-0150</t>
  </si>
  <si>
    <t xml:space="preserve">OFR-2023-0501</t>
  </si>
  <si>
    <t xml:space="preserve">WL-01924</t>
  </si>
  <si>
    <t xml:space="preserve">Angela Alexander</t>
  </si>
  <si>
    <t xml:space="preserve">2023-10-31</t>
  </si>
  <si>
    <t xml:space="preserve">EW-0111</t>
  </si>
  <si>
    <t xml:space="preserve">SKP-2023-0141</t>
  </si>
  <si>
    <t xml:space="preserve">OFR-2023-0478</t>
  </si>
  <si>
    <t xml:space="preserve">2023-07-04</t>
  </si>
  <si>
    <t xml:space="preserve">WL-03857</t>
  </si>
  <si>
    <t xml:space="preserve">Catherine Davis</t>
  </si>
  <si>
    <t xml:space="preserve">2026-06-03</t>
  </si>
  <si>
    <t xml:space="preserve">SB-0602</t>
  </si>
  <si>
    <t xml:space="preserve">SKP-2023-0144</t>
  </si>
  <si>
    <t xml:space="preserve">OFR-2023-0483</t>
  </si>
  <si>
    <t xml:space="preserve">2023-07-07</t>
  </si>
  <si>
    <t xml:space="preserve">WL-02160</t>
  </si>
  <si>
    <t xml:space="preserve">Alexander Lawrence</t>
  </si>
  <si>
    <t xml:space="preserve">2024-02-18</t>
  </si>
  <si>
    <t xml:space="preserve">LP-0520</t>
  </si>
  <si>
    <t xml:space="preserve">SKP-2023-0145</t>
  </si>
  <si>
    <t xml:space="preserve">OFR-2023-0485</t>
  </si>
  <si>
    <t xml:space="preserve">2023-07-09</t>
  </si>
  <si>
    <t xml:space="preserve">WL-01242</t>
  </si>
  <si>
    <t xml:space="preserve">Melissa Villanueva</t>
  </si>
  <si>
    <t xml:space="preserve">2022-10-04</t>
  </si>
  <si>
    <t xml:space="preserve">SB-0314</t>
  </si>
  <si>
    <t xml:space="preserve">SKP-2023-0148</t>
  </si>
  <si>
    <t xml:space="preserve">OFR-2023-0490</t>
  </si>
  <si>
    <t xml:space="preserve">2023-07-11</t>
  </si>
  <si>
    <t xml:space="preserve">WL-02206</t>
  </si>
  <si>
    <t xml:space="preserve">Mary Morris</t>
  </si>
  <si>
    <t xml:space="preserve">2024-03-15</t>
  </si>
  <si>
    <t xml:space="preserve">GW-0719</t>
  </si>
  <si>
    <t xml:space="preserve">SKP-2023-0142</t>
  </si>
  <si>
    <t xml:space="preserve">OFR-2023-0479</t>
  </si>
  <si>
    <t xml:space="preserve">2023-07-15</t>
  </si>
  <si>
    <t xml:space="preserve">WL-01054</t>
  </si>
  <si>
    <t xml:space="preserve">Cynthia Smith</t>
  </si>
  <si>
    <t xml:space="preserve">2022-04-18</t>
  </si>
  <si>
    <t xml:space="preserve">VB-0620</t>
  </si>
  <si>
    <t xml:space="preserve">SKP-2023-0152</t>
  </si>
  <si>
    <t xml:space="preserve">OFR-2023-0505</t>
  </si>
  <si>
    <t xml:space="preserve">2023-07-20</t>
  </si>
  <si>
    <t xml:space="preserve">WL-03411</t>
  </si>
  <si>
    <t xml:space="preserve">Miguel Boyd</t>
  </si>
  <si>
    <t xml:space="preserve">2025-09-01</t>
  </si>
  <si>
    <t xml:space="preserve">VB-0719</t>
  </si>
  <si>
    <t xml:space="preserve">SKP-2023-0146</t>
  </si>
  <si>
    <t xml:space="preserve">OFR-2023-0486</t>
  </si>
  <si>
    <t xml:space="preserve">2023-07-24</t>
  </si>
  <si>
    <t xml:space="preserve">WL-02199</t>
  </si>
  <si>
    <t xml:space="preserve">Patricia Perez</t>
  </si>
  <si>
    <t xml:space="preserve">2024-03-12</t>
  </si>
  <si>
    <t xml:space="preserve">GW-1003</t>
  </si>
  <si>
    <t xml:space="preserve">SKP-2023-0147</t>
  </si>
  <si>
    <t xml:space="preserve">OFR-2023-0489</t>
  </si>
  <si>
    <t xml:space="preserve">2023-07-26</t>
  </si>
  <si>
    <t xml:space="preserve">WL-01248</t>
  </si>
  <si>
    <t xml:space="preserve">Michael Gray</t>
  </si>
  <si>
    <t xml:space="preserve">2022-10-09</t>
  </si>
  <si>
    <t xml:space="preserve">SB-0915</t>
  </si>
  <si>
    <t xml:space="preserve">SKP-2023-0149</t>
  </si>
  <si>
    <t xml:space="preserve">OFR-2023-0495</t>
  </si>
  <si>
    <t xml:space="preserve">WL-02706</t>
  </si>
  <si>
    <t xml:space="preserve">Allison Fisher</t>
  </si>
  <si>
    <t xml:space="preserve">2024-10-25</t>
  </si>
  <si>
    <t xml:space="preserve">LP-0104</t>
  </si>
  <si>
    <t xml:space="preserve">SKP-2023-0151</t>
  </si>
  <si>
    <t xml:space="preserve">OFR-2023-0504</t>
  </si>
  <si>
    <t xml:space="preserve">2023-07-27</t>
  </si>
  <si>
    <t xml:space="preserve">WL-03652</t>
  </si>
  <si>
    <t xml:space="preserve">Lisa Strickland</t>
  </si>
  <si>
    <t xml:space="preserve">2026-01-11</t>
  </si>
  <si>
    <t xml:space="preserve">GW-0301</t>
  </si>
  <si>
    <t xml:space="preserve">SKP-2023-0156</t>
  </si>
  <si>
    <t xml:space="preserve">OFR-2023-0518</t>
  </si>
  <si>
    <t xml:space="preserve">2023-08-02</t>
  </si>
  <si>
    <t xml:space="preserve">WL-02603</t>
  </si>
  <si>
    <t xml:space="preserve">Sharon Lopez</t>
  </si>
  <si>
    <t xml:space="preserve">2024-09-09</t>
  </si>
  <si>
    <t xml:space="preserve">GW-0611</t>
  </si>
  <si>
    <t xml:space="preserve">SKP-2023-0160</t>
  </si>
  <si>
    <t xml:space="preserve">OFR-2023-0530</t>
  </si>
  <si>
    <t xml:space="preserve">2023-08-05</t>
  </si>
  <si>
    <t xml:space="preserve">WL-01367</t>
  </si>
  <si>
    <t xml:space="preserve">Stephen Golden</t>
  </si>
  <si>
    <t xml:space="preserve">2022-12-26</t>
  </si>
  <si>
    <t xml:space="preserve">GW-0703</t>
  </si>
  <si>
    <t xml:space="preserve">SKP-2023-0153</t>
  </si>
  <si>
    <t xml:space="preserve">OFR-2023-0508</t>
  </si>
  <si>
    <t xml:space="preserve">2023-08-06</t>
  </si>
  <si>
    <t xml:space="preserve">WL-01029</t>
  </si>
  <si>
    <t xml:space="preserve">John Wang</t>
  </si>
  <si>
    <t xml:space="preserve">2022-03-18</t>
  </si>
  <si>
    <t xml:space="preserve">EW-0119</t>
  </si>
  <si>
    <t xml:space="preserve">SKP-2023-0155</t>
  </si>
  <si>
    <t xml:space="preserve">OFR-2023-0517</t>
  </si>
  <si>
    <t xml:space="preserve">2023-08-09</t>
  </si>
  <si>
    <t xml:space="preserve">WL-01297</t>
  </si>
  <si>
    <t xml:space="preserve">Alan Harris</t>
  </si>
  <si>
    <t xml:space="preserve">2022-11-16</t>
  </si>
  <si>
    <t xml:space="preserve">VB-0512</t>
  </si>
  <si>
    <t xml:space="preserve">SKP-2023-0159</t>
  </si>
  <si>
    <t xml:space="preserve">OFR-2023-0528</t>
  </si>
  <si>
    <t xml:space="preserve">2023-08-10</t>
  </si>
  <si>
    <t xml:space="preserve">WL-01360</t>
  </si>
  <si>
    <t xml:space="preserve">Desiree Sullivan</t>
  </si>
  <si>
    <t xml:space="preserve">2022-12-22</t>
  </si>
  <si>
    <t xml:space="preserve">LP-0516</t>
  </si>
  <si>
    <t xml:space="preserve">SKP-2023-0154</t>
  </si>
  <si>
    <t xml:space="preserve">OFR-2023-0515</t>
  </si>
  <si>
    <t xml:space="preserve">2023-08-16</t>
  </si>
  <si>
    <t xml:space="preserve">WL-01847</t>
  </si>
  <si>
    <t xml:space="preserve">Amy Carlson</t>
  </si>
  <si>
    <t xml:space="preserve">2023-09-23</t>
  </si>
  <si>
    <t xml:space="preserve">EW-0110</t>
  </si>
  <si>
    <t xml:space="preserve">SKP-2023-0161</t>
  </si>
  <si>
    <t xml:space="preserve">OFR-2023-0533</t>
  </si>
  <si>
    <t xml:space="preserve">2023-08-18</t>
  </si>
  <si>
    <t xml:space="preserve">WL-02793</t>
  </si>
  <si>
    <t xml:space="preserve">David Franco</t>
  </si>
  <si>
    <t xml:space="preserve">2024-11-27</t>
  </si>
  <si>
    <t xml:space="preserve">EW-0814</t>
  </si>
  <si>
    <t xml:space="preserve">SKP-2023-0158</t>
  </si>
  <si>
    <t xml:space="preserve">OFR-2023-0526</t>
  </si>
  <si>
    <t xml:space="preserve">WL-02650</t>
  </si>
  <si>
    <t xml:space="preserve">Alex White</t>
  </si>
  <si>
    <t xml:space="preserve">2024-09-28</t>
  </si>
  <si>
    <t xml:space="preserve">EW-0310</t>
  </si>
  <si>
    <t xml:space="preserve">SKP-2023-0157</t>
  </si>
  <si>
    <t xml:space="preserve">OFR-2023-0524</t>
  </si>
  <si>
    <t xml:space="preserve">WL-03153</t>
  </si>
  <si>
    <t xml:space="preserve">Derrick Webb</t>
  </si>
  <si>
    <t xml:space="preserve">2025-05-04</t>
  </si>
  <si>
    <t xml:space="preserve">EW-0213</t>
  </si>
  <si>
    <t xml:space="preserve">SKP-2023-0173</t>
  </si>
  <si>
    <t xml:space="preserve">OFR-2023-0577</t>
  </si>
  <si>
    <t xml:space="preserve">2023-09-03</t>
  </si>
  <si>
    <t xml:space="preserve">WL-03715</t>
  </si>
  <si>
    <t xml:space="preserve">Aaron Lee</t>
  </si>
  <si>
    <t xml:space="preserve">2026-02-16</t>
  </si>
  <si>
    <t xml:space="preserve">VB-0705</t>
  </si>
  <si>
    <t xml:space="preserve">SKP-2023-0170</t>
  </si>
  <si>
    <t xml:space="preserve">OFR-2023-0571</t>
  </si>
  <si>
    <t xml:space="preserve">2023-09-04</t>
  </si>
  <si>
    <t xml:space="preserve">WL-03700</t>
  </si>
  <si>
    <t xml:space="preserve">Jonathan Diaz</t>
  </si>
  <si>
    <t xml:space="preserve">2026-02-06</t>
  </si>
  <si>
    <t xml:space="preserve">LP-0412</t>
  </si>
  <si>
    <t xml:space="preserve">SKP-2023-0165</t>
  </si>
  <si>
    <t xml:space="preserve">OFR-2023-0550</t>
  </si>
  <si>
    <t xml:space="preserve">2023-09-05</t>
  </si>
  <si>
    <t xml:space="preserve">WL-01746</t>
  </si>
  <si>
    <t xml:space="preserve">Elizabeth Ward</t>
  </si>
  <si>
    <t xml:space="preserve">2023-07-31</t>
  </si>
  <si>
    <t xml:space="preserve">SB-0209</t>
  </si>
  <si>
    <t xml:space="preserve">SUPPORTED: AMD-000528 / MC-2023-0335</t>
  </si>
  <si>
    <t xml:space="preserve">SKP-2023-0164</t>
  </si>
  <si>
    <t xml:space="preserve">OFR-2023-0547</t>
  </si>
  <si>
    <t xml:space="preserve">WL-03673</t>
  </si>
  <si>
    <t xml:space="preserve">Angela Gibson</t>
  </si>
  <si>
    <t xml:space="preserve">2026-01-24</t>
  </si>
  <si>
    <t xml:space="preserve">GW-0801</t>
  </si>
  <si>
    <t xml:space="preserve">SKP-2023-0163</t>
  </si>
  <si>
    <t xml:space="preserve">OFR-2023-0546</t>
  </si>
  <si>
    <t xml:space="preserve">WL-03629</t>
  </si>
  <si>
    <t xml:space="preserve">Justin Parks</t>
  </si>
  <si>
    <t xml:space="preserve">2025-12-31</t>
  </si>
  <si>
    <t xml:space="preserve">SKP-2023-0168</t>
  </si>
  <si>
    <t xml:space="preserve">OFR-2023-0559</t>
  </si>
  <si>
    <t xml:space="preserve">2023-09-13</t>
  </si>
  <si>
    <t xml:space="preserve">WL-02912</t>
  </si>
  <si>
    <t xml:space="preserve">Alan Ortiz</t>
  </si>
  <si>
    <t xml:space="preserve">2025-01-15</t>
  </si>
  <si>
    <t xml:space="preserve">SB-0916</t>
  </si>
  <si>
    <t xml:space="preserve">SKP-2023-0171</t>
  </si>
  <si>
    <t xml:space="preserve">OFR-2023-0573</t>
  </si>
  <si>
    <t xml:space="preserve">WL-02000</t>
  </si>
  <si>
    <t xml:space="preserve">Erika Cruz</t>
  </si>
  <si>
    <t xml:space="preserve">2023-12-04</t>
  </si>
  <si>
    <t xml:space="preserve">VB-0820</t>
  </si>
  <si>
    <t xml:space="preserve">SKP-2023-0172</t>
  </si>
  <si>
    <t xml:space="preserve">OFR-2023-0574</t>
  </si>
  <si>
    <t xml:space="preserve">2023-09-17</t>
  </si>
  <si>
    <t xml:space="preserve">WL-01080</t>
  </si>
  <si>
    <t xml:space="preserve">Jessica Lopez</t>
  </si>
  <si>
    <t xml:space="preserve">2022-05-10</t>
  </si>
  <si>
    <t xml:space="preserve">EW-0511</t>
  </si>
  <si>
    <t xml:space="preserve">SKP-2023-0162</t>
  </si>
  <si>
    <t xml:space="preserve">OFR-2023-0541</t>
  </si>
  <si>
    <t xml:space="preserve">2023-09-18</t>
  </si>
  <si>
    <t xml:space="preserve">WL-03249</t>
  </si>
  <si>
    <t xml:space="preserve">Julia Anderson</t>
  </si>
  <si>
    <t xml:space="preserve">2025-06-21</t>
  </si>
  <si>
    <t xml:space="preserve">EW-0518</t>
  </si>
  <si>
    <t xml:space="preserve">SKP-2023-0169</t>
  </si>
  <si>
    <t xml:space="preserve">OFR-2023-0567</t>
  </si>
  <si>
    <t xml:space="preserve">2023-09-21</t>
  </si>
  <si>
    <t xml:space="preserve">WL-01168</t>
  </si>
  <si>
    <t xml:space="preserve">Wesley Bradford</t>
  </si>
  <si>
    <t xml:space="preserve">2022-08-09</t>
  </si>
  <si>
    <t xml:space="preserve">LP-0604</t>
  </si>
  <si>
    <t xml:space="preserve">SKP-2023-0167</t>
  </si>
  <si>
    <t xml:space="preserve">OFR-2023-0555</t>
  </si>
  <si>
    <t xml:space="preserve">2023-09-25</t>
  </si>
  <si>
    <t xml:space="preserve">WL-01566</t>
  </si>
  <si>
    <t xml:space="preserve">Sara Garcia</t>
  </si>
  <si>
    <t xml:space="preserve">2023-04-22</t>
  </si>
  <si>
    <t xml:space="preserve">LP-0706</t>
  </si>
  <si>
    <t xml:space="preserve">SKP-2023-0176</t>
  </si>
  <si>
    <t xml:space="preserve">OFR-2023-0604</t>
  </si>
  <si>
    <t xml:space="preserve">2023-10-05</t>
  </si>
  <si>
    <t xml:space="preserve">WL-01594</t>
  </si>
  <si>
    <t xml:space="preserve">Tracey Johnson</t>
  </si>
  <si>
    <t xml:space="preserve">GW-0705</t>
  </si>
  <si>
    <t xml:space="preserve">SUPPORTED: AMD-000772 / Foldview Marine Services haul-out sheet 2022-09-12</t>
  </si>
  <si>
    <t xml:space="preserve">SKP-2023-0175</t>
  </si>
  <si>
    <t xml:space="preserve">OFR-2023-0586</t>
  </si>
  <si>
    <t xml:space="preserve">2023-10-06</t>
  </si>
  <si>
    <t xml:space="preserve">WL-01003</t>
  </si>
  <si>
    <t xml:space="preserve">Shannon Phillips</t>
  </si>
  <si>
    <t xml:space="preserve">2022-01-18</t>
  </si>
  <si>
    <t xml:space="preserve">SB-0401</t>
  </si>
  <si>
    <t xml:space="preserve">SKP-2023-0179</t>
  </si>
  <si>
    <t xml:space="preserve">OFR-2023-0617</t>
  </si>
  <si>
    <t xml:space="preserve">2023-10-09</t>
  </si>
  <si>
    <t xml:space="preserve">WL-01704</t>
  </si>
  <si>
    <t xml:space="preserve">Justin Horn</t>
  </si>
  <si>
    <t xml:space="preserve">EW-0804</t>
  </si>
  <si>
    <t xml:space="preserve">SKP-2023-0177</t>
  </si>
  <si>
    <t xml:space="preserve">OFR-2023-0609</t>
  </si>
  <si>
    <t xml:space="preserve">2023-10-21</t>
  </si>
  <si>
    <t xml:space="preserve">WL-01918</t>
  </si>
  <si>
    <t xml:space="preserve">Brittany Barrett</t>
  </si>
  <si>
    <t xml:space="preserve">2023-10-30</t>
  </si>
  <si>
    <t xml:space="preserve">VB-0118</t>
  </si>
  <si>
    <t xml:space="preserve">SKP-2023-0178</t>
  </si>
  <si>
    <t xml:space="preserve">OFR-2023-0613</t>
  </si>
  <si>
    <t xml:space="preserve">2023-10-24</t>
  </si>
  <si>
    <t xml:space="preserve">WL-03849</t>
  </si>
  <si>
    <t xml:space="preserve">Melissa Ramirez</t>
  </si>
  <si>
    <t xml:space="preserve">2026-05-24</t>
  </si>
  <si>
    <t xml:space="preserve">SB-0406</t>
  </si>
  <si>
    <t xml:space="preserve">SKP-2023-0180</t>
  </si>
  <si>
    <t xml:space="preserve">OFR-2023-0623</t>
  </si>
  <si>
    <t xml:space="preserve">2023-11-22</t>
  </si>
  <si>
    <t xml:space="preserve">WL-03696</t>
  </si>
  <si>
    <t xml:space="preserve">Natalie Duncan</t>
  </si>
  <si>
    <t xml:space="preserve">2026-02-03</t>
  </si>
  <si>
    <t xml:space="preserve">LP-0114</t>
  </si>
  <si>
    <t xml:space="preserve">SKP-2023-0186</t>
  </si>
  <si>
    <t xml:space="preserve">OFR-2023-0648</t>
  </si>
  <si>
    <t xml:space="preserve">2023-12-03</t>
  </si>
  <si>
    <t xml:space="preserve">EW-1002</t>
  </si>
  <si>
    <t xml:space="preserve">SKP-2023-0181</t>
  </si>
  <si>
    <t xml:space="preserve">OFR-2023-0634</t>
  </si>
  <si>
    <t xml:space="preserve">2023-12-17</t>
  </si>
  <si>
    <t xml:space="preserve">WL-01016</t>
  </si>
  <si>
    <t xml:space="preserve">Jared Mosley</t>
  </si>
  <si>
    <t xml:space="preserve">2022-02-17</t>
  </si>
  <si>
    <t xml:space="preserve">LP-0416</t>
  </si>
  <si>
    <t xml:space="preserve">SKP-2023-0182</t>
  </si>
  <si>
    <t xml:space="preserve">OFR-2023-0636</t>
  </si>
  <si>
    <t xml:space="preserve">2023-12-21</t>
  </si>
  <si>
    <t xml:space="preserve">WL-01186</t>
  </si>
  <si>
    <t xml:space="preserve">Amy Hartman</t>
  </si>
  <si>
    <t xml:space="preserve">2022-08-25</t>
  </si>
  <si>
    <t xml:space="preserve">SB-0610</t>
  </si>
  <si>
    <t xml:space="preserve">SKP-2023-0185</t>
  </si>
  <si>
    <t xml:space="preserve">OFR-2023-0645</t>
  </si>
  <si>
    <t xml:space="preserve">2023-12-24</t>
  </si>
  <si>
    <t xml:space="preserve">WL-02726</t>
  </si>
  <si>
    <t xml:space="preserve">Michelle Herman</t>
  </si>
  <si>
    <t xml:space="preserve">2024-11-03</t>
  </si>
  <si>
    <t xml:space="preserve">EW-0916</t>
  </si>
  <si>
    <t xml:space="preserve">SKP-2023-0183</t>
  </si>
  <si>
    <t xml:space="preserve">OFR-2023-0638</t>
  </si>
  <si>
    <t xml:space="preserve">2023-12-26</t>
  </si>
  <si>
    <t xml:space="preserve">WL-01524</t>
  </si>
  <si>
    <t xml:space="preserve">William Wright</t>
  </si>
  <si>
    <t xml:space="preserve">2023-03-28</t>
  </si>
  <si>
    <t xml:space="preserve">VB-0804</t>
  </si>
  <si>
    <t xml:space="preserve">SKP-2023-0184</t>
  </si>
  <si>
    <t xml:space="preserve">OFR-2023-0643</t>
  </si>
  <si>
    <t xml:space="preserve">WL-03111</t>
  </si>
  <si>
    <t xml:space="preserve">Kevin Gilbert</t>
  </si>
  <si>
    <t xml:space="preserve">2025-04-13</t>
  </si>
  <si>
    <t xml:space="preserve">VB-0311</t>
  </si>
  <si>
    <t xml:space="preserve">SKP-2024-0188</t>
  </si>
  <si>
    <t xml:space="preserve">OFR-2024-0654</t>
  </si>
  <si>
    <t xml:space="preserve">WL-01632</t>
  </si>
  <si>
    <t xml:space="preserve">Laura Johnson</t>
  </si>
  <si>
    <t xml:space="preserve">2023-06-03</t>
  </si>
  <si>
    <t xml:space="preserve">SB-0306</t>
  </si>
  <si>
    <t xml:space="preserve">SKP-2024-0187</t>
  </si>
  <si>
    <t xml:space="preserve">OFR-2024-0653</t>
  </si>
  <si>
    <t xml:space="preserve">2024-01-14</t>
  </si>
  <si>
    <t xml:space="preserve">WL-02759</t>
  </si>
  <si>
    <t xml:space="preserve">Michael Rose</t>
  </si>
  <si>
    <t xml:space="preserve">2024-11-14</t>
  </si>
  <si>
    <t xml:space="preserve">EW-0708</t>
  </si>
  <si>
    <t xml:space="preserve">SKP-2024-0191</t>
  </si>
  <si>
    <t xml:space="preserve">OFR-2024-0666</t>
  </si>
  <si>
    <t xml:space="preserve">2024-02-03</t>
  </si>
  <si>
    <t xml:space="preserve">WL-01253</t>
  </si>
  <si>
    <t xml:space="preserve">Brandon Sawyer</t>
  </si>
  <si>
    <t xml:space="preserve">2022-10-12</t>
  </si>
  <si>
    <t xml:space="preserve">LP-0307</t>
  </si>
  <si>
    <t xml:space="preserve">SKP-2024-0194</t>
  </si>
  <si>
    <t xml:space="preserve">OFR-2024-0672</t>
  </si>
  <si>
    <t xml:space="preserve">2024-02-07</t>
  </si>
  <si>
    <t xml:space="preserve">WL-01347</t>
  </si>
  <si>
    <t xml:space="preserve">Ryan Bennett</t>
  </si>
  <si>
    <t xml:space="preserve">2022-12-16</t>
  </si>
  <si>
    <t xml:space="preserve">EW-0624</t>
  </si>
  <si>
    <t xml:space="preserve">SKP-2024-0193</t>
  </si>
  <si>
    <t xml:space="preserve">OFR-2024-0671</t>
  </si>
  <si>
    <t xml:space="preserve">WL-02653</t>
  </si>
  <si>
    <t xml:space="preserve">Christine Jones</t>
  </si>
  <si>
    <t xml:space="preserve">2024-10-01</t>
  </si>
  <si>
    <t xml:space="preserve">SB-0616</t>
  </si>
  <si>
    <t xml:space="preserve">SKP-2024-0195</t>
  </si>
  <si>
    <t xml:space="preserve">OFR-2024-0673</t>
  </si>
  <si>
    <t xml:space="preserve">2024-02-09</t>
  </si>
  <si>
    <t xml:space="preserve">WL-01562</t>
  </si>
  <si>
    <t xml:space="preserve">Karen Ward</t>
  </si>
  <si>
    <t xml:space="preserve">2023-04-18</t>
  </si>
  <si>
    <t xml:space="preserve">GW-0219</t>
  </si>
  <si>
    <t xml:space="preserve">SKP-2024-0192</t>
  </si>
  <si>
    <t xml:space="preserve">OFR-2024-0670</t>
  </si>
  <si>
    <t xml:space="preserve">2024-02-15</t>
  </si>
  <si>
    <t xml:space="preserve">WL-03127</t>
  </si>
  <si>
    <t xml:space="preserve">Lindsay Dixon</t>
  </si>
  <si>
    <t xml:space="preserve">2025-04-22</t>
  </si>
  <si>
    <t xml:space="preserve">LP-0515</t>
  </si>
  <si>
    <t xml:space="preserve">SKP-2024-0189</t>
  </si>
  <si>
    <t xml:space="preserve">OFR-2024-0661</t>
  </si>
  <si>
    <t xml:space="preserve">WL-03141</t>
  </si>
  <si>
    <t xml:space="preserve">Joseph Green</t>
  </si>
  <si>
    <t xml:space="preserve">2025-04-30</t>
  </si>
  <si>
    <t xml:space="preserve">LP-0203</t>
  </si>
  <si>
    <t xml:space="preserve">SKP-2024-0190</t>
  </si>
  <si>
    <t xml:space="preserve">OFR-2024-0663</t>
  </si>
  <si>
    <t xml:space="preserve">2024-02-24</t>
  </si>
  <si>
    <t xml:space="preserve">WL-02349</t>
  </si>
  <si>
    <t xml:space="preserve">Natalie Mason</t>
  </si>
  <si>
    <t xml:space="preserve">2024-05-17</t>
  </si>
  <si>
    <t xml:space="preserve">SB-0403</t>
  </si>
  <si>
    <t xml:space="preserve">SKP-2024-0203</t>
  </si>
  <si>
    <t xml:space="preserve">OFR-2024-0701</t>
  </si>
  <si>
    <t xml:space="preserve">2024-03-02</t>
  </si>
  <si>
    <t xml:space="preserve">WL-02769</t>
  </si>
  <si>
    <t xml:space="preserve">Jacqueline Simon</t>
  </si>
  <si>
    <t xml:space="preserve">2024-11-19</t>
  </si>
  <si>
    <t xml:space="preserve">EW-0902</t>
  </si>
  <si>
    <t xml:space="preserve">SKP-2024-0200</t>
  </si>
  <si>
    <t xml:space="preserve">OFR-2024-0693</t>
  </si>
  <si>
    <t xml:space="preserve">WL-02893</t>
  </si>
  <si>
    <t xml:space="preserve">Christopher Carrillo</t>
  </si>
  <si>
    <t xml:space="preserve">2025-01-07</t>
  </si>
  <si>
    <t xml:space="preserve">EW-1021</t>
  </si>
  <si>
    <t xml:space="preserve">SKP-2024-0202</t>
  </si>
  <si>
    <t xml:space="preserve">OFR-2024-0700</t>
  </si>
  <si>
    <t xml:space="preserve">2024-03-20</t>
  </si>
  <si>
    <t xml:space="preserve">WL-03661</t>
  </si>
  <si>
    <t xml:space="preserve">Kenneth Williams</t>
  </si>
  <si>
    <t xml:space="preserve">2026-01-16</t>
  </si>
  <si>
    <t xml:space="preserve">EW-0709</t>
  </si>
  <si>
    <t xml:space="preserve">SKP-2024-0198</t>
  </si>
  <si>
    <t xml:space="preserve">OFR-2024-0683</t>
  </si>
  <si>
    <t xml:space="preserve">2024-03-22</t>
  </si>
  <si>
    <t xml:space="preserve">WL-02027</t>
  </si>
  <si>
    <t xml:space="preserve">Monica Hammond</t>
  </si>
  <si>
    <t xml:space="preserve">2023-12-19</t>
  </si>
  <si>
    <t xml:space="preserve">SKP-2024-0196</t>
  </si>
  <si>
    <t xml:space="preserve">OFR-2024-0676</t>
  </si>
  <si>
    <t xml:space="preserve">2024-03-23</t>
  </si>
  <si>
    <t xml:space="preserve">WL-02629</t>
  </si>
  <si>
    <t xml:space="preserve">Joseph Powell</t>
  </si>
  <si>
    <t xml:space="preserve">2024-09-22</t>
  </si>
  <si>
    <t xml:space="preserve">VB-1021</t>
  </si>
  <si>
    <t xml:space="preserve">SKP-2024-0201</t>
  </si>
  <si>
    <t xml:space="preserve">OFR-2024-0698</t>
  </si>
  <si>
    <t xml:space="preserve">2024-03-25</t>
  </si>
  <si>
    <t xml:space="preserve">WL-02274</t>
  </si>
  <si>
    <t xml:space="preserve">Kevin Green</t>
  </si>
  <si>
    <t xml:space="preserve">2024-04-18</t>
  </si>
  <si>
    <t xml:space="preserve">VB-0721</t>
  </si>
  <si>
    <t xml:space="preserve">SKP-2024-0199</t>
  </si>
  <si>
    <t xml:space="preserve">OFR-2024-0690</t>
  </si>
  <si>
    <t xml:space="preserve">2024-03-27</t>
  </si>
  <si>
    <t xml:space="preserve">WL-03185</t>
  </si>
  <si>
    <t xml:space="preserve">Sarah Davis</t>
  </si>
  <si>
    <t xml:space="preserve">2025-05-16</t>
  </si>
  <si>
    <t xml:space="preserve">SB-0824</t>
  </si>
  <si>
    <t xml:space="preserve">SKP-2024-0197</t>
  </si>
  <si>
    <t xml:space="preserve">OFR-2024-0679</t>
  </si>
  <si>
    <t xml:space="preserve">2024-03-28</t>
  </si>
  <si>
    <t xml:space="preserve">WL-03621</t>
  </si>
  <si>
    <t xml:space="preserve">Denise Powers</t>
  </si>
  <si>
    <t xml:space="preserve">2025-12-27</t>
  </si>
  <si>
    <t xml:space="preserve">SB-0601</t>
  </si>
  <si>
    <t xml:space="preserve">SKP-2024-0206</t>
  </si>
  <si>
    <t xml:space="preserve">OFR-2024-0724</t>
  </si>
  <si>
    <t xml:space="preserve">2024-04-08</t>
  </si>
  <si>
    <t xml:space="preserve">WL-03018</t>
  </si>
  <si>
    <t xml:space="preserve">Jessica Duffy</t>
  </si>
  <si>
    <t xml:space="preserve">2025-03-04</t>
  </si>
  <si>
    <t xml:space="preserve">VB-0617</t>
  </si>
  <si>
    <t xml:space="preserve">SKP-2024-0205</t>
  </si>
  <si>
    <t xml:space="preserve">OFR-2024-0707</t>
  </si>
  <si>
    <t xml:space="preserve">WL-02895</t>
  </si>
  <si>
    <t xml:space="preserve">Madison Hensley</t>
  </si>
  <si>
    <t xml:space="preserve">EW-0306</t>
  </si>
  <si>
    <t xml:space="preserve">SKP-2024-0214</t>
  </si>
  <si>
    <t xml:space="preserve">OFR-2024-0762</t>
  </si>
  <si>
    <t xml:space="preserve">2024-05-01</t>
  </si>
  <si>
    <t xml:space="preserve">WL-01318</t>
  </si>
  <si>
    <t xml:space="preserve">Denise Montgomery</t>
  </si>
  <si>
    <t xml:space="preserve">2022-12-02</t>
  </si>
  <si>
    <t xml:space="preserve">SKP-2024-0208</t>
  </si>
  <si>
    <t xml:space="preserve">OFR-2024-0737</t>
  </si>
  <si>
    <t xml:space="preserve">2024-05-08</t>
  </si>
  <si>
    <t xml:space="preserve">WL-02305</t>
  </si>
  <si>
    <t xml:space="preserve">John Patel</t>
  </si>
  <si>
    <t xml:space="preserve">2024-04-28</t>
  </si>
  <si>
    <t xml:space="preserve">GW-0823</t>
  </si>
  <si>
    <t xml:space="preserve">SKP-2024-0209</t>
  </si>
  <si>
    <t xml:space="preserve">OFR-2024-0746</t>
  </si>
  <si>
    <t xml:space="preserve">2024-05-13</t>
  </si>
  <si>
    <t xml:space="preserve">WL-01675</t>
  </si>
  <si>
    <t xml:space="preserve">2023-06-21</t>
  </si>
  <si>
    <t xml:space="preserve">VB-0808</t>
  </si>
  <si>
    <t xml:space="preserve">SUPPORTED: AMD-000967 / Foldview Marine Services haul-out sheet 2023-09-16</t>
  </si>
  <si>
    <t xml:space="preserve">SKP-2024-0213</t>
  </si>
  <si>
    <t xml:space="preserve">OFR-2024-0759</t>
  </si>
  <si>
    <t xml:space="preserve">2024-05-15</t>
  </si>
  <si>
    <t xml:space="preserve">WL-01753</t>
  </si>
  <si>
    <t xml:space="preserve">Erin Valencia</t>
  </si>
  <si>
    <t xml:space="preserve">LP-0722</t>
  </si>
  <si>
    <t xml:space="preserve">SKP-2024-0211</t>
  </si>
  <si>
    <t xml:space="preserve">OFR-2024-0752</t>
  </si>
  <si>
    <t xml:space="preserve">2024-05-19</t>
  </si>
  <si>
    <t xml:space="preserve">WL-01536</t>
  </si>
  <si>
    <t xml:space="preserve">Deborah Spears</t>
  </si>
  <si>
    <t xml:space="preserve">GW-0522</t>
  </si>
  <si>
    <t xml:space="preserve">SKP-2024-0215</t>
  </si>
  <si>
    <t xml:space="preserve">OFR-2024-0766</t>
  </si>
  <si>
    <t xml:space="preserve">2024-05-21</t>
  </si>
  <si>
    <t xml:space="preserve">WL-03891</t>
  </si>
  <si>
    <t xml:space="preserve">David Melton</t>
  </si>
  <si>
    <t xml:space="preserve">2026-06-27</t>
  </si>
  <si>
    <t xml:space="preserve">EW-0607</t>
  </si>
  <si>
    <t xml:space="preserve">SKP-2024-0212</t>
  </si>
  <si>
    <t xml:space="preserve">OFR-2024-0755</t>
  </si>
  <si>
    <t xml:space="preserve">WL-02013</t>
  </si>
  <si>
    <t xml:space="preserve">Elizabeth Harrison</t>
  </si>
  <si>
    <t xml:space="preserve">2023-12-11</t>
  </si>
  <si>
    <t xml:space="preserve">VB-0602</t>
  </si>
  <si>
    <t xml:space="preserve">SKP-2024-0210</t>
  </si>
  <si>
    <t xml:space="preserve">OFR-2024-0747</t>
  </si>
  <si>
    <t xml:space="preserve">2024-05-23</t>
  </si>
  <si>
    <t xml:space="preserve">SKP-2024-0220</t>
  </si>
  <si>
    <t xml:space="preserve">OFR-2024-0791</t>
  </si>
  <si>
    <t xml:space="preserve">2024-06-08</t>
  </si>
  <si>
    <t xml:space="preserve">SB-0302</t>
  </si>
  <si>
    <t xml:space="preserve">SKP-2024-0221</t>
  </si>
  <si>
    <t xml:space="preserve">OFR-2024-0792</t>
  </si>
  <si>
    <t xml:space="preserve">2024-06-09</t>
  </si>
  <si>
    <t xml:space="preserve">WL-01368</t>
  </si>
  <si>
    <t xml:space="preserve">Justin Turner</t>
  </si>
  <si>
    <t xml:space="preserve">VB-0924</t>
  </si>
  <si>
    <t xml:space="preserve">SKP-2024-0216</t>
  </si>
  <si>
    <t xml:space="preserve">OFR-2024-0772</t>
  </si>
  <si>
    <t xml:space="preserve">2024-06-12</t>
  </si>
  <si>
    <t xml:space="preserve">WL-03026</t>
  </si>
  <si>
    <t xml:space="preserve">Amanda Taylor</t>
  </si>
  <si>
    <t xml:space="preserve">2025-03-06</t>
  </si>
  <si>
    <t xml:space="preserve">LP-0324</t>
  </si>
  <si>
    <t xml:space="preserve">SKP-2024-0218</t>
  </si>
  <si>
    <t xml:space="preserve">OFR-2024-0784</t>
  </si>
  <si>
    <t xml:space="preserve">2024-06-14</t>
  </si>
  <si>
    <t xml:space="preserve">WL-03527</t>
  </si>
  <si>
    <t xml:space="preserve">Ashley Logan</t>
  </si>
  <si>
    <t xml:space="preserve">2025-11-04</t>
  </si>
  <si>
    <t xml:space="preserve">EW-0523</t>
  </si>
  <si>
    <t xml:space="preserve">SKP-2024-0217</t>
  </si>
  <si>
    <t xml:space="preserve">OFR-2024-0774</t>
  </si>
  <si>
    <t xml:space="preserve">2024-06-15</t>
  </si>
  <si>
    <t xml:space="preserve">WL-03245</t>
  </si>
  <si>
    <t xml:space="preserve">Howard Sellers</t>
  </si>
  <si>
    <t xml:space="preserve">2025-06-17</t>
  </si>
  <si>
    <t xml:space="preserve">LP-1001</t>
  </si>
  <si>
    <t xml:space="preserve">SKP-2024-0223</t>
  </si>
  <si>
    <t xml:space="preserve">OFR-2024-0823</t>
  </si>
  <si>
    <t xml:space="preserve">2024-07-05</t>
  </si>
  <si>
    <t xml:space="preserve">WL-01691</t>
  </si>
  <si>
    <t xml:space="preserve">Joshua Li</t>
  </si>
  <si>
    <t xml:space="preserve">2023-07-02</t>
  </si>
  <si>
    <t xml:space="preserve">LP-1024</t>
  </si>
  <si>
    <t xml:space="preserve">SKP-2024-0224</t>
  </si>
  <si>
    <t xml:space="preserve">OFR-2024-0824</t>
  </si>
  <si>
    <t xml:space="preserve">2024-07-14</t>
  </si>
  <si>
    <t xml:space="preserve">WL-02850</t>
  </si>
  <si>
    <t xml:space="preserve">Edwin Boone</t>
  </si>
  <si>
    <t xml:space="preserve">2024-12-24</t>
  </si>
  <si>
    <t xml:space="preserve">SB-0107</t>
  </si>
  <si>
    <t xml:space="preserve">SKP-2024-0222</t>
  </si>
  <si>
    <t xml:space="preserve">OFR-2024-0818</t>
  </si>
  <si>
    <t xml:space="preserve">2024-07-28</t>
  </si>
  <si>
    <t xml:space="preserve">WL-01889</t>
  </si>
  <si>
    <t xml:space="preserve">Haley Scott</t>
  </si>
  <si>
    <t xml:space="preserve">2023-10-13</t>
  </si>
  <si>
    <t xml:space="preserve">GW-0206</t>
  </si>
  <si>
    <t xml:space="preserve">SKP-2024-0231</t>
  </si>
  <si>
    <t xml:space="preserve">OFR-2024-0862</t>
  </si>
  <si>
    <t xml:space="preserve">2024-08-04</t>
  </si>
  <si>
    <t xml:space="preserve">WL-02925</t>
  </si>
  <si>
    <t xml:space="preserve">Leslie Marsh</t>
  </si>
  <si>
    <t xml:space="preserve">2025-01-22</t>
  </si>
  <si>
    <t xml:space="preserve">EW-0324</t>
  </si>
  <si>
    <t xml:space="preserve">SKP-2024-0226</t>
  </si>
  <si>
    <t xml:space="preserve">OFR-2024-0829</t>
  </si>
  <si>
    <t xml:space="preserve">2024-08-06</t>
  </si>
  <si>
    <t xml:space="preserve">WL-03542</t>
  </si>
  <si>
    <t xml:space="preserve">Kristina Rivas</t>
  </si>
  <si>
    <t xml:space="preserve">2025-11-13</t>
  </si>
  <si>
    <t xml:space="preserve">SB-0319</t>
  </si>
  <si>
    <t xml:space="preserve">SKP-2024-0228</t>
  </si>
  <si>
    <t xml:space="preserve">OFR-2024-0831</t>
  </si>
  <si>
    <t xml:space="preserve">WL-01001</t>
  </si>
  <si>
    <t xml:space="preserve">Valerie Jones</t>
  </si>
  <si>
    <t xml:space="preserve">2022-01-13</t>
  </si>
  <si>
    <t xml:space="preserve">VB-1008</t>
  </si>
  <si>
    <t xml:space="preserve">SUPPORTED: AMD-001192 / MC-2024-0630</t>
  </si>
  <si>
    <t xml:space="preserve">SKP-2024-0227</t>
  </si>
  <si>
    <t xml:space="preserve">OFR-2024-0830</t>
  </si>
  <si>
    <t xml:space="preserve">2024-08-16</t>
  </si>
  <si>
    <t xml:space="preserve">WL-03759</t>
  </si>
  <si>
    <t xml:space="preserve">Ryan Newton</t>
  </si>
  <si>
    <t xml:space="preserve">2026-03-18</t>
  </si>
  <si>
    <t xml:space="preserve">GW-0123</t>
  </si>
  <si>
    <t xml:space="preserve">SKP-2024-0225</t>
  </si>
  <si>
    <t xml:space="preserve">OFR-2024-0828</t>
  </si>
  <si>
    <t xml:space="preserve">2024-08-18</t>
  </si>
  <si>
    <t xml:space="preserve">WL-03762</t>
  </si>
  <si>
    <t xml:space="preserve">Kristen Anderson</t>
  </si>
  <si>
    <t xml:space="preserve">2026-03-24</t>
  </si>
  <si>
    <t xml:space="preserve">LP-0513</t>
  </si>
  <si>
    <t xml:space="preserve">SKP-2024-0229</t>
  </si>
  <si>
    <t xml:space="preserve">OFR-2024-0838</t>
  </si>
  <si>
    <t xml:space="preserve">2024-08-25</t>
  </si>
  <si>
    <t xml:space="preserve">WL-02791</t>
  </si>
  <si>
    <t xml:space="preserve">Kyle Jimenez</t>
  </si>
  <si>
    <t xml:space="preserve">SKP-2024-0230</t>
  </si>
  <si>
    <t xml:space="preserve">OFR-2024-0845</t>
  </si>
  <si>
    <t xml:space="preserve">2024-08-28</t>
  </si>
  <si>
    <t xml:space="preserve">WL-01998</t>
  </si>
  <si>
    <t xml:space="preserve">Katherine Johnson</t>
  </si>
  <si>
    <t xml:space="preserve">EW-0118</t>
  </si>
  <si>
    <t xml:space="preserve">SKP-2024-0235</t>
  </si>
  <si>
    <t xml:space="preserve">OFR-2024-0876</t>
  </si>
  <si>
    <t xml:space="preserve">2024-09-01</t>
  </si>
  <si>
    <t xml:space="preserve">WL-03228</t>
  </si>
  <si>
    <t xml:space="preserve">Roy Stuart</t>
  </si>
  <si>
    <t xml:space="preserve">2025-06-08</t>
  </si>
  <si>
    <t xml:space="preserve">EW-0319</t>
  </si>
  <si>
    <t xml:space="preserve">SKP-2024-0232</t>
  </si>
  <si>
    <t xml:space="preserve">OFR-2024-0869</t>
  </si>
  <si>
    <t xml:space="preserve">WL-03615</t>
  </si>
  <si>
    <t xml:space="preserve">Kathryn Cook</t>
  </si>
  <si>
    <t xml:space="preserve">2025-12-24</t>
  </si>
  <si>
    <t xml:space="preserve">VB-0518</t>
  </si>
  <si>
    <t xml:space="preserve">SKP-2024-0239</t>
  </si>
  <si>
    <t xml:space="preserve">OFR-2024-0887</t>
  </si>
  <si>
    <t xml:space="preserve">2024-09-02</t>
  </si>
  <si>
    <t xml:space="preserve">WL-01504</t>
  </si>
  <si>
    <t xml:space="preserve">Margaret Johnson</t>
  </si>
  <si>
    <t xml:space="preserve">VB-0223</t>
  </si>
  <si>
    <t xml:space="preserve">SKP-2024-0234</t>
  </si>
  <si>
    <t xml:space="preserve">OFR-2024-0871</t>
  </si>
  <si>
    <t xml:space="preserve">WL-01779</t>
  </si>
  <si>
    <t xml:space="preserve">Christy Burke</t>
  </si>
  <si>
    <t xml:space="preserve">2023-08-21</t>
  </si>
  <si>
    <t xml:space="preserve">SB-0313</t>
  </si>
  <si>
    <t xml:space="preserve">SKP-2024-0238</t>
  </si>
  <si>
    <t xml:space="preserve">OFR-2024-0883</t>
  </si>
  <si>
    <t xml:space="preserve">2024-09-10</t>
  </si>
  <si>
    <t xml:space="preserve">WL-02336</t>
  </si>
  <si>
    <t xml:space="preserve">Jimmy Ford</t>
  </si>
  <si>
    <t xml:space="preserve">2024-05-10</t>
  </si>
  <si>
    <t xml:space="preserve">VB-0517</t>
  </si>
  <si>
    <t xml:space="preserve">SKP-2024-0236</t>
  </si>
  <si>
    <t xml:space="preserve">OFR-2024-0877</t>
  </si>
  <si>
    <t xml:space="preserve">WL-03479</t>
  </si>
  <si>
    <t xml:space="preserve">Brittney Daugherty</t>
  </si>
  <si>
    <t xml:space="preserve">2025-10-06</t>
  </si>
  <si>
    <t xml:space="preserve">SB-0607</t>
  </si>
  <si>
    <t xml:space="preserve">SKP-2024-0233</t>
  </si>
  <si>
    <t xml:space="preserve">OFR-2024-0870</t>
  </si>
  <si>
    <t xml:space="preserve">2024-09-11</t>
  </si>
  <si>
    <t xml:space="preserve">WL-03062</t>
  </si>
  <si>
    <t xml:space="preserve">Donna Garcia</t>
  </si>
  <si>
    <t xml:space="preserve">2025-03-23</t>
  </si>
  <si>
    <t xml:space="preserve">LP-0303</t>
  </si>
  <si>
    <t xml:space="preserve">SKP-2024-0237</t>
  </si>
  <si>
    <t xml:space="preserve">OFR-2024-0878</t>
  </si>
  <si>
    <t xml:space="preserve">2024-09-14</t>
  </si>
  <si>
    <t xml:space="preserve">WL-02574</t>
  </si>
  <si>
    <t xml:space="preserve">Elizabeth Larsen</t>
  </si>
  <si>
    <t xml:space="preserve">2024-08-29</t>
  </si>
  <si>
    <t xml:space="preserve">SKP-2024-0240</t>
  </si>
  <si>
    <t xml:space="preserve">OFR-2024-0889</t>
  </si>
  <si>
    <t xml:space="preserve">2024-09-25</t>
  </si>
  <si>
    <t xml:space="preserve">WL-01718</t>
  </si>
  <si>
    <t xml:space="preserve">Christopher Welch</t>
  </si>
  <si>
    <t xml:space="preserve">2023-07-18</t>
  </si>
  <si>
    <t xml:space="preserve">SB-0821</t>
  </si>
  <si>
    <t xml:space="preserve">SKP-2024-0246</t>
  </si>
  <si>
    <t xml:space="preserve">OFR-2024-0922</t>
  </si>
  <si>
    <t xml:space="preserve">2024-10-15</t>
  </si>
  <si>
    <t xml:space="preserve">WL-01269</t>
  </si>
  <si>
    <t xml:space="preserve">Patricia Bennett</t>
  </si>
  <si>
    <t xml:space="preserve">2022-10-25</t>
  </si>
  <si>
    <t xml:space="preserve">VB-0306</t>
  </si>
  <si>
    <t xml:space="preserve">SKP-2024-0247</t>
  </si>
  <si>
    <t xml:space="preserve">OFR-2024-0924</t>
  </si>
  <si>
    <t xml:space="preserve">2024-10-20</t>
  </si>
  <si>
    <t xml:space="preserve">WL-03733</t>
  </si>
  <si>
    <t xml:space="preserve">Theresa Richmond</t>
  </si>
  <si>
    <t xml:space="preserve">2026-02-28</t>
  </si>
  <si>
    <t xml:space="preserve">GW-0814</t>
  </si>
  <si>
    <t xml:space="preserve">SKP-2024-0243</t>
  </si>
  <si>
    <t xml:space="preserve">OFR-2024-0901</t>
  </si>
  <si>
    <t xml:space="preserve">2024-10-21</t>
  </si>
  <si>
    <t xml:space="preserve">WL-01264</t>
  </si>
  <si>
    <t xml:space="preserve">Jeffery Lewis</t>
  </si>
  <si>
    <t xml:space="preserve">2022-10-22</t>
  </si>
  <si>
    <t xml:space="preserve">VB-0917</t>
  </si>
  <si>
    <t xml:space="preserve">SKP-2024-0242</t>
  </si>
  <si>
    <t xml:space="preserve">OFR-2024-0895</t>
  </si>
  <si>
    <t xml:space="preserve">WL-03831</t>
  </si>
  <si>
    <t xml:space="preserve">Michael Burns</t>
  </si>
  <si>
    <t xml:space="preserve">2026-05-09</t>
  </si>
  <si>
    <t xml:space="preserve">EW-1022</t>
  </si>
  <si>
    <t xml:space="preserve">SKP-2024-0244</t>
  </si>
  <si>
    <t xml:space="preserve">OFR-2024-0903</t>
  </si>
  <si>
    <t xml:space="preserve">WL-03708</t>
  </si>
  <si>
    <t xml:space="preserve">Catherine Anderson</t>
  </si>
  <si>
    <t xml:space="preserve">2026-02-09</t>
  </si>
  <si>
    <t xml:space="preserve">GW-0813</t>
  </si>
  <si>
    <t xml:space="preserve">SKP-2024-0241</t>
  </si>
  <si>
    <t xml:space="preserve">OFR-2024-0893</t>
  </si>
  <si>
    <t xml:space="preserve">2024-10-26</t>
  </si>
  <si>
    <t xml:space="preserve">WL-01026</t>
  </si>
  <si>
    <t xml:space="preserve">Dawn Jacobs</t>
  </si>
  <si>
    <t xml:space="preserve">2022-03-13</t>
  </si>
  <si>
    <t xml:space="preserve">SB-0214</t>
  </si>
  <si>
    <t xml:space="preserve">SKP-2024-0245</t>
  </si>
  <si>
    <t xml:space="preserve">OFR-2024-0909</t>
  </si>
  <si>
    <t xml:space="preserve">WL-03808</t>
  </si>
  <si>
    <t xml:space="preserve">Julie Peterson</t>
  </si>
  <si>
    <t xml:space="preserve">2026-04-24</t>
  </si>
  <si>
    <t xml:space="preserve">VB-0601</t>
  </si>
  <si>
    <t xml:space="preserve">SKP-2024-0251</t>
  </si>
  <si>
    <t xml:space="preserve">OFR-2024-0942</t>
  </si>
  <si>
    <t xml:space="preserve">SB-0407</t>
  </si>
  <si>
    <t xml:space="preserve">SKP-2024-0248</t>
  </si>
  <si>
    <t xml:space="preserve">OFR-2024-0929</t>
  </si>
  <si>
    <t xml:space="preserve">WL-02139</t>
  </si>
  <si>
    <t xml:space="preserve">Jennifer Anderson</t>
  </si>
  <si>
    <t xml:space="preserve">LP-0215</t>
  </si>
  <si>
    <t xml:space="preserve">SKP-2024-0250</t>
  </si>
  <si>
    <t xml:space="preserve">OFR-2024-0940</t>
  </si>
  <si>
    <t xml:space="preserve">2024-11-23</t>
  </si>
  <si>
    <t xml:space="preserve">WL-01832</t>
  </si>
  <si>
    <t xml:space="preserve">Bryan Spencer</t>
  </si>
  <si>
    <t xml:space="preserve">VB-0222</t>
  </si>
  <si>
    <t xml:space="preserve">SKP-2024-0254</t>
  </si>
  <si>
    <t xml:space="preserve">OFR-2024-0954</t>
  </si>
  <si>
    <t xml:space="preserve">2024-12-11</t>
  </si>
  <si>
    <t xml:space="preserve">WL-03294</t>
  </si>
  <si>
    <t xml:space="preserve">Megan Nguyen</t>
  </si>
  <si>
    <t xml:space="preserve">2025-07-12</t>
  </si>
  <si>
    <t xml:space="preserve">LP-0102</t>
  </si>
  <si>
    <t xml:space="preserve">SKP-2024-0252</t>
  </si>
  <si>
    <t xml:space="preserve">OFR-2024-0951</t>
  </si>
  <si>
    <t xml:space="preserve">2024-12-13</t>
  </si>
  <si>
    <t xml:space="preserve">WL-02412</t>
  </si>
  <si>
    <t xml:space="preserve">Laura David</t>
  </si>
  <si>
    <t xml:space="preserve">GW-0201</t>
  </si>
  <si>
    <t xml:space="preserve">SKP-2024-0256</t>
  </si>
  <si>
    <t xml:space="preserve">OFR-2024-0960</t>
  </si>
  <si>
    <t xml:space="preserve">WL-02923</t>
  </si>
  <si>
    <t xml:space="preserve">Randall Cummings</t>
  </si>
  <si>
    <t xml:space="preserve">2025-01-20</t>
  </si>
  <si>
    <t xml:space="preserve">LP-0822</t>
  </si>
  <si>
    <t xml:space="preserve">SKP-2024-0255</t>
  </si>
  <si>
    <t xml:space="preserve">OFR-2024-0955</t>
  </si>
  <si>
    <t xml:space="preserve">2024-12-22</t>
  </si>
  <si>
    <t xml:space="preserve">WL-01844</t>
  </si>
  <si>
    <t xml:space="preserve">Jeffrey Pearson</t>
  </si>
  <si>
    <t xml:space="preserve">EW-0519</t>
  </si>
  <si>
    <t xml:space="preserve">SKP-2024-0253</t>
  </si>
  <si>
    <t xml:space="preserve">OFR-2024-0952</t>
  </si>
  <si>
    <t xml:space="preserve">WL-03079</t>
  </si>
  <si>
    <t xml:space="preserve">Crystal Glover</t>
  </si>
  <si>
    <t xml:space="preserve">2025-04-01</t>
  </si>
  <si>
    <t xml:space="preserve">SB-0106</t>
  </si>
  <si>
    <t xml:space="preserve">SKP-2025-0259</t>
  </si>
  <si>
    <t xml:space="preserve">OFR-2025-0969</t>
  </si>
  <si>
    <t xml:space="preserve">2025-01-01</t>
  </si>
  <si>
    <t xml:space="preserve">WL-01382</t>
  </si>
  <si>
    <t xml:space="preserve">Jose King</t>
  </si>
  <si>
    <t xml:space="preserve">2023-01-05</t>
  </si>
  <si>
    <t xml:space="preserve">GW-0908</t>
  </si>
  <si>
    <t xml:space="preserve">SKP-2025-0260</t>
  </si>
  <si>
    <t xml:space="preserve">OFR-2025-0970</t>
  </si>
  <si>
    <t xml:space="preserve">2025-01-12</t>
  </si>
  <si>
    <t xml:space="preserve">WL-03888</t>
  </si>
  <si>
    <t xml:space="preserve">Christian Garcia</t>
  </si>
  <si>
    <t xml:space="preserve">2026-06-23</t>
  </si>
  <si>
    <t xml:space="preserve">SB-0603</t>
  </si>
  <si>
    <t xml:space="preserve">SKP-2025-0257</t>
  </si>
  <si>
    <t xml:space="preserve">OFR-2025-0964</t>
  </si>
  <si>
    <t xml:space="preserve">WL-03628</t>
  </si>
  <si>
    <t xml:space="preserve">Makayla Johnson</t>
  </si>
  <si>
    <t xml:space="preserve">LP-0715</t>
  </si>
  <si>
    <t xml:space="preserve">SKP-2025-0261</t>
  </si>
  <si>
    <t xml:space="preserve">OFR-2025-0974</t>
  </si>
  <si>
    <t xml:space="preserve">WL-02733</t>
  </si>
  <si>
    <t xml:space="preserve">Tiffany Melendez</t>
  </si>
  <si>
    <t xml:space="preserve">2024-11-04</t>
  </si>
  <si>
    <t xml:space="preserve">LP-0803</t>
  </si>
  <si>
    <t xml:space="preserve">SKP-2025-0258</t>
  </si>
  <si>
    <t xml:space="preserve">OFR-2025-0968</t>
  </si>
  <si>
    <t xml:space="preserve">2025-01-17</t>
  </si>
  <si>
    <t xml:space="preserve">GW-0517</t>
  </si>
  <si>
    <t xml:space="preserve">SKP-2025-0262</t>
  </si>
  <si>
    <t xml:space="preserve">OFR-2025-0985</t>
  </si>
  <si>
    <t xml:space="preserve">2025-02-20</t>
  </si>
  <si>
    <t xml:space="preserve">WL-03244</t>
  </si>
  <si>
    <t xml:space="preserve">Norma Brown</t>
  </si>
  <si>
    <t xml:space="preserve">EW-1015</t>
  </si>
  <si>
    <t xml:space="preserve">SKP-2025-0267</t>
  </si>
  <si>
    <t xml:space="preserve">OFR-2025-1010</t>
  </si>
  <si>
    <t xml:space="preserve">2025-03-01</t>
  </si>
  <si>
    <t xml:space="preserve">WL-03815</t>
  </si>
  <si>
    <t xml:space="preserve">Jacqueline Jones</t>
  </si>
  <si>
    <t xml:space="preserve">2026-04-28</t>
  </si>
  <si>
    <t xml:space="preserve">SKP-2025-0266</t>
  </si>
  <si>
    <t xml:space="preserve">OFR-2025-1005</t>
  </si>
  <si>
    <t xml:space="preserve">2025-03-09</t>
  </si>
  <si>
    <t xml:space="preserve">WL-03604</t>
  </si>
  <si>
    <t xml:space="preserve">Lawrence Rodriguez</t>
  </si>
  <si>
    <t xml:space="preserve">2025-12-17</t>
  </si>
  <si>
    <t xml:space="preserve">EW-0909</t>
  </si>
  <si>
    <t xml:space="preserve">SKP-2025-0265</t>
  </si>
  <si>
    <t xml:space="preserve">OFR-2025-1003</t>
  </si>
  <si>
    <t xml:space="preserve">2025-03-12</t>
  </si>
  <si>
    <t xml:space="preserve">WL-03442</t>
  </si>
  <si>
    <t xml:space="preserve">Gary Russo</t>
  </si>
  <si>
    <t xml:space="preserve">2025-09-18</t>
  </si>
  <si>
    <t xml:space="preserve">SB-0203</t>
  </si>
  <si>
    <t xml:space="preserve">SKP-2025-0263</t>
  </si>
  <si>
    <t xml:space="preserve">OFR-2025-0999</t>
  </si>
  <si>
    <t xml:space="preserve">2025-03-22</t>
  </si>
  <si>
    <t xml:space="preserve">WL-02067</t>
  </si>
  <si>
    <t xml:space="preserve">Craig Simon</t>
  </si>
  <si>
    <t xml:space="preserve">2024-01-02</t>
  </si>
  <si>
    <t xml:space="preserve">LP-1107</t>
  </si>
  <si>
    <t xml:space="preserve">SKP-2025-0264</t>
  </si>
  <si>
    <t xml:space="preserve">OFR-2025-1001</t>
  </si>
  <si>
    <t xml:space="preserve">2025-03-27</t>
  </si>
  <si>
    <t xml:space="preserve">WL-01523</t>
  </si>
  <si>
    <t xml:space="preserve">Melissa Oneill</t>
  </si>
  <si>
    <t xml:space="preserve">LP-0304</t>
  </si>
  <si>
    <t xml:space="preserve">SKP-2025-0269</t>
  </si>
  <si>
    <t xml:space="preserve">OFR-2025-1018</t>
  </si>
  <si>
    <t xml:space="preserve">2025-04-02</t>
  </si>
  <si>
    <t xml:space="preserve">WL-02178</t>
  </si>
  <si>
    <t xml:space="preserve">Thomas Stone</t>
  </si>
  <si>
    <t xml:space="preserve">2024-03-01</t>
  </si>
  <si>
    <t xml:space="preserve">SKP-2025-0275</t>
  </si>
  <si>
    <t xml:space="preserve">OFR-2025-1037</t>
  </si>
  <si>
    <t xml:space="preserve">2025-04-05</t>
  </si>
  <si>
    <t xml:space="preserve">WL-02524</t>
  </si>
  <si>
    <t xml:space="preserve">Douglas Herrera</t>
  </si>
  <si>
    <t xml:space="preserve">2024-08-07</t>
  </si>
  <si>
    <t xml:space="preserve">SB-0102</t>
  </si>
  <si>
    <t xml:space="preserve">SKP-2025-0271</t>
  </si>
  <si>
    <t xml:space="preserve">OFR-2025-1028</t>
  </si>
  <si>
    <t xml:space="preserve">2025-04-07</t>
  </si>
  <si>
    <t xml:space="preserve">WL-01808</t>
  </si>
  <si>
    <t xml:space="preserve">Jason Shepard</t>
  </si>
  <si>
    <t xml:space="preserve">LP-0316</t>
  </si>
  <si>
    <t xml:space="preserve">SKP-2025-0274</t>
  </si>
  <si>
    <t xml:space="preserve">OFR-2025-1032</t>
  </si>
  <si>
    <t xml:space="preserve">2025-04-09</t>
  </si>
  <si>
    <t xml:space="preserve">WL-02188</t>
  </si>
  <si>
    <t xml:space="preserve">Courtney Zamora</t>
  </si>
  <si>
    <t xml:space="preserve">2024-03-07</t>
  </si>
  <si>
    <t xml:space="preserve">LP-0817</t>
  </si>
  <si>
    <t xml:space="preserve">SKP-2025-0270</t>
  </si>
  <si>
    <t xml:space="preserve">OFR-2025-1023</t>
  </si>
  <si>
    <t xml:space="preserve">SKP-2025-0276</t>
  </si>
  <si>
    <t xml:space="preserve">OFR-2025-1039</t>
  </si>
  <si>
    <t xml:space="preserve">2025-04-14</t>
  </si>
  <si>
    <t xml:space="preserve">WL-02845</t>
  </si>
  <si>
    <t xml:space="preserve">Joshua Ortiz</t>
  </si>
  <si>
    <t xml:space="preserve">SB-0410</t>
  </si>
  <si>
    <t xml:space="preserve">SKP-2025-0268</t>
  </si>
  <si>
    <t xml:space="preserve">OFR-2025-1012</t>
  </si>
  <si>
    <t xml:space="preserve">2025-04-16</t>
  </si>
  <si>
    <t xml:space="preserve">WL-01578</t>
  </si>
  <si>
    <t xml:space="preserve">Ashley Green</t>
  </si>
  <si>
    <t xml:space="preserve">2023-05-01</t>
  </si>
  <si>
    <t xml:space="preserve">LP-1108</t>
  </si>
  <si>
    <t xml:space="preserve">SKP-2025-0272</t>
  </si>
  <si>
    <t xml:space="preserve">OFR-2025-1029</t>
  </si>
  <si>
    <t xml:space="preserve">WL-02693</t>
  </si>
  <si>
    <t xml:space="preserve">Patrick Allen</t>
  </si>
  <si>
    <t xml:space="preserve">2024-10-16</t>
  </si>
  <si>
    <t xml:space="preserve">VB-0906</t>
  </si>
  <si>
    <t xml:space="preserve">SKP-2025-0273</t>
  </si>
  <si>
    <t xml:space="preserve">OFR-2025-1030</t>
  </si>
  <si>
    <t xml:space="preserve">2025-04-27</t>
  </si>
  <si>
    <t xml:space="preserve">WL-01328</t>
  </si>
  <si>
    <t xml:space="preserve">Charles Solis</t>
  </si>
  <si>
    <t xml:space="preserve">2022-12-07</t>
  </si>
  <si>
    <t xml:space="preserve">SB-0704</t>
  </si>
  <si>
    <t xml:space="preserve">SKP-2025-0279</t>
  </si>
  <si>
    <t xml:space="preserve">OFR-2025-1054</t>
  </si>
  <si>
    <t xml:space="preserve">2025-05-05</t>
  </si>
  <si>
    <t xml:space="preserve">WL-03662</t>
  </si>
  <si>
    <t xml:space="preserve">Kevin Murphy</t>
  </si>
  <si>
    <t xml:space="preserve">2026-01-19</t>
  </si>
  <si>
    <t xml:space="preserve">VB-0604</t>
  </si>
  <si>
    <t xml:space="preserve">SKP-2025-0280</t>
  </si>
  <si>
    <t xml:space="preserve">OFR-2025-1059</t>
  </si>
  <si>
    <t xml:space="preserve">2025-05-07</t>
  </si>
  <si>
    <t xml:space="preserve">WL-01472</t>
  </si>
  <si>
    <t xml:space="preserve">Amber Rojas</t>
  </si>
  <si>
    <t xml:space="preserve">2023-02-23</t>
  </si>
  <si>
    <t xml:space="preserve">SB-0720</t>
  </si>
  <si>
    <t xml:space="preserve">SKP-2025-0277</t>
  </si>
  <si>
    <t xml:space="preserve">OFR-2025-1042</t>
  </si>
  <si>
    <t xml:space="preserve">WL-03839</t>
  </si>
  <si>
    <t xml:space="preserve">Sonya May</t>
  </si>
  <si>
    <t xml:space="preserve">2026-05-14</t>
  </si>
  <si>
    <t xml:space="preserve">EW-0209</t>
  </si>
  <si>
    <t xml:space="preserve">SKP-2025-0281</t>
  </si>
  <si>
    <t xml:space="preserve">OFR-2025-1068</t>
  </si>
  <si>
    <t xml:space="preserve">2025-05-10</t>
  </si>
  <si>
    <t xml:space="preserve">WL-03360</t>
  </si>
  <si>
    <t xml:space="preserve">Morgan Ramos</t>
  </si>
  <si>
    <t xml:space="preserve">2025-08-10</t>
  </si>
  <si>
    <t xml:space="preserve">EW-1003</t>
  </si>
  <si>
    <t xml:space="preserve">SKP-2025-0278</t>
  </si>
  <si>
    <t xml:space="preserve">OFR-2025-1053</t>
  </si>
  <si>
    <t xml:space="preserve">2025-05-17</t>
  </si>
  <si>
    <t xml:space="preserve">SKP-2025-0289</t>
  </si>
  <si>
    <t xml:space="preserve">OFR-2025-1098</t>
  </si>
  <si>
    <t xml:space="preserve">2025-06-02</t>
  </si>
  <si>
    <t xml:space="preserve">LP-0901</t>
  </si>
  <si>
    <t xml:space="preserve">SKP-2025-0285</t>
  </si>
  <si>
    <t xml:space="preserve">OFR-2025-1079</t>
  </si>
  <si>
    <t xml:space="preserve">WL-03047</t>
  </si>
  <si>
    <t xml:space="preserve">Lauren Collins</t>
  </si>
  <si>
    <t xml:space="preserve">2025-03-16</t>
  </si>
  <si>
    <t xml:space="preserve">EW-0415</t>
  </si>
  <si>
    <t xml:space="preserve">SKP-2025-0288</t>
  </si>
  <si>
    <t xml:space="preserve">OFR-2025-1091</t>
  </si>
  <si>
    <t xml:space="preserve">2025-06-09</t>
  </si>
  <si>
    <t xml:space="preserve">WL-02356</t>
  </si>
  <si>
    <t xml:space="preserve">David Flores</t>
  </si>
  <si>
    <t xml:space="preserve">SB-0411</t>
  </si>
  <si>
    <t xml:space="preserve">SKP-2025-0286</t>
  </si>
  <si>
    <t xml:space="preserve">OFR-2025-1081</t>
  </si>
  <si>
    <t xml:space="preserve">2025-06-14</t>
  </si>
  <si>
    <t xml:space="preserve">WL-01151</t>
  </si>
  <si>
    <t xml:space="preserve">Tamara Alvarez</t>
  </si>
  <si>
    <t xml:space="preserve">2022-07-24</t>
  </si>
  <si>
    <t xml:space="preserve">SB-0804</t>
  </si>
  <si>
    <t xml:space="preserve">SKP-2025-0284</t>
  </si>
  <si>
    <t xml:space="preserve">OFR-2025-1076</t>
  </si>
  <si>
    <t xml:space="preserve">2025-06-15</t>
  </si>
  <si>
    <t xml:space="preserve">WL-02698</t>
  </si>
  <si>
    <t xml:space="preserve">Laura Mckenzie</t>
  </si>
  <si>
    <t xml:space="preserve">2024-10-19</t>
  </si>
  <si>
    <t xml:space="preserve">VB-0409</t>
  </si>
  <si>
    <t xml:space="preserve">SKP-2025-0283</t>
  </si>
  <si>
    <t xml:space="preserve">OFR-2025-1075</t>
  </si>
  <si>
    <t xml:space="preserve">2025-06-18</t>
  </si>
  <si>
    <t xml:space="preserve">WL-01333</t>
  </si>
  <si>
    <t xml:space="preserve">Andrew Hayden</t>
  </si>
  <si>
    <t xml:space="preserve">2022-12-09</t>
  </si>
  <si>
    <t xml:space="preserve">LP-0208</t>
  </si>
  <si>
    <t xml:space="preserve">SUPPORTED: AMD-000356 / MC-2022-0134</t>
  </si>
  <si>
    <t xml:space="preserve">SKP-2025-0282</t>
  </si>
  <si>
    <t xml:space="preserve">OFR-2025-1072</t>
  </si>
  <si>
    <t xml:space="preserve">WL-02747</t>
  </si>
  <si>
    <t xml:space="preserve">Angel Massey</t>
  </si>
  <si>
    <t xml:space="preserve">2024-11-10</t>
  </si>
  <si>
    <t xml:space="preserve">GW-0401</t>
  </si>
  <si>
    <t xml:space="preserve">SUPPORTED: AMD-000705 / MC-2023-0222</t>
  </si>
  <si>
    <t xml:space="preserve">SKP-2025-0287</t>
  </si>
  <si>
    <t xml:space="preserve">OFR-2025-1090</t>
  </si>
  <si>
    <t xml:space="preserve">2025-06-19</t>
  </si>
  <si>
    <t xml:space="preserve">WL-02314</t>
  </si>
  <si>
    <t xml:space="preserve">David Silva</t>
  </si>
  <si>
    <t xml:space="preserve">2024-04-30</t>
  </si>
  <si>
    <t xml:space="preserve">LP-0124</t>
  </si>
  <si>
    <t xml:space="preserve">SKP-2025-0290</t>
  </si>
  <si>
    <t xml:space="preserve">OFR-2025-1101</t>
  </si>
  <si>
    <t xml:space="preserve">2025-07-10</t>
  </si>
  <si>
    <t xml:space="preserve">WL-01813</t>
  </si>
  <si>
    <t xml:space="preserve">Jessica Williams</t>
  </si>
  <si>
    <t xml:space="preserve">2023-09-06</t>
  </si>
  <si>
    <t xml:space="preserve">GW-0910</t>
  </si>
  <si>
    <t xml:space="preserve">SKP-2025-0294</t>
  </si>
  <si>
    <t xml:space="preserve">OFR-2025-1124</t>
  </si>
  <si>
    <t xml:space="preserve">2025-07-11</t>
  </si>
  <si>
    <t xml:space="preserve">WL-03579</t>
  </si>
  <si>
    <t xml:space="preserve">Jeanne Greer</t>
  </si>
  <si>
    <t xml:space="preserve">2025-12-02</t>
  </si>
  <si>
    <t xml:space="preserve">LP-0816</t>
  </si>
  <si>
    <t xml:space="preserve">SKP-2025-0293</t>
  </si>
  <si>
    <t xml:space="preserve">OFR-2025-1123</t>
  </si>
  <si>
    <t xml:space="preserve">WL-03516</t>
  </si>
  <si>
    <t xml:space="preserve">Tiffany Mcgrath</t>
  </si>
  <si>
    <t xml:space="preserve">2025-10-27</t>
  </si>
  <si>
    <t xml:space="preserve">VB-0209</t>
  </si>
  <si>
    <t xml:space="preserve">SKP-2025-0295</t>
  </si>
  <si>
    <t xml:space="preserve">OFR-2025-1125</t>
  </si>
  <si>
    <t xml:space="preserve">2025-07-17</t>
  </si>
  <si>
    <t xml:space="preserve">WL-03248</t>
  </si>
  <si>
    <t xml:space="preserve">Theresa Grant</t>
  </si>
  <si>
    <t xml:space="preserve">2025-06-20</t>
  </si>
  <si>
    <t xml:space="preserve">LP-0616</t>
  </si>
  <si>
    <t xml:space="preserve">SKP-2025-0296</t>
  </si>
  <si>
    <t xml:space="preserve">OFR-2025-1126</t>
  </si>
  <si>
    <t xml:space="preserve">2025-07-22</t>
  </si>
  <si>
    <t xml:space="preserve">WL-03526</t>
  </si>
  <si>
    <t xml:space="preserve">Michael West</t>
  </si>
  <si>
    <t xml:space="preserve">2025-11-03</t>
  </si>
  <si>
    <t xml:space="preserve">SKP-2025-0291</t>
  </si>
  <si>
    <t xml:space="preserve">OFR-2025-1113</t>
  </si>
  <si>
    <t xml:space="preserve">2025-07-25</t>
  </si>
  <si>
    <t xml:space="preserve">WL-03227</t>
  </si>
  <si>
    <t xml:space="preserve">Carrie Herrera</t>
  </si>
  <si>
    <t xml:space="preserve">2025-06-07</t>
  </si>
  <si>
    <t xml:space="preserve">LP-0414</t>
  </si>
  <si>
    <t xml:space="preserve">SKP-2025-0308</t>
  </si>
  <si>
    <t xml:space="preserve">OFR-2025-1165</t>
  </si>
  <si>
    <t xml:space="preserve">2025-08-03</t>
  </si>
  <si>
    <t xml:space="preserve">WL-03481</t>
  </si>
  <si>
    <t xml:space="preserve">William Madden</t>
  </si>
  <si>
    <t xml:space="preserve">2025-10-07</t>
  </si>
  <si>
    <t xml:space="preserve">GW-0915</t>
  </si>
  <si>
    <t xml:space="preserve">SKP-2025-0307</t>
  </si>
  <si>
    <t xml:space="preserve">OFR-2025-1164</t>
  </si>
  <si>
    <t xml:space="preserve">2025-08-05</t>
  </si>
  <si>
    <t xml:space="preserve">WL-02323</t>
  </si>
  <si>
    <t xml:space="preserve">John Preston</t>
  </si>
  <si>
    <t xml:space="preserve">2024-05-03</t>
  </si>
  <si>
    <t xml:space="preserve">SKP-2025-0306</t>
  </si>
  <si>
    <t xml:space="preserve">OFR-2025-1160</t>
  </si>
  <si>
    <t xml:space="preserve">2025-08-08</t>
  </si>
  <si>
    <t xml:space="preserve">SB-0420</t>
  </si>
  <si>
    <t xml:space="preserve">SKP-2025-0303</t>
  </si>
  <si>
    <t xml:space="preserve">OFR-2025-1153</t>
  </si>
  <si>
    <t xml:space="preserve">WL-02607</t>
  </si>
  <si>
    <t xml:space="preserve">Sean Charles</t>
  </si>
  <si>
    <t xml:space="preserve">2024-09-12</t>
  </si>
  <si>
    <t xml:space="preserve">SUPPORTED: AMD-001327 / Foldview Marine Services haul-out sheet 2024-01-01</t>
  </si>
  <si>
    <t xml:space="preserve">SKP-2025-0305</t>
  </si>
  <si>
    <t xml:space="preserve">OFR-2025-1157</t>
  </si>
  <si>
    <t xml:space="preserve">2025-08-14</t>
  </si>
  <si>
    <t xml:space="preserve">WL-03134</t>
  </si>
  <si>
    <t xml:space="preserve">Laurie Larson</t>
  </si>
  <si>
    <t xml:space="preserve">2025-04-25</t>
  </si>
  <si>
    <t xml:space="preserve">SB-0624</t>
  </si>
  <si>
    <t xml:space="preserve">SKP-2025-0304</t>
  </si>
  <si>
    <t xml:space="preserve">OFR-2025-1155</t>
  </si>
  <si>
    <t xml:space="preserve">2025-08-15</t>
  </si>
  <si>
    <t xml:space="preserve">WL-03314</t>
  </si>
  <si>
    <t xml:space="preserve">Hannah Orozco</t>
  </si>
  <si>
    <t xml:space="preserve">2025-07-21</t>
  </si>
  <si>
    <t xml:space="preserve">LP-0319</t>
  </si>
  <si>
    <t xml:space="preserve">SKP-2025-0300</t>
  </si>
  <si>
    <t xml:space="preserve">OFR-2025-1138</t>
  </si>
  <si>
    <t xml:space="preserve">2025-08-18</t>
  </si>
  <si>
    <t xml:space="preserve">WL-01537</t>
  </si>
  <si>
    <t xml:space="preserve">Jessica Johnson</t>
  </si>
  <si>
    <t xml:space="preserve">2023-04-04</t>
  </si>
  <si>
    <t xml:space="preserve">GW-0701</t>
  </si>
  <si>
    <t xml:space="preserve">SKP-2025-0311</t>
  </si>
  <si>
    <t xml:space="preserve">OFR-2025-1171</t>
  </si>
  <si>
    <t xml:space="preserve">WL-01843</t>
  </si>
  <si>
    <t xml:space="preserve">Donna Kim</t>
  </si>
  <si>
    <t xml:space="preserve">SKP-2025-0302</t>
  </si>
  <si>
    <t xml:space="preserve">OFR-2025-1147</t>
  </si>
  <si>
    <t xml:space="preserve">2025-08-22</t>
  </si>
  <si>
    <t xml:space="preserve">WL-01702</t>
  </si>
  <si>
    <t xml:space="preserve">Larry Carr</t>
  </si>
  <si>
    <t xml:space="preserve">2023-07-08</t>
  </si>
  <si>
    <t xml:space="preserve">VB-1014</t>
  </si>
  <si>
    <t xml:space="preserve">SKP-2025-0301</t>
  </si>
  <si>
    <t xml:space="preserve">OFR-2025-1143</t>
  </si>
  <si>
    <t xml:space="preserve">2025-08-26</t>
  </si>
  <si>
    <t xml:space="preserve">WL-01788</t>
  </si>
  <si>
    <t xml:space="preserve">James Austin</t>
  </si>
  <si>
    <t xml:space="preserve">2023-08-24</t>
  </si>
  <si>
    <t xml:space="preserve">GW-0305</t>
  </si>
  <si>
    <t xml:space="preserve">SKP-2025-0298</t>
  </si>
  <si>
    <t xml:space="preserve">OFR-2025-1134</t>
  </si>
  <si>
    <t xml:space="preserve">WL-02774</t>
  </si>
  <si>
    <t xml:space="preserve">Benjamin Harris</t>
  </si>
  <si>
    <t xml:space="preserve">SKP-2025-0299</t>
  </si>
  <si>
    <t xml:space="preserve">OFR-2025-1136</t>
  </si>
  <si>
    <t xml:space="preserve">WL-03311</t>
  </si>
  <si>
    <t xml:space="preserve">Shane Lee</t>
  </si>
  <si>
    <t xml:space="preserve">2025-07-20</t>
  </si>
  <si>
    <t xml:space="preserve">SKP-2025-0310</t>
  </si>
  <si>
    <t xml:space="preserve">OFR-2025-1168</t>
  </si>
  <si>
    <t xml:space="preserve">WL-01617</t>
  </si>
  <si>
    <t xml:space="preserve">James Ferguson</t>
  </si>
  <si>
    <t xml:space="preserve">2023-05-25</t>
  </si>
  <si>
    <t xml:space="preserve">VB-0813</t>
  </si>
  <si>
    <t xml:space="preserve">SKP-2025-0313</t>
  </si>
  <si>
    <t xml:space="preserve">OFR-2025-1182</t>
  </si>
  <si>
    <t xml:space="preserve">2025-09-03</t>
  </si>
  <si>
    <t xml:space="preserve">WL-01334</t>
  </si>
  <si>
    <t xml:space="preserve">Tammy Jones</t>
  </si>
  <si>
    <t xml:space="preserve">2022-12-11</t>
  </si>
  <si>
    <t xml:space="preserve">LP-0514</t>
  </si>
  <si>
    <t xml:space="preserve">SKP-2025-0322</t>
  </si>
  <si>
    <t xml:space="preserve">OFR-2025-1208</t>
  </si>
  <si>
    <t xml:space="preserve">2025-09-05</t>
  </si>
  <si>
    <t xml:space="preserve">WL-02002</t>
  </si>
  <si>
    <t xml:space="preserve">Andrew Turner</t>
  </si>
  <si>
    <t xml:space="preserve">SKP-2025-0320</t>
  </si>
  <si>
    <t xml:space="preserve">OFR-2025-1201</t>
  </si>
  <si>
    <t xml:space="preserve">WL-02167</t>
  </si>
  <si>
    <t xml:space="preserve">Jonathan Anderson</t>
  </si>
  <si>
    <t xml:space="preserve">2024-02-23</t>
  </si>
  <si>
    <t xml:space="preserve">VB-0304</t>
  </si>
  <si>
    <t xml:space="preserve">SUPPORTED: AMD-001109 / MC-2024-0712</t>
  </si>
  <si>
    <t xml:space="preserve">SKP-2025-0321</t>
  </si>
  <si>
    <t xml:space="preserve">OFR-2025-1207</t>
  </si>
  <si>
    <t xml:space="preserve">2025-09-11</t>
  </si>
  <si>
    <t xml:space="preserve">WL-03865</t>
  </si>
  <si>
    <t xml:space="preserve">William Moran</t>
  </si>
  <si>
    <t xml:space="preserve">2026-06-09</t>
  </si>
  <si>
    <t xml:space="preserve">SKP-2025-0312</t>
  </si>
  <si>
    <t xml:space="preserve">OFR-2025-1181</t>
  </si>
  <si>
    <t xml:space="preserve">2025-09-17</t>
  </si>
  <si>
    <t xml:space="preserve">WL-01715</t>
  </si>
  <si>
    <t xml:space="preserve">Richard Snyder</t>
  </si>
  <si>
    <t xml:space="preserve">2023-07-16</t>
  </si>
  <si>
    <t xml:space="preserve">GW-0216</t>
  </si>
  <si>
    <t xml:space="preserve">SKP-2025-0314</t>
  </si>
  <si>
    <t xml:space="preserve">OFR-2025-1185</t>
  </si>
  <si>
    <t xml:space="preserve">WL-02428</t>
  </si>
  <si>
    <t xml:space="preserve">David Henry</t>
  </si>
  <si>
    <t xml:space="preserve">2024-06-23</t>
  </si>
  <si>
    <t xml:space="preserve">SKP-2025-0318</t>
  </si>
  <si>
    <t xml:space="preserve">OFR-2025-1197</t>
  </si>
  <si>
    <t xml:space="preserve">2025-09-19</t>
  </si>
  <si>
    <t xml:space="preserve">WL-02890</t>
  </si>
  <si>
    <t xml:space="preserve">Crystal Morales</t>
  </si>
  <si>
    <t xml:space="preserve">2025-01-06</t>
  </si>
  <si>
    <t xml:space="preserve">EW-0716</t>
  </si>
  <si>
    <t xml:space="preserve">SKP-2025-0319</t>
  </si>
  <si>
    <t xml:space="preserve">OFR-2025-1199</t>
  </si>
  <si>
    <t xml:space="preserve">2025-09-20</t>
  </si>
  <si>
    <t xml:space="preserve">WL-01913</t>
  </si>
  <si>
    <t xml:space="preserve">Nicole Thompson</t>
  </si>
  <si>
    <t xml:space="preserve">2023-10-29</t>
  </si>
  <si>
    <t xml:space="preserve">EW-0819</t>
  </si>
  <si>
    <t xml:space="preserve">SKP-2025-0316</t>
  </si>
  <si>
    <t xml:space="preserve">OFR-2025-1189</t>
  </si>
  <si>
    <t xml:space="preserve">WL-02153</t>
  </si>
  <si>
    <t xml:space="preserve">Amy Murray</t>
  </si>
  <si>
    <t xml:space="preserve">2024-02-14</t>
  </si>
  <si>
    <t xml:space="preserve">SKP-2025-0315</t>
  </si>
  <si>
    <t xml:space="preserve">OFR-2025-1188</t>
  </si>
  <si>
    <t xml:space="preserve">2025-09-22</t>
  </si>
  <si>
    <t xml:space="preserve">WL-03861</t>
  </si>
  <si>
    <t xml:space="preserve">Joseph Koch</t>
  </si>
  <si>
    <t xml:space="preserve">2026-06-07</t>
  </si>
  <si>
    <t xml:space="preserve">VB-0123</t>
  </si>
  <si>
    <t xml:space="preserve">SKP-2025-0317</t>
  </si>
  <si>
    <t xml:space="preserve">OFR-2025-1195</t>
  </si>
  <si>
    <t xml:space="preserve">2025-09-23</t>
  </si>
  <si>
    <t xml:space="preserve">WL-02445</t>
  </si>
  <si>
    <t xml:space="preserve">Marcus Yee</t>
  </si>
  <si>
    <t xml:space="preserve">2024-06-29</t>
  </si>
  <si>
    <t xml:space="preserve">SB-0222</t>
  </si>
  <si>
    <t xml:space="preserve">SKP-2025-0330</t>
  </si>
  <si>
    <t xml:space="preserve">OFR-2025-1240</t>
  </si>
  <si>
    <t xml:space="preserve">2025-10-02</t>
  </si>
  <si>
    <t xml:space="preserve">WL-02676</t>
  </si>
  <si>
    <t xml:space="preserve">Janice Walker</t>
  </si>
  <si>
    <t xml:space="preserve">2024-10-08</t>
  </si>
  <si>
    <t xml:space="preserve">EW-0124</t>
  </si>
  <si>
    <t xml:space="preserve">SKP-2025-0325</t>
  </si>
  <si>
    <t xml:space="preserve">OFR-2025-1218</t>
  </si>
  <si>
    <t xml:space="preserve">2025-10-03</t>
  </si>
  <si>
    <t xml:space="preserve">WL-03750</t>
  </si>
  <si>
    <t xml:space="preserve">Michael Phillips</t>
  </si>
  <si>
    <t xml:space="preserve">2026-03-09</t>
  </si>
  <si>
    <t xml:space="preserve">GW-0622</t>
  </si>
  <si>
    <t xml:space="preserve">SKP-2025-0331</t>
  </si>
  <si>
    <t xml:space="preserve">OFR-2025-1246</t>
  </si>
  <si>
    <t xml:space="preserve">WL-03455</t>
  </si>
  <si>
    <t xml:space="preserve">Taylor George</t>
  </si>
  <si>
    <t xml:space="preserve">2025-09-25</t>
  </si>
  <si>
    <t xml:space="preserve">SB-0402</t>
  </si>
  <si>
    <t xml:space="preserve">SUPPORTED: AMD-000691 / MC-2023-0192</t>
  </si>
  <si>
    <t xml:space="preserve">SKP-2025-0329</t>
  </si>
  <si>
    <t xml:space="preserve">OFR-2025-1233</t>
  </si>
  <si>
    <t xml:space="preserve">2025-10-13</t>
  </si>
  <si>
    <t xml:space="preserve">WL-01128</t>
  </si>
  <si>
    <t xml:space="preserve">Angela Smith</t>
  </si>
  <si>
    <t xml:space="preserve">2022-06-27</t>
  </si>
  <si>
    <t xml:space="preserve">LP-0504</t>
  </si>
  <si>
    <t xml:space="preserve">SKP-2025-0333</t>
  </si>
  <si>
    <t xml:space="preserve">OFR-2025-1249</t>
  </si>
  <si>
    <t xml:space="preserve">WL-02448</t>
  </si>
  <si>
    <t xml:space="preserve">Mark Bolton</t>
  </si>
  <si>
    <t xml:space="preserve">2024-07-02</t>
  </si>
  <si>
    <t xml:space="preserve">LP-0908</t>
  </si>
  <si>
    <t xml:space="preserve">SKP-2025-0332</t>
  </si>
  <si>
    <t xml:space="preserve">OFR-2025-1247</t>
  </si>
  <si>
    <t xml:space="preserve">WL-02711</t>
  </si>
  <si>
    <t xml:space="preserve">David Baker</t>
  </si>
  <si>
    <t xml:space="preserve">SKP-2025-0327</t>
  </si>
  <si>
    <t xml:space="preserve">OFR-2025-1225</t>
  </si>
  <si>
    <t xml:space="preserve">2025-10-23</t>
  </si>
  <si>
    <t xml:space="preserve">WL-01645</t>
  </si>
  <si>
    <t xml:space="preserve">Michael Walker</t>
  </si>
  <si>
    <t xml:space="preserve">GW-1020</t>
  </si>
  <si>
    <t xml:space="preserve">SKP-2025-0323</t>
  </si>
  <si>
    <t xml:space="preserve">OFR-2025-1212</t>
  </si>
  <si>
    <t xml:space="preserve">2025-10-26</t>
  </si>
  <si>
    <t xml:space="preserve">WL-02284</t>
  </si>
  <si>
    <t xml:space="preserve">Tonya Ruiz</t>
  </si>
  <si>
    <t xml:space="preserve">SB-0801</t>
  </si>
  <si>
    <t xml:space="preserve">SKP-2025-0326</t>
  </si>
  <si>
    <t xml:space="preserve">OFR-2025-1219</t>
  </si>
  <si>
    <t xml:space="preserve">LP-0705</t>
  </si>
  <si>
    <t xml:space="preserve">SKP-2025-0324</t>
  </si>
  <si>
    <t xml:space="preserve">OFR-2025-1215</t>
  </si>
  <si>
    <t xml:space="preserve">2025-10-28</t>
  </si>
  <si>
    <t xml:space="preserve">WL-02187</t>
  </si>
  <si>
    <t xml:space="preserve">Leonard Gordon</t>
  </si>
  <si>
    <t xml:space="preserve">SB-0806</t>
  </si>
  <si>
    <t xml:space="preserve">SKP-2025-0335</t>
  </si>
  <si>
    <t xml:space="preserve">OFR-2025-1258</t>
  </si>
  <si>
    <t xml:space="preserve">2025-11-17</t>
  </si>
  <si>
    <t xml:space="preserve">WL-02404</t>
  </si>
  <si>
    <t xml:space="preserve">Samuel King</t>
  </si>
  <si>
    <t xml:space="preserve">VB-0201</t>
  </si>
  <si>
    <t xml:space="preserve">SKP-2025-0334</t>
  </si>
  <si>
    <t xml:space="preserve">OFR-2025-1253</t>
  </si>
  <si>
    <t xml:space="preserve">2025-11-27</t>
  </si>
  <si>
    <t xml:space="preserve">SKP-2025-0336</t>
  </si>
  <si>
    <t xml:space="preserve">OFR-2025-1265</t>
  </si>
  <si>
    <t xml:space="preserve">2025-12-15</t>
  </si>
  <si>
    <t xml:space="preserve">WL-01776</t>
  </si>
  <si>
    <t xml:space="preserve">Theresa Pena</t>
  </si>
  <si>
    <t xml:space="preserve">2023-08-20</t>
  </si>
  <si>
    <t xml:space="preserve">GW-0419</t>
  </si>
  <si>
    <t xml:space="preserve">SKP-2025-0337</t>
  </si>
  <si>
    <t xml:space="preserve">OFR-2025-1276</t>
  </si>
  <si>
    <t xml:space="preserve">2025-12-26</t>
  </si>
  <si>
    <t xml:space="preserve">WL-02991</t>
  </si>
  <si>
    <t xml:space="preserve">Cole Palmer</t>
  </si>
  <si>
    <t xml:space="preserve">2025-02-22</t>
  </si>
  <si>
    <t xml:space="preserve">SB-0408</t>
  </si>
  <si>
    <t xml:space="preserve">SKP-2026-0342</t>
  </si>
  <si>
    <t xml:space="preserve">OFR-2026-1284</t>
  </si>
  <si>
    <t xml:space="preserve">WL-01558</t>
  </si>
  <si>
    <t xml:space="preserve">Edward Carter</t>
  </si>
  <si>
    <t xml:space="preserve">2023-04-15</t>
  </si>
  <si>
    <t xml:space="preserve">EW-0421</t>
  </si>
  <si>
    <t xml:space="preserve">SKP-2026-0339</t>
  </si>
  <si>
    <t xml:space="preserve">OFR-2026-1279</t>
  </si>
  <si>
    <t xml:space="preserve">2026-01-13</t>
  </si>
  <si>
    <t xml:space="preserve">EW-0813</t>
  </si>
  <si>
    <t xml:space="preserve">SKP-2026-0338</t>
  </si>
  <si>
    <t xml:space="preserve">OFR-2026-1278</t>
  </si>
  <si>
    <t xml:space="preserve">WL-03011</t>
  </si>
  <si>
    <t xml:space="preserve">Christopher Schultz</t>
  </si>
  <si>
    <t xml:space="preserve">2025-03-02</t>
  </si>
  <si>
    <t xml:space="preserve">SB-0719</t>
  </si>
  <si>
    <t xml:space="preserve">SKP-2026-0340</t>
  </si>
  <si>
    <t xml:space="preserve">OFR-2026-1280</t>
  </si>
  <si>
    <t xml:space="preserve">2026-01-21</t>
  </si>
  <si>
    <t xml:space="preserve">WL-01435</t>
  </si>
  <si>
    <t xml:space="preserve">Jessica Schultz</t>
  </si>
  <si>
    <t xml:space="preserve">2023-02-01</t>
  </si>
  <si>
    <t xml:space="preserve">SKP-2026-0341</t>
  </si>
  <si>
    <t xml:space="preserve">OFR-2026-1283</t>
  </si>
  <si>
    <t xml:space="preserve">2026-01-27</t>
  </si>
  <si>
    <t xml:space="preserve">WL-03197</t>
  </si>
  <si>
    <t xml:space="preserve">Thomas Lee</t>
  </si>
  <si>
    <t xml:space="preserve">2025-05-21</t>
  </si>
  <si>
    <t xml:space="preserve">LP-1109</t>
  </si>
  <si>
    <t xml:space="preserve">SKP-2026-0349</t>
  </si>
  <si>
    <t xml:space="preserve">OFR-2026-1306</t>
  </si>
  <si>
    <t xml:space="preserve">2026-02-07</t>
  </si>
  <si>
    <t xml:space="preserve">SKP-2026-0346</t>
  </si>
  <si>
    <t xml:space="preserve">OFR-2026-1298</t>
  </si>
  <si>
    <t xml:space="preserve">2026-02-14</t>
  </si>
  <si>
    <t xml:space="preserve">WL-01605</t>
  </si>
  <si>
    <t xml:space="preserve">Michael Curtis</t>
  </si>
  <si>
    <t xml:space="preserve">VB-0912</t>
  </si>
  <si>
    <t xml:space="preserve">SKP-2026-0347</t>
  </si>
  <si>
    <t xml:space="preserve">OFR-2026-1299</t>
  </si>
  <si>
    <t xml:space="preserve">2026-02-22</t>
  </si>
  <si>
    <t xml:space="preserve">WL-01550</t>
  </si>
  <si>
    <t xml:space="preserve">Brittany Grant</t>
  </si>
  <si>
    <t xml:space="preserve">2023-04-12</t>
  </si>
  <si>
    <t xml:space="preserve">SUPPORTED: AMD-001204 / Foldview Marine Services haul-out sheet 2024-02-12</t>
  </si>
  <si>
    <t xml:space="preserve">SKP-2026-0348</t>
  </si>
  <si>
    <t xml:space="preserve">OFR-2026-1305</t>
  </si>
  <si>
    <t xml:space="preserve">WL-02930</t>
  </si>
  <si>
    <t xml:space="preserve">Carmen Strickland</t>
  </si>
  <si>
    <t xml:space="preserve">2025-01-24</t>
  </si>
  <si>
    <t xml:space="preserve">LP-0915</t>
  </si>
  <si>
    <t xml:space="preserve">SKP-2026-0344</t>
  </si>
  <si>
    <t xml:space="preserve">OFR-2026-1291</t>
  </si>
  <si>
    <t xml:space="preserve">WL-03817</t>
  </si>
  <si>
    <t xml:space="preserve">Leslie Short</t>
  </si>
  <si>
    <t xml:space="preserve">SB-0907</t>
  </si>
  <si>
    <t xml:space="preserve">SKP-2026-0345</t>
  </si>
  <si>
    <t xml:space="preserve">OFR-2026-1297</t>
  </si>
  <si>
    <t xml:space="preserve">2026-02-27</t>
  </si>
  <si>
    <t xml:space="preserve">WL-03653</t>
  </si>
  <si>
    <t xml:space="preserve">Rodney Carter</t>
  </si>
  <si>
    <t xml:space="preserve">LP-0614</t>
  </si>
  <si>
    <t xml:space="preserve">SKP-2026-0350</t>
  </si>
  <si>
    <t xml:space="preserve">OFR-2026-1310</t>
  </si>
  <si>
    <t xml:space="preserve">2026-03-12</t>
  </si>
  <si>
    <t xml:space="preserve">WL-01038</t>
  </si>
  <si>
    <t xml:space="preserve">Laura Collins</t>
  </si>
  <si>
    <t xml:space="preserve">2022-03-27</t>
  </si>
  <si>
    <t xml:space="preserve">GW-0105</t>
  </si>
  <si>
    <t xml:space="preserve">SKP-2026-0353</t>
  </si>
  <si>
    <t xml:space="preserve">OFR-2026-1323</t>
  </si>
  <si>
    <t xml:space="preserve">2026-03-13</t>
  </si>
  <si>
    <t xml:space="preserve">WL-03279</t>
  </si>
  <si>
    <t xml:space="preserve">David Marshall</t>
  </si>
  <si>
    <t xml:space="preserve">2025-07-03</t>
  </si>
  <si>
    <t xml:space="preserve">SKP-2026-0351</t>
  </si>
  <si>
    <t xml:space="preserve">OFR-2026-1321</t>
  </si>
  <si>
    <t xml:space="preserve">2026-03-15</t>
  </si>
  <si>
    <t xml:space="preserve">WL-02306</t>
  </si>
  <si>
    <t xml:space="preserve">Lori Schneider</t>
  </si>
  <si>
    <t xml:space="preserve">SB-0709</t>
  </si>
  <si>
    <t xml:space="preserve">SKP-2026-0355</t>
  </si>
  <si>
    <t xml:space="preserve">OFR-2026-1328</t>
  </si>
  <si>
    <t xml:space="preserve">WL-02417</t>
  </si>
  <si>
    <t xml:space="preserve">Eric Benjamin</t>
  </si>
  <si>
    <t xml:space="preserve">2024-06-17</t>
  </si>
  <si>
    <t xml:space="preserve">GW-0323</t>
  </si>
  <si>
    <t xml:space="preserve">SKP-2026-0352</t>
  </si>
  <si>
    <t xml:space="preserve">OFR-2026-1322</t>
  </si>
  <si>
    <t xml:space="preserve">2026-03-26</t>
  </si>
  <si>
    <t xml:space="preserve">WL-01139</t>
  </si>
  <si>
    <t xml:space="preserve">Zachary Martin</t>
  </si>
  <si>
    <t xml:space="preserve">2022-07-08</t>
  </si>
  <si>
    <t xml:space="preserve">GW-0314</t>
  </si>
  <si>
    <t xml:space="preserve">SKP-2026-0354</t>
  </si>
  <si>
    <t xml:space="preserve">OFR-2026-1327</t>
  </si>
  <si>
    <t xml:space="preserve">WL-03305</t>
  </si>
  <si>
    <t xml:space="preserve">Monica Garcia</t>
  </si>
  <si>
    <t xml:space="preserve">2025-07-18</t>
  </si>
  <si>
    <t xml:space="preserve">GW-0509</t>
  </si>
  <si>
    <t xml:space="preserve">SKP-2026-0356</t>
  </si>
  <si>
    <t xml:space="preserve">OFR-2026-1330</t>
  </si>
  <si>
    <t xml:space="preserve">2026-04-01</t>
  </si>
  <si>
    <t xml:space="preserve">WL-01084</t>
  </si>
  <si>
    <t xml:space="preserve">Lisa Adams</t>
  </si>
  <si>
    <t xml:space="preserve">2022-05-14</t>
  </si>
  <si>
    <t xml:space="preserve">SB-0419</t>
  </si>
  <si>
    <t xml:space="preserve">SKP-2026-0359</t>
  </si>
  <si>
    <t xml:space="preserve">OFR-2026-1335</t>
  </si>
  <si>
    <t xml:space="preserve">WL-02766</t>
  </si>
  <si>
    <t xml:space="preserve">Valerie Macias</t>
  </si>
  <si>
    <t xml:space="preserve">SB-0908</t>
  </si>
  <si>
    <t xml:space="preserve">SKP-2026-0366</t>
  </si>
  <si>
    <t xml:space="preserve">OFR-2026-1348</t>
  </si>
  <si>
    <t xml:space="preserve">2026-04-02</t>
  </si>
  <si>
    <t xml:space="preserve">WL-01288</t>
  </si>
  <si>
    <t xml:space="preserve">Christopher Riley</t>
  </si>
  <si>
    <t xml:space="preserve">2022-11-12</t>
  </si>
  <si>
    <t xml:space="preserve">VB-0916</t>
  </si>
  <si>
    <t xml:space="preserve">SKP-2026-0358</t>
  </si>
  <si>
    <t xml:space="preserve">OFR-2026-1333</t>
  </si>
  <si>
    <t xml:space="preserve">2026-04-04</t>
  </si>
  <si>
    <t xml:space="preserve">WL-01283</t>
  </si>
  <si>
    <t xml:space="preserve">Jay Gregory</t>
  </si>
  <si>
    <t xml:space="preserve">2022-11-07</t>
  </si>
  <si>
    <t xml:space="preserve">SB-0911</t>
  </si>
  <si>
    <t xml:space="preserve">SKP-2026-0360</t>
  </si>
  <si>
    <t xml:space="preserve">OFR-2026-1337</t>
  </si>
  <si>
    <t xml:space="preserve">2026-04-05</t>
  </si>
  <si>
    <t xml:space="preserve">WL-03088</t>
  </si>
  <si>
    <t xml:space="preserve">Heather Williams</t>
  </si>
  <si>
    <t xml:space="preserve">2025-04-03</t>
  </si>
  <si>
    <t xml:space="preserve">SB-0213</t>
  </si>
  <si>
    <t xml:space="preserve">SKP-2026-0357</t>
  </si>
  <si>
    <t xml:space="preserve">OFR-2026-1332</t>
  </si>
  <si>
    <t xml:space="preserve">WL-03306</t>
  </si>
  <si>
    <t xml:space="preserve">Rebecca Martin</t>
  </si>
  <si>
    <t xml:space="preserve">2025-07-19</t>
  </si>
  <si>
    <t xml:space="preserve">SB-0307</t>
  </si>
  <si>
    <t xml:space="preserve">SKP-2026-0363</t>
  </si>
  <si>
    <t xml:space="preserve">OFR-2026-1345</t>
  </si>
  <si>
    <t xml:space="preserve">2026-04-06</t>
  </si>
  <si>
    <t xml:space="preserve">WL-02353</t>
  </si>
  <si>
    <t xml:space="preserve">Jonathan Freeman</t>
  </si>
  <si>
    <t xml:space="preserve">LP-0601</t>
  </si>
  <si>
    <t xml:space="preserve">SKP-2026-0367</t>
  </si>
  <si>
    <t xml:space="preserve">OFR-2026-1350</t>
  </si>
  <si>
    <t xml:space="preserve">2026-04-07</t>
  </si>
  <si>
    <t xml:space="preserve">WL-02639</t>
  </si>
  <si>
    <t xml:space="preserve">Ronald Moore</t>
  </si>
  <si>
    <t xml:space="preserve">2024-09-24</t>
  </si>
  <si>
    <t xml:space="preserve">LP-1102</t>
  </si>
  <si>
    <t xml:space="preserve">SKP-2026-0361</t>
  </si>
  <si>
    <t xml:space="preserve">OFR-2026-1339</t>
  </si>
  <si>
    <t xml:space="preserve">2026-04-12</t>
  </si>
  <si>
    <t xml:space="preserve">WL-03139</t>
  </si>
  <si>
    <t xml:space="preserve">Stanley Peterson</t>
  </si>
  <si>
    <t xml:space="preserve">2025-04-29</t>
  </si>
  <si>
    <t xml:space="preserve">GW-0601</t>
  </si>
  <si>
    <t xml:space="preserve">SKP-2026-0362</t>
  </si>
  <si>
    <t xml:space="preserve">OFR-2026-1344</t>
  </si>
  <si>
    <t xml:space="preserve">2026-04-13</t>
  </si>
  <si>
    <t xml:space="preserve">WL-02120</t>
  </si>
  <si>
    <t xml:space="preserve">Jerry Reyes</t>
  </si>
  <si>
    <t xml:space="preserve">2024-01-31</t>
  </si>
  <si>
    <t xml:space="preserve">LP-0312</t>
  </si>
  <si>
    <t xml:space="preserve">SUPPORTED: AMD-000380 / MC-2022-0916</t>
  </si>
  <si>
    <t xml:space="preserve">SKP-2026-0365</t>
  </si>
  <si>
    <t xml:space="preserve">OFR-2026-1347</t>
  </si>
  <si>
    <t xml:space="preserve">2026-04-17</t>
  </si>
  <si>
    <t xml:space="preserve">GW-0513</t>
  </si>
  <si>
    <t xml:space="preserve">SKP-2026-0364</t>
  </si>
  <si>
    <t xml:space="preserve">OFR-2026-1346</t>
  </si>
  <si>
    <t xml:space="preserve">2026-04-19</t>
  </si>
  <si>
    <t xml:space="preserve">WL-02504</t>
  </si>
  <si>
    <t xml:space="preserve">Crystal Stevenson</t>
  </si>
  <si>
    <t xml:space="preserve">2024-07-29</t>
  </si>
  <si>
    <t xml:space="preserve">SB-0104</t>
  </si>
  <si>
    <t xml:space="preserve">SKP-2026-0373</t>
  </si>
  <si>
    <t xml:space="preserve">OFR-2026-1372</t>
  </si>
  <si>
    <t xml:space="preserve">2026-05-02</t>
  </si>
  <si>
    <t xml:space="preserve">WL-02671</t>
  </si>
  <si>
    <t xml:space="preserve">Monica Stephens</t>
  </si>
  <si>
    <t xml:space="preserve">2024-10-07</t>
  </si>
  <si>
    <t xml:space="preserve">LP-1019</t>
  </si>
  <si>
    <t xml:space="preserve">SKP-2026-0376</t>
  </si>
  <si>
    <t xml:space="preserve">OFR-2026-1380</t>
  </si>
  <si>
    <t xml:space="preserve">WL-03152</t>
  </si>
  <si>
    <t xml:space="preserve">Kenneth Simmons</t>
  </si>
  <si>
    <t xml:space="preserve">SKP-2026-0369</t>
  </si>
  <si>
    <t xml:space="preserve">OFR-2026-1360</t>
  </si>
  <si>
    <t xml:space="preserve">2026-05-06</t>
  </si>
  <si>
    <t xml:space="preserve">WL-01205</t>
  </si>
  <si>
    <t xml:space="preserve">Brian Osborne</t>
  </si>
  <si>
    <t xml:space="preserve">2022-09-05</t>
  </si>
  <si>
    <t xml:space="preserve">GW-0620</t>
  </si>
  <si>
    <t xml:space="preserve">SKP-2026-0368</t>
  </si>
  <si>
    <t xml:space="preserve">OFR-2026-1358</t>
  </si>
  <si>
    <t xml:space="preserve">WL-03754</t>
  </si>
  <si>
    <t xml:space="preserve">Carolyn Ali</t>
  </si>
  <si>
    <t xml:space="preserve">LP-0923</t>
  </si>
  <si>
    <t xml:space="preserve">SKP-2026-0378</t>
  </si>
  <si>
    <t xml:space="preserve">OFR-2026-1384</t>
  </si>
  <si>
    <t xml:space="preserve">2026-05-10</t>
  </si>
  <si>
    <t xml:space="preserve">WL-01109</t>
  </si>
  <si>
    <t xml:space="preserve">Patrick Sanchez</t>
  </si>
  <si>
    <t xml:space="preserve">2022-06-05</t>
  </si>
  <si>
    <t xml:space="preserve">LP-0820</t>
  </si>
  <si>
    <t xml:space="preserve">SKP-2026-0374</t>
  </si>
  <si>
    <t xml:space="preserve">OFR-2026-1375</t>
  </si>
  <si>
    <t xml:space="preserve">2026-05-11</t>
  </si>
  <si>
    <t xml:space="preserve">WL-01404</t>
  </si>
  <si>
    <t xml:space="preserve">Eric Boyle</t>
  </si>
  <si>
    <t xml:space="preserve">2023-01-15</t>
  </si>
  <si>
    <t xml:space="preserve">VB-0619</t>
  </si>
  <si>
    <t xml:space="preserve">SKP-2026-0377</t>
  </si>
  <si>
    <t xml:space="preserve">OFR-2026-1381</t>
  </si>
  <si>
    <t xml:space="preserve">WL-01255</t>
  </si>
  <si>
    <t xml:space="preserve">Dana Walker</t>
  </si>
  <si>
    <t xml:space="preserve">2022-10-16</t>
  </si>
  <si>
    <t xml:space="preserve">EW-0522</t>
  </si>
  <si>
    <t xml:space="preserve">SKP-2026-0375</t>
  </si>
  <si>
    <t xml:space="preserve">OFR-2026-1378</t>
  </si>
  <si>
    <t xml:space="preserve">2026-05-18</t>
  </si>
  <si>
    <t xml:space="preserve">WL-01299</t>
  </si>
  <si>
    <t xml:space="preserve">Wayne Andrews</t>
  </si>
  <si>
    <t xml:space="preserve">2022-11-18</t>
  </si>
  <si>
    <t xml:space="preserve">SKP-2026-0370</t>
  </si>
  <si>
    <t xml:space="preserve">OFR-2026-1361</t>
  </si>
  <si>
    <t xml:space="preserve">WL-03607</t>
  </si>
  <si>
    <t xml:space="preserve">Ross Green</t>
  </si>
  <si>
    <t xml:space="preserve">2025-12-19</t>
  </si>
  <si>
    <t xml:space="preserve">LP-1105</t>
  </si>
  <si>
    <t xml:space="preserve">SKP-2026-0372</t>
  </si>
  <si>
    <t xml:space="preserve">OFR-2026-1366</t>
  </si>
  <si>
    <t xml:space="preserve">WL-03247</t>
  </si>
  <si>
    <t xml:space="preserve">Tina Armstrong</t>
  </si>
  <si>
    <t xml:space="preserve">SKP-2026-0379</t>
  </si>
  <si>
    <t xml:space="preserve">OFR-2026-1387</t>
  </si>
  <si>
    <t xml:space="preserve">2026-06-02</t>
  </si>
  <si>
    <t xml:space="preserve">WL-02315</t>
  </si>
  <si>
    <t xml:space="preserve">Mitchell Mendez</t>
  </si>
  <si>
    <t xml:space="preserve">SKP-2026-0386</t>
  </si>
  <si>
    <t xml:space="preserve">OFR-2026-1410</t>
  </si>
  <si>
    <t xml:space="preserve">WL-03787</t>
  </si>
  <si>
    <t xml:space="preserve">John Mcneil</t>
  </si>
  <si>
    <t xml:space="preserve">GW-0214</t>
  </si>
  <si>
    <t xml:space="preserve">SUPPORTED: AMD-001929 / Foldview Marine Services haul-out sheet 2025-09-25</t>
  </si>
  <si>
    <t xml:space="preserve">SKP-2026-0388</t>
  </si>
  <si>
    <t xml:space="preserve">OFR-2026-1412</t>
  </si>
  <si>
    <t xml:space="preserve">2026-06-04</t>
  </si>
  <si>
    <t xml:space="preserve">WL-01982</t>
  </si>
  <si>
    <t xml:space="preserve">Jeffrey Harrison</t>
  </si>
  <si>
    <t xml:space="preserve">2023-11-26</t>
  </si>
  <si>
    <t xml:space="preserve">SKP-2026-0381</t>
  </si>
  <si>
    <t xml:space="preserve">OFR-2026-1398</t>
  </si>
  <si>
    <t xml:space="preserve">WL-01954</t>
  </si>
  <si>
    <t xml:space="preserve">Richard Smith</t>
  </si>
  <si>
    <t xml:space="preserve">2023-11-11</t>
  </si>
  <si>
    <t xml:space="preserve">SB-0416</t>
  </si>
  <si>
    <t xml:space="preserve">SKP-2026-0383</t>
  </si>
  <si>
    <t xml:space="preserve">OFR-2026-1400</t>
  </si>
  <si>
    <t xml:space="preserve">2026-06-20</t>
  </si>
  <si>
    <t xml:space="preserve">WL-01256</t>
  </si>
  <si>
    <t xml:space="preserve">Andrew Glover</t>
  </si>
  <si>
    <t xml:space="preserve">LP-1103</t>
  </si>
  <si>
    <t xml:space="preserve">SKP-2026-0380</t>
  </si>
  <si>
    <t xml:space="preserve">OFR-2026-1391</t>
  </si>
  <si>
    <t xml:space="preserve">2026-06-21</t>
  </si>
  <si>
    <t xml:space="preserve">WL-03078</t>
  </si>
  <si>
    <t xml:space="preserve">Rachael Mitchell</t>
  </si>
  <si>
    <t xml:space="preserve">VB-0415</t>
  </si>
  <si>
    <t xml:space="preserve">SKP-2026-0387</t>
  </si>
  <si>
    <t xml:space="preserve">OFR-2026-1411</t>
  </si>
  <si>
    <t xml:space="preserve">2026-06-25</t>
  </si>
  <si>
    <t xml:space="preserve">VB-0402</t>
  </si>
  <si>
    <t xml:space="preserve">SKP-2026-0385</t>
  </si>
  <si>
    <t xml:space="preserve">OFR-2026-1403</t>
  </si>
  <si>
    <t xml:space="preserve">WL-03690</t>
  </si>
  <si>
    <t xml:space="preserve">2026-02-01</t>
  </si>
  <si>
    <t xml:space="preserve">VB-0312</t>
  </si>
  <si>
    <t xml:space="preserve">SKP-2026-0382</t>
  </si>
  <si>
    <t xml:space="preserve">OFR-2026-1399</t>
  </si>
  <si>
    <t xml:space="preserve">2026-06-28</t>
  </si>
  <si>
    <t xml:space="preserve">WL-02098</t>
  </si>
  <si>
    <t xml:space="preserve">Rhonda James</t>
  </si>
  <si>
    <t xml:space="preserve">2024-01-20</t>
  </si>
  <si>
    <t xml:space="preserve">VB-0707</t>
  </si>
  <si>
    <t xml:space="preserve">SKP-2026-0392</t>
  </si>
  <si>
    <t xml:space="preserve">OFR-2026-1432</t>
  </si>
  <si>
    <t xml:space="preserve">2026-07-02</t>
  </si>
  <si>
    <t xml:space="preserve">WL-03260</t>
  </si>
  <si>
    <t xml:space="preserve">Joel Thomas</t>
  </si>
  <si>
    <t xml:space="preserve">2025-06-26</t>
  </si>
  <si>
    <t xml:space="preserve">EW-0104</t>
  </si>
  <si>
    <t xml:space="preserve">SKP-2026-0394</t>
  </si>
  <si>
    <t xml:space="preserve">OFR-2026-1441</t>
  </si>
  <si>
    <t xml:space="preserve">2026-07-03</t>
  </si>
  <si>
    <t xml:space="preserve">WL-03397</t>
  </si>
  <si>
    <t xml:space="preserve">Jessica Daugherty</t>
  </si>
  <si>
    <t xml:space="preserve">2025-08-23</t>
  </si>
  <si>
    <t xml:space="preserve">SKP-2026-0398</t>
  </si>
  <si>
    <t xml:space="preserve">OFR-2026-1452</t>
  </si>
  <si>
    <t xml:space="preserve">WL-03059</t>
  </si>
  <si>
    <t xml:space="preserve">Jonathan Daniels</t>
  </si>
  <si>
    <t xml:space="preserve">2025-03-21</t>
  </si>
  <si>
    <t xml:space="preserve">GW-0223</t>
  </si>
  <si>
    <t xml:space="preserve">SKP-2026-0395</t>
  </si>
  <si>
    <t xml:space="preserve">OFR-2026-1442</t>
  </si>
  <si>
    <t xml:space="preserve">2026-07-07</t>
  </si>
  <si>
    <t xml:space="preserve">WL-02900</t>
  </si>
  <si>
    <t xml:space="preserve">Timothy Henderson</t>
  </si>
  <si>
    <t xml:space="preserve">2025-01-09</t>
  </si>
  <si>
    <t xml:space="preserve">GW-0415</t>
  </si>
  <si>
    <t xml:space="preserve">SKP-2026-0393</t>
  </si>
  <si>
    <t xml:space="preserve">OFR-2026-1436</t>
  </si>
  <si>
    <t xml:space="preserve">2026-07-14</t>
  </si>
  <si>
    <t xml:space="preserve">WL-02358</t>
  </si>
  <si>
    <t xml:space="preserve">Kelly Mccoy</t>
  </si>
  <si>
    <t xml:space="preserve">LP-1009</t>
  </si>
  <si>
    <t xml:space="preserve">SKP-2026-0396</t>
  </si>
  <si>
    <t xml:space="preserve">OFR-2026-1443</t>
  </si>
  <si>
    <t xml:space="preserve">2026-07-15</t>
  </si>
  <si>
    <t xml:space="preserve">WL-02436</t>
  </si>
  <si>
    <t xml:space="preserve">Jeffrey Allen</t>
  </si>
  <si>
    <t xml:space="preserve">2024-06-24</t>
  </si>
  <si>
    <t xml:space="preserve">SB-0905</t>
  </si>
  <si>
    <t xml:space="preserve">SKP-2026-0389</t>
  </si>
  <si>
    <t xml:space="preserve">OFR-2026-1419</t>
  </si>
  <si>
    <t xml:space="preserve">2026-07-17</t>
  </si>
  <si>
    <t xml:space="preserve">SB-0902</t>
  </si>
  <si>
    <t xml:space="preserve">SKP-2026-0397</t>
  </si>
  <si>
    <t xml:space="preserve">OFR-2026-1447</t>
  </si>
  <si>
    <t xml:space="preserve">2026-07-21</t>
  </si>
  <si>
    <t xml:space="preserve">WL-01722</t>
  </si>
  <si>
    <t xml:space="preserve">Gregory Collins</t>
  </si>
  <si>
    <t xml:space="preserve">VB-0404</t>
  </si>
  <si>
    <t xml:space="preserve">SKP-2026-0391</t>
  </si>
  <si>
    <t xml:space="preserve">OFR-2026-1429</t>
  </si>
  <si>
    <t xml:space="preserve">WL-03106</t>
  </si>
  <si>
    <t xml:space="preserve">Shannon Morales</t>
  </si>
  <si>
    <t xml:space="preserve">2025-04-11</t>
  </si>
  <si>
    <t xml:space="preserve">LP-0609</t>
  </si>
  <si>
    <t xml:space="preserve">SKP-2026-0390</t>
  </si>
  <si>
    <t xml:space="preserve">OFR-2026-1422</t>
  </si>
  <si>
    <t xml:space="preserve">2026-07-25</t>
  </si>
  <si>
    <t xml:space="preserve">WL-03071</t>
  </si>
  <si>
    <t xml:space="preserve">Kenneth Jones</t>
  </si>
  <si>
    <t xml:space="preserve">POST-EFFECTIVE LOA AMENDMENT REVIEW</t>
  </si>
  <si>
    <t xml:space="preserve">Amendment ID</t>
  </si>
  <si>
    <t xml:space="preserve">Old LOA</t>
  </si>
  <si>
    <t xml:space="preserve">New LOA</t>
  </si>
  <si>
    <t xml:space="preserve">Source Document</t>
  </si>
  <si>
    <t xml:space="preserve">Certification Status</t>
  </si>
  <si>
    <t xml:space="preserve">Subsequent Scoped Skip</t>
  </si>
  <si>
    <t xml:space="preserve">Use Result</t>
  </si>
  <si>
    <t xml:space="preserve">AMD-000338</t>
  </si>
  <si>
    <t xml:space="preserve">2022-09-20</t>
  </si>
  <si>
    <t xml:space="preserve">WL-03600</t>
  </si>
  <si>
    <t xml:space="preserve">Blank</t>
  </si>
  <si>
    <t xml:space="preserve">UNSUPPORTED</t>
  </si>
  <si>
    <t xml:space="preserve">NO SCOPED SKIP USE FOUND</t>
  </si>
  <si>
    <t xml:space="preserve">AMD-000646</t>
  </si>
  <si>
    <t xml:space="preserve">WL-02496</t>
  </si>
  <si>
    <t xml:space="preserve">AMD-000808</t>
  </si>
  <si>
    <t xml:space="preserve">WL-03319</t>
  </si>
  <si>
    <t xml:space="preserve">AMD-001092</t>
  </si>
  <si>
    <t xml:space="preserve">2024-03-30</t>
  </si>
  <si>
    <t xml:space="preserve">WL-01999</t>
  </si>
  <si>
    <t xml:space="preserve">AMD-001453</t>
  </si>
  <si>
    <t xml:space="preserve">2025-01-14</t>
  </si>
  <si>
    <t xml:space="preserve">WL-03650</t>
  </si>
  <si>
    <t xml:space="preserve">AMD-001826</t>
  </si>
  <si>
    <t xml:space="preserve">WL-01845</t>
  </si>
  <si>
    <t xml:space="preserve">AMD-001859</t>
  </si>
  <si>
    <t xml:space="preserve">2025-10-30</t>
  </si>
  <si>
    <t xml:space="preserve">WL-02085</t>
  </si>
  <si>
    <t xml:space="preserve">AMD-001956</t>
  </si>
  <si>
    <t xml:space="preserve">2026-01-04</t>
  </si>
  <si>
    <t xml:space="preserve">WL-01484</t>
  </si>
  <si>
    <t xml:space="preserve">AMD-001978</t>
  </si>
  <si>
    <t xml:space="preserve">WL-03468</t>
  </si>
  <si>
    <t xml:space="preserve">AMD-001982</t>
  </si>
  <si>
    <t xml:space="preserve">WL-03045</t>
  </si>
  <si>
    <t xml:space="preserve">AMD-002104</t>
  </si>
  <si>
    <t xml:space="preserve">2026-04-21</t>
  </si>
  <si>
    <t xml:space="preserve">WL-01601</t>
  </si>
  <si>
    <t xml:space="preserve">AMD-002203</t>
  </si>
  <si>
    <t xml:space="preserve">2026-06-30</t>
  </si>
  <si>
    <t xml:space="preserve">AMD-000285</t>
  </si>
  <si>
    <t xml:space="preserve">2022-08-05</t>
  </si>
  <si>
    <t xml:space="preserve">WL-02933</t>
  </si>
  <si>
    <t xml:space="preserve">Foldview Marine Services haul-out sheet 2022-08-02</t>
  </si>
  <si>
    <t xml:space="preserve">CERTIFIED</t>
  </si>
  <si>
    <t xml:space="preserve">AMD-000287</t>
  </si>
  <si>
    <t xml:space="preserve">WL-01893</t>
  </si>
  <si>
    <t xml:space="preserve">Foldview Marine Services haul-out sheet 2022-08-08</t>
  </si>
  <si>
    <t xml:space="preserve">AMD-000288</t>
  </si>
  <si>
    <t xml:space="preserve">MC-2022-0411</t>
  </si>
  <si>
    <t xml:space="preserve">SUPPORTED USE</t>
  </si>
  <si>
    <t xml:space="preserve">AMD-000289</t>
  </si>
  <si>
    <t xml:space="preserve">2022-08-10</t>
  </si>
  <si>
    <t xml:space="preserve">WL-03103</t>
  </si>
  <si>
    <t xml:space="preserve">Foldview Marine Services haul-out sheet 2022-08-04</t>
  </si>
  <si>
    <t xml:space="preserve">AMD-000316</t>
  </si>
  <si>
    <t xml:space="preserve">2022-09-01</t>
  </si>
  <si>
    <t xml:space="preserve">WL-03085</t>
  </si>
  <si>
    <t xml:space="preserve">Foldview Marine Services haul-out sheet 2022-08-03</t>
  </si>
  <si>
    <t xml:space="preserve">AMD-000322</t>
  </si>
  <si>
    <t xml:space="preserve">2022-09-07</t>
  </si>
  <si>
    <t xml:space="preserve">WL-01962</t>
  </si>
  <si>
    <t xml:space="preserve">Foldview Marine Services haul-out sheet 2022-09-01</t>
  </si>
  <si>
    <t xml:space="preserve">AMD-000339</t>
  </si>
  <si>
    <t xml:space="preserve">2022-09-22</t>
  </si>
  <si>
    <t xml:space="preserve">WL-02493</t>
  </si>
  <si>
    <t xml:space="preserve">Foldview Marine Services haul-out sheet 2022-08-21</t>
  </si>
  <si>
    <t xml:space="preserve">AMD-000343</t>
  </si>
  <si>
    <t xml:space="preserve">2022-09-23</t>
  </si>
  <si>
    <t xml:space="preserve">WL-03241</t>
  </si>
  <si>
    <t xml:space="preserve">MC-2022-0705</t>
  </si>
  <si>
    <t xml:space="preserve">AMD-000356</t>
  </si>
  <si>
    <t xml:space="preserve">2022-10-05</t>
  </si>
  <si>
    <t xml:space="preserve">MC-2022-0134</t>
  </si>
  <si>
    <t xml:space="preserve">AMD-000368</t>
  </si>
  <si>
    <t xml:space="preserve">WL-01115</t>
  </si>
  <si>
    <t xml:space="preserve">MC-2022-0882</t>
  </si>
  <si>
    <t xml:space="preserve">AMD-000380</t>
  </si>
  <si>
    <t xml:space="preserve">2022-10-17</t>
  </si>
  <si>
    <t xml:space="preserve">MC-2022-0916</t>
  </si>
  <si>
    <t xml:space="preserve">AMD-000403</t>
  </si>
  <si>
    <t xml:space="preserve">2022-11-08</t>
  </si>
  <si>
    <t xml:space="preserve">WL-01088</t>
  </si>
  <si>
    <t xml:space="preserve">Foldview Marine Services haul-out sheet 2022-10-02</t>
  </si>
  <si>
    <t xml:space="preserve">AMD-000413</t>
  </si>
  <si>
    <t xml:space="preserve">2022-11-13</t>
  </si>
  <si>
    <t xml:space="preserve">WL-02512</t>
  </si>
  <si>
    <t xml:space="preserve">MC-2022-0143</t>
  </si>
  <si>
    <t xml:space="preserve">AMD-000415</t>
  </si>
  <si>
    <t xml:space="preserve">WL-02107</t>
  </si>
  <si>
    <t xml:space="preserve">AMD-000416</t>
  </si>
  <si>
    <t xml:space="preserve">WL-03636</t>
  </si>
  <si>
    <t xml:space="preserve">Foldview Marine Services haul-out sheet 2022-09-21</t>
  </si>
  <si>
    <t xml:space="preserve">AMD-000425</t>
  </si>
  <si>
    <t xml:space="preserve">2022-11-24</t>
  </si>
  <si>
    <t xml:space="preserve">WL-03350</t>
  </si>
  <si>
    <t xml:space="preserve">MC-2022-0209</t>
  </si>
  <si>
    <t xml:space="preserve">AMD-000431</t>
  </si>
  <si>
    <t xml:space="preserve">2022-11-28</t>
  </si>
  <si>
    <t xml:space="preserve">WL-03727</t>
  </si>
  <si>
    <t xml:space="preserve">Foldview Marine Services haul-out sheet 2022-08-20</t>
  </si>
  <si>
    <t xml:space="preserve">AMD-000435</t>
  </si>
  <si>
    <t xml:space="preserve">2022-11-30</t>
  </si>
  <si>
    <t xml:space="preserve">MC-2022-0410</t>
  </si>
  <si>
    <t xml:space="preserve">AMD-000436</t>
  </si>
  <si>
    <t xml:space="preserve">WL-02036</t>
  </si>
  <si>
    <t xml:space="preserve">MC-2022-0629</t>
  </si>
  <si>
    <t xml:space="preserve">AMD-000461</t>
  </si>
  <si>
    <t xml:space="preserve">2022-12-20</t>
  </si>
  <si>
    <t xml:space="preserve">WL-03633</t>
  </si>
  <si>
    <t xml:space="preserve">Foldview Marine Services haul-out sheet 2022-09-09</t>
  </si>
  <si>
    <t xml:space="preserve">AMD-000462</t>
  </si>
  <si>
    <t xml:space="preserve">2022-12-21</t>
  </si>
  <si>
    <t xml:space="preserve">WL-02309</t>
  </si>
  <si>
    <t xml:space="preserve">MC-2022-0151</t>
  </si>
  <si>
    <t xml:space="preserve">AMD-000471</t>
  </si>
  <si>
    <t xml:space="preserve">WL-02957</t>
  </si>
  <si>
    <t xml:space="preserve">MC-2022-0675</t>
  </si>
  <si>
    <t xml:space="preserve">AMD-000478</t>
  </si>
  <si>
    <t xml:space="preserve">2022-12-30</t>
  </si>
  <si>
    <t xml:space="preserve">WL-03274</t>
  </si>
  <si>
    <t xml:space="preserve">MC-2022-0649</t>
  </si>
  <si>
    <t xml:space="preserve">AMD-000482</t>
  </si>
  <si>
    <t xml:space="preserve">2023-01-01</t>
  </si>
  <si>
    <t xml:space="preserve">WL-03883</t>
  </si>
  <si>
    <t xml:space="preserve">MC-2023-0263</t>
  </si>
  <si>
    <t xml:space="preserve">AMD-000506</t>
  </si>
  <si>
    <t xml:space="preserve">2023-01-22</t>
  </si>
  <si>
    <t xml:space="preserve">WL-02724</t>
  </si>
  <si>
    <t xml:space="preserve">MC-2023-0238</t>
  </si>
  <si>
    <t xml:space="preserve">AMD-000526</t>
  </si>
  <si>
    <t xml:space="preserve">2023-02-03</t>
  </si>
  <si>
    <t xml:space="preserve">WL-03429</t>
  </si>
  <si>
    <t xml:space="preserve">MC-2023-0961</t>
  </si>
  <si>
    <t xml:space="preserve">AMD-000528</t>
  </si>
  <si>
    <t xml:space="preserve">MC-2023-0335</t>
  </si>
  <si>
    <t xml:space="preserve">AMD-000580</t>
  </si>
  <si>
    <t xml:space="preserve">2023-03-11</t>
  </si>
  <si>
    <t xml:space="preserve">WL-03115</t>
  </si>
  <si>
    <t xml:space="preserve">MC-2023-0485</t>
  </si>
  <si>
    <t xml:space="preserve">AMD-000584</t>
  </si>
  <si>
    <t xml:space="preserve">2023-03-14</t>
  </si>
  <si>
    <t xml:space="preserve">WL-03617</t>
  </si>
  <si>
    <t xml:space="preserve">AMD-000601</t>
  </si>
  <si>
    <t xml:space="preserve">WL-01670</t>
  </si>
  <si>
    <t xml:space="preserve">MC-2023-0255</t>
  </si>
  <si>
    <t xml:space="preserve">AMD-000610</t>
  </si>
  <si>
    <t xml:space="preserve">2023-04-07</t>
  </si>
  <si>
    <t xml:space="preserve">WL-02695</t>
  </si>
  <si>
    <t xml:space="preserve">Foldview Marine Services haul-out sheet 2022-11-25</t>
  </si>
  <si>
    <t xml:space="preserve">AMD-000627</t>
  </si>
  <si>
    <t xml:space="preserve">WL-01438</t>
  </si>
  <si>
    <t xml:space="preserve">MC-2023-0423</t>
  </si>
  <si>
    <t xml:space="preserve">AMD-000661</t>
  </si>
  <si>
    <t xml:space="preserve">WL-02263</t>
  </si>
  <si>
    <t xml:space="preserve">Foldview Marine Services haul-out sheet 2023-04-18</t>
  </si>
  <si>
    <t xml:space="preserve">AMD-000662</t>
  </si>
  <si>
    <t xml:space="preserve">WL-02278</t>
  </si>
  <si>
    <t xml:space="preserve">MC-2023-0309</t>
  </si>
  <si>
    <t xml:space="preserve">AMD-000682</t>
  </si>
  <si>
    <t xml:space="preserve">2023-06-04</t>
  </si>
  <si>
    <t xml:space="preserve">WL-02641</t>
  </si>
  <si>
    <t xml:space="preserve">Foldview Marine Services haul-out sheet 2022-12-15</t>
  </si>
  <si>
    <t xml:space="preserve">AMD-000691</t>
  </si>
  <si>
    <t xml:space="preserve">MC-2023-0192</t>
  </si>
  <si>
    <t xml:space="preserve">AMD-000694</t>
  </si>
  <si>
    <t xml:space="preserve">WL-03698</t>
  </si>
  <si>
    <t xml:space="preserve">Foldview Marine Services haul-out sheet 2022-10-31</t>
  </si>
  <si>
    <t xml:space="preserve">AMD-000705</t>
  </si>
  <si>
    <t xml:space="preserve">2023-06-18</t>
  </si>
  <si>
    <t xml:space="preserve">MC-2023-0222</t>
  </si>
  <si>
    <t xml:space="preserve">AMD-000709</t>
  </si>
  <si>
    <t xml:space="preserve">2023-06-20</t>
  </si>
  <si>
    <t xml:space="preserve">WL-01302</t>
  </si>
  <si>
    <t xml:space="preserve">MC-2023-0266</t>
  </si>
  <si>
    <t xml:space="preserve">AMD-000712</t>
  </si>
  <si>
    <t xml:space="preserve">2023-06-23</t>
  </si>
  <si>
    <t xml:space="preserve">WL-01762</t>
  </si>
  <si>
    <t xml:space="preserve">MC-2023-0225</t>
  </si>
  <si>
    <t xml:space="preserve">AMD-000714</t>
  </si>
  <si>
    <t xml:space="preserve">Foldview Marine Services haul-out sheet 2023-01-12</t>
  </si>
  <si>
    <t xml:space="preserve">AMD-000750</t>
  </si>
  <si>
    <t xml:space="preserve">2023-07-25</t>
  </si>
  <si>
    <t xml:space="preserve">WL-03333</t>
  </si>
  <si>
    <t xml:space="preserve">Foldview Marine Services haul-out sheet 2022-11-09</t>
  </si>
  <si>
    <t xml:space="preserve">AMD-000760</t>
  </si>
  <si>
    <t xml:space="preserve">2023-08-03</t>
  </si>
  <si>
    <t xml:space="preserve">WL-03183</t>
  </si>
  <si>
    <t xml:space="preserve">MC-2023-0648</t>
  </si>
  <si>
    <t xml:space="preserve">AMD-000763</t>
  </si>
  <si>
    <t xml:space="preserve">2023-08-04</t>
  </si>
  <si>
    <t xml:space="preserve">WL-02205</t>
  </si>
  <si>
    <t xml:space="preserve">MC-2023-0129</t>
  </si>
  <si>
    <t xml:space="preserve">AMD-000772</t>
  </si>
  <si>
    <t xml:space="preserve">Foldview Marine Services haul-out sheet 2022-09-12</t>
  </si>
  <si>
    <t xml:space="preserve">AMD-000777</t>
  </si>
  <si>
    <t xml:space="preserve">2023-08-14</t>
  </si>
  <si>
    <t xml:space="preserve">WL-02881</t>
  </si>
  <si>
    <t xml:space="preserve">MC-2023-0628</t>
  </si>
  <si>
    <t xml:space="preserve">AMD-000779</t>
  </si>
  <si>
    <t xml:space="preserve">WL-01864</t>
  </si>
  <si>
    <t xml:space="preserve">Foldview Marine Services haul-out sheet 2022-09-13</t>
  </si>
  <si>
    <t xml:space="preserve">AMD-000782</t>
  </si>
  <si>
    <t xml:space="preserve">WL-03250</t>
  </si>
  <si>
    <t xml:space="preserve">Foldview Marine Services haul-out sheet 2023-01-11</t>
  </si>
  <si>
    <t xml:space="preserve">AMD-000785</t>
  </si>
  <si>
    <t xml:space="preserve">WL-03293</t>
  </si>
  <si>
    <t xml:space="preserve">MC-2023-0127</t>
  </si>
  <si>
    <t xml:space="preserve">AMD-000803</t>
  </si>
  <si>
    <t xml:space="preserve">2023-08-31</t>
  </si>
  <si>
    <t xml:space="preserve">WL-03666</t>
  </si>
  <si>
    <t xml:space="preserve">MC-2023-0932</t>
  </si>
  <si>
    <t xml:space="preserve">AMD-000848</t>
  </si>
  <si>
    <t xml:space="preserve">2023-10-14</t>
  </si>
  <si>
    <t xml:space="preserve">WL-02342</t>
  </si>
  <si>
    <t xml:space="preserve">MC-2023-0955</t>
  </si>
  <si>
    <t xml:space="preserve">AMD-000876</t>
  </si>
  <si>
    <t xml:space="preserve">2023-11-07</t>
  </si>
  <si>
    <t xml:space="preserve">WL-03908</t>
  </si>
  <si>
    <t xml:space="preserve">Foldview Marine Services haul-out sheet 2023-10-24</t>
  </si>
  <si>
    <t xml:space="preserve">AMD-000887</t>
  </si>
  <si>
    <t xml:space="preserve">WL-02969</t>
  </si>
  <si>
    <t xml:space="preserve">MC-2023-0909</t>
  </si>
  <si>
    <t xml:space="preserve">AMD-000890</t>
  </si>
  <si>
    <t xml:space="preserve">2023-11-16</t>
  </si>
  <si>
    <t xml:space="preserve">WL-02279</t>
  </si>
  <si>
    <t xml:space="preserve">Foldview Marine Services haul-out sheet 2023-10-23</t>
  </si>
  <si>
    <t xml:space="preserve">AMD-000893</t>
  </si>
  <si>
    <t xml:space="preserve">WL-01874</t>
  </si>
  <si>
    <t xml:space="preserve">Foldview Marine Services haul-out sheet 2023-07-17</t>
  </si>
  <si>
    <t xml:space="preserve">AMD-000913</t>
  </si>
  <si>
    <t xml:space="preserve">2023-11-25</t>
  </si>
  <si>
    <t xml:space="preserve">WL-03638</t>
  </si>
  <si>
    <t xml:space="preserve">MC-2023-0800</t>
  </si>
  <si>
    <t xml:space="preserve">AMD-000930</t>
  </si>
  <si>
    <t xml:space="preserve">2023-12-05</t>
  </si>
  <si>
    <t xml:space="preserve">WL-02495</t>
  </si>
  <si>
    <t xml:space="preserve">Foldview Marine Services haul-out sheet 2022-10-07</t>
  </si>
  <si>
    <t xml:space="preserve">AMD-000935</t>
  </si>
  <si>
    <t xml:space="preserve">2023-12-09</t>
  </si>
  <si>
    <t xml:space="preserve">WL-01361</t>
  </si>
  <si>
    <t xml:space="preserve">MC-2023-0786</t>
  </si>
  <si>
    <t xml:space="preserve">AMD-000967</t>
  </si>
  <si>
    <t xml:space="preserve">2023-12-31</t>
  </si>
  <si>
    <t xml:space="preserve">Foldview Marine Services haul-out sheet 2023-09-16</t>
  </si>
  <si>
    <t xml:space="preserve">AMD-000971</t>
  </si>
  <si>
    <t xml:space="preserve">2024-01-03</t>
  </si>
  <si>
    <t xml:space="preserve">WL-01323</t>
  </si>
  <si>
    <t xml:space="preserve">Foldview Marine Services haul-out sheet 2022-09-04</t>
  </si>
  <si>
    <t xml:space="preserve">AMD-000977</t>
  </si>
  <si>
    <t xml:space="preserve">2024-01-07</t>
  </si>
  <si>
    <t xml:space="preserve">WL-01619</t>
  </si>
  <si>
    <t xml:space="preserve">MC-2024-0516</t>
  </si>
  <si>
    <t xml:space="preserve">AMD-000982</t>
  </si>
  <si>
    <t xml:space="preserve">2024-01-11</t>
  </si>
  <si>
    <t xml:space="preserve">WL-01621</t>
  </si>
  <si>
    <t xml:space="preserve">MC-2024-0232</t>
  </si>
  <si>
    <t xml:space="preserve">AMD-000999</t>
  </si>
  <si>
    <t xml:space="preserve">2024-01-23</t>
  </si>
  <si>
    <t xml:space="preserve">WL-01937</t>
  </si>
  <si>
    <t xml:space="preserve">MC-2024-0198</t>
  </si>
  <si>
    <t xml:space="preserve">AMD-001016</t>
  </si>
  <si>
    <t xml:space="preserve">WL-01018</t>
  </si>
  <si>
    <t xml:space="preserve">Foldview Marine Services haul-out sheet 2022-10-24</t>
  </si>
  <si>
    <t xml:space="preserve">AMD-001027</t>
  </si>
  <si>
    <t xml:space="preserve">WL-01929</t>
  </si>
  <si>
    <t xml:space="preserve">Foldview Marine Services haul-out sheet 2023-01-26</t>
  </si>
  <si>
    <t xml:space="preserve">AMD-001059</t>
  </si>
  <si>
    <t xml:space="preserve">2024-03-09</t>
  </si>
  <si>
    <t xml:space="preserve">WL-03272</t>
  </si>
  <si>
    <t xml:space="preserve">Foldview Marine Services haul-out sheet 2023-11-17</t>
  </si>
  <si>
    <t xml:space="preserve">AMD-001093</t>
  </si>
  <si>
    <t xml:space="preserve">2024-04-01</t>
  </si>
  <si>
    <t xml:space="preserve">WL-01027</t>
  </si>
  <si>
    <t xml:space="preserve">Foldview Marine Services haul-out sheet 2022-10-23</t>
  </si>
  <si>
    <t xml:space="preserve">AMD-001105</t>
  </si>
  <si>
    <t xml:space="preserve">2024-04-11</t>
  </si>
  <si>
    <t xml:space="preserve">WL-02950</t>
  </si>
  <si>
    <t xml:space="preserve">MC-2024-0771</t>
  </si>
  <si>
    <t xml:space="preserve">AMD-001109</t>
  </si>
  <si>
    <t xml:space="preserve">2024-04-13</t>
  </si>
  <si>
    <t xml:space="preserve">MC-2024-0712</t>
  </si>
  <si>
    <t xml:space="preserve">AMD-001117</t>
  </si>
  <si>
    <t xml:space="preserve">2024-04-17</t>
  </si>
  <si>
    <t xml:space="preserve">WL-02128</t>
  </si>
  <si>
    <t xml:space="preserve">MC-2024-0136</t>
  </si>
  <si>
    <t xml:space="preserve">AMD-001120</t>
  </si>
  <si>
    <t xml:space="preserve">2024-04-20</t>
  </si>
  <si>
    <t xml:space="preserve">WL-02592</t>
  </si>
  <si>
    <t xml:space="preserve">Foldview Marine Services haul-out sheet 2023-08-05</t>
  </si>
  <si>
    <t xml:space="preserve">AMD-001151</t>
  </si>
  <si>
    <t xml:space="preserve">2024-05-14</t>
  </si>
  <si>
    <t xml:space="preserve">WL-02647</t>
  </si>
  <si>
    <t xml:space="preserve">Foldview Marine Services haul-out sheet 2023-04-25</t>
  </si>
  <si>
    <t xml:space="preserve">AMD-001166</t>
  </si>
  <si>
    <t xml:space="preserve">2024-05-27</t>
  </si>
  <si>
    <t xml:space="preserve">MC-2024-0375</t>
  </si>
  <si>
    <t xml:space="preserve">AMD-001167</t>
  </si>
  <si>
    <t xml:space="preserve">2024-05-28</t>
  </si>
  <si>
    <t xml:space="preserve">WL-01816</t>
  </si>
  <si>
    <t xml:space="preserve">MC-2024-0510</t>
  </si>
  <si>
    <t xml:space="preserve">AMD-001170</t>
  </si>
  <si>
    <t xml:space="preserve">2024-05-29</t>
  </si>
  <si>
    <t xml:space="preserve">WL-01411</t>
  </si>
  <si>
    <t xml:space="preserve">Foldview Marine Services haul-out sheet 2023-08-23</t>
  </si>
  <si>
    <t xml:space="preserve">AMD-001192</t>
  </si>
  <si>
    <t xml:space="preserve">2024-06-21</t>
  </si>
  <si>
    <t xml:space="preserve">MC-2024-0630</t>
  </si>
  <si>
    <t xml:space="preserve">AMD-001200</t>
  </si>
  <si>
    <t xml:space="preserve">2024-06-28</t>
  </si>
  <si>
    <t xml:space="preserve">Foldview Marine Services haul-out sheet 2023-09-03</t>
  </si>
  <si>
    <t xml:space="preserve">AMD-001204</t>
  </si>
  <si>
    <t xml:space="preserve">2024-07-01</t>
  </si>
  <si>
    <t xml:space="preserve">Foldview Marine Services haul-out sheet 2024-02-12</t>
  </si>
  <si>
    <t xml:space="preserve">AMD-001230</t>
  </si>
  <si>
    <t xml:space="preserve">2024-07-23</t>
  </si>
  <si>
    <t xml:space="preserve">WL-01607</t>
  </si>
  <si>
    <t xml:space="preserve">Foldview Marine Services haul-out sheet 2022-09-15</t>
  </si>
  <si>
    <t xml:space="preserve">AMD-001231</t>
  </si>
  <si>
    <t xml:space="preserve">WL-01289</t>
  </si>
  <si>
    <t xml:space="preserve">Foldview Marine Services haul-out sheet 2023-01-05</t>
  </si>
  <si>
    <t xml:space="preserve">AMD-001232</t>
  </si>
  <si>
    <t xml:space="preserve">2024-07-31</t>
  </si>
  <si>
    <t xml:space="preserve">WL-01573</t>
  </si>
  <si>
    <t xml:space="preserve">MC-2024-0489</t>
  </si>
  <si>
    <t xml:space="preserve">AMD-001241</t>
  </si>
  <si>
    <t xml:space="preserve">2024-08-05</t>
  </si>
  <si>
    <t xml:space="preserve">WL-02437</t>
  </si>
  <si>
    <t xml:space="preserve">MC-2024-0891</t>
  </si>
  <si>
    <t xml:space="preserve">AMD-001244</t>
  </si>
  <si>
    <t xml:space="preserve">WL-01492</t>
  </si>
  <si>
    <t xml:space="preserve">Foldview Marine Services haul-out sheet 2024-01-03</t>
  </si>
  <si>
    <t xml:space="preserve">AMD-001260</t>
  </si>
  <si>
    <t xml:space="preserve">2024-08-14</t>
  </si>
  <si>
    <t xml:space="preserve">WL-03524</t>
  </si>
  <si>
    <t xml:space="preserve">Foldview Marine Services haul-out sheet 2024-07-21</t>
  </si>
  <si>
    <t xml:space="preserve">AMD-001263</t>
  </si>
  <si>
    <t xml:space="preserve">WL-03800</t>
  </si>
  <si>
    <t xml:space="preserve">MC-2024-0608</t>
  </si>
  <si>
    <t xml:space="preserve">AMD-001267</t>
  </si>
  <si>
    <t xml:space="preserve">2024-08-20</t>
  </si>
  <si>
    <t xml:space="preserve">WL-03433</t>
  </si>
  <si>
    <t xml:space="preserve">MC-2024-0755</t>
  </si>
  <si>
    <t xml:space="preserve">AMD-001278</t>
  </si>
  <si>
    <t xml:space="preserve">WL-02527</t>
  </si>
  <si>
    <t xml:space="preserve">Foldview Marine Services haul-out sheet 2022-11-26</t>
  </si>
  <si>
    <t xml:space="preserve">AMD-001279</t>
  </si>
  <si>
    <t xml:space="preserve">2024-08-30</t>
  </si>
  <si>
    <t xml:space="preserve">WL-02561</t>
  </si>
  <si>
    <t xml:space="preserve">Foldview Marine Services haul-out sheet 2023-05-28</t>
  </si>
  <si>
    <t xml:space="preserve">AMD-001287</t>
  </si>
  <si>
    <t xml:space="preserve">2024-09-04</t>
  </si>
  <si>
    <t xml:space="preserve">WL-03381</t>
  </si>
  <si>
    <t xml:space="preserve">MC-2024-0411</t>
  </si>
  <si>
    <t xml:space="preserve">AMD-001288</t>
  </si>
  <si>
    <t xml:space="preserve">2024-09-05</t>
  </si>
  <si>
    <t xml:space="preserve">WL-02401</t>
  </si>
  <si>
    <t xml:space="preserve">MC-2024-0091</t>
  </si>
  <si>
    <t xml:space="preserve">AMD-001294</t>
  </si>
  <si>
    <t xml:space="preserve">2024-09-08</t>
  </si>
  <si>
    <t xml:space="preserve">WL-01766</t>
  </si>
  <si>
    <t xml:space="preserve">Foldview Marine Services haul-out sheet 2023-11-26</t>
  </si>
  <si>
    <t xml:space="preserve">AMD-001311</t>
  </si>
  <si>
    <t xml:space="preserve">2024-09-20</t>
  </si>
  <si>
    <t xml:space="preserve">WL-02239</t>
  </si>
  <si>
    <t xml:space="preserve">MC-2024-0324</t>
  </si>
  <si>
    <t xml:space="preserve">AMD-001313</t>
  </si>
  <si>
    <t xml:space="preserve">2024-09-21</t>
  </si>
  <si>
    <t xml:space="preserve">WL-02310</t>
  </si>
  <si>
    <t xml:space="preserve">Foldview Marine Services haul-out sheet 2022-10-15</t>
  </si>
  <si>
    <t xml:space="preserve">AMD-001323</t>
  </si>
  <si>
    <t xml:space="preserve">WL-01430</t>
  </si>
  <si>
    <t xml:space="preserve">Foldview Marine Services haul-out sheet 2023-02-17</t>
  </si>
  <si>
    <t xml:space="preserve">AMD-001327</t>
  </si>
  <si>
    <t xml:space="preserve">Foldview Marine Services haul-out sheet 2024-01-01</t>
  </si>
  <si>
    <t xml:space="preserve">AMD-001328</t>
  </si>
  <si>
    <t xml:space="preserve">WL-03547</t>
  </si>
  <si>
    <t xml:space="preserve">Foldview Marine Services haul-out sheet 2022-08-11</t>
  </si>
  <si>
    <t xml:space="preserve">AMD-001331</t>
  </si>
  <si>
    <t xml:space="preserve">2024-10-11</t>
  </si>
  <si>
    <t xml:space="preserve">WL-03757</t>
  </si>
  <si>
    <t xml:space="preserve">MC-2024-0126</t>
  </si>
  <si>
    <t xml:space="preserve">AMD-001350</t>
  </si>
  <si>
    <t xml:space="preserve">2024-10-29</t>
  </si>
  <si>
    <t xml:space="preserve">WL-02398</t>
  </si>
  <si>
    <t xml:space="preserve">Foldview Marine Services haul-out sheet 2022-09-24</t>
  </si>
  <si>
    <t xml:space="preserve">AMD-001362</t>
  </si>
  <si>
    <t xml:space="preserve">WL-03050</t>
  </si>
  <si>
    <t xml:space="preserve">AMD-001384</t>
  </si>
  <si>
    <t xml:space="preserve">WL-02442</t>
  </si>
  <si>
    <t xml:space="preserve">MC-2024-0282</t>
  </si>
  <si>
    <t xml:space="preserve">AMD-001400</t>
  </si>
  <si>
    <t xml:space="preserve">2024-11-28</t>
  </si>
  <si>
    <t xml:space="preserve">WL-03511</t>
  </si>
  <si>
    <t xml:space="preserve">Foldview Marine Services haul-out sheet 2023-01-03</t>
  </si>
  <si>
    <t xml:space="preserve">AMD-001403</t>
  </si>
  <si>
    <t xml:space="preserve">2024-11-30</t>
  </si>
  <si>
    <t xml:space="preserve">WL-02150</t>
  </si>
  <si>
    <t xml:space="preserve">MC-2024-0438</t>
  </si>
  <si>
    <t xml:space="preserve">AMD-001406</t>
  </si>
  <si>
    <t xml:space="preserve">2024-12-02</t>
  </si>
  <si>
    <t xml:space="preserve">WL-03583</t>
  </si>
  <si>
    <t xml:space="preserve">MC-2024-0227</t>
  </si>
  <si>
    <t xml:space="preserve">AMD-001408</t>
  </si>
  <si>
    <t xml:space="preserve">2024-12-05</t>
  </si>
  <si>
    <t xml:space="preserve">WL-02001</t>
  </si>
  <si>
    <t xml:space="preserve">MC-2024-0801</t>
  </si>
  <si>
    <t xml:space="preserve">AMD-001409</t>
  </si>
  <si>
    <t xml:space="preserve">WL-02133</t>
  </si>
  <si>
    <t xml:space="preserve">MC-2024-0696</t>
  </si>
  <si>
    <t xml:space="preserve">AMD-001411</t>
  </si>
  <si>
    <t xml:space="preserve">2024-12-07</t>
  </si>
  <si>
    <t xml:space="preserve">WL-02026</t>
  </si>
  <si>
    <t xml:space="preserve">Foldview Marine Services haul-out sheet 2022-10-14</t>
  </si>
  <si>
    <t xml:space="preserve">AMD-001414</t>
  </si>
  <si>
    <t xml:space="preserve">WL-03890</t>
  </si>
  <si>
    <t xml:space="preserve">MC-2024-0118</t>
  </si>
  <si>
    <t xml:space="preserve">AMD-001427</t>
  </si>
  <si>
    <t xml:space="preserve">WL-03470</t>
  </si>
  <si>
    <t xml:space="preserve">MC-2024-0864</t>
  </si>
  <si>
    <t xml:space="preserve">AMD-001430</t>
  </si>
  <si>
    <t xml:space="preserve">WL-03335</t>
  </si>
  <si>
    <t xml:space="preserve">MC-2024-0969</t>
  </si>
  <si>
    <t xml:space="preserve">AMD-001444</t>
  </si>
  <si>
    <t xml:space="preserve">WL-02327</t>
  </si>
  <si>
    <t xml:space="preserve">MC-2025-0967</t>
  </si>
  <si>
    <t xml:space="preserve">AMD-001449</t>
  </si>
  <si>
    <t xml:space="preserve">2025-01-13</t>
  </si>
  <si>
    <t xml:space="preserve">WL-01855</t>
  </si>
  <si>
    <t xml:space="preserve">MC-2025-0216</t>
  </si>
  <si>
    <t xml:space="preserve">AMD-001460</t>
  </si>
  <si>
    <t xml:space="preserve">WL-02180</t>
  </si>
  <si>
    <t xml:space="preserve">MC-2025-0415</t>
  </si>
  <si>
    <t xml:space="preserve">AMD-001468</t>
  </si>
  <si>
    <t xml:space="preserve">2025-01-23</t>
  </si>
  <si>
    <t xml:space="preserve">WL-02459</t>
  </si>
  <si>
    <t xml:space="preserve">Foldview Marine Services haul-out sheet 2022-12-04</t>
  </si>
  <si>
    <t xml:space="preserve">AMD-001481</t>
  </si>
  <si>
    <t xml:space="preserve">2025-01-30</t>
  </si>
  <si>
    <t xml:space="preserve">WL-02143</t>
  </si>
  <si>
    <t xml:space="preserve">Foldview Marine Services haul-out sheet 2024-10-22</t>
  </si>
  <si>
    <t xml:space="preserve">AMD-001519</t>
  </si>
  <si>
    <t xml:space="preserve">WL-02035</t>
  </si>
  <si>
    <t xml:space="preserve">MC-2025-0618</t>
  </si>
  <si>
    <t xml:space="preserve">AMD-001525</t>
  </si>
  <si>
    <t xml:space="preserve">2025-02-28</t>
  </si>
  <si>
    <t xml:space="preserve">WL-01612</t>
  </si>
  <si>
    <t xml:space="preserve">MC-2025-0220</t>
  </si>
  <si>
    <t xml:space="preserve">AMD-001535</t>
  </si>
  <si>
    <t xml:space="preserve">WL-02431</t>
  </si>
  <si>
    <t xml:space="preserve">Foldview Marine Services haul-out sheet 2025-01-27</t>
  </si>
  <si>
    <t xml:space="preserve">AMD-001545</t>
  </si>
  <si>
    <t xml:space="preserve">2025-03-15</t>
  </si>
  <si>
    <t xml:space="preserve">MC-2025-0576</t>
  </si>
  <si>
    <t xml:space="preserve">AMD-001557</t>
  </si>
  <si>
    <t xml:space="preserve">2025-03-26</t>
  </si>
  <si>
    <t xml:space="preserve">WL-01173</t>
  </si>
  <si>
    <t xml:space="preserve">MC-2025-0745</t>
  </si>
  <si>
    <t xml:space="preserve">AMD-001563</t>
  </si>
  <si>
    <t xml:space="preserve">2025-03-29</t>
  </si>
  <si>
    <t xml:space="preserve">WL-01350</t>
  </si>
  <si>
    <t xml:space="preserve">MC-2025-0538</t>
  </si>
  <si>
    <t xml:space="preserve">AMD-001565</t>
  </si>
  <si>
    <t xml:space="preserve">2025-03-30</t>
  </si>
  <si>
    <t xml:space="preserve">WL-01349</t>
  </si>
  <si>
    <t xml:space="preserve">MC-2025-0226</t>
  </si>
  <si>
    <t xml:space="preserve">AMD-001568</t>
  </si>
  <si>
    <t xml:space="preserve">2025-03-31</t>
  </si>
  <si>
    <t xml:space="preserve">MC-2025-0526</t>
  </si>
  <si>
    <t xml:space="preserve">AMD-001570</t>
  </si>
  <si>
    <t xml:space="preserve">WL-02799</t>
  </si>
  <si>
    <t xml:space="preserve">MC-2025-0900</t>
  </si>
  <si>
    <t xml:space="preserve">AMD-001577</t>
  </si>
  <si>
    <t xml:space="preserve">WL-03646</t>
  </si>
  <si>
    <t xml:space="preserve">MC-2025-0799</t>
  </si>
  <si>
    <t xml:space="preserve">AMD-001591</t>
  </si>
  <si>
    <t xml:space="preserve">2025-04-18</t>
  </si>
  <si>
    <t xml:space="preserve">WL-02821</t>
  </si>
  <si>
    <t xml:space="preserve">Foldview Marine Services haul-out sheet 2023-09-02</t>
  </si>
  <si>
    <t xml:space="preserve">AMD-001597</t>
  </si>
  <si>
    <t xml:space="preserve">2025-04-23</t>
  </si>
  <si>
    <t xml:space="preserve">WL-03413</t>
  </si>
  <si>
    <t xml:space="preserve">MC-2025-0314</t>
  </si>
  <si>
    <t xml:space="preserve">AMD-001598</t>
  </si>
  <si>
    <t xml:space="preserve">WL-03035</t>
  </si>
  <si>
    <t xml:space="preserve">MC-2025-0956</t>
  </si>
  <si>
    <t xml:space="preserve">AMD-001604</t>
  </si>
  <si>
    <t xml:space="preserve">2025-04-26</t>
  </si>
  <si>
    <t xml:space="preserve">WL-03135</t>
  </si>
  <si>
    <t xml:space="preserve">MC-2025-0228</t>
  </si>
  <si>
    <t xml:space="preserve">AMD-001606</t>
  </si>
  <si>
    <t xml:space="preserve">2025-04-28</t>
  </si>
  <si>
    <t xml:space="preserve">WL-02090</t>
  </si>
  <si>
    <t xml:space="preserve">MC-2025-0913</t>
  </si>
  <si>
    <t xml:space="preserve">AMD-001608</t>
  </si>
  <si>
    <t xml:space="preserve">2025-05-01</t>
  </si>
  <si>
    <t xml:space="preserve">WL-02816</t>
  </si>
  <si>
    <t xml:space="preserve">Foldview Marine Services haul-out sheet 2024-03-15</t>
  </si>
  <si>
    <t xml:space="preserve">AMD-001620</t>
  </si>
  <si>
    <t xml:space="preserve">2025-05-06</t>
  </si>
  <si>
    <t xml:space="preserve">MC-2025-0852</t>
  </si>
  <si>
    <t xml:space="preserve">AMD-001635</t>
  </si>
  <si>
    <t xml:space="preserve">WL-03261</t>
  </si>
  <si>
    <t xml:space="preserve">MC-2025-0420</t>
  </si>
  <si>
    <t xml:space="preserve">AMD-001646</t>
  </si>
  <si>
    <t xml:space="preserve">2025-05-23</t>
  </si>
  <si>
    <t xml:space="preserve">WL-01993</t>
  </si>
  <si>
    <t xml:space="preserve">Foldview Marine Services haul-out sheet 2023-08-13</t>
  </si>
  <si>
    <t xml:space="preserve">AMD-001647</t>
  </si>
  <si>
    <t xml:space="preserve">WL-02083</t>
  </si>
  <si>
    <t xml:space="preserve">MC-2025-0442</t>
  </si>
  <si>
    <t xml:space="preserve">AMD-001655</t>
  </si>
  <si>
    <t xml:space="preserve">2025-05-26</t>
  </si>
  <si>
    <t xml:space="preserve">WL-03503</t>
  </si>
  <si>
    <t xml:space="preserve">MC-2025-0353</t>
  </si>
  <si>
    <t xml:space="preserve">AMD-001659</t>
  </si>
  <si>
    <t xml:space="preserve">2025-05-27</t>
  </si>
  <si>
    <t xml:space="preserve">WL-01977</t>
  </si>
  <si>
    <t xml:space="preserve">MC-2025-0974</t>
  </si>
  <si>
    <t xml:space="preserve">AMD-001681</t>
  </si>
  <si>
    <t xml:space="preserve">WL-01556</t>
  </si>
  <si>
    <t xml:space="preserve">Foldview Marine Services haul-out sheet 2023-09-08</t>
  </si>
  <si>
    <t xml:space="preserve">AMD-001691</t>
  </si>
  <si>
    <t xml:space="preserve">2025-06-25</t>
  </si>
  <si>
    <t xml:space="preserve">WL-02109</t>
  </si>
  <si>
    <t xml:space="preserve">MC-2025-0282</t>
  </si>
  <si>
    <t xml:space="preserve">AMD-001695</t>
  </si>
  <si>
    <t xml:space="preserve">WL-02213</t>
  </si>
  <si>
    <t xml:space="preserve">MC-2025-0835</t>
  </si>
  <si>
    <t xml:space="preserve">AMD-001700</t>
  </si>
  <si>
    <t xml:space="preserve">2025-06-30</t>
  </si>
  <si>
    <t xml:space="preserve">WL-01474</t>
  </si>
  <si>
    <t xml:space="preserve">AMD-001702</t>
  </si>
  <si>
    <t xml:space="preserve">2025-07-01</t>
  </si>
  <si>
    <t xml:space="preserve">Foldview Marine Services haul-out measurement sheet 2025-06-29</t>
  </si>
  <si>
    <t xml:space="preserve">AMD-001705</t>
  </si>
  <si>
    <t xml:space="preserve">2025-07-04</t>
  </si>
  <si>
    <t xml:space="preserve">WL-03031</t>
  </si>
  <si>
    <t xml:space="preserve">MC-2025-0532</t>
  </si>
  <si>
    <t xml:space="preserve">AMD-001727</t>
  </si>
  <si>
    <t xml:space="preserve">2025-07-23</t>
  </si>
  <si>
    <t xml:space="preserve">WL-02506</t>
  </si>
  <si>
    <t xml:space="preserve">MC-2025-0701</t>
  </si>
  <si>
    <t xml:space="preserve">AMD-001749</t>
  </si>
  <si>
    <t xml:space="preserve">2025-08-09</t>
  </si>
  <si>
    <t xml:space="preserve">WL-01867</t>
  </si>
  <si>
    <t xml:space="preserve">MC-2025-0894</t>
  </si>
  <si>
    <t xml:space="preserve">AMD-001778</t>
  </si>
  <si>
    <t xml:space="preserve">WL-02031</t>
  </si>
  <si>
    <t xml:space="preserve">Foldview Marine Services haul-out sheet 2024-11-05</t>
  </si>
  <si>
    <t xml:space="preserve">AMD-001779</t>
  </si>
  <si>
    <t xml:space="preserve">WL-01603</t>
  </si>
  <si>
    <t xml:space="preserve">Foldview Marine Services haul-out sheet 2024-03-27</t>
  </si>
  <si>
    <t xml:space="preserve">AMD-001799</t>
  </si>
  <si>
    <t xml:space="preserve">2025-09-15</t>
  </si>
  <si>
    <t xml:space="preserve">WL-03292</t>
  </si>
  <si>
    <t xml:space="preserve">Foldview Marine Services haul-out sheet 2023-09-15</t>
  </si>
  <si>
    <t xml:space="preserve">AMD-001803</t>
  </si>
  <si>
    <t xml:space="preserve">WL-01275</t>
  </si>
  <si>
    <t xml:space="preserve">MC-2025-0384</t>
  </si>
  <si>
    <t xml:space="preserve">AMD-001820</t>
  </si>
  <si>
    <t xml:space="preserve">WL-01357</t>
  </si>
  <si>
    <t xml:space="preserve">Foldview Marine Services haul-out sheet 2025-06-20</t>
  </si>
  <si>
    <t xml:space="preserve">AMD-001821</t>
  </si>
  <si>
    <t xml:space="preserve">WL-01113</t>
  </si>
  <si>
    <t xml:space="preserve">MC-2025-0245</t>
  </si>
  <si>
    <t xml:space="preserve">AMD-001830</t>
  </si>
  <si>
    <t xml:space="preserve">WL-01423</t>
  </si>
  <si>
    <t xml:space="preserve">Foldview Marine Services haul-out sheet 2024-08-24</t>
  </si>
  <si>
    <t xml:space="preserve">AMD-001832</t>
  </si>
  <si>
    <t xml:space="preserve">2025-10-14</t>
  </si>
  <si>
    <t xml:space="preserve">WL-03048</t>
  </si>
  <si>
    <t xml:space="preserve">Foldview Marine Services haul-out sheet 2023-05-25</t>
  </si>
  <si>
    <t xml:space="preserve">AMD-001833</t>
  </si>
  <si>
    <t xml:space="preserve">MC-2025-0906</t>
  </si>
  <si>
    <t xml:space="preserve">AMD-001834</t>
  </si>
  <si>
    <t xml:space="preserve">2025-10-15</t>
  </si>
  <si>
    <t xml:space="preserve">WL-03679</t>
  </si>
  <si>
    <t xml:space="preserve">MC-2025-0464</t>
  </si>
  <si>
    <t xml:space="preserve">AMD-001837</t>
  </si>
  <si>
    <t xml:space="preserve">2025-10-19</t>
  </si>
  <si>
    <t xml:space="preserve">WL-01057</t>
  </si>
  <si>
    <t xml:space="preserve">Foldview Marine Services haul-out sheet 2024-03-18</t>
  </si>
  <si>
    <t xml:space="preserve">AMD-001852</t>
  </si>
  <si>
    <t xml:space="preserve">WL-01995</t>
  </si>
  <si>
    <t xml:space="preserve">Foldview Marine Services haul-out sheet 2022-12-09</t>
  </si>
  <si>
    <t xml:space="preserve">AMD-001861</t>
  </si>
  <si>
    <t xml:space="preserve">WL-02978</t>
  </si>
  <si>
    <t xml:space="preserve">MC-2025-0439</t>
  </si>
  <si>
    <t xml:space="preserve">AMD-001866</t>
  </si>
  <si>
    <t xml:space="preserve">2025-11-01</t>
  </si>
  <si>
    <t xml:space="preserve">WL-03887</t>
  </si>
  <si>
    <t xml:space="preserve">MC-2025-0186</t>
  </si>
  <si>
    <t xml:space="preserve">AMD-001883</t>
  </si>
  <si>
    <t xml:space="preserve">2025-11-12</t>
  </si>
  <si>
    <t xml:space="preserve">WL-01947</t>
  </si>
  <si>
    <t xml:space="preserve">MC-2025-0337</t>
  </si>
  <si>
    <t xml:space="preserve">AMD-001884</t>
  </si>
  <si>
    <t xml:space="preserve">WL-02955</t>
  </si>
  <si>
    <t xml:space="preserve">Foldview Marine Services haul-out sheet 2025-06-28</t>
  </si>
  <si>
    <t xml:space="preserve">AMD-001889</t>
  </si>
  <si>
    <t xml:space="preserve">2025-11-15</t>
  </si>
  <si>
    <t xml:space="preserve">MC-2025-0562</t>
  </si>
  <si>
    <t xml:space="preserve">AMD-001891</t>
  </si>
  <si>
    <t xml:space="preserve">WL-01077</t>
  </si>
  <si>
    <t xml:space="preserve">Foldview Marine Services haul-out sheet 2024-07-18</t>
  </si>
  <si>
    <t xml:space="preserve">AMD-001899</t>
  </si>
  <si>
    <t xml:space="preserve">2025-11-23</t>
  </si>
  <si>
    <t xml:space="preserve">WL-01534</t>
  </si>
  <si>
    <t xml:space="preserve">Foldview Marine Services haul-out sheet 2024-08-20</t>
  </si>
  <si>
    <t xml:space="preserve">AMD-001929</t>
  </si>
  <si>
    <t xml:space="preserve">2025-12-14</t>
  </si>
  <si>
    <t xml:space="preserve">Foldview Marine Services haul-out sheet 2025-09-25</t>
  </si>
  <si>
    <t xml:space="preserve">AMD-001950</t>
  </si>
  <si>
    <t xml:space="preserve">2025-12-29</t>
  </si>
  <si>
    <t xml:space="preserve">WL-01569</t>
  </si>
  <si>
    <t xml:space="preserve">MC-2025-0994</t>
  </si>
  <si>
    <t xml:space="preserve">AMD-001957</t>
  </si>
  <si>
    <t xml:space="preserve">2026-01-05</t>
  </si>
  <si>
    <t xml:space="preserve">WL-03475</t>
  </si>
  <si>
    <t xml:space="preserve">MC-2026-0974</t>
  </si>
  <si>
    <t xml:space="preserve">AMD-001980</t>
  </si>
  <si>
    <t xml:space="preserve">2026-01-25</t>
  </si>
  <si>
    <t xml:space="preserve">WL-02245</t>
  </si>
  <si>
    <t xml:space="preserve">AMD-001983</t>
  </si>
  <si>
    <t xml:space="preserve">WL-03716</t>
  </si>
  <si>
    <t xml:space="preserve">Foldview Marine Services haul-out sheet 2024-06-24</t>
  </si>
  <si>
    <t xml:space="preserve">AMD-001999</t>
  </si>
  <si>
    <t xml:space="preserve">WL-02586</t>
  </si>
  <si>
    <t xml:space="preserve">MC-2026-0870</t>
  </si>
  <si>
    <t xml:space="preserve">AMD-002000</t>
  </si>
  <si>
    <t xml:space="preserve">WL-02699</t>
  </si>
  <si>
    <t xml:space="preserve">Foldview Marine Services haul-out sheet 2024-07-08</t>
  </si>
  <si>
    <t xml:space="preserve">AMD-002013</t>
  </si>
  <si>
    <t xml:space="preserve">2026-02-18</t>
  </si>
  <si>
    <t xml:space="preserve">WL-03474</t>
  </si>
  <si>
    <t xml:space="preserve">Foldview Marine Services haul-out sheet 2025-05-12</t>
  </si>
  <si>
    <t xml:space="preserve">AMD-002017</t>
  </si>
  <si>
    <t xml:space="preserve">2026-02-20</t>
  </si>
  <si>
    <t xml:space="preserve">WL-02175</t>
  </si>
  <si>
    <t xml:space="preserve">MC-2026-0113</t>
  </si>
  <si>
    <t xml:space="preserve">AMD-002028</t>
  </si>
  <si>
    <t xml:space="preserve">WL-01114</t>
  </si>
  <si>
    <t xml:space="preserve">Foldview Marine Services haul-out sheet 2023-09-01</t>
  </si>
  <si>
    <t xml:space="preserve">AMD-002045</t>
  </si>
  <si>
    <t xml:space="preserve">2026-03-14</t>
  </si>
  <si>
    <t xml:space="preserve">WL-03265</t>
  </si>
  <si>
    <t xml:space="preserve">MC-2026-0475</t>
  </si>
  <si>
    <t xml:space="preserve">AMD-002077</t>
  </si>
  <si>
    <t xml:space="preserve">WL-01342</t>
  </si>
  <si>
    <t xml:space="preserve">MC-2026-0495</t>
  </si>
  <si>
    <t xml:space="preserve">AMD-002078</t>
  </si>
  <si>
    <t xml:space="preserve">WL-03368</t>
  </si>
  <si>
    <t xml:space="preserve">MC-2026-0328</t>
  </si>
  <si>
    <t xml:space="preserve">AMD-002114</t>
  </si>
  <si>
    <t xml:space="preserve">2026-05-01</t>
  </si>
  <si>
    <t xml:space="preserve">WL-03764</t>
  </si>
  <si>
    <t xml:space="preserve">MC-2026-0148</t>
  </si>
  <si>
    <t xml:space="preserve">AMD-002125</t>
  </si>
  <si>
    <t xml:space="preserve">2026-05-05</t>
  </si>
  <si>
    <t xml:space="preserve">MC-2026-0247</t>
  </si>
  <si>
    <t xml:space="preserve">AMD-002138</t>
  </si>
  <si>
    <t xml:space="preserve">2026-05-13</t>
  </si>
  <si>
    <t xml:space="preserve">WL-02868</t>
  </si>
  <si>
    <t xml:space="preserve">MC-2026-0814</t>
  </si>
  <si>
    <t xml:space="preserve">AMD-002143</t>
  </si>
  <si>
    <t xml:space="preserve">WL-02332</t>
  </si>
  <si>
    <t xml:space="preserve">MC-2026-0881</t>
  </si>
  <si>
    <t xml:space="preserve">AMD-002148</t>
  </si>
  <si>
    <t xml:space="preserve">WL-02874</t>
  </si>
  <si>
    <t xml:space="preserve">MC-2026-0532</t>
  </si>
  <si>
    <t xml:space="preserve">AMD-002150</t>
  </si>
  <si>
    <t xml:space="preserve">2026-05-25</t>
  </si>
  <si>
    <t xml:space="preserve">WL-02829</t>
  </si>
  <si>
    <t xml:space="preserve">AMD-002154</t>
  </si>
  <si>
    <t xml:space="preserve">2026-05-28</t>
  </si>
  <si>
    <t xml:space="preserve">WL-02807</t>
  </si>
  <si>
    <t xml:space="preserve">MC-2026-0272</t>
  </si>
  <si>
    <t xml:space="preserve">AMD-002169</t>
  </si>
  <si>
    <t xml:space="preserve">WL-03472</t>
  </si>
  <si>
    <t xml:space="preserve">MC-2026-0413</t>
  </si>
  <si>
    <t xml:space="preserve">AMD-002182</t>
  </si>
  <si>
    <t xml:space="preserve">2026-06-18</t>
  </si>
  <si>
    <t xml:space="preserve">WL-03878</t>
  </si>
  <si>
    <t xml:space="preserve">MC-2026-0452</t>
  </si>
  <si>
    <t xml:space="preserve">AMD-002200</t>
  </si>
  <si>
    <t xml:space="preserve">WL-02118</t>
  </si>
  <si>
    <t xml:space="preserve">MC-2026-0646</t>
  </si>
  <si>
    <t xml:space="preserve">AMD-002206</t>
  </si>
  <si>
    <t xml:space="preserve">WL-02573</t>
  </si>
  <si>
    <t xml:space="preserve">Foldview Marine Services haul-out sheet 2025-04-05</t>
  </si>
  <si>
    <t xml:space="preserve">AMD-002228</t>
  </si>
  <si>
    <t xml:space="preserve">2026-07-19</t>
  </si>
  <si>
    <t xml:space="preserve">Foldview Marine Services haul-out sheet 2025-01-04</t>
  </si>
  <si>
    <t xml:space="preserve">BILLING RECONCILIATIONS</t>
  </si>
  <si>
    <t xml:space="preserve">July 2026 recurring moorage | Pre-tax | Source: slip inventory 2026-08 and billing transactions 2022-2026</t>
  </si>
  <si>
    <t xml:space="preserve">Occupied slips</t>
  </si>
  <si>
    <t xml:space="preserve">Rows tested</t>
  </si>
  <si>
    <t xml:space="preserve">Rate/length exceptions</t>
  </si>
  <si>
    <t xml:space="preserve">Unscored - no July row</t>
  </si>
  <si>
    <t xml:space="preserve">Confirmed leakage</t>
  </si>
  <si>
    <t xml:space="preserve">Unverified monthly basis</t>
  </si>
  <si>
    <t xml:space="preserve">COVERAGE BY BASIN</t>
  </si>
  <si>
    <t xml:space="preserve">Occupied</t>
  </si>
  <si>
    <t xml:space="preserve">July rows</t>
  </si>
  <si>
    <t xml:space="preserve">Unscored</t>
  </si>
  <si>
    <t xml:space="preserve">Unverified monthly tariff basis</t>
  </si>
  <si>
    <t xml:space="preserve">No rate, length, or amount exceptions were identified in the 769 July monthly rows. The 317 absent rows require agreement-term/prepayment evidence before they can be classified.</t>
  </si>
  <si>
    <t xml:space="preserve">Slip ID</t>
  </si>
  <si>
    <t xml:space="preserve">Basin Type</t>
  </si>
  <si>
    <t xml:space="preserve">Agreement ID</t>
  </si>
  <si>
    <t xml:space="preserve">Tenant</t>
  </si>
  <si>
    <t xml:space="preserve">Vessel</t>
  </si>
  <si>
    <t xml:space="preserve">Slip Size Ft</t>
  </si>
  <si>
    <t xml:space="preserve">Check-in LOA Ft</t>
  </si>
  <si>
    <t xml:space="preserve">Billed Length</t>
  </si>
  <si>
    <t xml:space="preserve">Expected Billable Length</t>
  </si>
  <si>
    <t xml:space="preserve">Length Variance</t>
  </si>
  <si>
    <t xml:space="preserve">Billed Rate</t>
  </si>
  <si>
    <t xml:space="preserve">Expected Rate</t>
  </si>
  <si>
    <t xml:space="preserve">Rate Variance</t>
  </si>
  <si>
    <t xml:space="preserve">Months</t>
  </si>
  <si>
    <t xml:space="preserve">Billed Amount</t>
  </si>
  <si>
    <t xml:space="preserve">Expected Amount</t>
  </si>
  <si>
    <t xml:space="preserve">Amount Variance</t>
  </si>
  <si>
    <t xml:space="preserve">Revenue Leakage</t>
  </si>
  <si>
    <t xml:space="preserve">Overbilling</t>
  </si>
  <si>
    <t xml:space="preserve">Result</t>
  </si>
  <si>
    <t xml:space="preserve">Transaction ID</t>
  </si>
  <si>
    <t xml:space="preserve">Evidence</t>
  </si>
  <si>
    <t xml:space="preserve">Monthly Tariff Basis</t>
  </si>
  <si>
    <t xml:space="preserve">GW-0502</t>
  </si>
  <si>
    <t xml:space="preserve">open</t>
  </si>
  <si>
    <t xml:space="preserve">MA-2024-0502</t>
  </si>
  <si>
    <t xml:space="preserve">WL-03559</t>
  </si>
  <si>
    <t xml:space="preserve">David Sanders</t>
  </si>
  <si>
    <t xml:space="preserve">KESTREL VEER</t>
  </si>
  <si>
    <t xml:space="preserve">No July MONTHLY_MOORAGE row in billing_transactions_2022_2026.csv</t>
  </si>
  <si>
    <t xml:space="preserve">GW-0503</t>
  </si>
  <si>
    <t xml:space="preserve">MA-2024-0503</t>
  </si>
  <si>
    <t xml:space="preserve">WL-01494</t>
  </si>
  <si>
    <t xml:space="preserve">Ashley Park</t>
  </si>
  <si>
    <t xml:space="preserve">COHO WEATHER</t>
  </si>
  <si>
    <t xml:space="preserve">GW-0504</t>
  </si>
  <si>
    <t xml:space="preserve">MA-2024-0504</t>
  </si>
  <si>
    <t xml:space="preserve">WL-01500</t>
  </si>
  <si>
    <t xml:space="preserve">Patricia Marquez</t>
  </si>
  <si>
    <t xml:space="preserve">OSPREY GLIDE</t>
  </si>
  <si>
    <t xml:space="preserve">GW-0505</t>
  </si>
  <si>
    <t xml:space="preserve">MA-2024-0505</t>
  </si>
  <si>
    <t xml:space="preserve">CORMORANT WIND</t>
  </si>
  <si>
    <t xml:space="preserve">GW-0506</t>
  </si>
  <si>
    <t xml:space="preserve">MA-2024-0506</t>
  </si>
  <si>
    <t xml:space="preserve">WIDGEON PASSAGE</t>
  </si>
  <si>
    <t xml:space="preserve">GW-0507</t>
  </si>
  <si>
    <t xml:space="preserve">MA-2024-0507</t>
  </si>
  <si>
    <t xml:space="preserve">WL-03057</t>
  </si>
  <si>
    <t xml:space="preserve">Jennifer Stout</t>
  </si>
  <si>
    <t xml:space="preserve">BRANT ROSE</t>
  </si>
  <si>
    <t xml:space="preserve">GW-0508</t>
  </si>
  <si>
    <t xml:space="preserve">MA-2024-0508</t>
  </si>
  <si>
    <t xml:space="preserve">WL-03692</t>
  </si>
  <si>
    <t xml:space="preserve">Warren Wilkins</t>
  </si>
  <si>
    <t xml:space="preserve">WIDGEON CREST</t>
  </si>
  <si>
    <t xml:space="preserve">MA-2024-0509</t>
  </si>
  <si>
    <t xml:space="preserve">WL-03850</t>
  </si>
  <si>
    <t xml:space="preserve">Teresa Greer</t>
  </si>
  <si>
    <t xml:space="preserve">COHO HARBOR</t>
  </si>
  <si>
    <t xml:space="preserve">GW-0511</t>
  </si>
  <si>
    <t xml:space="preserve">MA-2024-0511</t>
  </si>
  <si>
    <t xml:space="preserve">WL-02804</t>
  </si>
  <si>
    <t xml:space="preserve">Danny Jones</t>
  </si>
  <si>
    <t xml:space="preserve">SCOTER ROCK</t>
  </si>
  <si>
    <t xml:space="preserve">GW-0512</t>
  </si>
  <si>
    <t xml:space="preserve">MA-2024-0512</t>
  </si>
  <si>
    <t xml:space="preserve">WL-03869</t>
  </si>
  <si>
    <t xml:space="preserve">Seth Raymond</t>
  </si>
  <si>
    <t xml:space="preserve">MURRE LIGHT</t>
  </si>
  <si>
    <t xml:space="preserve">MA-2024-0513</t>
  </si>
  <si>
    <t xml:space="preserve">Karen Davis</t>
  </si>
  <si>
    <t xml:space="preserve">GRAY BAY</t>
  </si>
  <si>
    <t xml:space="preserve">GW-0514</t>
  </si>
  <si>
    <t xml:space="preserve">MA-2024-0514</t>
  </si>
  <si>
    <t xml:space="preserve">WL-03143</t>
  </si>
  <si>
    <t xml:space="preserve">Timothy Jennings</t>
  </si>
  <si>
    <t xml:space="preserve">POINT RUNNER</t>
  </si>
  <si>
    <t xml:space="preserve">GW-0515</t>
  </si>
  <si>
    <t xml:space="preserve">MA-2024-0515</t>
  </si>
  <si>
    <t xml:space="preserve">WL-02025</t>
  </si>
  <si>
    <t xml:space="preserve">Haley Johnson</t>
  </si>
  <si>
    <t xml:space="preserve">TIDE HARBOR</t>
  </si>
  <si>
    <t xml:space="preserve">GW-0516</t>
  </si>
  <si>
    <t xml:space="preserve">MA-2024-0516</t>
  </si>
  <si>
    <t xml:space="preserve">WL-01072</t>
  </si>
  <si>
    <t xml:space="preserve">Sabrina Johnson</t>
  </si>
  <si>
    <t xml:space="preserve">SABLE LIGHT</t>
  </si>
  <si>
    <t xml:space="preserve">MA-2024-0517</t>
  </si>
  <si>
    <t xml:space="preserve">WL-01986</t>
  </si>
  <si>
    <t xml:space="preserve">Leah Blake</t>
  </si>
  <si>
    <t xml:space="preserve">HALIBUT CREST</t>
  </si>
  <si>
    <t xml:space="preserve">GW-0518</t>
  </si>
  <si>
    <t xml:space="preserve">MA-2024-0518</t>
  </si>
  <si>
    <t xml:space="preserve">WL-02212</t>
  </si>
  <si>
    <t xml:space="preserve">Jeffery Delacruz</t>
  </si>
  <si>
    <t xml:space="preserve">HERON SOUND</t>
  </si>
  <si>
    <t xml:space="preserve">GW-0519</t>
  </si>
  <si>
    <t xml:space="preserve">MA-2024-0519</t>
  </si>
  <si>
    <t xml:space="preserve">WL-03269</t>
  </si>
  <si>
    <t xml:space="preserve">Maria Schultz</t>
  </si>
  <si>
    <t xml:space="preserve">DRIFT LIGHT</t>
  </si>
  <si>
    <t xml:space="preserve">GW-0520</t>
  </si>
  <si>
    <t xml:space="preserve">MA-2024-0520</t>
  </si>
  <si>
    <t xml:space="preserve">WL-01266</t>
  </si>
  <si>
    <t xml:space="preserve">Derek Kirby</t>
  </si>
  <si>
    <t xml:space="preserve">SEAL ROSE</t>
  </si>
  <si>
    <t xml:space="preserve">GW-0521</t>
  </si>
  <si>
    <t xml:space="preserve">MA-2024-0521</t>
  </si>
  <si>
    <t xml:space="preserve">WL-01548</t>
  </si>
  <si>
    <t xml:space="preserve">William Brown</t>
  </si>
  <si>
    <t xml:space="preserve">FOUL HARBOR</t>
  </si>
  <si>
    <t xml:space="preserve">MA-2024-0522</t>
  </si>
  <si>
    <t xml:space="preserve">Daniel Stevens</t>
  </si>
  <si>
    <t xml:space="preserve">OTTER ANN</t>
  </si>
  <si>
    <t xml:space="preserve">GW-0523</t>
  </si>
  <si>
    <t xml:space="preserve">MA-2024-0523</t>
  </si>
  <si>
    <t xml:space="preserve">WL-02124</t>
  </si>
  <si>
    <t xml:space="preserve">Laura French</t>
  </si>
  <si>
    <t xml:space="preserve">SALISH MOON</t>
  </si>
  <si>
    <t xml:space="preserve">MA-2024-0601</t>
  </si>
  <si>
    <t xml:space="preserve">WL-01097</t>
  </si>
  <si>
    <t xml:space="preserve">Alexis Walters</t>
  </si>
  <si>
    <t xml:space="preserve">BRANT MIST</t>
  </si>
  <si>
    <t xml:space="preserve">GW-0603</t>
  </si>
  <si>
    <t xml:space="preserve">MA-2024-0603</t>
  </si>
  <si>
    <t xml:space="preserve">WL-02089</t>
  </si>
  <si>
    <t xml:space="preserve">Todd Butler</t>
  </si>
  <si>
    <t xml:space="preserve">CORMORANT RUNNER</t>
  </si>
  <si>
    <t xml:space="preserve">GW-0604</t>
  </si>
  <si>
    <t xml:space="preserve">MA-2024-0604</t>
  </si>
  <si>
    <t xml:space="preserve">WL-02770</t>
  </si>
  <si>
    <t xml:space="preserve">Henry Okafor</t>
  </si>
  <si>
    <t xml:space="preserve">GRAY LINE</t>
  </si>
  <si>
    <t xml:space="preserve">GW-0605</t>
  </si>
  <si>
    <t xml:space="preserve">MA-2024-0605</t>
  </si>
  <si>
    <t xml:space="preserve">WL-03366</t>
  </si>
  <si>
    <t xml:space="preserve">Jose Mckinney</t>
  </si>
  <si>
    <t xml:space="preserve">HALIBUT STAR</t>
  </si>
  <si>
    <t xml:space="preserve">MA-2024-0606</t>
  </si>
  <si>
    <t xml:space="preserve">WL-01260</t>
  </si>
  <si>
    <t xml:space="preserve">Dale Thomas</t>
  </si>
  <si>
    <t xml:space="preserve">POINT WAKE</t>
  </si>
  <si>
    <t xml:space="preserve">GW-0607</t>
  </si>
  <si>
    <t xml:space="preserve">MA-2024-0607</t>
  </si>
  <si>
    <t xml:space="preserve">WL-01881</t>
  </si>
  <si>
    <t xml:space="preserve">William Bennett</t>
  </si>
  <si>
    <t xml:space="preserve">PINTAIL WIND</t>
  </si>
  <si>
    <t xml:space="preserve">GW-0608</t>
  </si>
  <si>
    <t xml:space="preserve">MA-2024-0608</t>
  </si>
  <si>
    <t xml:space="preserve">WL-02296</t>
  </si>
  <si>
    <t xml:space="preserve">Jason Miller</t>
  </si>
  <si>
    <t xml:space="preserve">DRIFT PASSAGE</t>
  </si>
  <si>
    <t xml:space="preserve">GW-0609</t>
  </si>
  <si>
    <t xml:space="preserve">MA-2024-0609</t>
  </si>
  <si>
    <t xml:space="preserve">WL-02915</t>
  </si>
  <si>
    <t xml:space="preserve">Lori Cook</t>
  </si>
  <si>
    <t xml:space="preserve">GRAY RUNNER</t>
  </si>
  <si>
    <t xml:space="preserve">MA-2024-0610</t>
  </si>
  <si>
    <t xml:space="preserve">WL-01206</t>
  </si>
  <si>
    <t xml:space="preserve">Cynthia Taylor</t>
  </si>
  <si>
    <t xml:space="preserve">TIDE ANN</t>
  </si>
  <si>
    <t xml:space="preserve">GW-0612</t>
  </si>
  <si>
    <t xml:space="preserve">MA-2024-0612</t>
  </si>
  <si>
    <t xml:space="preserve">WL-02970</t>
  </si>
  <si>
    <t xml:space="preserve">William Robles</t>
  </si>
  <si>
    <t xml:space="preserve">ANCHOR MOON</t>
  </si>
  <si>
    <t xml:space="preserve">GW-0613</t>
  </si>
  <si>
    <t xml:space="preserve">MA-2024-0613</t>
  </si>
  <si>
    <t xml:space="preserve">WL-02426</t>
  </si>
  <si>
    <t xml:space="preserve">Joshua Cherry</t>
  </si>
  <si>
    <t xml:space="preserve">COHO STAR</t>
  </si>
  <si>
    <t xml:space="preserve">GW-0614</t>
  </si>
  <si>
    <t xml:space="preserve">MA-2024-0614</t>
  </si>
  <si>
    <t xml:space="preserve">Tiffany Russell</t>
  </si>
  <si>
    <t xml:space="preserve">CORMORANT ROCK</t>
  </si>
  <si>
    <t xml:space="preserve">MA-2024-0615</t>
  </si>
  <si>
    <t xml:space="preserve">CORMORANT LIGHT</t>
  </si>
  <si>
    <t xml:space="preserve">GW-0617</t>
  </si>
  <si>
    <t xml:space="preserve">MA-2024-0617</t>
  </si>
  <si>
    <t xml:space="preserve">WL-02400</t>
  </si>
  <si>
    <t xml:space="preserve">Sierra Washington</t>
  </si>
  <si>
    <t xml:space="preserve">WIDGEON HARBOR</t>
  </si>
  <si>
    <t xml:space="preserve">GW-0618</t>
  </si>
  <si>
    <t xml:space="preserve">MA-2024-0618</t>
  </si>
  <si>
    <t xml:space="preserve">WL-03467</t>
  </si>
  <si>
    <t xml:space="preserve">Juan Ray</t>
  </si>
  <si>
    <t xml:space="preserve">ANCHOR SONG</t>
  </si>
  <si>
    <t xml:space="preserve">GW-0619</t>
  </si>
  <si>
    <t xml:space="preserve">MA-2024-0619</t>
  </si>
  <si>
    <t xml:space="preserve">WL-03110</t>
  </si>
  <si>
    <t xml:space="preserve">Randy Ramos</t>
  </si>
  <si>
    <t xml:space="preserve">SABLE STAR</t>
  </si>
  <si>
    <t xml:space="preserve">MA-2024-0620</t>
  </si>
  <si>
    <t xml:space="preserve">Cody Rose</t>
  </si>
  <si>
    <t xml:space="preserve">HALIBUT ANN</t>
  </si>
  <si>
    <t xml:space="preserve">GW-0621</t>
  </si>
  <si>
    <t xml:space="preserve">MA-2024-0621</t>
  </si>
  <si>
    <t xml:space="preserve">WL-03595</t>
  </si>
  <si>
    <t xml:space="preserve">Roger Johnson</t>
  </si>
  <si>
    <t xml:space="preserve">KESTREL ANN</t>
  </si>
  <si>
    <t xml:space="preserve">MA-2024-0622</t>
  </si>
  <si>
    <t xml:space="preserve">WL-01075</t>
  </si>
  <si>
    <t xml:space="preserve">Ryan Gilmore</t>
  </si>
  <si>
    <t xml:space="preserve">SALISH DANCER</t>
  </si>
  <si>
    <t xml:space="preserve">GW-0623</t>
  </si>
  <si>
    <t xml:space="preserve">MA-2024-0623</t>
  </si>
  <si>
    <t xml:space="preserve">WL-03819</t>
  </si>
  <si>
    <t xml:space="preserve">Anna Wu</t>
  </si>
  <si>
    <t xml:space="preserve">MA-2024-0702</t>
  </si>
  <si>
    <t xml:space="preserve">WL-02050</t>
  </si>
  <si>
    <t xml:space="preserve">John Howard</t>
  </si>
  <si>
    <t xml:space="preserve">SCOTER SOUND</t>
  </si>
  <si>
    <t xml:space="preserve">MA-2024-0703</t>
  </si>
  <si>
    <t xml:space="preserve">WL-02415</t>
  </si>
  <si>
    <t xml:space="preserve">Valerie Nelson</t>
  </si>
  <si>
    <t xml:space="preserve">WIDGEON RUNNER</t>
  </si>
  <si>
    <t xml:space="preserve">GW-0704</t>
  </si>
  <si>
    <t xml:space="preserve">MA-2024-0704</t>
  </si>
  <si>
    <t xml:space="preserve">OSPREY DANCER</t>
  </si>
  <si>
    <t xml:space="preserve">MA-2024-0705</t>
  </si>
  <si>
    <t xml:space="preserve">WL-03168</t>
  </si>
  <si>
    <t xml:space="preserve">Danielle Mckinney</t>
  </si>
  <si>
    <t xml:space="preserve">HALIBUT ROCK</t>
  </si>
  <si>
    <t xml:space="preserve">GW-0706</t>
  </si>
  <si>
    <t xml:space="preserve">MA-2024-0706</t>
  </si>
  <si>
    <t xml:space="preserve">WL-02503</t>
  </si>
  <si>
    <t xml:space="preserve">Molly Holland</t>
  </si>
  <si>
    <t xml:space="preserve">OTTER RUNNER</t>
  </si>
  <si>
    <t xml:space="preserve">GW-0707</t>
  </si>
  <si>
    <t xml:space="preserve">MA-2024-0707</t>
  </si>
  <si>
    <t xml:space="preserve">WL-01688</t>
  </si>
  <si>
    <t xml:space="preserve">Michael Gardner</t>
  </si>
  <si>
    <t xml:space="preserve">KESTREL RUNNER</t>
  </si>
  <si>
    <t xml:space="preserve">MA-2024-0708</t>
  </si>
  <si>
    <t xml:space="preserve">Angela Whitehead</t>
  </si>
  <si>
    <t xml:space="preserve">KESTREL SOUND</t>
  </si>
  <si>
    <t xml:space="preserve">GW-0710</t>
  </si>
  <si>
    <t xml:space="preserve">MA-2024-0710</t>
  </si>
  <si>
    <t xml:space="preserve">WL-01445</t>
  </si>
  <si>
    <t xml:space="preserve">Kyle Estes</t>
  </si>
  <si>
    <t xml:space="preserve">SCOTER WEATHER</t>
  </si>
  <si>
    <t xml:space="preserve">GW-0711</t>
  </si>
  <si>
    <t xml:space="preserve">MA-2024-0711</t>
  </si>
  <si>
    <t xml:space="preserve">WL-01119</t>
  </si>
  <si>
    <t xml:space="preserve">Holly Kennedy</t>
  </si>
  <si>
    <t xml:space="preserve">POINT WIND</t>
  </si>
  <si>
    <t xml:space="preserve">GW-0712</t>
  </si>
  <si>
    <t xml:space="preserve">MA-2024-0712</t>
  </si>
  <si>
    <t xml:space="preserve">MURRE WAKE</t>
  </si>
  <si>
    <t xml:space="preserve">GW-0713</t>
  </si>
  <si>
    <t xml:space="preserve">MA-2024-0713</t>
  </si>
  <si>
    <t xml:space="preserve">WL-02476</t>
  </si>
  <si>
    <t xml:space="preserve">Dana Becker</t>
  </si>
  <si>
    <t xml:space="preserve">OTTER ROSE</t>
  </si>
  <si>
    <t xml:space="preserve">GW-0714</t>
  </si>
  <si>
    <t xml:space="preserve">MA-2024-0714</t>
  </si>
  <si>
    <t xml:space="preserve">WL-01459</t>
  </si>
  <si>
    <t xml:space="preserve">Brian Green</t>
  </si>
  <si>
    <t xml:space="preserve">PETREL MOON</t>
  </si>
  <si>
    <t xml:space="preserve">GW-0715</t>
  </si>
  <si>
    <t xml:space="preserve">MA-2024-0715</t>
  </si>
  <si>
    <t xml:space="preserve">WL-03752</t>
  </si>
  <si>
    <t xml:space="preserve">Timothy Soto</t>
  </si>
  <si>
    <t xml:space="preserve">POINT ROCK</t>
  </si>
  <si>
    <t xml:space="preserve">GW-0716</t>
  </si>
  <si>
    <t xml:space="preserve">MA-2024-0716</t>
  </si>
  <si>
    <t xml:space="preserve">WL-02814</t>
  </si>
  <si>
    <t xml:space="preserve">John Hammond</t>
  </si>
  <si>
    <t xml:space="preserve">DRIFT ROCK</t>
  </si>
  <si>
    <t xml:space="preserve">GW-0717</t>
  </si>
  <si>
    <t xml:space="preserve">MA-2024-0717</t>
  </si>
  <si>
    <t xml:space="preserve">WL-01882</t>
  </si>
  <si>
    <t xml:space="preserve">Dennis Shepard</t>
  </si>
  <si>
    <t xml:space="preserve">OSPREY MOON</t>
  </si>
  <si>
    <t xml:space="preserve">MA-2024-0719</t>
  </si>
  <si>
    <t xml:space="preserve">WL-03504</t>
  </si>
  <si>
    <t xml:space="preserve">Paul Brady</t>
  </si>
  <si>
    <t xml:space="preserve">GW-0720</t>
  </si>
  <si>
    <t xml:space="preserve">MA-2024-0720</t>
  </si>
  <si>
    <t xml:space="preserve">WL-03312</t>
  </si>
  <si>
    <t xml:space="preserve">Karla Thomas</t>
  </si>
  <si>
    <t xml:space="preserve">WIDGEON LIGHT</t>
  </si>
  <si>
    <t xml:space="preserve">GW-0721</t>
  </si>
  <si>
    <t xml:space="preserve">MA-2024-0721</t>
  </si>
  <si>
    <t xml:space="preserve">WL-03215</t>
  </si>
  <si>
    <t xml:space="preserve">Eric Simmons</t>
  </si>
  <si>
    <t xml:space="preserve">HALIBUT WAKE</t>
  </si>
  <si>
    <t xml:space="preserve">GW-0722</t>
  </si>
  <si>
    <t xml:space="preserve">MA-2024-0722</t>
  </si>
  <si>
    <t xml:space="preserve">WL-01180</t>
  </si>
  <si>
    <t xml:space="preserve">Rachel Smith</t>
  </si>
  <si>
    <t xml:space="preserve">COHO SONG</t>
  </si>
  <si>
    <t xml:space="preserve">GW-0723</t>
  </si>
  <si>
    <t xml:space="preserve">MA-2024-0723</t>
  </si>
  <si>
    <t xml:space="preserve">WL-01389</t>
  </si>
  <si>
    <t xml:space="preserve">Brian White</t>
  </si>
  <si>
    <t xml:space="preserve">PINTAIL WAKE</t>
  </si>
  <si>
    <t xml:space="preserve">GW-0802</t>
  </si>
  <si>
    <t xml:space="preserve">MA-2024-0802</t>
  </si>
  <si>
    <t xml:space="preserve">WL-01314</t>
  </si>
  <si>
    <t xml:space="preserve">Bobby Peterson</t>
  </si>
  <si>
    <t xml:space="preserve">SCOTER QUEEN</t>
  </si>
  <si>
    <t xml:space="preserve">GW-0803</t>
  </si>
  <si>
    <t xml:space="preserve">MA-2024-0803</t>
  </si>
  <si>
    <t xml:space="preserve">WL-01235</t>
  </si>
  <si>
    <t xml:space="preserve">Stacy Wilkins</t>
  </si>
  <si>
    <t xml:space="preserve">TIDE SONG</t>
  </si>
  <si>
    <t xml:space="preserve">GW-0804</t>
  </si>
  <si>
    <t xml:space="preserve">MA-2024-0804</t>
  </si>
  <si>
    <t xml:space="preserve">WL-01915</t>
  </si>
  <si>
    <t xml:space="preserve">Sara Fox</t>
  </si>
  <si>
    <t xml:space="preserve">DRIFT SONG</t>
  </si>
  <si>
    <t xml:space="preserve">GW-0805</t>
  </si>
  <si>
    <t xml:space="preserve">MA-2024-0805</t>
  </si>
  <si>
    <t xml:space="preserve">WL-03828</t>
  </si>
  <si>
    <t xml:space="preserve">Kristen Pittman</t>
  </si>
  <si>
    <t xml:space="preserve">HALIBUT RUNNER</t>
  </si>
  <si>
    <t xml:space="preserve">GW-0806</t>
  </si>
  <si>
    <t xml:space="preserve">MA-2024-0806</t>
  </si>
  <si>
    <t xml:space="preserve">WL-03113</t>
  </si>
  <si>
    <t xml:space="preserve">Dale Martin</t>
  </si>
  <si>
    <t xml:space="preserve">PINTAIL HARBOR</t>
  </si>
  <si>
    <t xml:space="preserve">GW-0807</t>
  </si>
  <si>
    <t xml:space="preserve">MA-2024-0807</t>
  </si>
  <si>
    <t xml:space="preserve">WL-01110</t>
  </si>
  <si>
    <t xml:space="preserve">Ryan Jones</t>
  </si>
  <si>
    <t xml:space="preserve">HERON STAR</t>
  </si>
  <si>
    <t xml:space="preserve">GW-0808</t>
  </si>
  <si>
    <t xml:space="preserve">MA-2024-0808</t>
  </si>
  <si>
    <t xml:space="preserve">WL-02125</t>
  </si>
  <si>
    <t xml:space="preserve">Fred Powell</t>
  </si>
  <si>
    <t xml:space="preserve">SABLE PASSAGE</t>
  </si>
  <si>
    <t xml:space="preserve">GW-0809</t>
  </si>
  <si>
    <t xml:space="preserve">MA-2024-0809</t>
  </si>
  <si>
    <t xml:space="preserve">WL-02028</t>
  </si>
  <si>
    <t xml:space="preserve">Stephanie Shepard</t>
  </si>
  <si>
    <t xml:space="preserve">TIDE MIST</t>
  </si>
  <si>
    <t xml:space="preserve">MA-2024-0810</t>
  </si>
  <si>
    <t xml:space="preserve">WIDGEON BAY</t>
  </si>
  <si>
    <t xml:space="preserve">GW-0811</t>
  </si>
  <si>
    <t xml:space="preserve">MA-2024-0811</t>
  </si>
  <si>
    <t xml:space="preserve">WL-02325</t>
  </si>
  <si>
    <t xml:space="preserve">Lisa Brown</t>
  </si>
  <si>
    <t xml:space="preserve">ANCHOR HARBOR</t>
  </si>
  <si>
    <t xml:space="preserve">GW-0812</t>
  </si>
  <si>
    <t xml:space="preserve">MA-2024-0812</t>
  </si>
  <si>
    <t xml:space="preserve">HALIBUT WEATHER</t>
  </si>
  <si>
    <t xml:space="preserve">MA-2024-0813</t>
  </si>
  <si>
    <t xml:space="preserve">WL-01147</t>
  </si>
  <si>
    <t xml:space="preserve">Rachel Burnett</t>
  </si>
  <si>
    <t xml:space="preserve">CORMORANT PASSAGE</t>
  </si>
  <si>
    <t xml:space="preserve">MA-2024-0814</t>
  </si>
  <si>
    <t xml:space="preserve">WL-03573</t>
  </si>
  <si>
    <t xml:space="preserve">Kathy Sanchez</t>
  </si>
  <si>
    <t xml:space="preserve">TIDE WEATHER</t>
  </si>
  <si>
    <t xml:space="preserve">GW-0816</t>
  </si>
  <si>
    <t xml:space="preserve">MA-2024-0816</t>
  </si>
  <si>
    <t xml:space="preserve">WL-01044</t>
  </si>
  <si>
    <t xml:space="preserve">Craig Mason</t>
  </si>
  <si>
    <t xml:space="preserve">SPINDRIFT CREST</t>
  </si>
  <si>
    <t xml:space="preserve">GW-0817</t>
  </si>
  <si>
    <t xml:space="preserve">MA-2024-0817</t>
  </si>
  <si>
    <t xml:space="preserve">WL-03408</t>
  </si>
  <si>
    <t xml:space="preserve">Mark Phillips</t>
  </si>
  <si>
    <t xml:space="preserve">GW-0818</t>
  </si>
  <si>
    <t xml:space="preserve">MA-2024-0818</t>
  </si>
  <si>
    <t xml:space="preserve">WL-03081</t>
  </si>
  <si>
    <t xml:space="preserve">Casey Ortiz</t>
  </si>
  <si>
    <t xml:space="preserve">SANDERLING SOUND</t>
  </si>
  <si>
    <t xml:space="preserve">GW-0819</t>
  </si>
  <si>
    <t xml:space="preserve">MA-2024-0819</t>
  </si>
  <si>
    <t xml:space="preserve">WL-01022</t>
  </si>
  <si>
    <t xml:space="preserve">Brett Cooley</t>
  </si>
  <si>
    <t xml:space="preserve">GW-0820</t>
  </si>
  <si>
    <t xml:space="preserve">MA-2024-0820</t>
  </si>
  <si>
    <t xml:space="preserve">WL-03760</t>
  </si>
  <si>
    <t xml:space="preserve">Samantha Herring</t>
  </si>
  <si>
    <t xml:space="preserve">DRIFT REACH</t>
  </si>
  <si>
    <t xml:space="preserve">GW-0821</t>
  </si>
  <si>
    <t xml:space="preserve">MA-2024-0821</t>
  </si>
  <si>
    <t xml:space="preserve">WL-02465</t>
  </si>
  <si>
    <t xml:space="preserve">Clinton Cox</t>
  </si>
  <si>
    <t xml:space="preserve">OTTER WIND</t>
  </si>
  <si>
    <t xml:space="preserve">GW-0822</t>
  </si>
  <si>
    <t xml:space="preserve">MA-2024-0822</t>
  </si>
  <si>
    <t xml:space="preserve">WL-02630</t>
  </si>
  <si>
    <t xml:space="preserve">Susan Snow</t>
  </si>
  <si>
    <t xml:space="preserve">GRAY VEER</t>
  </si>
  <si>
    <t xml:space="preserve">MA-2024-0823</t>
  </si>
  <si>
    <t xml:space="preserve">WL-01825</t>
  </si>
  <si>
    <t xml:space="preserve">Charles Krause</t>
  </si>
  <si>
    <t xml:space="preserve">GW-0901</t>
  </si>
  <si>
    <t xml:space="preserve">MA-2024-0901</t>
  </si>
  <si>
    <t xml:space="preserve">Stephanie Webb</t>
  </si>
  <si>
    <t xml:space="preserve">SALISH RUNNER</t>
  </si>
  <si>
    <t xml:space="preserve">MA-2024-0902</t>
  </si>
  <si>
    <t xml:space="preserve">WL-02131</t>
  </si>
  <si>
    <t xml:space="preserve">Richard Thompson</t>
  </si>
  <si>
    <t xml:space="preserve">SCOTER WAKE</t>
  </si>
  <si>
    <t xml:space="preserve">GW-0903</t>
  </si>
  <si>
    <t xml:space="preserve">MA-2024-0903</t>
  </si>
  <si>
    <t xml:space="preserve">Daniel Perez</t>
  </si>
  <si>
    <t xml:space="preserve">SPINDRIFT ROCK</t>
  </si>
  <si>
    <t xml:space="preserve">GW-0904</t>
  </si>
  <si>
    <t xml:space="preserve">MA-2024-0904</t>
  </si>
  <si>
    <t xml:space="preserve">WL-02021</t>
  </si>
  <si>
    <t xml:space="preserve">Andrew Medina</t>
  </si>
  <si>
    <t xml:space="preserve">PETREL SHORE</t>
  </si>
  <si>
    <t xml:space="preserve">MA-2024-0905</t>
  </si>
  <si>
    <t xml:space="preserve">WL-02101</t>
  </si>
  <si>
    <t xml:space="preserve">David Green</t>
  </si>
  <si>
    <t xml:space="preserve">WIDGEON ROSE</t>
  </si>
  <si>
    <t xml:space="preserve">GW-0906</t>
  </si>
  <si>
    <t xml:space="preserve">MA-2024-0906</t>
  </si>
  <si>
    <t xml:space="preserve">WL-01794</t>
  </si>
  <si>
    <t xml:space="preserve">Holly Thomas</t>
  </si>
  <si>
    <t xml:space="preserve">GRAY MOON</t>
  </si>
  <si>
    <t xml:space="preserve">GW-0907</t>
  </si>
  <si>
    <t xml:space="preserve">MA-2024-0907</t>
  </si>
  <si>
    <t xml:space="preserve">WL-02365</t>
  </si>
  <si>
    <t xml:space="preserve">Sophia Williams</t>
  </si>
  <si>
    <t xml:space="preserve">FOUL ROSE</t>
  </si>
  <si>
    <t xml:space="preserve">MA-2024-0908</t>
  </si>
  <si>
    <t xml:space="preserve">WL-01615</t>
  </si>
  <si>
    <t xml:space="preserve">Melissa Gaines</t>
  </si>
  <si>
    <t xml:space="preserve">DRIFT HARBOR</t>
  </si>
  <si>
    <t xml:space="preserve">GW-0909</t>
  </si>
  <si>
    <t xml:space="preserve">MA-2024-0909</t>
  </si>
  <si>
    <t xml:space="preserve">WL-01033</t>
  </si>
  <si>
    <t xml:space="preserve">Jodi Gonzalez</t>
  </si>
  <si>
    <t xml:space="preserve">PETREL QUEEN</t>
  </si>
  <si>
    <t xml:space="preserve">MA-2024-0910</t>
  </si>
  <si>
    <t xml:space="preserve">WL-01532</t>
  </si>
  <si>
    <t xml:space="preserve">Bradley Mejia</t>
  </si>
  <si>
    <t xml:space="preserve">TIDE WAKE</t>
  </si>
  <si>
    <t xml:space="preserve">GW-0911</t>
  </si>
  <si>
    <t xml:space="preserve">MA-2024-0911</t>
  </si>
  <si>
    <t xml:space="preserve">WL-03632</t>
  </si>
  <si>
    <t xml:space="preserve">Melissa Wallace</t>
  </si>
  <si>
    <t xml:space="preserve">SALISH LINE</t>
  </si>
  <si>
    <t xml:space="preserve">GW-0912</t>
  </si>
  <si>
    <t xml:space="preserve">MA-2024-0912</t>
  </si>
  <si>
    <t xml:space="preserve">WL-02341</t>
  </si>
  <si>
    <t xml:space="preserve">David Stewart</t>
  </si>
  <si>
    <t xml:space="preserve">SPINDRIFT REACH</t>
  </si>
  <si>
    <t xml:space="preserve">GW-0913</t>
  </si>
  <si>
    <t xml:space="preserve">MA-2024-0913</t>
  </si>
  <si>
    <t xml:space="preserve">GW-0914</t>
  </si>
  <si>
    <t xml:space="preserve">MA-2024-0914</t>
  </si>
  <si>
    <t xml:space="preserve">WL-01460</t>
  </si>
  <si>
    <t xml:space="preserve">Lori Maldonado</t>
  </si>
  <si>
    <t xml:space="preserve">PINTAIL SHORE</t>
  </si>
  <si>
    <t xml:space="preserve">MA-2024-0915</t>
  </si>
  <si>
    <t xml:space="preserve">WL-03866</t>
  </si>
  <si>
    <t xml:space="preserve">Jacqueline Anderson</t>
  </si>
  <si>
    <t xml:space="preserve">ANCHOR CREST</t>
  </si>
  <si>
    <t xml:space="preserve">GW-0916</t>
  </si>
  <si>
    <t xml:space="preserve">MA-2024-0916</t>
  </si>
  <si>
    <t xml:space="preserve">WL-01914</t>
  </si>
  <si>
    <t xml:space="preserve">Danny Flores</t>
  </si>
  <si>
    <t xml:space="preserve">GW-0917</t>
  </si>
  <si>
    <t xml:space="preserve">MA-2024-0917</t>
  </si>
  <si>
    <t xml:space="preserve">PETREL CREST</t>
  </si>
  <si>
    <t xml:space="preserve">GW-0918</t>
  </si>
  <si>
    <t xml:space="preserve">MA-2024-0918</t>
  </si>
  <si>
    <t xml:space="preserve">WL-03172</t>
  </si>
  <si>
    <t xml:space="preserve">Jessica Sanford</t>
  </si>
  <si>
    <t xml:space="preserve">SALISH QUEEN</t>
  </si>
  <si>
    <t xml:space="preserve">GW-0919</t>
  </si>
  <si>
    <t xml:space="preserve">MA-2024-0919</t>
  </si>
  <si>
    <t xml:space="preserve">WL-01940</t>
  </si>
  <si>
    <t xml:space="preserve">Kelly Howell</t>
  </si>
  <si>
    <t xml:space="preserve">PINTAIL MIST</t>
  </si>
  <si>
    <t xml:space="preserve">GW-0920</t>
  </si>
  <si>
    <t xml:space="preserve">MA-2024-0920</t>
  </si>
  <si>
    <t xml:space="preserve">WL-01338</t>
  </si>
  <si>
    <t xml:space="preserve">Philip Simpson</t>
  </si>
  <si>
    <t xml:space="preserve">MURRE STAR</t>
  </si>
  <si>
    <t xml:space="preserve">GW-0921</t>
  </si>
  <si>
    <t xml:space="preserve">MA-2024-0921</t>
  </si>
  <si>
    <t xml:space="preserve">WL-02657</t>
  </si>
  <si>
    <t xml:space="preserve">Keith Barr</t>
  </si>
  <si>
    <t xml:space="preserve">GW-0922</t>
  </si>
  <si>
    <t xml:space="preserve">MA-2024-0922</t>
  </si>
  <si>
    <t xml:space="preserve">WL-03531</t>
  </si>
  <si>
    <t xml:space="preserve">Nicole Golden</t>
  </si>
  <si>
    <t xml:space="preserve">OTTER PASSAGE</t>
  </si>
  <si>
    <t xml:space="preserve">GW-0923</t>
  </si>
  <si>
    <t xml:space="preserve">MA-2024-0923</t>
  </si>
  <si>
    <t xml:space="preserve">HERON ANN</t>
  </si>
  <si>
    <t xml:space="preserve">GW-1001</t>
  </si>
  <si>
    <t xml:space="preserve">MA-2024-1001</t>
  </si>
  <si>
    <t xml:space="preserve">Brandon Choi</t>
  </si>
  <si>
    <t xml:space="preserve">SABLE MIST</t>
  </si>
  <si>
    <t xml:space="preserve">GW-1002</t>
  </si>
  <si>
    <t xml:space="preserve">MA-2024-1002</t>
  </si>
  <si>
    <t xml:space="preserve">WL-01108</t>
  </si>
  <si>
    <t xml:space="preserve">Evelyn Thomas</t>
  </si>
  <si>
    <t xml:space="preserve">OTTER MOON</t>
  </si>
  <si>
    <t xml:space="preserve">MA-2024-1003</t>
  </si>
  <si>
    <t xml:space="preserve">WL-03052</t>
  </si>
  <si>
    <t xml:space="preserve">Jenna Marsh</t>
  </si>
  <si>
    <t xml:space="preserve">CORMORANT SHORE</t>
  </si>
  <si>
    <t xml:space="preserve">GW-1004</t>
  </si>
  <si>
    <t xml:space="preserve">MA-2024-1004</t>
  </si>
  <si>
    <t xml:space="preserve">WL-03149</t>
  </si>
  <si>
    <t xml:space="preserve">Todd Williams</t>
  </si>
  <si>
    <t xml:space="preserve">TIDE RUNNER</t>
  </si>
  <si>
    <t xml:space="preserve">GW-1005</t>
  </si>
  <si>
    <t xml:space="preserve">MA-2024-1005</t>
  </si>
  <si>
    <t xml:space="preserve">WL-03191</t>
  </si>
  <si>
    <t xml:space="preserve">William Lam</t>
  </si>
  <si>
    <t xml:space="preserve">OTTER LIGHT</t>
  </si>
  <si>
    <t xml:space="preserve">GW-1006</t>
  </si>
  <si>
    <t xml:space="preserve">MA-2024-1006</t>
  </si>
  <si>
    <t xml:space="preserve">WL-02170</t>
  </si>
  <si>
    <t xml:space="preserve">Robin Duke</t>
  </si>
  <si>
    <t xml:space="preserve">GW-1007</t>
  </si>
  <si>
    <t xml:space="preserve">MA-2024-1007</t>
  </si>
  <si>
    <t xml:space="preserve">WL-01742</t>
  </si>
  <si>
    <t xml:space="preserve">Robert Smith</t>
  </si>
  <si>
    <t xml:space="preserve">COHO ROCK</t>
  </si>
  <si>
    <t xml:space="preserve">MA-2024-1008</t>
  </si>
  <si>
    <t xml:space="preserve">WL-03216</t>
  </si>
  <si>
    <t xml:space="preserve">Nancy Branch</t>
  </si>
  <si>
    <t xml:space="preserve">CORMORANT WEATHER</t>
  </si>
  <si>
    <t xml:space="preserve">GW-1009</t>
  </si>
  <si>
    <t xml:space="preserve">MA-2024-1009</t>
  </si>
  <si>
    <t xml:space="preserve">GRAY ROSE</t>
  </si>
  <si>
    <t xml:space="preserve">GW-1010</t>
  </si>
  <si>
    <t xml:space="preserve">MA-2024-1010</t>
  </si>
  <si>
    <t xml:space="preserve">WL-01543</t>
  </si>
  <si>
    <t xml:space="preserve">Charles Gomez</t>
  </si>
  <si>
    <t xml:space="preserve">SANDERLING RUNNER</t>
  </si>
  <si>
    <t xml:space="preserve">GW-1011</t>
  </si>
  <si>
    <t xml:space="preserve">MA-2024-1011</t>
  </si>
  <si>
    <t xml:space="preserve">WL-02258</t>
  </si>
  <si>
    <t xml:space="preserve">Katrina Griffin</t>
  </si>
  <si>
    <t xml:space="preserve">TIDE VEER</t>
  </si>
  <si>
    <t xml:space="preserve">MA-2024-1012</t>
  </si>
  <si>
    <t xml:space="preserve">WL-01480</t>
  </si>
  <si>
    <t xml:space="preserve">Kaitlin Meyer</t>
  </si>
  <si>
    <t xml:space="preserve">ANCHOR MIST</t>
  </si>
  <si>
    <t xml:space="preserve">MA-2024-1013</t>
  </si>
  <si>
    <t xml:space="preserve">WL-02038</t>
  </si>
  <si>
    <t xml:space="preserve">Patricia Thomas</t>
  </si>
  <si>
    <t xml:space="preserve">TIDE ROSE</t>
  </si>
  <si>
    <t xml:space="preserve">GW-1014</t>
  </si>
  <si>
    <t xml:space="preserve">MA-2024-1014</t>
  </si>
  <si>
    <t xml:space="preserve">WL-03067</t>
  </si>
  <si>
    <t xml:space="preserve">Eric Thomas</t>
  </si>
  <si>
    <t xml:space="preserve">ANCHOR ROSE</t>
  </si>
  <si>
    <t xml:space="preserve">GW-1015</t>
  </si>
  <si>
    <t xml:space="preserve">MA-2024-1015</t>
  </si>
  <si>
    <t xml:space="preserve">Lisa Wright</t>
  </si>
  <si>
    <t xml:space="preserve">FOUL DANCER</t>
  </si>
  <si>
    <t xml:space="preserve">GW-1016</t>
  </si>
  <si>
    <t xml:space="preserve">MA-2024-1016</t>
  </si>
  <si>
    <t xml:space="preserve">WL-02443</t>
  </si>
  <si>
    <t xml:space="preserve">Seth Neal</t>
  </si>
  <si>
    <t xml:space="preserve">ANCHOR ROCK</t>
  </si>
  <si>
    <t xml:space="preserve">MA-2024-1017</t>
  </si>
  <si>
    <t xml:space="preserve">John George</t>
  </si>
  <si>
    <t xml:space="preserve">GW-1018</t>
  </si>
  <si>
    <t xml:space="preserve">MA-2024-1018</t>
  </si>
  <si>
    <t xml:space="preserve">SABLE ROCK</t>
  </si>
  <si>
    <t xml:space="preserve">GW-1019</t>
  </si>
  <si>
    <t xml:space="preserve">MA-2024-1019</t>
  </si>
  <si>
    <t xml:space="preserve">WL-02234</t>
  </si>
  <si>
    <t xml:space="preserve">Chelsea Chandler</t>
  </si>
  <si>
    <t xml:space="preserve">PETREL REACH</t>
  </si>
  <si>
    <t xml:space="preserve">MA-2024-1020</t>
  </si>
  <si>
    <t xml:space="preserve">WL-03776</t>
  </si>
  <si>
    <t xml:space="preserve">Michael Beard</t>
  </si>
  <si>
    <t xml:space="preserve">OSPREY QUEEN</t>
  </si>
  <si>
    <t xml:space="preserve">GW-1021</t>
  </si>
  <si>
    <t xml:space="preserve">MA-2024-1021</t>
  </si>
  <si>
    <t xml:space="preserve">WL-03394</t>
  </si>
  <si>
    <t xml:space="preserve">Alyssa Robinson</t>
  </si>
  <si>
    <t xml:space="preserve">DRIFT ROSE</t>
  </si>
  <si>
    <t xml:space="preserve">GW-1023</t>
  </si>
  <si>
    <t xml:space="preserve">MA-2024-1023</t>
  </si>
  <si>
    <t xml:space="preserve">WL-02832</t>
  </si>
  <si>
    <t xml:space="preserve">Mia Schwartz</t>
  </si>
  <si>
    <t xml:space="preserve">SB-0101</t>
  </si>
  <si>
    <t xml:space="preserve">MA-2024-0101</t>
  </si>
  <si>
    <t xml:space="preserve">WL-03060</t>
  </si>
  <si>
    <t xml:space="preserve">Lisa Johnson</t>
  </si>
  <si>
    <t xml:space="preserve">DRIFT RUNNER</t>
  </si>
  <si>
    <t xml:space="preserve">MA-2024-0102</t>
  </si>
  <si>
    <t xml:space="preserve">WL-02851</t>
  </si>
  <si>
    <t xml:space="preserve">Andrew Rivera</t>
  </si>
  <si>
    <t xml:space="preserve">SEAL SHORE</t>
  </si>
  <si>
    <t xml:space="preserve">SB-0103</t>
  </si>
  <si>
    <t xml:space="preserve">MA-2024-0103</t>
  </si>
  <si>
    <t xml:space="preserve">WL-03155</t>
  </si>
  <si>
    <t xml:space="preserve">Mark Harvey</t>
  </si>
  <si>
    <t xml:space="preserve">BRANT CREST</t>
  </si>
  <si>
    <t xml:space="preserve">MA-2024-0104</t>
  </si>
  <si>
    <t xml:space="preserve">WL-02079</t>
  </si>
  <si>
    <t xml:space="preserve">Vicki Wright</t>
  </si>
  <si>
    <t xml:space="preserve">MA-2024-0106</t>
  </si>
  <si>
    <t xml:space="preserve">WL-03736</t>
  </si>
  <si>
    <t xml:space="preserve">Nicole Martinez</t>
  </si>
  <si>
    <t xml:space="preserve">SANDERLING HARBOR</t>
  </si>
  <si>
    <t xml:space="preserve">MA-2024-0107</t>
  </si>
  <si>
    <t xml:space="preserve">WL-02071</t>
  </si>
  <si>
    <t xml:space="preserve">Cameron Perry</t>
  </si>
  <si>
    <t xml:space="preserve">MURRE DANCER</t>
  </si>
  <si>
    <t xml:space="preserve">SB-0108</t>
  </si>
  <si>
    <t xml:space="preserve">MA-2024-0108</t>
  </si>
  <si>
    <t xml:space="preserve">WL-03452</t>
  </si>
  <si>
    <t xml:space="preserve">Nicole Wood</t>
  </si>
  <si>
    <t xml:space="preserve">MA-2024-0109</t>
  </si>
  <si>
    <t xml:space="preserve">WL-03007</t>
  </si>
  <si>
    <t xml:space="preserve">Brandy Hart</t>
  </si>
  <si>
    <t xml:space="preserve">OTTER HARBOR</t>
  </si>
  <si>
    <t xml:space="preserve">SB-0110</t>
  </si>
  <si>
    <t xml:space="preserve">MA-2024-0110</t>
  </si>
  <si>
    <t xml:space="preserve">Denise Miles</t>
  </si>
  <si>
    <t xml:space="preserve">KESTREL BAY</t>
  </si>
  <si>
    <t xml:space="preserve">SB-0111</t>
  </si>
  <si>
    <t xml:space="preserve">MA-2024-0111</t>
  </si>
  <si>
    <t xml:space="preserve">WL-03610</t>
  </si>
  <si>
    <t xml:space="preserve">David Austin</t>
  </si>
  <si>
    <t xml:space="preserve">SB-0112</t>
  </si>
  <si>
    <t xml:space="preserve">MA-2024-0112</t>
  </si>
  <si>
    <t xml:space="preserve">WL-03043</t>
  </si>
  <si>
    <t xml:space="preserve">Donald Jones</t>
  </si>
  <si>
    <t xml:space="preserve">SABLE VEER</t>
  </si>
  <si>
    <t xml:space="preserve">SB-0113</t>
  </si>
  <si>
    <t xml:space="preserve">MA-2024-0113</t>
  </si>
  <si>
    <t xml:space="preserve">WL-03490</t>
  </si>
  <si>
    <t xml:space="preserve">Julian Browning</t>
  </si>
  <si>
    <t xml:space="preserve">SB-0114</t>
  </si>
  <si>
    <t xml:space="preserve">MA-2024-0114</t>
  </si>
  <si>
    <t xml:space="preserve">WL-03362</t>
  </si>
  <si>
    <t xml:space="preserve">Crystal Porter</t>
  </si>
  <si>
    <t xml:space="preserve">MA-2024-0115</t>
  </si>
  <si>
    <t xml:space="preserve">SEAL VEER</t>
  </si>
  <si>
    <t xml:space="preserve">SB-0116</t>
  </si>
  <si>
    <t xml:space="preserve">MA-2024-0116</t>
  </si>
  <si>
    <t xml:space="preserve">OSPREY LIGHT</t>
  </si>
  <si>
    <t xml:space="preserve">SB-0117</t>
  </si>
  <si>
    <t xml:space="preserve">MA-2024-0117</t>
  </si>
  <si>
    <t xml:space="preserve">WL-02959</t>
  </si>
  <si>
    <t xml:space="preserve">Diamond Zavala</t>
  </si>
  <si>
    <t xml:space="preserve">OTTER LINE</t>
  </si>
  <si>
    <t xml:space="preserve">SB-0118</t>
  </si>
  <si>
    <t xml:space="preserve">MA-2024-0118</t>
  </si>
  <si>
    <t xml:space="preserve">WL-02380</t>
  </si>
  <si>
    <t xml:space="preserve">John Escobar</t>
  </si>
  <si>
    <t xml:space="preserve">SANDERLING GLIDE</t>
  </si>
  <si>
    <t xml:space="preserve">SB-0119</t>
  </si>
  <si>
    <t xml:space="preserve">MA-2024-0119</t>
  </si>
  <si>
    <t xml:space="preserve">WL-02414</t>
  </si>
  <si>
    <t xml:space="preserve">Ashley Martinez</t>
  </si>
  <si>
    <t xml:space="preserve">DRIFT LINE</t>
  </si>
  <si>
    <t xml:space="preserve">MA-2024-0120</t>
  </si>
  <si>
    <t xml:space="preserve">WL-03833</t>
  </si>
  <si>
    <t xml:space="preserve">Jenny Miller</t>
  </si>
  <si>
    <t xml:space="preserve">COHO MIST</t>
  </si>
  <si>
    <t xml:space="preserve">SB-0121</t>
  </si>
  <si>
    <t xml:space="preserve">MA-2024-0121</t>
  </si>
  <si>
    <t xml:space="preserve">WL-02392</t>
  </si>
  <si>
    <t xml:space="preserve">Michael Jones</t>
  </si>
  <si>
    <t xml:space="preserve">HERON QUEEN</t>
  </si>
  <si>
    <t xml:space="preserve">SB-0122</t>
  </si>
  <si>
    <t xml:space="preserve">MA-2024-0122</t>
  </si>
  <si>
    <t xml:space="preserve">WL-03856</t>
  </si>
  <si>
    <t xml:space="preserve">Taylor Ross</t>
  </si>
  <si>
    <t xml:space="preserve">SB-0201</t>
  </si>
  <si>
    <t xml:space="preserve">MA-2024-0201</t>
  </si>
  <si>
    <t xml:space="preserve">WL-01401</t>
  </si>
  <si>
    <t xml:space="preserve">Douglas Thompson</t>
  </si>
  <si>
    <t xml:space="preserve">SB-0202</t>
  </si>
  <si>
    <t xml:space="preserve">MA-2024-0202</t>
  </si>
  <si>
    <t xml:space="preserve">WL-03158</t>
  </si>
  <si>
    <t xml:space="preserve">Andrea Lopez</t>
  </si>
  <si>
    <t xml:space="preserve">SALISH ROCK</t>
  </si>
  <si>
    <t xml:space="preserve">SB-0204</t>
  </si>
  <si>
    <t xml:space="preserve">MA-2024-0204</t>
  </si>
  <si>
    <t xml:space="preserve">PINTAIL LINE</t>
  </si>
  <si>
    <t xml:space="preserve">MA-2024-0205</t>
  </si>
  <si>
    <t xml:space="preserve">WL-03840</t>
  </si>
  <si>
    <t xml:space="preserve">David Davis</t>
  </si>
  <si>
    <t xml:space="preserve">BRANT GLIDE</t>
  </si>
  <si>
    <t xml:space="preserve">SB-0206</t>
  </si>
  <si>
    <t xml:space="preserve">MA-2024-0206</t>
  </si>
  <si>
    <t xml:space="preserve">WL-02300</t>
  </si>
  <si>
    <t xml:space="preserve">Carolyn Murray</t>
  </si>
  <si>
    <t xml:space="preserve">ANCHOR ANN</t>
  </si>
  <si>
    <t xml:space="preserve">SB-0207</t>
  </si>
  <si>
    <t xml:space="preserve">MA-2024-0207</t>
  </si>
  <si>
    <t xml:space="preserve">PINTAIL VEER</t>
  </si>
  <si>
    <t xml:space="preserve">SB-0208</t>
  </si>
  <si>
    <t xml:space="preserve">MA-2024-0208</t>
  </si>
  <si>
    <t xml:space="preserve">WL-01383</t>
  </si>
  <si>
    <t xml:space="preserve">Donna Henderson</t>
  </si>
  <si>
    <t xml:space="preserve">MA-2024-0209</t>
  </si>
  <si>
    <t xml:space="preserve">Dustin Lambert</t>
  </si>
  <si>
    <t xml:space="preserve">KESTREL CREST</t>
  </si>
  <si>
    <t xml:space="preserve">MA-2024-0210</t>
  </si>
  <si>
    <t xml:space="preserve">WL-03463</t>
  </si>
  <si>
    <t xml:space="preserve">Chris Dixon</t>
  </si>
  <si>
    <t xml:space="preserve">KESTREL WEATHER</t>
  </si>
  <si>
    <t xml:space="preserve">SB-0211</t>
  </si>
  <si>
    <t xml:space="preserve">MA-2024-0211</t>
  </si>
  <si>
    <t xml:space="preserve">WL-01011</t>
  </si>
  <si>
    <t xml:space="preserve">Kristen Hughes</t>
  </si>
  <si>
    <t xml:space="preserve">TIDE BAY</t>
  </si>
  <si>
    <t xml:space="preserve">SB-0212</t>
  </si>
  <si>
    <t xml:space="preserve">MA-2024-0212</t>
  </si>
  <si>
    <t xml:space="preserve">WL-02204</t>
  </si>
  <si>
    <t xml:space="preserve">Julia Hansen</t>
  </si>
  <si>
    <t xml:space="preserve">MA-2024-0213</t>
  </si>
  <si>
    <t xml:space="preserve">Benjamin Jimenez</t>
  </si>
  <si>
    <t xml:space="preserve">MA-2024-0214</t>
  </si>
  <si>
    <t xml:space="preserve">WL-01611</t>
  </si>
  <si>
    <t xml:space="preserve">Joshua Diaz</t>
  </si>
  <si>
    <t xml:space="preserve">BRANT WAKE</t>
  </si>
  <si>
    <t xml:space="preserve">SB-0215</t>
  </si>
  <si>
    <t xml:space="preserve">MA-2024-0215</t>
  </si>
  <si>
    <t xml:space="preserve">WL-03513</t>
  </si>
  <si>
    <t xml:space="preserve">Rose Lee</t>
  </si>
  <si>
    <t xml:space="preserve">SB-0216</t>
  </si>
  <si>
    <t xml:space="preserve">MA-2024-0216</t>
  </si>
  <si>
    <t xml:space="preserve">WL-01900</t>
  </si>
  <si>
    <t xml:space="preserve">Nancy Guerrero</t>
  </si>
  <si>
    <t xml:space="preserve">SPINDRIFT BAY</t>
  </si>
  <si>
    <t xml:space="preserve">SB-0217</t>
  </si>
  <si>
    <t xml:space="preserve">MA-2024-0217</t>
  </si>
  <si>
    <t xml:space="preserve">WL-03724</t>
  </si>
  <si>
    <t xml:space="preserve">Ryan Garza</t>
  </si>
  <si>
    <t xml:space="preserve">FOUL GLIDE</t>
  </si>
  <si>
    <t xml:space="preserve">SB-0218</t>
  </si>
  <si>
    <t xml:space="preserve">MA-2024-0218</t>
  </si>
  <si>
    <t xml:space="preserve">Thomas Roman</t>
  </si>
  <si>
    <t xml:space="preserve">OTTER BAY</t>
  </si>
  <si>
    <t xml:space="preserve">SB-0219</t>
  </si>
  <si>
    <t xml:space="preserve">MA-2024-0219</t>
  </si>
  <si>
    <t xml:space="preserve">WL-03588</t>
  </si>
  <si>
    <t xml:space="preserve">Angela Olson</t>
  </si>
  <si>
    <t xml:space="preserve">OSPREY WIND</t>
  </si>
  <si>
    <t xml:space="preserve">SB-0220</t>
  </si>
  <si>
    <t xml:space="preserve">MA-2024-0220</t>
  </si>
  <si>
    <t xml:space="preserve">WL-02617</t>
  </si>
  <si>
    <t xml:space="preserve">Shane Lozano</t>
  </si>
  <si>
    <t xml:space="preserve">MA-2024-0222</t>
  </si>
  <si>
    <t xml:space="preserve">WL-02483</t>
  </si>
  <si>
    <t xml:space="preserve">Benjamin Gomez</t>
  </si>
  <si>
    <t xml:space="preserve">SB-0223</t>
  </si>
  <si>
    <t xml:space="preserve">MA-2024-0223</t>
  </si>
  <si>
    <t xml:space="preserve">WL-03116</t>
  </si>
  <si>
    <t xml:space="preserve">Anthony Kennedy</t>
  </si>
  <si>
    <t xml:space="preserve">GRAY MIST</t>
  </si>
  <si>
    <t xml:space="preserve">SB-0224</t>
  </si>
  <si>
    <t xml:space="preserve">MA-2024-0224</t>
  </si>
  <si>
    <t xml:space="preserve">WL-01960</t>
  </si>
  <si>
    <t xml:space="preserve">Sean Smith</t>
  </si>
  <si>
    <t xml:space="preserve">PINTAIL ANN</t>
  </si>
  <si>
    <t xml:space="preserve">SB-0301</t>
  </si>
  <si>
    <t xml:space="preserve">MA-2024-0301</t>
  </si>
  <si>
    <t xml:space="preserve">WL-03355</t>
  </si>
  <si>
    <t xml:space="preserve">Sarah King</t>
  </si>
  <si>
    <t xml:space="preserve">MA-2024-0302</t>
  </si>
  <si>
    <t xml:space="preserve">WL-01068</t>
  </si>
  <si>
    <t xml:space="preserve">Charles Thomas</t>
  </si>
  <si>
    <t xml:space="preserve">SB-0303</t>
  </si>
  <si>
    <t xml:space="preserve">MA-2024-0303</t>
  </si>
  <si>
    <t xml:space="preserve">WL-03829</t>
  </si>
  <si>
    <t xml:space="preserve">Ana Christian</t>
  </si>
  <si>
    <t xml:space="preserve">SCOTER STAR</t>
  </si>
  <si>
    <t xml:space="preserve">SB-0304</t>
  </si>
  <si>
    <t xml:space="preserve">MA-2024-0304</t>
  </si>
  <si>
    <t xml:space="preserve">WL-03729</t>
  </si>
  <si>
    <t xml:space="preserve">Sara Jackson</t>
  </si>
  <si>
    <t xml:space="preserve">SB-0305</t>
  </si>
  <si>
    <t xml:space="preserve">MA-2024-0305</t>
  </si>
  <si>
    <t xml:space="preserve">WL-03660</t>
  </si>
  <si>
    <t xml:space="preserve">David Sutton</t>
  </si>
  <si>
    <t xml:space="preserve">CORMORANT REACH</t>
  </si>
  <si>
    <t xml:space="preserve">MA-2024-0306</t>
  </si>
  <si>
    <t xml:space="preserve">WL-03658</t>
  </si>
  <si>
    <t xml:space="preserve">William Washington</t>
  </si>
  <si>
    <t xml:space="preserve">MA-2024-0307</t>
  </si>
  <si>
    <t xml:space="preserve">WL-02216</t>
  </si>
  <si>
    <t xml:space="preserve">Michael Diaz</t>
  </si>
  <si>
    <t xml:space="preserve">PETREL LIGHT</t>
  </si>
  <si>
    <t xml:space="preserve">SB-0308</t>
  </si>
  <si>
    <t xml:space="preserve">MA-2024-0308</t>
  </si>
  <si>
    <t xml:space="preserve">WL-02849</t>
  </si>
  <si>
    <t xml:space="preserve">Peter Johnson</t>
  </si>
  <si>
    <t xml:space="preserve">GRAY LIGHT</t>
  </si>
  <si>
    <t xml:space="preserve">SB-0309</t>
  </si>
  <si>
    <t xml:space="preserve">MA-2024-0309</t>
  </si>
  <si>
    <t xml:space="preserve">WL-03557</t>
  </si>
  <si>
    <t xml:space="preserve">Tiffany Smith</t>
  </si>
  <si>
    <t xml:space="preserve">CORMORANT WAKE</t>
  </si>
  <si>
    <t xml:space="preserve">SB-0311</t>
  </si>
  <si>
    <t xml:space="preserve">MA-2024-0311</t>
  </si>
  <si>
    <t xml:space="preserve">WL-03282</t>
  </si>
  <si>
    <t xml:space="preserve">Jillian Curry</t>
  </si>
  <si>
    <t xml:space="preserve">TIDE REACH</t>
  </si>
  <si>
    <t xml:space="preserve">SB-0312</t>
  </si>
  <si>
    <t xml:space="preserve">MA-2024-0312</t>
  </si>
  <si>
    <t xml:space="preserve">WL-02507</t>
  </si>
  <si>
    <t xml:space="preserve">Erin Morris</t>
  </si>
  <si>
    <t xml:space="preserve">HALIBUT ROSE</t>
  </si>
  <si>
    <t xml:space="preserve">MA-2024-0313</t>
  </si>
  <si>
    <t xml:space="preserve">WL-02129</t>
  </si>
  <si>
    <t xml:space="preserve">Lisa Palmer</t>
  </si>
  <si>
    <t xml:space="preserve">SCOTER GLIDE</t>
  </si>
  <si>
    <t xml:space="preserve">MA-2024-0314</t>
  </si>
  <si>
    <t xml:space="preserve">WL-03303</t>
  </si>
  <si>
    <t xml:space="preserve">Eileen Norris</t>
  </si>
  <si>
    <t xml:space="preserve">PETREL BAY</t>
  </si>
  <si>
    <t xml:space="preserve">SB-0315</t>
  </si>
  <si>
    <t xml:space="preserve">MA-2024-0315</t>
  </si>
  <si>
    <t xml:space="preserve">WL-02337</t>
  </si>
  <si>
    <t xml:space="preserve">Brian Taylor</t>
  </si>
  <si>
    <t xml:space="preserve">OTTER WAKE</t>
  </si>
  <si>
    <t xml:space="preserve">SB-0316</t>
  </si>
  <si>
    <t xml:space="preserve">MA-2024-0316</t>
  </si>
  <si>
    <t xml:space="preserve">WL-02020</t>
  </si>
  <si>
    <t xml:space="preserve">Jacqueline Daniels</t>
  </si>
  <si>
    <t xml:space="preserve">FOUL MIST</t>
  </si>
  <si>
    <t xml:space="preserve">SB-0317</t>
  </si>
  <si>
    <t xml:space="preserve">MA-2024-0317</t>
  </si>
  <si>
    <t xml:space="preserve">WL-01571</t>
  </si>
  <si>
    <t xml:space="preserve">Blake Webb</t>
  </si>
  <si>
    <t xml:space="preserve">SB-0318</t>
  </si>
  <si>
    <t xml:space="preserve">MA-2024-0318</t>
  </si>
  <si>
    <t xml:space="preserve">WL-03173</t>
  </si>
  <si>
    <t xml:space="preserve">Timothy Wood</t>
  </si>
  <si>
    <t xml:space="preserve">SABLE MOON</t>
  </si>
  <si>
    <t xml:space="preserve">MA-2024-0319</t>
  </si>
  <si>
    <t xml:space="preserve">WL-02172</t>
  </si>
  <si>
    <t xml:space="preserve">Anna Bishop</t>
  </si>
  <si>
    <t xml:space="preserve">SALISH MIST</t>
  </si>
  <si>
    <t xml:space="preserve">SB-0320</t>
  </si>
  <si>
    <t xml:space="preserve">MA-2024-0320</t>
  </si>
  <si>
    <t xml:space="preserve">WL-01830</t>
  </si>
  <si>
    <t xml:space="preserve">Robert Patel</t>
  </si>
  <si>
    <t xml:space="preserve">SB-0321</t>
  </si>
  <si>
    <t xml:space="preserve">MA-2024-0321</t>
  </si>
  <si>
    <t xml:space="preserve">WL-02472</t>
  </si>
  <si>
    <t xml:space="preserve">William Martinez</t>
  </si>
  <si>
    <t xml:space="preserve">FOUL BAY</t>
  </si>
  <si>
    <t xml:space="preserve">SB-0322</t>
  </si>
  <si>
    <t xml:space="preserve">MA-2024-0322</t>
  </si>
  <si>
    <t xml:space="preserve">WL-02376</t>
  </si>
  <si>
    <t xml:space="preserve">Steven Robinson</t>
  </si>
  <si>
    <t xml:space="preserve">SABLE SOUND</t>
  </si>
  <si>
    <t xml:space="preserve">SB-0323</t>
  </si>
  <si>
    <t xml:space="preserve">MA-2024-0323</t>
  </si>
  <si>
    <t xml:space="preserve">WL-03820</t>
  </si>
  <si>
    <t xml:space="preserve">Thomas Robinson</t>
  </si>
  <si>
    <t xml:space="preserve">OTTER SOUND</t>
  </si>
  <si>
    <t xml:space="preserve">SB-0324</t>
  </si>
  <si>
    <t xml:space="preserve">MA-2024-0324</t>
  </si>
  <si>
    <t xml:space="preserve">WL-01917</t>
  </si>
  <si>
    <t xml:space="preserve">Matthew May</t>
  </si>
  <si>
    <t xml:space="preserve">SCOTER BAY</t>
  </si>
  <si>
    <t xml:space="preserve">MA-2024-0401</t>
  </si>
  <si>
    <t xml:space="preserve">WL-01395</t>
  </si>
  <si>
    <t xml:space="preserve">Denise Mitchell</t>
  </si>
  <si>
    <t xml:space="preserve">SEAL STAR</t>
  </si>
  <si>
    <t xml:space="preserve">MA-2024-0402</t>
  </si>
  <si>
    <t xml:space="preserve">WL-03565</t>
  </si>
  <si>
    <t xml:space="preserve">Brian Rosario</t>
  </si>
  <si>
    <t xml:space="preserve">HERON HARBOR</t>
  </si>
  <si>
    <t xml:space="preserve">MA-2024-0403</t>
  </si>
  <si>
    <t xml:space="preserve">WL-02892</t>
  </si>
  <si>
    <t xml:space="preserve">Martha Cook</t>
  </si>
  <si>
    <t xml:space="preserve">FOUL WAKE</t>
  </si>
  <si>
    <t xml:space="preserve">SB-0404</t>
  </si>
  <si>
    <t xml:space="preserve">MA-2024-0404</t>
  </si>
  <si>
    <t xml:space="preserve">PINTAIL ROCK</t>
  </si>
  <si>
    <t xml:space="preserve">MA-2024-0405</t>
  </si>
  <si>
    <t xml:space="preserve">WL-02223</t>
  </si>
  <si>
    <t xml:space="preserve">Ashley Wilson</t>
  </si>
  <si>
    <t xml:space="preserve">FOUL REACH</t>
  </si>
  <si>
    <t xml:space="preserve">MA-2024-0406</t>
  </si>
  <si>
    <t xml:space="preserve">WL-02891</t>
  </si>
  <si>
    <t xml:space="preserve">Jon Suarez</t>
  </si>
  <si>
    <t xml:space="preserve">SPINDRIFT SOUND</t>
  </si>
  <si>
    <t xml:space="preserve">MA-2024-0407</t>
  </si>
  <si>
    <t xml:space="preserve">WL-02876</t>
  </si>
  <si>
    <t xml:space="preserve">Janice Collins</t>
  </si>
  <si>
    <t xml:space="preserve">SCOTER ANN</t>
  </si>
  <si>
    <t xml:space="preserve">MA-2024-0408</t>
  </si>
  <si>
    <t xml:space="preserve">WL-01281</t>
  </si>
  <si>
    <t xml:space="preserve">Alexander Ferguson</t>
  </si>
  <si>
    <t xml:space="preserve">POINT WEATHER</t>
  </si>
  <si>
    <t xml:space="preserve">SB-0409</t>
  </si>
  <si>
    <t xml:space="preserve">MA-2024-0409</t>
  </si>
  <si>
    <t xml:space="preserve">John Powell</t>
  </si>
  <si>
    <t xml:space="preserve">DRIFT WAKE</t>
  </si>
  <si>
    <t xml:space="preserve">MA-2024-0410</t>
  </si>
  <si>
    <t xml:space="preserve">WL-01770</t>
  </si>
  <si>
    <t xml:space="preserve">Billy Cummings</t>
  </si>
  <si>
    <t xml:space="preserve">MA-2024-0411</t>
  </si>
  <si>
    <t xml:space="preserve">WL-02542</t>
  </si>
  <si>
    <t xml:space="preserve">Susan Decker</t>
  </si>
  <si>
    <t xml:space="preserve">OTTER WEATHER</t>
  </si>
  <si>
    <t xml:space="preserve">SB-0412</t>
  </si>
  <si>
    <t xml:space="preserve">MA-2024-0412</t>
  </si>
  <si>
    <t xml:space="preserve">WL-03345</t>
  </si>
  <si>
    <t xml:space="preserve">Cody Jackson</t>
  </si>
  <si>
    <t xml:space="preserve">FOUL LINE</t>
  </si>
  <si>
    <t xml:space="preserve">SB-0413</t>
  </si>
  <si>
    <t xml:space="preserve">MA-2024-0413</t>
  </si>
  <si>
    <t xml:space="preserve">WL-01247</t>
  </si>
  <si>
    <t xml:space="preserve">Daniel Wallace</t>
  </si>
  <si>
    <t xml:space="preserve">SPINDRIFT HARBOR</t>
  </si>
  <si>
    <t xml:space="preserve">SB-0414</t>
  </si>
  <si>
    <t xml:space="preserve">MA-2024-0414</t>
  </si>
  <si>
    <t xml:space="preserve">WL-01769</t>
  </si>
  <si>
    <t xml:space="preserve">Brenda Cruz</t>
  </si>
  <si>
    <t xml:space="preserve">POINT DANCER</t>
  </si>
  <si>
    <t xml:space="preserve">SB-0415</t>
  </si>
  <si>
    <t xml:space="preserve">MA-2024-0415</t>
  </si>
  <si>
    <t xml:space="preserve">WL-03540</t>
  </si>
  <si>
    <t xml:space="preserve">Julie Crane</t>
  </si>
  <si>
    <t xml:space="preserve">BRANT DANCER</t>
  </si>
  <si>
    <t xml:space="preserve">MA-2024-0416</t>
  </si>
  <si>
    <t xml:space="preserve">WL-03324</t>
  </si>
  <si>
    <t xml:space="preserve">Jacob Hanna</t>
  </si>
  <si>
    <t xml:space="preserve">CORMORANT HARBOR</t>
  </si>
  <si>
    <t xml:space="preserve">SB-0418</t>
  </si>
  <si>
    <t xml:space="preserve">MA-2024-0418</t>
  </si>
  <si>
    <t xml:space="preserve">WL-03571</t>
  </si>
  <si>
    <t xml:space="preserve">Rebecca Merritt</t>
  </si>
  <si>
    <t xml:space="preserve">CORMORANT STAR</t>
  </si>
  <si>
    <t xml:space="preserve">MA-2024-0419</t>
  </si>
  <si>
    <t xml:space="preserve">WL-03076</t>
  </si>
  <si>
    <t xml:space="preserve">Jennifer Davis</t>
  </si>
  <si>
    <t xml:space="preserve">OSPREY SONG</t>
  </si>
  <si>
    <t xml:space="preserve">MA-2024-0420</t>
  </si>
  <si>
    <t xml:space="preserve">WL-03473</t>
  </si>
  <si>
    <t xml:space="preserve">Brian Miller</t>
  </si>
  <si>
    <t xml:space="preserve">SABLE QUEEN</t>
  </si>
  <si>
    <t xml:space="preserve">SB-0421</t>
  </si>
  <si>
    <t xml:space="preserve">MA-2024-0421</t>
  </si>
  <si>
    <t xml:space="preserve">WL-02552</t>
  </si>
  <si>
    <t xml:space="preserve">Brian Shea</t>
  </si>
  <si>
    <t xml:space="preserve">SB-0422</t>
  </si>
  <si>
    <t xml:space="preserve">MA-2024-0422</t>
  </si>
  <si>
    <t xml:space="preserve">WL-02351</t>
  </si>
  <si>
    <t xml:space="preserve">Kenneth Bradford</t>
  </si>
  <si>
    <t xml:space="preserve">DRIFT MIST</t>
  </si>
  <si>
    <t xml:space="preserve">SB-0423</t>
  </si>
  <si>
    <t xml:space="preserve">MA-2024-0423</t>
  </si>
  <si>
    <t xml:space="preserve">WL-03606</t>
  </si>
  <si>
    <t xml:space="preserve">Jared Garcia</t>
  </si>
  <si>
    <t xml:space="preserve">SB-0424</t>
  </si>
  <si>
    <t xml:space="preserve">MA-2024-0424</t>
  </si>
  <si>
    <t xml:space="preserve">WL-02295</t>
  </si>
  <si>
    <t xml:space="preserve">Katie Hall</t>
  </si>
  <si>
    <t xml:space="preserve">HALIBUT HARBOR</t>
  </si>
  <si>
    <t xml:space="preserve">SB-0502</t>
  </si>
  <si>
    <t xml:space="preserve">WL-01453</t>
  </si>
  <si>
    <t xml:space="preserve">Kelly Lee</t>
  </si>
  <si>
    <t xml:space="preserve">ANCHOR RUNNER</t>
  </si>
  <si>
    <t xml:space="preserve">SB-0503</t>
  </si>
  <si>
    <t xml:space="preserve">WL-02805</t>
  </si>
  <si>
    <t xml:space="preserve">Sheila Fuentes</t>
  </si>
  <si>
    <t xml:space="preserve">SCOTER RUNNER</t>
  </si>
  <si>
    <t xml:space="preserve">SB-0504</t>
  </si>
  <si>
    <t xml:space="preserve">WL-03009</t>
  </si>
  <si>
    <t xml:space="preserve">Dennis Taylor</t>
  </si>
  <si>
    <t xml:space="preserve">COHO QUEEN</t>
  </si>
  <si>
    <t xml:space="preserve">SB-0505</t>
  </si>
  <si>
    <t xml:space="preserve">WL-03522</t>
  </si>
  <si>
    <t xml:space="preserve">Austin Sanchez</t>
  </si>
  <si>
    <t xml:space="preserve">MURRE QUEEN</t>
  </si>
  <si>
    <t xml:space="preserve">SB-0506</t>
  </si>
  <si>
    <t xml:space="preserve">HALIBUT GLIDE</t>
  </si>
  <si>
    <t xml:space="preserve">SB-0507</t>
  </si>
  <si>
    <t xml:space="preserve">WL-03590</t>
  </si>
  <si>
    <t xml:space="preserve">Dawn Johnson</t>
  </si>
  <si>
    <t xml:space="preserve">SB-0509</t>
  </si>
  <si>
    <t xml:space="preserve">WL-02521</t>
  </si>
  <si>
    <t xml:space="preserve">Ashley Vance</t>
  </si>
  <si>
    <t xml:space="preserve">SALISH GLIDE</t>
  </si>
  <si>
    <t xml:space="preserve">SB-0510</t>
  </si>
  <si>
    <t xml:space="preserve">MA-2024-0510</t>
  </si>
  <si>
    <t xml:space="preserve">WL-02318</t>
  </si>
  <si>
    <t xml:space="preserve">Brittany Harris</t>
  </si>
  <si>
    <t xml:space="preserve">PETREL ROCK</t>
  </si>
  <si>
    <t xml:space="preserve">SB-0511</t>
  </si>
  <si>
    <t xml:space="preserve">SPINDRIFT MIST</t>
  </si>
  <si>
    <t xml:space="preserve">SB-0512</t>
  </si>
  <si>
    <t xml:space="preserve">MURRE HARBOR</t>
  </si>
  <si>
    <t xml:space="preserve">SB-0514</t>
  </si>
  <si>
    <t xml:space="preserve">WL-01190</t>
  </si>
  <si>
    <t xml:space="preserve">James Cortez</t>
  </si>
  <si>
    <t xml:space="preserve">SPINDRIFT SONG</t>
  </si>
  <si>
    <t xml:space="preserve">SB-0515</t>
  </si>
  <si>
    <t xml:space="preserve">WL-01458</t>
  </si>
  <si>
    <t xml:space="preserve">Sean Ruiz</t>
  </si>
  <si>
    <t xml:space="preserve">SB-0516</t>
  </si>
  <si>
    <t xml:space="preserve">WL-02648</t>
  </si>
  <si>
    <t xml:space="preserve">William Russell</t>
  </si>
  <si>
    <t xml:space="preserve">COHO ANN</t>
  </si>
  <si>
    <t xml:space="preserve">SB-0518</t>
  </si>
  <si>
    <t xml:space="preserve">WL-02395</t>
  </si>
  <si>
    <t xml:space="preserve">Scott Ramos</t>
  </si>
  <si>
    <t xml:space="preserve">SANDERLING ANN</t>
  </si>
  <si>
    <t xml:space="preserve">SB-0520</t>
  </si>
  <si>
    <t xml:space="preserve">WL-02847</t>
  </si>
  <si>
    <t xml:space="preserve">Julie Johnston</t>
  </si>
  <si>
    <t xml:space="preserve">TIDE STAR</t>
  </si>
  <si>
    <t xml:space="preserve">SB-0521</t>
  </si>
  <si>
    <t xml:space="preserve">WL-03663</t>
  </si>
  <si>
    <t xml:space="preserve">Jasmine Page</t>
  </si>
  <si>
    <t xml:space="preserve">SB-0522</t>
  </si>
  <si>
    <t xml:space="preserve">WL-03063</t>
  </si>
  <si>
    <t xml:space="preserve">Natalie Stout</t>
  </si>
  <si>
    <t xml:space="preserve">WIDGEON WEATHER</t>
  </si>
  <si>
    <t xml:space="preserve">SB-0523</t>
  </si>
  <si>
    <t xml:space="preserve">WL-03436</t>
  </si>
  <si>
    <t xml:space="preserve">Katherine Hunter</t>
  </si>
  <si>
    <t xml:space="preserve">SB-0524</t>
  </si>
  <si>
    <t xml:space="preserve">MA-2024-0524</t>
  </si>
  <si>
    <t xml:space="preserve">Kristen Turner</t>
  </si>
  <si>
    <t xml:space="preserve">SALISH REACH</t>
  </si>
  <si>
    <t xml:space="preserve">WL-02855</t>
  </si>
  <si>
    <t xml:space="preserve">Kristy Bernard</t>
  </si>
  <si>
    <t xml:space="preserve">MURRE SHORE</t>
  </si>
  <si>
    <t xml:space="preserve">MA-2024-0602</t>
  </si>
  <si>
    <t xml:space="preserve">TIDE ROCK</t>
  </si>
  <si>
    <t xml:space="preserve">WL-01326</t>
  </si>
  <si>
    <t xml:space="preserve">Kristin Smith</t>
  </si>
  <si>
    <t xml:space="preserve">SB-0604</t>
  </si>
  <si>
    <t xml:space="preserve">GRAY SHORE</t>
  </si>
  <si>
    <t xml:space="preserve">SB-0605</t>
  </si>
  <si>
    <t xml:space="preserve">WL-02387</t>
  </si>
  <si>
    <t xml:space="preserve">Scott Roberts</t>
  </si>
  <si>
    <t xml:space="preserve">SB-0606</t>
  </si>
  <si>
    <t xml:space="preserve">WL-02385</t>
  </si>
  <si>
    <t xml:space="preserve">John Lopez</t>
  </si>
  <si>
    <t xml:space="preserve">WL-03601</t>
  </si>
  <si>
    <t xml:space="preserve">Jenny Perez</t>
  </si>
  <si>
    <t xml:space="preserve">MURRE MIST</t>
  </si>
  <si>
    <t xml:space="preserve">SB-0609</t>
  </si>
  <si>
    <t xml:space="preserve">WL-01633</t>
  </si>
  <si>
    <t xml:space="preserve">Michael Gonzalez</t>
  </si>
  <si>
    <t xml:space="preserve">WL-02854</t>
  </si>
  <si>
    <t xml:space="preserve">Michael Martinez</t>
  </si>
  <si>
    <t xml:space="preserve">ANCHOR STAR</t>
  </si>
  <si>
    <t xml:space="preserve">SB-0611</t>
  </si>
  <si>
    <t xml:space="preserve">MA-2024-0611</t>
  </si>
  <si>
    <t xml:space="preserve">WL-02381</t>
  </si>
  <si>
    <t xml:space="preserve">Gary Waters</t>
  </si>
  <si>
    <t xml:space="preserve">SB-0612</t>
  </si>
  <si>
    <t xml:space="preserve">WL-03514</t>
  </si>
  <si>
    <t xml:space="preserve">Marvin Davila</t>
  </si>
  <si>
    <t xml:space="preserve">SEAL LINE</t>
  </si>
  <si>
    <t xml:space="preserve">SB-0613</t>
  </si>
  <si>
    <t xml:space="preserve">WL-03616</t>
  </si>
  <si>
    <t xml:space="preserve">Martin King</t>
  </si>
  <si>
    <t xml:space="preserve">SB-0614</t>
  </si>
  <si>
    <t xml:space="preserve">WL-01755</t>
  </si>
  <si>
    <t xml:space="preserve">Joshua Walton</t>
  </si>
  <si>
    <t xml:space="preserve">BRANT MOON</t>
  </si>
  <si>
    <t xml:space="preserve">SB-0615</t>
  </si>
  <si>
    <t xml:space="preserve">WL-01424</t>
  </si>
  <si>
    <t xml:space="preserve">Kristen Miller</t>
  </si>
  <si>
    <t xml:space="preserve">SABLE RUNNER</t>
  </si>
  <si>
    <t xml:space="preserve">MA-2024-0616</t>
  </si>
  <si>
    <t xml:space="preserve">WL-03789</t>
  </si>
  <si>
    <t xml:space="preserve">Christopher Dorsey</t>
  </si>
  <si>
    <t xml:space="preserve">COHO DANCER</t>
  </si>
  <si>
    <t xml:space="preserve">WL-01894</t>
  </si>
  <si>
    <t xml:space="preserve">Linda Taylor</t>
  </si>
  <si>
    <t xml:space="preserve">PINTAIL PASSAGE</t>
  </si>
  <si>
    <t xml:space="preserve">SB-0619</t>
  </si>
  <si>
    <t xml:space="preserve">Adam Warner</t>
  </si>
  <si>
    <t xml:space="preserve">SB-0620</t>
  </si>
  <si>
    <t xml:space="preserve">WL-01426</t>
  </si>
  <si>
    <t xml:space="preserve">Glen Owen</t>
  </si>
  <si>
    <t xml:space="preserve">SB-0621</t>
  </si>
  <si>
    <t xml:space="preserve">WL-01415</t>
  </si>
  <si>
    <t xml:space="preserve">Jeremy Stevens</t>
  </si>
  <si>
    <t xml:space="preserve">ANCHOR GLIDE</t>
  </si>
  <si>
    <t xml:space="preserve">SB-0622</t>
  </si>
  <si>
    <t xml:space="preserve">WL-03668</t>
  </si>
  <si>
    <t xml:space="preserve">Anthony Morris</t>
  </si>
  <si>
    <t xml:space="preserve">DRIFT GLIDE</t>
  </si>
  <si>
    <t xml:space="preserve">WL-01938</t>
  </si>
  <si>
    <t xml:space="preserve">Ian Webb</t>
  </si>
  <si>
    <t xml:space="preserve">SALISH ANN</t>
  </si>
  <si>
    <t xml:space="preserve">MA-2024-0624</t>
  </si>
  <si>
    <t xml:space="preserve">WL-01530</t>
  </si>
  <si>
    <t xml:space="preserve">Sean Huber</t>
  </si>
  <si>
    <t xml:space="preserve">KESTREL MIST</t>
  </si>
  <si>
    <t xml:space="preserve">SB-0701</t>
  </si>
  <si>
    <t xml:space="preserve">MA-2024-0701</t>
  </si>
  <si>
    <t xml:space="preserve">WL-02761</t>
  </si>
  <si>
    <t xml:space="preserve">Timothy Coleman</t>
  </si>
  <si>
    <t xml:space="preserve">SB-0702</t>
  </si>
  <si>
    <t xml:space="preserve">WL-03233</t>
  </si>
  <si>
    <t xml:space="preserve">Erin Williams</t>
  </si>
  <si>
    <t xml:space="preserve">HERON ROCK</t>
  </si>
  <si>
    <t xml:space="preserve">SB-0703</t>
  </si>
  <si>
    <t xml:space="preserve">LITTLE AUK</t>
  </si>
  <si>
    <t xml:space="preserve">WL-02338</t>
  </si>
  <si>
    <t xml:space="preserve">Deborah Estrada</t>
  </si>
  <si>
    <t xml:space="preserve">SALISH CREST</t>
  </si>
  <si>
    <t xml:space="preserve">SB-0705</t>
  </si>
  <si>
    <t xml:space="preserve">WL-01922</t>
  </si>
  <si>
    <t xml:space="preserve">Jodi Holland</t>
  </si>
  <si>
    <t xml:space="preserve">SALISH WEATHER</t>
  </si>
  <si>
    <t xml:space="preserve">SB-0706</t>
  </si>
  <si>
    <t xml:space="preserve">WL-02346</t>
  </si>
  <si>
    <t xml:space="preserve">Tammy Thomas</t>
  </si>
  <si>
    <t xml:space="preserve">HERON CREST</t>
  </si>
  <si>
    <t xml:space="preserve">SB-0707</t>
  </si>
  <si>
    <t xml:space="preserve">WL-01946</t>
  </si>
  <si>
    <t xml:space="preserve">David Sweeney</t>
  </si>
  <si>
    <t xml:space="preserve">SB-0708</t>
  </si>
  <si>
    <t xml:space="preserve">WL-02065</t>
  </si>
  <si>
    <t xml:space="preserve">Christopher Torres</t>
  </si>
  <si>
    <t xml:space="preserve">FOUL STAR</t>
  </si>
  <si>
    <t xml:space="preserve">MA-2024-0709</t>
  </si>
  <si>
    <t xml:space="preserve">WL-03577</t>
  </si>
  <si>
    <t xml:space="preserve">Charles Bell</t>
  </si>
  <si>
    <t xml:space="preserve">SB-0710</t>
  </si>
  <si>
    <t xml:space="preserve">WL-01525</t>
  </si>
  <si>
    <t xml:space="preserve">Holly Myers</t>
  </si>
  <si>
    <t xml:space="preserve">SB-0711</t>
  </si>
  <si>
    <t xml:space="preserve">SB-0712</t>
  </si>
  <si>
    <t xml:space="preserve">SB-0713</t>
  </si>
  <si>
    <t xml:space="preserve">WL-03510</t>
  </si>
  <si>
    <t xml:space="preserve">Kimberly Pearson</t>
  </si>
  <si>
    <t xml:space="preserve">SB-0714</t>
  </si>
  <si>
    <t xml:space="preserve">WL-03165</t>
  </si>
  <si>
    <t xml:space="preserve">Brendan Durham</t>
  </si>
  <si>
    <t xml:space="preserve">TIDE DANCER</t>
  </si>
  <si>
    <t xml:space="preserve">SB-0715</t>
  </si>
  <si>
    <t xml:space="preserve">WL-03330</t>
  </si>
  <si>
    <t xml:space="preserve">Lori Bauer</t>
  </si>
  <si>
    <t xml:space="preserve">KESTREL SHORE</t>
  </si>
  <si>
    <t xml:space="preserve">SB-0716</t>
  </si>
  <si>
    <t xml:space="preserve">WL-02899</t>
  </si>
  <si>
    <t xml:space="preserve">Tricia Dixon</t>
  </si>
  <si>
    <t xml:space="preserve">MURRE RUNNER</t>
  </si>
  <si>
    <t xml:space="preserve">SB-0717</t>
  </si>
  <si>
    <t xml:space="preserve">TIDE SOUND</t>
  </si>
  <si>
    <t xml:space="preserve">SB-0718</t>
  </si>
  <si>
    <t xml:space="preserve">MA-2024-0718</t>
  </si>
  <si>
    <t xml:space="preserve">WL-01111</t>
  </si>
  <si>
    <t xml:space="preserve">Monique Carey</t>
  </si>
  <si>
    <t xml:space="preserve">ANCHOR VEER</t>
  </si>
  <si>
    <t xml:space="preserve">WL-03199</t>
  </si>
  <si>
    <t xml:space="preserve">Miguel Tucker</t>
  </si>
  <si>
    <t xml:space="preserve">MURRE LINE</t>
  </si>
  <si>
    <t xml:space="preserve">WL-02654</t>
  </si>
  <si>
    <t xml:space="preserve">Christopher Evans</t>
  </si>
  <si>
    <t xml:space="preserve">SANDERLING MOON</t>
  </si>
  <si>
    <t xml:space="preserve">SB-0721</t>
  </si>
  <si>
    <t xml:space="preserve">WL-02272</t>
  </si>
  <si>
    <t xml:space="preserve">Scott Mendoza</t>
  </si>
  <si>
    <t xml:space="preserve">SB-0722</t>
  </si>
  <si>
    <t xml:space="preserve">WL-03331</t>
  </si>
  <si>
    <t xml:space="preserve">Samuel Lane</t>
  </si>
  <si>
    <t xml:space="preserve">SB-0723</t>
  </si>
  <si>
    <t xml:space="preserve">WL-02427</t>
  </si>
  <si>
    <t xml:space="preserve">Joseph Crosby</t>
  </si>
  <si>
    <t xml:space="preserve">SABLE LINE</t>
  </si>
  <si>
    <t xml:space="preserve">SB-0724</t>
  </si>
  <si>
    <t xml:space="preserve">MA-2024-0724</t>
  </si>
  <si>
    <t xml:space="preserve">WL-03552</t>
  </si>
  <si>
    <t xml:space="preserve">Dawn Hammond</t>
  </si>
  <si>
    <t xml:space="preserve">SALISH BAY</t>
  </si>
  <si>
    <t xml:space="preserve">MA-2024-0801</t>
  </si>
  <si>
    <t xml:space="preserve">WL-01126</t>
  </si>
  <si>
    <t xml:space="preserve">Jo Hernandez</t>
  </si>
  <si>
    <t xml:space="preserve">SABLE WEATHER</t>
  </si>
  <si>
    <t xml:space="preserve">SB-0802</t>
  </si>
  <si>
    <t xml:space="preserve">WL-03773</t>
  </si>
  <si>
    <t xml:space="preserve">David Giles</t>
  </si>
  <si>
    <t xml:space="preserve">SCOTER SHORE</t>
  </si>
  <si>
    <t xml:space="preserve">SB-0803</t>
  </si>
  <si>
    <t xml:space="preserve">MURRE MOON</t>
  </si>
  <si>
    <t xml:space="preserve">Justin Johnson</t>
  </si>
  <si>
    <t xml:space="preserve">SCOTER DANCER</t>
  </si>
  <si>
    <t xml:space="preserve">SB-0805</t>
  </si>
  <si>
    <t xml:space="preserve">WL-02163</t>
  </si>
  <si>
    <t xml:space="preserve">Kimberly Brown</t>
  </si>
  <si>
    <t xml:space="preserve">WL-03521</t>
  </si>
  <si>
    <t xml:space="preserve">Penny Nelson</t>
  </si>
  <si>
    <t xml:space="preserve">OSPREY ANN</t>
  </si>
  <si>
    <t xml:space="preserve">SB-0808</t>
  </si>
  <si>
    <t xml:space="preserve">MURRE REACH</t>
  </si>
  <si>
    <t xml:space="preserve">SB-0809</t>
  </si>
  <si>
    <t xml:space="preserve">WL-03219</t>
  </si>
  <si>
    <t xml:space="preserve">Tara Sanders</t>
  </si>
  <si>
    <t xml:space="preserve">OSPREY REACH</t>
  </si>
  <si>
    <t xml:space="preserve">SB-0810</t>
  </si>
  <si>
    <t xml:space="preserve">WL-02815</t>
  </si>
  <si>
    <t xml:space="preserve">Mark Myers</t>
  </si>
  <si>
    <t xml:space="preserve">POINT SHORE</t>
  </si>
  <si>
    <t xml:space="preserve">SB-0812</t>
  </si>
  <si>
    <t xml:space="preserve">SB-0813</t>
  </si>
  <si>
    <t xml:space="preserve">WL-01647</t>
  </si>
  <si>
    <t xml:space="preserve">Robert Shannon</t>
  </si>
  <si>
    <t xml:space="preserve">PINTAIL CREST</t>
  </si>
  <si>
    <t xml:space="preserve">SB-0814</t>
  </si>
  <si>
    <t xml:space="preserve">John Williams</t>
  </si>
  <si>
    <t xml:space="preserve">BRANT WIND</t>
  </si>
  <si>
    <t xml:space="preserve">SB-0815</t>
  </si>
  <si>
    <t xml:space="preserve">MA-2024-0815</t>
  </si>
  <si>
    <t xml:space="preserve">WL-01237</t>
  </si>
  <si>
    <t xml:space="preserve">April Nguyen</t>
  </si>
  <si>
    <t xml:space="preserve">BRANT PASSAGE</t>
  </si>
  <si>
    <t xml:space="preserve">SB-0816</t>
  </si>
  <si>
    <t xml:space="preserve">WL-03446</t>
  </si>
  <si>
    <t xml:space="preserve">Joshua Weaver</t>
  </si>
  <si>
    <t xml:space="preserve">PETREL ROSE</t>
  </si>
  <si>
    <t xml:space="preserve">SB-0818</t>
  </si>
  <si>
    <t xml:space="preserve">WL-03486</t>
  </si>
  <si>
    <t xml:space="preserve">Mary Murillo</t>
  </si>
  <si>
    <t xml:space="preserve">HERON ROSE</t>
  </si>
  <si>
    <t xml:space="preserve">SB-0819</t>
  </si>
  <si>
    <t xml:space="preserve">WL-02764</t>
  </si>
  <si>
    <t xml:space="preserve">Jason Bradley</t>
  </si>
  <si>
    <t xml:space="preserve">SB-0820</t>
  </si>
  <si>
    <t xml:space="preserve">WL-02114</t>
  </si>
  <si>
    <t xml:space="preserve">Walter Adams</t>
  </si>
  <si>
    <t xml:space="preserve">WL-01693</t>
  </si>
  <si>
    <t xml:space="preserve">Michael Price</t>
  </si>
  <si>
    <t xml:space="preserve">SB-0822</t>
  </si>
  <si>
    <t xml:space="preserve">WL-03341</t>
  </si>
  <si>
    <t xml:space="preserve">Terri Johnston</t>
  </si>
  <si>
    <t xml:space="preserve">MA-2024-0824</t>
  </si>
  <si>
    <t xml:space="preserve">WL-01971</t>
  </si>
  <si>
    <t xml:space="preserve">Paul Smith</t>
  </si>
  <si>
    <t xml:space="preserve">BRANT QUEEN</t>
  </si>
  <si>
    <t xml:space="preserve">SB-0901</t>
  </si>
  <si>
    <t xml:space="preserve">WL-03688</t>
  </si>
  <si>
    <t xml:space="preserve">Gilbert Rodriguez</t>
  </si>
  <si>
    <t xml:space="preserve">GRAY DANCER</t>
  </si>
  <si>
    <t xml:space="preserve">WL-03519</t>
  </si>
  <si>
    <t xml:space="preserve">Crystal Moore</t>
  </si>
  <si>
    <t xml:space="preserve">HALIBUT WIND</t>
  </si>
  <si>
    <t xml:space="preserve">SB-0904</t>
  </si>
  <si>
    <t xml:space="preserve">Michele Jones</t>
  </si>
  <si>
    <t xml:space="preserve">MURRE PASSAGE</t>
  </si>
  <si>
    <t xml:space="preserve">WL-03714</t>
  </si>
  <si>
    <t xml:space="preserve">Christopher Mitchell</t>
  </si>
  <si>
    <t xml:space="preserve">SB-0906</t>
  </si>
  <si>
    <t xml:space="preserve">WL-01202</t>
  </si>
  <si>
    <t xml:space="preserve">Kevin Benson</t>
  </si>
  <si>
    <t xml:space="preserve">WL-03796</t>
  </si>
  <si>
    <t xml:space="preserve">Christine Johnson</t>
  </si>
  <si>
    <t xml:space="preserve">TIDE SHORE</t>
  </si>
  <si>
    <t xml:space="preserve">SB-0909</t>
  </si>
  <si>
    <t xml:space="preserve">WL-01919</t>
  </si>
  <si>
    <t xml:space="preserve">Glenda Perkins</t>
  </si>
  <si>
    <t xml:space="preserve">SB-0910</t>
  </si>
  <si>
    <t xml:space="preserve">WL-01503</t>
  </si>
  <si>
    <t xml:space="preserve">Kayla Moore</t>
  </si>
  <si>
    <t xml:space="preserve">SANDERLING SONG</t>
  </si>
  <si>
    <t xml:space="preserve">SB-0912</t>
  </si>
  <si>
    <t xml:space="preserve">WL-02350</t>
  </si>
  <si>
    <t xml:space="preserve">Christy Chambers</t>
  </si>
  <si>
    <t xml:space="preserve">SB-0913</t>
  </si>
  <si>
    <t xml:space="preserve">WL-02119</t>
  </si>
  <si>
    <t xml:space="preserve">Eric Forbes</t>
  </si>
  <si>
    <t xml:space="preserve">SCOTER VEER</t>
  </si>
  <si>
    <t xml:space="preserve">SB-0914</t>
  </si>
  <si>
    <t xml:space="preserve">WL-02602</t>
  </si>
  <si>
    <t xml:space="preserve">John Shah</t>
  </si>
  <si>
    <t xml:space="preserve">WIDGEON QUEEN</t>
  </si>
  <si>
    <t xml:space="preserve">WL-03084</t>
  </si>
  <si>
    <t xml:space="preserve">Timothy Johnson</t>
  </si>
  <si>
    <t xml:space="preserve">OSPREY SHORE</t>
  </si>
  <si>
    <t xml:space="preserve">WL-03528</t>
  </si>
  <si>
    <t xml:space="preserve">Gina Hudson</t>
  </si>
  <si>
    <t xml:space="preserve">SB-0917</t>
  </si>
  <si>
    <t xml:space="preserve">WL-01294</t>
  </si>
  <si>
    <t xml:space="preserve">Peter Jenkins</t>
  </si>
  <si>
    <t xml:space="preserve">ANCHOR REACH</t>
  </si>
  <si>
    <t xml:space="preserve">SB-0918</t>
  </si>
  <si>
    <t xml:space="preserve">WL-03420</t>
  </si>
  <si>
    <t xml:space="preserve">Laura Franklin</t>
  </si>
  <si>
    <t xml:space="preserve">EW-0101</t>
  </si>
  <si>
    <t xml:space="preserve">WL-01414</t>
  </si>
  <si>
    <t xml:space="preserve">Phillip Massey</t>
  </si>
  <si>
    <t xml:space="preserve">TXN-202607-028683</t>
  </si>
  <si>
    <t xml:space="preserve">slip_inventory_2026-08.csv + July MONTHLY_MOORAGE row</t>
  </si>
  <si>
    <t xml:space="preserve">EW-0102</t>
  </si>
  <si>
    <t xml:space="preserve">Andrea Franco</t>
  </si>
  <si>
    <t xml:space="preserve">GRAY SONG</t>
  </si>
  <si>
    <t xml:space="preserve">TXN-202607-028766</t>
  </si>
  <si>
    <t xml:space="preserve">EW-0103</t>
  </si>
  <si>
    <t xml:space="preserve">WL-01149</t>
  </si>
  <si>
    <t xml:space="preserve">David Hoffman</t>
  </si>
  <si>
    <t xml:space="preserve">TXN-202607-028830</t>
  </si>
  <si>
    <t xml:space="preserve">EW-0105</t>
  </si>
  <si>
    <t xml:space="preserve">MA-2024-0105</t>
  </si>
  <si>
    <t xml:space="preserve">WL-03242</t>
  </si>
  <si>
    <t xml:space="preserve">Micheal Navarro</t>
  </si>
  <si>
    <t xml:space="preserve">TXN-202607-028896</t>
  </si>
  <si>
    <t xml:space="preserve">EW-0106</t>
  </si>
  <si>
    <t xml:space="preserve">WL-03380</t>
  </si>
  <si>
    <t xml:space="preserve">Charles Snyder</t>
  </si>
  <si>
    <t xml:space="preserve">PETREL STAR</t>
  </si>
  <si>
    <t xml:space="preserve">TXN-202607-028972</t>
  </si>
  <si>
    <t xml:space="preserve">SABLE WIND</t>
  </si>
  <si>
    <t xml:space="preserve">TXN-202607-029047</t>
  </si>
  <si>
    <t xml:space="preserve">EW-0108</t>
  </si>
  <si>
    <t xml:space="preserve">WL-02070</t>
  </si>
  <si>
    <t xml:space="preserve">Leslie Thomas</t>
  </si>
  <si>
    <t xml:space="preserve">FOUL ROCK</t>
  </si>
  <si>
    <t xml:space="preserve">TXN-202607-029118</t>
  </si>
  <si>
    <t xml:space="preserve">WL-03624</t>
  </si>
  <si>
    <t xml:space="preserve">Robert Rodriguez</t>
  </si>
  <si>
    <t xml:space="preserve">TXN-202607-029184</t>
  </si>
  <si>
    <t xml:space="preserve">WL-01831</t>
  </si>
  <si>
    <t xml:space="preserve">Angela Andersen</t>
  </si>
  <si>
    <t xml:space="preserve">TXN-202607-029245</t>
  </si>
  <si>
    <t xml:space="preserve">TXN-202607-029327</t>
  </si>
  <si>
    <t xml:space="preserve">EW-0112</t>
  </si>
  <si>
    <t xml:space="preserve">WL-01533</t>
  </si>
  <si>
    <t xml:space="preserve">Beth Cooper</t>
  </si>
  <si>
    <t xml:space="preserve">SPINDRIFT WIND</t>
  </si>
  <si>
    <t xml:space="preserve">TXN-202607-029413</t>
  </si>
  <si>
    <t xml:space="preserve">EW-0113</t>
  </si>
  <si>
    <t xml:space="preserve">WL-01482</t>
  </si>
  <si>
    <t xml:space="preserve">Brandon Boyer</t>
  </si>
  <si>
    <t xml:space="preserve">TIDE MOON</t>
  </si>
  <si>
    <t xml:space="preserve">TXN-202607-029473</t>
  </si>
  <si>
    <t xml:space="preserve">EW-0114</t>
  </si>
  <si>
    <t xml:space="preserve">WL-03340</t>
  </si>
  <si>
    <t xml:space="preserve">Linda Gonzalez</t>
  </si>
  <si>
    <t xml:space="preserve">TXN-202607-029534</t>
  </si>
  <si>
    <t xml:space="preserve">EW-0115</t>
  </si>
  <si>
    <t xml:space="preserve">WL-01809</t>
  </si>
  <si>
    <t xml:space="preserve">Tim Banks</t>
  </si>
  <si>
    <t xml:space="preserve">BRANT RUNNER</t>
  </si>
  <si>
    <t xml:space="preserve">TXN-202607-029604</t>
  </si>
  <si>
    <t xml:space="preserve">EW-0116</t>
  </si>
  <si>
    <t xml:space="preserve">WL-02558</t>
  </si>
  <si>
    <t xml:space="preserve">Edward Hardy</t>
  </si>
  <si>
    <t xml:space="preserve">HALIBUT QUEEN</t>
  </si>
  <si>
    <t xml:space="preserve">TXN-202607-029665</t>
  </si>
  <si>
    <t xml:space="preserve">Robert Shea</t>
  </si>
  <si>
    <t xml:space="preserve">TXN-202607-029713</t>
  </si>
  <si>
    <t xml:space="preserve">TXN-202607-029763</t>
  </si>
  <si>
    <t xml:space="preserve">EW-0120</t>
  </si>
  <si>
    <t xml:space="preserve">WL-02149</t>
  </si>
  <si>
    <t xml:space="preserve">Tonya Bowman</t>
  </si>
  <si>
    <t xml:space="preserve">PETREL LINE</t>
  </si>
  <si>
    <t xml:space="preserve">TXN-202607-029841</t>
  </si>
  <si>
    <t xml:space="preserve">EW-0121</t>
  </si>
  <si>
    <t xml:space="preserve">WL-01125</t>
  </si>
  <si>
    <t xml:space="preserve">Brandi Baker</t>
  </si>
  <si>
    <t xml:space="preserve">SPINDRIFT ROSE</t>
  </si>
  <si>
    <t xml:space="preserve">TXN-202607-029921</t>
  </si>
  <si>
    <t xml:space="preserve">EW-0122</t>
  </si>
  <si>
    <t xml:space="preserve">TXN-202607-029965</t>
  </si>
  <si>
    <t xml:space="preserve">EW-0123</t>
  </si>
  <si>
    <t xml:space="preserve">MA-2024-0123</t>
  </si>
  <si>
    <t xml:space="preserve">WL-03203</t>
  </si>
  <si>
    <t xml:space="preserve">Kyle Shepard</t>
  </si>
  <si>
    <t xml:space="preserve">TXN-202607-030040</t>
  </si>
  <si>
    <t xml:space="preserve">MA-2024-0124</t>
  </si>
  <si>
    <t xml:space="preserve">WL-03361</t>
  </si>
  <si>
    <t xml:space="preserve">Donna Robertson</t>
  </si>
  <si>
    <t xml:space="preserve">SPINDRIFT RUNNER</t>
  </si>
  <si>
    <t xml:space="preserve">TXN-202607-030091</t>
  </si>
  <si>
    <t xml:space="preserve">EW-0201</t>
  </si>
  <si>
    <t xml:space="preserve">WL-02818</t>
  </si>
  <si>
    <t xml:space="preserve">Andrew Bryan</t>
  </si>
  <si>
    <t xml:space="preserve">SALISH ROSE</t>
  </si>
  <si>
    <t xml:space="preserve">TXN-202607-030151</t>
  </si>
  <si>
    <t xml:space="preserve">EW-0202</t>
  </si>
  <si>
    <t xml:space="preserve">WL-03332</t>
  </si>
  <si>
    <t xml:space="preserve">Amanda Rodgers</t>
  </si>
  <si>
    <t xml:space="preserve">MURRE SOUND</t>
  </si>
  <si>
    <t xml:space="preserve">TXN-202607-030226</t>
  </si>
  <si>
    <t xml:space="preserve">MA-2024-0203</t>
  </si>
  <si>
    <t xml:space="preserve">TXN-202607-030302</t>
  </si>
  <si>
    <t xml:space="preserve">EW-0204</t>
  </si>
  <si>
    <t xml:space="preserve">WL-01545</t>
  </si>
  <si>
    <t xml:space="preserve">Jessica King</t>
  </si>
  <si>
    <t xml:space="preserve">TXN-202607-030389</t>
  </si>
  <si>
    <t xml:space="preserve">EW-0206</t>
  </si>
  <si>
    <t xml:space="preserve">WL-01286</t>
  </si>
  <si>
    <t xml:space="preserve">Kevin Wiley</t>
  </si>
  <si>
    <t xml:space="preserve">TXN-202607-030462</t>
  </si>
  <si>
    <t xml:space="preserve">EW-0207</t>
  </si>
  <si>
    <t xml:space="preserve">WL-01486</t>
  </si>
  <si>
    <t xml:space="preserve">Stacey Spears</t>
  </si>
  <si>
    <t xml:space="preserve">SALISH HARBOR</t>
  </si>
  <si>
    <t xml:space="preserve">TXN-202607-030536</t>
  </si>
  <si>
    <t xml:space="preserve">EW-0208</t>
  </si>
  <si>
    <t xml:space="preserve">WL-03130</t>
  </si>
  <si>
    <t xml:space="preserve">Nicole Berger</t>
  </si>
  <si>
    <t xml:space="preserve">MURRE BAY</t>
  </si>
  <si>
    <t xml:space="preserve">TXN-202607-030580</t>
  </si>
  <si>
    <t xml:space="preserve">WL-02673</t>
  </si>
  <si>
    <t xml:space="preserve">Rodney Watson</t>
  </si>
  <si>
    <t xml:space="preserve">TXN-202607-030659</t>
  </si>
  <si>
    <t xml:space="preserve">EW-0210</t>
  </si>
  <si>
    <t xml:space="preserve">WL-01729</t>
  </si>
  <si>
    <t xml:space="preserve">Whitney Baker</t>
  </si>
  <si>
    <t xml:space="preserve">TXN-202607-030724</t>
  </si>
  <si>
    <t xml:space="preserve">EW-0211</t>
  </si>
  <si>
    <t xml:space="preserve">WL-02171</t>
  </si>
  <si>
    <t xml:space="preserve">Andrea Hill</t>
  </si>
  <si>
    <t xml:space="preserve">TXN-202607-030793</t>
  </si>
  <si>
    <t xml:space="preserve">EW-0212</t>
  </si>
  <si>
    <t xml:space="preserve">WL-01589</t>
  </si>
  <si>
    <t xml:space="preserve">Caitlin Klein</t>
  </si>
  <si>
    <t xml:space="preserve">HALIBUT SOUND</t>
  </si>
  <si>
    <t xml:space="preserve">TXN-202607-030877</t>
  </si>
  <si>
    <t xml:space="preserve">EW-0214</t>
  </si>
  <si>
    <t xml:space="preserve">WL-01651</t>
  </si>
  <si>
    <t xml:space="preserve">Kayla Lawson</t>
  </si>
  <si>
    <t xml:space="preserve">PETREL RUNNER</t>
  </si>
  <si>
    <t xml:space="preserve">TXN-202607-030919</t>
  </si>
  <si>
    <t xml:space="preserve">EW-0215</t>
  </si>
  <si>
    <t xml:space="preserve">WL-03669</t>
  </si>
  <si>
    <t xml:space="preserve">Samantha Powers</t>
  </si>
  <si>
    <t xml:space="preserve">OTTER REACH</t>
  </si>
  <si>
    <t xml:space="preserve">TXN-202607-031001</t>
  </si>
  <si>
    <t xml:space="preserve">EW-0216</t>
  </si>
  <si>
    <t xml:space="preserve">WL-01352</t>
  </si>
  <si>
    <t xml:space="preserve">Donald Hoffman</t>
  </si>
  <si>
    <t xml:space="preserve">MURRE VEER</t>
  </si>
  <si>
    <t xml:space="preserve">TXN-202607-031059</t>
  </si>
  <si>
    <t xml:space="preserve">EW-0217</t>
  </si>
  <si>
    <t xml:space="preserve">TXN-202607-031105</t>
  </si>
  <si>
    <t xml:space="preserve">EW-0218</t>
  </si>
  <si>
    <t xml:space="preserve">WL-01012</t>
  </si>
  <si>
    <t xml:space="preserve">Janet Jones</t>
  </si>
  <si>
    <t xml:space="preserve">TXN-202607-031152</t>
  </si>
  <si>
    <t xml:space="preserve">EW-0219</t>
  </si>
  <si>
    <t xml:space="preserve">WL-02243</t>
  </si>
  <si>
    <t xml:space="preserve">Andrew Miller</t>
  </si>
  <si>
    <t xml:space="preserve">SANDERLING BAY</t>
  </si>
  <si>
    <t xml:space="preserve">TXN-202607-031218</t>
  </si>
  <si>
    <t xml:space="preserve">EW-0220</t>
  </si>
  <si>
    <t xml:space="preserve">WL-01203</t>
  </si>
  <si>
    <t xml:space="preserve">Tracy Conrad</t>
  </si>
  <si>
    <t xml:space="preserve">FOUL ANN</t>
  </si>
  <si>
    <t xml:space="preserve">TXN-202607-031267</t>
  </si>
  <si>
    <t xml:space="preserve">EW-0221</t>
  </si>
  <si>
    <t xml:space="preserve">MA-2024-0221</t>
  </si>
  <si>
    <t xml:space="preserve">WL-02645</t>
  </si>
  <si>
    <t xml:space="preserve">Rose Gonzalez</t>
  </si>
  <si>
    <t xml:space="preserve">TXN-202607-031332</t>
  </si>
  <si>
    <t xml:space="preserve">EW-0222</t>
  </si>
  <si>
    <t xml:space="preserve">WL-02910</t>
  </si>
  <si>
    <t xml:space="preserve">David Taylor</t>
  </si>
  <si>
    <t xml:space="preserve">TXN-202607-031377</t>
  </si>
  <si>
    <t xml:space="preserve">EW-0223</t>
  </si>
  <si>
    <t xml:space="preserve">WL-01945</t>
  </si>
  <si>
    <t xml:space="preserve">Jacob Bonilla</t>
  </si>
  <si>
    <t xml:space="preserve">TXN-202607-031417</t>
  </si>
  <si>
    <t xml:space="preserve">EW-0224</t>
  </si>
  <si>
    <t xml:space="preserve">WL-01127</t>
  </si>
  <si>
    <t xml:space="preserve">Thomas Hawkins</t>
  </si>
  <si>
    <t xml:space="preserve">TXN-202607-031460</t>
  </si>
  <si>
    <t xml:space="preserve">EW-0302</t>
  </si>
  <si>
    <t xml:space="preserve">WL-01910</t>
  </si>
  <si>
    <t xml:space="preserve">Charles Gates</t>
  </si>
  <si>
    <t xml:space="preserve">TXN-202607-031528</t>
  </si>
  <si>
    <t xml:space="preserve">EW-0303</t>
  </si>
  <si>
    <t xml:space="preserve">WL-01094</t>
  </si>
  <si>
    <t xml:space="preserve">Denise Jenkins</t>
  </si>
  <si>
    <t xml:space="preserve">HALIBUT BAY</t>
  </si>
  <si>
    <t xml:space="preserve">TXN-202607-031573</t>
  </si>
  <si>
    <t xml:space="preserve">WL-03721</t>
  </si>
  <si>
    <t xml:space="preserve">Ann Vaughn</t>
  </si>
  <si>
    <t xml:space="preserve">TXN-202607-031649</t>
  </si>
  <si>
    <t xml:space="preserve">EW-0305</t>
  </si>
  <si>
    <t xml:space="preserve">WL-02577</t>
  </si>
  <si>
    <t xml:space="preserve">Aaron Higgins</t>
  </si>
  <si>
    <t xml:space="preserve">FOUL MOON</t>
  </si>
  <si>
    <t xml:space="preserve">TXN-202607-031716</t>
  </si>
  <si>
    <t xml:space="preserve">WL-01860</t>
  </si>
  <si>
    <t xml:space="preserve">Justin Brown</t>
  </si>
  <si>
    <t xml:space="preserve">TXN-202607-031755</t>
  </si>
  <si>
    <t xml:space="preserve">EW-0307</t>
  </si>
  <si>
    <t xml:space="preserve">WL-01183</t>
  </si>
  <si>
    <t xml:space="preserve">Shelley Tucker</t>
  </si>
  <si>
    <t xml:space="preserve">TXN-202607-031833</t>
  </si>
  <si>
    <t xml:space="preserve">EW-0308</t>
  </si>
  <si>
    <t xml:space="preserve">Brittany Baldwin</t>
  </si>
  <si>
    <t xml:space="preserve">TXN-202607-031892</t>
  </si>
  <si>
    <t xml:space="preserve">EW-0309</t>
  </si>
  <si>
    <t xml:space="preserve">WL-01963</t>
  </si>
  <si>
    <t xml:space="preserve">Erik Beck</t>
  </si>
  <si>
    <t xml:space="preserve">TXN-202607-031942</t>
  </si>
  <si>
    <t xml:space="preserve">EW-0311</t>
  </si>
  <si>
    <t xml:space="preserve">WL-02248</t>
  </si>
  <si>
    <t xml:space="preserve">Devon Griffin</t>
  </si>
  <si>
    <t xml:space="preserve">SPINDRIFT WAKE</t>
  </si>
  <si>
    <t xml:space="preserve">TXN-202607-032000</t>
  </si>
  <si>
    <t xml:space="preserve">EW-0312</t>
  </si>
  <si>
    <t xml:space="preserve">WL-03809</t>
  </si>
  <si>
    <t xml:space="preserve">Richard Mcguire</t>
  </si>
  <si>
    <t xml:space="preserve">TXN-202607-032062</t>
  </si>
  <si>
    <t xml:space="preserve">EW-0313</t>
  </si>
  <si>
    <t xml:space="preserve">WL-01429</t>
  </si>
  <si>
    <t xml:space="preserve">Teresa Evans</t>
  </si>
  <si>
    <t xml:space="preserve">SEAL SOUND</t>
  </si>
  <si>
    <t xml:space="preserve">TXN-202607-032105</t>
  </si>
  <si>
    <t xml:space="preserve">EW-0314</t>
  </si>
  <si>
    <t xml:space="preserve">WL-01716</t>
  </si>
  <si>
    <t xml:space="preserve">Christina Olsen</t>
  </si>
  <si>
    <t xml:space="preserve">SPINDRIFT MOON</t>
  </si>
  <si>
    <t xml:space="preserve">TXN-202607-032155</t>
  </si>
  <si>
    <t xml:space="preserve">EW-0315</t>
  </si>
  <si>
    <t xml:space="preserve">WL-01385</t>
  </si>
  <si>
    <t xml:space="preserve">Amanda Morrison</t>
  </si>
  <si>
    <t xml:space="preserve">DRIFT CREST</t>
  </si>
  <si>
    <t xml:space="preserve">TXN-202607-032199</t>
  </si>
  <si>
    <t xml:space="preserve">EW-0316</t>
  </si>
  <si>
    <t xml:space="preserve">WL-02940</t>
  </si>
  <si>
    <t xml:space="preserve">Leah Carter</t>
  </si>
  <si>
    <t xml:space="preserve">POINT GLIDE</t>
  </si>
  <si>
    <t xml:space="preserve">TXN-202607-032274</t>
  </si>
  <si>
    <t xml:space="preserve">EW-0317</t>
  </si>
  <si>
    <t xml:space="preserve">WL-02017</t>
  </si>
  <si>
    <t xml:space="preserve">Gary Horton</t>
  </si>
  <si>
    <t xml:space="preserve">FOUL VEER</t>
  </si>
  <si>
    <t xml:space="preserve">TXN-202607-032322</t>
  </si>
  <si>
    <t xml:space="preserve">EW-0318</t>
  </si>
  <si>
    <t xml:space="preserve">WL-03162</t>
  </si>
  <si>
    <t xml:space="preserve">Sarah Edwards</t>
  </si>
  <si>
    <t xml:space="preserve">TXN-202607-032389</t>
  </si>
  <si>
    <t xml:space="preserve">WL-02697</t>
  </si>
  <si>
    <t xml:space="preserve">Wendy Green</t>
  </si>
  <si>
    <t xml:space="preserve">WIDGEON ANN</t>
  </si>
  <si>
    <t xml:space="preserve">TXN-202607-032464</t>
  </si>
  <si>
    <t xml:space="preserve">EW-0321</t>
  </si>
  <si>
    <t xml:space="preserve">WL-02660</t>
  </si>
  <si>
    <t xml:space="preserve">Bridget Moore</t>
  </si>
  <si>
    <t xml:space="preserve">TXN-202607-032533</t>
  </si>
  <si>
    <t xml:space="preserve">EW-0322</t>
  </si>
  <si>
    <t xml:space="preserve">WL-02010</t>
  </si>
  <si>
    <t xml:space="preserve">Anthony Thompson</t>
  </si>
  <si>
    <t xml:space="preserve">TXN-202607-032618</t>
  </si>
  <si>
    <t xml:space="preserve">EW-0323</t>
  </si>
  <si>
    <t xml:space="preserve">TXN-202607-032672</t>
  </si>
  <si>
    <t xml:space="preserve">Kimberly Smith</t>
  </si>
  <si>
    <t xml:space="preserve">TXN-202607-032709</t>
  </si>
  <si>
    <t xml:space="preserve">EW-0401</t>
  </si>
  <si>
    <t xml:space="preserve">WL-02377</t>
  </si>
  <si>
    <t xml:space="preserve">Tammy Patterson</t>
  </si>
  <si>
    <t xml:space="preserve">KESTREL MOON</t>
  </si>
  <si>
    <t xml:space="preserve">TXN-202607-032751</t>
  </si>
  <si>
    <t xml:space="preserve">EW-0402</t>
  </si>
  <si>
    <t xml:space="preserve">WL-01741</t>
  </si>
  <si>
    <t xml:space="preserve">Lisa Burton</t>
  </si>
  <si>
    <t xml:space="preserve">SPINDRIFT DANCER</t>
  </si>
  <si>
    <t xml:space="preserve">TXN-202607-032803</t>
  </si>
  <si>
    <t xml:space="preserve">EW-0403</t>
  </si>
  <si>
    <t xml:space="preserve">WL-01209</t>
  </si>
  <si>
    <t xml:space="preserve">Amy Luna</t>
  </si>
  <si>
    <t xml:space="preserve">BRANT VEER</t>
  </si>
  <si>
    <t xml:space="preserve">TXN-202607-032867</t>
  </si>
  <si>
    <t xml:space="preserve">EW-0404</t>
  </si>
  <si>
    <t xml:space="preserve">WL-01370</t>
  </si>
  <si>
    <t xml:space="preserve">James Graham</t>
  </si>
  <si>
    <t xml:space="preserve">SABLE ROSE</t>
  </si>
  <si>
    <t xml:space="preserve">TXN-202607-032926</t>
  </si>
  <si>
    <t xml:space="preserve">EW-0405</t>
  </si>
  <si>
    <t xml:space="preserve">WL-02480</t>
  </si>
  <si>
    <t xml:space="preserve">Rachel Edwards</t>
  </si>
  <si>
    <t xml:space="preserve">TXN-202607-032959</t>
  </si>
  <si>
    <t xml:space="preserve">EW-0406</t>
  </si>
  <si>
    <t xml:space="preserve">WL-02810</t>
  </si>
  <si>
    <t xml:space="preserve">Steven Morgan</t>
  </si>
  <si>
    <t xml:space="preserve">TXN-202607-033038</t>
  </si>
  <si>
    <t xml:space="preserve">EW-0407</t>
  </si>
  <si>
    <t xml:space="preserve">KESTREL SONG</t>
  </si>
  <si>
    <t xml:space="preserve">TXN-202607-033098</t>
  </si>
  <si>
    <t xml:space="preserve">EW-0408</t>
  </si>
  <si>
    <t xml:space="preserve">WL-02705</t>
  </si>
  <si>
    <t xml:space="preserve">Amy Smith</t>
  </si>
  <si>
    <t xml:space="preserve">TXN-202607-033164</t>
  </si>
  <si>
    <t xml:space="preserve">EW-0409</t>
  </si>
  <si>
    <t xml:space="preserve">GRAY SOUND</t>
  </si>
  <si>
    <t xml:space="preserve">TXN-202607-033248</t>
  </si>
  <si>
    <t xml:space="preserve">EW-0410</t>
  </si>
  <si>
    <t xml:space="preserve">WL-02449</t>
  </si>
  <si>
    <t xml:space="preserve">Herbert Johnson</t>
  </si>
  <si>
    <t xml:space="preserve">TXN-202607-033290</t>
  </si>
  <si>
    <t xml:space="preserve">EW-0411</t>
  </si>
  <si>
    <t xml:space="preserve">WL-01489</t>
  </si>
  <si>
    <t xml:space="preserve">Donna Thomas</t>
  </si>
  <si>
    <t xml:space="preserve">TXN-202607-033363</t>
  </si>
  <si>
    <t xml:space="preserve">EW-0412</t>
  </si>
  <si>
    <t xml:space="preserve">WL-01854</t>
  </si>
  <si>
    <t xml:space="preserve">Vincent Simon</t>
  </si>
  <si>
    <t xml:space="preserve">CORMORANT GLIDE</t>
  </si>
  <si>
    <t xml:space="preserve">TXN-202607-033421</t>
  </si>
  <si>
    <t xml:space="preserve">EW-0413</t>
  </si>
  <si>
    <t xml:space="preserve">WL-02169</t>
  </si>
  <si>
    <t xml:space="preserve">Maria Weber</t>
  </si>
  <si>
    <t xml:space="preserve">COHO REACH</t>
  </si>
  <si>
    <t xml:space="preserve">TXN-202607-033479</t>
  </si>
  <si>
    <t xml:space="preserve">WL-02221</t>
  </si>
  <si>
    <t xml:space="preserve">Jason Howe</t>
  </si>
  <si>
    <t xml:space="preserve">TXN-202607-033548</t>
  </si>
  <si>
    <t xml:space="preserve">WL-02536</t>
  </si>
  <si>
    <t xml:space="preserve">Christian Ellis</t>
  </si>
  <si>
    <t xml:space="preserve">TXN-202607-033599</t>
  </si>
  <si>
    <t xml:space="preserve">EW-0416</t>
  </si>
  <si>
    <t xml:space="preserve">WL-02988</t>
  </si>
  <si>
    <t xml:space="preserve">Jamie Roberts</t>
  </si>
  <si>
    <t xml:space="preserve">TXN-202607-033635</t>
  </si>
  <si>
    <t xml:space="preserve">EW-0417</t>
  </si>
  <si>
    <t xml:space="preserve">MA-2024-0417</t>
  </si>
  <si>
    <t xml:space="preserve">WL-01997</t>
  </si>
  <si>
    <t xml:space="preserve">Laura Avila</t>
  </si>
  <si>
    <t xml:space="preserve">TXN-202607-033692</t>
  </si>
  <si>
    <t xml:space="preserve">EW-0418</t>
  </si>
  <si>
    <t xml:space="preserve">WL-02772</t>
  </si>
  <si>
    <t xml:space="preserve">Sarah Chambers</t>
  </si>
  <si>
    <t xml:space="preserve">OTTER SONG</t>
  </si>
  <si>
    <t xml:space="preserve">TXN-202607-033737</t>
  </si>
  <si>
    <t xml:space="preserve">EW-0419</t>
  </si>
  <si>
    <t xml:space="preserve">TXN-202607-033801</t>
  </si>
  <si>
    <t xml:space="preserve">EW-0420</t>
  </si>
  <si>
    <t xml:space="preserve">Justin Pearson</t>
  </si>
  <si>
    <t xml:space="preserve">TXN-202607-033843</t>
  </si>
  <si>
    <t xml:space="preserve">TXN-202607-033894</t>
  </si>
  <si>
    <t xml:space="preserve">EW-0423</t>
  </si>
  <si>
    <t xml:space="preserve">WL-01906</t>
  </si>
  <si>
    <t xml:space="preserve">Jessica Flores</t>
  </si>
  <si>
    <t xml:space="preserve">TXN-202607-033943</t>
  </si>
  <si>
    <t xml:space="preserve">EW-0424</t>
  </si>
  <si>
    <t xml:space="preserve">WL-03790</t>
  </si>
  <si>
    <t xml:space="preserve">Bradley Walker</t>
  </si>
  <si>
    <t xml:space="preserve">DRIFT STAR</t>
  </si>
  <si>
    <t xml:space="preserve">TXN-202607-034021</t>
  </si>
  <si>
    <t xml:space="preserve">EW-0502</t>
  </si>
  <si>
    <t xml:space="preserve">WL-02559</t>
  </si>
  <si>
    <t xml:space="preserve">Joshua Alvarado</t>
  </si>
  <si>
    <t xml:space="preserve">TXN-202607-034086</t>
  </si>
  <si>
    <t xml:space="preserve">EW-0503</t>
  </si>
  <si>
    <t xml:space="preserve">WL-01756</t>
  </si>
  <si>
    <t xml:space="preserve">Alexander Mcdonald</t>
  </si>
  <si>
    <t xml:space="preserve">OSPREY ROSE</t>
  </si>
  <si>
    <t xml:space="preserve">TXN-202607-034165</t>
  </si>
  <si>
    <t xml:space="preserve">EW-0504</t>
  </si>
  <si>
    <t xml:space="preserve">WL-02218</t>
  </si>
  <si>
    <t xml:space="preserve">Dawn Mccarthy</t>
  </si>
  <si>
    <t xml:space="preserve">TXN-202607-034245</t>
  </si>
  <si>
    <t xml:space="preserve">EW-0505</t>
  </si>
  <si>
    <t xml:space="preserve">WL-02464</t>
  </si>
  <si>
    <t xml:space="preserve">Lisa Perez</t>
  </si>
  <si>
    <t xml:space="preserve">TXN-202607-034300</t>
  </si>
  <si>
    <t xml:space="preserve">EW-0506</t>
  </si>
  <si>
    <t xml:space="preserve">WL-01608</t>
  </si>
  <si>
    <t xml:space="preserve">Madeline Wright</t>
  </si>
  <si>
    <t xml:space="preserve">TIDE LINE</t>
  </si>
  <si>
    <t xml:space="preserve">TXN-202607-034373</t>
  </si>
  <si>
    <t xml:space="preserve">EW-0507</t>
  </si>
  <si>
    <t xml:space="preserve">WL-02869</t>
  </si>
  <si>
    <t xml:space="preserve">George Robbins</t>
  </si>
  <si>
    <t xml:space="preserve">TXN-202607-034455</t>
  </si>
  <si>
    <t xml:space="preserve">EW-0508</t>
  </si>
  <si>
    <t xml:space="preserve">WL-03534</t>
  </si>
  <si>
    <t xml:space="preserve">Henry Morris</t>
  </si>
  <si>
    <t xml:space="preserve">TXN-202607-034509</t>
  </si>
  <si>
    <t xml:space="preserve">EW-0510</t>
  </si>
  <si>
    <t xml:space="preserve">WL-03346</t>
  </si>
  <si>
    <t xml:space="preserve">TXN-202607-034563</t>
  </si>
  <si>
    <t xml:space="preserve">WL-03287</t>
  </si>
  <si>
    <t xml:space="preserve">Deborah Holmes</t>
  </si>
  <si>
    <t xml:space="preserve">TXN-202607-034625</t>
  </si>
  <si>
    <t xml:space="preserve">EW-0512</t>
  </si>
  <si>
    <t xml:space="preserve">WL-02879</t>
  </si>
  <si>
    <t xml:space="preserve">Vincent Long</t>
  </si>
  <si>
    <t xml:space="preserve">TXN-202607-034705</t>
  </si>
  <si>
    <t xml:space="preserve">EW-0513</t>
  </si>
  <si>
    <t xml:space="preserve">WL-01694</t>
  </si>
  <si>
    <t xml:space="preserve">Cory Aguirre</t>
  </si>
  <si>
    <t xml:space="preserve">HERON REACH</t>
  </si>
  <si>
    <t xml:space="preserve">TXN-202607-034779</t>
  </si>
  <si>
    <t xml:space="preserve">EW-0514</t>
  </si>
  <si>
    <t xml:space="preserve">WL-02692</t>
  </si>
  <si>
    <t xml:space="preserve">Benjamin Vasquez</t>
  </si>
  <si>
    <t xml:space="preserve">SABLE SONG</t>
  </si>
  <si>
    <t xml:space="preserve">TXN-202607-034853</t>
  </si>
  <si>
    <t xml:space="preserve">EW-0515</t>
  </si>
  <si>
    <t xml:space="preserve">WIDGEON MIST</t>
  </si>
  <si>
    <t xml:space="preserve">TXN-202607-034901</t>
  </si>
  <si>
    <t xml:space="preserve">EW-0516</t>
  </si>
  <si>
    <t xml:space="preserve">WL-03909</t>
  </si>
  <si>
    <t xml:space="preserve">Elizabeth Edwards</t>
  </si>
  <si>
    <t xml:space="preserve">ANCHOR WIND</t>
  </si>
  <si>
    <t xml:space="preserve">TXN-202607-034960</t>
  </si>
  <si>
    <t xml:space="preserve">EW-0517</t>
  </si>
  <si>
    <t xml:space="preserve">WL-01673</t>
  </si>
  <si>
    <t xml:space="preserve">Kellie Lee</t>
  </si>
  <si>
    <t xml:space="preserve">WIDGEON WIND</t>
  </si>
  <si>
    <t xml:space="preserve">TXN-202607-035018</t>
  </si>
  <si>
    <t xml:space="preserve">WL-01433</t>
  </si>
  <si>
    <t xml:space="preserve">Lisa Aguilar</t>
  </si>
  <si>
    <t xml:space="preserve">OSPREY BAY</t>
  </si>
  <si>
    <t xml:space="preserve">TXN-202607-035099</t>
  </si>
  <si>
    <t xml:space="preserve">WL-01765</t>
  </si>
  <si>
    <t xml:space="preserve">Donald Edwards</t>
  </si>
  <si>
    <t xml:space="preserve">TXN-202607-035175</t>
  </si>
  <si>
    <t xml:space="preserve">EW-0520</t>
  </si>
  <si>
    <t xml:space="preserve">WL-02696</t>
  </si>
  <si>
    <t xml:space="preserve">Hunter Galloway</t>
  </si>
  <si>
    <t xml:space="preserve">PINTAIL LIGHT</t>
  </si>
  <si>
    <t xml:space="preserve">TXN-202607-035250</t>
  </si>
  <si>
    <t xml:space="preserve">EW-0521</t>
  </si>
  <si>
    <t xml:space="preserve">WL-02992</t>
  </si>
  <si>
    <t xml:space="preserve">Emily Cox</t>
  </si>
  <si>
    <t xml:space="preserve">TXN-202607-035293</t>
  </si>
  <si>
    <t xml:space="preserve">COHO WIND</t>
  </si>
  <si>
    <t xml:space="preserve">TXN-202607-035347</t>
  </si>
  <si>
    <t xml:space="preserve">WL-01972</t>
  </si>
  <si>
    <t xml:space="preserve">Robyn Torres</t>
  </si>
  <si>
    <t xml:space="preserve">TXN-202607-035425</t>
  </si>
  <si>
    <t xml:space="preserve">EW-0524</t>
  </si>
  <si>
    <t xml:space="preserve">SALISH SHORE</t>
  </si>
  <si>
    <t xml:space="preserve">TXN-202607-035478</t>
  </si>
  <si>
    <t xml:space="preserve">EW-0601</t>
  </si>
  <si>
    <t xml:space="preserve">WL-02782</t>
  </si>
  <si>
    <t xml:space="preserve">Judy Adams</t>
  </si>
  <si>
    <t xml:space="preserve">DRIFT WEATHER</t>
  </si>
  <si>
    <t xml:space="preserve">TXN-202607-035546</t>
  </si>
  <si>
    <t xml:space="preserve">EW-0602</t>
  </si>
  <si>
    <t xml:space="preserve">WL-02572</t>
  </si>
  <si>
    <t xml:space="preserve">Kelly Cox</t>
  </si>
  <si>
    <t xml:space="preserve">DRIFT SHORE</t>
  </si>
  <si>
    <t xml:space="preserve">TXN-202607-035605</t>
  </si>
  <si>
    <t xml:space="preserve">WL-03665</t>
  </si>
  <si>
    <t xml:space="preserve">Maria Middleton</t>
  </si>
  <si>
    <t xml:space="preserve">TXN-202607-035681</t>
  </si>
  <si>
    <t xml:space="preserve">EW-0604</t>
  </si>
  <si>
    <t xml:space="preserve">WL-02293</t>
  </si>
  <si>
    <t xml:space="preserve">Brian Alexander</t>
  </si>
  <si>
    <t xml:space="preserve">SANDERLING WIND</t>
  </si>
  <si>
    <t xml:space="preserve">TXN-202607-035743</t>
  </si>
  <si>
    <t xml:space="preserve">EW-0605</t>
  </si>
  <si>
    <t xml:space="preserve">WL-02016</t>
  </si>
  <si>
    <t xml:space="preserve">Andrea Garza</t>
  </si>
  <si>
    <t xml:space="preserve">TXN-202607-035799</t>
  </si>
  <si>
    <t xml:space="preserve">EW-0606</t>
  </si>
  <si>
    <t xml:space="preserve">WL-03431</t>
  </si>
  <si>
    <t xml:space="preserve">Lisa Cochran</t>
  </si>
  <si>
    <t xml:space="preserve">PETREL GLIDE</t>
  </si>
  <si>
    <t xml:space="preserve">TXN-202607-035853</t>
  </si>
  <si>
    <t xml:space="preserve">WL-02210</t>
  </si>
  <si>
    <t xml:space="preserve">Erika Huber</t>
  </si>
  <si>
    <t xml:space="preserve">PETREL VEER</t>
  </si>
  <si>
    <t xml:space="preserve">TXN-202607-035921</t>
  </si>
  <si>
    <t xml:space="preserve">WL-02498</t>
  </si>
  <si>
    <t xml:space="preserve">Patrick Herrera</t>
  </si>
  <si>
    <t xml:space="preserve">TXN-202607-035974</t>
  </si>
  <si>
    <t xml:space="preserve">EW-0609</t>
  </si>
  <si>
    <t xml:space="preserve">WL-01511</t>
  </si>
  <si>
    <t xml:space="preserve">Nancy Sullivan</t>
  </si>
  <si>
    <t xml:space="preserve">WIDGEON SOUND</t>
  </si>
  <si>
    <t xml:space="preserve">TXN-202607-036024</t>
  </si>
  <si>
    <t xml:space="preserve">EW-0610</t>
  </si>
  <si>
    <t xml:space="preserve">Kayla Carpenter</t>
  </si>
  <si>
    <t xml:space="preserve">TXN-202607-036067</t>
  </si>
  <si>
    <t xml:space="preserve">EW-0611</t>
  </si>
  <si>
    <t xml:space="preserve">WL-01796</t>
  </si>
  <si>
    <t xml:space="preserve">TXN-202607-036131</t>
  </si>
  <si>
    <t xml:space="preserve">EW-0614</t>
  </si>
  <si>
    <t xml:space="preserve">Kristy Bell</t>
  </si>
  <si>
    <t xml:space="preserve">POINT BAY</t>
  </si>
  <si>
    <t xml:space="preserve">TXN-202607-036212</t>
  </si>
  <si>
    <t xml:space="preserve">EW-0615</t>
  </si>
  <si>
    <t xml:space="preserve">WL-03561</t>
  </si>
  <si>
    <t xml:space="preserve">Rebecca Crawford</t>
  </si>
  <si>
    <t xml:space="preserve">TXN-202607-036276</t>
  </si>
  <si>
    <t xml:space="preserve">EW-0616</t>
  </si>
  <si>
    <t xml:space="preserve">Harry Faulkner</t>
  </si>
  <si>
    <t xml:space="preserve">PINTAIL RUNNER</t>
  </si>
  <si>
    <t xml:space="preserve">TXN-202607-036336</t>
  </si>
  <si>
    <t xml:space="preserve">EW-0617</t>
  </si>
  <si>
    <t xml:space="preserve">WL-01818</t>
  </si>
  <si>
    <t xml:space="preserve">Natasha Higgins</t>
  </si>
  <si>
    <t xml:space="preserve">TXN-202607-036378</t>
  </si>
  <si>
    <t xml:space="preserve">EW-0618</t>
  </si>
  <si>
    <t xml:space="preserve">WL-01884</t>
  </si>
  <si>
    <t xml:space="preserve">Rebecca Price</t>
  </si>
  <si>
    <t xml:space="preserve">TXN-202607-036457</t>
  </si>
  <si>
    <t xml:space="preserve">EW-0621</t>
  </si>
  <si>
    <t xml:space="preserve">WL-01004</t>
  </si>
  <si>
    <t xml:space="preserve">Joseph Lopez</t>
  </si>
  <si>
    <t xml:space="preserve">TXN-202607-036534</t>
  </si>
  <si>
    <t xml:space="preserve">EW-0623</t>
  </si>
  <si>
    <t xml:space="preserve">WL-02886</t>
  </si>
  <si>
    <t xml:space="preserve">Sarah Woods</t>
  </si>
  <si>
    <t xml:space="preserve">TXN-202607-036608</t>
  </si>
  <si>
    <t xml:space="preserve">WL-01257</t>
  </si>
  <si>
    <t xml:space="preserve">Steven Parrish</t>
  </si>
  <si>
    <t xml:space="preserve">TXN-202607-036684</t>
  </si>
  <si>
    <t xml:space="preserve">EW-0702</t>
  </si>
  <si>
    <t xml:space="preserve">WL-02343</t>
  </si>
  <si>
    <t xml:space="preserve">Nicole Mata</t>
  </si>
  <si>
    <t xml:space="preserve">TXN-202607-036763</t>
  </si>
  <si>
    <t xml:space="preserve">EW-0703</t>
  </si>
  <si>
    <t xml:space="preserve">WL-01158</t>
  </si>
  <si>
    <t xml:space="preserve">Scott Gutierrez</t>
  </si>
  <si>
    <t xml:space="preserve">TXN-202607-036842</t>
  </si>
  <si>
    <t xml:space="preserve">EW-0704</t>
  </si>
  <si>
    <t xml:space="preserve">WL-03717</t>
  </si>
  <si>
    <t xml:space="preserve">Roy Schmitt</t>
  </si>
  <si>
    <t xml:space="preserve">TXN-202607-036883</t>
  </si>
  <si>
    <t xml:space="preserve">EW-0705</t>
  </si>
  <si>
    <t xml:space="preserve">WL-01681</t>
  </si>
  <si>
    <t xml:space="preserve">Trevor Jones</t>
  </si>
  <si>
    <t xml:space="preserve">TXN-202607-036962</t>
  </si>
  <si>
    <t xml:space="preserve">EW-0706</t>
  </si>
  <si>
    <t xml:space="preserve">WL-03502</t>
  </si>
  <si>
    <t xml:space="preserve">Jennifer Bryant</t>
  </si>
  <si>
    <t xml:space="preserve">TXN-202607-037035</t>
  </si>
  <si>
    <t xml:space="preserve">WL-02872</t>
  </si>
  <si>
    <t xml:space="preserve">Jessica Fitzgerald</t>
  </si>
  <si>
    <t xml:space="preserve">SALISH STAR</t>
  </si>
  <si>
    <t xml:space="preserve">TXN-202607-037111</t>
  </si>
  <si>
    <t xml:space="preserve">SCOTER WIND</t>
  </si>
  <si>
    <t xml:space="preserve">TXN-202607-037171</t>
  </si>
  <si>
    <t xml:space="preserve">EW-0710</t>
  </si>
  <si>
    <t xml:space="preserve">WL-01290</t>
  </si>
  <si>
    <t xml:space="preserve">Laura Ball</t>
  </si>
  <si>
    <t xml:space="preserve">TIDE WIND</t>
  </si>
  <si>
    <t xml:space="preserve">TXN-202607-037236</t>
  </si>
  <si>
    <t xml:space="preserve">EW-0712</t>
  </si>
  <si>
    <t xml:space="preserve">WL-02411</t>
  </si>
  <si>
    <t xml:space="preserve">Brooke Kelly</t>
  </si>
  <si>
    <t xml:space="preserve">MURRE CREST</t>
  </si>
  <si>
    <t xml:space="preserve">TXN-202607-037289</t>
  </si>
  <si>
    <t xml:space="preserve">EW-0713</t>
  </si>
  <si>
    <t xml:space="preserve">WL-03726</t>
  </si>
  <si>
    <t xml:space="preserve">Christina Johnson</t>
  </si>
  <si>
    <t xml:space="preserve">TXN-202607-037345</t>
  </si>
  <si>
    <t xml:space="preserve">EW-0714</t>
  </si>
  <si>
    <t xml:space="preserve">WL-03863</t>
  </si>
  <si>
    <t xml:space="preserve">Brianna Phillips</t>
  </si>
  <si>
    <t xml:space="preserve">HERON LIGHT</t>
  </si>
  <si>
    <t xml:space="preserve">TXN-202607-037388</t>
  </si>
  <si>
    <t xml:space="preserve">EW-0715</t>
  </si>
  <si>
    <t xml:space="preserve">WL-02155</t>
  </si>
  <si>
    <t xml:space="preserve">Jeremy Turner</t>
  </si>
  <si>
    <t xml:space="preserve">TXN-202607-037452</t>
  </si>
  <si>
    <t xml:space="preserve">WL-02280</t>
  </si>
  <si>
    <t xml:space="preserve">Joseph Rogers</t>
  </si>
  <si>
    <t xml:space="preserve">TXN-202607-037527</t>
  </si>
  <si>
    <t xml:space="preserve">EW-0717</t>
  </si>
  <si>
    <t xml:space="preserve">WL-02403</t>
  </si>
  <si>
    <t xml:space="preserve">Courtney Powell</t>
  </si>
  <si>
    <t xml:space="preserve">ANCHOR BAY</t>
  </si>
  <si>
    <t xml:space="preserve">TXN-202607-037605</t>
  </si>
  <si>
    <t xml:space="preserve">EW-0718</t>
  </si>
  <si>
    <t xml:space="preserve">WL-01159</t>
  </si>
  <si>
    <t xml:space="preserve">Jesus Rice</t>
  </si>
  <si>
    <t xml:space="preserve">TXN-202607-037667</t>
  </si>
  <si>
    <t xml:space="preserve">EW-0719</t>
  </si>
  <si>
    <t xml:space="preserve">Amber Turner</t>
  </si>
  <si>
    <t xml:space="preserve">SCOTER MOON</t>
  </si>
  <si>
    <t xml:space="preserve">TXN-202607-037735</t>
  </si>
  <si>
    <t xml:space="preserve">EW-0720</t>
  </si>
  <si>
    <t xml:space="preserve">Amy Flores</t>
  </si>
  <si>
    <t xml:space="preserve">TXN-202607-037805</t>
  </si>
  <si>
    <t xml:space="preserve">EW-0721</t>
  </si>
  <si>
    <t xml:space="preserve">WL-01657</t>
  </si>
  <si>
    <t xml:space="preserve">Chad Wells</t>
  </si>
  <si>
    <t xml:space="preserve">SEAL DANCER</t>
  </si>
  <si>
    <t xml:space="preserve">TXN-202607-037849</t>
  </si>
  <si>
    <t xml:space="preserve">EW-0722</t>
  </si>
  <si>
    <t xml:space="preserve">WL-02952</t>
  </si>
  <si>
    <t xml:space="preserve">Stacy Schroeder</t>
  </si>
  <si>
    <t xml:space="preserve">HERON WAKE</t>
  </si>
  <si>
    <t xml:space="preserve">TXN-202607-037898</t>
  </si>
  <si>
    <t xml:space="preserve">EW-0723</t>
  </si>
  <si>
    <t xml:space="preserve">WL-03327</t>
  </si>
  <si>
    <t xml:space="preserve">Laura Zamora</t>
  </si>
  <si>
    <t xml:space="preserve">TXN-202607-037945</t>
  </si>
  <si>
    <t xml:space="preserve">EW-0724</t>
  </si>
  <si>
    <t xml:space="preserve">WL-02005</t>
  </si>
  <si>
    <t xml:space="preserve">Caitlin Howard</t>
  </si>
  <si>
    <t xml:space="preserve">WIDGEON DANCER</t>
  </si>
  <si>
    <t xml:space="preserve">TXN-202607-037995</t>
  </si>
  <si>
    <t xml:space="preserve">EW-0801</t>
  </si>
  <si>
    <t xml:space="preserve">WL-02019</t>
  </si>
  <si>
    <t xml:space="preserve">James Cox</t>
  </si>
  <si>
    <t xml:space="preserve">SANDERLING REACH</t>
  </si>
  <si>
    <t xml:space="preserve">TXN-202607-038043</t>
  </si>
  <si>
    <t xml:space="preserve">EW-0802</t>
  </si>
  <si>
    <t xml:space="preserve">WL-03780</t>
  </si>
  <si>
    <t xml:space="preserve">Carmen Maldonado</t>
  </si>
  <si>
    <t xml:space="preserve">TXN-202607-038090</t>
  </si>
  <si>
    <t xml:space="preserve">EW-0803</t>
  </si>
  <si>
    <t xml:space="preserve">TXN-202607-038168</t>
  </si>
  <si>
    <t xml:space="preserve">WL-03722</t>
  </si>
  <si>
    <t xml:space="preserve">Seth Stone</t>
  </si>
  <si>
    <t xml:space="preserve">TXN-202607-038217</t>
  </si>
  <si>
    <t xml:space="preserve">EW-0805</t>
  </si>
  <si>
    <t xml:space="preserve">Sherri Smith</t>
  </si>
  <si>
    <t xml:space="preserve">MURRE GLIDE</t>
  </si>
  <si>
    <t xml:space="preserve">TXN-202607-038268</t>
  </si>
  <si>
    <t xml:space="preserve">EW-0806</t>
  </si>
  <si>
    <t xml:space="preserve">WL-01375</t>
  </si>
  <si>
    <t xml:space="preserve">Crystal Austin</t>
  </si>
  <si>
    <t xml:space="preserve">TXN-202607-038333</t>
  </si>
  <si>
    <t xml:space="preserve">EW-0807</t>
  </si>
  <si>
    <t xml:space="preserve">WL-03182</t>
  </si>
  <si>
    <t xml:space="preserve">Matthew Gonzalez</t>
  </si>
  <si>
    <t xml:space="preserve">OTTER GLIDE</t>
  </si>
  <si>
    <t xml:space="preserve">TXN-202607-038398</t>
  </si>
  <si>
    <t xml:space="preserve">EW-0808</t>
  </si>
  <si>
    <t xml:space="preserve">WL-02311</t>
  </si>
  <si>
    <t xml:space="preserve">Catherine Martinez</t>
  </si>
  <si>
    <t xml:space="preserve">TXN-202607-038460</t>
  </si>
  <si>
    <t xml:space="preserve">EW-0809</t>
  </si>
  <si>
    <t xml:space="preserve">WL-02595</t>
  </si>
  <si>
    <t xml:space="preserve">Cheryl Wood</t>
  </si>
  <si>
    <t xml:space="preserve">TXN-202607-038500</t>
  </si>
  <si>
    <t xml:space="preserve">EW-0810</t>
  </si>
  <si>
    <t xml:space="preserve">WL-03518</t>
  </si>
  <si>
    <t xml:space="preserve">Jorge Donovan</t>
  </si>
  <si>
    <t xml:space="preserve">TXN-202607-038552</t>
  </si>
  <si>
    <t xml:space="preserve">EW-0811</t>
  </si>
  <si>
    <t xml:space="preserve">TXN-202607-038601</t>
  </si>
  <si>
    <t xml:space="preserve">EW-0812</t>
  </si>
  <si>
    <t xml:space="preserve">Tracy Page</t>
  </si>
  <si>
    <t xml:space="preserve">TXN-202607-038660</t>
  </si>
  <si>
    <t xml:space="preserve">WL-02198</t>
  </si>
  <si>
    <t xml:space="preserve">James Torres</t>
  </si>
  <si>
    <t xml:space="preserve">OSPREY PASSAGE</t>
  </si>
  <si>
    <t xml:space="preserve">TXN-202607-038734</t>
  </si>
  <si>
    <t xml:space="preserve">WL-01852</t>
  </si>
  <si>
    <t xml:space="preserve">Ross Erickson</t>
  </si>
  <si>
    <t xml:space="preserve">TXN-202607-038792</t>
  </si>
  <si>
    <t xml:space="preserve">EW-0815</t>
  </si>
  <si>
    <t xml:space="preserve">Daniel Bowen</t>
  </si>
  <si>
    <t xml:space="preserve">DRIFT BAY</t>
  </si>
  <si>
    <t xml:space="preserve">TXN-202607-038843</t>
  </si>
  <si>
    <t xml:space="preserve">EW-0816</t>
  </si>
  <si>
    <t xml:space="preserve">PINTAIL</t>
  </si>
  <si>
    <t xml:space="preserve">TXN-202607-038882</t>
  </si>
  <si>
    <t xml:space="preserve">EW-0817</t>
  </si>
  <si>
    <t xml:space="preserve">WL-03434</t>
  </si>
  <si>
    <t xml:space="preserve">Michelle Caldwell</t>
  </si>
  <si>
    <t xml:space="preserve">TXN-202607-038933</t>
  </si>
  <si>
    <t xml:space="preserve">EW-0818</t>
  </si>
  <si>
    <t xml:space="preserve">WL-03709</t>
  </si>
  <si>
    <t xml:space="preserve">Brandy Mays</t>
  </si>
  <si>
    <t xml:space="preserve">OTTER ROCK</t>
  </si>
  <si>
    <t xml:space="preserve">TXN-202607-038973</t>
  </si>
  <si>
    <t xml:space="preserve">WL-02587</t>
  </si>
  <si>
    <t xml:space="preserve">Mary Figueroa</t>
  </si>
  <si>
    <t xml:space="preserve">KESTREL LINE</t>
  </si>
  <si>
    <t xml:space="preserve">TXN-202607-039032</t>
  </si>
  <si>
    <t xml:space="preserve">EW-0821</t>
  </si>
  <si>
    <t xml:space="preserve">WL-02217</t>
  </si>
  <si>
    <t xml:space="preserve">Rose Morales</t>
  </si>
  <si>
    <t xml:space="preserve">WIDGEON SONG</t>
  </si>
  <si>
    <t xml:space="preserve">TXN-202607-039078</t>
  </si>
  <si>
    <t xml:space="preserve">EW-0822</t>
  </si>
  <si>
    <t xml:space="preserve">WL-01076</t>
  </si>
  <si>
    <t xml:space="preserve">Timothy Robinson</t>
  </si>
  <si>
    <t xml:space="preserve">OSPREY ROCK</t>
  </si>
  <si>
    <t xml:space="preserve">TXN-202607-039121</t>
  </si>
  <si>
    <t xml:space="preserve">EW-0823</t>
  </si>
  <si>
    <t xml:space="preserve">WL-03201</t>
  </si>
  <si>
    <t xml:space="preserve">Nancy Montgomery</t>
  </si>
  <si>
    <t xml:space="preserve">TXN-202607-039180</t>
  </si>
  <si>
    <t xml:space="preserve">EW-0901</t>
  </si>
  <si>
    <t xml:space="preserve">WL-02581</t>
  </si>
  <si>
    <t xml:space="preserve">Carolyn Sanchez</t>
  </si>
  <si>
    <t xml:space="preserve">TXN-202607-039221</t>
  </si>
  <si>
    <t xml:space="preserve">OSPREY RUNNER</t>
  </si>
  <si>
    <t xml:space="preserve">TXN-202607-039297</t>
  </si>
  <si>
    <t xml:space="preserve">EW-0903</t>
  </si>
  <si>
    <t xml:space="preserve">WL-01891</t>
  </si>
  <si>
    <t xml:space="preserve">Lee Ritter</t>
  </si>
  <si>
    <t xml:space="preserve">PINTAIL MOON</t>
  </si>
  <si>
    <t xml:space="preserve">TXN-202607-039368</t>
  </si>
  <si>
    <t xml:space="preserve">EW-0904</t>
  </si>
  <si>
    <t xml:space="preserve">WL-03412</t>
  </si>
  <si>
    <t xml:space="preserve">Seth Smith</t>
  </si>
  <si>
    <t xml:space="preserve">SANDERLING WEATHER</t>
  </si>
  <si>
    <t xml:space="preserve">TXN-202607-039410</t>
  </si>
  <si>
    <t xml:space="preserve">EW-0905</t>
  </si>
  <si>
    <t xml:space="preserve">WL-01393</t>
  </si>
  <si>
    <t xml:space="preserve">Lauren Thompson</t>
  </si>
  <si>
    <t xml:space="preserve">TXN-202607-039461</t>
  </si>
  <si>
    <t xml:space="preserve">EW-0906</t>
  </si>
  <si>
    <t xml:space="preserve">WL-01035</t>
  </si>
  <si>
    <t xml:space="preserve">Ivan Webster</t>
  </si>
  <si>
    <t xml:space="preserve">TXN-202607-039510</t>
  </si>
  <si>
    <t xml:space="preserve">EW-0907</t>
  </si>
  <si>
    <t xml:space="preserve">Christopher Woodward</t>
  </si>
  <si>
    <t xml:space="preserve">SALISH VEER</t>
  </si>
  <si>
    <t xml:space="preserve">TXN-202607-039577</t>
  </si>
  <si>
    <t xml:space="preserve">EW-0908</t>
  </si>
  <si>
    <t xml:space="preserve">WL-02478</t>
  </si>
  <si>
    <t xml:space="preserve">Travis Long</t>
  </si>
  <si>
    <t xml:space="preserve">TXN-202607-039633</t>
  </si>
  <si>
    <t xml:space="preserve">WL-03396</t>
  </si>
  <si>
    <t xml:space="preserve">Tanya Woods</t>
  </si>
  <si>
    <t xml:space="preserve">TXN-202607-039700</t>
  </si>
  <si>
    <t xml:space="preserve">EW-0910</t>
  </si>
  <si>
    <t xml:space="preserve">Darrell Hall</t>
  </si>
  <si>
    <t xml:space="preserve">TXN-202607-039752</t>
  </si>
  <si>
    <t xml:space="preserve">EW-0911</t>
  </si>
  <si>
    <t xml:space="preserve">WL-02871</t>
  </si>
  <si>
    <t xml:space="preserve">Bailey Barnes</t>
  </si>
  <si>
    <t xml:space="preserve">TXN-202607-039833</t>
  </si>
  <si>
    <t xml:space="preserve">EW-0912</t>
  </si>
  <si>
    <t xml:space="preserve">WL-03562</t>
  </si>
  <si>
    <t xml:space="preserve">Tara Davis</t>
  </si>
  <si>
    <t xml:space="preserve">ANCHOR SHORE</t>
  </si>
  <si>
    <t xml:space="preserve">TXN-202607-039906</t>
  </si>
  <si>
    <t xml:space="preserve">EW-0913</t>
  </si>
  <si>
    <t xml:space="preserve">WL-02382</t>
  </si>
  <si>
    <t xml:space="preserve">Rachael Wallace</t>
  </si>
  <si>
    <t xml:space="preserve">CORMORANT QUEEN</t>
  </si>
  <si>
    <t xml:space="preserve">TXN-202607-039971</t>
  </si>
  <si>
    <t xml:space="preserve">EW-0914</t>
  </si>
  <si>
    <t xml:space="preserve">WL-02046</t>
  </si>
  <si>
    <t xml:space="preserve">Jennifer Scott</t>
  </si>
  <si>
    <t xml:space="preserve">OTTER QUEEN</t>
  </si>
  <si>
    <t xml:space="preserve">TXN-202607-040023</t>
  </si>
  <si>
    <t xml:space="preserve">EW-0915</t>
  </si>
  <si>
    <t xml:space="preserve">WL-03170</t>
  </si>
  <si>
    <t xml:space="preserve">Kyle Chen</t>
  </si>
  <si>
    <t xml:space="preserve">WIDGEON LINE</t>
  </si>
  <si>
    <t xml:space="preserve">TXN-202607-040068</t>
  </si>
  <si>
    <t xml:space="preserve">WL-03268</t>
  </si>
  <si>
    <t xml:space="preserve">Charles Parker</t>
  </si>
  <si>
    <t xml:space="preserve">TXN-202607-040111</t>
  </si>
  <si>
    <t xml:space="preserve">EW-0917</t>
  </si>
  <si>
    <t xml:space="preserve">WL-03374</t>
  </si>
  <si>
    <t xml:space="preserve">Tina Ward</t>
  </si>
  <si>
    <t xml:space="preserve">GRAY PASSAGE</t>
  </si>
  <si>
    <t xml:space="preserve">TXN-202607-040178</t>
  </si>
  <si>
    <t xml:space="preserve">EW-0918</t>
  </si>
  <si>
    <t xml:space="preserve">WL-02502</t>
  </si>
  <si>
    <t xml:space="preserve">Michelle Cline</t>
  </si>
  <si>
    <t xml:space="preserve">SPINDRIFT STAR</t>
  </si>
  <si>
    <t xml:space="preserve">TXN-202607-040226</t>
  </si>
  <si>
    <t xml:space="preserve">EW-0919</t>
  </si>
  <si>
    <t xml:space="preserve">WL-03012</t>
  </si>
  <si>
    <t xml:space="preserve">Olivia Joseph</t>
  </si>
  <si>
    <t xml:space="preserve">TXN-202607-040285</t>
  </si>
  <si>
    <t xml:space="preserve">EW-0920</t>
  </si>
  <si>
    <t xml:space="preserve">WL-02451</t>
  </si>
  <si>
    <t xml:space="preserve">Brooke Bell</t>
  </si>
  <si>
    <t xml:space="preserve">PETREL HARBOR</t>
  </si>
  <si>
    <t xml:space="preserve">TXN-202607-040357</t>
  </si>
  <si>
    <t xml:space="preserve">EW-0921</t>
  </si>
  <si>
    <t xml:space="preserve">WL-01499</t>
  </si>
  <si>
    <t xml:space="preserve">Jessica Miller</t>
  </si>
  <si>
    <t xml:space="preserve">TXN-202607-040417</t>
  </si>
  <si>
    <t xml:space="preserve">EW-0922</t>
  </si>
  <si>
    <t xml:space="preserve">WL-03568</t>
  </si>
  <si>
    <t xml:space="preserve">Ricardo Jensen</t>
  </si>
  <si>
    <t xml:space="preserve">SABLE HARBOR</t>
  </si>
  <si>
    <t xml:space="preserve">TXN-202607-040495</t>
  </si>
  <si>
    <t xml:space="preserve">EW-0923</t>
  </si>
  <si>
    <t xml:space="preserve">WL-03351</t>
  </si>
  <si>
    <t xml:space="preserve">Justin Mejia</t>
  </si>
  <si>
    <t xml:space="preserve">GRAY WAKE</t>
  </si>
  <si>
    <t xml:space="preserve">TXN-202607-040535</t>
  </si>
  <si>
    <t xml:space="preserve">EW-1001</t>
  </si>
  <si>
    <t xml:space="preserve">WL-03821</t>
  </si>
  <si>
    <t xml:space="preserve">Tammy Dalton</t>
  </si>
  <si>
    <t xml:space="preserve">TXN-202607-040598</t>
  </si>
  <si>
    <t xml:space="preserve">HALIBUT SHORE</t>
  </si>
  <si>
    <t xml:space="preserve">TXN-202607-040660</t>
  </si>
  <si>
    <t xml:space="preserve">WL-01595</t>
  </si>
  <si>
    <t xml:space="preserve">Anthony Kemp</t>
  </si>
  <si>
    <t xml:space="preserve">CORMORANT LINE</t>
  </si>
  <si>
    <t xml:space="preserve">TXN-202607-040710</t>
  </si>
  <si>
    <t xml:space="preserve">EW-1005</t>
  </si>
  <si>
    <t xml:space="preserve">WL-01010</t>
  </si>
  <si>
    <t xml:space="preserve">Steven Hanson</t>
  </si>
  <si>
    <t xml:space="preserve">TXN-202607-040783</t>
  </si>
  <si>
    <t xml:space="preserve">WL-02438</t>
  </si>
  <si>
    <t xml:space="preserve">Sharon Phillips</t>
  </si>
  <si>
    <t xml:space="preserve">TXN-202607-040836</t>
  </si>
  <si>
    <t xml:space="preserve">EW-1008</t>
  </si>
  <si>
    <t xml:space="preserve">WL-02219</t>
  </si>
  <si>
    <t xml:space="preserve">Grant Cameron</t>
  </si>
  <si>
    <t xml:space="preserve">TXN-202607-040903</t>
  </si>
  <si>
    <t xml:space="preserve">EW-1010</t>
  </si>
  <si>
    <t xml:space="preserve">WL-02063</t>
  </si>
  <si>
    <t xml:space="preserve">Spencer Thompson</t>
  </si>
  <si>
    <t xml:space="preserve">TXN-202607-040957</t>
  </si>
  <si>
    <t xml:space="preserve">EW-1011</t>
  </si>
  <si>
    <t xml:space="preserve">WL-03465</t>
  </si>
  <si>
    <t xml:space="preserve">Eric Mays</t>
  </si>
  <si>
    <t xml:space="preserve">GRAY QUEEN</t>
  </si>
  <si>
    <t xml:space="preserve">TXN-202607-041033</t>
  </si>
  <si>
    <t xml:space="preserve">EW-1012</t>
  </si>
  <si>
    <t xml:space="preserve">WL-02406</t>
  </si>
  <si>
    <t xml:space="preserve">Christopher Jackson</t>
  </si>
  <si>
    <t xml:space="preserve">TIDE PASSAGE</t>
  </si>
  <si>
    <t xml:space="preserve">TXN-202607-041108</t>
  </si>
  <si>
    <t xml:space="preserve">EW-1013</t>
  </si>
  <si>
    <t xml:space="preserve">WL-02008</t>
  </si>
  <si>
    <t xml:space="preserve">Karen Matthews</t>
  </si>
  <si>
    <t xml:space="preserve">TXN-202607-041149</t>
  </si>
  <si>
    <t xml:space="preserve">EW-1014</t>
  </si>
  <si>
    <t xml:space="preserve">WL-02680</t>
  </si>
  <si>
    <t xml:space="preserve">Melanie Rivera</t>
  </si>
  <si>
    <t xml:space="preserve">TXN-202607-041201</t>
  </si>
  <si>
    <t xml:space="preserve">WL-03353</t>
  </si>
  <si>
    <t xml:space="preserve">Patricia Adkins</t>
  </si>
  <si>
    <t xml:space="preserve">SPINDRIFT GLIDE</t>
  </si>
  <si>
    <t xml:space="preserve">TXN-202607-041265</t>
  </si>
  <si>
    <t xml:space="preserve">EW-1016</t>
  </si>
  <si>
    <t xml:space="preserve">PINTAIL WEATHER</t>
  </si>
  <si>
    <t xml:space="preserve">TXN-202607-041320</t>
  </si>
  <si>
    <t xml:space="preserve">EW-1017</t>
  </si>
  <si>
    <t xml:space="preserve">WL-02717</t>
  </si>
  <si>
    <t xml:space="preserve">Ryan Phillips</t>
  </si>
  <si>
    <t xml:space="preserve">KESTREL GLIDE</t>
  </si>
  <si>
    <t xml:space="preserve">TXN-202607-041364</t>
  </si>
  <si>
    <t xml:space="preserve">EW-1018</t>
  </si>
  <si>
    <t xml:space="preserve">WL-01540</t>
  </si>
  <si>
    <t xml:space="preserve">Jonathan Baker</t>
  </si>
  <si>
    <t xml:space="preserve">TXN-202607-041429</t>
  </si>
  <si>
    <t xml:space="preserve">EW-1019</t>
  </si>
  <si>
    <t xml:space="preserve">Walter Martin</t>
  </si>
  <si>
    <t xml:space="preserve">TXN-202607-041478</t>
  </si>
  <si>
    <t xml:space="preserve">TXN-202607-041526</t>
  </si>
  <si>
    <t xml:space="preserve">MA-2024-1022</t>
  </si>
  <si>
    <t xml:space="preserve">TIDE GLIDE</t>
  </si>
  <si>
    <t xml:space="preserve">TXN-202607-041590</t>
  </si>
  <si>
    <t xml:space="preserve">EW-1023</t>
  </si>
  <si>
    <t xml:space="preserve">WL-01824</t>
  </si>
  <si>
    <t xml:space="preserve">Robin Tucker</t>
  </si>
  <si>
    <t xml:space="preserve">SANDERLING PASSAGE</t>
  </si>
  <si>
    <t xml:space="preserve">TXN-202607-041649</t>
  </si>
  <si>
    <t xml:space="preserve">EW-1024</t>
  </si>
  <si>
    <t xml:space="preserve">MA-2024-1024</t>
  </si>
  <si>
    <t xml:space="preserve">WL-03180</t>
  </si>
  <si>
    <t xml:space="preserve">Teresa Jimenez</t>
  </si>
  <si>
    <t xml:space="preserve">TXN-202607-041700</t>
  </si>
  <si>
    <t xml:space="preserve">GW-0102</t>
  </si>
  <si>
    <t xml:space="preserve">WL-01136</t>
  </si>
  <si>
    <t xml:space="preserve">Christina Green</t>
  </si>
  <si>
    <t xml:space="preserve">PETREL WIND</t>
  </si>
  <si>
    <t xml:space="preserve">TXN-202607-041753</t>
  </si>
  <si>
    <t xml:space="preserve">WL-02233</t>
  </si>
  <si>
    <t xml:space="preserve">Sarah Forbes</t>
  </si>
  <si>
    <t xml:space="preserve">TXN-202607-041828</t>
  </si>
  <si>
    <t xml:space="preserve">GW-0104</t>
  </si>
  <si>
    <t xml:space="preserve">WL-01980</t>
  </si>
  <si>
    <t xml:space="preserve">Jacob Powell</t>
  </si>
  <si>
    <t xml:space="preserve">TXN-202607-041881</t>
  </si>
  <si>
    <t xml:space="preserve">WL-03409</t>
  </si>
  <si>
    <t xml:space="preserve">Linda Franklin</t>
  </si>
  <si>
    <t xml:space="preserve">SCOTER HARBOR</t>
  </si>
  <si>
    <t xml:space="preserve">TXN-202607-041951</t>
  </si>
  <si>
    <t xml:space="preserve">GW-0106</t>
  </si>
  <si>
    <t xml:space="preserve">WL-01773</t>
  </si>
  <si>
    <t xml:space="preserve">Kara Bartlett</t>
  </si>
  <si>
    <t xml:space="preserve">SCOTER SONG</t>
  </si>
  <si>
    <t xml:space="preserve">TXN-202607-041995</t>
  </si>
  <si>
    <t xml:space="preserve">GW-0108</t>
  </si>
  <si>
    <t xml:space="preserve">WL-02927</t>
  </si>
  <si>
    <t xml:space="preserve">Jonathon Jones</t>
  </si>
  <si>
    <t xml:space="preserve">TXN-202607-042046</t>
  </si>
  <si>
    <t xml:space="preserve">GW-0109</t>
  </si>
  <si>
    <t xml:space="preserve">WL-02979</t>
  </si>
  <si>
    <t xml:space="preserve">Catherine Reed</t>
  </si>
  <si>
    <t xml:space="preserve">TXN-202607-042083</t>
  </si>
  <si>
    <t xml:space="preserve">GW-0110</t>
  </si>
  <si>
    <t xml:space="preserve">WL-02479</t>
  </si>
  <si>
    <t xml:space="preserve">Jeremy Aguirre</t>
  </si>
  <si>
    <t xml:space="preserve">POINT SOUND</t>
  </si>
  <si>
    <t xml:space="preserve">TXN-202607-042149</t>
  </si>
  <si>
    <t xml:space="preserve">GW-0111</t>
  </si>
  <si>
    <t xml:space="preserve">WL-03229</t>
  </si>
  <si>
    <t xml:space="preserve">Monica Alvarez</t>
  </si>
  <si>
    <t xml:space="preserve">TXN-202607-042226</t>
  </si>
  <si>
    <t xml:space="preserve">GW-0112</t>
  </si>
  <si>
    <t xml:space="preserve">WL-01208</t>
  </si>
  <si>
    <t xml:space="preserve">Nicholas Lewis</t>
  </si>
  <si>
    <t xml:space="preserve">BRANT WEATHER</t>
  </si>
  <si>
    <t xml:space="preserve">TXN-202607-042293</t>
  </si>
  <si>
    <t xml:space="preserve">GW-0113</t>
  </si>
  <si>
    <t xml:space="preserve">WL-01259</t>
  </si>
  <si>
    <t xml:space="preserve">Sara Avery</t>
  </si>
  <si>
    <t xml:space="preserve">OSPREY LINE</t>
  </si>
  <si>
    <t xml:space="preserve">TXN-202607-042346</t>
  </si>
  <si>
    <t xml:space="preserve">GW-0114</t>
  </si>
  <si>
    <t xml:space="preserve">WL-02985</t>
  </si>
  <si>
    <t xml:space="preserve">Francisco Benjamin</t>
  </si>
  <si>
    <t xml:space="preserve">CORMORANT MOON</t>
  </si>
  <si>
    <t xml:space="preserve">TXN-202607-042421</t>
  </si>
  <si>
    <t xml:space="preserve">GW-0115</t>
  </si>
  <si>
    <t xml:space="preserve">WL-01610</t>
  </si>
  <si>
    <t xml:space="preserve">Anthony Johnson</t>
  </si>
  <si>
    <t xml:space="preserve">DRIFT SOUND</t>
  </si>
  <si>
    <t xml:space="preserve">TXN-202607-042492</t>
  </si>
  <si>
    <t xml:space="preserve">Benjamin Hawkins</t>
  </si>
  <si>
    <t xml:space="preserve">BRANT REACH</t>
  </si>
  <si>
    <t xml:space="preserve">TXN-202607-042567</t>
  </si>
  <si>
    <t xml:space="preserve">GW-0117</t>
  </si>
  <si>
    <t xml:space="preserve">WL-02588</t>
  </si>
  <si>
    <t xml:space="preserve">Laura Wiley</t>
  </si>
  <si>
    <t xml:space="preserve">OSPREY MIST</t>
  </si>
  <si>
    <t xml:space="preserve">TXN-202607-042616</t>
  </si>
  <si>
    <t xml:space="preserve">WL-02840</t>
  </si>
  <si>
    <t xml:space="preserve">Zachary Mcdonald</t>
  </si>
  <si>
    <t xml:space="preserve">TXN-202607-042668</t>
  </si>
  <si>
    <t xml:space="preserve">GW-0119</t>
  </si>
  <si>
    <t xml:space="preserve">WL-01624</t>
  </si>
  <si>
    <t xml:space="preserve">Megan Estrada</t>
  </si>
  <si>
    <t xml:space="preserve">TXN-202607-042748</t>
  </si>
  <si>
    <t xml:space="preserve">GW-0120</t>
  </si>
  <si>
    <t xml:space="preserve">WL-01224</t>
  </si>
  <si>
    <t xml:space="preserve">Yolanda Crane</t>
  </si>
  <si>
    <t xml:space="preserve">TXN-202607-042797</t>
  </si>
  <si>
    <t xml:space="preserve">GW-0121</t>
  </si>
  <si>
    <t xml:space="preserve">WL-01763</t>
  </si>
  <si>
    <t xml:space="preserve">Christopher Miller</t>
  </si>
  <si>
    <t xml:space="preserve">TXN-202607-042874</t>
  </si>
  <si>
    <t xml:space="preserve">GW-0122</t>
  </si>
  <si>
    <t xml:space="preserve">WL-01683</t>
  </si>
  <si>
    <t xml:space="preserve">Steven Davis</t>
  </si>
  <si>
    <t xml:space="preserve">SCOTER CREST</t>
  </si>
  <si>
    <t xml:space="preserve">TXN-202607-042942</t>
  </si>
  <si>
    <t xml:space="preserve">WL-03611</t>
  </si>
  <si>
    <t xml:space="preserve">Madeline Morris</t>
  </si>
  <si>
    <t xml:space="preserve">TXN-202607-043004</t>
  </si>
  <si>
    <t xml:space="preserve">WL-01782</t>
  </si>
  <si>
    <t xml:space="preserve">Ronald White</t>
  </si>
  <si>
    <t xml:space="preserve">TXN-202607-043081</t>
  </si>
  <si>
    <t xml:space="preserve">GW-0202</t>
  </si>
  <si>
    <t xml:space="preserve">WL-03086</t>
  </si>
  <si>
    <t xml:space="preserve">William Daugherty</t>
  </si>
  <si>
    <t xml:space="preserve">PINTAIL DANCER</t>
  </si>
  <si>
    <t xml:space="preserve">TXN-202607-043118</t>
  </si>
  <si>
    <t xml:space="preserve">GW-0204</t>
  </si>
  <si>
    <t xml:space="preserve">WL-02069</t>
  </si>
  <si>
    <t xml:space="preserve">David Lopez</t>
  </si>
  <si>
    <t xml:space="preserve">PETREL SONG</t>
  </si>
  <si>
    <t xml:space="preserve">TXN-202607-043164</t>
  </si>
  <si>
    <t xml:space="preserve">GW-0205</t>
  </si>
  <si>
    <t xml:space="preserve">WL-01865</t>
  </si>
  <si>
    <t xml:space="preserve">Aaron Barton</t>
  </si>
  <si>
    <t xml:space="preserve">TXN-202607-043216</t>
  </si>
  <si>
    <t xml:space="preserve">WL-03352</t>
  </si>
  <si>
    <t xml:space="preserve">Isabella Sutton</t>
  </si>
  <si>
    <t xml:space="preserve">TXN-202607-043289</t>
  </si>
  <si>
    <t xml:space="preserve">GW-0207</t>
  </si>
  <si>
    <t xml:space="preserve">WL-01291</t>
  </si>
  <si>
    <t xml:space="preserve">Brian Wallace</t>
  </si>
  <si>
    <t xml:space="preserve">TXN-202607-043363</t>
  </si>
  <si>
    <t xml:space="preserve">GW-0208</t>
  </si>
  <si>
    <t xml:space="preserve">WL-02505</t>
  </si>
  <si>
    <t xml:space="preserve">Joe Smith</t>
  </si>
  <si>
    <t xml:space="preserve">TXN-202607-043431</t>
  </si>
  <si>
    <t xml:space="preserve">GW-0209</t>
  </si>
  <si>
    <t xml:space="preserve">WL-01421</t>
  </si>
  <si>
    <t xml:space="preserve">Jessica Brown</t>
  </si>
  <si>
    <t xml:space="preserve">TXN-202607-043503</t>
  </si>
  <si>
    <t xml:space="preserve">GW-0210</t>
  </si>
  <si>
    <t xml:space="preserve">WL-03832</t>
  </si>
  <si>
    <t xml:space="preserve">Amanda Smith</t>
  </si>
  <si>
    <t xml:space="preserve">TXN-202607-043551</t>
  </si>
  <si>
    <t xml:space="preserve">GW-0211</t>
  </si>
  <si>
    <t xml:space="preserve">TXN-202607-043600</t>
  </si>
  <si>
    <t xml:space="preserve">GW-0212</t>
  </si>
  <si>
    <t xml:space="preserve">WL-02184</t>
  </si>
  <si>
    <t xml:space="preserve">Leonard Wiley</t>
  </si>
  <si>
    <t xml:space="preserve">KESTREL PASSAGE</t>
  </si>
  <si>
    <t xml:space="preserve">TXN-202607-043649</t>
  </si>
  <si>
    <t xml:space="preserve">GW-0213</t>
  </si>
  <si>
    <t xml:space="preserve">WL-02363</t>
  </si>
  <si>
    <t xml:space="preserve">TXN-202607-043707</t>
  </si>
  <si>
    <t xml:space="preserve">WL-03720</t>
  </si>
  <si>
    <t xml:space="preserve">Kristen Blair</t>
  </si>
  <si>
    <t xml:space="preserve">TXN-202607-043775</t>
  </si>
  <si>
    <t xml:space="preserve">GW-0215</t>
  </si>
  <si>
    <t xml:space="preserve">WL-01436</t>
  </si>
  <si>
    <t xml:space="preserve">William Cook</t>
  </si>
  <si>
    <t xml:space="preserve">TXN-202607-043819</t>
  </si>
  <si>
    <t xml:space="preserve">WL-03614</t>
  </si>
  <si>
    <t xml:space="preserve">Richard Waters</t>
  </si>
  <si>
    <t xml:space="preserve">TXN-202607-043870</t>
  </si>
  <si>
    <t xml:space="preserve">GW-0217</t>
  </si>
  <si>
    <t xml:space="preserve">WL-02984</t>
  </si>
  <si>
    <t xml:space="preserve">Bridget Jones</t>
  </si>
  <si>
    <t xml:space="preserve">TXN-202607-043911</t>
  </si>
  <si>
    <t xml:space="preserve">GW-0218</t>
  </si>
  <si>
    <t xml:space="preserve">Christopher Russell</t>
  </si>
  <si>
    <t xml:space="preserve">TXN-202607-043985</t>
  </si>
  <si>
    <t xml:space="preserve">TXN-202607-044061</t>
  </si>
  <si>
    <t xml:space="preserve">GW-0221</t>
  </si>
  <si>
    <t xml:space="preserve">COHO VEER</t>
  </si>
  <si>
    <t xml:space="preserve">TXN-202607-044101</t>
  </si>
  <si>
    <t xml:space="preserve">GW-0222</t>
  </si>
  <si>
    <t xml:space="preserve">WL-01365</t>
  </si>
  <si>
    <t xml:space="preserve">Andrew Griffith</t>
  </si>
  <si>
    <t xml:space="preserve">GRAY WIND</t>
  </si>
  <si>
    <t xml:space="preserve">TXN-202607-044146</t>
  </si>
  <si>
    <t xml:space="preserve">WL-01975</t>
  </si>
  <si>
    <t xml:space="preserve">Susan Wilson</t>
  </si>
  <si>
    <t xml:space="preserve">GRAY REACH</t>
  </si>
  <si>
    <t xml:space="preserve">TXN-202607-044221</t>
  </si>
  <si>
    <t xml:space="preserve">WL-01964</t>
  </si>
  <si>
    <t xml:space="preserve">Ryan Richardson</t>
  </si>
  <si>
    <t xml:space="preserve">PINTAIL SONG</t>
  </si>
  <si>
    <t xml:space="preserve">TXN-202607-044264</t>
  </si>
  <si>
    <t xml:space="preserve">GW-0302</t>
  </si>
  <si>
    <t xml:space="preserve">WL-01735</t>
  </si>
  <si>
    <t xml:space="preserve">Jeffrey Brown</t>
  </si>
  <si>
    <t xml:space="preserve">SCOTER LINE</t>
  </si>
  <si>
    <t xml:space="preserve">TXN-202607-044319</t>
  </si>
  <si>
    <t xml:space="preserve">GW-0303</t>
  </si>
  <si>
    <t xml:space="preserve">WL-02091</t>
  </si>
  <si>
    <t xml:space="preserve">Timothy Herrera</t>
  </si>
  <si>
    <t xml:space="preserve">TXN-202607-044395</t>
  </si>
  <si>
    <t xml:space="preserve">GW-0304</t>
  </si>
  <si>
    <t xml:space="preserve">WL-01040</t>
  </si>
  <si>
    <t xml:space="preserve">Bradley Collins</t>
  </si>
  <si>
    <t xml:space="preserve">TXN-202607-044471</t>
  </si>
  <si>
    <t xml:space="preserve">WL-02528</t>
  </si>
  <si>
    <t xml:space="preserve">Lisa Richards</t>
  </si>
  <si>
    <t xml:space="preserve">TXN-202607-044520</t>
  </si>
  <si>
    <t xml:space="preserve">WL-02723</t>
  </si>
  <si>
    <t xml:space="preserve">Gregory Curtis</t>
  </si>
  <si>
    <t xml:space="preserve">TXN-202607-044593</t>
  </si>
  <si>
    <t xml:space="preserve">GW-0307</t>
  </si>
  <si>
    <t xml:space="preserve">Jeremy Holmes</t>
  </si>
  <si>
    <t xml:space="preserve">TXN-202607-044670</t>
  </si>
  <si>
    <t xml:space="preserve">GW-0308</t>
  </si>
  <si>
    <t xml:space="preserve">WL-01165</t>
  </si>
  <si>
    <t xml:space="preserve">Rebecca Smith</t>
  </si>
  <si>
    <t xml:space="preserve">TXN-202607-044733</t>
  </si>
  <si>
    <t xml:space="preserve">GW-0309</t>
  </si>
  <si>
    <t xml:space="preserve">WL-03290</t>
  </si>
  <si>
    <t xml:space="preserve">Caitlin Chavez</t>
  </si>
  <si>
    <t xml:space="preserve">TXN-202607-044779</t>
  </si>
  <si>
    <t xml:space="preserve">GW-0310</t>
  </si>
  <si>
    <t xml:space="preserve">MA-2024-0310</t>
  </si>
  <si>
    <t xml:space="preserve">WL-03315</t>
  </si>
  <si>
    <t xml:space="preserve">Marvin Miranda</t>
  </si>
  <si>
    <t xml:space="preserve">TXN-202607-044858</t>
  </si>
  <si>
    <t xml:space="preserve">GW-0312</t>
  </si>
  <si>
    <t xml:space="preserve">WL-01955</t>
  </si>
  <si>
    <t xml:space="preserve">Nicole Davis</t>
  </si>
  <si>
    <t xml:space="preserve">TXN-202607-044896</t>
  </si>
  <si>
    <t xml:space="preserve">GW-0313</t>
  </si>
  <si>
    <t xml:space="preserve">PINTAIL GLIDE</t>
  </si>
  <si>
    <t xml:space="preserve">TXN-202607-044955</t>
  </si>
  <si>
    <t xml:space="preserve">GW-0315</t>
  </si>
  <si>
    <t xml:space="preserve">TXN-202607-045023</t>
  </si>
  <si>
    <t xml:space="preserve">GW-0316</t>
  </si>
  <si>
    <t xml:space="preserve">WL-01648</t>
  </si>
  <si>
    <t xml:space="preserve">Chelsea Matthews</t>
  </si>
  <si>
    <t xml:space="preserve">TXN-202607-045073</t>
  </si>
  <si>
    <t xml:space="preserve">GW-0317</t>
  </si>
  <si>
    <t xml:space="preserve">WL-02270</t>
  </si>
  <si>
    <t xml:space="preserve">Nathan Lewis</t>
  </si>
  <si>
    <t xml:space="preserve">TXN-202607-045113</t>
  </si>
  <si>
    <t xml:space="preserve">GW-0318</t>
  </si>
  <si>
    <t xml:space="preserve">WL-01122</t>
  </si>
  <si>
    <t xml:space="preserve">Rachel Carpenter</t>
  </si>
  <si>
    <t xml:space="preserve">TXN-202607-045186</t>
  </si>
  <si>
    <t xml:space="preserve">GW-0320</t>
  </si>
  <si>
    <t xml:space="preserve">WL-01487</t>
  </si>
  <si>
    <t xml:space="preserve">Thomas Palmer</t>
  </si>
  <si>
    <t xml:space="preserve">TXN-202607-045257</t>
  </si>
  <si>
    <t xml:space="preserve">GW-0321</t>
  </si>
  <si>
    <t xml:space="preserve">WL-02922</t>
  </si>
  <si>
    <t xml:space="preserve">Sandra Allen</t>
  </si>
  <si>
    <t xml:space="preserve">ANCHOR WEATHER</t>
  </si>
  <si>
    <t xml:space="preserve">TXN-202607-045301</t>
  </si>
  <si>
    <t xml:space="preserve">GW-0322</t>
  </si>
  <si>
    <t xml:space="preserve">WL-01815</t>
  </si>
  <si>
    <t xml:space="preserve">Theresa Martinez</t>
  </si>
  <si>
    <t xml:space="preserve">TXN-202607-045362</t>
  </si>
  <si>
    <t xml:space="preserve">WL-02735</t>
  </si>
  <si>
    <t xml:space="preserve">Kristen Orr</t>
  </si>
  <si>
    <t xml:space="preserve">TXN-202607-045442</t>
  </si>
  <si>
    <t xml:space="preserve">WL-03064</t>
  </si>
  <si>
    <t xml:space="preserve">Megan Hendricks</t>
  </si>
  <si>
    <t xml:space="preserve">SPINDRIFT VEER</t>
  </si>
  <si>
    <t xml:space="preserve">TXN-202607-045499</t>
  </si>
  <si>
    <t xml:space="preserve">GW-0402</t>
  </si>
  <si>
    <t xml:space="preserve">WL-02635</t>
  </si>
  <si>
    <t xml:space="preserve">Roger Bowers</t>
  </si>
  <si>
    <t xml:space="preserve">GRAY GLIDE</t>
  </si>
  <si>
    <t xml:space="preserve">TXN-202607-045546</t>
  </si>
  <si>
    <t xml:space="preserve">GW-0403</t>
  </si>
  <si>
    <t xml:space="preserve">WL-02399</t>
  </si>
  <si>
    <t xml:space="preserve">Jennifer Mccullough</t>
  </si>
  <si>
    <t xml:space="preserve">TXN-202607-045594</t>
  </si>
  <si>
    <t xml:space="preserve">GW-0404</t>
  </si>
  <si>
    <t xml:space="preserve">WL-03671</t>
  </si>
  <si>
    <t xml:space="preserve">Thomas Martinez</t>
  </si>
  <si>
    <t xml:space="preserve">TXN-202607-045644</t>
  </si>
  <si>
    <t xml:space="preserve">GW-0405</t>
  </si>
  <si>
    <t xml:space="preserve">WL-01293</t>
  </si>
  <si>
    <t xml:space="preserve">Pamela Powell</t>
  </si>
  <si>
    <t xml:space="preserve">PETREL SOUND</t>
  </si>
  <si>
    <t xml:space="preserve">TXN-202607-045696</t>
  </si>
  <si>
    <t xml:space="preserve">GW-0406</t>
  </si>
  <si>
    <t xml:space="preserve">WL-02077</t>
  </si>
  <si>
    <t xml:space="preserve">William Price</t>
  </si>
  <si>
    <t xml:space="preserve">TXN-202607-045760</t>
  </si>
  <si>
    <t xml:space="preserve">GW-0407</t>
  </si>
  <si>
    <t xml:space="preserve">WL-03682</t>
  </si>
  <si>
    <t xml:space="preserve">Paul Anderson</t>
  </si>
  <si>
    <t xml:space="preserve">SANDERLING DANCER</t>
  </si>
  <si>
    <t xml:space="preserve">TXN-202607-045804</t>
  </si>
  <si>
    <t xml:space="preserve">GW-0408</t>
  </si>
  <si>
    <t xml:space="preserve">WL-01551</t>
  </si>
  <si>
    <t xml:space="preserve">Megan Santiago</t>
  </si>
  <si>
    <t xml:space="preserve">KESTREL WIND</t>
  </si>
  <si>
    <t xml:space="preserve">TXN-202607-045871</t>
  </si>
  <si>
    <t xml:space="preserve">GW-0409</t>
  </si>
  <si>
    <t xml:space="preserve">WL-02328</t>
  </si>
  <si>
    <t xml:space="preserve">Tony Mack</t>
  </si>
  <si>
    <t xml:space="preserve">HERON LINE</t>
  </si>
  <si>
    <t xml:space="preserve">TXN-202607-045913</t>
  </si>
  <si>
    <t xml:space="preserve">GW-0410</t>
  </si>
  <si>
    <t xml:space="preserve">HALIBUT MOON</t>
  </si>
  <si>
    <t xml:space="preserve">TXN-202607-045953</t>
  </si>
  <si>
    <t xml:space="preserve">GW-0411</t>
  </si>
  <si>
    <t xml:space="preserve">WL-01859</t>
  </si>
  <si>
    <t xml:space="preserve">Patricia Delgado</t>
  </si>
  <si>
    <t xml:space="preserve">GRAY STAR</t>
  </si>
  <si>
    <t xml:space="preserve">TXN-202607-046029</t>
  </si>
  <si>
    <t xml:space="preserve">GW-0412</t>
  </si>
  <si>
    <t xml:space="preserve">WL-01282</t>
  </si>
  <si>
    <t xml:space="preserve">Nancy Miller</t>
  </si>
  <si>
    <t xml:space="preserve">TXN-202607-046103</t>
  </si>
  <si>
    <t xml:space="preserve">GW-0413</t>
  </si>
  <si>
    <t xml:space="preserve">WL-03767</t>
  </si>
  <si>
    <t xml:space="preserve">Chad David</t>
  </si>
  <si>
    <t xml:space="preserve">POINT HARBOR</t>
  </si>
  <si>
    <t xml:space="preserve">TXN-202607-046164</t>
  </si>
  <si>
    <t xml:space="preserve">WL-01875</t>
  </si>
  <si>
    <t xml:space="preserve">Steven Harris</t>
  </si>
  <si>
    <t xml:space="preserve">TXN-202607-046240</t>
  </si>
  <si>
    <t xml:space="preserve">Anthony Davis</t>
  </si>
  <si>
    <t xml:space="preserve">SANDERLING ROCK</t>
  </si>
  <si>
    <t xml:space="preserve">TXN-202607-046286</t>
  </si>
  <si>
    <t xml:space="preserve">GW-0416</t>
  </si>
  <si>
    <t xml:space="preserve">WL-01714</t>
  </si>
  <si>
    <t xml:space="preserve">Ashley Smith</t>
  </si>
  <si>
    <t xml:space="preserve">TXN-202607-046330</t>
  </si>
  <si>
    <t xml:space="preserve">GW-0417</t>
  </si>
  <si>
    <t xml:space="preserve">WL-02423</t>
  </si>
  <si>
    <t xml:space="preserve">Melissa Johnson</t>
  </si>
  <si>
    <t xml:space="preserve">TXN-202607-046407</t>
  </si>
  <si>
    <t xml:space="preserve">GW-0418</t>
  </si>
  <si>
    <t xml:space="preserve">WL-03144</t>
  </si>
  <si>
    <t xml:space="preserve">Brandi Jackson</t>
  </si>
  <si>
    <t xml:space="preserve">TXN-202607-046456</t>
  </si>
  <si>
    <t xml:space="preserve">WL-03795</t>
  </si>
  <si>
    <t xml:space="preserve">Brenda Norman</t>
  </si>
  <si>
    <t xml:space="preserve">SANDERLING SHORE</t>
  </si>
  <si>
    <t xml:space="preserve">TXN-202607-046508</t>
  </si>
  <si>
    <t xml:space="preserve">GW-0420</t>
  </si>
  <si>
    <t xml:space="preserve">WL-01133</t>
  </si>
  <si>
    <t xml:space="preserve">Shelia Lewis</t>
  </si>
  <si>
    <t xml:space="preserve">SEAL HARBOR</t>
  </si>
  <si>
    <t xml:space="preserve">TXN-202607-046575</t>
  </si>
  <si>
    <t xml:space="preserve">GW-0421</t>
  </si>
  <si>
    <t xml:space="preserve">WL-01204</t>
  </si>
  <si>
    <t xml:space="preserve">David Williams</t>
  </si>
  <si>
    <t xml:space="preserve">TXN-202607-046619</t>
  </si>
  <si>
    <t xml:space="preserve">GW-0422</t>
  </si>
  <si>
    <t xml:space="preserve">WL-03799</t>
  </si>
  <si>
    <t xml:space="preserve">Ashley Duncan</t>
  </si>
  <si>
    <t xml:space="preserve">TXN-202607-046673</t>
  </si>
  <si>
    <t xml:space="preserve">GW-0423</t>
  </si>
  <si>
    <t xml:space="preserve">WL-02053</t>
  </si>
  <si>
    <t xml:space="preserve">Erika Smith</t>
  </si>
  <si>
    <t xml:space="preserve">COHO WAKE</t>
  </si>
  <si>
    <t xml:space="preserve">TXN-202607-046720</t>
  </si>
  <si>
    <t xml:space="preserve">GW-0501</t>
  </si>
  <si>
    <t xml:space="preserve">MA-2024-0501</t>
  </si>
  <si>
    <t xml:space="preserve">WL-01450</t>
  </si>
  <si>
    <t xml:space="preserve">Joel Barnes</t>
  </si>
  <si>
    <t xml:space="preserve">DRIFT WIND</t>
  </si>
  <si>
    <t xml:space="preserve">TXN-202607-046796</t>
  </si>
  <si>
    <t xml:space="preserve">LP-0101</t>
  </si>
  <si>
    <t xml:space="preserve">covered</t>
  </si>
  <si>
    <t xml:space="preserve">Elizabeth Burns</t>
  </si>
  <si>
    <t xml:space="preserve">SABLE REACH</t>
  </si>
  <si>
    <t xml:space="preserve">TXN-202607-000063</t>
  </si>
  <si>
    <t xml:space="preserve">WL-02413</t>
  </si>
  <si>
    <t xml:space="preserve">Damon Phillips</t>
  </si>
  <si>
    <t xml:space="preserve">SEAL ROCK</t>
  </si>
  <si>
    <t xml:space="preserve">TXN-202607-000107</t>
  </si>
  <si>
    <t xml:space="preserve">LP-0103</t>
  </si>
  <si>
    <t xml:space="preserve">WL-01449</t>
  </si>
  <si>
    <t xml:space="preserve">Charles Hudson</t>
  </si>
  <si>
    <t xml:space="preserve">TXN-202607-000170</t>
  </si>
  <si>
    <t xml:space="preserve">WL-03625</t>
  </si>
  <si>
    <t xml:space="preserve">Vincent Johnson</t>
  </si>
  <si>
    <t xml:space="preserve">ANCHOR DANCER</t>
  </si>
  <si>
    <t xml:space="preserve">TXN-202607-000238</t>
  </si>
  <si>
    <t xml:space="preserve">LP-0105</t>
  </si>
  <si>
    <t xml:space="preserve">WL-03876</t>
  </si>
  <si>
    <t xml:space="preserve">John Heath</t>
  </si>
  <si>
    <t xml:space="preserve">TXN-202607-000298</t>
  </si>
  <si>
    <t xml:space="preserve">LP-0106</t>
  </si>
  <si>
    <t xml:space="preserve">WL-02316</t>
  </si>
  <si>
    <t xml:space="preserve">Cheryl Elliott</t>
  </si>
  <si>
    <t xml:space="preserve">POINT ROSE</t>
  </si>
  <si>
    <t xml:space="preserve">TXN-202607-000337</t>
  </si>
  <si>
    <t xml:space="preserve">LP-0107</t>
  </si>
  <si>
    <t xml:space="preserve">KESTREL REACH</t>
  </si>
  <si>
    <t xml:space="preserve">TXN-202607-000411</t>
  </si>
  <si>
    <t xml:space="preserve">LP-0108</t>
  </si>
  <si>
    <t xml:space="preserve">WL-01567</t>
  </si>
  <si>
    <t xml:space="preserve">Alan Thomas</t>
  </si>
  <si>
    <t xml:space="preserve">TXN-202607-000482</t>
  </si>
  <si>
    <t xml:space="preserve">LP-0109</t>
  </si>
  <si>
    <t xml:space="preserve">WL-02768</t>
  </si>
  <si>
    <t xml:space="preserve">Sandra Sweeney</t>
  </si>
  <si>
    <t xml:space="preserve">TXN-202607-000532</t>
  </si>
  <si>
    <t xml:space="preserve">LP-0110</t>
  </si>
  <si>
    <t xml:space="preserve">WL-03140</t>
  </si>
  <si>
    <t xml:space="preserve">Jason Martinez</t>
  </si>
  <si>
    <t xml:space="preserve">PINTAIL STAR</t>
  </si>
  <si>
    <t xml:space="preserve">TXN-202607-000579</t>
  </si>
  <si>
    <t xml:space="preserve">LP-0111</t>
  </si>
  <si>
    <t xml:space="preserve">SALISH WAKE</t>
  </si>
  <si>
    <t xml:space="preserve">TXN-202607-000626</t>
  </si>
  <si>
    <t xml:space="preserve">WL-02762</t>
  </si>
  <si>
    <t xml:space="preserve">Elizabeth Williams</t>
  </si>
  <si>
    <t xml:space="preserve">TXN-202607-000673</t>
  </si>
  <si>
    <t xml:space="preserve">WL-02237</t>
  </si>
  <si>
    <t xml:space="preserve">William Powell</t>
  </si>
  <si>
    <t xml:space="preserve">TXN-202607-000726</t>
  </si>
  <si>
    <t xml:space="preserve">LP-0115</t>
  </si>
  <si>
    <t xml:space="preserve">WL-02943</t>
  </si>
  <si>
    <t xml:space="preserve">Matthew Thomas</t>
  </si>
  <si>
    <t xml:space="preserve">TXN-202607-000800</t>
  </si>
  <si>
    <t xml:space="preserve">LP-0116</t>
  </si>
  <si>
    <t xml:space="preserve">Joseph Bishop</t>
  </si>
  <si>
    <t xml:space="preserve">ANCHOR LIGHT</t>
  </si>
  <si>
    <t xml:space="preserve">TXN-202607-000868</t>
  </si>
  <si>
    <t xml:space="preserve">LP-0117</t>
  </si>
  <si>
    <t xml:space="preserve">Benjamin Willis</t>
  </si>
  <si>
    <t xml:space="preserve">COHO BAY</t>
  </si>
  <si>
    <t xml:space="preserve">TXN-202607-000936</t>
  </si>
  <si>
    <t xml:space="preserve">LP-0118</t>
  </si>
  <si>
    <t xml:space="preserve">Keith Powell</t>
  </si>
  <si>
    <t xml:space="preserve">TXN-202607-000988</t>
  </si>
  <si>
    <t xml:space="preserve">LP-0119</t>
  </si>
  <si>
    <t xml:space="preserve">WL-01880</t>
  </si>
  <si>
    <t xml:space="preserve">Walter Torres</t>
  </si>
  <si>
    <t xml:space="preserve">TXN-202607-001066</t>
  </si>
  <si>
    <t xml:space="preserve">LP-0120</t>
  </si>
  <si>
    <t xml:space="preserve">WL-03128</t>
  </si>
  <si>
    <t xml:space="preserve">Kayla Johnson</t>
  </si>
  <si>
    <t xml:space="preserve">FOUL SONG</t>
  </si>
  <si>
    <t xml:space="preserve">TXN-202607-001136</t>
  </si>
  <si>
    <t xml:space="preserve">WL-03477</t>
  </si>
  <si>
    <t xml:space="preserve">Darryl Garcia</t>
  </si>
  <si>
    <t xml:space="preserve">TXN-202607-001181</t>
  </si>
  <si>
    <t xml:space="preserve">LP-0122</t>
  </si>
  <si>
    <t xml:space="preserve">WL-01974</t>
  </si>
  <si>
    <t xml:space="preserve">Paula Arroyo</t>
  </si>
  <si>
    <t xml:space="preserve">TXN-202607-001249</t>
  </si>
  <si>
    <t xml:space="preserve">LP-0123</t>
  </si>
  <si>
    <t xml:space="preserve">TXN-202607-001317</t>
  </si>
  <si>
    <t xml:space="preserve">WL-02080</t>
  </si>
  <si>
    <t xml:space="preserve">Audrey Le</t>
  </si>
  <si>
    <t xml:space="preserve">TXN-202607-001393</t>
  </si>
  <si>
    <t xml:space="preserve">LP-0201</t>
  </si>
  <si>
    <t xml:space="preserve">WL-03657</t>
  </si>
  <si>
    <t xml:space="preserve">Melissa Wagner</t>
  </si>
  <si>
    <t xml:space="preserve">TXN-202607-001458</t>
  </si>
  <si>
    <t xml:space="preserve">LP-0202</t>
  </si>
  <si>
    <t xml:space="preserve">WL-02964</t>
  </si>
  <si>
    <t xml:space="preserve">Christopher Boyd</t>
  </si>
  <si>
    <t xml:space="preserve">WIDGEON VEER</t>
  </si>
  <si>
    <t xml:space="preserve">TXN-202607-001532</t>
  </si>
  <si>
    <t xml:space="preserve">WL-01820</t>
  </si>
  <si>
    <t xml:space="preserve">Andrew Petty</t>
  </si>
  <si>
    <t xml:space="preserve">TXN-202607-001588</t>
  </si>
  <si>
    <t xml:space="preserve">WL-01587</t>
  </si>
  <si>
    <t xml:space="preserve">Patrick Guzman</t>
  </si>
  <si>
    <t xml:space="preserve">TXN-202607-001649</t>
  </si>
  <si>
    <t xml:space="preserve">LP-0205</t>
  </si>
  <si>
    <t xml:space="preserve">WL-01514</t>
  </si>
  <si>
    <t xml:space="preserve">Gary Young</t>
  </si>
  <si>
    <t xml:space="preserve">TXN-202607-001725</t>
  </si>
  <si>
    <t xml:space="preserve">LP-0206</t>
  </si>
  <si>
    <t xml:space="preserve">TXN-202607-001769</t>
  </si>
  <si>
    <t xml:space="preserve">WL-02432</t>
  </si>
  <si>
    <t xml:space="preserve">James Olson</t>
  </si>
  <si>
    <t xml:space="preserve">SALISH SONG</t>
  </si>
  <si>
    <t xml:space="preserve">TXN-202607-001836</t>
  </si>
  <si>
    <t xml:space="preserve">LP-0209</t>
  </si>
  <si>
    <t xml:space="preserve">WL-01517</t>
  </si>
  <si>
    <t xml:space="preserve">Manuel Abbott</t>
  </si>
  <si>
    <t xml:space="preserve">TXN-202607-001908</t>
  </si>
  <si>
    <t xml:space="preserve">LP-0210</t>
  </si>
  <si>
    <t xml:space="preserve">COHO SHORE</t>
  </si>
  <si>
    <t xml:space="preserve">TXN-202607-001954</t>
  </si>
  <si>
    <t xml:space="preserve">LP-0212</t>
  </si>
  <si>
    <t xml:space="preserve">WL-03348</t>
  </si>
  <si>
    <t xml:space="preserve">Sandra Jackson</t>
  </si>
  <si>
    <t xml:space="preserve">HERON RUNNER</t>
  </si>
  <si>
    <t xml:space="preserve">TXN-202607-002028</t>
  </si>
  <si>
    <t xml:space="preserve">LP-0213</t>
  </si>
  <si>
    <t xml:space="preserve">WL-02388</t>
  </si>
  <si>
    <t xml:space="preserve">Gregory Brady</t>
  </si>
  <si>
    <t xml:space="preserve">TXN-202607-002081</t>
  </si>
  <si>
    <t xml:space="preserve">LP-0214</t>
  </si>
  <si>
    <t xml:space="preserve">Jeanne Bennett</t>
  </si>
  <si>
    <t xml:space="preserve">TXN-202607-002125</t>
  </si>
  <si>
    <t xml:space="preserve">WL-01337</t>
  </si>
  <si>
    <t xml:space="preserve">Anna Wright</t>
  </si>
  <si>
    <t xml:space="preserve">TXN-202607-002200</t>
  </si>
  <si>
    <t xml:space="preserve">WL-01428</t>
  </si>
  <si>
    <t xml:space="preserve">Audrey Taylor</t>
  </si>
  <si>
    <t xml:space="preserve">TXN-202607-002272</t>
  </si>
  <si>
    <t xml:space="preserve">LP-0217</t>
  </si>
  <si>
    <t xml:space="preserve">WL-01497</t>
  </si>
  <si>
    <t xml:space="preserve">Aaron Ellis</t>
  </si>
  <si>
    <t xml:space="preserve">SANDERLING STAR</t>
  </si>
  <si>
    <t xml:space="preserve">TXN-202607-002312</t>
  </si>
  <si>
    <t xml:space="preserve">LP-0218</t>
  </si>
  <si>
    <t xml:space="preserve">WL-01177</t>
  </si>
  <si>
    <t xml:space="preserve">Sydney Moore</t>
  </si>
  <si>
    <t xml:space="preserve">TXN-202607-002386</t>
  </si>
  <si>
    <t xml:space="preserve">WL-01324</t>
  </si>
  <si>
    <t xml:space="preserve">Bradley Baker</t>
  </si>
  <si>
    <t xml:space="preserve">PINTAIL QUEEN</t>
  </si>
  <si>
    <t xml:space="preserve">TXN-202607-002428</t>
  </si>
  <si>
    <t xml:space="preserve">WL-02659</t>
  </si>
  <si>
    <t xml:space="preserve">Loretta Murillo</t>
  </si>
  <si>
    <t xml:space="preserve">TXN-202607-002496</t>
  </si>
  <si>
    <t xml:space="preserve">LP-0221</t>
  </si>
  <si>
    <t xml:space="preserve">WL-03407</t>
  </si>
  <si>
    <t xml:space="preserve">Allison Anthony</t>
  </si>
  <si>
    <t xml:space="preserve">TXN-202607-002566</t>
  </si>
  <si>
    <t xml:space="preserve">LP-0222</t>
  </si>
  <si>
    <t xml:space="preserve">WL-01185</t>
  </si>
  <si>
    <t xml:space="preserve">Stephen Burke</t>
  </si>
  <si>
    <t xml:space="preserve">TXN-202607-002640</t>
  </si>
  <si>
    <t xml:space="preserve">LP-0223</t>
  </si>
  <si>
    <t xml:space="preserve">WL-02494</t>
  </si>
  <si>
    <t xml:space="preserve">Renee Dean</t>
  </si>
  <si>
    <t xml:space="preserve">TXN-202607-002717</t>
  </si>
  <si>
    <t xml:space="preserve">LP-0224</t>
  </si>
  <si>
    <t xml:space="preserve">WL-01261</t>
  </si>
  <si>
    <t xml:space="preserve">Anita Rose</t>
  </si>
  <si>
    <t xml:space="preserve">BRANT ANN</t>
  </si>
  <si>
    <t xml:space="preserve">TXN-202607-002771</t>
  </si>
  <si>
    <t xml:space="preserve">LP-0301</t>
  </si>
  <si>
    <t xml:space="preserve">WL-03425</t>
  </si>
  <si>
    <t xml:space="preserve">Miranda Neal</t>
  </si>
  <si>
    <t xml:space="preserve">TXN-202607-002813</t>
  </si>
  <si>
    <t xml:space="preserve">LP-0302</t>
  </si>
  <si>
    <t xml:space="preserve">Brian Campbell</t>
  </si>
  <si>
    <t xml:space="preserve">TXN-202607-002862</t>
  </si>
  <si>
    <t xml:space="preserve">WL-02853</t>
  </si>
  <si>
    <t xml:space="preserve">Adam Stevens</t>
  </si>
  <si>
    <t xml:space="preserve">TXN-202607-002921</t>
  </si>
  <si>
    <t xml:space="preserve">LP-0305</t>
  </si>
  <si>
    <t xml:space="preserve">Nathan Huffman</t>
  </si>
  <si>
    <t xml:space="preserve">TXN-202607-002982</t>
  </si>
  <si>
    <t xml:space="preserve">LP-0306</t>
  </si>
  <si>
    <t xml:space="preserve">WL-02345</t>
  </si>
  <si>
    <t xml:space="preserve">Brian Wade</t>
  </si>
  <si>
    <t xml:space="preserve">TXN-202607-003036</t>
  </si>
  <si>
    <t xml:space="preserve">WL-03230</t>
  </si>
  <si>
    <t xml:space="preserve">Cory Park</t>
  </si>
  <si>
    <t xml:space="preserve">SEAL SONG</t>
  </si>
  <si>
    <t xml:space="preserve">TXN-202607-003082</t>
  </si>
  <si>
    <t xml:space="preserve">LP-0309</t>
  </si>
  <si>
    <t xml:space="preserve">WL-02885</t>
  </si>
  <si>
    <t xml:space="preserve">James Rivera</t>
  </si>
  <si>
    <t xml:space="preserve">TXN-202607-003122</t>
  </si>
  <si>
    <t xml:space="preserve">LP-0311</t>
  </si>
  <si>
    <t xml:space="preserve">WL-01606</t>
  </si>
  <si>
    <t xml:space="preserve">Joel English</t>
  </si>
  <si>
    <t xml:space="preserve">COHO GLIDE</t>
  </si>
  <si>
    <t xml:space="preserve">TXN-202607-003178</t>
  </si>
  <si>
    <t xml:space="preserve">Steven Greene</t>
  </si>
  <si>
    <t xml:space="preserve">TXN-202607-003233</t>
  </si>
  <si>
    <t xml:space="preserve">LP-0313</t>
  </si>
  <si>
    <t xml:space="preserve">WL-02675</t>
  </si>
  <si>
    <t xml:space="preserve">Christopher Lopez</t>
  </si>
  <si>
    <t xml:space="preserve">TXN-202607-003278</t>
  </si>
  <si>
    <t xml:space="preserve">LP-0314</t>
  </si>
  <si>
    <t xml:space="preserve">Brenda Matthews</t>
  </si>
  <si>
    <t xml:space="preserve">TXN-202607-003344</t>
  </si>
  <si>
    <t xml:space="preserve">LP-0315</t>
  </si>
  <si>
    <t xml:space="preserve">WL-02756</t>
  </si>
  <si>
    <t xml:space="preserve">Gregory Phillips</t>
  </si>
  <si>
    <t xml:space="preserve">TXN-202607-003395</t>
  </si>
  <si>
    <t xml:space="preserve">WL-03711</t>
  </si>
  <si>
    <t xml:space="preserve">Adam Webster</t>
  </si>
  <si>
    <t xml:space="preserve">TXN-202607-003439</t>
  </si>
  <si>
    <t xml:space="preserve">TXN-202607-003494</t>
  </si>
  <si>
    <t xml:space="preserve">LP-0318</t>
  </si>
  <si>
    <t xml:space="preserve">WL-03488</t>
  </si>
  <si>
    <t xml:space="preserve">Albert Hill</t>
  </si>
  <si>
    <t xml:space="preserve">TXN-202607-003556</t>
  </si>
  <si>
    <t xml:space="preserve">LP-0320</t>
  </si>
  <si>
    <t xml:space="preserve">TXN-202607-003598</t>
  </si>
  <si>
    <t xml:space="preserve">LP-0321</t>
  </si>
  <si>
    <t xml:space="preserve">WL-03415</t>
  </si>
  <si>
    <t xml:space="preserve">Jennifer Leonard</t>
  </si>
  <si>
    <t xml:space="preserve">TXN-202607-003664</t>
  </si>
  <si>
    <t xml:space="preserve">LP-0322</t>
  </si>
  <si>
    <t xml:space="preserve">WL-01554</t>
  </si>
  <si>
    <t xml:space="preserve">Robert Nolan</t>
  </si>
  <si>
    <t xml:space="preserve">TXN-202607-003744</t>
  </si>
  <si>
    <t xml:space="preserve">LP-0323</t>
  </si>
  <si>
    <t xml:space="preserve">WL-02461</t>
  </si>
  <si>
    <t xml:space="preserve">Robert Swanson</t>
  </si>
  <si>
    <t xml:space="preserve">TXN-202607-003805</t>
  </si>
  <si>
    <t xml:space="preserve">WL-01462</t>
  </si>
  <si>
    <t xml:space="preserve">Stephanie Hart</t>
  </si>
  <si>
    <t xml:space="preserve">TXN-202607-003858</t>
  </si>
  <si>
    <t xml:space="preserve">WL-01188</t>
  </si>
  <si>
    <t xml:space="preserve">Dawn Brown</t>
  </si>
  <si>
    <t xml:space="preserve">TXN-202607-003926</t>
  </si>
  <si>
    <t xml:space="preserve">LP-0403</t>
  </si>
  <si>
    <t xml:space="preserve">WL-01063</t>
  </si>
  <si>
    <t xml:space="preserve">Donna Mitchell</t>
  </si>
  <si>
    <t xml:space="preserve">TXN-202607-003985</t>
  </si>
  <si>
    <t xml:space="preserve">LP-0404</t>
  </si>
  <si>
    <t xml:space="preserve">WL-02961</t>
  </si>
  <si>
    <t xml:space="preserve">Rachel Flores</t>
  </si>
  <si>
    <t xml:space="preserve">TXN-202607-004050</t>
  </si>
  <si>
    <t xml:space="preserve">LP-0405</t>
  </si>
  <si>
    <t xml:space="preserve">WL-02530</t>
  </si>
  <si>
    <t xml:space="preserve">GRAY ROCK</t>
  </si>
  <si>
    <t xml:space="preserve">TXN-202607-004085</t>
  </si>
  <si>
    <t xml:space="preserve">LP-0406</t>
  </si>
  <si>
    <t xml:space="preserve">WL-02260</t>
  </si>
  <si>
    <t xml:space="preserve">Michael King</t>
  </si>
  <si>
    <t xml:space="preserve">TXN-202607-004130</t>
  </si>
  <si>
    <t xml:space="preserve">LP-0407</t>
  </si>
  <si>
    <t xml:space="preserve">Karla Cross</t>
  </si>
  <si>
    <t xml:space="preserve">POINT PASSAGE</t>
  </si>
  <si>
    <t xml:space="preserve">TXN-202607-004183</t>
  </si>
  <si>
    <t xml:space="preserve">LP-0408</t>
  </si>
  <si>
    <t xml:space="preserve">WL-03226</t>
  </si>
  <si>
    <t xml:space="preserve">Kari Snow</t>
  </si>
  <si>
    <t xml:space="preserve">TXN-202607-004245</t>
  </si>
  <si>
    <t xml:space="preserve">LP-0409</t>
  </si>
  <si>
    <t xml:space="preserve">WL-02688</t>
  </si>
  <si>
    <t xml:space="preserve">Joseph Cohen</t>
  </si>
  <si>
    <t xml:space="preserve">TXN-202607-004288</t>
  </si>
  <si>
    <t xml:space="preserve">LP-0410</t>
  </si>
  <si>
    <t xml:space="preserve">WL-02453</t>
  </si>
  <si>
    <t xml:space="preserve">Kristina Savage</t>
  </si>
  <si>
    <t xml:space="preserve">TXN-202607-004350</t>
  </si>
  <si>
    <t xml:space="preserve">LP-0411</t>
  </si>
  <si>
    <t xml:space="preserve">WL-01932</t>
  </si>
  <si>
    <t xml:space="preserve">Clayton Williams</t>
  </si>
  <si>
    <t xml:space="preserve">TXN-202607-004406</t>
  </si>
  <si>
    <t xml:space="preserve">WL-01239</t>
  </si>
  <si>
    <t xml:space="preserve">Edward Cook</t>
  </si>
  <si>
    <t xml:space="preserve">TXN-202607-004478</t>
  </si>
  <si>
    <t xml:space="preserve">WL-02589</t>
  </si>
  <si>
    <t xml:space="preserve">Tammie Johnson</t>
  </si>
  <si>
    <t xml:space="preserve">TXN-202607-004522</t>
  </si>
  <si>
    <t xml:space="preserve">LP-0415</t>
  </si>
  <si>
    <t xml:space="preserve">WL-03907</t>
  </si>
  <si>
    <t xml:space="preserve">Ryan Collins</t>
  </si>
  <si>
    <t xml:space="preserve">TXN-202607-004585</t>
  </si>
  <si>
    <t xml:space="preserve">WL-01699</t>
  </si>
  <si>
    <t xml:space="preserve">Kevin Fuller</t>
  </si>
  <si>
    <t xml:space="preserve">TXN-202607-004666</t>
  </si>
  <si>
    <t xml:space="preserve">LP-0417</t>
  </si>
  <si>
    <t xml:space="preserve">WL-02689</t>
  </si>
  <si>
    <t xml:space="preserve">Julie Silva</t>
  </si>
  <si>
    <t xml:space="preserve">ANCHOR WAKE</t>
  </si>
  <si>
    <t xml:space="preserve">TXN-202607-004707</t>
  </si>
  <si>
    <t xml:space="preserve">LP-0418</t>
  </si>
  <si>
    <t xml:space="preserve">WL-01703</t>
  </si>
  <si>
    <t xml:space="preserve">Jorge Avery</t>
  </si>
  <si>
    <t xml:space="preserve">TXN-202607-004768</t>
  </si>
  <si>
    <t xml:space="preserve">LP-0419</t>
  </si>
  <si>
    <t xml:space="preserve">WL-02926</t>
  </si>
  <si>
    <t xml:space="preserve">Pamela Harris</t>
  </si>
  <si>
    <t xml:space="preserve">TXN-202607-004855</t>
  </si>
  <si>
    <t xml:space="preserve">LP-0420</t>
  </si>
  <si>
    <t xml:space="preserve">TXN-202607-004930</t>
  </si>
  <si>
    <t xml:space="preserve">LP-0421</t>
  </si>
  <si>
    <t xml:space="preserve">WL-03569</t>
  </si>
  <si>
    <t xml:space="preserve">Mary Hicks</t>
  </si>
  <si>
    <t xml:space="preserve">TXN-202607-004984</t>
  </si>
  <si>
    <t xml:space="preserve">LP-0422</t>
  </si>
  <si>
    <t xml:space="preserve">WL-02875</t>
  </si>
  <si>
    <t xml:space="preserve">Frank Beard</t>
  </si>
  <si>
    <t xml:space="preserve">TXN-202607-005035</t>
  </si>
  <si>
    <t xml:space="preserve">LP-0423</t>
  </si>
  <si>
    <t xml:space="preserve">WL-01778</t>
  </si>
  <si>
    <t xml:space="preserve">Margaret Brown</t>
  </si>
  <si>
    <t xml:space="preserve">TXN-202607-005104</t>
  </si>
  <si>
    <t xml:space="preserve">LP-0424</t>
  </si>
  <si>
    <t xml:space="preserve">WL-02954</t>
  </si>
  <si>
    <t xml:space="preserve">Michael Perez</t>
  </si>
  <si>
    <t xml:space="preserve">TXN-202607-005151</t>
  </si>
  <si>
    <t xml:space="preserve">LP-0502</t>
  </si>
  <si>
    <t xml:space="preserve">WL-02634</t>
  </si>
  <si>
    <t xml:space="preserve">Michelle Cooper</t>
  </si>
  <si>
    <t xml:space="preserve">KESTREL WAKE</t>
  </si>
  <si>
    <t xml:space="preserve">TXN-202607-005210</t>
  </si>
  <si>
    <t xml:space="preserve">LP-0503</t>
  </si>
  <si>
    <t xml:space="preserve">WL-03603</t>
  </si>
  <si>
    <t xml:space="preserve">Steven Sanders</t>
  </si>
  <si>
    <t xml:space="preserve">PETREL PASSAGE</t>
  </si>
  <si>
    <t xml:space="preserve">TXN-202607-005252</t>
  </si>
  <si>
    <t xml:space="preserve">WL-02974</t>
  </si>
  <si>
    <t xml:space="preserve">Natasha Wilson</t>
  </si>
  <si>
    <t xml:space="preserve">TXN-202607-005296</t>
  </si>
  <si>
    <t xml:space="preserve">LP-0505</t>
  </si>
  <si>
    <t xml:space="preserve">WL-02433</t>
  </si>
  <si>
    <t xml:space="preserve">Jordan Casey</t>
  </si>
  <si>
    <t xml:space="preserve">TXN-202607-005362</t>
  </si>
  <si>
    <t xml:space="preserve">LP-0506</t>
  </si>
  <si>
    <t xml:space="preserve">WL-01135</t>
  </si>
  <si>
    <t xml:space="preserve">Julia Mills</t>
  </si>
  <si>
    <t xml:space="preserve">BRANT SOUND</t>
  </si>
  <si>
    <t xml:space="preserve">TXN-202607-005421</t>
  </si>
  <si>
    <t xml:space="preserve">LP-0507</t>
  </si>
  <si>
    <t xml:space="preserve">TXN-202607-005473</t>
  </si>
  <si>
    <t xml:space="preserve">LP-0508</t>
  </si>
  <si>
    <t xml:space="preserve">Maria Wright</t>
  </si>
  <si>
    <t xml:space="preserve">TXN-202607-005520</t>
  </si>
  <si>
    <t xml:space="preserve">LP-0509</t>
  </si>
  <si>
    <t xml:space="preserve">WL-01968</t>
  </si>
  <si>
    <t xml:space="preserve">Cheryl Lewis</t>
  </si>
  <si>
    <t xml:space="preserve">TXN-202607-005572</t>
  </si>
  <si>
    <t xml:space="preserve">LP-0510</t>
  </si>
  <si>
    <t xml:space="preserve">WL-03288</t>
  </si>
  <si>
    <t xml:space="preserve">Jaclyn Ingram</t>
  </si>
  <si>
    <t xml:space="preserve">TXN-202607-005639</t>
  </si>
  <si>
    <t xml:space="preserve">LP-0511</t>
  </si>
  <si>
    <t xml:space="preserve">WL-01060</t>
  </si>
  <si>
    <t xml:space="preserve">Michael Cole</t>
  </si>
  <si>
    <t xml:space="preserve">TXN-202607-005704</t>
  </si>
  <si>
    <t xml:space="preserve">LP-0512</t>
  </si>
  <si>
    <t xml:space="preserve">WL-02938</t>
  </si>
  <si>
    <t xml:space="preserve">Micheal Perez</t>
  </si>
  <si>
    <t xml:space="preserve">TXN-202607-005751</t>
  </si>
  <si>
    <t xml:space="preserve">WL-01509</t>
  </si>
  <si>
    <t xml:space="preserve">William Hatfield</t>
  </si>
  <si>
    <t xml:space="preserve">TIDE QUEEN</t>
  </si>
  <si>
    <t xml:space="preserve">TXN-202607-005802</t>
  </si>
  <si>
    <t xml:space="preserve">WL-01036</t>
  </si>
  <si>
    <t xml:space="preserve">Brandy Rogers</t>
  </si>
  <si>
    <t xml:space="preserve">TXN-202607-005859</t>
  </si>
  <si>
    <t xml:space="preserve">Mallory Rodgers</t>
  </si>
  <si>
    <t xml:space="preserve">TXN-202607-005930</t>
  </si>
  <si>
    <t xml:space="preserve">LP-0517</t>
  </si>
  <si>
    <t xml:space="preserve">WL-02716</t>
  </si>
  <si>
    <t xml:space="preserve">John Nguyen</t>
  </si>
  <si>
    <t xml:space="preserve">TXN-202607-005972</t>
  </si>
  <si>
    <t xml:space="preserve">LP-0518</t>
  </si>
  <si>
    <t xml:space="preserve">WL-02963</t>
  </si>
  <si>
    <t xml:space="preserve">Jennifer Liu</t>
  </si>
  <si>
    <t xml:space="preserve">WIDGEON MOON</t>
  </si>
  <si>
    <t xml:space="preserve">TXN-202607-006016</t>
  </si>
  <si>
    <t xml:space="preserve">LP-0519</t>
  </si>
  <si>
    <t xml:space="preserve">TXN-202607-006075</t>
  </si>
  <si>
    <t xml:space="preserve">WL-01896</t>
  </si>
  <si>
    <t xml:space="preserve">Meredith Williams</t>
  </si>
  <si>
    <t xml:space="preserve">TXN-202607-006144</t>
  </si>
  <si>
    <t xml:space="preserve">LP-0521</t>
  </si>
  <si>
    <t xml:space="preserve">WL-03161</t>
  </si>
  <si>
    <t xml:space="preserve">Ashley Hall</t>
  </si>
  <si>
    <t xml:space="preserve">TXN-202607-006210</t>
  </si>
  <si>
    <t xml:space="preserve">LP-0522</t>
  </si>
  <si>
    <t xml:space="preserve">WL-01604</t>
  </si>
  <si>
    <t xml:space="preserve">Patrick Barnes</t>
  </si>
  <si>
    <t xml:space="preserve">TXN-202607-006272</t>
  </si>
  <si>
    <t xml:space="preserve">LP-0523</t>
  </si>
  <si>
    <t xml:space="preserve">WL-03212</t>
  </si>
  <si>
    <t xml:space="preserve">Damon Garcia</t>
  </si>
  <si>
    <t xml:space="preserve">WIDGEON STAR</t>
  </si>
  <si>
    <t xml:space="preserve">TXN-202607-006347</t>
  </si>
  <si>
    <t xml:space="preserve">LP-0524</t>
  </si>
  <si>
    <t xml:space="preserve">Anthony Hamilton</t>
  </si>
  <si>
    <t xml:space="preserve">FOUL LIGHT</t>
  </si>
  <si>
    <t xml:space="preserve">TXN-202607-006425</t>
  </si>
  <si>
    <t xml:space="preserve">TXN-202607-006489</t>
  </si>
  <si>
    <t xml:space="preserve">LP-0602</t>
  </si>
  <si>
    <t xml:space="preserve">Lee Maldonado</t>
  </si>
  <si>
    <t xml:space="preserve">SCOTER PASSAGE</t>
  </si>
  <si>
    <t xml:space="preserve">TXN-202607-006541</t>
  </si>
  <si>
    <t xml:space="preserve">LP-0603</t>
  </si>
  <si>
    <t xml:space="preserve">WL-02921</t>
  </si>
  <si>
    <t xml:space="preserve">Marissa Hatfield</t>
  </si>
  <si>
    <t xml:space="preserve">TXN-202607-006608</t>
  </si>
  <si>
    <t xml:space="preserve">WL-02608</t>
  </si>
  <si>
    <t xml:space="preserve">Timothy Porter</t>
  </si>
  <si>
    <t xml:space="preserve">TXN-202607-006669</t>
  </si>
  <si>
    <t xml:space="preserve">LP-0605</t>
  </si>
  <si>
    <t xml:space="preserve">WL-01747</t>
  </si>
  <si>
    <t xml:space="preserve">Andrew Anderson</t>
  </si>
  <si>
    <t xml:space="preserve">TXN-202607-006753</t>
  </si>
  <si>
    <t xml:space="preserve">LP-0606</t>
  </si>
  <si>
    <t xml:space="preserve">WL-03735</t>
  </si>
  <si>
    <t xml:space="preserve">Kyle Foster</t>
  </si>
  <si>
    <t xml:space="preserve">TXN-202607-006820</t>
  </si>
  <si>
    <t xml:space="preserve">LP-0607</t>
  </si>
  <si>
    <t xml:space="preserve">WL-01378</t>
  </si>
  <si>
    <t xml:space="preserve">Morgan Clark</t>
  </si>
  <si>
    <t xml:space="preserve">TXN-202607-006900</t>
  </si>
  <si>
    <t xml:space="preserve">LP-0608</t>
  </si>
  <si>
    <t xml:space="preserve">WL-03905</t>
  </si>
  <si>
    <t xml:space="preserve">Jamie Carpenter</t>
  </si>
  <si>
    <t xml:space="preserve">TXN-202607-006977</t>
  </si>
  <si>
    <t xml:space="preserve">WL-01602</t>
  </si>
  <si>
    <t xml:space="preserve">Micheal Martinez</t>
  </si>
  <si>
    <t xml:space="preserve">TXN-202607-007045</t>
  </si>
  <si>
    <t xml:space="preserve">LP-0610</t>
  </si>
  <si>
    <t xml:space="preserve">WL-02905</t>
  </si>
  <si>
    <t xml:space="preserve">James Williams</t>
  </si>
  <si>
    <t xml:space="preserve">COHO LINE</t>
  </si>
  <si>
    <t xml:space="preserve">TXN-202607-007097</t>
  </si>
  <si>
    <t xml:space="preserve">LP-0611</t>
  </si>
  <si>
    <t xml:space="preserve">WL-03556</t>
  </si>
  <si>
    <t xml:space="preserve">Scott Bird</t>
  </si>
  <si>
    <t xml:space="preserve">TXN-202607-007174</t>
  </si>
  <si>
    <t xml:space="preserve">LP-0612</t>
  </si>
  <si>
    <t xml:space="preserve">WL-01625</t>
  </si>
  <si>
    <t xml:space="preserve">Albert Rowland</t>
  </si>
  <si>
    <t xml:space="preserve">TXN-202607-007260</t>
  </si>
  <si>
    <t xml:space="preserve">LP-0613</t>
  </si>
  <si>
    <t xml:space="preserve">WL-03447</t>
  </si>
  <si>
    <t xml:space="preserve">Matthew Mcdonald</t>
  </si>
  <si>
    <t xml:space="preserve">TXN-202607-007314</t>
  </si>
  <si>
    <t xml:space="preserve">WL-01107</t>
  </si>
  <si>
    <t xml:space="preserve">Dean Gonzalez</t>
  </si>
  <si>
    <t xml:space="preserve">TXN-202607-007381</t>
  </si>
  <si>
    <t xml:space="preserve">LP-0615</t>
  </si>
  <si>
    <t xml:space="preserve">WL-03818</t>
  </si>
  <si>
    <t xml:space="preserve">Abigail Brooks</t>
  </si>
  <si>
    <t xml:space="preserve">TXN-202607-007437</t>
  </si>
  <si>
    <t xml:space="preserve">WL-03854</t>
  </si>
  <si>
    <t xml:space="preserve">Brandon Jackson</t>
  </si>
  <si>
    <t xml:space="preserve">TXN-202607-007499</t>
  </si>
  <si>
    <t xml:space="preserve">LP-0617</t>
  </si>
  <si>
    <t xml:space="preserve">WL-02073</t>
  </si>
  <si>
    <t xml:space="preserve">Susan Jordan</t>
  </si>
  <si>
    <t xml:space="preserve">TXN-202607-007543</t>
  </si>
  <si>
    <t xml:space="preserve">LP-0618</t>
  </si>
  <si>
    <t xml:space="preserve">Natalie Tyler</t>
  </si>
  <si>
    <t xml:space="preserve">HALIBUT PASSAGE</t>
  </si>
  <si>
    <t xml:space="preserve">TXN-202607-007613</t>
  </si>
  <si>
    <t xml:space="preserve">LP-0620</t>
  </si>
  <si>
    <t xml:space="preserve">WL-02410</t>
  </si>
  <si>
    <t xml:space="preserve">Juan Martin</t>
  </si>
  <si>
    <t xml:space="preserve">TXN-202607-007669</t>
  </si>
  <si>
    <t xml:space="preserve">LP-0621</t>
  </si>
  <si>
    <t xml:space="preserve">WL-02194</t>
  </si>
  <si>
    <t xml:space="preserve">Victoria Williamson</t>
  </si>
  <si>
    <t xml:space="preserve">TXN-202607-007742</t>
  </si>
  <si>
    <t xml:space="preserve">LP-0622</t>
  </si>
  <si>
    <t xml:space="preserve">FOUL WEATHER</t>
  </si>
  <si>
    <t xml:space="preserve">TXN-202607-007792</t>
  </si>
  <si>
    <t xml:space="preserve">LP-0623</t>
  </si>
  <si>
    <t xml:space="preserve">WL-03096</t>
  </si>
  <si>
    <t xml:space="preserve">Craig Kelley</t>
  </si>
  <si>
    <t xml:space="preserve">COHO CREST</t>
  </si>
  <si>
    <t xml:space="preserve">TXN-202607-007846</t>
  </si>
  <si>
    <t xml:space="preserve">LP-0624</t>
  </si>
  <si>
    <t xml:space="preserve">WL-02951</t>
  </si>
  <si>
    <t xml:space="preserve">Evelyn Thompson</t>
  </si>
  <si>
    <t xml:space="preserve">TXN-202607-007932</t>
  </si>
  <si>
    <t xml:space="preserve">LP-0701</t>
  </si>
  <si>
    <t xml:space="preserve">WL-02344</t>
  </si>
  <si>
    <t xml:space="preserve">Michael Combs</t>
  </si>
  <si>
    <t xml:space="preserve">TXN-202607-008014</t>
  </si>
  <si>
    <t xml:space="preserve">LP-0702</t>
  </si>
  <si>
    <t xml:space="preserve">WL-01711</t>
  </si>
  <si>
    <t xml:space="preserve">TXN-202607-008091</t>
  </si>
  <si>
    <t xml:space="preserve">LP-0703</t>
  </si>
  <si>
    <t xml:space="preserve">WL-03517</t>
  </si>
  <si>
    <t xml:space="preserve">Ruth Peters</t>
  </si>
  <si>
    <t xml:space="preserve">CORMORANT BAY</t>
  </si>
  <si>
    <t xml:space="preserve">TXN-202607-008148</t>
  </si>
  <si>
    <t xml:space="preserve">LP-0704</t>
  </si>
  <si>
    <t xml:space="preserve">WL-02092</t>
  </si>
  <si>
    <t xml:space="preserve">Jason Brooks</t>
  </si>
  <si>
    <t xml:space="preserve">PETREL MIST</t>
  </si>
  <si>
    <t xml:space="preserve">TXN-202607-008230</t>
  </si>
  <si>
    <t xml:space="preserve">Sarah Hogan</t>
  </si>
  <si>
    <t xml:space="preserve">OTTER MIST</t>
  </si>
  <si>
    <t xml:space="preserve">TXN-202607-008301</t>
  </si>
  <si>
    <t xml:space="preserve">WL-01857</t>
  </si>
  <si>
    <t xml:space="preserve">Anthony Morales</t>
  </si>
  <si>
    <t xml:space="preserve">TXN-202607-008376</t>
  </si>
  <si>
    <t xml:space="preserve">LP-0707</t>
  </si>
  <si>
    <t xml:space="preserve">WL-02544</t>
  </si>
  <si>
    <t xml:space="preserve">Laurie Smith</t>
  </si>
  <si>
    <t xml:space="preserve">TXN-202607-008426</t>
  </si>
  <si>
    <t xml:space="preserve">LP-0708</t>
  </si>
  <si>
    <t xml:space="preserve">WL-03803</t>
  </si>
  <si>
    <t xml:space="preserve">Elizabeth Mathews</t>
  </si>
  <si>
    <t xml:space="preserve">TXN-202607-008506</t>
  </si>
  <si>
    <t xml:space="preserve">LP-0709</t>
  </si>
  <si>
    <t xml:space="preserve">HERON WIND</t>
  </si>
  <si>
    <t xml:space="preserve">TXN-202607-008562</t>
  </si>
  <si>
    <t xml:space="preserve">LP-0710</t>
  </si>
  <si>
    <t xml:space="preserve">WL-03904</t>
  </si>
  <si>
    <t xml:space="preserve">Peggy Trevino</t>
  </si>
  <si>
    <t xml:space="preserve">BRANT SONG</t>
  </si>
  <si>
    <t xml:space="preserve">TXN-202607-008627</t>
  </si>
  <si>
    <t xml:space="preserve">LP-0711</t>
  </si>
  <si>
    <t xml:space="preserve">WL-01740</t>
  </si>
  <si>
    <t xml:space="preserve">Lisa Wyatt</t>
  </si>
  <si>
    <t xml:space="preserve">PINTAIL BAY</t>
  </si>
  <si>
    <t xml:space="preserve">TXN-202607-008673</t>
  </si>
  <si>
    <t xml:space="preserve">LP-0712</t>
  </si>
  <si>
    <t xml:space="preserve">WL-02936</t>
  </si>
  <si>
    <t xml:space="preserve">Matthew Spencer</t>
  </si>
  <si>
    <t xml:space="preserve">TXN-202607-008709</t>
  </si>
  <si>
    <t xml:space="preserve">LP-0713</t>
  </si>
  <si>
    <t xml:space="preserve">WL-03438</t>
  </si>
  <si>
    <t xml:space="preserve">Stacey Mitchell</t>
  </si>
  <si>
    <t xml:space="preserve">TXN-202607-008762</t>
  </si>
  <si>
    <t xml:space="preserve">LP-0714</t>
  </si>
  <si>
    <t xml:space="preserve">WL-01437</t>
  </si>
  <si>
    <t xml:space="preserve">Nicholas Woodward</t>
  </si>
  <si>
    <t xml:space="preserve">TXN-202607-008836</t>
  </si>
  <si>
    <t xml:space="preserve">WL-03454</t>
  </si>
  <si>
    <t xml:space="preserve">Jason Ramirez</t>
  </si>
  <si>
    <t xml:space="preserve">SABLE BAY</t>
  </si>
  <si>
    <t xml:space="preserve">TXN-202607-008887</t>
  </si>
  <si>
    <t xml:space="preserve">LP-0716</t>
  </si>
  <si>
    <t xml:space="preserve">WL-03594</t>
  </si>
  <si>
    <t xml:space="preserve">Teresa Smith</t>
  </si>
  <si>
    <t xml:space="preserve">MURRE ANN</t>
  </si>
  <si>
    <t xml:space="preserve">TXN-202607-008939</t>
  </si>
  <si>
    <t xml:space="preserve">LP-0717</t>
  </si>
  <si>
    <t xml:space="preserve">WL-01315</t>
  </si>
  <si>
    <t xml:space="preserve">Justin Richardson</t>
  </si>
  <si>
    <t xml:space="preserve">HERON MIST</t>
  </si>
  <si>
    <t xml:space="preserve">TXN-202607-008996</t>
  </si>
  <si>
    <t xml:space="preserve">LP-0718</t>
  </si>
  <si>
    <t xml:space="preserve">WL-03399</t>
  </si>
  <si>
    <t xml:space="preserve">Charles Case</t>
  </si>
  <si>
    <t xml:space="preserve">TXN-202607-009045</t>
  </si>
  <si>
    <t xml:space="preserve">LP-0719</t>
  </si>
  <si>
    <t xml:space="preserve">Natalie Olsen</t>
  </si>
  <si>
    <t xml:space="preserve">TXN-202607-009111</t>
  </si>
  <si>
    <t xml:space="preserve">LP-0720</t>
  </si>
  <si>
    <t xml:space="preserve">WL-01709</t>
  </si>
  <si>
    <t xml:space="preserve">Alexander Stephens</t>
  </si>
  <si>
    <t xml:space="preserve">TXN-202607-009163</t>
  </si>
  <si>
    <t xml:space="preserve">WL-02525</t>
  </si>
  <si>
    <t xml:space="preserve">Matthew Wright</t>
  </si>
  <si>
    <t xml:space="preserve">TXN-202607-009233</t>
  </si>
  <si>
    <t xml:space="preserve">LP-0723</t>
  </si>
  <si>
    <t xml:space="preserve">WL-01106</t>
  </si>
  <si>
    <t xml:space="preserve">ANCHOR QUEEN</t>
  </si>
  <si>
    <t xml:space="preserve">TXN-202607-009275</t>
  </si>
  <si>
    <t xml:space="preserve">LP-0724</t>
  </si>
  <si>
    <t xml:space="preserve">WL-01738</t>
  </si>
  <si>
    <t xml:space="preserve">Zachary Kramer</t>
  </si>
  <si>
    <t xml:space="preserve">TXN-202607-009315</t>
  </si>
  <si>
    <t xml:space="preserve">LP-0801</t>
  </si>
  <si>
    <t xml:space="preserve">WL-02322</t>
  </si>
  <si>
    <t xml:space="preserve">Allison Nguyen</t>
  </si>
  <si>
    <t xml:space="preserve">TXN-202607-009356</t>
  </si>
  <si>
    <t xml:space="preserve">LP-0802</t>
  </si>
  <si>
    <t xml:space="preserve">TXN-202607-009427</t>
  </si>
  <si>
    <t xml:space="preserve">WL-03367</t>
  </si>
  <si>
    <t xml:space="preserve">Jill Stevenson</t>
  </si>
  <si>
    <t xml:space="preserve">SEAL REACH</t>
  </si>
  <si>
    <t xml:space="preserve">TXN-202607-009492</t>
  </si>
  <si>
    <t xml:space="preserve">LP-0805</t>
  </si>
  <si>
    <t xml:space="preserve">WL-02244</t>
  </si>
  <si>
    <t xml:space="preserve">Victoria Nash</t>
  </si>
  <si>
    <t xml:space="preserve">SABLE WAKE</t>
  </si>
  <si>
    <t xml:space="preserve">TXN-202607-009564</t>
  </si>
  <si>
    <t xml:space="preserve">WL-02771</t>
  </si>
  <si>
    <t xml:space="preserve">Lisa Garcia</t>
  </si>
  <si>
    <t xml:space="preserve">TXN-202607-009635</t>
  </si>
  <si>
    <t xml:space="preserve">LP-0807</t>
  </si>
  <si>
    <t xml:space="preserve">Seth Perez</t>
  </si>
  <si>
    <t xml:space="preserve">COHO RUNNER</t>
  </si>
  <si>
    <t xml:space="preserve">TXN-202607-009718</t>
  </si>
  <si>
    <t xml:space="preserve">LP-0808</t>
  </si>
  <si>
    <t xml:space="preserve">WL-03318</t>
  </si>
  <si>
    <t xml:space="preserve">Denise Jordan</t>
  </si>
  <si>
    <t xml:space="preserve">TXN-202607-009768</t>
  </si>
  <si>
    <t xml:space="preserve">LP-0809</t>
  </si>
  <si>
    <t xml:space="preserve">Robert Rivas</t>
  </si>
  <si>
    <t xml:space="preserve">TXN-202607-009850</t>
  </si>
  <si>
    <t xml:space="preserve">LP-0811</t>
  </si>
  <si>
    <t xml:space="preserve">WL-02097</t>
  </si>
  <si>
    <t xml:space="preserve">Scott Brooks</t>
  </si>
  <si>
    <t xml:space="preserve">ANCHOR PASSAGE</t>
  </si>
  <si>
    <t xml:space="preserve">TXN-202607-009914</t>
  </si>
  <si>
    <t xml:space="preserve">LP-0812</t>
  </si>
  <si>
    <t xml:space="preserve">WL-02511</t>
  </si>
  <si>
    <t xml:space="preserve">Brett Lee</t>
  </si>
  <si>
    <t xml:space="preserve">GRAY WEATHER</t>
  </si>
  <si>
    <t xml:space="preserve">TXN-202607-009997</t>
  </si>
  <si>
    <t xml:space="preserve">LP-0813</t>
  </si>
  <si>
    <t xml:space="preserve">WL-02446</t>
  </si>
  <si>
    <t xml:space="preserve">Emily Parker</t>
  </si>
  <si>
    <t xml:space="preserve">TXN-202607-010076</t>
  </si>
  <si>
    <t xml:space="preserve">LP-0814</t>
  </si>
  <si>
    <t xml:space="preserve">WL-02409</t>
  </si>
  <si>
    <t xml:space="preserve">Danny Sexton</t>
  </si>
  <si>
    <t xml:space="preserve">TXN-202607-010152</t>
  </si>
  <si>
    <t xml:space="preserve">LP-0815</t>
  </si>
  <si>
    <t xml:space="preserve">Teresa Mcdowell</t>
  </si>
  <si>
    <t xml:space="preserve">CORMORANT ANN</t>
  </si>
  <si>
    <t xml:space="preserve">TXN-202607-010225</t>
  </si>
  <si>
    <t xml:space="preserve">WL-03243</t>
  </si>
  <si>
    <t xml:space="preserve">Jessica Long</t>
  </si>
  <si>
    <t xml:space="preserve">TXN-202607-010290</t>
  </si>
  <si>
    <t xml:space="preserve">WL-03630</t>
  </si>
  <si>
    <t xml:space="preserve">Tiffany Torres</t>
  </si>
  <si>
    <t xml:space="preserve">SCOTER MIST</t>
  </si>
  <si>
    <t xml:space="preserve">TXN-202607-010353</t>
  </si>
  <si>
    <t xml:space="preserve">LP-0818</t>
  </si>
  <si>
    <t xml:space="preserve">WL-02906</t>
  </si>
  <si>
    <t xml:space="preserve">Victor Turner</t>
  </si>
  <si>
    <t xml:space="preserve">TXN-202607-010426</t>
  </si>
  <si>
    <t xml:space="preserve">LP-0819</t>
  </si>
  <si>
    <t xml:space="preserve">WL-02164</t>
  </si>
  <si>
    <t xml:space="preserve">Adrienne Thompson</t>
  </si>
  <si>
    <t xml:space="preserve">TXN-202607-010481</t>
  </si>
  <si>
    <t xml:space="preserve">TXN-202607-010561</t>
  </si>
  <si>
    <t xml:space="preserve">LP-0821</t>
  </si>
  <si>
    <t xml:space="preserve">WL-03375</t>
  </si>
  <si>
    <t xml:space="preserve">Debra Rogers</t>
  </si>
  <si>
    <t xml:space="preserve">TXN-202607-010624</t>
  </si>
  <si>
    <t xml:space="preserve">WL-02728</t>
  </si>
  <si>
    <t xml:space="preserve">Ralph Archer</t>
  </si>
  <si>
    <t xml:space="preserve">TXN-202607-010688</t>
  </si>
  <si>
    <t xml:space="preserve">LP-0823</t>
  </si>
  <si>
    <t xml:space="preserve">WL-03320</t>
  </si>
  <si>
    <t xml:space="preserve">Maria Robinson</t>
  </si>
  <si>
    <t xml:space="preserve">COHO MOON</t>
  </si>
  <si>
    <t xml:space="preserve">TXN-202607-010740</t>
  </si>
  <si>
    <t xml:space="preserve">LP-0824</t>
  </si>
  <si>
    <t xml:space="preserve">WL-01024</t>
  </si>
  <si>
    <t xml:space="preserve">Jennifer Henson</t>
  </si>
  <si>
    <t xml:space="preserve">TXN-202607-010786</t>
  </si>
  <si>
    <t xml:space="preserve">WL-02661</t>
  </si>
  <si>
    <t xml:space="preserve">Angela Poole</t>
  </si>
  <si>
    <t xml:space="preserve">HERON BAY</t>
  </si>
  <si>
    <t xml:space="preserve">TXN-202607-010866</t>
  </si>
  <si>
    <t xml:space="preserve">LP-0902</t>
  </si>
  <si>
    <t xml:space="preserve">WL-01872</t>
  </si>
  <si>
    <t xml:space="preserve">Neil Adkins</t>
  </si>
  <si>
    <t xml:space="preserve">TXN-202607-010913</t>
  </si>
  <si>
    <t xml:space="preserve">LP-0903</t>
  </si>
  <si>
    <t xml:space="preserve">TXN-202607-010993</t>
  </si>
  <si>
    <t xml:space="preserve">LP-0904</t>
  </si>
  <si>
    <t xml:space="preserve">WL-03771</t>
  </si>
  <si>
    <t xml:space="preserve">Alexander Cross</t>
  </si>
  <si>
    <t xml:space="preserve">WIDGEON WAKE</t>
  </si>
  <si>
    <t xml:space="preserve">TXN-202607-011039</t>
  </si>
  <si>
    <t xml:space="preserve">LP-0905</t>
  </si>
  <si>
    <t xml:space="preserve">WL-01795</t>
  </si>
  <si>
    <t xml:space="preserve">Emily Alexander</t>
  </si>
  <si>
    <t xml:space="preserve">TXN-202607-011111</t>
  </si>
  <si>
    <t xml:space="preserve">WL-03019</t>
  </si>
  <si>
    <t xml:space="preserve">Denise Bonilla</t>
  </si>
  <si>
    <t xml:space="preserve">KESTREL QUEEN</t>
  </si>
  <si>
    <t xml:space="preserve">TXN-202607-011185</t>
  </si>
  <si>
    <t xml:space="preserve">LP-0907</t>
  </si>
  <si>
    <t xml:space="preserve">WL-02873</t>
  </si>
  <si>
    <t xml:space="preserve">Brittany Wilkerson</t>
  </si>
  <si>
    <t xml:space="preserve">TXN-202607-011261</t>
  </si>
  <si>
    <t xml:space="preserve">WL-01005</t>
  </si>
  <si>
    <t xml:space="preserve">Joseph Sharp</t>
  </si>
  <si>
    <t xml:space="preserve">TXN-202607-011327</t>
  </si>
  <si>
    <t xml:space="preserve">LP-0909</t>
  </si>
  <si>
    <t xml:space="preserve">TXN-202607-011386</t>
  </si>
  <si>
    <t xml:space="preserve">LP-0910</t>
  </si>
  <si>
    <t xml:space="preserve">WL-01992</t>
  </si>
  <si>
    <t xml:space="preserve">John Davis</t>
  </si>
  <si>
    <t xml:space="preserve">TXN-202607-011447</t>
  </si>
  <si>
    <t xml:space="preserve">LP-0911</t>
  </si>
  <si>
    <t xml:space="preserve">POINT SONG</t>
  </si>
  <si>
    <t xml:space="preserve">TXN-202607-011510</t>
  </si>
  <si>
    <t xml:space="preserve">LP-0912</t>
  </si>
  <si>
    <t xml:space="preserve">WL-02965</t>
  </si>
  <si>
    <t xml:space="preserve">Harry Koch</t>
  </si>
  <si>
    <t xml:space="preserve">TXN-202607-011584</t>
  </si>
  <si>
    <t xml:space="preserve">LP-0913</t>
  </si>
  <si>
    <t xml:space="preserve">WL-02303</t>
  </si>
  <si>
    <t xml:space="preserve">Christina Hernandez</t>
  </si>
  <si>
    <t xml:space="preserve">TXN-202607-011645</t>
  </si>
  <si>
    <t xml:space="preserve">LP-0914</t>
  </si>
  <si>
    <t xml:space="preserve">WL-01697</t>
  </si>
  <si>
    <t xml:space="preserve">Paige Brown</t>
  </si>
  <si>
    <t xml:space="preserve">TXN-202607-011700</t>
  </si>
  <si>
    <t xml:space="preserve">WL-01416</t>
  </si>
  <si>
    <t xml:space="preserve">Carmen Hernandez</t>
  </si>
  <si>
    <t xml:space="preserve">SCOTER REACH</t>
  </si>
  <si>
    <t xml:space="preserve">TXN-202607-011765</t>
  </si>
  <si>
    <t xml:space="preserve">LP-0917</t>
  </si>
  <si>
    <t xml:space="preserve">WL-01392</t>
  </si>
  <si>
    <t xml:space="preserve">Ryan Carr</t>
  </si>
  <si>
    <t xml:space="preserve">TIDE CREST</t>
  </si>
  <si>
    <t xml:space="preserve">TXN-202607-011845</t>
  </si>
  <si>
    <t xml:space="preserve">LP-0918</t>
  </si>
  <si>
    <t xml:space="preserve">WL-03842</t>
  </si>
  <si>
    <t xml:space="preserve">Jennifer Campbell</t>
  </si>
  <si>
    <t xml:space="preserve">ANCHOR SOUND</t>
  </si>
  <si>
    <t xml:space="preserve">TXN-202607-011918</t>
  </si>
  <si>
    <t xml:space="preserve">LP-0919</t>
  </si>
  <si>
    <t xml:space="preserve">WL-02994</t>
  </si>
  <si>
    <t xml:space="preserve">Pamela Wright</t>
  </si>
  <si>
    <t xml:space="preserve">TXN-202607-011954</t>
  </si>
  <si>
    <t xml:space="preserve">LP-0920</t>
  </si>
  <si>
    <t xml:space="preserve">WL-01174</t>
  </si>
  <si>
    <t xml:space="preserve">Jason Kim</t>
  </si>
  <si>
    <t xml:space="preserve">TXN-202607-012021</t>
  </si>
  <si>
    <t xml:space="preserve">LP-0921</t>
  </si>
  <si>
    <t xml:space="preserve">WL-02368</t>
  </si>
  <si>
    <t xml:space="preserve">Chris Chavez</t>
  </si>
  <si>
    <t xml:space="preserve">COHO ROSE</t>
  </si>
  <si>
    <t xml:space="preserve">TXN-202607-012058</t>
  </si>
  <si>
    <t xml:space="preserve">LP-0922</t>
  </si>
  <si>
    <t xml:space="preserve">TXN-202607-012122</t>
  </si>
  <si>
    <t xml:space="preserve">WL-02672</t>
  </si>
  <si>
    <t xml:space="preserve">Russell Barnes</t>
  </si>
  <si>
    <t xml:space="preserve">TXN-202607-012195</t>
  </si>
  <si>
    <t xml:space="preserve">LP-0924</t>
  </si>
  <si>
    <t xml:space="preserve">MA-2024-0924</t>
  </si>
  <si>
    <t xml:space="preserve">WL-01312</t>
  </si>
  <si>
    <t xml:space="preserve">Matthew King</t>
  </si>
  <si>
    <t xml:space="preserve">TXN-202607-012241</t>
  </si>
  <si>
    <t xml:space="preserve">WL-03184</t>
  </si>
  <si>
    <t xml:space="preserve">Lindsay Alexander</t>
  </si>
  <si>
    <t xml:space="preserve">TXN-202607-012319</t>
  </si>
  <si>
    <t xml:space="preserve">LP-1002</t>
  </si>
  <si>
    <t xml:space="preserve">WL-03393</t>
  </si>
  <si>
    <t xml:space="preserve">Richard Norris</t>
  </si>
  <si>
    <t xml:space="preserve">SALISH SOUND</t>
  </si>
  <si>
    <t xml:space="preserve">TXN-202607-012376</t>
  </si>
  <si>
    <t xml:space="preserve">LP-1003</t>
  </si>
  <si>
    <t xml:space="preserve">WL-01310</t>
  </si>
  <si>
    <t xml:space="preserve">Donna Weber</t>
  </si>
  <si>
    <t xml:space="preserve">TXN-202607-012437</t>
  </si>
  <si>
    <t xml:space="preserve">LP-1004</t>
  </si>
  <si>
    <t xml:space="preserve">WL-03418</t>
  </si>
  <si>
    <t xml:space="preserve">Mary Ford</t>
  </si>
  <si>
    <t xml:space="preserve">FOUL RUNNER</t>
  </si>
  <si>
    <t xml:space="preserve">TXN-202607-012505</t>
  </si>
  <si>
    <t xml:space="preserve">LP-1005</t>
  </si>
  <si>
    <t xml:space="preserve">WL-03728</t>
  </si>
  <si>
    <t xml:space="preserve">Gary Wade</t>
  </si>
  <si>
    <t xml:space="preserve">TXN-202607-012562</t>
  </si>
  <si>
    <t xml:space="preserve">LP-1006</t>
  </si>
  <si>
    <t xml:space="preserve">WL-02721</t>
  </si>
  <si>
    <t xml:space="preserve">Carol Scott</t>
  </si>
  <si>
    <t xml:space="preserve">KESTREL ROCK</t>
  </si>
  <si>
    <t xml:space="preserve">TXN-202607-012634</t>
  </si>
  <si>
    <t xml:space="preserve">LP-1007</t>
  </si>
  <si>
    <t xml:space="preserve">WL-03683</t>
  </si>
  <si>
    <t xml:space="preserve">Shawn Carter</t>
  </si>
  <si>
    <t xml:space="preserve">TXN-202607-012707</t>
  </si>
  <si>
    <t xml:space="preserve">LP-1008</t>
  </si>
  <si>
    <t xml:space="preserve">WL-02719</t>
  </si>
  <si>
    <t xml:space="preserve">Travis Sexton</t>
  </si>
  <si>
    <t xml:space="preserve">TXN-202607-012765</t>
  </si>
  <si>
    <t xml:space="preserve">WL-01829</t>
  </si>
  <si>
    <t xml:space="preserve">Bradley Franklin</t>
  </si>
  <si>
    <t xml:space="preserve">TXN-202607-012831</t>
  </si>
  <si>
    <t xml:space="preserve">LP-1010</t>
  </si>
  <si>
    <t xml:space="preserve">WL-01700</t>
  </si>
  <si>
    <t xml:space="preserve">Sherry Fletcher</t>
  </si>
  <si>
    <t xml:space="preserve">TXN-202607-012875</t>
  </si>
  <si>
    <t xml:space="preserve">LP-1011</t>
  </si>
  <si>
    <t xml:space="preserve">TXN-202607-012942</t>
  </si>
  <si>
    <t xml:space="preserve">LP-1012</t>
  </si>
  <si>
    <t xml:space="preserve">WL-02088</t>
  </si>
  <si>
    <t xml:space="preserve">Yvonne Collins</t>
  </si>
  <si>
    <t xml:space="preserve">TXN-202607-012989</t>
  </si>
  <si>
    <t xml:space="preserve">LP-1013</t>
  </si>
  <si>
    <t xml:space="preserve">TXN-202607-013037</t>
  </si>
  <si>
    <t xml:space="preserve">LP-1014</t>
  </si>
  <si>
    <t xml:space="preserve">TXN-202607-013098</t>
  </si>
  <si>
    <t xml:space="preserve">LP-1016</t>
  </si>
  <si>
    <t xml:space="preserve">WL-03089</t>
  </si>
  <si>
    <t xml:space="preserve">Joshua Rivera</t>
  </si>
  <si>
    <t xml:space="preserve">TXN-202607-013161</t>
  </si>
  <si>
    <t xml:space="preserve">LP-1017</t>
  </si>
  <si>
    <t xml:space="preserve">WL-01838</t>
  </si>
  <si>
    <t xml:space="preserve">James Gregory</t>
  </si>
  <si>
    <t xml:space="preserve">TXN-202607-013208</t>
  </si>
  <si>
    <t xml:space="preserve">LP-1018</t>
  </si>
  <si>
    <t xml:space="preserve">WL-01243</t>
  </si>
  <si>
    <t xml:space="preserve">Christina Rivera</t>
  </si>
  <si>
    <t xml:space="preserve">TXN-202607-013253</t>
  </si>
  <si>
    <t xml:space="preserve">LP-1020</t>
  </si>
  <si>
    <t xml:space="preserve">WL-01990</t>
  </si>
  <si>
    <t xml:space="preserve">Michael Taylor</t>
  </si>
  <si>
    <t xml:space="preserve">TXN-202607-013319</t>
  </si>
  <si>
    <t xml:space="preserve">LP-1021</t>
  </si>
  <si>
    <t xml:space="preserve">WL-02827</t>
  </si>
  <si>
    <t xml:space="preserve">Kimberly Wilson</t>
  </si>
  <si>
    <t xml:space="preserve">TXN-202607-013397</t>
  </si>
  <si>
    <t xml:space="preserve">LP-1022</t>
  </si>
  <si>
    <t xml:space="preserve">WL-01807</t>
  </si>
  <si>
    <t xml:space="preserve">Kathleen Mcdonald</t>
  </si>
  <si>
    <t xml:space="preserve">TXN-202607-013451</t>
  </si>
  <si>
    <t xml:space="preserve">LP-1023</t>
  </si>
  <si>
    <t xml:space="preserve">WL-01364</t>
  </si>
  <si>
    <t xml:space="preserve">Patrick Richmond</t>
  </si>
  <si>
    <t xml:space="preserve">TXN-202607-013500</t>
  </si>
  <si>
    <t xml:space="preserve">WL-01028</t>
  </si>
  <si>
    <t xml:space="preserve">Brittany Benson</t>
  </si>
  <si>
    <t xml:space="preserve">TXN-202607-013547</t>
  </si>
  <si>
    <t xml:space="preserve">MA-2024-1102</t>
  </si>
  <si>
    <t xml:space="preserve">WL-03792</t>
  </si>
  <si>
    <t xml:space="preserve">Rodney Morris</t>
  </si>
  <si>
    <t xml:space="preserve">TXN-202607-013587</t>
  </si>
  <si>
    <t xml:space="preserve">MA-2024-1103</t>
  </si>
  <si>
    <t xml:space="preserve">WL-03118</t>
  </si>
  <si>
    <t xml:space="preserve">Amanda Clayton</t>
  </si>
  <si>
    <t xml:space="preserve">TXN-202607-013655</t>
  </si>
  <si>
    <t xml:space="preserve">MA-2024-1104</t>
  </si>
  <si>
    <t xml:space="preserve">WL-03003</t>
  </si>
  <si>
    <t xml:space="preserve">Trevor Turner</t>
  </si>
  <si>
    <t xml:space="preserve">TXN-202607-013717</t>
  </si>
  <si>
    <t xml:space="preserve">MA-2024-1105</t>
  </si>
  <si>
    <t xml:space="preserve">WL-02015</t>
  </si>
  <si>
    <t xml:space="preserve">Kenneth Frazier</t>
  </si>
  <si>
    <t xml:space="preserve">HERON VEER</t>
  </si>
  <si>
    <t xml:space="preserve">TXN-202607-013760</t>
  </si>
  <si>
    <t xml:space="preserve">LP-1106</t>
  </si>
  <si>
    <t xml:space="preserve">MA-2024-1106</t>
  </si>
  <si>
    <t xml:space="preserve">WL-01668</t>
  </si>
  <si>
    <t xml:space="preserve">Marisa Alexander</t>
  </si>
  <si>
    <t xml:space="preserve">BRANT STAR</t>
  </si>
  <si>
    <t xml:space="preserve">TXN-202607-013805</t>
  </si>
  <si>
    <t xml:space="preserve">MA-2024-1107</t>
  </si>
  <si>
    <t xml:space="preserve">WL-03768</t>
  </si>
  <si>
    <t xml:space="preserve">Michael Ramirez</t>
  </si>
  <si>
    <t xml:space="preserve">CORMORANT SOUND</t>
  </si>
  <si>
    <t xml:space="preserve">TXN-202607-013871</t>
  </si>
  <si>
    <t xml:space="preserve">MA-2024-1108</t>
  </si>
  <si>
    <t xml:space="preserve">WL-02575</t>
  </si>
  <si>
    <t xml:space="preserve">Victoria Aguirre</t>
  </si>
  <si>
    <t xml:space="preserve">TXN-202607-013933</t>
  </si>
  <si>
    <t xml:space="preserve">MA-2024-1109</t>
  </si>
  <si>
    <t xml:space="preserve">WL-02691</t>
  </si>
  <si>
    <t xml:space="preserve">Pamela Le</t>
  </si>
  <si>
    <t xml:space="preserve">TXN-202607-014013</t>
  </si>
  <si>
    <t xml:space="preserve">LP-1110</t>
  </si>
  <si>
    <t xml:space="preserve">MA-2024-1110</t>
  </si>
  <si>
    <t xml:space="preserve">WL-01093</t>
  </si>
  <si>
    <t xml:space="preserve">John Garcia</t>
  </si>
  <si>
    <t xml:space="preserve">TXN-202607-014075</t>
  </si>
  <si>
    <t xml:space="preserve">LP-1111</t>
  </si>
  <si>
    <t xml:space="preserve">MA-2024-1111</t>
  </si>
  <si>
    <t xml:space="preserve">TXN-202607-014137</t>
  </si>
  <si>
    <t xml:space="preserve">LP-1112</t>
  </si>
  <si>
    <t xml:space="preserve">MA-2024-1112</t>
  </si>
  <si>
    <t xml:space="preserve">WL-03706</t>
  </si>
  <si>
    <t xml:space="preserve">Nicole Richmond</t>
  </si>
  <si>
    <t xml:space="preserve">TXN-202607-014205</t>
  </si>
  <si>
    <t xml:space="preserve">LP-1113</t>
  </si>
  <si>
    <t xml:space="preserve">MA-2024-1113</t>
  </si>
  <si>
    <t xml:space="preserve">WL-02029</t>
  </si>
  <si>
    <t xml:space="preserve">Whitney Jackson</t>
  </si>
  <si>
    <t xml:space="preserve">TXN-202607-014273</t>
  </si>
  <si>
    <t xml:space="preserve">LP-1114</t>
  </si>
  <si>
    <t xml:space="preserve">MA-2024-1114</t>
  </si>
  <si>
    <t xml:space="preserve">WL-01680</t>
  </si>
  <si>
    <t xml:space="preserve">Sara Nelson</t>
  </si>
  <si>
    <t xml:space="preserve">TXN-202607-014327</t>
  </si>
  <si>
    <t xml:space="preserve">LP-1115</t>
  </si>
  <si>
    <t xml:space="preserve">MA-2024-1115</t>
  </si>
  <si>
    <t xml:space="preserve">WL-02792</t>
  </si>
  <si>
    <t xml:space="preserve">Michelle Marsh</t>
  </si>
  <si>
    <t xml:space="preserve">TXN-202607-014383</t>
  </si>
  <si>
    <t xml:space="preserve">MA-2024-1116</t>
  </si>
  <si>
    <t xml:space="preserve">WL-03453</t>
  </si>
  <si>
    <t xml:space="preserve">Kelly Johnson</t>
  </si>
  <si>
    <t xml:space="preserve">TXN-202607-014422</t>
  </si>
  <si>
    <t xml:space="preserve">LP-1117</t>
  </si>
  <si>
    <t xml:space="preserve">MA-2024-1117</t>
  </si>
  <si>
    <t xml:space="preserve">WL-01944</t>
  </si>
  <si>
    <t xml:space="preserve">Tina Wells</t>
  </si>
  <si>
    <t xml:space="preserve">TXN-202607-014477</t>
  </si>
  <si>
    <t xml:space="preserve">LP-1118</t>
  </si>
  <si>
    <t xml:space="preserve">MA-2024-1118</t>
  </si>
  <si>
    <t xml:space="preserve">WL-02489</t>
  </si>
  <si>
    <t xml:space="preserve">Caitlin Burgess</t>
  </si>
  <si>
    <t xml:space="preserve">TXN-202607-014535</t>
  </si>
  <si>
    <t xml:space="preserve">LP-1119</t>
  </si>
  <si>
    <t xml:space="preserve">MA-2024-1119</t>
  </si>
  <si>
    <t xml:space="preserve">WL-03252</t>
  </si>
  <si>
    <t xml:space="preserve">John Gregory</t>
  </si>
  <si>
    <t xml:space="preserve">SANDERLING CREST</t>
  </si>
  <si>
    <t xml:space="preserve">TXN-202607-014591</t>
  </si>
  <si>
    <t xml:space="preserve">LP-1120</t>
  </si>
  <si>
    <t xml:space="preserve">MA-2024-1120</t>
  </si>
  <si>
    <t xml:space="preserve">WL-01021</t>
  </si>
  <si>
    <t xml:space="preserve">Deborah Freeman</t>
  </si>
  <si>
    <t xml:space="preserve">TXN-202607-014634</t>
  </si>
  <si>
    <t xml:space="preserve">VB-0101</t>
  </si>
  <si>
    <t xml:space="preserve">WL-03423</t>
  </si>
  <si>
    <t xml:space="preserve">Sarah Walker</t>
  </si>
  <si>
    <t xml:space="preserve">TXN-202607-014675</t>
  </si>
  <si>
    <t xml:space="preserve">VB-0102</t>
  </si>
  <si>
    <t xml:space="preserve">WL-03356</t>
  </si>
  <si>
    <t xml:space="preserve">Nathaniel Flores</t>
  </si>
  <si>
    <t xml:space="preserve">TXN-202607-014729</t>
  </si>
  <si>
    <t xml:space="preserve">VB-0103</t>
  </si>
  <si>
    <t xml:space="preserve">TXN-202607-014785</t>
  </si>
  <si>
    <t xml:space="preserve">VB-0105</t>
  </si>
  <si>
    <t xml:space="preserve">WL-03843</t>
  </si>
  <si>
    <t xml:space="preserve">Tricia Davila</t>
  </si>
  <si>
    <t xml:space="preserve">TXN-202607-014868</t>
  </si>
  <si>
    <t xml:space="preserve">VB-0106</t>
  </si>
  <si>
    <t xml:space="preserve">WL-01252</t>
  </si>
  <si>
    <t xml:space="preserve">Regina Brown</t>
  </si>
  <si>
    <t xml:space="preserve">TXN-202607-014947</t>
  </si>
  <si>
    <t xml:space="preserve">VB-0107</t>
  </si>
  <si>
    <t xml:space="preserve">TXN-202607-014998</t>
  </si>
  <si>
    <t xml:space="preserve">VB-0108</t>
  </si>
  <si>
    <t xml:space="preserve">WL-03877</t>
  </si>
  <si>
    <t xml:space="preserve">Jerry Davis</t>
  </si>
  <si>
    <t xml:space="preserve">TXN-202607-015078</t>
  </si>
  <si>
    <t xml:space="preserve">VB-0109</t>
  </si>
  <si>
    <t xml:space="preserve">WL-02551</t>
  </si>
  <si>
    <t xml:space="preserve">Nicole Brown</t>
  </si>
  <si>
    <t xml:space="preserve">TXN-202607-015132</t>
  </si>
  <si>
    <t xml:space="preserve">VB-0110</t>
  </si>
  <si>
    <t xml:space="preserve">WL-01895</t>
  </si>
  <si>
    <t xml:space="preserve">TXN-202607-015180</t>
  </si>
  <si>
    <t xml:space="preserve">VB-0111</t>
  </si>
  <si>
    <t xml:space="preserve">WL-03639</t>
  </si>
  <si>
    <t xml:space="preserve">Toni Graves</t>
  </si>
  <si>
    <t xml:space="preserve">TXN-202607-015250</t>
  </si>
  <si>
    <t xml:space="preserve">VB-0112</t>
  </si>
  <si>
    <t xml:space="preserve">WL-01196</t>
  </si>
  <si>
    <t xml:space="preserve">Valerie Montgomery</t>
  </si>
  <si>
    <t xml:space="preserve">TXN-202607-015321</t>
  </si>
  <si>
    <t xml:space="preserve">WL-01600</t>
  </si>
  <si>
    <t xml:space="preserve">Kimberly Solomon</t>
  </si>
  <si>
    <t xml:space="preserve">TXN-202607-015364</t>
  </si>
  <si>
    <t xml:space="preserve">VB-0114</t>
  </si>
  <si>
    <t xml:space="preserve">WL-02156</t>
  </si>
  <si>
    <t xml:space="preserve">Ariana Jenkins</t>
  </si>
  <si>
    <t xml:space="preserve">TXN-202607-015428</t>
  </si>
  <si>
    <t xml:space="preserve">VB-0115</t>
  </si>
  <si>
    <t xml:space="preserve">WL-03848</t>
  </si>
  <si>
    <t xml:space="preserve">Anne Thomas</t>
  </si>
  <si>
    <t xml:space="preserve">TXN-202607-015499</t>
  </si>
  <si>
    <t xml:space="preserve">VB-0116</t>
  </si>
  <si>
    <t xml:space="preserve">WL-03426</t>
  </si>
  <si>
    <t xml:space="preserve">Amanda Jackson</t>
  </si>
  <si>
    <t xml:space="preserve">TXN-202607-015579</t>
  </si>
  <si>
    <t xml:space="preserve">VB-0117</t>
  </si>
  <si>
    <t xml:space="preserve">WL-01706</t>
  </si>
  <si>
    <t xml:space="preserve">Michael Lee</t>
  </si>
  <si>
    <t xml:space="preserve">TXN-202607-015657</t>
  </si>
  <si>
    <t xml:space="preserve">TXN-202607-015717</t>
  </si>
  <si>
    <t xml:space="preserve">VB-0119</t>
  </si>
  <si>
    <t xml:space="preserve">WL-01640</t>
  </si>
  <si>
    <t xml:space="preserve">Tammy Stone</t>
  </si>
  <si>
    <t xml:space="preserve">TXN-202607-015772</t>
  </si>
  <si>
    <t xml:space="preserve">VB-0120</t>
  </si>
  <si>
    <t xml:space="preserve">WL-02030</t>
  </si>
  <si>
    <t xml:space="preserve">Adam Carr</t>
  </si>
  <si>
    <t xml:space="preserve">TXN-202607-015847</t>
  </si>
  <si>
    <t xml:space="preserve">VB-0121</t>
  </si>
  <si>
    <t xml:space="preserve">WL-02857</t>
  </si>
  <si>
    <t xml:space="preserve">Charles Nichols</t>
  </si>
  <si>
    <t xml:space="preserve">BRANT LIGHT</t>
  </si>
  <si>
    <t xml:space="preserve">TXN-202607-015890</t>
  </si>
  <si>
    <t xml:space="preserve">VB-0122</t>
  </si>
  <si>
    <t xml:space="preserve">WL-01705</t>
  </si>
  <si>
    <t xml:space="preserve">Tracy Walker</t>
  </si>
  <si>
    <t xml:space="preserve">SEAL LIGHT</t>
  </si>
  <si>
    <t xml:space="preserve">TXN-202607-015962</t>
  </si>
  <si>
    <t xml:space="preserve">WL-03171</t>
  </si>
  <si>
    <t xml:space="preserve">Destiny Tucker</t>
  </si>
  <si>
    <t xml:space="preserve">TXN-202607-016005</t>
  </si>
  <si>
    <t xml:space="preserve">VB-0124</t>
  </si>
  <si>
    <t xml:space="preserve">WL-03145</t>
  </si>
  <si>
    <t xml:space="preserve">Connie Hernandez</t>
  </si>
  <si>
    <t xml:space="preserve">HERON WEATHER</t>
  </si>
  <si>
    <t xml:space="preserve">TXN-202607-016049</t>
  </si>
  <si>
    <t xml:space="preserve">WL-01629</t>
  </si>
  <si>
    <t xml:space="preserve">Mary Parker</t>
  </si>
  <si>
    <t xml:space="preserve">TXN-202607-016110</t>
  </si>
  <si>
    <t xml:space="preserve">VB-0202</t>
  </si>
  <si>
    <t xml:space="preserve">WL-02677</t>
  </si>
  <si>
    <t xml:space="preserve">Brandon Cabrera</t>
  </si>
  <si>
    <t xml:space="preserve">TXN-202607-016172</t>
  </si>
  <si>
    <t xml:space="preserve">VB-0203</t>
  </si>
  <si>
    <t xml:space="preserve">WL-03705</t>
  </si>
  <si>
    <t xml:space="preserve">Brittany Garcia</t>
  </si>
  <si>
    <t xml:space="preserve">TXN-202607-016221</t>
  </si>
  <si>
    <t xml:space="preserve">VB-0204</t>
  </si>
  <si>
    <t xml:space="preserve">WL-03015</t>
  </si>
  <si>
    <t xml:space="preserve">Andrew Osborne</t>
  </si>
  <si>
    <t xml:space="preserve">TXN-202607-016303</t>
  </si>
  <si>
    <t xml:space="preserve">WL-02622</t>
  </si>
  <si>
    <t xml:space="preserve">Laura Murillo</t>
  </si>
  <si>
    <t xml:space="preserve">TXN-202607-016358</t>
  </si>
  <si>
    <t xml:space="preserve">VB-0206</t>
  </si>
  <si>
    <t xml:space="preserve">WL-01377</t>
  </si>
  <si>
    <t xml:space="preserve">Rhonda Ferguson</t>
  </si>
  <si>
    <t xml:space="preserve">TXN-202607-016409</t>
  </si>
  <si>
    <t xml:space="preserve">VB-0207</t>
  </si>
  <si>
    <t xml:space="preserve">WL-03580</t>
  </si>
  <si>
    <t xml:space="preserve">Rebecca Carson</t>
  </si>
  <si>
    <t xml:space="preserve">TXN-202607-016463</t>
  </si>
  <si>
    <t xml:space="preserve">VB-0208</t>
  </si>
  <si>
    <t xml:space="preserve">WL-03499</t>
  </si>
  <si>
    <t xml:space="preserve">Cameron Foster</t>
  </si>
  <si>
    <t xml:space="preserve">TXN-202607-016514</t>
  </si>
  <si>
    <t xml:space="preserve">WL-02734</t>
  </si>
  <si>
    <t xml:space="preserve">Kenneth Lewis</t>
  </si>
  <si>
    <t xml:space="preserve">GRAY HARBOR</t>
  </si>
  <si>
    <t xml:space="preserve">TXN-202607-016567</t>
  </si>
  <si>
    <t xml:space="preserve">VB-0210</t>
  </si>
  <si>
    <t xml:space="preserve">Michael Lopez</t>
  </si>
  <si>
    <t xml:space="preserve">DRIFT ANN</t>
  </si>
  <si>
    <t xml:space="preserve">TXN-202607-016609</t>
  </si>
  <si>
    <t xml:space="preserve">VB-0211</t>
  </si>
  <si>
    <t xml:space="preserve">TXN-202607-016680</t>
  </si>
  <si>
    <t xml:space="preserve">VB-0212</t>
  </si>
  <si>
    <t xml:space="preserve">WL-02983</t>
  </si>
  <si>
    <t xml:space="preserve">Albert Rodriguez</t>
  </si>
  <si>
    <t xml:space="preserve">TXN-202607-016760</t>
  </si>
  <si>
    <t xml:space="preserve">VB-0213</t>
  </si>
  <si>
    <t xml:space="preserve">WL-01002</t>
  </si>
  <si>
    <t xml:space="preserve">Virginia Ramirez</t>
  </si>
  <si>
    <t xml:space="preserve">TXN-202607-016820</t>
  </si>
  <si>
    <t xml:space="preserve">VB-0214</t>
  </si>
  <si>
    <t xml:space="preserve">WL-01871</t>
  </si>
  <si>
    <t xml:space="preserve">Amber Munoz</t>
  </si>
  <si>
    <t xml:space="preserve">TXN-202607-016900</t>
  </si>
  <si>
    <t xml:space="preserve">VB-0215</t>
  </si>
  <si>
    <t xml:space="preserve">WL-03364</t>
  </si>
  <si>
    <t xml:space="preserve">Brenda Patel</t>
  </si>
  <si>
    <t xml:space="preserve">TXN-202607-016984</t>
  </si>
  <si>
    <t xml:space="preserve">VB-0216</t>
  </si>
  <si>
    <t xml:space="preserve">WL-02253</t>
  </si>
  <si>
    <t xml:space="preserve">Nathan Parker</t>
  </si>
  <si>
    <t xml:space="preserve">TXN-202607-017046</t>
  </si>
  <si>
    <t xml:space="preserve">VB-0217</t>
  </si>
  <si>
    <t xml:space="preserve">WL-03383</t>
  </si>
  <si>
    <t xml:space="preserve">Michelle Potter</t>
  </si>
  <si>
    <t xml:space="preserve">CORMORANT SONG</t>
  </si>
  <si>
    <t xml:space="preserve">TXN-202607-017084</t>
  </si>
  <si>
    <t xml:space="preserve">VB-0218</t>
  </si>
  <si>
    <t xml:space="preserve">WL-02534</t>
  </si>
  <si>
    <t xml:space="preserve">Daniel Erickson</t>
  </si>
  <si>
    <t xml:space="preserve">TXN-202607-017127</t>
  </si>
  <si>
    <t xml:space="preserve">VB-0219</t>
  </si>
  <si>
    <t xml:space="preserve">WL-02980</t>
  </si>
  <si>
    <t xml:space="preserve">Elizabeth Dixon</t>
  </si>
  <si>
    <t xml:space="preserve">TXN-202607-017190</t>
  </si>
  <si>
    <t xml:space="preserve">WL-02537</t>
  </si>
  <si>
    <t xml:space="preserve">Calvin Nelson</t>
  </si>
  <si>
    <t xml:space="preserve">SALISH LIGHT</t>
  </si>
  <si>
    <t xml:space="preserve">TXN-202607-017234</t>
  </si>
  <si>
    <t xml:space="preserve">VB-0221</t>
  </si>
  <si>
    <t xml:space="preserve">WL-01130</t>
  </si>
  <si>
    <t xml:space="preserve">Thomas Davis</t>
  </si>
  <si>
    <t xml:space="preserve">TXN-202607-017305</t>
  </si>
  <si>
    <t xml:space="preserve">WL-02331</t>
  </si>
  <si>
    <t xml:space="preserve">Cassandra Gibbs</t>
  </si>
  <si>
    <t xml:space="preserve">TXN-202607-017364</t>
  </si>
  <si>
    <t xml:space="preserve">WL-02078</t>
  </si>
  <si>
    <t xml:space="preserve">Brian Kramer</t>
  </si>
  <si>
    <t xml:space="preserve">HALIBUT DANCER</t>
  </si>
  <si>
    <t xml:space="preserve">TXN-202607-017444</t>
  </si>
  <si>
    <t xml:space="preserve">WL-01263</t>
  </si>
  <si>
    <t xml:space="preserve">Sandra Goodwin</t>
  </si>
  <si>
    <t xml:space="preserve">TXN-202607-017486</t>
  </si>
  <si>
    <t xml:space="preserve">VB-0302</t>
  </si>
  <si>
    <t xml:space="preserve">WL-01447</t>
  </si>
  <si>
    <t xml:space="preserve">Tim Bailey</t>
  </si>
  <si>
    <t xml:space="preserve">TXN-202607-017532</t>
  </si>
  <si>
    <t xml:space="preserve">VB-0303</t>
  </si>
  <si>
    <t xml:space="preserve">WL-01339</t>
  </si>
  <si>
    <t xml:space="preserve">Robert Houston</t>
  </si>
  <si>
    <t xml:space="preserve">TXN-202607-017583</t>
  </si>
  <si>
    <t xml:space="preserve">WL-01303</t>
  </si>
  <si>
    <t xml:space="preserve">Robert Harmon</t>
  </si>
  <si>
    <t xml:space="preserve">TXN-202607-017649</t>
  </si>
  <si>
    <t xml:space="preserve">VB-0305</t>
  </si>
  <si>
    <t xml:space="preserve">WL-02130</t>
  </si>
  <si>
    <t xml:space="preserve">Sierra Le</t>
  </si>
  <si>
    <t xml:space="preserve">TXN-202607-017701</t>
  </si>
  <si>
    <t xml:space="preserve">TXN-202607-017752</t>
  </si>
  <si>
    <t xml:space="preserve">VB-0307</t>
  </si>
  <si>
    <t xml:space="preserve">WL-01379</t>
  </si>
  <si>
    <t xml:space="preserve">Jacob Wong</t>
  </si>
  <si>
    <t xml:space="preserve">TXN-202607-017804</t>
  </si>
  <si>
    <t xml:space="preserve">VB-0308</t>
  </si>
  <si>
    <t xml:space="preserve">WL-03564</t>
  </si>
  <si>
    <t xml:space="preserve">Amy Hernandez</t>
  </si>
  <si>
    <t xml:space="preserve">TXN-202607-017856</t>
  </si>
  <si>
    <t xml:space="preserve">VB-0309</t>
  </si>
  <si>
    <t xml:space="preserve">WL-02656</t>
  </si>
  <si>
    <t xml:space="preserve">David Horton</t>
  </si>
  <si>
    <t xml:space="preserve">TXN-202607-017902</t>
  </si>
  <si>
    <t xml:space="preserve">VB-0310</t>
  </si>
  <si>
    <t xml:space="preserve">WL-03313</t>
  </si>
  <si>
    <t xml:space="preserve">Jose Jimenez</t>
  </si>
  <si>
    <t xml:space="preserve">TXN-202607-017963</t>
  </si>
  <si>
    <t xml:space="preserve">WL-01760</t>
  </si>
  <si>
    <t xml:space="preserve">Jose Becker</t>
  </si>
  <si>
    <t xml:space="preserve">TXN-202607-018017</t>
  </si>
  <si>
    <t xml:space="preserve">WL-03224</t>
  </si>
  <si>
    <t xml:space="preserve">Catherine Flynn</t>
  </si>
  <si>
    <t xml:space="preserve">TXN-202607-018066</t>
  </si>
  <si>
    <t xml:space="preserve">VB-0314</t>
  </si>
  <si>
    <t xml:space="preserve">TXN-202607-018137</t>
  </si>
  <si>
    <t xml:space="preserve">VB-0315</t>
  </si>
  <si>
    <t xml:space="preserve">WL-03326</t>
  </si>
  <si>
    <t xml:space="preserve">Christopher Brock</t>
  </si>
  <si>
    <t xml:space="preserve">SANDERLING MIST</t>
  </si>
  <si>
    <t xml:space="preserve">TXN-202607-018197</t>
  </si>
  <si>
    <t xml:space="preserve">VB-0316</t>
  </si>
  <si>
    <t xml:space="preserve">WL-03492</t>
  </si>
  <si>
    <t xml:space="preserve">Lisa Hernandez</t>
  </si>
  <si>
    <t xml:space="preserve">TXN-202607-018260</t>
  </si>
  <si>
    <t xml:space="preserve">VB-0317</t>
  </si>
  <si>
    <t xml:space="preserve">TXN-202607-018319</t>
  </si>
  <si>
    <t xml:space="preserve">VB-0318</t>
  </si>
  <si>
    <t xml:space="preserve">WL-02255</t>
  </si>
  <si>
    <t xml:space="preserve">Scott Garcia</t>
  </si>
  <si>
    <t xml:space="preserve">TXN-202607-018399</t>
  </si>
  <si>
    <t xml:space="preserve">VB-0319</t>
  </si>
  <si>
    <t xml:space="preserve">WL-01381</t>
  </si>
  <si>
    <t xml:space="preserve">Michael Dickson</t>
  </si>
  <si>
    <t xml:space="preserve">TXN-202607-018454</t>
  </si>
  <si>
    <t xml:space="preserve">VB-0320</t>
  </si>
  <si>
    <t xml:space="preserve">WL-01254</t>
  </si>
  <si>
    <t xml:space="preserve">Barbara Jones</t>
  </si>
  <si>
    <t xml:space="preserve">PETREL WEATHER</t>
  </si>
  <si>
    <t xml:space="preserve">TXN-202607-018507</t>
  </si>
  <si>
    <t xml:space="preserve">VB-0321</t>
  </si>
  <si>
    <t xml:space="preserve">TXN-202607-018556</t>
  </si>
  <si>
    <t xml:space="preserve">VB-0322</t>
  </si>
  <si>
    <t xml:space="preserve">WL-02256</t>
  </si>
  <si>
    <t xml:space="preserve">Ryan Johnson</t>
  </si>
  <si>
    <t xml:space="preserve">TXN-202607-018616</t>
  </si>
  <si>
    <t xml:space="preserve">VB-0323</t>
  </si>
  <si>
    <t xml:space="preserve">WL-01488</t>
  </si>
  <si>
    <t xml:space="preserve">Stephen Wilcox</t>
  </si>
  <si>
    <t xml:space="preserve">TXN-202607-018667</t>
  </si>
  <si>
    <t xml:space="preserve">VB-0324</t>
  </si>
  <si>
    <t xml:space="preserve">WL-01311</t>
  </si>
  <si>
    <t xml:space="preserve">Michael Fox</t>
  </si>
  <si>
    <t xml:space="preserve">TXN-202607-018724</t>
  </si>
  <si>
    <t xml:space="preserve">VB-0401</t>
  </si>
  <si>
    <t xml:space="preserve">WL-01799</t>
  </si>
  <si>
    <t xml:space="preserve">Robert Johnson</t>
  </si>
  <si>
    <t xml:space="preserve">TXN-202607-018800</t>
  </si>
  <si>
    <t xml:space="preserve">TXN-202607-018864</t>
  </si>
  <si>
    <t xml:space="preserve">VB-0403</t>
  </si>
  <si>
    <t xml:space="preserve">WL-03548</t>
  </si>
  <si>
    <t xml:space="preserve">Michael Clark</t>
  </si>
  <si>
    <t xml:space="preserve">TXN-202607-018938</t>
  </si>
  <si>
    <t xml:space="preserve">VB-0405</t>
  </si>
  <si>
    <t xml:space="preserve">Matthew Meyer</t>
  </si>
  <si>
    <t xml:space="preserve">SANDERLING WAKE</t>
  </si>
  <si>
    <t xml:space="preserve">TXN-202607-018982</t>
  </si>
  <si>
    <t xml:space="preserve">VB-0406</t>
  </si>
  <si>
    <t xml:space="preserve">WL-01591</t>
  </si>
  <si>
    <t xml:space="preserve">Chad Yang</t>
  </si>
  <si>
    <t xml:space="preserve">TXN-202607-019060</t>
  </si>
  <si>
    <t xml:space="preserve">VB-0407</t>
  </si>
  <si>
    <t xml:space="preserve">WL-02731</t>
  </si>
  <si>
    <t xml:space="preserve">Allison Taylor</t>
  </si>
  <si>
    <t xml:space="preserve">TXN-202607-019135</t>
  </si>
  <si>
    <t xml:space="preserve">VB-0408</t>
  </si>
  <si>
    <t xml:space="preserve">WL-01061</t>
  </si>
  <si>
    <t xml:space="preserve">Casey Smith</t>
  </si>
  <si>
    <t xml:space="preserve">TXN-202607-019205</t>
  </si>
  <si>
    <t xml:space="preserve">TXN-202607-019274</t>
  </si>
  <si>
    <t xml:space="preserve">VB-0410</t>
  </si>
  <si>
    <t xml:space="preserve">WL-02745</t>
  </si>
  <si>
    <t xml:space="preserve">Olivia Baldwin</t>
  </si>
  <si>
    <t xml:space="preserve">TXN-202607-019355</t>
  </si>
  <si>
    <t xml:space="preserve">VB-0411</t>
  </si>
  <si>
    <t xml:space="preserve">WL-02986</t>
  </si>
  <si>
    <t xml:space="preserve">Jaime Hernandez</t>
  </si>
  <si>
    <t xml:space="preserve">TXN-202607-019424</t>
  </si>
  <si>
    <t xml:space="preserve">VB-0412</t>
  </si>
  <si>
    <t xml:space="preserve">WL-02252</t>
  </si>
  <si>
    <t xml:space="preserve">Donald Mitchell</t>
  </si>
  <si>
    <t xml:space="preserve">TXN-202607-019499</t>
  </si>
  <si>
    <t xml:space="preserve">VB-0413</t>
  </si>
  <si>
    <t xml:space="preserve">WL-01014</t>
  </si>
  <si>
    <t xml:space="preserve">Maria Johnson</t>
  </si>
  <si>
    <t xml:space="preserve">TXN-202607-019560</t>
  </si>
  <si>
    <t xml:space="preserve">VB-0414</t>
  </si>
  <si>
    <t xml:space="preserve">WL-03699</t>
  </si>
  <si>
    <t xml:space="preserve">Christopher Duncan</t>
  </si>
  <si>
    <t xml:space="preserve">TXN-202607-019597</t>
  </si>
  <si>
    <t xml:space="preserve">WL-03507</t>
  </si>
  <si>
    <t xml:space="preserve">John Chambers</t>
  </si>
  <si>
    <t xml:space="preserve">TXN-202607-019661</t>
  </si>
  <si>
    <t xml:space="preserve">VB-0416</t>
  </si>
  <si>
    <t xml:space="preserve">WL-03602</t>
  </si>
  <si>
    <t xml:space="preserve">Michael Horne</t>
  </si>
  <si>
    <t xml:space="preserve">SEAL MIST</t>
  </si>
  <si>
    <t xml:space="preserve">TXN-202607-019718</t>
  </si>
  <si>
    <t xml:space="preserve">VB-0417</t>
  </si>
  <si>
    <t xml:space="preserve">WL-03358</t>
  </si>
  <si>
    <t xml:space="preserve">Jeremiah Cruz</t>
  </si>
  <si>
    <t xml:space="preserve">TXN-202607-019787</t>
  </si>
  <si>
    <t xml:space="preserve">VB-0418</t>
  </si>
  <si>
    <t xml:space="preserve">WL-03210</t>
  </si>
  <si>
    <t xml:space="preserve">James Calderon</t>
  </si>
  <si>
    <t xml:space="preserve">TXN-202607-019867</t>
  </si>
  <si>
    <t xml:space="preserve">VB-0419</t>
  </si>
  <si>
    <t xml:space="preserve">WL-03884</t>
  </si>
  <si>
    <t xml:space="preserve">Lindsay Williams</t>
  </si>
  <si>
    <t xml:space="preserve">TXN-202607-019947</t>
  </si>
  <si>
    <t xml:space="preserve">VB-0420</t>
  </si>
  <si>
    <t xml:space="preserve">WL-01215</t>
  </si>
  <si>
    <t xml:space="preserve">David Harris</t>
  </si>
  <si>
    <t xml:space="preserve">TXN-202607-020030</t>
  </si>
  <si>
    <t xml:space="preserve">VB-0422</t>
  </si>
  <si>
    <t xml:space="preserve">WL-03830</t>
  </si>
  <si>
    <t xml:space="preserve">Erica Smith</t>
  </si>
  <si>
    <t xml:space="preserve">CORMORANT DANCER</t>
  </si>
  <si>
    <t xml:space="preserve">TXN-202607-020086</t>
  </si>
  <si>
    <t xml:space="preserve">VB-0423</t>
  </si>
  <si>
    <t xml:space="preserve">TXN-202607-020125</t>
  </si>
  <si>
    <t xml:space="preserve">VB-0424</t>
  </si>
  <si>
    <t xml:space="preserve">Joel Chang</t>
  </si>
  <si>
    <t xml:space="preserve">BRANT HARBOR</t>
  </si>
  <si>
    <t xml:space="preserve">TXN-202607-020179</t>
  </si>
  <si>
    <t xml:space="preserve">VB-0501</t>
  </si>
  <si>
    <t xml:space="preserve">WL-03576</t>
  </si>
  <si>
    <t xml:space="preserve">Aimee Cooper</t>
  </si>
  <si>
    <t xml:space="preserve">TXN-202607-020252</t>
  </si>
  <si>
    <t xml:space="preserve">VB-0502</t>
  </si>
  <si>
    <t xml:space="preserve">WL-02127</t>
  </si>
  <si>
    <t xml:space="preserve">Kimberly Gomez</t>
  </si>
  <si>
    <t xml:space="preserve">TXN-202607-020309</t>
  </si>
  <si>
    <t xml:space="preserve">WL-03734</t>
  </si>
  <si>
    <t xml:space="preserve">Erin Lewis</t>
  </si>
  <si>
    <t xml:space="preserve">TXN-202607-020375</t>
  </si>
  <si>
    <t xml:space="preserve">VB-0505</t>
  </si>
  <si>
    <t xml:space="preserve">WL-03343</t>
  </si>
  <si>
    <t xml:space="preserve">Justin Mckinney</t>
  </si>
  <si>
    <t xml:space="preserve">TXN-202607-020415</t>
  </si>
  <si>
    <t xml:space="preserve">VB-0506</t>
  </si>
  <si>
    <t xml:space="preserve">WL-03154</t>
  </si>
  <si>
    <t xml:space="preserve">Michael Stevens</t>
  </si>
  <si>
    <t xml:space="preserve">TXN-202607-020479</t>
  </si>
  <si>
    <t xml:space="preserve">WL-01541</t>
  </si>
  <si>
    <t xml:space="preserve">Rhonda Johnson</t>
  </si>
  <si>
    <t xml:space="preserve">TXN-202607-020549</t>
  </si>
  <si>
    <t xml:space="preserve">VB-0508</t>
  </si>
  <si>
    <t xml:space="preserve">WL-01834</t>
  </si>
  <si>
    <t xml:space="preserve">Kevin Baker</t>
  </si>
  <si>
    <t xml:space="preserve">WIDGEON GLIDE</t>
  </si>
  <si>
    <t xml:space="preserve">TXN-202607-020608</t>
  </si>
  <si>
    <t xml:space="preserve">VB-0509</t>
  </si>
  <si>
    <t xml:space="preserve">WL-02326</t>
  </si>
  <si>
    <t xml:space="preserve">Debra Blackwell</t>
  </si>
  <si>
    <t xml:space="preserve">TXN-202607-020670</t>
  </si>
  <si>
    <t xml:space="preserve">VB-0510</t>
  </si>
  <si>
    <t xml:space="preserve">TXN-202607-020740</t>
  </si>
  <si>
    <t xml:space="preserve">VB-0511</t>
  </si>
  <si>
    <t xml:space="preserve">Susan Miller</t>
  </si>
  <si>
    <t xml:space="preserve">TXN-202607-020818</t>
  </si>
  <si>
    <t xml:space="preserve">Stacy Hernandez</t>
  </si>
  <si>
    <t xml:space="preserve">TXN-202607-020853</t>
  </si>
  <si>
    <t xml:space="preserve">VB-0513</t>
  </si>
  <si>
    <t xml:space="preserve">WL-01169</t>
  </si>
  <si>
    <t xml:space="preserve">Cheyenne Kim</t>
  </si>
  <si>
    <t xml:space="preserve">TXN-202607-020902</t>
  </si>
  <si>
    <t xml:space="preserve">VB-0514</t>
  </si>
  <si>
    <t xml:space="preserve">WL-03262</t>
  </si>
  <si>
    <t xml:space="preserve">Melissa Kerr</t>
  </si>
  <si>
    <t xml:space="preserve">TXN-202607-020942</t>
  </si>
  <si>
    <t xml:space="preserve">VB-0515</t>
  </si>
  <si>
    <t xml:space="preserve">WL-02590</t>
  </si>
  <si>
    <t xml:space="preserve">Thomas Anderson</t>
  </si>
  <si>
    <t xml:space="preserve">TXN-202607-021013</t>
  </si>
  <si>
    <t xml:space="preserve">WL-03489</t>
  </si>
  <si>
    <t xml:space="preserve">Alec Padilla</t>
  </si>
  <si>
    <t xml:space="preserve">POINT STAR</t>
  </si>
  <si>
    <t xml:space="preserve">TXN-202607-021055</t>
  </si>
  <si>
    <t xml:space="preserve">WL-01561</t>
  </si>
  <si>
    <t xml:space="preserve">Brandon Jacobs</t>
  </si>
  <si>
    <t xml:space="preserve">TXN-202607-021123</t>
  </si>
  <si>
    <t xml:space="preserve">VB-0519</t>
  </si>
  <si>
    <t xml:space="preserve">WL-02751</t>
  </si>
  <si>
    <t xml:space="preserve">Tracy Austin</t>
  </si>
  <si>
    <t xml:space="preserve">TXN-202607-021193</t>
  </si>
  <si>
    <t xml:space="preserve">VB-0520</t>
  </si>
  <si>
    <t xml:space="preserve">WL-03010</t>
  </si>
  <si>
    <t xml:space="preserve">Anthony Fleming</t>
  </si>
  <si>
    <t xml:space="preserve">TXN-202607-021263</t>
  </si>
  <si>
    <t xml:space="preserve">TIDE FLATS</t>
  </si>
  <si>
    <t xml:space="preserve">TXN-202607-021329</t>
  </si>
  <si>
    <t xml:space="preserve">VB-0522</t>
  </si>
  <si>
    <t xml:space="preserve">WL-03485</t>
  </si>
  <si>
    <t xml:space="preserve">Timothy Moon</t>
  </si>
  <si>
    <t xml:space="preserve">TXN-202607-021371</t>
  </si>
  <si>
    <t xml:space="preserve">VB-0523</t>
  </si>
  <si>
    <t xml:space="preserve">WL-01927</t>
  </si>
  <si>
    <t xml:space="preserve">Mark Mclaughlin</t>
  </si>
  <si>
    <t xml:space="preserve">TXN-202607-021440</t>
  </si>
  <si>
    <t xml:space="preserve">VB-0524</t>
  </si>
  <si>
    <t xml:space="preserve">WL-02787</t>
  </si>
  <si>
    <t xml:space="preserve">David Dawson</t>
  </si>
  <si>
    <t xml:space="preserve">TXN-202607-021525</t>
  </si>
  <si>
    <t xml:space="preserve">WL-01730</t>
  </si>
  <si>
    <t xml:space="preserve">Charles Sparks</t>
  </si>
  <si>
    <t xml:space="preserve">SANDERLING ROSE</t>
  </si>
  <si>
    <t xml:space="preserve">TXN-202607-021566</t>
  </si>
  <si>
    <t xml:space="preserve">Michael Ford</t>
  </si>
  <si>
    <t xml:space="preserve">TXN-202607-021617</t>
  </si>
  <si>
    <t xml:space="preserve">VB-0603</t>
  </si>
  <si>
    <t xml:space="preserve">TXN-202607-021668</t>
  </si>
  <si>
    <t xml:space="preserve">Kristen Williams</t>
  </si>
  <si>
    <t xml:space="preserve">TXN-202607-021705</t>
  </si>
  <si>
    <t xml:space="preserve">VB-0605</t>
  </si>
  <si>
    <t xml:space="preserve">BRANT BAY</t>
  </si>
  <si>
    <t xml:space="preserve">TXN-202607-021750</t>
  </si>
  <si>
    <t xml:space="preserve">VB-0606</t>
  </si>
  <si>
    <t xml:space="preserve">TXN-202607-021832</t>
  </si>
  <si>
    <t xml:space="preserve">VB-0607</t>
  </si>
  <si>
    <t xml:space="preserve">WL-01590</t>
  </si>
  <si>
    <t xml:space="preserve">Cynthia Gutierrez</t>
  </si>
  <si>
    <t xml:space="preserve">TXN-202607-021912</t>
  </si>
  <si>
    <t xml:space="preserve">VB-0609</t>
  </si>
  <si>
    <t xml:space="preserve">WL-01547</t>
  </si>
  <si>
    <t xml:space="preserve">Nicole Burke</t>
  </si>
  <si>
    <t xml:space="preserve">TXN-202607-021979</t>
  </si>
  <si>
    <t xml:space="preserve">VB-0610</t>
  </si>
  <si>
    <t xml:space="preserve">WL-03058</t>
  </si>
  <si>
    <t xml:space="preserve">Mary Thomas</t>
  </si>
  <si>
    <t xml:space="preserve">TXN-202607-022060</t>
  </si>
  <si>
    <t xml:space="preserve">VB-0611</t>
  </si>
  <si>
    <t xml:space="preserve">WL-01330</t>
  </si>
  <si>
    <t xml:space="preserve">Mark Flynn</t>
  </si>
  <si>
    <t xml:space="preserve">GRAY CREST</t>
  </si>
  <si>
    <t xml:space="preserve">TXN-202607-022113</t>
  </si>
  <si>
    <t xml:space="preserve">VB-0612</t>
  </si>
  <si>
    <t xml:space="preserve">WL-03873</t>
  </si>
  <si>
    <t xml:space="preserve">Michele Clay</t>
  </si>
  <si>
    <t xml:space="preserve">TXN-202607-022167</t>
  </si>
  <si>
    <t xml:space="preserve">VB-0613</t>
  </si>
  <si>
    <t xml:space="preserve">WL-02467</t>
  </si>
  <si>
    <t xml:space="preserve">Joseph Davis</t>
  </si>
  <si>
    <t xml:space="preserve">POINT LINE</t>
  </si>
  <si>
    <t xml:space="preserve">TXN-202607-022229</t>
  </si>
  <si>
    <t xml:space="preserve">VB-0614</t>
  </si>
  <si>
    <t xml:space="preserve">TXN-202607-022301</t>
  </si>
  <si>
    <t xml:space="preserve">VB-0615</t>
  </si>
  <si>
    <t xml:space="preserve">Sharon Gonzales</t>
  </si>
  <si>
    <t xml:space="preserve">TXN-202607-022351</t>
  </si>
  <si>
    <t xml:space="preserve">VB-0616</t>
  </si>
  <si>
    <t xml:space="preserve">WL-01627</t>
  </si>
  <si>
    <t xml:space="preserve">Paige Cherry</t>
  </si>
  <si>
    <t xml:space="preserve">TXN-202607-022428</t>
  </si>
  <si>
    <t xml:space="preserve">WL-02887</t>
  </si>
  <si>
    <t xml:space="preserve">Shelly Mayer</t>
  </si>
  <si>
    <t xml:space="preserve">TXN-202607-022510</t>
  </si>
  <si>
    <t xml:space="preserve">VB-0618</t>
  </si>
  <si>
    <t xml:space="preserve">WL-02828</t>
  </si>
  <si>
    <t xml:space="preserve">Desiree Olsen</t>
  </si>
  <si>
    <t xml:space="preserve">ANCHOR LINE</t>
  </si>
  <si>
    <t xml:space="preserve">TXN-202607-022570</t>
  </si>
  <si>
    <t xml:space="preserve">WL-01841</t>
  </si>
  <si>
    <t xml:space="preserve">Arthur Jones</t>
  </si>
  <si>
    <t xml:space="preserve">TXN-202607-022635</t>
  </si>
  <si>
    <t xml:space="preserve">WL-01226</t>
  </si>
  <si>
    <t xml:space="preserve">Phyllis Vargas</t>
  </si>
  <si>
    <t xml:space="preserve">TXN-202607-022703</t>
  </si>
  <si>
    <t xml:space="preserve">VB-0621</t>
  </si>
  <si>
    <t xml:space="preserve">Adam Shepherd</t>
  </si>
  <si>
    <t xml:space="preserve">TXN-202607-022755</t>
  </si>
  <si>
    <t xml:space="preserve">VB-0622</t>
  </si>
  <si>
    <t xml:space="preserve">WL-01083</t>
  </si>
  <si>
    <t xml:space="preserve">Dennis Schmidt</t>
  </si>
  <si>
    <t xml:space="preserve">OTTER CREST</t>
  </si>
  <si>
    <t xml:space="preserve">TXN-202607-022808</t>
  </si>
  <si>
    <t xml:space="preserve">VB-0623</t>
  </si>
  <si>
    <t xml:space="preserve">WL-02748</t>
  </si>
  <si>
    <t xml:space="preserve">Ross Griffin</t>
  </si>
  <si>
    <t xml:space="preserve">TXN-202607-022845</t>
  </si>
  <si>
    <t xml:space="preserve">VB-0624</t>
  </si>
  <si>
    <t xml:space="preserve">WL-03304</t>
  </si>
  <si>
    <t xml:space="preserve">Heather Brown</t>
  </si>
  <si>
    <t xml:space="preserve">TXN-202607-022927</t>
  </si>
  <si>
    <t xml:space="preserve">VB-0701</t>
  </si>
  <si>
    <t xml:space="preserve">WL-02201</t>
  </si>
  <si>
    <t xml:space="preserve">Johnathan Gould</t>
  </si>
  <si>
    <t xml:space="preserve">PINTAIL ROSE</t>
  </si>
  <si>
    <t xml:space="preserve">TXN-202607-022992</t>
  </si>
  <si>
    <t xml:space="preserve">VB-0703</t>
  </si>
  <si>
    <t xml:space="preserve">WL-01897</t>
  </si>
  <si>
    <t xml:space="preserve">Raymond Davis</t>
  </si>
  <si>
    <t xml:space="preserve">TXN-202607-023070</t>
  </si>
  <si>
    <t xml:space="preserve">VB-0704</t>
  </si>
  <si>
    <t xml:space="preserve">WL-02737</t>
  </si>
  <si>
    <t xml:space="preserve">Kimberly Crosby</t>
  </si>
  <si>
    <t xml:space="preserve">FOUL SHORE</t>
  </si>
  <si>
    <t xml:space="preserve">TXN-202607-023147</t>
  </si>
  <si>
    <t xml:space="preserve">WL-02998</t>
  </si>
  <si>
    <t xml:space="preserve">Luis Bradley</t>
  </si>
  <si>
    <t xml:space="preserve">TXN-202607-023202</t>
  </si>
  <si>
    <t xml:space="preserve">VB-0706</t>
  </si>
  <si>
    <t xml:space="preserve">WL-02627</t>
  </si>
  <si>
    <t xml:space="preserve">Cynthia Campbell</t>
  </si>
  <si>
    <t xml:space="preserve">TXN-202607-023274</t>
  </si>
  <si>
    <t xml:space="preserve">TXN-202607-023321</t>
  </si>
  <si>
    <t xml:space="preserve">VB-0708</t>
  </si>
  <si>
    <t xml:space="preserve">WL-01549</t>
  </si>
  <si>
    <t xml:space="preserve">Zachary Wilson</t>
  </si>
  <si>
    <t xml:space="preserve">FOUL QUEEN</t>
  </si>
  <si>
    <t xml:space="preserve">TXN-202607-023393</t>
  </si>
  <si>
    <t xml:space="preserve">VB-0709</t>
  </si>
  <si>
    <t xml:space="preserve">WL-03117</t>
  </si>
  <si>
    <t xml:space="preserve">Stephanie Hawkins</t>
  </si>
  <si>
    <t xml:space="preserve">TXN-202607-023465</t>
  </si>
  <si>
    <t xml:space="preserve">VB-0710</t>
  </si>
  <si>
    <t xml:space="preserve">WL-01146</t>
  </si>
  <si>
    <t xml:space="preserve">Jessica English</t>
  </si>
  <si>
    <t xml:space="preserve">TXN-202607-023519</t>
  </si>
  <si>
    <t xml:space="preserve">VB-0711</t>
  </si>
  <si>
    <t xml:space="preserve">WL-03156</t>
  </si>
  <si>
    <t xml:space="preserve">Stephen Riley</t>
  </si>
  <si>
    <t xml:space="preserve">TXN-202607-023562</t>
  </si>
  <si>
    <t xml:space="preserve">VB-0712</t>
  </si>
  <si>
    <t xml:space="preserve">WL-03530</t>
  </si>
  <si>
    <t xml:space="preserve">Jay Dominguez</t>
  </si>
  <si>
    <t xml:space="preserve">TXN-202607-023627</t>
  </si>
  <si>
    <t xml:space="preserve">VB-0713</t>
  </si>
  <si>
    <t xml:space="preserve">WL-01276</t>
  </si>
  <si>
    <t xml:space="preserve">Nicole Fritz</t>
  </si>
  <si>
    <t xml:space="preserve">TXN-202607-023681</t>
  </si>
  <si>
    <t xml:space="preserve">VB-0714</t>
  </si>
  <si>
    <t xml:space="preserve">WL-02262</t>
  </si>
  <si>
    <t xml:space="preserve">James Rice</t>
  </si>
  <si>
    <t xml:space="preserve">FOUL SOUND</t>
  </si>
  <si>
    <t xml:space="preserve">TXN-202607-023747</t>
  </si>
  <si>
    <t xml:space="preserve">VB-0715</t>
  </si>
  <si>
    <t xml:space="preserve">KESTREL DANCER</t>
  </si>
  <si>
    <t xml:space="preserve">TXN-202607-023822</t>
  </si>
  <si>
    <t xml:space="preserve">VB-0716</t>
  </si>
  <si>
    <t xml:space="preserve">WL-02482</t>
  </si>
  <si>
    <t xml:space="preserve">Emily Taylor</t>
  </si>
  <si>
    <t xml:space="preserve">TXN-202607-023897</t>
  </si>
  <si>
    <t xml:space="preserve">WL-01515</t>
  </si>
  <si>
    <t xml:space="preserve">Andrea Simpson</t>
  </si>
  <si>
    <t xml:space="preserve">OSPREY STAR</t>
  </si>
  <si>
    <t xml:space="preserve">TXN-202607-023967</t>
  </si>
  <si>
    <t xml:space="preserve">VB-0718</t>
  </si>
  <si>
    <t xml:space="preserve">WL-02670</t>
  </si>
  <si>
    <t xml:space="preserve">Sara Hamilton</t>
  </si>
  <si>
    <t xml:space="preserve">TXN-202607-024050</t>
  </si>
  <si>
    <t xml:space="preserve">WL-01748</t>
  </si>
  <si>
    <t xml:space="preserve">Daniel Brown</t>
  </si>
  <si>
    <t xml:space="preserve">SANDERLING LINE</t>
  </si>
  <si>
    <t xml:space="preserve">TXN-202607-024131</t>
  </si>
  <si>
    <t xml:space="preserve">WL-01043</t>
  </si>
  <si>
    <t xml:space="preserve">Diane James</t>
  </si>
  <si>
    <t xml:space="preserve">KESTREL HARBOR</t>
  </si>
  <si>
    <t xml:space="preserve">TXN-202607-024195</t>
  </si>
  <si>
    <t xml:space="preserve">WL-01272</t>
  </si>
  <si>
    <t xml:space="preserve">Christopher Dixon</t>
  </si>
  <si>
    <t xml:space="preserve">BRANT SHORE</t>
  </si>
  <si>
    <t xml:space="preserve">TXN-202607-024247</t>
  </si>
  <si>
    <t xml:space="preserve">VB-0722</t>
  </si>
  <si>
    <t xml:space="preserve">WL-03066</t>
  </si>
  <si>
    <t xml:space="preserve">Shawna Cain</t>
  </si>
  <si>
    <t xml:space="preserve">TXN-202607-024313</t>
  </si>
  <si>
    <t xml:space="preserve">VB-0723</t>
  </si>
  <si>
    <t xml:space="preserve">WL-03192</t>
  </si>
  <si>
    <t xml:space="preserve">Aaron Johnson</t>
  </si>
  <si>
    <t xml:space="preserve">COHO LIGHT</t>
  </si>
  <si>
    <t xml:space="preserve">TXN-202607-024388</t>
  </si>
  <si>
    <t xml:space="preserve">VB-0724</t>
  </si>
  <si>
    <t xml:space="preserve">WL-02714</t>
  </si>
  <si>
    <t xml:space="preserve">Mitchell Sanchez</t>
  </si>
  <si>
    <t xml:space="preserve">TXN-202607-024452</t>
  </si>
  <si>
    <t xml:space="preserve">VB-0801</t>
  </si>
  <si>
    <t xml:space="preserve">WL-01099</t>
  </si>
  <si>
    <t xml:space="preserve">Joseph Cooper</t>
  </si>
  <si>
    <t xml:space="preserve">TXN-202607-024527</t>
  </si>
  <si>
    <t xml:space="preserve">VB-0802</t>
  </si>
  <si>
    <t xml:space="preserve">WL-03073</t>
  </si>
  <si>
    <t xml:space="preserve">Donna Silva</t>
  </si>
  <si>
    <t xml:space="preserve">TXN-202607-024574</t>
  </si>
  <si>
    <t xml:space="preserve">VB-0803</t>
  </si>
  <si>
    <t xml:space="preserve">TXN-202607-024656</t>
  </si>
  <si>
    <t xml:space="preserve">WL-02837</t>
  </si>
  <si>
    <t xml:space="preserve">Tara Elliott</t>
  </si>
  <si>
    <t xml:space="preserve">TXN-202607-024722</t>
  </si>
  <si>
    <t xml:space="preserve">Laurie Huerta</t>
  </si>
  <si>
    <t xml:space="preserve">PETREL DANCER</t>
  </si>
  <si>
    <t xml:space="preserve">TXN-202607-024763</t>
  </si>
  <si>
    <t xml:space="preserve">VB-0806</t>
  </si>
  <si>
    <t xml:space="preserve">WL-01493</t>
  </si>
  <si>
    <t xml:space="preserve">Jean Guerra</t>
  </si>
  <si>
    <t xml:space="preserve">OTTER VEER</t>
  </si>
  <si>
    <t xml:space="preserve">TXN-202607-024804</t>
  </si>
  <si>
    <t xml:space="preserve">VB-0807</t>
  </si>
  <si>
    <t xml:space="preserve">TXN-202607-024841</t>
  </si>
  <si>
    <t xml:space="preserve">WL-03837</t>
  </si>
  <si>
    <t xml:space="preserve">John Griffith</t>
  </si>
  <si>
    <t xml:space="preserve">TXN-202607-024923</t>
  </si>
  <si>
    <t xml:space="preserve">WL-03458</t>
  </si>
  <si>
    <t xml:space="preserve">Brittany Wells</t>
  </si>
  <si>
    <t xml:space="preserve">TXN-202607-024983</t>
  </si>
  <si>
    <t xml:space="preserve">VB-0811</t>
  </si>
  <si>
    <t xml:space="preserve">WL-02419</t>
  </si>
  <si>
    <t xml:space="preserve">Cameron Aguirre</t>
  </si>
  <si>
    <t xml:space="preserve">TXN-202607-025049</t>
  </si>
  <si>
    <t xml:space="preserve">VB-0812</t>
  </si>
  <si>
    <t xml:space="preserve">WL-02636</t>
  </si>
  <si>
    <t xml:space="preserve">Andrew Young</t>
  </si>
  <si>
    <t xml:space="preserve">TXN-202607-025105</t>
  </si>
  <si>
    <t xml:space="preserve">WL-03132</t>
  </si>
  <si>
    <t xml:space="preserve">David Fox</t>
  </si>
  <si>
    <t xml:space="preserve">TXN-202607-025178</t>
  </si>
  <si>
    <t xml:space="preserve">VB-0814</t>
  </si>
  <si>
    <t xml:space="preserve">WL-03609</t>
  </si>
  <si>
    <t xml:space="preserve">Daniel Dunn</t>
  </si>
  <si>
    <t xml:space="preserve">TXN-202607-025219</t>
  </si>
  <si>
    <t xml:space="preserve">VB-0815</t>
  </si>
  <si>
    <t xml:space="preserve">WL-01850</t>
  </si>
  <si>
    <t xml:space="preserve">Bryce Benjamin</t>
  </si>
  <si>
    <t xml:space="preserve">TXN-202607-025273</t>
  </si>
  <si>
    <t xml:space="preserve">VB-0816</t>
  </si>
  <si>
    <t xml:space="preserve">WL-02825</t>
  </si>
  <si>
    <t xml:space="preserve">Dustin Watkins</t>
  </si>
  <si>
    <t xml:space="preserve">SEAL CREST</t>
  </si>
  <si>
    <t xml:space="preserve">TXN-202607-025340</t>
  </si>
  <si>
    <t xml:space="preserve">VB-0817</t>
  </si>
  <si>
    <t xml:space="preserve">WL-02072</t>
  </si>
  <si>
    <t xml:space="preserve">Stephen Hoffman</t>
  </si>
  <si>
    <t xml:space="preserve">TXN-202607-025419</t>
  </si>
  <si>
    <t xml:space="preserve">VB-0818</t>
  </si>
  <si>
    <t xml:space="preserve">WL-01501</t>
  </si>
  <si>
    <t xml:space="preserve">Thomas Levine</t>
  </si>
  <si>
    <t xml:space="preserve">TXN-202607-025467</t>
  </si>
  <si>
    <t xml:space="preserve">VB-0819</t>
  </si>
  <si>
    <t xml:space="preserve">WL-03202</t>
  </si>
  <si>
    <t xml:space="preserve">TXN-202607-025514</t>
  </si>
  <si>
    <t xml:space="preserve">WL-01842</t>
  </si>
  <si>
    <t xml:space="preserve">Amy Thomas</t>
  </si>
  <si>
    <t xml:space="preserve">TXN-202607-025598</t>
  </si>
  <si>
    <t xml:space="preserve">VB-0821</t>
  </si>
  <si>
    <t xml:space="preserve">TXN-202607-025653</t>
  </si>
  <si>
    <t xml:space="preserve">VB-0822</t>
  </si>
  <si>
    <t xml:space="preserve">WL-01320</t>
  </si>
  <si>
    <t xml:space="preserve">Jesse Jennings</t>
  </si>
  <si>
    <t xml:space="preserve">TXN-202607-025724</t>
  </si>
  <si>
    <t xml:space="preserve">VB-0823</t>
  </si>
  <si>
    <t xml:space="preserve">WL-01903</t>
  </si>
  <si>
    <t xml:space="preserve">Andrea Brady</t>
  </si>
  <si>
    <t xml:space="preserve">TXN-202607-025777</t>
  </si>
  <si>
    <t xml:space="preserve">VB-0901</t>
  </si>
  <si>
    <t xml:space="preserve">TXN-202607-025850</t>
  </si>
  <si>
    <t xml:space="preserve">VB-0902</t>
  </si>
  <si>
    <t xml:space="preserve">WL-01273</t>
  </si>
  <si>
    <t xml:space="preserve">Eduardo Henry</t>
  </si>
  <si>
    <t xml:space="preserve">TXN-202607-025910</t>
  </si>
  <si>
    <t xml:space="preserve">VB-0903</t>
  </si>
  <si>
    <t xml:space="preserve">WL-02456</t>
  </si>
  <si>
    <t xml:space="preserve">Madeline Nunez</t>
  </si>
  <si>
    <t xml:space="preserve">TXN-202607-025971</t>
  </si>
  <si>
    <t xml:space="preserve">WL-02354</t>
  </si>
  <si>
    <t xml:space="preserve">Makayla Sanchez</t>
  </si>
  <si>
    <t xml:space="preserve">TXN-202607-026050</t>
  </si>
  <si>
    <t xml:space="preserve">VB-0905</t>
  </si>
  <si>
    <t xml:space="preserve">WL-03101</t>
  </si>
  <si>
    <t xml:space="preserve">Kristie Cunningham</t>
  </si>
  <si>
    <t xml:space="preserve">TXN-202607-026104</t>
  </si>
  <si>
    <t xml:space="preserve">TXN-202607-026173</t>
  </si>
  <si>
    <t xml:space="preserve">VB-0907</t>
  </si>
  <si>
    <t xml:space="preserve">WL-03855</t>
  </si>
  <si>
    <t xml:space="preserve">Peggy Solomon</t>
  </si>
  <si>
    <t xml:space="preserve">SABLE CREST</t>
  </si>
  <si>
    <t xml:space="preserve">TXN-202607-026248</t>
  </si>
  <si>
    <t xml:space="preserve">VB-0908</t>
  </si>
  <si>
    <t xml:space="preserve">TXN-202607-026314</t>
  </si>
  <si>
    <t xml:space="preserve">VB-0909</t>
  </si>
  <si>
    <t xml:space="preserve">WL-02313</t>
  </si>
  <si>
    <t xml:space="preserve">Aaron Bell</t>
  </si>
  <si>
    <t xml:space="preserve">TXN-202607-026381</t>
  </si>
  <si>
    <t xml:space="preserve">VB-0910</t>
  </si>
  <si>
    <t xml:space="preserve">WL-03308</t>
  </si>
  <si>
    <t xml:space="preserve">Tanya Hunt</t>
  </si>
  <si>
    <t xml:space="preserve">SCOTER ROSE</t>
  </si>
  <si>
    <t xml:space="preserve">TXN-202607-026437</t>
  </si>
  <si>
    <t xml:space="preserve">VB-0911</t>
  </si>
  <si>
    <t xml:space="preserve">WL-01513</t>
  </si>
  <si>
    <t xml:space="preserve">Jennifer Thomas</t>
  </si>
  <si>
    <t xml:space="preserve">TXN-202607-026487</t>
  </si>
  <si>
    <t xml:space="preserve">Rachel Jones</t>
  </si>
  <si>
    <t xml:space="preserve">SEAL ANN</t>
  </si>
  <si>
    <t xml:space="preserve">TXN-202607-026526</t>
  </si>
  <si>
    <t xml:space="preserve">VB-0913</t>
  </si>
  <si>
    <t xml:space="preserve">WL-03838</t>
  </si>
  <si>
    <t xml:space="preserve">Sean Cruz</t>
  </si>
  <si>
    <t xml:space="preserve">TXN-202607-026581</t>
  </si>
  <si>
    <t xml:space="preserve">VB-0914</t>
  </si>
  <si>
    <t xml:space="preserve">Travis Young</t>
  </si>
  <si>
    <t xml:space="preserve">TXN-202607-026659</t>
  </si>
  <si>
    <t xml:space="preserve">VB-0915</t>
  </si>
  <si>
    <t xml:space="preserve">WL-02424</t>
  </si>
  <si>
    <t xml:space="preserve">Jessica Nguyen</t>
  </si>
  <si>
    <t xml:space="preserve">TXN-202607-026738</t>
  </si>
  <si>
    <t xml:space="preserve">WL-01194</t>
  </si>
  <si>
    <t xml:space="preserve">Kathryn Munoz</t>
  </si>
  <si>
    <t xml:space="preserve">TXN-202607-026790</t>
  </si>
  <si>
    <t xml:space="preserve">WL-03422</t>
  </si>
  <si>
    <t xml:space="preserve">Robin Jones</t>
  </si>
  <si>
    <t xml:space="preserve">TXN-202607-026842</t>
  </si>
  <si>
    <t xml:space="preserve">VB-0918</t>
  </si>
  <si>
    <t xml:space="preserve">WL-03033</t>
  </si>
  <si>
    <t xml:space="preserve">Brian Sellers</t>
  </si>
  <si>
    <t xml:space="preserve">TXN-202607-026922</t>
  </si>
  <si>
    <t xml:space="preserve">VB-0919</t>
  </si>
  <si>
    <t xml:space="preserve">WL-03091</t>
  </si>
  <si>
    <t xml:space="preserve">Sandra Barber</t>
  </si>
  <si>
    <t xml:space="preserve">TXN-202607-026984</t>
  </si>
  <si>
    <t xml:space="preserve">VB-0920</t>
  </si>
  <si>
    <t xml:space="preserve">WL-02265</t>
  </si>
  <si>
    <t xml:space="preserve">Kimberly Bailey</t>
  </si>
  <si>
    <t xml:space="preserve">TXN-202607-027023</t>
  </si>
  <si>
    <t xml:space="preserve">VB-0921</t>
  </si>
  <si>
    <t xml:space="preserve">WL-03544</t>
  </si>
  <si>
    <t xml:space="preserve">TXN-202607-027065</t>
  </si>
  <si>
    <t xml:space="preserve">VB-0923</t>
  </si>
  <si>
    <t xml:space="preserve">WL-02666</t>
  </si>
  <si>
    <t xml:space="preserve">Amber Liu</t>
  </si>
  <si>
    <t xml:space="preserve">TXN-202607-027118</t>
  </si>
  <si>
    <t xml:space="preserve">WL-03176</t>
  </si>
  <si>
    <t xml:space="preserve">Elizabeth Kelly</t>
  </si>
  <si>
    <t xml:space="preserve">TXN-202607-027199</t>
  </si>
  <si>
    <t xml:space="preserve">VB-1001</t>
  </si>
  <si>
    <t xml:space="preserve">WL-03801</t>
  </si>
  <si>
    <t xml:space="preserve">Brian Robertson</t>
  </si>
  <si>
    <t xml:space="preserve">TXN-202607-027263</t>
  </si>
  <si>
    <t xml:space="preserve">VB-1002</t>
  </si>
  <si>
    <t xml:space="preserve">WL-02902</t>
  </si>
  <si>
    <t xml:space="preserve">Lorraine Schultz</t>
  </si>
  <si>
    <t xml:space="preserve">TXN-202607-027308</t>
  </si>
  <si>
    <t xml:space="preserve">VB-1004</t>
  </si>
  <si>
    <t xml:space="preserve">WL-03765</t>
  </si>
  <si>
    <t xml:space="preserve">Joel Schmidt</t>
  </si>
  <si>
    <t xml:space="preserve">TXN-202607-027350</t>
  </si>
  <si>
    <t xml:space="preserve">VB-1005</t>
  </si>
  <si>
    <t xml:space="preserve">Glenda Williams</t>
  </si>
  <si>
    <t xml:space="preserve">TXN-202607-027396</t>
  </si>
  <si>
    <t xml:space="preserve">VB-1006</t>
  </si>
  <si>
    <t xml:space="preserve">WL-03723</t>
  </si>
  <si>
    <t xml:space="preserve">Michael Douglas</t>
  </si>
  <si>
    <t xml:space="preserve">TXN-202607-027473</t>
  </si>
  <si>
    <t xml:space="preserve">VB-1007</t>
  </si>
  <si>
    <t xml:space="preserve">WL-02796</t>
  </si>
  <si>
    <t xml:space="preserve">Gavin Scott</t>
  </si>
  <si>
    <t xml:space="preserve">TXN-202607-027528</t>
  </si>
  <si>
    <t xml:space="preserve">WL-02193</t>
  </si>
  <si>
    <t xml:space="preserve">Valerie Berg</t>
  </si>
  <si>
    <t xml:space="preserve">TXN-202607-027579</t>
  </si>
  <si>
    <t xml:space="preserve">VB-1009</t>
  </si>
  <si>
    <t xml:space="preserve">WL-02802</t>
  </si>
  <si>
    <t xml:space="preserve">Kimberly Poole</t>
  </si>
  <si>
    <t xml:space="preserve">TXN-202607-027651</t>
  </si>
  <si>
    <t xml:space="preserve">VB-1010</t>
  </si>
  <si>
    <t xml:space="preserve">WL-03077</t>
  </si>
  <si>
    <t xml:space="preserve">Lisa Jensen</t>
  </si>
  <si>
    <t xml:space="preserve">TXN-202607-027736</t>
  </si>
  <si>
    <t xml:space="preserve">VB-1011</t>
  </si>
  <si>
    <t xml:space="preserve">WL-01187</t>
  </si>
  <si>
    <t xml:space="preserve">James Lee</t>
  </si>
  <si>
    <t xml:space="preserve">TXN-202607-027775</t>
  </si>
  <si>
    <t xml:space="preserve">VB-1012</t>
  </si>
  <si>
    <t xml:space="preserve">Melanie Alvarado</t>
  </si>
  <si>
    <t xml:space="preserve">TXN-202607-027840</t>
  </si>
  <si>
    <t xml:space="preserve">VB-1013</t>
  </si>
  <si>
    <t xml:space="preserve">WL-02105</t>
  </si>
  <si>
    <t xml:space="preserve">Kenneth Underwood</t>
  </si>
  <si>
    <t xml:space="preserve">TXN-202607-027910</t>
  </si>
  <si>
    <t xml:space="preserve">TXN-202607-027987</t>
  </si>
  <si>
    <t xml:space="preserve">VB-1015</t>
  </si>
  <si>
    <t xml:space="preserve">WL-01478</t>
  </si>
  <si>
    <t xml:space="preserve">William Thomas</t>
  </si>
  <si>
    <t xml:space="preserve">TXN-202607-028036</t>
  </si>
  <si>
    <t xml:space="preserve">VB-1016</t>
  </si>
  <si>
    <t xml:space="preserve">TXN-202607-028110</t>
  </si>
  <si>
    <t xml:space="preserve">VB-1017</t>
  </si>
  <si>
    <t xml:space="preserve">WL-03104</t>
  </si>
  <si>
    <t xml:space="preserve">Jill Maldonado</t>
  </si>
  <si>
    <t xml:space="preserve">TXN-202607-028161</t>
  </si>
  <si>
    <t xml:space="preserve">VB-1018</t>
  </si>
  <si>
    <t xml:space="preserve">POINT QUEEN</t>
  </si>
  <si>
    <t xml:space="preserve">TXN-202607-028238</t>
  </si>
  <si>
    <t xml:space="preserve">VB-1019</t>
  </si>
  <si>
    <t xml:space="preserve">WL-03674</t>
  </si>
  <si>
    <t xml:space="preserve">Savannah Scott</t>
  </si>
  <si>
    <t xml:space="preserve">TXN-202607-028293</t>
  </si>
  <si>
    <t xml:space="preserve">VB-1020</t>
  </si>
  <si>
    <t xml:space="preserve">WL-02112</t>
  </si>
  <si>
    <t xml:space="preserve">Molly Perez</t>
  </si>
  <si>
    <t xml:space="preserve">TXN-202607-028378</t>
  </si>
  <si>
    <t xml:space="preserve">WL-03142</t>
  </si>
  <si>
    <t xml:space="preserve">Tommy Bennett</t>
  </si>
  <si>
    <t xml:space="preserve">TXN-202607-028428</t>
  </si>
  <si>
    <t xml:space="preserve">VB-1022</t>
  </si>
  <si>
    <t xml:space="preserve">WL-01981</t>
  </si>
  <si>
    <t xml:space="preserve">Kathleen Walker</t>
  </si>
  <si>
    <t xml:space="preserve">TXN-202607-028504</t>
  </si>
  <si>
    <t xml:space="preserve">WL-01467</t>
  </si>
  <si>
    <t xml:space="preserve">Walter Soto</t>
  </si>
  <si>
    <t xml:space="preserve">TXN-202607-028559</t>
  </si>
  <si>
    <t xml:space="preserve">VB-1024</t>
  </si>
  <si>
    <t xml:space="preserve">WL-02463</t>
  </si>
  <si>
    <t xml:space="preserve">Lauren Oconnor</t>
  </si>
  <si>
    <t xml:space="preserve">TXN-202607-028607</t>
  </si>
  <si>
    <t xml:space="preserve">AGING | ACTIVE HOLDERS OVER 90 DAYS</t>
  </si>
  <si>
    <t xml:space="preserve">Source: ar_aging_2026-07-31.xlsx, AR_Aging sheet | Active status cross-checked to slip_inventory_2026-08.csv</t>
  </si>
  <si>
    <t xml:space="preserve">Active holders</t>
  </si>
  <si>
    <t xml:space="preserve">91-120 balance</t>
  </si>
  <si>
    <t xml:space="preserve">120+ balance</t>
  </si>
  <si>
    <t xml:space="preserve">Over-90 balance</t>
  </si>
  <si>
    <t xml:space="preserve">Total due - these accounts</t>
  </si>
  <si>
    <t xml:space="preserve">Account ID</t>
  </si>
  <si>
    <t xml:space="preserve">Current</t>
  </si>
  <si>
    <t xml:space="preserve">31-60</t>
  </si>
  <si>
    <t xml:space="preserve">61-90</t>
  </si>
  <si>
    <t xml:space="preserve">91-120</t>
  </si>
  <si>
    <t xml:space="preserve">120+</t>
  </si>
  <si>
    <t xml:space="preserve">Over 90</t>
  </si>
  <si>
    <t xml:space="preserve">Total Due</t>
  </si>
  <si>
    <t xml:space="preserve">Last Payment</t>
  </si>
  <si>
    <t xml:space="preserve">Ledger Status</t>
  </si>
  <si>
    <t xml:space="preserve">Last Contact</t>
  </si>
  <si>
    <t xml:space="preserve">Notes</t>
  </si>
  <si>
    <t xml:space="preserve">Active Slip</t>
  </si>
  <si>
    <t xml:space="preserve">AC-LP-0122</t>
  </si>
  <si>
    <t xml:space="preserve">2026-05-29</t>
  </si>
  <si>
    <t xml:space="preserve">COLLECTIONS</t>
  </si>
  <si>
    <t xml:space="preserve">OCCUPIED</t>
  </si>
  <si>
    <t xml:space="preserve">AC-LP-0402</t>
  </si>
  <si>
    <t xml:space="preserve">2026-07-11</t>
  </si>
  <si>
    <t xml:space="preserve">AC-LP-0602</t>
  </si>
  <si>
    <t xml:space="preserve">2026-07-18</t>
  </si>
  <si>
    <t xml:space="preserve">AC-LP-0605</t>
  </si>
  <si>
    <t xml:space="preserve">AC-LP-0713</t>
  </si>
  <si>
    <t xml:space="preserve">2026-05-15</t>
  </si>
  <si>
    <t xml:space="preserve">AC-LP-0801</t>
  </si>
  <si>
    <t xml:space="preserve">2026-07-08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</si>
</sst>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\$#,##0.00"/>
    <numFmt numFmtId="167" formatCode="0.0"/>
    <numFmt numFmtId="168" formatCode="\$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DejaVu Sans"/>
      <family val="0"/>
      <charset val="1"/>
    </font>
    <font>
      <i val="true"/>
      <sz val="9"/>
      <color rgb="FF5F6F7D"/>
      <name val="DejaVu Sans"/>
      <family val="0"/>
      <charset val="1"/>
    </font>
    <font>
      <b val="true"/>
      <sz val="9"/>
      <color rgb="FFFFFFFF"/>
      <name val="DejaVu Sans"/>
      <family val="0"/>
      <charset val="1"/>
    </font>
    <font>
      <b val="true"/>
      <sz val="20"/>
      <color rgb="FF17324D"/>
      <name val="DejaVu Sans"/>
      <family val="0"/>
      <charset val="1"/>
    </font>
    <font>
      <b val="true"/>
      <sz val="11"/>
      <color rgb="FF17324D"/>
      <name val="DejaVu Sans"/>
      <family val="0"/>
      <charset val="1"/>
    </font>
    <font>
      <b val="true"/>
      <sz val="8.5"/>
      <color rgb="FFFFFFFF"/>
      <name val="DejaVu Sans"/>
      <family val="0"/>
      <charset val="1"/>
    </font>
    <font>
      <sz val="8"/>
      <color rgb="FF253746"/>
      <name val="DejaVu Sans"/>
      <family val="0"/>
      <charset val="1"/>
    </font>
    <font>
      <b val="true"/>
      <sz val="10"/>
      <color rgb="FFFFFFFF"/>
      <name val="DejaVu Sans"/>
      <family val="0"/>
      <charset val="1"/>
    </font>
    <font>
      <sz val="8.5"/>
      <color rgb="FF253746"/>
      <name val="DejaVu Sans"/>
      <family val="0"/>
      <charset val="1"/>
    </font>
    <font>
      <b val="true"/>
      <sz val="9"/>
      <color rgb="FF253746"/>
      <name val="DejaVu Sans"/>
      <family val="0"/>
      <charset val="1"/>
    </font>
    <font>
      <b val="true"/>
      <sz val="8"/>
      <color rgb="FFFFFFFF"/>
      <name val="DejaVu Sans"/>
      <family val="0"/>
      <charset val="1"/>
    </font>
    <font>
      <b val="true"/>
      <sz val="14"/>
      <color rgb="FF17324D"/>
      <name val="DejaVu Sans"/>
      <family val="0"/>
      <charset val="1"/>
    </font>
    <font>
      <b val="true"/>
      <sz val="8"/>
      <color rgb="FFB33A3A"/>
      <name val="DejaVu Sans"/>
      <family val="0"/>
      <charset val="1"/>
    </font>
    <font>
      <b val="true"/>
      <sz val="13"/>
      <color rgb="FF17324D"/>
      <name val="DejaVu Sans"/>
      <family val="0"/>
      <charset val="1"/>
    </font>
    <font>
      <i val="true"/>
      <sz val="8.5"/>
      <color rgb="FF5F6F7D"/>
      <name val="DejaVu San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7324D"/>
        <bgColor rgb="FF253746"/>
      </patternFill>
    </fill>
    <fill>
      <patternFill patternType="solid">
        <fgColor rgb="FF167D8D"/>
        <bgColor rgb="FF008080"/>
      </patternFill>
    </fill>
    <fill>
      <patternFill patternType="solid">
        <fgColor rgb="FFE8F4F3"/>
        <bgColor rgb="FFEAF2F6"/>
      </patternFill>
    </fill>
    <fill>
      <patternFill patternType="solid">
        <fgColor rgb="FFF7FAFB"/>
        <bgColor rgb="FFFFFFFF"/>
      </patternFill>
    </fill>
    <fill>
      <patternFill patternType="solid">
        <fgColor rgb="FFEAF2F6"/>
        <bgColor rgb="FFE8F4F3"/>
      </patternFill>
    </fill>
    <fill>
      <patternFill patternType="solid">
        <fgColor rgb="FFFFFFFF"/>
        <bgColor rgb="FFF7FAFB"/>
      </patternFill>
    </fill>
    <fill>
      <patternFill patternType="solid">
        <fgColor rgb="FFFBF3DF"/>
        <bgColor rgb="FFFBE9E7"/>
      </patternFill>
    </fill>
    <fill>
      <patternFill patternType="solid">
        <fgColor rgb="FFFBE9E7"/>
        <bgColor rgb="FFFBF3D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medium">
        <color rgb="FF17324D"/>
      </top>
      <bottom style="medium">
        <color rgb="FF17324D"/>
      </bottom>
      <diagonal/>
    </border>
    <border diagonalUp="false" diagonalDown="false">
      <left/>
      <right/>
      <top/>
      <bottom style="thin">
        <color rgb="FFCCD7DE"/>
      </bottom>
      <diagonal/>
    </border>
    <border diagonalUp="false" diagonalDown="false">
      <left/>
      <right style="thin">
        <color rgb="FFCCD7DE"/>
      </right>
      <top/>
      <bottom style="thin">
        <color rgb="FFCC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7324D"/>
          <bgColor rgb="FF000000"/>
        </patternFill>
      </fill>
    </dxf>
    <dxf>
      <fill>
        <patternFill patternType="solid">
          <fgColor rgb="FFF7FA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5374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BE9E7"/>
          <bgColor rgb="FF000000"/>
        </patternFill>
      </fill>
    </dxf>
    <dxf>
      <fill>
        <patternFill patternType="solid">
          <fgColor rgb="FFFBF3DF"/>
          <bgColor rgb="FF000000"/>
        </patternFill>
      </fill>
    </dxf>
    <dxf>
      <fill>
        <patternFill patternType="solid">
          <fgColor rgb="FFB33A3A"/>
          <bgColor rgb="FF000000"/>
        </patternFill>
      </fill>
    </dxf>
    <dxf>
      <fill>
        <patternFill>
          <bgColor rgb="FFFBE9E7"/>
        </patternFill>
      </fill>
    </dxf>
    <dxf>
      <fill>
        <patternFill>
          <bgColor rgb="FFFBF3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7D8D"/>
      <rgbColor rgb="FFC0C0C0"/>
      <rgbColor rgb="FF808080"/>
      <rgbColor rgb="FF9999FF"/>
      <rgbColor rgb="FFB33A3A"/>
      <rgbColor rgb="FFFBF3DF"/>
      <rgbColor rgb="FFE8F4F3"/>
      <rgbColor rgb="FF660066"/>
      <rgbColor rgb="FFFF8080"/>
      <rgbColor rgb="FF0066CC"/>
      <rgbColor rgb="FFCC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6"/>
      <rgbColor rgb="FFF7FAFB"/>
      <rgbColor rgb="FFFB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F7D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2537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AgingExceptions" displayName="tblAgingExceptions" ref="A6:Q12" headerRowCount="1" totalsRowCount="0" totalsRowShown="0">
  <autoFilter ref="A6:Q12"/>
  <tableColumns count="17">
    <tableColumn id="1" name="Account ID"/>
    <tableColumn id="2" name="Tenant"/>
    <tableColumn id="3" name="Slip ID"/>
    <tableColumn id="4" name="Basin"/>
    <tableColumn id="5" name="Current"/>
    <tableColumn id="6" name="31-60"/>
    <tableColumn id="7" name="61-90"/>
    <tableColumn id="8" name="91-120"/>
    <tableColumn id="9" name="120+"/>
    <tableColumn id="10" name="Over 90"/>
    <tableColumn id="11" name="Total Due"/>
    <tableColumn id="12" name="Last Payment"/>
    <tableColumn id="13" name="Ledger Status"/>
    <tableColumn id="14" name="Last Contact"/>
    <tableColumn id="15" name="Notes"/>
    <tableColumn id="16" name="Active Slip"/>
    <tableColumn id="17" name="Priority"/>
  </tableColumns>
</table>
</file>

<file path=xl/tables/table2.xml><?xml version="1.0" encoding="utf-8"?>
<table xmlns="http://schemas.openxmlformats.org/spreadsheetml/2006/main" id="2" name="tblBillingPopulation" displayName="tblBillingPopulation" ref="A16:Y1102" headerRowCount="1" totalsRowCount="0" totalsRowShown="0">
  <autoFilter ref="A16:Y1102"/>
  <tableColumns count="25">
    <tableColumn id="1" name="Slip ID"/>
    <tableColumn id="2" name="Basin"/>
    <tableColumn id="3" name="Basin Type"/>
    <tableColumn id="4" name="Agreement ID"/>
    <tableColumn id="5" name="Applicant ID"/>
    <tableColumn id="6" name="Tenant"/>
    <tableColumn id="7" name="Vessel"/>
    <tableColumn id="8" name="Slip Size Ft"/>
    <tableColumn id="9" name="Check-in LOA Ft"/>
    <tableColumn id="10" name="Billed Length"/>
    <tableColumn id="11" name="Expected Billable Length"/>
    <tableColumn id="12" name="Length Variance"/>
    <tableColumn id="13" name="Billed Rate"/>
    <tableColumn id="14" name="Expected Rate"/>
    <tableColumn id="15" name="Rate Variance"/>
    <tableColumn id="16" name="Months"/>
    <tableColumn id="17" name="Billed Amount"/>
    <tableColumn id="18" name="Expected Amount"/>
    <tableColumn id="19" name="Amount Variance"/>
    <tableColumn id="20" name="Revenue Leakage"/>
    <tableColumn id="21" name="Overbilling"/>
    <tableColumn id="22" name="Result"/>
    <tableColumn id="23" name="Transaction ID"/>
    <tableColumn id="24" name="Evidence"/>
    <tableColumn id="25" name="Monthly Tariff Basis"/>
  </tableColumns>
</table>
</file>

<file path=xl/tables/table3.xml><?xml version="1.0" encoding="utf-8"?>
<table xmlns="http://schemas.openxmlformats.org/spreadsheetml/2006/main" id="3" name="tblLOAReview" displayName="tblLOAReview" ref="A350:I550" headerRowCount="1" totalsRowCount="0" totalsRowShown="0">
  <autoFilter ref="A350:I550"/>
  <tableColumns count="9">
    <tableColumn id="1" name="Amendment ID"/>
    <tableColumn id="2" name="Date"/>
    <tableColumn id="3" name="Applicant ID"/>
    <tableColumn id="4" name="Old LOA"/>
    <tableColumn id="5" name="New LOA"/>
    <tableColumn id="6" name="Source Document"/>
    <tableColumn id="7" name="Certification Status"/>
    <tableColumn id="8" name="Subsequent Scoped Skip"/>
    <tableColumn id="9" name="Use Result"/>
  </tableColumns>
</table>
</file>

<file path=xl/tables/table4.xml><?xml version="1.0" encoding="utf-8"?>
<table xmlns="http://schemas.openxmlformats.org/spreadsheetml/2006/main" id="4" name="tblQueueExceptionPrint" displayName="tblQueueExceptionPrint" ref="A6:J29" headerRowCount="1" totalsRowCount="0" totalsRowShown="0">
  <autoFilter ref="A6:J29"/>
  <tableColumns count="10">
    <tableColumn id="1" name="Priority"/>
    <tableColumn id="2" name="Applicant"/>
    <tableColumn id="3" name="Name"/>
    <tableColumn id="4" name="Date"/>
    <tableColumn id="5" name="Reason"/>
    <tableColumn id="6" name="Register slip"/>
    <tableColumn id="7" name="File slip"/>
    <tableColumn id="8" name="Exception"/>
    <tableColumn id="9" name="Current status"/>
    <tableColumn id="10" name="Evidence / action"/>
  </tableColumns>
</table>
</file>

<file path=xl/tables/table5.xml><?xml version="1.0" encoding="utf-8"?>
<table xmlns="http://schemas.openxmlformats.org/spreadsheetml/2006/main" id="5" name="tblSkipPopulation" displayName="tblSkipPopulation" ref="A34:V345" headerRowCount="1" totalsRowCount="0" totalsRowShown="0">
  <autoFilter ref="A34:V345"/>
  <tableColumns count="22">
    <tableColumn id="1" name="Row Type"/>
    <tableColumn id="2" name="Skip ID"/>
    <tableColumn id="3" name="Offer ID"/>
    <tableColumn id="4" name="Skip Date"/>
    <tableColumn id="5" name="Applicant ID"/>
    <tableColumn id="6" name="Applicant Name"/>
    <tableColumn id="7" name="Rank"/>
    <tableColumn id="8" name="Current Status"/>
    <tableColumn id="9" name="Application Date"/>
    <tableColumn id="10" name="Register Slip"/>
    <tableColumn id="11" name="File Slip"/>
    <tableColumn id="12" name="Basin"/>
    <tableColumn id="13" name="Slip Size"/>
    <tableColumn id="14" name="Reason"/>
    <tableColumn id="15" name="Doc Attached"/>
    <tableColumn id="16" name="File Review"/>
    <tableColumn id="17" name="Offer Match"/>
    <tableColumn id="18" name="LOA Certification Trace"/>
    <tableColumn id="19" name="Finding Status"/>
    <tableColumn id="20" name="Exception Category"/>
    <tableColumn id="21" name="Appeal Priority"/>
    <tableColumn id="22" name="Evidence / 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4.xml"/><Relationship Id="rId3" Type="http://schemas.openxmlformats.org/officeDocument/2006/relationships/table" Target="../tables/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17"/>
    <col collapsed="false" customWidth="true" hidden="false" outlineLevel="0" max="5" min="5" style="0" width="18"/>
    <col collapsed="false" customWidth="true" hidden="false" outlineLevel="0" max="8" min="6" style="0" width="19"/>
  </cols>
  <sheetData>
    <row r="1" customFormat="false" ht="28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1" hidden="false" customHeight="tru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customFormat="false" ht="24" hidden="false" customHeight="true" outlineLevel="0" collapsed="false">
      <c r="A5" s="4" t="n">
        <f aca="false">COUNTIF('Queue Exceptions'!$S$35:$S$345,"EXCEPTION")</f>
        <v>23</v>
      </c>
      <c r="B5" s="4"/>
      <c r="C5" s="5" t="n">
        <f aca="false">SUM('Billing Reconciliations'!$T$17:$T$1102)</f>
        <v>0</v>
      </c>
      <c r="D5" s="5"/>
      <c r="E5" s="4" t="n">
        <f aca="false">COUNTA(Aging!$A$7:$A$12)</f>
        <v>6</v>
      </c>
      <c r="F5" s="4"/>
      <c r="G5" s="5" t="n">
        <f aca="false">SUM(Aging!$J$7:$J$12)</f>
        <v>4368</v>
      </c>
      <c r="H5" s="5"/>
    </row>
    <row r="6" customFormat="false" ht="24" hidden="false" customHeight="true" outlineLevel="0" collapsed="false">
      <c r="A6" s="4"/>
      <c r="B6" s="4"/>
      <c r="C6" s="5"/>
      <c r="D6" s="5"/>
      <c r="E6" s="4"/>
      <c r="F6" s="4"/>
      <c r="G6" s="5"/>
      <c r="H6" s="5"/>
    </row>
    <row r="8" customFormat="false" ht="15" hidden="false" customHeight="false" outlineLevel="0" collapsed="false">
      <c r="A8" s="6" t="s">
        <v>6</v>
      </c>
      <c r="B8" s="6"/>
      <c r="C8" s="6"/>
      <c r="D8" s="6"/>
      <c r="E8" s="6"/>
      <c r="F8" s="6"/>
      <c r="G8" s="6"/>
      <c r="H8" s="6"/>
    </row>
    <row r="9" customFormat="false" ht="15" hidden="false" customHeight="false" outlineLevel="0" collapsed="false">
      <c r="A9" s="7" t="s">
        <v>7</v>
      </c>
      <c r="B9" s="7" t="s">
        <v>8</v>
      </c>
      <c r="C9" s="7" t="s">
        <v>9</v>
      </c>
      <c r="D9" s="7" t="s">
        <v>10</v>
      </c>
      <c r="E9" s="7" t="s">
        <v>11</v>
      </c>
      <c r="F9" s="7" t="s">
        <v>12</v>
      </c>
      <c r="G9" s="7"/>
      <c r="H9" s="7"/>
    </row>
    <row r="10" customFormat="false" ht="37.5" hidden="false" customHeight="true" outlineLevel="0" collapsed="false">
      <c r="A10" s="8" t="s">
        <v>13</v>
      </c>
      <c r="B10" s="9" t="n">
        <f aca="false">COUNTIF('Queue Exceptions'!$A$35:$A$345,"REGISTER")</f>
        <v>309</v>
      </c>
      <c r="C10" s="9" t="n">
        <f aca="false">COUNTIF('Queue Exceptions'!$S$35:$S$345,"EXCEPTION")</f>
        <v>23</v>
      </c>
      <c r="D10" s="10" t="s">
        <v>14</v>
      </c>
      <c r="E10" s="10" t="str">
        <f aca="false">IF(C10=0,"No exceptions identified","Action required")</f>
        <v>Action required</v>
      </c>
      <c r="F10" s="8" t="s">
        <v>15</v>
      </c>
      <c r="G10" s="8"/>
      <c r="H10" s="8"/>
    </row>
    <row r="11" customFormat="false" ht="37.5" hidden="false" customHeight="true" outlineLevel="0" collapsed="false">
      <c r="A11" s="11" t="s">
        <v>16</v>
      </c>
      <c r="B11" s="12" t="n">
        <f aca="false">COUNTA('Queue Exceptions'!$A$351:$A$551)</f>
        <v>200</v>
      </c>
      <c r="C11" s="12" t="n">
        <f aca="false">COUNTIF('Queue Exceptions'!$I$351:$I$551,"EXCEPTION*")</f>
        <v>0</v>
      </c>
      <c r="D11" s="13" t="s">
        <v>17</v>
      </c>
      <c r="E11" s="13" t="str">
        <f aca="false">IF(C11=0,"No use exceptions identified","Action required")</f>
        <v>No use exceptions identified</v>
      </c>
      <c r="F11" s="11" t="s">
        <v>18</v>
      </c>
      <c r="G11" s="11"/>
      <c r="H11" s="11"/>
    </row>
    <row r="12" customFormat="false" ht="37.5" hidden="false" customHeight="true" outlineLevel="0" collapsed="false">
      <c r="A12" s="8" t="s">
        <v>19</v>
      </c>
      <c r="B12" s="9" t="n">
        <f aca="false">COUNTIF('Billing Reconciliations'!$V$17:$V$1102,"OK")+COUNTIF('Billing Reconciliations'!$V$17:$V$1102,"EXCEPTION")</f>
        <v>769</v>
      </c>
      <c r="C12" s="9" t="n">
        <f aca="false">COUNTIF('Billing Reconciliations'!$V$17:$V$1102,"EXCEPTION")</f>
        <v>0</v>
      </c>
      <c r="D12" s="14" t="n">
        <f aca="false">SUM('Billing Reconciliations'!$T$17:$T$1102)</f>
        <v>0</v>
      </c>
      <c r="E12" s="10" t="str">
        <f aca="false">IF(C12=0,"No rate/measurement exceptions","Action required")</f>
        <v>No rate/measurement exceptions</v>
      </c>
      <c r="F12" s="8" t="s">
        <v>20</v>
      </c>
      <c r="G12" s="8"/>
      <c r="H12" s="8"/>
    </row>
    <row r="13" customFormat="false" ht="37.5" hidden="false" customHeight="true" outlineLevel="0" collapsed="false">
      <c r="A13" s="11" t="s">
        <v>21</v>
      </c>
      <c r="B13" s="12" t="n">
        <f aca="false">COUNTA('Billing Reconciliations'!$A$17:$A$1102)</f>
        <v>1086</v>
      </c>
      <c r="C13" s="12" t="n">
        <f aca="false">COUNTIF('Billing Reconciliations'!$V$17:$V$1102,"NOT SCORED*")</f>
        <v>317</v>
      </c>
      <c r="D13" s="15" t="n">
        <f aca="false">SUMIF('Billing Reconciliations'!$V$17:$V$1102,"NOT SCORED*",'Billing Reconciliations'!$Y$17:$Y$1102)</f>
        <v>120158.25</v>
      </c>
      <c r="E13" s="13" t="str">
        <f aca="false">IF(C13=0,"Complete","Agreement schedule needed")</f>
        <v>Agreement schedule needed</v>
      </c>
      <c r="F13" s="11" t="s">
        <v>22</v>
      </c>
      <c r="G13" s="11"/>
      <c r="H13" s="11"/>
    </row>
    <row r="14" customFormat="false" ht="37.5" hidden="false" customHeight="true" outlineLevel="0" collapsed="false">
      <c r="A14" s="8" t="s">
        <v>23</v>
      </c>
      <c r="B14" s="9" t="n">
        <f aca="false">COUNTA(Aging!$A$7:$A$12)</f>
        <v>6</v>
      </c>
      <c r="C14" s="9" t="n">
        <f aca="false">COUNTA(Aging!$A$7:$A$12)</f>
        <v>6</v>
      </c>
      <c r="D14" s="14" t="n">
        <f aca="false">SUM(Aging!$J$7:$J$12)</f>
        <v>4368</v>
      </c>
      <c r="E14" s="10" t="str">
        <f aca="false">IF(B14=0,"No exceptions identified","Collections action")</f>
        <v>Collections action</v>
      </c>
      <c r="F14" s="8" t="s">
        <v>24</v>
      </c>
      <c r="G14" s="8"/>
      <c r="H14" s="8"/>
    </row>
    <row r="16" customFormat="false" ht="15" hidden="false" customHeight="false" outlineLevel="0" collapsed="false">
      <c r="A16" s="16" t="s">
        <v>25</v>
      </c>
      <c r="B16" s="16"/>
      <c r="C16" s="16"/>
      <c r="D16" s="16"/>
      <c r="E16" s="16"/>
      <c r="F16" s="16"/>
      <c r="G16" s="16"/>
      <c r="H16" s="16"/>
    </row>
    <row r="17" customFormat="false" ht="30.75" hidden="false" customHeight="true" outlineLevel="0" collapsed="false">
      <c r="A17" s="17" t="s">
        <v>26</v>
      </c>
      <c r="B17" s="17"/>
      <c r="C17" s="17"/>
      <c r="D17" s="17"/>
      <c r="E17" s="17"/>
      <c r="F17" s="17"/>
      <c r="G17" s="17"/>
      <c r="H17" s="17"/>
    </row>
    <row r="18" customFormat="false" ht="30.75" hidden="false" customHeight="true" outlineLevel="0" collapsed="false">
      <c r="A18" s="18" t="s">
        <v>27</v>
      </c>
      <c r="B18" s="18"/>
      <c r="C18" s="18"/>
      <c r="D18" s="18"/>
      <c r="E18" s="18"/>
      <c r="F18" s="18"/>
      <c r="G18" s="18"/>
      <c r="H18" s="18"/>
    </row>
    <row r="19" customFormat="false" ht="30.75" hidden="false" customHeight="true" outlineLevel="0" collapsed="false">
      <c r="A19" s="17" t="s">
        <v>28</v>
      </c>
      <c r="B19" s="17"/>
      <c r="C19" s="17"/>
      <c r="D19" s="17"/>
      <c r="E19" s="17"/>
      <c r="F19" s="17"/>
      <c r="G19" s="17"/>
      <c r="H19" s="17"/>
    </row>
    <row r="20" customFormat="false" ht="30.75" hidden="false" customHeight="true" outlineLevel="0" collapsed="false">
      <c r="A20" s="18" t="s">
        <v>29</v>
      </c>
      <c r="B20" s="18"/>
      <c r="C20" s="18"/>
      <c r="D20" s="18"/>
      <c r="E20" s="18"/>
      <c r="F20" s="18"/>
      <c r="G20" s="18"/>
      <c r="H20" s="18"/>
    </row>
    <row r="21" customFormat="false" ht="30.75" hidden="false" customHeight="true" outlineLevel="0" collapsed="false">
      <c r="A21" s="17" t="s">
        <v>30</v>
      </c>
      <c r="B21" s="17"/>
      <c r="C21" s="17"/>
      <c r="D21" s="17"/>
      <c r="E21" s="17"/>
      <c r="F21" s="17"/>
      <c r="G21" s="17"/>
      <c r="H21" s="17"/>
    </row>
    <row r="23" customFormat="false" ht="15" hidden="false" customHeight="false" outlineLevel="0" collapsed="false">
      <c r="A23" s="19" t="s">
        <v>31</v>
      </c>
      <c r="B23" s="19"/>
      <c r="C23" s="19"/>
      <c r="D23" s="19"/>
      <c r="E23" s="19"/>
      <c r="F23" s="19"/>
      <c r="G23" s="19"/>
      <c r="H23" s="19"/>
    </row>
    <row r="24" customFormat="false" ht="27" hidden="false" customHeight="true" outlineLevel="0" collapsed="false">
      <c r="A24" s="20" t="s">
        <v>32</v>
      </c>
      <c r="B24" s="20"/>
      <c r="C24" s="20"/>
      <c r="D24" s="20"/>
      <c r="E24" s="20"/>
      <c r="F24" s="20"/>
      <c r="G24" s="20"/>
      <c r="H24" s="20"/>
    </row>
    <row r="25" customFormat="false" ht="27" hidden="false" customHeight="true" outlineLevel="0" collapsed="false">
      <c r="A25" s="21" t="s">
        <v>33</v>
      </c>
      <c r="B25" s="21"/>
      <c r="C25" s="21"/>
      <c r="D25" s="21"/>
      <c r="E25" s="21"/>
      <c r="F25" s="21"/>
      <c r="G25" s="21"/>
      <c r="H25" s="21"/>
    </row>
    <row r="26" customFormat="false" ht="27" hidden="false" customHeight="true" outlineLevel="0" collapsed="false">
      <c r="A26" s="21" t="s">
        <v>34</v>
      </c>
      <c r="B26" s="21"/>
      <c r="C26" s="21"/>
      <c r="D26" s="21"/>
      <c r="E26" s="21"/>
      <c r="F26" s="21"/>
      <c r="G26" s="21"/>
      <c r="H26" s="21"/>
    </row>
  </sheetData>
  <mergeCells count="26">
    <mergeCell ref="A1:H1"/>
    <mergeCell ref="A2:H2"/>
    <mergeCell ref="A4:B4"/>
    <mergeCell ref="C4:D4"/>
    <mergeCell ref="E4:F4"/>
    <mergeCell ref="G4:H4"/>
    <mergeCell ref="A5:B6"/>
    <mergeCell ref="C5:D6"/>
    <mergeCell ref="E5:F6"/>
    <mergeCell ref="G5:H6"/>
    <mergeCell ref="A8:H8"/>
    <mergeCell ref="F10:H10"/>
    <mergeCell ref="F11:H11"/>
    <mergeCell ref="F12:H12"/>
    <mergeCell ref="F13:H13"/>
    <mergeCell ref="F14:H14"/>
    <mergeCell ref="A16:H16"/>
    <mergeCell ref="A17:H17"/>
    <mergeCell ref="A18:H18"/>
    <mergeCell ref="A19:H19"/>
    <mergeCell ref="A20:H20"/>
    <mergeCell ref="A21:H21"/>
    <mergeCell ref="A23:H23"/>
    <mergeCell ref="A24:H24"/>
    <mergeCell ref="A25:H25"/>
    <mergeCell ref="A26:H26"/>
  </mergeCells>
  <printOptions headings="false" gridLines="false" gridLinesSet="true" horizontalCentered="false" verticalCentered="false"/>
  <pageMargins left="0.25" right="0.25" top="0.35" bottom="0.35" header="0.511811023622047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&amp;C&amp;8 Chaldale Harbor District | Moorage Audit | August 1, 2026&amp;R&amp;8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5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4" topLeftCell="A3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20"/>
    <col collapsed="false" customWidth="true" hidden="false" outlineLevel="0" max="7" min="7" style="0" width="9"/>
    <col collapsed="false" customWidth="true" hidden="false" outlineLevel="0" max="8" min="8" style="0" width="17"/>
    <col collapsed="false" customWidth="true" hidden="false" outlineLevel="0" max="9" min="9" style="0" width="14"/>
    <col collapsed="false" customWidth="true" hidden="false" outlineLevel="0" max="10" min="10" style="0" width="54"/>
    <col collapsed="false" customWidth="true" hidden="false" outlineLevel="0" max="11" min="11" style="0" width="18"/>
    <col collapsed="false" customWidth="true" hidden="false" outlineLevel="0" max="12" min="12" style="0" width="15"/>
    <col collapsed="false" customWidth="true" hidden="false" outlineLevel="0" max="13" min="13" style="0" width="11"/>
    <col collapsed="false" customWidth="true" hidden="false" outlineLevel="0" max="14" min="14" style="0" width="21"/>
    <col collapsed="false" customWidth="true" hidden="false" outlineLevel="0" max="15" min="15" style="0" width="12"/>
    <col collapsed="false" customWidth="true" hidden="false" outlineLevel="0" max="16" min="16" style="0" width="24"/>
    <col collapsed="false" customWidth="true" hidden="false" outlineLevel="0" max="17" min="17" style="0" width="12"/>
    <col collapsed="false" customWidth="true" hidden="false" outlineLevel="0" max="18" min="18" style="0" width="38"/>
    <col collapsed="false" customWidth="true" hidden="false" outlineLevel="0" max="19" min="19" style="0" width="20"/>
    <col collapsed="false" customWidth="true" hidden="false" outlineLevel="0" max="20" min="20" style="0" width="28"/>
    <col collapsed="false" customWidth="true" hidden="false" outlineLevel="0" max="21" min="21" style="0" width="14"/>
    <col collapsed="false" customWidth="true" hidden="false" outlineLevel="0" max="22" min="22" style="0" width="58"/>
  </cols>
  <sheetData>
    <row r="1" customFormat="false" ht="28.5" hidden="false" customHeight="true" outlineLevel="0" collapsed="false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" hidden="false" customHeight="true" outlineLevel="0" collapsed="false">
      <c r="A2" s="2" t="s">
        <v>35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1.5" hidden="false" customHeight="true" outlineLevel="0" collapsed="false">
      <c r="A3" s="22" t="s">
        <v>36</v>
      </c>
      <c r="B3" s="23" t="n">
        <f aca="false">COUNTIF($A$35:$A$345,"REGISTER")</f>
        <v>309</v>
      </c>
      <c r="C3" s="22" t="s">
        <v>37</v>
      </c>
      <c r="D3" s="23" t="n">
        <f aca="false">COUNTIF($Q$35:$Q$345,"Y")</f>
        <v>304</v>
      </c>
      <c r="E3" s="22" t="s">
        <v>38</v>
      </c>
      <c r="F3" s="23" t="n">
        <f aca="false">COUNTIF($S$35:$S$345,"EXCEPTION")</f>
        <v>23</v>
      </c>
      <c r="G3" s="22" t="s">
        <v>39</v>
      </c>
      <c r="H3" s="23" t="n">
        <f aca="false">COUNTIF($T$35:$T$345,"Uncertified length used")</f>
        <v>0</v>
      </c>
      <c r="I3" s="22" t="s">
        <v>40</v>
      </c>
      <c r="J3" s="23" t="n">
        <f aca="false">COUNTIFS($A$35:$A$345,"REGISTER",$Q$35:$Q$345,"N")</f>
        <v>5</v>
      </c>
    </row>
    <row r="6" customFormat="false" ht="15" hidden="false" customHeight="false" outlineLevel="0" collapsed="false">
      <c r="A6" s="7" t="s">
        <v>41</v>
      </c>
      <c r="B6" s="7" t="s">
        <v>42</v>
      </c>
      <c r="C6" s="7" t="s">
        <v>43</v>
      </c>
      <c r="D6" s="7" t="s">
        <v>44</v>
      </c>
      <c r="E6" s="7" t="s">
        <v>45</v>
      </c>
      <c r="F6" s="7" t="s">
        <v>46</v>
      </c>
      <c r="G6" s="7" t="s">
        <v>47</v>
      </c>
      <c r="H6" s="7" t="s">
        <v>48</v>
      </c>
      <c r="I6" s="7" t="s">
        <v>49</v>
      </c>
      <c r="J6" s="7" t="s">
        <v>50</v>
      </c>
    </row>
    <row r="7" customFormat="false" ht="30.75" hidden="false" customHeight="true" outlineLevel="0" collapsed="false">
      <c r="A7" s="24" t="s">
        <v>51</v>
      </c>
      <c r="B7" s="11" t="s">
        <v>52</v>
      </c>
      <c r="C7" s="11" t="s">
        <v>53</v>
      </c>
      <c r="D7" s="11" t="s">
        <v>54</v>
      </c>
      <c r="E7" s="11" t="s">
        <v>55</v>
      </c>
      <c r="F7" s="11" t="s">
        <v>56</v>
      </c>
      <c r="G7" s="11" t="s">
        <v>57</v>
      </c>
      <c r="H7" s="25" t="s">
        <v>58</v>
      </c>
      <c r="I7" s="11" t="s">
        <v>59</v>
      </c>
      <c r="J7" s="11" t="s">
        <v>60</v>
      </c>
    </row>
    <row r="8" customFormat="false" ht="30.75" hidden="false" customHeight="true" outlineLevel="0" collapsed="false">
      <c r="A8" s="24" t="s">
        <v>51</v>
      </c>
      <c r="B8" s="8" t="s">
        <v>61</v>
      </c>
      <c r="C8" s="8" t="s">
        <v>62</v>
      </c>
      <c r="D8" s="8" t="s">
        <v>63</v>
      </c>
      <c r="E8" s="8" t="s">
        <v>64</v>
      </c>
      <c r="F8" s="8" t="s">
        <v>65</v>
      </c>
      <c r="G8" s="8" t="s">
        <v>66</v>
      </c>
      <c r="H8" s="26" t="s">
        <v>58</v>
      </c>
      <c r="I8" s="8" t="s">
        <v>67</v>
      </c>
      <c r="J8" s="8" t="s">
        <v>68</v>
      </c>
    </row>
    <row r="9" customFormat="false" ht="30.75" hidden="false" customHeight="true" outlineLevel="0" collapsed="false">
      <c r="A9" s="24" t="s">
        <v>51</v>
      </c>
      <c r="B9" s="11" t="s">
        <v>69</v>
      </c>
      <c r="C9" s="11" t="s">
        <v>70</v>
      </c>
      <c r="D9" s="11" t="s">
        <v>71</v>
      </c>
      <c r="E9" s="11" t="s">
        <v>55</v>
      </c>
      <c r="F9" s="11" t="s">
        <v>72</v>
      </c>
      <c r="G9" s="11" t="s">
        <v>73</v>
      </c>
      <c r="H9" s="25" t="s">
        <v>74</v>
      </c>
      <c r="I9" s="11" t="s">
        <v>67</v>
      </c>
      <c r="J9" s="11" t="s">
        <v>75</v>
      </c>
    </row>
    <row r="10" customFormat="false" ht="30.75" hidden="false" customHeight="true" outlineLevel="0" collapsed="false">
      <c r="A10" s="24" t="s">
        <v>51</v>
      </c>
      <c r="B10" s="8" t="s">
        <v>76</v>
      </c>
      <c r="C10" s="8" t="s">
        <v>77</v>
      </c>
      <c r="D10" s="8" t="s">
        <v>78</v>
      </c>
      <c r="E10" s="8" t="s">
        <v>79</v>
      </c>
      <c r="F10" s="8" t="s">
        <v>80</v>
      </c>
      <c r="G10" s="8" t="s">
        <v>81</v>
      </c>
      <c r="H10" s="26" t="s">
        <v>58</v>
      </c>
      <c r="I10" s="8" t="s">
        <v>59</v>
      </c>
      <c r="J10" s="8" t="s">
        <v>82</v>
      </c>
    </row>
    <row r="11" customFormat="false" ht="30.75" hidden="false" customHeight="true" outlineLevel="0" collapsed="false">
      <c r="A11" s="24" t="s">
        <v>51</v>
      </c>
      <c r="B11" s="11" t="s">
        <v>83</v>
      </c>
      <c r="C11" s="11" t="s">
        <v>84</v>
      </c>
      <c r="D11" s="11" t="s">
        <v>85</v>
      </c>
      <c r="E11" s="11" t="s">
        <v>64</v>
      </c>
      <c r="F11" s="11" t="s">
        <v>86</v>
      </c>
      <c r="G11" s="11" t="s">
        <v>87</v>
      </c>
      <c r="H11" s="25" t="s">
        <v>74</v>
      </c>
      <c r="I11" s="11" t="s">
        <v>67</v>
      </c>
      <c r="J11" s="11" t="s">
        <v>88</v>
      </c>
    </row>
    <row r="12" customFormat="false" ht="30.75" hidden="false" customHeight="true" outlineLevel="0" collapsed="false">
      <c r="A12" s="24" t="s">
        <v>51</v>
      </c>
      <c r="B12" s="8" t="s">
        <v>89</v>
      </c>
      <c r="C12" s="8" t="s">
        <v>90</v>
      </c>
      <c r="D12" s="8" t="s">
        <v>91</v>
      </c>
      <c r="E12" s="8" t="s">
        <v>91</v>
      </c>
      <c r="F12" s="8" t="s">
        <v>91</v>
      </c>
      <c r="G12" s="8" t="s">
        <v>91</v>
      </c>
      <c r="H12" s="26" t="s">
        <v>92</v>
      </c>
      <c r="I12" s="8" t="s">
        <v>67</v>
      </c>
      <c r="J12" s="8" t="s">
        <v>93</v>
      </c>
    </row>
    <row r="13" customFormat="false" ht="30.75" hidden="false" customHeight="true" outlineLevel="0" collapsed="false">
      <c r="A13" s="24" t="s">
        <v>51</v>
      </c>
      <c r="B13" s="11" t="s">
        <v>94</v>
      </c>
      <c r="C13" s="11" t="s">
        <v>95</v>
      </c>
      <c r="D13" s="11" t="s">
        <v>91</v>
      </c>
      <c r="E13" s="11" t="s">
        <v>55</v>
      </c>
      <c r="F13" s="11" t="s">
        <v>96</v>
      </c>
      <c r="G13" s="11" t="s">
        <v>91</v>
      </c>
      <c r="H13" s="25" t="s">
        <v>97</v>
      </c>
      <c r="I13" s="11" t="s">
        <v>67</v>
      </c>
      <c r="J13" s="11" t="s">
        <v>98</v>
      </c>
    </row>
    <row r="14" customFormat="false" ht="30.75" hidden="false" customHeight="true" outlineLevel="0" collapsed="false">
      <c r="A14" s="27" t="s">
        <v>99</v>
      </c>
      <c r="B14" s="8" t="s">
        <v>100</v>
      </c>
      <c r="C14" s="8" t="s">
        <v>101</v>
      </c>
      <c r="D14" s="8" t="s">
        <v>102</v>
      </c>
      <c r="E14" s="8" t="s">
        <v>55</v>
      </c>
      <c r="F14" s="8" t="s">
        <v>103</v>
      </c>
      <c r="G14" s="8" t="s">
        <v>104</v>
      </c>
      <c r="H14" s="26" t="s">
        <v>58</v>
      </c>
      <c r="I14" s="8" t="s">
        <v>67</v>
      </c>
      <c r="J14" s="8" t="s">
        <v>105</v>
      </c>
    </row>
    <row r="15" customFormat="false" ht="30.75" hidden="false" customHeight="true" outlineLevel="0" collapsed="false">
      <c r="A15" s="27" t="s">
        <v>99</v>
      </c>
      <c r="B15" s="11" t="s">
        <v>106</v>
      </c>
      <c r="C15" s="11" t="s">
        <v>107</v>
      </c>
      <c r="D15" s="11" t="s">
        <v>108</v>
      </c>
      <c r="E15" s="11" t="s">
        <v>55</v>
      </c>
      <c r="F15" s="11" t="s">
        <v>109</v>
      </c>
      <c r="G15" s="11" t="s">
        <v>104</v>
      </c>
      <c r="H15" s="25" t="s">
        <v>58</v>
      </c>
      <c r="I15" s="11" t="s">
        <v>67</v>
      </c>
      <c r="J15" s="11" t="s">
        <v>105</v>
      </c>
    </row>
    <row r="16" customFormat="false" ht="30.75" hidden="false" customHeight="true" outlineLevel="0" collapsed="false">
      <c r="A16" s="27" t="s">
        <v>99</v>
      </c>
      <c r="B16" s="8" t="s">
        <v>110</v>
      </c>
      <c r="C16" s="8" t="s">
        <v>111</v>
      </c>
      <c r="D16" s="8" t="s">
        <v>112</v>
      </c>
      <c r="E16" s="8" t="s">
        <v>64</v>
      </c>
      <c r="F16" s="8" t="s">
        <v>113</v>
      </c>
      <c r="G16" s="8" t="s">
        <v>104</v>
      </c>
      <c r="H16" s="26" t="s">
        <v>58</v>
      </c>
      <c r="I16" s="8" t="s">
        <v>114</v>
      </c>
      <c r="J16" s="8" t="s">
        <v>105</v>
      </c>
    </row>
    <row r="17" customFormat="false" ht="30.75" hidden="false" customHeight="true" outlineLevel="0" collapsed="false">
      <c r="A17" s="27" t="s">
        <v>99</v>
      </c>
      <c r="B17" s="11" t="s">
        <v>115</v>
      </c>
      <c r="C17" s="11" t="s">
        <v>116</v>
      </c>
      <c r="D17" s="11" t="s">
        <v>117</v>
      </c>
      <c r="E17" s="11" t="s">
        <v>79</v>
      </c>
      <c r="F17" s="11" t="s">
        <v>118</v>
      </c>
      <c r="G17" s="11" t="s">
        <v>104</v>
      </c>
      <c r="H17" s="25" t="s">
        <v>58</v>
      </c>
      <c r="I17" s="11" t="s">
        <v>67</v>
      </c>
      <c r="J17" s="11" t="s">
        <v>105</v>
      </c>
    </row>
    <row r="18" customFormat="false" ht="30.75" hidden="false" customHeight="true" outlineLevel="0" collapsed="false">
      <c r="A18" s="27" t="s">
        <v>99</v>
      </c>
      <c r="B18" s="8" t="s">
        <v>119</v>
      </c>
      <c r="C18" s="8" t="s">
        <v>120</v>
      </c>
      <c r="D18" s="8" t="s">
        <v>121</v>
      </c>
      <c r="E18" s="8" t="s">
        <v>55</v>
      </c>
      <c r="F18" s="8" t="s">
        <v>122</v>
      </c>
      <c r="G18" s="8" t="s">
        <v>104</v>
      </c>
      <c r="H18" s="26" t="s">
        <v>58</v>
      </c>
      <c r="I18" s="8" t="s">
        <v>59</v>
      </c>
      <c r="J18" s="8" t="s">
        <v>105</v>
      </c>
    </row>
    <row r="19" customFormat="false" ht="30.75" hidden="false" customHeight="true" outlineLevel="0" collapsed="false">
      <c r="A19" s="27" t="s">
        <v>99</v>
      </c>
      <c r="B19" s="11" t="s">
        <v>123</v>
      </c>
      <c r="C19" s="11" t="s">
        <v>124</v>
      </c>
      <c r="D19" s="11" t="s">
        <v>125</v>
      </c>
      <c r="E19" s="11" t="s">
        <v>55</v>
      </c>
      <c r="F19" s="11" t="s">
        <v>126</v>
      </c>
      <c r="G19" s="11" t="s">
        <v>104</v>
      </c>
      <c r="H19" s="25" t="s">
        <v>58</v>
      </c>
      <c r="I19" s="11" t="s">
        <v>67</v>
      </c>
      <c r="J19" s="11" t="s">
        <v>105</v>
      </c>
    </row>
    <row r="20" customFormat="false" ht="30.75" hidden="false" customHeight="true" outlineLevel="0" collapsed="false">
      <c r="A20" s="27" t="s">
        <v>99</v>
      </c>
      <c r="B20" s="8" t="s">
        <v>127</v>
      </c>
      <c r="C20" s="8" t="s">
        <v>128</v>
      </c>
      <c r="D20" s="8" t="s">
        <v>129</v>
      </c>
      <c r="E20" s="8" t="s">
        <v>55</v>
      </c>
      <c r="F20" s="8" t="s">
        <v>130</v>
      </c>
      <c r="G20" s="8" t="s">
        <v>104</v>
      </c>
      <c r="H20" s="26" t="s">
        <v>58</v>
      </c>
      <c r="I20" s="8" t="s">
        <v>67</v>
      </c>
      <c r="J20" s="8" t="s">
        <v>105</v>
      </c>
    </row>
    <row r="21" customFormat="false" ht="30.75" hidden="false" customHeight="true" outlineLevel="0" collapsed="false">
      <c r="A21" s="27" t="s">
        <v>99</v>
      </c>
      <c r="B21" s="11" t="s">
        <v>131</v>
      </c>
      <c r="C21" s="11" t="s">
        <v>132</v>
      </c>
      <c r="D21" s="11" t="s">
        <v>133</v>
      </c>
      <c r="E21" s="11" t="s">
        <v>55</v>
      </c>
      <c r="F21" s="11" t="s">
        <v>134</v>
      </c>
      <c r="G21" s="11" t="s">
        <v>104</v>
      </c>
      <c r="H21" s="25" t="s">
        <v>58</v>
      </c>
      <c r="I21" s="11" t="s">
        <v>67</v>
      </c>
      <c r="J21" s="11" t="s">
        <v>105</v>
      </c>
    </row>
    <row r="22" customFormat="false" ht="30.75" hidden="false" customHeight="true" outlineLevel="0" collapsed="false">
      <c r="A22" s="27" t="s">
        <v>99</v>
      </c>
      <c r="B22" s="8" t="s">
        <v>135</v>
      </c>
      <c r="C22" s="8" t="s">
        <v>136</v>
      </c>
      <c r="D22" s="8" t="s">
        <v>137</v>
      </c>
      <c r="E22" s="8" t="s">
        <v>55</v>
      </c>
      <c r="F22" s="8" t="s">
        <v>138</v>
      </c>
      <c r="G22" s="8" t="s">
        <v>104</v>
      </c>
      <c r="H22" s="26" t="s">
        <v>58</v>
      </c>
      <c r="I22" s="8" t="s">
        <v>67</v>
      </c>
      <c r="J22" s="8" t="s">
        <v>105</v>
      </c>
    </row>
    <row r="23" customFormat="false" ht="30.75" hidden="false" customHeight="true" outlineLevel="0" collapsed="false">
      <c r="A23" s="27" t="s">
        <v>99</v>
      </c>
      <c r="B23" s="11" t="s">
        <v>139</v>
      </c>
      <c r="C23" s="11" t="s">
        <v>140</v>
      </c>
      <c r="D23" s="11" t="s">
        <v>141</v>
      </c>
      <c r="E23" s="11" t="s">
        <v>55</v>
      </c>
      <c r="F23" s="11" t="s">
        <v>142</v>
      </c>
      <c r="G23" s="11" t="s">
        <v>104</v>
      </c>
      <c r="H23" s="25" t="s">
        <v>58</v>
      </c>
      <c r="I23" s="11" t="s">
        <v>67</v>
      </c>
      <c r="J23" s="11" t="s">
        <v>105</v>
      </c>
    </row>
    <row r="24" customFormat="false" ht="30.75" hidden="false" customHeight="true" outlineLevel="0" collapsed="false">
      <c r="A24" s="27" t="s">
        <v>99</v>
      </c>
      <c r="B24" s="8" t="s">
        <v>143</v>
      </c>
      <c r="C24" s="8" t="s">
        <v>144</v>
      </c>
      <c r="D24" s="8" t="s">
        <v>145</v>
      </c>
      <c r="E24" s="8" t="s">
        <v>146</v>
      </c>
      <c r="F24" s="8" t="s">
        <v>147</v>
      </c>
      <c r="G24" s="8" t="s">
        <v>104</v>
      </c>
      <c r="H24" s="26" t="s">
        <v>58</v>
      </c>
      <c r="I24" s="8" t="s">
        <v>67</v>
      </c>
      <c r="J24" s="8" t="s">
        <v>105</v>
      </c>
    </row>
    <row r="25" customFormat="false" ht="30.75" hidden="false" customHeight="true" outlineLevel="0" collapsed="false">
      <c r="A25" s="27" t="s">
        <v>99</v>
      </c>
      <c r="B25" s="11" t="s">
        <v>148</v>
      </c>
      <c r="C25" s="11" t="s">
        <v>149</v>
      </c>
      <c r="D25" s="11" t="s">
        <v>150</v>
      </c>
      <c r="E25" s="11" t="s">
        <v>79</v>
      </c>
      <c r="F25" s="11" t="s">
        <v>151</v>
      </c>
      <c r="G25" s="11" t="s">
        <v>104</v>
      </c>
      <c r="H25" s="25" t="s">
        <v>58</v>
      </c>
      <c r="I25" s="11" t="s">
        <v>67</v>
      </c>
      <c r="J25" s="11" t="s">
        <v>105</v>
      </c>
    </row>
    <row r="26" customFormat="false" ht="30.75" hidden="false" customHeight="true" outlineLevel="0" collapsed="false">
      <c r="A26" s="27" t="s">
        <v>99</v>
      </c>
      <c r="B26" s="8" t="s">
        <v>152</v>
      </c>
      <c r="C26" s="8" t="s">
        <v>153</v>
      </c>
      <c r="D26" s="8" t="s">
        <v>154</v>
      </c>
      <c r="E26" s="8" t="s">
        <v>55</v>
      </c>
      <c r="F26" s="8" t="s">
        <v>155</v>
      </c>
      <c r="G26" s="8" t="s">
        <v>104</v>
      </c>
      <c r="H26" s="26" t="s">
        <v>58</v>
      </c>
      <c r="I26" s="8" t="s">
        <v>67</v>
      </c>
      <c r="J26" s="8" t="s">
        <v>105</v>
      </c>
    </row>
    <row r="27" customFormat="false" ht="30.75" hidden="false" customHeight="true" outlineLevel="0" collapsed="false">
      <c r="A27" s="27" t="s">
        <v>99</v>
      </c>
      <c r="B27" s="11" t="s">
        <v>156</v>
      </c>
      <c r="C27" s="11" t="s">
        <v>157</v>
      </c>
      <c r="D27" s="11" t="s">
        <v>158</v>
      </c>
      <c r="E27" s="11" t="s">
        <v>55</v>
      </c>
      <c r="F27" s="11" t="s">
        <v>159</v>
      </c>
      <c r="G27" s="11" t="s">
        <v>104</v>
      </c>
      <c r="H27" s="25" t="s">
        <v>58</v>
      </c>
      <c r="I27" s="11" t="s">
        <v>67</v>
      </c>
      <c r="J27" s="11" t="s">
        <v>105</v>
      </c>
    </row>
    <row r="28" customFormat="false" ht="30.75" hidden="false" customHeight="true" outlineLevel="0" collapsed="false">
      <c r="A28" s="27" t="s">
        <v>99</v>
      </c>
      <c r="B28" s="8" t="s">
        <v>160</v>
      </c>
      <c r="C28" s="8" t="s">
        <v>161</v>
      </c>
      <c r="D28" s="8" t="s">
        <v>162</v>
      </c>
      <c r="E28" s="8" t="s">
        <v>55</v>
      </c>
      <c r="F28" s="8" t="s">
        <v>113</v>
      </c>
      <c r="G28" s="8" t="s">
        <v>104</v>
      </c>
      <c r="H28" s="26" t="s">
        <v>58</v>
      </c>
      <c r="I28" s="8" t="s">
        <v>67</v>
      </c>
      <c r="J28" s="8" t="s">
        <v>105</v>
      </c>
    </row>
    <row r="29" customFormat="false" ht="30.75" hidden="false" customHeight="true" outlineLevel="0" collapsed="false">
      <c r="A29" s="27" t="s">
        <v>99</v>
      </c>
      <c r="B29" s="11" t="s">
        <v>163</v>
      </c>
      <c r="C29" s="11" t="s">
        <v>164</v>
      </c>
      <c r="D29" s="11" t="s">
        <v>165</v>
      </c>
      <c r="E29" s="11" t="s">
        <v>146</v>
      </c>
      <c r="F29" s="11" t="s">
        <v>166</v>
      </c>
      <c r="G29" s="11" t="s">
        <v>104</v>
      </c>
      <c r="H29" s="25" t="s">
        <v>58</v>
      </c>
      <c r="I29" s="11" t="s">
        <v>67</v>
      </c>
      <c r="J29" s="11" t="s">
        <v>105</v>
      </c>
    </row>
    <row r="34" customFormat="false" ht="15" hidden="false" customHeight="false" outlineLevel="0" collapsed="false">
      <c r="A34" s="7" t="s">
        <v>167</v>
      </c>
      <c r="B34" s="7" t="s">
        <v>168</v>
      </c>
      <c r="C34" s="7" t="s">
        <v>169</v>
      </c>
      <c r="D34" s="7" t="s">
        <v>170</v>
      </c>
      <c r="E34" s="7" t="s">
        <v>171</v>
      </c>
      <c r="F34" s="7" t="s">
        <v>172</v>
      </c>
      <c r="G34" s="7" t="s">
        <v>173</v>
      </c>
      <c r="H34" s="7" t="s">
        <v>174</v>
      </c>
      <c r="I34" s="7" t="s">
        <v>175</v>
      </c>
      <c r="J34" s="7" t="s">
        <v>176</v>
      </c>
      <c r="K34" s="7" t="s">
        <v>177</v>
      </c>
      <c r="L34" s="7" t="s">
        <v>178</v>
      </c>
      <c r="M34" s="7" t="s">
        <v>179</v>
      </c>
      <c r="N34" s="7" t="s">
        <v>45</v>
      </c>
      <c r="O34" s="7" t="s">
        <v>180</v>
      </c>
      <c r="P34" s="7" t="s">
        <v>181</v>
      </c>
      <c r="Q34" s="7" t="s">
        <v>182</v>
      </c>
      <c r="R34" s="7" t="s">
        <v>183</v>
      </c>
      <c r="S34" s="7" t="s">
        <v>184</v>
      </c>
      <c r="T34" s="7" t="s">
        <v>185</v>
      </c>
      <c r="U34" s="7" t="s">
        <v>186</v>
      </c>
      <c r="V34" s="7" t="s">
        <v>187</v>
      </c>
    </row>
    <row r="35" customFormat="false" ht="20.85" hidden="false" customHeight="false" outlineLevel="0" collapsed="false">
      <c r="A35" s="11" t="s">
        <v>188</v>
      </c>
      <c r="B35" s="11" t="s">
        <v>189</v>
      </c>
      <c r="C35" s="11" t="s">
        <v>190</v>
      </c>
      <c r="D35" s="11" t="s">
        <v>54</v>
      </c>
      <c r="E35" s="11" t="s">
        <v>52</v>
      </c>
      <c r="F35" s="11" t="s">
        <v>53</v>
      </c>
      <c r="G35" s="11" t="n">
        <v>1618</v>
      </c>
      <c r="H35" s="11" t="s">
        <v>59</v>
      </c>
      <c r="I35" s="11" t="s">
        <v>191</v>
      </c>
      <c r="J35" s="11" t="s">
        <v>56</v>
      </c>
      <c r="K35" s="11" t="s">
        <v>57</v>
      </c>
      <c r="L35" s="11" t="s">
        <v>192</v>
      </c>
      <c r="M35" s="11" t="n">
        <v>32</v>
      </c>
      <c r="N35" s="11" t="s">
        <v>55</v>
      </c>
      <c r="O35" s="11" t="s">
        <v>193</v>
      </c>
      <c r="P35" s="11" t="s">
        <v>194</v>
      </c>
      <c r="Q35" s="11" t="s">
        <v>193</v>
      </c>
      <c r="R35" s="11" t="s">
        <v>195</v>
      </c>
      <c r="S35" s="11" t="s">
        <v>196</v>
      </c>
      <c r="T35" s="11" t="s">
        <v>58</v>
      </c>
      <c r="U35" s="11" t="s">
        <v>51</v>
      </c>
      <c r="V35" s="11" t="s">
        <v>60</v>
      </c>
    </row>
    <row r="36" customFormat="false" ht="20.85" hidden="false" customHeight="false" outlineLevel="0" collapsed="false">
      <c r="A36" s="8" t="s">
        <v>188</v>
      </c>
      <c r="B36" s="8" t="s">
        <v>197</v>
      </c>
      <c r="C36" s="8" t="s">
        <v>198</v>
      </c>
      <c r="D36" s="8" t="s">
        <v>63</v>
      </c>
      <c r="E36" s="8" t="s">
        <v>61</v>
      </c>
      <c r="F36" s="8" t="s">
        <v>62</v>
      </c>
      <c r="G36" s="8" t="n">
        <v>2044</v>
      </c>
      <c r="H36" s="8" t="s">
        <v>67</v>
      </c>
      <c r="I36" s="8" t="s">
        <v>199</v>
      </c>
      <c r="J36" s="8" t="s">
        <v>65</v>
      </c>
      <c r="K36" s="8" t="s">
        <v>66</v>
      </c>
      <c r="L36" s="8" t="s">
        <v>200</v>
      </c>
      <c r="M36" s="8" t="n">
        <v>28</v>
      </c>
      <c r="N36" s="8" t="s">
        <v>64</v>
      </c>
      <c r="O36" s="8" t="s">
        <v>193</v>
      </c>
      <c r="P36" s="8" t="s">
        <v>194</v>
      </c>
      <c r="Q36" s="8" t="s">
        <v>193</v>
      </c>
      <c r="R36" s="8" t="s">
        <v>195</v>
      </c>
      <c r="S36" s="8" t="s">
        <v>196</v>
      </c>
      <c r="T36" s="8" t="s">
        <v>58</v>
      </c>
      <c r="U36" s="8" t="s">
        <v>51</v>
      </c>
      <c r="V36" s="8" t="s">
        <v>68</v>
      </c>
    </row>
    <row r="37" customFormat="false" ht="15" hidden="false" customHeight="false" outlineLevel="0" collapsed="false">
      <c r="A37" s="11" t="s">
        <v>188</v>
      </c>
      <c r="B37" s="11" t="s">
        <v>201</v>
      </c>
      <c r="C37" s="11" t="s">
        <v>198</v>
      </c>
      <c r="D37" s="11" t="s">
        <v>71</v>
      </c>
      <c r="E37" s="11" t="s">
        <v>69</v>
      </c>
      <c r="F37" s="11" t="s">
        <v>70</v>
      </c>
      <c r="G37" s="11" t="n">
        <v>1877</v>
      </c>
      <c r="H37" s="11" t="s">
        <v>67</v>
      </c>
      <c r="I37" s="11" t="s">
        <v>202</v>
      </c>
      <c r="J37" s="11" t="s">
        <v>72</v>
      </c>
      <c r="K37" s="11" t="s">
        <v>73</v>
      </c>
      <c r="L37" s="11" t="s">
        <v>192</v>
      </c>
      <c r="M37" s="11" t="n">
        <v>80</v>
      </c>
      <c r="N37" s="11" t="s">
        <v>55</v>
      </c>
      <c r="O37" s="11" t="s">
        <v>203</v>
      </c>
      <c r="P37" s="11" t="s">
        <v>204</v>
      </c>
      <c r="Q37" s="11" t="s">
        <v>193</v>
      </c>
      <c r="R37" s="11" t="s">
        <v>195</v>
      </c>
      <c r="S37" s="11" t="s">
        <v>196</v>
      </c>
      <c r="T37" s="11" t="s">
        <v>74</v>
      </c>
      <c r="U37" s="11" t="s">
        <v>51</v>
      </c>
      <c r="V37" s="11" t="s">
        <v>75</v>
      </c>
    </row>
    <row r="38" customFormat="false" ht="20.85" hidden="false" customHeight="false" outlineLevel="0" collapsed="false">
      <c r="A38" s="8" t="s">
        <v>188</v>
      </c>
      <c r="B38" s="8" t="s">
        <v>205</v>
      </c>
      <c r="C38" s="8" t="s">
        <v>198</v>
      </c>
      <c r="D38" s="8" t="s">
        <v>78</v>
      </c>
      <c r="E38" s="8" t="s">
        <v>76</v>
      </c>
      <c r="F38" s="8" t="s">
        <v>77</v>
      </c>
      <c r="G38" s="8" t="n">
        <v>2390</v>
      </c>
      <c r="H38" s="8" t="s">
        <v>59</v>
      </c>
      <c r="I38" s="8" t="s">
        <v>206</v>
      </c>
      <c r="J38" s="8" t="s">
        <v>80</v>
      </c>
      <c r="K38" s="8" t="s">
        <v>81</v>
      </c>
      <c r="L38" s="8" t="s">
        <v>207</v>
      </c>
      <c r="M38" s="8" t="n">
        <v>40</v>
      </c>
      <c r="N38" s="8" t="s">
        <v>79</v>
      </c>
      <c r="O38" s="8" t="s">
        <v>193</v>
      </c>
      <c r="P38" s="8" t="s">
        <v>194</v>
      </c>
      <c r="Q38" s="8" t="s">
        <v>193</v>
      </c>
      <c r="R38" s="8" t="s">
        <v>195</v>
      </c>
      <c r="S38" s="8" t="s">
        <v>196</v>
      </c>
      <c r="T38" s="8" t="s">
        <v>58</v>
      </c>
      <c r="U38" s="8" t="s">
        <v>51</v>
      </c>
      <c r="V38" s="8" t="s">
        <v>82</v>
      </c>
    </row>
    <row r="39" customFormat="false" ht="20.85" hidden="false" customHeight="false" outlineLevel="0" collapsed="false">
      <c r="A39" s="11" t="s">
        <v>188</v>
      </c>
      <c r="B39" s="11" t="s">
        <v>208</v>
      </c>
      <c r="C39" s="11" t="s">
        <v>209</v>
      </c>
      <c r="D39" s="11" t="s">
        <v>85</v>
      </c>
      <c r="E39" s="11" t="s">
        <v>83</v>
      </c>
      <c r="F39" s="11" t="s">
        <v>84</v>
      </c>
      <c r="G39" s="11" t="n">
        <v>2102</v>
      </c>
      <c r="H39" s="11" t="s">
        <v>67</v>
      </c>
      <c r="I39" s="11" t="s">
        <v>210</v>
      </c>
      <c r="J39" s="11" t="s">
        <v>86</v>
      </c>
      <c r="K39" s="11" t="s">
        <v>87</v>
      </c>
      <c r="L39" s="11" t="s">
        <v>211</v>
      </c>
      <c r="M39" s="11" t="n">
        <v>36</v>
      </c>
      <c r="N39" s="11" t="s">
        <v>64</v>
      </c>
      <c r="O39" s="11" t="s">
        <v>203</v>
      </c>
      <c r="P39" s="11" t="s">
        <v>204</v>
      </c>
      <c r="Q39" s="11" t="s">
        <v>193</v>
      </c>
      <c r="R39" s="11" t="s">
        <v>212</v>
      </c>
      <c r="S39" s="11" t="s">
        <v>196</v>
      </c>
      <c r="T39" s="11" t="s">
        <v>74</v>
      </c>
      <c r="U39" s="11" t="s">
        <v>51</v>
      </c>
      <c r="V39" s="11" t="s">
        <v>88</v>
      </c>
    </row>
    <row r="40" customFormat="false" ht="20.85" hidden="false" customHeight="false" outlineLevel="0" collapsed="false">
      <c r="A40" s="8" t="s">
        <v>213</v>
      </c>
      <c r="B40" s="8" t="s">
        <v>214</v>
      </c>
      <c r="C40" s="8" t="s">
        <v>215</v>
      </c>
      <c r="D40" s="8" t="s">
        <v>91</v>
      </c>
      <c r="E40" s="8" t="s">
        <v>89</v>
      </c>
      <c r="F40" s="8" t="s">
        <v>90</v>
      </c>
      <c r="G40" s="8" t="n">
        <v>1319</v>
      </c>
      <c r="H40" s="8" t="s">
        <v>67</v>
      </c>
      <c r="I40" s="8" t="s">
        <v>216</v>
      </c>
      <c r="J40" s="8" t="s">
        <v>91</v>
      </c>
      <c r="K40" s="8" t="s">
        <v>91</v>
      </c>
      <c r="L40" s="8" t="s">
        <v>91</v>
      </c>
      <c r="M40" s="8"/>
      <c r="N40" s="8" t="s">
        <v>91</v>
      </c>
      <c r="O40" s="8" t="s">
        <v>203</v>
      </c>
      <c r="P40" s="8" t="s">
        <v>217</v>
      </c>
      <c r="Q40" s="8" t="s">
        <v>193</v>
      </c>
      <c r="R40" s="8" t="s">
        <v>14</v>
      </c>
      <c r="S40" s="8" t="s">
        <v>196</v>
      </c>
      <c r="T40" s="8" t="s">
        <v>92</v>
      </c>
      <c r="U40" s="8" t="s">
        <v>51</v>
      </c>
      <c r="V40" s="8" t="s">
        <v>93</v>
      </c>
    </row>
    <row r="41" customFormat="false" ht="20.85" hidden="false" customHeight="false" outlineLevel="0" collapsed="false">
      <c r="A41" s="11" t="s">
        <v>213</v>
      </c>
      <c r="B41" s="11" t="s">
        <v>218</v>
      </c>
      <c r="C41" s="11" t="s">
        <v>215</v>
      </c>
      <c r="D41" s="11" t="s">
        <v>91</v>
      </c>
      <c r="E41" s="11" t="s">
        <v>94</v>
      </c>
      <c r="F41" s="11" t="s">
        <v>95</v>
      </c>
      <c r="G41" s="11" t="n">
        <v>1712</v>
      </c>
      <c r="H41" s="11" t="s">
        <v>67</v>
      </c>
      <c r="I41" s="11" t="s">
        <v>219</v>
      </c>
      <c r="J41" s="11" t="s">
        <v>96</v>
      </c>
      <c r="K41" s="11" t="s">
        <v>91</v>
      </c>
      <c r="L41" s="11" t="s">
        <v>91</v>
      </c>
      <c r="M41" s="11" t="n">
        <v>28</v>
      </c>
      <c r="N41" s="11" t="s">
        <v>55</v>
      </c>
      <c r="O41" s="11" t="s">
        <v>203</v>
      </c>
      <c r="P41" s="11" t="s">
        <v>220</v>
      </c>
      <c r="Q41" s="11" t="s">
        <v>193</v>
      </c>
      <c r="R41" s="11" t="s">
        <v>14</v>
      </c>
      <c r="S41" s="11" t="s">
        <v>196</v>
      </c>
      <c r="T41" s="11" t="s">
        <v>97</v>
      </c>
      <c r="U41" s="11" t="s">
        <v>51</v>
      </c>
      <c r="V41" s="11" t="s">
        <v>98</v>
      </c>
    </row>
    <row r="42" customFormat="false" ht="20.85" hidden="false" customHeight="false" outlineLevel="0" collapsed="false">
      <c r="A42" s="8" t="s">
        <v>188</v>
      </c>
      <c r="B42" s="8" t="s">
        <v>221</v>
      </c>
      <c r="C42" s="8" t="s">
        <v>222</v>
      </c>
      <c r="D42" s="8" t="s">
        <v>102</v>
      </c>
      <c r="E42" s="8" t="s">
        <v>100</v>
      </c>
      <c r="F42" s="8" t="s">
        <v>101</v>
      </c>
      <c r="G42" s="8" t="n">
        <v>695</v>
      </c>
      <c r="H42" s="8" t="s">
        <v>67</v>
      </c>
      <c r="I42" s="8" t="s">
        <v>223</v>
      </c>
      <c r="J42" s="8" t="s">
        <v>103</v>
      </c>
      <c r="K42" s="8" t="s">
        <v>104</v>
      </c>
      <c r="L42" s="8" t="s">
        <v>224</v>
      </c>
      <c r="M42" s="8" t="n">
        <v>28</v>
      </c>
      <c r="N42" s="8" t="s">
        <v>55</v>
      </c>
      <c r="O42" s="8" t="s">
        <v>193</v>
      </c>
      <c r="P42" s="8" t="s">
        <v>225</v>
      </c>
      <c r="Q42" s="8" t="s">
        <v>203</v>
      </c>
      <c r="R42" s="8" t="s">
        <v>195</v>
      </c>
      <c r="S42" s="8" t="s">
        <v>196</v>
      </c>
      <c r="T42" s="8" t="s">
        <v>58</v>
      </c>
      <c r="U42" s="8" t="s">
        <v>99</v>
      </c>
      <c r="V42" s="8" t="s">
        <v>105</v>
      </c>
    </row>
    <row r="43" customFormat="false" ht="20.85" hidden="false" customHeight="false" outlineLevel="0" collapsed="false">
      <c r="A43" s="11" t="s">
        <v>188</v>
      </c>
      <c r="B43" s="11" t="s">
        <v>226</v>
      </c>
      <c r="C43" s="11" t="s">
        <v>227</v>
      </c>
      <c r="D43" s="11" t="s">
        <v>108</v>
      </c>
      <c r="E43" s="11" t="s">
        <v>106</v>
      </c>
      <c r="F43" s="11" t="s">
        <v>107</v>
      </c>
      <c r="G43" s="11" t="n">
        <v>2523</v>
      </c>
      <c r="H43" s="11" t="s">
        <v>67</v>
      </c>
      <c r="I43" s="11" t="s">
        <v>228</v>
      </c>
      <c r="J43" s="11" t="s">
        <v>109</v>
      </c>
      <c r="K43" s="11" t="s">
        <v>104</v>
      </c>
      <c r="L43" s="11" t="s">
        <v>207</v>
      </c>
      <c r="M43" s="11" t="n">
        <v>24</v>
      </c>
      <c r="N43" s="11" t="s">
        <v>55</v>
      </c>
      <c r="O43" s="11" t="s">
        <v>193</v>
      </c>
      <c r="P43" s="11" t="s">
        <v>225</v>
      </c>
      <c r="Q43" s="11" t="s">
        <v>203</v>
      </c>
      <c r="R43" s="11" t="s">
        <v>195</v>
      </c>
      <c r="S43" s="11" t="s">
        <v>196</v>
      </c>
      <c r="T43" s="11" t="s">
        <v>58</v>
      </c>
      <c r="U43" s="11" t="s">
        <v>99</v>
      </c>
      <c r="V43" s="11" t="s">
        <v>105</v>
      </c>
    </row>
    <row r="44" customFormat="false" ht="20.85" hidden="false" customHeight="false" outlineLevel="0" collapsed="false">
      <c r="A44" s="8" t="s">
        <v>188</v>
      </c>
      <c r="B44" s="8" t="s">
        <v>229</v>
      </c>
      <c r="C44" s="8" t="s">
        <v>230</v>
      </c>
      <c r="D44" s="8" t="s">
        <v>112</v>
      </c>
      <c r="E44" s="8" t="s">
        <v>110</v>
      </c>
      <c r="F44" s="8" t="s">
        <v>111</v>
      </c>
      <c r="G44" s="8" t="n">
        <v>781</v>
      </c>
      <c r="H44" s="8" t="s">
        <v>114</v>
      </c>
      <c r="I44" s="8" t="s">
        <v>231</v>
      </c>
      <c r="J44" s="8" t="s">
        <v>113</v>
      </c>
      <c r="K44" s="8" t="s">
        <v>104</v>
      </c>
      <c r="L44" s="8" t="s">
        <v>211</v>
      </c>
      <c r="M44" s="8" t="n">
        <v>28</v>
      </c>
      <c r="N44" s="8" t="s">
        <v>64</v>
      </c>
      <c r="O44" s="8" t="s">
        <v>193</v>
      </c>
      <c r="P44" s="8" t="s">
        <v>225</v>
      </c>
      <c r="Q44" s="8" t="s">
        <v>203</v>
      </c>
      <c r="R44" s="8" t="s">
        <v>195</v>
      </c>
      <c r="S44" s="8" t="s">
        <v>196</v>
      </c>
      <c r="T44" s="8" t="s">
        <v>58</v>
      </c>
      <c r="U44" s="8" t="s">
        <v>99</v>
      </c>
      <c r="V44" s="8" t="s">
        <v>105</v>
      </c>
    </row>
    <row r="45" customFormat="false" ht="20.85" hidden="false" customHeight="false" outlineLevel="0" collapsed="false">
      <c r="A45" s="11" t="s">
        <v>188</v>
      </c>
      <c r="B45" s="11" t="s">
        <v>232</v>
      </c>
      <c r="C45" s="11" t="s">
        <v>233</v>
      </c>
      <c r="D45" s="11" t="s">
        <v>117</v>
      </c>
      <c r="E45" s="11" t="s">
        <v>115</v>
      </c>
      <c r="F45" s="11" t="s">
        <v>116</v>
      </c>
      <c r="G45" s="11" t="n">
        <v>1285</v>
      </c>
      <c r="H45" s="11" t="s">
        <v>67</v>
      </c>
      <c r="I45" s="11" t="s">
        <v>234</v>
      </c>
      <c r="J45" s="11" t="s">
        <v>118</v>
      </c>
      <c r="K45" s="11" t="s">
        <v>104</v>
      </c>
      <c r="L45" s="11" t="s">
        <v>224</v>
      </c>
      <c r="M45" s="11" t="n">
        <v>28</v>
      </c>
      <c r="N45" s="11" t="s">
        <v>79</v>
      </c>
      <c r="O45" s="11" t="s">
        <v>193</v>
      </c>
      <c r="P45" s="11" t="s">
        <v>225</v>
      </c>
      <c r="Q45" s="11" t="s">
        <v>203</v>
      </c>
      <c r="R45" s="11" t="s">
        <v>195</v>
      </c>
      <c r="S45" s="11" t="s">
        <v>196</v>
      </c>
      <c r="T45" s="11" t="s">
        <v>58</v>
      </c>
      <c r="U45" s="11" t="s">
        <v>99</v>
      </c>
      <c r="V45" s="11" t="s">
        <v>105</v>
      </c>
    </row>
    <row r="46" customFormat="false" ht="20.85" hidden="false" customHeight="false" outlineLevel="0" collapsed="false">
      <c r="A46" s="8" t="s">
        <v>188</v>
      </c>
      <c r="B46" s="8" t="s">
        <v>235</v>
      </c>
      <c r="C46" s="8" t="s">
        <v>236</v>
      </c>
      <c r="D46" s="8" t="s">
        <v>121</v>
      </c>
      <c r="E46" s="8" t="s">
        <v>119</v>
      </c>
      <c r="F46" s="8" t="s">
        <v>120</v>
      </c>
      <c r="G46" s="8" t="n">
        <v>2844</v>
      </c>
      <c r="H46" s="8" t="s">
        <v>59</v>
      </c>
      <c r="I46" s="8" t="s">
        <v>237</v>
      </c>
      <c r="J46" s="8" t="s">
        <v>122</v>
      </c>
      <c r="K46" s="8" t="s">
        <v>104</v>
      </c>
      <c r="L46" s="8" t="s">
        <v>224</v>
      </c>
      <c r="M46" s="8" t="n">
        <v>60</v>
      </c>
      <c r="N46" s="8" t="s">
        <v>55</v>
      </c>
      <c r="O46" s="8" t="s">
        <v>193</v>
      </c>
      <c r="P46" s="8" t="s">
        <v>225</v>
      </c>
      <c r="Q46" s="8" t="s">
        <v>203</v>
      </c>
      <c r="R46" s="8" t="s">
        <v>195</v>
      </c>
      <c r="S46" s="8" t="s">
        <v>196</v>
      </c>
      <c r="T46" s="8" t="s">
        <v>58</v>
      </c>
      <c r="U46" s="8" t="s">
        <v>99</v>
      </c>
      <c r="V46" s="8" t="s">
        <v>105</v>
      </c>
    </row>
    <row r="47" customFormat="false" ht="20.85" hidden="false" customHeight="false" outlineLevel="0" collapsed="false">
      <c r="A47" s="11" t="s">
        <v>188</v>
      </c>
      <c r="B47" s="11" t="s">
        <v>238</v>
      </c>
      <c r="C47" s="11" t="s">
        <v>239</v>
      </c>
      <c r="D47" s="11" t="s">
        <v>125</v>
      </c>
      <c r="E47" s="11" t="s">
        <v>123</v>
      </c>
      <c r="F47" s="11" t="s">
        <v>124</v>
      </c>
      <c r="G47" s="11" t="n">
        <v>950</v>
      </c>
      <c r="H47" s="11" t="s">
        <v>67</v>
      </c>
      <c r="I47" s="11" t="s">
        <v>240</v>
      </c>
      <c r="J47" s="11" t="s">
        <v>126</v>
      </c>
      <c r="K47" s="11" t="s">
        <v>104</v>
      </c>
      <c r="L47" s="11" t="s">
        <v>224</v>
      </c>
      <c r="M47" s="11" t="n">
        <v>28</v>
      </c>
      <c r="N47" s="11" t="s">
        <v>55</v>
      </c>
      <c r="O47" s="11" t="s">
        <v>193</v>
      </c>
      <c r="P47" s="11" t="s">
        <v>225</v>
      </c>
      <c r="Q47" s="11" t="s">
        <v>203</v>
      </c>
      <c r="R47" s="11" t="s">
        <v>195</v>
      </c>
      <c r="S47" s="11" t="s">
        <v>196</v>
      </c>
      <c r="T47" s="11" t="s">
        <v>58</v>
      </c>
      <c r="U47" s="11" t="s">
        <v>99</v>
      </c>
      <c r="V47" s="11" t="s">
        <v>105</v>
      </c>
    </row>
    <row r="48" customFormat="false" ht="20.85" hidden="false" customHeight="false" outlineLevel="0" collapsed="false">
      <c r="A48" s="8" t="s">
        <v>188</v>
      </c>
      <c r="B48" s="8" t="s">
        <v>241</v>
      </c>
      <c r="C48" s="8" t="s">
        <v>242</v>
      </c>
      <c r="D48" s="8" t="s">
        <v>129</v>
      </c>
      <c r="E48" s="8" t="s">
        <v>127</v>
      </c>
      <c r="F48" s="8" t="s">
        <v>128</v>
      </c>
      <c r="G48" s="8" t="n">
        <v>1948</v>
      </c>
      <c r="H48" s="8" t="s">
        <v>67</v>
      </c>
      <c r="I48" s="8" t="s">
        <v>243</v>
      </c>
      <c r="J48" s="8" t="s">
        <v>130</v>
      </c>
      <c r="K48" s="8" t="s">
        <v>104</v>
      </c>
      <c r="L48" s="8" t="s">
        <v>192</v>
      </c>
      <c r="M48" s="8" t="n">
        <v>60</v>
      </c>
      <c r="N48" s="8" t="s">
        <v>55</v>
      </c>
      <c r="O48" s="8" t="s">
        <v>193</v>
      </c>
      <c r="P48" s="8" t="s">
        <v>225</v>
      </c>
      <c r="Q48" s="8" t="s">
        <v>203</v>
      </c>
      <c r="R48" s="8" t="s">
        <v>195</v>
      </c>
      <c r="S48" s="8" t="s">
        <v>196</v>
      </c>
      <c r="T48" s="8" t="s">
        <v>58</v>
      </c>
      <c r="U48" s="8" t="s">
        <v>99</v>
      </c>
      <c r="V48" s="8" t="s">
        <v>105</v>
      </c>
    </row>
    <row r="49" customFormat="false" ht="20.85" hidden="false" customHeight="false" outlineLevel="0" collapsed="false">
      <c r="A49" s="11" t="s">
        <v>188</v>
      </c>
      <c r="B49" s="11" t="s">
        <v>244</v>
      </c>
      <c r="C49" s="11" t="s">
        <v>245</v>
      </c>
      <c r="D49" s="11" t="s">
        <v>133</v>
      </c>
      <c r="E49" s="11" t="s">
        <v>131</v>
      </c>
      <c r="F49" s="11" t="s">
        <v>132</v>
      </c>
      <c r="G49" s="11" t="n">
        <v>144</v>
      </c>
      <c r="H49" s="11" t="s">
        <v>67</v>
      </c>
      <c r="I49" s="11" t="s">
        <v>246</v>
      </c>
      <c r="J49" s="11" t="s">
        <v>134</v>
      </c>
      <c r="K49" s="11" t="s">
        <v>104</v>
      </c>
      <c r="L49" s="11" t="s">
        <v>211</v>
      </c>
      <c r="M49" s="11" t="n">
        <v>32</v>
      </c>
      <c r="N49" s="11" t="s">
        <v>55</v>
      </c>
      <c r="O49" s="11" t="s">
        <v>193</v>
      </c>
      <c r="P49" s="11" t="s">
        <v>225</v>
      </c>
      <c r="Q49" s="11" t="s">
        <v>203</v>
      </c>
      <c r="R49" s="11" t="s">
        <v>195</v>
      </c>
      <c r="S49" s="11" t="s">
        <v>196</v>
      </c>
      <c r="T49" s="11" t="s">
        <v>58</v>
      </c>
      <c r="U49" s="11" t="s">
        <v>99</v>
      </c>
      <c r="V49" s="11" t="s">
        <v>105</v>
      </c>
    </row>
    <row r="50" customFormat="false" ht="20.85" hidden="false" customHeight="false" outlineLevel="0" collapsed="false">
      <c r="A50" s="8" t="s">
        <v>188</v>
      </c>
      <c r="B50" s="8" t="s">
        <v>247</v>
      </c>
      <c r="C50" s="8" t="s">
        <v>248</v>
      </c>
      <c r="D50" s="8" t="s">
        <v>137</v>
      </c>
      <c r="E50" s="8" t="s">
        <v>135</v>
      </c>
      <c r="F50" s="8" t="s">
        <v>136</v>
      </c>
      <c r="G50" s="8" t="n">
        <v>1598</v>
      </c>
      <c r="H50" s="8" t="s">
        <v>67</v>
      </c>
      <c r="I50" s="8" t="s">
        <v>249</v>
      </c>
      <c r="J50" s="8" t="s">
        <v>138</v>
      </c>
      <c r="K50" s="8" t="s">
        <v>104</v>
      </c>
      <c r="L50" s="8" t="s">
        <v>192</v>
      </c>
      <c r="M50" s="8" t="n">
        <v>36</v>
      </c>
      <c r="N50" s="8" t="s">
        <v>55</v>
      </c>
      <c r="O50" s="8" t="s">
        <v>193</v>
      </c>
      <c r="P50" s="8" t="s">
        <v>225</v>
      </c>
      <c r="Q50" s="8" t="s">
        <v>203</v>
      </c>
      <c r="R50" s="8" t="s">
        <v>195</v>
      </c>
      <c r="S50" s="8" t="s">
        <v>196</v>
      </c>
      <c r="T50" s="8" t="s">
        <v>58</v>
      </c>
      <c r="U50" s="8" t="s">
        <v>99</v>
      </c>
      <c r="V50" s="8" t="s">
        <v>105</v>
      </c>
    </row>
    <row r="51" customFormat="false" ht="20.85" hidden="false" customHeight="false" outlineLevel="0" collapsed="false">
      <c r="A51" s="11" t="s">
        <v>188</v>
      </c>
      <c r="B51" s="11" t="s">
        <v>250</v>
      </c>
      <c r="C51" s="11" t="s">
        <v>251</v>
      </c>
      <c r="D51" s="11" t="s">
        <v>141</v>
      </c>
      <c r="E51" s="11" t="s">
        <v>139</v>
      </c>
      <c r="F51" s="11" t="s">
        <v>140</v>
      </c>
      <c r="G51" s="11" t="n">
        <v>1298</v>
      </c>
      <c r="H51" s="11" t="s">
        <v>67</v>
      </c>
      <c r="I51" s="11" t="s">
        <v>252</v>
      </c>
      <c r="J51" s="11" t="s">
        <v>142</v>
      </c>
      <c r="K51" s="11" t="s">
        <v>104</v>
      </c>
      <c r="L51" s="11" t="s">
        <v>192</v>
      </c>
      <c r="M51" s="11" t="n">
        <v>32</v>
      </c>
      <c r="N51" s="11" t="s">
        <v>55</v>
      </c>
      <c r="O51" s="11" t="s">
        <v>193</v>
      </c>
      <c r="P51" s="11" t="s">
        <v>225</v>
      </c>
      <c r="Q51" s="11" t="s">
        <v>203</v>
      </c>
      <c r="R51" s="11" t="s">
        <v>195</v>
      </c>
      <c r="S51" s="11" t="s">
        <v>196</v>
      </c>
      <c r="T51" s="11" t="s">
        <v>58</v>
      </c>
      <c r="U51" s="11" t="s">
        <v>99</v>
      </c>
      <c r="V51" s="11" t="s">
        <v>105</v>
      </c>
    </row>
    <row r="52" customFormat="false" ht="20.85" hidden="false" customHeight="false" outlineLevel="0" collapsed="false">
      <c r="A52" s="8" t="s">
        <v>188</v>
      </c>
      <c r="B52" s="8" t="s">
        <v>253</v>
      </c>
      <c r="C52" s="8" t="s">
        <v>254</v>
      </c>
      <c r="D52" s="8" t="s">
        <v>145</v>
      </c>
      <c r="E52" s="8" t="s">
        <v>143</v>
      </c>
      <c r="F52" s="8" t="s">
        <v>144</v>
      </c>
      <c r="G52" s="8" t="n">
        <v>2094</v>
      </c>
      <c r="H52" s="8" t="s">
        <v>67</v>
      </c>
      <c r="I52" s="8" t="s">
        <v>255</v>
      </c>
      <c r="J52" s="8" t="s">
        <v>147</v>
      </c>
      <c r="K52" s="8" t="s">
        <v>104</v>
      </c>
      <c r="L52" s="8" t="s">
        <v>192</v>
      </c>
      <c r="M52" s="8" t="n">
        <v>45</v>
      </c>
      <c r="N52" s="8" t="s">
        <v>146</v>
      </c>
      <c r="O52" s="8" t="s">
        <v>193</v>
      </c>
      <c r="P52" s="8" t="s">
        <v>225</v>
      </c>
      <c r="Q52" s="8" t="s">
        <v>203</v>
      </c>
      <c r="R52" s="8" t="s">
        <v>195</v>
      </c>
      <c r="S52" s="8" t="s">
        <v>196</v>
      </c>
      <c r="T52" s="8" t="s">
        <v>58</v>
      </c>
      <c r="U52" s="8" t="s">
        <v>99</v>
      </c>
      <c r="V52" s="8" t="s">
        <v>105</v>
      </c>
    </row>
    <row r="53" customFormat="false" ht="20.85" hidden="false" customHeight="false" outlineLevel="0" collapsed="false">
      <c r="A53" s="11" t="s">
        <v>188</v>
      </c>
      <c r="B53" s="11" t="s">
        <v>256</v>
      </c>
      <c r="C53" s="11" t="s">
        <v>257</v>
      </c>
      <c r="D53" s="11" t="s">
        <v>150</v>
      </c>
      <c r="E53" s="11" t="s">
        <v>148</v>
      </c>
      <c r="F53" s="11" t="s">
        <v>149</v>
      </c>
      <c r="G53" s="11" t="n">
        <v>1838</v>
      </c>
      <c r="H53" s="11" t="s">
        <v>67</v>
      </c>
      <c r="I53" s="11" t="s">
        <v>258</v>
      </c>
      <c r="J53" s="11" t="s">
        <v>151</v>
      </c>
      <c r="K53" s="11" t="s">
        <v>104</v>
      </c>
      <c r="L53" s="11" t="s">
        <v>211</v>
      </c>
      <c r="M53" s="11" t="n">
        <v>28</v>
      </c>
      <c r="N53" s="11" t="s">
        <v>79</v>
      </c>
      <c r="O53" s="11" t="s">
        <v>193</v>
      </c>
      <c r="P53" s="11" t="s">
        <v>225</v>
      </c>
      <c r="Q53" s="11" t="s">
        <v>203</v>
      </c>
      <c r="R53" s="11" t="s">
        <v>195</v>
      </c>
      <c r="S53" s="11" t="s">
        <v>196</v>
      </c>
      <c r="T53" s="11" t="s">
        <v>58</v>
      </c>
      <c r="U53" s="11" t="s">
        <v>99</v>
      </c>
      <c r="V53" s="11" t="s">
        <v>105</v>
      </c>
    </row>
    <row r="54" customFormat="false" ht="20.85" hidden="false" customHeight="false" outlineLevel="0" collapsed="false">
      <c r="A54" s="8" t="s">
        <v>188</v>
      </c>
      <c r="B54" s="8" t="s">
        <v>259</v>
      </c>
      <c r="C54" s="8" t="s">
        <v>260</v>
      </c>
      <c r="D54" s="8" t="s">
        <v>154</v>
      </c>
      <c r="E54" s="8" t="s">
        <v>152</v>
      </c>
      <c r="F54" s="8" t="s">
        <v>153</v>
      </c>
      <c r="G54" s="8" t="n">
        <v>89</v>
      </c>
      <c r="H54" s="8" t="s">
        <v>67</v>
      </c>
      <c r="I54" s="8" t="s">
        <v>261</v>
      </c>
      <c r="J54" s="8" t="s">
        <v>155</v>
      </c>
      <c r="K54" s="8" t="s">
        <v>104</v>
      </c>
      <c r="L54" s="8" t="s">
        <v>207</v>
      </c>
      <c r="M54" s="8" t="n">
        <v>24</v>
      </c>
      <c r="N54" s="8" t="s">
        <v>55</v>
      </c>
      <c r="O54" s="8" t="s">
        <v>193</v>
      </c>
      <c r="P54" s="8" t="s">
        <v>225</v>
      </c>
      <c r="Q54" s="8" t="s">
        <v>203</v>
      </c>
      <c r="R54" s="8" t="s">
        <v>195</v>
      </c>
      <c r="S54" s="8" t="s">
        <v>196</v>
      </c>
      <c r="T54" s="8" t="s">
        <v>58</v>
      </c>
      <c r="U54" s="8" t="s">
        <v>99</v>
      </c>
      <c r="V54" s="8" t="s">
        <v>105</v>
      </c>
    </row>
    <row r="55" customFormat="false" ht="20.85" hidden="false" customHeight="false" outlineLevel="0" collapsed="false">
      <c r="A55" s="11" t="s">
        <v>188</v>
      </c>
      <c r="B55" s="11" t="s">
        <v>262</v>
      </c>
      <c r="C55" s="11" t="s">
        <v>263</v>
      </c>
      <c r="D55" s="11" t="s">
        <v>158</v>
      </c>
      <c r="E55" s="11" t="s">
        <v>156</v>
      </c>
      <c r="F55" s="11" t="s">
        <v>157</v>
      </c>
      <c r="G55" s="11" t="n">
        <v>2054</v>
      </c>
      <c r="H55" s="11" t="s">
        <v>67</v>
      </c>
      <c r="I55" s="11" t="s">
        <v>264</v>
      </c>
      <c r="J55" s="11" t="s">
        <v>159</v>
      </c>
      <c r="K55" s="11" t="s">
        <v>104</v>
      </c>
      <c r="L55" s="11" t="s">
        <v>200</v>
      </c>
      <c r="M55" s="11" t="n">
        <v>28</v>
      </c>
      <c r="N55" s="11" t="s">
        <v>55</v>
      </c>
      <c r="O55" s="11" t="s">
        <v>193</v>
      </c>
      <c r="P55" s="11" t="s">
        <v>225</v>
      </c>
      <c r="Q55" s="11" t="s">
        <v>203</v>
      </c>
      <c r="R55" s="11" t="s">
        <v>265</v>
      </c>
      <c r="S55" s="11" t="s">
        <v>196</v>
      </c>
      <c r="T55" s="11" t="s">
        <v>58</v>
      </c>
      <c r="U55" s="11" t="s">
        <v>99</v>
      </c>
      <c r="V55" s="11" t="s">
        <v>105</v>
      </c>
    </row>
    <row r="56" customFormat="false" ht="20.85" hidden="false" customHeight="false" outlineLevel="0" collapsed="false">
      <c r="A56" s="8" t="s">
        <v>188</v>
      </c>
      <c r="B56" s="8" t="s">
        <v>266</v>
      </c>
      <c r="C56" s="8" t="s">
        <v>267</v>
      </c>
      <c r="D56" s="8" t="s">
        <v>162</v>
      </c>
      <c r="E56" s="8" t="s">
        <v>160</v>
      </c>
      <c r="F56" s="8" t="s">
        <v>161</v>
      </c>
      <c r="G56" s="8" t="n">
        <v>2896</v>
      </c>
      <c r="H56" s="8" t="s">
        <v>67</v>
      </c>
      <c r="I56" s="8" t="s">
        <v>268</v>
      </c>
      <c r="J56" s="8" t="s">
        <v>113</v>
      </c>
      <c r="K56" s="8" t="s">
        <v>104</v>
      </c>
      <c r="L56" s="8" t="s">
        <v>211</v>
      </c>
      <c r="M56" s="8" t="n">
        <v>28</v>
      </c>
      <c r="N56" s="8" t="s">
        <v>55</v>
      </c>
      <c r="O56" s="8" t="s">
        <v>193</v>
      </c>
      <c r="P56" s="8" t="s">
        <v>225</v>
      </c>
      <c r="Q56" s="8" t="s">
        <v>203</v>
      </c>
      <c r="R56" s="8" t="s">
        <v>195</v>
      </c>
      <c r="S56" s="8" t="s">
        <v>196</v>
      </c>
      <c r="T56" s="8" t="s">
        <v>58</v>
      </c>
      <c r="U56" s="8" t="s">
        <v>99</v>
      </c>
      <c r="V56" s="8" t="s">
        <v>105</v>
      </c>
    </row>
    <row r="57" customFormat="false" ht="20.85" hidden="false" customHeight="false" outlineLevel="0" collapsed="false">
      <c r="A57" s="11" t="s">
        <v>188</v>
      </c>
      <c r="B57" s="11" t="s">
        <v>269</v>
      </c>
      <c r="C57" s="11" t="s">
        <v>270</v>
      </c>
      <c r="D57" s="11" t="s">
        <v>165</v>
      </c>
      <c r="E57" s="11" t="s">
        <v>163</v>
      </c>
      <c r="F57" s="11" t="s">
        <v>164</v>
      </c>
      <c r="G57" s="11" t="n">
        <v>936</v>
      </c>
      <c r="H57" s="11" t="s">
        <v>67</v>
      </c>
      <c r="I57" s="11" t="s">
        <v>271</v>
      </c>
      <c r="J57" s="11" t="s">
        <v>166</v>
      </c>
      <c r="K57" s="11" t="s">
        <v>104</v>
      </c>
      <c r="L57" s="11" t="s">
        <v>200</v>
      </c>
      <c r="M57" s="11" t="n">
        <v>40</v>
      </c>
      <c r="N57" s="11" t="s">
        <v>146</v>
      </c>
      <c r="O57" s="11" t="s">
        <v>193</v>
      </c>
      <c r="P57" s="11" t="s">
        <v>225</v>
      </c>
      <c r="Q57" s="11" t="s">
        <v>203</v>
      </c>
      <c r="R57" s="11" t="s">
        <v>195</v>
      </c>
      <c r="S57" s="11" t="s">
        <v>196</v>
      </c>
      <c r="T57" s="11" t="s">
        <v>58</v>
      </c>
      <c r="U57" s="11" t="s">
        <v>99</v>
      </c>
      <c r="V57" s="11" t="s">
        <v>105</v>
      </c>
    </row>
    <row r="58" customFormat="false" ht="15" hidden="false" customHeight="false" outlineLevel="0" collapsed="false">
      <c r="A58" s="8" t="s">
        <v>188</v>
      </c>
      <c r="B58" s="8" t="s">
        <v>272</v>
      </c>
      <c r="C58" s="8" t="s">
        <v>273</v>
      </c>
      <c r="D58" s="8" t="s">
        <v>274</v>
      </c>
      <c r="E58" s="8" t="s">
        <v>275</v>
      </c>
      <c r="F58" s="8" t="s">
        <v>276</v>
      </c>
      <c r="G58" s="8" t="n">
        <v>959</v>
      </c>
      <c r="H58" s="8" t="s">
        <v>67</v>
      </c>
      <c r="I58" s="8" t="s">
        <v>277</v>
      </c>
      <c r="J58" s="8" t="s">
        <v>278</v>
      </c>
      <c r="K58" s="8" t="s">
        <v>104</v>
      </c>
      <c r="L58" s="8" t="s">
        <v>200</v>
      </c>
      <c r="M58" s="8" t="n">
        <v>28</v>
      </c>
      <c r="N58" s="8" t="s">
        <v>146</v>
      </c>
      <c r="O58" s="8" t="s">
        <v>203</v>
      </c>
      <c r="P58" s="8" t="s">
        <v>225</v>
      </c>
      <c r="Q58" s="8" t="s">
        <v>203</v>
      </c>
      <c r="R58" s="8" t="s">
        <v>195</v>
      </c>
      <c r="S58" s="8" t="s">
        <v>279</v>
      </c>
      <c r="T58" s="8"/>
      <c r="U58" s="8"/>
      <c r="V58" s="8"/>
    </row>
    <row r="59" customFormat="false" ht="15" hidden="false" customHeight="false" outlineLevel="0" collapsed="false">
      <c r="A59" s="11" t="s">
        <v>188</v>
      </c>
      <c r="B59" s="11" t="s">
        <v>280</v>
      </c>
      <c r="C59" s="11" t="s">
        <v>281</v>
      </c>
      <c r="D59" s="11" t="s">
        <v>274</v>
      </c>
      <c r="E59" s="11" t="s">
        <v>282</v>
      </c>
      <c r="F59" s="11" t="s">
        <v>283</v>
      </c>
      <c r="G59" s="11" t="n">
        <v>1685</v>
      </c>
      <c r="H59" s="11" t="s">
        <v>67</v>
      </c>
      <c r="I59" s="11" t="s">
        <v>284</v>
      </c>
      <c r="J59" s="11" t="s">
        <v>285</v>
      </c>
      <c r="K59" s="11" t="s">
        <v>104</v>
      </c>
      <c r="L59" s="11" t="s">
        <v>211</v>
      </c>
      <c r="M59" s="11" t="n">
        <v>28</v>
      </c>
      <c r="N59" s="11" t="s">
        <v>55</v>
      </c>
      <c r="O59" s="11" t="s">
        <v>203</v>
      </c>
      <c r="P59" s="11" t="s">
        <v>225</v>
      </c>
      <c r="Q59" s="11" t="s">
        <v>203</v>
      </c>
      <c r="R59" s="11" t="s">
        <v>195</v>
      </c>
      <c r="S59" s="11" t="s">
        <v>279</v>
      </c>
      <c r="T59" s="11"/>
      <c r="U59" s="11"/>
      <c r="V59" s="11"/>
    </row>
    <row r="60" customFormat="false" ht="15" hidden="false" customHeight="false" outlineLevel="0" collapsed="false">
      <c r="A60" s="8" t="s">
        <v>188</v>
      </c>
      <c r="B60" s="8" t="s">
        <v>286</v>
      </c>
      <c r="C60" s="8" t="s">
        <v>287</v>
      </c>
      <c r="D60" s="8" t="s">
        <v>274</v>
      </c>
      <c r="E60" s="8" t="s">
        <v>288</v>
      </c>
      <c r="F60" s="8" t="s">
        <v>289</v>
      </c>
      <c r="G60" s="8" t="n">
        <v>2099</v>
      </c>
      <c r="H60" s="8" t="s">
        <v>67</v>
      </c>
      <c r="I60" s="8" t="s">
        <v>290</v>
      </c>
      <c r="J60" s="8" t="s">
        <v>291</v>
      </c>
      <c r="K60" s="8" t="s">
        <v>104</v>
      </c>
      <c r="L60" s="8" t="s">
        <v>211</v>
      </c>
      <c r="M60" s="8" t="n">
        <v>40</v>
      </c>
      <c r="N60" s="8" t="s">
        <v>55</v>
      </c>
      <c r="O60" s="8" t="s">
        <v>203</v>
      </c>
      <c r="P60" s="8" t="s">
        <v>225</v>
      </c>
      <c r="Q60" s="8" t="s">
        <v>203</v>
      </c>
      <c r="R60" s="8" t="s">
        <v>195</v>
      </c>
      <c r="S60" s="8" t="s">
        <v>279</v>
      </c>
      <c r="T60" s="8"/>
      <c r="U60" s="8"/>
      <c r="V60" s="8"/>
    </row>
    <row r="61" customFormat="false" ht="15" hidden="false" customHeight="false" outlineLevel="0" collapsed="false">
      <c r="A61" s="11" t="s">
        <v>188</v>
      </c>
      <c r="B61" s="11" t="s">
        <v>292</v>
      </c>
      <c r="C61" s="11" t="s">
        <v>293</v>
      </c>
      <c r="D61" s="11" t="s">
        <v>294</v>
      </c>
      <c r="E61" s="11" t="s">
        <v>295</v>
      </c>
      <c r="F61" s="11" t="s">
        <v>296</v>
      </c>
      <c r="G61" s="11" t="n">
        <v>298</v>
      </c>
      <c r="H61" s="11" t="s">
        <v>67</v>
      </c>
      <c r="I61" s="11" t="s">
        <v>297</v>
      </c>
      <c r="J61" s="11" t="s">
        <v>298</v>
      </c>
      <c r="K61" s="11" t="s">
        <v>104</v>
      </c>
      <c r="L61" s="11" t="s">
        <v>192</v>
      </c>
      <c r="M61" s="11" t="n">
        <v>70</v>
      </c>
      <c r="N61" s="11" t="s">
        <v>55</v>
      </c>
      <c r="O61" s="11" t="s">
        <v>203</v>
      </c>
      <c r="P61" s="11" t="s">
        <v>225</v>
      </c>
      <c r="Q61" s="11" t="s">
        <v>203</v>
      </c>
      <c r="R61" s="11" t="s">
        <v>195</v>
      </c>
      <c r="S61" s="11" t="s">
        <v>279</v>
      </c>
      <c r="T61" s="11"/>
      <c r="U61" s="11"/>
      <c r="V61" s="11"/>
    </row>
    <row r="62" customFormat="false" ht="15" hidden="false" customHeight="false" outlineLevel="0" collapsed="false">
      <c r="A62" s="8" t="s">
        <v>188</v>
      </c>
      <c r="B62" s="8" t="s">
        <v>299</v>
      </c>
      <c r="C62" s="8" t="s">
        <v>300</v>
      </c>
      <c r="D62" s="8" t="s">
        <v>301</v>
      </c>
      <c r="E62" s="8" t="s">
        <v>302</v>
      </c>
      <c r="F62" s="8" t="s">
        <v>303</v>
      </c>
      <c r="G62" s="8" t="n">
        <v>2582</v>
      </c>
      <c r="H62" s="8" t="s">
        <v>67</v>
      </c>
      <c r="I62" s="8" t="s">
        <v>304</v>
      </c>
      <c r="J62" s="8" t="s">
        <v>305</v>
      </c>
      <c r="K62" s="8" t="s">
        <v>104</v>
      </c>
      <c r="L62" s="8" t="s">
        <v>192</v>
      </c>
      <c r="M62" s="8" t="n">
        <v>24</v>
      </c>
      <c r="N62" s="8" t="s">
        <v>146</v>
      </c>
      <c r="O62" s="8" t="s">
        <v>203</v>
      </c>
      <c r="P62" s="8" t="s">
        <v>225</v>
      </c>
      <c r="Q62" s="8" t="s">
        <v>203</v>
      </c>
      <c r="R62" s="8" t="s">
        <v>195</v>
      </c>
      <c r="S62" s="8" t="s">
        <v>279</v>
      </c>
      <c r="T62" s="8"/>
      <c r="U62" s="8"/>
      <c r="V62" s="8"/>
    </row>
    <row r="63" customFormat="false" ht="15" hidden="false" customHeight="false" outlineLevel="0" collapsed="false">
      <c r="A63" s="11" t="s">
        <v>188</v>
      </c>
      <c r="B63" s="11" t="s">
        <v>306</v>
      </c>
      <c r="C63" s="11" t="s">
        <v>307</v>
      </c>
      <c r="D63" s="11" t="s">
        <v>308</v>
      </c>
      <c r="E63" s="11" t="s">
        <v>309</v>
      </c>
      <c r="F63" s="11" t="s">
        <v>310</v>
      </c>
      <c r="G63" s="11" t="n">
        <v>1918</v>
      </c>
      <c r="H63" s="11" t="s">
        <v>114</v>
      </c>
      <c r="I63" s="11" t="s">
        <v>311</v>
      </c>
      <c r="J63" s="11" t="s">
        <v>312</v>
      </c>
      <c r="K63" s="11" t="s">
        <v>104</v>
      </c>
      <c r="L63" s="11" t="s">
        <v>211</v>
      </c>
      <c r="M63" s="11" t="n">
        <v>28</v>
      </c>
      <c r="N63" s="11" t="s">
        <v>79</v>
      </c>
      <c r="O63" s="11" t="s">
        <v>203</v>
      </c>
      <c r="P63" s="11" t="s">
        <v>225</v>
      </c>
      <c r="Q63" s="11" t="s">
        <v>203</v>
      </c>
      <c r="R63" s="11" t="s">
        <v>195</v>
      </c>
      <c r="S63" s="11" t="s">
        <v>279</v>
      </c>
      <c r="T63" s="11"/>
      <c r="U63" s="11"/>
      <c r="V63" s="11"/>
    </row>
    <row r="64" customFormat="false" ht="15" hidden="false" customHeight="false" outlineLevel="0" collapsed="false">
      <c r="A64" s="8" t="s">
        <v>188</v>
      </c>
      <c r="B64" s="8" t="s">
        <v>313</v>
      </c>
      <c r="C64" s="8" t="s">
        <v>314</v>
      </c>
      <c r="D64" s="8" t="s">
        <v>315</v>
      </c>
      <c r="E64" s="8" t="s">
        <v>316</v>
      </c>
      <c r="F64" s="8" t="s">
        <v>317</v>
      </c>
      <c r="G64" s="8" t="n">
        <v>1565</v>
      </c>
      <c r="H64" s="8" t="s">
        <v>59</v>
      </c>
      <c r="I64" s="8" t="s">
        <v>318</v>
      </c>
      <c r="J64" s="8" t="s">
        <v>319</v>
      </c>
      <c r="K64" s="8" t="s">
        <v>104</v>
      </c>
      <c r="L64" s="8" t="s">
        <v>192</v>
      </c>
      <c r="M64" s="8" t="n">
        <v>32</v>
      </c>
      <c r="N64" s="8" t="s">
        <v>55</v>
      </c>
      <c r="O64" s="8" t="s">
        <v>203</v>
      </c>
      <c r="P64" s="8" t="s">
        <v>225</v>
      </c>
      <c r="Q64" s="8" t="s">
        <v>203</v>
      </c>
      <c r="R64" s="8" t="s">
        <v>195</v>
      </c>
      <c r="S64" s="8" t="s">
        <v>279</v>
      </c>
      <c r="T64" s="8"/>
      <c r="U64" s="8"/>
      <c r="V64" s="8"/>
    </row>
    <row r="65" customFormat="false" ht="15" hidden="false" customHeight="false" outlineLevel="0" collapsed="false">
      <c r="A65" s="11" t="s">
        <v>188</v>
      </c>
      <c r="B65" s="11" t="s">
        <v>320</v>
      </c>
      <c r="C65" s="11" t="s">
        <v>321</v>
      </c>
      <c r="D65" s="11" t="s">
        <v>322</v>
      </c>
      <c r="E65" s="11" t="s">
        <v>323</v>
      </c>
      <c r="F65" s="11" t="s">
        <v>324</v>
      </c>
      <c r="G65" s="11" t="n">
        <v>1664</v>
      </c>
      <c r="H65" s="11" t="s">
        <v>67</v>
      </c>
      <c r="I65" s="11" t="s">
        <v>325</v>
      </c>
      <c r="J65" s="11" t="s">
        <v>326</v>
      </c>
      <c r="K65" s="11" t="s">
        <v>104</v>
      </c>
      <c r="L65" s="11" t="s">
        <v>192</v>
      </c>
      <c r="M65" s="11" t="n">
        <v>60</v>
      </c>
      <c r="N65" s="11" t="s">
        <v>64</v>
      </c>
      <c r="O65" s="11" t="s">
        <v>203</v>
      </c>
      <c r="P65" s="11" t="s">
        <v>225</v>
      </c>
      <c r="Q65" s="11" t="s">
        <v>203</v>
      </c>
      <c r="R65" s="11" t="s">
        <v>195</v>
      </c>
      <c r="S65" s="11" t="s">
        <v>279</v>
      </c>
      <c r="T65" s="11"/>
      <c r="U65" s="11"/>
      <c r="V65" s="11"/>
    </row>
    <row r="66" customFormat="false" ht="15" hidden="false" customHeight="false" outlineLevel="0" collapsed="false">
      <c r="A66" s="8" t="s">
        <v>188</v>
      </c>
      <c r="B66" s="8" t="s">
        <v>327</v>
      </c>
      <c r="C66" s="8" t="s">
        <v>328</v>
      </c>
      <c r="D66" s="8" t="s">
        <v>329</v>
      </c>
      <c r="E66" s="8" t="s">
        <v>330</v>
      </c>
      <c r="F66" s="8" t="s">
        <v>331</v>
      </c>
      <c r="G66" s="8" t="n">
        <v>1366</v>
      </c>
      <c r="H66" s="8" t="s">
        <v>332</v>
      </c>
      <c r="I66" s="8" t="s">
        <v>333</v>
      </c>
      <c r="J66" s="8" t="s">
        <v>312</v>
      </c>
      <c r="K66" s="8" t="s">
        <v>104</v>
      </c>
      <c r="L66" s="8" t="s">
        <v>211</v>
      </c>
      <c r="M66" s="8" t="n">
        <v>28</v>
      </c>
      <c r="N66" s="8" t="s">
        <v>55</v>
      </c>
      <c r="O66" s="8" t="s">
        <v>203</v>
      </c>
      <c r="P66" s="8" t="s">
        <v>225</v>
      </c>
      <c r="Q66" s="8" t="s">
        <v>203</v>
      </c>
      <c r="R66" s="8" t="s">
        <v>195</v>
      </c>
      <c r="S66" s="8" t="s">
        <v>279</v>
      </c>
      <c r="T66" s="8"/>
      <c r="U66" s="8"/>
      <c r="V66" s="8"/>
    </row>
    <row r="67" customFormat="false" ht="15" hidden="false" customHeight="false" outlineLevel="0" collapsed="false">
      <c r="A67" s="11" t="s">
        <v>188</v>
      </c>
      <c r="B67" s="11" t="s">
        <v>334</v>
      </c>
      <c r="C67" s="11" t="s">
        <v>335</v>
      </c>
      <c r="D67" s="11" t="s">
        <v>336</v>
      </c>
      <c r="E67" s="11" t="s">
        <v>337</v>
      </c>
      <c r="F67" s="11" t="s">
        <v>338</v>
      </c>
      <c r="G67" s="11" t="n">
        <v>984</v>
      </c>
      <c r="H67" s="11" t="s">
        <v>67</v>
      </c>
      <c r="I67" s="11" t="s">
        <v>339</v>
      </c>
      <c r="J67" s="11" t="s">
        <v>340</v>
      </c>
      <c r="K67" s="11" t="s">
        <v>104</v>
      </c>
      <c r="L67" s="11" t="s">
        <v>192</v>
      </c>
      <c r="M67" s="11" t="n">
        <v>60</v>
      </c>
      <c r="N67" s="11" t="s">
        <v>79</v>
      </c>
      <c r="O67" s="11" t="s">
        <v>203</v>
      </c>
      <c r="P67" s="11" t="s">
        <v>225</v>
      </c>
      <c r="Q67" s="11" t="s">
        <v>203</v>
      </c>
      <c r="R67" s="11" t="s">
        <v>195</v>
      </c>
      <c r="S67" s="11" t="s">
        <v>279</v>
      </c>
      <c r="T67" s="11"/>
      <c r="U67" s="11"/>
      <c r="V67" s="11"/>
    </row>
    <row r="68" customFormat="false" ht="15" hidden="false" customHeight="false" outlineLevel="0" collapsed="false">
      <c r="A68" s="8" t="s">
        <v>188</v>
      </c>
      <c r="B68" s="8" t="s">
        <v>341</v>
      </c>
      <c r="C68" s="8" t="s">
        <v>342</v>
      </c>
      <c r="D68" s="8" t="s">
        <v>343</v>
      </c>
      <c r="E68" s="8" t="s">
        <v>344</v>
      </c>
      <c r="F68" s="8" t="s">
        <v>345</v>
      </c>
      <c r="G68" s="8" t="n">
        <v>649</v>
      </c>
      <c r="H68" s="8" t="s">
        <v>67</v>
      </c>
      <c r="I68" s="8" t="s">
        <v>346</v>
      </c>
      <c r="J68" s="8" t="s">
        <v>347</v>
      </c>
      <c r="K68" s="8" t="s">
        <v>104</v>
      </c>
      <c r="L68" s="8" t="s">
        <v>200</v>
      </c>
      <c r="M68" s="8" t="n">
        <v>32</v>
      </c>
      <c r="N68" s="8" t="s">
        <v>55</v>
      </c>
      <c r="O68" s="8" t="s">
        <v>203</v>
      </c>
      <c r="P68" s="8" t="s">
        <v>225</v>
      </c>
      <c r="Q68" s="8" t="s">
        <v>203</v>
      </c>
      <c r="R68" s="8" t="s">
        <v>195</v>
      </c>
      <c r="S68" s="8" t="s">
        <v>279</v>
      </c>
      <c r="T68" s="8"/>
      <c r="U68" s="8"/>
      <c r="V68" s="8"/>
    </row>
    <row r="69" customFormat="false" ht="15" hidden="false" customHeight="false" outlineLevel="0" collapsed="false">
      <c r="A69" s="11" t="s">
        <v>188</v>
      </c>
      <c r="B69" s="11" t="s">
        <v>348</v>
      </c>
      <c r="C69" s="11" t="s">
        <v>349</v>
      </c>
      <c r="D69" s="11" t="s">
        <v>350</v>
      </c>
      <c r="E69" s="11" t="s">
        <v>351</v>
      </c>
      <c r="F69" s="11" t="s">
        <v>352</v>
      </c>
      <c r="G69" s="11" t="n">
        <v>2535</v>
      </c>
      <c r="H69" s="11" t="s">
        <v>59</v>
      </c>
      <c r="I69" s="11" t="s">
        <v>353</v>
      </c>
      <c r="J69" s="11" t="s">
        <v>354</v>
      </c>
      <c r="K69" s="11" t="s">
        <v>104</v>
      </c>
      <c r="L69" s="11" t="s">
        <v>192</v>
      </c>
      <c r="M69" s="11" t="n">
        <v>24</v>
      </c>
      <c r="N69" s="11" t="s">
        <v>55</v>
      </c>
      <c r="O69" s="11" t="s">
        <v>203</v>
      </c>
      <c r="P69" s="11" t="s">
        <v>225</v>
      </c>
      <c r="Q69" s="11" t="s">
        <v>203</v>
      </c>
      <c r="R69" s="11" t="s">
        <v>195</v>
      </c>
      <c r="S69" s="11" t="s">
        <v>279</v>
      </c>
      <c r="T69" s="11"/>
      <c r="U69" s="11"/>
      <c r="V69" s="11"/>
    </row>
    <row r="70" customFormat="false" ht="15" hidden="false" customHeight="false" outlineLevel="0" collapsed="false">
      <c r="A70" s="8" t="s">
        <v>188</v>
      </c>
      <c r="B70" s="8" t="s">
        <v>355</v>
      </c>
      <c r="C70" s="8" t="s">
        <v>356</v>
      </c>
      <c r="D70" s="8" t="s">
        <v>357</v>
      </c>
      <c r="E70" s="8" t="s">
        <v>358</v>
      </c>
      <c r="F70" s="8" t="s">
        <v>359</v>
      </c>
      <c r="G70" s="8" t="n">
        <v>388</v>
      </c>
      <c r="H70" s="8" t="s">
        <v>67</v>
      </c>
      <c r="I70" s="8" t="s">
        <v>360</v>
      </c>
      <c r="J70" s="8" t="s">
        <v>361</v>
      </c>
      <c r="K70" s="8" t="s">
        <v>104</v>
      </c>
      <c r="L70" s="8" t="s">
        <v>207</v>
      </c>
      <c r="M70" s="8" t="n">
        <v>36</v>
      </c>
      <c r="N70" s="8" t="s">
        <v>55</v>
      </c>
      <c r="O70" s="8" t="s">
        <v>203</v>
      </c>
      <c r="P70" s="8" t="s">
        <v>225</v>
      </c>
      <c r="Q70" s="8" t="s">
        <v>203</v>
      </c>
      <c r="R70" s="8" t="s">
        <v>195</v>
      </c>
      <c r="S70" s="8" t="s">
        <v>279</v>
      </c>
      <c r="T70" s="8"/>
      <c r="U70" s="8"/>
      <c r="V70" s="8"/>
    </row>
    <row r="71" customFormat="false" ht="15" hidden="false" customHeight="false" outlineLevel="0" collapsed="false">
      <c r="A71" s="11" t="s">
        <v>188</v>
      </c>
      <c r="B71" s="11" t="s">
        <v>362</v>
      </c>
      <c r="C71" s="11" t="s">
        <v>363</v>
      </c>
      <c r="D71" s="11" t="s">
        <v>364</v>
      </c>
      <c r="E71" s="11" t="s">
        <v>152</v>
      </c>
      <c r="F71" s="11" t="s">
        <v>153</v>
      </c>
      <c r="G71" s="11" t="n">
        <v>89</v>
      </c>
      <c r="H71" s="11" t="s">
        <v>67</v>
      </c>
      <c r="I71" s="11" t="s">
        <v>261</v>
      </c>
      <c r="J71" s="11" t="s">
        <v>365</v>
      </c>
      <c r="K71" s="11" t="s">
        <v>104</v>
      </c>
      <c r="L71" s="11" t="s">
        <v>192</v>
      </c>
      <c r="M71" s="11" t="n">
        <v>32</v>
      </c>
      <c r="N71" s="11" t="s">
        <v>79</v>
      </c>
      <c r="O71" s="11" t="s">
        <v>203</v>
      </c>
      <c r="P71" s="11" t="s">
        <v>225</v>
      </c>
      <c r="Q71" s="11" t="s">
        <v>203</v>
      </c>
      <c r="R71" s="11" t="s">
        <v>195</v>
      </c>
      <c r="S71" s="11" t="s">
        <v>279</v>
      </c>
      <c r="T71" s="11"/>
      <c r="U71" s="11"/>
      <c r="V71" s="11"/>
    </row>
    <row r="72" customFormat="false" ht="15" hidden="false" customHeight="false" outlineLevel="0" collapsed="false">
      <c r="A72" s="8" t="s">
        <v>188</v>
      </c>
      <c r="B72" s="8" t="s">
        <v>366</v>
      </c>
      <c r="C72" s="8" t="s">
        <v>367</v>
      </c>
      <c r="D72" s="8" t="s">
        <v>368</v>
      </c>
      <c r="E72" s="8" t="s">
        <v>369</v>
      </c>
      <c r="F72" s="8" t="s">
        <v>370</v>
      </c>
      <c r="G72" s="8" t="n">
        <v>2014</v>
      </c>
      <c r="H72" s="8" t="s">
        <v>67</v>
      </c>
      <c r="I72" s="8" t="s">
        <v>371</v>
      </c>
      <c r="J72" s="8" t="s">
        <v>372</v>
      </c>
      <c r="K72" s="8" t="s">
        <v>104</v>
      </c>
      <c r="L72" s="8" t="s">
        <v>211</v>
      </c>
      <c r="M72" s="8" t="n">
        <v>28</v>
      </c>
      <c r="N72" s="8" t="s">
        <v>55</v>
      </c>
      <c r="O72" s="8" t="s">
        <v>203</v>
      </c>
      <c r="P72" s="8" t="s">
        <v>225</v>
      </c>
      <c r="Q72" s="8" t="s">
        <v>203</v>
      </c>
      <c r="R72" s="8" t="s">
        <v>195</v>
      </c>
      <c r="S72" s="8" t="s">
        <v>279</v>
      </c>
      <c r="T72" s="8"/>
      <c r="U72" s="8"/>
      <c r="V72" s="8"/>
    </row>
    <row r="73" customFormat="false" ht="15" hidden="false" customHeight="false" outlineLevel="0" collapsed="false">
      <c r="A73" s="11" t="s">
        <v>188</v>
      </c>
      <c r="B73" s="11" t="s">
        <v>373</v>
      </c>
      <c r="C73" s="11" t="s">
        <v>374</v>
      </c>
      <c r="D73" s="11" t="s">
        <v>375</v>
      </c>
      <c r="E73" s="11" t="s">
        <v>376</v>
      </c>
      <c r="F73" s="11" t="s">
        <v>377</v>
      </c>
      <c r="G73" s="11" t="n">
        <v>145</v>
      </c>
      <c r="H73" s="11" t="s">
        <v>59</v>
      </c>
      <c r="I73" s="11" t="s">
        <v>378</v>
      </c>
      <c r="J73" s="11" t="s">
        <v>379</v>
      </c>
      <c r="K73" s="11" t="s">
        <v>104</v>
      </c>
      <c r="L73" s="11" t="s">
        <v>224</v>
      </c>
      <c r="M73" s="11" t="n">
        <v>36</v>
      </c>
      <c r="N73" s="11" t="s">
        <v>146</v>
      </c>
      <c r="O73" s="11" t="s">
        <v>203</v>
      </c>
      <c r="P73" s="11" t="s">
        <v>225</v>
      </c>
      <c r="Q73" s="11" t="s">
        <v>203</v>
      </c>
      <c r="R73" s="11" t="s">
        <v>195</v>
      </c>
      <c r="S73" s="11" t="s">
        <v>279</v>
      </c>
      <c r="T73" s="11"/>
      <c r="U73" s="11"/>
      <c r="V73" s="11"/>
    </row>
    <row r="74" customFormat="false" ht="15" hidden="false" customHeight="false" outlineLevel="0" collapsed="false">
      <c r="A74" s="8" t="s">
        <v>188</v>
      </c>
      <c r="B74" s="8" t="s">
        <v>380</v>
      </c>
      <c r="C74" s="8" t="s">
        <v>381</v>
      </c>
      <c r="D74" s="8" t="s">
        <v>382</v>
      </c>
      <c r="E74" s="8" t="s">
        <v>383</v>
      </c>
      <c r="F74" s="8" t="s">
        <v>384</v>
      </c>
      <c r="G74" s="8" t="n">
        <v>886</v>
      </c>
      <c r="H74" s="8" t="s">
        <v>67</v>
      </c>
      <c r="I74" s="8" t="s">
        <v>385</v>
      </c>
      <c r="J74" s="8" t="s">
        <v>319</v>
      </c>
      <c r="K74" s="8" t="s">
        <v>104</v>
      </c>
      <c r="L74" s="8" t="s">
        <v>192</v>
      </c>
      <c r="M74" s="8" t="n">
        <v>32</v>
      </c>
      <c r="N74" s="8" t="s">
        <v>146</v>
      </c>
      <c r="O74" s="8" t="s">
        <v>203</v>
      </c>
      <c r="P74" s="8" t="s">
        <v>225</v>
      </c>
      <c r="Q74" s="8" t="s">
        <v>203</v>
      </c>
      <c r="R74" s="8" t="s">
        <v>195</v>
      </c>
      <c r="S74" s="8" t="s">
        <v>279</v>
      </c>
      <c r="T74" s="8"/>
      <c r="U74" s="8"/>
      <c r="V74" s="8"/>
    </row>
    <row r="75" customFormat="false" ht="15" hidden="false" customHeight="false" outlineLevel="0" collapsed="false">
      <c r="A75" s="11" t="s">
        <v>188</v>
      </c>
      <c r="B75" s="11" t="s">
        <v>386</v>
      </c>
      <c r="C75" s="11" t="s">
        <v>387</v>
      </c>
      <c r="D75" s="11" t="s">
        <v>388</v>
      </c>
      <c r="E75" s="11" t="s">
        <v>389</v>
      </c>
      <c r="F75" s="11" t="s">
        <v>390</v>
      </c>
      <c r="G75" s="11" t="n">
        <v>1074</v>
      </c>
      <c r="H75" s="11" t="s">
        <v>67</v>
      </c>
      <c r="I75" s="11" t="s">
        <v>391</v>
      </c>
      <c r="J75" s="11" t="s">
        <v>392</v>
      </c>
      <c r="K75" s="11" t="s">
        <v>104</v>
      </c>
      <c r="L75" s="11" t="s">
        <v>224</v>
      </c>
      <c r="M75" s="11" t="n">
        <v>32</v>
      </c>
      <c r="N75" s="11" t="s">
        <v>55</v>
      </c>
      <c r="O75" s="11" t="s">
        <v>203</v>
      </c>
      <c r="P75" s="11" t="s">
        <v>225</v>
      </c>
      <c r="Q75" s="11" t="s">
        <v>203</v>
      </c>
      <c r="R75" s="11" t="s">
        <v>195</v>
      </c>
      <c r="S75" s="11" t="s">
        <v>279</v>
      </c>
      <c r="T75" s="11"/>
      <c r="U75" s="11"/>
      <c r="V75" s="11"/>
    </row>
    <row r="76" customFormat="false" ht="15" hidden="false" customHeight="false" outlineLevel="0" collapsed="false">
      <c r="A76" s="8" t="s">
        <v>188</v>
      </c>
      <c r="B76" s="8" t="s">
        <v>393</v>
      </c>
      <c r="C76" s="8" t="s">
        <v>394</v>
      </c>
      <c r="D76" s="8" t="s">
        <v>395</v>
      </c>
      <c r="E76" s="8" t="s">
        <v>396</v>
      </c>
      <c r="F76" s="8" t="s">
        <v>397</v>
      </c>
      <c r="G76" s="8" t="n">
        <v>473</v>
      </c>
      <c r="H76" s="8" t="s">
        <v>67</v>
      </c>
      <c r="I76" s="8" t="s">
        <v>398</v>
      </c>
      <c r="J76" s="8" t="s">
        <v>399</v>
      </c>
      <c r="K76" s="8" t="s">
        <v>104</v>
      </c>
      <c r="L76" s="8" t="s">
        <v>207</v>
      </c>
      <c r="M76" s="8" t="n">
        <v>28</v>
      </c>
      <c r="N76" s="8" t="s">
        <v>55</v>
      </c>
      <c r="O76" s="8" t="s">
        <v>203</v>
      </c>
      <c r="P76" s="8" t="s">
        <v>225</v>
      </c>
      <c r="Q76" s="8" t="s">
        <v>203</v>
      </c>
      <c r="R76" s="8" t="s">
        <v>195</v>
      </c>
      <c r="S76" s="8" t="s">
        <v>279</v>
      </c>
      <c r="T76" s="8"/>
      <c r="U76" s="8"/>
      <c r="V76" s="8"/>
    </row>
    <row r="77" customFormat="false" ht="15" hidden="false" customHeight="false" outlineLevel="0" collapsed="false">
      <c r="A77" s="11" t="s">
        <v>188</v>
      </c>
      <c r="B77" s="11" t="s">
        <v>400</v>
      </c>
      <c r="C77" s="11" t="s">
        <v>401</v>
      </c>
      <c r="D77" s="11" t="s">
        <v>395</v>
      </c>
      <c r="E77" s="11" t="s">
        <v>402</v>
      </c>
      <c r="F77" s="11" t="s">
        <v>403</v>
      </c>
      <c r="G77" s="11" t="n">
        <v>1941</v>
      </c>
      <c r="H77" s="11" t="s">
        <v>67</v>
      </c>
      <c r="I77" s="11" t="s">
        <v>404</v>
      </c>
      <c r="J77" s="11" t="s">
        <v>405</v>
      </c>
      <c r="K77" s="11" t="s">
        <v>104</v>
      </c>
      <c r="L77" s="11" t="s">
        <v>207</v>
      </c>
      <c r="M77" s="11" t="n">
        <v>32</v>
      </c>
      <c r="N77" s="11" t="s">
        <v>55</v>
      </c>
      <c r="O77" s="11" t="s">
        <v>203</v>
      </c>
      <c r="P77" s="11" t="s">
        <v>225</v>
      </c>
      <c r="Q77" s="11" t="s">
        <v>203</v>
      </c>
      <c r="R77" s="11" t="s">
        <v>195</v>
      </c>
      <c r="S77" s="11" t="s">
        <v>279</v>
      </c>
      <c r="T77" s="11"/>
      <c r="U77" s="11"/>
      <c r="V77" s="11"/>
    </row>
    <row r="78" customFormat="false" ht="15" hidden="false" customHeight="false" outlineLevel="0" collapsed="false">
      <c r="A78" s="8" t="s">
        <v>188</v>
      </c>
      <c r="B78" s="8" t="s">
        <v>406</v>
      </c>
      <c r="C78" s="8" t="s">
        <v>407</v>
      </c>
      <c r="D78" s="8" t="s">
        <v>408</v>
      </c>
      <c r="E78" s="8" t="s">
        <v>409</v>
      </c>
      <c r="F78" s="8" t="s">
        <v>410</v>
      </c>
      <c r="G78" s="8" t="n">
        <v>274</v>
      </c>
      <c r="H78" s="8" t="s">
        <v>67</v>
      </c>
      <c r="I78" s="8" t="s">
        <v>411</v>
      </c>
      <c r="J78" s="8" t="s">
        <v>412</v>
      </c>
      <c r="K78" s="8" t="s">
        <v>104</v>
      </c>
      <c r="L78" s="8" t="s">
        <v>192</v>
      </c>
      <c r="M78" s="8" t="n">
        <v>50</v>
      </c>
      <c r="N78" s="8" t="s">
        <v>55</v>
      </c>
      <c r="O78" s="8" t="s">
        <v>203</v>
      </c>
      <c r="P78" s="8" t="s">
        <v>225</v>
      </c>
      <c r="Q78" s="8" t="s">
        <v>203</v>
      </c>
      <c r="R78" s="8" t="s">
        <v>195</v>
      </c>
      <c r="S78" s="8" t="s">
        <v>279</v>
      </c>
      <c r="T78" s="8"/>
      <c r="U78" s="8"/>
      <c r="V78" s="8"/>
    </row>
    <row r="79" customFormat="false" ht="15" hidden="false" customHeight="false" outlineLevel="0" collapsed="false">
      <c r="A79" s="11" t="s">
        <v>188</v>
      </c>
      <c r="B79" s="11" t="s">
        <v>413</v>
      </c>
      <c r="C79" s="11" t="s">
        <v>414</v>
      </c>
      <c r="D79" s="11" t="s">
        <v>54</v>
      </c>
      <c r="E79" s="11" t="s">
        <v>415</v>
      </c>
      <c r="F79" s="11" t="s">
        <v>416</v>
      </c>
      <c r="G79" s="11" t="n">
        <v>469</v>
      </c>
      <c r="H79" s="11" t="s">
        <v>67</v>
      </c>
      <c r="I79" s="11" t="s">
        <v>417</v>
      </c>
      <c r="J79" s="11" t="s">
        <v>418</v>
      </c>
      <c r="K79" s="11" t="s">
        <v>104</v>
      </c>
      <c r="L79" s="11" t="s">
        <v>211</v>
      </c>
      <c r="M79" s="11" t="n">
        <v>32</v>
      </c>
      <c r="N79" s="11" t="s">
        <v>55</v>
      </c>
      <c r="O79" s="11" t="s">
        <v>203</v>
      </c>
      <c r="P79" s="11" t="s">
        <v>225</v>
      </c>
      <c r="Q79" s="11" t="s">
        <v>203</v>
      </c>
      <c r="R79" s="11" t="s">
        <v>195</v>
      </c>
      <c r="S79" s="11" t="s">
        <v>279</v>
      </c>
      <c r="T79" s="11"/>
      <c r="U79" s="11"/>
      <c r="V79" s="11"/>
    </row>
    <row r="80" customFormat="false" ht="15" hidden="false" customHeight="false" outlineLevel="0" collapsed="false">
      <c r="A80" s="8" t="s">
        <v>188</v>
      </c>
      <c r="B80" s="8" t="s">
        <v>419</v>
      </c>
      <c r="C80" s="8" t="s">
        <v>420</v>
      </c>
      <c r="D80" s="8" t="s">
        <v>54</v>
      </c>
      <c r="E80" s="8" t="s">
        <v>421</v>
      </c>
      <c r="F80" s="8" t="s">
        <v>422</v>
      </c>
      <c r="G80" s="8" t="n">
        <v>2178</v>
      </c>
      <c r="H80" s="8" t="s">
        <v>59</v>
      </c>
      <c r="I80" s="8" t="s">
        <v>423</v>
      </c>
      <c r="J80" s="8" t="s">
        <v>424</v>
      </c>
      <c r="K80" s="8" t="s">
        <v>104</v>
      </c>
      <c r="L80" s="8" t="s">
        <v>200</v>
      </c>
      <c r="M80" s="8" t="n">
        <v>32</v>
      </c>
      <c r="N80" s="8" t="s">
        <v>55</v>
      </c>
      <c r="O80" s="8" t="s">
        <v>203</v>
      </c>
      <c r="P80" s="8" t="s">
        <v>225</v>
      </c>
      <c r="Q80" s="8" t="s">
        <v>203</v>
      </c>
      <c r="R80" s="8" t="s">
        <v>195</v>
      </c>
      <c r="S80" s="8" t="s">
        <v>279</v>
      </c>
      <c r="T80" s="8"/>
      <c r="U80" s="8"/>
      <c r="V80" s="8"/>
    </row>
    <row r="81" customFormat="false" ht="15" hidden="false" customHeight="false" outlineLevel="0" collapsed="false">
      <c r="A81" s="11" t="s">
        <v>188</v>
      </c>
      <c r="B81" s="11" t="s">
        <v>425</v>
      </c>
      <c r="C81" s="11" t="s">
        <v>426</v>
      </c>
      <c r="D81" s="11" t="s">
        <v>427</v>
      </c>
      <c r="E81" s="11" t="s">
        <v>428</v>
      </c>
      <c r="F81" s="11" t="s">
        <v>429</v>
      </c>
      <c r="G81" s="11" t="n">
        <v>2537</v>
      </c>
      <c r="H81" s="11" t="s">
        <v>59</v>
      </c>
      <c r="I81" s="11" t="s">
        <v>353</v>
      </c>
      <c r="J81" s="11" t="s">
        <v>430</v>
      </c>
      <c r="K81" s="11" t="s">
        <v>104</v>
      </c>
      <c r="L81" s="11" t="s">
        <v>192</v>
      </c>
      <c r="M81" s="11" t="n">
        <v>32</v>
      </c>
      <c r="N81" s="11" t="s">
        <v>146</v>
      </c>
      <c r="O81" s="11" t="s">
        <v>203</v>
      </c>
      <c r="P81" s="11" t="s">
        <v>225</v>
      </c>
      <c r="Q81" s="11" t="s">
        <v>203</v>
      </c>
      <c r="R81" s="11" t="s">
        <v>195</v>
      </c>
      <c r="S81" s="11" t="s">
        <v>279</v>
      </c>
      <c r="T81" s="11"/>
      <c r="U81" s="11"/>
      <c r="V81" s="11"/>
    </row>
    <row r="82" customFormat="false" ht="15" hidden="false" customHeight="false" outlineLevel="0" collapsed="false">
      <c r="A82" s="8" t="s">
        <v>188</v>
      </c>
      <c r="B82" s="8" t="s">
        <v>431</v>
      </c>
      <c r="C82" s="8" t="s">
        <v>432</v>
      </c>
      <c r="D82" s="8" t="s">
        <v>433</v>
      </c>
      <c r="E82" s="8" t="s">
        <v>434</v>
      </c>
      <c r="F82" s="8" t="s">
        <v>435</v>
      </c>
      <c r="G82" s="8" t="n">
        <v>2151</v>
      </c>
      <c r="H82" s="8" t="s">
        <v>67</v>
      </c>
      <c r="I82" s="8" t="s">
        <v>436</v>
      </c>
      <c r="J82" s="8" t="s">
        <v>437</v>
      </c>
      <c r="K82" s="8" t="s">
        <v>104</v>
      </c>
      <c r="L82" s="8" t="s">
        <v>200</v>
      </c>
      <c r="M82" s="8" t="n">
        <v>28</v>
      </c>
      <c r="N82" s="8" t="s">
        <v>79</v>
      </c>
      <c r="O82" s="8" t="s">
        <v>203</v>
      </c>
      <c r="P82" s="8" t="s">
        <v>225</v>
      </c>
      <c r="Q82" s="8" t="s">
        <v>203</v>
      </c>
      <c r="R82" s="8" t="s">
        <v>195</v>
      </c>
      <c r="S82" s="8" t="s">
        <v>279</v>
      </c>
      <c r="T82" s="8"/>
      <c r="U82" s="8"/>
      <c r="V82" s="8"/>
    </row>
    <row r="83" customFormat="false" ht="15" hidden="false" customHeight="false" outlineLevel="0" collapsed="false">
      <c r="A83" s="11" t="s">
        <v>188</v>
      </c>
      <c r="B83" s="11" t="s">
        <v>438</v>
      </c>
      <c r="C83" s="11" t="s">
        <v>439</v>
      </c>
      <c r="D83" s="11" t="s">
        <v>440</v>
      </c>
      <c r="E83" s="11" t="s">
        <v>441</v>
      </c>
      <c r="F83" s="11" t="s">
        <v>442</v>
      </c>
      <c r="G83" s="11" t="n">
        <v>1134</v>
      </c>
      <c r="H83" s="11" t="s">
        <v>67</v>
      </c>
      <c r="I83" s="11" t="s">
        <v>443</v>
      </c>
      <c r="J83" s="11" t="s">
        <v>444</v>
      </c>
      <c r="K83" s="11" t="s">
        <v>104</v>
      </c>
      <c r="L83" s="11" t="s">
        <v>224</v>
      </c>
      <c r="M83" s="11" t="n">
        <v>60</v>
      </c>
      <c r="N83" s="11" t="s">
        <v>146</v>
      </c>
      <c r="O83" s="11" t="s">
        <v>203</v>
      </c>
      <c r="P83" s="11" t="s">
        <v>225</v>
      </c>
      <c r="Q83" s="11" t="s">
        <v>203</v>
      </c>
      <c r="R83" s="11" t="s">
        <v>195</v>
      </c>
      <c r="S83" s="11" t="s">
        <v>279</v>
      </c>
      <c r="T83" s="11"/>
      <c r="U83" s="11"/>
      <c r="V83" s="11"/>
    </row>
    <row r="84" customFormat="false" ht="15" hidden="false" customHeight="false" outlineLevel="0" collapsed="false">
      <c r="A84" s="8" t="s">
        <v>188</v>
      </c>
      <c r="B84" s="8" t="s">
        <v>445</v>
      </c>
      <c r="C84" s="8" t="s">
        <v>446</v>
      </c>
      <c r="D84" s="8" t="s">
        <v>447</v>
      </c>
      <c r="E84" s="8" t="s">
        <v>448</v>
      </c>
      <c r="F84" s="8" t="s">
        <v>449</v>
      </c>
      <c r="G84" s="8" t="n">
        <v>2181</v>
      </c>
      <c r="H84" s="8" t="s">
        <v>67</v>
      </c>
      <c r="I84" s="8" t="s">
        <v>450</v>
      </c>
      <c r="J84" s="8" t="s">
        <v>451</v>
      </c>
      <c r="K84" s="8" t="s">
        <v>104</v>
      </c>
      <c r="L84" s="8" t="s">
        <v>207</v>
      </c>
      <c r="M84" s="8" t="n">
        <v>80</v>
      </c>
      <c r="N84" s="8" t="s">
        <v>55</v>
      </c>
      <c r="O84" s="8" t="s">
        <v>203</v>
      </c>
      <c r="P84" s="8" t="s">
        <v>225</v>
      </c>
      <c r="Q84" s="8" t="s">
        <v>203</v>
      </c>
      <c r="R84" s="8" t="s">
        <v>195</v>
      </c>
      <c r="S84" s="8" t="s">
        <v>279</v>
      </c>
      <c r="T84" s="8"/>
      <c r="U84" s="8"/>
      <c r="V84" s="8"/>
    </row>
    <row r="85" customFormat="false" ht="15" hidden="false" customHeight="false" outlineLevel="0" collapsed="false">
      <c r="A85" s="11" t="s">
        <v>188</v>
      </c>
      <c r="B85" s="11" t="s">
        <v>452</v>
      </c>
      <c r="C85" s="11" t="s">
        <v>453</v>
      </c>
      <c r="D85" s="11" t="s">
        <v>454</v>
      </c>
      <c r="E85" s="11" t="s">
        <v>455</v>
      </c>
      <c r="F85" s="11" t="s">
        <v>456</v>
      </c>
      <c r="G85" s="11" t="n">
        <v>1485</v>
      </c>
      <c r="H85" s="11" t="s">
        <v>59</v>
      </c>
      <c r="I85" s="11" t="s">
        <v>457</v>
      </c>
      <c r="J85" s="11" t="s">
        <v>458</v>
      </c>
      <c r="K85" s="11" t="s">
        <v>104</v>
      </c>
      <c r="L85" s="11" t="s">
        <v>200</v>
      </c>
      <c r="M85" s="11" t="n">
        <v>32</v>
      </c>
      <c r="N85" s="11" t="s">
        <v>146</v>
      </c>
      <c r="O85" s="11" t="s">
        <v>203</v>
      </c>
      <c r="P85" s="11" t="s">
        <v>225</v>
      </c>
      <c r="Q85" s="11" t="s">
        <v>203</v>
      </c>
      <c r="R85" s="11" t="s">
        <v>195</v>
      </c>
      <c r="S85" s="11" t="s">
        <v>279</v>
      </c>
      <c r="T85" s="11"/>
      <c r="U85" s="11"/>
      <c r="V85" s="11"/>
    </row>
    <row r="86" customFormat="false" ht="15" hidden="false" customHeight="false" outlineLevel="0" collapsed="false">
      <c r="A86" s="8" t="s">
        <v>188</v>
      </c>
      <c r="B86" s="8" t="s">
        <v>459</v>
      </c>
      <c r="C86" s="8" t="s">
        <v>460</v>
      </c>
      <c r="D86" s="8" t="s">
        <v>461</v>
      </c>
      <c r="E86" s="8" t="s">
        <v>462</v>
      </c>
      <c r="F86" s="8" t="s">
        <v>463</v>
      </c>
      <c r="G86" s="8" t="n">
        <v>1100</v>
      </c>
      <c r="H86" s="8" t="s">
        <v>67</v>
      </c>
      <c r="I86" s="8" t="s">
        <v>464</v>
      </c>
      <c r="J86" s="8" t="s">
        <v>465</v>
      </c>
      <c r="K86" s="8" t="s">
        <v>104</v>
      </c>
      <c r="L86" s="8" t="s">
        <v>200</v>
      </c>
      <c r="M86" s="8" t="n">
        <v>36</v>
      </c>
      <c r="N86" s="8" t="s">
        <v>64</v>
      </c>
      <c r="O86" s="8" t="s">
        <v>203</v>
      </c>
      <c r="P86" s="8" t="s">
        <v>225</v>
      </c>
      <c r="Q86" s="8" t="s">
        <v>203</v>
      </c>
      <c r="R86" s="8" t="s">
        <v>195</v>
      </c>
      <c r="S86" s="8" t="s">
        <v>279</v>
      </c>
      <c r="T86" s="8"/>
      <c r="U86" s="8"/>
      <c r="V86" s="8"/>
    </row>
    <row r="87" customFormat="false" ht="15" hidden="false" customHeight="false" outlineLevel="0" collapsed="false">
      <c r="A87" s="11" t="s">
        <v>188</v>
      </c>
      <c r="B87" s="11" t="s">
        <v>466</v>
      </c>
      <c r="C87" s="11" t="s">
        <v>467</v>
      </c>
      <c r="D87" s="11" t="s">
        <v>468</v>
      </c>
      <c r="E87" s="11" t="s">
        <v>469</v>
      </c>
      <c r="F87" s="11" t="s">
        <v>470</v>
      </c>
      <c r="G87" s="11" t="n">
        <v>2816</v>
      </c>
      <c r="H87" s="11" t="s">
        <v>67</v>
      </c>
      <c r="I87" s="11" t="s">
        <v>471</v>
      </c>
      <c r="J87" s="11" t="s">
        <v>472</v>
      </c>
      <c r="K87" s="11" t="s">
        <v>104</v>
      </c>
      <c r="L87" s="11" t="s">
        <v>200</v>
      </c>
      <c r="M87" s="11" t="n">
        <v>28</v>
      </c>
      <c r="N87" s="11" t="s">
        <v>64</v>
      </c>
      <c r="O87" s="11" t="s">
        <v>203</v>
      </c>
      <c r="P87" s="11" t="s">
        <v>225</v>
      </c>
      <c r="Q87" s="11" t="s">
        <v>203</v>
      </c>
      <c r="R87" s="11" t="s">
        <v>195</v>
      </c>
      <c r="S87" s="11" t="s">
        <v>279</v>
      </c>
      <c r="T87" s="11"/>
      <c r="U87" s="11"/>
      <c r="V87" s="11"/>
    </row>
    <row r="88" customFormat="false" ht="15" hidden="false" customHeight="false" outlineLevel="0" collapsed="false">
      <c r="A88" s="8" t="s">
        <v>188</v>
      </c>
      <c r="B88" s="8" t="s">
        <v>473</v>
      </c>
      <c r="C88" s="8" t="s">
        <v>474</v>
      </c>
      <c r="D88" s="8" t="s">
        <v>475</v>
      </c>
      <c r="E88" s="8" t="s">
        <v>476</v>
      </c>
      <c r="F88" s="8" t="s">
        <v>477</v>
      </c>
      <c r="G88" s="8" t="n">
        <v>420</v>
      </c>
      <c r="H88" s="8" t="s">
        <v>67</v>
      </c>
      <c r="I88" s="8" t="s">
        <v>478</v>
      </c>
      <c r="J88" s="8" t="s">
        <v>479</v>
      </c>
      <c r="K88" s="8" t="s">
        <v>104</v>
      </c>
      <c r="L88" s="8" t="s">
        <v>207</v>
      </c>
      <c r="M88" s="8" t="n">
        <v>45</v>
      </c>
      <c r="N88" s="8" t="s">
        <v>55</v>
      </c>
      <c r="O88" s="8" t="s">
        <v>203</v>
      </c>
      <c r="P88" s="8" t="s">
        <v>225</v>
      </c>
      <c r="Q88" s="8" t="s">
        <v>203</v>
      </c>
      <c r="R88" s="8" t="s">
        <v>195</v>
      </c>
      <c r="S88" s="8" t="s">
        <v>279</v>
      </c>
      <c r="T88" s="8"/>
      <c r="U88" s="8"/>
      <c r="V88" s="8"/>
    </row>
    <row r="89" customFormat="false" ht="15" hidden="false" customHeight="false" outlineLevel="0" collapsed="false">
      <c r="A89" s="11" t="s">
        <v>188</v>
      </c>
      <c r="B89" s="11" t="s">
        <v>480</v>
      </c>
      <c r="C89" s="11" t="s">
        <v>481</v>
      </c>
      <c r="D89" s="11" t="s">
        <v>475</v>
      </c>
      <c r="E89" s="11" t="s">
        <v>482</v>
      </c>
      <c r="F89" s="11" t="s">
        <v>483</v>
      </c>
      <c r="G89" s="11" t="n">
        <v>1777</v>
      </c>
      <c r="H89" s="11" t="s">
        <v>67</v>
      </c>
      <c r="I89" s="11" t="s">
        <v>484</v>
      </c>
      <c r="J89" s="11" t="s">
        <v>485</v>
      </c>
      <c r="K89" s="11" t="s">
        <v>104</v>
      </c>
      <c r="L89" s="11" t="s">
        <v>211</v>
      </c>
      <c r="M89" s="11" t="n">
        <v>28</v>
      </c>
      <c r="N89" s="11" t="s">
        <v>55</v>
      </c>
      <c r="O89" s="11" t="s">
        <v>203</v>
      </c>
      <c r="P89" s="11" t="s">
        <v>225</v>
      </c>
      <c r="Q89" s="11" t="s">
        <v>203</v>
      </c>
      <c r="R89" s="11" t="s">
        <v>195</v>
      </c>
      <c r="S89" s="11" t="s">
        <v>279</v>
      </c>
      <c r="T89" s="11"/>
      <c r="U89" s="11"/>
      <c r="V89" s="11"/>
    </row>
    <row r="90" customFormat="false" ht="15" hidden="false" customHeight="false" outlineLevel="0" collapsed="false">
      <c r="A90" s="8" t="s">
        <v>188</v>
      </c>
      <c r="B90" s="8" t="s">
        <v>486</v>
      </c>
      <c r="C90" s="8" t="s">
        <v>487</v>
      </c>
      <c r="D90" s="8" t="s">
        <v>475</v>
      </c>
      <c r="E90" s="8" t="s">
        <v>488</v>
      </c>
      <c r="F90" s="8" t="s">
        <v>489</v>
      </c>
      <c r="G90" s="8" t="n">
        <v>2712</v>
      </c>
      <c r="H90" s="8" t="s">
        <v>59</v>
      </c>
      <c r="I90" s="8" t="s">
        <v>490</v>
      </c>
      <c r="J90" s="8" t="s">
        <v>491</v>
      </c>
      <c r="K90" s="8" t="s">
        <v>104</v>
      </c>
      <c r="L90" s="8" t="s">
        <v>211</v>
      </c>
      <c r="M90" s="8" t="n">
        <v>36</v>
      </c>
      <c r="N90" s="8" t="s">
        <v>79</v>
      </c>
      <c r="O90" s="8" t="s">
        <v>203</v>
      </c>
      <c r="P90" s="8" t="s">
        <v>225</v>
      </c>
      <c r="Q90" s="8" t="s">
        <v>203</v>
      </c>
      <c r="R90" s="8" t="s">
        <v>195</v>
      </c>
      <c r="S90" s="8" t="s">
        <v>279</v>
      </c>
      <c r="T90" s="8"/>
      <c r="U90" s="8"/>
      <c r="V90" s="8"/>
    </row>
    <row r="91" customFormat="false" ht="15" hidden="false" customHeight="false" outlineLevel="0" collapsed="false">
      <c r="A91" s="11" t="s">
        <v>188</v>
      </c>
      <c r="B91" s="11" t="s">
        <v>492</v>
      </c>
      <c r="C91" s="11" t="s">
        <v>493</v>
      </c>
      <c r="D91" s="11" t="s">
        <v>494</v>
      </c>
      <c r="E91" s="11" t="s">
        <v>495</v>
      </c>
      <c r="F91" s="11" t="s">
        <v>496</v>
      </c>
      <c r="G91" s="11" t="n">
        <v>1535</v>
      </c>
      <c r="H91" s="11" t="s">
        <v>67</v>
      </c>
      <c r="I91" s="11" t="s">
        <v>497</v>
      </c>
      <c r="J91" s="11" t="s">
        <v>498</v>
      </c>
      <c r="K91" s="11" t="s">
        <v>104</v>
      </c>
      <c r="L91" s="11" t="s">
        <v>200</v>
      </c>
      <c r="M91" s="11" t="n">
        <v>32</v>
      </c>
      <c r="N91" s="11" t="s">
        <v>79</v>
      </c>
      <c r="O91" s="11" t="s">
        <v>203</v>
      </c>
      <c r="P91" s="11" t="s">
        <v>225</v>
      </c>
      <c r="Q91" s="11" t="s">
        <v>203</v>
      </c>
      <c r="R91" s="11" t="s">
        <v>195</v>
      </c>
      <c r="S91" s="11" t="s">
        <v>279</v>
      </c>
      <c r="T91" s="11"/>
      <c r="U91" s="11"/>
      <c r="V91" s="11"/>
    </row>
    <row r="92" customFormat="false" ht="15" hidden="false" customHeight="false" outlineLevel="0" collapsed="false">
      <c r="A92" s="8" t="s">
        <v>188</v>
      </c>
      <c r="B92" s="8" t="s">
        <v>499</v>
      </c>
      <c r="C92" s="8" t="s">
        <v>500</v>
      </c>
      <c r="D92" s="8" t="s">
        <v>501</v>
      </c>
      <c r="E92" s="8" t="s">
        <v>502</v>
      </c>
      <c r="F92" s="8" t="s">
        <v>503</v>
      </c>
      <c r="G92" s="8" t="n">
        <v>193</v>
      </c>
      <c r="H92" s="8" t="s">
        <v>67</v>
      </c>
      <c r="I92" s="8" t="s">
        <v>504</v>
      </c>
      <c r="J92" s="8" t="s">
        <v>505</v>
      </c>
      <c r="K92" s="8" t="s">
        <v>104</v>
      </c>
      <c r="L92" s="8" t="s">
        <v>200</v>
      </c>
      <c r="M92" s="8" t="n">
        <v>28</v>
      </c>
      <c r="N92" s="8" t="s">
        <v>79</v>
      </c>
      <c r="O92" s="8" t="s">
        <v>203</v>
      </c>
      <c r="P92" s="8" t="s">
        <v>225</v>
      </c>
      <c r="Q92" s="8" t="s">
        <v>203</v>
      </c>
      <c r="R92" s="8" t="s">
        <v>195</v>
      </c>
      <c r="S92" s="8" t="s">
        <v>279</v>
      </c>
      <c r="T92" s="8"/>
      <c r="U92" s="8"/>
      <c r="V92" s="8"/>
    </row>
    <row r="93" customFormat="false" ht="15" hidden="false" customHeight="false" outlineLevel="0" collapsed="false">
      <c r="A93" s="11" t="s">
        <v>188</v>
      </c>
      <c r="B93" s="11" t="s">
        <v>506</v>
      </c>
      <c r="C93" s="11" t="s">
        <v>507</v>
      </c>
      <c r="D93" s="11" t="s">
        <v>501</v>
      </c>
      <c r="E93" s="11" t="s">
        <v>508</v>
      </c>
      <c r="F93" s="11" t="s">
        <v>509</v>
      </c>
      <c r="G93" s="11" t="n">
        <v>2758</v>
      </c>
      <c r="H93" s="11" t="s">
        <v>59</v>
      </c>
      <c r="I93" s="11" t="s">
        <v>510</v>
      </c>
      <c r="J93" s="11" t="s">
        <v>511</v>
      </c>
      <c r="K93" s="11" t="s">
        <v>104</v>
      </c>
      <c r="L93" s="11" t="s">
        <v>211</v>
      </c>
      <c r="M93" s="11" t="n">
        <v>32</v>
      </c>
      <c r="N93" s="11" t="s">
        <v>64</v>
      </c>
      <c r="O93" s="11" t="s">
        <v>203</v>
      </c>
      <c r="P93" s="11" t="s">
        <v>225</v>
      </c>
      <c r="Q93" s="11" t="s">
        <v>203</v>
      </c>
      <c r="R93" s="11" t="s">
        <v>512</v>
      </c>
      <c r="S93" s="11" t="s">
        <v>279</v>
      </c>
      <c r="T93" s="11"/>
      <c r="U93" s="11"/>
      <c r="V93" s="11"/>
    </row>
    <row r="94" customFormat="false" ht="15" hidden="false" customHeight="false" outlineLevel="0" collapsed="false">
      <c r="A94" s="8" t="s">
        <v>188</v>
      </c>
      <c r="B94" s="8" t="s">
        <v>513</v>
      </c>
      <c r="C94" s="8" t="s">
        <v>514</v>
      </c>
      <c r="D94" s="8" t="s">
        <v>515</v>
      </c>
      <c r="E94" s="8" t="s">
        <v>516</v>
      </c>
      <c r="F94" s="8" t="s">
        <v>517</v>
      </c>
      <c r="G94" s="8" t="n">
        <v>129</v>
      </c>
      <c r="H94" s="8" t="s">
        <v>67</v>
      </c>
      <c r="I94" s="8" t="s">
        <v>518</v>
      </c>
      <c r="J94" s="8" t="s">
        <v>519</v>
      </c>
      <c r="K94" s="8" t="s">
        <v>104</v>
      </c>
      <c r="L94" s="8" t="s">
        <v>192</v>
      </c>
      <c r="M94" s="8" t="n">
        <v>45</v>
      </c>
      <c r="N94" s="8" t="s">
        <v>64</v>
      </c>
      <c r="O94" s="8" t="s">
        <v>203</v>
      </c>
      <c r="P94" s="8" t="s">
        <v>225</v>
      </c>
      <c r="Q94" s="8" t="s">
        <v>203</v>
      </c>
      <c r="R94" s="8" t="s">
        <v>195</v>
      </c>
      <c r="S94" s="8" t="s">
        <v>279</v>
      </c>
      <c r="T94" s="8"/>
      <c r="U94" s="8"/>
      <c r="V94" s="8"/>
    </row>
    <row r="95" customFormat="false" ht="15" hidden="false" customHeight="false" outlineLevel="0" collapsed="false">
      <c r="A95" s="11" t="s">
        <v>188</v>
      </c>
      <c r="B95" s="11" t="s">
        <v>520</v>
      </c>
      <c r="C95" s="11" t="s">
        <v>521</v>
      </c>
      <c r="D95" s="11" t="s">
        <v>522</v>
      </c>
      <c r="E95" s="11" t="s">
        <v>523</v>
      </c>
      <c r="F95" s="11" t="s">
        <v>524</v>
      </c>
      <c r="G95" s="11" t="n">
        <v>319</v>
      </c>
      <c r="H95" s="11" t="s">
        <v>67</v>
      </c>
      <c r="I95" s="11" t="s">
        <v>525</v>
      </c>
      <c r="J95" s="11" t="s">
        <v>526</v>
      </c>
      <c r="K95" s="11" t="s">
        <v>104</v>
      </c>
      <c r="L95" s="11" t="s">
        <v>192</v>
      </c>
      <c r="M95" s="11" t="n">
        <v>60</v>
      </c>
      <c r="N95" s="11" t="s">
        <v>146</v>
      </c>
      <c r="O95" s="11" t="s">
        <v>203</v>
      </c>
      <c r="P95" s="11" t="s">
        <v>225</v>
      </c>
      <c r="Q95" s="11" t="s">
        <v>203</v>
      </c>
      <c r="R95" s="11" t="s">
        <v>195</v>
      </c>
      <c r="S95" s="11" t="s">
        <v>279</v>
      </c>
      <c r="T95" s="11"/>
      <c r="U95" s="11"/>
      <c r="V95" s="11"/>
    </row>
    <row r="96" customFormat="false" ht="15" hidden="false" customHeight="false" outlineLevel="0" collapsed="false">
      <c r="A96" s="8" t="s">
        <v>188</v>
      </c>
      <c r="B96" s="8" t="s">
        <v>527</v>
      </c>
      <c r="C96" s="8" t="s">
        <v>528</v>
      </c>
      <c r="D96" s="8" t="s">
        <v>529</v>
      </c>
      <c r="E96" s="8" t="s">
        <v>530</v>
      </c>
      <c r="F96" s="8" t="s">
        <v>531</v>
      </c>
      <c r="G96" s="8" t="n">
        <v>1924</v>
      </c>
      <c r="H96" s="8" t="s">
        <v>67</v>
      </c>
      <c r="I96" s="8" t="s">
        <v>532</v>
      </c>
      <c r="J96" s="8" t="s">
        <v>533</v>
      </c>
      <c r="K96" s="8" t="s">
        <v>104</v>
      </c>
      <c r="L96" s="8" t="s">
        <v>200</v>
      </c>
      <c r="M96" s="8" t="n">
        <v>40</v>
      </c>
      <c r="N96" s="8" t="s">
        <v>146</v>
      </c>
      <c r="O96" s="8" t="s">
        <v>203</v>
      </c>
      <c r="P96" s="8" t="s">
        <v>225</v>
      </c>
      <c r="Q96" s="8" t="s">
        <v>203</v>
      </c>
      <c r="R96" s="8" t="s">
        <v>195</v>
      </c>
      <c r="S96" s="8" t="s">
        <v>279</v>
      </c>
      <c r="T96" s="8"/>
      <c r="U96" s="8"/>
      <c r="V96" s="8"/>
    </row>
    <row r="97" customFormat="false" ht="15" hidden="false" customHeight="false" outlineLevel="0" collapsed="false">
      <c r="A97" s="11" t="s">
        <v>188</v>
      </c>
      <c r="B97" s="11" t="s">
        <v>534</v>
      </c>
      <c r="C97" s="11" t="s">
        <v>535</v>
      </c>
      <c r="D97" s="11" t="s">
        <v>529</v>
      </c>
      <c r="E97" s="11" t="s">
        <v>536</v>
      </c>
      <c r="F97" s="11" t="s">
        <v>537</v>
      </c>
      <c r="G97" s="11" t="n">
        <v>2100</v>
      </c>
      <c r="H97" s="11" t="s">
        <v>67</v>
      </c>
      <c r="I97" s="11" t="s">
        <v>290</v>
      </c>
      <c r="J97" s="11" t="s">
        <v>538</v>
      </c>
      <c r="K97" s="11" t="s">
        <v>104</v>
      </c>
      <c r="L97" s="11" t="s">
        <v>224</v>
      </c>
      <c r="M97" s="11" t="n">
        <v>70</v>
      </c>
      <c r="N97" s="11" t="s">
        <v>55</v>
      </c>
      <c r="O97" s="11" t="s">
        <v>203</v>
      </c>
      <c r="P97" s="11" t="s">
        <v>225</v>
      </c>
      <c r="Q97" s="11" t="s">
        <v>203</v>
      </c>
      <c r="R97" s="11" t="s">
        <v>195</v>
      </c>
      <c r="S97" s="11" t="s">
        <v>279</v>
      </c>
      <c r="T97" s="11"/>
      <c r="U97" s="11"/>
      <c r="V97" s="11"/>
    </row>
    <row r="98" customFormat="false" ht="15" hidden="false" customHeight="false" outlineLevel="0" collapsed="false">
      <c r="A98" s="8" t="s">
        <v>188</v>
      </c>
      <c r="B98" s="8" t="s">
        <v>539</v>
      </c>
      <c r="C98" s="8" t="s">
        <v>540</v>
      </c>
      <c r="D98" s="8" t="s">
        <v>541</v>
      </c>
      <c r="E98" s="8" t="s">
        <v>542</v>
      </c>
      <c r="F98" s="8" t="s">
        <v>543</v>
      </c>
      <c r="G98" s="8" t="n">
        <v>1663</v>
      </c>
      <c r="H98" s="8" t="s">
        <v>332</v>
      </c>
      <c r="I98" s="8" t="s">
        <v>325</v>
      </c>
      <c r="J98" s="8" t="s">
        <v>544</v>
      </c>
      <c r="K98" s="8" t="s">
        <v>104</v>
      </c>
      <c r="L98" s="8" t="s">
        <v>192</v>
      </c>
      <c r="M98" s="8" t="n">
        <v>70</v>
      </c>
      <c r="N98" s="8" t="s">
        <v>55</v>
      </c>
      <c r="O98" s="8" t="s">
        <v>203</v>
      </c>
      <c r="P98" s="8" t="s">
        <v>225</v>
      </c>
      <c r="Q98" s="8" t="s">
        <v>203</v>
      </c>
      <c r="R98" s="8" t="s">
        <v>195</v>
      </c>
      <c r="S98" s="8" t="s">
        <v>279</v>
      </c>
      <c r="T98" s="8"/>
      <c r="U98" s="8"/>
      <c r="V98" s="8"/>
    </row>
    <row r="99" customFormat="false" ht="15" hidden="false" customHeight="false" outlineLevel="0" collapsed="false">
      <c r="A99" s="11" t="s">
        <v>188</v>
      </c>
      <c r="B99" s="11" t="s">
        <v>545</v>
      </c>
      <c r="C99" s="11" t="s">
        <v>546</v>
      </c>
      <c r="D99" s="11" t="s">
        <v>547</v>
      </c>
      <c r="E99" s="11" t="s">
        <v>548</v>
      </c>
      <c r="F99" s="11" t="s">
        <v>549</v>
      </c>
      <c r="G99" s="11" t="n">
        <v>1173</v>
      </c>
      <c r="H99" s="11" t="s">
        <v>67</v>
      </c>
      <c r="I99" s="11" t="s">
        <v>550</v>
      </c>
      <c r="J99" s="11" t="s">
        <v>551</v>
      </c>
      <c r="K99" s="11" t="s">
        <v>104</v>
      </c>
      <c r="L99" s="11" t="s">
        <v>207</v>
      </c>
      <c r="M99" s="11" t="n">
        <v>45</v>
      </c>
      <c r="N99" s="11" t="s">
        <v>55</v>
      </c>
      <c r="O99" s="11" t="s">
        <v>203</v>
      </c>
      <c r="P99" s="11" t="s">
        <v>225</v>
      </c>
      <c r="Q99" s="11" t="s">
        <v>203</v>
      </c>
      <c r="R99" s="11" t="s">
        <v>195</v>
      </c>
      <c r="S99" s="11" t="s">
        <v>279</v>
      </c>
      <c r="T99" s="11"/>
      <c r="U99" s="11"/>
      <c r="V99" s="11"/>
    </row>
    <row r="100" customFormat="false" ht="15" hidden="false" customHeight="false" outlineLevel="0" collapsed="false">
      <c r="A100" s="8" t="s">
        <v>188</v>
      </c>
      <c r="B100" s="8" t="s">
        <v>552</v>
      </c>
      <c r="C100" s="8" t="s">
        <v>553</v>
      </c>
      <c r="D100" s="8" t="s">
        <v>554</v>
      </c>
      <c r="E100" s="8" t="s">
        <v>555</v>
      </c>
      <c r="F100" s="8" t="s">
        <v>556</v>
      </c>
      <c r="G100" s="8" t="n">
        <v>568</v>
      </c>
      <c r="H100" s="8" t="s">
        <v>67</v>
      </c>
      <c r="I100" s="8" t="s">
        <v>557</v>
      </c>
      <c r="J100" s="8" t="s">
        <v>558</v>
      </c>
      <c r="K100" s="8" t="s">
        <v>104</v>
      </c>
      <c r="L100" s="8" t="s">
        <v>211</v>
      </c>
      <c r="M100" s="8" t="n">
        <v>28</v>
      </c>
      <c r="N100" s="8" t="s">
        <v>79</v>
      </c>
      <c r="O100" s="8" t="s">
        <v>203</v>
      </c>
      <c r="P100" s="8" t="s">
        <v>225</v>
      </c>
      <c r="Q100" s="8" t="s">
        <v>203</v>
      </c>
      <c r="R100" s="8" t="s">
        <v>195</v>
      </c>
      <c r="S100" s="8" t="s">
        <v>279</v>
      </c>
      <c r="T100" s="8"/>
      <c r="U100" s="8"/>
      <c r="V100" s="8"/>
    </row>
    <row r="101" customFormat="false" ht="15" hidden="false" customHeight="false" outlineLevel="0" collapsed="false">
      <c r="A101" s="11" t="s">
        <v>188</v>
      </c>
      <c r="B101" s="11" t="s">
        <v>559</v>
      </c>
      <c r="C101" s="11" t="s">
        <v>560</v>
      </c>
      <c r="D101" s="11" t="s">
        <v>223</v>
      </c>
      <c r="E101" s="11" t="s">
        <v>561</v>
      </c>
      <c r="F101" s="11" t="s">
        <v>562</v>
      </c>
      <c r="G101" s="11" t="n">
        <v>712</v>
      </c>
      <c r="H101" s="11" t="s">
        <v>59</v>
      </c>
      <c r="I101" s="11" t="s">
        <v>563</v>
      </c>
      <c r="J101" s="11" t="s">
        <v>564</v>
      </c>
      <c r="K101" s="11" t="s">
        <v>104</v>
      </c>
      <c r="L101" s="11" t="s">
        <v>192</v>
      </c>
      <c r="M101" s="11" t="n">
        <v>60</v>
      </c>
      <c r="N101" s="11" t="s">
        <v>55</v>
      </c>
      <c r="O101" s="11" t="s">
        <v>203</v>
      </c>
      <c r="P101" s="11" t="s">
        <v>225</v>
      </c>
      <c r="Q101" s="11" t="s">
        <v>203</v>
      </c>
      <c r="R101" s="11" t="s">
        <v>195</v>
      </c>
      <c r="S101" s="11" t="s">
        <v>279</v>
      </c>
      <c r="T101" s="11"/>
      <c r="U101" s="11"/>
      <c r="V101" s="11"/>
    </row>
    <row r="102" customFormat="false" ht="15" hidden="false" customHeight="false" outlineLevel="0" collapsed="false">
      <c r="A102" s="8" t="s">
        <v>188</v>
      </c>
      <c r="B102" s="8" t="s">
        <v>565</v>
      </c>
      <c r="C102" s="8" t="s">
        <v>566</v>
      </c>
      <c r="D102" s="8" t="s">
        <v>223</v>
      </c>
      <c r="E102" s="8" t="s">
        <v>567</v>
      </c>
      <c r="F102" s="8" t="s">
        <v>568</v>
      </c>
      <c r="G102" s="8" t="n">
        <v>924</v>
      </c>
      <c r="H102" s="8" t="s">
        <v>67</v>
      </c>
      <c r="I102" s="8" t="s">
        <v>569</v>
      </c>
      <c r="J102" s="8" t="s">
        <v>570</v>
      </c>
      <c r="K102" s="8" t="s">
        <v>104</v>
      </c>
      <c r="L102" s="8" t="s">
        <v>224</v>
      </c>
      <c r="M102" s="8" t="n">
        <v>28</v>
      </c>
      <c r="N102" s="8" t="s">
        <v>55</v>
      </c>
      <c r="O102" s="8" t="s">
        <v>203</v>
      </c>
      <c r="P102" s="8" t="s">
        <v>225</v>
      </c>
      <c r="Q102" s="8" t="s">
        <v>203</v>
      </c>
      <c r="R102" s="8" t="s">
        <v>195</v>
      </c>
      <c r="S102" s="8" t="s">
        <v>279</v>
      </c>
      <c r="T102" s="8"/>
      <c r="U102" s="8"/>
      <c r="V102" s="8"/>
    </row>
    <row r="103" customFormat="false" ht="15" hidden="false" customHeight="false" outlineLevel="0" collapsed="false">
      <c r="A103" s="11" t="s">
        <v>188</v>
      </c>
      <c r="B103" s="11" t="s">
        <v>571</v>
      </c>
      <c r="C103" s="11" t="s">
        <v>572</v>
      </c>
      <c r="D103" s="11" t="s">
        <v>573</v>
      </c>
      <c r="E103" s="11" t="s">
        <v>574</v>
      </c>
      <c r="F103" s="11" t="s">
        <v>575</v>
      </c>
      <c r="G103" s="11" t="n">
        <v>2857</v>
      </c>
      <c r="H103" s="11" t="s">
        <v>59</v>
      </c>
      <c r="I103" s="11" t="s">
        <v>576</v>
      </c>
      <c r="J103" s="11" t="s">
        <v>577</v>
      </c>
      <c r="K103" s="11" t="s">
        <v>104</v>
      </c>
      <c r="L103" s="11" t="s">
        <v>207</v>
      </c>
      <c r="M103" s="11" t="n">
        <v>40</v>
      </c>
      <c r="N103" s="11" t="s">
        <v>146</v>
      </c>
      <c r="O103" s="11" t="s">
        <v>203</v>
      </c>
      <c r="P103" s="11" t="s">
        <v>225</v>
      </c>
      <c r="Q103" s="11" t="s">
        <v>203</v>
      </c>
      <c r="R103" s="11" t="s">
        <v>195</v>
      </c>
      <c r="S103" s="11" t="s">
        <v>279</v>
      </c>
      <c r="T103" s="11"/>
      <c r="U103" s="11"/>
      <c r="V103" s="11"/>
    </row>
    <row r="104" customFormat="false" ht="15" hidden="false" customHeight="false" outlineLevel="0" collapsed="false">
      <c r="A104" s="8" t="s">
        <v>188</v>
      </c>
      <c r="B104" s="8" t="s">
        <v>578</v>
      </c>
      <c r="C104" s="8" t="s">
        <v>579</v>
      </c>
      <c r="D104" s="8" t="s">
        <v>580</v>
      </c>
      <c r="E104" s="8" t="s">
        <v>581</v>
      </c>
      <c r="F104" s="8" t="s">
        <v>582</v>
      </c>
      <c r="G104" s="8" t="n">
        <v>1160</v>
      </c>
      <c r="H104" s="8" t="s">
        <v>67</v>
      </c>
      <c r="I104" s="8" t="s">
        <v>583</v>
      </c>
      <c r="J104" s="8" t="s">
        <v>584</v>
      </c>
      <c r="K104" s="8" t="s">
        <v>104</v>
      </c>
      <c r="L104" s="8" t="s">
        <v>211</v>
      </c>
      <c r="M104" s="8" t="n">
        <v>32</v>
      </c>
      <c r="N104" s="8" t="s">
        <v>146</v>
      </c>
      <c r="O104" s="8" t="s">
        <v>203</v>
      </c>
      <c r="P104" s="8" t="s">
        <v>225</v>
      </c>
      <c r="Q104" s="8" t="s">
        <v>203</v>
      </c>
      <c r="R104" s="8" t="s">
        <v>195</v>
      </c>
      <c r="S104" s="8" t="s">
        <v>279</v>
      </c>
      <c r="T104" s="8"/>
      <c r="U104" s="8"/>
      <c r="V104" s="8"/>
    </row>
    <row r="105" customFormat="false" ht="15" hidden="false" customHeight="false" outlineLevel="0" collapsed="false">
      <c r="A105" s="11" t="s">
        <v>188</v>
      </c>
      <c r="B105" s="11" t="s">
        <v>585</v>
      </c>
      <c r="C105" s="11" t="s">
        <v>586</v>
      </c>
      <c r="D105" s="11" t="s">
        <v>587</v>
      </c>
      <c r="E105" s="11" t="s">
        <v>588</v>
      </c>
      <c r="F105" s="11" t="s">
        <v>589</v>
      </c>
      <c r="G105" s="11" t="n">
        <v>242</v>
      </c>
      <c r="H105" s="11" t="s">
        <v>67</v>
      </c>
      <c r="I105" s="11" t="s">
        <v>590</v>
      </c>
      <c r="J105" s="11" t="s">
        <v>591</v>
      </c>
      <c r="K105" s="11" t="s">
        <v>104</v>
      </c>
      <c r="L105" s="11" t="s">
        <v>207</v>
      </c>
      <c r="M105" s="11" t="n">
        <v>70</v>
      </c>
      <c r="N105" s="11" t="s">
        <v>55</v>
      </c>
      <c r="O105" s="11" t="s">
        <v>203</v>
      </c>
      <c r="P105" s="11" t="s">
        <v>225</v>
      </c>
      <c r="Q105" s="11" t="s">
        <v>203</v>
      </c>
      <c r="R105" s="11" t="s">
        <v>195</v>
      </c>
      <c r="S105" s="11" t="s">
        <v>279</v>
      </c>
      <c r="T105" s="11"/>
      <c r="U105" s="11"/>
      <c r="V105" s="11"/>
    </row>
    <row r="106" customFormat="false" ht="15" hidden="false" customHeight="false" outlineLevel="0" collapsed="false">
      <c r="A106" s="8" t="s">
        <v>188</v>
      </c>
      <c r="B106" s="8" t="s">
        <v>592</v>
      </c>
      <c r="C106" s="8" t="s">
        <v>593</v>
      </c>
      <c r="D106" s="8" t="s">
        <v>594</v>
      </c>
      <c r="E106" s="8" t="s">
        <v>595</v>
      </c>
      <c r="F106" s="8" t="s">
        <v>596</v>
      </c>
      <c r="G106" s="8" t="n">
        <v>1206</v>
      </c>
      <c r="H106" s="8" t="s">
        <v>67</v>
      </c>
      <c r="I106" s="8" t="s">
        <v>597</v>
      </c>
      <c r="J106" s="8" t="s">
        <v>598</v>
      </c>
      <c r="K106" s="8" t="s">
        <v>104</v>
      </c>
      <c r="L106" s="8" t="s">
        <v>192</v>
      </c>
      <c r="M106" s="8" t="n">
        <v>50</v>
      </c>
      <c r="N106" s="8" t="s">
        <v>55</v>
      </c>
      <c r="O106" s="8" t="s">
        <v>203</v>
      </c>
      <c r="P106" s="8" t="s">
        <v>225</v>
      </c>
      <c r="Q106" s="8" t="s">
        <v>203</v>
      </c>
      <c r="R106" s="8" t="s">
        <v>195</v>
      </c>
      <c r="S106" s="8" t="s">
        <v>279</v>
      </c>
      <c r="T106" s="8"/>
      <c r="U106" s="8"/>
      <c r="V106" s="8"/>
    </row>
    <row r="107" customFormat="false" ht="15" hidden="false" customHeight="false" outlineLevel="0" collapsed="false">
      <c r="A107" s="11" t="s">
        <v>188</v>
      </c>
      <c r="B107" s="11" t="s">
        <v>599</v>
      </c>
      <c r="C107" s="11" t="s">
        <v>600</v>
      </c>
      <c r="D107" s="11" t="s">
        <v>601</v>
      </c>
      <c r="E107" s="11" t="s">
        <v>602</v>
      </c>
      <c r="F107" s="11" t="s">
        <v>603</v>
      </c>
      <c r="G107" s="11" t="n">
        <v>54</v>
      </c>
      <c r="H107" s="11" t="s">
        <v>67</v>
      </c>
      <c r="I107" s="11" t="s">
        <v>604</v>
      </c>
      <c r="J107" s="11" t="s">
        <v>605</v>
      </c>
      <c r="K107" s="11" t="s">
        <v>104</v>
      </c>
      <c r="L107" s="11" t="s">
        <v>200</v>
      </c>
      <c r="M107" s="11" t="n">
        <v>40</v>
      </c>
      <c r="N107" s="11" t="s">
        <v>55</v>
      </c>
      <c r="O107" s="11" t="s">
        <v>203</v>
      </c>
      <c r="P107" s="11" t="s">
        <v>225</v>
      </c>
      <c r="Q107" s="11" t="s">
        <v>203</v>
      </c>
      <c r="R107" s="11" t="s">
        <v>195</v>
      </c>
      <c r="S107" s="11" t="s">
        <v>279</v>
      </c>
      <c r="T107" s="11"/>
      <c r="U107" s="11"/>
      <c r="V107" s="11"/>
    </row>
    <row r="108" customFormat="false" ht="15" hidden="false" customHeight="false" outlineLevel="0" collapsed="false">
      <c r="A108" s="8" t="s">
        <v>188</v>
      </c>
      <c r="B108" s="8" t="s">
        <v>606</v>
      </c>
      <c r="C108" s="8" t="s">
        <v>607</v>
      </c>
      <c r="D108" s="8" t="s">
        <v>608</v>
      </c>
      <c r="E108" s="8" t="s">
        <v>609</v>
      </c>
      <c r="F108" s="8" t="s">
        <v>610</v>
      </c>
      <c r="G108" s="8" t="n">
        <v>2411</v>
      </c>
      <c r="H108" s="8" t="s">
        <v>67</v>
      </c>
      <c r="I108" s="8" t="s">
        <v>611</v>
      </c>
      <c r="J108" s="8" t="s">
        <v>612</v>
      </c>
      <c r="K108" s="8" t="s">
        <v>104</v>
      </c>
      <c r="L108" s="8" t="s">
        <v>200</v>
      </c>
      <c r="M108" s="8" t="n">
        <v>32</v>
      </c>
      <c r="N108" s="8" t="s">
        <v>64</v>
      </c>
      <c r="O108" s="8" t="s">
        <v>203</v>
      </c>
      <c r="P108" s="8" t="s">
        <v>225</v>
      </c>
      <c r="Q108" s="8" t="s">
        <v>203</v>
      </c>
      <c r="R108" s="8" t="s">
        <v>195</v>
      </c>
      <c r="S108" s="8" t="s">
        <v>279</v>
      </c>
      <c r="T108" s="8"/>
      <c r="U108" s="8"/>
      <c r="V108" s="8"/>
    </row>
    <row r="109" customFormat="false" ht="15" hidden="false" customHeight="false" outlineLevel="0" collapsed="false">
      <c r="A109" s="11" t="s">
        <v>188</v>
      </c>
      <c r="B109" s="11" t="s">
        <v>613</v>
      </c>
      <c r="C109" s="11" t="s">
        <v>614</v>
      </c>
      <c r="D109" s="11" t="s">
        <v>615</v>
      </c>
      <c r="E109" s="11" t="s">
        <v>616</v>
      </c>
      <c r="F109" s="11" t="s">
        <v>617</v>
      </c>
      <c r="G109" s="11" t="n">
        <v>1199</v>
      </c>
      <c r="H109" s="11" t="s">
        <v>114</v>
      </c>
      <c r="I109" s="11" t="s">
        <v>618</v>
      </c>
      <c r="J109" s="11" t="s">
        <v>619</v>
      </c>
      <c r="K109" s="11" t="s">
        <v>104</v>
      </c>
      <c r="L109" s="11" t="s">
        <v>192</v>
      </c>
      <c r="M109" s="11" t="n">
        <v>24</v>
      </c>
      <c r="N109" s="11" t="s">
        <v>146</v>
      </c>
      <c r="O109" s="11" t="s">
        <v>203</v>
      </c>
      <c r="P109" s="11" t="s">
        <v>225</v>
      </c>
      <c r="Q109" s="11" t="s">
        <v>203</v>
      </c>
      <c r="R109" s="11" t="s">
        <v>195</v>
      </c>
      <c r="S109" s="11" t="s">
        <v>279</v>
      </c>
      <c r="T109" s="11"/>
      <c r="U109" s="11"/>
      <c r="V109" s="11"/>
    </row>
    <row r="110" customFormat="false" ht="15" hidden="false" customHeight="false" outlineLevel="0" collapsed="false">
      <c r="A110" s="8" t="s">
        <v>188</v>
      </c>
      <c r="B110" s="8" t="s">
        <v>620</v>
      </c>
      <c r="C110" s="8" t="s">
        <v>621</v>
      </c>
      <c r="D110" s="8" t="s">
        <v>622</v>
      </c>
      <c r="E110" s="8" t="s">
        <v>623</v>
      </c>
      <c r="F110" s="8" t="s">
        <v>624</v>
      </c>
      <c r="G110" s="8" t="n">
        <v>248</v>
      </c>
      <c r="H110" s="8" t="s">
        <v>67</v>
      </c>
      <c r="I110" s="8" t="s">
        <v>625</v>
      </c>
      <c r="J110" s="8" t="s">
        <v>626</v>
      </c>
      <c r="K110" s="8" t="s">
        <v>104</v>
      </c>
      <c r="L110" s="8" t="s">
        <v>207</v>
      </c>
      <c r="M110" s="8" t="n">
        <v>32</v>
      </c>
      <c r="N110" s="8" t="s">
        <v>64</v>
      </c>
      <c r="O110" s="8" t="s">
        <v>203</v>
      </c>
      <c r="P110" s="8" t="s">
        <v>225</v>
      </c>
      <c r="Q110" s="8" t="s">
        <v>203</v>
      </c>
      <c r="R110" s="8" t="s">
        <v>195</v>
      </c>
      <c r="S110" s="8" t="s">
        <v>279</v>
      </c>
      <c r="T110" s="8"/>
      <c r="U110" s="8"/>
      <c r="V110" s="8"/>
    </row>
    <row r="111" customFormat="false" ht="15" hidden="false" customHeight="false" outlineLevel="0" collapsed="false">
      <c r="A111" s="11" t="s">
        <v>188</v>
      </c>
      <c r="B111" s="11" t="s">
        <v>627</v>
      </c>
      <c r="C111" s="11" t="s">
        <v>628</v>
      </c>
      <c r="D111" s="11" t="s">
        <v>622</v>
      </c>
      <c r="E111" s="11" t="s">
        <v>629</v>
      </c>
      <c r="F111" s="11" t="s">
        <v>630</v>
      </c>
      <c r="G111" s="11" t="n">
        <v>1706</v>
      </c>
      <c r="H111" s="11" t="s">
        <v>332</v>
      </c>
      <c r="I111" s="11" t="s">
        <v>631</v>
      </c>
      <c r="J111" s="11" t="s">
        <v>632</v>
      </c>
      <c r="K111" s="11" t="s">
        <v>104</v>
      </c>
      <c r="L111" s="11" t="s">
        <v>211</v>
      </c>
      <c r="M111" s="11" t="n">
        <v>24</v>
      </c>
      <c r="N111" s="11" t="s">
        <v>79</v>
      </c>
      <c r="O111" s="11" t="s">
        <v>203</v>
      </c>
      <c r="P111" s="11" t="s">
        <v>225</v>
      </c>
      <c r="Q111" s="11" t="s">
        <v>203</v>
      </c>
      <c r="R111" s="11" t="s">
        <v>195</v>
      </c>
      <c r="S111" s="11" t="s">
        <v>279</v>
      </c>
      <c r="T111" s="11"/>
      <c r="U111" s="11"/>
      <c r="V111" s="11"/>
    </row>
    <row r="112" customFormat="false" ht="15" hidden="false" customHeight="false" outlineLevel="0" collapsed="false">
      <c r="A112" s="8" t="s">
        <v>188</v>
      </c>
      <c r="B112" s="8" t="s">
        <v>633</v>
      </c>
      <c r="C112" s="8" t="s">
        <v>634</v>
      </c>
      <c r="D112" s="8" t="s">
        <v>635</v>
      </c>
      <c r="E112" s="8" t="s">
        <v>636</v>
      </c>
      <c r="F112" s="8" t="s">
        <v>637</v>
      </c>
      <c r="G112" s="8" t="n">
        <v>2652</v>
      </c>
      <c r="H112" s="8" t="s">
        <v>67</v>
      </c>
      <c r="I112" s="8" t="s">
        <v>638</v>
      </c>
      <c r="J112" s="8" t="s">
        <v>639</v>
      </c>
      <c r="K112" s="8" t="s">
        <v>104</v>
      </c>
      <c r="L112" s="8" t="s">
        <v>192</v>
      </c>
      <c r="M112" s="8" t="n">
        <v>24</v>
      </c>
      <c r="N112" s="8" t="s">
        <v>55</v>
      </c>
      <c r="O112" s="8" t="s">
        <v>203</v>
      </c>
      <c r="P112" s="8" t="s">
        <v>225</v>
      </c>
      <c r="Q112" s="8" t="s">
        <v>203</v>
      </c>
      <c r="R112" s="8" t="s">
        <v>195</v>
      </c>
      <c r="S112" s="8" t="s">
        <v>279</v>
      </c>
      <c r="T112" s="8"/>
      <c r="U112" s="8"/>
      <c r="V112" s="8"/>
    </row>
    <row r="113" customFormat="false" ht="15" hidden="false" customHeight="false" outlineLevel="0" collapsed="false">
      <c r="A113" s="11" t="s">
        <v>188</v>
      </c>
      <c r="B113" s="11" t="s">
        <v>640</v>
      </c>
      <c r="C113" s="11" t="s">
        <v>641</v>
      </c>
      <c r="D113" s="11" t="s">
        <v>642</v>
      </c>
      <c r="E113" s="11" t="s">
        <v>643</v>
      </c>
      <c r="F113" s="11" t="s">
        <v>644</v>
      </c>
      <c r="G113" s="11" t="n">
        <v>1603</v>
      </c>
      <c r="H113" s="11" t="s">
        <v>67</v>
      </c>
      <c r="I113" s="11" t="s">
        <v>645</v>
      </c>
      <c r="J113" s="11" t="s">
        <v>646</v>
      </c>
      <c r="K113" s="11" t="s">
        <v>104</v>
      </c>
      <c r="L113" s="11" t="s">
        <v>192</v>
      </c>
      <c r="M113" s="11" t="n">
        <v>24</v>
      </c>
      <c r="N113" s="11" t="s">
        <v>79</v>
      </c>
      <c r="O113" s="11" t="s">
        <v>203</v>
      </c>
      <c r="P113" s="11" t="s">
        <v>225</v>
      </c>
      <c r="Q113" s="11" t="s">
        <v>203</v>
      </c>
      <c r="R113" s="11" t="s">
        <v>195</v>
      </c>
      <c r="S113" s="11" t="s">
        <v>279</v>
      </c>
      <c r="T113" s="11"/>
      <c r="U113" s="11"/>
      <c r="V113" s="11"/>
    </row>
    <row r="114" customFormat="false" ht="15" hidden="false" customHeight="false" outlineLevel="0" collapsed="false">
      <c r="A114" s="8" t="s">
        <v>188</v>
      </c>
      <c r="B114" s="8" t="s">
        <v>647</v>
      </c>
      <c r="C114" s="8" t="s">
        <v>648</v>
      </c>
      <c r="D114" s="8" t="s">
        <v>649</v>
      </c>
      <c r="E114" s="8" t="s">
        <v>650</v>
      </c>
      <c r="F114" s="8" t="s">
        <v>651</v>
      </c>
      <c r="G114" s="8" t="n">
        <v>367</v>
      </c>
      <c r="H114" s="8" t="s">
        <v>67</v>
      </c>
      <c r="I114" s="8" t="s">
        <v>652</v>
      </c>
      <c r="J114" s="8" t="s">
        <v>653</v>
      </c>
      <c r="K114" s="8" t="s">
        <v>104</v>
      </c>
      <c r="L114" s="8" t="s">
        <v>192</v>
      </c>
      <c r="M114" s="8" t="n">
        <v>32</v>
      </c>
      <c r="N114" s="8" t="s">
        <v>55</v>
      </c>
      <c r="O114" s="8" t="s">
        <v>203</v>
      </c>
      <c r="P114" s="8" t="s">
        <v>225</v>
      </c>
      <c r="Q114" s="8" t="s">
        <v>203</v>
      </c>
      <c r="R114" s="8" t="s">
        <v>195</v>
      </c>
      <c r="S114" s="8" t="s">
        <v>279</v>
      </c>
      <c r="T114" s="8"/>
      <c r="U114" s="8"/>
      <c r="V114" s="8"/>
    </row>
    <row r="115" customFormat="false" ht="15" hidden="false" customHeight="false" outlineLevel="0" collapsed="false">
      <c r="A115" s="11" t="s">
        <v>188</v>
      </c>
      <c r="B115" s="11" t="s">
        <v>654</v>
      </c>
      <c r="C115" s="11" t="s">
        <v>655</v>
      </c>
      <c r="D115" s="11" t="s">
        <v>656</v>
      </c>
      <c r="E115" s="11" t="s">
        <v>657</v>
      </c>
      <c r="F115" s="11" t="s">
        <v>658</v>
      </c>
      <c r="G115" s="11" t="n">
        <v>29</v>
      </c>
      <c r="H115" s="11" t="s">
        <v>67</v>
      </c>
      <c r="I115" s="11" t="s">
        <v>659</v>
      </c>
      <c r="J115" s="11" t="s">
        <v>660</v>
      </c>
      <c r="K115" s="11" t="s">
        <v>104</v>
      </c>
      <c r="L115" s="11" t="s">
        <v>224</v>
      </c>
      <c r="M115" s="11" t="n">
        <v>32</v>
      </c>
      <c r="N115" s="11" t="s">
        <v>64</v>
      </c>
      <c r="O115" s="11" t="s">
        <v>203</v>
      </c>
      <c r="P115" s="11" t="s">
        <v>225</v>
      </c>
      <c r="Q115" s="11" t="s">
        <v>203</v>
      </c>
      <c r="R115" s="11" t="s">
        <v>195</v>
      </c>
      <c r="S115" s="11" t="s">
        <v>279</v>
      </c>
      <c r="T115" s="11"/>
      <c r="U115" s="11"/>
      <c r="V115" s="11"/>
    </row>
    <row r="116" customFormat="false" ht="15" hidden="false" customHeight="false" outlineLevel="0" collapsed="false">
      <c r="A116" s="8" t="s">
        <v>188</v>
      </c>
      <c r="B116" s="8" t="s">
        <v>661</v>
      </c>
      <c r="C116" s="8" t="s">
        <v>662</v>
      </c>
      <c r="D116" s="8" t="s">
        <v>663</v>
      </c>
      <c r="E116" s="8" t="s">
        <v>664</v>
      </c>
      <c r="F116" s="8" t="s">
        <v>665</v>
      </c>
      <c r="G116" s="8" t="n">
        <v>297</v>
      </c>
      <c r="H116" s="8" t="s">
        <v>67</v>
      </c>
      <c r="I116" s="8" t="s">
        <v>666</v>
      </c>
      <c r="J116" s="8" t="s">
        <v>667</v>
      </c>
      <c r="K116" s="8" t="s">
        <v>104</v>
      </c>
      <c r="L116" s="8" t="s">
        <v>200</v>
      </c>
      <c r="M116" s="8" t="n">
        <v>28</v>
      </c>
      <c r="N116" s="8" t="s">
        <v>146</v>
      </c>
      <c r="O116" s="8" t="s">
        <v>203</v>
      </c>
      <c r="P116" s="8" t="s">
        <v>225</v>
      </c>
      <c r="Q116" s="8" t="s">
        <v>203</v>
      </c>
      <c r="R116" s="8" t="s">
        <v>195</v>
      </c>
      <c r="S116" s="8" t="s">
        <v>279</v>
      </c>
      <c r="T116" s="8"/>
      <c r="U116" s="8"/>
      <c r="V116" s="8"/>
    </row>
    <row r="117" customFormat="false" ht="15" hidden="false" customHeight="false" outlineLevel="0" collapsed="false">
      <c r="A117" s="11" t="s">
        <v>188</v>
      </c>
      <c r="B117" s="11" t="s">
        <v>668</v>
      </c>
      <c r="C117" s="11" t="s">
        <v>669</v>
      </c>
      <c r="D117" s="11" t="s">
        <v>670</v>
      </c>
      <c r="E117" s="11" t="s">
        <v>671</v>
      </c>
      <c r="F117" s="11" t="s">
        <v>672</v>
      </c>
      <c r="G117" s="11" t="n">
        <v>360</v>
      </c>
      <c r="H117" s="11" t="s">
        <v>67</v>
      </c>
      <c r="I117" s="11" t="s">
        <v>673</v>
      </c>
      <c r="J117" s="11" t="s">
        <v>674</v>
      </c>
      <c r="K117" s="11" t="s">
        <v>104</v>
      </c>
      <c r="L117" s="11" t="s">
        <v>211</v>
      </c>
      <c r="M117" s="11" t="n">
        <v>40</v>
      </c>
      <c r="N117" s="11" t="s">
        <v>55</v>
      </c>
      <c r="O117" s="11" t="s">
        <v>203</v>
      </c>
      <c r="P117" s="11" t="s">
        <v>225</v>
      </c>
      <c r="Q117" s="11" t="s">
        <v>203</v>
      </c>
      <c r="R117" s="11" t="s">
        <v>195</v>
      </c>
      <c r="S117" s="11" t="s">
        <v>279</v>
      </c>
      <c r="T117" s="11"/>
      <c r="U117" s="11"/>
      <c r="V117" s="11"/>
    </row>
    <row r="118" customFormat="false" ht="15" hidden="false" customHeight="false" outlineLevel="0" collapsed="false">
      <c r="A118" s="8" t="s">
        <v>188</v>
      </c>
      <c r="B118" s="8" t="s">
        <v>675</v>
      </c>
      <c r="C118" s="8" t="s">
        <v>676</v>
      </c>
      <c r="D118" s="8" t="s">
        <v>677</v>
      </c>
      <c r="E118" s="8" t="s">
        <v>678</v>
      </c>
      <c r="F118" s="8" t="s">
        <v>679</v>
      </c>
      <c r="G118" s="8" t="n">
        <v>847</v>
      </c>
      <c r="H118" s="8" t="s">
        <v>59</v>
      </c>
      <c r="I118" s="8" t="s">
        <v>680</v>
      </c>
      <c r="J118" s="8" t="s">
        <v>681</v>
      </c>
      <c r="K118" s="8" t="s">
        <v>104</v>
      </c>
      <c r="L118" s="8" t="s">
        <v>224</v>
      </c>
      <c r="M118" s="8" t="n">
        <v>28</v>
      </c>
      <c r="N118" s="8" t="s">
        <v>146</v>
      </c>
      <c r="O118" s="8" t="s">
        <v>203</v>
      </c>
      <c r="P118" s="8" t="s">
        <v>225</v>
      </c>
      <c r="Q118" s="8" t="s">
        <v>203</v>
      </c>
      <c r="R118" s="8" t="s">
        <v>195</v>
      </c>
      <c r="S118" s="8" t="s">
        <v>279</v>
      </c>
      <c r="T118" s="8"/>
      <c r="U118" s="8"/>
      <c r="V118" s="8"/>
    </row>
    <row r="119" customFormat="false" ht="15" hidden="false" customHeight="false" outlineLevel="0" collapsed="false">
      <c r="A119" s="11" t="s">
        <v>188</v>
      </c>
      <c r="B119" s="11" t="s">
        <v>682</v>
      </c>
      <c r="C119" s="11" t="s">
        <v>683</v>
      </c>
      <c r="D119" s="11" t="s">
        <v>684</v>
      </c>
      <c r="E119" s="11" t="s">
        <v>685</v>
      </c>
      <c r="F119" s="11" t="s">
        <v>686</v>
      </c>
      <c r="G119" s="11" t="n">
        <v>1793</v>
      </c>
      <c r="H119" s="11" t="s">
        <v>67</v>
      </c>
      <c r="I119" s="11" t="s">
        <v>687</v>
      </c>
      <c r="J119" s="11" t="s">
        <v>688</v>
      </c>
      <c r="K119" s="11" t="s">
        <v>104</v>
      </c>
      <c r="L119" s="11" t="s">
        <v>224</v>
      </c>
      <c r="M119" s="11" t="n">
        <v>40</v>
      </c>
      <c r="N119" s="11" t="s">
        <v>55</v>
      </c>
      <c r="O119" s="11" t="s">
        <v>203</v>
      </c>
      <c r="P119" s="11" t="s">
        <v>225</v>
      </c>
      <c r="Q119" s="11" t="s">
        <v>203</v>
      </c>
      <c r="R119" s="11" t="s">
        <v>195</v>
      </c>
      <c r="S119" s="11" t="s">
        <v>279</v>
      </c>
      <c r="T119" s="11"/>
      <c r="U119" s="11"/>
      <c r="V119" s="11"/>
    </row>
    <row r="120" customFormat="false" ht="15" hidden="false" customHeight="false" outlineLevel="0" collapsed="false">
      <c r="A120" s="8" t="s">
        <v>188</v>
      </c>
      <c r="B120" s="8" t="s">
        <v>689</v>
      </c>
      <c r="C120" s="8" t="s">
        <v>690</v>
      </c>
      <c r="D120" s="8" t="s">
        <v>231</v>
      </c>
      <c r="E120" s="8" t="s">
        <v>691</v>
      </c>
      <c r="F120" s="8" t="s">
        <v>692</v>
      </c>
      <c r="G120" s="8" t="n">
        <v>1650</v>
      </c>
      <c r="H120" s="8" t="s">
        <v>67</v>
      </c>
      <c r="I120" s="8" t="s">
        <v>693</v>
      </c>
      <c r="J120" s="8" t="s">
        <v>694</v>
      </c>
      <c r="K120" s="8" t="s">
        <v>104</v>
      </c>
      <c r="L120" s="8" t="s">
        <v>224</v>
      </c>
      <c r="M120" s="8" t="n">
        <v>24</v>
      </c>
      <c r="N120" s="8" t="s">
        <v>79</v>
      </c>
      <c r="O120" s="8" t="s">
        <v>203</v>
      </c>
      <c r="P120" s="8" t="s">
        <v>225</v>
      </c>
      <c r="Q120" s="8" t="s">
        <v>203</v>
      </c>
      <c r="R120" s="8" t="s">
        <v>195</v>
      </c>
      <c r="S120" s="8" t="s">
        <v>279</v>
      </c>
      <c r="T120" s="8"/>
      <c r="U120" s="8"/>
      <c r="V120" s="8"/>
    </row>
    <row r="121" customFormat="false" ht="15" hidden="false" customHeight="false" outlineLevel="0" collapsed="false">
      <c r="A121" s="11" t="s">
        <v>188</v>
      </c>
      <c r="B121" s="11" t="s">
        <v>695</v>
      </c>
      <c r="C121" s="11" t="s">
        <v>696</v>
      </c>
      <c r="D121" s="11" t="s">
        <v>231</v>
      </c>
      <c r="E121" s="11" t="s">
        <v>697</v>
      </c>
      <c r="F121" s="11" t="s">
        <v>698</v>
      </c>
      <c r="G121" s="11" t="n">
        <v>2153</v>
      </c>
      <c r="H121" s="11" t="s">
        <v>67</v>
      </c>
      <c r="I121" s="11" t="s">
        <v>699</v>
      </c>
      <c r="J121" s="11" t="s">
        <v>700</v>
      </c>
      <c r="K121" s="11" t="s">
        <v>104</v>
      </c>
      <c r="L121" s="11" t="s">
        <v>224</v>
      </c>
      <c r="M121" s="11" t="n">
        <v>28</v>
      </c>
      <c r="N121" s="11" t="s">
        <v>64</v>
      </c>
      <c r="O121" s="11" t="s">
        <v>203</v>
      </c>
      <c r="P121" s="11" t="s">
        <v>225</v>
      </c>
      <c r="Q121" s="11" t="s">
        <v>203</v>
      </c>
      <c r="R121" s="11" t="s">
        <v>195</v>
      </c>
      <c r="S121" s="11" t="s">
        <v>279</v>
      </c>
      <c r="T121" s="11"/>
      <c r="U121" s="11"/>
      <c r="V121" s="11"/>
    </row>
    <row r="122" customFormat="false" ht="15" hidden="false" customHeight="false" outlineLevel="0" collapsed="false">
      <c r="A122" s="8" t="s">
        <v>188</v>
      </c>
      <c r="B122" s="8" t="s">
        <v>701</v>
      </c>
      <c r="C122" s="8" t="s">
        <v>702</v>
      </c>
      <c r="D122" s="8" t="s">
        <v>703</v>
      </c>
      <c r="E122" s="8" t="s">
        <v>704</v>
      </c>
      <c r="F122" s="8" t="s">
        <v>705</v>
      </c>
      <c r="G122" s="8" t="n">
        <v>2715</v>
      </c>
      <c r="H122" s="8" t="s">
        <v>67</v>
      </c>
      <c r="I122" s="8" t="s">
        <v>706</v>
      </c>
      <c r="J122" s="8" t="s">
        <v>707</v>
      </c>
      <c r="K122" s="8" t="s">
        <v>104</v>
      </c>
      <c r="L122" s="8" t="s">
        <v>200</v>
      </c>
      <c r="M122" s="8" t="n">
        <v>28</v>
      </c>
      <c r="N122" s="8" t="s">
        <v>55</v>
      </c>
      <c r="O122" s="8" t="s">
        <v>203</v>
      </c>
      <c r="P122" s="8" t="s">
        <v>225</v>
      </c>
      <c r="Q122" s="8" t="s">
        <v>203</v>
      </c>
      <c r="R122" s="8" t="s">
        <v>195</v>
      </c>
      <c r="S122" s="8" t="s">
        <v>279</v>
      </c>
      <c r="T122" s="8"/>
      <c r="U122" s="8"/>
      <c r="V122" s="8"/>
    </row>
    <row r="123" customFormat="false" ht="15" hidden="false" customHeight="false" outlineLevel="0" collapsed="false">
      <c r="A123" s="11" t="s">
        <v>188</v>
      </c>
      <c r="B123" s="11" t="s">
        <v>708</v>
      </c>
      <c r="C123" s="11" t="s">
        <v>709</v>
      </c>
      <c r="D123" s="11" t="s">
        <v>710</v>
      </c>
      <c r="E123" s="11" t="s">
        <v>711</v>
      </c>
      <c r="F123" s="11" t="s">
        <v>712</v>
      </c>
      <c r="G123" s="11" t="n">
        <v>2700</v>
      </c>
      <c r="H123" s="11" t="s">
        <v>67</v>
      </c>
      <c r="I123" s="11" t="s">
        <v>713</v>
      </c>
      <c r="J123" s="11" t="s">
        <v>714</v>
      </c>
      <c r="K123" s="11" t="s">
        <v>104</v>
      </c>
      <c r="L123" s="11" t="s">
        <v>211</v>
      </c>
      <c r="M123" s="11" t="n">
        <v>32</v>
      </c>
      <c r="N123" s="11" t="s">
        <v>146</v>
      </c>
      <c r="O123" s="11" t="s">
        <v>203</v>
      </c>
      <c r="P123" s="11" t="s">
        <v>225</v>
      </c>
      <c r="Q123" s="11" t="s">
        <v>203</v>
      </c>
      <c r="R123" s="11" t="s">
        <v>195</v>
      </c>
      <c r="S123" s="11" t="s">
        <v>279</v>
      </c>
      <c r="T123" s="11"/>
      <c r="U123" s="11"/>
      <c r="V123" s="11"/>
    </row>
    <row r="124" customFormat="false" ht="15" hidden="false" customHeight="false" outlineLevel="0" collapsed="false">
      <c r="A124" s="8" t="s">
        <v>188</v>
      </c>
      <c r="B124" s="8" t="s">
        <v>715</v>
      </c>
      <c r="C124" s="8" t="s">
        <v>716</v>
      </c>
      <c r="D124" s="8" t="s">
        <v>717</v>
      </c>
      <c r="E124" s="8" t="s">
        <v>718</v>
      </c>
      <c r="F124" s="8" t="s">
        <v>719</v>
      </c>
      <c r="G124" s="8" t="n">
        <v>746</v>
      </c>
      <c r="H124" s="8" t="s">
        <v>67</v>
      </c>
      <c r="I124" s="8" t="s">
        <v>720</v>
      </c>
      <c r="J124" s="8" t="s">
        <v>721</v>
      </c>
      <c r="K124" s="8" t="s">
        <v>104</v>
      </c>
      <c r="L124" s="8" t="s">
        <v>207</v>
      </c>
      <c r="M124" s="8" t="n">
        <v>24</v>
      </c>
      <c r="N124" s="8" t="s">
        <v>146</v>
      </c>
      <c r="O124" s="8" t="s">
        <v>203</v>
      </c>
      <c r="P124" s="8" t="s">
        <v>225</v>
      </c>
      <c r="Q124" s="8" t="s">
        <v>203</v>
      </c>
      <c r="R124" s="8" t="s">
        <v>722</v>
      </c>
      <c r="S124" s="8" t="s">
        <v>279</v>
      </c>
      <c r="T124" s="8"/>
      <c r="U124" s="8"/>
      <c r="V124" s="8"/>
    </row>
    <row r="125" customFormat="false" ht="15" hidden="false" customHeight="false" outlineLevel="0" collapsed="false">
      <c r="A125" s="11" t="s">
        <v>188</v>
      </c>
      <c r="B125" s="11" t="s">
        <v>723</v>
      </c>
      <c r="C125" s="11" t="s">
        <v>724</v>
      </c>
      <c r="D125" s="11" t="s">
        <v>717</v>
      </c>
      <c r="E125" s="11" t="s">
        <v>725</v>
      </c>
      <c r="F125" s="11" t="s">
        <v>726</v>
      </c>
      <c r="G125" s="11" t="n">
        <v>2673</v>
      </c>
      <c r="H125" s="11" t="s">
        <v>67</v>
      </c>
      <c r="I125" s="11" t="s">
        <v>727</v>
      </c>
      <c r="J125" s="11" t="s">
        <v>728</v>
      </c>
      <c r="K125" s="11" t="s">
        <v>104</v>
      </c>
      <c r="L125" s="11" t="s">
        <v>192</v>
      </c>
      <c r="M125" s="11" t="n">
        <v>80</v>
      </c>
      <c r="N125" s="11" t="s">
        <v>64</v>
      </c>
      <c r="O125" s="11" t="s">
        <v>203</v>
      </c>
      <c r="P125" s="11" t="s">
        <v>225</v>
      </c>
      <c r="Q125" s="11" t="s">
        <v>203</v>
      </c>
      <c r="R125" s="11" t="s">
        <v>195</v>
      </c>
      <c r="S125" s="11" t="s">
        <v>279</v>
      </c>
      <c r="T125" s="11"/>
      <c r="U125" s="11"/>
      <c r="V125" s="11"/>
    </row>
    <row r="126" customFormat="false" ht="15" hidden="false" customHeight="false" outlineLevel="0" collapsed="false">
      <c r="A126" s="8" t="s">
        <v>188</v>
      </c>
      <c r="B126" s="8" t="s">
        <v>729</v>
      </c>
      <c r="C126" s="8" t="s">
        <v>730</v>
      </c>
      <c r="D126" s="8" t="s">
        <v>117</v>
      </c>
      <c r="E126" s="8" t="s">
        <v>731</v>
      </c>
      <c r="F126" s="8" t="s">
        <v>732</v>
      </c>
      <c r="G126" s="8" t="n">
        <v>2629</v>
      </c>
      <c r="H126" s="8" t="s">
        <v>67</v>
      </c>
      <c r="I126" s="8" t="s">
        <v>733</v>
      </c>
      <c r="J126" s="8" t="s">
        <v>312</v>
      </c>
      <c r="K126" s="8" t="s">
        <v>104</v>
      </c>
      <c r="L126" s="8" t="s">
        <v>211</v>
      </c>
      <c r="M126" s="8" t="n">
        <v>28</v>
      </c>
      <c r="N126" s="8" t="s">
        <v>55</v>
      </c>
      <c r="O126" s="8" t="s">
        <v>203</v>
      </c>
      <c r="P126" s="8" t="s">
        <v>225</v>
      </c>
      <c r="Q126" s="8" t="s">
        <v>203</v>
      </c>
      <c r="R126" s="8" t="s">
        <v>195</v>
      </c>
      <c r="S126" s="8" t="s">
        <v>279</v>
      </c>
      <c r="T126" s="8"/>
      <c r="U126" s="8"/>
      <c r="V126" s="8"/>
    </row>
    <row r="127" customFormat="false" ht="15" hidden="false" customHeight="false" outlineLevel="0" collapsed="false">
      <c r="A127" s="11" t="s">
        <v>188</v>
      </c>
      <c r="B127" s="11" t="s">
        <v>734</v>
      </c>
      <c r="C127" s="11" t="s">
        <v>735</v>
      </c>
      <c r="D127" s="11" t="s">
        <v>736</v>
      </c>
      <c r="E127" s="11" t="s">
        <v>737</v>
      </c>
      <c r="F127" s="11" t="s">
        <v>738</v>
      </c>
      <c r="G127" s="11" t="n">
        <v>1912</v>
      </c>
      <c r="H127" s="11" t="s">
        <v>67</v>
      </c>
      <c r="I127" s="11" t="s">
        <v>739</v>
      </c>
      <c r="J127" s="11" t="s">
        <v>740</v>
      </c>
      <c r="K127" s="11" t="s">
        <v>104</v>
      </c>
      <c r="L127" s="11" t="s">
        <v>207</v>
      </c>
      <c r="M127" s="11" t="n">
        <v>60</v>
      </c>
      <c r="N127" s="11" t="s">
        <v>55</v>
      </c>
      <c r="O127" s="11" t="s">
        <v>203</v>
      </c>
      <c r="P127" s="11" t="s">
        <v>225</v>
      </c>
      <c r="Q127" s="11" t="s">
        <v>203</v>
      </c>
      <c r="R127" s="11" t="s">
        <v>195</v>
      </c>
      <c r="S127" s="11" t="s">
        <v>279</v>
      </c>
      <c r="T127" s="11"/>
      <c r="U127" s="11"/>
      <c r="V127" s="11"/>
    </row>
    <row r="128" customFormat="false" ht="15" hidden="false" customHeight="false" outlineLevel="0" collapsed="false">
      <c r="A128" s="8" t="s">
        <v>188</v>
      </c>
      <c r="B128" s="8" t="s">
        <v>741</v>
      </c>
      <c r="C128" s="8" t="s">
        <v>742</v>
      </c>
      <c r="D128" s="8" t="s">
        <v>121</v>
      </c>
      <c r="E128" s="8" t="s">
        <v>743</v>
      </c>
      <c r="F128" s="8" t="s">
        <v>744</v>
      </c>
      <c r="G128" s="8" t="n">
        <v>1000</v>
      </c>
      <c r="H128" s="8" t="s">
        <v>114</v>
      </c>
      <c r="I128" s="8" t="s">
        <v>745</v>
      </c>
      <c r="J128" s="8" t="s">
        <v>746</v>
      </c>
      <c r="K128" s="8" t="s">
        <v>104</v>
      </c>
      <c r="L128" s="8" t="s">
        <v>200</v>
      </c>
      <c r="M128" s="8" t="n">
        <v>36</v>
      </c>
      <c r="N128" s="8" t="s">
        <v>64</v>
      </c>
      <c r="O128" s="8" t="s">
        <v>203</v>
      </c>
      <c r="P128" s="8" t="s">
        <v>225</v>
      </c>
      <c r="Q128" s="8" t="s">
        <v>203</v>
      </c>
      <c r="R128" s="8" t="s">
        <v>195</v>
      </c>
      <c r="S128" s="8" t="s">
        <v>279</v>
      </c>
      <c r="T128" s="8"/>
      <c r="U128" s="8"/>
      <c r="V128" s="8"/>
    </row>
    <row r="129" customFormat="false" ht="15" hidden="false" customHeight="false" outlineLevel="0" collapsed="false">
      <c r="A129" s="11" t="s">
        <v>188</v>
      </c>
      <c r="B129" s="11" t="s">
        <v>747</v>
      </c>
      <c r="C129" s="11" t="s">
        <v>748</v>
      </c>
      <c r="D129" s="11" t="s">
        <v>749</v>
      </c>
      <c r="E129" s="11" t="s">
        <v>750</v>
      </c>
      <c r="F129" s="11" t="s">
        <v>751</v>
      </c>
      <c r="G129" s="11" t="n">
        <v>80</v>
      </c>
      <c r="H129" s="11" t="s">
        <v>67</v>
      </c>
      <c r="I129" s="11" t="s">
        <v>752</v>
      </c>
      <c r="J129" s="11" t="s">
        <v>753</v>
      </c>
      <c r="K129" s="11" t="s">
        <v>104</v>
      </c>
      <c r="L129" s="11" t="s">
        <v>224</v>
      </c>
      <c r="M129" s="11" t="n">
        <v>28</v>
      </c>
      <c r="N129" s="11" t="s">
        <v>79</v>
      </c>
      <c r="O129" s="11" t="s">
        <v>203</v>
      </c>
      <c r="P129" s="11" t="s">
        <v>225</v>
      </c>
      <c r="Q129" s="11" t="s">
        <v>203</v>
      </c>
      <c r="R129" s="11" t="s">
        <v>195</v>
      </c>
      <c r="S129" s="11" t="s">
        <v>279</v>
      </c>
      <c r="T129" s="11"/>
      <c r="U129" s="11"/>
      <c r="V129" s="11"/>
    </row>
    <row r="130" customFormat="false" ht="15" hidden="false" customHeight="false" outlineLevel="0" collapsed="false">
      <c r="A130" s="8" t="s">
        <v>188</v>
      </c>
      <c r="B130" s="8" t="s">
        <v>754</v>
      </c>
      <c r="C130" s="8" t="s">
        <v>755</v>
      </c>
      <c r="D130" s="8" t="s">
        <v>756</v>
      </c>
      <c r="E130" s="8" t="s">
        <v>757</v>
      </c>
      <c r="F130" s="8" t="s">
        <v>758</v>
      </c>
      <c r="G130" s="8" t="n">
        <v>2249</v>
      </c>
      <c r="H130" s="8" t="s">
        <v>67</v>
      </c>
      <c r="I130" s="8" t="s">
        <v>759</v>
      </c>
      <c r="J130" s="8" t="s">
        <v>760</v>
      </c>
      <c r="K130" s="8" t="s">
        <v>104</v>
      </c>
      <c r="L130" s="8" t="s">
        <v>224</v>
      </c>
      <c r="M130" s="8" t="n">
        <v>50</v>
      </c>
      <c r="N130" s="8" t="s">
        <v>146</v>
      </c>
      <c r="O130" s="8" t="s">
        <v>203</v>
      </c>
      <c r="P130" s="8" t="s">
        <v>225</v>
      </c>
      <c r="Q130" s="8" t="s">
        <v>203</v>
      </c>
      <c r="R130" s="8" t="s">
        <v>195</v>
      </c>
      <c r="S130" s="8" t="s">
        <v>279</v>
      </c>
      <c r="T130" s="8"/>
      <c r="U130" s="8"/>
      <c r="V130" s="8"/>
    </row>
    <row r="131" customFormat="false" ht="15" hidden="false" customHeight="false" outlineLevel="0" collapsed="false">
      <c r="A131" s="11" t="s">
        <v>188</v>
      </c>
      <c r="B131" s="11" t="s">
        <v>761</v>
      </c>
      <c r="C131" s="11" t="s">
        <v>762</v>
      </c>
      <c r="D131" s="11" t="s">
        <v>763</v>
      </c>
      <c r="E131" s="11" t="s">
        <v>764</v>
      </c>
      <c r="F131" s="11" t="s">
        <v>765</v>
      </c>
      <c r="G131" s="11" t="n">
        <v>168</v>
      </c>
      <c r="H131" s="11" t="s">
        <v>67</v>
      </c>
      <c r="I131" s="11" t="s">
        <v>766</v>
      </c>
      <c r="J131" s="11" t="s">
        <v>767</v>
      </c>
      <c r="K131" s="11" t="s">
        <v>104</v>
      </c>
      <c r="L131" s="11" t="s">
        <v>211</v>
      </c>
      <c r="M131" s="11" t="n">
        <v>40</v>
      </c>
      <c r="N131" s="11" t="s">
        <v>79</v>
      </c>
      <c r="O131" s="11" t="s">
        <v>203</v>
      </c>
      <c r="P131" s="11" t="s">
        <v>225</v>
      </c>
      <c r="Q131" s="11" t="s">
        <v>203</v>
      </c>
      <c r="R131" s="11" t="s">
        <v>195</v>
      </c>
      <c r="S131" s="11" t="s">
        <v>279</v>
      </c>
      <c r="T131" s="11"/>
      <c r="U131" s="11"/>
      <c r="V131" s="11"/>
    </row>
    <row r="132" customFormat="false" ht="15" hidden="false" customHeight="false" outlineLevel="0" collapsed="false">
      <c r="A132" s="8" t="s">
        <v>188</v>
      </c>
      <c r="B132" s="8" t="s">
        <v>768</v>
      </c>
      <c r="C132" s="8" t="s">
        <v>769</v>
      </c>
      <c r="D132" s="8" t="s">
        <v>770</v>
      </c>
      <c r="E132" s="8" t="s">
        <v>771</v>
      </c>
      <c r="F132" s="8" t="s">
        <v>772</v>
      </c>
      <c r="G132" s="8" t="n">
        <v>566</v>
      </c>
      <c r="H132" s="8" t="s">
        <v>67</v>
      </c>
      <c r="I132" s="8" t="s">
        <v>773</v>
      </c>
      <c r="J132" s="8" t="s">
        <v>774</v>
      </c>
      <c r="K132" s="8" t="s">
        <v>104</v>
      </c>
      <c r="L132" s="8" t="s">
        <v>211</v>
      </c>
      <c r="M132" s="8" t="n">
        <v>28</v>
      </c>
      <c r="N132" s="8" t="s">
        <v>55</v>
      </c>
      <c r="O132" s="8" t="s">
        <v>203</v>
      </c>
      <c r="P132" s="8" t="s">
        <v>225</v>
      </c>
      <c r="Q132" s="8" t="s">
        <v>203</v>
      </c>
      <c r="R132" s="8" t="s">
        <v>195</v>
      </c>
      <c r="S132" s="8" t="s">
        <v>279</v>
      </c>
      <c r="T132" s="8"/>
      <c r="U132" s="8"/>
      <c r="V132" s="8"/>
    </row>
    <row r="133" customFormat="false" ht="20.85" hidden="false" customHeight="false" outlineLevel="0" collapsed="false">
      <c r="A133" s="11" t="s">
        <v>188</v>
      </c>
      <c r="B133" s="11" t="s">
        <v>775</v>
      </c>
      <c r="C133" s="11" t="s">
        <v>776</v>
      </c>
      <c r="D133" s="11" t="s">
        <v>777</v>
      </c>
      <c r="E133" s="11" t="s">
        <v>778</v>
      </c>
      <c r="F133" s="11" t="s">
        <v>779</v>
      </c>
      <c r="G133" s="11" t="n">
        <v>594</v>
      </c>
      <c r="H133" s="11" t="s">
        <v>67</v>
      </c>
      <c r="I133" s="11" t="s">
        <v>447</v>
      </c>
      <c r="J133" s="11" t="s">
        <v>780</v>
      </c>
      <c r="K133" s="11" t="s">
        <v>104</v>
      </c>
      <c r="L133" s="11" t="s">
        <v>192</v>
      </c>
      <c r="M133" s="11" t="n">
        <v>24</v>
      </c>
      <c r="N133" s="11" t="s">
        <v>55</v>
      </c>
      <c r="O133" s="11" t="s">
        <v>203</v>
      </c>
      <c r="P133" s="11" t="s">
        <v>225</v>
      </c>
      <c r="Q133" s="11" t="s">
        <v>203</v>
      </c>
      <c r="R133" s="11" t="s">
        <v>781</v>
      </c>
      <c r="S133" s="11" t="s">
        <v>279</v>
      </c>
      <c r="T133" s="11"/>
      <c r="U133" s="11"/>
      <c r="V133" s="11"/>
    </row>
    <row r="134" customFormat="false" ht="15" hidden="false" customHeight="false" outlineLevel="0" collapsed="false">
      <c r="A134" s="8" t="s">
        <v>188</v>
      </c>
      <c r="B134" s="8" t="s">
        <v>782</v>
      </c>
      <c r="C134" s="8" t="s">
        <v>783</v>
      </c>
      <c r="D134" s="8" t="s">
        <v>784</v>
      </c>
      <c r="E134" s="8" t="s">
        <v>785</v>
      </c>
      <c r="F134" s="8" t="s">
        <v>786</v>
      </c>
      <c r="G134" s="8" t="n">
        <v>3</v>
      </c>
      <c r="H134" s="8" t="s">
        <v>67</v>
      </c>
      <c r="I134" s="8" t="s">
        <v>787</v>
      </c>
      <c r="J134" s="8" t="s">
        <v>788</v>
      </c>
      <c r="K134" s="8" t="s">
        <v>104</v>
      </c>
      <c r="L134" s="8" t="s">
        <v>207</v>
      </c>
      <c r="M134" s="8" t="n">
        <v>60</v>
      </c>
      <c r="N134" s="8" t="s">
        <v>146</v>
      </c>
      <c r="O134" s="8" t="s">
        <v>203</v>
      </c>
      <c r="P134" s="8" t="s">
        <v>225</v>
      </c>
      <c r="Q134" s="8" t="s">
        <v>203</v>
      </c>
      <c r="R134" s="8" t="s">
        <v>195</v>
      </c>
      <c r="S134" s="8" t="s">
        <v>279</v>
      </c>
      <c r="T134" s="8"/>
      <c r="U134" s="8"/>
      <c r="V134" s="8"/>
    </row>
    <row r="135" customFormat="false" ht="15" hidden="false" customHeight="false" outlineLevel="0" collapsed="false">
      <c r="A135" s="11" t="s">
        <v>188</v>
      </c>
      <c r="B135" s="11" t="s">
        <v>789</v>
      </c>
      <c r="C135" s="11" t="s">
        <v>790</v>
      </c>
      <c r="D135" s="11" t="s">
        <v>791</v>
      </c>
      <c r="E135" s="11" t="s">
        <v>792</v>
      </c>
      <c r="F135" s="11" t="s">
        <v>793</v>
      </c>
      <c r="G135" s="11" t="n">
        <v>704</v>
      </c>
      <c r="H135" s="11" t="s">
        <v>67</v>
      </c>
      <c r="I135" s="11" t="s">
        <v>587</v>
      </c>
      <c r="J135" s="11" t="s">
        <v>794</v>
      </c>
      <c r="K135" s="11" t="s">
        <v>104</v>
      </c>
      <c r="L135" s="11" t="s">
        <v>224</v>
      </c>
      <c r="M135" s="11" t="n">
        <v>32</v>
      </c>
      <c r="N135" s="11" t="s">
        <v>64</v>
      </c>
      <c r="O135" s="11" t="s">
        <v>203</v>
      </c>
      <c r="P135" s="11" t="s">
        <v>225</v>
      </c>
      <c r="Q135" s="11" t="s">
        <v>203</v>
      </c>
      <c r="R135" s="11" t="s">
        <v>195</v>
      </c>
      <c r="S135" s="11" t="s">
        <v>279</v>
      </c>
      <c r="T135" s="11"/>
      <c r="U135" s="11"/>
      <c r="V135" s="11"/>
    </row>
    <row r="136" customFormat="false" ht="15" hidden="false" customHeight="false" outlineLevel="0" collapsed="false">
      <c r="A136" s="8" t="s">
        <v>188</v>
      </c>
      <c r="B136" s="8" t="s">
        <v>795</v>
      </c>
      <c r="C136" s="8" t="s">
        <v>796</v>
      </c>
      <c r="D136" s="8" t="s">
        <v>797</v>
      </c>
      <c r="E136" s="8" t="s">
        <v>798</v>
      </c>
      <c r="F136" s="8" t="s">
        <v>799</v>
      </c>
      <c r="G136" s="8" t="n">
        <v>918</v>
      </c>
      <c r="H136" s="8" t="s">
        <v>67</v>
      </c>
      <c r="I136" s="8" t="s">
        <v>800</v>
      </c>
      <c r="J136" s="8" t="s">
        <v>801</v>
      </c>
      <c r="K136" s="8" t="s">
        <v>104</v>
      </c>
      <c r="L136" s="8" t="s">
        <v>200</v>
      </c>
      <c r="M136" s="8" t="n">
        <v>24</v>
      </c>
      <c r="N136" s="8" t="s">
        <v>64</v>
      </c>
      <c r="O136" s="8" t="s">
        <v>203</v>
      </c>
      <c r="P136" s="8" t="s">
        <v>225</v>
      </c>
      <c r="Q136" s="8" t="s">
        <v>203</v>
      </c>
      <c r="R136" s="8" t="s">
        <v>195</v>
      </c>
      <c r="S136" s="8" t="s">
        <v>279</v>
      </c>
      <c r="T136" s="8"/>
      <c r="U136" s="8"/>
      <c r="V136" s="8"/>
    </row>
    <row r="137" customFormat="false" ht="15" hidden="false" customHeight="false" outlineLevel="0" collapsed="false">
      <c r="A137" s="11" t="s">
        <v>188</v>
      </c>
      <c r="B137" s="11" t="s">
        <v>802</v>
      </c>
      <c r="C137" s="11" t="s">
        <v>803</v>
      </c>
      <c r="D137" s="11" t="s">
        <v>804</v>
      </c>
      <c r="E137" s="11" t="s">
        <v>805</v>
      </c>
      <c r="F137" s="11" t="s">
        <v>806</v>
      </c>
      <c r="G137" s="11" t="n">
        <v>2849</v>
      </c>
      <c r="H137" s="11" t="s">
        <v>67</v>
      </c>
      <c r="I137" s="11" t="s">
        <v>807</v>
      </c>
      <c r="J137" s="11" t="s">
        <v>808</v>
      </c>
      <c r="K137" s="11" t="s">
        <v>104</v>
      </c>
      <c r="L137" s="11" t="s">
        <v>207</v>
      </c>
      <c r="M137" s="11" t="n">
        <v>40</v>
      </c>
      <c r="N137" s="11" t="s">
        <v>146</v>
      </c>
      <c r="O137" s="11" t="s">
        <v>203</v>
      </c>
      <c r="P137" s="11" t="s">
        <v>225</v>
      </c>
      <c r="Q137" s="11" t="s">
        <v>203</v>
      </c>
      <c r="R137" s="11" t="s">
        <v>195</v>
      </c>
      <c r="S137" s="11" t="s">
        <v>279</v>
      </c>
      <c r="T137" s="11"/>
      <c r="U137" s="11"/>
      <c r="V137" s="11"/>
    </row>
    <row r="138" customFormat="false" ht="15" hidden="false" customHeight="false" outlineLevel="0" collapsed="false">
      <c r="A138" s="8" t="s">
        <v>188</v>
      </c>
      <c r="B138" s="8" t="s">
        <v>809</v>
      </c>
      <c r="C138" s="8" t="s">
        <v>810</v>
      </c>
      <c r="D138" s="8" t="s">
        <v>811</v>
      </c>
      <c r="E138" s="8" t="s">
        <v>812</v>
      </c>
      <c r="F138" s="8" t="s">
        <v>813</v>
      </c>
      <c r="G138" s="8" t="n">
        <v>2696</v>
      </c>
      <c r="H138" s="8" t="s">
        <v>67</v>
      </c>
      <c r="I138" s="8" t="s">
        <v>814</v>
      </c>
      <c r="J138" s="8" t="s">
        <v>815</v>
      </c>
      <c r="K138" s="8" t="s">
        <v>104</v>
      </c>
      <c r="L138" s="8" t="s">
        <v>211</v>
      </c>
      <c r="M138" s="8" t="n">
        <v>24</v>
      </c>
      <c r="N138" s="8" t="s">
        <v>55</v>
      </c>
      <c r="O138" s="8" t="s">
        <v>203</v>
      </c>
      <c r="P138" s="8" t="s">
        <v>225</v>
      </c>
      <c r="Q138" s="8" t="s">
        <v>203</v>
      </c>
      <c r="R138" s="8" t="s">
        <v>195</v>
      </c>
      <c r="S138" s="8" t="s">
        <v>279</v>
      </c>
      <c r="T138" s="8"/>
      <c r="U138" s="8"/>
      <c r="V138" s="8"/>
    </row>
    <row r="139" customFormat="false" ht="15" hidden="false" customHeight="false" outlineLevel="0" collapsed="false">
      <c r="A139" s="11" t="s">
        <v>188</v>
      </c>
      <c r="B139" s="11" t="s">
        <v>816</v>
      </c>
      <c r="C139" s="11" t="s">
        <v>817</v>
      </c>
      <c r="D139" s="11" t="s">
        <v>818</v>
      </c>
      <c r="E139" s="11" t="s">
        <v>567</v>
      </c>
      <c r="F139" s="11" t="s">
        <v>568</v>
      </c>
      <c r="G139" s="11" t="n">
        <v>924</v>
      </c>
      <c r="H139" s="11" t="s">
        <v>67</v>
      </c>
      <c r="I139" s="11" t="s">
        <v>569</v>
      </c>
      <c r="J139" s="11" t="s">
        <v>819</v>
      </c>
      <c r="K139" s="11" t="s">
        <v>104</v>
      </c>
      <c r="L139" s="11" t="s">
        <v>224</v>
      </c>
      <c r="M139" s="11" t="n">
        <v>28</v>
      </c>
      <c r="N139" s="11" t="s">
        <v>79</v>
      </c>
      <c r="O139" s="11" t="s">
        <v>203</v>
      </c>
      <c r="P139" s="11" t="s">
        <v>225</v>
      </c>
      <c r="Q139" s="11" t="s">
        <v>203</v>
      </c>
      <c r="R139" s="11" t="s">
        <v>195</v>
      </c>
      <c r="S139" s="11" t="s">
        <v>279</v>
      </c>
      <c r="T139" s="11"/>
      <c r="U139" s="11"/>
      <c r="V139" s="11"/>
    </row>
    <row r="140" customFormat="false" ht="15" hidden="false" customHeight="false" outlineLevel="0" collapsed="false">
      <c r="A140" s="8" t="s">
        <v>188</v>
      </c>
      <c r="B140" s="8" t="s">
        <v>820</v>
      </c>
      <c r="C140" s="8" t="s">
        <v>821</v>
      </c>
      <c r="D140" s="8" t="s">
        <v>822</v>
      </c>
      <c r="E140" s="8" t="s">
        <v>823</v>
      </c>
      <c r="F140" s="8" t="s">
        <v>824</v>
      </c>
      <c r="G140" s="8" t="n">
        <v>16</v>
      </c>
      <c r="H140" s="8" t="s">
        <v>67</v>
      </c>
      <c r="I140" s="8" t="s">
        <v>825</v>
      </c>
      <c r="J140" s="8" t="s">
        <v>826</v>
      </c>
      <c r="K140" s="8" t="s">
        <v>104</v>
      </c>
      <c r="L140" s="8" t="s">
        <v>211</v>
      </c>
      <c r="M140" s="8" t="n">
        <v>24</v>
      </c>
      <c r="N140" s="8" t="s">
        <v>55</v>
      </c>
      <c r="O140" s="8" t="s">
        <v>203</v>
      </c>
      <c r="P140" s="8" t="s">
        <v>225</v>
      </c>
      <c r="Q140" s="8" t="s">
        <v>203</v>
      </c>
      <c r="R140" s="8" t="s">
        <v>195</v>
      </c>
      <c r="S140" s="8" t="s">
        <v>279</v>
      </c>
      <c r="T140" s="8"/>
      <c r="U140" s="8"/>
      <c r="V140" s="8"/>
    </row>
    <row r="141" customFormat="false" ht="15" hidden="false" customHeight="false" outlineLevel="0" collapsed="false">
      <c r="A141" s="11" t="s">
        <v>188</v>
      </c>
      <c r="B141" s="11" t="s">
        <v>827</v>
      </c>
      <c r="C141" s="11" t="s">
        <v>828</v>
      </c>
      <c r="D141" s="11" t="s">
        <v>829</v>
      </c>
      <c r="E141" s="11" t="s">
        <v>830</v>
      </c>
      <c r="F141" s="11" t="s">
        <v>831</v>
      </c>
      <c r="G141" s="11" t="n">
        <v>186</v>
      </c>
      <c r="H141" s="11" t="s">
        <v>67</v>
      </c>
      <c r="I141" s="11" t="s">
        <v>832</v>
      </c>
      <c r="J141" s="11" t="s">
        <v>833</v>
      </c>
      <c r="K141" s="11" t="s">
        <v>104</v>
      </c>
      <c r="L141" s="11" t="s">
        <v>207</v>
      </c>
      <c r="M141" s="11" t="n">
        <v>60</v>
      </c>
      <c r="N141" s="11" t="s">
        <v>146</v>
      </c>
      <c r="O141" s="11" t="s">
        <v>203</v>
      </c>
      <c r="P141" s="11" t="s">
        <v>225</v>
      </c>
      <c r="Q141" s="11" t="s">
        <v>203</v>
      </c>
      <c r="R141" s="11" t="s">
        <v>195</v>
      </c>
      <c r="S141" s="11" t="s">
        <v>279</v>
      </c>
      <c r="T141" s="11"/>
      <c r="U141" s="11"/>
      <c r="V141" s="11"/>
    </row>
    <row r="142" customFormat="false" ht="15" hidden="false" customHeight="false" outlineLevel="0" collapsed="false">
      <c r="A142" s="8" t="s">
        <v>188</v>
      </c>
      <c r="B142" s="8" t="s">
        <v>834</v>
      </c>
      <c r="C142" s="8" t="s">
        <v>835</v>
      </c>
      <c r="D142" s="8" t="s">
        <v>836</v>
      </c>
      <c r="E142" s="8" t="s">
        <v>837</v>
      </c>
      <c r="F142" s="8" t="s">
        <v>838</v>
      </c>
      <c r="G142" s="8" t="n">
        <v>1726</v>
      </c>
      <c r="H142" s="8" t="s">
        <v>67</v>
      </c>
      <c r="I142" s="8" t="s">
        <v>839</v>
      </c>
      <c r="J142" s="8" t="s">
        <v>840</v>
      </c>
      <c r="K142" s="8" t="s">
        <v>104</v>
      </c>
      <c r="L142" s="8" t="s">
        <v>224</v>
      </c>
      <c r="M142" s="8" t="n">
        <v>24</v>
      </c>
      <c r="N142" s="8" t="s">
        <v>55</v>
      </c>
      <c r="O142" s="8" t="s">
        <v>203</v>
      </c>
      <c r="P142" s="8" t="s">
        <v>225</v>
      </c>
      <c r="Q142" s="8" t="s">
        <v>203</v>
      </c>
      <c r="R142" s="8" t="s">
        <v>195</v>
      </c>
      <c r="S142" s="8" t="s">
        <v>279</v>
      </c>
      <c r="T142" s="8"/>
      <c r="U142" s="8"/>
      <c r="V142" s="8"/>
    </row>
    <row r="143" customFormat="false" ht="15" hidden="false" customHeight="false" outlineLevel="0" collapsed="false">
      <c r="A143" s="11" t="s">
        <v>188</v>
      </c>
      <c r="B143" s="11" t="s">
        <v>841</v>
      </c>
      <c r="C143" s="11" t="s">
        <v>842</v>
      </c>
      <c r="D143" s="11" t="s">
        <v>843</v>
      </c>
      <c r="E143" s="11" t="s">
        <v>844</v>
      </c>
      <c r="F143" s="11" t="s">
        <v>845</v>
      </c>
      <c r="G143" s="11" t="n">
        <v>524</v>
      </c>
      <c r="H143" s="11" t="s">
        <v>67</v>
      </c>
      <c r="I143" s="11" t="s">
        <v>846</v>
      </c>
      <c r="J143" s="11" t="s">
        <v>847</v>
      </c>
      <c r="K143" s="11" t="s">
        <v>104</v>
      </c>
      <c r="L143" s="11" t="s">
        <v>200</v>
      </c>
      <c r="M143" s="11" t="n">
        <v>24</v>
      </c>
      <c r="N143" s="11" t="s">
        <v>146</v>
      </c>
      <c r="O143" s="11" t="s">
        <v>203</v>
      </c>
      <c r="P143" s="11" t="s">
        <v>225</v>
      </c>
      <c r="Q143" s="11" t="s">
        <v>203</v>
      </c>
      <c r="R143" s="11" t="s">
        <v>195</v>
      </c>
      <c r="S143" s="11" t="s">
        <v>279</v>
      </c>
      <c r="T143" s="11"/>
      <c r="U143" s="11"/>
      <c r="V143" s="11"/>
    </row>
    <row r="144" customFormat="false" ht="15" hidden="false" customHeight="false" outlineLevel="0" collapsed="false">
      <c r="A144" s="8" t="s">
        <v>188</v>
      </c>
      <c r="B144" s="8" t="s">
        <v>848</v>
      </c>
      <c r="C144" s="8" t="s">
        <v>849</v>
      </c>
      <c r="D144" s="8" t="s">
        <v>843</v>
      </c>
      <c r="E144" s="8" t="s">
        <v>850</v>
      </c>
      <c r="F144" s="8" t="s">
        <v>851</v>
      </c>
      <c r="G144" s="8" t="n">
        <v>2111</v>
      </c>
      <c r="H144" s="8" t="s">
        <v>114</v>
      </c>
      <c r="I144" s="8" t="s">
        <v>852</v>
      </c>
      <c r="J144" s="8" t="s">
        <v>853</v>
      </c>
      <c r="K144" s="8" t="s">
        <v>104</v>
      </c>
      <c r="L144" s="8" t="s">
        <v>200</v>
      </c>
      <c r="M144" s="8" t="n">
        <v>32</v>
      </c>
      <c r="N144" s="8" t="s">
        <v>146</v>
      </c>
      <c r="O144" s="8" t="s">
        <v>203</v>
      </c>
      <c r="P144" s="8" t="s">
        <v>225</v>
      </c>
      <c r="Q144" s="8" t="s">
        <v>203</v>
      </c>
      <c r="R144" s="8" t="s">
        <v>195</v>
      </c>
      <c r="S144" s="8" t="s">
        <v>279</v>
      </c>
      <c r="T144" s="8"/>
      <c r="U144" s="8"/>
      <c r="V144" s="8"/>
    </row>
    <row r="145" customFormat="false" ht="15" hidden="false" customHeight="false" outlineLevel="0" collapsed="false">
      <c r="A145" s="11" t="s">
        <v>188</v>
      </c>
      <c r="B145" s="11" t="s">
        <v>854</v>
      </c>
      <c r="C145" s="11" t="s">
        <v>855</v>
      </c>
      <c r="D145" s="11" t="s">
        <v>391</v>
      </c>
      <c r="E145" s="11" t="s">
        <v>856</v>
      </c>
      <c r="F145" s="11" t="s">
        <v>857</v>
      </c>
      <c r="G145" s="11" t="n">
        <v>632</v>
      </c>
      <c r="H145" s="11" t="s">
        <v>59</v>
      </c>
      <c r="I145" s="11" t="s">
        <v>858</v>
      </c>
      <c r="J145" s="11" t="s">
        <v>859</v>
      </c>
      <c r="K145" s="11" t="s">
        <v>104</v>
      </c>
      <c r="L145" s="11" t="s">
        <v>207</v>
      </c>
      <c r="M145" s="11" t="n">
        <v>70</v>
      </c>
      <c r="N145" s="11" t="s">
        <v>64</v>
      </c>
      <c r="O145" s="11" t="s">
        <v>203</v>
      </c>
      <c r="P145" s="11" t="s">
        <v>225</v>
      </c>
      <c r="Q145" s="11" t="s">
        <v>203</v>
      </c>
      <c r="R145" s="11" t="s">
        <v>195</v>
      </c>
      <c r="S145" s="11" t="s">
        <v>279</v>
      </c>
      <c r="T145" s="11"/>
      <c r="U145" s="11"/>
      <c r="V145" s="11"/>
    </row>
    <row r="146" customFormat="false" ht="15" hidden="false" customHeight="false" outlineLevel="0" collapsed="false">
      <c r="A146" s="8" t="s">
        <v>188</v>
      </c>
      <c r="B146" s="8" t="s">
        <v>860</v>
      </c>
      <c r="C146" s="8" t="s">
        <v>861</v>
      </c>
      <c r="D146" s="8" t="s">
        <v>862</v>
      </c>
      <c r="E146" s="8" t="s">
        <v>863</v>
      </c>
      <c r="F146" s="8" t="s">
        <v>864</v>
      </c>
      <c r="G146" s="8" t="n">
        <v>1759</v>
      </c>
      <c r="H146" s="8" t="s">
        <v>67</v>
      </c>
      <c r="I146" s="8" t="s">
        <v>865</v>
      </c>
      <c r="J146" s="8" t="s">
        <v>866</v>
      </c>
      <c r="K146" s="8" t="s">
        <v>104</v>
      </c>
      <c r="L146" s="8" t="s">
        <v>224</v>
      </c>
      <c r="M146" s="8" t="n">
        <v>50</v>
      </c>
      <c r="N146" s="8" t="s">
        <v>55</v>
      </c>
      <c r="O146" s="8" t="s">
        <v>203</v>
      </c>
      <c r="P146" s="8" t="s">
        <v>225</v>
      </c>
      <c r="Q146" s="8" t="s">
        <v>203</v>
      </c>
      <c r="R146" s="8" t="s">
        <v>195</v>
      </c>
      <c r="S146" s="8" t="s">
        <v>279</v>
      </c>
      <c r="T146" s="8"/>
      <c r="U146" s="8"/>
      <c r="V146" s="8"/>
    </row>
    <row r="147" customFormat="false" ht="15" hidden="false" customHeight="false" outlineLevel="0" collapsed="false">
      <c r="A147" s="11" t="s">
        <v>188</v>
      </c>
      <c r="B147" s="11" t="s">
        <v>867</v>
      </c>
      <c r="C147" s="11" t="s">
        <v>868</v>
      </c>
      <c r="D147" s="11" t="s">
        <v>869</v>
      </c>
      <c r="E147" s="11" t="s">
        <v>870</v>
      </c>
      <c r="F147" s="11" t="s">
        <v>871</v>
      </c>
      <c r="G147" s="11" t="n">
        <v>253</v>
      </c>
      <c r="H147" s="11" t="s">
        <v>67</v>
      </c>
      <c r="I147" s="11" t="s">
        <v>872</v>
      </c>
      <c r="J147" s="11" t="s">
        <v>873</v>
      </c>
      <c r="K147" s="11" t="s">
        <v>104</v>
      </c>
      <c r="L147" s="11" t="s">
        <v>211</v>
      </c>
      <c r="M147" s="11" t="n">
        <v>36</v>
      </c>
      <c r="N147" s="11" t="s">
        <v>79</v>
      </c>
      <c r="O147" s="11" t="s">
        <v>203</v>
      </c>
      <c r="P147" s="11" t="s">
        <v>225</v>
      </c>
      <c r="Q147" s="11" t="s">
        <v>203</v>
      </c>
      <c r="R147" s="11" t="s">
        <v>195</v>
      </c>
      <c r="S147" s="11" t="s">
        <v>279</v>
      </c>
      <c r="T147" s="11"/>
      <c r="U147" s="11"/>
      <c r="V147" s="11"/>
    </row>
    <row r="148" customFormat="false" ht="15" hidden="false" customHeight="false" outlineLevel="0" collapsed="false">
      <c r="A148" s="8" t="s">
        <v>188</v>
      </c>
      <c r="B148" s="8" t="s">
        <v>874</v>
      </c>
      <c r="C148" s="8" t="s">
        <v>875</v>
      </c>
      <c r="D148" s="8" t="s">
        <v>876</v>
      </c>
      <c r="E148" s="8" t="s">
        <v>877</v>
      </c>
      <c r="F148" s="8" t="s">
        <v>878</v>
      </c>
      <c r="G148" s="8" t="n">
        <v>347</v>
      </c>
      <c r="H148" s="8" t="s">
        <v>67</v>
      </c>
      <c r="I148" s="8" t="s">
        <v>879</v>
      </c>
      <c r="J148" s="8" t="s">
        <v>880</v>
      </c>
      <c r="K148" s="8" t="s">
        <v>104</v>
      </c>
      <c r="L148" s="8" t="s">
        <v>224</v>
      </c>
      <c r="M148" s="8" t="n">
        <v>60</v>
      </c>
      <c r="N148" s="8" t="s">
        <v>64</v>
      </c>
      <c r="O148" s="8" t="s">
        <v>203</v>
      </c>
      <c r="P148" s="8" t="s">
        <v>225</v>
      </c>
      <c r="Q148" s="8" t="s">
        <v>203</v>
      </c>
      <c r="R148" s="8" t="s">
        <v>195</v>
      </c>
      <c r="S148" s="8" t="s">
        <v>279</v>
      </c>
      <c r="T148" s="8"/>
      <c r="U148" s="8"/>
      <c r="V148" s="8"/>
    </row>
    <row r="149" customFormat="false" ht="15" hidden="false" customHeight="false" outlineLevel="0" collapsed="false">
      <c r="A149" s="11" t="s">
        <v>188</v>
      </c>
      <c r="B149" s="11" t="s">
        <v>881</v>
      </c>
      <c r="C149" s="11" t="s">
        <v>882</v>
      </c>
      <c r="D149" s="11" t="s">
        <v>443</v>
      </c>
      <c r="E149" s="11" t="s">
        <v>883</v>
      </c>
      <c r="F149" s="11" t="s">
        <v>884</v>
      </c>
      <c r="G149" s="11" t="n">
        <v>1653</v>
      </c>
      <c r="H149" s="11" t="s">
        <v>67</v>
      </c>
      <c r="I149" s="11" t="s">
        <v>885</v>
      </c>
      <c r="J149" s="11" t="s">
        <v>886</v>
      </c>
      <c r="K149" s="11" t="s">
        <v>104</v>
      </c>
      <c r="L149" s="11" t="s">
        <v>207</v>
      </c>
      <c r="M149" s="11" t="n">
        <v>24</v>
      </c>
      <c r="N149" s="11" t="s">
        <v>55</v>
      </c>
      <c r="O149" s="11" t="s">
        <v>203</v>
      </c>
      <c r="P149" s="11" t="s">
        <v>225</v>
      </c>
      <c r="Q149" s="11" t="s">
        <v>203</v>
      </c>
      <c r="R149" s="11" t="s">
        <v>195</v>
      </c>
      <c r="S149" s="11" t="s">
        <v>279</v>
      </c>
      <c r="T149" s="11"/>
      <c r="U149" s="11"/>
      <c r="V149" s="11"/>
    </row>
    <row r="150" customFormat="false" ht="15" hidden="false" customHeight="false" outlineLevel="0" collapsed="false">
      <c r="A150" s="8" t="s">
        <v>188</v>
      </c>
      <c r="B150" s="8" t="s">
        <v>887</v>
      </c>
      <c r="C150" s="8" t="s">
        <v>888</v>
      </c>
      <c r="D150" s="8" t="s">
        <v>889</v>
      </c>
      <c r="E150" s="8" t="s">
        <v>890</v>
      </c>
      <c r="F150" s="8" t="s">
        <v>891</v>
      </c>
      <c r="G150" s="8" t="n">
        <v>562</v>
      </c>
      <c r="H150" s="8" t="s">
        <v>67</v>
      </c>
      <c r="I150" s="8" t="s">
        <v>892</v>
      </c>
      <c r="J150" s="8" t="s">
        <v>893</v>
      </c>
      <c r="K150" s="8" t="s">
        <v>104</v>
      </c>
      <c r="L150" s="8" t="s">
        <v>192</v>
      </c>
      <c r="M150" s="8" t="n">
        <v>80</v>
      </c>
      <c r="N150" s="8" t="s">
        <v>64</v>
      </c>
      <c r="O150" s="8" t="s">
        <v>203</v>
      </c>
      <c r="P150" s="8" t="s">
        <v>225</v>
      </c>
      <c r="Q150" s="8" t="s">
        <v>203</v>
      </c>
      <c r="R150" s="8" t="s">
        <v>195</v>
      </c>
      <c r="S150" s="8" t="s">
        <v>279</v>
      </c>
      <c r="T150" s="8"/>
      <c r="U150" s="8"/>
      <c r="V150" s="8"/>
    </row>
    <row r="151" customFormat="false" ht="15" hidden="false" customHeight="false" outlineLevel="0" collapsed="false">
      <c r="A151" s="11" t="s">
        <v>188</v>
      </c>
      <c r="B151" s="11" t="s">
        <v>894</v>
      </c>
      <c r="C151" s="11" t="s">
        <v>895</v>
      </c>
      <c r="D151" s="11" t="s">
        <v>896</v>
      </c>
      <c r="E151" s="11" t="s">
        <v>897</v>
      </c>
      <c r="F151" s="11" t="s">
        <v>898</v>
      </c>
      <c r="G151" s="11" t="n">
        <v>2127</v>
      </c>
      <c r="H151" s="11" t="s">
        <v>67</v>
      </c>
      <c r="I151" s="11" t="s">
        <v>899</v>
      </c>
      <c r="J151" s="11" t="s">
        <v>900</v>
      </c>
      <c r="K151" s="11" t="s">
        <v>104</v>
      </c>
      <c r="L151" s="11" t="s">
        <v>211</v>
      </c>
      <c r="M151" s="11" t="n">
        <v>40</v>
      </c>
      <c r="N151" s="11" t="s">
        <v>64</v>
      </c>
      <c r="O151" s="11" t="s">
        <v>203</v>
      </c>
      <c r="P151" s="11" t="s">
        <v>225</v>
      </c>
      <c r="Q151" s="11" t="s">
        <v>203</v>
      </c>
      <c r="R151" s="11" t="s">
        <v>195</v>
      </c>
      <c r="S151" s="11" t="s">
        <v>279</v>
      </c>
      <c r="T151" s="11"/>
      <c r="U151" s="11"/>
      <c r="V151" s="11"/>
    </row>
    <row r="152" customFormat="false" ht="15" hidden="false" customHeight="false" outlineLevel="0" collapsed="false">
      <c r="A152" s="8" t="s">
        <v>188</v>
      </c>
      <c r="B152" s="8" t="s">
        <v>901</v>
      </c>
      <c r="C152" s="8" t="s">
        <v>902</v>
      </c>
      <c r="D152" s="8" t="s">
        <v>63</v>
      </c>
      <c r="E152" s="8" t="s">
        <v>903</v>
      </c>
      <c r="F152" s="8" t="s">
        <v>904</v>
      </c>
      <c r="G152" s="8" t="n">
        <v>2141</v>
      </c>
      <c r="H152" s="8" t="s">
        <v>67</v>
      </c>
      <c r="I152" s="8" t="s">
        <v>905</v>
      </c>
      <c r="J152" s="8" t="s">
        <v>906</v>
      </c>
      <c r="K152" s="8" t="s">
        <v>104</v>
      </c>
      <c r="L152" s="8" t="s">
        <v>211</v>
      </c>
      <c r="M152" s="8" t="n">
        <v>28</v>
      </c>
      <c r="N152" s="8" t="s">
        <v>55</v>
      </c>
      <c r="O152" s="8" t="s">
        <v>203</v>
      </c>
      <c r="P152" s="8" t="s">
        <v>225</v>
      </c>
      <c r="Q152" s="8" t="s">
        <v>203</v>
      </c>
      <c r="R152" s="8" t="s">
        <v>195</v>
      </c>
      <c r="S152" s="8" t="s">
        <v>279</v>
      </c>
      <c r="T152" s="8"/>
      <c r="U152" s="8"/>
      <c r="V152" s="8"/>
    </row>
    <row r="153" customFormat="false" ht="15" hidden="false" customHeight="false" outlineLevel="0" collapsed="false">
      <c r="A153" s="11" t="s">
        <v>188</v>
      </c>
      <c r="B153" s="11" t="s">
        <v>907</v>
      </c>
      <c r="C153" s="11" t="s">
        <v>908</v>
      </c>
      <c r="D153" s="11" t="s">
        <v>909</v>
      </c>
      <c r="E153" s="11" t="s">
        <v>910</v>
      </c>
      <c r="F153" s="11" t="s">
        <v>911</v>
      </c>
      <c r="G153" s="11" t="n">
        <v>1349</v>
      </c>
      <c r="H153" s="11" t="s">
        <v>67</v>
      </c>
      <c r="I153" s="11" t="s">
        <v>912</v>
      </c>
      <c r="J153" s="11" t="s">
        <v>913</v>
      </c>
      <c r="K153" s="11" t="s">
        <v>104</v>
      </c>
      <c r="L153" s="11" t="s">
        <v>207</v>
      </c>
      <c r="M153" s="11" t="n">
        <v>24</v>
      </c>
      <c r="N153" s="11" t="s">
        <v>64</v>
      </c>
      <c r="O153" s="11" t="s">
        <v>203</v>
      </c>
      <c r="P153" s="11" t="s">
        <v>225</v>
      </c>
      <c r="Q153" s="11" t="s">
        <v>203</v>
      </c>
      <c r="R153" s="11" t="s">
        <v>195</v>
      </c>
      <c r="S153" s="11" t="s">
        <v>279</v>
      </c>
      <c r="T153" s="11"/>
      <c r="U153" s="11"/>
      <c r="V153" s="11"/>
    </row>
    <row r="154" customFormat="false" ht="15" hidden="false" customHeight="false" outlineLevel="0" collapsed="false">
      <c r="A154" s="8" t="s">
        <v>188</v>
      </c>
      <c r="B154" s="8" t="s">
        <v>914</v>
      </c>
      <c r="C154" s="8" t="s">
        <v>915</v>
      </c>
      <c r="D154" s="8" t="s">
        <v>916</v>
      </c>
      <c r="E154" s="8" t="s">
        <v>917</v>
      </c>
      <c r="F154" s="8" t="s">
        <v>918</v>
      </c>
      <c r="G154" s="8" t="n">
        <v>1769</v>
      </c>
      <c r="H154" s="8" t="s">
        <v>59</v>
      </c>
      <c r="I154" s="8" t="s">
        <v>919</v>
      </c>
      <c r="J154" s="8" t="s">
        <v>920</v>
      </c>
      <c r="K154" s="8" t="s">
        <v>104</v>
      </c>
      <c r="L154" s="8" t="s">
        <v>224</v>
      </c>
      <c r="M154" s="8" t="n">
        <v>80</v>
      </c>
      <c r="N154" s="8" t="s">
        <v>79</v>
      </c>
      <c r="O154" s="8" t="s">
        <v>203</v>
      </c>
      <c r="P154" s="8" t="s">
        <v>225</v>
      </c>
      <c r="Q154" s="8" t="s">
        <v>203</v>
      </c>
      <c r="R154" s="8" t="s">
        <v>195</v>
      </c>
      <c r="S154" s="8" t="s">
        <v>279</v>
      </c>
      <c r="T154" s="8"/>
      <c r="U154" s="8"/>
      <c r="V154" s="8"/>
    </row>
    <row r="155" customFormat="false" ht="15" hidden="false" customHeight="false" outlineLevel="0" collapsed="false">
      <c r="A155" s="11" t="s">
        <v>188</v>
      </c>
      <c r="B155" s="11" t="s">
        <v>921</v>
      </c>
      <c r="C155" s="11" t="s">
        <v>922</v>
      </c>
      <c r="D155" s="11" t="s">
        <v>916</v>
      </c>
      <c r="E155" s="11" t="s">
        <v>923</v>
      </c>
      <c r="F155" s="11" t="s">
        <v>924</v>
      </c>
      <c r="G155" s="11" t="n">
        <v>1893</v>
      </c>
      <c r="H155" s="11" t="s">
        <v>114</v>
      </c>
      <c r="I155" s="11" t="s">
        <v>925</v>
      </c>
      <c r="J155" s="11" t="s">
        <v>926</v>
      </c>
      <c r="K155" s="11" t="s">
        <v>104</v>
      </c>
      <c r="L155" s="11" t="s">
        <v>224</v>
      </c>
      <c r="M155" s="11" t="n">
        <v>70</v>
      </c>
      <c r="N155" s="11" t="s">
        <v>79</v>
      </c>
      <c r="O155" s="11" t="s">
        <v>203</v>
      </c>
      <c r="P155" s="11" t="s">
        <v>225</v>
      </c>
      <c r="Q155" s="11" t="s">
        <v>203</v>
      </c>
      <c r="R155" s="11" t="s">
        <v>195</v>
      </c>
      <c r="S155" s="11" t="s">
        <v>279</v>
      </c>
      <c r="T155" s="11"/>
      <c r="U155" s="11"/>
      <c r="V155" s="11"/>
    </row>
    <row r="156" customFormat="false" ht="15" hidden="false" customHeight="false" outlineLevel="0" collapsed="false">
      <c r="A156" s="8" t="s">
        <v>188</v>
      </c>
      <c r="B156" s="8" t="s">
        <v>927</v>
      </c>
      <c r="C156" s="8" t="s">
        <v>928</v>
      </c>
      <c r="D156" s="8" t="s">
        <v>929</v>
      </c>
      <c r="E156" s="8" t="s">
        <v>930</v>
      </c>
      <c r="F156" s="8" t="s">
        <v>931</v>
      </c>
      <c r="G156" s="8" t="n">
        <v>2661</v>
      </c>
      <c r="H156" s="8" t="s">
        <v>67</v>
      </c>
      <c r="I156" s="8" t="s">
        <v>932</v>
      </c>
      <c r="J156" s="8" t="s">
        <v>933</v>
      </c>
      <c r="K156" s="8" t="s">
        <v>104</v>
      </c>
      <c r="L156" s="8" t="s">
        <v>224</v>
      </c>
      <c r="M156" s="8" t="n">
        <v>28</v>
      </c>
      <c r="N156" s="8" t="s">
        <v>55</v>
      </c>
      <c r="O156" s="8" t="s">
        <v>203</v>
      </c>
      <c r="P156" s="8" t="s">
        <v>225</v>
      </c>
      <c r="Q156" s="8" t="s">
        <v>203</v>
      </c>
      <c r="R156" s="8" t="s">
        <v>195</v>
      </c>
      <c r="S156" s="8" t="s">
        <v>279</v>
      </c>
      <c r="T156" s="8"/>
      <c r="U156" s="8"/>
      <c r="V156" s="8"/>
    </row>
    <row r="157" customFormat="false" ht="15" hidden="false" customHeight="false" outlineLevel="0" collapsed="false">
      <c r="A157" s="11" t="s">
        <v>188</v>
      </c>
      <c r="B157" s="11" t="s">
        <v>934</v>
      </c>
      <c r="C157" s="11" t="s">
        <v>935</v>
      </c>
      <c r="D157" s="11" t="s">
        <v>936</v>
      </c>
      <c r="E157" s="11" t="s">
        <v>937</v>
      </c>
      <c r="F157" s="11" t="s">
        <v>938</v>
      </c>
      <c r="G157" s="11" t="n">
        <v>1027</v>
      </c>
      <c r="H157" s="11" t="s">
        <v>67</v>
      </c>
      <c r="I157" s="11" t="s">
        <v>939</v>
      </c>
      <c r="J157" s="11" t="s">
        <v>728</v>
      </c>
      <c r="K157" s="11" t="s">
        <v>104</v>
      </c>
      <c r="L157" s="11" t="s">
        <v>192</v>
      </c>
      <c r="M157" s="11" t="n">
        <v>80</v>
      </c>
      <c r="N157" s="11" t="s">
        <v>146</v>
      </c>
      <c r="O157" s="11" t="s">
        <v>203</v>
      </c>
      <c r="P157" s="11" t="s">
        <v>225</v>
      </c>
      <c r="Q157" s="11" t="s">
        <v>203</v>
      </c>
      <c r="R157" s="11" t="s">
        <v>195</v>
      </c>
      <c r="S157" s="11" t="s">
        <v>279</v>
      </c>
      <c r="T157" s="11"/>
      <c r="U157" s="11"/>
      <c r="V157" s="11"/>
    </row>
    <row r="158" customFormat="false" ht="15" hidden="false" customHeight="false" outlineLevel="0" collapsed="false">
      <c r="A158" s="8" t="s">
        <v>188</v>
      </c>
      <c r="B158" s="8" t="s">
        <v>940</v>
      </c>
      <c r="C158" s="8" t="s">
        <v>941</v>
      </c>
      <c r="D158" s="8" t="s">
        <v>942</v>
      </c>
      <c r="E158" s="8" t="s">
        <v>943</v>
      </c>
      <c r="F158" s="8" t="s">
        <v>944</v>
      </c>
      <c r="G158" s="8" t="n">
        <v>1629</v>
      </c>
      <c r="H158" s="8" t="s">
        <v>67</v>
      </c>
      <c r="I158" s="8" t="s">
        <v>945</v>
      </c>
      <c r="J158" s="8" t="s">
        <v>946</v>
      </c>
      <c r="K158" s="8" t="s">
        <v>104</v>
      </c>
      <c r="L158" s="8" t="s">
        <v>200</v>
      </c>
      <c r="M158" s="8" t="n">
        <v>40</v>
      </c>
      <c r="N158" s="8" t="s">
        <v>55</v>
      </c>
      <c r="O158" s="8" t="s">
        <v>203</v>
      </c>
      <c r="P158" s="8" t="s">
        <v>225</v>
      </c>
      <c r="Q158" s="8" t="s">
        <v>203</v>
      </c>
      <c r="R158" s="8" t="s">
        <v>195</v>
      </c>
      <c r="S158" s="8" t="s">
        <v>279</v>
      </c>
      <c r="T158" s="8"/>
      <c r="U158" s="8"/>
      <c r="V158" s="8"/>
    </row>
    <row r="159" customFormat="false" ht="15" hidden="false" customHeight="false" outlineLevel="0" collapsed="false">
      <c r="A159" s="11" t="s">
        <v>188</v>
      </c>
      <c r="B159" s="11" t="s">
        <v>947</v>
      </c>
      <c r="C159" s="11" t="s">
        <v>948</v>
      </c>
      <c r="D159" s="11" t="s">
        <v>949</v>
      </c>
      <c r="E159" s="11" t="s">
        <v>950</v>
      </c>
      <c r="F159" s="11" t="s">
        <v>951</v>
      </c>
      <c r="G159" s="11" t="n">
        <v>1274</v>
      </c>
      <c r="H159" s="11" t="s">
        <v>67</v>
      </c>
      <c r="I159" s="11" t="s">
        <v>952</v>
      </c>
      <c r="J159" s="11" t="s">
        <v>953</v>
      </c>
      <c r="K159" s="11" t="s">
        <v>104</v>
      </c>
      <c r="L159" s="11" t="s">
        <v>200</v>
      </c>
      <c r="M159" s="11" t="n">
        <v>28</v>
      </c>
      <c r="N159" s="11" t="s">
        <v>55</v>
      </c>
      <c r="O159" s="11" t="s">
        <v>203</v>
      </c>
      <c r="P159" s="11" t="s">
        <v>225</v>
      </c>
      <c r="Q159" s="11" t="s">
        <v>203</v>
      </c>
      <c r="R159" s="11" t="s">
        <v>195</v>
      </c>
      <c r="S159" s="11" t="s">
        <v>279</v>
      </c>
      <c r="T159" s="11"/>
      <c r="U159" s="11"/>
      <c r="V159" s="11"/>
    </row>
    <row r="160" customFormat="false" ht="15" hidden="false" customHeight="false" outlineLevel="0" collapsed="false">
      <c r="A160" s="8" t="s">
        <v>188</v>
      </c>
      <c r="B160" s="8" t="s">
        <v>954</v>
      </c>
      <c r="C160" s="8" t="s">
        <v>955</v>
      </c>
      <c r="D160" s="8" t="s">
        <v>956</v>
      </c>
      <c r="E160" s="8" t="s">
        <v>957</v>
      </c>
      <c r="F160" s="8" t="s">
        <v>958</v>
      </c>
      <c r="G160" s="8" t="n">
        <v>2185</v>
      </c>
      <c r="H160" s="8" t="s">
        <v>67</v>
      </c>
      <c r="I160" s="8" t="s">
        <v>959</v>
      </c>
      <c r="J160" s="8" t="s">
        <v>960</v>
      </c>
      <c r="K160" s="8" t="s">
        <v>104</v>
      </c>
      <c r="L160" s="8" t="s">
        <v>207</v>
      </c>
      <c r="M160" s="8" t="n">
        <v>24</v>
      </c>
      <c r="N160" s="8" t="s">
        <v>55</v>
      </c>
      <c r="O160" s="8" t="s">
        <v>203</v>
      </c>
      <c r="P160" s="8" t="s">
        <v>225</v>
      </c>
      <c r="Q160" s="8" t="s">
        <v>203</v>
      </c>
      <c r="R160" s="8" t="s">
        <v>195</v>
      </c>
      <c r="S160" s="8" t="s">
        <v>279</v>
      </c>
      <c r="T160" s="8"/>
      <c r="U160" s="8"/>
      <c r="V160" s="8"/>
    </row>
    <row r="161" customFormat="false" ht="15" hidden="false" customHeight="false" outlineLevel="0" collapsed="false">
      <c r="A161" s="11" t="s">
        <v>188</v>
      </c>
      <c r="B161" s="11" t="s">
        <v>961</v>
      </c>
      <c r="C161" s="11" t="s">
        <v>962</v>
      </c>
      <c r="D161" s="11" t="s">
        <v>963</v>
      </c>
      <c r="E161" s="11" t="s">
        <v>964</v>
      </c>
      <c r="F161" s="11" t="s">
        <v>965</v>
      </c>
      <c r="G161" s="11" t="n">
        <v>2621</v>
      </c>
      <c r="H161" s="11" t="s">
        <v>67</v>
      </c>
      <c r="I161" s="11" t="s">
        <v>966</v>
      </c>
      <c r="J161" s="11" t="s">
        <v>967</v>
      </c>
      <c r="K161" s="11" t="s">
        <v>104</v>
      </c>
      <c r="L161" s="11" t="s">
        <v>207</v>
      </c>
      <c r="M161" s="11" t="n">
        <v>24</v>
      </c>
      <c r="N161" s="11" t="s">
        <v>79</v>
      </c>
      <c r="O161" s="11" t="s">
        <v>203</v>
      </c>
      <c r="P161" s="11" t="s">
        <v>225</v>
      </c>
      <c r="Q161" s="11" t="s">
        <v>203</v>
      </c>
      <c r="R161" s="11" t="s">
        <v>195</v>
      </c>
      <c r="S161" s="11" t="s">
        <v>279</v>
      </c>
      <c r="T161" s="11"/>
      <c r="U161" s="11"/>
      <c r="V161" s="11"/>
    </row>
    <row r="162" customFormat="false" ht="15" hidden="false" customHeight="false" outlineLevel="0" collapsed="false">
      <c r="A162" s="8" t="s">
        <v>188</v>
      </c>
      <c r="B162" s="8" t="s">
        <v>968</v>
      </c>
      <c r="C162" s="8" t="s">
        <v>969</v>
      </c>
      <c r="D162" s="8" t="s">
        <v>970</v>
      </c>
      <c r="E162" s="8" t="s">
        <v>971</v>
      </c>
      <c r="F162" s="8" t="s">
        <v>972</v>
      </c>
      <c r="G162" s="8" t="n">
        <v>2018</v>
      </c>
      <c r="H162" s="8" t="s">
        <v>67</v>
      </c>
      <c r="I162" s="8" t="s">
        <v>973</v>
      </c>
      <c r="J162" s="8" t="s">
        <v>974</v>
      </c>
      <c r="K162" s="8" t="s">
        <v>104</v>
      </c>
      <c r="L162" s="8" t="s">
        <v>200</v>
      </c>
      <c r="M162" s="8" t="n">
        <v>40</v>
      </c>
      <c r="N162" s="8" t="s">
        <v>55</v>
      </c>
      <c r="O162" s="8" t="s">
        <v>203</v>
      </c>
      <c r="P162" s="8" t="s">
        <v>225</v>
      </c>
      <c r="Q162" s="8" t="s">
        <v>203</v>
      </c>
      <c r="R162" s="8" t="s">
        <v>195</v>
      </c>
      <c r="S162" s="8" t="s">
        <v>279</v>
      </c>
      <c r="T162" s="8"/>
      <c r="U162" s="8"/>
      <c r="V162" s="8"/>
    </row>
    <row r="163" customFormat="false" ht="15" hidden="false" customHeight="false" outlineLevel="0" collapsed="false">
      <c r="A163" s="11" t="s">
        <v>188</v>
      </c>
      <c r="B163" s="11" t="s">
        <v>975</v>
      </c>
      <c r="C163" s="11" t="s">
        <v>976</v>
      </c>
      <c r="D163" s="11" t="s">
        <v>252</v>
      </c>
      <c r="E163" s="11" t="s">
        <v>977</v>
      </c>
      <c r="F163" s="11" t="s">
        <v>978</v>
      </c>
      <c r="G163" s="11" t="n">
        <v>1895</v>
      </c>
      <c r="H163" s="11" t="s">
        <v>67</v>
      </c>
      <c r="I163" s="11" t="s">
        <v>925</v>
      </c>
      <c r="J163" s="11" t="s">
        <v>979</v>
      </c>
      <c r="K163" s="11" t="s">
        <v>104</v>
      </c>
      <c r="L163" s="11" t="s">
        <v>224</v>
      </c>
      <c r="M163" s="11" t="n">
        <v>50</v>
      </c>
      <c r="N163" s="11" t="s">
        <v>55</v>
      </c>
      <c r="O163" s="11" t="s">
        <v>203</v>
      </c>
      <c r="P163" s="11" t="s">
        <v>225</v>
      </c>
      <c r="Q163" s="11" t="s">
        <v>203</v>
      </c>
      <c r="R163" s="11" t="s">
        <v>195</v>
      </c>
      <c r="S163" s="11" t="s">
        <v>279</v>
      </c>
      <c r="T163" s="11"/>
      <c r="U163" s="11"/>
      <c r="V163" s="11"/>
    </row>
    <row r="164" customFormat="false" ht="15" hidden="false" customHeight="false" outlineLevel="0" collapsed="false">
      <c r="A164" s="8" t="s">
        <v>188</v>
      </c>
      <c r="B164" s="8" t="s">
        <v>980</v>
      </c>
      <c r="C164" s="8" t="s">
        <v>981</v>
      </c>
      <c r="D164" s="8" t="s">
        <v>982</v>
      </c>
      <c r="E164" s="8" t="s">
        <v>983</v>
      </c>
      <c r="F164" s="8" t="s">
        <v>984</v>
      </c>
      <c r="G164" s="8" t="n">
        <v>318</v>
      </c>
      <c r="H164" s="8" t="s">
        <v>67</v>
      </c>
      <c r="I164" s="8" t="s">
        <v>985</v>
      </c>
      <c r="J164" s="8" t="s">
        <v>479</v>
      </c>
      <c r="K164" s="8" t="s">
        <v>104</v>
      </c>
      <c r="L164" s="8" t="s">
        <v>207</v>
      </c>
      <c r="M164" s="8" t="n">
        <v>45</v>
      </c>
      <c r="N164" s="8" t="s">
        <v>64</v>
      </c>
      <c r="O164" s="8" t="s">
        <v>203</v>
      </c>
      <c r="P164" s="8" t="s">
        <v>225</v>
      </c>
      <c r="Q164" s="8" t="s">
        <v>203</v>
      </c>
      <c r="R164" s="8" t="s">
        <v>195</v>
      </c>
      <c r="S164" s="8" t="s">
        <v>279</v>
      </c>
      <c r="T164" s="8"/>
      <c r="U164" s="8"/>
      <c r="V164" s="8"/>
    </row>
    <row r="165" customFormat="false" ht="15" hidden="false" customHeight="false" outlineLevel="0" collapsed="false">
      <c r="A165" s="11" t="s">
        <v>188</v>
      </c>
      <c r="B165" s="11" t="s">
        <v>986</v>
      </c>
      <c r="C165" s="11" t="s">
        <v>987</v>
      </c>
      <c r="D165" s="11" t="s">
        <v>988</v>
      </c>
      <c r="E165" s="11" t="s">
        <v>989</v>
      </c>
      <c r="F165" s="11" t="s">
        <v>990</v>
      </c>
      <c r="G165" s="11" t="n">
        <v>1305</v>
      </c>
      <c r="H165" s="11" t="s">
        <v>67</v>
      </c>
      <c r="I165" s="11" t="s">
        <v>991</v>
      </c>
      <c r="J165" s="11" t="s">
        <v>992</v>
      </c>
      <c r="K165" s="11" t="s">
        <v>104</v>
      </c>
      <c r="L165" s="11" t="s">
        <v>192</v>
      </c>
      <c r="M165" s="11" t="n">
        <v>60</v>
      </c>
      <c r="N165" s="11" t="s">
        <v>79</v>
      </c>
      <c r="O165" s="11" t="s">
        <v>203</v>
      </c>
      <c r="P165" s="11" t="s">
        <v>225</v>
      </c>
      <c r="Q165" s="11" t="s">
        <v>203</v>
      </c>
      <c r="R165" s="11" t="s">
        <v>195</v>
      </c>
      <c r="S165" s="11" t="s">
        <v>279</v>
      </c>
      <c r="T165" s="11"/>
      <c r="U165" s="11"/>
      <c r="V165" s="11"/>
    </row>
    <row r="166" customFormat="false" ht="20.85" hidden="false" customHeight="false" outlineLevel="0" collapsed="false">
      <c r="A166" s="8" t="s">
        <v>188</v>
      </c>
      <c r="B166" s="8" t="s">
        <v>993</v>
      </c>
      <c r="C166" s="8" t="s">
        <v>994</v>
      </c>
      <c r="D166" s="8" t="s">
        <v>995</v>
      </c>
      <c r="E166" s="8" t="s">
        <v>996</v>
      </c>
      <c r="F166" s="8" t="s">
        <v>317</v>
      </c>
      <c r="G166" s="8" t="n">
        <v>675</v>
      </c>
      <c r="H166" s="8" t="s">
        <v>67</v>
      </c>
      <c r="I166" s="8" t="s">
        <v>997</v>
      </c>
      <c r="J166" s="8" t="s">
        <v>998</v>
      </c>
      <c r="K166" s="8" t="s">
        <v>104</v>
      </c>
      <c r="L166" s="8" t="s">
        <v>200</v>
      </c>
      <c r="M166" s="8" t="n">
        <v>24</v>
      </c>
      <c r="N166" s="8" t="s">
        <v>64</v>
      </c>
      <c r="O166" s="8" t="s">
        <v>203</v>
      </c>
      <c r="P166" s="8" t="s">
        <v>225</v>
      </c>
      <c r="Q166" s="8" t="s">
        <v>203</v>
      </c>
      <c r="R166" s="8" t="s">
        <v>999</v>
      </c>
      <c r="S166" s="8" t="s">
        <v>279</v>
      </c>
      <c r="T166" s="8"/>
      <c r="U166" s="8"/>
      <c r="V166" s="8"/>
    </row>
    <row r="167" customFormat="false" ht="15" hidden="false" customHeight="false" outlineLevel="0" collapsed="false">
      <c r="A167" s="11" t="s">
        <v>188</v>
      </c>
      <c r="B167" s="11" t="s">
        <v>1000</v>
      </c>
      <c r="C167" s="11" t="s">
        <v>1001</v>
      </c>
      <c r="D167" s="11" t="s">
        <v>1002</v>
      </c>
      <c r="E167" s="11" t="s">
        <v>1003</v>
      </c>
      <c r="F167" s="11" t="s">
        <v>1004</v>
      </c>
      <c r="G167" s="11" t="n">
        <v>753</v>
      </c>
      <c r="H167" s="11" t="s">
        <v>67</v>
      </c>
      <c r="I167" s="11" t="s">
        <v>656</v>
      </c>
      <c r="J167" s="11" t="s">
        <v>1005</v>
      </c>
      <c r="K167" s="11" t="s">
        <v>104</v>
      </c>
      <c r="L167" s="11" t="s">
        <v>211</v>
      </c>
      <c r="M167" s="11" t="n">
        <v>24</v>
      </c>
      <c r="N167" s="11" t="s">
        <v>79</v>
      </c>
      <c r="O167" s="11" t="s">
        <v>203</v>
      </c>
      <c r="P167" s="11" t="s">
        <v>225</v>
      </c>
      <c r="Q167" s="11" t="s">
        <v>203</v>
      </c>
      <c r="R167" s="11" t="s">
        <v>195</v>
      </c>
      <c r="S167" s="11" t="s">
        <v>279</v>
      </c>
      <c r="T167" s="11"/>
      <c r="U167" s="11"/>
      <c r="V167" s="11"/>
    </row>
    <row r="168" customFormat="false" ht="15" hidden="false" customHeight="false" outlineLevel="0" collapsed="false">
      <c r="A168" s="8" t="s">
        <v>188</v>
      </c>
      <c r="B168" s="8" t="s">
        <v>1006</v>
      </c>
      <c r="C168" s="8" t="s">
        <v>1007</v>
      </c>
      <c r="D168" s="8" t="s">
        <v>1008</v>
      </c>
      <c r="E168" s="8" t="s">
        <v>1009</v>
      </c>
      <c r="F168" s="8" t="s">
        <v>1010</v>
      </c>
      <c r="G168" s="8" t="n">
        <v>536</v>
      </c>
      <c r="H168" s="8" t="s">
        <v>67</v>
      </c>
      <c r="I168" s="8" t="s">
        <v>368</v>
      </c>
      <c r="J168" s="8" t="s">
        <v>1011</v>
      </c>
      <c r="K168" s="8" t="s">
        <v>104</v>
      </c>
      <c r="L168" s="8" t="s">
        <v>192</v>
      </c>
      <c r="M168" s="8" t="n">
        <v>28</v>
      </c>
      <c r="N168" s="8" t="s">
        <v>146</v>
      </c>
      <c r="O168" s="8" t="s">
        <v>203</v>
      </c>
      <c r="P168" s="8" t="s">
        <v>225</v>
      </c>
      <c r="Q168" s="8" t="s">
        <v>203</v>
      </c>
      <c r="R168" s="8" t="s">
        <v>195</v>
      </c>
      <c r="S168" s="8" t="s">
        <v>279</v>
      </c>
      <c r="T168" s="8"/>
      <c r="U168" s="8"/>
      <c r="V168" s="8"/>
    </row>
    <row r="169" customFormat="false" ht="15" hidden="false" customHeight="false" outlineLevel="0" collapsed="false">
      <c r="A169" s="11" t="s">
        <v>188</v>
      </c>
      <c r="B169" s="11" t="s">
        <v>1012</v>
      </c>
      <c r="C169" s="11" t="s">
        <v>1013</v>
      </c>
      <c r="D169" s="11" t="s">
        <v>1014</v>
      </c>
      <c r="E169" s="11" t="s">
        <v>1015</v>
      </c>
      <c r="F169" s="11" t="s">
        <v>1016</v>
      </c>
      <c r="G169" s="11" t="n">
        <v>2891</v>
      </c>
      <c r="H169" s="11" t="s">
        <v>67</v>
      </c>
      <c r="I169" s="11" t="s">
        <v>1017</v>
      </c>
      <c r="J169" s="11" t="s">
        <v>1018</v>
      </c>
      <c r="K169" s="11" t="s">
        <v>104</v>
      </c>
      <c r="L169" s="11" t="s">
        <v>224</v>
      </c>
      <c r="M169" s="11" t="n">
        <v>24</v>
      </c>
      <c r="N169" s="11" t="s">
        <v>55</v>
      </c>
      <c r="O169" s="11" t="s">
        <v>203</v>
      </c>
      <c r="P169" s="11" t="s">
        <v>225</v>
      </c>
      <c r="Q169" s="11" t="s">
        <v>203</v>
      </c>
      <c r="R169" s="11" t="s">
        <v>195</v>
      </c>
      <c r="S169" s="11" t="s">
        <v>279</v>
      </c>
      <c r="T169" s="11"/>
      <c r="U169" s="11"/>
      <c r="V169" s="11"/>
    </row>
    <row r="170" customFormat="false" ht="15" hidden="false" customHeight="false" outlineLevel="0" collapsed="false">
      <c r="A170" s="8" t="s">
        <v>188</v>
      </c>
      <c r="B170" s="8" t="s">
        <v>1019</v>
      </c>
      <c r="C170" s="8" t="s">
        <v>1020</v>
      </c>
      <c r="D170" s="8" t="s">
        <v>333</v>
      </c>
      <c r="E170" s="8" t="s">
        <v>1021</v>
      </c>
      <c r="F170" s="8" t="s">
        <v>1022</v>
      </c>
      <c r="G170" s="8" t="n">
        <v>1013</v>
      </c>
      <c r="H170" s="8" t="s">
        <v>67</v>
      </c>
      <c r="I170" s="8" t="s">
        <v>1023</v>
      </c>
      <c r="J170" s="8" t="s">
        <v>1024</v>
      </c>
      <c r="K170" s="8" t="s">
        <v>104</v>
      </c>
      <c r="L170" s="8" t="s">
        <v>200</v>
      </c>
      <c r="M170" s="8" t="n">
        <v>24</v>
      </c>
      <c r="N170" s="8" t="s">
        <v>146</v>
      </c>
      <c r="O170" s="8" t="s">
        <v>203</v>
      </c>
      <c r="P170" s="8" t="s">
        <v>225</v>
      </c>
      <c r="Q170" s="8" t="s">
        <v>203</v>
      </c>
      <c r="R170" s="8" t="s">
        <v>195</v>
      </c>
      <c r="S170" s="8" t="s">
        <v>279</v>
      </c>
      <c r="T170" s="8"/>
      <c r="U170" s="8"/>
      <c r="V170" s="8"/>
    </row>
    <row r="171" customFormat="false" ht="15" hidden="false" customHeight="false" outlineLevel="0" collapsed="false">
      <c r="A171" s="11" t="s">
        <v>188</v>
      </c>
      <c r="B171" s="11" t="s">
        <v>1025</v>
      </c>
      <c r="C171" s="11" t="s">
        <v>1026</v>
      </c>
      <c r="D171" s="11" t="s">
        <v>1027</v>
      </c>
      <c r="E171" s="11" t="s">
        <v>588</v>
      </c>
      <c r="F171" s="11" t="s">
        <v>589</v>
      </c>
      <c r="G171" s="11" t="n">
        <v>242</v>
      </c>
      <c r="H171" s="11" t="s">
        <v>67</v>
      </c>
      <c r="I171" s="11" t="s">
        <v>590</v>
      </c>
      <c r="J171" s="11" t="s">
        <v>412</v>
      </c>
      <c r="K171" s="11" t="s">
        <v>104</v>
      </c>
      <c r="L171" s="11" t="s">
        <v>192</v>
      </c>
      <c r="M171" s="11" t="n">
        <v>50</v>
      </c>
      <c r="N171" s="11" t="s">
        <v>79</v>
      </c>
      <c r="O171" s="11" t="s">
        <v>203</v>
      </c>
      <c r="P171" s="11" t="s">
        <v>225</v>
      </c>
      <c r="Q171" s="11" t="s">
        <v>203</v>
      </c>
      <c r="R171" s="11" t="s">
        <v>195</v>
      </c>
      <c r="S171" s="11" t="s">
        <v>279</v>
      </c>
      <c r="T171" s="11"/>
      <c r="U171" s="11"/>
      <c r="V171" s="11"/>
    </row>
    <row r="172" customFormat="false" ht="15" hidden="false" customHeight="false" outlineLevel="0" collapsed="false">
      <c r="A172" s="8" t="s">
        <v>188</v>
      </c>
      <c r="B172" s="8" t="s">
        <v>1028</v>
      </c>
      <c r="C172" s="8" t="s">
        <v>1029</v>
      </c>
      <c r="D172" s="8" t="s">
        <v>1030</v>
      </c>
      <c r="E172" s="8" t="s">
        <v>76</v>
      </c>
      <c r="F172" s="8" t="s">
        <v>77</v>
      </c>
      <c r="G172" s="8" t="n">
        <v>2390</v>
      </c>
      <c r="H172" s="8" t="s">
        <v>59</v>
      </c>
      <c r="I172" s="8" t="s">
        <v>206</v>
      </c>
      <c r="J172" s="8" t="s">
        <v>1031</v>
      </c>
      <c r="K172" s="8" t="s">
        <v>104</v>
      </c>
      <c r="L172" s="8" t="s">
        <v>207</v>
      </c>
      <c r="M172" s="8" t="n">
        <v>28</v>
      </c>
      <c r="N172" s="8" t="s">
        <v>79</v>
      </c>
      <c r="O172" s="8" t="s">
        <v>203</v>
      </c>
      <c r="P172" s="8" t="s">
        <v>225</v>
      </c>
      <c r="Q172" s="8" t="s">
        <v>203</v>
      </c>
      <c r="R172" s="8" t="s">
        <v>195</v>
      </c>
      <c r="S172" s="8" t="s">
        <v>279</v>
      </c>
      <c r="T172" s="8"/>
      <c r="U172" s="8"/>
      <c r="V172" s="8"/>
    </row>
    <row r="173" customFormat="false" ht="15" hidden="false" customHeight="false" outlineLevel="0" collapsed="false">
      <c r="A173" s="11" t="s">
        <v>188</v>
      </c>
      <c r="B173" s="11" t="s">
        <v>1032</v>
      </c>
      <c r="C173" s="11" t="s">
        <v>1033</v>
      </c>
      <c r="D173" s="11" t="s">
        <v>1034</v>
      </c>
      <c r="E173" s="11" t="s">
        <v>1035</v>
      </c>
      <c r="F173" s="11" t="s">
        <v>1036</v>
      </c>
      <c r="G173" s="11" t="n">
        <v>368</v>
      </c>
      <c r="H173" s="11" t="s">
        <v>67</v>
      </c>
      <c r="I173" s="11" t="s">
        <v>652</v>
      </c>
      <c r="J173" s="11" t="s">
        <v>1037</v>
      </c>
      <c r="K173" s="11" t="s">
        <v>104</v>
      </c>
      <c r="L173" s="11" t="s">
        <v>200</v>
      </c>
      <c r="M173" s="11" t="n">
        <v>32</v>
      </c>
      <c r="N173" s="11" t="s">
        <v>64</v>
      </c>
      <c r="O173" s="11" t="s">
        <v>203</v>
      </c>
      <c r="P173" s="11" t="s">
        <v>225</v>
      </c>
      <c r="Q173" s="11" t="s">
        <v>203</v>
      </c>
      <c r="R173" s="11" t="s">
        <v>195</v>
      </c>
      <c r="S173" s="11" t="s">
        <v>279</v>
      </c>
      <c r="T173" s="11"/>
      <c r="U173" s="11"/>
      <c r="V173" s="11"/>
    </row>
    <row r="174" customFormat="false" ht="15" hidden="false" customHeight="false" outlineLevel="0" collapsed="false">
      <c r="A174" s="8" t="s">
        <v>188</v>
      </c>
      <c r="B174" s="8" t="s">
        <v>1038</v>
      </c>
      <c r="C174" s="8" t="s">
        <v>1039</v>
      </c>
      <c r="D174" s="8" t="s">
        <v>1040</v>
      </c>
      <c r="E174" s="8" t="s">
        <v>1041</v>
      </c>
      <c r="F174" s="8" t="s">
        <v>1042</v>
      </c>
      <c r="G174" s="8" t="n">
        <v>2026</v>
      </c>
      <c r="H174" s="8" t="s">
        <v>67</v>
      </c>
      <c r="I174" s="8" t="s">
        <v>1043</v>
      </c>
      <c r="J174" s="8" t="s">
        <v>1044</v>
      </c>
      <c r="K174" s="8" t="s">
        <v>104</v>
      </c>
      <c r="L174" s="8" t="s">
        <v>211</v>
      </c>
      <c r="M174" s="8" t="n">
        <v>32</v>
      </c>
      <c r="N174" s="8" t="s">
        <v>146</v>
      </c>
      <c r="O174" s="8" t="s">
        <v>203</v>
      </c>
      <c r="P174" s="8" t="s">
        <v>225</v>
      </c>
      <c r="Q174" s="8" t="s">
        <v>203</v>
      </c>
      <c r="R174" s="8" t="s">
        <v>195</v>
      </c>
      <c r="S174" s="8" t="s">
        <v>279</v>
      </c>
      <c r="T174" s="8"/>
      <c r="U174" s="8"/>
      <c r="V174" s="8"/>
    </row>
    <row r="175" customFormat="false" ht="15" hidden="false" customHeight="false" outlineLevel="0" collapsed="false">
      <c r="A175" s="11" t="s">
        <v>188</v>
      </c>
      <c r="B175" s="11" t="s">
        <v>1045</v>
      </c>
      <c r="C175" s="11" t="s">
        <v>1046</v>
      </c>
      <c r="D175" s="11" t="s">
        <v>1047</v>
      </c>
      <c r="E175" s="11" t="s">
        <v>1048</v>
      </c>
      <c r="F175" s="11" t="s">
        <v>1049</v>
      </c>
      <c r="G175" s="11" t="n">
        <v>2527</v>
      </c>
      <c r="H175" s="11" t="s">
        <v>67</v>
      </c>
      <c r="I175" s="11" t="s">
        <v>1050</v>
      </c>
      <c r="J175" s="11" t="s">
        <v>1051</v>
      </c>
      <c r="K175" s="11" t="s">
        <v>104</v>
      </c>
      <c r="L175" s="11" t="s">
        <v>224</v>
      </c>
      <c r="M175" s="11" t="n">
        <v>24</v>
      </c>
      <c r="N175" s="11" t="s">
        <v>146</v>
      </c>
      <c r="O175" s="11" t="s">
        <v>203</v>
      </c>
      <c r="P175" s="11" t="s">
        <v>225</v>
      </c>
      <c r="Q175" s="11" t="s">
        <v>203</v>
      </c>
      <c r="R175" s="11" t="s">
        <v>195</v>
      </c>
      <c r="S175" s="11" t="s">
        <v>279</v>
      </c>
      <c r="T175" s="11"/>
      <c r="U175" s="11"/>
      <c r="V175" s="11"/>
    </row>
    <row r="176" customFormat="false" ht="15" hidden="false" customHeight="false" outlineLevel="0" collapsed="false">
      <c r="A176" s="8" t="s">
        <v>188</v>
      </c>
      <c r="B176" s="8" t="s">
        <v>1052</v>
      </c>
      <c r="C176" s="8" t="s">
        <v>1053</v>
      </c>
      <c r="D176" s="8" t="s">
        <v>1054</v>
      </c>
      <c r="E176" s="8" t="s">
        <v>1055</v>
      </c>
      <c r="F176" s="8" t="s">
        <v>1056</v>
      </c>
      <c r="G176" s="8" t="n">
        <v>2245</v>
      </c>
      <c r="H176" s="8" t="s">
        <v>67</v>
      </c>
      <c r="I176" s="8" t="s">
        <v>1057</v>
      </c>
      <c r="J176" s="8" t="s">
        <v>1058</v>
      </c>
      <c r="K176" s="8" t="s">
        <v>104</v>
      </c>
      <c r="L176" s="8" t="s">
        <v>211</v>
      </c>
      <c r="M176" s="8" t="n">
        <v>40</v>
      </c>
      <c r="N176" s="8" t="s">
        <v>55</v>
      </c>
      <c r="O176" s="8" t="s">
        <v>203</v>
      </c>
      <c r="P176" s="8" t="s">
        <v>225</v>
      </c>
      <c r="Q176" s="8" t="s">
        <v>203</v>
      </c>
      <c r="R176" s="8" t="s">
        <v>195</v>
      </c>
      <c r="S176" s="8" t="s">
        <v>279</v>
      </c>
      <c r="T176" s="8"/>
      <c r="U176" s="8"/>
      <c r="V176" s="8"/>
    </row>
    <row r="177" customFormat="false" ht="15" hidden="false" customHeight="false" outlineLevel="0" collapsed="false">
      <c r="A177" s="11" t="s">
        <v>188</v>
      </c>
      <c r="B177" s="11" t="s">
        <v>1059</v>
      </c>
      <c r="C177" s="11" t="s">
        <v>1060</v>
      </c>
      <c r="D177" s="11" t="s">
        <v>1061</v>
      </c>
      <c r="E177" s="11" t="s">
        <v>1062</v>
      </c>
      <c r="F177" s="11" t="s">
        <v>1063</v>
      </c>
      <c r="G177" s="11" t="n">
        <v>691</v>
      </c>
      <c r="H177" s="11" t="s">
        <v>67</v>
      </c>
      <c r="I177" s="11" t="s">
        <v>1064</v>
      </c>
      <c r="J177" s="11" t="s">
        <v>1065</v>
      </c>
      <c r="K177" s="11" t="s">
        <v>104</v>
      </c>
      <c r="L177" s="11" t="s">
        <v>211</v>
      </c>
      <c r="M177" s="11" t="n">
        <v>32</v>
      </c>
      <c r="N177" s="11" t="s">
        <v>64</v>
      </c>
      <c r="O177" s="11" t="s">
        <v>203</v>
      </c>
      <c r="P177" s="11" t="s">
        <v>225</v>
      </c>
      <c r="Q177" s="11" t="s">
        <v>203</v>
      </c>
      <c r="R177" s="11" t="s">
        <v>195</v>
      </c>
      <c r="S177" s="11" t="s">
        <v>279</v>
      </c>
      <c r="T177" s="11"/>
      <c r="U177" s="11"/>
      <c r="V177" s="11"/>
    </row>
    <row r="178" customFormat="false" ht="15" hidden="false" customHeight="false" outlineLevel="0" collapsed="false">
      <c r="A178" s="8" t="s">
        <v>188</v>
      </c>
      <c r="B178" s="8" t="s">
        <v>1066</v>
      </c>
      <c r="C178" s="8" t="s">
        <v>1067</v>
      </c>
      <c r="D178" s="8" t="s">
        <v>1068</v>
      </c>
      <c r="E178" s="8" t="s">
        <v>1069</v>
      </c>
      <c r="F178" s="8" t="s">
        <v>1070</v>
      </c>
      <c r="G178" s="8" t="n">
        <v>1850</v>
      </c>
      <c r="H178" s="8" t="s">
        <v>67</v>
      </c>
      <c r="I178" s="8" t="s">
        <v>1071</v>
      </c>
      <c r="J178" s="8" t="s">
        <v>1072</v>
      </c>
      <c r="K178" s="8" t="s">
        <v>104</v>
      </c>
      <c r="L178" s="8" t="s">
        <v>207</v>
      </c>
      <c r="M178" s="8" t="n">
        <v>40</v>
      </c>
      <c r="N178" s="8" t="s">
        <v>55</v>
      </c>
      <c r="O178" s="8" t="s">
        <v>203</v>
      </c>
      <c r="P178" s="8" t="s">
        <v>225</v>
      </c>
      <c r="Q178" s="8" t="s">
        <v>203</v>
      </c>
      <c r="R178" s="8" t="s">
        <v>195</v>
      </c>
      <c r="S178" s="8" t="s">
        <v>279</v>
      </c>
      <c r="T178" s="8"/>
      <c r="U178" s="8"/>
      <c r="V178" s="8"/>
    </row>
    <row r="179" customFormat="false" ht="15" hidden="false" customHeight="false" outlineLevel="0" collapsed="false">
      <c r="A179" s="11" t="s">
        <v>188</v>
      </c>
      <c r="B179" s="11" t="s">
        <v>1073</v>
      </c>
      <c r="C179" s="11" t="s">
        <v>1074</v>
      </c>
      <c r="D179" s="11" t="s">
        <v>1075</v>
      </c>
      <c r="E179" s="11" t="s">
        <v>1076</v>
      </c>
      <c r="F179" s="11" t="s">
        <v>1077</v>
      </c>
      <c r="G179" s="11" t="n">
        <v>889</v>
      </c>
      <c r="H179" s="11" t="s">
        <v>67</v>
      </c>
      <c r="I179" s="11" t="s">
        <v>1078</v>
      </c>
      <c r="J179" s="11" t="s">
        <v>1079</v>
      </c>
      <c r="K179" s="11" t="s">
        <v>104</v>
      </c>
      <c r="L179" s="11" t="s">
        <v>192</v>
      </c>
      <c r="M179" s="11" t="n">
        <v>24</v>
      </c>
      <c r="N179" s="11" t="s">
        <v>55</v>
      </c>
      <c r="O179" s="11" t="s">
        <v>203</v>
      </c>
      <c r="P179" s="11" t="s">
        <v>225</v>
      </c>
      <c r="Q179" s="11" t="s">
        <v>203</v>
      </c>
      <c r="R179" s="11" t="s">
        <v>195</v>
      </c>
      <c r="S179" s="11" t="s">
        <v>279</v>
      </c>
      <c r="T179" s="11"/>
      <c r="U179" s="11"/>
      <c r="V179" s="11"/>
    </row>
    <row r="180" customFormat="false" ht="15" hidden="false" customHeight="false" outlineLevel="0" collapsed="false">
      <c r="A180" s="8" t="s">
        <v>188</v>
      </c>
      <c r="B180" s="8" t="s">
        <v>1080</v>
      </c>
      <c r="C180" s="8" t="s">
        <v>1081</v>
      </c>
      <c r="D180" s="8" t="s">
        <v>1082</v>
      </c>
      <c r="E180" s="8" t="s">
        <v>1083</v>
      </c>
      <c r="F180" s="8" t="s">
        <v>1084</v>
      </c>
      <c r="G180" s="8" t="n">
        <v>1925</v>
      </c>
      <c r="H180" s="8" t="s">
        <v>67</v>
      </c>
      <c r="I180" s="8" t="s">
        <v>1085</v>
      </c>
      <c r="J180" s="8" t="s">
        <v>1086</v>
      </c>
      <c r="K180" s="8" t="s">
        <v>104</v>
      </c>
      <c r="L180" s="8" t="s">
        <v>224</v>
      </c>
      <c r="M180" s="8" t="n">
        <v>80</v>
      </c>
      <c r="N180" s="8" t="s">
        <v>64</v>
      </c>
      <c r="O180" s="8" t="s">
        <v>203</v>
      </c>
      <c r="P180" s="8" t="s">
        <v>225</v>
      </c>
      <c r="Q180" s="8" t="s">
        <v>203</v>
      </c>
      <c r="R180" s="8" t="s">
        <v>195</v>
      </c>
      <c r="S180" s="8" t="s">
        <v>279</v>
      </c>
      <c r="T180" s="8"/>
      <c r="U180" s="8"/>
      <c r="V180" s="8"/>
    </row>
    <row r="181" customFormat="false" ht="15" hidden="false" customHeight="false" outlineLevel="0" collapsed="false">
      <c r="A181" s="11" t="s">
        <v>188</v>
      </c>
      <c r="B181" s="11" t="s">
        <v>1087</v>
      </c>
      <c r="C181" s="11" t="s">
        <v>1088</v>
      </c>
      <c r="D181" s="11" t="s">
        <v>1089</v>
      </c>
      <c r="E181" s="11" t="s">
        <v>1090</v>
      </c>
      <c r="F181" s="11" t="s">
        <v>1091</v>
      </c>
      <c r="G181" s="11" t="n">
        <v>2542</v>
      </c>
      <c r="H181" s="11" t="s">
        <v>59</v>
      </c>
      <c r="I181" s="11" t="s">
        <v>1092</v>
      </c>
      <c r="J181" s="11" t="s">
        <v>1093</v>
      </c>
      <c r="K181" s="11" t="s">
        <v>104</v>
      </c>
      <c r="L181" s="11" t="s">
        <v>207</v>
      </c>
      <c r="M181" s="11" t="n">
        <v>32</v>
      </c>
      <c r="N181" s="11" t="s">
        <v>55</v>
      </c>
      <c r="O181" s="11" t="s">
        <v>203</v>
      </c>
      <c r="P181" s="11" t="s">
        <v>225</v>
      </c>
      <c r="Q181" s="11" t="s">
        <v>203</v>
      </c>
      <c r="R181" s="11" t="s">
        <v>195</v>
      </c>
      <c r="S181" s="11" t="s">
        <v>279</v>
      </c>
      <c r="T181" s="11"/>
      <c r="U181" s="11"/>
      <c r="V181" s="11"/>
    </row>
    <row r="182" customFormat="false" ht="15" hidden="false" customHeight="false" outlineLevel="0" collapsed="false">
      <c r="A182" s="8" t="s">
        <v>188</v>
      </c>
      <c r="B182" s="8" t="s">
        <v>1094</v>
      </c>
      <c r="C182" s="8" t="s">
        <v>1095</v>
      </c>
      <c r="D182" s="8" t="s">
        <v>497</v>
      </c>
      <c r="E182" s="8" t="s">
        <v>1096</v>
      </c>
      <c r="F182" s="8" t="s">
        <v>1097</v>
      </c>
      <c r="G182" s="8" t="n">
        <v>1</v>
      </c>
      <c r="H182" s="8" t="s">
        <v>114</v>
      </c>
      <c r="I182" s="8" t="s">
        <v>1098</v>
      </c>
      <c r="J182" s="8" t="s">
        <v>1099</v>
      </c>
      <c r="K182" s="8" t="s">
        <v>104</v>
      </c>
      <c r="L182" s="8" t="s">
        <v>200</v>
      </c>
      <c r="M182" s="8" t="n">
        <v>36</v>
      </c>
      <c r="N182" s="8" t="s">
        <v>146</v>
      </c>
      <c r="O182" s="8" t="s">
        <v>203</v>
      </c>
      <c r="P182" s="8" t="s">
        <v>225</v>
      </c>
      <c r="Q182" s="8" t="s">
        <v>203</v>
      </c>
      <c r="R182" s="8" t="s">
        <v>1100</v>
      </c>
      <c r="S182" s="8" t="s">
        <v>279</v>
      </c>
      <c r="T182" s="8"/>
      <c r="U182" s="8"/>
      <c r="V182" s="8"/>
    </row>
    <row r="183" customFormat="false" ht="15" hidden="false" customHeight="false" outlineLevel="0" collapsed="false">
      <c r="A183" s="11" t="s">
        <v>188</v>
      </c>
      <c r="B183" s="11" t="s">
        <v>1101</v>
      </c>
      <c r="C183" s="11" t="s">
        <v>1102</v>
      </c>
      <c r="D183" s="11" t="s">
        <v>1103</v>
      </c>
      <c r="E183" s="11" t="s">
        <v>1104</v>
      </c>
      <c r="F183" s="11" t="s">
        <v>1105</v>
      </c>
      <c r="G183" s="11" t="n">
        <v>2759</v>
      </c>
      <c r="H183" s="11" t="s">
        <v>67</v>
      </c>
      <c r="I183" s="11" t="s">
        <v>1106</v>
      </c>
      <c r="J183" s="11" t="s">
        <v>1107</v>
      </c>
      <c r="K183" s="11" t="s">
        <v>104</v>
      </c>
      <c r="L183" s="11" t="s">
        <v>192</v>
      </c>
      <c r="M183" s="11" t="n">
        <v>80</v>
      </c>
      <c r="N183" s="11" t="s">
        <v>146</v>
      </c>
      <c r="O183" s="11" t="s">
        <v>203</v>
      </c>
      <c r="P183" s="11" t="s">
        <v>225</v>
      </c>
      <c r="Q183" s="11" t="s">
        <v>203</v>
      </c>
      <c r="R183" s="11" t="s">
        <v>195</v>
      </c>
      <c r="S183" s="11" t="s">
        <v>279</v>
      </c>
      <c r="T183" s="11"/>
      <c r="U183" s="11"/>
      <c r="V183" s="11"/>
    </row>
    <row r="184" customFormat="false" ht="15" hidden="false" customHeight="false" outlineLevel="0" collapsed="false">
      <c r="A184" s="8" t="s">
        <v>188</v>
      </c>
      <c r="B184" s="8" t="s">
        <v>1108</v>
      </c>
      <c r="C184" s="8" t="s">
        <v>1109</v>
      </c>
      <c r="D184" s="8" t="s">
        <v>1110</v>
      </c>
      <c r="E184" s="8" t="s">
        <v>1111</v>
      </c>
      <c r="F184" s="8" t="s">
        <v>1112</v>
      </c>
      <c r="G184" s="8" t="n">
        <v>2762</v>
      </c>
      <c r="H184" s="8" t="s">
        <v>67</v>
      </c>
      <c r="I184" s="8" t="s">
        <v>1113</v>
      </c>
      <c r="J184" s="8" t="s">
        <v>1114</v>
      </c>
      <c r="K184" s="8" t="s">
        <v>104</v>
      </c>
      <c r="L184" s="8" t="s">
        <v>211</v>
      </c>
      <c r="M184" s="8" t="n">
        <v>24</v>
      </c>
      <c r="N184" s="8" t="s">
        <v>55</v>
      </c>
      <c r="O184" s="8" t="s">
        <v>203</v>
      </c>
      <c r="P184" s="8" t="s">
        <v>225</v>
      </c>
      <c r="Q184" s="8" t="s">
        <v>203</v>
      </c>
      <c r="R184" s="8" t="s">
        <v>195</v>
      </c>
      <c r="S184" s="8" t="s">
        <v>279</v>
      </c>
      <c r="T184" s="8"/>
      <c r="U184" s="8"/>
      <c r="V184" s="8"/>
    </row>
    <row r="185" customFormat="false" ht="15" hidden="false" customHeight="false" outlineLevel="0" collapsed="false">
      <c r="A185" s="11" t="s">
        <v>188</v>
      </c>
      <c r="B185" s="11" t="s">
        <v>1115</v>
      </c>
      <c r="C185" s="11" t="s">
        <v>1116</v>
      </c>
      <c r="D185" s="11" t="s">
        <v>1117</v>
      </c>
      <c r="E185" s="11" t="s">
        <v>1118</v>
      </c>
      <c r="F185" s="11" t="s">
        <v>1119</v>
      </c>
      <c r="G185" s="11" t="n">
        <v>1791</v>
      </c>
      <c r="H185" s="11" t="s">
        <v>67</v>
      </c>
      <c r="I185" s="11" t="s">
        <v>687</v>
      </c>
      <c r="J185" s="11" t="s">
        <v>551</v>
      </c>
      <c r="K185" s="11" t="s">
        <v>104</v>
      </c>
      <c r="L185" s="11" t="s">
        <v>207</v>
      </c>
      <c r="M185" s="11" t="n">
        <v>45</v>
      </c>
      <c r="N185" s="11" t="s">
        <v>55</v>
      </c>
      <c r="O185" s="11" t="s">
        <v>203</v>
      </c>
      <c r="P185" s="11" t="s">
        <v>225</v>
      </c>
      <c r="Q185" s="11" t="s">
        <v>203</v>
      </c>
      <c r="R185" s="11" t="s">
        <v>195</v>
      </c>
      <c r="S185" s="11" t="s">
        <v>279</v>
      </c>
      <c r="T185" s="11"/>
      <c r="U185" s="11"/>
      <c r="V185" s="11"/>
    </row>
    <row r="186" customFormat="false" ht="15" hidden="false" customHeight="false" outlineLevel="0" collapsed="false">
      <c r="A186" s="8" t="s">
        <v>188</v>
      </c>
      <c r="B186" s="8" t="s">
        <v>1120</v>
      </c>
      <c r="C186" s="8" t="s">
        <v>1121</v>
      </c>
      <c r="D186" s="8" t="s">
        <v>1122</v>
      </c>
      <c r="E186" s="8" t="s">
        <v>1123</v>
      </c>
      <c r="F186" s="8" t="s">
        <v>1124</v>
      </c>
      <c r="G186" s="8" t="n">
        <v>998</v>
      </c>
      <c r="H186" s="8" t="s">
        <v>67</v>
      </c>
      <c r="I186" s="8" t="s">
        <v>818</v>
      </c>
      <c r="J186" s="8" t="s">
        <v>1125</v>
      </c>
      <c r="K186" s="8" t="s">
        <v>104</v>
      </c>
      <c r="L186" s="8" t="s">
        <v>224</v>
      </c>
      <c r="M186" s="8" t="n">
        <v>45</v>
      </c>
      <c r="N186" s="8" t="s">
        <v>55</v>
      </c>
      <c r="O186" s="8" t="s">
        <v>203</v>
      </c>
      <c r="P186" s="8" t="s">
        <v>225</v>
      </c>
      <c r="Q186" s="8" t="s">
        <v>203</v>
      </c>
      <c r="R186" s="8" t="s">
        <v>195</v>
      </c>
      <c r="S186" s="8" t="s">
        <v>279</v>
      </c>
      <c r="T186" s="8"/>
      <c r="U186" s="8"/>
      <c r="V186" s="8"/>
    </row>
    <row r="187" customFormat="false" ht="15" hidden="false" customHeight="false" outlineLevel="0" collapsed="false">
      <c r="A187" s="11" t="s">
        <v>188</v>
      </c>
      <c r="B187" s="11" t="s">
        <v>1126</v>
      </c>
      <c r="C187" s="11" t="s">
        <v>1127</v>
      </c>
      <c r="D187" s="11" t="s">
        <v>1128</v>
      </c>
      <c r="E187" s="11" t="s">
        <v>1129</v>
      </c>
      <c r="F187" s="11" t="s">
        <v>1130</v>
      </c>
      <c r="G187" s="11" t="n">
        <v>2228</v>
      </c>
      <c r="H187" s="11" t="s">
        <v>67</v>
      </c>
      <c r="I187" s="11" t="s">
        <v>1131</v>
      </c>
      <c r="J187" s="11" t="s">
        <v>1132</v>
      </c>
      <c r="K187" s="11" t="s">
        <v>104</v>
      </c>
      <c r="L187" s="11" t="s">
        <v>224</v>
      </c>
      <c r="M187" s="11" t="n">
        <v>70</v>
      </c>
      <c r="N187" s="11" t="s">
        <v>79</v>
      </c>
      <c r="O187" s="11" t="s">
        <v>203</v>
      </c>
      <c r="P187" s="11" t="s">
        <v>225</v>
      </c>
      <c r="Q187" s="11" t="s">
        <v>203</v>
      </c>
      <c r="R187" s="11" t="s">
        <v>195</v>
      </c>
      <c r="S187" s="11" t="s">
        <v>279</v>
      </c>
      <c r="T187" s="11"/>
      <c r="U187" s="11"/>
      <c r="V187" s="11"/>
    </row>
    <row r="188" customFormat="false" ht="15" hidden="false" customHeight="false" outlineLevel="0" collapsed="false">
      <c r="A188" s="8" t="s">
        <v>188</v>
      </c>
      <c r="B188" s="8" t="s">
        <v>1133</v>
      </c>
      <c r="C188" s="8" t="s">
        <v>1134</v>
      </c>
      <c r="D188" s="8" t="s">
        <v>1128</v>
      </c>
      <c r="E188" s="8" t="s">
        <v>1135</v>
      </c>
      <c r="F188" s="8" t="s">
        <v>1136</v>
      </c>
      <c r="G188" s="8" t="n">
        <v>2615</v>
      </c>
      <c r="H188" s="8" t="s">
        <v>67</v>
      </c>
      <c r="I188" s="8" t="s">
        <v>1137</v>
      </c>
      <c r="J188" s="8" t="s">
        <v>1138</v>
      </c>
      <c r="K188" s="8" t="s">
        <v>104</v>
      </c>
      <c r="L188" s="8" t="s">
        <v>200</v>
      </c>
      <c r="M188" s="8" t="n">
        <v>28</v>
      </c>
      <c r="N188" s="8" t="s">
        <v>79</v>
      </c>
      <c r="O188" s="8" t="s">
        <v>203</v>
      </c>
      <c r="P188" s="8" t="s">
        <v>225</v>
      </c>
      <c r="Q188" s="8" t="s">
        <v>203</v>
      </c>
      <c r="R188" s="8" t="s">
        <v>195</v>
      </c>
      <c r="S188" s="8" t="s">
        <v>279</v>
      </c>
      <c r="T188" s="8"/>
      <c r="U188" s="8"/>
      <c r="V188" s="8"/>
    </row>
    <row r="189" customFormat="false" ht="15" hidden="false" customHeight="false" outlineLevel="0" collapsed="false">
      <c r="A189" s="11" t="s">
        <v>188</v>
      </c>
      <c r="B189" s="11" t="s">
        <v>1139</v>
      </c>
      <c r="C189" s="11" t="s">
        <v>1140</v>
      </c>
      <c r="D189" s="11" t="s">
        <v>1141</v>
      </c>
      <c r="E189" s="11" t="s">
        <v>1142</v>
      </c>
      <c r="F189" s="11" t="s">
        <v>1143</v>
      </c>
      <c r="G189" s="11" t="n">
        <v>504</v>
      </c>
      <c r="H189" s="11" t="s">
        <v>67</v>
      </c>
      <c r="I189" s="11" t="s">
        <v>108</v>
      </c>
      <c r="J189" s="11" t="s">
        <v>1144</v>
      </c>
      <c r="K189" s="11" t="s">
        <v>104</v>
      </c>
      <c r="L189" s="11" t="s">
        <v>200</v>
      </c>
      <c r="M189" s="11" t="n">
        <v>32</v>
      </c>
      <c r="N189" s="11" t="s">
        <v>55</v>
      </c>
      <c r="O189" s="11" t="s">
        <v>203</v>
      </c>
      <c r="P189" s="11" t="s">
        <v>225</v>
      </c>
      <c r="Q189" s="11" t="s">
        <v>203</v>
      </c>
      <c r="R189" s="11" t="s">
        <v>195</v>
      </c>
      <c r="S189" s="11" t="s">
        <v>279</v>
      </c>
      <c r="T189" s="11"/>
      <c r="U189" s="11"/>
      <c r="V189" s="11"/>
    </row>
    <row r="190" customFormat="false" ht="15" hidden="false" customHeight="false" outlineLevel="0" collapsed="false">
      <c r="A190" s="8" t="s">
        <v>188</v>
      </c>
      <c r="B190" s="8" t="s">
        <v>1145</v>
      </c>
      <c r="C190" s="8" t="s">
        <v>1146</v>
      </c>
      <c r="D190" s="8" t="s">
        <v>249</v>
      </c>
      <c r="E190" s="8" t="s">
        <v>1147</v>
      </c>
      <c r="F190" s="8" t="s">
        <v>1148</v>
      </c>
      <c r="G190" s="8" t="n">
        <v>779</v>
      </c>
      <c r="H190" s="8" t="s">
        <v>114</v>
      </c>
      <c r="I190" s="8" t="s">
        <v>1149</v>
      </c>
      <c r="J190" s="8" t="s">
        <v>1150</v>
      </c>
      <c r="K190" s="8" t="s">
        <v>104</v>
      </c>
      <c r="L190" s="8" t="s">
        <v>207</v>
      </c>
      <c r="M190" s="8" t="n">
        <v>24</v>
      </c>
      <c r="N190" s="8" t="s">
        <v>64</v>
      </c>
      <c r="O190" s="8" t="s">
        <v>203</v>
      </c>
      <c r="P190" s="8" t="s">
        <v>225</v>
      </c>
      <c r="Q190" s="8" t="s">
        <v>203</v>
      </c>
      <c r="R190" s="8" t="s">
        <v>195</v>
      </c>
      <c r="S190" s="8" t="s">
        <v>279</v>
      </c>
      <c r="T190" s="8"/>
      <c r="U190" s="8"/>
      <c r="V190" s="8"/>
    </row>
    <row r="191" customFormat="false" ht="15" hidden="false" customHeight="false" outlineLevel="0" collapsed="false">
      <c r="A191" s="11" t="s">
        <v>188</v>
      </c>
      <c r="B191" s="11" t="s">
        <v>1151</v>
      </c>
      <c r="C191" s="11" t="s">
        <v>1152</v>
      </c>
      <c r="D191" s="11" t="s">
        <v>1153</v>
      </c>
      <c r="E191" s="11" t="s">
        <v>1154</v>
      </c>
      <c r="F191" s="11" t="s">
        <v>1155</v>
      </c>
      <c r="G191" s="11" t="n">
        <v>1336</v>
      </c>
      <c r="H191" s="11" t="s">
        <v>59</v>
      </c>
      <c r="I191" s="11" t="s">
        <v>1156</v>
      </c>
      <c r="J191" s="11" t="s">
        <v>1157</v>
      </c>
      <c r="K191" s="11" t="s">
        <v>104</v>
      </c>
      <c r="L191" s="11" t="s">
        <v>200</v>
      </c>
      <c r="M191" s="11" t="n">
        <v>28</v>
      </c>
      <c r="N191" s="11" t="s">
        <v>146</v>
      </c>
      <c r="O191" s="11" t="s">
        <v>203</v>
      </c>
      <c r="P191" s="11" t="s">
        <v>225</v>
      </c>
      <c r="Q191" s="11" t="s">
        <v>203</v>
      </c>
      <c r="R191" s="11" t="s">
        <v>195</v>
      </c>
      <c r="S191" s="11" t="s">
        <v>279</v>
      </c>
      <c r="T191" s="11"/>
      <c r="U191" s="11"/>
      <c r="V191" s="11"/>
    </row>
    <row r="192" customFormat="false" ht="15" hidden="false" customHeight="false" outlineLevel="0" collapsed="false">
      <c r="A192" s="8" t="s">
        <v>188</v>
      </c>
      <c r="B192" s="8" t="s">
        <v>1158</v>
      </c>
      <c r="C192" s="8" t="s">
        <v>1159</v>
      </c>
      <c r="D192" s="8" t="s">
        <v>1153</v>
      </c>
      <c r="E192" s="8" t="s">
        <v>1160</v>
      </c>
      <c r="F192" s="8" t="s">
        <v>1161</v>
      </c>
      <c r="G192" s="8" t="n">
        <v>2479</v>
      </c>
      <c r="H192" s="8" t="s">
        <v>67</v>
      </c>
      <c r="I192" s="8" t="s">
        <v>1162</v>
      </c>
      <c r="J192" s="8" t="s">
        <v>1163</v>
      </c>
      <c r="K192" s="8" t="s">
        <v>104</v>
      </c>
      <c r="L192" s="8" t="s">
        <v>207</v>
      </c>
      <c r="M192" s="8" t="n">
        <v>40</v>
      </c>
      <c r="N192" s="8" t="s">
        <v>55</v>
      </c>
      <c r="O192" s="8" t="s">
        <v>203</v>
      </c>
      <c r="P192" s="8" t="s">
        <v>225</v>
      </c>
      <c r="Q192" s="8" t="s">
        <v>203</v>
      </c>
      <c r="R192" s="8" t="s">
        <v>195</v>
      </c>
      <c r="S192" s="8" t="s">
        <v>279</v>
      </c>
      <c r="T192" s="8"/>
      <c r="U192" s="8"/>
      <c r="V192" s="8"/>
    </row>
    <row r="193" customFormat="false" ht="15" hidden="false" customHeight="false" outlineLevel="0" collapsed="false">
      <c r="A193" s="11" t="s">
        <v>188</v>
      </c>
      <c r="B193" s="11" t="s">
        <v>1164</v>
      </c>
      <c r="C193" s="11" t="s">
        <v>1165</v>
      </c>
      <c r="D193" s="11" t="s">
        <v>1166</v>
      </c>
      <c r="E193" s="11" t="s">
        <v>1167</v>
      </c>
      <c r="F193" s="11" t="s">
        <v>1168</v>
      </c>
      <c r="G193" s="11" t="n">
        <v>2062</v>
      </c>
      <c r="H193" s="11" t="s">
        <v>67</v>
      </c>
      <c r="I193" s="11" t="s">
        <v>1169</v>
      </c>
      <c r="J193" s="11" t="s">
        <v>1170</v>
      </c>
      <c r="K193" s="11" t="s">
        <v>104</v>
      </c>
      <c r="L193" s="11" t="s">
        <v>211</v>
      </c>
      <c r="M193" s="11" t="n">
        <v>32</v>
      </c>
      <c r="N193" s="11" t="s">
        <v>79</v>
      </c>
      <c r="O193" s="11" t="s">
        <v>203</v>
      </c>
      <c r="P193" s="11" t="s">
        <v>225</v>
      </c>
      <c r="Q193" s="11" t="s">
        <v>203</v>
      </c>
      <c r="R193" s="11" t="s">
        <v>195</v>
      </c>
      <c r="S193" s="11" t="s">
        <v>279</v>
      </c>
      <c r="T193" s="11"/>
      <c r="U193" s="11"/>
      <c r="V193" s="11"/>
    </row>
    <row r="194" customFormat="false" ht="15" hidden="false" customHeight="false" outlineLevel="0" collapsed="false">
      <c r="A194" s="8" t="s">
        <v>188</v>
      </c>
      <c r="B194" s="8" t="s">
        <v>1171</v>
      </c>
      <c r="C194" s="8" t="s">
        <v>1172</v>
      </c>
      <c r="D194" s="8" t="s">
        <v>1173</v>
      </c>
      <c r="E194" s="8" t="s">
        <v>1174</v>
      </c>
      <c r="F194" s="8" t="s">
        <v>1175</v>
      </c>
      <c r="G194" s="8" t="n">
        <v>1574</v>
      </c>
      <c r="H194" s="8" t="s">
        <v>67</v>
      </c>
      <c r="I194" s="8" t="s">
        <v>1176</v>
      </c>
      <c r="J194" s="8" t="s">
        <v>913</v>
      </c>
      <c r="K194" s="8" t="s">
        <v>104</v>
      </c>
      <c r="L194" s="8" t="s">
        <v>207</v>
      </c>
      <c r="M194" s="8" t="n">
        <v>24</v>
      </c>
      <c r="N194" s="8" t="s">
        <v>146</v>
      </c>
      <c r="O194" s="8" t="s">
        <v>203</v>
      </c>
      <c r="P194" s="8" t="s">
        <v>225</v>
      </c>
      <c r="Q194" s="8" t="s">
        <v>203</v>
      </c>
      <c r="R194" s="8" t="s">
        <v>195</v>
      </c>
      <c r="S194" s="8" t="s">
        <v>279</v>
      </c>
      <c r="T194" s="8"/>
      <c r="U194" s="8"/>
      <c r="V194" s="8"/>
    </row>
    <row r="195" customFormat="false" ht="15" hidden="false" customHeight="false" outlineLevel="0" collapsed="false">
      <c r="A195" s="11" t="s">
        <v>188</v>
      </c>
      <c r="B195" s="11" t="s">
        <v>1177</v>
      </c>
      <c r="C195" s="11" t="s">
        <v>1178</v>
      </c>
      <c r="D195" s="11" t="s">
        <v>1179</v>
      </c>
      <c r="E195" s="11" t="s">
        <v>1180</v>
      </c>
      <c r="F195" s="11" t="s">
        <v>1181</v>
      </c>
      <c r="G195" s="11" t="n">
        <v>718</v>
      </c>
      <c r="H195" s="11" t="s">
        <v>67</v>
      </c>
      <c r="I195" s="11" t="s">
        <v>1182</v>
      </c>
      <c r="J195" s="11" t="s">
        <v>1183</v>
      </c>
      <c r="K195" s="11" t="s">
        <v>104</v>
      </c>
      <c r="L195" s="11" t="s">
        <v>207</v>
      </c>
      <c r="M195" s="11" t="n">
        <v>36</v>
      </c>
      <c r="N195" s="11" t="s">
        <v>79</v>
      </c>
      <c r="O195" s="11" t="s">
        <v>203</v>
      </c>
      <c r="P195" s="11" t="s">
        <v>225</v>
      </c>
      <c r="Q195" s="11" t="s">
        <v>203</v>
      </c>
      <c r="R195" s="11" t="s">
        <v>195</v>
      </c>
      <c r="S195" s="11" t="s">
        <v>279</v>
      </c>
      <c r="T195" s="11"/>
      <c r="U195" s="11"/>
      <c r="V195" s="11"/>
    </row>
    <row r="196" customFormat="false" ht="15" hidden="false" customHeight="false" outlineLevel="0" collapsed="false">
      <c r="A196" s="8" t="s">
        <v>188</v>
      </c>
      <c r="B196" s="8" t="s">
        <v>1184</v>
      </c>
      <c r="C196" s="8" t="s">
        <v>1185</v>
      </c>
      <c r="D196" s="8" t="s">
        <v>1186</v>
      </c>
      <c r="E196" s="8" t="s">
        <v>1187</v>
      </c>
      <c r="F196" s="8" t="s">
        <v>1188</v>
      </c>
      <c r="G196" s="8" t="n">
        <v>269</v>
      </c>
      <c r="H196" s="8" t="s">
        <v>114</v>
      </c>
      <c r="I196" s="8" t="s">
        <v>1189</v>
      </c>
      <c r="J196" s="8" t="s">
        <v>1190</v>
      </c>
      <c r="K196" s="8" t="s">
        <v>104</v>
      </c>
      <c r="L196" s="8" t="s">
        <v>200</v>
      </c>
      <c r="M196" s="8" t="n">
        <v>28</v>
      </c>
      <c r="N196" s="8" t="s">
        <v>55</v>
      </c>
      <c r="O196" s="8" t="s">
        <v>203</v>
      </c>
      <c r="P196" s="8" t="s">
        <v>225</v>
      </c>
      <c r="Q196" s="8" t="s">
        <v>203</v>
      </c>
      <c r="R196" s="8" t="s">
        <v>195</v>
      </c>
      <c r="S196" s="8" t="s">
        <v>279</v>
      </c>
      <c r="T196" s="8"/>
      <c r="U196" s="8"/>
      <c r="V196" s="8"/>
    </row>
    <row r="197" customFormat="false" ht="15" hidden="false" customHeight="false" outlineLevel="0" collapsed="false">
      <c r="A197" s="11" t="s">
        <v>188</v>
      </c>
      <c r="B197" s="11" t="s">
        <v>1191</v>
      </c>
      <c r="C197" s="11" t="s">
        <v>1192</v>
      </c>
      <c r="D197" s="11" t="s">
        <v>1193</v>
      </c>
      <c r="E197" s="11" t="s">
        <v>1194</v>
      </c>
      <c r="F197" s="11" t="s">
        <v>1195</v>
      </c>
      <c r="G197" s="11" t="n">
        <v>2733</v>
      </c>
      <c r="H197" s="11" t="s">
        <v>59</v>
      </c>
      <c r="I197" s="11" t="s">
        <v>1196</v>
      </c>
      <c r="J197" s="11" t="s">
        <v>1197</v>
      </c>
      <c r="K197" s="11" t="s">
        <v>104</v>
      </c>
      <c r="L197" s="11" t="s">
        <v>192</v>
      </c>
      <c r="M197" s="11" t="n">
        <v>70</v>
      </c>
      <c r="N197" s="11" t="s">
        <v>55</v>
      </c>
      <c r="O197" s="11" t="s">
        <v>203</v>
      </c>
      <c r="P197" s="11" t="s">
        <v>225</v>
      </c>
      <c r="Q197" s="11" t="s">
        <v>203</v>
      </c>
      <c r="R197" s="11" t="s">
        <v>195</v>
      </c>
      <c r="S197" s="11" t="s">
        <v>279</v>
      </c>
      <c r="T197" s="11"/>
      <c r="U197" s="11"/>
      <c r="V197" s="11"/>
    </row>
    <row r="198" customFormat="false" ht="15" hidden="false" customHeight="false" outlineLevel="0" collapsed="false">
      <c r="A198" s="8" t="s">
        <v>188</v>
      </c>
      <c r="B198" s="8" t="s">
        <v>1198</v>
      </c>
      <c r="C198" s="8" t="s">
        <v>1199</v>
      </c>
      <c r="D198" s="8" t="s">
        <v>1200</v>
      </c>
      <c r="E198" s="8" t="s">
        <v>1201</v>
      </c>
      <c r="F198" s="8" t="s">
        <v>1202</v>
      </c>
      <c r="G198" s="8" t="n">
        <v>264</v>
      </c>
      <c r="H198" s="8" t="s">
        <v>67</v>
      </c>
      <c r="I198" s="8" t="s">
        <v>1203</v>
      </c>
      <c r="J198" s="8" t="s">
        <v>1204</v>
      </c>
      <c r="K198" s="8" t="s">
        <v>104</v>
      </c>
      <c r="L198" s="8" t="s">
        <v>200</v>
      </c>
      <c r="M198" s="8" t="n">
        <v>28</v>
      </c>
      <c r="N198" s="8" t="s">
        <v>64</v>
      </c>
      <c r="O198" s="8" t="s">
        <v>203</v>
      </c>
      <c r="P198" s="8" t="s">
        <v>225</v>
      </c>
      <c r="Q198" s="8" t="s">
        <v>203</v>
      </c>
      <c r="R198" s="8" t="s">
        <v>195</v>
      </c>
      <c r="S198" s="8" t="s">
        <v>279</v>
      </c>
      <c r="T198" s="8"/>
      <c r="U198" s="8"/>
      <c r="V198" s="8"/>
    </row>
    <row r="199" customFormat="false" ht="15" hidden="false" customHeight="false" outlineLevel="0" collapsed="false">
      <c r="A199" s="11" t="s">
        <v>188</v>
      </c>
      <c r="B199" s="11" t="s">
        <v>1205</v>
      </c>
      <c r="C199" s="11" t="s">
        <v>1206</v>
      </c>
      <c r="D199" s="11" t="s">
        <v>1200</v>
      </c>
      <c r="E199" s="11" t="s">
        <v>1207</v>
      </c>
      <c r="F199" s="11" t="s">
        <v>1208</v>
      </c>
      <c r="G199" s="11" t="n">
        <v>2831</v>
      </c>
      <c r="H199" s="11" t="s">
        <v>67</v>
      </c>
      <c r="I199" s="11" t="s">
        <v>1209</v>
      </c>
      <c r="J199" s="11" t="s">
        <v>1210</v>
      </c>
      <c r="K199" s="11" t="s">
        <v>104</v>
      </c>
      <c r="L199" s="11" t="s">
        <v>224</v>
      </c>
      <c r="M199" s="11" t="n">
        <v>32</v>
      </c>
      <c r="N199" s="11" t="s">
        <v>146</v>
      </c>
      <c r="O199" s="11" t="s">
        <v>203</v>
      </c>
      <c r="P199" s="11" t="s">
        <v>225</v>
      </c>
      <c r="Q199" s="11" t="s">
        <v>203</v>
      </c>
      <c r="R199" s="11" t="s">
        <v>195</v>
      </c>
      <c r="S199" s="11" t="s">
        <v>279</v>
      </c>
      <c r="T199" s="11"/>
      <c r="U199" s="11"/>
      <c r="V199" s="11"/>
    </row>
    <row r="200" customFormat="false" ht="15" hidden="false" customHeight="false" outlineLevel="0" collapsed="false">
      <c r="A200" s="8" t="s">
        <v>188</v>
      </c>
      <c r="B200" s="8" t="s">
        <v>1211</v>
      </c>
      <c r="C200" s="8" t="s">
        <v>1212</v>
      </c>
      <c r="D200" s="8" t="s">
        <v>631</v>
      </c>
      <c r="E200" s="8" t="s">
        <v>1213</v>
      </c>
      <c r="F200" s="8" t="s">
        <v>1214</v>
      </c>
      <c r="G200" s="8" t="n">
        <v>2708</v>
      </c>
      <c r="H200" s="8" t="s">
        <v>67</v>
      </c>
      <c r="I200" s="8" t="s">
        <v>1215</v>
      </c>
      <c r="J200" s="8" t="s">
        <v>1216</v>
      </c>
      <c r="K200" s="8" t="s">
        <v>104</v>
      </c>
      <c r="L200" s="8" t="s">
        <v>192</v>
      </c>
      <c r="M200" s="8" t="n">
        <v>28</v>
      </c>
      <c r="N200" s="8" t="s">
        <v>146</v>
      </c>
      <c r="O200" s="8" t="s">
        <v>203</v>
      </c>
      <c r="P200" s="8" t="s">
        <v>225</v>
      </c>
      <c r="Q200" s="8" t="s">
        <v>203</v>
      </c>
      <c r="R200" s="8" t="s">
        <v>195</v>
      </c>
      <c r="S200" s="8" t="s">
        <v>279</v>
      </c>
      <c r="T200" s="8"/>
      <c r="U200" s="8"/>
      <c r="V200" s="8"/>
    </row>
    <row r="201" customFormat="false" ht="15" hidden="false" customHeight="false" outlineLevel="0" collapsed="false">
      <c r="A201" s="11" t="s">
        <v>188</v>
      </c>
      <c r="B201" s="11" t="s">
        <v>1217</v>
      </c>
      <c r="C201" s="11" t="s">
        <v>1218</v>
      </c>
      <c r="D201" s="11" t="s">
        <v>1219</v>
      </c>
      <c r="E201" s="11" t="s">
        <v>1220</v>
      </c>
      <c r="F201" s="11" t="s">
        <v>1221</v>
      </c>
      <c r="G201" s="11" t="n">
        <v>26</v>
      </c>
      <c r="H201" s="11" t="s">
        <v>67</v>
      </c>
      <c r="I201" s="11" t="s">
        <v>1222</v>
      </c>
      <c r="J201" s="11" t="s">
        <v>1223</v>
      </c>
      <c r="K201" s="11" t="s">
        <v>104</v>
      </c>
      <c r="L201" s="11" t="s">
        <v>207</v>
      </c>
      <c r="M201" s="11" t="n">
        <v>28</v>
      </c>
      <c r="N201" s="11" t="s">
        <v>79</v>
      </c>
      <c r="O201" s="11" t="s">
        <v>203</v>
      </c>
      <c r="P201" s="11" t="s">
        <v>225</v>
      </c>
      <c r="Q201" s="11" t="s">
        <v>203</v>
      </c>
      <c r="R201" s="11" t="s">
        <v>195</v>
      </c>
      <c r="S201" s="11" t="s">
        <v>279</v>
      </c>
      <c r="T201" s="11"/>
      <c r="U201" s="11"/>
      <c r="V201" s="11"/>
    </row>
    <row r="202" customFormat="false" ht="15" hidden="false" customHeight="false" outlineLevel="0" collapsed="false">
      <c r="A202" s="8" t="s">
        <v>188</v>
      </c>
      <c r="B202" s="8" t="s">
        <v>1224</v>
      </c>
      <c r="C202" s="8" t="s">
        <v>1225</v>
      </c>
      <c r="D202" s="8" t="s">
        <v>219</v>
      </c>
      <c r="E202" s="8" t="s">
        <v>1226</v>
      </c>
      <c r="F202" s="8" t="s">
        <v>1227</v>
      </c>
      <c r="G202" s="8" t="n">
        <v>2808</v>
      </c>
      <c r="H202" s="8" t="s">
        <v>67</v>
      </c>
      <c r="I202" s="8" t="s">
        <v>1228</v>
      </c>
      <c r="J202" s="8" t="s">
        <v>1229</v>
      </c>
      <c r="K202" s="8" t="s">
        <v>104</v>
      </c>
      <c r="L202" s="8" t="s">
        <v>200</v>
      </c>
      <c r="M202" s="8" t="n">
        <v>24</v>
      </c>
      <c r="N202" s="8" t="s">
        <v>79</v>
      </c>
      <c r="O202" s="8" t="s">
        <v>203</v>
      </c>
      <c r="P202" s="8" t="s">
        <v>225</v>
      </c>
      <c r="Q202" s="8" t="s">
        <v>203</v>
      </c>
      <c r="R202" s="8" t="s">
        <v>195</v>
      </c>
      <c r="S202" s="8" t="s">
        <v>279</v>
      </c>
      <c r="T202" s="8"/>
      <c r="U202" s="8"/>
      <c r="V202" s="8"/>
    </row>
    <row r="203" customFormat="false" ht="15" hidden="false" customHeight="false" outlineLevel="0" collapsed="false">
      <c r="A203" s="11" t="s">
        <v>188</v>
      </c>
      <c r="B203" s="11" t="s">
        <v>1230</v>
      </c>
      <c r="C203" s="11" t="s">
        <v>1231</v>
      </c>
      <c r="D203" s="11" t="s">
        <v>839</v>
      </c>
      <c r="E203" s="11" t="s">
        <v>574</v>
      </c>
      <c r="F203" s="11" t="s">
        <v>575</v>
      </c>
      <c r="G203" s="11" t="n">
        <v>2857</v>
      </c>
      <c r="H203" s="11" t="s">
        <v>59</v>
      </c>
      <c r="I203" s="11" t="s">
        <v>576</v>
      </c>
      <c r="J203" s="11" t="s">
        <v>1232</v>
      </c>
      <c r="K203" s="11" t="s">
        <v>104</v>
      </c>
      <c r="L203" s="11" t="s">
        <v>207</v>
      </c>
      <c r="M203" s="11" t="n">
        <v>24</v>
      </c>
      <c r="N203" s="11" t="s">
        <v>55</v>
      </c>
      <c r="O203" s="11" t="s">
        <v>203</v>
      </c>
      <c r="P203" s="11" t="s">
        <v>225</v>
      </c>
      <c r="Q203" s="11" t="s">
        <v>203</v>
      </c>
      <c r="R203" s="11" t="s">
        <v>195</v>
      </c>
      <c r="S203" s="11" t="s">
        <v>279</v>
      </c>
      <c r="T203" s="11"/>
      <c r="U203" s="11"/>
      <c r="V203" s="11"/>
    </row>
    <row r="204" customFormat="false" ht="15" hidden="false" customHeight="false" outlineLevel="0" collapsed="false">
      <c r="A204" s="8" t="s">
        <v>188</v>
      </c>
      <c r="B204" s="8" t="s">
        <v>1233</v>
      </c>
      <c r="C204" s="8" t="s">
        <v>1234</v>
      </c>
      <c r="D204" s="8" t="s">
        <v>484</v>
      </c>
      <c r="E204" s="8" t="s">
        <v>1235</v>
      </c>
      <c r="F204" s="8" t="s">
        <v>1236</v>
      </c>
      <c r="G204" s="8" t="n">
        <v>1139</v>
      </c>
      <c r="H204" s="8" t="s">
        <v>67</v>
      </c>
      <c r="I204" s="8" t="s">
        <v>889</v>
      </c>
      <c r="J204" s="8" t="s">
        <v>1237</v>
      </c>
      <c r="K204" s="8" t="s">
        <v>104</v>
      </c>
      <c r="L204" s="8" t="s">
        <v>211</v>
      </c>
      <c r="M204" s="8" t="n">
        <v>28</v>
      </c>
      <c r="N204" s="8" t="s">
        <v>55</v>
      </c>
      <c r="O204" s="8" t="s">
        <v>203</v>
      </c>
      <c r="P204" s="8" t="s">
        <v>225</v>
      </c>
      <c r="Q204" s="8" t="s">
        <v>203</v>
      </c>
      <c r="R204" s="8" t="s">
        <v>195</v>
      </c>
      <c r="S204" s="8" t="s">
        <v>279</v>
      </c>
      <c r="T204" s="8"/>
      <c r="U204" s="8"/>
      <c r="V204" s="8"/>
    </row>
    <row r="205" customFormat="false" ht="15" hidden="false" customHeight="false" outlineLevel="0" collapsed="false">
      <c r="A205" s="11" t="s">
        <v>188</v>
      </c>
      <c r="B205" s="11" t="s">
        <v>1238</v>
      </c>
      <c r="C205" s="11" t="s">
        <v>1239</v>
      </c>
      <c r="D205" s="11" t="s">
        <v>1240</v>
      </c>
      <c r="E205" s="11" t="s">
        <v>1241</v>
      </c>
      <c r="F205" s="11" t="s">
        <v>1242</v>
      </c>
      <c r="G205" s="11" t="n">
        <v>832</v>
      </c>
      <c r="H205" s="11" t="s">
        <v>67</v>
      </c>
      <c r="I205" s="11" t="s">
        <v>736</v>
      </c>
      <c r="J205" s="11" t="s">
        <v>1243</v>
      </c>
      <c r="K205" s="11" t="s">
        <v>104</v>
      </c>
      <c r="L205" s="11" t="s">
        <v>200</v>
      </c>
      <c r="M205" s="11" t="n">
        <v>28</v>
      </c>
      <c r="N205" s="11" t="s">
        <v>146</v>
      </c>
      <c r="O205" s="11" t="s">
        <v>203</v>
      </c>
      <c r="P205" s="11" t="s">
        <v>225</v>
      </c>
      <c r="Q205" s="11" t="s">
        <v>203</v>
      </c>
      <c r="R205" s="11" t="s">
        <v>195</v>
      </c>
      <c r="S205" s="11" t="s">
        <v>279</v>
      </c>
      <c r="T205" s="11"/>
      <c r="U205" s="11"/>
      <c r="V205" s="11"/>
    </row>
    <row r="206" customFormat="false" ht="15" hidden="false" customHeight="false" outlineLevel="0" collapsed="false">
      <c r="A206" s="8" t="s">
        <v>188</v>
      </c>
      <c r="B206" s="8" t="s">
        <v>1244</v>
      </c>
      <c r="C206" s="8" t="s">
        <v>1245</v>
      </c>
      <c r="D206" s="8" t="s">
        <v>1246</v>
      </c>
      <c r="E206" s="8" t="s">
        <v>1247</v>
      </c>
      <c r="F206" s="8" t="s">
        <v>1248</v>
      </c>
      <c r="G206" s="8" t="n">
        <v>2294</v>
      </c>
      <c r="H206" s="8" t="s">
        <v>67</v>
      </c>
      <c r="I206" s="8" t="s">
        <v>1249</v>
      </c>
      <c r="J206" s="8" t="s">
        <v>1250</v>
      </c>
      <c r="K206" s="8" t="s">
        <v>104</v>
      </c>
      <c r="L206" s="8" t="s">
        <v>211</v>
      </c>
      <c r="M206" s="8" t="n">
        <v>40</v>
      </c>
      <c r="N206" s="8" t="s">
        <v>55</v>
      </c>
      <c r="O206" s="8" t="s">
        <v>203</v>
      </c>
      <c r="P206" s="8" t="s">
        <v>225</v>
      </c>
      <c r="Q206" s="8" t="s">
        <v>203</v>
      </c>
      <c r="R206" s="8" t="s">
        <v>195</v>
      </c>
      <c r="S206" s="8" t="s">
        <v>279</v>
      </c>
      <c r="T206" s="8"/>
      <c r="U206" s="8"/>
      <c r="V206" s="8"/>
    </row>
    <row r="207" customFormat="false" ht="15" hidden="false" customHeight="false" outlineLevel="0" collapsed="false">
      <c r="A207" s="11" t="s">
        <v>188</v>
      </c>
      <c r="B207" s="11" t="s">
        <v>1251</v>
      </c>
      <c r="C207" s="11" t="s">
        <v>1252</v>
      </c>
      <c r="D207" s="11" t="s">
        <v>1253</v>
      </c>
      <c r="E207" s="11" t="s">
        <v>1254</v>
      </c>
      <c r="F207" s="11" t="s">
        <v>1255</v>
      </c>
      <c r="G207" s="11" t="n">
        <v>1412</v>
      </c>
      <c r="H207" s="11" t="s">
        <v>114</v>
      </c>
      <c r="I207" s="11" t="s">
        <v>1047</v>
      </c>
      <c r="J207" s="11" t="s">
        <v>1256</v>
      </c>
      <c r="K207" s="11" t="s">
        <v>104</v>
      </c>
      <c r="L207" s="11" t="s">
        <v>192</v>
      </c>
      <c r="M207" s="11" t="n">
        <v>32</v>
      </c>
      <c r="N207" s="11" t="s">
        <v>64</v>
      </c>
      <c r="O207" s="11" t="s">
        <v>203</v>
      </c>
      <c r="P207" s="11" t="s">
        <v>225</v>
      </c>
      <c r="Q207" s="11" t="s">
        <v>203</v>
      </c>
      <c r="R207" s="11" t="s">
        <v>195</v>
      </c>
      <c r="S207" s="11" t="s">
        <v>279</v>
      </c>
      <c r="T207" s="11"/>
      <c r="U207" s="11"/>
      <c r="V207" s="11"/>
    </row>
    <row r="208" customFormat="false" ht="15" hidden="false" customHeight="false" outlineLevel="0" collapsed="false">
      <c r="A208" s="8" t="s">
        <v>188</v>
      </c>
      <c r="B208" s="8" t="s">
        <v>1257</v>
      </c>
      <c r="C208" s="8" t="s">
        <v>1258</v>
      </c>
      <c r="D208" s="8" t="s">
        <v>258</v>
      </c>
      <c r="E208" s="8" t="s">
        <v>1259</v>
      </c>
      <c r="F208" s="8" t="s">
        <v>1260</v>
      </c>
      <c r="G208" s="8" t="n">
        <v>1923</v>
      </c>
      <c r="H208" s="8" t="s">
        <v>67</v>
      </c>
      <c r="I208" s="8" t="s">
        <v>1261</v>
      </c>
      <c r="J208" s="8" t="s">
        <v>1262</v>
      </c>
      <c r="K208" s="8" t="s">
        <v>104</v>
      </c>
      <c r="L208" s="8" t="s">
        <v>211</v>
      </c>
      <c r="M208" s="8" t="n">
        <v>36</v>
      </c>
      <c r="N208" s="8" t="s">
        <v>64</v>
      </c>
      <c r="O208" s="8" t="s">
        <v>203</v>
      </c>
      <c r="P208" s="8" t="s">
        <v>225</v>
      </c>
      <c r="Q208" s="8" t="s">
        <v>203</v>
      </c>
      <c r="R208" s="8" t="s">
        <v>195</v>
      </c>
      <c r="S208" s="8" t="s">
        <v>279</v>
      </c>
      <c r="T208" s="8"/>
      <c r="U208" s="8"/>
      <c r="V208" s="8"/>
    </row>
    <row r="209" customFormat="false" ht="15" hidden="false" customHeight="false" outlineLevel="0" collapsed="false">
      <c r="A209" s="11" t="s">
        <v>188</v>
      </c>
      <c r="B209" s="11" t="s">
        <v>1263</v>
      </c>
      <c r="C209" s="11" t="s">
        <v>1264</v>
      </c>
      <c r="D209" s="11" t="s">
        <v>1265</v>
      </c>
      <c r="E209" s="11" t="s">
        <v>1266</v>
      </c>
      <c r="F209" s="11" t="s">
        <v>1267</v>
      </c>
      <c r="G209" s="11" t="n">
        <v>844</v>
      </c>
      <c r="H209" s="11" t="s">
        <v>67</v>
      </c>
      <c r="I209" s="11" t="s">
        <v>763</v>
      </c>
      <c r="J209" s="11" t="s">
        <v>1268</v>
      </c>
      <c r="K209" s="11" t="s">
        <v>104</v>
      </c>
      <c r="L209" s="11" t="s">
        <v>224</v>
      </c>
      <c r="M209" s="11" t="n">
        <v>32</v>
      </c>
      <c r="N209" s="11" t="s">
        <v>55</v>
      </c>
      <c r="O209" s="11" t="s">
        <v>203</v>
      </c>
      <c r="P209" s="11" t="s">
        <v>225</v>
      </c>
      <c r="Q209" s="11" t="s">
        <v>203</v>
      </c>
      <c r="R209" s="11" t="s">
        <v>195</v>
      </c>
      <c r="S209" s="11" t="s">
        <v>279</v>
      </c>
      <c r="T209" s="11"/>
      <c r="U209" s="11"/>
      <c r="V209" s="11"/>
    </row>
    <row r="210" customFormat="false" ht="15" hidden="false" customHeight="false" outlineLevel="0" collapsed="false">
      <c r="A210" s="8" t="s">
        <v>188</v>
      </c>
      <c r="B210" s="8" t="s">
        <v>1269</v>
      </c>
      <c r="C210" s="8" t="s">
        <v>1270</v>
      </c>
      <c r="D210" s="8" t="s">
        <v>1071</v>
      </c>
      <c r="E210" s="8" t="s">
        <v>1271</v>
      </c>
      <c r="F210" s="8" t="s">
        <v>1272</v>
      </c>
      <c r="G210" s="8" t="n">
        <v>2079</v>
      </c>
      <c r="H210" s="8" t="s">
        <v>67</v>
      </c>
      <c r="I210" s="8" t="s">
        <v>1273</v>
      </c>
      <c r="J210" s="8" t="s">
        <v>1274</v>
      </c>
      <c r="K210" s="8" t="s">
        <v>104</v>
      </c>
      <c r="L210" s="8" t="s">
        <v>207</v>
      </c>
      <c r="M210" s="8" t="n">
        <v>28</v>
      </c>
      <c r="N210" s="8" t="s">
        <v>146</v>
      </c>
      <c r="O210" s="8" t="s">
        <v>203</v>
      </c>
      <c r="P210" s="8" t="s">
        <v>225</v>
      </c>
      <c r="Q210" s="8" t="s">
        <v>203</v>
      </c>
      <c r="R210" s="8" t="s">
        <v>195</v>
      </c>
      <c r="S210" s="8" t="s">
        <v>279</v>
      </c>
      <c r="T210" s="8"/>
      <c r="U210" s="8"/>
      <c r="V210" s="8"/>
    </row>
    <row r="211" customFormat="false" ht="15" hidden="false" customHeight="false" outlineLevel="0" collapsed="false">
      <c r="A211" s="11" t="s">
        <v>188</v>
      </c>
      <c r="B211" s="11" t="s">
        <v>1275</v>
      </c>
      <c r="C211" s="11" t="s">
        <v>1276</v>
      </c>
      <c r="D211" s="11" t="s">
        <v>1277</v>
      </c>
      <c r="E211" s="11" t="s">
        <v>1278</v>
      </c>
      <c r="F211" s="11" t="s">
        <v>1279</v>
      </c>
      <c r="G211" s="11" t="n">
        <v>382</v>
      </c>
      <c r="H211" s="11" t="s">
        <v>67</v>
      </c>
      <c r="I211" s="11" t="s">
        <v>1280</v>
      </c>
      <c r="J211" s="11" t="s">
        <v>1281</v>
      </c>
      <c r="K211" s="11" t="s">
        <v>104</v>
      </c>
      <c r="L211" s="11" t="s">
        <v>192</v>
      </c>
      <c r="M211" s="11" t="n">
        <v>24</v>
      </c>
      <c r="N211" s="11" t="s">
        <v>55</v>
      </c>
      <c r="O211" s="11" t="s">
        <v>203</v>
      </c>
      <c r="P211" s="11" t="s">
        <v>225</v>
      </c>
      <c r="Q211" s="11" t="s">
        <v>203</v>
      </c>
      <c r="R211" s="11" t="s">
        <v>195</v>
      </c>
      <c r="S211" s="11" t="s">
        <v>279</v>
      </c>
      <c r="T211" s="11"/>
      <c r="U211" s="11"/>
      <c r="V211" s="11"/>
    </row>
    <row r="212" customFormat="false" ht="15" hidden="false" customHeight="false" outlineLevel="0" collapsed="false">
      <c r="A212" s="8" t="s">
        <v>188</v>
      </c>
      <c r="B212" s="8" t="s">
        <v>1282</v>
      </c>
      <c r="C212" s="8" t="s">
        <v>1283</v>
      </c>
      <c r="D212" s="8" t="s">
        <v>1284</v>
      </c>
      <c r="E212" s="8" t="s">
        <v>1285</v>
      </c>
      <c r="F212" s="8" t="s">
        <v>1286</v>
      </c>
      <c r="G212" s="8" t="n">
        <v>2888</v>
      </c>
      <c r="H212" s="8" t="s">
        <v>67</v>
      </c>
      <c r="I212" s="8" t="s">
        <v>1287</v>
      </c>
      <c r="J212" s="8" t="s">
        <v>1288</v>
      </c>
      <c r="K212" s="8" t="s">
        <v>104</v>
      </c>
      <c r="L212" s="8" t="s">
        <v>207</v>
      </c>
      <c r="M212" s="8" t="n">
        <v>32</v>
      </c>
      <c r="N212" s="8" t="s">
        <v>79</v>
      </c>
      <c r="O212" s="8" t="s">
        <v>203</v>
      </c>
      <c r="P212" s="8" t="s">
        <v>225</v>
      </c>
      <c r="Q212" s="8" t="s">
        <v>203</v>
      </c>
      <c r="R212" s="8" t="s">
        <v>195</v>
      </c>
      <c r="S212" s="8" t="s">
        <v>279</v>
      </c>
      <c r="T212" s="8"/>
      <c r="U212" s="8"/>
      <c r="V212" s="8"/>
    </row>
    <row r="213" customFormat="false" ht="15" hidden="false" customHeight="false" outlineLevel="0" collapsed="false">
      <c r="A213" s="11" t="s">
        <v>188</v>
      </c>
      <c r="B213" s="11" t="s">
        <v>1289</v>
      </c>
      <c r="C213" s="11" t="s">
        <v>1290</v>
      </c>
      <c r="D213" s="11" t="s">
        <v>739</v>
      </c>
      <c r="E213" s="11" t="s">
        <v>1291</v>
      </c>
      <c r="F213" s="11" t="s">
        <v>1292</v>
      </c>
      <c r="G213" s="11" t="n">
        <v>2628</v>
      </c>
      <c r="H213" s="11" t="s">
        <v>67</v>
      </c>
      <c r="I213" s="11" t="s">
        <v>733</v>
      </c>
      <c r="J213" s="11" t="s">
        <v>1293</v>
      </c>
      <c r="K213" s="11" t="s">
        <v>104</v>
      </c>
      <c r="L213" s="11" t="s">
        <v>211</v>
      </c>
      <c r="M213" s="11" t="n">
        <v>32</v>
      </c>
      <c r="N213" s="11" t="s">
        <v>64</v>
      </c>
      <c r="O213" s="11" t="s">
        <v>203</v>
      </c>
      <c r="P213" s="11" t="s">
        <v>225</v>
      </c>
      <c r="Q213" s="11" t="s">
        <v>203</v>
      </c>
      <c r="R213" s="11" t="s">
        <v>195</v>
      </c>
      <c r="S213" s="11" t="s">
        <v>279</v>
      </c>
      <c r="T213" s="11"/>
      <c r="U213" s="11"/>
      <c r="V213" s="11"/>
    </row>
    <row r="214" customFormat="false" ht="15" hidden="false" customHeight="false" outlineLevel="0" collapsed="false">
      <c r="A214" s="8" t="s">
        <v>188</v>
      </c>
      <c r="B214" s="8" t="s">
        <v>1294</v>
      </c>
      <c r="C214" s="8" t="s">
        <v>1295</v>
      </c>
      <c r="D214" s="8" t="s">
        <v>311</v>
      </c>
      <c r="E214" s="8" t="s">
        <v>1296</v>
      </c>
      <c r="F214" s="8" t="s">
        <v>1297</v>
      </c>
      <c r="G214" s="8" t="n">
        <v>1733</v>
      </c>
      <c r="H214" s="8" t="s">
        <v>67</v>
      </c>
      <c r="I214" s="8" t="s">
        <v>1298</v>
      </c>
      <c r="J214" s="8" t="s">
        <v>1299</v>
      </c>
      <c r="K214" s="8" t="s">
        <v>104</v>
      </c>
      <c r="L214" s="8" t="s">
        <v>211</v>
      </c>
      <c r="M214" s="8" t="n">
        <v>28</v>
      </c>
      <c r="N214" s="8" t="s">
        <v>55</v>
      </c>
      <c r="O214" s="8" t="s">
        <v>203</v>
      </c>
      <c r="P214" s="8" t="s">
        <v>225</v>
      </c>
      <c r="Q214" s="8" t="s">
        <v>203</v>
      </c>
      <c r="R214" s="8" t="s">
        <v>195</v>
      </c>
      <c r="S214" s="8" t="s">
        <v>279</v>
      </c>
      <c r="T214" s="8"/>
      <c r="U214" s="8"/>
      <c r="V214" s="8"/>
    </row>
    <row r="215" customFormat="false" ht="15" hidden="false" customHeight="false" outlineLevel="0" collapsed="false">
      <c r="A215" s="11" t="s">
        <v>188</v>
      </c>
      <c r="B215" s="11" t="s">
        <v>1300</v>
      </c>
      <c r="C215" s="11" t="s">
        <v>1301</v>
      </c>
      <c r="D215" s="11" t="s">
        <v>1302</v>
      </c>
      <c r="E215" s="11" t="s">
        <v>798</v>
      </c>
      <c r="F215" s="11" t="s">
        <v>799</v>
      </c>
      <c r="G215" s="11" t="n">
        <v>918</v>
      </c>
      <c r="H215" s="11" t="s">
        <v>67</v>
      </c>
      <c r="I215" s="11" t="s">
        <v>800</v>
      </c>
      <c r="J215" s="11" t="s">
        <v>1303</v>
      </c>
      <c r="K215" s="11" t="s">
        <v>104</v>
      </c>
      <c r="L215" s="11" t="s">
        <v>192</v>
      </c>
      <c r="M215" s="11" t="n">
        <v>24</v>
      </c>
      <c r="N215" s="11" t="s">
        <v>146</v>
      </c>
      <c r="O215" s="11" t="s">
        <v>203</v>
      </c>
      <c r="P215" s="11" t="s">
        <v>225</v>
      </c>
      <c r="Q215" s="11" t="s">
        <v>203</v>
      </c>
      <c r="R215" s="11" t="s">
        <v>195</v>
      </c>
      <c r="S215" s="11" t="s">
        <v>279</v>
      </c>
      <c r="T215" s="11"/>
      <c r="U215" s="11"/>
      <c r="V215" s="11"/>
    </row>
    <row r="216" customFormat="false" ht="15" hidden="false" customHeight="false" outlineLevel="0" collapsed="false">
      <c r="A216" s="8" t="s">
        <v>188</v>
      </c>
      <c r="B216" s="8" t="s">
        <v>1304</v>
      </c>
      <c r="C216" s="8" t="s">
        <v>1305</v>
      </c>
      <c r="D216" s="8" t="s">
        <v>1306</v>
      </c>
      <c r="E216" s="8" t="s">
        <v>1307</v>
      </c>
      <c r="F216" s="8" t="s">
        <v>1308</v>
      </c>
      <c r="G216" s="8" t="n">
        <v>2244</v>
      </c>
      <c r="H216" s="8" t="s">
        <v>67</v>
      </c>
      <c r="I216" s="8" t="s">
        <v>1057</v>
      </c>
      <c r="J216" s="8" t="s">
        <v>1309</v>
      </c>
      <c r="K216" s="8" t="s">
        <v>104</v>
      </c>
      <c r="L216" s="8" t="s">
        <v>224</v>
      </c>
      <c r="M216" s="8" t="n">
        <v>24</v>
      </c>
      <c r="N216" s="8" t="s">
        <v>146</v>
      </c>
      <c r="O216" s="8" t="s">
        <v>203</v>
      </c>
      <c r="P216" s="8" t="s">
        <v>225</v>
      </c>
      <c r="Q216" s="8" t="s">
        <v>203</v>
      </c>
      <c r="R216" s="8" t="s">
        <v>195</v>
      </c>
      <c r="S216" s="8" t="s">
        <v>279</v>
      </c>
      <c r="T216" s="8"/>
      <c r="U216" s="8"/>
      <c r="V216" s="8"/>
    </row>
    <row r="217" customFormat="false" ht="15" hidden="false" customHeight="false" outlineLevel="0" collapsed="false">
      <c r="A217" s="11" t="s">
        <v>188</v>
      </c>
      <c r="B217" s="11" t="s">
        <v>1310</v>
      </c>
      <c r="C217" s="11" t="s">
        <v>1311</v>
      </c>
      <c r="D217" s="11" t="s">
        <v>1312</v>
      </c>
      <c r="E217" s="11" t="s">
        <v>1313</v>
      </c>
      <c r="F217" s="11" t="s">
        <v>1314</v>
      </c>
      <c r="G217" s="11" t="n">
        <v>2815</v>
      </c>
      <c r="H217" s="11" t="s">
        <v>67</v>
      </c>
      <c r="I217" s="11" t="s">
        <v>1315</v>
      </c>
      <c r="J217" s="11" t="s">
        <v>1044</v>
      </c>
      <c r="K217" s="11" t="s">
        <v>104</v>
      </c>
      <c r="L217" s="11" t="s">
        <v>211</v>
      </c>
      <c r="M217" s="11" t="n">
        <v>32</v>
      </c>
      <c r="N217" s="11" t="s">
        <v>64</v>
      </c>
      <c r="O217" s="11" t="s">
        <v>203</v>
      </c>
      <c r="P217" s="11" t="s">
        <v>225</v>
      </c>
      <c r="Q217" s="11" t="s">
        <v>203</v>
      </c>
      <c r="R217" s="11" t="s">
        <v>195</v>
      </c>
      <c r="S217" s="11" t="s">
        <v>279</v>
      </c>
      <c r="T217" s="11"/>
      <c r="U217" s="11"/>
      <c r="V217" s="11"/>
    </row>
    <row r="218" customFormat="false" ht="15" hidden="false" customHeight="false" outlineLevel="0" collapsed="false">
      <c r="A218" s="8" t="s">
        <v>188</v>
      </c>
      <c r="B218" s="8" t="s">
        <v>1316</v>
      </c>
      <c r="C218" s="8" t="s">
        <v>1317</v>
      </c>
      <c r="D218" s="8" t="s">
        <v>1318</v>
      </c>
      <c r="E218" s="8" t="s">
        <v>1319</v>
      </c>
      <c r="F218" s="8" t="s">
        <v>1320</v>
      </c>
      <c r="G218" s="8" t="n">
        <v>2604</v>
      </c>
      <c r="H218" s="8" t="s">
        <v>67</v>
      </c>
      <c r="I218" s="8" t="s">
        <v>1321</v>
      </c>
      <c r="J218" s="8" t="s">
        <v>1322</v>
      </c>
      <c r="K218" s="8" t="s">
        <v>104</v>
      </c>
      <c r="L218" s="8" t="s">
        <v>224</v>
      </c>
      <c r="M218" s="8" t="n">
        <v>45</v>
      </c>
      <c r="N218" s="8" t="s">
        <v>146</v>
      </c>
      <c r="O218" s="8" t="s">
        <v>203</v>
      </c>
      <c r="P218" s="8" t="s">
        <v>225</v>
      </c>
      <c r="Q218" s="8" t="s">
        <v>203</v>
      </c>
      <c r="R218" s="8" t="s">
        <v>195</v>
      </c>
      <c r="S218" s="8" t="s">
        <v>279</v>
      </c>
      <c r="T218" s="8"/>
      <c r="U218" s="8"/>
      <c r="V218" s="8"/>
    </row>
    <row r="219" customFormat="false" ht="15" hidden="false" customHeight="false" outlineLevel="0" collapsed="false">
      <c r="A219" s="11" t="s">
        <v>188</v>
      </c>
      <c r="B219" s="11" t="s">
        <v>1323</v>
      </c>
      <c r="C219" s="11" t="s">
        <v>1324</v>
      </c>
      <c r="D219" s="11" t="s">
        <v>1325</v>
      </c>
      <c r="E219" s="11" t="s">
        <v>1326</v>
      </c>
      <c r="F219" s="11" t="s">
        <v>1327</v>
      </c>
      <c r="G219" s="11" t="n">
        <v>2442</v>
      </c>
      <c r="H219" s="11" t="s">
        <v>67</v>
      </c>
      <c r="I219" s="11" t="s">
        <v>1328</v>
      </c>
      <c r="J219" s="11" t="s">
        <v>1329</v>
      </c>
      <c r="K219" s="11" t="s">
        <v>104</v>
      </c>
      <c r="L219" s="11" t="s">
        <v>207</v>
      </c>
      <c r="M219" s="11" t="n">
        <v>36</v>
      </c>
      <c r="N219" s="11" t="s">
        <v>146</v>
      </c>
      <c r="O219" s="11" t="s">
        <v>203</v>
      </c>
      <c r="P219" s="11" t="s">
        <v>225</v>
      </c>
      <c r="Q219" s="11" t="s">
        <v>203</v>
      </c>
      <c r="R219" s="11" t="s">
        <v>195</v>
      </c>
      <c r="S219" s="11" t="s">
        <v>279</v>
      </c>
      <c r="T219" s="11"/>
      <c r="U219" s="11"/>
      <c r="V219" s="11"/>
    </row>
    <row r="220" customFormat="false" ht="15" hidden="false" customHeight="false" outlineLevel="0" collapsed="false">
      <c r="A220" s="8" t="s">
        <v>188</v>
      </c>
      <c r="B220" s="8" t="s">
        <v>1330</v>
      </c>
      <c r="C220" s="8" t="s">
        <v>1331</v>
      </c>
      <c r="D220" s="8" t="s">
        <v>1332</v>
      </c>
      <c r="E220" s="8" t="s">
        <v>1333</v>
      </c>
      <c r="F220" s="8" t="s">
        <v>1334</v>
      </c>
      <c r="G220" s="8" t="n">
        <v>1067</v>
      </c>
      <c r="H220" s="8" t="s">
        <v>67</v>
      </c>
      <c r="I220" s="8" t="s">
        <v>1335</v>
      </c>
      <c r="J220" s="8" t="s">
        <v>1336</v>
      </c>
      <c r="K220" s="8" t="s">
        <v>104</v>
      </c>
      <c r="L220" s="8" t="s">
        <v>211</v>
      </c>
      <c r="M220" s="8" t="n">
        <v>28</v>
      </c>
      <c r="N220" s="8" t="s">
        <v>146</v>
      </c>
      <c r="O220" s="8" t="s">
        <v>203</v>
      </c>
      <c r="P220" s="8" t="s">
        <v>225</v>
      </c>
      <c r="Q220" s="8" t="s">
        <v>203</v>
      </c>
      <c r="R220" s="8" t="s">
        <v>195</v>
      </c>
      <c r="S220" s="8" t="s">
        <v>279</v>
      </c>
      <c r="T220" s="8"/>
      <c r="U220" s="8"/>
      <c r="V220" s="8"/>
    </row>
    <row r="221" customFormat="false" ht="15" hidden="false" customHeight="false" outlineLevel="0" collapsed="false">
      <c r="A221" s="11" t="s">
        <v>188</v>
      </c>
      <c r="B221" s="11" t="s">
        <v>1337</v>
      </c>
      <c r="C221" s="11" t="s">
        <v>1338</v>
      </c>
      <c r="D221" s="11" t="s">
        <v>1339</v>
      </c>
      <c r="E221" s="11" t="s">
        <v>1340</v>
      </c>
      <c r="F221" s="11" t="s">
        <v>1341</v>
      </c>
      <c r="G221" s="11" t="n">
        <v>523</v>
      </c>
      <c r="H221" s="11" t="s">
        <v>59</v>
      </c>
      <c r="I221" s="11" t="s">
        <v>357</v>
      </c>
      <c r="J221" s="11" t="s">
        <v>1342</v>
      </c>
      <c r="K221" s="11" t="s">
        <v>104</v>
      </c>
      <c r="L221" s="11" t="s">
        <v>211</v>
      </c>
      <c r="M221" s="11" t="n">
        <v>36</v>
      </c>
      <c r="N221" s="11" t="s">
        <v>146</v>
      </c>
      <c r="O221" s="11" t="s">
        <v>203</v>
      </c>
      <c r="P221" s="11" t="s">
        <v>225</v>
      </c>
      <c r="Q221" s="11" t="s">
        <v>203</v>
      </c>
      <c r="R221" s="11" t="s">
        <v>195</v>
      </c>
      <c r="S221" s="11" t="s">
        <v>279</v>
      </c>
      <c r="T221" s="11"/>
      <c r="U221" s="11"/>
      <c r="V221" s="11"/>
    </row>
    <row r="222" customFormat="false" ht="15" hidden="false" customHeight="false" outlineLevel="0" collapsed="false">
      <c r="A222" s="8" t="s">
        <v>188</v>
      </c>
      <c r="B222" s="8" t="s">
        <v>1343</v>
      </c>
      <c r="C222" s="8" t="s">
        <v>1344</v>
      </c>
      <c r="D222" s="8" t="s">
        <v>1345</v>
      </c>
      <c r="E222" s="8" t="s">
        <v>1346</v>
      </c>
      <c r="F222" s="8" t="s">
        <v>1347</v>
      </c>
      <c r="G222" s="8" t="n">
        <v>1178</v>
      </c>
      <c r="H222" s="8" t="s">
        <v>67</v>
      </c>
      <c r="I222" s="8" t="s">
        <v>1348</v>
      </c>
      <c r="J222" s="8" t="s">
        <v>1256</v>
      </c>
      <c r="K222" s="8" t="s">
        <v>104</v>
      </c>
      <c r="L222" s="8" t="s">
        <v>192</v>
      </c>
      <c r="M222" s="8" t="n">
        <v>32</v>
      </c>
      <c r="N222" s="8" t="s">
        <v>55</v>
      </c>
      <c r="O222" s="8" t="s">
        <v>203</v>
      </c>
      <c r="P222" s="8" t="s">
        <v>225</v>
      </c>
      <c r="Q222" s="8" t="s">
        <v>203</v>
      </c>
      <c r="R222" s="8" t="s">
        <v>195</v>
      </c>
      <c r="S222" s="8" t="s">
        <v>279</v>
      </c>
      <c r="T222" s="8"/>
      <c r="U222" s="8"/>
      <c r="V222" s="8"/>
    </row>
    <row r="223" customFormat="false" ht="15" hidden="false" customHeight="false" outlineLevel="0" collapsed="false">
      <c r="A223" s="11" t="s">
        <v>188</v>
      </c>
      <c r="B223" s="11" t="s">
        <v>1349</v>
      </c>
      <c r="C223" s="11" t="s">
        <v>1350</v>
      </c>
      <c r="D223" s="11" t="s">
        <v>1351</v>
      </c>
      <c r="E223" s="11" t="s">
        <v>1352</v>
      </c>
      <c r="F223" s="11" t="s">
        <v>1353</v>
      </c>
      <c r="G223" s="11" t="n">
        <v>1524</v>
      </c>
      <c r="H223" s="11" t="s">
        <v>67</v>
      </c>
      <c r="I223" s="11" t="s">
        <v>1354</v>
      </c>
      <c r="J223" s="11" t="s">
        <v>1355</v>
      </c>
      <c r="K223" s="11" t="s">
        <v>104</v>
      </c>
      <c r="L223" s="11" t="s">
        <v>207</v>
      </c>
      <c r="M223" s="11" t="n">
        <v>32</v>
      </c>
      <c r="N223" s="11" t="s">
        <v>55</v>
      </c>
      <c r="O223" s="11" t="s">
        <v>203</v>
      </c>
      <c r="P223" s="11" t="s">
        <v>225</v>
      </c>
      <c r="Q223" s="11" t="s">
        <v>203</v>
      </c>
      <c r="R223" s="11" t="s">
        <v>195</v>
      </c>
      <c r="S223" s="11" t="s">
        <v>279</v>
      </c>
      <c r="T223" s="11"/>
      <c r="U223" s="11"/>
      <c r="V223" s="11"/>
    </row>
    <row r="224" customFormat="false" ht="15" hidden="false" customHeight="false" outlineLevel="0" collapsed="false">
      <c r="A224" s="8" t="s">
        <v>188</v>
      </c>
      <c r="B224" s="8" t="s">
        <v>1356</v>
      </c>
      <c r="C224" s="8" t="s">
        <v>1357</v>
      </c>
      <c r="D224" s="8" t="s">
        <v>1358</v>
      </c>
      <c r="E224" s="8" t="s">
        <v>1359</v>
      </c>
      <c r="F224" s="8" t="s">
        <v>1360</v>
      </c>
      <c r="G224" s="8" t="n">
        <v>808</v>
      </c>
      <c r="H224" s="8" t="s">
        <v>67</v>
      </c>
      <c r="I224" s="8" t="s">
        <v>703</v>
      </c>
      <c r="J224" s="8" t="s">
        <v>1361</v>
      </c>
      <c r="K224" s="8" t="s">
        <v>104</v>
      </c>
      <c r="L224" s="8" t="s">
        <v>211</v>
      </c>
      <c r="M224" s="8" t="n">
        <v>40</v>
      </c>
      <c r="N224" s="8" t="s">
        <v>146</v>
      </c>
      <c r="O224" s="8" t="s">
        <v>203</v>
      </c>
      <c r="P224" s="8" t="s">
        <v>225</v>
      </c>
      <c r="Q224" s="8" t="s">
        <v>203</v>
      </c>
      <c r="R224" s="8" t="s">
        <v>195</v>
      </c>
      <c r="S224" s="8" t="s">
        <v>279</v>
      </c>
      <c r="T224" s="8"/>
      <c r="U224" s="8"/>
      <c r="V224" s="8"/>
    </row>
    <row r="225" customFormat="false" ht="15" hidden="false" customHeight="false" outlineLevel="0" collapsed="false">
      <c r="A225" s="11" t="s">
        <v>188</v>
      </c>
      <c r="B225" s="11" t="s">
        <v>1362</v>
      </c>
      <c r="C225" s="11" t="s">
        <v>1363</v>
      </c>
      <c r="D225" s="11" t="s">
        <v>1364</v>
      </c>
      <c r="E225" s="11" t="s">
        <v>1365</v>
      </c>
      <c r="F225" s="11" t="s">
        <v>1366</v>
      </c>
      <c r="G225" s="11" t="n">
        <v>1188</v>
      </c>
      <c r="H225" s="11" t="s">
        <v>67</v>
      </c>
      <c r="I225" s="11" t="s">
        <v>1367</v>
      </c>
      <c r="J225" s="11" t="s">
        <v>1368</v>
      </c>
      <c r="K225" s="11" t="s">
        <v>104</v>
      </c>
      <c r="L225" s="11" t="s">
        <v>211</v>
      </c>
      <c r="M225" s="11" t="n">
        <v>32</v>
      </c>
      <c r="N225" s="11" t="s">
        <v>55</v>
      </c>
      <c r="O225" s="11" t="s">
        <v>203</v>
      </c>
      <c r="P225" s="11" t="s">
        <v>225</v>
      </c>
      <c r="Q225" s="11" t="s">
        <v>203</v>
      </c>
      <c r="R225" s="11" t="s">
        <v>195</v>
      </c>
      <c r="S225" s="11" t="s">
        <v>279</v>
      </c>
      <c r="T225" s="11"/>
      <c r="U225" s="11"/>
      <c r="V225" s="11"/>
    </row>
    <row r="226" customFormat="false" ht="15" hidden="false" customHeight="false" outlineLevel="0" collapsed="false">
      <c r="A226" s="8" t="s">
        <v>188</v>
      </c>
      <c r="B226" s="8" t="s">
        <v>1369</v>
      </c>
      <c r="C226" s="8" t="s">
        <v>1370</v>
      </c>
      <c r="D226" s="8" t="s">
        <v>1364</v>
      </c>
      <c r="E226" s="8" t="s">
        <v>883</v>
      </c>
      <c r="F226" s="8" t="s">
        <v>884</v>
      </c>
      <c r="G226" s="8" t="n">
        <v>1653</v>
      </c>
      <c r="H226" s="8" t="s">
        <v>67</v>
      </c>
      <c r="I226" s="8" t="s">
        <v>885</v>
      </c>
      <c r="J226" s="8" t="s">
        <v>305</v>
      </c>
      <c r="K226" s="8" t="s">
        <v>104</v>
      </c>
      <c r="L226" s="8" t="s">
        <v>192</v>
      </c>
      <c r="M226" s="8" t="n">
        <v>24</v>
      </c>
      <c r="N226" s="8" t="s">
        <v>146</v>
      </c>
      <c r="O226" s="8" t="s">
        <v>203</v>
      </c>
      <c r="P226" s="8" t="s">
        <v>225</v>
      </c>
      <c r="Q226" s="8" t="s">
        <v>203</v>
      </c>
      <c r="R226" s="8" t="s">
        <v>195</v>
      </c>
      <c r="S226" s="8" t="s">
        <v>279</v>
      </c>
      <c r="T226" s="8"/>
      <c r="U226" s="8"/>
      <c r="V226" s="8"/>
    </row>
    <row r="227" customFormat="false" ht="15" hidden="false" customHeight="false" outlineLevel="0" collapsed="false">
      <c r="A227" s="11" t="s">
        <v>188</v>
      </c>
      <c r="B227" s="11" t="s">
        <v>1371</v>
      </c>
      <c r="C227" s="11" t="s">
        <v>1372</v>
      </c>
      <c r="D227" s="11" t="s">
        <v>1373</v>
      </c>
      <c r="E227" s="11" t="s">
        <v>1374</v>
      </c>
      <c r="F227" s="11" t="s">
        <v>1375</v>
      </c>
      <c r="G227" s="11" t="n">
        <v>1845</v>
      </c>
      <c r="H227" s="11" t="s">
        <v>67</v>
      </c>
      <c r="I227" s="11" t="s">
        <v>1265</v>
      </c>
      <c r="J227" s="11" t="s">
        <v>1376</v>
      </c>
      <c r="K227" s="11" t="s">
        <v>104</v>
      </c>
      <c r="L227" s="11" t="s">
        <v>207</v>
      </c>
      <c r="M227" s="11" t="n">
        <v>24</v>
      </c>
      <c r="N227" s="11" t="s">
        <v>79</v>
      </c>
      <c r="O227" s="11" t="s">
        <v>203</v>
      </c>
      <c r="P227" s="11" t="s">
        <v>225</v>
      </c>
      <c r="Q227" s="11" t="s">
        <v>203</v>
      </c>
      <c r="R227" s="11" t="s">
        <v>195</v>
      </c>
      <c r="S227" s="11" t="s">
        <v>279</v>
      </c>
      <c r="T227" s="11"/>
      <c r="U227" s="11"/>
      <c r="V227" s="11"/>
    </row>
    <row r="228" customFormat="false" ht="15" hidden="false" customHeight="false" outlineLevel="0" collapsed="false">
      <c r="A228" s="8" t="s">
        <v>188</v>
      </c>
      <c r="B228" s="8" t="s">
        <v>1377</v>
      </c>
      <c r="C228" s="8" t="s">
        <v>1378</v>
      </c>
      <c r="D228" s="8" t="s">
        <v>1379</v>
      </c>
      <c r="E228" s="8" t="s">
        <v>1380</v>
      </c>
      <c r="F228" s="8" t="s">
        <v>1381</v>
      </c>
      <c r="G228" s="8" t="n">
        <v>578</v>
      </c>
      <c r="H228" s="8" t="s">
        <v>67</v>
      </c>
      <c r="I228" s="8" t="s">
        <v>1382</v>
      </c>
      <c r="J228" s="8" t="s">
        <v>1383</v>
      </c>
      <c r="K228" s="8" t="s">
        <v>104</v>
      </c>
      <c r="L228" s="8" t="s">
        <v>211</v>
      </c>
      <c r="M228" s="8" t="n">
        <v>32</v>
      </c>
      <c r="N228" s="8" t="s">
        <v>146</v>
      </c>
      <c r="O228" s="8" t="s">
        <v>203</v>
      </c>
      <c r="P228" s="8" t="s">
        <v>225</v>
      </c>
      <c r="Q228" s="8" t="s">
        <v>203</v>
      </c>
      <c r="R228" s="8" t="s">
        <v>195</v>
      </c>
      <c r="S228" s="8" t="s">
        <v>279</v>
      </c>
      <c r="T228" s="8"/>
      <c r="U228" s="8"/>
      <c r="V228" s="8"/>
    </row>
    <row r="229" customFormat="false" ht="15" hidden="false" customHeight="false" outlineLevel="0" collapsed="false">
      <c r="A229" s="11" t="s">
        <v>188</v>
      </c>
      <c r="B229" s="11" t="s">
        <v>1384</v>
      </c>
      <c r="C229" s="11" t="s">
        <v>1385</v>
      </c>
      <c r="D229" s="11" t="s">
        <v>899</v>
      </c>
      <c r="E229" s="11" t="s">
        <v>1386</v>
      </c>
      <c r="F229" s="11" t="s">
        <v>1387</v>
      </c>
      <c r="G229" s="11" t="n">
        <v>1693</v>
      </c>
      <c r="H229" s="11" t="s">
        <v>67</v>
      </c>
      <c r="I229" s="11" t="s">
        <v>1388</v>
      </c>
      <c r="J229" s="11" t="s">
        <v>1389</v>
      </c>
      <c r="K229" s="11" t="s">
        <v>104</v>
      </c>
      <c r="L229" s="11" t="s">
        <v>200</v>
      </c>
      <c r="M229" s="11" t="n">
        <v>36</v>
      </c>
      <c r="N229" s="11" t="s">
        <v>64</v>
      </c>
      <c r="O229" s="11" t="s">
        <v>203</v>
      </c>
      <c r="P229" s="11" t="s">
        <v>225</v>
      </c>
      <c r="Q229" s="11" t="s">
        <v>203</v>
      </c>
      <c r="R229" s="11" t="s">
        <v>195</v>
      </c>
      <c r="S229" s="11" t="s">
        <v>279</v>
      </c>
      <c r="T229" s="11"/>
      <c r="U229" s="11"/>
      <c r="V229" s="11"/>
    </row>
    <row r="230" customFormat="false" ht="15" hidden="false" customHeight="false" outlineLevel="0" collapsed="false">
      <c r="A230" s="8" t="s">
        <v>188</v>
      </c>
      <c r="B230" s="8" t="s">
        <v>1390</v>
      </c>
      <c r="C230" s="8" t="s">
        <v>1391</v>
      </c>
      <c r="D230" s="8" t="s">
        <v>1392</v>
      </c>
      <c r="E230" s="8" t="s">
        <v>1393</v>
      </c>
      <c r="F230" s="8" t="s">
        <v>1394</v>
      </c>
      <c r="G230" s="8" t="n">
        <v>328</v>
      </c>
      <c r="H230" s="8" t="s">
        <v>59</v>
      </c>
      <c r="I230" s="8" t="s">
        <v>1395</v>
      </c>
      <c r="J230" s="8" t="s">
        <v>1396</v>
      </c>
      <c r="K230" s="8" t="s">
        <v>104</v>
      </c>
      <c r="L230" s="8" t="s">
        <v>207</v>
      </c>
      <c r="M230" s="8" t="n">
        <v>70</v>
      </c>
      <c r="N230" s="8" t="s">
        <v>55</v>
      </c>
      <c r="O230" s="8" t="s">
        <v>203</v>
      </c>
      <c r="P230" s="8" t="s">
        <v>225</v>
      </c>
      <c r="Q230" s="8" t="s">
        <v>203</v>
      </c>
      <c r="R230" s="8" t="s">
        <v>195</v>
      </c>
      <c r="S230" s="8" t="s">
        <v>279</v>
      </c>
      <c r="T230" s="8"/>
      <c r="U230" s="8"/>
      <c r="V230" s="8"/>
    </row>
    <row r="231" customFormat="false" ht="15" hidden="false" customHeight="false" outlineLevel="0" collapsed="false">
      <c r="A231" s="11" t="s">
        <v>188</v>
      </c>
      <c r="B231" s="11" t="s">
        <v>1397</v>
      </c>
      <c r="C231" s="11" t="s">
        <v>1398</v>
      </c>
      <c r="D231" s="11" t="s">
        <v>1399</v>
      </c>
      <c r="E231" s="11" t="s">
        <v>1400</v>
      </c>
      <c r="F231" s="11" t="s">
        <v>1401</v>
      </c>
      <c r="G231" s="11" t="n">
        <v>2662</v>
      </c>
      <c r="H231" s="11" t="s">
        <v>114</v>
      </c>
      <c r="I231" s="11" t="s">
        <v>1402</v>
      </c>
      <c r="J231" s="11" t="s">
        <v>1403</v>
      </c>
      <c r="K231" s="11" t="s">
        <v>104</v>
      </c>
      <c r="L231" s="11" t="s">
        <v>200</v>
      </c>
      <c r="M231" s="11" t="n">
        <v>28</v>
      </c>
      <c r="N231" s="11" t="s">
        <v>146</v>
      </c>
      <c r="O231" s="11" t="s">
        <v>203</v>
      </c>
      <c r="P231" s="11" t="s">
        <v>225</v>
      </c>
      <c r="Q231" s="11" t="s">
        <v>203</v>
      </c>
      <c r="R231" s="11" t="s">
        <v>195</v>
      </c>
      <c r="S231" s="11" t="s">
        <v>279</v>
      </c>
      <c r="T231" s="11"/>
      <c r="U231" s="11"/>
      <c r="V231" s="11"/>
    </row>
    <row r="232" customFormat="false" ht="15" hidden="false" customHeight="false" outlineLevel="0" collapsed="false">
      <c r="A232" s="8" t="s">
        <v>188</v>
      </c>
      <c r="B232" s="8" t="s">
        <v>1404</v>
      </c>
      <c r="C232" s="8" t="s">
        <v>1405</v>
      </c>
      <c r="D232" s="8" t="s">
        <v>1406</v>
      </c>
      <c r="E232" s="8" t="s">
        <v>1407</v>
      </c>
      <c r="F232" s="8" t="s">
        <v>1408</v>
      </c>
      <c r="G232" s="8" t="n">
        <v>472</v>
      </c>
      <c r="H232" s="8" t="s">
        <v>67</v>
      </c>
      <c r="I232" s="8" t="s">
        <v>1409</v>
      </c>
      <c r="J232" s="8" t="s">
        <v>1410</v>
      </c>
      <c r="K232" s="8" t="s">
        <v>104</v>
      </c>
      <c r="L232" s="8" t="s">
        <v>207</v>
      </c>
      <c r="M232" s="8" t="n">
        <v>28</v>
      </c>
      <c r="N232" s="8" t="s">
        <v>64</v>
      </c>
      <c r="O232" s="8" t="s">
        <v>203</v>
      </c>
      <c r="P232" s="8" t="s">
        <v>225</v>
      </c>
      <c r="Q232" s="8" t="s">
        <v>203</v>
      </c>
      <c r="R232" s="8" t="s">
        <v>195</v>
      </c>
      <c r="S232" s="8" t="s">
        <v>279</v>
      </c>
      <c r="T232" s="8"/>
      <c r="U232" s="8"/>
      <c r="V232" s="8"/>
    </row>
    <row r="233" customFormat="false" ht="15" hidden="false" customHeight="false" outlineLevel="0" collapsed="false">
      <c r="A233" s="11" t="s">
        <v>188</v>
      </c>
      <c r="B233" s="11" t="s">
        <v>1411</v>
      </c>
      <c r="C233" s="11" t="s">
        <v>1412</v>
      </c>
      <c r="D233" s="11" t="s">
        <v>1406</v>
      </c>
      <c r="E233" s="11" t="s">
        <v>1413</v>
      </c>
      <c r="F233" s="11" t="s">
        <v>1414</v>
      </c>
      <c r="G233" s="11" t="n">
        <v>2839</v>
      </c>
      <c r="H233" s="11" t="s">
        <v>67</v>
      </c>
      <c r="I233" s="11" t="s">
        <v>1415</v>
      </c>
      <c r="J233" s="11" t="s">
        <v>1416</v>
      </c>
      <c r="K233" s="11" t="s">
        <v>104</v>
      </c>
      <c r="L233" s="11" t="s">
        <v>224</v>
      </c>
      <c r="M233" s="11" t="n">
        <v>36</v>
      </c>
      <c r="N233" s="11" t="s">
        <v>55</v>
      </c>
      <c r="O233" s="11" t="s">
        <v>203</v>
      </c>
      <c r="P233" s="11" t="s">
        <v>225</v>
      </c>
      <c r="Q233" s="11" t="s">
        <v>203</v>
      </c>
      <c r="R233" s="11" t="s">
        <v>195</v>
      </c>
      <c r="S233" s="11" t="s">
        <v>279</v>
      </c>
      <c r="T233" s="11"/>
      <c r="U233" s="11"/>
      <c r="V233" s="11"/>
    </row>
    <row r="234" customFormat="false" ht="15" hidden="false" customHeight="false" outlineLevel="0" collapsed="false">
      <c r="A234" s="8" t="s">
        <v>188</v>
      </c>
      <c r="B234" s="8" t="s">
        <v>1417</v>
      </c>
      <c r="C234" s="8" t="s">
        <v>1418</v>
      </c>
      <c r="D234" s="8" t="s">
        <v>1419</v>
      </c>
      <c r="E234" s="8" t="s">
        <v>1420</v>
      </c>
      <c r="F234" s="8" t="s">
        <v>1421</v>
      </c>
      <c r="G234" s="8" t="n">
        <v>2360</v>
      </c>
      <c r="H234" s="8" t="s">
        <v>67</v>
      </c>
      <c r="I234" s="8" t="s">
        <v>1422</v>
      </c>
      <c r="J234" s="8" t="s">
        <v>1423</v>
      </c>
      <c r="K234" s="8" t="s">
        <v>104</v>
      </c>
      <c r="L234" s="8" t="s">
        <v>224</v>
      </c>
      <c r="M234" s="8" t="n">
        <v>40</v>
      </c>
      <c r="N234" s="8" t="s">
        <v>146</v>
      </c>
      <c r="O234" s="8" t="s">
        <v>203</v>
      </c>
      <c r="P234" s="8" t="s">
        <v>225</v>
      </c>
      <c r="Q234" s="8" t="s">
        <v>203</v>
      </c>
      <c r="R234" s="8" t="s">
        <v>195</v>
      </c>
      <c r="S234" s="8" t="s">
        <v>279</v>
      </c>
      <c r="T234" s="8"/>
      <c r="U234" s="8"/>
      <c r="V234" s="8"/>
    </row>
    <row r="235" customFormat="false" ht="15" hidden="false" customHeight="false" outlineLevel="0" collapsed="false">
      <c r="A235" s="11" t="s">
        <v>188</v>
      </c>
      <c r="B235" s="11" t="s">
        <v>1424</v>
      </c>
      <c r="C235" s="11" t="s">
        <v>1425</v>
      </c>
      <c r="D235" s="11" t="s">
        <v>1426</v>
      </c>
      <c r="E235" s="11" t="s">
        <v>143</v>
      </c>
      <c r="F235" s="11" t="s">
        <v>144</v>
      </c>
      <c r="G235" s="11" t="n">
        <v>2094</v>
      </c>
      <c r="H235" s="11" t="s">
        <v>67</v>
      </c>
      <c r="I235" s="11" t="s">
        <v>255</v>
      </c>
      <c r="J235" s="11" t="s">
        <v>1361</v>
      </c>
      <c r="K235" s="11" t="s">
        <v>104</v>
      </c>
      <c r="L235" s="11" t="s">
        <v>211</v>
      </c>
      <c r="M235" s="11" t="n">
        <v>40</v>
      </c>
      <c r="N235" s="11" t="s">
        <v>55</v>
      </c>
      <c r="O235" s="11" t="s">
        <v>203</v>
      </c>
      <c r="P235" s="11" t="s">
        <v>225</v>
      </c>
      <c r="Q235" s="11" t="s">
        <v>203</v>
      </c>
      <c r="R235" s="11" t="s">
        <v>195</v>
      </c>
      <c r="S235" s="11" t="s">
        <v>279</v>
      </c>
      <c r="T235" s="11"/>
      <c r="U235" s="11"/>
      <c r="V235" s="11"/>
    </row>
    <row r="236" customFormat="false" ht="15" hidden="false" customHeight="false" outlineLevel="0" collapsed="false">
      <c r="A236" s="8" t="s">
        <v>188</v>
      </c>
      <c r="B236" s="8" t="s">
        <v>1427</v>
      </c>
      <c r="C236" s="8" t="s">
        <v>1428</v>
      </c>
      <c r="D236" s="8" t="s">
        <v>1429</v>
      </c>
      <c r="E236" s="8" t="s">
        <v>1021</v>
      </c>
      <c r="F236" s="8" t="s">
        <v>1022</v>
      </c>
      <c r="G236" s="8" t="n">
        <v>1013</v>
      </c>
      <c r="H236" s="8" t="s">
        <v>67</v>
      </c>
      <c r="I236" s="8" t="s">
        <v>1023</v>
      </c>
      <c r="J236" s="8" t="s">
        <v>1430</v>
      </c>
      <c r="K236" s="8" t="s">
        <v>104</v>
      </c>
      <c r="L236" s="8" t="s">
        <v>211</v>
      </c>
      <c r="M236" s="8" t="n">
        <v>40</v>
      </c>
      <c r="N236" s="8" t="s">
        <v>146</v>
      </c>
      <c r="O236" s="8" t="s">
        <v>203</v>
      </c>
      <c r="P236" s="8" t="s">
        <v>225</v>
      </c>
      <c r="Q236" s="8" t="s">
        <v>203</v>
      </c>
      <c r="R236" s="8" t="s">
        <v>195</v>
      </c>
      <c r="S236" s="8" t="s">
        <v>279</v>
      </c>
      <c r="T236" s="8"/>
      <c r="U236" s="8"/>
      <c r="V236" s="8"/>
    </row>
    <row r="237" customFormat="false" ht="15" hidden="false" customHeight="false" outlineLevel="0" collapsed="false">
      <c r="A237" s="11" t="s">
        <v>188</v>
      </c>
      <c r="B237" s="11" t="s">
        <v>1431</v>
      </c>
      <c r="C237" s="11" t="s">
        <v>1432</v>
      </c>
      <c r="D237" s="11" t="s">
        <v>1429</v>
      </c>
      <c r="E237" s="11" t="s">
        <v>1433</v>
      </c>
      <c r="F237" s="11" t="s">
        <v>1434</v>
      </c>
      <c r="G237" s="11" t="n">
        <v>2047</v>
      </c>
      <c r="H237" s="11" t="s">
        <v>67</v>
      </c>
      <c r="I237" s="11" t="s">
        <v>1435</v>
      </c>
      <c r="J237" s="11" t="s">
        <v>1436</v>
      </c>
      <c r="K237" s="11" t="s">
        <v>104</v>
      </c>
      <c r="L237" s="11" t="s">
        <v>224</v>
      </c>
      <c r="M237" s="11" t="n">
        <v>24</v>
      </c>
      <c r="N237" s="11" t="s">
        <v>64</v>
      </c>
      <c r="O237" s="11" t="s">
        <v>203</v>
      </c>
      <c r="P237" s="11" t="s">
        <v>225</v>
      </c>
      <c r="Q237" s="11" t="s">
        <v>203</v>
      </c>
      <c r="R237" s="11" t="s">
        <v>195</v>
      </c>
      <c r="S237" s="11" t="s">
        <v>279</v>
      </c>
      <c r="T237" s="11"/>
      <c r="U237" s="11"/>
      <c r="V237" s="11"/>
    </row>
    <row r="238" customFormat="false" ht="15" hidden="false" customHeight="false" outlineLevel="0" collapsed="false">
      <c r="A238" s="8" t="s">
        <v>188</v>
      </c>
      <c r="B238" s="8" t="s">
        <v>1437</v>
      </c>
      <c r="C238" s="8" t="s">
        <v>1438</v>
      </c>
      <c r="D238" s="8" t="s">
        <v>1439</v>
      </c>
      <c r="E238" s="8" t="s">
        <v>1440</v>
      </c>
      <c r="F238" s="8" t="s">
        <v>1441</v>
      </c>
      <c r="G238" s="8" t="n">
        <v>1356</v>
      </c>
      <c r="H238" s="8" t="s">
        <v>67</v>
      </c>
      <c r="I238" s="8" t="s">
        <v>1008</v>
      </c>
      <c r="J238" s="8" t="s">
        <v>1442</v>
      </c>
      <c r="K238" s="8" t="s">
        <v>104</v>
      </c>
      <c r="L238" s="8" t="s">
        <v>207</v>
      </c>
      <c r="M238" s="8" t="n">
        <v>24</v>
      </c>
      <c r="N238" s="8" t="s">
        <v>64</v>
      </c>
      <c r="O238" s="8" t="s">
        <v>203</v>
      </c>
      <c r="P238" s="8" t="s">
        <v>225</v>
      </c>
      <c r="Q238" s="8" t="s">
        <v>203</v>
      </c>
      <c r="R238" s="8" t="s">
        <v>195</v>
      </c>
      <c r="S238" s="8" t="s">
        <v>279</v>
      </c>
      <c r="T238" s="8"/>
      <c r="U238" s="8"/>
      <c r="V238" s="8"/>
    </row>
    <row r="239" customFormat="false" ht="15" hidden="false" customHeight="false" outlineLevel="0" collapsed="false">
      <c r="A239" s="11" t="s">
        <v>188</v>
      </c>
      <c r="B239" s="11" t="s">
        <v>1443</v>
      </c>
      <c r="C239" s="11" t="s">
        <v>1444</v>
      </c>
      <c r="D239" s="11" t="s">
        <v>1445</v>
      </c>
      <c r="E239" s="11" t="s">
        <v>1446</v>
      </c>
      <c r="F239" s="11" t="s">
        <v>1447</v>
      </c>
      <c r="G239" s="11" t="n">
        <v>151</v>
      </c>
      <c r="H239" s="11" t="s">
        <v>114</v>
      </c>
      <c r="I239" s="11" t="s">
        <v>1448</v>
      </c>
      <c r="J239" s="11" t="s">
        <v>1449</v>
      </c>
      <c r="K239" s="11" t="s">
        <v>104</v>
      </c>
      <c r="L239" s="11" t="s">
        <v>207</v>
      </c>
      <c r="M239" s="11" t="n">
        <v>24</v>
      </c>
      <c r="N239" s="11" t="s">
        <v>146</v>
      </c>
      <c r="O239" s="11" t="s">
        <v>203</v>
      </c>
      <c r="P239" s="11" t="s">
        <v>225</v>
      </c>
      <c r="Q239" s="11" t="s">
        <v>203</v>
      </c>
      <c r="R239" s="11" t="s">
        <v>195</v>
      </c>
      <c r="S239" s="11" t="s">
        <v>279</v>
      </c>
      <c r="T239" s="11"/>
      <c r="U239" s="11"/>
      <c r="V239" s="11"/>
    </row>
    <row r="240" customFormat="false" ht="15" hidden="false" customHeight="false" outlineLevel="0" collapsed="false">
      <c r="A240" s="8" t="s">
        <v>188</v>
      </c>
      <c r="B240" s="8" t="s">
        <v>1450</v>
      </c>
      <c r="C240" s="8" t="s">
        <v>1451</v>
      </c>
      <c r="D240" s="8" t="s">
        <v>1452</v>
      </c>
      <c r="E240" s="8" t="s">
        <v>1453</v>
      </c>
      <c r="F240" s="8" t="s">
        <v>1454</v>
      </c>
      <c r="G240" s="8" t="n">
        <v>1698</v>
      </c>
      <c r="H240" s="8" t="s">
        <v>67</v>
      </c>
      <c r="I240" s="8" t="s">
        <v>1455</v>
      </c>
      <c r="J240" s="8" t="s">
        <v>1456</v>
      </c>
      <c r="K240" s="8" t="s">
        <v>104</v>
      </c>
      <c r="L240" s="8" t="s">
        <v>200</v>
      </c>
      <c r="M240" s="8" t="n">
        <v>32</v>
      </c>
      <c r="N240" s="8" t="s">
        <v>64</v>
      </c>
      <c r="O240" s="8" t="s">
        <v>203</v>
      </c>
      <c r="P240" s="8" t="s">
        <v>225</v>
      </c>
      <c r="Q240" s="8" t="s">
        <v>203</v>
      </c>
      <c r="R240" s="8" t="s">
        <v>195</v>
      </c>
      <c r="S240" s="8" t="s">
        <v>279</v>
      </c>
      <c r="T240" s="8"/>
      <c r="U240" s="8"/>
      <c r="V240" s="8"/>
    </row>
    <row r="241" customFormat="false" ht="15" hidden="false" customHeight="false" outlineLevel="0" collapsed="false">
      <c r="A241" s="11" t="s">
        <v>188</v>
      </c>
      <c r="B241" s="11" t="s">
        <v>1457</v>
      </c>
      <c r="C241" s="11" t="s">
        <v>1458</v>
      </c>
      <c r="D241" s="11" t="s">
        <v>1459</v>
      </c>
      <c r="E241" s="11" t="s">
        <v>1460</v>
      </c>
      <c r="F241" s="11" t="s">
        <v>1461</v>
      </c>
      <c r="G241" s="11" t="n">
        <v>333</v>
      </c>
      <c r="H241" s="11" t="s">
        <v>59</v>
      </c>
      <c r="I241" s="11" t="s">
        <v>1462</v>
      </c>
      <c r="J241" s="11" t="s">
        <v>1463</v>
      </c>
      <c r="K241" s="11" t="s">
        <v>104</v>
      </c>
      <c r="L241" s="11" t="s">
        <v>211</v>
      </c>
      <c r="M241" s="11" t="n">
        <v>32</v>
      </c>
      <c r="N241" s="11" t="s">
        <v>146</v>
      </c>
      <c r="O241" s="11" t="s">
        <v>203</v>
      </c>
      <c r="P241" s="11" t="s">
        <v>225</v>
      </c>
      <c r="Q241" s="11" t="s">
        <v>203</v>
      </c>
      <c r="R241" s="11" t="s">
        <v>1464</v>
      </c>
      <c r="S241" s="11" t="s">
        <v>279</v>
      </c>
      <c r="T241" s="11"/>
      <c r="U241" s="11"/>
      <c r="V241" s="11"/>
    </row>
    <row r="242" customFormat="false" ht="15" hidden="false" customHeight="false" outlineLevel="0" collapsed="false">
      <c r="A242" s="8" t="s">
        <v>188</v>
      </c>
      <c r="B242" s="8" t="s">
        <v>1465</v>
      </c>
      <c r="C242" s="8" t="s">
        <v>1466</v>
      </c>
      <c r="D242" s="8" t="s">
        <v>1459</v>
      </c>
      <c r="E242" s="8" t="s">
        <v>1467</v>
      </c>
      <c r="F242" s="8" t="s">
        <v>1468</v>
      </c>
      <c r="G242" s="8" t="n">
        <v>1747</v>
      </c>
      <c r="H242" s="8" t="s">
        <v>67</v>
      </c>
      <c r="I242" s="8" t="s">
        <v>1469</v>
      </c>
      <c r="J242" s="8" t="s">
        <v>1470</v>
      </c>
      <c r="K242" s="8" t="s">
        <v>104</v>
      </c>
      <c r="L242" s="8" t="s">
        <v>192</v>
      </c>
      <c r="M242" s="8" t="n">
        <v>45</v>
      </c>
      <c r="N242" s="8" t="s">
        <v>64</v>
      </c>
      <c r="O242" s="8" t="s">
        <v>203</v>
      </c>
      <c r="P242" s="8" t="s">
        <v>225</v>
      </c>
      <c r="Q242" s="8" t="s">
        <v>203</v>
      </c>
      <c r="R242" s="8" t="s">
        <v>1471</v>
      </c>
      <c r="S242" s="8" t="s">
        <v>279</v>
      </c>
      <c r="T242" s="8"/>
      <c r="U242" s="8"/>
      <c r="V242" s="8"/>
    </row>
    <row r="243" customFormat="false" ht="15" hidden="false" customHeight="false" outlineLevel="0" collapsed="false">
      <c r="A243" s="11" t="s">
        <v>188</v>
      </c>
      <c r="B243" s="11" t="s">
        <v>1472</v>
      </c>
      <c r="C243" s="11" t="s">
        <v>1473</v>
      </c>
      <c r="D243" s="11" t="s">
        <v>1474</v>
      </c>
      <c r="E243" s="11" t="s">
        <v>1475</v>
      </c>
      <c r="F243" s="11" t="s">
        <v>1476</v>
      </c>
      <c r="G243" s="11" t="n">
        <v>1314</v>
      </c>
      <c r="H243" s="11" t="s">
        <v>67</v>
      </c>
      <c r="I243" s="11" t="s">
        <v>1477</v>
      </c>
      <c r="J243" s="11" t="s">
        <v>1478</v>
      </c>
      <c r="K243" s="11" t="s">
        <v>104</v>
      </c>
      <c r="L243" s="11" t="s">
        <v>211</v>
      </c>
      <c r="M243" s="11" t="n">
        <v>28</v>
      </c>
      <c r="N243" s="11" t="s">
        <v>146</v>
      </c>
      <c r="O243" s="11" t="s">
        <v>203</v>
      </c>
      <c r="P243" s="11" t="s">
        <v>225</v>
      </c>
      <c r="Q243" s="11" t="s">
        <v>203</v>
      </c>
      <c r="R243" s="11" t="s">
        <v>195</v>
      </c>
      <c r="S243" s="11" t="s">
        <v>279</v>
      </c>
      <c r="T243" s="11"/>
      <c r="U243" s="11"/>
      <c r="V243" s="11"/>
    </row>
    <row r="244" customFormat="false" ht="15" hidden="false" customHeight="false" outlineLevel="0" collapsed="false">
      <c r="A244" s="8" t="s">
        <v>188</v>
      </c>
      <c r="B244" s="8" t="s">
        <v>1479</v>
      </c>
      <c r="C244" s="8" t="s">
        <v>1480</v>
      </c>
      <c r="D244" s="8" t="s">
        <v>1481</v>
      </c>
      <c r="E244" s="8" t="s">
        <v>1482</v>
      </c>
      <c r="F244" s="8" t="s">
        <v>1483</v>
      </c>
      <c r="G244" s="8" t="n">
        <v>813</v>
      </c>
      <c r="H244" s="8" t="s">
        <v>67</v>
      </c>
      <c r="I244" s="8" t="s">
        <v>1484</v>
      </c>
      <c r="J244" s="8" t="s">
        <v>1485</v>
      </c>
      <c r="K244" s="8" t="s">
        <v>104</v>
      </c>
      <c r="L244" s="8" t="s">
        <v>192</v>
      </c>
      <c r="M244" s="8" t="n">
        <v>50</v>
      </c>
      <c r="N244" s="8" t="s">
        <v>146</v>
      </c>
      <c r="O244" s="8" t="s">
        <v>203</v>
      </c>
      <c r="P244" s="8" t="s">
        <v>225</v>
      </c>
      <c r="Q244" s="8" t="s">
        <v>203</v>
      </c>
      <c r="R244" s="8" t="s">
        <v>195</v>
      </c>
      <c r="S244" s="8" t="s">
        <v>279</v>
      </c>
      <c r="T244" s="8"/>
      <c r="U244" s="8"/>
      <c r="V244" s="8"/>
    </row>
    <row r="245" customFormat="false" ht="15" hidden="false" customHeight="false" outlineLevel="0" collapsed="false">
      <c r="A245" s="11" t="s">
        <v>188</v>
      </c>
      <c r="B245" s="11" t="s">
        <v>1486</v>
      </c>
      <c r="C245" s="11" t="s">
        <v>1487</v>
      </c>
      <c r="D245" s="11" t="s">
        <v>1488</v>
      </c>
      <c r="E245" s="11" t="s">
        <v>1489</v>
      </c>
      <c r="F245" s="11" t="s">
        <v>1490</v>
      </c>
      <c r="G245" s="11" t="n">
        <v>2579</v>
      </c>
      <c r="H245" s="11" t="s">
        <v>67</v>
      </c>
      <c r="I245" s="11" t="s">
        <v>1491</v>
      </c>
      <c r="J245" s="11" t="s">
        <v>1492</v>
      </c>
      <c r="K245" s="11" t="s">
        <v>104</v>
      </c>
      <c r="L245" s="11" t="s">
        <v>211</v>
      </c>
      <c r="M245" s="11" t="n">
        <v>28</v>
      </c>
      <c r="N245" s="11" t="s">
        <v>79</v>
      </c>
      <c r="O245" s="11" t="s">
        <v>203</v>
      </c>
      <c r="P245" s="11" t="s">
        <v>225</v>
      </c>
      <c r="Q245" s="11" t="s">
        <v>203</v>
      </c>
      <c r="R245" s="11" t="s">
        <v>195</v>
      </c>
      <c r="S245" s="11" t="s">
        <v>279</v>
      </c>
      <c r="T245" s="11"/>
      <c r="U245" s="11"/>
      <c r="V245" s="11"/>
    </row>
    <row r="246" customFormat="false" ht="15" hidden="false" customHeight="false" outlineLevel="0" collapsed="false">
      <c r="A246" s="8" t="s">
        <v>188</v>
      </c>
      <c r="B246" s="8" t="s">
        <v>1493</v>
      </c>
      <c r="C246" s="8" t="s">
        <v>1494</v>
      </c>
      <c r="D246" s="8" t="s">
        <v>1249</v>
      </c>
      <c r="E246" s="8" t="s">
        <v>1495</v>
      </c>
      <c r="F246" s="8" t="s">
        <v>1496</v>
      </c>
      <c r="G246" s="8" t="n">
        <v>2516</v>
      </c>
      <c r="H246" s="8" t="s">
        <v>67</v>
      </c>
      <c r="I246" s="8" t="s">
        <v>1497</v>
      </c>
      <c r="J246" s="8" t="s">
        <v>1498</v>
      </c>
      <c r="K246" s="8" t="s">
        <v>104</v>
      </c>
      <c r="L246" s="8" t="s">
        <v>200</v>
      </c>
      <c r="M246" s="8" t="n">
        <v>32</v>
      </c>
      <c r="N246" s="8" t="s">
        <v>64</v>
      </c>
      <c r="O246" s="8" t="s">
        <v>203</v>
      </c>
      <c r="P246" s="8" t="s">
        <v>225</v>
      </c>
      <c r="Q246" s="8" t="s">
        <v>203</v>
      </c>
      <c r="R246" s="8" t="s">
        <v>195</v>
      </c>
      <c r="S246" s="8" t="s">
        <v>279</v>
      </c>
      <c r="T246" s="8"/>
      <c r="U246" s="8"/>
      <c r="V246" s="8"/>
    </row>
    <row r="247" customFormat="false" ht="15" hidden="false" customHeight="false" outlineLevel="0" collapsed="false">
      <c r="A247" s="11" t="s">
        <v>188</v>
      </c>
      <c r="B247" s="11" t="s">
        <v>1499</v>
      </c>
      <c r="C247" s="11" t="s">
        <v>1500</v>
      </c>
      <c r="D247" s="11" t="s">
        <v>1501</v>
      </c>
      <c r="E247" s="11" t="s">
        <v>1502</v>
      </c>
      <c r="F247" s="11" t="s">
        <v>1503</v>
      </c>
      <c r="G247" s="11" t="n">
        <v>2248</v>
      </c>
      <c r="H247" s="11" t="s">
        <v>67</v>
      </c>
      <c r="I247" s="11" t="s">
        <v>1504</v>
      </c>
      <c r="J247" s="11" t="s">
        <v>1505</v>
      </c>
      <c r="K247" s="11" t="s">
        <v>104</v>
      </c>
      <c r="L247" s="11" t="s">
        <v>211</v>
      </c>
      <c r="M247" s="11" t="n">
        <v>24</v>
      </c>
      <c r="N247" s="11" t="s">
        <v>64</v>
      </c>
      <c r="O247" s="11" t="s">
        <v>203</v>
      </c>
      <c r="P247" s="11" t="s">
        <v>225</v>
      </c>
      <c r="Q247" s="11" t="s">
        <v>203</v>
      </c>
      <c r="R247" s="11" t="s">
        <v>195</v>
      </c>
      <c r="S247" s="11" t="s">
        <v>279</v>
      </c>
      <c r="T247" s="11"/>
      <c r="U247" s="11"/>
      <c r="V247" s="11"/>
    </row>
    <row r="248" customFormat="false" ht="15" hidden="false" customHeight="false" outlineLevel="0" collapsed="false">
      <c r="A248" s="8" t="s">
        <v>188</v>
      </c>
      <c r="B248" s="8" t="s">
        <v>1506</v>
      </c>
      <c r="C248" s="8" t="s">
        <v>1507</v>
      </c>
      <c r="D248" s="8" t="s">
        <v>1508</v>
      </c>
      <c r="E248" s="8" t="s">
        <v>1509</v>
      </c>
      <c r="F248" s="8" t="s">
        <v>1510</v>
      </c>
      <c r="G248" s="8" t="n">
        <v>2526</v>
      </c>
      <c r="H248" s="8" t="s">
        <v>67</v>
      </c>
      <c r="I248" s="8" t="s">
        <v>1511</v>
      </c>
      <c r="J248" s="8" t="s">
        <v>1355</v>
      </c>
      <c r="K248" s="8" t="s">
        <v>104</v>
      </c>
      <c r="L248" s="8" t="s">
        <v>207</v>
      </c>
      <c r="M248" s="8" t="n">
        <v>32</v>
      </c>
      <c r="N248" s="8" t="s">
        <v>64</v>
      </c>
      <c r="O248" s="8" t="s">
        <v>203</v>
      </c>
      <c r="P248" s="8" t="s">
        <v>225</v>
      </c>
      <c r="Q248" s="8" t="s">
        <v>203</v>
      </c>
      <c r="R248" s="8" t="s">
        <v>195</v>
      </c>
      <c r="S248" s="8" t="s">
        <v>279</v>
      </c>
      <c r="T248" s="8"/>
      <c r="U248" s="8"/>
      <c r="V248" s="8"/>
    </row>
    <row r="249" customFormat="false" ht="15" hidden="false" customHeight="false" outlineLevel="0" collapsed="false">
      <c r="A249" s="11" t="s">
        <v>188</v>
      </c>
      <c r="B249" s="11" t="s">
        <v>1512</v>
      </c>
      <c r="C249" s="11" t="s">
        <v>1513</v>
      </c>
      <c r="D249" s="11" t="s">
        <v>1514</v>
      </c>
      <c r="E249" s="11" t="s">
        <v>1515</v>
      </c>
      <c r="F249" s="11" t="s">
        <v>1516</v>
      </c>
      <c r="G249" s="11" t="n">
        <v>2227</v>
      </c>
      <c r="H249" s="11" t="s">
        <v>67</v>
      </c>
      <c r="I249" s="11" t="s">
        <v>1517</v>
      </c>
      <c r="J249" s="11" t="s">
        <v>1518</v>
      </c>
      <c r="K249" s="11" t="s">
        <v>104</v>
      </c>
      <c r="L249" s="11" t="s">
        <v>211</v>
      </c>
      <c r="M249" s="11" t="n">
        <v>40</v>
      </c>
      <c r="N249" s="11" t="s">
        <v>79</v>
      </c>
      <c r="O249" s="11" t="s">
        <v>203</v>
      </c>
      <c r="P249" s="11" t="s">
        <v>225</v>
      </c>
      <c r="Q249" s="11" t="s">
        <v>203</v>
      </c>
      <c r="R249" s="11" t="s">
        <v>195</v>
      </c>
      <c r="S249" s="11" t="s">
        <v>279</v>
      </c>
      <c r="T249" s="11"/>
      <c r="U249" s="11"/>
      <c r="V249" s="11"/>
    </row>
    <row r="250" customFormat="false" ht="15" hidden="false" customHeight="false" outlineLevel="0" collapsed="false">
      <c r="A250" s="8" t="s">
        <v>188</v>
      </c>
      <c r="B250" s="8" t="s">
        <v>1519</v>
      </c>
      <c r="C250" s="8" t="s">
        <v>1520</v>
      </c>
      <c r="D250" s="8" t="s">
        <v>1521</v>
      </c>
      <c r="E250" s="8" t="s">
        <v>1522</v>
      </c>
      <c r="F250" s="8" t="s">
        <v>1523</v>
      </c>
      <c r="G250" s="8" t="n">
        <v>2481</v>
      </c>
      <c r="H250" s="8" t="s">
        <v>67</v>
      </c>
      <c r="I250" s="8" t="s">
        <v>1524</v>
      </c>
      <c r="J250" s="8" t="s">
        <v>1525</v>
      </c>
      <c r="K250" s="8" t="s">
        <v>104</v>
      </c>
      <c r="L250" s="8" t="s">
        <v>192</v>
      </c>
      <c r="M250" s="8" t="n">
        <v>32</v>
      </c>
      <c r="N250" s="8" t="s">
        <v>55</v>
      </c>
      <c r="O250" s="8" t="s">
        <v>203</v>
      </c>
      <c r="P250" s="8" t="s">
        <v>225</v>
      </c>
      <c r="Q250" s="8" t="s">
        <v>203</v>
      </c>
      <c r="R250" s="8" t="s">
        <v>195</v>
      </c>
      <c r="S250" s="8" t="s">
        <v>279</v>
      </c>
      <c r="T250" s="8"/>
      <c r="U250" s="8"/>
      <c r="V250" s="8"/>
    </row>
    <row r="251" customFormat="false" ht="15" hidden="false" customHeight="false" outlineLevel="0" collapsed="false">
      <c r="A251" s="11" t="s">
        <v>188</v>
      </c>
      <c r="B251" s="11" t="s">
        <v>1526</v>
      </c>
      <c r="C251" s="11" t="s">
        <v>1527</v>
      </c>
      <c r="D251" s="11" t="s">
        <v>1528</v>
      </c>
      <c r="E251" s="11" t="s">
        <v>1529</v>
      </c>
      <c r="F251" s="11" t="s">
        <v>1530</v>
      </c>
      <c r="G251" s="11" t="n">
        <v>1323</v>
      </c>
      <c r="H251" s="11" t="s">
        <v>67</v>
      </c>
      <c r="I251" s="11" t="s">
        <v>1531</v>
      </c>
      <c r="J251" s="11" t="s">
        <v>1125</v>
      </c>
      <c r="K251" s="11" t="s">
        <v>104</v>
      </c>
      <c r="L251" s="11" t="s">
        <v>224</v>
      </c>
      <c r="M251" s="11" t="n">
        <v>45</v>
      </c>
      <c r="N251" s="11" t="s">
        <v>146</v>
      </c>
      <c r="O251" s="11" t="s">
        <v>203</v>
      </c>
      <c r="P251" s="11" t="s">
        <v>225</v>
      </c>
      <c r="Q251" s="11" t="s">
        <v>203</v>
      </c>
      <c r="R251" s="11" t="s">
        <v>195</v>
      </c>
      <c r="S251" s="11" t="s">
        <v>279</v>
      </c>
      <c r="T251" s="11"/>
      <c r="U251" s="11"/>
      <c r="V251" s="11"/>
    </row>
    <row r="252" customFormat="false" ht="15" hidden="false" customHeight="false" outlineLevel="0" collapsed="false">
      <c r="A252" s="8" t="s">
        <v>188</v>
      </c>
      <c r="B252" s="8" t="s">
        <v>1532</v>
      </c>
      <c r="C252" s="8" t="s">
        <v>1533</v>
      </c>
      <c r="D252" s="8" t="s">
        <v>1534</v>
      </c>
      <c r="E252" s="8" t="s">
        <v>737</v>
      </c>
      <c r="F252" s="8" t="s">
        <v>738</v>
      </c>
      <c r="G252" s="8" t="n">
        <v>1912</v>
      </c>
      <c r="H252" s="8" t="s">
        <v>67</v>
      </c>
      <c r="I252" s="8" t="s">
        <v>739</v>
      </c>
      <c r="J252" s="8" t="s">
        <v>1535</v>
      </c>
      <c r="K252" s="8" t="s">
        <v>104</v>
      </c>
      <c r="L252" s="8" t="s">
        <v>207</v>
      </c>
      <c r="M252" s="8" t="n">
        <v>32</v>
      </c>
      <c r="N252" s="8" t="s">
        <v>64</v>
      </c>
      <c r="O252" s="8" t="s">
        <v>203</v>
      </c>
      <c r="P252" s="8" t="s">
        <v>225</v>
      </c>
      <c r="Q252" s="8" t="s">
        <v>203</v>
      </c>
      <c r="R252" s="8" t="s">
        <v>195</v>
      </c>
      <c r="S252" s="8" t="s">
        <v>279</v>
      </c>
      <c r="T252" s="8"/>
      <c r="U252" s="8"/>
      <c r="V252" s="8"/>
    </row>
    <row r="253" customFormat="false" ht="20.85" hidden="false" customHeight="false" outlineLevel="0" collapsed="false">
      <c r="A253" s="11" t="s">
        <v>188</v>
      </c>
      <c r="B253" s="11" t="s">
        <v>1536</v>
      </c>
      <c r="C253" s="11" t="s">
        <v>1537</v>
      </c>
      <c r="D253" s="11" t="s">
        <v>1422</v>
      </c>
      <c r="E253" s="11" t="s">
        <v>1538</v>
      </c>
      <c r="F253" s="11" t="s">
        <v>1539</v>
      </c>
      <c r="G253" s="11" t="n">
        <v>1607</v>
      </c>
      <c r="H253" s="11" t="s">
        <v>67</v>
      </c>
      <c r="I253" s="11" t="s">
        <v>1540</v>
      </c>
      <c r="J253" s="11" t="s">
        <v>1065</v>
      </c>
      <c r="K253" s="11" t="s">
        <v>104</v>
      </c>
      <c r="L253" s="11" t="s">
        <v>211</v>
      </c>
      <c r="M253" s="11" t="n">
        <v>32</v>
      </c>
      <c r="N253" s="11" t="s">
        <v>55</v>
      </c>
      <c r="O253" s="11" t="s">
        <v>203</v>
      </c>
      <c r="P253" s="11" t="s">
        <v>225</v>
      </c>
      <c r="Q253" s="11" t="s">
        <v>203</v>
      </c>
      <c r="R253" s="11" t="s">
        <v>1541</v>
      </c>
      <c r="S253" s="11" t="s">
        <v>279</v>
      </c>
      <c r="T253" s="11"/>
      <c r="U253" s="11"/>
      <c r="V253" s="11"/>
    </row>
    <row r="254" customFormat="false" ht="15" hidden="false" customHeight="false" outlineLevel="0" collapsed="false">
      <c r="A254" s="8" t="s">
        <v>188</v>
      </c>
      <c r="B254" s="8" t="s">
        <v>1542</v>
      </c>
      <c r="C254" s="8" t="s">
        <v>1543</v>
      </c>
      <c r="D254" s="8" t="s">
        <v>1544</v>
      </c>
      <c r="E254" s="8" t="s">
        <v>1545</v>
      </c>
      <c r="F254" s="8" t="s">
        <v>1546</v>
      </c>
      <c r="G254" s="8" t="n">
        <v>2134</v>
      </c>
      <c r="H254" s="8" t="s">
        <v>59</v>
      </c>
      <c r="I254" s="8" t="s">
        <v>1547</v>
      </c>
      <c r="J254" s="8" t="s">
        <v>1548</v>
      </c>
      <c r="K254" s="8" t="s">
        <v>104</v>
      </c>
      <c r="L254" s="8" t="s">
        <v>207</v>
      </c>
      <c r="M254" s="8" t="n">
        <v>24</v>
      </c>
      <c r="N254" s="8" t="s">
        <v>55</v>
      </c>
      <c r="O254" s="8" t="s">
        <v>203</v>
      </c>
      <c r="P254" s="8" t="s">
        <v>225</v>
      </c>
      <c r="Q254" s="8" t="s">
        <v>203</v>
      </c>
      <c r="R254" s="8" t="s">
        <v>195</v>
      </c>
      <c r="S254" s="8" t="s">
        <v>279</v>
      </c>
      <c r="T254" s="8"/>
      <c r="U254" s="8"/>
      <c r="V254" s="8"/>
    </row>
    <row r="255" customFormat="false" ht="15" hidden="false" customHeight="false" outlineLevel="0" collapsed="false">
      <c r="A255" s="11" t="s">
        <v>188</v>
      </c>
      <c r="B255" s="11" t="s">
        <v>1549</v>
      </c>
      <c r="C255" s="11" t="s">
        <v>1550</v>
      </c>
      <c r="D255" s="11" t="s">
        <v>1551</v>
      </c>
      <c r="E255" s="11" t="s">
        <v>1552</v>
      </c>
      <c r="F255" s="11" t="s">
        <v>1553</v>
      </c>
      <c r="G255" s="11" t="n">
        <v>2314</v>
      </c>
      <c r="H255" s="11" t="s">
        <v>67</v>
      </c>
      <c r="I255" s="11" t="s">
        <v>1554</v>
      </c>
      <c r="J255" s="11" t="s">
        <v>1555</v>
      </c>
      <c r="K255" s="11" t="s">
        <v>104</v>
      </c>
      <c r="L255" s="11" t="s">
        <v>211</v>
      </c>
      <c r="M255" s="11" t="n">
        <v>32</v>
      </c>
      <c r="N255" s="11" t="s">
        <v>64</v>
      </c>
      <c r="O255" s="11" t="s">
        <v>203</v>
      </c>
      <c r="P255" s="11" t="s">
        <v>225</v>
      </c>
      <c r="Q255" s="11" t="s">
        <v>203</v>
      </c>
      <c r="R255" s="11" t="s">
        <v>195</v>
      </c>
      <c r="S255" s="11" t="s">
        <v>279</v>
      </c>
      <c r="T255" s="11"/>
      <c r="U255" s="11"/>
      <c r="V255" s="11"/>
    </row>
    <row r="256" customFormat="false" ht="15" hidden="false" customHeight="false" outlineLevel="0" collapsed="false">
      <c r="A256" s="8" t="s">
        <v>188</v>
      </c>
      <c r="B256" s="8" t="s">
        <v>1556</v>
      </c>
      <c r="C256" s="8" t="s">
        <v>1557</v>
      </c>
      <c r="D256" s="8" t="s">
        <v>1558</v>
      </c>
      <c r="E256" s="8" t="s">
        <v>1559</v>
      </c>
      <c r="F256" s="8" t="s">
        <v>1560</v>
      </c>
      <c r="G256" s="8" t="n">
        <v>537</v>
      </c>
      <c r="H256" s="8" t="s">
        <v>59</v>
      </c>
      <c r="I256" s="8" t="s">
        <v>1561</v>
      </c>
      <c r="J256" s="8" t="s">
        <v>1562</v>
      </c>
      <c r="K256" s="8" t="s">
        <v>104</v>
      </c>
      <c r="L256" s="8" t="s">
        <v>192</v>
      </c>
      <c r="M256" s="8" t="n">
        <v>80</v>
      </c>
      <c r="N256" s="8" t="s">
        <v>55</v>
      </c>
      <c r="O256" s="8" t="s">
        <v>203</v>
      </c>
      <c r="P256" s="8" t="s">
        <v>225</v>
      </c>
      <c r="Q256" s="8" t="s">
        <v>203</v>
      </c>
      <c r="R256" s="8" t="s">
        <v>195</v>
      </c>
      <c r="S256" s="8" t="s">
        <v>279</v>
      </c>
      <c r="T256" s="8"/>
      <c r="U256" s="8"/>
      <c r="V256" s="8"/>
    </row>
    <row r="257" customFormat="false" ht="15" hidden="false" customHeight="false" outlineLevel="0" collapsed="false">
      <c r="A257" s="11" t="s">
        <v>188</v>
      </c>
      <c r="B257" s="11" t="s">
        <v>1563</v>
      </c>
      <c r="C257" s="11" t="s">
        <v>1564</v>
      </c>
      <c r="D257" s="11" t="s">
        <v>206</v>
      </c>
      <c r="E257" s="11" t="s">
        <v>1565</v>
      </c>
      <c r="F257" s="11" t="s">
        <v>1566</v>
      </c>
      <c r="G257" s="11" t="n">
        <v>843</v>
      </c>
      <c r="H257" s="11" t="s">
        <v>67</v>
      </c>
      <c r="I257" s="11" t="s">
        <v>763</v>
      </c>
      <c r="J257" s="11" t="s">
        <v>405</v>
      </c>
      <c r="K257" s="11" t="s">
        <v>104</v>
      </c>
      <c r="L257" s="11" t="s">
        <v>207</v>
      </c>
      <c r="M257" s="11" t="n">
        <v>32</v>
      </c>
      <c r="N257" s="11" t="s">
        <v>64</v>
      </c>
      <c r="O257" s="11" t="s">
        <v>203</v>
      </c>
      <c r="P257" s="11" t="s">
        <v>225</v>
      </c>
      <c r="Q257" s="11" t="s">
        <v>203</v>
      </c>
      <c r="R257" s="11" t="s">
        <v>195</v>
      </c>
      <c r="S257" s="11" t="s">
        <v>279</v>
      </c>
      <c r="T257" s="11"/>
      <c r="U257" s="11"/>
      <c r="V257" s="11"/>
    </row>
    <row r="258" customFormat="false" ht="15" hidden="false" customHeight="false" outlineLevel="0" collapsed="false">
      <c r="A258" s="8" t="s">
        <v>188</v>
      </c>
      <c r="B258" s="8" t="s">
        <v>1567</v>
      </c>
      <c r="C258" s="8" t="s">
        <v>1568</v>
      </c>
      <c r="D258" s="8" t="s">
        <v>1569</v>
      </c>
      <c r="E258" s="8" t="s">
        <v>1570</v>
      </c>
      <c r="F258" s="8" t="s">
        <v>1571</v>
      </c>
      <c r="G258" s="8" t="n">
        <v>702</v>
      </c>
      <c r="H258" s="8" t="s">
        <v>67</v>
      </c>
      <c r="I258" s="8" t="s">
        <v>1572</v>
      </c>
      <c r="J258" s="8" t="s">
        <v>1573</v>
      </c>
      <c r="K258" s="8" t="s">
        <v>104</v>
      </c>
      <c r="L258" s="8" t="s">
        <v>200</v>
      </c>
      <c r="M258" s="8" t="n">
        <v>36</v>
      </c>
      <c r="N258" s="8" t="s">
        <v>55</v>
      </c>
      <c r="O258" s="8" t="s">
        <v>203</v>
      </c>
      <c r="P258" s="8" t="s">
        <v>225</v>
      </c>
      <c r="Q258" s="8" t="s">
        <v>203</v>
      </c>
      <c r="R258" s="8" t="s">
        <v>195</v>
      </c>
      <c r="S258" s="8" t="s">
        <v>279</v>
      </c>
      <c r="T258" s="8"/>
      <c r="U258" s="8"/>
      <c r="V258" s="8"/>
    </row>
    <row r="259" customFormat="false" ht="15" hidden="false" customHeight="false" outlineLevel="0" collapsed="false">
      <c r="A259" s="11" t="s">
        <v>188</v>
      </c>
      <c r="B259" s="11" t="s">
        <v>1574</v>
      </c>
      <c r="C259" s="11" t="s">
        <v>1575</v>
      </c>
      <c r="D259" s="11" t="s">
        <v>1576</v>
      </c>
      <c r="E259" s="11" t="s">
        <v>1577</v>
      </c>
      <c r="F259" s="11" t="s">
        <v>1578</v>
      </c>
      <c r="G259" s="11" t="n">
        <v>788</v>
      </c>
      <c r="H259" s="11" t="s">
        <v>67</v>
      </c>
      <c r="I259" s="11" t="s">
        <v>1579</v>
      </c>
      <c r="J259" s="11" t="s">
        <v>1580</v>
      </c>
      <c r="K259" s="11" t="s">
        <v>104</v>
      </c>
      <c r="L259" s="11" t="s">
        <v>192</v>
      </c>
      <c r="M259" s="11" t="n">
        <v>80</v>
      </c>
      <c r="N259" s="11" t="s">
        <v>55</v>
      </c>
      <c r="O259" s="11" t="s">
        <v>203</v>
      </c>
      <c r="P259" s="11" t="s">
        <v>225</v>
      </c>
      <c r="Q259" s="11" t="s">
        <v>203</v>
      </c>
      <c r="R259" s="11" t="s">
        <v>195</v>
      </c>
      <c r="S259" s="11" t="s">
        <v>279</v>
      </c>
      <c r="T259" s="11"/>
      <c r="U259" s="11"/>
      <c r="V259" s="11"/>
    </row>
    <row r="260" customFormat="false" ht="15" hidden="false" customHeight="false" outlineLevel="0" collapsed="false">
      <c r="A260" s="8" t="s">
        <v>188</v>
      </c>
      <c r="B260" s="8" t="s">
        <v>1581</v>
      </c>
      <c r="C260" s="8" t="s">
        <v>1582</v>
      </c>
      <c r="D260" s="8" t="s">
        <v>1576</v>
      </c>
      <c r="E260" s="8" t="s">
        <v>1583</v>
      </c>
      <c r="F260" s="8" t="s">
        <v>1584</v>
      </c>
      <c r="G260" s="8" t="n">
        <v>1774</v>
      </c>
      <c r="H260" s="8" t="s">
        <v>67</v>
      </c>
      <c r="I260" s="8" t="s">
        <v>484</v>
      </c>
      <c r="J260" s="8" t="s">
        <v>1463</v>
      </c>
      <c r="K260" s="8" t="s">
        <v>104</v>
      </c>
      <c r="L260" s="8" t="s">
        <v>211</v>
      </c>
      <c r="M260" s="8" t="n">
        <v>32</v>
      </c>
      <c r="N260" s="8" t="s">
        <v>79</v>
      </c>
      <c r="O260" s="8" t="s">
        <v>203</v>
      </c>
      <c r="P260" s="8" t="s">
        <v>225</v>
      </c>
      <c r="Q260" s="8" t="s">
        <v>203</v>
      </c>
      <c r="R260" s="8" t="s">
        <v>195</v>
      </c>
      <c r="S260" s="8" t="s">
        <v>279</v>
      </c>
      <c r="T260" s="8"/>
      <c r="U260" s="8"/>
      <c r="V260" s="8"/>
    </row>
    <row r="261" customFormat="false" ht="15" hidden="false" customHeight="false" outlineLevel="0" collapsed="false">
      <c r="A261" s="11" t="s">
        <v>188</v>
      </c>
      <c r="B261" s="11" t="s">
        <v>1585</v>
      </c>
      <c r="C261" s="11" t="s">
        <v>1586</v>
      </c>
      <c r="D261" s="11" t="s">
        <v>1576</v>
      </c>
      <c r="E261" s="11" t="s">
        <v>1587</v>
      </c>
      <c r="F261" s="11" t="s">
        <v>1588</v>
      </c>
      <c r="G261" s="11" t="n">
        <v>2311</v>
      </c>
      <c r="H261" s="11" t="s">
        <v>67</v>
      </c>
      <c r="I261" s="11" t="s">
        <v>1589</v>
      </c>
      <c r="J261" s="11" t="s">
        <v>319</v>
      </c>
      <c r="K261" s="11" t="s">
        <v>104</v>
      </c>
      <c r="L261" s="11" t="s">
        <v>192</v>
      </c>
      <c r="M261" s="11" t="n">
        <v>32</v>
      </c>
      <c r="N261" s="11" t="s">
        <v>64</v>
      </c>
      <c r="O261" s="11" t="s">
        <v>203</v>
      </c>
      <c r="P261" s="11" t="s">
        <v>225</v>
      </c>
      <c r="Q261" s="11" t="s">
        <v>203</v>
      </c>
      <c r="R261" s="11" t="s">
        <v>195</v>
      </c>
      <c r="S261" s="11" t="s">
        <v>279</v>
      </c>
      <c r="T261" s="11"/>
      <c r="U261" s="11"/>
      <c r="V261" s="11"/>
    </row>
    <row r="262" customFormat="false" ht="15" hidden="false" customHeight="false" outlineLevel="0" collapsed="false">
      <c r="A262" s="8" t="s">
        <v>188</v>
      </c>
      <c r="B262" s="8" t="s">
        <v>1590</v>
      </c>
      <c r="C262" s="8" t="s">
        <v>1591</v>
      </c>
      <c r="D262" s="8" t="s">
        <v>150</v>
      </c>
      <c r="E262" s="8" t="s">
        <v>1592</v>
      </c>
      <c r="F262" s="8" t="s">
        <v>1593</v>
      </c>
      <c r="G262" s="8" t="n">
        <v>617</v>
      </c>
      <c r="H262" s="8" t="s">
        <v>67</v>
      </c>
      <c r="I262" s="8" t="s">
        <v>1594</v>
      </c>
      <c r="J262" s="8" t="s">
        <v>1595</v>
      </c>
      <c r="K262" s="8" t="s">
        <v>104</v>
      </c>
      <c r="L262" s="8" t="s">
        <v>200</v>
      </c>
      <c r="M262" s="8" t="n">
        <v>28</v>
      </c>
      <c r="N262" s="8" t="s">
        <v>55</v>
      </c>
      <c r="O262" s="8" t="s">
        <v>203</v>
      </c>
      <c r="P262" s="8" t="s">
        <v>225</v>
      </c>
      <c r="Q262" s="8" t="s">
        <v>203</v>
      </c>
      <c r="R262" s="8" t="s">
        <v>195</v>
      </c>
      <c r="S262" s="8" t="s">
        <v>279</v>
      </c>
      <c r="T262" s="8"/>
      <c r="U262" s="8"/>
      <c r="V262" s="8"/>
    </row>
    <row r="263" customFormat="false" ht="15" hidden="false" customHeight="false" outlineLevel="0" collapsed="false">
      <c r="A263" s="11" t="s">
        <v>188</v>
      </c>
      <c r="B263" s="11" t="s">
        <v>1596</v>
      </c>
      <c r="C263" s="11" t="s">
        <v>1597</v>
      </c>
      <c r="D263" s="11" t="s">
        <v>1598</v>
      </c>
      <c r="E263" s="11" t="s">
        <v>1599</v>
      </c>
      <c r="F263" s="11" t="s">
        <v>1600</v>
      </c>
      <c r="G263" s="11" t="n">
        <v>334</v>
      </c>
      <c r="H263" s="11" t="s">
        <v>67</v>
      </c>
      <c r="I263" s="11" t="s">
        <v>1601</v>
      </c>
      <c r="J263" s="11" t="s">
        <v>1602</v>
      </c>
      <c r="K263" s="11" t="s">
        <v>104</v>
      </c>
      <c r="L263" s="11" t="s">
        <v>211</v>
      </c>
      <c r="M263" s="11" t="n">
        <v>28</v>
      </c>
      <c r="N263" s="11" t="s">
        <v>146</v>
      </c>
      <c r="O263" s="11" t="s">
        <v>203</v>
      </c>
      <c r="P263" s="11" t="s">
        <v>225</v>
      </c>
      <c r="Q263" s="11" t="s">
        <v>203</v>
      </c>
      <c r="R263" s="11" t="s">
        <v>195</v>
      </c>
      <c r="S263" s="11" t="s">
        <v>279</v>
      </c>
      <c r="T263" s="11"/>
      <c r="U263" s="11"/>
      <c r="V263" s="11"/>
    </row>
    <row r="264" customFormat="false" ht="15" hidden="false" customHeight="false" outlineLevel="0" collapsed="false">
      <c r="A264" s="8" t="s">
        <v>188</v>
      </c>
      <c r="B264" s="8" t="s">
        <v>1603</v>
      </c>
      <c r="C264" s="8" t="s">
        <v>1604</v>
      </c>
      <c r="D264" s="8" t="s">
        <v>1605</v>
      </c>
      <c r="E264" s="8" t="s">
        <v>1606</v>
      </c>
      <c r="F264" s="8" t="s">
        <v>1607</v>
      </c>
      <c r="G264" s="8" t="n">
        <v>1002</v>
      </c>
      <c r="H264" s="8" t="s">
        <v>67</v>
      </c>
      <c r="I264" s="8" t="s">
        <v>745</v>
      </c>
      <c r="J264" s="8" t="s">
        <v>1262</v>
      </c>
      <c r="K264" s="8" t="s">
        <v>104</v>
      </c>
      <c r="L264" s="8" t="s">
        <v>211</v>
      </c>
      <c r="M264" s="8" t="n">
        <v>36</v>
      </c>
      <c r="N264" s="8" t="s">
        <v>146</v>
      </c>
      <c r="O264" s="8" t="s">
        <v>203</v>
      </c>
      <c r="P264" s="8" t="s">
        <v>225</v>
      </c>
      <c r="Q264" s="8" t="s">
        <v>203</v>
      </c>
      <c r="R264" s="8" t="s">
        <v>195</v>
      </c>
      <c r="S264" s="8" t="s">
        <v>279</v>
      </c>
      <c r="T264" s="8"/>
      <c r="U264" s="8"/>
      <c r="V264" s="8"/>
    </row>
    <row r="265" customFormat="false" ht="15" hidden="false" customHeight="false" outlineLevel="0" collapsed="false">
      <c r="A265" s="11" t="s">
        <v>188</v>
      </c>
      <c r="B265" s="11" t="s">
        <v>1608</v>
      </c>
      <c r="C265" s="11" t="s">
        <v>1609</v>
      </c>
      <c r="D265" s="11" t="s">
        <v>85</v>
      </c>
      <c r="E265" s="11" t="s">
        <v>1610</v>
      </c>
      <c r="F265" s="11" t="s">
        <v>1611</v>
      </c>
      <c r="G265" s="11" t="n">
        <v>1167</v>
      </c>
      <c r="H265" s="11" t="s">
        <v>67</v>
      </c>
      <c r="I265" s="11" t="s">
        <v>1612</v>
      </c>
      <c r="J265" s="11" t="s">
        <v>1613</v>
      </c>
      <c r="K265" s="11" t="s">
        <v>104</v>
      </c>
      <c r="L265" s="11" t="s">
        <v>200</v>
      </c>
      <c r="M265" s="11" t="n">
        <v>32</v>
      </c>
      <c r="N265" s="11" t="s">
        <v>55</v>
      </c>
      <c r="O265" s="11" t="s">
        <v>203</v>
      </c>
      <c r="P265" s="11" t="s">
        <v>225</v>
      </c>
      <c r="Q265" s="11" t="s">
        <v>203</v>
      </c>
      <c r="R265" s="11" t="s">
        <v>1614</v>
      </c>
      <c r="S265" s="11" t="s">
        <v>279</v>
      </c>
      <c r="T265" s="11"/>
      <c r="U265" s="11"/>
      <c r="V265" s="11"/>
    </row>
    <row r="266" customFormat="false" ht="15" hidden="false" customHeight="false" outlineLevel="0" collapsed="false">
      <c r="A266" s="8" t="s">
        <v>188</v>
      </c>
      <c r="B266" s="8" t="s">
        <v>1615</v>
      </c>
      <c r="C266" s="8" t="s">
        <v>1616</v>
      </c>
      <c r="D266" s="8" t="s">
        <v>1617</v>
      </c>
      <c r="E266" s="8" t="s">
        <v>1618</v>
      </c>
      <c r="F266" s="8" t="s">
        <v>1619</v>
      </c>
      <c r="G266" s="8" t="n">
        <v>2865</v>
      </c>
      <c r="H266" s="8" t="s">
        <v>67</v>
      </c>
      <c r="I266" s="8" t="s">
        <v>1620</v>
      </c>
      <c r="J266" s="8" t="s">
        <v>1274</v>
      </c>
      <c r="K266" s="8" t="s">
        <v>104</v>
      </c>
      <c r="L266" s="8" t="s">
        <v>207</v>
      </c>
      <c r="M266" s="8" t="n">
        <v>28</v>
      </c>
      <c r="N266" s="8" t="s">
        <v>79</v>
      </c>
      <c r="O266" s="8" t="s">
        <v>203</v>
      </c>
      <c r="P266" s="8" t="s">
        <v>225</v>
      </c>
      <c r="Q266" s="8" t="s">
        <v>203</v>
      </c>
      <c r="R266" s="8" t="s">
        <v>195</v>
      </c>
      <c r="S266" s="8" t="s">
        <v>279</v>
      </c>
      <c r="T266" s="8"/>
      <c r="U266" s="8"/>
      <c r="V266" s="8"/>
    </row>
    <row r="267" customFormat="false" ht="15" hidden="false" customHeight="false" outlineLevel="0" collapsed="false">
      <c r="A267" s="11" t="s">
        <v>188</v>
      </c>
      <c r="B267" s="11" t="s">
        <v>1621</v>
      </c>
      <c r="C267" s="11" t="s">
        <v>1622</v>
      </c>
      <c r="D267" s="11" t="s">
        <v>1623</v>
      </c>
      <c r="E267" s="11" t="s">
        <v>1624</v>
      </c>
      <c r="F267" s="11" t="s">
        <v>1625</v>
      </c>
      <c r="G267" s="11" t="n">
        <v>715</v>
      </c>
      <c r="H267" s="11" t="s">
        <v>67</v>
      </c>
      <c r="I267" s="11" t="s">
        <v>1626</v>
      </c>
      <c r="J267" s="11" t="s">
        <v>1627</v>
      </c>
      <c r="K267" s="11" t="s">
        <v>104</v>
      </c>
      <c r="L267" s="11" t="s">
        <v>192</v>
      </c>
      <c r="M267" s="11" t="n">
        <v>80</v>
      </c>
      <c r="N267" s="11" t="s">
        <v>55</v>
      </c>
      <c r="O267" s="11" t="s">
        <v>203</v>
      </c>
      <c r="P267" s="11" t="s">
        <v>225</v>
      </c>
      <c r="Q267" s="11" t="s">
        <v>203</v>
      </c>
      <c r="R267" s="11" t="s">
        <v>195</v>
      </c>
      <c r="S267" s="11" t="s">
        <v>279</v>
      </c>
      <c r="T267" s="11"/>
      <c r="U267" s="11"/>
      <c r="V267" s="11"/>
    </row>
    <row r="268" customFormat="false" ht="15" hidden="false" customHeight="false" outlineLevel="0" collapsed="false">
      <c r="A268" s="8" t="s">
        <v>188</v>
      </c>
      <c r="B268" s="8" t="s">
        <v>1628</v>
      </c>
      <c r="C268" s="8" t="s">
        <v>1629</v>
      </c>
      <c r="D268" s="8" t="s">
        <v>1623</v>
      </c>
      <c r="E268" s="8" t="s">
        <v>1630</v>
      </c>
      <c r="F268" s="8" t="s">
        <v>1631</v>
      </c>
      <c r="G268" s="8" t="n">
        <v>1428</v>
      </c>
      <c r="H268" s="8" t="s">
        <v>114</v>
      </c>
      <c r="I268" s="8" t="s">
        <v>1632</v>
      </c>
      <c r="J268" s="8" t="s">
        <v>405</v>
      </c>
      <c r="K268" s="8" t="s">
        <v>104</v>
      </c>
      <c r="L268" s="8" t="s">
        <v>207</v>
      </c>
      <c r="M268" s="8" t="n">
        <v>32</v>
      </c>
      <c r="N268" s="8" t="s">
        <v>55</v>
      </c>
      <c r="O268" s="8" t="s">
        <v>203</v>
      </c>
      <c r="P268" s="8" t="s">
        <v>225</v>
      </c>
      <c r="Q268" s="8" t="s">
        <v>203</v>
      </c>
      <c r="R268" s="8" t="s">
        <v>195</v>
      </c>
      <c r="S268" s="8" t="s">
        <v>279</v>
      </c>
      <c r="T268" s="8"/>
      <c r="U268" s="8"/>
      <c r="V268" s="8"/>
    </row>
    <row r="269" customFormat="false" ht="15" hidden="false" customHeight="false" outlineLevel="0" collapsed="false">
      <c r="A269" s="11" t="s">
        <v>188</v>
      </c>
      <c r="B269" s="11" t="s">
        <v>1633</v>
      </c>
      <c r="C269" s="11" t="s">
        <v>1634</v>
      </c>
      <c r="D269" s="11" t="s">
        <v>1635</v>
      </c>
      <c r="E269" s="11" t="s">
        <v>1636</v>
      </c>
      <c r="F269" s="11" t="s">
        <v>1637</v>
      </c>
      <c r="G269" s="11" t="n">
        <v>1890</v>
      </c>
      <c r="H269" s="11" t="s">
        <v>67</v>
      </c>
      <c r="I269" s="11" t="s">
        <v>1638</v>
      </c>
      <c r="J269" s="11" t="s">
        <v>1639</v>
      </c>
      <c r="K269" s="11" t="s">
        <v>104</v>
      </c>
      <c r="L269" s="11" t="s">
        <v>224</v>
      </c>
      <c r="M269" s="11" t="n">
        <v>28</v>
      </c>
      <c r="N269" s="11" t="s">
        <v>146</v>
      </c>
      <c r="O269" s="11" t="s">
        <v>203</v>
      </c>
      <c r="P269" s="11" t="s">
        <v>225</v>
      </c>
      <c r="Q269" s="11" t="s">
        <v>203</v>
      </c>
      <c r="R269" s="11" t="s">
        <v>195</v>
      </c>
      <c r="S269" s="11" t="s">
        <v>279</v>
      </c>
      <c r="T269" s="11"/>
      <c r="U269" s="11"/>
      <c r="V269" s="11"/>
    </row>
    <row r="270" customFormat="false" ht="15" hidden="false" customHeight="false" outlineLevel="0" collapsed="false">
      <c r="A270" s="8" t="s">
        <v>188</v>
      </c>
      <c r="B270" s="8" t="s">
        <v>1640</v>
      </c>
      <c r="C270" s="8" t="s">
        <v>1641</v>
      </c>
      <c r="D270" s="8" t="s">
        <v>1642</v>
      </c>
      <c r="E270" s="8" t="s">
        <v>1643</v>
      </c>
      <c r="F270" s="8" t="s">
        <v>1644</v>
      </c>
      <c r="G270" s="8" t="n">
        <v>913</v>
      </c>
      <c r="H270" s="8" t="s">
        <v>114</v>
      </c>
      <c r="I270" s="8" t="s">
        <v>1645</v>
      </c>
      <c r="J270" s="8" t="s">
        <v>1646</v>
      </c>
      <c r="K270" s="8" t="s">
        <v>104</v>
      </c>
      <c r="L270" s="8" t="s">
        <v>224</v>
      </c>
      <c r="M270" s="8" t="n">
        <v>24</v>
      </c>
      <c r="N270" s="8" t="s">
        <v>64</v>
      </c>
      <c r="O270" s="8" t="s">
        <v>203</v>
      </c>
      <c r="P270" s="8" t="s">
        <v>225</v>
      </c>
      <c r="Q270" s="8" t="s">
        <v>203</v>
      </c>
      <c r="R270" s="8" t="s">
        <v>195</v>
      </c>
      <c r="S270" s="8" t="s">
        <v>279</v>
      </c>
      <c r="T270" s="8"/>
      <c r="U270" s="8"/>
      <c r="V270" s="8"/>
    </row>
    <row r="271" customFormat="false" ht="15" hidden="false" customHeight="false" outlineLevel="0" collapsed="false">
      <c r="A271" s="11" t="s">
        <v>188</v>
      </c>
      <c r="B271" s="11" t="s">
        <v>1647</v>
      </c>
      <c r="C271" s="11" t="s">
        <v>1648</v>
      </c>
      <c r="D271" s="11" t="s">
        <v>1642</v>
      </c>
      <c r="E271" s="11" t="s">
        <v>1649</v>
      </c>
      <c r="F271" s="11" t="s">
        <v>1650</v>
      </c>
      <c r="G271" s="11" t="n">
        <v>1153</v>
      </c>
      <c r="H271" s="11" t="s">
        <v>67</v>
      </c>
      <c r="I271" s="11" t="s">
        <v>1651</v>
      </c>
      <c r="J271" s="11" t="s">
        <v>491</v>
      </c>
      <c r="K271" s="11" t="s">
        <v>104</v>
      </c>
      <c r="L271" s="11" t="s">
        <v>211</v>
      </c>
      <c r="M271" s="11" t="n">
        <v>36</v>
      </c>
      <c r="N271" s="11" t="s">
        <v>64</v>
      </c>
      <c r="O271" s="11" t="s">
        <v>203</v>
      </c>
      <c r="P271" s="11" t="s">
        <v>225</v>
      </c>
      <c r="Q271" s="11" t="s">
        <v>203</v>
      </c>
      <c r="R271" s="11" t="s">
        <v>195</v>
      </c>
      <c r="S271" s="11" t="s">
        <v>279</v>
      </c>
      <c r="T271" s="11"/>
      <c r="U271" s="11"/>
      <c r="V271" s="11"/>
    </row>
    <row r="272" customFormat="false" ht="15" hidden="false" customHeight="false" outlineLevel="0" collapsed="false">
      <c r="A272" s="8" t="s">
        <v>188</v>
      </c>
      <c r="B272" s="8" t="s">
        <v>1652</v>
      </c>
      <c r="C272" s="8" t="s">
        <v>1653</v>
      </c>
      <c r="D272" s="8" t="s">
        <v>1654</v>
      </c>
      <c r="E272" s="8" t="s">
        <v>1655</v>
      </c>
      <c r="F272" s="8" t="s">
        <v>1656</v>
      </c>
      <c r="G272" s="8" t="n">
        <v>2861</v>
      </c>
      <c r="H272" s="8" t="s">
        <v>67</v>
      </c>
      <c r="I272" s="8" t="s">
        <v>1657</v>
      </c>
      <c r="J272" s="8" t="s">
        <v>1658</v>
      </c>
      <c r="K272" s="8" t="s">
        <v>104</v>
      </c>
      <c r="L272" s="8" t="s">
        <v>200</v>
      </c>
      <c r="M272" s="8" t="n">
        <v>36</v>
      </c>
      <c r="N272" s="8" t="s">
        <v>146</v>
      </c>
      <c r="O272" s="8" t="s">
        <v>203</v>
      </c>
      <c r="P272" s="8" t="s">
        <v>225</v>
      </c>
      <c r="Q272" s="8" t="s">
        <v>203</v>
      </c>
      <c r="R272" s="8" t="s">
        <v>195</v>
      </c>
      <c r="S272" s="8" t="s">
        <v>279</v>
      </c>
      <c r="T272" s="8"/>
      <c r="U272" s="8"/>
      <c r="V272" s="8"/>
    </row>
    <row r="273" customFormat="false" ht="15" hidden="false" customHeight="false" outlineLevel="0" collapsed="false">
      <c r="A273" s="11" t="s">
        <v>188</v>
      </c>
      <c r="B273" s="11" t="s">
        <v>1659</v>
      </c>
      <c r="C273" s="11" t="s">
        <v>1660</v>
      </c>
      <c r="D273" s="11" t="s">
        <v>1661</v>
      </c>
      <c r="E273" s="11" t="s">
        <v>1662</v>
      </c>
      <c r="F273" s="11" t="s">
        <v>1663</v>
      </c>
      <c r="G273" s="11" t="n">
        <v>1445</v>
      </c>
      <c r="H273" s="11" t="s">
        <v>67</v>
      </c>
      <c r="I273" s="11" t="s">
        <v>1664</v>
      </c>
      <c r="J273" s="11" t="s">
        <v>1665</v>
      </c>
      <c r="K273" s="11" t="s">
        <v>104</v>
      </c>
      <c r="L273" s="11" t="s">
        <v>207</v>
      </c>
      <c r="M273" s="11" t="n">
        <v>32</v>
      </c>
      <c r="N273" s="11" t="s">
        <v>55</v>
      </c>
      <c r="O273" s="11" t="s">
        <v>203</v>
      </c>
      <c r="P273" s="11" t="s">
        <v>225</v>
      </c>
      <c r="Q273" s="11" t="s">
        <v>203</v>
      </c>
      <c r="R273" s="11" t="s">
        <v>195</v>
      </c>
      <c r="S273" s="11" t="s">
        <v>279</v>
      </c>
      <c r="T273" s="11"/>
      <c r="U273" s="11"/>
      <c r="V273" s="11"/>
    </row>
    <row r="274" customFormat="false" ht="15" hidden="false" customHeight="false" outlineLevel="0" collapsed="false">
      <c r="A274" s="8" t="s">
        <v>188</v>
      </c>
      <c r="B274" s="8" t="s">
        <v>1666</v>
      </c>
      <c r="C274" s="8" t="s">
        <v>1667</v>
      </c>
      <c r="D274" s="8" t="s">
        <v>1668</v>
      </c>
      <c r="E274" s="8" t="s">
        <v>1669</v>
      </c>
      <c r="F274" s="8" t="s">
        <v>1670</v>
      </c>
      <c r="G274" s="8" t="n">
        <v>1676</v>
      </c>
      <c r="H274" s="8" t="s">
        <v>67</v>
      </c>
      <c r="I274" s="8" t="s">
        <v>1671</v>
      </c>
      <c r="J274" s="8" t="s">
        <v>1672</v>
      </c>
      <c r="K274" s="8" t="s">
        <v>104</v>
      </c>
      <c r="L274" s="8" t="s">
        <v>224</v>
      </c>
      <c r="M274" s="8" t="n">
        <v>32</v>
      </c>
      <c r="N274" s="8" t="s">
        <v>55</v>
      </c>
      <c r="O274" s="8" t="s">
        <v>203</v>
      </c>
      <c r="P274" s="8" t="s">
        <v>225</v>
      </c>
      <c r="Q274" s="8" t="s">
        <v>203</v>
      </c>
      <c r="R274" s="8" t="s">
        <v>195</v>
      </c>
      <c r="S274" s="8" t="s">
        <v>279</v>
      </c>
      <c r="T274" s="8"/>
      <c r="U274" s="8"/>
      <c r="V274" s="8"/>
    </row>
    <row r="275" customFormat="false" ht="15" hidden="false" customHeight="false" outlineLevel="0" collapsed="false">
      <c r="A275" s="11" t="s">
        <v>188</v>
      </c>
      <c r="B275" s="11" t="s">
        <v>1673</v>
      </c>
      <c r="C275" s="11" t="s">
        <v>1674</v>
      </c>
      <c r="D275" s="11" t="s">
        <v>1675</v>
      </c>
      <c r="E275" s="11" t="s">
        <v>1676</v>
      </c>
      <c r="F275" s="11" t="s">
        <v>1677</v>
      </c>
      <c r="G275" s="11" t="n">
        <v>2750</v>
      </c>
      <c r="H275" s="11" t="s">
        <v>67</v>
      </c>
      <c r="I275" s="11" t="s">
        <v>1678</v>
      </c>
      <c r="J275" s="11" t="s">
        <v>1679</v>
      </c>
      <c r="K275" s="11" t="s">
        <v>104</v>
      </c>
      <c r="L275" s="11" t="s">
        <v>192</v>
      </c>
      <c r="M275" s="11" t="n">
        <v>60</v>
      </c>
      <c r="N275" s="11" t="s">
        <v>55</v>
      </c>
      <c r="O275" s="11" t="s">
        <v>203</v>
      </c>
      <c r="P275" s="11" t="s">
        <v>225</v>
      </c>
      <c r="Q275" s="11" t="s">
        <v>203</v>
      </c>
      <c r="R275" s="11" t="s">
        <v>195</v>
      </c>
      <c r="S275" s="11" t="s">
        <v>279</v>
      </c>
      <c r="T275" s="11"/>
      <c r="U275" s="11"/>
      <c r="V275" s="11"/>
    </row>
    <row r="276" customFormat="false" ht="15" hidden="false" customHeight="false" outlineLevel="0" collapsed="false">
      <c r="A276" s="8" t="s">
        <v>188</v>
      </c>
      <c r="B276" s="8" t="s">
        <v>1680</v>
      </c>
      <c r="C276" s="8" t="s">
        <v>1681</v>
      </c>
      <c r="D276" s="8" t="s">
        <v>1524</v>
      </c>
      <c r="E276" s="8" t="s">
        <v>1682</v>
      </c>
      <c r="F276" s="8" t="s">
        <v>1683</v>
      </c>
      <c r="G276" s="8" t="n">
        <v>2455</v>
      </c>
      <c r="H276" s="8" t="s">
        <v>67</v>
      </c>
      <c r="I276" s="8" t="s">
        <v>1684</v>
      </c>
      <c r="J276" s="8" t="s">
        <v>1685</v>
      </c>
      <c r="K276" s="8" t="s">
        <v>104</v>
      </c>
      <c r="L276" s="8" t="s">
        <v>207</v>
      </c>
      <c r="M276" s="8" t="n">
        <v>32</v>
      </c>
      <c r="N276" s="8" t="s">
        <v>55</v>
      </c>
      <c r="O276" s="8" t="s">
        <v>203</v>
      </c>
      <c r="P276" s="8" t="s">
        <v>225</v>
      </c>
      <c r="Q276" s="8" t="s">
        <v>203</v>
      </c>
      <c r="R276" s="8" t="s">
        <v>1686</v>
      </c>
      <c r="S276" s="8" t="s">
        <v>279</v>
      </c>
      <c r="T276" s="8"/>
      <c r="U276" s="8"/>
      <c r="V276" s="8"/>
    </row>
    <row r="277" customFormat="false" ht="15" hidden="false" customHeight="false" outlineLevel="0" collapsed="false">
      <c r="A277" s="11" t="s">
        <v>188</v>
      </c>
      <c r="B277" s="11" t="s">
        <v>1687</v>
      </c>
      <c r="C277" s="11" t="s">
        <v>1688</v>
      </c>
      <c r="D277" s="11" t="s">
        <v>1689</v>
      </c>
      <c r="E277" s="11" t="s">
        <v>1690</v>
      </c>
      <c r="F277" s="11" t="s">
        <v>1691</v>
      </c>
      <c r="G277" s="11" t="n">
        <v>128</v>
      </c>
      <c r="H277" s="11" t="s">
        <v>67</v>
      </c>
      <c r="I277" s="11" t="s">
        <v>1692</v>
      </c>
      <c r="J277" s="11" t="s">
        <v>1693</v>
      </c>
      <c r="K277" s="11" t="s">
        <v>104</v>
      </c>
      <c r="L277" s="11" t="s">
        <v>211</v>
      </c>
      <c r="M277" s="11" t="n">
        <v>28</v>
      </c>
      <c r="N277" s="11" t="s">
        <v>79</v>
      </c>
      <c r="O277" s="11" t="s">
        <v>203</v>
      </c>
      <c r="P277" s="11" t="s">
        <v>225</v>
      </c>
      <c r="Q277" s="11" t="s">
        <v>203</v>
      </c>
      <c r="R277" s="11" t="s">
        <v>195</v>
      </c>
      <c r="S277" s="11" t="s">
        <v>279</v>
      </c>
      <c r="T277" s="11"/>
      <c r="U277" s="11"/>
      <c r="V277" s="11"/>
    </row>
    <row r="278" customFormat="false" ht="15" hidden="false" customHeight="false" outlineLevel="0" collapsed="false">
      <c r="A278" s="8" t="s">
        <v>188</v>
      </c>
      <c r="B278" s="8" t="s">
        <v>1694</v>
      </c>
      <c r="C278" s="8" t="s">
        <v>1695</v>
      </c>
      <c r="D278" s="8" t="s">
        <v>1689</v>
      </c>
      <c r="E278" s="8" t="s">
        <v>1696</v>
      </c>
      <c r="F278" s="8" t="s">
        <v>1697</v>
      </c>
      <c r="G278" s="8" t="n">
        <v>1448</v>
      </c>
      <c r="H278" s="8" t="s">
        <v>67</v>
      </c>
      <c r="I278" s="8" t="s">
        <v>1698</v>
      </c>
      <c r="J278" s="8" t="s">
        <v>1699</v>
      </c>
      <c r="K278" s="8" t="s">
        <v>104</v>
      </c>
      <c r="L278" s="8" t="s">
        <v>211</v>
      </c>
      <c r="M278" s="8" t="n">
        <v>28</v>
      </c>
      <c r="N278" s="8" t="s">
        <v>55</v>
      </c>
      <c r="O278" s="8" t="s">
        <v>203</v>
      </c>
      <c r="P278" s="8" t="s">
        <v>225</v>
      </c>
      <c r="Q278" s="8" t="s">
        <v>203</v>
      </c>
      <c r="R278" s="8" t="s">
        <v>195</v>
      </c>
      <c r="S278" s="8" t="s">
        <v>279</v>
      </c>
      <c r="T278" s="8"/>
      <c r="U278" s="8"/>
      <c r="V278" s="8"/>
    </row>
    <row r="279" customFormat="false" ht="15" hidden="false" customHeight="false" outlineLevel="0" collapsed="false">
      <c r="A279" s="11" t="s">
        <v>188</v>
      </c>
      <c r="B279" s="11" t="s">
        <v>1700</v>
      </c>
      <c r="C279" s="11" t="s">
        <v>1701</v>
      </c>
      <c r="D279" s="11" t="s">
        <v>1689</v>
      </c>
      <c r="E279" s="11" t="s">
        <v>1702</v>
      </c>
      <c r="F279" s="11" t="s">
        <v>1703</v>
      </c>
      <c r="G279" s="11" t="n">
        <v>1711</v>
      </c>
      <c r="H279" s="11" t="s">
        <v>67</v>
      </c>
      <c r="I279" s="11" t="s">
        <v>219</v>
      </c>
      <c r="J279" s="11" t="s">
        <v>1237</v>
      </c>
      <c r="K279" s="11" t="s">
        <v>104</v>
      </c>
      <c r="L279" s="11" t="s">
        <v>211</v>
      </c>
      <c r="M279" s="11" t="n">
        <v>28</v>
      </c>
      <c r="N279" s="11" t="s">
        <v>79</v>
      </c>
      <c r="O279" s="11" t="s">
        <v>203</v>
      </c>
      <c r="P279" s="11" t="s">
        <v>225</v>
      </c>
      <c r="Q279" s="11" t="s">
        <v>203</v>
      </c>
      <c r="R279" s="11" t="s">
        <v>195</v>
      </c>
      <c r="S279" s="11" t="s">
        <v>279</v>
      </c>
      <c r="T279" s="11"/>
      <c r="U279" s="11"/>
      <c r="V279" s="11"/>
    </row>
    <row r="280" customFormat="false" ht="15" hidden="false" customHeight="false" outlineLevel="0" collapsed="false">
      <c r="A280" s="8" t="s">
        <v>188</v>
      </c>
      <c r="B280" s="8" t="s">
        <v>1704</v>
      </c>
      <c r="C280" s="8" t="s">
        <v>1705</v>
      </c>
      <c r="D280" s="8" t="s">
        <v>1706</v>
      </c>
      <c r="E280" s="8" t="s">
        <v>1707</v>
      </c>
      <c r="F280" s="8" t="s">
        <v>1708</v>
      </c>
      <c r="G280" s="8" t="n">
        <v>645</v>
      </c>
      <c r="H280" s="8" t="s">
        <v>59</v>
      </c>
      <c r="I280" s="8" t="s">
        <v>501</v>
      </c>
      <c r="J280" s="8" t="s">
        <v>1709</v>
      </c>
      <c r="K280" s="8" t="s">
        <v>104</v>
      </c>
      <c r="L280" s="8" t="s">
        <v>192</v>
      </c>
      <c r="M280" s="8" t="n">
        <v>32</v>
      </c>
      <c r="N280" s="8" t="s">
        <v>79</v>
      </c>
      <c r="O280" s="8" t="s">
        <v>203</v>
      </c>
      <c r="P280" s="8" t="s">
        <v>225</v>
      </c>
      <c r="Q280" s="8" t="s">
        <v>203</v>
      </c>
      <c r="R280" s="8" t="s">
        <v>195</v>
      </c>
      <c r="S280" s="8" t="s">
        <v>279</v>
      </c>
      <c r="T280" s="8"/>
      <c r="U280" s="8"/>
      <c r="V280" s="8"/>
    </row>
    <row r="281" customFormat="false" ht="15" hidden="false" customHeight="false" outlineLevel="0" collapsed="false">
      <c r="A281" s="11" t="s">
        <v>188</v>
      </c>
      <c r="B281" s="11" t="s">
        <v>1710</v>
      </c>
      <c r="C281" s="11" t="s">
        <v>1711</v>
      </c>
      <c r="D281" s="11" t="s">
        <v>1712</v>
      </c>
      <c r="E281" s="11" t="s">
        <v>1713</v>
      </c>
      <c r="F281" s="11" t="s">
        <v>1714</v>
      </c>
      <c r="G281" s="11" t="n">
        <v>1284</v>
      </c>
      <c r="H281" s="11" t="s">
        <v>67</v>
      </c>
      <c r="I281" s="11" t="s">
        <v>234</v>
      </c>
      <c r="J281" s="11" t="s">
        <v>1715</v>
      </c>
      <c r="K281" s="11" t="s">
        <v>104</v>
      </c>
      <c r="L281" s="11" t="s">
        <v>207</v>
      </c>
      <c r="M281" s="11" t="n">
        <v>32</v>
      </c>
      <c r="N281" s="11" t="s">
        <v>55</v>
      </c>
      <c r="O281" s="11" t="s">
        <v>203</v>
      </c>
      <c r="P281" s="11" t="s">
        <v>225</v>
      </c>
      <c r="Q281" s="11" t="s">
        <v>203</v>
      </c>
      <c r="R281" s="11" t="s">
        <v>195</v>
      </c>
      <c r="S281" s="11" t="s">
        <v>279</v>
      </c>
      <c r="T281" s="11"/>
      <c r="U281" s="11"/>
      <c r="V281" s="11"/>
    </row>
    <row r="282" customFormat="false" ht="15" hidden="false" customHeight="false" outlineLevel="0" collapsed="false">
      <c r="A282" s="8" t="s">
        <v>188</v>
      </c>
      <c r="B282" s="8" t="s">
        <v>1716</v>
      </c>
      <c r="C282" s="8" t="s">
        <v>1717</v>
      </c>
      <c r="D282" s="8" t="s">
        <v>1712</v>
      </c>
      <c r="E282" s="8" t="s">
        <v>574</v>
      </c>
      <c r="F282" s="8" t="s">
        <v>575</v>
      </c>
      <c r="G282" s="8" t="n">
        <v>2857</v>
      </c>
      <c r="H282" s="8" t="s">
        <v>59</v>
      </c>
      <c r="I282" s="8" t="s">
        <v>576</v>
      </c>
      <c r="J282" s="8" t="s">
        <v>1718</v>
      </c>
      <c r="K282" s="8" t="s">
        <v>104</v>
      </c>
      <c r="L282" s="8" t="s">
        <v>211</v>
      </c>
      <c r="M282" s="8" t="n">
        <v>24</v>
      </c>
      <c r="N282" s="8" t="s">
        <v>146</v>
      </c>
      <c r="O282" s="8" t="s">
        <v>203</v>
      </c>
      <c r="P282" s="8" t="s">
        <v>225</v>
      </c>
      <c r="Q282" s="8" t="s">
        <v>203</v>
      </c>
      <c r="R282" s="8" t="s">
        <v>195</v>
      </c>
      <c r="S282" s="8" t="s">
        <v>279</v>
      </c>
      <c r="T282" s="8"/>
      <c r="U282" s="8"/>
      <c r="V282" s="8"/>
    </row>
    <row r="283" customFormat="false" ht="15" hidden="false" customHeight="false" outlineLevel="0" collapsed="false">
      <c r="A283" s="11" t="s">
        <v>188</v>
      </c>
      <c r="B283" s="11" t="s">
        <v>1719</v>
      </c>
      <c r="C283" s="11" t="s">
        <v>1720</v>
      </c>
      <c r="D283" s="11" t="s">
        <v>1721</v>
      </c>
      <c r="E283" s="11" t="s">
        <v>1722</v>
      </c>
      <c r="F283" s="11" t="s">
        <v>1723</v>
      </c>
      <c r="G283" s="11" t="n">
        <v>1187</v>
      </c>
      <c r="H283" s="11" t="s">
        <v>67</v>
      </c>
      <c r="I283" s="11" t="s">
        <v>1367</v>
      </c>
      <c r="J283" s="11" t="s">
        <v>1724</v>
      </c>
      <c r="K283" s="11" t="s">
        <v>104</v>
      </c>
      <c r="L283" s="11" t="s">
        <v>207</v>
      </c>
      <c r="M283" s="11" t="n">
        <v>28</v>
      </c>
      <c r="N283" s="11" t="s">
        <v>55</v>
      </c>
      <c r="O283" s="11" t="s">
        <v>203</v>
      </c>
      <c r="P283" s="11" t="s">
        <v>225</v>
      </c>
      <c r="Q283" s="11" t="s">
        <v>203</v>
      </c>
      <c r="R283" s="11" t="s">
        <v>195</v>
      </c>
      <c r="S283" s="11" t="s">
        <v>279</v>
      </c>
      <c r="T283" s="11"/>
      <c r="U283" s="11"/>
      <c r="V283" s="11"/>
    </row>
    <row r="284" customFormat="false" ht="15" hidden="false" customHeight="false" outlineLevel="0" collapsed="false">
      <c r="A284" s="8" t="s">
        <v>188</v>
      </c>
      <c r="B284" s="8" t="s">
        <v>1725</v>
      </c>
      <c r="C284" s="8" t="s">
        <v>1726</v>
      </c>
      <c r="D284" s="8" t="s">
        <v>1727</v>
      </c>
      <c r="E284" s="8" t="s">
        <v>1728</v>
      </c>
      <c r="F284" s="8" t="s">
        <v>1729</v>
      </c>
      <c r="G284" s="8" t="n">
        <v>1404</v>
      </c>
      <c r="H284" s="8" t="s">
        <v>67</v>
      </c>
      <c r="I284" s="8" t="s">
        <v>1034</v>
      </c>
      <c r="J284" s="8" t="s">
        <v>1730</v>
      </c>
      <c r="K284" s="8" t="s">
        <v>104</v>
      </c>
      <c r="L284" s="8" t="s">
        <v>200</v>
      </c>
      <c r="M284" s="8" t="n">
        <v>32</v>
      </c>
      <c r="N284" s="8" t="s">
        <v>146</v>
      </c>
      <c r="O284" s="8" t="s">
        <v>203</v>
      </c>
      <c r="P284" s="8" t="s">
        <v>225</v>
      </c>
      <c r="Q284" s="8" t="s">
        <v>203</v>
      </c>
      <c r="R284" s="8" t="s">
        <v>195</v>
      </c>
      <c r="S284" s="8" t="s">
        <v>279</v>
      </c>
      <c r="T284" s="8"/>
      <c r="U284" s="8"/>
      <c r="V284" s="8"/>
    </row>
    <row r="285" customFormat="false" ht="15" hidden="false" customHeight="false" outlineLevel="0" collapsed="false">
      <c r="A285" s="11" t="s">
        <v>188</v>
      </c>
      <c r="B285" s="11" t="s">
        <v>1731</v>
      </c>
      <c r="C285" s="11" t="s">
        <v>1732</v>
      </c>
      <c r="D285" s="11" t="s">
        <v>1733</v>
      </c>
      <c r="E285" s="11" t="s">
        <v>1201</v>
      </c>
      <c r="F285" s="11" t="s">
        <v>1202</v>
      </c>
      <c r="G285" s="11" t="n">
        <v>264</v>
      </c>
      <c r="H285" s="11" t="s">
        <v>67</v>
      </c>
      <c r="I285" s="11" t="s">
        <v>1203</v>
      </c>
      <c r="J285" s="11" t="s">
        <v>399</v>
      </c>
      <c r="K285" s="11" t="s">
        <v>104</v>
      </c>
      <c r="L285" s="11" t="s">
        <v>207</v>
      </c>
      <c r="M285" s="11" t="n">
        <v>28</v>
      </c>
      <c r="N285" s="11" t="s">
        <v>55</v>
      </c>
      <c r="O285" s="11" t="s">
        <v>203</v>
      </c>
      <c r="P285" s="11" t="s">
        <v>225</v>
      </c>
      <c r="Q285" s="11" t="s">
        <v>203</v>
      </c>
      <c r="R285" s="11" t="s">
        <v>195</v>
      </c>
      <c r="S285" s="11" t="s">
        <v>279</v>
      </c>
      <c r="T285" s="11"/>
      <c r="U285" s="11"/>
      <c r="V285" s="11"/>
    </row>
    <row r="286" customFormat="false" ht="15" hidden="false" customHeight="false" outlineLevel="0" collapsed="false">
      <c r="A286" s="8" t="s">
        <v>188</v>
      </c>
      <c r="B286" s="8" t="s">
        <v>1734</v>
      </c>
      <c r="C286" s="8" t="s">
        <v>1735</v>
      </c>
      <c r="D286" s="8" t="s">
        <v>1736</v>
      </c>
      <c r="E286" s="8" t="s">
        <v>1737</v>
      </c>
      <c r="F286" s="8" t="s">
        <v>1738</v>
      </c>
      <c r="G286" s="8" t="n">
        <v>776</v>
      </c>
      <c r="H286" s="8" t="s">
        <v>67</v>
      </c>
      <c r="I286" s="8" t="s">
        <v>1739</v>
      </c>
      <c r="J286" s="8" t="s">
        <v>1740</v>
      </c>
      <c r="K286" s="8" t="s">
        <v>104</v>
      </c>
      <c r="L286" s="8" t="s">
        <v>192</v>
      </c>
      <c r="M286" s="8" t="n">
        <v>32</v>
      </c>
      <c r="N286" s="8" t="s">
        <v>146</v>
      </c>
      <c r="O286" s="8" t="s">
        <v>203</v>
      </c>
      <c r="P286" s="8" t="s">
        <v>225</v>
      </c>
      <c r="Q286" s="8" t="s">
        <v>203</v>
      </c>
      <c r="R286" s="8" t="s">
        <v>195</v>
      </c>
      <c r="S286" s="8" t="s">
        <v>279</v>
      </c>
      <c r="T286" s="8"/>
      <c r="U286" s="8"/>
      <c r="V286" s="8"/>
    </row>
    <row r="287" customFormat="false" ht="15" hidden="false" customHeight="false" outlineLevel="0" collapsed="false">
      <c r="A287" s="11" t="s">
        <v>188</v>
      </c>
      <c r="B287" s="11" t="s">
        <v>1741</v>
      </c>
      <c r="C287" s="11" t="s">
        <v>1742</v>
      </c>
      <c r="D287" s="11" t="s">
        <v>1743</v>
      </c>
      <c r="E287" s="11" t="s">
        <v>1744</v>
      </c>
      <c r="F287" s="11" t="s">
        <v>1745</v>
      </c>
      <c r="G287" s="11" t="n">
        <v>1991</v>
      </c>
      <c r="H287" s="11" t="s">
        <v>67</v>
      </c>
      <c r="I287" s="11" t="s">
        <v>1746</v>
      </c>
      <c r="J287" s="11" t="s">
        <v>1747</v>
      </c>
      <c r="K287" s="11" t="s">
        <v>104</v>
      </c>
      <c r="L287" s="11" t="s">
        <v>207</v>
      </c>
      <c r="M287" s="11" t="n">
        <v>28</v>
      </c>
      <c r="N287" s="11" t="s">
        <v>55</v>
      </c>
      <c r="O287" s="11" t="s">
        <v>203</v>
      </c>
      <c r="P287" s="11" t="s">
        <v>225</v>
      </c>
      <c r="Q287" s="11" t="s">
        <v>203</v>
      </c>
      <c r="R287" s="11" t="s">
        <v>195</v>
      </c>
      <c r="S287" s="11" t="s">
        <v>279</v>
      </c>
      <c r="T287" s="11"/>
      <c r="U287" s="11"/>
      <c r="V287" s="11"/>
    </row>
    <row r="288" customFormat="false" ht="15" hidden="false" customHeight="false" outlineLevel="0" collapsed="false">
      <c r="A288" s="8" t="s">
        <v>188</v>
      </c>
      <c r="B288" s="8" t="s">
        <v>1748</v>
      </c>
      <c r="C288" s="8" t="s">
        <v>1749</v>
      </c>
      <c r="D288" s="8" t="s">
        <v>158</v>
      </c>
      <c r="E288" s="8" t="s">
        <v>1750</v>
      </c>
      <c r="F288" s="8" t="s">
        <v>1751</v>
      </c>
      <c r="G288" s="8" t="n">
        <v>558</v>
      </c>
      <c r="H288" s="8" t="s">
        <v>67</v>
      </c>
      <c r="I288" s="8" t="s">
        <v>1752</v>
      </c>
      <c r="J288" s="8" t="s">
        <v>1753</v>
      </c>
      <c r="K288" s="8" t="s">
        <v>104</v>
      </c>
      <c r="L288" s="8" t="s">
        <v>224</v>
      </c>
      <c r="M288" s="8" t="n">
        <v>36</v>
      </c>
      <c r="N288" s="8" t="s">
        <v>55</v>
      </c>
      <c r="O288" s="8" t="s">
        <v>203</v>
      </c>
      <c r="P288" s="8" t="s">
        <v>225</v>
      </c>
      <c r="Q288" s="8" t="s">
        <v>203</v>
      </c>
      <c r="R288" s="8" t="s">
        <v>195</v>
      </c>
      <c r="S288" s="8" t="s">
        <v>279</v>
      </c>
      <c r="T288" s="8"/>
      <c r="U288" s="8"/>
      <c r="V288" s="8"/>
    </row>
    <row r="289" customFormat="false" ht="15" hidden="false" customHeight="false" outlineLevel="0" collapsed="false">
      <c r="A289" s="11" t="s">
        <v>188</v>
      </c>
      <c r="B289" s="11" t="s">
        <v>1754</v>
      </c>
      <c r="C289" s="11" t="s">
        <v>1755</v>
      </c>
      <c r="D289" s="11" t="s">
        <v>1756</v>
      </c>
      <c r="E289" s="11" t="s">
        <v>1035</v>
      </c>
      <c r="F289" s="11" t="s">
        <v>1036</v>
      </c>
      <c r="G289" s="11" t="n">
        <v>368</v>
      </c>
      <c r="H289" s="11" t="s">
        <v>67</v>
      </c>
      <c r="I289" s="11" t="s">
        <v>652</v>
      </c>
      <c r="J289" s="11" t="s">
        <v>1757</v>
      </c>
      <c r="K289" s="11" t="s">
        <v>104</v>
      </c>
      <c r="L289" s="11" t="s">
        <v>224</v>
      </c>
      <c r="M289" s="11" t="n">
        <v>45</v>
      </c>
      <c r="N289" s="11" t="s">
        <v>64</v>
      </c>
      <c r="O289" s="11" t="s">
        <v>203</v>
      </c>
      <c r="P289" s="11" t="s">
        <v>225</v>
      </c>
      <c r="Q289" s="11" t="s">
        <v>203</v>
      </c>
      <c r="R289" s="11" t="s">
        <v>195</v>
      </c>
      <c r="S289" s="11" t="s">
        <v>279</v>
      </c>
      <c r="T289" s="11"/>
      <c r="U289" s="11"/>
      <c r="V289" s="11"/>
    </row>
    <row r="290" customFormat="false" ht="15" hidden="false" customHeight="false" outlineLevel="0" collapsed="false">
      <c r="A290" s="8" t="s">
        <v>188</v>
      </c>
      <c r="B290" s="8" t="s">
        <v>1758</v>
      </c>
      <c r="C290" s="8" t="s">
        <v>1759</v>
      </c>
      <c r="D290" s="8" t="s">
        <v>1756</v>
      </c>
      <c r="E290" s="8" t="s">
        <v>1760</v>
      </c>
      <c r="F290" s="8" t="s">
        <v>1761</v>
      </c>
      <c r="G290" s="8" t="n">
        <v>2011</v>
      </c>
      <c r="H290" s="8" t="s">
        <v>67</v>
      </c>
      <c r="I290" s="8" t="s">
        <v>1762</v>
      </c>
      <c r="J290" s="8" t="s">
        <v>1763</v>
      </c>
      <c r="K290" s="8" t="s">
        <v>104</v>
      </c>
      <c r="L290" s="8" t="s">
        <v>207</v>
      </c>
      <c r="M290" s="8" t="n">
        <v>28</v>
      </c>
      <c r="N290" s="8" t="s">
        <v>55</v>
      </c>
      <c r="O290" s="8" t="s">
        <v>203</v>
      </c>
      <c r="P290" s="8" t="s">
        <v>225</v>
      </c>
      <c r="Q290" s="8" t="s">
        <v>203</v>
      </c>
      <c r="R290" s="8" t="s">
        <v>195</v>
      </c>
      <c r="S290" s="8" t="s">
        <v>279</v>
      </c>
      <c r="T290" s="8"/>
      <c r="U290" s="8"/>
      <c r="V290" s="8"/>
    </row>
    <row r="291" customFormat="false" ht="15" hidden="false" customHeight="false" outlineLevel="0" collapsed="false">
      <c r="A291" s="11" t="s">
        <v>188</v>
      </c>
      <c r="B291" s="11" t="s">
        <v>1764</v>
      </c>
      <c r="C291" s="11" t="s">
        <v>1765</v>
      </c>
      <c r="D291" s="11" t="s">
        <v>1766</v>
      </c>
      <c r="E291" s="11" t="s">
        <v>1767</v>
      </c>
      <c r="F291" s="11" t="s">
        <v>1768</v>
      </c>
      <c r="G291" s="11" t="n">
        <v>435</v>
      </c>
      <c r="H291" s="11" t="s">
        <v>67</v>
      </c>
      <c r="I291" s="11" t="s">
        <v>1769</v>
      </c>
      <c r="J291" s="11" t="s">
        <v>298</v>
      </c>
      <c r="K291" s="11" t="s">
        <v>104</v>
      </c>
      <c r="L291" s="11" t="s">
        <v>192</v>
      </c>
      <c r="M291" s="11" t="n">
        <v>70</v>
      </c>
      <c r="N291" s="11" t="s">
        <v>146</v>
      </c>
      <c r="O291" s="11" t="s">
        <v>203</v>
      </c>
      <c r="P291" s="11" t="s">
        <v>225</v>
      </c>
      <c r="Q291" s="11" t="s">
        <v>203</v>
      </c>
      <c r="R291" s="11" t="s">
        <v>195</v>
      </c>
      <c r="S291" s="11" t="s">
        <v>279</v>
      </c>
      <c r="T291" s="11"/>
      <c r="U291" s="11"/>
      <c r="V291" s="11"/>
    </row>
    <row r="292" customFormat="false" ht="15" hidden="false" customHeight="false" outlineLevel="0" collapsed="false">
      <c r="A292" s="8" t="s">
        <v>188</v>
      </c>
      <c r="B292" s="8" t="s">
        <v>1770</v>
      </c>
      <c r="C292" s="8" t="s">
        <v>1771</v>
      </c>
      <c r="D292" s="8" t="s">
        <v>1772</v>
      </c>
      <c r="E292" s="8" t="s">
        <v>1773</v>
      </c>
      <c r="F292" s="8" t="s">
        <v>1774</v>
      </c>
      <c r="G292" s="8" t="n">
        <v>2197</v>
      </c>
      <c r="H292" s="8" t="s">
        <v>67</v>
      </c>
      <c r="I292" s="8" t="s">
        <v>1775</v>
      </c>
      <c r="J292" s="8" t="s">
        <v>1776</v>
      </c>
      <c r="K292" s="8" t="s">
        <v>104</v>
      </c>
      <c r="L292" s="8" t="s">
        <v>211</v>
      </c>
      <c r="M292" s="8" t="n">
        <v>24</v>
      </c>
      <c r="N292" s="8" t="s">
        <v>79</v>
      </c>
      <c r="O292" s="8" t="s">
        <v>203</v>
      </c>
      <c r="P292" s="8" t="s">
        <v>225</v>
      </c>
      <c r="Q292" s="8" t="s">
        <v>203</v>
      </c>
      <c r="R292" s="8" t="s">
        <v>195</v>
      </c>
      <c r="S292" s="8" t="s">
        <v>279</v>
      </c>
      <c r="T292" s="8"/>
      <c r="U292" s="8"/>
      <c r="V292" s="8"/>
    </row>
    <row r="293" customFormat="false" ht="15" hidden="false" customHeight="false" outlineLevel="0" collapsed="false">
      <c r="A293" s="11" t="s">
        <v>188</v>
      </c>
      <c r="B293" s="11" t="s">
        <v>1777</v>
      </c>
      <c r="C293" s="11" t="s">
        <v>1778</v>
      </c>
      <c r="D293" s="11" t="s">
        <v>1779</v>
      </c>
      <c r="E293" s="11" t="s">
        <v>469</v>
      </c>
      <c r="F293" s="11" t="s">
        <v>470</v>
      </c>
      <c r="G293" s="11" t="n">
        <v>2816</v>
      </c>
      <c r="H293" s="11" t="s">
        <v>67</v>
      </c>
      <c r="I293" s="11" t="s">
        <v>471</v>
      </c>
      <c r="J293" s="11" t="s">
        <v>794</v>
      </c>
      <c r="K293" s="11" t="s">
        <v>104</v>
      </c>
      <c r="L293" s="11" t="s">
        <v>224</v>
      </c>
      <c r="M293" s="11" t="n">
        <v>32</v>
      </c>
      <c r="N293" s="11" t="s">
        <v>55</v>
      </c>
      <c r="O293" s="11" t="s">
        <v>203</v>
      </c>
      <c r="P293" s="11" t="s">
        <v>225</v>
      </c>
      <c r="Q293" s="11" t="s">
        <v>203</v>
      </c>
      <c r="R293" s="11" t="s">
        <v>195</v>
      </c>
      <c r="S293" s="11" t="s">
        <v>279</v>
      </c>
      <c r="T293" s="11"/>
      <c r="U293" s="11"/>
      <c r="V293" s="11"/>
    </row>
    <row r="294" customFormat="false" ht="15" hidden="false" customHeight="false" outlineLevel="0" collapsed="false">
      <c r="A294" s="8" t="s">
        <v>188</v>
      </c>
      <c r="B294" s="8" t="s">
        <v>1780</v>
      </c>
      <c r="C294" s="8" t="s">
        <v>1781</v>
      </c>
      <c r="D294" s="8" t="s">
        <v>1782</v>
      </c>
      <c r="E294" s="8" t="s">
        <v>1783</v>
      </c>
      <c r="F294" s="8" t="s">
        <v>1784</v>
      </c>
      <c r="G294" s="8" t="n">
        <v>605</v>
      </c>
      <c r="H294" s="8" t="s">
        <v>67</v>
      </c>
      <c r="I294" s="8" t="s">
        <v>468</v>
      </c>
      <c r="J294" s="8" t="s">
        <v>1785</v>
      </c>
      <c r="K294" s="8" t="s">
        <v>104</v>
      </c>
      <c r="L294" s="8" t="s">
        <v>200</v>
      </c>
      <c r="M294" s="8" t="n">
        <v>40</v>
      </c>
      <c r="N294" s="8" t="s">
        <v>64</v>
      </c>
      <c r="O294" s="8" t="s">
        <v>203</v>
      </c>
      <c r="P294" s="8" t="s">
        <v>225</v>
      </c>
      <c r="Q294" s="8" t="s">
        <v>203</v>
      </c>
      <c r="R294" s="8" t="s">
        <v>195</v>
      </c>
      <c r="S294" s="8" t="s">
        <v>279</v>
      </c>
      <c r="T294" s="8"/>
      <c r="U294" s="8"/>
      <c r="V294" s="8"/>
    </row>
    <row r="295" customFormat="false" ht="20.85" hidden="false" customHeight="false" outlineLevel="0" collapsed="false">
      <c r="A295" s="11" t="s">
        <v>188</v>
      </c>
      <c r="B295" s="11" t="s">
        <v>1786</v>
      </c>
      <c r="C295" s="11" t="s">
        <v>1787</v>
      </c>
      <c r="D295" s="11" t="s">
        <v>1788</v>
      </c>
      <c r="E295" s="11" t="s">
        <v>1789</v>
      </c>
      <c r="F295" s="11" t="s">
        <v>1790</v>
      </c>
      <c r="G295" s="11" t="n">
        <v>550</v>
      </c>
      <c r="H295" s="11" t="s">
        <v>67</v>
      </c>
      <c r="I295" s="11" t="s">
        <v>1791</v>
      </c>
      <c r="J295" s="11" t="s">
        <v>1309</v>
      </c>
      <c r="K295" s="11" t="s">
        <v>104</v>
      </c>
      <c r="L295" s="11" t="s">
        <v>224</v>
      </c>
      <c r="M295" s="11" t="n">
        <v>24</v>
      </c>
      <c r="N295" s="11" t="s">
        <v>55</v>
      </c>
      <c r="O295" s="11" t="s">
        <v>203</v>
      </c>
      <c r="P295" s="11" t="s">
        <v>225</v>
      </c>
      <c r="Q295" s="11" t="s">
        <v>203</v>
      </c>
      <c r="R295" s="11" t="s">
        <v>1792</v>
      </c>
      <c r="S295" s="11" t="s">
        <v>279</v>
      </c>
      <c r="T295" s="11"/>
      <c r="U295" s="11"/>
      <c r="V295" s="11"/>
    </row>
    <row r="296" customFormat="false" ht="15" hidden="false" customHeight="false" outlineLevel="0" collapsed="false">
      <c r="A296" s="8" t="s">
        <v>188</v>
      </c>
      <c r="B296" s="8" t="s">
        <v>1793</v>
      </c>
      <c r="C296" s="8" t="s">
        <v>1794</v>
      </c>
      <c r="D296" s="8" t="s">
        <v>1788</v>
      </c>
      <c r="E296" s="8" t="s">
        <v>1795</v>
      </c>
      <c r="F296" s="8" t="s">
        <v>1796</v>
      </c>
      <c r="G296" s="8" t="n">
        <v>1930</v>
      </c>
      <c r="H296" s="8" t="s">
        <v>114</v>
      </c>
      <c r="I296" s="8" t="s">
        <v>1797</v>
      </c>
      <c r="J296" s="8" t="s">
        <v>1798</v>
      </c>
      <c r="K296" s="8" t="s">
        <v>104</v>
      </c>
      <c r="L296" s="8" t="s">
        <v>211</v>
      </c>
      <c r="M296" s="8" t="n">
        <v>32</v>
      </c>
      <c r="N296" s="8" t="s">
        <v>79</v>
      </c>
      <c r="O296" s="8" t="s">
        <v>203</v>
      </c>
      <c r="P296" s="8" t="s">
        <v>225</v>
      </c>
      <c r="Q296" s="8" t="s">
        <v>203</v>
      </c>
      <c r="R296" s="8" t="s">
        <v>195</v>
      </c>
      <c r="S296" s="8" t="s">
        <v>279</v>
      </c>
      <c r="T296" s="8"/>
      <c r="U296" s="8"/>
      <c r="V296" s="8"/>
    </row>
    <row r="297" customFormat="false" ht="15" hidden="false" customHeight="false" outlineLevel="0" collapsed="false">
      <c r="A297" s="11" t="s">
        <v>188</v>
      </c>
      <c r="B297" s="11" t="s">
        <v>1799</v>
      </c>
      <c r="C297" s="11" t="s">
        <v>1800</v>
      </c>
      <c r="D297" s="11" t="s">
        <v>1788</v>
      </c>
      <c r="E297" s="11" t="s">
        <v>1801</v>
      </c>
      <c r="F297" s="11" t="s">
        <v>1802</v>
      </c>
      <c r="G297" s="11" t="n">
        <v>2817</v>
      </c>
      <c r="H297" s="11" t="s">
        <v>114</v>
      </c>
      <c r="I297" s="11" t="s">
        <v>471</v>
      </c>
      <c r="J297" s="11" t="s">
        <v>1803</v>
      </c>
      <c r="K297" s="11" t="s">
        <v>104</v>
      </c>
      <c r="L297" s="11" t="s">
        <v>207</v>
      </c>
      <c r="M297" s="11" t="n">
        <v>32</v>
      </c>
      <c r="N297" s="11" t="s">
        <v>55</v>
      </c>
      <c r="O297" s="11" t="s">
        <v>203</v>
      </c>
      <c r="P297" s="11" t="s">
        <v>225</v>
      </c>
      <c r="Q297" s="11" t="s">
        <v>203</v>
      </c>
      <c r="R297" s="11" t="s">
        <v>195</v>
      </c>
      <c r="S297" s="11" t="s">
        <v>279</v>
      </c>
      <c r="T297" s="11"/>
      <c r="U297" s="11"/>
      <c r="V297" s="11"/>
    </row>
    <row r="298" customFormat="false" ht="15" hidden="false" customHeight="false" outlineLevel="0" collapsed="false">
      <c r="A298" s="8" t="s">
        <v>188</v>
      </c>
      <c r="B298" s="8" t="s">
        <v>1804</v>
      </c>
      <c r="C298" s="8" t="s">
        <v>1805</v>
      </c>
      <c r="D298" s="8" t="s">
        <v>1806</v>
      </c>
      <c r="E298" s="8" t="s">
        <v>1807</v>
      </c>
      <c r="F298" s="8" t="s">
        <v>1808</v>
      </c>
      <c r="G298" s="8" t="n">
        <v>2653</v>
      </c>
      <c r="H298" s="8" t="s">
        <v>67</v>
      </c>
      <c r="I298" s="8" t="s">
        <v>638</v>
      </c>
      <c r="J298" s="8" t="s">
        <v>1809</v>
      </c>
      <c r="K298" s="8" t="s">
        <v>104</v>
      </c>
      <c r="L298" s="8" t="s">
        <v>211</v>
      </c>
      <c r="M298" s="8" t="n">
        <v>28</v>
      </c>
      <c r="N298" s="8" t="s">
        <v>55</v>
      </c>
      <c r="O298" s="8" t="s">
        <v>203</v>
      </c>
      <c r="P298" s="8" t="s">
        <v>225</v>
      </c>
      <c r="Q298" s="8" t="s">
        <v>203</v>
      </c>
      <c r="R298" s="8" t="s">
        <v>195</v>
      </c>
      <c r="S298" s="8" t="s">
        <v>279</v>
      </c>
      <c r="T298" s="8"/>
      <c r="U298" s="8"/>
      <c r="V298" s="8"/>
    </row>
    <row r="299" customFormat="false" ht="15" hidden="false" customHeight="false" outlineLevel="0" collapsed="false">
      <c r="A299" s="11" t="s">
        <v>188</v>
      </c>
      <c r="B299" s="11" t="s">
        <v>1810</v>
      </c>
      <c r="C299" s="11" t="s">
        <v>1811</v>
      </c>
      <c r="D299" s="11" t="s">
        <v>1812</v>
      </c>
      <c r="E299" s="11" t="s">
        <v>1813</v>
      </c>
      <c r="F299" s="11" t="s">
        <v>1814</v>
      </c>
      <c r="G299" s="11" t="n">
        <v>38</v>
      </c>
      <c r="H299" s="11" t="s">
        <v>114</v>
      </c>
      <c r="I299" s="11" t="s">
        <v>1815</v>
      </c>
      <c r="J299" s="11" t="s">
        <v>1816</v>
      </c>
      <c r="K299" s="11" t="s">
        <v>104</v>
      </c>
      <c r="L299" s="11" t="s">
        <v>192</v>
      </c>
      <c r="M299" s="11" t="n">
        <v>60</v>
      </c>
      <c r="N299" s="11" t="s">
        <v>146</v>
      </c>
      <c r="O299" s="11" t="s">
        <v>203</v>
      </c>
      <c r="P299" s="11" t="s">
        <v>225</v>
      </c>
      <c r="Q299" s="11" t="s">
        <v>203</v>
      </c>
      <c r="R299" s="11" t="s">
        <v>195</v>
      </c>
      <c r="S299" s="11" t="s">
        <v>279</v>
      </c>
      <c r="T299" s="11"/>
      <c r="U299" s="11"/>
      <c r="V299" s="11"/>
    </row>
    <row r="300" customFormat="false" ht="15" hidden="false" customHeight="false" outlineLevel="0" collapsed="false">
      <c r="A300" s="8" t="s">
        <v>188</v>
      </c>
      <c r="B300" s="8" t="s">
        <v>1817</v>
      </c>
      <c r="C300" s="8" t="s">
        <v>1818</v>
      </c>
      <c r="D300" s="8" t="s">
        <v>1819</v>
      </c>
      <c r="E300" s="8" t="s">
        <v>1820</v>
      </c>
      <c r="F300" s="8" t="s">
        <v>1821</v>
      </c>
      <c r="G300" s="8" t="n">
        <v>2279</v>
      </c>
      <c r="H300" s="8" t="s">
        <v>67</v>
      </c>
      <c r="I300" s="8" t="s">
        <v>1822</v>
      </c>
      <c r="J300" s="8" t="s">
        <v>840</v>
      </c>
      <c r="K300" s="8" t="s">
        <v>104</v>
      </c>
      <c r="L300" s="8" t="s">
        <v>224</v>
      </c>
      <c r="M300" s="8" t="n">
        <v>24</v>
      </c>
      <c r="N300" s="8" t="s">
        <v>55</v>
      </c>
      <c r="O300" s="8" t="s">
        <v>203</v>
      </c>
      <c r="P300" s="8" t="s">
        <v>225</v>
      </c>
      <c r="Q300" s="8" t="s">
        <v>203</v>
      </c>
      <c r="R300" s="8" t="s">
        <v>195</v>
      </c>
      <c r="S300" s="8" t="s">
        <v>279</v>
      </c>
      <c r="T300" s="8"/>
      <c r="U300" s="8"/>
      <c r="V300" s="8"/>
    </row>
    <row r="301" customFormat="false" ht="15" hidden="false" customHeight="false" outlineLevel="0" collapsed="false">
      <c r="A301" s="11" t="s">
        <v>188</v>
      </c>
      <c r="B301" s="11" t="s">
        <v>1823</v>
      </c>
      <c r="C301" s="11" t="s">
        <v>1824</v>
      </c>
      <c r="D301" s="11" t="s">
        <v>1825</v>
      </c>
      <c r="E301" s="11" t="s">
        <v>1826</v>
      </c>
      <c r="F301" s="11" t="s">
        <v>1827</v>
      </c>
      <c r="G301" s="11" t="n">
        <v>1306</v>
      </c>
      <c r="H301" s="11" t="s">
        <v>67</v>
      </c>
      <c r="I301" s="11" t="s">
        <v>991</v>
      </c>
      <c r="J301" s="11" t="s">
        <v>1828</v>
      </c>
      <c r="K301" s="11" t="s">
        <v>104</v>
      </c>
      <c r="L301" s="11" t="s">
        <v>207</v>
      </c>
      <c r="M301" s="11" t="n">
        <v>28</v>
      </c>
      <c r="N301" s="11" t="s">
        <v>146</v>
      </c>
      <c r="O301" s="11" t="s">
        <v>203</v>
      </c>
      <c r="P301" s="11" t="s">
        <v>225</v>
      </c>
      <c r="Q301" s="11" t="s">
        <v>203</v>
      </c>
      <c r="R301" s="11" t="s">
        <v>195</v>
      </c>
      <c r="S301" s="11" t="s">
        <v>279</v>
      </c>
      <c r="T301" s="11"/>
      <c r="U301" s="11"/>
      <c r="V301" s="11"/>
    </row>
    <row r="302" customFormat="false" ht="15" hidden="false" customHeight="false" outlineLevel="0" collapsed="false">
      <c r="A302" s="8" t="s">
        <v>188</v>
      </c>
      <c r="B302" s="8" t="s">
        <v>1829</v>
      </c>
      <c r="C302" s="8" t="s">
        <v>1830</v>
      </c>
      <c r="D302" s="8" t="s">
        <v>1106</v>
      </c>
      <c r="E302" s="8" t="s">
        <v>1831</v>
      </c>
      <c r="F302" s="8" t="s">
        <v>1832</v>
      </c>
      <c r="G302" s="8" t="n">
        <v>1417</v>
      </c>
      <c r="H302" s="8" t="s">
        <v>67</v>
      </c>
      <c r="I302" s="8" t="s">
        <v>1833</v>
      </c>
      <c r="J302" s="8" t="s">
        <v>1834</v>
      </c>
      <c r="K302" s="8" t="s">
        <v>104</v>
      </c>
      <c r="L302" s="8" t="s">
        <v>192</v>
      </c>
      <c r="M302" s="8" t="n">
        <v>80</v>
      </c>
      <c r="N302" s="8" t="s">
        <v>79</v>
      </c>
      <c r="O302" s="8" t="s">
        <v>203</v>
      </c>
      <c r="P302" s="8" t="s">
        <v>225</v>
      </c>
      <c r="Q302" s="8" t="s">
        <v>203</v>
      </c>
      <c r="R302" s="8" t="s">
        <v>195</v>
      </c>
      <c r="S302" s="8" t="s">
        <v>279</v>
      </c>
      <c r="T302" s="8"/>
      <c r="U302" s="8"/>
      <c r="V302" s="8"/>
    </row>
    <row r="303" customFormat="false" ht="15" hidden="false" customHeight="false" outlineLevel="0" collapsed="false">
      <c r="A303" s="11" t="s">
        <v>188</v>
      </c>
      <c r="B303" s="11" t="s">
        <v>1835</v>
      </c>
      <c r="C303" s="11" t="s">
        <v>1836</v>
      </c>
      <c r="D303" s="11" t="s">
        <v>1837</v>
      </c>
      <c r="E303" s="11" t="s">
        <v>1838</v>
      </c>
      <c r="F303" s="11" t="s">
        <v>1839</v>
      </c>
      <c r="G303" s="11" t="n">
        <v>139</v>
      </c>
      <c r="H303" s="11" t="s">
        <v>67</v>
      </c>
      <c r="I303" s="11" t="s">
        <v>1840</v>
      </c>
      <c r="J303" s="11" t="s">
        <v>1841</v>
      </c>
      <c r="K303" s="11" t="s">
        <v>104</v>
      </c>
      <c r="L303" s="11" t="s">
        <v>192</v>
      </c>
      <c r="M303" s="11" t="n">
        <v>32</v>
      </c>
      <c r="N303" s="11" t="s">
        <v>55</v>
      </c>
      <c r="O303" s="11" t="s">
        <v>203</v>
      </c>
      <c r="P303" s="11" t="s">
        <v>225</v>
      </c>
      <c r="Q303" s="11" t="s">
        <v>203</v>
      </c>
      <c r="R303" s="11" t="s">
        <v>195</v>
      </c>
      <c r="S303" s="11" t="s">
        <v>279</v>
      </c>
      <c r="T303" s="11"/>
      <c r="U303" s="11"/>
      <c r="V303" s="11"/>
    </row>
    <row r="304" customFormat="false" ht="15" hidden="false" customHeight="false" outlineLevel="0" collapsed="false">
      <c r="A304" s="8" t="s">
        <v>188</v>
      </c>
      <c r="B304" s="8" t="s">
        <v>1842</v>
      </c>
      <c r="C304" s="8" t="s">
        <v>1843</v>
      </c>
      <c r="D304" s="8" t="s">
        <v>1837</v>
      </c>
      <c r="E304" s="8" t="s">
        <v>1844</v>
      </c>
      <c r="F304" s="8" t="s">
        <v>1845</v>
      </c>
      <c r="G304" s="8" t="n">
        <v>2305</v>
      </c>
      <c r="H304" s="8" t="s">
        <v>67</v>
      </c>
      <c r="I304" s="8" t="s">
        <v>1846</v>
      </c>
      <c r="J304" s="8" t="s">
        <v>1847</v>
      </c>
      <c r="K304" s="8" t="s">
        <v>104</v>
      </c>
      <c r="L304" s="8" t="s">
        <v>192</v>
      </c>
      <c r="M304" s="8" t="n">
        <v>45</v>
      </c>
      <c r="N304" s="8" t="s">
        <v>79</v>
      </c>
      <c r="O304" s="8" t="s">
        <v>203</v>
      </c>
      <c r="P304" s="8" t="s">
        <v>225</v>
      </c>
      <c r="Q304" s="8" t="s">
        <v>203</v>
      </c>
      <c r="R304" s="8" t="s">
        <v>195</v>
      </c>
      <c r="S304" s="8" t="s">
        <v>279</v>
      </c>
      <c r="T304" s="8"/>
      <c r="U304" s="8"/>
      <c r="V304" s="8"/>
    </row>
    <row r="305" customFormat="false" ht="15" hidden="false" customHeight="false" outlineLevel="0" collapsed="false">
      <c r="A305" s="11" t="s">
        <v>188</v>
      </c>
      <c r="B305" s="11" t="s">
        <v>1848</v>
      </c>
      <c r="C305" s="11" t="s">
        <v>1849</v>
      </c>
      <c r="D305" s="11" t="s">
        <v>1850</v>
      </c>
      <c r="E305" s="11" t="s">
        <v>1851</v>
      </c>
      <c r="F305" s="11" t="s">
        <v>1852</v>
      </c>
      <c r="G305" s="11" t="n">
        <v>84</v>
      </c>
      <c r="H305" s="11" t="s">
        <v>67</v>
      </c>
      <c r="I305" s="11" t="s">
        <v>1853</v>
      </c>
      <c r="J305" s="11" t="s">
        <v>1854</v>
      </c>
      <c r="K305" s="11" t="s">
        <v>104</v>
      </c>
      <c r="L305" s="11" t="s">
        <v>207</v>
      </c>
      <c r="M305" s="11" t="n">
        <v>32</v>
      </c>
      <c r="N305" s="11" t="s">
        <v>79</v>
      </c>
      <c r="O305" s="11" t="s">
        <v>203</v>
      </c>
      <c r="P305" s="11" t="s">
        <v>225</v>
      </c>
      <c r="Q305" s="11" t="s">
        <v>203</v>
      </c>
      <c r="R305" s="11" t="s">
        <v>195</v>
      </c>
      <c r="S305" s="11" t="s">
        <v>279</v>
      </c>
      <c r="T305" s="11"/>
      <c r="U305" s="11"/>
      <c r="V305" s="11"/>
    </row>
    <row r="306" customFormat="false" ht="15" hidden="false" customHeight="false" outlineLevel="0" collapsed="false">
      <c r="A306" s="8" t="s">
        <v>188</v>
      </c>
      <c r="B306" s="8" t="s">
        <v>1855</v>
      </c>
      <c r="C306" s="8" t="s">
        <v>1856</v>
      </c>
      <c r="D306" s="8" t="s">
        <v>1850</v>
      </c>
      <c r="E306" s="8" t="s">
        <v>1857</v>
      </c>
      <c r="F306" s="8" t="s">
        <v>1858</v>
      </c>
      <c r="G306" s="8" t="n">
        <v>1766</v>
      </c>
      <c r="H306" s="8" t="s">
        <v>67</v>
      </c>
      <c r="I306" s="8" t="s">
        <v>137</v>
      </c>
      <c r="J306" s="8" t="s">
        <v>1859</v>
      </c>
      <c r="K306" s="8" t="s">
        <v>104</v>
      </c>
      <c r="L306" s="8" t="s">
        <v>207</v>
      </c>
      <c r="M306" s="8" t="n">
        <v>36</v>
      </c>
      <c r="N306" s="8" t="s">
        <v>146</v>
      </c>
      <c r="O306" s="8" t="s">
        <v>203</v>
      </c>
      <c r="P306" s="8" t="s">
        <v>225</v>
      </c>
      <c r="Q306" s="8" t="s">
        <v>203</v>
      </c>
      <c r="R306" s="8" t="s">
        <v>195</v>
      </c>
      <c r="S306" s="8" t="s">
        <v>279</v>
      </c>
      <c r="T306" s="8"/>
      <c r="U306" s="8"/>
      <c r="V306" s="8"/>
    </row>
    <row r="307" customFormat="false" ht="15" hidden="false" customHeight="false" outlineLevel="0" collapsed="false">
      <c r="A307" s="11" t="s">
        <v>188</v>
      </c>
      <c r="B307" s="11" t="s">
        <v>1860</v>
      </c>
      <c r="C307" s="11" t="s">
        <v>1861</v>
      </c>
      <c r="D307" s="11" t="s">
        <v>1862</v>
      </c>
      <c r="E307" s="11" t="s">
        <v>1863</v>
      </c>
      <c r="F307" s="11" t="s">
        <v>1864</v>
      </c>
      <c r="G307" s="11" t="n">
        <v>288</v>
      </c>
      <c r="H307" s="11" t="s">
        <v>59</v>
      </c>
      <c r="I307" s="11" t="s">
        <v>1865</v>
      </c>
      <c r="J307" s="11" t="s">
        <v>1866</v>
      </c>
      <c r="K307" s="11" t="s">
        <v>104</v>
      </c>
      <c r="L307" s="11" t="s">
        <v>200</v>
      </c>
      <c r="M307" s="11" t="n">
        <v>24</v>
      </c>
      <c r="N307" s="11" t="s">
        <v>79</v>
      </c>
      <c r="O307" s="11" t="s">
        <v>203</v>
      </c>
      <c r="P307" s="11" t="s">
        <v>225</v>
      </c>
      <c r="Q307" s="11" t="s">
        <v>203</v>
      </c>
      <c r="R307" s="11" t="s">
        <v>195</v>
      </c>
      <c r="S307" s="11" t="s">
        <v>279</v>
      </c>
      <c r="T307" s="11"/>
      <c r="U307" s="11"/>
      <c r="V307" s="11"/>
    </row>
    <row r="308" customFormat="false" ht="15" hidden="false" customHeight="false" outlineLevel="0" collapsed="false">
      <c r="A308" s="8" t="s">
        <v>188</v>
      </c>
      <c r="B308" s="8" t="s">
        <v>1867</v>
      </c>
      <c r="C308" s="8" t="s">
        <v>1868</v>
      </c>
      <c r="D308" s="8" t="s">
        <v>1869</v>
      </c>
      <c r="E308" s="8" t="s">
        <v>1870</v>
      </c>
      <c r="F308" s="8" t="s">
        <v>1871</v>
      </c>
      <c r="G308" s="8" t="n">
        <v>283</v>
      </c>
      <c r="H308" s="8" t="s">
        <v>67</v>
      </c>
      <c r="I308" s="8" t="s">
        <v>1872</v>
      </c>
      <c r="J308" s="8" t="s">
        <v>1873</v>
      </c>
      <c r="K308" s="8" t="s">
        <v>104</v>
      </c>
      <c r="L308" s="8" t="s">
        <v>207</v>
      </c>
      <c r="M308" s="8" t="n">
        <v>28</v>
      </c>
      <c r="N308" s="8" t="s">
        <v>55</v>
      </c>
      <c r="O308" s="8" t="s">
        <v>203</v>
      </c>
      <c r="P308" s="8" t="s">
        <v>225</v>
      </c>
      <c r="Q308" s="8" t="s">
        <v>203</v>
      </c>
      <c r="R308" s="8" t="s">
        <v>195</v>
      </c>
      <c r="S308" s="8" t="s">
        <v>279</v>
      </c>
      <c r="T308" s="8"/>
      <c r="U308" s="8"/>
      <c r="V308" s="8"/>
    </row>
    <row r="309" customFormat="false" ht="15" hidden="false" customHeight="false" outlineLevel="0" collapsed="false">
      <c r="A309" s="11" t="s">
        <v>188</v>
      </c>
      <c r="B309" s="11" t="s">
        <v>1874</v>
      </c>
      <c r="C309" s="11" t="s">
        <v>1875</v>
      </c>
      <c r="D309" s="11" t="s">
        <v>1876</v>
      </c>
      <c r="E309" s="11" t="s">
        <v>1877</v>
      </c>
      <c r="F309" s="11" t="s">
        <v>1878</v>
      </c>
      <c r="G309" s="11" t="n">
        <v>2088</v>
      </c>
      <c r="H309" s="11" t="s">
        <v>67</v>
      </c>
      <c r="I309" s="11" t="s">
        <v>1879</v>
      </c>
      <c r="J309" s="11" t="s">
        <v>1880</v>
      </c>
      <c r="K309" s="11" t="s">
        <v>104</v>
      </c>
      <c r="L309" s="11" t="s">
        <v>207</v>
      </c>
      <c r="M309" s="11" t="n">
        <v>40</v>
      </c>
      <c r="N309" s="11" t="s">
        <v>79</v>
      </c>
      <c r="O309" s="11" t="s">
        <v>203</v>
      </c>
      <c r="P309" s="11" t="s">
        <v>225</v>
      </c>
      <c r="Q309" s="11" t="s">
        <v>203</v>
      </c>
      <c r="R309" s="11" t="s">
        <v>195</v>
      </c>
      <c r="S309" s="11" t="s">
        <v>279</v>
      </c>
      <c r="T309" s="11"/>
      <c r="U309" s="11"/>
      <c r="V309" s="11"/>
    </row>
    <row r="310" customFormat="false" ht="15" hidden="false" customHeight="false" outlineLevel="0" collapsed="false">
      <c r="A310" s="8" t="s">
        <v>188</v>
      </c>
      <c r="B310" s="8" t="s">
        <v>1881</v>
      </c>
      <c r="C310" s="8" t="s">
        <v>1882</v>
      </c>
      <c r="D310" s="8" t="s">
        <v>1876</v>
      </c>
      <c r="E310" s="8" t="s">
        <v>1883</v>
      </c>
      <c r="F310" s="8" t="s">
        <v>1884</v>
      </c>
      <c r="G310" s="8" t="n">
        <v>2306</v>
      </c>
      <c r="H310" s="8" t="s">
        <v>67</v>
      </c>
      <c r="I310" s="8" t="s">
        <v>1885</v>
      </c>
      <c r="J310" s="8" t="s">
        <v>1886</v>
      </c>
      <c r="K310" s="8" t="s">
        <v>104</v>
      </c>
      <c r="L310" s="8" t="s">
        <v>207</v>
      </c>
      <c r="M310" s="8" t="n">
        <v>32</v>
      </c>
      <c r="N310" s="8" t="s">
        <v>79</v>
      </c>
      <c r="O310" s="8" t="s">
        <v>203</v>
      </c>
      <c r="P310" s="8" t="s">
        <v>225</v>
      </c>
      <c r="Q310" s="8" t="s">
        <v>203</v>
      </c>
      <c r="R310" s="8" t="s">
        <v>195</v>
      </c>
      <c r="S310" s="8" t="s">
        <v>279</v>
      </c>
      <c r="T310" s="8"/>
      <c r="U310" s="8"/>
      <c r="V310" s="8"/>
    </row>
    <row r="311" customFormat="false" ht="15" hidden="false" customHeight="false" outlineLevel="0" collapsed="false">
      <c r="A311" s="11" t="s">
        <v>188</v>
      </c>
      <c r="B311" s="11" t="s">
        <v>1887</v>
      </c>
      <c r="C311" s="11" t="s">
        <v>1888</v>
      </c>
      <c r="D311" s="11" t="s">
        <v>1889</v>
      </c>
      <c r="E311" s="11" t="s">
        <v>1890</v>
      </c>
      <c r="F311" s="11" t="s">
        <v>1891</v>
      </c>
      <c r="G311" s="11" t="n">
        <v>1353</v>
      </c>
      <c r="H311" s="11" t="s">
        <v>67</v>
      </c>
      <c r="I311" s="11" t="s">
        <v>1008</v>
      </c>
      <c r="J311" s="11" t="s">
        <v>1892</v>
      </c>
      <c r="K311" s="11" t="s">
        <v>104</v>
      </c>
      <c r="L311" s="11" t="s">
        <v>211</v>
      </c>
      <c r="M311" s="11" t="n">
        <v>24</v>
      </c>
      <c r="N311" s="11" t="s">
        <v>64</v>
      </c>
      <c r="O311" s="11" t="s">
        <v>203</v>
      </c>
      <c r="P311" s="11" t="s">
        <v>225</v>
      </c>
      <c r="Q311" s="11" t="s">
        <v>203</v>
      </c>
      <c r="R311" s="11" t="s">
        <v>195</v>
      </c>
      <c r="S311" s="11" t="s">
        <v>279</v>
      </c>
      <c r="T311" s="11"/>
      <c r="U311" s="11"/>
      <c r="V311" s="11"/>
    </row>
    <row r="312" customFormat="false" ht="15" hidden="false" customHeight="false" outlineLevel="0" collapsed="false">
      <c r="A312" s="8" t="s">
        <v>188</v>
      </c>
      <c r="B312" s="8" t="s">
        <v>1893</v>
      </c>
      <c r="C312" s="8" t="s">
        <v>1894</v>
      </c>
      <c r="D312" s="8" t="s">
        <v>1895</v>
      </c>
      <c r="E312" s="8" t="s">
        <v>1896</v>
      </c>
      <c r="F312" s="8" t="s">
        <v>1897</v>
      </c>
      <c r="G312" s="8" t="n">
        <v>1639</v>
      </c>
      <c r="H312" s="8" t="s">
        <v>67</v>
      </c>
      <c r="I312" s="8" t="s">
        <v>1898</v>
      </c>
      <c r="J312" s="8" t="s">
        <v>1899</v>
      </c>
      <c r="K312" s="8" t="s">
        <v>104</v>
      </c>
      <c r="L312" s="8" t="s">
        <v>211</v>
      </c>
      <c r="M312" s="8" t="n">
        <v>28</v>
      </c>
      <c r="N312" s="8" t="s">
        <v>55</v>
      </c>
      <c r="O312" s="8" t="s">
        <v>203</v>
      </c>
      <c r="P312" s="8" t="s">
        <v>225</v>
      </c>
      <c r="Q312" s="8" t="s">
        <v>203</v>
      </c>
      <c r="R312" s="8" t="s">
        <v>195</v>
      </c>
      <c r="S312" s="8" t="s">
        <v>279</v>
      </c>
      <c r="T312" s="8"/>
      <c r="U312" s="8"/>
      <c r="V312" s="8"/>
    </row>
    <row r="313" customFormat="false" ht="15" hidden="false" customHeight="false" outlineLevel="0" collapsed="false">
      <c r="A313" s="11" t="s">
        <v>188</v>
      </c>
      <c r="B313" s="11" t="s">
        <v>1900</v>
      </c>
      <c r="C313" s="11" t="s">
        <v>1901</v>
      </c>
      <c r="D313" s="11" t="s">
        <v>1902</v>
      </c>
      <c r="E313" s="11" t="s">
        <v>1903</v>
      </c>
      <c r="F313" s="11" t="s">
        <v>1904</v>
      </c>
      <c r="G313" s="11" t="n">
        <v>2139</v>
      </c>
      <c r="H313" s="11" t="s">
        <v>67</v>
      </c>
      <c r="I313" s="11" t="s">
        <v>1905</v>
      </c>
      <c r="J313" s="11" t="s">
        <v>1906</v>
      </c>
      <c r="K313" s="11" t="s">
        <v>104</v>
      </c>
      <c r="L313" s="11" t="s">
        <v>192</v>
      </c>
      <c r="M313" s="11" t="n">
        <v>32</v>
      </c>
      <c r="N313" s="11" t="s">
        <v>79</v>
      </c>
      <c r="O313" s="11" t="s">
        <v>203</v>
      </c>
      <c r="P313" s="11" t="s">
        <v>225</v>
      </c>
      <c r="Q313" s="11" t="s">
        <v>203</v>
      </c>
      <c r="R313" s="11" t="s">
        <v>195</v>
      </c>
      <c r="S313" s="11" t="s">
        <v>279</v>
      </c>
      <c r="T313" s="11"/>
      <c r="U313" s="11"/>
      <c r="V313" s="11"/>
    </row>
    <row r="314" customFormat="false" ht="15" hidden="false" customHeight="false" outlineLevel="0" collapsed="false">
      <c r="A314" s="8" t="s">
        <v>188</v>
      </c>
      <c r="B314" s="8" t="s">
        <v>1907</v>
      </c>
      <c r="C314" s="8" t="s">
        <v>1908</v>
      </c>
      <c r="D314" s="8" t="s">
        <v>1909</v>
      </c>
      <c r="E314" s="8" t="s">
        <v>1910</v>
      </c>
      <c r="F314" s="8" t="s">
        <v>1911</v>
      </c>
      <c r="G314" s="8" t="n">
        <v>1120</v>
      </c>
      <c r="H314" s="8" t="s">
        <v>67</v>
      </c>
      <c r="I314" s="8" t="s">
        <v>1912</v>
      </c>
      <c r="J314" s="8" t="s">
        <v>1913</v>
      </c>
      <c r="K314" s="8" t="s">
        <v>104</v>
      </c>
      <c r="L314" s="8" t="s">
        <v>211</v>
      </c>
      <c r="M314" s="8" t="n">
        <v>24</v>
      </c>
      <c r="N314" s="8" t="s">
        <v>55</v>
      </c>
      <c r="O314" s="8" t="s">
        <v>203</v>
      </c>
      <c r="P314" s="8" t="s">
        <v>225</v>
      </c>
      <c r="Q314" s="8" t="s">
        <v>203</v>
      </c>
      <c r="R314" s="8" t="s">
        <v>1914</v>
      </c>
      <c r="S314" s="8" t="s">
        <v>279</v>
      </c>
      <c r="T314" s="8"/>
      <c r="U314" s="8"/>
      <c r="V314" s="8"/>
    </row>
    <row r="315" customFormat="false" ht="15" hidden="false" customHeight="false" outlineLevel="0" collapsed="false">
      <c r="A315" s="11" t="s">
        <v>188</v>
      </c>
      <c r="B315" s="11" t="s">
        <v>1915</v>
      </c>
      <c r="C315" s="11" t="s">
        <v>1916</v>
      </c>
      <c r="D315" s="11" t="s">
        <v>1917</v>
      </c>
      <c r="E315" s="11" t="s">
        <v>629</v>
      </c>
      <c r="F315" s="11" t="s">
        <v>630</v>
      </c>
      <c r="G315" s="11" t="n">
        <v>1706</v>
      </c>
      <c r="H315" s="11" t="s">
        <v>332</v>
      </c>
      <c r="I315" s="11" t="s">
        <v>631</v>
      </c>
      <c r="J315" s="11" t="s">
        <v>1918</v>
      </c>
      <c r="K315" s="11" t="s">
        <v>104</v>
      </c>
      <c r="L315" s="11" t="s">
        <v>192</v>
      </c>
      <c r="M315" s="11" t="n">
        <v>32</v>
      </c>
      <c r="N315" s="11" t="s">
        <v>146</v>
      </c>
      <c r="O315" s="11" t="s">
        <v>203</v>
      </c>
      <c r="P315" s="11" t="s">
        <v>225</v>
      </c>
      <c r="Q315" s="11" t="s">
        <v>203</v>
      </c>
      <c r="R315" s="11" t="s">
        <v>195</v>
      </c>
      <c r="S315" s="11" t="s">
        <v>279</v>
      </c>
      <c r="T315" s="11"/>
      <c r="U315" s="11"/>
      <c r="V315" s="11"/>
    </row>
    <row r="316" customFormat="false" ht="15" hidden="false" customHeight="false" outlineLevel="0" collapsed="false">
      <c r="A316" s="8" t="s">
        <v>188</v>
      </c>
      <c r="B316" s="8" t="s">
        <v>1919</v>
      </c>
      <c r="C316" s="8" t="s">
        <v>1920</v>
      </c>
      <c r="D316" s="8" t="s">
        <v>1921</v>
      </c>
      <c r="E316" s="8" t="s">
        <v>1922</v>
      </c>
      <c r="F316" s="8" t="s">
        <v>1923</v>
      </c>
      <c r="G316" s="8" t="n">
        <v>1504</v>
      </c>
      <c r="H316" s="8" t="s">
        <v>67</v>
      </c>
      <c r="I316" s="8" t="s">
        <v>1924</v>
      </c>
      <c r="J316" s="8" t="s">
        <v>1925</v>
      </c>
      <c r="K316" s="8" t="s">
        <v>104</v>
      </c>
      <c r="L316" s="8" t="s">
        <v>207</v>
      </c>
      <c r="M316" s="8" t="n">
        <v>50</v>
      </c>
      <c r="N316" s="8" t="s">
        <v>146</v>
      </c>
      <c r="O316" s="8" t="s">
        <v>203</v>
      </c>
      <c r="P316" s="8" t="s">
        <v>225</v>
      </c>
      <c r="Q316" s="8" t="s">
        <v>203</v>
      </c>
      <c r="R316" s="8" t="s">
        <v>195</v>
      </c>
      <c r="S316" s="8" t="s">
        <v>279</v>
      </c>
      <c r="T316" s="8"/>
      <c r="U316" s="8"/>
      <c r="V316" s="8"/>
    </row>
    <row r="317" customFormat="false" ht="15" hidden="false" customHeight="false" outlineLevel="0" collapsed="false">
      <c r="A317" s="11" t="s">
        <v>188</v>
      </c>
      <c r="B317" s="11" t="s">
        <v>1926</v>
      </c>
      <c r="C317" s="11" t="s">
        <v>1927</v>
      </c>
      <c r="D317" s="11" t="s">
        <v>1928</v>
      </c>
      <c r="E317" s="11" t="s">
        <v>1929</v>
      </c>
      <c r="F317" s="11" t="s">
        <v>1930</v>
      </c>
      <c r="G317" s="11" t="n">
        <v>1671</v>
      </c>
      <c r="H317" s="11" t="s">
        <v>67</v>
      </c>
      <c r="I317" s="11" t="s">
        <v>1931</v>
      </c>
      <c r="J317" s="11" t="s">
        <v>1932</v>
      </c>
      <c r="K317" s="11" t="s">
        <v>104</v>
      </c>
      <c r="L317" s="11" t="s">
        <v>211</v>
      </c>
      <c r="M317" s="11" t="n">
        <v>32</v>
      </c>
      <c r="N317" s="11" t="s">
        <v>55</v>
      </c>
      <c r="O317" s="11" t="s">
        <v>203</v>
      </c>
      <c r="P317" s="11" t="s">
        <v>225</v>
      </c>
      <c r="Q317" s="11" t="s">
        <v>203</v>
      </c>
      <c r="R317" s="11" t="s">
        <v>195</v>
      </c>
      <c r="S317" s="11" t="s">
        <v>279</v>
      </c>
      <c r="T317" s="11"/>
      <c r="U317" s="11"/>
      <c r="V317" s="11"/>
    </row>
    <row r="318" customFormat="false" ht="15" hidden="false" customHeight="false" outlineLevel="0" collapsed="false">
      <c r="A318" s="8" t="s">
        <v>188</v>
      </c>
      <c r="B318" s="8" t="s">
        <v>1933</v>
      </c>
      <c r="C318" s="8" t="s">
        <v>1934</v>
      </c>
      <c r="D318" s="8" t="s">
        <v>1928</v>
      </c>
      <c r="E318" s="8" t="s">
        <v>1935</v>
      </c>
      <c r="F318" s="8" t="s">
        <v>1936</v>
      </c>
      <c r="G318" s="8" t="n">
        <v>2152</v>
      </c>
      <c r="H318" s="8" t="s">
        <v>67</v>
      </c>
      <c r="I318" s="8" t="s">
        <v>436</v>
      </c>
      <c r="J318" s="8" t="s">
        <v>632</v>
      </c>
      <c r="K318" s="8" t="s">
        <v>104</v>
      </c>
      <c r="L318" s="8" t="s">
        <v>211</v>
      </c>
      <c r="M318" s="8" t="n">
        <v>24</v>
      </c>
      <c r="N318" s="8" t="s">
        <v>64</v>
      </c>
      <c r="O318" s="8" t="s">
        <v>203</v>
      </c>
      <c r="P318" s="8" t="s">
        <v>225</v>
      </c>
      <c r="Q318" s="8" t="s">
        <v>203</v>
      </c>
      <c r="R318" s="8" t="s">
        <v>195</v>
      </c>
      <c r="S318" s="8" t="s">
        <v>279</v>
      </c>
      <c r="T318" s="8"/>
      <c r="U318" s="8"/>
      <c r="V318" s="8"/>
    </row>
    <row r="319" customFormat="false" ht="15" hidden="false" customHeight="false" outlineLevel="0" collapsed="false">
      <c r="A319" s="11" t="s">
        <v>188</v>
      </c>
      <c r="B319" s="11" t="s">
        <v>1937</v>
      </c>
      <c r="C319" s="11" t="s">
        <v>1938</v>
      </c>
      <c r="D319" s="11" t="s">
        <v>1939</v>
      </c>
      <c r="E319" s="11" t="s">
        <v>1940</v>
      </c>
      <c r="F319" s="11" t="s">
        <v>1941</v>
      </c>
      <c r="G319" s="11" t="n">
        <v>205</v>
      </c>
      <c r="H319" s="11" t="s">
        <v>67</v>
      </c>
      <c r="I319" s="11" t="s">
        <v>1942</v>
      </c>
      <c r="J319" s="11" t="s">
        <v>1943</v>
      </c>
      <c r="K319" s="11" t="s">
        <v>104</v>
      </c>
      <c r="L319" s="11" t="s">
        <v>192</v>
      </c>
      <c r="M319" s="11" t="n">
        <v>70</v>
      </c>
      <c r="N319" s="11" t="s">
        <v>64</v>
      </c>
      <c r="O319" s="11" t="s">
        <v>203</v>
      </c>
      <c r="P319" s="11" t="s">
        <v>225</v>
      </c>
      <c r="Q319" s="11" t="s">
        <v>203</v>
      </c>
      <c r="R319" s="11" t="s">
        <v>195</v>
      </c>
      <c r="S319" s="11" t="s">
        <v>279</v>
      </c>
      <c r="T319" s="11"/>
      <c r="U319" s="11"/>
      <c r="V319" s="11"/>
    </row>
    <row r="320" customFormat="false" ht="15" hidden="false" customHeight="false" outlineLevel="0" collapsed="false">
      <c r="A320" s="8" t="s">
        <v>188</v>
      </c>
      <c r="B320" s="8" t="s">
        <v>1944</v>
      </c>
      <c r="C320" s="8" t="s">
        <v>1945</v>
      </c>
      <c r="D320" s="8" t="s">
        <v>1209</v>
      </c>
      <c r="E320" s="8" t="s">
        <v>1946</v>
      </c>
      <c r="F320" s="8" t="s">
        <v>1947</v>
      </c>
      <c r="G320" s="8" t="n">
        <v>2754</v>
      </c>
      <c r="H320" s="8" t="s">
        <v>67</v>
      </c>
      <c r="I320" s="8" t="s">
        <v>1819</v>
      </c>
      <c r="J320" s="8" t="s">
        <v>1948</v>
      </c>
      <c r="K320" s="8" t="s">
        <v>104</v>
      </c>
      <c r="L320" s="8" t="s">
        <v>211</v>
      </c>
      <c r="M320" s="8" t="n">
        <v>24</v>
      </c>
      <c r="N320" s="8" t="s">
        <v>146</v>
      </c>
      <c r="O320" s="8" t="s">
        <v>203</v>
      </c>
      <c r="P320" s="8" t="s">
        <v>225</v>
      </c>
      <c r="Q320" s="8" t="s">
        <v>203</v>
      </c>
      <c r="R320" s="8" t="s">
        <v>195</v>
      </c>
      <c r="S320" s="8" t="s">
        <v>279</v>
      </c>
      <c r="T320" s="8"/>
      <c r="U320" s="8"/>
      <c r="V320" s="8"/>
    </row>
    <row r="321" customFormat="false" ht="15" hidden="false" customHeight="false" outlineLevel="0" collapsed="false">
      <c r="A321" s="11" t="s">
        <v>188</v>
      </c>
      <c r="B321" s="11" t="s">
        <v>1949</v>
      </c>
      <c r="C321" s="11" t="s">
        <v>1950</v>
      </c>
      <c r="D321" s="11" t="s">
        <v>1951</v>
      </c>
      <c r="E321" s="11" t="s">
        <v>1952</v>
      </c>
      <c r="F321" s="11" t="s">
        <v>1953</v>
      </c>
      <c r="G321" s="11" t="n">
        <v>109</v>
      </c>
      <c r="H321" s="11" t="s">
        <v>67</v>
      </c>
      <c r="I321" s="11" t="s">
        <v>1954</v>
      </c>
      <c r="J321" s="11" t="s">
        <v>1955</v>
      </c>
      <c r="K321" s="11" t="s">
        <v>104</v>
      </c>
      <c r="L321" s="11" t="s">
        <v>211</v>
      </c>
      <c r="M321" s="11" t="n">
        <v>32</v>
      </c>
      <c r="N321" s="11" t="s">
        <v>64</v>
      </c>
      <c r="O321" s="11" t="s">
        <v>203</v>
      </c>
      <c r="P321" s="11" t="s">
        <v>225</v>
      </c>
      <c r="Q321" s="11" t="s">
        <v>203</v>
      </c>
      <c r="R321" s="11" t="s">
        <v>195</v>
      </c>
      <c r="S321" s="11" t="s">
        <v>279</v>
      </c>
      <c r="T321" s="11"/>
      <c r="U321" s="11"/>
      <c r="V321" s="11"/>
    </row>
    <row r="322" customFormat="false" ht="15" hidden="false" customHeight="false" outlineLevel="0" collapsed="false">
      <c r="A322" s="8" t="s">
        <v>188</v>
      </c>
      <c r="B322" s="8" t="s">
        <v>1956</v>
      </c>
      <c r="C322" s="8" t="s">
        <v>1957</v>
      </c>
      <c r="D322" s="8" t="s">
        <v>1958</v>
      </c>
      <c r="E322" s="8" t="s">
        <v>1959</v>
      </c>
      <c r="F322" s="8" t="s">
        <v>1960</v>
      </c>
      <c r="G322" s="8" t="n">
        <v>404</v>
      </c>
      <c r="H322" s="8" t="s">
        <v>67</v>
      </c>
      <c r="I322" s="8" t="s">
        <v>1961</v>
      </c>
      <c r="J322" s="8" t="s">
        <v>1962</v>
      </c>
      <c r="K322" s="8" t="s">
        <v>104</v>
      </c>
      <c r="L322" s="8" t="s">
        <v>200</v>
      </c>
      <c r="M322" s="8" t="n">
        <v>24</v>
      </c>
      <c r="N322" s="8" t="s">
        <v>146</v>
      </c>
      <c r="O322" s="8" t="s">
        <v>203</v>
      </c>
      <c r="P322" s="8" t="s">
        <v>225</v>
      </c>
      <c r="Q322" s="8" t="s">
        <v>203</v>
      </c>
      <c r="R322" s="8" t="s">
        <v>195</v>
      </c>
      <c r="S322" s="8" t="s">
        <v>279</v>
      </c>
      <c r="T322" s="8"/>
      <c r="U322" s="8"/>
      <c r="V322" s="8"/>
    </row>
    <row r="323" customFormat="false" ht="15" hidden="false" customHeight="false" outlineLevel="0" collapsed="false">
      <c r="A323" s="11" t="s">
        <v>188</v>
      </c>
      <c r="B323" s="11" t="s">
        <v>1963</v>
      </c>
      <c r="C323" s="11" t="s">
        <v>1964</v>
      </c>
      <c r="D323" s="11" t="s">
        <v>1415</v>
      </c>
      <c r="E323" s="11" t="s">
        <v>1965</v>
      </c>
      <c r="F323" s="11" t="s">
        <v>1966</v>
      </c>
      <c r="G323" s="11" t="n">
        <v>255</v>
      </c>
      <c r="H323" s="11" t="s">
        <v>67</v>
      </c>
      <c r="I323" s="11" t="s">
        <v>1967</v>
      </c>
      <c r="J323" s="11" t="s">
        <v>1968</v>
      </c>
      <c r="K323" s="11" t="s">
        <v>104</v>
      </c>
      <c r="L323" s="11" t="s">
        <v>224</v>
      </c>
      <c r="M323" s="11" t="n">
        <v>36</v>
      </c>
      <c r="N323" s="11" t="s">
        <v>146</v>
      </c>
      <c r="O323" s="11" t="s">
        <v>203</v>
      </c>
      <c r="P323" s="11" t="s">
        <v>225</v>
      </c>
      <c r="Q323" s="11" t="s">
        <v>203</v>
      </c>
      <c r="R323" s="11" t="s">
        <v>195</v>
      </c>
      <c r="S323" s="11" t="s">
        <v>279</v>
      </c>
      <c r="T323" s="11"/>
      <c r="U323" s="11"/>
      <c r="V323" s="11"/>
    </row>
    <row r="324" customFormat="false" ht="15" hidden="false" customHeight="false" outlineLevel="0" collapsed="false">
      <c r="A324" s="8" t="s">
        <v>188</v>
      </c>
      <c r="B324" s="8" t="s">
        <v>1969</v>
      </c>
      <c r="C324" s="8" t="s">
        <v>1970</v>
      </c>
      <c r="D324" s="8" t="s">
        <v>1971</v>
      </c>
      <c r="E324" s="8" t="s">
        <v>1972</v>
      </c>
      <c r="F324" s="8" t="s">
        <v>1973</v>
      </c>
      <c r="G324" s="8" t="n">
        <v>299</v>
      </c>
      <c r="H324" s="8" t="s">
        <v>67</v>
      </c>
      <c r="I324" s="8" t="s">
        <v>1974</v>
      </c>
      <c r="J324" s="8" t="s">
        <v>1197</v>
      </c>
      <c r="K324" s="8" t="s">
        <v>104</v>
      </c>
      <c r="L324" s="8" t="s">
        <v>192</v>
      </c>
      <c r="M324" s="8" t="n">
        <v>70</v>
      </c>
      <c r="N324" s="8" t="s">
        <v>146</v>
      </c>
      <c r="O324" s="8" t="s">
        <v>203</v>
      </c>
      <c r="P324" s="8" t="s">
        <v>225</v>
      </c>
      <c r="Q324" s="8" t="s">
        <v>203</v>
      </c>
      <c r="R324" s="8" t="s">
        <v>195</v>
      </c>
      <c r="S324" s="8" t="s">
        <v>279</v>
      </c>
      <c r="T324" s="8"/>
      <c r="U324" s="8"/>
      <c r="V324" s="8"/>
    </row>
    <row r="325" customFormat="false" ht="15" hidden="false" customHeight="false" outlineLevel="0" collapsed="false">
      <c r="A325" s="11" t="s">
        <v>188</v>
      </c>
      <c r="B325" s="11" t="s">
        <v>1975</v>
      </c>
      <c r="C325" s="11" t="s">
        <v>1976</v>
      </c>
      <c r="D325" s="11" t="s">
        <v>1971</v>
      </c>
      <c r="E325" s="11" t="s">
        <v>1977</v>
      </c>
      <c r="F325" s="11" t="s">
        <v>1978</v>
      </c>
      <c r="G325" s="11" t="n">
        <v>2607</v>
      </c>
      <c r="H325" s="11" t="s">
        <v>67</v>
      </c>
      <c r="I325" s="11" t="s">
        <v>1979</v>
      </c>
      <c r="J325" s="11" t="s">
        <v>1980</v>
      </c>
      <c r="K325" s="11" t="s">
        <v>104</v>
      </c>
      <c r="L325" s="11" t="s">
        <v>211</v>
      </c>
      <c r="M325" s="11" t="n">
        <v>36</v>
      </c>
      <c r="N325" s="11" t="s">
        <v>146</v>
      </c>
      <c r="O325" s="11" t="s">
        <v>203</v>
      </c>
      <c r="P325" s="11" t="s">
        <v>225</v>
      </c>
      <c r="Q325" s="11" t="s">
        <v>203</v>
      </c>
      <c r="R325" s="11" t="s">
        <v>195</v>
      </c>
      <c r="S325" s="11" t="s">
        <v>279</v>
      </c>
      <c r="T325" s="11"/>
      <c r="U325" s="11"/>
      <c r="V325" s="11"/>
    </row>
    <row r="326" customFormat="false" ht="15" hidden="false" customHeight="false" outlineLevel="0" collapsed="false">
      <c r="A326" s="8" t="s">
        <v>188</v>
      </c>
      <c r="B326" s="8" t="s">
        <v>1981</v>
      </c>
      <c r="C326" s="8" t="s">
        <v>1982</v>
      </c>
      <c r="D326" s="8" t="s">
        <v>807</v>
      </c>
      <c r="E326" s="8" t="s">
        <v>1983</v>
      </c>
      <c r="F326" s="8" t="s">
        <v>1984</v>
      </c>
      <c r="G326" s="8" t="n">
        <v>2247</v>
      </c>
      <c r="H326" s="8" t="s">
        <v>332</v>
      </c>
      <c r="I326" s="8" t="s">
        <v>1504</v>
      </c>
      <c r="J326" s="8" t="s">
        <v>1866</v>
      </c>
      <c r="K326" s="8" t="s">
        <v>104</v>
      </c>
      <c r="L326" s="8" t="s">
        <v>200</v>
      </c>
      <c r="M326" s="8" t="n">
        <v>24</v>
      </c>
      <c r="N326" s="8" t="s">
        <v>55</v>
      </c>
      <c r="O326" s="8" t="s">
        <v>203</v>
      </c>
      <c r="P326" s="8" t="s">
        <v>225</v>
      </c>
      <c r="Q326" s="8" t="s">
        <v>203</v>
      </c>
      <c r="R326" s="8" t="s">
        <v>195</v>
      </c>
      <c r="S326" s="8" t="s">
        <v>279</v>
      </c>
      <c r="T326" s="8"/>
      <c r="U326" s="8"/>
      <c r="V326" s="8"/>
    </row>
    <row r="327" customFormat="false" ht="15" hidden="false" customHeight="false" outlineLevel="0" collapsed="false">
      <c r="A327" s="11" t="s">
        <v>188</v>
      </c>
      <c r="B327" s="11" t="s">
        <v>1985</v>
      </c>
      <c r="C327" s="11" t="s">
        <v>1986</v>
      </c>
      <c r="D327" s="11" t="s">
        <v>1987</v>
      </c>
      <c r="E327" s="11" t="s">
        <v>1988</v>
      </c>
      <c r="F327" s="11" t="s">
        <v>1989</v>
      </c>
      <c r="G327" s="11" t="n">
        <v>1315</v>
      </c>
      <c r="H327" s="11" t="s">
        <v>67</v>
      </c>
      <c r="I327" s="11" t="s">
        <v>1477</v>
      </c>
      <c r="J327" s="11" t="s">
        <v>1031</v>
      </c>
      <c r="K327" s="11" t="s">
        <v>104</v>
      </c>
      <c r="L327" s="11" t="s">
        <v>207</v>
      </c>
      <c r="M327" s="11" t="n">
        <v>28</v>
      </c>
      <c r="N327" s="11" t="s">
        <v>146</v>
      </c>
      <c r="O327" s="11" t="s">
        <v>203</v>
      </c>
      <c r="P327" s="11" t="s">
        <v>225</v>
      </c>
      <c r="Q327" s="11" t="s">
        <v>203</v>
      </c>
      <c r="R327" s="11" t="s">
        <v>195</v>
      </c>
      <c r="S327" s="11" t="s">
        <v>279</v>
      </c>
      <c r="T327" s="11"/>
      <c r="U327" s="11"/>
      <c r="V327" s="11"/>
    </row>
    <row r="328" customFormat="false" ht="20.85" hidden="false" customHeight="false" outlineLevel="0" collapsed="false">
      <c r="A328" s="8" t="s">
        <v>188</v>
      </c>
      <c r="B328" s="8" t="s">
        <v>1990</v>
      </c>
      <c r="C328" s="8" t="s">
        <v>1991</v>
      </c>
      <c r="D328" s="8" t="s">
        <v>576</v>
      </c>
      <c r="E328" s="8" t="s">
        <v>1992</v>
      </c>
      <c r="F328" s="8" t="s">
        <v>1993</v>
      </c>
      <c r="G328" s="8" t="n">
        <v>2787</v>
      </c>
      <c r="H328" s="8" t="s">
        <v>67</v>
      </c>
      <c r="I328" s="8" t="s">
        <v>1902</v>
      </c>
      <c r="J328" s="8" t="s">
        <v>1994</v>
      </c>
      <c r="K328" s="8" t="s">
        <v>104</v>
      </c>
      <c r="L328" s="8" t="s">
        <v>192</v>
      </c>
      <c r="M328" s="8" t="n">
        <v>24</v>
      </c>
      <c r="N328" s="8" t="s">
        <v>79</v>
      </c>
      <c r="O328" s="8" t="s">
        <v>203</v>
      </c>
      <c r="P328" s="8" t="s">
        <v>225</v>
      </c>
      <c r="Q328" s="8" t="s">
        <v>203</v>
      </c>
      <c r="R328" s="8" t="s">
        <v>1995</v>
      </c>
      <c r="S328" s="8" t="s">
        <v>279</v>
      </c>
      <c r="T328" s="8"/>
      <c r="U328" s="8"/>
      <c r="V328" s="8"/>
    </row>
    <row r="329" customFormat="false" ht="15" hidden="false" customHeight="false" outlineLevel="0" collapsed="false">
      <c r="A329" s="11" t="s">
        <v>188</v>
      </c>
      <c r="B329" s="11" t="s">
        <v>1996</v>
      </c>
      <c r="C329" s="11" t="s">
        <v>1997</v>
      </c>
      <c r="D329" s="11" t="s">
        <v>1998</v>
      </c>
      <c r="E329" s="11" t="s">
        <v>1999</v>
      </c>
      <c r="F329" s="11" t="s">
        <v>2000</v>
      </c>
      <c r="G329" s="11" t="n">
        <v>982</v>
      </c>
      <c r="H329" s="11" t="s">
        <v>67</v>
      </c>
      <c r="I329" s="11" t="s">
        <v>2001</v>
      </c>
      <c r="J329" s="11" t="s">
        <v>1580</v>
      </c>
      <c r="K329" s="11" t="s">
        <v>104</v>
      </c>
      <c r="L329" s="11" t="s">
        <v>192</v>
      </c>
      <c r="M329" s="11" t="n">
        <v>80</v>
      </c>
      <c r="N329" s="11" t="s">
        <v>55</v>
      </c>
      <c r="O329" s="11" t="s">
        <v>203</v>
      </c>
      <c r="P329" s="11" t="s">
        <v>225</v>
      </c>
      <c r="Q329" s="11" t="s">
        <v>203</v>
      </c>
      <c r="R329" s="11" t="s">
        <v>195</v>
      </c>
      <c r="S329" s="11" t="s">
        <v>279</v>
      </c>
      <c r="T329" s="11"/>
      <c r="U329" s="11"/>
      <c r="V329" s="11"/>
    </row>
    <row r="330" customFormat="false" ht="15" hidden="false" customHeight="false" outlineLevel="0" collapsed="false">
      <c r="A330" s="8" t="s">
        <v>188</v>
      </c>
      <c r="B330" s="8" t="s">
        <v>2002</v>
      </c>
      <c r="C330" s="8" t="s">
        <v>2003</v>
      </c>
      <c r="D330" s="8" t="s">
        <v>1620</v>
      </c>
      <c r="E330" s="8" t="s">
        <v>2004</v>
      </c>
      <c r="F330" s="8" t="s">
        <v>2005</v>
      </c>
      <c r="G330" s="8" t="n">
        <v>954</v>
      </c>
      <c r="H330" s="8" t="s">
        <v>59</v>
      </c>
      <c r="I330" s="8" t="s">
        <v>2006</v>
      </c>
      <c r="J330" s="8" t="s">
        <v>2007</v>
      </c>
      <c r="K330" s="8" t="s">
        <v>104</v>
      </c>
      <c r="L330" s="8" t="s">
        <v>207</v>
      </c>
      <c r="M330" s="8" t="n">
        <v>28</v>
      </c>
      <c r="N330" s="8" t="s">
        <v>64</v>
      </c>
      <c r="O330" s="8" t="s">
        <v>203</v>
      </c>
      <c r="P330" s="8" t="s">
        <v>225</v>
      </c>
      <c r="Q330" s="8" t="s">
        <v>203</v>
      </c>
      <c r="R330" s="8" t="s">
        <v>195</v>
      </c>
      <c r="S330" s="8" t="s">
        <v>279</v>
      </c>
      <c r="T330" s="8"/>
      <c r="U330" s="8"/>
      <c r="V330" s="8"/>
    </row>
    <row r="331" customFormat="false" ht="15" hidden="false" customHeight="false" outlineLevel="0" collapsed="false">
      <c r="A331" s="11" t="s">
        <v>188</v>
      </c>
      <c r="B331" s="11" t="s">
        <v>2008</v>
      </c>
      <c r="C331" s="11" t="s">
        <v>2009</v>
      </c>
      <c r="D331" s="11" t="s">
        <v>2010</v>
      </c>
      <c r="E331" s="11" t="s">
        <v>2011</v>
      </c>
      <c r="F331" s="11" t="s">
        <v>2012</v>
      </c>
      <c r="G331" s="11" t="n">
        <v>256</v>
      </c>
      <c r="H331" s="11" t="s">
        <v>67</v>
      </c>
      <c r="I331" s="11" t="s">
        <v>1967</v>
      </c>
      <c r="J331" s="11" t="s">
        <v>2013</v>
      </c>
      <c r="K331" s="11" t="s">
        <v>104</v>
      </c>
      <c r="L331" s="11" t="s">
        <v>211</v>
      </c>
      <c r="M331" s="11" t="n">
        <v>32</v>
      </c>
      <c r="N331" s="11" t="s">
        <v>146</v>
      </c>
      <c r="O331" s="11" t="s">
        <v>203</v>
      </c>
      <c r="P331" s="11" t="s">
        <v>225</v>
      </c>
      <c r="Q331" s="11" t="s">
        <v>203</v>
      </c>
      <c r="R331" s="11" t="s">
        <v>195</v>
      </c>
      <c r="S331" s="11" t="s">
        <v>279</v>
      </c>
      <c r="T331" s="11"/>
      <c r="U331" s="11"/>
      <c r="V331" s="11"/>
    </row>
    <row r="332" customFormat="false" ht="15" hidden="false" customHeight="false" outlineLevel="0" collapsed="false">
      <c r="A332" s="8" t="s">
        <v>188</v>
      </c>
      <c r="B332" s="8" t="s">
        <v>2014</v>
      </c>
      <c r="C332" s="8" t="s">
        <v>2015</v>
      </c>
      <c r="D332" s="8" t="s">
        <v>2016</v>
      </c>
      <c r="E332" s="8" t="s">
        <v>2017</v>
      </c>
      <c r="F332" s="8" t="s">
        <v>2018</v>
      </c>
      <c r="G332" s="8" t="n">
        <v>2078</v>
      </c>
      <c r="H332" s="8" t="s">
        <v>67</v>
      </c>
      <c r="I332" s="8" t="s">
        <v>1273</v>
      </c>
      <c r="J332" s="8" t="s">
        <v>2019</v>
      </c>
      <c r="K332" s="8" t="s">
        <v>104</v>
      </c>
      <c r="L332" s="8" t="s">
        <v>200</v>
      </c>
      <c r="M332" s="8" t="n">
        <v>24</v>
      </c>
      <c r="N332" s="8" t="s">
        <v>79</v>
      </c>
      <c r="O332" s="8" t="s">
        <v>203</v>
      </c>
      <c r="P332" s="8" t="s">
        <v>225</v>
      </c>
      <c r="Q332" s="8" t="s">
        <v>203</v>
      </c>
      <c r="R332" s="8" t="s">
        <v>195</v>
      </c>
      <c r="S332" s="8" t="s">
        <v>279</v>
      </c>
      <c r="T332" s="8"/>
      <c r="U332" s="8"/>
      <c r="V332" s="8"/>
    </row>
    <row r="333" customFormat="false" ht="15" hidden="false" customHeight="false" outlineLevel="0" collapsed="false">
      <c r="A333" s="11" t="s">
        <v>188</v>
      </c>
      <c r="B333" s="11" t="s">
        <v>2020</v>
      </c>
      <c r="C333" s="11" t="s">
        <v>2021</v>
      </c>
      <c r="D333" s="11" t="s">
        <v>2022</v>
      </c>
      <c r="E333" s="11" t="s">
        <v>1565</v>
      </c>
      <c r="F333" s="11" t="s">
        <v>1566</v>
      </c>
      <c r="G333" s="11" t="n">
        <v>843</v>
      </c>
      <c r="H333" s="11" t="s">
        <v>67</v>
      </c>
      <c r="I333" s="11" t="s">
        <v>763</v>
      </c>
      <c r="J333" s="11" t="s">
        <v>2023</v>
      </c>
      <c r="K333" s="11" t="s">
        <v>104</v>
      </c>
      <c r="L333" s="11" t="s">
        <v>200</v>
      </c>
      <c r="M333" s="11" t="n">
        <v>36</v>
      </c>
      <c r="N333" s="11" t="s">
        <v>146</v>
      </c>
      <c r="O333" s="11" t="s">
        <v>203</v>
      </c>
      <c r="P333" s="11" t="s">
        <v>225</v>
      </c>
      <c r="Q333" s="11" t="s">
        <v>203</v>
      </c>
      <c r="R333" s="11" t="s">
        <v>195</v>
      </c>
      <c r="S333" s="11" t="s">
        <v>279</v>
      </c>
      <c r="T333" s="11"/>
      <c r="U333" s="11"/>
      <c r="V333" s="11"/>
    </row>
    <row r="334" customFormat="false" ht="15" hidden="false" customHeight="false" outlineLevel="0" collapsed="false">
      <c r="A334" s="8" t="s">
        <v>188</v>
      </c>
      <c r="B334" s="8" t="s">
        <v>2024</v>
      </c>
      <c r="C334" s="8" t="s">
        <v>2025</v>
      </c>
      <c r="D334" s="8" t="s">
        <v>2022</v>
      </c>
      <c r="E334" s="8" t="s">
        <v>2026</v>
      </c>
      <c r="F334" s="8" t="s">
        <v>990</v>
      </c>
      <c r="G334" s="8" t="n">
        <v>2690</v>
      </c>
      <c r="H334" s="8" t="s">
        <v>67</v>
      </c>
      <c r="I334" s="8" t="s">
        <v>2027</v>
      </c>
      <c r="J334" s="8" t="s">
        <v>2028</v>
      </c>
      <c r="K334" s="8" t="s">
        <v>104</v>
      </c>
      <c r="L334" s="8" t="s">
        <v>200</v>
      </c>
      <c r="M334" s="8" t="n">
        <v>24</v>
      </c>
      <c r="N334" s="8" t="s">
        <v>55</v>
      </c>
      <c r="O334" s="8" t="s">
        <v>203</v>
      </c>
      <c r="P334" s="8" t="s">
        <v>225</v>
      </c>
      <c r="Q334" s="8" t="s">
        <v>203</v>
      </c>
      <c r="R334" s="8" t="s">
        <v>195</v>
      </c>
      <c r="S334" s="8" t="s">
        <v>279</v>
      </c>
      <c r="T334" s="8"/>
      <c r="U334" s="8"/>
      <c r="V334" s="8"/>
    </row>
    <row r="335" customFormat="false" ht="15" hidden="false" customHeight="false" outlineLevel="0" collapsed="false">
      <c r="A335" s="11" t="s">
        <v>188</v>
      </c>
      <c r="B335" s="11" t="s">
        <v>2029</v>
      </c>
      <c r="C335" s="11" t="s">
        <v>2030</v>
      </c>
      <c r="D335" s="11" t="s">
        <v>2031</v>
      </c>
      <c r="E335" s="11" t="s">
        <v>2032</v>
      </c>
      <c r="F335" s="11" t="s">
        <v>2033</v>
      </c>
      <c r="G335" s="11" t="n">
        <v>1098</v>
      </c>
      <c r="H335" s="11" t="s">
        <v>114</v>
      </c>
      <c r="I335" s="11" t="s">
        <v>2034</v>
      </c>
      <c r="J335" s="11" t="s">
        <v>2035</v>
      </c>
      <c r="K335" s="11" t="s">
        <v>104</v>
      </c>
      <c r="L335" s="11" t="s">
        <v>200</v>
      </c>
      <c r="M335" s="11" t="n">
        <v>28</v>
      </c>
      <c r="N335" s="11" t="s">
        <v>55</v>
      </c>
      <c r="O335" s="11" t="s">
        <v>203</v>
      </c>
      <c r="P335" s="11" t="s">
        <v>225</v>
      </c>
      <c r="Q335" s="11" t="s">
        <v>203</v>
      </c>
      <c r="R335" s="11" t="s">
        <v>195</v>
      </c>
      <c r="S335" s="11" t="s">
        <v>279</v>
      </c>
      <c r="T335" s="11"/>
      <c r="U335" s="11"/>
      <c r="V335" s="11"/>
    </row>
    <row r="336" customFormat="false" ht="15" hidden="false" customHeight="false" outlineLevel="0" collapsed="false">
      <c r="A336" s="8" t="s">
        <v>188</v>
      </c>
      <c r="B336" s="8" t="s">
        <v>2036</v>
      </c>
      <c r="C336" s="8" t="s">
        <v>2037</v>
      </c>
      <c r="D336" s="8" t="s">
        <v>2038</v>
      </c>
      <c r="E336" s="8" t="s">
        <v>2039</v>
      </c>
      <c r="F336" s="8" t="s">
        <v>2040</v>
      </c>
      <c r="G336" s="8" t="n">
        <v>2260</v>
      </c>
      <c r="H336" s="8" t="s">
        <v>67</v>
      </c>
      <c r="I336" s="8" t="s">
        <v>2041</v>
      </c>
      <c r="J336" s="8" t="s">
        <v>2042</v>
      </c>
      <c r="K336" s="8" t="s">
        <v>104</v>
      </c>
      <c r="L336" s="8" t="s">
        <v>224</v>
      </c>
      <c r="M336" s="8" t="n">
        <v>40</v>
      </c>
      <c r="N336" s="8" t="s">
        <v>64</v>
      </c>
      <c r="O336" s="8" t="s">
        <v>203</v>
      </c>
      <c r="P336" s="8" t="s">
        <v>225</v>
      </c>
      <c r="Q336" s="8" t="s">
        <v>203</v>
      </c>
      <c r="R336" s="8" t="s">
        <v>195</v>
      </c>
      <c r="S336" s="8" t="s">
        <v>279</v>
      </c>
      <c r="T336" s="8"/>
      <c r="U336" s="8"/>
      <c r="V336" s="8"/>
    </row>
    <row r="337" customFormat="false" ht="15" hidden="false" customHeight="false" outlineLevel="0" collapsed="false">
      <c r="A337" s="11" t="s">
        <v>188</v>
      </c>
      <c r="B337" s="11" t="s">
        <v>2043</v>
      </c>
      <c r="C337" s="11" t="s">
        <v>2044</v>
      </c>
      <c r="D337" s="11" t="s">
        <v>2045</v>
      </c>
      <c r="E337" s="11" t="s">
        <v>2046</v>
      </c>
      <c r="F337" s="11" t="s">
        <v>2047</v>
      </c>
      <c r="G337" s="11" t="n">
        <v>2397</v>
      </c>
      <c r="H337" s="11" t="s">
        <v>67</v>
      </c>
      <c r="I337" s="11" t="s">
        <v>2048</v>
      </c>
      <c r="J337" s="11" t="s">
        <v>632</v>
      </c>
      <c r="K337" s="11" t="s">
        <v>104</v>
      </c>
      <c r="L337" s="11" t="s">
        <v>211</v>
      </c>
      <c r="M337" s="11" t="n">
        <v>24</v>
      </c>
      <c r="N337" s="11" t="s">
        <v>79</v>
      </c>
      <c r="O337" s="11" t="s">
        <v>203</v>
      </c>
      <c r="P337" s="11" t="s">
        <v>225</v>
      </c>
      <c r="Q337" s="11" t="s">
        <v>203</v>
      </c>
      <c r="R337" s="11" t="s">
        <v>195</v>
      </c>
      <c r="S337" s="11" t="s">
        <v>279</v>
      </c>
      <c r="T337" s="11"/>
      <c r="U337" s="11"/>
      <c r="V337" s="11"/>
    </row>
    <row r="338" customFormat="false" ht="15" hidden="false" customHeight="false" outlineLevel="0" collapsed="false">
      <c r="A338" s="8" t="s">
        <v>188</v>
      </c>
      <c r="B338" s="8" t="s">
        <v>2049</v>
      </c>
      <c r="C338" s="8" t="s">
        <v>2050</v>
      </c>
      <c r="D338" s="8" t="s">
        <v>268</v>
      </c>
      <c r="E338" s="8" t="s">
        <v>2051</v>
      </c>
      <c r="F338" s="8" t="s">
        <v>2052</v>
      </c>
      <c r="G338" s="8" t="n">
        <v>2059</v>
      </c>
      <c r="H338" s="8" t="s">
        <v>114</v>
      </c>
      <c r="I338" s="8" t="s">
        <v>2053</v>
      </c>
      <c r="J338" s="8" t="s">
        <v>2054</v>
      </c>
      <c r="K338" s="8" t="s">
        <v>104</v>
      </c>
      <c r="L338" s="8" t="s">
        <v>192</v>
      </c>
      <c r="M338" s="8" t="n">
        <v>28</v>
      </c>
      <c r="N338" s="8" t="s">
        <v>146</v>
      </c>
      <c r="O338" s="8" t="s">
        <v>203</v>
      </c>
      <c r="P338" s="8" t="s">
        <v>225</v>
      </c>
      <c r="Q338" s="8" t="s">
        <v>203</v>
      </c>
      <c r="R338" s="8" t="s">
        <v>195</v>
      </c>
      <c r="S338" s="8" t="s">
        <v>279</v>
      </c>
      <c r="T338" s="8"/>
      <c r="U338" s="8"/>
      <c r="V338" s="8"/>
    </row>
    <row r="339" customFormat="false" ht="15" hidden="false" customHeight="false" outlineLevel="0" collapsed="false">
      <c r="A339" s="11" t="s">
        <v>188</v>
      </c>
      <c r="B339" s="11" t="s">
        <v>2055</v>
      </c>
      <c r="C339" s="11" t="s">
        <v>2056</v>
      </c>
      <c r="D339" s="11" t="s">
        <v>2057</v>
      </c>
      <c r="E339" s="11" t="s">
        <v>2058</v>
      </c>
      <c r="F339" s="11" t="s">
        <v>2059</v>
      </c>
      <c r="G339" s="11" t="n">
        <v>1900</v>
      </c>
      <c r="H339" s="11" t="s">
        <v>332</v>
      </c>
      <c r="I339" s="11" t="s">
        <v>2060</v>
      </c>
      <c r="J339" s="11" t="s">
        <v>2061</v>
      </c>
      <c r="K339" s="11" t="s">
        <v>104</v>
      </c>
      <c r="L339" s="11" t="s">
        <v>192</v>
      </c>
      <c r="M339" s="11" t="n">
        <v>24</v>
      </c>
      <c r="N339" s="11" t="s">
        <v>64</v>
      </c>
      <c r="O339" s="11" t="s">
        <v>203</v>
      </c>
      <c r="P339" s="11" t="s">
        <v>225</v>
      </c>
      <c r="Q339" s="11" t="s">
        <v>203</v>
      </c>
      <c r="R339" s="11" t="s">
        <v>195</v>
      </c>
      <c r="S339" s="11" t="s">
        <v>279</v>
      </c>
      <c r="T339" s="11"/>
      <c r="U339" s="11"/>
      <c r="V339" s="11"/>
    </row>
    <row r="340" customFormat="false" ht="15" hidden="false" customHeight="false" outlineLevel="0" collapsed="false">
      <c r="A340" s="8" t="s">
        <v>188</v>
      </c>
      <c r="B340" s="8" t="s">
        <v>2062</v>
      </c>
      <c r="C340" s="8" t="s">
        <v>2063</v>
      </c>
      <c r="D340" s="8" t="s">
        <v>2064</v>
      </c>
      <c r="E340" s="8" t="s">
        <v>2065</v>
      </c>
      <c r="F340" s="8" t="s">
        <v>2066</v>
      </c>
      <c r="G340" s="8" t="n">
        <v>1358</v>
      </c>
      <c r="H340" s="8" t="s">
        <v>67</v>
      </c>
      <c r="I340" s="8" t="s">
        <v>1008</v>
      </c>
      <c r="J340" s="8" t="s">
        <v>2067</v>
      </c>
      <c r="K340" s="8" t="s">
        <v>104</v>
      </c>
      <c r="L340" s="8" t="s">
        <v>211</v>
      </c>
      <c r="M340" s="8" t="n">
        <v>32</v>
      </c>
      <c r="N340" s="8" t="s">
        <v>79</v>
      </c>
      <c r="O340" s="8" t="s">
        <v>203</v>
      </c>
      <c r="P340" s="8" t="s">
        <v>225</v>
      </c>
      <c r="Q340" s="8" t="s">
        <v>203</v>
      </c>
      <c r="R340" s="8" t="s">
        <v>195</v>
      </c>
      <c r="S340" s="8" t="s">
        <v>279</v>
      </c>
      <c r="T340" s="8"/>
      <c r="U340" s="8"/>
      <c r="V340" s="8"/>
    </row>
    <row r="341" customFormat="false" ht="15" hidden="false" customHeight="false" outlineLevel="0" collapsed="false">
      <c r="A341" s="11" t="s">
        <v>188</v>
      </c>
      <c r="B341" s="11" t="s">
        <v>2068</v>
      </c>
      <c r="C341" s="11" t="s">
        <v>2069</v>
      </c>
      <c r="D341" s="11" t="s">
        <v>2070</v>
      </c>
      <c r="E341" s="11" t="s">
        <v>2071</v>
      </c>
      <c r="F341" s="11" t="s">
        <v>2072</v>
      </c>
      <c r="G341" s="11" t="n">
        <v>1436</v>
      </c>
      <c r="H341" s="11" t="s">
        <v>67</v>
      </c>
      <c r="I341" s="11" t="s">
        <v>2073</v>
      </c>
      <c r="J341" s="11" t="s">
        <v>2074</v>
      </c>
      <c r="K341" s="11" t="s">
        <v>104</v>
      </c>
      <c r="L341" s="11" t="s">
        <v>207</v>
      </c>
      <c r="M341" s="11" t="n">
        <v>32</v>
      </c>
      <c r="N341" s="11" t="s">
        <v>64</v>
      </c>
      <c r="O341" s="11" t="s">
        <v>203</v>
      </c>
      <c r="P341" s="11" t="s">
        <v>225</v>
      </c>
      <c r="Q341" s="11" t="s">
        <v>203</v>
      </c>
      <c r="R341" s="11" t="s">
        <v>195</v>
      </c>
      <c r="S341" s="11" t="s">
        <v>279</v>
      </c>
      <c r="T341" s="11"/>
      <c r="U341" s="11"/>
      <c r="V341" s="11"/>
    </row>
    <row r="342" customFormat="false" ht="15" hidden="false" customHeight="false" outlineLevel="0" collapsed="false">
      <c r="A342" s="8" t="s">
        <v>188</v>
      </c>
      <c r="B342" s="8" t="s">
        <v>2075</v>
      </c>
      <c r="C342" s="8" t="s">
        <v>2076</v>
      </c>
      <c r="D342" s="8" t="s">
        <v>2077</v>
      </c>
      <c r="E342" s="8" t="s">
        <v>1021</v>
      </c>
      <c r="F342" s="8" t="s">
        <v>1022</v>
      </c>
      <c r="G342" s="8" t="n">
        <v>1013</v>
      </c>
      <c r="H342" s="8" t="s">
        <v>67</v>
      </c>
      <c r="I342" s="8" t="s">
        <v>1023</v>
      </c>
      <c r="J342" s="8" t="s">
        <v>2078</v>
      </c>
      <c r="K342" s="8" t="s">
        <v>104</v>
      </c>
      <c r="L342" s="8" t="s">
        <v>207</v>
      </c>
      <c r="M342" s="8" t="n">
        <v>24</v>
      </c>
      <c r="N342" s="8" t="s">
        <v>146</v>
      </c>
      <c r="O342" s="8" t="s">
        <v>203</v>
      </c>
      <c r="P342" s="8" t="s">
        <v>225</v>
      </c>
      <c r="Q342" s="8" t="s">
        <v>203</v>
      </c>
      <c r="R342" s="8" t="s">
        <v>195</v>
      </c>
      <c r="S342" s="8" t="s">
        <v>279</v>
      </c>
      <c r="T342" s="8"/>
      <c r="U342" s="8"/>
      <c r="V342" s="8"/>
    </row>
    <row r="343" customFormat="false" ht="15" hidden="false" customHeight="false" outlineLevel="0" collapsed="false">
      <c r="A343" s="11" t="s">
        <v>188</v>
      </c>
      <c r="B343" s="11" t="s">
        <v>2079</v>
      </c>
      <c r="C343" s="11" t="s">
        <v>2080</v>
      </c>
      <c r="D343" s="11" t="s">
        <v>2081</v>
      </c>
      <c r="E343" s="11" t="s">
        <v>2082</v>
      </c>
      <c r="F343" s="11" t="s">
        <v>2083</v>
      </c>
      <c r="G343" s="11" t="n">
        <v>722</v>
      </c>
      <c r="H343" s="11" t="s">
        <v>67</v>
      </c>
      <c r="I343" s="11" t="s">
        <v>608</v>
      </c>
      <c r="J343" s="11" t="s">
        <v>2084</v>
      </c>
      <c r="K343" s="11" t="s">
        <v>104</v>
      </c>
      <c r="L343" s="11" t="s">
        <v>200</v>
      </c>
      <c r="M343" s="11" t="n">
        <v>28</v>
      </c>
      <c r="N343" s="11" t="s">
        <v>146</v>
      </c>
      <c r="O343" s="11" t="s">
        <v>203</v>
      </c>
      <c r="P343" s="11" t="s">
        <v>225</v>
      </c>
      <c r="Q343" s="11" t="s">
        <v>203</v>
      </c>
      <c r="R343" s="11" t="s">
        <v>195</v>
      </c>
      <c r="S343" s="11" t="s">
        <v>279</v>
      </c>
      <c r="T343" s="11"/>
      <c r="U343" s="11"/>
      <c r="V343" s="11"/>
    </row>
    <row r="344" customFormat="false" ht="15" hidden="false" customHeight="false" outlineLevel="0" collapsed="false">
      <c r="A344" s="8" t="s">
        <v>188</v>
      </c>
      <c r="B344" s="8" t="s">
        <v>2085</v>
      </c>
      <c r="C344" s="8" t="s">
        <v>2086</v>
      </c>
      <c r="D344" s="8" t="s">
        <v>2081</v>
      </c>
      <c r="E344" s="8" t="s">
        <v>2087</v>
      </c>
      <c r="F344" s="8" t="s">
        <v>2088</v>
      </c>
      <c r="G344" s="8" t="n">
        <v>2106</v>
      </c>
      <c r="H344" s="8" t="s">
        <v>67</v>
      </c>
      <c r="I344" s="8" t="s">
        <v>2089</v>
      </c>
      <c r="J344" s="8" t="s">
        <v>2090</v>
      </c>
      <c r="K344" s="8" t="s">
        <v>104</v>
      </c>
      <c r="L344" s="8" t="s">
        <v>211</v>
      </c>
      <c r="M344" s="8" t="n">
        <v>24</v>
      </c>
      <c r="N344" s="8" t="s">
        <v>146</v>
      </c>
      <c r="O344" s="8" t="s">
        <v>203</v>
      </c>
      <c r="P344" s="8" t="s">
        <v>225</v>
      </c>
      <c r="Q344" s="8" t="s">
        <v>203</v>
      </c>
      <c r="R344" s="8" t="s">
        <v>195</v>
      </c>
      <c r="S344" s="8" t="s">
        <v>279</v>
      </c>
      <c r="T344" s="8"/>
      <c r="U344" s="8"/>
      <c r="V344" s="8"/>
    </row>
    <row r="345" customFormat="false" ht="15" hidden="false" customHeight="false" outlineLevel="0" collapsed="false">
      <c r="A345" s="11" t="s">
        <v>188</v>
      </c>
      <c r="B345" s="11" t="s">
        <v>2091</v>
      </c>
      <c r="C345" s="11" t="s">
        <v>2092</v>
      </c>
      <c r="D345" s="11" t="s">
        <v>2093</v>
      </c>
      <c r="E345" s="11" t="s">
        <v>2094</v>
      </c>
      <c r="F345" s="11" t="s">
        <v>2095</v>
      </c>
      <c r="G345" s="11" t="n">
        <v>2071</v>
      </c>
      <c r="H345" s="11" t="s">
        <v>67</v>
      </c>
      <c r="I345" s="11" t="s">
        <v>1339</v>
      </c>
      <c r="J345" s="11" t="s">
        <v>1442</v>
      </c>
      <c r="K345" s="11" t="s">
        <v>104</v>
      </c>
      <c r="L345" s="11" t="s">
        <v>207</v>
      </c>
      <c r="M345" s="11" t="n">
        <v>24</v>
      </c>
      <c r="N345" s="11" t="s">
        <v>55</v>
      </c>
      <c r="O345" s="11" t="s">
        <v>203</v>
      </c>
      <c r="P345" s="11" t="s">
        <v>225</v>
      </c>
      <c r="Q345" s="11" t="s">
        <v>203</v>
      </c>
      <c r="R345" s="11" t="s">
        <v>195</v>
      </c>
      <c r="S345" s="11" t="s">
        <v>279</v>
      </c>
      <c r="T345" s="11"/>
      <c r="U345" s="11"/>
      <c r="V345" s="11"/>
    </row>
    <row r="348" customFormat="false" ht="15" hidden="false" customHeight="false" outlineLevel="0" collapsed="false">
      <c r="A348" s="19" t="s">
        <v>2096</v>
      </c>
      <c r="B348" s="19"/>
      <c r="C348" s="19"/>
      <c r="D348" s="19"/>
      <c r="E348" s="19"/>
      <c r="F348" s="19"/>
      <c r="G348" s="19"/>
      <c r="H348" s="19"/>
      <c r="I348" s="19"/>
    </row>
    <row r="350" customFormat="false" ht="30.55" hidden="false" customHeight="false" outlineLevel="0" collapsed="false">
      <c r="A350" s="7" t="s">
        <v>2097</v>
      </c>
      <c r="B350" s="7" t="s">
        <v>44</v>
      </c>
      <c r="C350" s="7" t="s">
        <v>171</v>
      </c>
      <c r="D350" s="7" t="s">
        <v>2098</v>
      </c>
      <c r="E350" s="7" t="s">
        <v>2099</v>
      </c>
      <c r="F350" s="7" t="s">
        <v>2100</v>
      </c>
      <c r="G350" s="7" t="s">
        <v>2101</v>
      </c>
      <c r="H350" s="7" t="s">
        <v>2102</v>
      </c>
      <c r="I350" s="7" t="s">
        <v>2103</v>
      </c>
    </row>
    <row r="351" customFormat="false" ht="20.85" hidden="false" customHeight="false" outlineLevel="0" collapsed="false">
      <c r="A351" s="11" t="s">
        <v>2104</v>
      </c>
      <c r="B351" s="11" t="s">
        <v>2105</v>
      </c>
      <c r="C351" s="11" t="s">
        <v>2106</v>
      </c>
      <c r="D351" s="11" t="n">
        <v>51.4</v>
      </c>
      <c r="E351" s="11" t="n">
        <v>49</v>
      </c>
      <c r="F351" s="11" t="s">
        <v>2107</v>
      </c>
      <c r="G351" s="11" t="s">
        <v>2108</v>
      </c>
      <c r="H351" s="11"/>
      <c r="I351" s="11" t="s">
        <v>2109</v>
      </c>
    </row>
    <row r="352" customFormat="false" ht="20.85" hidden="false" customHeight="false" outlineLevel="0" collapsed="false">
      <c r="A352" s="8" t="s">
        <v>2110</v>
      </c>
      <c r="B352" s="8" t="s">
        <v>427</v>
      </c>
      <c r="C352" s="8" t="s">
        <v>2111</v>
      </c>
      <c r="D352" s="8" t="n">
        <v>24.2</v>
      </c>
      <c r="E352" s="8" t="n">
        <v>24.3</v>
      </c>
      <c r="F352" s="8" t="s">
        <v>2107</v>
      </c>
      <c r="G352" s="8" t="s">
        <v>2108</v>
      </c>
      <c r="H352" s="8"/>
      <c r="I352" s="8" t="s">
        <v>2109</v>
      </c>
    </row>
    <row r="353" customFormat="false" ht="20.85" hidden="false" customHeight="false" outlineLevel="0" collapsed="false">
      <c r="A353" s="11" t="s">
        <v>2112</v>
      </c>
      <c r="B353" s="11" t="s">
        <v>703</v>
      </c>
      <c r="C353" s="11" t="s">
        <v>2113</v>
      </c>
      <c r="D353" s="11" t="n">
        <v>38.6</v>
      </c>
      <c r="E353" s="11" t="n">
        <v>37.8</v>
      </c>
      <c r="F353" s="11" t="s">
        <v>2107</v>
      </c>
      <c r="G353" s="11" t="s">
        <v>2108</v>
      </c>
      <c r="H353" s="11"/>
      <c r="I353" s="11" t="s">
        <v>2109</v>
      </c>
    </row>
    <row r="354" customFormat="false" ht="20.85" hidden="false" customHeight="false" outlineLevel="0" collapsed="false">
      <c r="A354" s="8" t="s">
        <v>2114</v>
      </c>
      <c r="B354" s="8" t="s">
        <v>2115</v>
      </c>
      <c r="C354" s="8" t="s">
        <v>2116</v>
      </c>
      <c r="D354" s="8" t="n">
        <v>22.8</v>
      </c>
      <c r="E354" s="8" t="n">
        <v>19.9</v>
      </c>
      <c r="F354" s="8" t="s">
        <v>2107</v>
      </c>
      <c r="G354" s="8" t="s">
        <v>2108</v>
      </c>
      <c r="H354" s="8"/>
      <c r="I354" s="8" t="s">
        <v>2109</v>
      </c>
    </row>
    <row r="355" customFormat="false" ht="20.85" hidden="false" customHeight="false" outlineLevel="0" collapsed="false">
      <c r="A355" s="11" t="s">
        <v>2117</v>
      </c>
      <c r="B355" s="11" t="s">
        <v>2118</v>
      </c>
      <c r="C355" s="11" t="s">
        <v>2119</v>
      </c>
      <c r="D355" s="11" t="n">
        <v>49.2</v>
      </c>
      <c r="E355" s="11" t="n">
        <v>47.5</v>
      </c>
      <c r="F355" s="11" t="s">
        <v>2107</v>
      </c>
      <c r="G355" s="11" t="s">
        <v>2108</v>
      </c>
      <c r="H355" s="11"/>
      <c r="I355" s="11" t="s">
        <v>2109</v>
      </c>
    </row>
    <row r="356" customFormat="false" ht="20.85" hidden="false" customHeight="false" outlineLevel="0" collapsed="false">
      <c r="A356" s="8" t="s">
        <v>2120</v>
      </c>
      <c r="B356" s="8" t="s">
        <v>154</v>
      </c>
      <c r="C356" s="8" t="s">
        <v>2121</v>
      </c>
      <c r="D356" s="8" t="n">
        <v>54.2</v>
      </c>
      <c r="E356" s="8" t="n">
        <v>53.2</v>
      </c>
      <c r="F356" s="8" t="s">
        <v>2107</v>
      </c>
      <c r="G356" s="8" t="s">
        <v>2108</v>
      </c>
      <c r="H356" s="8"/>
      <c r="I356" s="8" t="s">
        <v>2109</v>
      </c>
    </row>
    <row r="357" customFormat="false" ht="20.85" hidden="false" customHeight="false" outlineLevel="0" collapsed="false">
      <c r="A357" s="11" t="s">
        <v>2122</v>
      </c>
      <c r="B357" s="11" t="s">
        <v>2123</v>
      </c>
      <c r="C357" s="11" t="s">
        <v>2124</v>
      </c>
      <c r="D357" s="11" t="n">
        <v>48.6</v>
      </c>
      <c r="E357" s="11" t="n">
        <v>49</v>
      </c>
      <c r="F357" s="11" t="s">
        <v>2107</v>
      </c>
      <c r="G357" s="11" t="s">
        <v>2108</v>
      </c>
      <c r="H357" s="11"/>
      <c r="I357" s="11" t="s">
        <v>2109</v>
      </c>
    </row>
    <row r="358" customFormat="false" ht="20.85" hidden="false" customHeight="false" outlineLevel="0" collapsed="false">
      <c r="A358" s="8" t="s">
        <v>2125</v>
      </c>
      <c r="B358" s="8" t="s">
        <v>2126</v>
      </c>
      <c r="C358" s="8" t="s">
        <v>2127</v>
      </c>
      <c r="D358" s="8" t="n">
        <v>49</v>
      </c>
      <c r="E358" s="8" t="n">
        <v>49.8</v>
      </c>
      <c r="F358" s="8" t="s">
        <v>2107</v>
      </c>
      <c r="G358" s="8" t="s">
        <v>2108</v>
      </c>
      <c r="H358" s="8"/>
      <c r="I358" s="8" t="s">
        <v>2109</v>
      </c>
    </row>
    <row r="359" customFormat="false" ht="20.85" hidden="false" customHeight="false" outlineLevel="0" collapsed="false">
      <c r="A359" s="11" t="s">
        <v>2128</v>
      </c>
      <c r="B359" s="11" t="s">
        <v>727</v>
      </c>
      <c r="C359" s="11" t="s">
        <v>2129</v>
      </c>
      <c r="D359" s="11" t="n">
        <v>30.3</v>
      </c>
      <c r="E359" s="11" t="n">
        <v>27.7</v>
      </c>
      <c r="F359" s="11" t="s">
        <v>2107</v>
      </c>
      <c r="G359" s="11" t="s">
        <v>2108</v>
      </c>
      <c r="H359" s="11"/>
      <c r="I359" s="11" t="s">
        <v>2109</v>
      </c>
    </row>
    <row r="360" customFormat="false" ht="20.85" hidden="false" customHeight="false" outlineLevel="0" collapsed="false">
      <c r="A360" s="8" t="s">
        <v>2130</v>
      </c>
      <c r="B360" s="8" t="s">
        <v>1772</v>
      </c>
      <c r="C360" s="8" t="s">
        <v>2131</v>
      </c>
      <c r="D360" s="8" t="n">
        <v>32.9</v>
      </c>
      <c r="E360" s="8" t="n">
        <v>35.5</v>
      </c>
      <c r="F360" s="8" t="s">
        <v>2107</v>
      </c>
      <c r="G360" s="8" t="s">
        <v>2108</v>
      </c>
      <c r="H360" s="8"/>
      <c r="I360" s="8" t="s">
        <v>2109</v>
      </c>
    </row>
    <row r="361" customFormat="false" ht="20.85" hidden="false" customHeight="false" outlineLevel="0" collapsed="false">
      <c r="A361" s="11" t="s">
        <v>2132</v>
      </c>
      <c r="B361" s="11" t="s">
        <v>2133</v>
      </c>
      <c r="C361" s="11" t="s">
        <v>2134</v>
      </c>
      <c r="D361" s="11" t="n">
        <v>28</v>
      </c>
      <c r="E361" s="11" t="n">
        <v>30.1</v>
      </c>
      <c r="F361" s="11" t="s">
        <v>2107</v>
      </c>
      <c r="G361" s="11" t="s">
        <v>2108</v>
      </c>
      <c r="H361" s="11"/>
      <c r="I361" s="11" t="s">
        <v>2109</v>
      </c>
    </row>
    <row r="362" customFormat="false" ht="20.85" hidden="false" customHeight="false" outlineLevel="0" collapsed="false">
      <c r="A362" s="8" t="s">
        <v>2135</v>
      </c>
      <c r="B362" s="8" t="s">
        <v>2136</v>
      </c>
      <c r="C362" s="8" t="s">
        <v>1877</v>
      </c>
      <c r="D362" s="8" t="n">
        <v>31.5</v>
      </c>
      <c r="E362" s="8" t="n">
        <v>33.6</v>
      </c>
      <c r="F362" s="8" t="s">
        <v>2107</v>
      </c>
      <c r="G362" s="8" t="s">
        <v>2108</v>
      </c>
      <c r="H362" s="8"/>
      <c r="I362" s="8" t="s">
        <v>2109</v>
      </c>
    </row>
    <row r="363" customFormat="false" ht="20.85" hidden="false" customHeight="false" outlineLevel="0" collapsed="false">
      <c r="A363" s="11" t="s">
        <v>2137</v>
      </c>
      <c r="B363" s="11" t="s">
        <v>2138</v>
      </c>
      <c r="C363" s="11" t="s">
        <v>2139</v>
      </c>
      <c r="D363" s="11" t="n">
        <v>44.5</v>
      </c>
      <c r="E363" s="11" t="n">
        <v>46.4</v>
      </c>
      <c r="F363" s="11" t="s">
        <v>2140</v>
      </c>
      <c r="G363" s="11" t="s">
        <v>2141</v>
      </c>
      <c r="H363" s="11"/>
      <c r="I363" s="11" t="s">
        <v>2109</v>
      </c>
    </row>
    <row r="364" customFormat="false" ht="20.85" hidden="false" customHeight="false" outlineLevel="0" collapsed="false">
      <c r="A364" s="8" t="s">
        <v>2142</v>
      </c>
      <c r="B364" s="8" t="s">
        <v>766</v>
      </c>
      <c r="C364" s="8" t="s">
        <v>2143</v>
      </c>
      <c r="D364" s="8" t="n">
        <v>26.4</v>
      </c>
      <c r="E364" s="8" t="n">
        <v>25.8</v>
      </c>
      <c r="F364" s="8" t="s">
        <v>2144</v>
      </c>
      <c r="G364" s="8" t="s">
        <v>2141</v>
      </c>
      <c r="H364" s="8"/>
      <c r="I364" s="8" t="s">
        <v>2109</v>
      </c>
    </row>
    <row r="365" customFormat="false" ht="15" hidden="false" customHeight="false" outlineLevel="0" collapsed="false">
      <c r="A365" s="11" t="s">
        <v>2145</v>
      </c>
      <c r="B365" s="11" t="s">
        <v>766</v>
      </c>
      <c r="C365" s="11" t="s">
        <v>156</v>
      </c>
      <c r="D365" s="11" t="n">
        <v>46.9</v>
      </c>
      <c r="E365" s="11" t="n">
        <v>45.3</v>
      </c>
      <c r="F365" s="11" t="s">
        <v>2146</v>
      </c>
      <c r="G365" s="11" t="s">
        <v>2141</v>
      </c>
      <c r="H365" s="11" t="s">
        <v>262</v>
      </c>
      <c r="I365" s="11" t="s">
        <v>2147</v>
      </c>
    </row>
    <row r="366" customFormat="false" ht="20.85" hidden="false" customHeight="false" outlineLevel="0" collapsed="false">
      <c r="A366" s="8" t="s">
        <v>2148</v>
      </c>
      <c r="B366" s="8" t="s">
        <v>2149</v>
      </c>
      <c r="C366" s="8" t="s">
        <v>2150</v>
      </c>
      <c r="D366" s="8" t="n">
        <v>51</v>
      </c>
      <c r="E366" s="8" t="n">
        <v>51.1</v>
      </c>
      <c r="F366" s="8" t="s">
        <v>2151</v>
      </c>
      <c r="G366" s="8" t="s">
        <v>2141</v>
      </c>
      <c r="H366" s="8"/>
      <c r="I366" s="8" t="s">
        <v>2109</v>
      </c>
    </row>
    <row r="367" customFormat="false" ht="20.85" hidden="false" customHeight="false" outlineLevel="0" collapsed="false">
      <c r="A367" s="11" t="s">
        <v>2152</v>
      </c>
      <c r="B367" s="11" t="s">
        <v>2153</v>
      </c>
      <c r="C367" s="11" t="s">
        <v>2154</v>
      </c>
      <c r="D367" s="11" t="n">
        <v>28.7</v>
      </c>
      <c r="E367" s="11" t="n">
        <v>26.4</v>
      </c>
      <c r="F367" s="11" t="s">
        <v>2155</v>
      </c>
      <c r="G367" s="11" t="s">
        <v>2141</v>
      </c>
      <c r="H367" s="11"/>
      <c r="I367" s="11" t="s">
        <v>2109</v>
      </c>
    </row>
    <row r="368" customFormat="false" ht="20.85" hidden="false" customHeight="false" outlineLevel="0" collapsed="false">
      <c r="A368" s="8" t="s">
        <v>2156</v>
      </c>
      <c r="B368" s="8" t="s">
        <v>2157</v>
      </c>
      <c r="C368" s="8" t="s">
        <v>2158</v>
      </c>
      <c r="D368" s="8" t="n">
        <v>30.4</v>
      </c>
      <c r="E368" s="8" t="n">
        <v>31.5</v>
      </c>
      <c r="F368" s="8" t="s">
        <v>2159</v>
      </c>
      <c r="G368" s="8" t="s">
        <v>2141</v>
      </c>
      <c r="H368" s="8"/>
      <c r="I368" s="8" t="s">
        <v>2109</v>
      </c>
    </row>
    <row r="369" customFormat="false" ht="20.85" hidden="false" customHeight="false" outlineLevel="0" collapsed="false">
      <c r="A369" s="11" t="s">
        <v>2160</v>
      </c>
      <c r="B369" s="11" t="s">
        <v>2161</v>
      </c>
      <c r="C369" s="11" t="s">
        <v>2162</v>
      </c>
      <c r="D369" s="11" t="n">
        <v>42.8</v>
      </c>
      <c r="E369" s="11" t="n">
        <v>42.9</v>
      </c>
      <c r="F369" s="11" t="s">
        <v>2163</v>
      </c>
      <c r="G369" s="11" t="s">
        <v>2141</v>
      </c>
      <c r="H369" s="11"/>
      <c r="I369" s="11" t="s">
        <v>2109</v>
      </c>
    </row>
    <row r="370" customFormat="false" ht="20.85" hidden="false" customHeight="false" outlineLevel="0" collapsed="false">
      <c r="A370" s="8" t="s">
        <v>2164</v>
      </c>
      <c r="B370" s="8" t="s">
        <v>2165</v>
      </c>
      <c r="C370" s="8" t="s">
        <v>2166</v>
      </c>
      <c r="D370" s="8" t="n">
        <v>37.1</v>
      </c>
      <c r="E370" s="8" t="n">
        <v>38.3</v>
      </c>
      <c r="F370" s="8" t="s">
        <v>2167</v>
      </c>
      <c r="G370" s="8" t="s">
        <v>2141</v>
      </c>
      <c r="H370" s="8"/>
      <c r="I370" s="8" t="s">
        <v>2109</v>
      </c>
    </row>
    <row r="371" customFormat="false" ht="15" hidden="false" customHeight="false" outlineLevel="0" collapsed="false">
      <c r="A371" s="11" t="s">
        <v>2168</v>
      </c>
      <c r="B371" s="11" t="s">
        <v>2169</v>
      </c>
      <c r="C371" s="11" t="s">
        <v>1460</v>
      </c>
      <c r="D371" s="11" t="n">
        <v>22.6</v>
      </c>
      <c r="E371" s="11" t="n">
        <v>20.2</v>
      </c>
      <c r="F371" s="11" t="s">
        <v>2170</v>
      </c>
      <c r="G371" s="11" t="s">
        <v>2141</v>
      </c>
      <c r="H371" s="11" t="s">
        <v>1457</v>
      </c>
      <c r="I371" s="11" t="s">
        <v>2147</v>
      </c>
    </row>
    <row r="372" customFormat="false" ht="20.85" hidden="false" customHeight="false" outlineLevel="0" collapsed="false">
      <c r="A372" s="8" t="s">
        <v>2171</v>
      </c>
      <c r="B372" s="8" t="s">
        <v>872</v>
      </c>
      <c r="C372" s="8" t="s">
        <v>2172</v>
      </c>
      <c r="D372" s="8" t="n">
        <v>42.1</v>
      </c>
      <c r="E372" s="8" t="n">
        <v>43.7</v>
      </c>
      <c r="F372" s="8" t="s">
        <v>2173</v>
      </c>
      <c r="G372" s="8" t="s">
        <v>2141</v>
      </c>
      <c r="H372" s="8"/>
      <c r="I372" s="8" t="s">
        <v>2109</v>
      </c>
    </row>
    <row r="373" customFormat="false" ht="15" hidden="false" customHeight="false" outlineLevel="0" collapsed="false">
      <c r="A373" s="11" t="s">
        <v>2174</v>
      </c>
      <c r="B373" s="11" t="s">
        <v>2175</v>
      </c>
      <c r="C373" s="11" t="s">
        <v>1910</v>
      </c>
      <c r="D373" s="11" t="n">
        <v>43.5</v>
      </c>
      <c r="E373" s="11" t="n">
        <v>42.6</v>
      </c>
      <c r="F373" s="11" t="s">
        <v>2176</v>
      </c>
      <c r="G373" s="11" t="s">
        <v>2141</v>
      </c>
      <c r="H373" s="11" t="s">
        <v>1907</v>
      </c>
      <c r="I373" s="11" t="s">
        <v>2147</v>
      </c>
    </row>
    <row r="374" customFormat="false" ht="20.85" hidden="false" customHeight="false" outlineLevel="0" collapsed="false">
      <c r="A374" s="8" t="s">
        <v>2177</v>
      </c>
      <c r="B374" s="8" t="s">
        <v>2178</v>
      </c>
      <c r="C374" s="8" t="s">
        <v>2179</v>
      </c>
      <c r="D374" s="8" t="n">
        <v>28.2</v>
      </c>
      <c r="E374" s="8" t="n">
        <v>28.9</v>
      </c>
      <c r="F374" s="8" t="s">
        <v>2180</v>
      </c>
      <c r="G374" s="8" t="s">
        <v>2141</v>
      </c>
      <c r="H374" s="8"/>
      <c r="I374" s="8" t="s">
        <v>2109</v>
      </c>
    </row>
    <row r="375" customFormat="false" ht="20.85" hidden="false" customHeight="false" outlineLevel="0" collapsed="false">
      <c r="A375" s="11" t="s">
        <v>2181</v>
      </c>
      <c r="B375" s="11" t="s">
        <v>2182</v>
      </c>
      <c r="C375" s="11" t="s">
        <v>2183</v>
      </c>
      <c r="D375" s="11" t="n">
        <v>41.9</v>
      </c>
      <c r="E375" s="11" t="n">
        <v>40.7</v>
      </c>
      <c r="F375" s="11" t="s">
        <v>2184</v>
      </c>
      <c r="G375" s="11" t="s">
        <v>2141</v>
      </c>
      <c r="H375" s="11"/>
      <c r="I375" s="11" t="s">
        <v>2109</v>
      </c>
    </row>
    <row r="376" customFormat="false" ht="20.85" hidden="false" customHeight="false" outlineLevel="0" collapsed="false">
      <c r="A376" s="8" t="s">
        <v>2185</v>
      </c>
      <c r="B376" s="8" t="s">
        <v>666</v>
      </c>
      <c r="C376" s="8" t="s">
        <v>2186</v>
      </c>
      <c r="D376" s="8" t="n">
        <v>48.4</v>
      </c>
      <c r="E376" s="8" t="n">
        <v>47.3</v>
      </c>
      <c r="F376" s="8" t="s">
        <v>2159</v>
      </c>
      <c r="G376" s="8" t="s">
        <v>2141</v>
      </c>
      <c r="H376" s="8"/>
      <c r="I376" s="8" t="s">
        <v>2109</v>
      </c>
    </row>
    <row r="377" customFormat="false" ht="20.85" hidden="false" customHeight="false" outlineLevel="0" collapsed="false">
      <c r="A377" s="11" t="s">
        <v>2187</v>
      </c>
      <c r="B377" s="11" t="s">
        <v>666</v>
      </c>
      <c r="C377" s="11" t="s">
        <v>2188</v>
      </c>
      <c r="D377" s="11" t="n">
        <v>23</v>
      </c>
      <c r="E377" s="11" t="n">
        <v>24.8</v>
      </c>
      <c r="F377" s="11" t="s">
        <v>2189</v>
      </c>
      <c r="G377" s="11" t="s">
        <v>2141</v>
      </c>
      <c r="H377" s="11"/>
      <c r="I377" s="11" t="s">
        <v>2109</v>
      </c>
    </row>
    <row r="378" customFormat="false" ht="20.85" hidden="false" customHeight="false" outlineLevel="0" collapsed="false">
      <c r="A378" s="8" t="s">
        <v>2190</v>
      </c>
      <c r="B378" s="8" t="s">
        <v>2191</v>
      </c>
      <c r="C378" s="8" t="s">
        <v>2192</v>
      </c>
      <c r="D378" s="8" t="n">
        <v>37.5</v>
      </c>
      <c r="E378" s="8" t="n">
        <v>35.2</v>
      </c>
      <c r="F378" s="8" t="s">
        <v>2193</v>
      </c>
      <c r="G378" s="8" t="s">
        <v>2141</v>
      </c>
      <c r="H378" s="8"/>
      <c r="I378" s="8" t="s">
        <v>2109</v>
      </c>
    </row>
    <row r="379" customFormat="false" ht="20.85" hidden="false" customHeight="false" outlineLevel="0" collapsed="false">
      <c r="A379" s="11" t="s">
        <v>2194</v>
      </c>
      <c r="B379" s="11" t="s">
        <v>2195</v>
      </c>
      <c r="C379" s="11" t="s">
        <v>2196</v>
      </c>
      <c r="D379" s="11" t="n">
        <v>42.3</v>
      </c>
      <c r="E379" s="11" t="n">
        <v>44</v>
      </c>
      <c r="F379" s="11" t="s">
        <v>2197</v>
      </c>
      <c r="G379" s="11" t="s">
        <v>2141</v>
      </c>
      <c r="H379" s="11"/>
      <c r="I379" s="11" t="s">
        <v>2109</v>
      </c>
    </row>
    <row r="380" customFormat="false" ht="15" hidden="false" customHeight="false" outlineLevel="0" collapsed="false">
      <c r="A380" s="8" t="s">
        <v>2198</v>
      </c>
      <c r="B380" s="8" t="s">
        <v>2199</v>
      </c>
      <c r="C380" s="8" t="s">
        <v>508</v>
      </c>
      <c r="D380" s="8" t="n">
        <v>53.2</v>
      </c>
      <c r="E380" s="8" t="n">
        <v>51.4</v>
      </c>
      <c r="F380" s="8" t="s">
        <v>2200</v>
      </c>
      <c r="G380" s="8" t="s">
        <v>2141</v>
      </c>
      <c r="H380" s="8" t="s">
        <v>506</v>
      </c>
      <c r="I380" s="8" t="s">
        <v>2147</v>
      </c>
    </row>
    <row r="381" customFormat="false" ht="20.85" hidden="false" customHeight="false" outlineLevel="0" collapsed="false">
      <c r="A381" s="11" t="s">
        <v>2201</v>
      </c>
      <c r="B381" s="11" t="s">
        <v>985</v>
      </c>
      <c r="C381" s="11" t="s">
        <v>2202</v>
      </c>
      <c r="D381" s="11" t="n">
        <v>23.5</v>
      </c>
      <c r="E381" s="11" t="n">
        <v>23.5</v>
      </c>
      <c r="F381" s="11" t="s">
        <v>2203</v>
      </c>
      <c r="G381" s="11" t="s">
        <v>2141</v>
      </c>
      <c r="H381" s="11"/>
      <c r="I381" s="11" t="s">
        <v>2109</v>
      </c>
    </row>
    <row r="382" customFormat="false" ht="20.85" hidden="false" customHeight="false" outlineLevel="0" collapsed="false">
      <c r="A382" s="8" t="s">
        <v>2204</v>
      </c>
      <c r="B382" s="8" t="s">
        <v>2205</v>
      </c>
      <c r="C382" s="8" t="s">
        <v>2206</v>
      </c>
      <c r="D382" s="8" t="n">
        <v>30.8</v>
      </c>
      <c r="E382" s="8" t="n">
        <v>33.4</v>
      </c>
      <c r="F382" s="8" t="s">
        <v>2207</v>
      </c>
      <c r="G382" s="8" t="s">
        <v>2141</v>
      </c>
      <c r="H382" s="8"/>
      <c r="I382" s="8" t="s">
        <v>2109</v>
      </c>
    </row>
    <row r="383" customFormat="false" ht="20.85" hidden="false" customHeight="false" outlineLevel="0" collapsed="false">
      <c r="A383" s="11" t="s">
        <v>2208</v>
      </c>
      <c r="B383" s="11" t="s">
        <v>2209</v>
      </c>
      <c r="C383" s="11" t="s">
        <v>2210</v>
      </c>
      <c r="D383" s="11" t="n">
        <v>32.1</v>
      </c>
      <c r="E383" s="11" t="n">
        <v>29.7</v>
      </c>
      <c r="F383" s="11" t="s">
        <v>2211</v>
      </c>
      <c r="G383" s="11" t="s">
        <v>2141</v>
      </c>
      <c r="H383" s="11"/>
      <c r="I383" s="11" t="s">
        <v>2109</v>
      </c>
    </row>
    <row r="384" customFormat="false" ht="20.85" hidden="false" customHeight="false" outlineLevel="0" collapsed="false">
      <c r="A384" s="8" t="s">
        <v>2212</v>
      </c>
      <c r="B384" s="8" t="s">
        <v>652</v>
      </c>
      <c r="C384" s="8" t="s">
        <v>2213</v>
      </c>
      <c r="D384" s="8" t="n">
        <v>50.6</v>
      </c>
      <c r="E384" s="8" t="n">
        <v>48.9</v>
      </c>
      <c r="F384" s="8" t="s">
        <v>2214</v>
      </c>
      <c r="G384" s="8" t="s">
        <v>2141</v>
      </c>
      <c r="H384" s="8"/>
      <c r="I384" s="8" t="s">
        <v>2109</v>
      </c>
    </row>
    <row r="385" customFormat="false" ht="20.85" hidden="false" customHeight="false" outlineLevel="0" collapsed="false">
      <c r="A385" s="11" t="s">
        <v>2215</v>
      </c>
      <c r="B385" s="11" t="s">
        <v>2216</v>
      </c>
      <c r="C385" s="11" t="s">
        <v>2217</v>
      </c>
      <c r="D385" s="11" t="n">
        <v>26.3</v>
      </c>
      <c r="E385" s="11" t="n">
        <v>27.5</v>
      </c>
      <c r="F385" s="11" t="s">
        <v>2218</v>
      </c>
      <c r="G385" s="11" t="s">
        <v>2141</v>
      </c>
      <c r="H385" s="11"/>
      <c r="I385" s="11" t="s">
        <v>2109</v>
      </c>
    </row>
    <row r="386" customFormat="false" ht="20.85" hidden="false" customHeight="false" outlineLevel="0" collapsed="false">
      <c r="A386" s="8" t="s">
        <v>2219</v>
      </c>
      <c r="B386" s="8" t="s">
        <v>2220</v>
      </c>
      <c r="C386" s="8" t="s">
        <v>2221</v>
      </c>
      <c r="D386" s="8" t="n">
        <v>23.8</v>
      </c>
      <c r="E386" s="8" t="n">
        <v>24</v>
      </c>
      <c r="F386" s="8" t="s">
        <v>2222</v>
      </c>
      <c r="G386" s="8" t="s">
        <v>2141</v>
      </c>
      <c r="H386" s="8"/>
      <c r="I386" s="8" t="s">
        <v>2109</v>
      </c>
    </row>
    <row r="387" customFormat="false" ht="20.85" hidden="false" customHeight="false" outlineLevel="0" collapsed="false">
      <c r="A387" s="11" t="s">
        <v>2223</v>
      </c>
      <c r="B387" s="11" t="s">
        <v>2224</v>
      </c>
      <c r="C387" s="11" t="s">
        <v>2225</v>
      </c>
      <c r="D387" s="11" t="n">
        <v>45.4</v>
      </c>
      <c r="E387" s="11" t="n">
        <v>44.5</v>
      </c>
      <c r="F387" s="11" t="s">
        <v>2226</v>
      </c>
      <c r="G387" s="11" t="s">
        <v>2141</v>
      </c>
      <c r="H387" s="11"/>
      <c r="I387" s="11" t="s">
        <v>2109</v>
      </c>
    </row>
    <row r="388" customFormat="false" ht="20.85" hidden="false" customHeight="false" outlineLevel="0" collapsed="false">
      <c r="A388" s="8" t="s">
        <v>2227</v>
      </c>
      <c r="B388" s="8" t="s">
        <v>2228</v>
      </c>
      <c r="C388" s="8" t="s">
        <v>2229</v>
      </c>
      <c r="D388" s="8" t="n">
        <v>20.4</v>
      </c>
      <c r="E388" s="8" t="n">
        <v>23.1</v>
      </c>
      <c r="F388" s="8" t="s">
        <v>2230</v>
      </c>
      <c r="G388" s="8" t="s">
        <v>2141</v>
      </c>
      <c r="H388" s="8"/>
      <c r="I388" s="8" t="s">
        <v>2109</v>
      </c>
    </row>
    <row r="389" customFormat="false" ht="15" hidden="false" customHeight="false" outlineLevel="0" collapsed="false">
      <c r="A389" s="11" t="s">
        <v>2231</v>
      </c>
      <c r="B389" s="11" t="s">
        <v>2228</v>
      </c>
      <c r="C389" s="11" t="s">
        <v>718</v>
      </c>
      <c r="D389" s="11" t="n">
        <v>53.7</v>
      </c>
      <c r="E389" s="11" t="n">
        <v>54.4</v>
      </c>
      <c r="F389" s="11" t="s">
        <v>2232</v>
      </c>
      <c r="G389" s="11" t="s">
        <v>2141</v>
      </c>
      <c r="H389" s="11" t="s">
        <v>715</v>
      </c>
      <c r="I389" s="11" t="s">
        <v>2147</v>
      </c>
    </row>
    <row r="390" customFormat="false" ht="20.85" hidden="false" customHeight="false" outlineLevel="0" collapsed="false">
      <c r="A390" s="8" t="s">
        <v>2233</v>
      </c>
      <c r="B390" s="8" t="s">
        <v>2234</v>
      </c>
      <c r="C390" s="8" t="s">
        <v>2235</v>
      </c>
      <c r="D390" s="8" t="n">
        <v>53.7</v>
      </c>
      <c r="E390" s="8" t="n">
        <v>51.8</v>
      </c>
      <c r="F390" s="8" t="s">
        <v>2236</v>
      </c>
      <c r="G390" s="8" t="s">
        <v>2141</v>
      </c>
      <c r="H390" s="8"/>
      <c r="I390" s="8" t="s">
        <v>2109</v>
      </c>
    </row>
    <row r="391" customFormat="false" ht="20.85" hidden="false" customHeight="false" outlineLevel="0" collapsed="false">
      <c r="A391" s="11" t="s">
        <v>2237</v>
      </c>
      <c r="B391" s="11" t="s">
        <v>2238</v>
      </c>
      <c r="C391" s="11" t="s">
        <v>2239</v>
      </c>
      <c r="D391" s="11" t="n">
        <v>25.5</v>
      </c>
      <c r="E391" s="11" t="n">
        <v>26.7</v>
      </c>
      <c r="F391" s="11" t="s">
        <v>2207</v>
      </c>
      <c r="G391" s="11" t="s">
        <v>2141</v>
      </c>
      <c r="H391" s="11"/>
      <c r="I391" s="11" t="s">
        <v>2109</v>
      </c>
    </row>
    <row r="392" customFormat="false" ht="20.85" hidden="false" customHeight="false" outlineLevel="0" collapsed="false">
      <c r="A392" s="8" t="s">
        <v>2240</v>
      </c>
      <c r="B392" s="8" t="s">
        <v>350</v>
      </c>
      <c r="C392" s="8" t="s">
        <v>2241</v>
      </c>
      <c r="D392" s="8" t="n">
        <v>28.8</v>
      </c>
      <c r="E392" s="8" t="n">
        <v>29.6</v>
      </c>
      <c r="F392" s="8" t="s">
        <v>2242</v>
      </c>
      <c r="G392" s="8" t="s">
        <v>2141</v>
      </c>
      <c r="H392" s="8"/>
      <c r="I392" s="8" t="s">
        <v>2109</v>
      </c>
    </row>
    <row r="393" customFormat="false" ht="20.85" hidden="false" customHeight="false" outlineLevel="0" collapsed="false">
      <c r="A393" s="11" t="s">
        <v>2243</v>
      </c>
      <c r="B393" s="11" t="s">
        <v>2244</v>
      </c>
      <c r="C393" s="11" t="s">
        <v>2245</v>
      </c>
      <c r="D393" s="11" t="n">
        <v>52.1</v>
      </c>
      <c r="E393" s="11" t="n">
        <v>52.5</v>
      </c>
      <c r="F393" s="11" t="s">
        <v>2246</v>
      </c>
      <c r="G393" s="11" t="s">
        <v>2141</v>
      </c>
      <c r="H393" s="11"/>
      <c r="I393" s="11" t="s">
        <v>2109</v>
      </c>
    </row>
    <row r="394" customFormat="false" ht="20.85" hidden="false" customHeight="false" outlineLevel="0" collapsed="false">
      <c r="A394" s="8" t="s">
        <v>2247</v>
      </c>
      <c r="B394" s="8" t="s">
        <v>773</v>
      </c>
      <c r="C394" s="8" t="s">
        <v>2248</v>
      </c>
      <c r="D394" s="8" t="n">
        <v>21.7</v>
      </c>
      <c r="E394" s="8" t="n">
        <v>21.3</v>
      </c>
      <c r="F394" s="8" t="s">
        <v>2249</v>
      </c>
      <c r="G394" s="8" t="s">
        <v>2141</v>
      </c>
      <c r="H394" s="8"/>
      <c r="I394" s="8" t="s">
        <v>2109</v>
      </c>
    </row>
    <row r="395" customFormat="false" ht="20.85" hidden="false" customHeight="false" outlineLevel="0" collapsed="false">
      <c r="A395" s="11" t="s">
        <v>2250</v>
      </c>
      <c r="B395" s="11" t="s">
        <v>475</v>
      </c>
      <c r="C395" s="11" t="s">
        <v>2251</v>
      </c>
      <c r="D395" s="11" t="n">
        <v>54</v>
      </c>
      <c r="E395" s="11" t="n">
        <v>53.9</v>
      </c>
      <c r="F395" s="11" t="s">
        <v>2252</v>
      </c>
      <c r="G395" s="11" t="s">
        <v>2141</v>
      </c>
      <c r="H395" s="11"/>
      <c r="I395" s="11" t="s">
        <v>2109</v>
      </c>
    </row>
    <row r="396" customFormat="false" ht="20.85" hidden="false" customHeight="false" outlineLevel="0" collapsed="false">
      <c r="A396" s="8" t="s">
        <v>2253</v>
      </c>
      <c r="B396" s="8" t="s">
        <v>475</v>
      </c>
      <c r="C396" s="8" t="s">
        <v>2254</v>
      </c>
      <c r="D396" s="8" t="n">
        <v>44.4</v>
      </c>
      <c r="E396" s="8" t="n">
        <v>44.9</v>
      </c>
      <c r="F396" s="8" t="s">
        <v>2255</v>
      </c>
      <c r="G396" s="8" t="s">
        <v>2141</v>
      </c>
      <c r="H396" s="8"/>
      <c r="I396" s="8" t="s">
        <v>2109</v>
      </c>
    </row>
    <row r="397" customFormat="false" ht="20.85" hidden="false" customHeight="false" outlineLevel="0" collapsed="false">
      <c r="A397" s="11" t="s">
        <v>2256</v>
      </c>
      <c r="B397" s="11" t="s">
        <v>2257</v>
      </c>
      <c r="C397" s="11" t="s">
        <v>2258</v>
      </c>
      <c r="D397" s="11" t="n">
        <v>35.5</v>
      </c>
      <c r="E397" s="11" t="n">
        <v>37.5</v>
      </c>
      <c r="F397" s="11" t="s">
        <v>2259</v>
      </c>
      <c r="G397" s="11" t="s">
        <v>2141</v>
      </c>
      <c r="H397" s="11"/>
      <c r="I397" s="11" t="s">
        <v>2109</v>
      </c>
    </row>
    <row r="398" customFormat="false" ht="15" hidden="false" customHeight="false" outlineLevel="0" collapsed="false">
      <c r="A398" s="8" t="s">
        <v>2260</v>
      </c>
      <c r="B398" s="8" t="s">
        <v>501</v>
      </c>
      <c r="C398" s="8" t="s">
        <v>1682</v>
      </c>
      <c r="D398" s="8" t="n">
        <v>36.5</v>
      </c>
      <c r="E398" s="8" t="n">
        <v>39</v>
      </c>
      <c r="F398" s="8" t="s">
        <v>2261</v>
      </c>
      <c r="G398" s="8" t="s">
        <v>2141</v>
      </c>
      <c r="H398" s="8" t="s">
        <v>1680</v>
      </c>
      <c r="I398" s="8" t="s">
        <v>2147</v>
      </c>
    </row>
    <row r="399" customFormat="false" ht="20.85" hidden="false" customHeight="false" outlineLevel="0" collapsed="false">
      <c r="A399" s="11" t="s">
        <v>2262</v>
      </c>
      <c r="B399" s="11" t="s">
        <v>515</v>
      </c>
      <c r="C399" s="11" t="s">
        <v>2263</v>
      </c>
      <c r="D399" s="11" t="n">
        <v>38</v>
      </c>
      <c r="E399" s="11" t="n">
        <v>37.8</v>
      </c>
      <c r="F399" s="11" t="s">
        <v>2264</v>
      </c>
      <c r="G399" s="11" t="s">
        <v>2141</v>
      </c>
      <c r="H399" s="11"/>
      <c r="I399" s="11" t="s">
        <v>2109</v>
      </c>
    </row>
    <row r="400" customFormat="false" ht="15" hidden="false" customHeight="false" outlineLevel="0" collapsed="false">
      <c r="A400" s="8" t="s">
        <v>2265</v>
      </c>
      <c r="B400" s="8" t="s">
        <v>2266</v>
      </c>
      <c r="C400" s="8" t="s">
        <v>1467</v>
      </c>
      <c r="D400" s="8" t="n">
        <v>53.3</v>
      </c>
      <c r="E400" s="8" t="n">
        <v>51.8</v>
      </c>
      <c r="F400" s="8" t="s">
        <v>2267</v>
      </c>
      <c r="G400" s="8" t="s">
        <v>2141</v>
      </c>
      <c r="H400" s="8" t="s">
        <v>1465</v>
      </c>
      <c r="I400" s="8" t="s">
        <v>2147</v>
      </c>
    </row>
    <row r="401" customFormat="false" ht="20.85" hidden="false" customHeight="false" outlineLevel="0" collapsed="false">
      <c r="A401" s="11" t="s">
        <v>2268</v>
      </c>
      <c r="B401" s="11" t="s">
        <v>2269</v>
      </c>
      <c r="C401" s="11" t="s">
        <v>2270</v>
      </c>
      <c r="D401" s="11" t="n">
        <v>25.2</v>
      </c>
      <c r="E401" s="11" t="n">
        <v>26.6</v>
      </c>
      <c r="F401" s="11" t="s">
        <v>2271</v>
      </c>
      <c r="G401" s="11" t="s">
        <v>2141</v>
      </c>
      <c r="H401" s="11"/>
      <c r="I401" s="11" t="s">
        <v>2109</v>
      </c>
    </row>
    <row r="402" customFormat="false" ht="20.85" hidden="false" customHeight="false" outlineLevel="0" collapsed="false">
      <c r="A402" s="8" t="s">
        <v>2272</v>
      </c>
      <c r="B402" s="8" t="s">
        <v>2273</v>
      </c>
      <c r="C402" s="8" t="s">
        <v>2274</v>
      </c>
      <c r="D402" s="8" t="n">
        <v>33.5</v>
      </c>
      <c r="E402" s="8" t="n">
        <v>34.3</v>
      </c>
      <c r="F402" s="8" t="s">
        <v>2275</v>
      </c>
      <c r="G402" s="8" t="s">
        <v>2141</v>
      </c>
      <c r="H402" s="8"/>
      <c r="I402" s="8" t="s">
        <v>2109</v>
      </c>
    </row>
    <row r="403" customFormat="false" ht="20.85" hidden="false" customHeight="false" outlineLevel="0" collapsed="false">
      <c r="A403" s="11" t="s">
        <v>2276</v>
      </c>
      <c r="B403" s="11" t="s">
        <v>547</v>
      </c>
      <c r="C403" s="11" t="s">
        <v>275</v>
      </c>
      <c r="D403" s="11" t="n">
        <v>32.3</v>
      </c>
      <c r="E403" s="11" t="n">
        <v>34.6</v>
      </c>
      <c r="F403" s="11" t="s">
        <v>2277</v>
      </c>
      <c r="G403" s="11" t="s">
        <v>2141</v>
      </c>
      <c r="H403" s="11"/>
      <c r="I403" s="11" t="s">
        <v>2109</v>
      </c>
    </row>
    <row r="404" customFormat="false" ht="20.85" hidden="false" customHeight="false" outlineLevel="0" collapsed="false">
      <c r="A404" s="8" t="s">
        <v>2278</v>
      </c>
      <c r="B404" s="8" t="s">
        <v>2279</v>
      </c>
      <c r="C404" s="8" t="s">
        <v>2280</v>
      </c>
      <c r="D404" s="8" t="n">
        <v>29.1</v>
      </c>
      <c r="E404" s="8" t="n">
        <v>26.9</v>
      </c>
      <c r="F404" s="8" t="s">
        <v>2281</v>
      </c>
      <c r="G404" s="8" t="s">
        <v>2141</v>
      </c>
      <c r="H404" s="8"/>
      <c r="I404" s="8" t="s">
        <v>2109</v>
      </c>
    </row>
    <row r="405" customFormat="false" ht="20.85" hidden="false" customHeight="false" outlineLevel="0" collapsed="false">
      <c r="A405" s="11" t="s">
        <v>2282</v>
      </c>
      <c r="B405" s="11" t="s">
        <v>2283</v>
      </c>
      <c r="C405" s="11" t="s">
        <v>2284</v>
      </c>
      <c r="D405" s="11" t="n">
        <v>38.8</v>
      </c>
      <c r="E405" s="11" t="n">
        <v>39.8</v>
      </c>
      <c r="F405" s="11" t="s">
        <v>2285</v>
      </c>
      <c r="G405" s="11" t="s">
        <v>2141</v>
      </c>
      <c r="H405" s="11"/>
      <c r="I405" s="11" t="s">
        <v>2109</v>
      </c>
    </row>
    <row r="406" customFormat="false" ht="20.85" hidden="false" customHeight="false" outlineLevel="0" collapsed="false">
      <c r="A406" s="8" t="s">
        <v>2286</v>
      </c>
      <c r="B406" s="8" t="s">
        <v>2287</v>
      </c>
      <c r="C406" s="8" t="s">
        <v>2288</v>
      </c>
      <c r="D406" s="8" t="n">
        <v>38.6</v>
      </c>
      <c r="E406" s="8" t="n">
        <v>37.8</v>
      </c>
      <c r="F406" s="8" t="s">
        <v>2289</v>
      </c>
      <c r="G406" s="8" t="s">
        <v>2141</v>
      </c>
      <c r="H406" s="8"/>
      <c r="I406" s="8" t="s">
        <v>2109</v>
      </c>
    </row>
    <row r="407" customFormat="false" ht="20.85" hidden="false" customHeight="false" outlineLevel="0" collapsed="false">
      <c r="A407" s="11" t="s">
        <v>2290</v>
      </c>
      <c r="B407" s="11" t="s">
        <v>670</v>
      </c>
      <c r="C407" s="11" t="s">
        <v>778</v>
      </c>
      <c r="D407" s="11" t="n">
        <v>24</v>
      </c>
      <c r="E407" s="11" t="n">
        <v>23.5</v>
      </c>
      <c r="F407" s="11" t="s">
        <v>2291</v>
      </c>
      <c r="G407" s="11" t="s">
        <v>2141</v>
      </c>
      <c r="H407" s="11" t="s">
        <v>775</v>
      </c>
      <c r="I407" s="11" t="s">
        <v>2147</v>
      </c>
    </row>
    <row r="408" customFormat="false" ht="20.85" hidden="false" customHeight="false" outlineLevel="0" collapsed="false">
      <c r="A408" s="8" t="s">
        <v>2292</v>
      </c>
      <c r="B408" s="8" t="s">
        <v>2293</v>
      </c>
      <c r="C408" s="8" t="s">
        <v>2294</v>
      </c>
      <c r="D408" s="8" t="n">
        <v>40.5</v>
      </c>
      <c r="E408" s="8" t="n">
        <v>42.8</v>
      </c>
      <c r="F408" s="8" t="s">
        <v>2295</v>
      </c>
      <c r="G408" s="8" t="s">
        <v>2141</v>
      </c>
      <c r="H408" s="8"/>
      <c r="I408" s="8" t="s">
        <v>2109</v>
      </c>
    </row>
    <row r="409" customFormat="false" ht="20.85" hidden="false" customHeight="false" outlineLevel="0" collapsed="false">
      <c r="A409" s="11" t="s">
        <v>2296</v>
      </c>
      <c r="B409" s="11" t="s">
        <v>677</v>
      </c>
      <c r="C409" s="11" t="s">
        <v>2297</v>
      </c>
      <c r="D409" s="11" t="n">
        <v>39.5</v>
      </c>
      <c r="E409" s="11" t="n">
        <v>41.3</v>
      </c>
      <c r="F409" s="11" t="s">
        <v>2298</v>
      </c>
      <c r="G409" s="11" t="s">
        <v>2141</v>
      </c>
      <c r="H409" s="11"/>
      <c r="I409" s="11" t="s">
        <v>2109</v>
      </c>
    </row>
    <row r="410" customFormat="false" ht="20.85" hidden="false" customHeight="false" outlineLevel="0" collapsed="false">
      <c r="A410" s="8" t="s">
        <v>2299</v>
      </c>
      <c r="B410" s="8" t="s">
        <v>684</v>
      </c>
      <c r="C410" s="8" t="s">
        <v>2300</v>
      </c>
      <c r="D410" s="8" t="n">
        <v>49</v>
      </c>
      <c r="E410" s="8" t="n">
        <v>51.2</v>
      </c>
      <c r="F410" s="8" t="s">
        <v>2301</v>
      </c>
      <c r="G410" s="8" t="s">
        <v>2141</v>
      </c>
      <c r="H410" s="8"/>
      <c r="I410" s="8" t="s">
        <v>2109</v>
      </c>
    </row>
    <row r="411" customFormat="false" ht="20.85" hidden="false" customHeight="false" outlineLevel="0" collapsed="false">
      <c r="A411" s="11" t="s">
        <v>2302</v>
      </c>
      <c r="B411" s="11" t="s">
        <v>1739</v>
      </c>
      <c r="C411" s="11" t="s">
        <v>2303</v>
      </c>
      <c r="D411" s="11" t="n">
        <v>39.4</v>
      </c>
      <c r="E411" s="11" t="n">
        <v>39.3</v>
      </c>
      <c r="F411" s="11" t="s">
        <v>2304</v>
      </c>
      <c r="G411" s="11" t="s">
        <v>2141</v>
      </c>
      <c r="H411" s="11"/>
      <c r="I411" s="11" t="s">
        <v>2109</v>
      </c>
    </row>
    <row r="412" customFormat="false" ht="20.85" hidden="false" customHeight="false" outlineLevel="0" collapsed="false">
      <c r="A412" s="8" t="s">
        <v>2305</v>
      </c>
      <c r="B412" s="8" t="s">
        <v>2306</v>
      </c>
      <c r="C412" s="8" t="s">
        <v>2307</v>
      </c>
      <c r="D412" s="8" t="n">
        <v>20.8</v>
      </c>
      <c r="E412" s="8" t="n">
        <v>23.7</v>
      </c>
      <c r="F412" s="8" t="s">
        <v>2308</v>
      </c>
      <c r="G412" s="8" t="s">
        <v>2141</v>
      </c>
      <c r="H412" s="8"/>
      <c r="I412" s="8" t="s">
        <v>2109</v>
      </c>
    </row>
    <row r="413" customFormat="false" ht="20.85" hidden="false" customHeight="false" outlineLevel="0" collapsed="false">
      <c r="A413" s="11" t="s">
        <v>2309</v>
      </c>
      <c r="B413" s="11" t="s">
        <v>2310</v>
      </c>
      <c r="C413" s="11" t="s">
        <v>2311</v>
      </c>
      <c r="D413" s="11" t="n">
        <v>38.1</v>
      </c>
      <c r="E413" s="11" t="n">
        <v>35.9</v>
      </c>
      <c r="F413" s="11" t="s">
        <v>2312</v>
      </c>
      <c r="G413" s="11" t="s">
        <v>2141</v>
      </c>
      <c r="H413" s="11"/>
      <c r="I413" s="11" t="s">
        <v>2109</v>
      </c>
    </row>
    <row r="414" customFormat="false" ht="20.85" hidden="false" customHeight="false" outlineLevel="0" collapsed="false">
      <c r="A414" s="8" t="s">
        <v>2313</v>
      </c>
      <c r="B414" s="8" t="s">
        <v>2314</v>
      </c>
      <c r="C414" s="8" t="s">
        <v>2315</v>
      </c>
      <c r="D414" s="8" t="n">
        <v>33.9</v>
      </c>
      <c r="E414" s="8" t="n">
        <v>31.8</v>
      </c>
      <c r="F414" s="8" t="s">
        <v>2316</v>
      </c>
      <c r="G414" s="8" t="s">
        <v>2141</v>
      </c>
      <c r="H414" s="8"/>
      <c r="I414" s="8" t="s">
        <v>2109</v>
      </c>
    </row>
    <row r="415" customFormat="false" ht="20.85" hidden="false" customHeight="false" outlineLevel="0" collapsed="false">
      <c r="A415" s="11" t="s">
        <v>2317</v>
      </c>
      <c r="B415" s="11" t="s">
        <v>277</v>
      </c>
      <c r="C415" s="11" t="s">
        <v>2318</v>
      </c>
      <c r="D415" s="11" t="n">
        <v>50.4</v>
      </c>
      <c r="E415" s="11" t="n">
        <v>50.5</v>
      </c>
      <c r="F415" s="11" t="s">
        <v>2319</v>
      </c>
      <c r="G415" s="11" t="s">
        <v>2141</v>
      </c>
      <c r="H415" s="11"/>
      <c r="I415" s="11" t="s">
        <v>2109</v>
      </c>
    </row>
    <row r="416" customFormat="false" ht="20.85" hidden="false" customHeight="false" outlineLevel="0" collapsed="false">
      <c r="A416" s="8" t="s">
        <v>2320</v>
      </c>
      <c r="B416" s="8" t="s">
        <v>2321</v>
      </c>
      <c r="C416" s="8" t="s">
        <v>2322</v>
      </c>
      <c r="D416" s="8" t="n">
        <v>50</v>
      </c>
      <c r="E416" s="8" t="n">
        <v>47.1</v>
      </c>
      <c r="F416" s="8" t="s">
        <v>2323</v>
      </c>
      <c r="G416" s="8" t="s">
        <v>2141</v>
      </c>
      <c r="H416" s="8"/>
      <c r="I416" s="8" t="s">
        <v>2109</v>
      </c>
    </row>
    <row r="417" customFormat="false" ht="20.85" hidden="false" customHeight="false" outlineLevel="0" collapsed="false">
      <c r="A417" s="11" t="s">
        <v>2324</v>
      </c>
      <c r="B417" s="11" t="s">
        <v>2321</v>
      </c>
      <c r="C417" s="11" t="s">
        <v>2325</v>
      </c>
      <c r="D417" s="11" t="n">
        <v>47.3</v>
      </c>
      <c r="E417" s="11" t="n">
        <v>45.3</v>
      </c>
      <c r="F417" s="11" t="s">
        <v>2326</v>
      </c>
      <c r="G417" s="11" t="s">
        <v>2141</v>
      </c>
      <c r="H417" s="11"/>
      <c r="I417" s="11" t="s">
        <v>2109</v>
      </c>
    </row>
    <row r="418" customFormat="false" ht="20.85" hidden="false" customHeight="false" outlineLevel="0" collapsed="false">
      <c r="A418" s="8" t="s">
        <v>2327</v>
      </c>
      <c r="B418" s="8" t="s">
        <v>2328</v>
      </c>
      <c r="C418" s="8" t="s">
        <v>2329</v>
      </c>
      <c r="D418" s="8" t="n">
        <v>44.9</v>
      </c>
      <c r="E418" s="8" t="n">
        <v>47.4</v>
      </c>
      <c r="F418" s="8" t="s">
        <v>2330</v>
      </c>
      <c r="G418" s="8" t="s">
        <v>2141</v>
      </c>
      <c r="H418" s="8"/>
      <c r="I418" s="8" t="s">
        <v>2109</v>
      </c>
    </row>
    <row r="419" customFormat="false" ht="20.85" hidden="false" customHeight="false" outlineLevel="0" collapsed="false">
      <c r="A419" s="11" t="s">
        <v>2331</v>
      </c>
      <c r="B419" s="11" t="s">
        <v>2332</v>
      </c>
      <c r="C419" s="11" t="s">
        <v>2333</v>
      </c>
      <c r="D419" s="11" t="n">
        <v>48.8</v>
      </c>
      <c r="E419" s="11" t="n">
        <v>47.6</v>
      </c>
      <c r="F419" s="11" t="s">
        <v>2334</v>
      </c>
      <c r="G419" s="11" t="s">
        <v>2141</v>
      </c>
      <c r="H419" s="11"/>
      <c r="I419" s="11" t="s">
        <v>2109</v>
      </c>
    </row>
    <row r="420" customFormat="false" ht="20.85" hidden="false" customHeight="false" outlineLevel="0" collapsed="false">
      <c r="A420" s="8" t="s">
        <v>2335</v>
      </c>
      <c r="B420" s="8" t="s">
        <v>2336</v>
      </c>
      <c r="C420" s="8" t="s">
        <v>2337</v>
      </c>
      <c r="D420" s="8" t="n">
        <v>30</v>
      </c>
      <c r="E420" s="8" t="n">
        <v>28.6</v>
      </c>
      <c r="F420" s="8" t="s">
        <v>2338</v>
      </c>
      <c r="G420" s="8" t="s">
        <v>2141</v>
      </c>
      <c r="H420" s="8"/>
      <c r="I420" s="8" t="s">
        <v>2109</v>
      </c>
    </row>
    <row r="421" customFormat="false" ht="20.85" hidden="false" customHeight="false" outlineLevel="0" collapsed="false">
      <c r="A421" s="11" t="s">
        <v>2339</v>
      </c>
      <c r="B421" s="11" t="s">
        <v>2340</v>
      </c>
      <c r="C421" s="11" t="s">
        <v>996</v>
      </c>
      <c r="D421" s="11" t="n">
        <v>31.4</v>
      </c>
      <c r="E421" s="11" t="n">
        <v>34</v>
      </c>
      <c r="F421" s="11" t="s">
        <v>2341</v>
      </c>
      <c r="G421" s="11" t="s">
        <v>2141</v>
      </c>
      <c r="H421" s="11" t="s">
        <v>993</v>
      </c>
      <c r="I421" s="11" t="s">
        <v>2147</v>
      </c>
    </row>
    <row r="422" customFormat="false" ht="20.85" hidden="false" customHeight="false" outlineLevel="0" collapsed="false">
      <c r="A422" s="8" t="s">
        <v>2342</v>
      </c>
      <c r="B422" s="8" t="s">
        <v>2343</v>
      </c>
      <c r="C422" s="8" t="s">
        <v>2344</v>
      </c>
      <c r="D422" s="8" t="n">
        <v>41.1</v>
      </c>
      <c r="E422" s="8" t="n">
        <v>38.9</v>
      </c>
      <c r="F422" s="8" t="s">
        <v>2345</v>
      </c>
      <c r="G422" s="8" t="s">
        <v>2141</v>
      </c>
      <c r="H422" s="8"/>
      <c r="I422" s="8" t="s">
        <v>2109</v>
      </c>
    </row>
    <row r="423" customFormat="false" ht="20.85" hidden="false" customHeight="false" outlineLevel="0" collapsed="false">
      <c r="A423" s="11" t="s">
        <v>2346</v>
      </c>
      <c r="B423" s="11" t="s">
        <v>2347</v>
      </c>
      <c r="C423" s="11" t="s">
        <v>2348</v>
      </c>
      <c r="D423" s="11" t="n">
        <v>35.4</v>
      </c>
      <c r="E423" s="11" t="n">
        <v>34.3</v>
      </c>
      <c r="F423" s="11" t="s">
        <v>2349</v>
      </c>
      <c r="G423" s="11" t="s">
        <v>2141</v>
      </c>
      <c r="H423" s="11"/>
      <c r="I423" s="11" t="s">
        <v>2109</v>
      </c>
    </row>
    <row r="424" customFormat="false" ht="20.85" hidden="false" customHeight="false" outlineLevel="0" collapsed="false">
      <c r="A424" s="8" t="s">
        <v>2350</v>
      </c>
      <c r="B424" s="8" t="s">
        <v>2351</v>
      </c>
      <c r="C424" s="8" t="s">
        <v>2352</v>
      </c>
      <c r="D424" s="8" t="n">
        <v>45.3</v>
      </c>
      <c r="E424" s="8" t="n">
        <v>47</v>
      </c>
      <c r="F424" s="8" t="s">
        <v>2353</v>
      </c>
      <c r="G424" s="8" t="s">
        <v>2141</v>
      </c>
      <c r="H424" s="8"/>
      <c r="I424" s="8" t="s">
        <v>2109</v>
      </c>
    </row>
    <row r="425" customFormat="false" ht="20.85" hidden="false" customHeight="false" outlineLevel="0" collapsed="false">
      <c r="A425" s="11" t="s">
        <v>2354</v>
      </c>
      <c r="B425" s="11" t="s">
        <v>2355</v>
      </c>
      <c r="C425" s="11" t="s">
        <v>2356</v>
      </c>
      <c r="D425" s="11" t="n">
        <v>21.2</v>
      </c>
      <c r="E425" s="11" t="n">
        <v>18.8</v>
      </c>
      <c r="F425" s="11" t="s">
        <v>2357</v>
      </c>
      <c r="G425" s="11" t="s">
        <v>2141</v>
      </c>
      <c r="H425" s="11"/>
      <c r="I425" s="11" t="s">
        <v>2109</v>
      </c>
    </row>
    <row r="426" customFormat="false" ht="20.85" hidden="false" customHeight="false" outlineLevel="0" collapsed="false">
      <c r="A426" s="8" t="s">
        <v>2358</v>
      </c>
      <c r="B426" s="8" t="s">
        <v>876</v>
      </c>
      <c r="C426" s="8" t="s">
        <v>2359</v>
      </c>
      <c r="D426" s="8" t="n">
        <v>30.3</v>
      </c>
      <c r="E426" s="8" t="n">
        <v>30</v>
      </c>
      <c r="F426" s="8" t="s">
        <v>2360</v>
      </c>
      <c r="G426" s="8" t="s">
        <v>2141</v>
      </c>
      <c r="H426" s="8"/>
      <c r="I426" s="8" t="s">
        <v>2109</v>
      </c>
    </row>
    <row r="427" customFormat="false" ht="20.85" hidden="false" customHeight="false" outlineLevel="0" collapsed="false">
      <c r="A427" s="11" t="s">
        <v>2361</v>
      </c>
      <c r="B427" s="11" t="s">
        <v>583</v>
      </c>
      <c r="C427" s="11" t="s">
        <v>2362</v>
      </c>
      <c r="D427" s="11" t="n">
        <v>49.1</v>
      </c>
      <c r="E427" s="11" t="n">
        <v>50.4</v>
      </c>
      <c r="F427" s="11" t="s">
        <v>2363</v>
      </c>
      <c r="G427" s="11" t="s">
        <v>2141</v>
      </c>
      <c r="H427" s="11"/>
      <c r="I427" s="11" t="s">
        <v>2109</v>
      </c>
    </row>
    <row r="428" customFormat="false" ht="20.85" hidden="false" customHeight="false" outlineLevel="0" collapsed="false">
      <c r="A428" s="8" t="s">
        <v>2364</v>
      </c>
      <c r="B428" s="8" t="s">
        <v>2365</v>
      </c>
      <c r="C428" s="8" t="s">
        <v>2366</v>
      </c>
      <c r="D428" s="8" t="n">
        <v>48.8</v>
      </c>
      <c r="E428" s="8" t="n">
        <v>48.7</v>
      </c>
      <c r="F428" s="8" t="s">
        <v>2367</v>
      </c>
      <c r="G428" s="8" t="s">
        <v>2141</v>
      </c>
      <c r="H428" s="8"/>
      <c r="I428" s="8" t="s">
        <v>2109</v>
      </c>
    </row>
    <row r="429" customFormat="false" ht="20.85" hidden="false" customHeight="false" outlineLevel="0" collapsed="false">
      <c r="A429" s="11" t="s">
        <v>2368</v>
      </c>
      <c r="B429" s="11" t="s">
        <v>2369</v>
      </c>
      <c r="C429" s="11" t="s">
        <v>2370</v>
      </c>
      <c r="D429" s="11" t="n">
        <v>22.4</v>
      </c>
      <c r="E429" s="11" t="n">
        <v>23</v>
      </c>
      <c r="F429" s="11" t="s">
        <v>2371</v>
      </c>
      <c r="G429" s="11" t="s">
        <v>2141</v>
      </c>
      <c r="H429" s="11"/>
      <c r="I429" s="11" t="s">
        <v>2109</v>
      </c>
    </row>
    <row r="430" customFormat="false" ht="20.85" hidden="false" customHeight="false" outlineLevel="0" collapsed="false">
      <c r="A430" s="8" t="s">
        <v>2372</v>
      </c>
      <c r="B430" s="8" t="s">
        <v>2373</v>
      </c>
      <c r="C430" s="8" t="s">
        <v>2374</v>
      </c>
      <c r="D430" s="8" t="n">
        <v>32.2</v>
      </c>
      <c r="E430" s="8" t="n">
        <v>29.9</v>
      </c>
      <c r="F430" s="8" t="s">
        <v>2375</v>
      </c>
      <c r="G430" s="8" t="s">
        <v>2141</v>
      </c>
      <c r="H430" s="8"/>
      <c r="I430" s="8" t="s">
        <v>2109</v>
      </c>
    </row>
    <row r="431" customFormat="false" ht="15" hidden="false" customHeight="false" outlineLevel="0" collapsed="false">
      <c r="A431" s="11" t="s">
        <v>2376</v>
      </c>
      <c r="B431" s="11" t="s">
        <v>2377</v>
      </c>
      <c r="C431" s="11" t="s">
        <v>1610</v>
      </c>
      <c r="D431" s="11" t="n">
        <v>34.8</v>
      </c>
      <c r="E431" s="11" t="n">
        <v>34.9</v>
      </c>
      <c r="F431" s="11" t="s">
        <v>2378</v>
      </c>
      <c r="G431" s="11" t="s">
        <v>2141</v>
      </c>
      <c r="H431" s="11" t="s">
        <v>1608</v>
      </c>
      <c r="I431" s="11" t="s">
        <v>2147</v>
      </c>
    </row>
    <row r="432" customFormat="false" ht="20.85" hidden="false" customHeight="false" outlineLevel="0" collapsed="false">
      <c r="A432" s="8" t="s">
        <v>2379</v>
      </c>
      <c r="B432" s="8" t="s">
        <v>2380</v>
      </c>
      <c r="C432" s="8" t="s">
        <v>2381</v>
      </c>
      <c r="D432" s="8" t="n">
        <v>27.4</v>
      </c>
      <c r="E432" s="8" t="n">
        <v>26.4</v>
      </c>
      <c r="F432" s="8" t="s">
        <v>2382</v>
      </c>
      <c r="G432" s="8" t="s">
        <v>2141</v>
      </c>
      <c r="H432" s="8"/>
      <c r="I432" s="8" t="s">
        <v>2109</v>
      </c>
    </row>
    <row r="433" customFormat="false" ht="20.85" hidden="false" customHeight="false" outlineLevel="0" collapsed="false">
      <c r="A433" s="11" t="s">
        <v>2383</v>
      </c>
      <c r="B433" s="11" t="s">
        <v>2384</v>
      </c>
      <c r="C433" s="11" t="s">
        <v>2385</v>
      </c>
      <c r="D433" s="11" t="n">
        <v>39.3</v>
      </c>
      <c r="E433" s="11" t="n">
        <v>42.2</v>
      </c>
      <c r="F433" s="11" t="s">
        <v>2386</v>
      </c>
      <c r="G433" s="11" t="s">
        <v>2141</v>
      </c>
      <c r="H433" s="11"/>
      <c r="I433" s="11" t="s">
        <v>2109</v>
      </c>
    </row>
    <row r="434" customFormat="false" ht="20.85" hidden="false" customHeight="false" outlineLevel="0" collapsed="false">
      <c r="A434" s="8" t="s">
        <v>2387</v>
      </c>
      <c r="B434" s="8" t="s">
        <v>2388</v>
      </c>
      <c r="C434" s="8" t="s">
        <v>2389</v>
      </c>
      <c r="D434" s="8" t="n">
        <v>44.6</v>
      </c>
      <c r="E434" s="8" t="n">
        <v>41.8</v>
      </c>
      <c r="F434" s="8" t="s">
        <v>2390</v>
      </c>
      <c r="G434" s="8" t="s">
        <v>2141</v>
      </c>
      <c r="H434" s="8"/>
      <c r="I434" s="8" t="s">
        <v>2109</v>
      </c>
    </row>
    <row r="435" customFormat="false" ht="20.85" hidden="false" customHeight="false" outlineLevel="0" collapsed="false">
      <c r="A435" s="11" t="s">
        <v>2391</v>
      </c>
      <c r="B435" s="11" t="s">
        <v>2392</v>
      </c>
      <c r="C435" s="11" t="s">
        <v>602</v>
      </c>
      <c r="D435" s="11" t="n">
        <v>37.1</v>
      </c>
      <c r="E435" s="11" t="n">
        <v>34.5</v>
      </c>
      <c r="F435" s="11" t="s">
        <v>2393</v>
      </c>
      <c r="G435" s="11" t="s">
        <v>2141</v>
      </c>
      <c r="H435" s="11"/>
      <c r="I435" s="11" t="s">
        <v>2109</v>
      </c>
    </row>
    <row r="436" customFormat="false" ht="20.85" hidden="false" customHeight="false" outlineLevel="0" collapsed="false">
      <c r="A436" s="8" t="s">
        <v>2394</v>
      </c>
      <c r="B436" s="8" t="s">
        <v>2395</v>
      </c>
      <c r="C436" s="8" t="s">
        <v>2396</v>
      </c>
      <c r="D436" s="8" t="n">
        <v>33</v>
      </c>
      <c r="E436" s="8" t="n">
        <v>34.8</v>
      </c>
      <c r="F436" s="8" t="s">
        <v>2397</v>
      </c>
      <c r="G436" s="8" t="s">
        <v>2141</v>
      </c>
      <c r="H436" s="8"/>
      <c r="I436" s="8" t="s">
        <v>2109</v>
      </c>
    </row>
    <row r="437" customFormat="false" ht="20.85" hidden="false" customHeight="false" outlineLevel="0" collapsed="false">
      <c r="A437" s="11" t="s">
        <v>2398</v>
      </c>
      <c r="B437" s="11" t="s">
        <v>2399</v>
      </c>
      <c r="C437" s="11" t="s">
        <v>2400</v>
      </c>
      <c r="D437" s="11" t="n">
        <v>42.5</v>
      </c>
      <c r="E437" s="11" t="n">
        <v>41.8</v>
      </c>
      <c r="F437" s="11" t="s">
        <v>2401</v>
      </c>
      <c r="G437" s="11" t="s">
        <v>2141</v>
      </c>
      <c r="H437" s="11"/>
      <c r="I437" s="11" t="s">
        <v>2109</v>
      </c>
    </row>
    <row r="438" customFormat="false" ht="15" hidden="false" customHeight="false" outlineLevel="0" collapsed="false">
      <c r="A438" s="8" t="s">
        <v>2402</v>
      </c>
      <c r="B438" s="8" t="s">
        <v>2403</v>
      </c>
      <c r="C438" s="8" t="s">
        <v>1096</v>
      </c>
      <c r="D438" s="8" t="n">
        <v>50.6</v>
      </c>
      <c r="E438" s="8" t="n">
        <v>50.8</v>
      </c>
      <c r="F438" s="8" t="s">
        <v>2404</v>
      </c>
      <c r="G438" s="8" t="s">
        <v>2141</v>
      </c>
      <c r="H438" s="8" t="s">
        <v>1094</v>
      </c>
      <c r="I438" s="8" t="s">
        <v>2147</v>
      </c>
    </row>
    <row r="439" customFormat="false" ht="20.85" hidden="false" customHeight="false" outlineLevel="0" collapsed="false">
      <c r="A439" s="11" t="s">
        <v>2405</v>
      </c>
      <c r="B439" s="11" t="s">
        <v>2406</v>
      </c>
      <c r="C439" s="11" t="s">
        <v>542</v>
      </c>
      <c r="D439" s="11" t="n">
        <v>39.6</v>
      </c>
      <c r="E439" s="11" t="n">
        <v>37.7</v>
      </c>
      <c r="F439" s="11" t="s">
        <v>2407</v>
      </c>
      <c r="G439" s="11" t="s">
        <v>2141</v>
      </c>
      <c r="H439" s="11"/>
      <c r="I439" s="11" t="s">
        <v>2109</v>
      </c>
    </row>
    <row r="440" customFormat="false" ht="20.85" hidden="false" customHeight="false" outlineLevel="0" collapsed="false">
      <c r="A440" s="8" t="s">
        <v>2408</v>
      </c>
      <c r="B440" s="8" t="s">
        <v>2409</v>
      </c>
      <c r="C440" s="8" t="s">
        <v>1789</v>
      </c>
      <c r="D440" s="8" t="n">
        <v>44.2</v>
      </c>
      <c r="E440" s="8" t="n">
        <v>43</v>
      </c>
      <c r="F440" s="8" t="s">
        <v>2410</v>
      </c>
      <c r="G440" s="8" t="s">
        <v>2141</v>
      </c>
      <c r="H440" s="8" t="s">
        <v>1786</v>
      </c>
      <c r="I440" s="8" t="s">
        <v>2147</v>
      </c>
    </row>
    <row r="441" customFormat="false" ht="20.85" hidden="false" customHeight="false" outlineLevel="0" collapsed="false">
      <c r="A441" s="11" t="s">
        <v>2411</v>
      </c>
      <c r="B441" s="11" t="s">
        <v>2412</v>
      </c>
      <c r="C441" s="11" t="s">
        <v>2413</v>
      </c>
      <c r="D441" s="11" t="n">
        <v>54.1</v>
      </c>
      <c r="E441" s="11" t="n">
        <v>54.8</v>
      </c>
      <c r="F441" s="11" t="s">
        <v>2414</v>
      </c>
      <c r="G441" s="11" t="s">
        <v>2141</v>
      </c>
      <c r="H441" s="11"/>
      <c r="I441" s="11" t="s">
        <v>2109</v>
      </c>
    </row>
    <row r="442" customFormat="false" ht="20.85" hidden="false" customHeight="false" outlineLevel="0" collapsed="false">
      <c r="A442" s="8" t="s">
        <v>2415</v>
      </c>
      <c r="B442" s="8" t="s">
        <v>1075</v>
      </c>
      <c r="C442" s="8" t="s">
        <v>2416</v>
      </c>
      <c r="D442" s="8" t="n">
        <v>21.1</v>
      </c>
      <c r="E442" s="8" t="n">
        <v>21.4</v>
      </c>
      <c r="F442" s="8" t="s">
        <v>2417</v>
      </c>
      <c r="G442" s="8" t="s">
        <v>2141</v>
      </c>
      <c r="H442" s="8"/>
      <c r="I442" s="8" t="s">
        <v>2109</v>
      </c>
    </row>
    <row r="443" customFormat="false" ht="20.85" hidden="false" customHeight="false" outlineLevel="0" collapsed="false">
      <c r="A443" s="11" t="s">
        <v>2418</v>
      </c>
      <c r="B443" s="11" t="s">
        <v>2419</v>
      </c>
      <c r="C443" s="11" t="s">
        <v>2420</v>
      </c>
      <c r="D443" s="11" t="n">
        <v>40.3</v>
      </c>
      <c r="E443" s="11" t="n">
        <v>37.3</v>
      </c>
      <c r="F443" s="11" t="s">
        <v>2421</v>
      </c>
      <c r="G443" s="11" t="s">
        <v>2141</v>
      </c>
      <c r="H443" s="11"/>
      <c r="I443" s="11" t="s">
        <v>2109</v>
      </c>
    </row>
    <row r="444" customFormat="false" ht="20.85" hidden="false" customHeight="false" outlineLevel="0" collapsed="false">
      <c r="A444" s="8" t="s">
        <v>2422</v>
      </c>
      <c r="B444" s="8" t="s">
        <v>2423</v>
      </c>
      <c r="C444" s="8" t="s">
        <v>2424</v>
      </c>
      <c r="D444" s="8" t="n">
        <v>22.4</v>
      </c>
      <c r="E444" s="8" t="n">
        <v>20.1</v>
      </c>
      <c r="F444" s="8" t="s">
        <v>2425</v>
      </c>
      <c r="G444" s="8" t="s">
        <v>2141</v>
      </c>
      <c r="H444" s="8"/>
      <c r="I444" s="8" t="s">
        <v>2109</v>
      </c>
    </row>
    <row r="445" customFormat="false" ht="20.85" hidden="false" customHeight="false" outlineLevel="0" collapsed="false">
      <c r="A445" s="11" t="s">
        <v>2426</v>
      </c>
      <c r="B445" s="11" t="s">
        <v>1089</v>
      </c>
      <c r="C445" s="11" t="s">
        <v>2427</v>
      </c>
      <c r="D445" s="11" t="n">
        <v>51.6</v>
      </c>
      <c r="E445" s="11" t="n">
        <v>49</v>
      </c>
      <c r="F445" s="11" t="s">
        <v>2428</v>
      </c>
      <c r="G445" s="11" t="s">
        <v>2141</v>
      </c>
      <c r="H445" s="11"/>
      <c r="I445" s="11" t="s">
        <v>2109</v>
      </c>
    </row>
    <row r="446" customFormat="false" ht="20.85" hidden="false" customHeight="false" outlineLevel="0" collapsed="false">
      <c r="A446" s="8" t="s">
        <v>2429</v>
      </c>
      <c r="B446" s="8" t="s">
        <v>2430</v>
      </c>
      <c r="C446" s="8" t="s">
        <v>2431</v>
      </c>
      <c r="D446" s="8" t="n">
        <v>31.3</v>
      </c>
      <c r="E446" s="8" t="n">
        <v>29.7</v>
      </c>
      <c r="F446" s="8" t="s">
        <v>2432</v>
      </c>
      <c r="G446" s="8" t="s">
        <v>2141</v>
      </c>
      <c r="H446" s="8"/>
      <c r="I446" s="8" t="s">
        <v>2109</v>
      </c>
    </row>
    <row r="447" customFormat="false" ht="20.85" hidden="false" customHeight="false" outlineLevel="0" collapsed="false">
      <c r="A447" s="11" t="s">
        <v>2433</v>
      </c>
      <c r="B447" s="11" t="s">
        <v>1110</v>
      </c>
      <c r="C447" s="11" t="s">
        <v>2434</v>
      </c>
      <c r="D447" s="11" t="n">
        <v>35.4</v>
      </c>
      <c r="E447" s="11" t="n">
        <v>32.5</v>
      </c>
      <c r="F447" s="11" t="s">
        <v>2435</v>
      </c>
      <c r="G447" s="11" t="s">
        <v>2141</v>
      </c>
      <c r="H447" s="11"/>
      <c r="I447" s="11" t="s">
        <v>2109</v>
      </c>
    </row>
    <row r="448" customFormat="false" ht="20.85" hidden="false" customHeight="false" outlineLevel="0" collapsed="false">
      <c r="A448" s="8" t="s">
        <v>2436</v>
      </c>
      <c r="B448" s="8" t="s">
        <v>2437</v>
      </c>
      <c r="C448" s="8" t="s">
        <v>2438</v>
      </c>
      <c r="D448" s="8" t="n">
        <v>45.4</v>
      </c>
      <c r="E448" s="8" t="n">
        <v>43.4</v>
      </c>
      <c r="F448" s="8" t="s">
        <v>2439</v>
      </c>
      <c r="G448" s="8" t="s">
        <v>2141</v>
      </c>
      <c r="H448" s="8"/>
      <c r="I448" s="8" t="s">
        <v>2109</v>
      </c>
    </row>
    <row r="449" customFormat="false" ht="20.85" hidden="false" customHeight="false" outlineLevel="0" collapsed="false">
      <c r="A449" s="11" t="s">
        <v>2440</v>
      </c>
      <c r="B449" s="11" t="s">
        <v>1176</v>
      </c>
      <c r="C449" s="11" t="s">
        <v>2441</v>
      </c>
      <c r="D449" s="11" t="n">
        <v>40.6</v>
      </c>
      <c r="E449" s="11" t="n">
        <v>39.8</v>
      </c>
      <c r="F449" s="11" t="s">
        <v>2442</v>
      </c>
      <c r="G449" s="11" t="s">
        <v>2141</v>
      </c>
      <c r="H449" s="11"/>
      <c r="I449" s="11" t="s">
        <v>2109</v>
      </c>
    </row>
    <row r="450" customFormat="false" ht="20.85" hidden="false" customHeight="false" outlineLevel="0" collapsed="false">
      <c r="A450" s="8" t="s">
        <v>2443</v>
      </c>
      <c r="B450" s="8" t="s">
        <v>2444</v>
      </c>
      <c r="C450" s="8" t="s">
        <v>2445</v>
      </c>
      <c r="D450" s="8" t="n">
        <v>30.8</v>
      </c>
      <c r="E450" s="8" t="n">
        <v>32.3</v>
      </c>
      <c r="F450" s="8" t="s">
        <v>2446</v>
      </c>
      <c r="G450" s="8" t="s">
        <v>2141</v>
      </c>
      <c r="H450" s="8"/>
      <c r="I450" s="8" t="s">
        <v>2109</v>
      </c>
    </row>
    <row r="451" customFormat="false" ht="20.85" hidden="false" customHeight="false" outlineLevel="0" collapsed="false">
      <c r="A451" s="11" t="s">
        <v>2447</v>
      </c>
      <c r="B451" s="11" t="s">
        <v>2448</v>
      </c>
      <c r="C451" s="11" t="s">
        <v>2449</v>
      </c>
      <c r="D451" s="11" t="n">
        <v>44.7</v>
      </c>
      <c r="E451" s="11" t="n">
        <v>42.9</v>
      </c>
      <c r="F451" s="11" t="s">
        <v>2450</v>
      </c>
      <c r="G451" s="11" t="s">
        <v>2141</v>
      </c>
      <c r="H451" s="11"/>
      <c r="I451" s="11" t="s">
        <v>2109</v>
      </c>
    </row>
    <row r="452" customFormat="false" ht="20.85" hidden="false" customHeight="false" outlineLevel="0" collapsed="false">
      <c r="A452" s="8" t="s">
        <v>2451</v>
      </c>
      <c r="B452" s="8" t="s">
        <v>2452</v>
      </c>
      <c r="C452" s="8" t="s">
        <v>2453</v>
      </c>
      <c r="D452" s="8" t="n">
        <v>31.2</v>
      </c>
      <c r="E452" s="8" t="n">
        <v>31.7</v>
      </c>
      <c r="F452" s="8" t="s">
        <v>2454</v>
      </c>
      <c r="G452" s="8" t="s">
        <v>2141</v>
      </c>
      <c r="H452" s="8"/>
      <c r="I452" s="8" t="s">
        <v>2109</v>
      </c>
    </row>
    <row r="453" customFormat="false" ht="20.85" hidden="false" customHeight="false" outlineLevel="0" collapsed="false">
      <c r="A453" s="11" t="s">
        <v>2455</v>
      </c>
      <c r="B453" s="11" t="s">
        <v>2456</v>
      </c>
      <c r="C453" s="11" t="s">
        <v>2457</v>
      </c>
      <c r="D453" s="11" t="n">
        <v>33.7</v>
      </c>
      <c r="E453" s="11" t="n">
        <v>32.4</v>
      </c>
      <c r="F453" s="11" t="s">
        <v>2458</v>
      </c>
      <c r="G453" s="11" t="s">
        <v>2141</v>
      </c>
      <c r="H453" s="11"/>
      <c r="I453" s="11" t="s">
        <v>2109</v>
      </c>
    </row>
    <row r="454" customFormat="false" ht="20.85" hidden="false" customHeight="false" outlineLevel="0" collapsed="false">
      <c r="A454" s="8" t="s">
        <v>2459</v>
      </c>
      <c r="B454" s="8" t="s">
        <v>2460</v>
      </c>
      <c r="C454" s="8" t="s">
        <v>2461</v>
      </c>
      <c r="D454" s="8" t="n">
        <v>23.8</v>
      </c>
      <c r="E454" s="8" t="n">
        <v>24.4</v>
      </c>
      <c r="F454" s="8" t="s">
        <v>2462</v>
      </c>
      <c r="G454" s="8" t="s">
        <v>2141</v>
      </c>
      <c r="H454" s="8"/>
      <c r="I454" s="8" t="s">
        <v>2109</v>
      </c>
    </row>
    <row r="455" customFormat="false" ht="20.85" hidden="false" customHeight="false" outlineLevel="0" collapsed="false">
      <c r="A455" s="11" t="s">
        <v>2463</v>
      </c>
      <c r="B455" s="11" t="s">
        <v>2464</v>
      </c>
      <c r="C455" s="11" t="s">
        <v>2465</v>
      </c>
      <c r="D455" s="11" t="n">
        <v>29.5</v>
      </c>
      <c r="E455" s="11" t="n">
        <v>28</v>
      </c>
      <c r="F455" s="11" t="s">
        <v>2466</v>
      </c>
      <c r="G455" s="11" t="s">
        <v>2141</v>
      </c>
      <c r="H455" s="11"/>
      <c r="I455" s="11" t="s">
        <v>2109</v>
      </c>
    </row>
    <row r="456" customFormat="false" ht="20.85" hidden="false" customHeight="false" outlineLevel="0" collapsed="false">
      <c r="A456" s="8" t="s">
        <v>2467</v>
      </c>
      <c r="B456" s="8" t="s">
        <v>325</v>
      </c>
      <c r="C456" s="8" t="s">
        <v>2468</v>
      </c>
      <c r="D456" s="8" t="n">
        <v>27.2</v>
      </c>
      <c r="E456" s="8" t="n">
        <v>27.1</v>
      </c>
      <c r="F456" s="8" t="s">
        <v>2469</v>
      </c>
      <c r="G456" s="8" t="s">
        <v>2141</v>
      </c>
      <c r="H456" s="8"/>
      <c r="I456" s="8" t="s">
        <v>2109</v>
      </c>
    </row>
    <row r="457" customFormat="false" ht="20.85" hidden="false" customHeight="false" outlineLevel="0" collapsed="false">
      <c r="A457" s="11" t="s">
        <v>2470</v>
      </c>
      <c r="B457" s="11" t="s">
        <v>1671</v>
      </c>
      <c r="C457" s="11" t="s">
        <v>1538</v>
      </c>
      <c r="D457" s="11" t="n">
        <v>24.7</v>
      </c>
      <c r="E457" s="11" t="n">
        <v>27.7</v>
      </c>
      <c r="F457" s="11" t="s">
        <v>2471</v>
      </c>
      <c r="G457" s="11" t="s">
        <v>2141</v>
      </c>
      <c r="H457" s="11" t="s">
        <v>1536</v>
      </c>
      <c r="I457" s="11" t="s">
        <v>2147</v>
      </c>
    </row>
    <row r="458" customFormat="false" ht="20.85" hidden="false" customHeight="false" outlineLevel="0" collapsed="false">
      <c r="A458" s="8" t="s">
        <v>2472</v>
      </c>
      <c r="B458" s="8" t="s">
        <v>1671</v>
      </c>
      <c r="C458" s="8" t="s">
        <v>2473</v>
      </c>
      <c r="D458" s="8" t="n">
        <v>44.9</v>
      </c>
      <c r="E458" s="8" t="n">
        <v>44.6</v>
      </c>
      <c r="F458" s="8" t="s">
        <v>2474</v>
      </c>
      <c r="G458" s="8" t="s">
        <v>2141</v>
      </c>
      <c r="H458" s="8"/>
      <c r="I458" s="8" t="s">
        <v>2109</v>
      </c>
    </row>
    <row r="459" customFormat="false" ht="20.85" hidden="false" customHeight="false" outlineLevel="0" collapsed="false">
      <c r="A459" s="11" t="s">
        <v>2475</v>
      </c>
      <c r="B459" s="11" t="s">
        <v>2476</v>
      </c>
      <c r="C459" s="11" t="s">
        <v>2477</v>
      </c>
      <c r="D459" s="11" t="n">
        <v>52.8</v>
      </c>
      <c r="E459" s="11" t="n">
        <v>52.7</v>
      </c>
      <c r="F459" s="11" t="s">
        <v>2478</v>
      </c>
      <c r="G459" s="11" t="s">
        <v>2141</v>
      </c>
      <c r="H459" s="11"/>
      <c r="I459" s="11" t="s">
        <v>2109</v>
      </c>
    </row>
    <row r="460" customFormat="false" ht="20.85" hidden="false" customHeight="false" outlineLevel="0" collapsed="false">
      <c r="A460" s="8" t="s">
        <v>2479</v>
      </c>
      <c r="B460" s="8" t="s">
        <v>2480</v>
      </c>
      <c r="C460" s="8" t="s">
        <v>2481</v>
      </c>
      <c r="D460" s="8" t="n">
        <v>38.6</v>
      </c>
      <c r="E460" s="8" t="n">
        <v>36.6</v>
      </c>
      <c r="F460" s="8" t="s">
        <v>2482</v>
      </c>
      <c r="G460" s="8" t="s">
        <v>2141</v>
      </c>
      <c r="H460" s="8"/>
      <c r="I460" s="8" t="s">
        <v>2109</v>
      </c>
    </row>
    <row r="461" customFormat="false" ht="20.85" hidden="false" customHeight="false" outlineLevel="0" collapsed="false">
      <c r="A461" s="11" t="s">
        <v>2483</v>
      </c>
      <c r="B461" s="11" t="s">
        <v>78</v>
      </c>
      <c r="C461" s="11" t="s">
        <v>2484</v>
      </c>
      <c r="D461" s="11" t="n">
        <v>39.5</v>
      </c>
      <c r="E461" s="11" t="n">
        <v>42.3</v>
      </c>
      <c r="F461" s="11" t="s">
        <v>2393</v>
      </c>
      <c r="G461" s="11" t="s">
        <v>2141</v>
      </c>
      <c r="H461" s="11"/>
      <c r="I461" s="11" t="s">
        <v>2109</v>
      </c>
    </row>
    <row r="462" customFormat="false" ht="20.85" hidden="false" customHeight="false" outlineLevel="0" collapsed="false">
      <c r="A462" s="8" t="s">
        <v>2485</v>
      </c>
      <c r="B462" s="8" t="s">
        <v>919</v>
      </c>
      <c r="C462" s="8" t="s">
        <v>2486</v>
      </c>
      <c r="D462" s="8" t="n">
        <v>37.6</v>
      </c>
      <c r="E462" s="8" t="n">
        <v>38.1</v>
      </c>
      <c r="F462" s="8" t="s">
        <v>2487</v>
      </c>
      <c r="G462" s="8" t="s">
        <v>2141</v>
      </c>
      <c r="H462" s="8"/>
      <c r="I462" s="8" t="s">
        <v>2109</v>
      </c>
    </row>
    <row r="463" customFormat="false" ht="20.85" hidden="false" customHeight="false" outlineLevel="0" collapsed="false">
      <c r="A463" s="11" t="s">
        <v>2488</v>
      </c>
      <c r="B463" s="11" t="s">
        <v>2489</v>
      </c>
      <c r="C463" s="11" t="s">
        <v>2490</v>
      </c>
      <c r="D463" s="11" t="n">
        <v>24.5</v>
      </c>
      <c r="E463" s="11" t="n">
        <v>22.8</v>
      </c>
      <c r="F463" s="11" t="s">
        <v>2491</v>
      </c>
      <c r="G463" s="11" t="s">
        <v>2141</v>
      </c>
      <c r="H463" s="11"/>
      <c r="I463" s="11" t="s">
        <v>2109</v>
      </c>
    </row>
    <row r="464" customFormat="false" ht="20.85" hidden="false" customHeight="false" outlineLevel="0" collapsed="false">
      <c r="A464" s="8" t="s">
        <v>2492</v>
      </c>
      <c r="B464" s="8" t="s">
        <v>2493</v>
      </c>
      <c r="C464" s="8" t="s">
        <v>2494</v>
      </c>
      <c r="D464" s="8" t="n">
        <v>34.3</v>
      </c>
      <c r="E464" s="8" t="n">
        <v>32.9</v>
      </c>
      <c r="F464" s="8" t="s">
        <v>2495</v>
      </c>
      <c r="G464" s="8" t="s">
        <v>2141</v>
      </c>
      <c r="H464" s="8"/>
      <c r="I464" s="8" t="s">
        <v>2109</v>
      </c>
    </row>
    <row r="465" customFormat="false" ht="20.85" hidden="false" customHeight="false" outlineLevel="0" collapsed="false">
      <c r="A465" s="11" t="s">
        <v>2496</v>
      </c>
      <c r="B465" s="11" t="s">
        <v>2497</v>
      </c>
      <c r="C465" s="11" t="s">
        <v>2498</v>
      </c>
      <c r="D465" s="11" t="n">
        <v>50.6</v>
      </c>
      <c r="E465" s="11" t="n">
        <v>49</v>
      </c>
      <c r="F465" s="11" t="s">
        <v>2499</v>
      </c>
      <c r="G465" s="11" t="s">
        <v>2141</v>
      </c>
      <c r="H465" s="11"/>
      <c r="I465" s="11" t="s">
        <v>2109</v>
      </c>
    </row>
    <row r="466" customFormat="false" ht="20.85" hidden="false" customHeight="false" outlineLevel="0" collapsed="false">
      <c r="A466" s="8" t="s">
        <v>2500</v>
      </c>
      <c r="B466" s="8" t="s">
        <v>2501</v>
      </c>
      <c r="C466" s="8" t="s">
        <v>2502</v>
      </c>
      <c r="D466" s="8" t="n">
        <v>46.3</v>
      </c>
      <c r="E466" s="8" t="n">
        <v>46.8</v>
      </c>
      <c r="F466" s="8" t="s">
        <v>2503</v>
      </c>
      <c r="G466" s="8" t="s">
        <v>2141</v>
      </c>
      <c r="H466" s="8"/>
      <c r="I466" s="8" t="s">
        <v>2109</v>
      </c>
    </row>
    <row r="467" customFormat="false" ht="20.85" hidden="false" customHeight="false" outlineLevel="0" collapsed="false">
      <c r="A467" s="11" t="s">
        <v>2504</v>
      </c>
      <c r="B467" s="11" t="s">
        <v>2501</v>
      </c>
      <c r="C467" s="11" t="s">
        <v>2505</v>
      </c>
      <c r="D467" s="11" t="n">
        <v>28.2</v>
      </c>
      <c r="E467" s="11" t="n">
        <v>28.4</v>
      </c>
      <c r="F467" s="11" t="s">
        <v>2506</v>
      </c>
      <c r="G467" s="11" t="s">
        <v>2141</v>
      </c>
      <c r="H467" s="11"/>
      <c r="I467" s="11" t="s">
        <v>2109</v>
      </c>
    </row>
    <row r="468" customFormat="false" ht="20.85" hidden="false" customHeight="false" outlineLevel="0" collapsed="false">
      <c r="A468" s="8" t="s">
        <v>2507</v>
      </c>
      <c r="B468" s="8" t="s">
        <v>2508</v>
      </c>
      <c r="C468" s="8" t="s">
        <v>2509</v>
      </c>
      <c r="D468" s="8" t="n">
        <v>25.7</v>
      </c>
      <c r="E468" s="8" t="n">
        <v>23</v>
      </c>
      <c r="F468" s="8" t="s">
        <v>2510</v>
      </c>
      <c r="G468" s="8" t="s">
        <v>2141</v>
      </c>
      <c r="H468" s="8"/>
      <c r="I468" s="8" t="s">
        <v>2109</v>
      </c>
    </row>
    <row r="469" customFormat="false" ht="20.85" hidden="false" customHeight="false" outlineLevel="0" collapsed="false">
      <c r="A469" s="11" t="s">
        <v>2511</v>
      </c>
      <c r="B469" s="11" t="s">
        <v>1246</v>
      </c>
      <c r="C469" s="11" t="s">
        <v>2512</v>
      </c>
      <c r="D469" s="11" t="n">
        <v>51.3</v>
      </c>
      <c r="E469" s="11" t="n">
        <v>49.6</v>
      </c>
      <c r="F469" s="11" t="s">
        <v>2513</v>
      </c>
      <c r="G469" s="11" t="s">
        <v>2141</v>
      </c>
      <c r="H469" s="11"/>
      <c r="I469" s="11" t="s">
        <v>2109</v>
      </c>
    </row>
    <row r="470" customFormat="false" ht="20.85" hidden="false" customHeight="false" outlineLevel="0" collapsed="false">
      <c r="A470" s="8" t="s">
        <v>2514</v>
      </c>
      <c r="B470" s="8" t="s">
        <v>1265</v>
      </c>
      <c r="C470" s="8" t="s">
        <v>2515</v>
      </c>
      <c r="D470" s="8" t="n">
        <v>37</v>
      </c>
      <c r="E470" s="8" t="n">
        <v>36.4</v>
      </c>
      <c r="F470" s="8" t="s">
        <v>2516</v>
      </c>
      <c r="G470" s="8" t="s">
        <v>2141</v>
      </c>
      <c r="H470" s="8"/>
      <c r="I470" s="8" t="s">
        <v>2109</v>
      </c>
    </row>
    <row r="471" customFormat="false" ht="20.85" hidden="false" customHeight="false" outlineLevel="0" collapsed="false">
      <c r="A471" s="11" t="s">
        <v>2517</v>
      </c>
      <c r="B471" s="11" t="s">
        <v>1071</v>
      </c>
      <c r="C471" s="11" t="s">
        <v>2518</v>
      </c>
      <c r="D471" s="11" t="n">
        <v>54.8</v>
      </c>
      <c r="E471" s="11" t="n">
        <v>52</v>
      </c>
      <c r="F471" s="11" t="s">
        <v>2519</v>
      </c>
      <c r="G471" s="11" t="s">
        <v>2141</v>
      </c>
      <c r="H471" s="11"/>
      <c r="I471" s="11" t="s">
        <v>2109</v>
      </c>
    </row>
    <row r="472" customFormat="false" ht="20.85" hidden="false" customHeight="false" outlineLevel="0" collapsed="false">
      <c r="A472" s="8" t="s">
        <v>2520</v>
      </c>
      <c r="B472" s="8" t="s">
        <v>2060</v>
      </c>
      <c r="C472" s="8" t="s">
        <v>2521</v>
      </c>
      <c r="D472" s="8" t="n">
        <v>26.7</v>
      </c>
      <c r="E472" s="8" t="n">
        <v>25</v>
      </c>
      <c r="F472" s="8" t="s">
        <v>2522</v>
      </c>
      <c r="G472" s="8" t="s">
        <v>2141</v>
      </c>
      <c r="H472" s="8"/>
      <c r="I472" s="8" t="s">
        <v>2109</v>
      </c>
    </row>
    <row r="473" customFormat="false" ht="20.85" hidden="false" customHeight="false" outlineLevel="0" collapsed="false">
      <c r="A473" s="11" t="s">
        <v>2523</v>
      </c>
      <c r="B473" s="11" t="s">
        <v>2524</v>
      </c>
      <c r="C473" s="11" t="s">
        <v>2525</v>
      </c>
      <c r="D473" s="11" t="n">
        <v>31.7</v>
      </c>
      <c r="E473" s="11" t="n">
        <v>34.4</v>
      </c>
      <c r="F473" s="11" t="s">
        <v>2526</v>
      </c>
      <c r="G473" s="11" t="s">
        <v>2141</v>
      </c>
      <c r="H473" s="11"/>
      <c r="I473" s="11" t="s">
        <v>2109</v>
      </c>
    </row>
    <row r="474" customFormat="false" ht="20.85" hidden="false" customHeight="false" outlineLevel="0" collapsed="false">
      <c r="A474" s="8" t="s">
        <v>2527</v>
      </c>
      <c r="B474" s="8" t="s">
        <v>1302</v>
      </c>
      <c r="C474" s="8" t="s">
        <v>2528</v>
      </c>
      <c r="D474" s="8" t="n">
        <v>22.6</v>
      </c>
      <c r="E474" s="8" t="n">
        <v>24.1</v>
      </c>
      <c r="F474" s="8" t="s">
        <v>2529</v>
      </c>
      <c r="G474" s="8" t="s">
        <v>2141</v>
      </c>
      <c r="H474" s="8"/>
      <c r="I474" s="8" t="s">
        <v>2109</v>
      </c>
    </row>
    <row r="475" customFormat="false" ht="20.85" hidden="false" customHeight="false" outlineLevel="0" collapsed="false">
      <c r="A475" s="11" t="s">
        <v>2530</v>
      </c>
      <c r="B475" s="11" t="s">
        <v>2531</v>
      </c>
      <c r="C475" s="11" t="s">
        <v>2532</v>
      </c>
      <c r="D475" s="11" t="n">
        <v>24.1</v>
      </c>
      <c r="E475" s="11" t="n">
        <v>21.5</v>
      </c>
      <c r="F475" s="11" t="s">
        <v>2533</v>
      </c>
      <c r="G475" s="11" t="s">
        <v>2141</v>
      </c>
      <c r="H475" s="11"/>
      <c r="I475" s="11" t="s">
        <v>2109</v>
      </c>
    </row>
    <row r="476" customFormat="false" ht="20.85" hidden="false" customHeight="false" outlineLevel="0" collapsed="false">
      <c r="A476" s="8" t="s">
        <v>2534</v>
      </c>
      <c r="B476" s="8" t="s">
        <v>2535</v>
      </c>
      <c r="C476" s="8" t="s">
        <v>2536</v>
      </c>
      <c r="D476" s="8" t="n">
        <v>49.6</v>
      </c>
      <c r="E476" s="8" t="n">
        <v>48.4</v>
      </c>
      <c r="F476" s="8" t="s">
        <v>2537</v>
      </c>
      <c r="G476" s="8" t="s">
        <v>2141</v>
      </c>
      <c r="H476" s="8"/>
      <c r="I476" s="8" t="s">
        <v>2109</v>
      </c>
    </row>
    <row r="477" customFormat="false" ht="20.85" hidden="false" customHeight="false" outlineLevel="0" collapsed="false">
      <c r="A477" s="11" t="s">
        <v>2538</v>
      </c>
      <c r="B477" s="11" t="s">
        <v>1746</v>
      </c>
      <c r="C477" s="11" t="s">
        <v>2539</v>
      </c>
      <c r="D477" s="11" t="n">
        <v>31.1</v>
      </c>
      <c r="E477" s="11" t="n">
        <v>29.6</v>
      </c>
      <c r="F477" s="11" t="s">
        <v>2540</v>
      </c>
      <c r="G477" s="11" t="s">
        <v>2141</v>
      </c>
      <c r="H477" s="11"/>
      <c r="I477" s="11" t="s">
        <v>2109</v>
      </c>
    </row>
    <row r="478" customFormat="false" ht="20.85" hidden="false" customHeight="false" outlineLevel="0" collapsed="false">
      <c r="A478" s="8" t="s">
        <v>2541</v>
      </c>
      <c r="B478" s="8" t="s">
        <v>2542</v>
      </c>
      <c r="C478" s="8" t="s">
        <v>2543</v>
      </c>
      <c r="D478" s="8" t="n">
        <v>29.6</v>
      </c>
      <c r="E478" s="8" t="n">
        <v>27.6</v>
      </c>
      <c r="F478" s="8" t="s">
        <v>2544</v>
      </c>
      <c r="G478" s="8" t="s">
        <v>2141</v>
      </c>
      <c r="H478" s="8"/>
      <c r="I478" s="8" t="s">
        <v>2109</v>
      </c>
    </row>
    <row r="479" customFormat="false" ht="20.85" hidden="false" customHeight="false" outlineLevel="0" collapsed="false">
      <c r="A479" s="11" t="s">
        <v>2545</v>
      </c>
      <c r="B479" s="11" t="s">
        <v>1318</v>
      </c>
      <c r="C479" s="11" t="s">
        <v>2546</v>
      </c>
      <c r="D479" s="11" t="n">
        <v>26.7</v>
      </c>
      <c r="E479" s="11" t="n">
        <v>29.1</v>
      </c>
      <c r="F479" s="11" t="s">
        <v>2547</v>
      </c>
      <c r="G479" s="11" t="s">
        <v>2141</v>
      </c>
      <c r="H479" s="11"/>
      <c r="I479" s="11" t="s">
        <v>2109</v>
      </c>
    </row>
    <row r="480" customFormat="false" ht="20.85" hidden="false" customHeight="false" outlineLevel="0" collapsed="false">
      <c r="A480" s="8" t="s">
        <v>2548</v>
      </c>
      <c r="B480" s="8" t="s">
        <v>2549</v>
      </c>
      <c r="C480" s="8" t="s">
        <v>2494</v>
      </c>
      <c r="D480" s="8" t="n">
        <v>33.7</v>
      </c>
      <c r="E480" s="8" t="n">
        <v>36.3</v>
      </c>
      <c r="F480" s="8" t="s">
        <v>2550</v>
      </c>
      <c r="G480" s="8" t="s">
        <v>2141</v>
      </c>
      <c r="H480" s="8"/>
      <c r="I480" s="8" t="s">
        <v>2109</v>
      </c>
    </row>
    <row r="481" customFormat="false" ht="20.85" hidden="false" customHeight="false" outlineLevel="0" collapsed="false">
      <c r="A481" s="11" t="s">
        <v>2551</v>
      </c>
      <c r="B481" s="11" t="s">
        <v>2552</v>
      </c>
      <c r="C481" s="11" t="s">
        <v>2553</v>
      </c>
      <c r="D481" s="11" t="n">
        <v>20.5</v>
      </c>
      <c r="E481" s="11" t="n">
        <v>20.8</v>
      </c>
      <c r="F481" s="11" t="s">
        <v>2554</v>
      </c>
      <c r="G481" s="11" t="s">
        <v>2141</v>
      </c>
      <c r="H481" s="11"/>
      <c r="I481" s="11" t="s">
        <v>2109</v>
      </c>
    </row>
    <row r="482" customFormat="false" ht="20.85" hidden="false" customHeight="false" outlineLevel="0" collapsed="false">
      <c r="A482" s="8" t="s">
        <v>2555</v>
      </c>
      <c r="B482" s="8" t="s">
        <v>2556</v>
      </c>
      <c r="C482" s="8" t="s">
        <v>2557</v>
      </c>
      <c r="D482" s="8" t="n">
        <v>38</v>
      </c>
      <c r="E482" s="8" t="n">
        <v>38.8</v>
      </c>
      <c r="F482" s="8" t="s">
        <v>2558</v>
      </c>
      <c r="G482" s="8" t="s">
        <v>2141</v>
      </c>
      <c r="H482" s="8"/>
      <c r="I482" s="8" t="s">
        <v>2109</v>
      </c>
    </row>
    <row r="483" customFormat="false" ht="20.85" hidden="false" customHeight="false" outlineLevel="0" collapsed="false">
      <c r="A483" s="11" t="s">
        <v>2559</v>
      </c>
      <c r="B483" s="11" t="s">
        <v>2560</v>
      </c>
      <c r="C483" s="11" t="s">
        <v>2561</v>
      </c>
      <c r="D483" s="11" t="n">
        <v>32.9</v>
      </c>
      <c r="E483" s="11" t="n">
        <v>32.4</v>
      </c>
      <c r="F483" s="11" t="s">
        <v>2562</v>
      </c>
      <c r="G483" s="11" t="s">
        <v>2141</v>
      </c>
      <c r="H483" s="11"/>
      <c r="I483" s="11" t="s">
        <v>2109</v>
      </c>
    </row>
    <row r="484" customFormat="false" ht="20.85" hidden="false" customHeight="false" outlineLevel="0" collapsed="false">
      <c r="A484" s="8" t="s">
        <v>2563</v>
      </c>
      <c r="B484" s="8" t="s">
        <v>2564</v>
      </c>
      <c r="C484" s="8" t="s">
        <v>1055</v>
      </c>
      <c r="D484" s="8" t="n">
        <v>33</v>
      </c>
      <c r="E484" s="8" t="n">
        <v>32.2</v>
      </c>
      <c r="F484" s="8" t="s">
        <v>2565</v>
      </c>
      <c r="G484" s="8" t="s">
        <v>2141</v>
      </c>
      <c r="H484" s="8"/>
      <c r="I484" s="8" t="s">
        <v>2109</v>
      </c>
    </row>
    <row r="485" customFormat="false" ht="20.85" hidden="false" customHeight="false" outlineLevel="0" collapsed="false">
      <c r="A485" s="11" t="s">
        <v>2566</v>
      </c>
      <c r="B485" s="11" t="s">
        <v>1273</v>
      </c>
      <c r="C485" s="11" t="s">
        <v>2567</v>
      </c>
      <c r="D485" s="11" t="n">
        <v>48.5</v>
      </c>
      <c r="E485" s="11" t="n">
        <v>46.4</v>
      </c>
      <c r="F485" s="11" t="s">
        <v>2568</v>
      </c>
      <c r="G485" s="11" t="s">
        <v>2141</v>
      </c>
      <c r="H485" s="11"/>
      <c r="I485" s="11" t="s">
        <v>2109</v>
      </c>
    </row>
    <row r="486" customFormat="false" ht="20.85" hidden="false" customHeight="false" outlineLevel="0" collapsed="false">
      <c r="A486" s="8" t="s">
        <v>2569</v>
      </c>
      <c r="B486" s="8" t="s">
        <v>1364</v>
      </c>
      <c r="C486" s="8" t="s">
        <v>2570</v>
      </c>
      <c r="D486" s="8" t="n">
        <v>28</v>
      </c>
      <c r="E486" s="8" t="n">
        <v>28.8</v>
      </c>
      <c r="F486" s="8" t="s">
        <v>2571</v>
      </c>
      <c r="G486" s="8" t="s">
        <v>2141</v>
      </c>
      <c r="H486" s="8"/>
      <c r="I486" s="8" t="s">
        <v>2109</v>
      </c>
    </row>
    <row r="487" customFormat="false" ht="20.85" hidden="false" customHeight="false" outlineLevel="0" collapsed="false">
      <c r="A487" s="11" t="s">
        <v>2572</v>
      </c>
      <c r="B487" s="11" t="s">
        <v>2573</v>
      </c>
      <c r="C487" s="11" t="s">
        <v>2574</v>
      </c>
      <c r="D487" s="11" t="n">
        <v>48.4</v>
      </c>
      <c r="E487" s="11" t="n">
        <v>48.5</v>
      </c>
      <c r="F487" s="11" t="s">
        <v>2575</v>
      </c>
      <c r="G487" s="11" t="s">
        <v>2141</v>
      </c>
      <c r="H487" s="11"/>
      <c r="I487" s="11" t="s">
        <v>2109</v>
      </c>
    </row>
    <row r="488" customFormat="false" ht="20.85" hidden="false" customHeight="false" outlineLevel="0" collapsed="false">
      <c r="A488" s="8" t="s">
        <v>2576</v>
      </c>
      <c r="B488" s="8" t="s">
        <v>2577</v>
      </c>
      <c r="C488" s="8" t="s">
        <v>2578</v>
      </c>
      <c r="D488" s="8" t="n">
        <v>33.9</v>
      </c>
      <c r="E488" s="8" t="n">
        <v>34.4</v>
      </c>
      <c r="F488" s="8" t="s">
        <v>2579</v>
      </c>
      <c r="G488" s="8" t="s">
        <v>2141</v>
      </c>
      <c r="H488" s="8"/>
      <c r="I488" s="8" t="s">
        <v>2109</v>
      </c>
    </row>
    <row r="489" customFormat="false" ht="20.85" hidden="false" customHeight="false" outlineLevel="0" collapsed="false">
      <c r="A489" s="11" t="s">
        <v>2580</v>
      </c>
      <c r="B489" s="11" t="s">
        <v>2577</v>
      </c>
      <c r="C489" s="11" t="s">
        <v>2581</v>
      </c>
      <c r="D489" s="11" t="n">
        <v>25.5</v>
      </c>
      <c r="E489" s="11" t="n">
        <v>27</v>
      </c>
      <c r="F489" s="11" t="s">
        <v>2582</v>
      </c>
      <c r="G489" s="11" t="s">
        <v>2141</v>
      </c>
      <c r="H489" s="11"/>
      <c r="I489" s="11" t="s">
        <v>2109</v>
      </c>
    </row>
    <row r="490" customFormat="false" ht="20.85" hidden="false" customHeight="false" outlineLevel="0" collapsed="false">
      <c r="A490" s="8" t="s">
        <v>2583</v>
      </c>
      <c r="B490" s="8" t="s">
        <v>2584</v>
      </c>
      <c r="C490" s="8" t="s">
        <v>2585</v>
      </c>
      <c r="D490" s="8" t="n">
        <v>33.2</v>
      </c>
      <c r="E490" s="8" t="n">
        <v>31.7</v>
      </c>
      <c r="F490" s="8" t="s">
        <v>2586</v>
      </c>
      <c r="G490" s="8" t="s">
        <v>2141</v>
      </c>
      <c r="H490" s="8"/>
      <c r="I490" s="8" t="s">
        <v>2109</v>
      </c>
    </row>
    <row r="491" customFormat="false" ht="20.85" hidden="false" customHeight="false" outlineLevel="0" collapsed="false">
      <c r="A491" s="11" t="s">
        <v>2587</v>
      </c>
      <c r="B491" s="11" t="s">
        <v>2588</v>
      </c>
      <c r="C491" s="11" t="s">
        <v>2589</v>
      </c>
      <c r="D491" s="11" t="n">
        <v>20.7</v>
      </c>
      <c r="E491" s="11" t="n">
        <v>18.1</v>
      </c>
      <c r="F491" s="11" t="s">
        <v>2590</v>
      </c>
      <c r="G491" s="11" t="s">
        <v>2141</v>
      </c>
      <c r="H491" s="11"/>
      <c r="I491" s="11" t="s">
        <v>2109</v>
      </c>
    </row>
    <row r="492" customFormat="false" ht="20.85" hidden="false" customHeight="false" outlineLevel="0" collapsed="false">
      <c r="A492" s="8" t="s">
        <v>2591</v>
      </c>
      <c r="B492" s="8" t="s">
        <v>2592</v>
      </c>
      <c r="C492" s="8" t="s">
        <v>2593</v>
      </c>
      <c r="D492" s="8" t="n">
        <v>40.9</v>
      </c>
      <c r="E492" s="8" t="n">
        <v>40.4</v>
      </c>
      <c r="F492" s="8" t="s">
        <v>2594</v>
      </c>
      <c r="G492" s="8" t="s">
        <v>2141</v>
      </c>
      <c r="H492" s="8"/>
      <c r="I492" s="8" t="s">
        <v>2109</v>
      </c>
    </row>
    <row r="493" customFormat="false" ht="20.85" hidden="false" customHeight="false" outlineLevel="0" collapsed="false">
      <c r="A493" s="11" t="s">
        <v>2595</v>
      </c>
      <c r="B493" s="11" t="s">
        <v>2596</v>
      </c>
      <c r="C493" s="11" t="s">
        <v>1393</v>
      </c>
      <c r="D493" s="11" t="n">
        <v>41.9</v>
      </c>
      <c r="E493" s="11" t="n">
        <v>43</v>
      </c>
      <c r="F493" s="11" t="s">
        <v>2597</v>
      </c>
      <c r="G493" s="11" t="s">
        <v>2141</v>
      </c>
      <c r="H493" s="11"/>
      <c r="I493" s="11" t="s">
        <v>2109</v>
      </c>
    </row>
    <row r="494" customFormat="false" ht="20.85" hidden="false" customHeight="false" outlineLevel="0" collapsed="false">
      <c r="A494" s="8" t="s">
        <v>2598</v>
      </c>
      <c r="B494" s="8" t="s">
        <v>959</v>
      </c>
      <c r="C494" s="8" t="s">
        <v>2599</v>
      </c>
      <c r="D494" s="8" t="n">
        <v>49.6</v>
      </c>
      <c r="E494" s="8" t="n">
        <v>47.6</v>
      </c>
      <c r="F494" s="8" t="s">
        <v>2600</v>
      </c>
      <c r="G494" s="8" t="s">
        <v>2141</v>
      </c>
      <c r="H494" s="8"/>
      <c r="I494" s="8" t="s">
        <v>2109</v>
      </c>
    </row>
    <row r="495" customFormat="false" ht="20.85" hidden="false" customHeight="false" outlineLevel="0" collapsed="false">
      <c r="A495" s="11" t="s">
        <v>2601</v>
      </c>
      <c r="B495" s="11" t="s">
        <v>2602</v>
      </c>
      <c r="C495" s="11" t="s">
        <v>2603</v>
      </c>
      <c r="D495" s="11" t="n">
        <v>20.4</v>
      </c>
      <c r="E495" s="11" t="n">
        <v>20.3</v>
      </c>
      <c r="F495" s="11" t="s">
        <v>2604</v>
      </c>
      <c r="G495" s="11" t="s">
        <v>2141</v>
      </c>
      <c r="H495" s="11"/>
      <c r="I495" s="11" t="s">
        <v>2109</v>
      </c>
    </row>
    <row r="496" customFormat="false" ht="20.85" hidden="false" customHeight="false" outlineLevel="0" collapsed="false">
      <c r="A496" s="8" t="s">
        <v>2605</v>
      </c>
      <c r="B496" s="8" t="s">
        <v>2602</v>
      </c>
      <c r="C496" s="8" t="s">
        <v>2606</v>
      </c>
      <c r="D496" s="8" t="n">
        <v>37.1</v>
      </c>
      <c r="E496" s="8" t="n">
        <v>35</v>
      </c>
      <c r="F496" s="8" t="s">
        <v>2607</v>
      </c>
      <c r="G496" s="8" t="s">
        <v>2141</v>
      </c>
      <c r="H496" s="8"/>
      <c r="I496" s="8" t="s">
        <v>2109</v>
      </c>
    </row>
    <row r="497" customFormat="false" ht="20.85" hidden="false" customHeight="false" outlineLevel="0" collapsed="false">
      <c r="A497" s="11" t="s">
        <v>2608</v>
      </c>
      <c r="B497" s="11" t="s">
        <v>2609</v>
      </c>
      <c r="C497" s="11" t="s">
        <v>2610</v>
      </c>
      <c r="D497" s="11" t="n">
        <v>46.2</v>
      </c>
      <c r="E497" s="11" t="n">
        <v>48.2</v>
      </c>
      <c r="F497" s="11" t="s">
        <v>2611</v>
      </c>
      <c r="G497" s="11" t="s">
        <v>2141</v>
      </c>
      <c r="H497" s="11"/>
      <c r="I497" s="11" t="s">
        <v>2109</v>
      </c>
    </row>
    <row r="498" customFormat="false" ht="20.85" hidden="false" customHeight="false" outlineLevel="0" collapsed="false">
      <c r="A498" s="8" t="s">
        <v>2612</v>
      </c>
      <c r="B498" s="8" t="s">
        <v>2613</v>
      </c>
      <c r="C498" s="8" t="s">
        <v>2614</v>
      </c>
      <c r="D498" s="8" t="n">
        <v>23.5</v>
      </c>
      <c r="E498" s="8" t="n">
        <v>23.3</v>
      </c>
      <c r="F498" s="8" t="s">
        <v>2615</v>
      </c>
      <c r="G498" s="8" t="s">
        <v>2141</v>
      </c>
      <c r="H498" s="8"/>
      <c r="I498" s="8" t="s">
        <v>2109</v>
      </c>
    </row>
    <row r="499" customFormat="false" ht="20.85" hidden="false" customHeight="false" outlineLevel="0" collapsed="false">
      <c r="A499" s="11" t="s">
        <v>2616</v>
      </c>
      <c r="B499" s="11" t="s">
        <v>1459</v>
      </c>
      <c r="C499" s="11" t="s">
        <v>2617</v>
      </c>
      <c r="D499" s="11" t="n">
        <v>25.6</v>
      </c>
      <c r="E499" s="11" t="n">
        <v>27.3</v>
      </c>
      <c r="F499" s="11" t="s">
        <v>2618</v>
      </c>
      <c r="G499" s="11" t="s">
        <v>2141</v>
      </c>
      <c r="H499" s="11"/>
      <c r="I499" s="11" t="s">
        <v>2109</v>
      </c>
    </row>
    <row r="500" customFormat="false" ht="20.85" hidden="false" customHeight="false" outlineLevel="0" collapsed="false">
      <c r="A500" s="8" t="s">
        <v>2619</v>
      </c>
      <c r="B500" s="8" t="s">
        <v>2620</v>
      </c>
      <c r="C500" s="8" t="s">
        <v>2621</v>
      </c>
      <c r="D500" s="8" t="n">
        <v>28</v>
      </c>
      <c r="E500" s="8" t="n">
        <v>30.9</v>
      </c>
      <c r="F500" s="8" t="s">
        <v>2622</v>
      </c>
      <c r="G500" s="8" t="s">
        <v>2141</v>
      </c>
      <c r="H500" s="8"/>
      <c r="I500" s="8" t="s">
        <v>2109</v>
      </c>
    </row>
    <row r="501" customFormat="false" ht="20.85" hidden="false" customHeight="false" outlineLevel="0" collapsed="false">
      <c r="A501" s="11" t="s">
        <v>2623</v>
      </c>
      <c r="B501" s="11" t="s">
        <v>2041</v>
      </c>
      <c r="C501" s="11" t="s">
        <v>2624</v>
      </c>
      <c r="D501" s="11" t="n">
        <v>52.8</v>
      </c>
      <c r="E501" s="11" t="n">
        <v>52</v>
      </c>
      <c r="F501" s="11" t="s">
        <v>2625</v>
      </c>
      <c r="G501" s="11" t="s">
        <v>2141</v>
      </c>
      <c r="H501" s="11"/>
      <c r="I501" s="11" t="s">
        <v>2109</v>
      </c>
    </row>
    <row r="502" customFormat="false" ht="20.85" hidden="false" customHeight="false" outlineLevel="0" collapsed="false">
      <c r="A502" s="8" t="s">
        <v>2626</v>
      </c>
      <c r="B502" s="8" t="s">
        <v>2627</v>
      </c>
      <c r="C502" s="8" t="s">
        <v>2628</v>
      </c>
      <c r="D502" s="8" t="n">
        <v>37.7</v>
      </c>
      <c r="E502" s="8" t="n">
        <v>40.2</v>
      </c>
      <c r="F502" s="8" t="s">
        <v>2151</v>
      </c>
      <c r="G502" s="8" t="s">
        <v>2141</v>
      </c>
      <c r="H502" s="8"/>
      <c r="I502" s="8" t="s">
        <v>2109</v>
      </c>
    </row>
    <row r="503" customFormat="false" ht="30.55" hidden="false" customHeight="false" outlineLevel="0" collapsed="false">
      <c r="A503" s="11" t="s">
        <v>2629</v>
      </c>
      <c r="B503" s="11" t="s">
        <v>2630</v>
      </c>
      <c r="C503" s="11" t="s">
        <v>83</v>
      </c>
      <c r="D503" s="11" t="n">
        <v>36.4</v>
      </c>
      <c r="E503" s="11" t="n">
        <v>35.8</v>
      </c>
      <c r="F503" s="11" t="s">
        <v>2631</v>
      </c>
      <c r="G503" s="11" t="s">
        <v>2141</v>
      </c>
      <c r="H503" s="11" t="s">
        <v>208</v>
      </c>
      <c r="I503" s="11" t="s">
        <v>2147</v>
      </c>
    </row>
    <row r="504" customFormat="false" ht="20.85" hidden="false" customHeight="false" outlineLevel="0" collapsed="false">
      <c r="A504" s="8" t="s">
        <v>2632</v>
      </c>
      <c r="B504" s="8" t="s">
        <v>2633</v>
      </c>
      <c r="C504" s="8" t="s">
        <v>2634</v>
      </c>
      <c r="D504" s="8" t="n">
        <v>44.3</v>
      </c>
      <c r="E504" s="8" t="n">
        <v>41.7</v>
      </c>
      <c r="F504" s="8" t="s">
        <v>2635</v>
      </c>
      <c r="G504" s="8" t="s">
        <v>2141</v>
      </c>
      <c r="H504" s="8"/>
      <c r="I504" s="8" t="s">
        <v>2109</v>
      </c>
    </row>
    <row r="505" customFormat="false" ht="20.85" hidden="false" customHeight="false" outlineLevel="0" collapsed="false">
      <c r="A505" s="11" t="s">
        <v>2636</v>
      </c>
      <c r="B505" s="11" t="s">
        <v>2637</v>
      </c>
      <c r="C505" s="11" t="s">
        <v>2638</v>
      </c>
      <c r="D505" s="11" t="n">
        <v>26.3</v>
      </c>
      <c r="E505" s="11" t="n">
        <v>28.5</v>
      </c>
      <c r="F505" s="11" t="s">
        <v>2639</v>
      </c>
      <c r="G505" s="11" t="s">
        <v>2141</v>
      </c>
      <c r="H505" s="11"/>
      <c r="I505" s="11" t="s">
        <v>2109</v>
      </c>
    </row>
    <row r="506" customFormat="false" ht="20.85" hidden="false" customHeight="false" outlineLevel="0" collapsed="false">
      <c r="A506" s="8" t="s">
        <v>2640</v>
      </c>
      <c r="B506" s="8" t="s">
        <v>2641</v>
      </c>
      <c r="C506" s="8" t="s">
        <v>2642</v>
      </c>
      <c r="D506" s="8" t="n">
        <v>48.9</v>
      </c>
      <c r="E506" s="8" t="n">
        <v>49.3</v>
      </c>
      <c r="F506" s="8" t="s">
        <v>2643</v>
      </c>
      <c r="G506" s="8" t="s">
        <v>2141</v>
      </c>
      <c r="H506" s="8"/>
      <c r="I506" s="8" t="s">
        <v>2109</v>
      </c>
    </row>
    <row r="507" customFormat="false" ht="20.85" hidden="false" customHeight="false" outlineLevel="0" collapsed="false">
      <c r="A507" s="11" t="s">
        <v>2644</v>
      </c>
      <c r="B507" s="11" t="s">
        <v>1598</v>
      </c>
      <c r="C507" s="11" t="s">
        <v>2645</v>
      </c>
      <c r="D507" s="11" t="n">
        <v>22.5</v>
      </c>
      <c r="E507" s="11" t="n">
        <v>22.1</v>
      </c>
      <c r="F507" s="11" t="s">
        <v>2646</v>
      </c>
      <c r="G507" s="11" t="s">
        <v>2141</v>
      </c>
      <c r="H507" s="11"/>
      <c r="I507" s="11" t="s">
        <v>2109</v>
      </c>
    </row>
    <row r="508" customFormat="false" ht="20.85" hidden="false" customHeight="false" outlineLevel="0" collapsed="false">
      <c r="A508" s="8" t="s">
        <v>2647</v>
      </c>
      <c r="B508" s="8" t="s">
        <v>1598</v>
      </c>
      <c r="C508" s="8" t="s">
        <v>2648</v>
      </c>
      <c r="D508" s="8" t="n">
        <v>33</v>
      </c>
      <c r="E508" s="8" t="n">
        <v>34</v>
      </c>
      <c r="F508" s="8" t="s">
        <v>2649</v>
      </c>
      <c r="G508" s="8" t="s">
        <v>2141</v>
      </c>
      <c r="H508" s="8"/>
      <c r="I508" s="8" t="s">
        <v>2109</v>
      </c>
    </row>
    <row r="509" customFormat="false" ht="20.85" hidden="false" customHeight="false" outlineLevel="0" collapsed="false">
      <c r="A509" s="11" t="s">
        <v>2650</v>
      </c>
      <c r="B509" s="11" t="s">
        <v>2651</v>
      </c>
      <c r="C509" s="11" t="s">
        <v>2652</v>
      </c>
      <c r="D509" s="11" t="n">
        <v>49.8</v>
      </c>
      <c r="E509" s="11" t="n">
        <v>47.9</v>
      </c>
      <c r="F509" s="11" t="s">
        <v>2653</v>
      </c>
      <c r="G509" s="11" t="s">
        <v>2141</v>
      </c>
      <c r="H509" s="11"/>
      <c r="I509" s="11" t="s">
        <v>2109</v>
      </c>
    </row>
    <row r="510" customFormat="false" ht="20.85" hidden="false" customHeight="false" outlineLevel="0" collapsed="false">
      <c r="A510" s="8" t="s">
        <v>2654</v>
      </c>
      <c r="B510" s="8" t="s">
        <v>1623</v>
      </c>
      <c r="C510" s="8" t="s">
        <v>2655</v>
      </c>
      <c r="D510" s="8" t="n">
        <v>49.3</v>
      </c>
      <c r="E510" s="8" t="n">
        <v>51.7</v>
      </c>
      <c r="F510" s="8" t="s">
        <v>2656</v>
      </c>
      <c r="G510" s="8" t="s">
        <v>2141</v>
      </c>
      <c r="H510" s="8"/>
      <c r="I510" s="8" t="s">
        <v>2109</v>
      </c>
    </row>
    <row r="511" customFormat="false" ht="20.85" hidden="false" customHeight="false" outlineLevel="0" collapsed="false">
      <c r="A511" s="11" t="s">
        <v>2657</v>
      </c>
      <c r="B511" s="11" t="s">
        <v>1162</v>
      </c>
      <c r="C511" s="11" t="s">
        <v>2658</v>
      </c>
      <c r="D511" s="11" t="n">
        <v>54.5</v>
      </c>
      <c r="E511" s="11" t="n">
        <v>55.6</v>
      </c>
      <c r="F511" s="11" t="s">
        <v>2659</v>
      </c>
      <c r="G511" s="11" t="s">
        <v>2141</v>
      </c>
      <c r="H511" s="11"/>
      <c r="I511" s="11" t="s">
        <v>2109</v>
      </c>
    </row>
    <row r="512" customFormat="false" ht="20.85" hidden="false" customHeight="false" outlineLevel="0" collapsed="false">
      <c r="A512" s="8" t="s">
        <v>2660</v>
      </c>
      <c r="B512" s="8" t="s">
        <v>1524</v>
      </c>
      <c r="C512" s="8" t="s">
        <v>2661</v>
      </c>
      <c r="D512" s="8" t="n">
        <v>53.7</v>
      </c>
      <c r="E512" s="8" t="n">
        <v>56.3</v>
      </c>
      <c r="F512" s="8" t="s">
        <v>2662</v>
      </c>
      <c r="G512" s="8" t="s">
        <v>2141</v>
      </c>
      <c r="H512" s="8"/>
      <c r="I512" s="8" t="s">
        <v>2109</v>
      </c>
    </row>
    <row r="513" customFormat="false" ht="20.85" hidden="false" customHeight="false" outlineLevel="0" collapsed="false">
      <c r="A513" s="11" t="s">
        <v>2663</v>
      </c>
      <c r="B513" s="11" t="s">
        <v>1689</v>
      </c>
      <c r="C513" s="11" t="s">
        <v>2664</v>
      </c>
      <c r="D513" s="11" t="n">
        <v>25.5</v>
      </c>
      <c r="E513" s="11" t="n">
        <v>27.2</v>
      </c>
      <c r="F513" s="11" t="s">
        <v>2665</v>
      </c>
      <c r="G513" s="11" t="s">
        <v>2141</v>
      </c>
      <c r="H513" s="11"/>
      <c r="I513" s="11" t="s">
        <v>2109</v>
      </c>
    </row>
    <row r="514" customFormat="false" ht="20.85" hidden="false" customHeight="false" outlineLevel="0" collapsed="false">
      <c r="A514" s="8" t="s">
        <v>2666</v>
      </c>
      <c r="B514" s="8" t="s">
        <v>2667</v>
      </c>
      <c r="C514" s="8" t="s">
        <v>2668</v>
      </c>
      <c r="D514" s="8" t="n">
        <v>42.8</v>
      </c>
      <c r="E514" s="8" t="n">
        <v>41.9</v>
      </c>
      <c r="F514" s="8" t="s">
        <v>2669</v>
      </c>
      <c r="G514" s="8" t="s">
        <v>2141</v>
      </c>
      <c r="H514" s="8"/>
      <c r="I514" s="8" t="s">
        <v>2109</v>
      </c>
    </row>
    <row r="515" customFormat="false" ht="20.85" hidden="false" customHeight="false" outlineLevel="0" collapsed="false">
      <c r="A515" s="11" t="s">
        <v>2670</v>
      </c>
      <c r="B515" s="11" t="s">
        <v>2667</v>
      </c>
      <c r="C515" s="11" t="s">
        <v>448</v>
      </c>
      <c r="D515" s="11" t="n">
        <v>46.6</v>
      </c>
      <c r="E515" s="11" t="n">
        <v>47.1</v>
      </c>
      <c r="F515" s="11" t="s">
        <v>2671</v>
      </c>
      <c r="G515" s="11" t="s">
        <v>2141</v>
      </c>
      <c r="H515" s="11"/>
      <c r="I515" s="11" t="s">
        <v>2109</v>
      </c>
    </row>
    <row r="516" customFormat="false" ht="20.85" hidden="false" customHeight="false" outlineLevel="0" collapsed="false">
      <c r="A516" s="8" t="s">
        <v>2672</v>
      </c>
      <c r="B516" s="8" t="s">
        <v>2673</v>
      </c>
      <c r="C516" s="8" t="s">
        <v>2674</v>
      </c>
      <c r="D516" s="8" t="n">
        <v>23</v>
      </c>
      <c r="E516" s="8" t="n">
        <v>23</v>
      </c>
      <c r="F516" s="8" t="s">
        <v>2675</v>
      </c>
      <c r="G516" s="8" t="s">
        <v>2141</v>
      </c>
      <c r="H516" s="8"/>
      <c r="I516" s="8" t="s">
        <v>2109</v>
      </c>
    </row>
    <row r="517" customFormat="false" ht="20.85" hidden="false" customHeight="false" outlineLevel="0" collapsed="false">
      <c r="A517" s="11" t="s">
        <v>2676</v>
      </c>
      <c r="B517" s="11" t="s">
        <v>2677</v>
      </c>
      <c r="C517" s="11" t="s">
        <v>2678</v>
      </c>
      <c r="D517" s="11" t="n">
        <v>52.5</v>
      </c>
      <c r="E517" s="11" t="n">
        <v>51</v>
      </c>
      <c r="F517" s="11" t="s">
        <v>2679</v>
      </c>
      <c r="G517" s="11" t="s">
        <v>2141</v>
      </c>
      <c r="H517" s="11"/>
      <c r="I517" s="11" t="s">
        <v>2109</v>
      </c>
    </row>
    <row r="518" customFormat="false" ht="20.85" hidden="false" customHeight="false" outlineLevel="0" collapsed="false">
      <c r="A518" s="8" t="s">
        <v>2680</v>
      </c>
      <c r="B518" s="8" t="s">
        <v>1712</v>
      </c>
      <c r="C518" s="8" t="s">
        <v>2681</v>
      </c>
      <c r="D518" s="8" t="n">
        <v>43.6</v>
      </c>
      <c r="E518" s="8" t="n">
        <v>46</v>
      </c>
      <c r="F518" s="8" t="s">
        <v>2682</v>
      </c>
      <c r="G518" s="8" t="s">
        <v>2141</v>
      </c>
      <c r="H518" s="8"/>
      <c r="I518" s="8" t="s">
        <v>2109</v>
      </c>
    </row>
    <row r="519" customFormat="false" ht="20.85" hidden="false" customHeight="false" outlineLevel="0" collapsed="false">
      <c r="A519" s="11" t="s">
        <v>2683</v>
      </c>
      <c r="B519" s="11" t="s">
        <v>2123</v>
      </c>
      <c r="C519" s="11" t="s">
        <v>2684</v>
      </c>
      <c r="D519" s="11" t="n">
        <v>53.2</v>
      </c>
      <c r="E519" s="11" t="n">
        <v>50.3</v>
      </c>
      <c r="F519" s="11" t="s">
        <v>2685</v>
      </c>
      <c r="G519" s="11" t="s">
        <v>2141</v>
      </c>
      <c r="H519" s="11"/>
      <c r="I519" s="11" t="s">
        <v>2109</v>
      </c>
    </row>
    <row r="520" customFormat="false" ht="20.85" hidden="false" customHeight="false" outlineLevel="0" collapsed="false">
      <c r="A520" s="8" t="s">
        <v>2686</v>
      </c>
      <c r="B520" s="8" t="s">
        <v>2687</v>
      </c>
      <c r="C520" s="8" t="s">
        <v>2688</v>
      </c>
      <c r="D520" s="8" t="n">
        <v>46.5</v>
      </c>
      <c r="E520" s="8" t="n">
        <v>48</v>
      </c>
      <c r="F520" s="8" t="s">
        <v>2689</v>
      </c>
      <c r="G520" s="8" t="s">
        <v>2141</v>
      </c>
      <c r="H520" s="8"/>
      <c r="I520" s="8" t="s">
        <v>2109</v>
      </c>
    </row>
    <row r="521" customFormat="false" ht="20.85" hidden="false" customHeight="false" outlineLevel="0" collapsed="false">
      <c r="A521" s="11" t="s">
        <v>2690</v>
      </c>
      <c r="B521" s="11" t="s">
        <v>2691</v>
      </c>
      <c r="C521" s="11" t="s">
        <v>2692</v>
      </c>
      <c r="D521" s="11" t="n">
        <v>34.8</v>
      </c>
      <c r="E521" s="11" t="n">
        <v>37.3</v>
      </c>
      <c r="F521" s="11" t="s">
        <v>2693</v>
      </c>
      <c r="G521" s="11" t="s">
        <v>2141</v>
      </c>
      <c r="H521" s="11"/>
      <c r="I521" s="11" t="s">
        <v>2109</v>
      </c>
    </row>
    <row r="522" customFormat="false" ht="20.85" hidden="false" customHeight="false" outlineLevel="0" collapsed="false">
      <c r="A522" s="8" t="s">
        <v>2694</v>
      </c>
      <c r="B522" s="8" t="s">
        <v>2691</v>
      </c>
      <c r="C522" s="8" t="s">
        <v>2695</v>
      </c>
      <c r="D522" s="8" t="n">
        <v>26.7</v>
      </c>
      <c r="E522" s="8" t="n">
        <v>24</v>
      </c>
      <c r="F522" s="8" t="s">
        <v>2696</v>
      </c>
      <c r="G522" s="8" t="s">
        <v>2141</v>
      </c>
      <c r="H522" s="8"/>
      <c r="I522" s="8" t="s">
        <v>2109</v>
      </c>
    </row>
    <row r="523" customFormat="false" ht="20.85" hidden="false" customHeight="false" outlineLevel="0" collapsed="false">
      <c r="A523" s="11" t="s">
        <v>2697</v>
      </c>
      <c r="B523" s="11" t="s">
        <v>2698</v>
      </c>
      <c r="C523" s="11" t="s">
        <v>2381</v>
      </c>
      <c r="D523" s="11" t="n">
        <v>45.2</v>
      </c>
      <c r="E523" s="11" t="n">
        <v>44.2</v>
      </c>
      <c r="F523" s="11" t="s">
        <v>2699</v>
      </c>
      <c r="G523" s="11" t="s">
        <v>2141</v>
      </c>
      <c r="H523" s="11"/>
      <c r="I523" s="11" t="s">
        <v>2109</v>
      </c>
    </row>
    <row r="524" customFormat="false" ht="20.85" hidden="false" customHeight="false" outlineLevel="0" collapsed="false">
      <c r="A524" s="8" t="s">
        <v>2700</v>
      </c>
      <c r="B524" s="8" t="s">
        <v>1727</v>
      </c>
      <c r="C524" s="8" t="s">
        <v>2701</v>
      </c>
      <c r="D524" s="8" t="n">
        <v>32.7</v>
      </c>
      <c r="E524" s="8" t="n">
        <v>32.1</v>
      </c>
      <c r="F524" s="8" t="s">
        <v>2702</v>
      </c>
      <c r="G524" s="8" t="s">
        <v>2141</v>
      </c>
      <c r="H524" s="8"/>
      <c r="I524" s="8" t="s">
        <v>2109</v>
      </c>
    </row>
    <row r="525" customFormat="false" ht="20.85" hidden="false" customHeight="false" outlineLevel="0" collapsed="false">
      <c r="A525" s="11" t="s">
        <v>2703</v>
      </c>
      <c r="B525" s="11" t="s">
        <v>2704</v>
      </c>
      <c r="C525" s="11" t="s">
        <v>2705</v>
      </c>
      <c r="D525" s="11" t="n">
        <v>29.9</v>
      </c>
      <c r="E525" s="11" t="n">
        <v>30.2</v>
      </c>
      <c r="F525" s="11" t="s">
        <v>2706</v>
      </c>
      <c r="G525" s="11" t="s">
        <v>2141</v>
      </c>
      <c r="H525" s="11"/>
      <c r="I525" s="11" t="s">
        <v>2109</v>
      </c>
    </row>
    <row r="526" customFormat="false" ht="20.85" hidden="false" customHeight="false" outlineLevel="0" collapsed="false">
      <c r="A526" s="8" t="s">
        <v>2707</v>
      </c>
      <c r="B526" s="8" t="s">
        <v>2708</v>
      </c>
      <c r="C526" s="8" t="s">
        <v>1992</v>
      </c>
      <c r="D526" s="8" t="n">
        <v>48.4</v>
      </c>
      <c r="E526" s="8" t="n">
        <v>51</v>
      </c>
      <c r="F526" s="8" t="s">
        <v>2709</v>
      </c>
      <c r="G526" s="8" t="s">
        <v>2141</v>
      </c>
      <c r="H526" s="8" t="s">
        <v>1990</v>
      </c>
      <c r="I526" s="8" t="s">
        <v>2147</v>
      </c>
    </row>
    <row r="527" customFormat="false" ht="20.85" hidden="false" customHeight="false" outlineLevel="0" collapsed="false">
      <c r="A527" s="11" t="s">
        <v>2710</v>
      </c>
      <c r="B527" s="11" t="s">
        <v>2711</v>
      </c>
      <c r="C527" s="11" t="s">
        <v>2712</v>
      </c>
      <c r="D527" s="11" t="n">
        <v>42.4</v>
      </c>
      <c r="E527" s="11" t="n">
        <v>44.1</v>
      </c>
      <c r="F527" s="11" t="s">
        <v>2713</v>
      </c>
      <c r="G527" s="11" t="s">
        <v>2141</v>
      </c>
      <c r="H527" s="11"/>
      <c r="I527" s="11" t="s">
        <v>2109</v>
      </c>
    </row>
    <row r="528" customFormat="false" ht="20.85" hidden="false" customHeight="false" outlineLevel="0" collapsed="false">
      <c r="A528" s="8" t="s">
        <v>2714</v>
      </c>
      <c r="B528" s="8" t="s">
        <v>2715</v>
      </c>
      <c r="C528" s="8" t="s">
        <v>2716</v>
      </c>
      <c r="D528" s="8" t="n">
        <v>40.2</v>
      </c>
      <c r="E528" s="8" t="n">
        <v>37.5</v>
      </c>
      <c r="F528" s="8" t="s">
        <v>2717</v>
      </c>
      <c r="G528" s="8" t="s">
        <v>2141</v>
      </c>
      <c r="H528" s="8"/>
      <c r="I528" s="8" t="s">
        <v>2109</v>
      </c>
    </row>
    <row r="529" customFormat="false" ht="20.85" hidden="false" customHeight="false" outlineLevel="0" collapsed="false">
      <c r="A529" s="11" t="s">
        <v>2718</v>
      </c>
      <c r="B529" s="11" t="s">
        <v>2719</v>
      </c>
      <c r="C529" s="11" t="s">
        <v>2720</v>
      </c>
      <c r="D529" s="11" t="n">
        <v>53.4</v>
      </c>
      <c r="E529" s="11" t="n">
        <v>54</v>
      </c>
      <c r="F529" s="11" t="s">
        <v>2360</v>
      </c>
      <c r="G529" s="11" t="s">
        <v>2141</v>
      </c>
      <c r="H529" s="11"/>
      <c r="I529" s="11" t="s">
        <v>2109</v>
      </c>
    </row>
    <row r="530" customFormat="false" ht="20.85" hidden="false" customHeight="false" outlineLevel="0" collapsed="false">
      <c r="A530" s="8" t="s">
        <v>2721</v>
      </c>
      <c r="B530" s="8" t="s">
        <v>1772</v>
      </c>
      <c r="C530" s="8" t="s">
        <v>2722</v>
      </c>
      <c r="D530" s="8" t="n">
        <v>51.2</v>
      </c>
      <c r="E530" s="8" t="n">
        <v>53.5</v>
      </c>
      <c r="F530" s="8" t="s">
        <v>2723</v>
      </c>
      <c r="G530" s="8" t="s">
        <v>2141</v>
      </c>
      <c r="H530" s="8"/>
      <c r="I530" s="8" t="s">
        <v>2109</v>
      </c>
    </row>
    <row r="531" customFormat="false" ht="20.85" hidden="false" customHeight="false" outlineLevel="0" collapsed="false">
      <c r="A531" s="11" t="s">
        <v>2724</v>
      </c>
      <c r="B531" s="11" t="s">
        <v>1215</v>
      </c>
      <c r="C531" s="11" t="s">
        <v>2725</v>
      </c>
      <c r="D531" s="11" t="n">
        <v>46.4</v>
      </c>
      <c r="E531" s="11" t="n">
        <v>49.3</v>
      </c>
      <c r="F531" s="11" t="s">
        <v>2726</v>
      </c>
      <c r="G531" s="11" t="s">
        <v>2141</v>
      </c>
      <c r="H531" s="11"/>
      <c r="I531" s="11" t="s">
        <v>2109</v>
      </c>
    </row>
    <row r="532" customFormat="false" ht="20.85" hidden="false" customHeight="false" outlineLevel="0" collapsed="false">
      <c r="A532" s="8" t="s">
        <v>2727</v>
      </c>
      <c r="B532" s="8" t="s">
        <v>1215</v>
      </c>
      <c r="C532" s="8" t="s">
        <v>2728</v>
      </c>
      <c r="D532" s="8" t="n">
        <v>42.6</v>
      </c>
      <c r="E532" s="8" t="n">
        <v>43.4</v>
      </c>
      <c r="F532" s="8" t="s">
        <v>2729</v>
      </c>
      <c r="G532" s="8" t="s">
        <v>2141</v>
      </c>
      <c r="H532" s="8"/>
      <c r="I532" s="8" t="s">
        <v>2109</v>
      </c>
    </row>
    <row r="533" customFormat="false" ht="20.85" hidden="false" customHeight="false" outlineLevel="0" collapsed="false">
      <c r="A533" s="11" t="s">
        <v>2730</v>
      </c>
      <c r="B533" s="11" t="s">
        <v>2731</v>
      </c>
      <c r="C533" s="11" t="s">
        <v>2732</v>
      </c>
      <c r="D533" s="11" t="n">
        <v>50.4</v>
      </c>
      <c r="E533" s="11" t="n">
        <v>51.6</v>
      </c>
      <c r="F533" s="11" t="s">
        <v>2733</v>
      </c>
      <c r="G533" s="11" t="s">
        <v>2141</v>
      </c>
      <c r="H533" s="11"/>
      <c r="I533" s="11" t="s">
        <v>2109</v>
      </c>
    </row>
    <row r="534" customFormat="false" ht="20.85" hidden="false" customHeight="false" outlineLevel="0" collapsed="false">
      <c r="A534" s="8" t="s">
        <v>2734</v>
      </c>
      <c r="B534" s="8" t="s">
        <v>2735</v>
      </c>
      <c r="C534" s="8" t="s">
        <v>2736</v>
      </c>
      <c r="D534" s="8" t="n">
        <v>54.2</v>
      </c>
      <c r="E534" s="8" t="n">
        <v>56.1</v>
      </c>
      <c r="F534" s="8" t="s">
        <v>2737</v>
      </c>
      <c r="G534" s="8" t="s">
        <v>2141</v>
      </c>
      <c r="H534" s="8"/>
      <c r="I534" s="8" t="s">
        <v>2109</v>
      </c>
    </row>
    <row r="535" customFormat="false" ht="20.85" hidden="false" customHeight="false" outlineLevel="0" collapsed="false">
      <c r="A535" s="11" t="s">
        <v>2738</v>
      </c>
      <c r="B535" s="11" t="s">
        <v>1196</v>
      </c>
      <c r="C535" s="11" t="s">
        <v>2739</v>
      </c>
      <c r="D535" s="11" t="n">
        <v>37.5</v>
      </c>
      <c r="E535" s="11" t="n">
        <v>37.5</v>
      </c>
      <c r="F535" s="11" t="s">
        <v>2740</v>
      </c>
      <c r="G535" s="11" t="s">
        <v>2141</v>
      </c>
      <c r="H535" s="11"/>
      <c r="I535" s="11" t="s">
        <v>2109</v>
      </c>
    </row>
    <row r="536" customFormat="false" ht="20.85" hidden="false" customHeight="false" outlineLevel="0" collapsed="false">
      <c r="A536" s="8" t="s">
        <v>2741</v>
      </c>
      <c r="B536" s="8" t="s">
        <v>2742</v>
      </c>
      <c r="C536" s="8" t="s">
        <v>2743</v>
      </c>
      <c r="D536" s="8" t="n">
        <v>28.3</v>
      </c>
      <c r="E536" s="8" t="n">
        <v>26.6</v>
      </c>
      <c r="F536" s="8" t="s">
        <v>2744</v>
      </c>
      <c r="G536" s="8" t="s">
        <v>2141</v>
      </c>
      <c r="H536" s="8"/>
      <c r="I536" s="8" t="s">
        <v>2109</v>
      </c>
    </row>
    <row r="537" customFormat="false" ht="20.85" hidden="false" customHeight="false" outlineLevel="0" collapsed="false">
      <c r="A537" s="11" t="s">
        <v>2745</v>
      </c>
      <c r="B537" s="11" t="s">
        <v>1869</v>
      </c>
      <c r="C537" s="11" t="s">
        <v>2746</v>
      </c>
      <c r="D537" s="11" t="n">
        <v>52.9</v>
      </c>
      <c r="E537" s="11" t="n">
        <v>52.8</v>
      </c>
      <c r="F537" s="11" t="s">
        <v>2747</v>
      </c>
      <c r="G537" s="11" t="s">
        <v>2141</v>
      </c>
      <c r="H537" s="11"/>
      <c r="I537" s="11" t="s">
        <v>2109</v>
      </c>
    </row>
    <row r="538" customFormat="false" ht="20.85" hidden="false" customHeight="false" outlineLevel="0" collapsed="false">
      <c r="A538" s="8" t="s">
        <v>2748</v>
      </c>
      <c r="B538" s="8" t="s">
        <v>1876</v>
      </c>
      <c r="C538" s="8" t="s">
        <v>2749</v>
      </c>
      <c r="D538" s="8" t="n">
        <v>46</v>
      </c>
      <c r="E538" s="8" t="n">
        <v>47.3</v>
      </c>
      <c r="F538" s="8" t="s">
        <v>2750</v>
      </c>
      <c r="G538" s="8" t="s">
        <v>2141</v>
      </c>
      <c r="H538" s="8"/>
      <c r="I538" s="8" t="s">
        <v>2109</v>
      </c>
    </row>
    <row r="539" customFormat="false" ht="20.85" hidden="false" customHeight="false" outlineLevel="0" collapsed="false">
      <c r="A539" s="11" t="s">
        <v>2751</v>
      </c>
      <c r="B539" s="11" t="s">
        <v>2752</v>
      </c>
      <c r="C539" s="11" t="s">
        <v>2753</v>
      </c>
      <c r="D539" s="11" t="n">
        <v>47</v>
      </c>
      <c r="E539" s="11" t="n">
        <v>49.4</v>
      </c>
      <c r="F539" s="11" t="s">
        <v>2754</v>
      </c>
      <c r="G539" s="11" t="s">
        <v>2141</v>
      </c>
      <c r="H539" s="11"/>
      <c r="I539" s="11" t="s">
        <v>2109</v>
      </c>
    </row>
    <row r="540" customFormat="false" ht="20.85" hidden="false" customHeight="false" outlineLevel="0" collapsed="false">
      <c r="A540" s="8" t="s">
        <v>2755</v>
      </c>
      <c r="B540" s="8" t="s">
        <v>2756</v>
      </c>
      <c r="C540" s="8" t="s">
        <v>2248</v>
      </c>
      <c r="D540" s="8" t="n">
        <v>23.9</v>
      </c>
      <c r="E540" s="8" t="n">
        <v>21.8</v>
      </c>
      <c r="F540" s="8" t="s">
        <v>2757</v>
      </c>
      <c r="G540" s="8" t="s">
        <v>2141</v>
      </c>
      <c r="H540" s="8"/>
      <c r="I540" s="8" t="s">
        <v>2109</v>
      </c>
    </row>
    <row r="541" customFormat="false" ht="20.85" hidden="false" customHeight="false" outlineLevel="0" collapsed="false">
      <c r="A541" s="11" t="s">
        <v>2758</v>
      </c>
      <c r="B541" s="11" t="s">
        <v>2759</v>
      </c>
      <c r="C541" s="11" t="s">
        <v>2760</v>
      </c>
      <c r="D541" s="11" t="n">
        <v>48.4</v>
      </c>
      <c r="E541" s="11" t="n">
        <v>45.8</v>
      </c>
      <c r="F541" s="11" t="s">
        <v>2761</v>
      </c>
      <c r="G541" s="11" t="s">
        <v>2141</v>
      </c>
      <c r="H541" s="11"/>
      <c r="I541" s="11" t="s">
        <v>2109</v>
      </c>
    </row>
    <row r="542" customFormat="false" ht="20.85" hidden="false" customHeight="false" outlineLevel="0" collapsed="false">
      <c r="A542" s="8" t="s">
        <v>2762</v>
      </c>
      <c r="B542" s="8" t="s">
        <v>237</v>
      </c>
      <c r="C542" s="8" t="s">
        <v>2763</v>
      </c>
      <c r="D542" s="8" t="n">
        <v>53.1</v>
      </c>
      <c r="E542" s="8" t="n">
        <v>55.6</v>
      </c>
      <c r="F542" s="8" t="s">
        <v>2764</v>
      </c>
      <c r="G542" s="8" t="s">
        <v>2141</v>
      </c>
      <c r="H542" s="8"/>
      <c r="I542" s="8" t="s">
        <v>2109</v>
      </c>
    </row>
    <row r="543" customFormat="false" ht="20.85" hidden="false" customHeight="false" outlineLevel="0" collapsed="false">
      <c r="A543" s="11" t="s">
        <v>2765</v>
      </c>
      <c r="B543" s="11" t="s">
        <v>807</v>
      </c>
      <c r="C543" s="11" t="s">
        <v>2766</v>
      </c>
      <c r="D543" s="11" t="n">
        <v>22.7</v>
      </c>
      <c r="E543" s="11" t="n">
        <v>24.3</v>
      </c>
      <c r="F543" s="11" t="s">
        <v>2767</v>
      </c>
      <c r="G543" s="11" t="s">
        <v>2141</v>
      </c>
      <c r="H543" s="11"/>
      <c r="I543" s="11" t="s">
        <v>2109</v>
      </c>
    </row>
    <row r="544" customFormat="false" ht="20.85" hidden="false" customHeight="false" outlineLevel="0" collapsed="false">
      <c r="A544" s="8" t="s">
        <v>2768</v>
      </c>
      <c r="B544" s="8" t="s">
        <v>2769</v>
      </c>
      <c r="C544" s="8" t="s">
        <v>2770</v>
      </c>
      <c r="D544" s="8" t="n">
        <v>45.6</v>
      </c>
      <c r="E544" s="8" t="n">
        <v>46.7</v>
      </c>
      <c r="F544" s="8" t="s">
        <v>2341</v>
      </c>
      <c r="G544" s="8" t="s">
        <v>2141</v>
      </c>
      <c r="H544" s="8"/>
      <c r="I544" s="8" t="s">
        <v>2109</v>
      </c>
    </row>
    <row r="545" customFormat="false" ht="20.85" hidden="false" customHeight="false" outlineLevel="0" collapsed="false">
      <c r="A545" s="11" t="s">
        <v>2771</v>
      </c>
      <c r="B545" s="11" t="s">
        <v>2772</v>
      </c>
      <c r="C545" s="11" t="s">
        <v>2773</v>
      </c>
      <c r="D545" s="11" t="n">
        <v>45.6</v>
      </c>
      <c r="E545" s="11" t="n">
        <v>43.7</v>
      </c>
      <c r="F545" s="11" t="s">
        <v>2774</v>
      </c>
      <c r="G545" s="11" t="s">
        <v>2141</v>
      </c>
      <c r="H545" s="11"/>
      <c r="I545" s="11" t="s">
        <v>2109</v>
      </c>
    </row>
    <row r="546" customFormat="false" ht="20.85" hidden="false" customHeight="false" outlineLevel="0" collapsed="false">
      <c r="A546" s="8" t="s">
        <v>2775</v>
      </c>
      <c r="B546" s="8" t="s">
        <v>1657</v>
      </c>
      <c r="C546" s="8" t="s">
        <v>2776</v>
      </c>
      <c r="D546" s="8" t="n">
        <v>48.2</v>
      </c>
      <c r="E546" s="8" t="n">
        <v>46.8</v>
      </c>
      <c r="F546" s="8" t="s">
        <v>2777</v>
      </c>
      <c r="G546" s="8" t="s">
        <v>2141</v>
      </c>
      <c r="H546" s="8"/>
      <c r="I546" s="8" t="s">
        <v>2109</v>
      </c>
    </row>
    <row r="547" customFormat="false" ht="20.85" hidden="false" customHeight="false" outlineLevel="0" collapsed="false">
      <c r="A547" s="11" t="s">
        <v>2778</v>
      </c>
      <c r="B547" s="11" t="s">
        <v>2779</v>
      </c>
      <c r="C547" s="11" t="s">
        <v>2780</v>
      </c>
      <c r="D547" s="11" t="n">
        <v>31.4</v>
      </c>
      <c r="E547" s="11" t="n">
        <v>28.5</v>
      </c>
      <c r="F547" s="11" t="s">
        <v>2781</v>
      </c>
      <c r="G547" s="11" t="s">
        <v>2141</v>
      </c>
      <c r="H547" s="11"/>
      <c r="I547" s="11" t="s">
        <v>2109</v>
      </c>
    </row>
    <row r="548" customFormat="false" ht="20.85" hidden="false" customHeight="false" outlineLevel="0" collapsed="false">
      <c r="A548" s="8" t="s">
        <v>2782</v>
      </c>
      <c r="B548" s="8" t="s">
        <v>2031</v>
      </c>
      <c r="C548" s="8" t="s">
        <v>2783</v>
      </c>
      <c r="D548" s="8" t="n">
        <v>47.6</v>
      </c>
      <c r="E548" s="8" t="n">
        <v>48.8</v>
      </c>
      <c r="F548" s="8" t="s">
        <v>2784</v>
      </c>
      <c r="G548" s="8" t="s">
        <v>2141</v>
      </c>
      <c r="H548" s="8"/>
      <c r="I548" s="8" t="s">
        <v>2109</v>
      </c>
    </row>
    <row r="549" customFormat="false" ht="20.85" hidden="false" customHeight="false" outlineLevel="0" collapsed="false">
      <c r="A549" s="11" t="s">
        <v>2785</v>
      </c>
      <c r="B549" s="11" t="s">
        <v>2038</v>
      </c>
      <c r="C549" s="11" t="s">
        <v>2786</v>
      </c>
      <c r="D549" s="11" t="n">
        <v>30.2</v>
      </c>
      <c r="E549" s="11" t="n">
        <v>29.2</v>
      </c>
      <c r="F549" s="11" t="s">
        <v>2787</v>
      </c>
      <c r="G549" s="11" t="s">
        <v>2141</v>
      </c>
      <c r="H549" s="11"/>
      <c r="I549" s="11" t="s">
        <v>2109</v>
      </c>
    </row>
    <row r="550" customFormat="false" ht="20.85" hidden="false" customHeight="false" outlineLevel="0" collapsed="false">
      <c r="A550" s="8" t="s">
        <v>2788</v>
      </c>
      <c r="B550" s="8" t="s">
        <v>2789</v>
      </c>
      <c r="C550" s="8" t="s">
        <v>1226</v>
      </c>
      <c r="D550" s="8" t="n">
        <v>26</v>
      </c>
      <c r="E550" s="8" t="n">
        <v>24.3</v>
      </c>
      <c r="F550" s="8" t="s">
        <v>2790</v>
      </c>
      <c r="G550" s="8" t="s">
        <v>2141</v>
      </c>
      <c r="H550" s="8"/>
      <c r="I550" s="8" t="s">
        <v>2109</v>
      </c>
    </row>
  </sheetData>
  <mergeCells count="3">
    <mergeCell ref="A1:J1"/>
    <mergeCell ref="A2:J2"/>
    <mergeCell ref="A348:I348"/>
  </mergeCells>
  <conditionalFormatting sqref="S35:S345">
    <cfRule type="expression" priority="2" aboveAverage="0" equalAverage="0" bottom="0" percent="0" rank="0" text="" dxfId="8">
      <formula>$S35="EXCEPTION"</formula>
    </cfRule>
  </conditionalFormatting>
  <printOptions headings="false" gridLines="false" gridLinesSet="true" horizontalCentered="false" verticalCentered="false"/>
  <pageMargins left="0.25" right="0.25" top="0.35" bottom="0.35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Chaldale Harbor District | Moorage Audit | August 1, 2026&amp;R&amp;8 Page &amp;P of &amp;N</oddFooter>
  </headerFooter>
  <tableParts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1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22"/>
    <col collapsed="false" customWidth="true" hidden="false" outlineLevel="0" max="8" min="8" style="0" width="11"/>
    <col collapsed="false" customWidth="true" hidden="false" outlineLevel="0" max="10" min="9" style="0" width="12"/>
    <col collapsed="false" customWidth="true" hidden="false" outlineLevel="0" max="11" min="11" style="0" width="15"/>
    <col collapsed="false" customWidth="true" hidden="false" outlineLevel="0" max="15" min="12" style="0" width="12"/>
    <col collapsed="false" customWidth="true" hidden="false" outlineLevel="0" max="16" min="16" style="0" width="9"/>
    <col collapsed="false" customWidth="true" hidden="false" outlineLevel="0" max="21" min="17" style="0" width="14"/>
    <col collapsed="false" customWidth="true" hidden="false" outlineLevel="0" max="22" min="22" style="0" width="24"/>
    <col collapsed="false" customWidth="true" hidden="false" outlineLevel="0" max="23" min="23" style="0" width="21"/>
    <col collapsed="false" customWidth="true" hidden="false" outlineLevel="0" max="24" min="24" style="0" width="52"/>
    <col collapsed="false" customWidth="true" hidden="false" outlineLevel="0" max="25" min="25" style="0" width="16"/>
  </cols>
  <sheetData>
    <row r="1" customFormat="false" ht="28.5" hidden="false" customHeight="true" outlineLevel="0" collapsed="false">
      <c r="A1" s="1" t="s">
        <v>2791</v>
      </c>
      <c r="B1" s="1"/>
      <c r="C1" s="1"/>
      <c r="D1" s="1"/>
      <c r="E1" s="1"/>
      <c r="F1" s="1"/>
    </row>
    <row r="2" customFormat="false" ht="21" hidden="false" customHeight="true" outlineLevel="0" collapsed="false">
      <c r="A2" s="2" t="s">
        <v>2792</v>
      </c>
      <c r="B2" s="2"/>
      <c r="C2" s="2"/>
      <c r="D2" s="2"/>
      <c r="E2" s="2"/>
      <c r="F2" s="2"/>
    </row>
    <row r="3" customFormat="false" ht="28.5" hidden="false" customHeight="true" outlineLevel="0" collapsed="false">
      <c r="A3" s="22" t="s">
        <v>2793</v>
      </c>
      <c r="B3" s="28" t="n">
        <f aca="false">COUNTA($A$17:$A$1102)</f>
        <v>1086</v>
      </c>
      <c r="C3" s="22" t="s">
        <v>2794</v>
      </c>
      <c r="D3" s="28" t="n">
        <f aca="false">COUNTIF($V$17:$V$1102,"OK")+COUNTIF($V$17:$V$1102,"EXCEPTION")</f>
        <v>769</v>
      </c>
      <c r="E3" s="22" t="s">
        <v>2795</v>
      </c>
      <c r="F3" s="28" t="n">
        <f aca="false">COUNTIF($V$17:$V$1102,"EXCEPTION")</f>
        <v>0</v>
      </c>
    </row>
    <row r="4" customFormat="false" ht="28.5" hidden="false" customHeight="true" outlineLevel="0" collapsed="false">
      <c r="A4" s="22" t="s">
        <v>2796</v>
      </c>
      <c r="B4" s="28" t="n">
        <f aca="false">COUNTIF($V$17:$V$1102,"NOT SCORED*")</f>
        <v>317</v>
      </c>
      <c r="C4" s="22" t="s">
        <v>2797</v>
      </c>
      <c r="D4" s="29" t="n">
        <f aca="false">SUM($T$17:$T$1102)</f>
        <v>0</v>
      </c>
      <c r="E4" s="22" t="s">
        <v>2798</v>
      </c>
      <c r="F4" s="29" t="n">
        <f aca="false">SUMIF($V$17:$V$1102,"NOT SCORED*",$Y$17:$Y$1102)</f>
        <v>120158.25</v>
      </c>
    </row>
    <row r="6" customFormat="false" ht="15" hidden="false" customHeight="false" outlineLevel="0" collapsed="false">
      <c r="A6" s="16" t="s">
        <v>2799</v>
      </c>
      <c r="B6" s="16"/>
      <c r="C6" s="16"/>
      <c r="D6" s="16"/>
      <c r="E6" s="16"/>
      <c r="F6" s="16"/>
    </row>
    <row r="7" customFormat="false" ht="15" hidden="false" customHeight="false" outlineLevel="0" collapsed="false">
      <c r="A7" s="7" t="s">
        <v>178</v>
      </c>
      <c r="B7" s="7" t="s">
        <v>2800</v>
      </c>
      <c r="C7" s="7" t="s">
        <v>2801</v>
      </c>
      <c r="D7" s="7" t="s">
        <v>2802</v>
      </c>
      <c r="E7" s="7" t="s">
        <v>2803</v>
      </c>
      <c r="F7" s="7" t="s">
        <v>11</v>
      </c>
    </row>
    <row r="8" customFormat="false" ht="15" hidden="false" customHeight="false" outlineLevel="0" collapsed="false">
      <c r="A8" s="8" t="s">
        <v>211</v>
      </c>
      <c r="B8" s="10" t="n">
        <f aca="false">COUNTIF($B$17:$B$1102,A8)</f>
        <v>241</v>
      </c>
      <c r="C8" s="10" t="n">
        <f aca="false">COUNTIFS($B$17:$B$1102,A8,$V$17:$V$1102,"OK")+COUNTIFS($B$17:$B$1102,A8,$V$17:$V$1102,"EXCEPTION")</f>
        <v>241</v>
      </c>
      <c r="D8" s="10" t="n">
        <f aca="false">COUNTIFS($B$17:$B$1102,A8,$V$17:$V$1102,"NOT SCORED*")</f>
        <v>0</v>
      </c>
      <c r="E8" s="14" t="n">
        <f aca="false">SUMIFS($Y$17:$Y$1102,$B$17:$B$1102,A8,$V$17:$V$1102,"NOT SCORED*")</f>
        <v>0</v>
      </c>
      <c r="F8" s="10" t="str">
        <f aca="false">IF(D8=0,"Complete","Agreement schedule needed")</f>
        <v>Complete</v>
      </c>
    </row>
    <row r="9" customFormat="false" ht="15" hidden="false" customHeight="false" outlineLevel="0" collapsed="false">
      <c r="A9" s="11" t="s">
        <v>200</v>
      </c>
      <c r="B9" s="13" t="n">
        <f aca="false">COUNTIF($B$17:$B$1102,A9)</f>
        <v>227</v>
      </c>
      <c r="C9" s="13" t="n">
        <f aca="false">COUNTIFS($B$17:$B$1102,A9,$V$17:$V$1102,"OK")+COUNTIFS($B$17:$B$1102,A9,$V$17:$V$1102,"EXCEPTION")</f>
        <v>227</v>
      </c>
      <c r="D9" s="13" t="n">
        <f aca="false">COUNTIFS($B$17:$B$1102,A9,$V$17:$V$1102,"NOT SCORED*")</f>
        <v>0</v>
      </c>
      <c r="E9" s="15" t="n">
        <f aca="false">SUMIFS($Y$17:$Y$1102,$B$17:$B$1102,A9,$V$17:$V$1102,"NOT SCORED*")</f>
        <v>0</v>
      </c>
      <c r="F9" s="13" t="str">
        <f aca="false">IF(D9=0,"Complete","Agreement schedule needed")</f>
        <v>Complete</v>
      </c>
    </row>
    <row r="10" customFormat="false" ht="15" hidden="false" customHeight="false" outlineLevel="0" collapsed="false">
      <c r="A10" s="8" t="s">
        <v>224</v>
      </c>
      <c r="B10" s="10" t="n">
        <f aca="false">COUNTIF($B$17:$B$1102,A10)</f>
        <v>215</v>
      </c>
      <c r="C10" s="10" t="n">
        <f aca="false">COUNTIFS($B$17:$B$1102,A10,$V$17:$V$1102,"OK")+COUNTIFS($B$17:$B$1102,A10,$V$17:$V$1102,"EXCEPTION")</f>
        <v>215</v>
      </c>
      <c r="D10" s="10" t="n">
        <f aca="false">COUNTIFS($B$17:$B$1102,A10,$V$17:$V$1102,"NOT SCORED*")</f>
        <v>0</v>
      </c>
      <c r="E10" s="14" t="n">
        <f aca="false">SUMIFS($Y$17:$Y$1102,$B$17:$B$1102,A10,$V$17:$V$1102,"NOT SCORED*")</f>
        <v>0</v>
      </c>
      <c r="F10" s="10" t="str">
        <f aca="false">IF(D10=0,"Complete","Agreement schedule needed")</f>
        <v>Complete</v>
      </c>
    </row>
    <row r="11" customFormat="false" ht="15" hidden="false" customHeight="false" outlineLevel="0" collapsed="false">
      <c r="A11" s="11" t="s">
        <v>192</v>
      </c>
      <c r="B11" s="13" t="n">
        <f aca="false">COUNTIF($B$17:$B$1102,A11)</f>
        <v>213</v>
      </c>
      <c r="C11" s="13" t="n">
        <f aca="false">COUNTIFS($B$17:$B$1102,A11,$V$17:$V$1102,"OK")+COUNTIFS($B$17:$B$1102,A11,$V$17:$V$1102,"EXCEPTION")</f>
        <v>86</v>
      </c>
      <c r="D11" s="13" t="n">
        <f aca="false">COUNTIFS($B$17:$B$1102,A11,$V$17:$V$1102,"NOT SCORED*")</f>
        <v>127</v>
      </c>
      <c r="E11" s="15" t="n">
        <f aca="false">SUMIFS($Y$17:$Y$1102,$B$17:$B$1102,A11,$V$17:$V$1102,"NOT SCORED*")</f>
        <v>49762.05</v>
      </c>
      <c r="F11" s="13" t="str">
        <f aca="false">IF(D11=0,"Complete","Agreement schedule needed")</f>
        <v>Agreement schedule needed</v>
      </c>
    </row>
    <row r="12" customFormat="false" ht="15" hidden="false" customHeight="false" outlineLevel="0" collapsed="false">
      <c r="A12" s="8" t="s">
        <v>207</v>
      </c>
      <c r="B12" s="10" t="n">
        <f aca="false">COUNTIF($B$17:$B$1102,A12)</f>
        <v>190</v>
      </c>
      <c r="C12" s="10" t="n">
        <f aca="false">COUNTIFS($B$17:$B$1102,A12,$V$17:$V$1102,"OK")+COUNTIFS($B$17:$B$1102,A12,$V$17:$V$1102,"EXCEPTION")</f>
        <v>0</v>
      </c>
      <c r="D12" s="10" t="n">
        <f aca="false">COUNTIFS($B$17:$B$1102,A12,$V$17:$V$1102,"NOT SCORED*")</f>
        <v>190</v>
      </c>
      <c r="E12" s="14" t="n">
        <f aca="false">SUMIFS($Y$17:$Y$1102,$B$17:$B$1102,A12,$V$17:$V$1102,"NOT SCORED*")</f>
        <v>70396.2</v>
      </c>
      <c r="F12" s="10" t="str">
        <f aca="false">IF(D12=0,"Complete","Agreement schedule needed")</f>
        <v>Agreement schedule needed</v>
      </c>
    </row>
    <row r="14" customFormat="false" ht="20.85" hidden="false" customHeight="true" outlineLevel="0" collapsed="false">
      <c r="A14" s="30" t="s">
        <v>2804</v>
      </c>
      <c r="B14" s="30"/>
      <c r="C14" s="30"/>
      <c r="D14" s="30"/>
      <c r="E14" s="30"/>
      <c r="F14" s="30"/>
    </row>
    <row r="16" customFormat="false" ht="20.85" hidden="false" customHeight="false" outlineLevel="0" collapsed="false">
      <c r="A16" s="7" t="s">
        <v>2805</v>
      </c>
      <c r="B16" s="7" t="s">
        <v>178</v>
      </c>
      <c r="C16" s="7" t="s">
        <v>2806</v>
      </c>
      <c r="D16" s="7" t="s">
        <v>2807</v>
      </c>
      <c r="E16" s="7" t="s">
        <v>171</v>
      </c>
      <c r="F16" s="7" t="s">
        <v>2808</v>
      </c>
      <c r="G16" s="7" t="s">
        <v>2809</v>
      </c>
      <c r="H16" s="7" t="s">
        <v>2810</v>
      </c>
      <c r="I16" s="7" t="s">
        <v>2811</v>
      </c>
      <c r="J16" s="7" t="s">
        <v>2812</v>
      </c>
      <c r="K16" s="7" t="s">
        <v>2813</v>
      </c>
      <c r="L16" s="7" t="s">
        <v>2814</v>
      </c>
      <c r="M16" s="7" t="s">
        <v>2815</v>
      </c>
      <c r="N16" s="7" t="s">
        <v>2816</v>
      </c>
      <c r="O16" s="7" t="s">
        <v>2817</v>
      </c>
      <c r="P16" s="7" t="s">
        <v>2818</v>
      </c>
      <c r="Q16" s="7" t="s">
        <v>2819</v>
      </c>
      <c r="R16" s="7" t="s">
        <v>2820</v>
      </c>
      <c r="S16" s="7" t="s">
        <v>2821</v>
      </c>
      <c r="T16" s="7" t="s">
        <v>2822</v>
      </c>
      <c r="U16" s="7" t="s">
        <v>2823</v>
      </c>
      <c r="V16" s="7" t="s">
        <v>2824</v>
      </c>
      <c r="W16" s="7" t="s">
        <v>2825</v>
      </c>
      <c r="X16" s="7" t="s">
        <v>2826</v>
      </c>
      <c r="Y16" s="7" t="s">
        <v>2827</v>
      </c>
    </row>
    <row r="17" customFormat="false" ht="20.85" hidden="false" customHeight="false" outlineLevel="0" collapsed="false">
      <c r="A17" s="11" t="s">
        <v>2828</v>
      </c>
      <c r="B17" s="11" t="s">
        <v>192</v>
      </c>
      <c r="C17" s="11" t="s">
        <v>2829</v>
      </c>
      <c r="D17" s="11" t="s">
        <v>2830</v>
      </c>
      <c r="E17" s="11" t="s">
        <v>2831</v>
      </c>
      <c r="F17" s="11" t="s">
        <v>2832</v>
      </c>
      <c r="G17" s="11" t="s">
        <v>2833</v>
      </c>
      <c r="H17" s="11" t="n">
        <v>60</v>
      </c>
      <c r="I17" s="31" t="n">
        <v>36.5</v>
      </c>
      <c r="J17" s="31"/>
      <c r="K17" s="31" t="n">
        <f aca="false">MAX(ROUNDUP(I17,0),H17)</f>
        <v>60</v>
      </c>
      <c r="L17" s="31" t="str">
        <f aca="false">IF(J17="","",J17-K17)</f>
        <v/>
      </c>
      <c r="M17" s="32"/>
      <c r="N17" s="32" t="n">
        <f aca="false">IF(C17="covered",10.4,7.55)</f>
        <v>7.55</v>
      </c>
      <c r="O17" s="32" t="str">
        <f aca="false">IF(M17="","",M17-N17)</f>
        <v/>
      </c>
      <c r="P17" s="11"/>
      <c r="Q17" s="33"/>
      <c r="R17" s="33" t="str">
        <f aca="false">IF(OR(J17="",P17=""),"",K17*N17*P17)</f>
        <v/>
      </c>
      <c r="S17" s="33" t="str">
        <f aca="false">IF(Q17="","",Q17-R17)</f>
        <v/>
      </c>
      <c r="T17" s="33" t="str">
        <f aca="false">IF(S17="","",MAX(0,-S17))</f>
        <v/>
      </c>
      <c r="U17" s="33" t="str">
        <f aca="false">IF(S17="","",MAX(0,S17))</f>
        <v/>
      </c>
      <c r="V17" s="11" t="str">
        <f aca="false">IF(J17="","NOT SCORED - NO JULY MONTHLY ROW",IF(OR(ABS(L17)&gt;0.005,ABS(O17)&gt;0.005,ABS(S17)&gt;0.005),"EXCEPTION","OK"))</f>
        <v>NOT SCORED - NO JULY MONTHLY ROW</v>
      </c>
      <c r="W17" s="11"/>
      <c r="X17" s="11" t="s">
        <v>2834</v>
      </c>
      <c r="Y17" s="33" t="n">
        <f aca="false">K17*N17</f>
        <v>453</v>
      </c>
    </row>
    <row r="18" customFormat="false" ht="20.85" hidden="false" customHeight="false" outlineLevel="0" collapsed="false">
      <c r="A18" s="8" t="s">
        <v>2835</v>
      </c>
      <c r="B18" s="8" t="s">
        <v>192</v>
      </c>
      <c r="C18" s="8" t="s">
        <v>2829</v>
      </c>
      <c r="D18" s="8" t="s">
        <v>2836</v>
      </c>
      <c r="E18" s="8" t="s">
        <v>2837</v>
      </c>
      <c r="F18" s="8" t="s">
        <v>2838</v>
      </c>
      <c r="G18" s="8" t="s">
        <v>2839</v>
      </c>
      <c r="H18" s="8" t="n">
        <v>32</v>
      </c>
      <c r="I18" s="34" t="n">
        <v>43.9</v>
      </c>
      <c r="J18" s="34"/>
      <c r="K18" s="34" t="n">
        <f aca="false">MAX(ROUNDUP(I18,0),H18)</f>
        <v>44</v>
      </c>
      <c r="L18" s="34" t="str">
        <f aca="false">IF(J18="","",J18-K18)</f>
        <v/>
      </c>
      <c r="M18" s="35"/>
      <c r="N18" s="35" t="n">
        <f aca="false">IF(C18="covered",10.4,7.55)</f>
        <v>7.55</v>
      </c>
      <c r="O18" s="35" t="str">
        <f aca="false">IF(M18="","",M18-N18)</f>
        <v/>
      </c>
      <c r="P18" s="8"/>
      <c r="Q18" s="36"/>
      <c r="R18" s="36" t="str">
        <f aca="false">IF(OR(J18="",P18=""),"",K18*N18*P18)</f>
        <v/>
      </c>
      <c r="S18" s="36" t="str">
        <f aca="false">IF(Q18="","",Q18-R18)</f>
        <v/>
      </c>
      <c r="T18" s="36" t="str">
        <f aca="false">IF(S18="","",MAX(0,-S18))</f>
        <v/>
      </c>
      <c r="U18" s="36" t="str">
        <f aca="false">IF(S18="","",MAX(0,S18))</f>
        <v/>
      </c>
      <c r="V18" s="8" t="str">
        <f aca="false">IF(J18="","NOT SCORED - NO JULY MONTHLY ROW",IF(OR(ABS(L18)&gt;0.005,ABS(O18)&gt;0.005,ABS(S18)&gt;0.005),"EXCEPTION","OK"))</f>
        <v>NOT SCORED - NO JULY MONTHLY ROW</v>
      </c>
      <c r="W18" s="8"/>
      <c r="X18" s="8" t="s">
        <v>2834</v>
      </c>
      <c r="Y18" s="36" t="n">
        <f aca="false">K18*N18</f>
        <v>332.2</v>
      </c>
    </row>
    <row r="19" customFormat="false" ht="20.85" hidden="false" customHeight="false" outlineLevel="0" collapsed="false">
      <c r="A19" s="11" t="s">
        <v>2840</v>
      </c>
      <c r="B19" s="11" t="s">
        <v>192</v>
      </c>
      <c r="C19" s="11" t="s">
        <v>2829</v>
      </c>
      <c r="D19" s="11" t="s">
        <v>2841</v>
      </c>
      <c r="E19" s="11" t="s">
        <v>2842</v>
      </c>
      <c r="F19" s="11" t="s">
        <v>2843</v>
      </c>
      <c r="G19" s="11" t="s">
        <v>2844</v>
      </c>
      <c r="H19" s="11" t="n">
        <v>50</v>
      </c>
      <c r="I19" s="31" t="n">
        <v>25.2</v>
      </c>
      <c r="J19" s="31"/>
      <c r="K19" s="31" t="n">
        <f aca="false">MAX(ROUNDUP(I19,0),H19)</f>
        <v>50</v>
      </c>
      <c r="L19" s="31" t="str">
        <f aca="false">IF(J19="","",J19-K19)</f>
        <v/>
      </c>
      <c r="M19" s="32"/>
      <c r="N19" s="32" t="n">
        <f aca="false">IF(C19="covered",10.4,7.55)</f>
        <v>7.55</v>
      </c>
      <c r="O19" s="32" t="str">
        <f aca="false">IF(M19="","",M19-N19)</f>
        <v/>
      </c>
      <c r="P19" s="11"/>
      <c r="Q19" s="33"/>
      <c r="R19" s="33" t="str">
        <f aca="false">IF(OR(J19="",P19=""),"",K19*N19*P19)</f>
        <v/>
      </c>
      <c r="S19" s="33" t="str">
        <f aca="false">IF(Q19="","",Q19-R19)</f>
        <v/>
      </c>
      <c r="T19" s="33" t="str">
        <f aca="false">IF(S19="","",MAX(0,-S19))</f>
        <v/>
      </c>
      <c r="U19" s="33" t="str">
        <f aca="false">IF(S19="","",MAX(0,S19))</f>
        <v/>
      </c>
      <c r="V19" s="11" t="str">
        <f aca="false">IF(J19="","NOT SCORED - NO JULY MONTHLY ROW",IF(OR(ABS(L19)&gt;0.005,ABS(O19)&gt;0.005,ABS(S19)&gt;0.005),"EXCEPTION","OK"))</f>
        <v>NOT SCORED - NO JULY MONTHLY ROW</v>
      </c>
      <c r="W19" s="11"/>
      <c r="X19" s="11" t="s">
        <v>2834</v>
      </c>
      <c r="Y19" s="33" t="n">
        <f aca="false">K19*N19</f>
        <v>377.5</v>
      </c>
    </row>
    <row r="20" customFormat="false" ht="20.85" hidden="false" customHeight="false" outlineLevel="0" collapsed="false">
      <c r="A20" s="8" t="s">
        <v>2845</v>
      </c>
      <c r="B20" s="8" t="s">
        <v>192</v>
      </c>
      <c r="C20" s="8" t="s">
        <v>2829</v>
      </c>
      <c r="D20" s="8" t="s">
        <v>2846</v>
      </c>
      <c r="E20" s="8" t="s">
        <v>152</v>
      </c>
      <c r="F20" s="8" t="s">
        <v>153</v>
      </c>
      <c r="G20" s="8" t="s">
        <v>2847</v>
      </c>
      <c r="H20" s="8" t="n">
        <v>60</v>
      </c>
      <c r="I20" s="34" t="n">
        <v>54.3</v>
      </c>
      <c r="J20" s="34"/>
      <c r="K20" s="34" t="n">
        <f aca="false">MAX(ROUNDUP(I20,0),H20)</f>
        <v>60</v>
      </c>
      <c r="L20" s="34" t="str">
        <f aca="false">IF(J20="","",J20-K20)</f>
        <v/>
      </c>
      <c r="M20" s="35"/>
      <c r="N20" s="35" t="n">
        <f aca="false">IF(C20="covered",10.4,7.55)</f>
        <v>7.55</v>
      </c>
      <c r="O20" s="35" t="str">
        <f aca="false">IF(M20="","",M20-N20)</f>
        <v/>
      </c>
      <c r="P20" s="8"/>
      <c r="Q20" s="36"/>
      <c r="R20" s="36" t="str">
        <f aca="false">IF(OR(J20="",P20=""),"",K20*N20*P20)</f>
        <v/>
      </c>
      <c r="S20" s="36" t="str">
        <f aca="false">IF(Q20="","",Q20-R20)</f>
        <v/>
      </c>
      <c r="T20" s="36" t="str">
        <f aca="false">IF(S20="","",MAX(0,-S20))</f>
        <v/>
      </c>
      <c r="U20" s="36" t="str">
        <f aca="false">IF(S20="","",MAX(0,S20))</f>
        <v/>
      </c>
      <c r="V20" s="8" t="str">
        <f aca="false">IF(J20="","NOT SCORED - NO JULY MONTHLY ROW",IF(OR(ABS(L20)&gt;0.005,ABS(O20)&gt;0.005,ABS(S20)&gt;0.005),"EXCEPTION","OK"))</f>
        <v>NOT SCORED - NO JULY MONTHLY ROW</v>
      </c>
      <c r="W20" s="8"/>
      <c r="X20" s="8" t="s">
        <v>2834</v>
      </c>
      <c r="Y20" s="36" t="n">
        <f aca="false">K20*N20</f>
        <v>453</v>
      </c>
    </row>
    <row r="21" customFormat="false" ht="20.85" hidden="false" customHeight="false" outlineLevel="0" collapsed="false">
      <c r="A21" s="11" t="s">
        <v>2848</v>
      </c>
      <c r="B21" s="11" t="s">
        <v>192</v>
      </c>
      <c r="C21" s="11" t="s">
        <v>2829</v>
      </c>
      <c r="D21" s="11" t="s">
        <v>2849</v>
      </c>
      <c r="E21" s="11" t="s">
        <v>1135</v>
      </c>
      <c r="F21" s="11" t="s">
        <v>1136</v>
      </c>
      <c r="G21" s="11" t="s">
        <v>2850</v>
      </c>
      <c r="H21" s="11" t="n">
        <v>45</v>
      </c>
      <c r="I21" s="31" t="n">
        <v>25.2</v>
      </c>
      <c r="J21" s="31"/>
      <c r="K21" s="31" t="n">
        <f aca="false">MAX(ROUNDUP(I21,0),H21)</f>
        <v>45</v>
      </c>
      <c r="L21" s="31" t="str">
        <f aca="false">IF(J21="","",J21-K21)</f>
        <v/>
      </c>
      <c r="M21" s="32"/>
      <c r="N21" s="32" t="n">
        <f aca="false">IF(C21="covered",10.4,7.55)</f>
        <v>7.55</v>
      </c>
      <c r="O21" s="32" t="str">
        <f aca="false">IF(M21="","",M21-N21)</f>
        <v/>
      </c>
      <c r="P21" s="11"/>
      <c r="Q21" s="33"/>
      <c r="R21" s="33" t="str">
        <f aca="false">IF(OR(J21="",P21=""),"",K21*N21*P21)</f>
        <v/>
      </c>
      <c r="S21" s="33" t="str">
        <f aca="false">IF(Q21="","",Q21-R21)</f>
        <v/>
      </c>
      <c r="T21" s="33" t="str">
        <f aca="false">IF(S21="","",MAX(0,-S21))</f>
        <v/>
      </c>
      <c r="U21" s="33" t="str">
        <f aca="false">IF(S21="","",MAX(0,S21))</f>
        <v/>
      </c>
      <c r="V21" s="11" t="str">
        <f aca="false">IF(J21="","NOT SCORED - NO JULY MONTHLY ROW",IF(OR(ABS(L21)&gt;0.005,ABS(O21)&gt;0.005,ABS(S21)&gt;0.005),"EXCEPTION","OK"))</f>
        <v>NOT SCORED - NO JULY MONTHLY ROW</v>
      </c>
      <c r="W21" s="11"/>
      <c r="X21" s="11" t="s">
        <v>2834</v>
      </c>
      <c r="Y21" s="33" t="n">
        <f aca="false">K21*N21</f>
        <v>339.75</v>
      </c>
    </row>
    <row r="22" customFormat="false" ht="20.85" hidden="false" customHeight="false" outlineLevel="0" collapsed="false">
      <c r="A22" s="8" t="s">
        <v>2851</v>
      </c>
      <c r="B22" s="8" t="s">
        <v>192</v>
      </c>
      <c r="C22" s="8" t="s">
        <v>2829</v>
      </c>
      <c r="D22" s="8" t="s">
        <v>2852</v>
      </c>
      <c r="E22" s="8" t="s">
        <v>2853</v>
      </c>
      <c r="F22" s="8" t="s">
        <v>2854</v>
      </c>
      <c r="G22" s="8" t="s">
        <v>2855</v>
      </c>
      <c r="H22" s="8" t="n">
        <v>24</v>
      </c>
      <c r="I22" s="34" t="n">
        <v>38.3</v>
      </c>
      <c r="J22" s="34"/>
      <c r="K22" s="34" t="n">
        <f aca="false">MAX(ROUNDUP(I22,0),H22)</f>
        <v>39</v>
      </c>
      <c r="L22" s="34" t="str">
        <f aca="false">IF(J22="","",J22-K22)</f>
        <v/>
      </c>
      <c r="M22" s="35"/>
      <c r="N22" s="35" t="n">
        <f aca="false">IF(C22="covered",10.4,7.55)</f>
        <v>7.55</v>
      </c>
      <c r="O22" s="35" t="str">
        <f aca="false">IF(M22="","",M22-N22)</f>
        <v/>
      </c>
      <c r="P22" s="8"/>
      <c r="Q22" s="36"/>
      <c r="R22" s="36" t="str">
        <f aca="false">IF(OR(J22="",P22=""),"",K22*N22*P22)</f>
        <v/>
      </c>
      <c r="S22" s="36" t="str">
        <f aca="false">IF(Q22="","",Q22-R22)</f>
        <v/>
      </c>
      <c r="T22" s="36" t="str">
        <f aca="false">IF(S22="","",MAX(0,-S22))</f>
        <v/>
      </c>
      <c r="U22" s="36" t="str">
        <f aca="false">IF(S22="","",MAX(0,S22))</f>
        <v/>
      </c>
      <c r="V22" s="8" t="str">
        <f aca="false">IF(J22="","NOT SCORED - NO JULY MONTHLY ROW",IF(OR(ABS(L22)&gt;0.005,ABS(O22)&gt;0.005,ABS(S22)&gt;0.005),"EXCEPTION","OK"))</f>
        <v>NOT SCORED - NO JULY MONTHLY ROW</v>
      </c>
      <c r="W22" s="8"/>
      <c r="X22" s="8" t="s">
        <v>2834</v>
      </c>
      <c r="Y22" s="36" t="n">
        <f aca="false">K22*N22</f>
        <v>294.45</v>
      </c>
    </row>
    <row r="23" customFormat="false" ht="20.85" hidden="false" customHeight="false" outlineLevel="0" collapsed="false">
      <c r="A23" s="11" t="s">
        <v>2856</v>
      </c>
      <c r="B23" s="11" t="s">
        <v>192</v>
      </c>
      <c r="C23" s="11" t="s">
        <v>2829</v>
      </c>
      <c r="D23" s="11" t="s">
        <v>2857</v>
      </c>
      <c r="E23" s="11" t="s">
        <v>2858</v>
      </c>
      <c r="F23" s="11" t="s">
        <v>2859</v>
      </c>
      <c r="G23" s="11" t="s">
        <v>2860</v>
      </c>
      <c r="H23" s="11" t="n">
        <v>70</v>
      </c>
      <c r="I23" s="31" t="n">
        <v>25.9</v>
      </c>
      <c r="J23" s="31"/>
      <c r="K23" s="31" t="n">
        <f aca="false">MAX(ROUNDUP(I23,0),H23)</f>
        <v>70</v>
      </c>
      <c r="L23" s="31" t="str">
        <f aca="false">IF(J23="","",J23-K23)</f>
        <v/>
      </c>
      <c r="M23" s="32"/>
      <c r="N23" s="32" t="n">
        <f aca="false">IF(C23="covered",10.4,7.55)</f>
        <v>7.55</v>
      </c>
      <c r="O23" s="32" t="str">
        <f aca="false">IF(M23="","",M23-N23)</f>
        <v/>
      </c>
      <c r="P23" s="11"/>
      <c r="Q23" s="33"/>
      <c r="R23" s="33" t="str">
        <f aca="false">IF(OR(J23="",P23=""),"",K23*N23*P23)</f>
        <v/>
      </c>
      <c r="S23" s="33" t="str">
        <f aca="false">IF(Q23="","",Q23-R23)</f>
        <v/>
      </c>
      <c r="T23" s="33" t="str">
        <f aca="false">IF(S23="","",MAX(0,-S23))</f>
        <v/>
      </c>
      <c r="U23" s="33" t="str">
        <f aca="false">IF(S23="","",MAX(0,S23))</f>
        <v/>
      </c>
      <c r="V23" s="11" t="str">
        <f aca="false">IF(J23="","NOT SCORED - NO JULY MONTHLY ROW",IF(OR(ABS(L23)&gt;0.005,ABS(O23)&gt;0.005,ABS(S23)&gt;0.005),"EXCEPTION","OK"))</f>
        <v>NOT SCORED - NO JULY MONTHLY ROW</v>
      </c>
      <c r="W23" s="11"/>
      <c r="X23" s="11" t="s">
        <v>2834</v>
      </c>
      <c r="Y23" s="33" t="n">
        <f aca="false">K23*N23</f>
        <v>528.5</v>
      </c>
    </row>
    <row r="24" customFormat="false" ht="20.85" hidden="false" customHeight="false" outlineLevel="0" collapsed="false">
      <c r="A24" s="8" t="s">
        <v>1847</v>
      </c>
      <c r="B24" s="8" t="s">
        <v>192</v>
      </c>
      <c r="C24" s="8" t="s">
        <v>2829</v>
      </c>
      <c r="D24" s="8" t="s">
        <v>2861</v>
      </c>
      <c r="E24" s="8" t="s">
        <v>2862</v>
      </c>
      <c r="F24" s="8" t="s">
        <v>2863</v>
      </c>
      <c r="G24" s="8" t="s">
        <v>2864</v>
      </c>
      <c r="H24" s="8" t="n">
        <v>45</v>
      </c>
      <c r="I24" s="34" t="n">
        <v>35.6</v>
      </c>
      <c r="J24" s="34"/>
      <c r="K24" s="34" t="n">
        <f aca="false">MAX(ROUNDUP(I24,0),H24)</f>
        <v>45</v>
      </c>
      <c r="L24" s="34" t="str">
        <f aca="false">IF(J24="","",J24-K24)</f>
        <v/>
      </c>
      <c r="M24" s="35"/>
      <c r="N24" s="35" t="n">
        <f aca="false">IF(C24="covered",10.4,7.55)</f>
        <v>7.55</v>
      </c>
      <c r="O24" s="35" t="str">
        <f aca="false">IF(M24="","",M24-N24)</f>
        <v/>
      </c>
      <c r="P24" s="8"/>
      <c r="Q24" s="36"/>
      <c r="R24" s="36" t="str">
        <f aca="false">IF(OR(J24="",P24=""),"",K24*N24*P24)</f>
        <v/>
      </c>
      <c r="S24" s="36" t="str">
        <f aca="false">IF(Q24="","",Q24-R24)</f>
        <v/>
      </c>
      <c r="T24" s="36" t="str">
        <f aca="false">IF(S24="","",MAX(0,-S24))</f>
        <v/>
      </c>
      <c r="U24" s="36" t="str">
        <f aca="false">IF(S24="","",MAX(0,S24))</f>
        <v/>
      </c>
      <c r="V24" s="8" t="str">
        <f aca="false">IF(J24="","NOT SCORED - NO JULY MONTHLY ROW",IF(OR(ABS(L24)&gt;0.005,ABS(O24)&gt;0.005,ABS(S24)&gt;0.005),"EXCEPTION","OK"))</f>
        <v>NOT SCORED - NO JULY MONTHLY ROW</v>
      </c>
      <c r="W24" s="8"/>
      <c r="X24" s="8" t="s">
        <v>2834</v>
      </c>
      <c r="Y24" s="36" t="n">
        <f aca="false">K24*N24</f>
        <v>339.75</v>
      </c>
    </row>
    <row r="25" customFormat="false" ht="20.85" hidden="false" customHeight="false" outlineLevel="0" collapsed="false">
      <c r="A25" s="11" t="s">
        <v>2865</v>
      </c>
      <c r="B25" s="11" t="s">
        <v>192</v>
      </c>
      <c r="C25" s="11" t="s">
        <v>2829</v>
      </c>
      <c r="D25" s="11" t="s">
        <v>2866</v>
      </c>
      <c r="E25" s="11" t="s">
        <v>2867</v>
      </c>
      <c r="F25" s="11" t="s">
        <v>2868</v>
      </c>
      <c r="G25" s="11" t="s">
        <v>2869</v>
      </c>
      <c r="H25" s="11" t="n">
        <v>70</v>
      </c>
      <c r="I25" s="31" t="n">
        <v>28.7</v>
      </c>
      <c r="J25" s="31"/>
      <c r="K25" s="31" t="n">
        <f aca="false">MAX(ROUNDUP(I25,0),H25)</f>
        <v>70</v>
      </c>
      <c r="L25" s="31" t="str">
        <f aca="false">IF(J25="","",J25-K25)</f>
        <v/>
      </c>
      <c r="M25" s="32"/>
      <c r="N25" s="32" t="n">
        <f aca="false">IF(C25="covered",10.4,7.55)</f>
        <v>7.55</v>
      </c>
      <c r="O25" s="32" t="str">
        <f aca="false">IF(M25="","",M25-N25)</f>
        <v/>
      </c>
      <c r="P25" s="11"/>
      <c r="Q25" s="33"/>
      <c r="R25" s="33" t="str">
        <f aca="false">IF(OR(J25="",P25=""),"",K25*N25*P25)</f>
        <v/>
      </c>
      <c r="S25" s="33" t="str">
        <f aca="false">IF(Q25="","",Q25-R25)</f>
        <v/>
      </c>
      <c r="T25" s="33" t="str">
        <f aca="false">IF(S25="","",MAX(0,-S25))</f>
        <v/>
      </c>
      <c r="U25" s="33" t="str">
        <f aca="false">IF(S25="","",MAX(0,S25))</f>
        <v/>
      </c>
      <c r="V25" s="11" t="str">
        <f aca="false">IF(J25="","NOT SCORED - NO JULY MONTHLY ROW",IF(OR(ABS(L25)&gt;0.005,ABS(O25)&gt;0.005,ABS(S25)&gt;0.005),"EXCEPTION","OK"))</f>
        <v>NOT SCORED - NO JULY MONTHLY ROW</v>
      </c>
      <c r="W25" s="11"/>
      <c r="X25" s="11" t="s">
        <v>2834</v>
      </c>
      <c r="Y25" s="33" t="n">
        <f aca="false">K25*N25</f>
        <v>528.5</v>
      </c>
    </row>
    <row r="26" customFormat="false" ht="20.85" hidden="false" customHeight="false" outlineLevel="0" collapsed="false">
      <c r="A26" s="8" t="s">
        <v>2870</v>
      </c>
      <c r="B26" s="8" t="s">
        <v>192</v>
      </c>
      <c r="C26" s="8" t="s">
        <v>2829</v>
      </c>
      <c r="D26" s="8" t="s">
        <v>2871</v>
      </c>
      <c r="E26" s="8" t="s">
        <v>2872</v>
      </c>
      <c r="F26" s="8" t="s">
        <v>2873</v>
      </c>
      <c r="G26" s="8" t="s">
        <v>2874</v>
      </c>
      <c r="H26" s="8" t="n">
        <v>32</v>
      </c>
      <c r="I26" s="34" t="n">
        <v>37</v>
      </c>
      <c r="J26" s="34"/>
      <c r="K26" s="34" t="n">
        <f aca="false">MAX(ROUNDUP(I26,0),H26)</f>
        <v>37</v>
      </c>
      <c r="L26" s="34" t="str">
        <f aca="false">IF(J26="","",J26-K26)</f>
        <v/>
      </c>
      <c r="M26" s="35"/>
      <c r="N26" s="35" t="n">
        <f aca="false">IF(C26="covered",10.4,7.55)</f>
        <v>7.55</v>
      </c>
      <c r="O26" s="35" t="str">
        <f aca="false">IF(M26="","",M26-N26)</f>
        <v/>
      </c>
      <c r="P26" s="8"/>
      <c r="Q26" s="36"/>
      <c r="R26" s="36" t="str">
        <f aca="false">IF(OR(J26="",P26=""),"",K26*N26*P26)</f>
        <v/>
      </c>
      <c r="S26" s="36" t="str">
        <f aca="false">IF(Q26="","",Q26-R26)</f>
        <v/>
      </c>
      <c r="T26" s="36" t="str">
        <f aca="false">IF(S26="","",MAX(0,-S26))</f>
        <v/>
      </c>
      <c r="U26" s="36" t="str">
        <f aca="false">IF(S26="","",MAX(0,S26))</f>
        <v/>
      </c>
      <c r="V26" s="8" t="str">
        <f aca="false">IF(J26="","NOT SCORED - NO JULY MONTHLY ROW",IF(OR(ABS(L26)&gt;0.005,ABS(O26)&gt;0.005,ABS(S26)&gt;0.005),"EXCEPTION","OK"))</f>
        <v>NOT SCORED - NO JULY MONTHLY ROW</v>
      </c>
      <c r="W26" s="8"/>
      <c r="X26" s="8" t="s">
        <v>2834</v>
      </c>
      <c r="Y26" s="36" t="n">
        <f aca="false">K26*N26</f>
        <v>279.35</v>
      </c>
    </row>
    <row r="27" customFormat="false" ht="20.85" hidden="false" customHeight="false" outlineLevel="0" collapsed="false">
      <c r="A27" s="11" t="s">
        <v>1918</v>
      </c>
      <c r="B27" s="11" t="s">
        <v>192</v>
      </c>
      <c r="C27" s="11" t="s">
        <v>2829</v>
      </c>
      <c r="D27" s="11" t="s">
        <v>2875</v>
      </c>
      <c r="E27" s="11" t="s">
        <v>2131</v>
      </c>
      <c r="F27" s="11" t="s">
        <v>2876</v>
      </c>
      <c r="G27" s="11" t="s">
        <v>2877</v>
      </c>
      <c r="H27" s="11" t="n">
        <v>32</v>
      </c>
      <c r="I27" s="31" t="n">
        <v>51.6</v>
      </c>
      <c r="J27" s="31"/>
      <c r="K27" s="31" t="n">
        <f aca="false">MAX(ROUNDUP(I27,0),H27)</f>
        <v>52</v>
      </c>
      <c r="L27" s="31" t="str">
        <f aca="false">IF(J27="","",J27-K27)</f>
        <v/>
      </c>
      <c r="M27" s="32"/>
      <c r="N27" s="32" t="n">
        <f aca="false">IF(C27="covered",10.4,7.55)</f>
        <v>7.55</v>
      </c>
      <c r="O27" s="32" t="str">
        <f aca="false">IF(M27="","",M27-N27)</f>
        <v/>
      </c>
      <c r="P27" s="11"/>
      <c r="Q27" s="33"/>
      <c r="R27" s="33" t="str">
        <f aca="false">IF(OR(J27="",P27=""),"",K27*N27*P27)</f>
        <v/>
      </c>
      <c r="S27" s="33" t="str">
        <f aca="false">IF(Q27="","",Q27-R27)</f>
        <v/>
      </c>
      <c r="T27" s="33" t="str">
        <f aca="false">IF(S27="","",MAX(0,-S27))</f>
        <v/>
      </c>
      <c r="U27" s="33" t="str">
        <f aca="false">IF(S27="","",MAX(0,S27))</f>
        <v/>
      </c>
      <c r="V27" s="11" t="str">
        <f aca="false">IF(J27="","NOT SCORED - NO JULY MONTHLY ROW",IF(OR(ABS(L27)&gt;0.005,ABS(O27)&gt;0.005,ABS(S27)&gt;0.005),"EXCEPTION","OK"))</f>
        <v>NOT SCORED - NO JULY MONTHLY ROW</v>
      </c>
      <c r="W27" s="11"/>
      <c r="X27" s="11" t="s">
        <v>2834</v>
      </c>
      <c r="Y27" s="33" t="n">
        <f aca="false">K27*N27</f>
        <v>392.6</v>
      </c>
    </row>
    <row r="28" customFormat="false" ht="20.85" hidden="false" customHeight="false" outlineLevel="0" collapsed="false">
      <c r="A28" s="8" t="s">
        <v>2878</v>
      </c>
      <c r="B28" s="8" t="s">
        <v>192</v>
      </c>
      <c r="C28" s="8" t="s">
        <v>2829</v>
      </c>
      <c r="D28" s="8" t="s">
        <v>2879</v>
      </c>
      <c r="E28" s="8" t="s">
        <v>2880</v>
      </c>
      <c r="F28" s="8" t="s">
        <v>2881</v>
      </c>
      <c r="G28" s="8" t="s">
        <v>2882</v>
      </c>
      <c r="H28" s="8" t="n">
        <v>40</v>
      </c>
      <c r="I28" s="34" t="n">
        <v>32.5</v>
      </c>
      <c r="J28" s="34"/>
      <c r="K28" s="34" t="n">
        <f aca="false">MAX(ROUNDUP(I28,0),H28)</f>
        <v>40</v>
      </c>
      <c r="L28" s="34" t="str">
        <f aca="false">IF(J28="","",J28-K28)</f>
        <v/>
      </c>
      <c r="M28" s="35"/>
      <c r="N28" s="35" t="n">
        <f aca="false">IF(C28="covered",10.4,7.55)</f>
        <v>7.55</v>
      </c>
      <c r="O28" s="35" t="str">
        <f aca="false">IF(M28="","",M28-N28)</f>
        <v/>
      </c>
      <c r="P28" s="8"/>
      <c r="Q28" s="36"/>
      <c r="R28" s="36" t="str">
        <f aca="false">IF(OR(J28="",P28=""),"",K28*N28*P28)</f>
        <v/>
      </c>
      <c r="S28" s="36" t="str">
        <f aca="false">IF(Q28="","",Q28-R28)</f>
        <v/>
      </c>
      <c r="T28" s="36" t="str">
        <f aca="false">IF(S28="","",MAX(0,-S28))</f>
        <v/>
      </c>
      <c r="U28" s="36" t="str">
        <f aca="false">IF(S28="","",MAX(0,S28))</f>
        <v/>
      </c>
      <c r="V28" s="8" t="str">
        <f aca="false">IF(J28="","NOT SCORED - NO JULY MONTHLY ROW",IF(OR(ABS(L28)&gt;0.005,ABS(O28)&gt;0.005,ABS(S28)&gt;0.005),"EXCEPTION","OK"))</f>
        <v>NOT SCORED - NO JULY MONTHLY ROW</v>
      </c>
      <c r="W28" s="8"/>
      <c r="X28" s="8" t="s">
        <v>2834</v>
      </c>
      <c r="Y28" s="36" t="n">
        <f aca="false">K28*N28</f>
        <v>302</v>
      </c>
    </row>
    <row r="29" customFormat="false" ht="20.85" hidden="false" customHeight="false" outlineLevel="0" collapsed="false">
      <c r="A29" s="11" t="s">
        <v>2883</v>
      </c>
      <c r="B29" s="11" t="s">
        <v>192</v>
      </c>
      <c r="C29" s="11" t="s">
        <v>2829</v>
      </c>
      <c r="D29" s="11" t="s">
        <v>2884</v>
      </c>
      <c r="E29" s="11" t="s">
        <v>2885</v>
      </c>
      <c r="F29" s="11" t="s">
        <v>2886</v>
      </c>
      <c r="G29" s="11" t="s">
        <v>2887</v>
      </c>
      <c r="H29" s="11" t="n">
        <v>32</v>
      </c>
      <c r="I29" s="31" t="n">
        <v>18.1</v>
      </c>
      <c r="J29" s="31"/>
      <c r="K29" s="31" t="n">
        <f aca="false">MAX(ROUNDUP(I29,0),H29)</f>
        <v>32</v>
      </c>
      <c r="L29" s="31" t="str">
        <f aca="false">IF(J29="","",J29-K29)</f>
        <v/>
      </c>
      <c r="M29" s="32"/>
      <c r="N29" s="32" t="n">
        <f aca="false">IF(C29="covered",10.4,7.55)</f>
        <v>7.55</v>
      </c>
      <c r="O29" s="32" t="str">
        <f aca="false">IF(M29="","",M29-N29)</f>
        <v/>
      </c>
      <c r="P29" s="11"/>
      <c r="Q29" s="33"/>
      <c r="R29" s="33" t="str">
        <f aca="false">IF(OR(J29="",P29=""),"",K29*N29*P29)</f>
        <v/>
      </c>
      <c r="S29" s="33" t="str">
        <f aca="false">IF(Q29="","",Q29-R29)</f>
        <v/>
      </c>
      <c r="T29" s="33" t="str">
        <f aca="false">IF(S29="","",MAX(0,-S29))</f>
        <v/>
      </c>
      <c r="U29" s="33" t="str">
        <f aca="false">IF(S29="","",MAX(0,S29))</f>
        <v/>
      </c>
      <c r="V29" s="11" t="str">
        <f aca="false">IF(J29="","NOT SCORED - NO JULY MONTHLY ROW",IF(OR(ABS(L29)&gt;0.005,ABS(O29)&gt;0.005,ABS(S29)&gt;0.005),"EXCEPTION","OK"))</f>
        <v>NOT SCORED - NO JULY MONTHLY ROW</v>
      </c>
      <c r="W29" s="11"/>
      <c r="X29" s="11" t="s">
        <v>2834</v>
      </c>
      <c r="Y29" s="33" t="n">
        <f aca="false">K29*N29</f>
        <v>241.6</v>
      </c>
    </row>
    <row r="30" customFormat="false" ht="20.85" hidden="false" customHeight="false" outlineLevel="0" collapsed="false">
      <c r="A30" s="8" t="s">
        <v>2888</v>
      </c>
      <c r="B30" s="8" t="s">
        <v>192</v>
      </c>
      <c r="C30" s="8" t="s">
        <v>2829</v>
      </c>
      <c r="D30" s="8" t="s">
        <v>2889</v>
      </c>
      <c r="E30" s="8" t="s">
        <v>2890</v>
      </c>
      <c r="F30" s="8" t="s">
        <v>2891</v>
      </c>
      <c r="G30" s="8" t="s">
        <v>2892</v>
      </c>
      <c r="H30" s="8" t="n">
        <v>70</v>
      </c>
      <c r="I30" s="34" t="n">
        <v>52.3</v>
      </c>
      <c r="J30" s="34"/>
      <c r="K30" s="34" t="n">
        <f aca="false">MAX(ROUNDUP(I30,0),H30)</f>
        <v>70</v>
      </c>
      <c r="L30" s="34" t="str">
        <f aca="false">IF(J30="","",J30-K30)</f>
        <v/>
      </c>
      <c r="M30" s="35"/>
      <c r="N30" s="35" t="n">
        <f aca="false">IF(C30="covered",10.4,7.55)</f>
        <v>7.55</v>
      </c>
      <c r="O30" s="35" t="str">
        <f aca="false">IF(M30="","",M30-N30)</f>
        <v/>
      </c>
      <c r="P30" s="8"/>
      <c r="Q30" s="36"/>
      <c r="R30" s="36" t="str">
        <f aca="false">IF(OR(J30="",P30=""),"",K30*N30*P30)</f>
        <v/>
      </c>
      <c r="S30" s="36" t="str">
        <f aca="false">IF(Q30="","",Q30-R30)</f>
        <v/>
      </c>
      <c r="T30" s="36" t="str">
        <f aca="false">IF(S30="","",MAX(0,-S30))</f>
        <v/>
      </c>
      <c r="U30" s="36" t="str">
        <f aca="false">IF(S30="","",MAX(0,S30))</f>
        <v/>
      </c>
      <c r="V30" s="8" t="str">
        <f aca="false">IF(J30="","NOT SCORED - NO JULY MONTHLY ROW",IF(OR(ABS(L30)&gt;0.005,ABS(O30)&gt;0.005,ABS(S30)&gt;0.005),"EXCEPTION","OK"))</f>
        <v>NOT SCORED - NO JULY MONTHLY ROW</v>
      </c>
      <c r="W30" s="8"/>
      <c r="X30" s="8" t="s">
        <v>2834</v>
      </c>
      <c r="Y30" s="36" t="n">
        <f aca="false">K30*N30</f>
        <v>528.5</v>
      </c>
    </row>
    <row r="31" customFormat="false" ht="20.85" hidden="false" customHeight="false" outlineLevel="0" collapsed="false">
      <c r="A31" s="11" t="s">
        <v>1303</v>
      </c>
      <c r="B31" s="11" t="s">
        <v>192</v>
      </c>
      <c r="C31" s="11" t="s">
        <v>2829</v>
      </c>
      <c r="D31" s="11" t="s">
        <v>2893</v>
      </c>
      <c r="E31" s="11" t="s">
        <v>2894</v>
      </c>
      <c r="F31" s="11" t="s">
        <v>2895</v>
      </c>
      <c r="G31" s="11" t="s">
        <v>2896</v>
      </c>
      <c r="H31" s="11" t="n">
        <v>24</v>
      </c>
      <c r="I31" s="31" t="n">
        <v>46.9</v>
      </c>
      <c r="J31" s="31"/>
      <c r="K31" s="31" t="n">
        <f aca="false">MAX(ROUNDUP(I31,0),H31)</f>
        <v>47</v>
      </c>
      <c r="L31" s="31" t="str">
        <f aca="false">IF(J31="","",J31-K31)</f>
        <v/>
      </c>
      <c r="M31" s="32"/>
      <c r="N31" s="32" t="n">
        <f aca="false">IF(C31="covered",10.4,7.55)</f>
        <v>7.55</v>
      </c>
      <c r="O31" s="32" t="str">
        <f aca="false">IF(M31="","",M31-N31)</f>
        <v/>
      </c>
      <c r="P31" s="11"/>
      <c r="Q31" s="33"/>
      <c r="R31" s="33" t="str">
        <f aca="false">IF(OR(J31="",P31=""),"",K31*N31*P31)</f>
        <v/>
      </c>
      <c r="S31" s="33" t="str">
        <f aca="false">IF(Q31="","",Q31-R31)</f>
        <v/>
      </c>
      <c r="T31" s="33" t="str">
        <f aca="false">IF(S31="","",MAX(0,-S31))</f>
        <v/>
      </c>
      <c r="U31" s="33" t="str">
        <f aca="false">IF(S31="","",MAX(0,S31))</f>
        <v/>
      </c>
      <c r="V31" s="11" t="str">
        <f aca="false">IF(J31="","NOT SCORED - NO JULY MONTHLY ROW",IF(OR(ABS(L31)&gt;0.005,ABS(O31)&gt;0.005,ABS(S31)&gt;0.005),"EXCEPTION","OK"))</f>
        <v>NOT SCORED - NO JULY MONTHLY ROW</v>
      </c>
      <c r="W31" s="11"/>
      <c r="X31" s="11" t="s">
        <v>2834</v>
      </c>
      <c r="Y31" s="33" t="n">
        <f aca="false">K31*N31</f>
        <v>354.85</v>
      </c>
    </row>
    <row r="32" customFormat="false" ht="20.85" hidden="false" customHeight="false" outlineLevel="0" collapsed="false">
      <c r="A32" s="8" t="s">
        <v>2897</v>
      </c>
      <c r="B32" s="8" t="s">
        <v>192</v>
      </c>
      <c r="C32" s="8" t="s">
        <v>2829</v>
      </c>
      <c r="D32" s="8" t="s">
        <v>2898</v>
      </c>
      <c r="E32" s="8" t="s">
        <v>2899</v>
      </c>
      <c r="F32" s="8" t="s">
        <v>2900</v>
      </c>
      <c r="G32" s="8" t="s">
        <v>2901</v>
      </c>
      <c r="H32" s="8" t="n">
        <v>80</v>
      </c>
      <c r="I32" s="34" t="n">
        <v>54.3</v>
      </c>
      <c r="J32" s="34"/>
      <c r="K32" s="34" t="n">
        <f aca="false">MAX(ROUNDUP(I32,0),H32)</f>
        <v>80</v>
      </c>
      <c r="L32" s="34" t="str">
        <f aca="false">IF(J32="","",J32-K32)</f>
        <v/>
      </c>
      <c r="M32" s="35"/>
      <c r="N32" s="35" t="n">
        <f aca="false">IF(C32="covered",10.4,7.55)</f>
        <v>7.55</v>
      </c>
      <c r="O32" s="35" t="str">
        <f aca="false">IF(M32="","",M32-N32)</f>
        <v/>
      </c>
      <c r="P32" s="8"/>
      <c r="Q32" s="36"/>
      <c r="R32" s="36" t="str">
        <f aca="false">IF(OR(J32="",P32=""),"",K32*N32*P32)</f>
        <v/>
      </c>
      <c r="S32" s="36" t="str">
        <f aca="false">IF(Q32="","",Q32-R32)</f>
        <v/>
      </c>
      <c r="T32" s="36" t="str">
        <f aca="false">IF(S32="","",MAX(0,-S32))</f>
        <v/>
      </c>
      <c r="U32" s="36" t="str">
        <f aca="false">IF(S32="","",MAX(0,S32))</f>
        <v/>
      </c>
      <c r="V32" s="8" t="str">
        <f aca="false">IF(J32="","NOT SCORED - NO JULY MONTHLY ROW",IF(OR(ABS(L32)&gt;0.005,ABS(O32)&gt;0.005,ABS(S32)&gt;0.005),"EXCEPTION","OK"))</f>
        <v>NOT SCORED - NO JULY MONTHLY ROW</v>
      </c>
      <c r="W32" s="8"/>
      <c r="X32" s="8" t="s">
        <v>2834</v>
      </c>
      <c r="Y32" s="36" t="n">
        <f aca="false">K32*N32</f>
        <v>604</v>
      </c>
    </row>
    <row r="33" customFormat="false" ht="20.85" hidden="false" customHeight="false" outlineLevel="0" collapsed="false">
      <c r="A33" s="11" t="s">
        <v>2902</v>
      </c>
      <c r="B33" s="11" t="s">
        <v>192</v>
      </c>
      <c r="C33" s="11" t="s">
        <v>2829</v>
      </c>
      <c r="D33" s="11" t="s">
        <v>2903</v>
      </c>
      <c r="E33" s="11" t="s">
        <v>2904</v>
      </c>
      <c r="F33" s="11" t="s">
        <v>2905</v>
      </c>
      <c r="G33" s="11" t="s">
        <v>2906</v>
      </c>
      <c r="H33" s="11" t="n">
        <v>40</v>
      </c>
      <c r="I33" s="31" t="n">
        <v>33.7</v>
      </c>
      <c r="J33" s="31"/>
      <c r="K33" s="31" t="n">
        <f aca="false">MAX(ROUNDUP(I33,0),H33)</f>
        <v>40</v>
      </c>
      <c r="L33" s="31" t="str">
        <f aca="false">IF(J33="","",J33-K33)</f>
        <v/>
      </c>
      <c r="M33" s="32"/>
      <c r="N33" s="32" t="n">
        <f aca="false">IF(C33="covered",10.4,7.55)</f>
        <v>7.55</v>
      </c>
      <c r="O33" s="32" t="str">
        <f aca="false">IF(M33="","",M33-N33)</f>
        <v/>
      </c>
      <c r="P33" s="11"/>
      <c r="Q33" s="33"/>
      <c r="R33" s="33" t="str">
        <f aca="false">IF(OR(J33="",P33=""),"",K33*N33*P33)</f>
        <v/>
      </c>
      <c r="S33" s="33" t="str">
        <f aca="false">IF(Q33="","",Q33-R33)</f>
        <v/>
      </c>
      <c r="T33" s="33" t="str">
        <f aca="false">IF(S33="","",MAX(0,-S33))</f>
        <v/>
      </c>
      <c r="U33" s="33" t="str">
        <f aca="false">IF(S33="","",MAX(0,S33))</f>
        <v/>
      </c>
      <c r="V33" s="11" t="str">
        <f aca="false">IF(J33="","NOT SCORED - NO JULY MONTHLY ROW",IF(OR(ABS(L33)&gt;0.005,ABS(O33)&gt;0.005,ABS(S33)&gt;0.005),"EXCEPTION","OK"))</f>
        <v>NOT SCORED - NO JULY MONTHLY ROW</v>
      </c>
      <c r="W33" s="11"/>
      <c r="X33" s="11" t="s">
        <v>2834</v>
      </c>
      <c r="Y33" s="33" t="n">
        <f aca="false">K33*N33</f>
        <v>302</v>
      </c>
    </row>
    <row r="34" customFormat="false" ht="20.85" hidden="false" customHeight="false" outlineLevel="0" collapsed="false">
      <c r="A34" s="8" t="s">
        <v>2907</v>
      </c>
      <c r="B34" s="8" t="s">
        <v>192</v>
      </c>
      <c r="C34" s="8" t="s">
        <v>2829</v>
      </c>
      <c r="D34" s="8" t="s">
        <v>2908</v>
      </c>
      <c r="E34" s="8" t="s">
        <v>2909</v>
      </c>
      <c r="F34" s="8" t="s">
        <v>2910</v>
      </c>
      <c r="G34" s="8" t="s">
        <v>2911</v>
      </c>
      <c r="H34" s="8" t="n">
        <v>70</v>
      </c>
      <c r="I34" s="34" t="n">
        <v>61.4</v>
      </c>
      <c r="J34" s="34"/>
      <c r="K34" s="34" t="n">
        <f aca="false">MAX(ROUNDUP(I34,0),H34)</f>
        <v>70</v>
      </c>
      <c r="L34" s="34" t="str">
        <f aca="false">IF(J34="","",J34-K34)</f>
        <v/>
      </c>
      <c r="M34" s="35"/>
      <c r="N34" s="35" t="n">
        <f aca="false">IF(C34="covered",10.4,7.55)</f>
        <v>7.55</v>
      </c>
      <c r="O34" s="35" t="str">
        <f aca="false">IF(M34="","",M34-N34)</f>
        <v/>
      </c>
      <c r="P34" s="8"/>
      <c r="Q34" s="36"/>
      <c r="R34" s="36" t="str">
        <f aca="false">IF(OR(J34="",P34=""),"",K34*N34*P34)</f>
        <v/>
      </c>
      <c r="S34" s="36" t="str">
        <f aca="false">IF(Q34="","",Q34-R34)</f>
        <v/>
      </c>
      <c r="T34" s="36" t="str">
        <f aca="false">IF(S34="","",MAX(0,-S34))</f>
        <v/>
      </c>
      <c r="U34" s="36" t="str">
        <f aca="false">IF(S34="","",MAX(0,S34))</f>
        <v/>
      </c>
      <c r="V34" s="8" t="str">
        <f aca="false">IF(J34="","NOT SCORED - NO JULY MONTHLY ROW",IF(OR(ABS(L34)&gt;0.005,ABS(O34)&gt;0.005,ABS(S34)&gt;0.005),"EXCEPTION","OK"))</f>
        <v>NOT SCORED - NO JULY MONTHLY ROW</v>
      </c>
      <c r="W34" s="8"/>
      <c r="X34" s="8" t="s">
        <v>2834</v>
      </c>
      <c r="Y34" s="36" t="n">
        <f aca="false">K34*N34</f>
        <v>528.5</v>
      </c>
    </row>
    <row r="35" customFormat="false" ht="20.85" hidden="false" customHeight="false" outlineLevel="0" collapsed="false">
      <c r="A35" s="11" t="s">
        <v>2912</v>
      </c>
      <c r="B35" s="11" t="s">
        <v>192</v>
      </c>
      <c r="C35" s="11" t="s">
        <v>2829</v>
      </c>
      <c r="D35" s="11" t="s">
        <v>2913</v>
      </c>
      <c r="E35" s="11" t="s">
        <v>2914</v>
      </c>
      <c r="F35" s="11" t="s">
        <v>2915</v>
      </c>
      <c r="G35" s="11" t="s">
        <v>2916</v>
      </c>
      <c r="H35" s="11" t="n">
        <v>80</v>
      </c>
      <c r="I35" s="31" t="n">
        <v>19.9</v>
      </c>
      <c r="J35" s="31"/>
      <c r="K35" s="31" t="n">
        <f aca="false">MAX(ROUNDUP(I35,0),H35)</f>
        <v>80</v>
      </c>
      <c r="L35" s="31" t="str">
        <f aca="false">IF(J35="","",J35-K35)</f>
        <v/>
      </c>
      <c r="M35" s="32"/>
      <c r="N35" s="32" t="n">
        <f aca="false">IF(C35="covered",10.4,7.55)</f>
        <v>7.55</v>
      </c>
      <c r="O35" s="32" t="str">
        <f aca="false">IF(M35="","",M35-N35)</f>
        <v/>
      </c>
      <c r="P35" s="11"/>
      <c r="Q35" s="33"/>
      <c r="R35" s="33" t="str">
        <f aca="false">IF(OR(J35="",P35=""),"",K35*N35*P35)</f>
        <v/>
      </c>
      <c r="S35" s="33" t="str">
        <f aca="false">IF(Q35="","",Q35-R35)</f>
        <v/>
      </c>
      <c r="T35" s="33" t="str">
        <f aca="false">IF(S35="","",MAX(0,-S35))</f>
        <v/>
      </c>
      <c r="U35" s="33" t="str">
        <f aca="false">IF(S35="","",MAX(0,S35))</f>
        <v/>
      </c>
      <c r="V35" s="11" t="str">
        <f aca="false">IF(J35="","NOT SCORED - NO JULY MONTHLY ROW",IF(OR(ABS(L35)&gt;0.005,ABS(O35)&gt;0.005,ABS(S35)&gt;0.005),"EXCEPTION","OK"))</f>
        <v>NOT SCORED - NO JULY MONTHLY ROW</v>
      </c>
      <c r="W35" s="11"/>
      <c r="X35" s="11" t="s">
        <v>2834</v>
      </c>
      <c r="Y35" s="33" t="n">
        <f aca="false">K35*N35</f>
        <v>604</v>
      </c>
    </row>
    <row r="36" customFormat="false" ht="20.85" hidden="false" customHeight="false" outlineLevel="0" collapsed="false">
      <c r="A36" s="8" t="s">
        <v>1011</v>
      </c>
      <c r="B36" s="8" t="s">
        <v>192</v>
      </c>
      <c r="C36" s="8" t="s">
        <v>2829</v>
      </c>
      <c r="D36" s="8" t="s">
        <v>2917</v>
      </c>
      <c r="E36" s="8" t="s">
        <v>2284</v>
      </c>
      <c r="F36" s="8" t="s">
        <v>2918</v>
      </c>
      <c r="G36" s="8" t="s">
        <v>2919</v>
      </c>
      <c r="H36" s="8" t="n">
        <v>28</v>
      </c>
      <c r="I36" s="34" t="n">
        <v>46.7</v>
      </c>
      <c r="J36" s="34"/>
      <c r="K36" s="34" t="n">
        <f aca="false">MAX(ROUNDUP(I36,0),H36)</f>
        <v>47</v>
      </c>
      <c r="L36" s="34" t="str">
        <f aca="false">IF(J36="","",J36-K36)</f>
        <v/>
      </c>
      <c r="M36" s="35"/>
      <c r="N36" s="35" t="n">
        <f aca="false">IF(C36="covered",10.4,7.55)</f>
        <v>7.55</v>
      </c>
      <c r="O36" s="35" t="str">
        <f aca="false">IF(M36="","",M36-N36)</f>
        <v/>
      </c>
      <c r="P36" s="8"/>
      <c r="Q36" s="36"/>
      <c r="R36" s="36" t="str">
        <f aca="false">IF(OR(J36="",P36=""),"",K36*N36*P36)</f>
        <v/>
      </c>
      <c r="S36" s="36" t="str">
        <f aca="false">IF(Q36="","",Q36-R36)</f>
        <v/>
      </c>
      <c r="T36" s="36" t="str">
        <f aca="false">IF(S36="","",MAX(0,-S36))</f>
        <v/>
      </c>
      <c r="U36" s="36" t="str">
        <f aca="false">IF(S36="","",MAX(0,S36))</f>
        <v/>
      </c>
      <c r="V36" s="8" t="str">
        <f aca="false">IF(J36="","NOT SCORED - NO JULY MONTHLY ROW",IF(OR(ABS(L36)&gt;0.005,ABS(O36)&gt;0.005,ABS(S36)&gt;0.005),"EXCEPTION","OK"))</f>
        <v>NOT SCORED - NO JULY MONTHLY ROW</v>
      </c>
      <c r="W36" s="8"/>
      <c r="X36" s="8" t="s">
        <v>2834</v>
      </c>
      <c r="Y36" s="36" t="n">
        <f aca="false">K36*N36</f>
        <v>354.85</v>
      </c>
    </row>
    <row r="37" customFormat="false" ht="20.85" hidden="false" customHeight="false" outlineLevel="0" collapsed="false">
      <c r="A37" s="11" t="s">
        <v>2920</v>
      </c>
      <c r="B37" s="11" t="s">
        <v>192</v>
      </c>
      <c r="C37" s="11" t="s">
        <v>2829</v>
      </c>
      <c r="D37" s="11" t="s">
        <v>2921</v>
      </c>
      <c r="E37" s="11" t="s">
        <v>2922</v>
      </c>
      <c r="F37" s="11" t="s">
        <v>2923</v>
      </c>
      <c r="G37" s="11" t="s">
        <v>2924</v>
      </c>
      <c r="H37" s="11" t="n">
        <v>28</v>
      </c>
      <c r="I37" s="31" t="n">
        <v>41.9</v>
      </c>
      <c r="J37" s="31"/>
      <c r="K37" s="31" t="n">
        <f aca="false">MAX(ROUNDUP(I37,0),H37)</f>
        <v>42</v>
      </c>
      <c r="L37" s="31" t="str">
        <f aca="false">IF(J37="","",J37-K37)</f>
        <v/>
      </c>
      <c r="M37" s="32"/>
      <c r="N37" s="32" t="n">
        <f aca="false">IF(C37="covered",10.4,7.55)</f>
        <v>7.55</v>
      </c>
      <c r="O37" s="32" t="str">
        <f aca="false">IF(M37="","",M37-N37)</f>
        <v/>
      </c>
      <c r="P37" s="11"/>
      <c r="Q37" s="33"/>
      <c r="R37" s="33" t="str">
        <f aca="false">IF(OR(J37="",P37=""),"",K37*N37*P37)</f>
        <v/>
      </c>
      <c r="S37" s="33" t="str">
        <f aca="false">IF(Q37="","",Q37-R37)</f>
        <v/>
      </c>
      <c r="T37" s="33" t="str">
        <f aca="false">IF(S37="","",MAX(0,-S37))</f>
        <v/>
      </c>
      <c r="U37" s="33" t="str">
        <f aca="false">IF(S37="","",MAX(0,S37))</f>
        <v/>
      </c>
      <c r="V37" s="11" t="str">
        <f aca="false">IF(J37="","NOT SCORED - NO JULY MONTHLY ROW",IF(OR(ABS(L37)&gt;0.005,ABS(O37)&gt;0.005,ABS(S37)&gt;0.005),"EXCEPTION","OK"))</f>
        <v>NOT SCORED - NO JULY MONTHLY ROW</v>
      </c>
      <c r="W37" s="11"/>
      <c r="X37" s="11" t="s">
        <v>2834</v>
      </c>
      <c r="Y37" s="33" t="n">
        <f aca="false">K37*N37</f>
        <v>317.1</v>
      </c>
    </row>
    <row r="38" customFormat="false" ht="20.85" hidden="false" customHeight="false" outlineLevel="0" collapsed="false">
      <c r="A38" s="8" t="s">
        <v>1906</v>
      </c>
      <c r="B38" s="8" t="s">
        <v>192</v>
      </c>
      <c r="C38" s="8" t="s">
        <v>2829</v>
      </c>
      <c r="D38" s="8" t="s">
        <v>2925</v>
      </c>
      <c r="E38" s="8" t="s">
        <v>2926</v>
      </c>
      <c r="F38" s="8" t="s">
        <v>2927</v>
      </c>
      <c r="G38" s="8" t="s">
        <v>2928</v>
      </c>
      <c r="H38" s="8" t="n">
        <v>32</v>
      </c>
      <c r="I38" s="34" t="n">
        <v>19.1</v>
      </c>
      <c r="J38" s="34"/>
      <c r="K38" s="34" t="n">
        <f aca="false">MAX(ROUNDUP(I38,0),H38)</f>
        <v>32</v>
      </c>
      <c r="L38" s="34" t="str">
        <f aca="false">IF(J38="","",J38-K38)</f>
        <v/>
      </c>
      <c r="M38" s="35"/>
      <c r="N38" s="35" t="n">
        <f aca="false">IF(C38="covered",10.4,7.55)</f>
        <v>7.55</v>
      </c>
      <c r="O38" s="35" t="str">
        <f aca="false">IF(M38="","",M38-N38)</f>
        <v/>
      </c>
      <c r="P38" s="8"/>
      <c r="Q38" s="36"/>
      <c r="R38" s="36" t="str">
        <f aca="false">IF(OR(J38="",P38=""),"",K38*N38*P38)</f>
        <v/>
      </c>
      <c r="S38" s="36" t="str">
        <f aca="false">IF(Q38="","",Q38-R38)</f>
        <v/>
      </c>
      <c r="T38" s="36" t="str">
        <f aca="false">IF(S38="","",MAX(0,-S38))</f>
        <v/>
      </c>
      <c r="U38" s="36" t="str">
        <f aca="false">IF(S38="","",MAX(0,S38))</f>
        <v/>
      </c>
      <c r="V38" s="8" t="str">
        <f aca="false">IF(J38="","NOT SCORED - NO JULY MONTHLY ROW",IF(OR(ABS(L38)&gt;0.005,ABS(O38)&gt;0.005,ABS(S38)&gt;0.005),"EXCEPTION","OK"))</f>
        <v>NOT SCORED - NO JULY MONTHLY ROW</v>
      </c>
      <c r="W38" s="8"/>
      <c r="X38" s="8" t="s">
        <v>2834</v>
      </c>
      <c r="Y38" s="36" t="n">
        <f aca="false">K38*N38</f>
        <v>241.6</v>
      </c>
    </row>
    <row r="39" customFormat="false" ht="20.85" hidden="false" customHeight="false" outlineLevel="0" collapsed="false">
      <c r="A39" s="11" t="s">
        <v>2929</v>
      </c>
      <c r="B39" s="11" t="s">
        <v>192</v>
      </c>
      <c r="C39" s="11" t="s">
        <v>2829</v>
      </c>
      <c r="D39" s="11" t="s">
        <v>2930</v>
      </c>
      <c r="E39" s="11" t="s">
        <v>2931</v>
      </c>
      <c r="F39" s="11" t="s">
        <v>2932</v>
      </c>
      <c r="G39" s="11" t="s">
        <v>2933</v>
      </c>
      <c r="H39" s="11" t="n">
        <v>70</v>
      </c>
      <c r="I39" s="31" t="n">
        <v>30.9</v>
      </c>
      <c r="J39" s="31"/>
      <c r="K39" s="31" t="n">
        <f aca="false">MAX(ROUNDUP(I39,0),H39)</f>
        <v>70</v>
      </c>
      <c r="L39" s="31" t="str">
        <f aca="false">IF(J39="","",J39-K39)</f>
        <v/>
      </c>
      <c r="M39" s="32"/>
      <c r="N39" s="32" t="n">
        <f aca="false">IF(C39="covered",10.4,7.55)</f>
        <v>7.55</v>
      </c>
      <c r="O39" s="32" t="str">
        <f aca="false">IF(M39="","",M39-N39)</f>
        <v/>
      </c>
      <c r="P39" s="11"/>
      <c r="Q39" s="33"/>
      <c r="R39" s="33" t="str">
        <f aca="false">IF(OR(J39="",P39=""),"",K39*N39*P39)</f>
        <v/>
      </c>
      <c r="S39" s="33" t="str">
        <f aca="false">IF(Q39="","",Q39-R39)</f>
        <v/>
      </c>
      <c r="T39" s="33" t="str">
        <f aca="false">IF(S39="","",MAX(0,-S39))</f>
        <v/>
      </c>
      <c r="U39" s="33" t="str">
        <f aca="false">IF(S39="","",MAX(0,S39))</f>
        <v/>
      </c>
      <c r="V39" s="11" t="str">
        <f aca="false">IF(J39="","NOT SCORED - NO JULY MONTHLY ROW",IF(OR(ABS(L39)&gt;0.005,ABS(O39)&gt;0.005,ABS(S39)&gt;0.005),"EXCEPTION","OK"))</f>
        <v>NOT SCORED - NO JULY MONTHLY ROW</v>
      </c>
      <c r="W39" s="11"/>
      <c r="X39" s="11" t="s">
        <v>2834</v>
      </c>
      <c r="Y39" s="33" t="n">
        <f aca="false">K39*N39</f>
        <v>528.5</v>
      </c>
    </row>
    <row r="40" customFormat="false" ht="20.85" hidden="false" customHeight="false" outlineLevel="0" collapsed="false">
      <c r="A40" s="8" t="s">
        <v>2934</v>
      </c>
      <c r="B40" s="8" t="s">
        <v>192</v>
      </c>
      <c r="C40" s="8" t="s">
        <v>2829</v>
      </c>
      <c r="D40" s="8" t="s">
        <v>2935</v>
      </c>
      <c r="E40" s="8" t="s">
        <v>2936</v>
      </c>
      <c r="F40" s="8" t="s">
        <v>2937</v>
      </c>
      <c r="G40" s="8" t="s">
        <v>2938</v>
      </c>
      <c r="H40" s="8" t="n">
        <v>70</v>
      </c>
      <c r="I40" s="34" t="n">
        <v>41.2</v>
      </c>
      <c r="J40" s="34"/>
      <c r="K40" s="34" t="n">
        <f aca="false">MAX(ROUNDUP(I40,0),H40)</f>
        <v>70</v>
      </c>
      <c r="L40" s="34" t="str">
        <f aca="false">IF(J40="","",J40-K40)</f>
        <v/>
      </c>
      <c r="M40" s="35"/>
      <c r="N40" s="35" t="n">
        <f aca="false">IF(C40="covered",10.4,7.55)</f>
        <v>7.55</v>
      </c>
      <c r="O40" s="35" t="str">
        <f aca="false">IF(M40="","",M40-N40)</f>
        <v/>
      </c>
      <c r="P40" s="8"/>
      <c r="Q40" s="36"/>
      <c r="R40" s="36" t="str">
        <f aca="false">IF(OR(J40="",P40=""),"",K40*N40*P40)</f>
        <v/>
      </c>
      <c r="S40" s="36" t="str">
        <f aca="false">IF(Q40="","",Q40-R40)</f>
        <v/>
      </c>
      <c r="T40" s="36" t="str">
        <f aca="false">IF(S40="","",MAX(0,-S40))</f>
        <v/>
      </c>
      <c r="U40" s="36" t="str">
        <f aca="false">IF(S40="","",MAX(0,S40))</f>
        <v/>
      </c>
      <c r="V40" s="8" t="str">
        <f aca="false">IF(J40="","NOT SCORED - NO JULY MONTHLY ROW",IF(OR(ABS(L40)&gt;0.005,ABS(O40)&gt;0.005,ABS(S40)&gt;0.005),"EXCEPTION","OK"))</f>
        <v>NOT SCORED - NO JULY MONTHLY ROW</v>
      </c>
      <c r="W40" s="8"/>
      <c r="X40" s="8" t="s">
        <v>2834</v>
      </c>
      <c r="Y40" s="36" t="n">
        <f aca="false">K40*N40</f>
        <v>528.5</v>
      </c>
    </row>
    <row r="41" customFormat="false" ht="20.85" hidden="false" customHeight="false" outlineLevel="0" collapsed="false">
      <c r="A41" s="11" t="s">
        <v>2939</v>
      </c>
      <c r="B41" s="11" t="s">
        <v>192</v>
      </c>
      <c r="C41" s="11" t="s">
        <v>2829</v>
      </c>
      <c r="D41" s="11" t="s">
        <v>2940</v>
      </c>
      <c r="E41" s="11" t="s">
        <v>2941</v>
      </c>
      <c r="F41" s="11" t="s">
        <v>2942</v>
      </c>
      <c r="G41" s="11" t="s">
        <v>2943</v>
      </c>
      <c r="H41" s="11" t="n">
        <v>24</v>
      </c>
      <c r="I41" s="31" t="n">
        <v>60.9</v>
      </c>
      <c r="J41" s="31"/>
      <c r="K41" s="31" t="n">
        <f aca="false">MAX(ROUNDUP(I41,0),H41)</f>
        <v>61</v>
      </c>
      <c r="L41" s="31" t="str">
        <f aca="false">IF(J41="","",J41-K41)</f>
        <v/>
      </c>
      <c r="M41" s="32"/>
      <c r="N41" s="32" t="n">
        <f aca="false">IF(C41="covered",10.4,7.55)</f>
        <v>7.55</v>
      </c>
      <c r="O41" s="32" t="str">
        <f aca="false">IF(M41="","",M41-N41)</f>
        <v/>
      </c>
      <c r="P41" s="11"/>
      <c r="Q41" s="33"/>
      <c r="R41" s="33" t="str">
        <f aca="false">IF(OR(J41="",P41=""),"",K41*N41*P41)</f>
        <v/>
      </c>
      <c r="S41" s="33" t="str">
        <f aca="false">IF(Q41="","",Q41-R41)</f>
        <v/>
      </c>
      <c r="T41" s="33" t="str">
        <f aca="false">IF(S41="","",MAX(0,-S41))</f>
        <v/>
      </c>
      <c r="U41" s="33" t="str">
        <f aca="false">IF(S41="","",MAX(0,S41))</f>
        <v/>
      </c>
      <c r="V41" s="11" t="str">
        <f aca="false">IF(J41="","NOT SCORED - NO JULY MONTHLY ROW",IF(OR(ABS(L41)&gt;0.005,ABS(O41)&gt;0.005,ABS(S41)&gt;0.005),"EXCEPTION","OK"))</f>
        <v>NOT SCORED - NO JULY MONTHLY ROW</v>
      </c>
      <c r="W41" s="11"/>
      <c r="X41" s="11" t="s">
        <v>2834</v>
      </c>
      <c r="Y41" s="33" t="n">
        <f aca="false">K41*N41</f>
        <v>460.55</v>
      </c>
    </row>
    <row r="42" customFormat="false" ht="20.85" hidden="false" customHeight="false" outlineLevel="0" collapsed="false">
      <c r="A42" s="8" t="s">
        <v>340</v>
      </c>
      <c r="B42" s="8" t="s">
        <v>192</v>
      </c>
      <c r="C42" s="8" t="s">
        <v>2829</v>
      </c>
      <c r="D42" s="8" t="s">
        <v>2944</v>
      </c>
      <c r="E42" s="8" t="s">
        <v>2945</v>
      </c>
      <c r="F42" s="8" t="s">
        <v>2946</v>
      </c>
      <c r="G42" s="8" t="s">
        <v>2947</v>
      </c>
      <c r="H42" s="8" t="n">
        <v>60</v>
      </c>
      <c r="I42" s="34" t="n">
        <v>31.3</v>
      </c>
      <c r="J42" s="34"/>
      <c r="K42" s="34" t="n">
        <f aca="false">MAX(ROUNDUP(I42,0),H42)</f>
        <v>60</v>
      </c>
      <c r="L42" s="34" t="str">
        <f aca="false">IF(J42="","",J42-K42)</f>
        <v/>
      </c>
      <c r="M42" s="35"/>
      <c r="N42" s="35" t="n">
        <f aca="false">IF(C42="covered",10.4,7.55)</f>
        <v>7.55</v>
      </c>
      <c r="O42" s="35" t="str">
        <f aca="false">IF(M42="","",M42-N42)</f>
        <v/>
      </c>
      <c r="P42" s="8"/>
      <c r="Q42" s="36"/>
      <c r="R42" s="36" t="str">
        <f aca="false">IF(OR(J42="",P42=""),"",K42*N42*P42)</f>
        <v/>
      </c>
      <c r="S42" s="36" t="str">
        <f aca="false">IF(Q42="","",Q42-R42)</f>
        <v/>
      </c>
      <c r="T42" s="36" t="str">
        <f aca="false">IF(S42="","",MAX(0,-S42))</f>
        <v/>
      </c>
      <c r="U42" s="36" t="str">
        <f aca="false">IF(S42="","",MAX(0,S42))</f>
        <v/>
      </c>
      <c r="V42" s="8" t="str">
        <f aca="false">IF(J42="","NOT SCORED - NO JULY MONTHLY ROW",IF(OR(ABS(L42)&gt;0.005,ABS(O42)&gt;0.005,ABS(S42)&gt;0.005),"EXCEPTION","OK"))</f>
        <v>NOT SCORED - NO JULY MONTHLY ROW</v>
      </c>
      <c r="W42" s="8"/>
      <c r="X42" s="8" t="s">
        <v>2834</v>
      </c>
      <c r="Y42" s="36" t="n">
        <f aca="false">K42*N42</f>
        <v>453</v>
      </c>
    </row>
    <row r="43" customFormat="false" ht="20.85" hidden="false" customHeight="false" outlineLevel="0" collapsed="false">
      <c r="A43" s="11" t="s">
        <v>2948</v>
      </c>
      <c r="B43" s="11" t="s">
        <v>192</v>
      </c>
      <c r="C43" s="11" t="s">
        <v>2829</v>
      </c>
      <c r="D43" s="11" t="s">
        <v>2949</v>
      </c>
      <c r="E43" s="11" t="s">
        <v>2950</v>
      </c>
      <c r="F43" s="11" t="s">
        <v>2951</v>
      </c>
      <c r="G43" s="11" t="s">
        <v>2952</v>
      </c>
      <c r="H43" s="11" t="n">
        <v>60</v>
      </c>
      <c r="I43" s="31" t="n">
        <v>29.8</v>
      </c>
      <c r="J43" s="31"/>
      <c r="K43" s="31" t="n">
        <f aca="false">MAX(ROUNDUP(I43,0),H43)</f>
        <v>60</v>
      </c>
      <c r="L43" s="31" t="str">
        <f aca="false">IF(J43="","",J43-K43)</f>
        <v/>
      </c>
      <c r="M43" s="32"/>
      <c r="N43" s="32" t="n">
        <f aca="false">IF(C43="covered",10.4,7.55)</f>
        <v>7.55</v>
      </c>
      <c r="O43" s="32" t="str">
        <f aca="false">IF(M43="","",M43-N43)</f>
        <v/>
      </c>
      <c r="P43" s="11"/>
      <c r="Q43" s="33"/>
      <c r="R43" s="33" t="str">
        <f aca="false">IF(OR(J43="",P43=""),"",K43*N43*P43)</f>
        <v/>
      </c>
      <c r="S43" s="33" t="str">
        <f aca="false">IF(Q43="","",Q43-R43)</f>
        <v/>
      </c>
      <c r="T43" s="33" t="str">
        <f aca="false">IF(S43="","",MAX(0,-S43))</f>
        <v/>
      </c>
      <c r="U43" s="33" t="str">
        <f aca="false">IF(S43="","",MAX(0,S43))</f>
        <v/>
      </c>
      <c r="V43" s="11" t="str">
        <f aca="false">IF(J43="","NOT SCORED - NO JULY MONTHLY ROW",IF(OR(ABS(L43)&gt;0.005,ABS(O43)&gt;0.005,ABS(S43)&gt;0.005),"EXCEPTION","OK"))</f>
        <v>NOT SCORED - NO JULY MONTHLY ROW</v>
      </c>
      <c r="W43" s="11"/>
      <c r="X43" s="11" t="s">
        <v>2834</v>
      </c>
      <c r="Y43" s="33" t="n">
        <f aca="false">K43*N43</f>
        <v>453</v>
      </c>
    </row>
    <row r="44" customFormat="false" ht="20.85" hidden="false" customHeight="false" outlineLevel="0" collapsed="false">
      <c r="A44" s="8" t="s">
        <v>2953</v>
      </c>
      <c r="B44" s="8" t="s">
        <v>192</v>
      </c>
      <c r="C44" s="8" t="s">
        <v>2829</v>
      </c>
      <c r="D44" s="8" t="s">
        <v>2954</v>
      </c>
      <c r="E44" s="8" t="s">
        <v>2955</v>
      </c>
      <c r="F44" s="8" t="s">
        <v>2956</v>
      </c>
      <c r="G44" s="8" t="s">
        <v>2957</v>
      </c>
      <c r="H44" s="8" t="n">
        <v>70</v>
      </c>
      <c r="I44" s="34" t="n">
        <v>53.7</v>
      </c>
      <c r="J44" s="34"/>
      <c r="K44" s="34" t="n">
        <f aca="false">MAX(ROUNDUP(I44,0),H44)</f>
        <v>70</v>
      </c>
      <c r="L44" s="34" t="str">
        <f aca="false">IF(J44="","",J44-K44)</f>
        <v/>
      </c>
      <c r="M44" s="35"/>
      <c r="N44" s="35" t="n">
        <f aca="false">IF(C44="covered",10.4,7.55)</f>
        <v>7.55</v>
      </c>
      <c r="O44" s="35" t="str">
        <f aca="false">IF(M44="","",M44-N44)</f>
        <v/>
      </c>
      <c r="P44" s="8"/>
      <c r="Q44" s="36"/>
      <c r="R44" s="36" t="str">
        <f aca="false">IF(OR(J44="",P44=""),"",K44*N44*P44)</f>
        <v/>
      </c>
      <c r="S44" s="36" t="str">
        <f aca="false">IF(Q44="","",Q44-R44)</f>
        <v/>
      </c>
      <c r="T44" s="36" t="str">
        <f aca="false">IF(S44="","",MAX(0,-S44))</f>
        <v/>
      </c>
      <c r="U44" s="36" t="str">
        <f aca="false">IF(S44="","",MAX(0,S44))</f>
        <v/>
      </c>
      <c r="V44" s="8" t="str">
        <f aca="false">IF(J44="","NOT SCORED - NO JULY MONTHLY ROW",IF(OR(ABS(L44)&gt;0.005,ABS(O44)&gt;0.005,ABS(S44)&gt;0.005),"EXCEPTION","OK"))</f>
        <v>NOT SCORED - NO JULY MONTHLY ROW</v>
      </c>
      <c r="W44" s="8"/>
      <c r="X44" s="8" t="s">
        <v>2834</v>
      </c>
      <c r="Y44" s="36" t="n">
        <f aca="false">K44*N44</f>
        <v>528.5</v>
      </c>
    </row>
    <row r="45" customFormat="false" ht="20.85" hidden="false" customHeight="false" outlineLevel="0" collapsed="false">
      <c r="A45" s="11" t="s">
        <v>2958</v>
      </c>
      <c r="B45" s="11" t="s">
        <v>192</v>
      </c>
      <c r="C45" s="11" t="s">
        <v>2829</v>
      </c>
      <c r="D45" s="11" t="s">
        <v>2959</v>
      </c>
      <c r="E45" s="11" t="s">
        <v>2960</v>
      </c>
      <c r="F45" s="11" t="s">
        <v>2961</v>
      </c>
      <c r="G45" s="11" t="s">
        <v>2962</v>
      </c>
      <c r="H45" s="11" t="n">
        <v>24</v>
      </c>
      <c r="I45" s="31" t="n">
        <v>28.3</v>
      </c>
      <c r="J45" s="31"/>
      <c r="K45" s="31" t="n">
        <f aca="false">MAX(ROUNDUP(I45,0),H45)</f>
        <v>29</v>
      </c>
      <c r="L45" s="31" t="str">
        <f aca="false">IF(J45="","",J45-K45)</f>
        <v/>
      </c>
      <c r="M45" s="32"/>
      <c r="N45" s="32" t="n">
        <f aca="false">IF(C45="covered",10.4,7.55)</f>
        <v>7.55</v>
      </c>
      <c r="O45" s="32" t="str">
        <f aca="false">IF(M45="","",M45-N45)</f>
        <v/>
      </c>
      <c r="P45" s="11"/>
      <c r="Q45" s="33"/>
      <c r="R45" s="33" t="str">
        <f aca="false">IF(OR(J45="",P45=""),"",K45*N45*P45)</f>
        <v/>
      </c>
      <c r="S45" s="33" t="str">
        <f aca="false">IF(Q45="","",Q45-R45)</f>
        <v/>
      </c>
      <c r="T45" s="33" t="str">
        <f aca="false">IF(S45="","",MAX(0,-S45))</f>
        <v/>
      </c>
      <c r="U45" s="33" t="str">
        <f aca="false">IF(S45="","",MAX(0,S45))</f>
        <v/>
      </c>
      <c r="V45" s="11" t="str">
        <f aca="false">IF(J45="","NOT SCORED - NO JULY MONTHLY ROW",IF(OR(ABS(L45)&gt;0.005,ABS(O45)&gt;0.005,ABS(S45)&gt;0.005),"EXCEPTION","OK"))</f>
        <v>NOT SCORED - NO JULY MONTHLY ROW</v>
      </c>
      <c r="W45" s="11"/>
      <c r="X45" s="11" t="s">
        <v>2834</v>
      </c>
      <c r="Y45" s="33" t="n">
        <f aca="false">K45*N45</f>
        <v>218.95</v>
      </c>
    </row>
    <row r="46" customFormat="false" ht="20.85" hidden="false" customHeight="false" outlineLevel="0" collapsed="false">
      <c r="A46" s="8" t="s">
        <v>56</v>
      </c>
      <c r="B46" s="8" t="s">
        <v>192</v>
      </c>
      <c r="C46" s="8" t="s">
        <v>2829</v>
      </c>
      <c r="D46" s="8" t="s">
        <v>2963</v>
      </c>
      <c r="E46" s="8" t="s">
        <v>2964</v>
      </c>
      <c r="F46" s="8" t="s">
        <v>2965</v>
      </c>
      <c r="G46" s="8" t="s">
        <v>2966</v>
      </c>
      <c r="H46" s="8" t="n">
        <v>32</v>
      </c>
      <c r="I46" s="34" t="n">
        <v>41.9</v>
      </c>
      <c r="J46" s="34"/>
      <c r="K46" s="34" t="n">
        <f aca="false">MAX(ROUNDUP(I46,0),H46)</f>
        <v>42</v>
      </c>
      <c r="L46" s="34" t="str">
        <f aca="false">IF(J46="","",J46-K46)</f>
        <v/>
      </c>
      <c r="M46" s="35"/>
      <c r="N46" s="35" t="n">
        <f aca="false">IF(C46="covered",10.4,7.55)</f>
        <v>7.55</v>
      </c>
      <c r="O46" s="35" t="str">
        <f aca="false">IF(M46="","",M46-N46)</f>
        <v/>
      </c>
      <c r="P46" s="8"/>
      <c r="Q46" s="36"/>
      <c r="R46" s="36" t="str">
        <f aca="false">IF(OR(J46="",P46=""),"",K46*N46*P46)</f>
        <v/>
      </c>
      <c r="S46" s="36" t="str">
        <f aca="false">IF(Q46="","",Q46-R46)</f>
        <v/>
      </c>
      <c r="T46" s="36" t="str">
        <f aca="false">IF(S46="","",MAX(0,-S46))</f>
        <v/>
      </c>
      <c r="U46" s="36" t="str">
        <f aca="false">IF(S46="","",MAX(0,S46))</f>
        <v/>
      </c>
      <c r="V46" s="8" t="str">
        <f aca="false">IF(J46="","NOT SCORED - NO JULY MONTHLY ROW",IF(OR(ABS(L46)&gt;0.005,ABS(O46)&gt;0.005,ABS(S46)&gt;0.005),"EXCEPTION","OK"))</f>
        <v>NOT SCORED - NO JULY MONTHLY ROW</v>
      </c>
      <c r="W46" s="8"/>
      <c r="X46" s="8" t="s">
        <v>2834</v>
      </c>
      <c r="Y46" s="36" t="n">
        <f aca="false">K46*N46</f>
        <v>317.1</v>
      </c>
    </row>
    <row r="47" customFormat="false" ht="20.85" hidden="false" customHeight="false" outlineLevel="0" collapsed="false">
      <c r="A47" s="11" t="s">
        <v>2967</v>
      </c>
      <c r="B47" s="11" t="s">
        <v>192</v>
      </c>
      <c r="C47" s="11" t="s">
        <v>2829</v>
      </c>
      <c r="D47" s="11" t="s">
        <v>2968</v>
      </c>
      <c r="E47" s="11" t="s">
        <v>2969</v>
      </c>
      <c r="F47" s="11" t="s">
        <v>2970</v>
      </c>
      <c r="G47" s="11" t="s">
        <v>2971</v>
      </c>
      <c r="H47" s="11" t="n">
        <v>32</v>
      </c>
      <c r="I47" s="31" t="n">
        <v>21</v>
      </c>
      <c r="J47" s="31"/>
      <c r="K47" s="31" t="n">
        <f aca="false">MAX(ROUNDUP(I47,0),H47)</f>
        <v>32</v>
      </c>
      <c r="L47" s="31" t="str">
        <f aca="false">IF(J47="","",J47-K47)</f>
        <v/>
      </c>
      <c r="M47" s="32"/>
      <c r="N47" s="32" t="n">
        <f aca="false">IF(C47="covered",10.4,7.55)</f>
        <v>7.55</v>
      </c>
      <c r="O47" s="32" t="str">
        <f aca="false">IF(M47="","",M47-N47)</f>
        <v/>
      </c>
      <c r="P47" s="11"/>
      <c r="Q47" s="33"/>
      <c r="R47" s="33" t="str">
        <f aca="false">IF(OR(J47="",P47=""),"",K47*N47*P47)</f>
        <v/>
      </c>
      <c r="S47" s="33" t="str">
        <f aca="false">IF(Q47="","",Q47-R47)</f>
        <v/>
      </c>
      <c r="T47" s="33" t="str">
        <f aca="false">IF(S47="","",MAX(0,-S47))</f>
        <v/>
      </c>
      <c r="U47" s="33" t="str">
        <f aca="false">IF(S47="","",MAX(0,S47))</f>
        <v/>
      </c>
      <c r="V47" s="11" t="str">
        <f aca="false">IF(J47="","NOT SCORED - NO JULY MONTHLY ROW",IF(OR(ABS(L47)&gt;0.005,ABS(O47)&gt;0.005,ABS(S47)&gt;0.005),"EXCEPTION","OK"))</f>
        <v>NOT SCORED - NO JULY MONTHLY ROW</v>
      </c>
      <c r="W47" s="11"/>
      <c r="X47" s="11" t="s">
        <v>2834</v>
      </c>
      <c r="Y47" s="33" t="n">
        <f aca="false">K47*N47</f>
        <v>241.6</v>
      </c>
    </row>
    <row r="48" customFormat="false" ht="20.85" hidden="false" customHeight="false" outlineLevel="0" collapsed="false">
      <c r="A48" s="8" t="s">
        <v>2972</v>
      </c>
      <c r="B48" s="8" t="s">
        <v>192</v>
      </c>
      <c r="C48" s="8" t="s">
        <v>2829</v>
      </c>
      <c r="D48" s="8" t="s">
        <v>2973</v>
      </c>
      <c r="E48" s="8" t="s">
        <v>2974</v>
      </c>
      <c r="F48" s="8" t="s">
        <v>2975</v>
      </c>
      <c r="G48" s="8" t="s">
        <v>2976</v>
      </c>
      <c r="H48" s="8" t="n">
        <v>28</v>
      </c>
      <c r="I48" s="34" t="n">
        <v>30.7</v>
      </c>
      <c r="J48" s="34"/>
      <c r="K48" s="34" t="n">
        <f aca="false">MAX(ROUNDUP(I48,0),H48)</f>
        <v>31</v>
      </c>
      <c r="L48" s="34" t="str">
        <f aca="false">IF(J48="","",J48-K48)</f>
        <v/>
      </c>
      <c r="M48" s="35"/>
      <c r="N48" s="35" t="n">
        <f aca="false">IF(C48="covered",10.4,7.55)</f>
        <v>7.55</v>
      </c>
      <c r="O48" s="35" t="str">
        <f aca="false">IF(M48="","",M48-N48)</f>
        <v/>
      </c>
      <c r="P48" s="8"/>
      <c r="Q48" s="36"/>
      <c r="R48" s="36" t="str">
        <f aca="false">IF(OR(J48="",P48=""),"",K48*N48*P48)</f>
        <v/>
      </c>
      <c r="S48" s="36" t="str">
        <f aca="false">IF(Q48="","",Q48-R48)</f>
        <v/>
      </c>
      <c r="T48" s="36" t="str">
        <f aca="false">IF(S48="","",MAX(0,-S48))</f>
        <v/>
      </c>
      <c r="U48" s="36" t="str">
        <f aca="false">IF(S48="","",MAX(0,S48))</f>
        <v/>
      </c>
      <c r="V48" s="8" t="str">
        <f aca="false">IF(J48="","NOT SCORED - NO JULY MONTHLY ROW",IF(OR(ABS(L48)&gt;0.005,ABS(O48)&gt;0.005,ABS(S48)&gt;0.005),"EXCEPTION","OK"))</f>
        <v>NOT SCORED - NO JULY MONTHLY ROW</v>
      </c>
      <c r="W48" s="8"/>
      <c r="X48" s="8" t="s">
        <v>2834</v>
      </c>
      <c r="Y48" s="36" t="n">
        <f aca="false">K48*N48</f>
        <v>234.05</v>
      </c>
    </row>
    <row r="49" customFormat="false" ht="20.85" hidden="false" customHeight="false" outlineLevel="0" collapsed="false">
      <c r="A49" s="11" t="s">
        <v>2977</v>
      </c>
      <c r="B49" s="11" t="s">
        <v>192</v>
      </c>
      <c r="C49" s="11" t="s">
        <v>2829</v>
      </c>
      <c r="D49" s="11" t="s">
        <v>2978</v>
      </c>
      <c r="E49" s="11" t="s">
        <v>2681</v>
      </c>
      <c r="F49" s="11" t="s">
        <v>2979</v>
      </c>
      <c r="G49" s="11" t="s">
        <v>2980</v>
      </c>
      <c r="H49" s="11" t="n">
        <v>32</v>
      </c>
      <c r="I49" s="31" t="n">
        <v>55.7</v>
      </c>
      <c r="J49" s="31"/>
      <c r="K49" s="31" t="n">
        <f aca="false">MAX(ROUNDUP(I49,0),H49)</f>
        <v>56</v>
      </c>
      <c r="L49" s="31" t="str">
        <f aca="false">IF(J49="","",J49-K49)</f>
        <v/>
      </c>
      <c r="M49" s="32"/>
      <c r="N49" s="32" t="n">
        <f aca="false">IF(C49="covered",10.4,7.55)</f>
        <v>7.55</v>
      </c>
      <c r="O49" s="32" t="str">
        <f aca="false">IF(M49="","",M49-N49)</f>
        <v/>
      </c>
      <c r="P49" s="11"/>
      <c r="Q49" s="33"/>
      <c r="R49" s="33" t="str">
        <f aca="false">IF(OR(J49="",P49=""),"",K49*N49*P49)</f>
        <v/>
      </c>
      <c r="S49" s="33" t="str">
        <f aca="false">IF(Q49="","",Q49-R49)</f>
        <v/>
      </c>
      <c r="T49" s="33" t="str">
        <f aca="false">IF(S49="","",MAX(0,-S49))</f>
        <v/>
      </c>
      <c r="U49" s="33" t="str">
        <f aca="false">IF(S49="","",MAX(0,S49))</f>
        <v/>
      </c>
      <c r="V49" s="11" t="str">
        <f aca="false">IF(J49="","NOT SCORED - NO JULY MONTHLY ROW",IF(OR(ABS(L49)&gt;0.005,ABS(O49)&gt;0.005,ABS(S49)&gt;0.005),"EXCEPTION","OK"))</f>
        <v>NOT SCORED - NO JULY MONTHLY ROW</v>
      </c>
      <c r="W49" s="11"/>
      <c r="X49" s="11" t="s">
        <v>2834</v>
      </c>
      <c r="Y49" s="33" t="n">
        <f aca="false">K49*N49</f>
        <v>422.8</v>
      </c>
    </row>
    <row r="50" customFormat="false" ht="20.85" hidden="false" customHeight="false" outlineLevel="0" collapsed="false">
      <c r="A50" s="8" t="s">
        <v>305</v>
      </c>
      <c r="B50" s="8" t="s">
        <v>192</v>
      </c>
      <c r="C50" s="8" t="s">
        <v>2829</v>
      </c>
      <c r="D50" s="8" t="s">
        <v>2981</v>
      </c>
      <c r="E50" s="8" t="s">
        <v>1570</v>
      </c>
      <c r="F50" s="8" t="s">
        <v>1571</v>
      </c>
      <c r="G50" s="8" t="s">
        <v>2982</v>
      </c>
      <c r="H50" s="8" t="n">
        <v>24</v>
      </c>
      <c r="I50" s="34" t="n">
        <v>58.3</v>
      </c>
      <c r="J50" s="34"/>
      <c r="K50" s="34" t="n">
        <f aca="false">MAX(ROUNDUP(I50,0),H50)</f>
        <v>59</v>
      </c>
      <c r="L50" s="34" t="str">
        <f aca="false">IF(J50="","",J50-K50)</f>
        <v/>
      </c>
      <c r="M50" s="35"/>
      <c r="N50" s="35" t="n">
        <f aca="false">IF(C50="covered",10.4,7.55)</f>
        <v>7.55</v>
      </c>
      <c r="O50" s="35" t="str">
        <f aca="false">IF(M50="","",M50-N50)</f>
        <v/>
      </c>
      <c r="P50" s="8"/>
      <c r="Q50" s="36"/>
      <c r="R50" s="36" t="str">
        <f aca="false">IF(OR(J50="",P50=""),"",K50*N50*P50)</f>
        <v/>
      </c>
      <c r="S50" s="36" t="str">
        <f aca="false">IF(Q50="","",Q50-R50)</f>
        <v/>
      </c>
      <c r="T50" s="36" t="str">
        <f aca="false">IF(S50="","",MAX(0,-S50))</f>
        <v/>
      </c>
      <c r="U50" s="36" t="str">
        <f aca="false">IF(S50="","",MAX(0,S50))</f>
        <v/>
      </c>
      <c r="V50" s="8" t="str">
        <f aca="false">IF(J50="","NOT SCORED - NO JULY MONTHLY ROW",IF(OR(ABS(L50)&gt;0.005,ABS(O50)&gt;0.005,ABS(S50)&gt;0.005),"EXCEPTION","OK"))</f>
        <v>NOT SCORED - NO JULY MONTHLY ROW</v>
      </c>
      <c r="W50" s="8"/>
      <c r="X50" s="8" t="s">
        <v>2834</v>
      </c>
      <c r="Y50" s="36" t="n">
        <f aca="false">K50*N50</f>
        <v>445.45</v>
      </c>
    </row>
    <row r="51" customFormat="false" ht="20.85" hidden="false" customHeight="false" outlineLevel="0" collapsed="false">
      <c r="A51" s="11" t="s">
        <v>2983</v>
      </c>
      <c r="B51" s="11" t="s">
        <v>192</v>
      </c>
      <c r="C51" s="11" t="s">
        <v>2829</v>
      </c>
      <c r="D51" s="11" t="s">
        <v>2984</v>
      </c>
      <c r="E51" s="11" t="s">
        <v>2985</v>
      </c>
      <c r="F51" s="11" t="s">
        <v>2986</v>
      </c>
      <c r="G51" s="11" t="s">
        <v>2987</v>
      </c>
      <c r="H51" s="11" t="n">
        <v>32</v>
      </c>
      <c r="I51" s="31" t="n">
        <v>50.2</v>
      </c>
      <c r="J51" s="31"/>
      <c r="K51" s="31" t="n">
        <f aca="false">MAX(ROUNDUP(I51,0),H51)</f>
        <v>51</v>
      </c>
      <c r="L51" s="31" t="str">
        <f aca="false">IF(J51="","",J51-K51)</f>
        <v/>
      </c>
      <c r="M51" s="32"/>
      <c r="N51" s="32" t="n">
        <f aca="false">IF(C51="covered",10.4,7.55)</f>
        <v>7.55</v>
      </c>
      <c r="O51" s="32" t="str">
        <f aca="false">IF(M51="","",M51-N51)</f>
        <v/>
      </c>
      <c r="P51" s="11"/>
      <c r="Q51" s="33"/>
      <c r="R51" s="33" t="str">
        <f aca="false">IF(OR(J51="",P51=""),"",K51*N51*P51)</f>
        <v/>
      </c>
      <c r="S51" s="33" t="str">
        <f aca="false">IF(Q51="","",Q51-R51)</f>
        <v/>
      </c>
      <c r="T51" s="33" t="str">
        <f aca="false">IF(S51="","",MAX(0,-S51))</f>
        <v/>
      </c>
      <c r="U51" s="33" t="str">
        <f aca="false">IF(S51="","",MAX(0,S51))</f>
        <v/>
      </c>
      <c r="V51" s="11" t="str">
        <f aca="false">IF(J51="","NOT SCORED - NO JULY MONTHLY ROW",IF(OR(ABS(L51)&gt;0.005,ABS(O51)&gt;0.005,ABS(S51)&gt;0.005),"EXCEPTION","OK"))</f>
        <v>NOT SCORED - NO JULY MONTHLY ROW</v>
      </c>
      <c r="W51" s="11"/>
      <c r="X51" s="11" t="s">
        <v>2834</v>
      </c>
      <c r="Y51" s="33" t="n">
        <f aca="false">K51*N51</f>
        <v>385.05</v>
      </c>
    </row>
    <row r="52" customFormat="false" ht="20.85" hidden="false" customHeight="false" outlineLevel="0" collapsed="false">
      <c r="A52" s="8" t="s">
        <v>2988</v>
      </c>
      <c r="B52" s="8" t="s">
        <v>192</v>
      </c>
      <c r="C52" s="8" t="s">
        <v>2829</v>
      </c>
      <c r="D52" s="8" t="s">
        <v>2989</v>
      </c>
      <c r="E52" s="8" t="s">
        <v>2990</v>
      </c>
      <c r="F52" s="8" t="s">
        <v>2991</v>
      </c>
      <c r="G52" s="8" t="s">
        <v>2992</v>
      </c>
      <c r="H52" s="8" t="n">
        <v>24</v>
      </c>
      <c r="I52" s="34" t="n">
        <v>30.5</v>
      </c>
      <c r="J52" s="34"/>
      <c r="K52" s="34" t="n">
        <f aca="false">MAX(ROUNDUP(I52,0),H52)</f>
        <v>31</v>
      </c>
      <c r="L52" s="34" t="str">
        <f aca="false">IF(J52="","",J52-K52)</f>
        <v/>
      </c>
      <c r="M52" s="35"/>
      <c r="N52" s="35" t="n">
        <f aca="false">IF(C52="covered",10.4,7.55)</f>
        <v>7.55</v>
      </c>
      <c r="O52" s="35" t="str">
        <f aca="false">IF(M52="","",M52-N52)</f>
        <v/>
      </c>
      <c r="P52" s="8"/>
      <c r="Q52" s="36"/>
      <c r="R52" s="36" t="str">
        <f aca="false">IF(OR(J52="",P52=""),"",K52*N52*P52)</f>
        <v/>
      </c>
      <c r="S52" s="36" t="str">
        <f aca="false">IF(Q52="","",Q52-R52)</f>
        <v/>
      </c>
      <c r="T52" s="36" t="str">
        <f aca="false">IF(S52="","",MAX(0,-S52))</f>
        <v/>
      </c>
      <c r="U52" s="36" t="str">
        <f aca="false">IF(S52="","",MAX(0,S52))</f>
        <v/>
      </c>
      <c r="V52" s="8" t="str">
        <f aca="false">IF(J52="","NOT SCORED - NO JULY MONTHLY ROW",IF(OR(ABS(L52)&gt;0.005,ABS(O52)&gt;0.005,ABS(S52)&gt;0.005),"EXCEPTION","OK"))</f>
        <v>NOT SCORED - NO JULY MONTHLY ROW</v>
      </c>
      <c r="W52" s="8"/>
      <c r="X52" s="8" t="s">
        <v>2834</v>
      </c>
      <c r="Y52" s="36" t="n">
        <f aca="false">K52*N52</f>
        <v>234.05</v>
      </c>
    </row>
    <row r="53" customFormat="false" ht="20.85" hidden="false" customHeight="false" outlineLevel="0" collapsed="false">
      <c r="A53" s="11" t="s">
        <v>2993</v>
      </c>
      <c r="B53" s="11" t="s">
        <v>192</v>
      </c>
      <c r="C53" s="11" t="s">
        <v>2829</v>
      </c>
      <c r="D53" s="11" t="s">
        <v>2994</v>
      </c>
      <c r="E53" s="11" t="s">
        <v>2995</v>
      </c>
      <c r="F53" s="11" t="s">
        <v>2996</v>
      </c>
      <c r="G53" s="11" t="s">
        <v>2997</v>
      </c>
      <c r="H53" s="11" t="n">
        <v>45</v>
      </c>
      <c r="I53" s="31" t="n">
        <v>28.6</v>
      </c>
      <c r="J53" s="31"/>
      <c r="K53" s="31" t="n">
        <f aca="false">MAX(ROUNDUP(I53,0),H53)</f>
        <v>45</v>
      </c>
      <c r="L53" s="31" t="str">
        <f aca="false">IF(J53="","",J53-K53)</f>
        <v/>
      </c>
      <c r="M53" s="32"/>
      <c r="N53" s="32" t="n">
        <f aca="false">IF(C53="covered",10.4,7.55)</f>
        <v>7.55</v>
      </c>
      <c r="O53" s="32" t="str">
        <f aca="false">IF(M53="","",M53-N53)</f>
        <v/>
      </c>
      <c r="P53" s="11"/>
      <c r="Q53" s="33"/>
      <c r="R53" s="33" t="str">
        <f aca="false">IF(OR(J53="",P53=""),"",K53*N53*P53)</f>
        <v/>
      </c>
      <c r="S53" s="33" t="str">
        <f aca="false">IF(Q53="","",Q53-R53)</f>
        <v/>
      </c>
      <c r="T53" s="33" t="str">
        <f aca="false">IF(S53="","",MAX(0,-S53))</f>
        <v/>
      </c>
      <c r="U53" s="33" t="str">
        <f aca="false">IF(S53="","",MAX(0,S53))</f>
        <v/>
      </c>
      <c r="V53" s="11" t="str">
        <f aca="false">IF(J53="","NOT SCORED - NO JULY MONTHLY ROW",IF(OR(ABS(L53)&gt;0.005,ABS(O53)&gt;0.005,ABS(S53)&gt;0.005),"EXCEPTION","OK"))</f>
        <v>NOT SCORED - NO JULY MONTHLY ROW</v>
      </c>
      <c r="W53" s="11"/>
      <c r="X53" s="11" t="s">
        <v>2834</v>
      </c>
      <c r="Y53" s="33" t="n">
        <f aca="false">K53*N53</f>
        <v>339.75</v>
      </c>
    </row>
    <row r="54" customFormat="false" ht="20.85" hidden="false" customHeight="false" outlineLevel="0" collapsed="false">
      <c r="A54" s="8" t="s">
        <v>1943</v>
      </c>
      <c r="B54" s="8" t="s">
        <v>192</v>
      </c>
      <c r="C54" s="8" t="s">
        <v>2829</v>
      </c>
      <c r="D54" s="8" t="s">
        <v>2998</v>
      </c>
      <c r="E54" s="8" t="s">
        <v>2658</v>
      </c>
      <c r="F54" s="8" t="s">
        <v>2999</v>
      </c>
      <c r="G54" s="8" t="s">
        <v>3000</v>
      </c>
      <c r="H54" s="8" t="n">
        <v>70</v>
      </c>
      <c r="I54" s="34" t="n">
        <v>39.9</v>
      </c>
      <c r="J54" s="34"/>
      <c r="K54" s="34" t="n">
        <f aca="false">MAX(ROUNDUP(I54,0),H54)</f>
        <v>70</v>
      </c>
      <c r="L54" s="34" t="str">
        <f aca="false">IF(J54="","",J54-K54)</f>
        <v/>
      </c>
      <c r="M54" s="35"/>
      <c r="N54" s="35" t="n">
        <f aca="false">IF(C54="covered",10.4,7.55)</f>
        <v>7.55</v>
      </c>
      <c r="O54" s="35" t="str">
        <f aca="false">IF(M54="","",M54-N54)</f>
        <v/>
      </c>
      <c r="P54" s="8"/>
      <c r="Q54" s="36"/>
      <c r="R54" s="36" t="str">
        <f aca="false">IF(OR(J54="",P54=""),"",K54*N54*P54)</f>
        <v/>
      </c>
      <c r="S54" s="36" t="str">
        <f aca="false">IF(Q54="","",Q54-R54)</f>
        <v/>
      </c>
      <c r="T54" s="36" t="str">
        <f aca="false">IF(S54="","",MAX(0,-S54))</f>
        <v/>
      </c>
      <c r="U54" s="36" t="str">
        <f aca="false">IF(S54="","",MAX(0,S54))</f>
        <v/>
      </c>
      <c r="V54" s="8" t="str">
        <f aca="false">IF(J54="","NOT SCORED - NO JULY MONTHLY ROW",IF(OR(ABS(L54)&gt;0.005,ABS(O54)&gt;0.005,ABS(S54)&gt;0.005),"EXCEPTION","OK"))</f>
        <v>NOT SCORED - NO JULY MONTHLY ROW</v>
      </c>
      <c r="W54" s="8"/>
      <c r="X54" s="8" t="s">
        <v>2834</v>
      </c>
      <c r="Y54" s="36" t="n">
        <f aca="false">K54*N54</f>
        <v>528.5</v>
      </c>
    </row>
    <row r="55" customFormat="false" ht="20.85" hidden="false" customHeight="false" outlineLevel="0" collapsed="false">
      <c r="A55" s="11" t="s">
        <v>3001</v>
      </c>
      <c r="B55" s="11" t="s">
        <v>192</v>
      </c>
      <c r="C55" s="11" t="s">
        <v>2829</v>
      </c>
      <c r="D55" s="11" t="s">
        <v>3002</v>
      </c>
      <c r="E55" s="11" t="s">
        <v>3003</v>
      </c>
      <c r="F55" s="11" t="s">
        <v>3004</v>
      </c>
      <c r="G55" s="11" t="s">
        <v>3005</v>
      </c>
      <c r="H55" s="11" t="n">
        <v>28</v>
      </c>
      <c r="I55" s="31" t="n">
        <v>36.1</v>
      </c>
      <c r="J55" s="31"/>
      <c r="K55" s="31" t="n">
        <f aca="false">MAX(ROUNDUP(I55,0),H55)</f>
        <v>37</v>
      </c>
      <c r="L55" s="31" t="str">
        <f aca="false">IF(J55="","",J55-K55)</f>
        <v/>
      </c>
      <c r="M55" s="32"/>
      <c r="N55" s="32" t="n">
        <f aca="false">IF(C55="covered",10.4,7.55)</f>
        <v>7.55</v>
      </c>
      <c r="O55" s="32" t="str">
        <f aca="false">IF(M55="","",M55-N55)</f>
        <v/>
      </c>
      <c r="P55" s="11"/>
      <c r="Q55" s="33"/>
      <c r="R55" s="33" t="str">
        <f aca="false">IF(OR(J55="",P55=""),"",K55*N55*P55)</f>
        <v/>
      </c>
      <c r="S55" s="33" t="str">
        <f aca="false">IF(Q55="","",Q55-R55)</f>
        <v/>
      </c>
      <c r="T55" s="33" t="str">
        <f aca="false">IF(S55="","",MAX(0,-S55))</f>
        <v/>
      </c>
      <c r="U55" s="33" t="str">
        <f aca="false">IF(S55="","",MAX(0,S55))</f>
        <v/>
      </c>
      <c r="V55" s="11" t="str">
        <f aca="false">IF(J55="","NOT SCORED - NO JULY MONTHLY ROW",IF(OR(ABS(L55)&gt;0.005,ABS(O55)&gt;0.005,ABS(S55)&gt;0.005),"EXCEPTION","OK"))</f>
        <v>NOT SCORED - NO JULY MONTHLY ROW</v>
      </c>
      <c r="W55" s="11"/>
      <c r="X55" s="11" t="s">
        <v>2834</v>
      </c>
      <c r="Y55" s="33" t="n">
        <f aca="false">K55*N55</f>
        <v>279.35</v>
      </c>
    </row>
    <row r="56" customFormat="false" ht="20.85" hidden="false" customHeight="false" outlineLevel="0" collapsed="false">
      <c r="A56" s="8" t="s">
        <v>1679</v>
      </c>
      <c r="B56" s="8" t="s">
        <v>192</v>
      </c>
      <c r="C56" s="8" t="s">
        <v>2829</v>
      </c>
      <c r="D56" s="8" t="s">
        <v>3006</v>
      </c>
      <c r="E56" s="8" t="s">
        <v>3007</v>
      </c>
      <c r="F56" s="8" t="s">
        <v>3008</v>
      </c>
      <c r="G56" s="8" t="s">
        <v>3009</v>
      </c>
      <c r="H56" s="8" t="n">
        <v>60</v>
      </c>
      <c r="I56" s="34" t="n">
        <v>53.2</v>
      </c>
      <c r="J56" s="34"/>
      <c r="K56" s="34" t="n">
        <f aca="false">MAX(ROUNDUP(I56,0),H56)</f>
        <v>60</v>
      </c>
      <c r="L56" s="34" t="str">
        <f aca="false">IF(J56="","",J56-K56)</f>
        <v/>
      </c>
      <c r="M56" s="35"/>
      <c r="N56" s="35" t="n">
        <f aca="false">IF(C56="covered",10.4,7.55)</f>
        <v>7.55</v>
      </c>
      <c r="O56" s="35" t="str">
        <f aca="false">IF(M56="","",M56-N56)</f>
        <v/>
      </c>
      <c r="P56" s="8"/>
      <c r="Q56" s="36"/>
      <c r="R56" s="36" t="str">
        <f aca="false">IF(OR(J56="",P56=""),"",K56*N56*P56)</f>
        <v/>
      </c>
      <c r="S56" s="36" t="str">
        <f aca="false">IF(Q56="","",Q56-R56)</f>
        <v/>
      </c>
      <c r="T56" s="36" t="str">
        <f aca="false">IF(S56="","",MAX(0,-S56))</f>
        <v/>
      </c>
      <c r="U56" s="36" t="str">
        <f aca="false">IF(S56="","",MAX(0,S56))</f>
        <v/>
      </c>
      <c r="V56" s="8" t="str">
        <f aca="false">IF(J56="","NOT SCORED - NO JULY MONTHLY ROW",IF(OR(ABS(L56)&gt;0.005,ABS(O56)&gt;0.005,ABS(S56)&gt;0.005),"EXCEPTION","OK"))</f>
        <v>NOT SCORED - NO JULY MONTHLY ROW</v>
      </c>
      <c r="W56" s="8"/>
      <c r="X56" s="8" t="s">
        <v>2834</v>
      </c>
      <c r="Y56" s="36" t="n">
        <f aca="false">K56*N56</f>
        <v>453</v>
      </c>
    </row>
    <row r="57" customFormat="false" ht="20.85" hidden="false" customHeight="false" outlineLevel="0" collapsed="false">
      <c r="A57" s="11" t="s">
        <v>3010</v>
      </c>
      <c r="B57" s="11" t="s">
        <v>192</v>
      </c>
      <c r="C57" s="11" t="s">
        <v>2829</v>
      </c>
      <c r="D57" s="11" t="s">
        <v>3011</v>
      </c>
      <c r="E57" s="11" t="s">
        <v>3012</v>
      </c>
      <c r="F57" s="11" t="s">
        <v>3013</v>
      </c>
      <c r="G57" s="11" t="s">
        <v>2855</v>
      </c>
      <c r="H57" s="11" t="n">
        <v>70</v>
      </c>
      <c r="I57" s="31" t="n">
        <v>34.2</v>
      </c>
      <c r="J57" s="31"/>
      <c r="K57" s="31" t="n">
        <f aca="false">MAX(ROUNDUP(I57,0),H57)</f>
        <v>70</v>
      </c>
      <c r="L57" s="31" t="str">
        <f aca="false">IF(J57="","",J57-K57)</f>
        <v/>
      </c>
      <c r="M57" s="32"/>
      <c r="N57" s="32" t="n">
        <f aca="false">IF(C57="covered",10.4,7.55)</f>
        <v>7.55</v>
      </c>
      <c r="O57" s="32" t="str">
        <f aca="false">IF(M57="","",M57-N57)</f>
        <v/>
      </c>
      <c r="P57" s="11"/>
      <c r="Q57" s="33"/>
      <c r="R57" s="33" t="str">
        <f aca="false">IF(OR(J57="",P57=""),"",K57*N57*P57)</f>
        <v/>
      </c>
      <c r="S57" s="33" t="str">
        <f aca="false">IF(Q57="","",Q57-R57)</f>
        <v/>
      </c>
      <c r="T57" s="33" t="str">
        <f aca="false">IF(S57="","",MAX(0,-S57))</f>
        <v/>
      </c>
      <c r="U57" s="33" t="str">
        <f aca="false">IF(S57="","",MAX(0,S57))</f>
        <v/>
      </c>
      <c r="V57" s="11" t="str">
        <f aca="false">IF(J57="","NOT SCORED - NO JULY MONTHLY ROW",IF(OR(ABS(L57)&gt;0.005,ABS(O57)&gt;0.005,ABS(S57)&gt;0.005),"EXCEPTION","OK"))</f>
        <v>NOT SCORED - NO JULY MONTHLY ROW</v>
      </c>
      <c r="W57" s="11"/>
      <c r="X57" s="11" t="s">
        <v>2834</v>
      </c>
      <c r="Y57" s="33" t="n">
        <f aca="false">K57*N57</f>
        <v>528.5</v>
      </c>
    </row>
    <row r="58" customFormat="false" ht="20.85" hidden="false" customHeight="false" outlineLevel="0" collapsed="false">
      <c r="A58" s="8" t="s">
        <v>73</v>
      </c>
      <c r="B58" s="8" t="s">
        <v>192</v>
      </c>
      <c r="C58" s="8" t="s">
        <v>2829</v>
      </c>
      <c r="D58" s="8" t="s">
        <v>3014</v>
      </c>
      <c r="E58" s="8" t="s">
        <v>3015</v>
      </c>
      <c r="F58" s="8" t="s">
        <v>3016</v>
      </c>
      <c r="G58" s="8" t="s">
        <v>3017</v>
      </c>
      <c r="H58" s="8" t="n">
        <v>32</v>
      </c>
      <c r="I58" s="34" t="n">
        <v>36.4</v>
      </c>
      <c r="J58" s="34"/>
      <c r="K58" s="34" t="n">
        <f aca="false">MAX(ROUNDUP(I58,0),H58)</f>
        <v>37</v>
      </c>
      <c r="L58" s="34" t="str">
        <f aca="false">IF(J58="","",J58-K58)</f>
        <v/>
      </c>
      <c r="M58" s="35"/>
      <c r="N58" s="35" t="n">
        <f aca="false">IF(C58="covered",10.4,7.55)</f>
        <v>7.55</v>
      </c>
      <c r="O58" s="35" t="str">
        <f aca="false">IF(M58="","",M58-N58)</f>
        <v/>
      </c>
      <c r="P58" s="8"/>
      <c r="Q58" s="36"/>
      <c r="R58" s="36" t="str">
        <f aca="false">IF(OR(J58="",P58=""),"",K58*N58*P58)</f>
        <v/>
      </c>
      <c r="S58" s="36" t="str">
        <f aca="false">IF(Q58="","",Q58-R58)</f>
        <v/>
      </c>
      <c r="T58" s="36" t="str">
        <f aca="false">IF(S58="","",MAX(0,-S58))</f>
        <v/>
      </c>
      <c r="U58" s="36" t="str">
        <f aca="false">IF(S58="","",MAX(0,S58))</f>
        <v/>
      </c>
      <c r="V58" s="8" t="str">
        <f aca="false">IF(J58="","NOT SCORED - NO JULY MONTHLY ROW",IF(OR(ABS(L58)&gt;0.005,ABS(O58)&gt;0.005,ABS(S58)&gt;0.005),"EXCEPTION","OK"))</f>
        <v>NOT SCORED - NO JULY MONTHLY ROW</v>
      </c>
      <c r="W58" s="8"/>
      <c r="X58" s="8" t="s">
        <v>2834</v>
      </c>
      <c r="Y58" s="36" t="n">
        <f aca="false">K58*N58</f>
        <v>279.35</v>
      </c>
    </row>
    <row r="59" customFormat="false" ht="20.85" hidden="false" customHeight="false" outlineLevel="0" collapsed="false">
      <c r="A59" s="11" t="s">
        <v>653</v>
      </c>
      <c r="B59" s="11" t="s">
        <v>192</v>
      </c>
      <c r="C59" s="11" t="s">
        <v>2829</v>
      </c>
      <c r="D59" s="11" t="s">
        <v>3018</v>
      </c>
      <c r="E59" s="11" t="s">
        <v>3019</v>
      </c>
      <c r="F59" s="11" t="s">
        <v>3020</v>
      </c>
      <c r="G59" s="11" t="s">
        <v>3021</v>
      </c>
      <c r="H59" s="11" t="n">
        <v>32</v>
      </c>
      <c r="I59" s="31" t="n">
        <v>53.6</v>
      </c>
      <c r="J59" s="31"/>
      <c r="K59" s="31" t="n">
        <f aca="false">MAX(ROUNDUP(I59,0),H59)</f>
        <v>54</v>
      </c>
      <c r="L59" s="31" t="str">
        <f aca="false">IF(J59="","",J59-K59)</f>
        <v/>
      </c>
      <c r="M59" s="32"/>
      <c r="N59" s="32" t="n">
        <f aca="false">IF(C59="covered",10.4,7.55)</f>
        <v>7.55</v>
      </c>
      <c r="O59" s="32" t="str">
        <f aca="false">IF(M59="","",M59-N59)</f>
        <v/>
      </c>
      <c r="P59" s="11"/>
      <c r="Q59" s="33"/>
      <c r="R59" s="33" t="str">
        <f aca="false">IF(OR(J59="",P59=""),"",K59*N59*P59)</f>
        <v/>
      </c>
      <c r="S59" s="33" t="str">
        <f aca="false">IF(Q59="","",Q59-R59)</f>
        <v/>
      </c>
      <c r="T59" s="33" t="str">
        <f aca="false">IF(S59="","",MAX(0,-S59))</f>
        <v/>
      </c>
      <c r="U59" s="33" t="str">
        <f aca="false">IF(S59="","",MAX(0,S59))</f>
        <v/>
      </c>
      <c r="V59" s="11" t="str">
        <f aca="false">IF(J59="","NOT SCORED - NO JULY MONTHLY ROW",IF(OR(ABS(L59)&gt;0.005,ABS(O59)&gt;0.005,ABS(S59)&gt;0.005),"EXCEPTION","OK"))</f>
        <v>NOT SCORED - NO JULY MONTHLY ROW</v>
      </c>
      <c r="W59" s="11"/>
      <c r="X59" s="11" t="s">
        <v>2834</v>
      </c>
      <c r="Y59" s="33" t="n">
        <f aca="false">K59*N59</f>
        <v>407.7</v>
      </c>
    </row>
    <row r="60" customFormat="false" ht="20.85" hidden="false" customHeight="false" outlineLevel="0" collapsed="false">
      <c r="A60" s="8" t="s">
        <v>3022</v>
      </c>
      <c r="B60" s="8" t="s">
        <v>192</v>
      </c>
      <c r="C60" s="8" t="s">
        <v>2829</v>
      </c>
      <c r="D60" s="8" t="s">
        <v>3023</v>
      </c>
      <c r="E60" s="8" t="s">
        <v>823</v>
      </c>
      <c r="F60" s="8" t="s">
        <v>824</v>
      </c>
      <c r="G60" s="8" t="s">
        <v>3024</v>
      </c>
      <c r="H60" s="8" t="n">
        <v>50</v>
      </c>
      <c r="I60" s="34" t="n">
        <v>43.6</v>
      </c>
      <c r="J60" s="34"/>
      <c r="K60" s="34" t="n">
        <f aca="false">MAX(ROUNDUP(I60,0),H60)</f>
        <v>50</v>
      </c>
      <c r="L60" s="34" t="str">
        <f aca="false">IF(J60="","",J60-K60)</f>
        <v/>
      </c>
      <c r="M60" s="35"/>
      <c r="N60" s="35" t="n">
        <f aca="false">IF(C60="covered",10.4,7.55)</f>
        <v>7.55</v>
      </c>
      <c r="O60" s="35" t="str">
        <f aca="false">IF(M60="","",M60-N60)</f>
        <v/>
      </c>
      <c r="P60" s="8"/>
      <c r="Q60" s="36"/>
      <c r="R60" s="36" t="str">
        <f aca="false">IF(OR(J60="",P60=""),"",K60*N60*P60)</f>
        <v/>
      </c>
      <c r="S60" s="36" t="str">
        <f aca="false">IF(Q60="","",Q60-R60)</f>
        <v/>
      </c>
      <c r="T60" s="36" t="str">
        <f aca="false">IF(S60="","",MAX(0,-S60))</f>
        <v/>
      </c>
      <c r="U60" s="36" t="str">
        <f aca="false">IF(S60="","",MAX(0,S60))</f>
        <v/>
      </c>
      <c r="V60" s="8" t="str">
        <f aca="false">IF(J60="","NOT SCORED - NO JULY MONTHLY ROW",IF(OR(ABS(L60)&gt;0.005,ABS(O60)&gt;0.005,ABS(S60)&gt;0.005),"EXCEPTION","OK"))</f>
        <v>NOT SCORED - NO JULY MONTHLY ROW</v>
      </c>
      <c r="W60" s="8"/>
      <c r="X60" s="8" t="s">
        <v>2834</v>
      </c>
      <c r="Y60" s="36" t="n">
        <f aca="false">K60*N60</f>
        <v>377.5</v>
      </c>
    </row>
    <row r="61" customFormat="false" ht="20.85" hidden="false" customHeight="false" outlineLevel="0" collapsed="false">
      <c r="A61" s="11" t="s">
        <v>780</v>
      </c>
      <c r="B61" s="11" t="s">
        <v>192</v>
      </c>
      <c r="C61" s="11" t="s">
        <v>2829</v>
      </c>
      <c r="D61" s="11" t="s">
        <v>3025</v>
      </c>
      <c r="E61" s="11" t="s">
        <v>3026</v>
      </c>
      <c r="F61" s="11" t="s">
        <v>3027</v>
      </c>
      <c r="G61" s="11" t="s">
        <v>3028</v>
      </c>
      <c r="H61" s="11" t="n">
        <v>24</v>
      </c>
      <c r="I61" s="31" t="n">
        <v>58.6</v>
      </c>
      <c r="J61" s="31"/>
      <c r="K61" s="31" t="n">
        <f aca="false">MAX(ROUNDUP(I61,0),H61)</f>
        <v>59</v>
      </c>
      <c r="L61" s="31" t="str">
        <f aca="false">IF(J61="","",J61-K61)</f>
        <v/>
      </c>
      <c r="M61" s="32"/>
      <c r="N61" s="32" t="n">
        <f aca="false">IF(C61="covered",10.4,7.55)</f>
        <v>7.55</v>
      </c>
      <c r="O61" s="32" t="str">
        <f aca="false">IF(M61="","",M61-N61)</f>
        <v/>
      </c>
      <c r="P61" s="11"/>
      <c r="Q61" s="33"/>
      <c r="R61" s="33" t="str">
        <f aca="false">IF(OR(J61="",P61=""),"",K61*N61*P61)</f>
        <v/>
      </c>
      <c r="S61" s="33" t="str">
        <f aca="false">IF(Q61="","",Q61-R61)</f>
        <v/>
      </c>
      <c r="T61" s="33" t="str">
        <f aca="false">IF(S61="","",MAX(0,-S61))</f>
        <v/>
      </c>
      <c r="U61" s="33" t="str">
        <f aca="false">IF(S61="","",MAX(0,S61))</f>
        <v/>
      </c>
      <c r="V61" s="11" t="str">
        <f aca="false">IF(J61="","NOT SCORED - NO JULY MONTHLY ROW",IF(OR(ABS(L61)&gt;0.005,ABS(O61)&gt;0.005,ABS(S61)&gt;0.005),"EXCEPTION","OK"))</f>
        <v>NOT SCORED - NO JULY MONTHLY ROW</v>
      </c>
      <c r="W61" s="11"/>
      <c r="X61" s="11" t="s">
        <v>2834</v>
      </c>
      <c r="Y61" s="33" t="n">
        <f aca="false">K61*N61</f>
        <v>445.45</v>
      </c>
    </row>
    <row r="62" customFormat="false" ht="20.85" hidden="false" customHeight="false" outlineLevel="0" collapsed="false">
      <c r="A62" s="8" t="s">
        <v>3029</v>
      </c>
      <c r="B62" s="8" t="s">
        <v>192</v>
      </c>
      <c r="C62" s="8" t="s">
        <v>2829</v>
      </c>
      <c r="D62" s="8" t="s">
        <v>3030</v>
      </c>
      <c r="E62" s="8" t="s">
        <v>3031</v>
      </c>
      <c r="F62" s="8" t="s">
        <v>3032</v>
      </c>
      <c r="G62" s="8" t="s">
        <v>3033</v>
      </c>
      <c r="H62" s="8" t="n">
        <v>80</v>
      </c>
      <c r="I62" s="34" t="n">
        <v>33.4</v>
      </c>
      <c r="J62" s="34"/>
      <c r="K62" s="34" t="n">
        <f aca="false">MAX(ROUNDUP(I62,0),H62)</f>
        <v>80</v>
      </c>
      <c r="L62" s="34" t="str">
        <f aca="false">IF(J62="","",J62-K62)</f>
        <v/>
      </c>
      <c r="M62" s="35"/>
      <c r="N62" s="35" t="n">
        <f aca="false">IF(C62="covered",10.4,7.55)</f>
        <v>7.55</v>
      </c>
      <c r="O62" s="35" t="str">
        <f aca="false">IF(M62="","",M62-N62)</f>
        <v/>
      </c>
      <c r="P62" s="8"/>
      <c r="Q62" s="36"/>
      <c r="R62" s="36" t="str">
        <f aca="false">IF(OR(J62="",P62=""),"",K62*N62*P62)</f>
        <v/>
      </c>
      <c r="S62" s="36" t="str">
        <f aca="false">IF(Q62="","",Q62-R62)</f>
        <v/>
      </c>
      <c r="T62" s="36" t="str">
        <f aca="false">IF(S62="","",MAX(0,-S62))</f>
        <v/>
      </c>
      <c r="U62" s="36" t="str">
        <f aca="false">IF(S62="","",MAX(0,S62))</f>
        <v/>
      </c>
      <c r="V62" s="8" t="str">
        <f aca="false">IF(J62="","NOT SCORED - NO JULY MONTHLY ROW",IF(OR(ABS(L62)&gt;0.005,ABS(O62)&gt;0.005,ABS(S62)&gt;0.005),"EXCEPTION","OK"))</f>
        <v>NOT SCORED - NO JULY MONTHLY ROW</v>
      </c>
      <c r="W62" s="8"/>
      <c r="X62" s="8" t="s">
        <v>2834</v>
      </c>
      <c r="Y62" s="36" t="n">
        <f aca="false">K62*N62</f>
        <v>604</v>
      </c>
    </row>
    <row r="63" customFormat="false" ht="20.85" hidden="false" customHeight="false" outlineLevel="0" collapsed="false">
      <c r="A63" s="11" t="s">
        <v>3034</v>
      </c>
      <c r="B63" s="11" t="s">
        <v>192</v>
      </c>
      <c r="C63" s="11" t="s">
        <v>2829</v>
      </c>
      <c r="D63" s="11" t="s">
        <v>3035</v>
      </c>
      <c r="E63" s="11" t="s">
        <v>3036</v>
      </c>
      <c r="F63" s="11" t="s">
        <v>3037</v>
      </c>
      <c r="G63" s="11" t="s">
        <v>3038</v>
      </c>
      <c r="H63" s="11" t="n">
        <v>24</v>
      </c>
      <c r="I63" s="31" t="n">
        <v>39.3</v>
      </c>
      <c r="J63" s="31"/>
      <c r="K63" s="31" t="n">
        <f aca="false">MAX(ROUNDUP(I63,0),H63)</f>
        <v>40</v>
      </c>
      <c r="L63" s="31" t="str">
        <f aca="false">IF(J63="","",J63-K63)</f>
        <v/>
      </c>
      <c r="M63" s="32"/>
      <c r="N63" s="32" t="n">
        <f aca="false">IF(C63="covered",10.4,7.55)</f>
        <v>7.55</v>
      </c>
      <c r="O63" s="32" t="str">
        <f aca="false">IF(M63="","",M63-N63)</f>
        <v/>
      </c>
      <c r="P63" s="11"/>
      <c r="Q63" s="33"/>
      <c r="R63" s="33" t="str">
        <f aca="false">IF(OR(J63="",P63=""),"",K63*N63*P63)</f>
        <v/>
      </c>
      <c r="S63" s="33" t="str">
        <f aca="false">IF(Q63="","",Q63-R63)</f>
        <v/>
      </c>
      <c r="T63" s="33" t="str">
        <f aca="false">IF(S63="","",MAX(0,-S63))</f>
        <v/>
      </c>
      <c r="U63" s="33" t="str">
        <f aca="false">IF(S63="","",MAX(0,S63))</f>
        <v/>
      </c>
      <c r="V63" s="11" t="str">
        <f aca="false">IF(J63="","NOT SCORED - NO JULY MONTHLY ROW",IF(OR(ABS(L63)&gt;0.005,ABS(O63)&gt;0.005,ABS(S63)&gt;0.005),"EXCEPTION","OK"))</f>
        <v>NOT SCORED - NO JULY MONTHLY ROW</v>
      </c>
      <c r="W63" s="11"/>
      <c r="X63" s="11" t="s">
        <v>2834</v>
      </c>
      <c r="Y63" s="33" t="n">
        <f aca="false">K63*N63</f>
        <v>302</v>
      </c>
    </row>
    <row r="64" customFormat="false" ht="20.85" hidden="false" customHeight="false" outlineLevel="0" collapsed="false">
      <c r="A64" s="8" t="s">
        <v>298</v>
      </c>
      <c r="B64" s="8" t="s">
        <v>192</v>
      </c>
      <c r="C64" s="8" t="s">
        <v>2829</v>
      </c>
      <c r="D64" s="8" t="s">
        <v>3039</v>
      </c>
      <c r="E64" s="8" t="s">
        <v>2248</v>
      </c>
      <c r="F64" s="8" t="s">
        <v>3040</v>
      </c>
      <c r="G64" s="8" t="s">
        <v>3041</v>
      </c>
      <c r="H64" s="8" t="n">
        <v>70</v>
      </c>
      <c r="I64" s="34" t="n">
        <v>28.7</v>
      </c>
      <c r="J64" s="34"/>
      <c r="K64" s="34" t="n">
        <f aca="false">MAX(ROUNDUP(I64,0),H64)</f>
        <v>70</v>
      </c>
      <c r="L64" s="34" t="str">
        <f aca="false">IF(J64="","",J64-K64)</f>
        <v/>
      </c>
      <c r="M64" s="35"/>
      <c r="N64" s="35" t="n">
        <f aca="false">IF(C64="covered",10.4,7.55)</f>
        <v>7.55</v>
      </c>
      <c r="O64" s="35" t="str">
        <f aca="false">IF(M64="","",M64-N64)</f>
        <v/>
      </c>
      <c r="P64" s="8"/>
      <c r="Q64" s="36"/>
      <c r="R64" s="36" t="str">
        <f aca="false">IF(OR(J64="",P64=""),"",K64*N64*P64)</f>
        <v/>
      </c>
      <c r="S64" s="36" t="str">
        <f aca="false">IF(Q64="","",Q64-R64)</f>
        <v/>
      </c>
      <c r="T64" s="36" t="str">
        <f aca="false">IF(S64="","",MAX(0,-S64))</f>
        <v/>
      </c>
      <c r="U64" s="36" t="str">
        <f aca="false">IF(S64="","",MAX(0,S64))</f>
        <v/>
      </c>
      <c r="V64" s="8" t="str">
        <f aca="false">IF(J64="","NOT SCORED - NO JULY MONTHLY ROW",IF(OR(ABS(L64)&gt;0.005,ABS(O64)&gt;0.005,ABS(S64)&gt;0.005),"EXCEPTION","OK"))</f>
        <v>NOT SCORED - NO JULY MONTHLY ROW</v>
      </c>
      <c r="W64" s="8"/>
      <c r="X64" s="8" t="s">
        <v>2834</v>
      </c>
      <c r="Y64" s="36" t="n">
        <f aca="false">K64*N64</f>
        <v>528.5</v>
      </c>
    </row>
    <row r="65" customFormat="false" ht="20.85" hidden="false" customHeight="false" outlineLevel="0" collapsed="false">
      <c r="A65" s="11" t="s">
        <v>3042</v>
      </c>
      <c r="B65" s="11" t="s">
        <v>192</v>
      </c>
      <c r="C65" s="11" t="s">
        <v>2829</v>
      </c>
      <c r="D65" s="11" t="s">
        <v>3043</v>
      </c>
      <c r="E65" s="11" t="s">
        <v>3044</v>
      </c>
      <c r="F65" s="11" t="s">
        <v>3045</v>
      </c>
      <c r="G65" s="11" t="s">
        <v>3046</v>
      </c>
      <c r="H65" s="11" t="n">
        <v>36</v>
      </c>
      <c r="I65" s="31" t="n">
        <v>43.8</v>
      </c>
      <c r="J65" s="31"/>
      <c r="K65" s="31" t="n">
        <f aca="false">MAX(ROUNDUP(I65,0),H65)</f>
        <v>44</v>
      </c>
      <c r="L65" s="31" t="str">
        <f aca="false">IF(J65="","",J65-K65)</f>
        <v/>
      </c>
      <c r="M65" s="32"/>
      <c r="N65" s="32" t="n">
        <f aca="false">IF(C65="covered",10.4,7.55)</f>
        <v>7.55</v>
      </c>
      <c r="O65" s="32" t="str">
        <f aca="false">IF(M65="","",M65-N65)</f>
        <v/>
      </c>
      <c r="P65" s="11"/>
      <c r="Q65" s="33"/>
      <c r="R65" s="33" t="str">
        <f aca="false">IF(OR(J65="",P65=""),"",K65*N65*P65)</f>
        <v/>
      </c>
      <c r="S65" s="33" t="str">
        <f aca="false">IF(Q65="","",Q65-R65)</f>
        <v/>
      </c>
      <c r="T65" s="33" t="str">
        <f aca="false">IF(S65="","",MAX(0,-S65))</f>
        <v/>
      </c>
      <c r="U65" s="33" t="str">
        <f aca="false">IF(S65="","",MAX(0,S65))</f>
        <v/>
      </c>
      <c r="V65" s="11" t="str">
        <f aca="false">IF(J65="","NOT SCORED - NO JULY MONTHLY ROW",IF(OR(ABS(L65)&gt;0.005,ABS(O65)&gt;0.005,ABS(S65)&gt;0.005),"EXCEPTION","OK"))</f>
        <v>NOT SCORED - NO JULY MONTHLY ROW</v>
      </c>
      <c r="W65" s="11"/>
      <c r="X65" s="11" t="s">
        <v>2834</v>
      </c>
      <c r="Y65" s="33" t="n">
        <f aca="false">K65*N65</f>
        <v>332.2</v>
      </c>
    </row>
    <row r="66" customFormat="false" ht="20.85" hidden="false" customHeight="false" outlineLevel="0" collapsed="false">
      <c r="A66" s="8" t="s">
        <v>3047</v>
      </c>
      <c r="B66" s="8" t="s">
        <v>192</v>
      </c>
      <c r="C66" s="8" t="s">
        <v>2829</v>
      </c>
      <c r="D66" s="8" t="s">
        <v>3048</v>
      </c>
      <c r="E66" s="8" t="s">
        <v>3049</v>
      </c>
      <c r="F66" s="8" t="s">
        <v>3050</v>
      </c>
      <c r="G66" s="8" t="s">
        <v>3051</v>
      </c>
      <c r="H66" s="8" t="n">
        <v>45</v>
      </c>
      <c r="I66" s="34" t="n">
        <v>40.5</v>
      </c>
      <c r="J66" s="34"/>
      <c r="K66" s="34" t="n">
        <f aca="false">MAX(ROUNDUP(I66,0),H66)</f>
        <v>45</v>
      </c>
      <c r="L66" s="34" t="str">
        <f aca="false">IF(J66="","",J66-K66)</f>
        <v/>
      </c>
      <c r="M66" s="35"/>
      <c r="N66" s="35" t="n">
        <f aca="false">IF(C66="covered",10.4,7.55)</f>
        <v>7.55</v>
      </c>
      <c r="O66" s="35" t="str">
        <f aca="false">IF(M66="","",M66-N66)</f>
        <v/>
      </c>
      <c r="P66" s="8"/>
      <c r="Q66" s="36"/>
      <c r="R66" s="36" t="str">
        <f aca="false">IF(OR(J66="",P66=""),"",K66*N66*P66)</f>
        <v/>
      </c>
      <c r="S66" s="36" t="str">
        <f aca="false">IF(Q66="","",Q66-R66)</f>
        <v/>
      </c>
      <c r="T66" s="36" t="str">
        <f aca="false">IF(S66="","",MAX(0,-S66))</f>
        <v/>
      </c>
      <c r="U66" s="36" t="str">
        <f aca="false">IF(S66="","",MAX(0,S66))</f>
        <v/>
      </c>
      <c r="V66" s="8" t="str">
        <f aca="false">IF(J66="","NOT SCORED - NO JULY MONTHLY ROW",IF(OR(ABS(L66)&gt;0.005,ABS(O66)&gt;0.005,ABS(S66)&gt;0.005),"EXCEPTION","OK"))</f>
        <v>NOT SCORED - NO JULY MONTHLY ROW</v>
      </c>
      <c r="W66" s="8"/>
      <c r="X66" s="8" t="s">
        <v>2834</v>
      </c>
      <c r="Y66" s="36" t="n">
        <f aca="false">K66*N66</f>
        <v>339.75</v>
      </c>
    </row>
    <row r="67" customFormat="false" ht="20.85" hidden="false" customHeight="false" outlineLevel="0" collapsed="false">
      <c r="A67" s="11" t="s">
        <v>3052</v>
      </c>
      <c r="B67" s="11" t="s">
        <v>192</v>
      </c>
      <c r="C67" s="11" t="s">
        <v>2829</v>
      </c>
      <c r="D67" s="11" t="s">
        <v>3053</v>
      </c>
      <c r="E67" s="11" t="s">
        <v>1380</v>
      </c>
      <c r="F67" s="11" t="s">
        <v>1381</v>
      </c>
      <c r="G67" s="11" t="s">
        <v>3054</v>
      </c>
      <c r="H67" s="11" t="n">
        <v>45</v>
      </c>
      <c r="I67" s="31" t="n">
        <v>48.3</v>
      </c>
      <c r="J67" s="31"/>
      <c r="K67" s="31" t="n">
        <f aca="false">MAX(ROUNDUP(I67,0),H67)</f>
        <v>49</v>
      </c>
      <c r="L67" s="31" t="str">
        <f aca="false">IF(J67="","",J67-K67)</f>
        <v/>
      </c>
      <c r="M67" s="32"/>
      <c r="N67" s="32" t="n">
        <f aca="false">IF(C67="covered",10.4,7.55)</f>
        <v>7.55</v>
      </c>
      <c r="O67" s="32" t="str">
        <f aca="false">IF(M67="","",M67-N67)</f>
        <v/>
      </c>
      <c r="P67" s="11"/>
      <c r="Q67" s="33"/>
      <c r="R67" s="33" t="str">
        <f aca="false">IF(OR(J67="",P67=""),"",K67*N67*P67)</f>
        <v/>
      </c>
      <c r="S67" s="33" t="str">
        <f aca="false">IF(Q67="","",Q67-R67)</f>
        <v/>
      </c>
      <c r="T67" s="33" t="str">
        <f aca="false">IF(S67="","",MAX(0,-S67))</f>
        <v/>
      </c>
      <c r="U67" s="33" t="str">
        <f aca="false">IF(S67="","",MAX(0,S67))</f>
        <v/>
      </c>
      <c r="V67" s="11" t="str">
        <f aca="false">IF(J67="","NOT SCORED - NO JULY MONTHLY ROW",IF(OR(ABS(L67)&gt;0.005,ABS(O67)&gt;0.005,ABS(S67)&gt;0.005),"EXCEPTION","OK"))</f>
        <v>NOT SCORED - NO JULY MONTHLY ROW</v>
      </c>
      <c r="W67" s="11"/>
      <c r="X67" s="11" t="s">
        <v>2834</v>
      </c>
      <c r="Y67" s="33" t="n">
        <f aca="false">K67*N67</f>
        <v>369.95</v>
      </c>
    </row>
    <row r="68" customFormat="false" ht="20.85" hidden="false" customHeight="false" outlineLevel="0" collapsed="false">
      <c r="A68" s="8" t="s">
        <v>3055</v>
      </c>
      <c r="B68" s="8" t="s">
        <v>192</v>
      </c>
      <c r="C68" s="8" t="s">
        <v>2829</v>
      </c>
      <c r="D68" s="8" t="s">
        <v>3056</v>
      </c>
      <c r="E68" s="8" t="s">
        <v>3057</v>
      </c>
      <c r="F68" s="8" t="s">
        <v>3058</v>
      </c>
      <c r="G68" s="8" t="s">
        <v>3059</v>
      </c>
      <c r="H68" s="8" t="n">
        <v>80</v>
      </c>
      <c r="I68" s="34" t="n">
        <v>45</v>
      </c>
      <c r="J68" s="34"/>
      <c r="K68" s="34" t="n">
        <f aca="false">MAX(ROUNDUP(I68,0),H68)</f>
        <v>80</v>
      </c>
      <c r="L68" s="34" t="str">
        <f aca="false">IF(J68="","",J68-K68)</f>
        <v/>
      </c>
      <c r="M68" s="35"/>
      <c r="N68" s="35" t="n">
        <f aca="false">IF(C68="covered",10.4,7.55)</f>
        <v>7.55</v>
      </c>
      <c r="O68" s="35" t="str">
        <f aca="false">IF(M68="","",M68-N68)</f>
        <v/>
      </c>
      <c r="P68" s="8"/>
      <c r="Q68" s="36"/>
      <c r="R68" s="36" t="str">
        <f aca="false">IF(OR(J68="",P68=""),"",K68*N68*P68)</f>
        <v/>
      </c>
      <c r="S68" s="36" t="str">
        <f aca="false">IF(Q68="","",Q68-R68)</f>
        <v/>
      </c>
      <c r="T68" s="36" t="str">
        <f aca="false">IF(S68="","",MAX(0,-S68))</f>
        <v/>
      </c>
      <c r="U68" s="36" t="str">
        <f aca="false">IF(S68="","",MAX(0,S68))</f>
        <v/>
      </c>
      <c r="V68" s="8" t="str">
        <f aca="false">IF(J68="","NOT SCORED - NO JULY MONTHLY ROW",IF(OR(ABS(L68)&gt;0.005,ABS(O68)&gt;0.005,ABS(S68)&gt;0.005),"EXCEPTION","OK"))</f>
        <v>NOT SCORED - NO JULY MONTHLY ROW</v>
      </c>
      <c r="W68" s="8"/>
      <c r="X68" s="8" t="s">
        <v>2834</v>
      </c>
      <c r="Y68" s="36" t="n">
        <f aca="false">K68*N68</f>
        <v>604</v>
      </c>
    </row>
    <row r="69" customFormat="false" ht="20.85" hidden="false" customHeight="false" outlineLevel="0" collapsed="false">
      <c r="A69" s="11" t="s">
        <v>3060</v>
      </c>
      <c r="B69" s="11" t="s">
        <v>192</v>
      </c>
      <c r="C69" s="11" t="s">
        <v>2829</v>
      </c>
      <c r="D69" s="11" t="s">
        <v>3061</v>
      </c>
      <c r="E69" s="11" t="s">
        <v>3062</v>
      </c>
      <c r="F69" s="11" t="s">
        <v>3063</v>
      </c>
      <c r="G69" s="11" t="s">
        <v>3064</v>
      </c>
      <c r="H69" s="11" t="n">
        <v>28</v>
      </c>
      <c r="I69" s="31" t="n">
        <v>40.5</v>
      </c>
      <c r="J69" s="31"/>
      <c r="K69" s="31" t="n">
        <f aca="false">MAX(ROUNDUP(I69,0),H69)</f>
        <v>41</v>
      </c>
      <c r="L69" s="31" t="str">
        <f aca="false">IF(J69="","",J69-K69)</f>
        <v/>
      </c>
      <c r="M69" s="32"/>
      <c r="N69" s="32" t="n">
        <f aca="false">IF(C69="covered",10.4,7.55)</f>
        <v>7.55</v>
      </c>
      <c r="O69" s="32" t="str">
        <f aca="false">IF(M69="","",M69-N69)</f>
        <v/>
      </c>
      <c r="P69" s="11"/>
      <c r="Q69" s="33"/>
      <c r="R69" s="33" t="str">
        <f aca="false">IF(OR(J69="",P69=""),"",K69*N69*P69)</f>
        <v/>
      </c>
      <c r="S69" s="33" t="str">
        <f aca="false">IF(Q69="","",Q69-R69)</f>
        <v/>
      </c>
      <c r="T69" s="33" t="str">
        <f aca="false">IF(S69="","",MAX(0,-S69))</f>
        <v/>
      </c>
      <c r="U69" s="33" t="str">
        <f aca="false">IF(S69="","",MAX(0,S69))</f>
        <v/>
      </c>
      <c r="V69" s="11" t="str">
        <f aca="false">IF(J69="","NOT SCORED - NO JULY MONTHLY ROW",IF(OR(ABS(L69)&gt;0.005,ABS(O69)&gt;0.005,ABS(S69)&gt;0.005),"EXCEPTION","OK"))</f>
        <v>NOT SCORED - NO JULY MONTHLY ROW</v>
      </c>
      <c r="W69" s="11"/>
      <c r="X69" s="11" t="s">
        <v>2834</v>
      </c>
      <c r="Y69" s="33" t="n">
        <f aca="false">K69*N69</f>
        <v>309.55</v>
      </c>
    </row>
    <row r="70" customFormat="false" ht="20.85" hidden="false" customHeight="false" outlineLevel="0" collapsed="false">
      <c r="A70" s="8" t="s">
        <v>3065</v>
      </c>
      <c r="B70" s="8" t="s">
        <v>192</v>
      </c>
      <c r="C70" s="8" t="s">
        <v>2829</v>
      </c>
      <c r="D70" s="8" t="s">
        <v>3066</v>
      </c>
      <c r="E70" s="8" t="s">
        <v>3067</v>
      </c>
      <c r="F70" s="8" t="s">
        <v>3068</v>
      </c>
      <c r="G70" s="8" t="s">
        <v>3069</v>
      </c>
      <c r="H70" s="8" t="n">
        <v>24</v>
      </c>
      <c r="I70" s="34" t="n">
        <v>34.6</v>
      </c>
      <c r="J70" s="34"/>
      <c r="K70" s="34" t="n">
        <f aca="false">MAX(ROUNDUP(I70,0),H70)</f>
        <v>35</v>
      </c>
      <c r="L70" s="34" t="str">
        <f aca="false">IF(J70="","",J70-K70)</f>
        <v/>
      </c>
      <c r="M70" s="35"/>
      <c r="N70" s="35" t="n">
        <f aca="false">IF(C70="covered",10.4,7.55)</f>
        <v>7.55</v>
      </c>
      <c r="O70" s="35" t="str">
        <f aca="false">IF(M70="","",M70-N70)</f>
        <v/>
      </c>
      <c r="P70" s="8"/>
      <c r="Q70" s="36"/>
      <c r="R70" s="36" t="str">
        <f aca="false">IF(OR(J70="",P70=""),"",K70*N70*P70)</f>
        <v/>
      </c>
      <c r="S70" s="36" t="str">
        <f aca="false">IF(Q70="","",Q70-R70)</f>
        <v/>
      </c>
      <c r="T70" s="36" t="str">
        <f aca="false">IF(S70="","",MAX(0,-S70))</f>
        <v/>
      </c>
      <c r="U70" s="36" t="str">
        <f aca="false">IF(S70="","",MAX(0,S70))</f>
        <v/>
      </c>
      <c r="V70" s="8" t="str">
        <f aca="false">IF(J70="","NOT SCORED - NO JULY MONTHLY ROW",IF(OR(ABS(L70)&gt;0.005,ABS(O70)&gt;0.005,ABS(S70)&gt;0.005),"EXCEPTION","OK"))</f>
        <v>NOT SCORED - NO JULY MONTHLY ROW</v>
      </c>
      <c r="W70" s="8"/>
      <c r="X70" s="8" t="s">
        <v>2834</v>
      </c>
      <c r="Y70" s="36" t="n">
        <f aca="false">K70*N70</f>
        <v>264.25</v>
      </c>
    </row>
    <row r="71" customFormat="false" ht="20.85" hidden="false" customHeight="false" outlineLevel="0" collapsed="false">
      <c r="A71" s="11" t="s">
        <v>3070</v>
      </c>
      <c r="B71" s="11" t="s">
        <v>192</v>
      </c>
      <c r="C71" s="11" t="s">
        <v>2829</v>
      </c>
      <c r="D71" s="11" t="s">
        <v>3071</v>
      </c>
      <c r="E71" s="11" t="s">
        <v>3072</v>
      </c>
      <c r="F71" s="11" t="s">
        <v>3073</v>
      </c>
      <c r="G71" s="11" t="s">
        <v>3074</v>
      </c>
      <c r="H71" s="11" t="n">
        <v>24</v>
      </c>
      <c r="I71" s="31" t="n">
        <v>27.9</v>
      </c>
      <c r="J71" s="31"/>
      <c r="K71" s="31" t="n">
        <f aca="false">MAX(ROUNDUP(I71,0),H71)</f>
        <v>28</v>
      </c>
      <c r="L71" s="31" t="str">
        <f aca="false">IF(J71="","",J71-K71)</f>
        <v/>
      </c>
      <c r="M71" s="32"/>
      <c r="N71" s="32" t="n">
        <f aca="false">IF(C71="covered",10.4,7.55)</f>
        <v>7.55</v>
      </c>
      <c r="O71" s="32" t="str">
        <f aca="false">IF(M71="","",M71-N71)</f>
        <v/>
      </c>
      <c r="P71" s="11"/>
      <c r="Q71" s="33"/>
      <c r="R71" s="33" t="str">
        <f aca="false">IF(OR(J71="",P71=""),"",K71*N71*P71)</f>
        <v/>
      </c>
      <c r="S71" s="33" t="str">
        <f aca="false">IF(Q71="","",Q71-R71)</f>
        <v/>
      </c>
      <c r="T71" s="33" t="str">
        <f aca="false">IF(S71="","",MAX(0,-S71))</f>
        <v/>
      </c>
      <c r="U71" s="33" t="str">
        <f aca="false">IF(S71="","",MAX(0,S71))</f>
        <v/>
      </c>
      <c r="V71" s="11" t="str">
        <f aca="false">IF(J71="","NOT SCORED - NO JULY MONTHLY ROW",IF(OR(ABS(L71)&gt;0.005,ABS(O71)&gt;0.005,ABS(S71)&gt;0.005),"EXCEPTION","OK"))</f>
        <v>NOT SCORED - NO JULY MONTHLY ROW</v>
      </c>
      <c r="W71" s="11"/>
      <c r="X71" s="11" t="s">
        <v>2834</v>
      </c>
      <c r="Y71" s="33" t="n">
        <f aca="false">K71*N71</f>
        <v>211.4</v>
      </c>
    </row>
    <row r="72" customFormat="false" ht="20.85" hidden="false" customHeight="false" outlineLevel="0" collapsed="false">
      <c r="A72" s="8" t="s">
        <v>3075</v>
      </c>
      <c r="B72" s="8" t="s">
        <v>192</v>
      </c>
      <c r="C72" s="8" t="s">
        <v>2829</v>
      </c>
      <c r="D72" s="8" t="s">
        <v>3076</v>
      </c>
      <c r="E72" s="8" t="s">
        <v>3077</v>
      </c>
      <c r="F72" s="8" t="s">
        <v>3078</v>
      </c>
      <c r="G72" s="8" t="s">
        <v>3079</v>
      </c>
      <c r="H72" s="8" t="n">
        <v>60</v>
      </c>
      <c r="I72" s="34" t="n">
        <v>49.7</v>
      </c>
      <c r="J72" s="34"/>
      <c r="K72" s="34" t="n">
        <f aca="false">MAX(ROUNDUP(I72,0),H72)</f>
        <v>60</v>
      </c>
      <c r="L72" s="34" t="str">
        <f aca="false">IF(J72="","",J72-K72)</f>
        <v/>
      </c>
      <c r="M72" s="35"/>
      <c r="N72" s="35" t="n">
        <f aca="false">IF(C72="covered",10.4,7.55)</f>
        <v>7.55</v>
      </c>
      <c r="O72" s="35" t="str">
        <f aca="false">IF(M72="","",M72-N72)</f>
        <v/>
      </c>
      <c r="P72" s="8"/>
      <c r="Q72" s="36"/>
      <c r="R72" s="36" t="str">
        <f aca="false">IF(OR(J72="",P72=""),"",K72*N72*P72)</f>
        <v/>
      </c>
      <c r="S72" s="36" t="str">
        <f aca="false">IF(Q72="","",Q72-R72)</f>
        <v/>
      </c>
      <c r="T72" s="36" t="str">
        <f aca="false">IF(S72="","",MAX(0,-S72))</f>
        <v/>
      </c>
      <c r="U72" s="36" t="str">
        <f aca="false">IF(S72="","",MAX(0,S72))</f>
        <v/>
      </c>
      <c r="V72" s="8" t="str">
        <f aca="false">IF(J72="","NOT SCORED - NO JULY MONTHLY ROW",IF(OR(ABS(L72)&gt;0.005,ABS(O72)&gt;0.005,ABS(S72)&gt;0.005),"EXCEPTION","OK"))</f>
        <v>NOT SCORED - NO JULY MONTHLY ROW</v>
      </c>
      <c r="W72" s="8"/>
      <c r="X72" s="8" t="s">
        <v>2834</v>
      </c>
      <c r="Y72" s="36" t="n">
        <f aca="false">K72*N72</f>
        <v>453</v>
      </c>
    </row>
    <row r="73" customFormat="false" ht="20.85" hidden="false" customHeight="false" outlineLevel="0" collapsed="false">
      <c r="A73" s="11" t="s">
        <v>598</v>
      </c>
      <c r="B73" s="11" t="s">
        <v>192</v>
      </c>
      <c r="C73" s="11" t="s">
        <v>2829</v>
      </c>
      <c r="D73" s="11" t="s">
        <v>3080</v>
      </c>
      <c r="E73" s="11" t="s">
        <v>3081</v>
      </c>
      <c r="F73" s="11" t="s">
        <v>3082</v>
      </c>
      <c r="G73" s="11" t="s">
        <v>3051</v>
      </c>
      <c r="H73" s="11" t="n">
        <v>50</v>
      </c>
      <c r="I73" s="31" t="n">
        <v>42</v>
      </c>
      <c r="J73" s="31"/>
      <c r="K73" s="31" t="n">
        <f aca="false">MAX(ROUNDUP(I73,0),H73)</f>
        <v>50</v>
      </c>
      <c r="L73" s="31" t="str">
        <f aca="false">IF(J73="","",J73-K73)</f>
        <v/>
      </c>
      <c r="M73" s="32"/>
      <c r="N73" s="32" t="n">
        <f aca="false">IF(C73="covered",10.4,7.55)</f>
        <v>7.55</v>
      </c>
      <c r="O73" s="32" t="str">
        <f aca="false">IF(M73="","",M73-N73)</f>
        <v/>
      </c>
      <c r="P73" s="11"/>
      <c r="Q73" s="33"/>
      <c r="R73" s="33" t="str">
        <f aca="false">IF(OR(J73="",P73=""),"",K73*N73*P73)</f>
        <v/>
      </c>
      <c r="S73" s="33" t="str">
        <f aca="false">IF(Q73="","",Q73-R73)</f>
        <v/>
      </c>
      <c r="T73" s="33" t="str">
        <f aca="false">IF(S73="","",MAX(0,-S73))</f>
        <v/>
      </c>
      <c r="U73" s="33" t="str">
        <f aca="false">IF(S73="","",MAX(0,S73))</f>
        <v/>
      </c>
      <c r="V73" s="11" t="str">
        <f aca="false">IF(J73="","NOT SCORED - NO JULY MONTHLY ROW",IF(OR(ABS(L73)&gt;0.005,ABS(O73)&gt;0.005,ABS(S73)&gt;0.005),"EXCEPTION","OK"))</f>
        <v>NOT SCORED - NO JULY MONTHLY ROW</v>
      </c>
      <c r="W73" s="11"/>
      <c r="X73" s="11" t="s">
        <v>2834</v>
      </c>
      <c r="Y73" s="33" t="n">
        <f aca="false">K73*N73</f>
        <v>377.5</v>
      </c>
    </row>
    <row r="74" customFormat="false" ht="20.85" hidden="false" customHeight="false" outlineLevel="0" collapsed="false">
      <c r="A74" s="8" t="s">
        <v>3083</v>
      </c>
      <c r="B74" s="8" t="s">
        <v>192</v>
      </c>
      <c r="C74" s="8" t="s">
        <v>2829</v>
      </c>
      <c r="D74" s="8" t="s">
        <v>3084</v>
      </c>
      <c r="E74" s="8" t="s">
        <v>3085</v>
      </c>
      <c r="F74" s="8" t="s">
        <v>3086</v>
      </c>
      <c r="G74" s="8" t="s">
        <v>3087</v>
      </c>
      <c r="H74" s="8" t="n">
        <v>50</v>
      </c>
      <c r="I74" s="34" t="n">
        <v>37.4</v>
      </c>
      <c r="J74" s="34"/>
      <c r="K74" s="34" t="n">
        <f aca="false">MAX(ROUNDUP(I74,0),H74)</f>
        <v>50</v>
      </c>
      <c r="L74" s="34" t="str">
        <f aca="false">IF(J74="","",J74-K74)</f>
        <v/>
      </c>
      <c r="M74" s="35"/>
      <c r="N74" s="35" t="n">
        <f aca="false">IF(C74="covered",10.4,7.55)</f>
        <v>7.55</v>
      </c>
      <c r="O74" s="35" t="str">
        <f aca="false">IF(M74="","",M74-N74)</f>
        <v/>
      </c>
      <c r="P74" s="8"/>
      <c r="Q74" s="36"/>
      <c r="R74" s="36" t="str">
        <f aca="false">IF(OR(J74="",P74=""),"",K74*N74*P74)</f>
        <v/>
      </c>
      <c r="S74" s="36" t="str">
        <f aca="false">IF(Q74="","",Q74-R74)</f>
        <v/>
      </c>
      <c r="T74" s="36" t="str">
        <f aca="false">IF(S74="","",MAX(0,-S74))</f>
        <v/>
      </c>
      <c r="U74" s="36" t="str">
        <f aca="false">IF(S74="","",MAX(0,S74))</f>
        <v/>
      </c>
      <c r="V74" s="8" t="str">
        <f aca="false">IF(J74="","NOT SCORED - NO JULY MONTHLY ROW",IF(OR(ABS(L74)&gt;0.005,ABS(O74)&gt;0.005,ABS(S74)&gt;0.005),"EXCEPTION","OK"))</f>
        <v>NOT SCORED - NO JULY MONTHLY ROW</v>
      </c>
      <c r="W74" s="8"/>
      <c r="X74" s="8" t="s">
        <v>2834</v>
      </c>
      <c r="Y74" s="36" t="n">
        <f aca="false">K74*N74</f>
        <v>377.5</v>
      </c>
    </row>
    <row r="75" customFormat="false" ht="20.85" hidden="false" customHeight="false" outlineLevel="0" collapsed="false">
      <c r="A75" s="11" t="s">
        <v>3088</v>
      </c>
      <c r="B75" s="11" t="s">
        <v>192</v>
      </c>
      <c r="C75" s="11" t="s">
        <v>2829</v>
      </c>
      <c r="D75" s="11" t="s">
        <v>3089</v>
      </c>
      <c r="E75" s="11" t="s">
        <v>3090</v>
      </c>
      <c r="F75" s="11" t="s">
        <v>3091</v>
      </c>
      <c r="G75" s="11" t="s">
        <v>3092</v>
      </c>
      <c r="H75" s="11" t="n">
        <v>50</v>
      </c>
      <c r="I75" s="31" t="n">
        <v>59.7</v>
      </c>
      <c r="J75" s="31"/>
      <c r="K75" s="31" t="n">
        <f aca="false">MAX(ROUNDUP(I75,0),H75)</f>
        <v>60</v>
      </c>
      <c r="L75" s="31" t="str">
        <f aca="false">IF(J75="","",J75-K75)</f>
        <v/>
      </c>
      <c r="M75" s="32"/>
      <c r="N75" s="32" t="n">
        <f aca="false">IF(C75="covered",10.4,7.55)</f>
        <v>7.55</v>
      </c>
      <c r="O75" s="32" t="str">
        <f aca="false">IF(M75="","",M75-N75)</f>
        <v/>
      </c>
      <c r="P75" s="11"/>
      <c r="Q75" s="33"/>
      <c r="R75" s="33" t="str">
        <f aca="false">IF(OR(J75="",P75=""),"",K75*N75*P75)</f>
        <v/>
      </c>
      <c r="S75" s="33" t="str">
        <f aca="false">IF(Q75="","",Q75-R75)</f>
        <v/>
      </c>
      <c r="T75" s="33" t="str">
        <f aca="false">IF(S75="","",MAX(0,-S75))</f>
        <v/>
      </c>
      <c r="U75" s="33" t="str">
        <f aca="false">IF(S75="","",MAX(0,S75))</f>
        <v/>
      </c>
      <c r="V75" s="11" t="str">
        <f aca="false">IF(J75="","NOT SCORED - NO JULY MONTHLY ROW",IF(OR(ABS(L75)&gt;0.005,ABS(O75)&gt;0.005,ABS(S75)&gt;0.005),"EXCEPTION","OK"))</f>
        <v>NOT SCORED - NO JULY MONTHLY ROW</v>
      </c>
      <c r="W75" s="11"/>
      <c r="X75" s="11" t="s">
        <v>2834</v>
      </c>
      <c r="Y75" s="33" t="n">
        <f aca="false">K75*N75</f>
        <v>453</v>
      </c>
    </row>
    <row r="76" customFormat="false" ht="20.85" hidden="false" customHeight="false" outlineLevel="0" collapsed="false">
      <c r="A76" s="8" t="s">
        <v>3093</v>
      </c>
      <c r="B76" s="8" t="s">
        <v>192</v>
      </c>
      <c r="C76" s="8" t="s">
        <v>2829</v>
      </c>
      <c r="D76" s="8" t="s">
        <v>3094</v>
      </c>
      <c r="E76" s="8" t="s">
        <v>3095</v>
      </c>
      <c r="F76" s="8" t="s">
        <v>3096</v>
      </c>
      <c r="G76" s="8" t="s">
        <v>3097</v>
      </c>
      <c r="H76" s="8" t="n">
        <v>32</v>
      </c>
      <c r="I76" s="34" t="n">
        <v>39.4</v>
      </c>
      <c r="J76" s="34"/>
      <c r="K76" s="34" t="n">
        <f aca="false">MAX(ROUNDUP(I76,0),H76)</f>
        <v>40</v>
      </c>
      <c r="L76" s="34" t="str">
        <f aca="false">IF(J76="","",J76-K76)</f>
        <v/>
      </c>
      <c r="M76" s="35"/>
      <c r="N76" s="35" t="n">
        <f aca="false">IF(C76="covered",10.4,7.55)</f>
        <v>7.55</v>
      </c>
      <c r="O76" s="35" t="str">
        <f aca="false">IF(M76="","",M76-N76)</f>
        <v/>
      </c>
      <c r="P76" s="8"/>
      <c r="Q76" s="36"/>
      <c r="R76" s="36" t="str">
        <f aca="false">IF(OR(J76="",P76=""),"",K76*N76*P76)</f>
        <v/>
      </c>
      <c r="S76" s="36" t="str">
        <f aca="false">IF(Q76="","",Q76-R76)</f>
        <v/>
      </c>
      <c r="T76" s="36" t="str">
        <f aca="false">IF(S76="","",MAX(0,-S76))</f>
        <v/>
      </c>
      <c r="U76" s="36" t="str">
        <f aca="false">IF(S76="","",MAX(0,S76))</f>
        <v/>
      </c>
      <c r="V76" s="8" t="str">
        <f aca="false">IF(J76="","NOT SCORED - NO JULY MONTHLY ROW",IF(OR(ABS(L76)&gt;0.005,ABS(O76)&gt;0.005,ABS(S76)&gt;0.005),"EXCEPTION","OK"))</f>
        <v>NOT SCORED - NO JULY MONTHLY ROW</v>
      </c>
      <c r="W76" s="8"/>
      <c r="X76" s="8" t="s">
        <v>2834</v>
      </c>
      <c r="Y76" s="36" t="n">
        <f aca="false">K76*N76</f>
        <v>302</v>
      </c>
    </row>
    <row r="77" customFormat="false" ht="20.85" hidden="false" customHeight="false" outlineLevel="0" collapsed="false">
      <c r="A77" s="11" t="s">
        <v>3098</v>
      </c>
      <c r="B77" s="11" t="s">
        <v>192</v>
      </c>
      <c r="C77" s="11" t="s">
        <v>2829</v>
      </c>
      <c r="D77" s="11" t="s">
        <v>3099</v>
      </c>
      <c r="E77" s="11" t="s">
        <v>3100</v>
      </c>
      <c r="F77" s="11" t="s">
        <v>3101</v>
      </c>
      <c r="G77" s="11" t="s">
        <v>3102</v>
      </c>
      <c r="H77" s="11" t="n">
        <v>45</v>
      </c>
      <c r="I77" s="31" t="n">
        <v>37</v>
      </c>
      <c r="J77" s="31"/>
      <c r="K77" s="31" t="n">
        <f aca="false">MAX(ROUNDUP(I77,0),H77)</f>
        <v>45</v>
      </c>
      <c r="L77" s="31" t="str">
        <f aca="false">IF(J77="","",J77-K77)</f>
        <v/>
      </c>
      <c r="M77" s="32"/>
      <c r="N77" s="32" t="n">
        <f aca="false">IF(C77="covered",10.4,7.55)</f>
        <v>7.55</v>
      </c>
      <c r="O77" s="32" t="str">
        <f aca="false">IF(M77="","",M77-N77)</f>
        <v/>
      </c>
      <c r="P77" s="11"/>
      <c r="Q77" s="33"/>
      <c r="R77" s="33" t="str">
        <f aca="false">IF(OR(J77="",P77=""),"",K77*N77*P77)</f>
        <v/>
      </c>
      <c r="S77" s="33" t="str">
        <f aca="false">IF(Q77="","",Q77-R77)</f>
        <v/>
      </c>
      <c r="T77" s="33" t="str">
        <f aca="false">IF(S77="","",MAX(0,-S77))</f>
        <v/>
      </c>
      <c r="U77" s="33" t="str">
        <f aca="false">IF(S77="","",MAX(0,S77))</f>
        <v/>
      </c>
      <c r="V77" s="11" t="str">
        <f aca="false">IF(J77="","NOT SCORED - NO JULY MONTHLY ROW",IF(OR(ABS(L77)&gt;0.005,ABS(O77)&gt;0.005,ABS(S77)&gt;0.005),"EXCEPTION","OK"))</f>
        <v>NOT SCORED - NO JULY MONTHLY ROW</v>
      </c>
      <c r="W77" s="11"/>
      <c r="X77" s="11" t="s">
        <v>2834</v>
      </c>
      <c r="Y77" s="33" t="n">
        <f aca="false">K77*N77</f>
        <v>339.75</v>
      </c>
    </row>
    <row r="78" customFormat="false" ht="20.85" hidden="false" customHeight="false" outlineLevel="0" collapsed="false">
      <c r="A78" s="8" t="s">
        <v>3103</v>
      </c>
      <c r="B78" s="8" t="s">
        <v>192</v>
      </c>
      <c r="C78" s="8" t="s">
        <v>2829</v>
      </c>
      <c r="D78" s="8" t="s">
        <v>3104</v>
      </c>
      <c r="E78" s="8" t="s">
        <v>3105</v>
      </c>
      <c r="F78" s="8" t="s">
        <v>3106</v>
      </c>
      <c r="G78" s="8" t="s">
        <v>3107</v>
      </c>
      <c r="H78" s="8" t="n">
        <v>45</v>
      </c>
      <c r="I78" s="34" t="n">
        <v>46.2</v>
      </c>
      <c r="J78" s="34"/>
      <c r="K78" s="34" t="n">
        <f aca="false">MAX(ROUNDUP(I78,0),H78)</f>
        <v>47</v>
      </c>
      <c r="L78" s="34" t="str">
        <f aca="false">IF(J78="","",J78-K78)</f>
        <v/>
      </c>
      <c r="M78" s="35"/>
      <c r="N78" s="35" t="n">
        <f aca="false">IF(C78="covered",10.4,7.55)</f>
        <v>7.55</v>
      </c>
      <c r="O78" s="35" t="str">
        <f aca="false">IF(M78="","",M78-N78)</f>
        <v/>
      </c>
      <c r="P78" s="8"/>
      <c r="Q78" s="36"/>
      <c r="R78" s="36" t="str">
        <f aca="false">IF(OR(J78="",P78=""),"",K78*N78*P78)</f>
        <v/>
      </c>
      <c r="S78" s="36" t="str">
        <f aca="false">IF(Q78="","",Q78-R78)</f>
        <v/>
      </c>
      <c r="T78" s="36" t="str">
        <f aca="false">IF(S78="","",MAX(0,-S78))</f>
        <v/>
      </c>
      <c r="U78" s="36" t="str">
        <f aca="false">IF(S78="","",MAX(0,S78))</f>
        <v/>
      </c>
      <c r="V78" s="8" t="str">
        <f aca="false">IF(J78="","NOT SCORED - NO JULY MONTHLY ROW",IF(OR(ABS(L78)&gt;0.005,ABS(O78)&gt;0.005,ABS(S78)&gt;0.005),"EXCEPTION","OK"))</f>
        <v>NOT SCORED - NO JULY MONTHLY ROW</v>
      </c>
      <c r="W78" s="8"/>
      <c r="X78" s="8" t="s">
        <v>2834</v>
      </c>
      <c r="Y78" s="36" t="n">
        <f aca="false">K78*N78</f>
        <v>354.85</v>
      </c>
    </row>
    <row r="79" customFormat="false" ht="20.85" hidden="false" customHeight="false" outlineLevel="0" collapsed="false">
      <c r="A79" s="11" t="s">
        <v>3108</v>
      </c>
      <c r="B79" s="11" t="s">
        <v>192</v>
      </c>
      <c r="C79" s="11" t="s">
        <v>2829</v>
      </c>
      <c r="D79" s="11" t="s">
        <v>3109</v>
      </c>
      <c r="E79" s="11" t="s">
        <v>3110</v>
      </c>
      <c r="F79" s="11" t="s">
        <v>3111</v>
      </c>
      <c r="G79" s="11" t="s">
        <v>3112</v>
      </c>
      <c r="H79" s="11" t="n">
        <v>45</v>
      </c>
      <c r="I79" s="31" t="n">
        <v>59.8</v>
      </c>
      <c r="J79" s="31"/>
      <c r="K79" s="31" t="n">
        <f aca="false">MAX(ROUNDUP(I79,0),H79)</f>
        <v>60</v>
      </c>
      <c r="L79" s="31" t="str">
        <f aca="false">IF(J79="","",J79-K79)</f>
        <v/>
      </c>
      <c r="M79" s="32"/>
      <c r="N79" s="32" t="n">
        <f aca="false">IF(C79="covered",10.4,7.55)</f>
        <v>7.55</v>
      </c>
      <c r="O79" s="32" t="str">
        <f aca="false">IF(M79="","",M79-N79)</f>
        <v/>
      </c>
      <c r="P79" s="11"/>
      <c r="Q79" s="33"/>
      <c r="R79" s="33" t="str">
        <f aca="false">IF(OR(J79="",P79=""),"",K79*N79*P79)</f>
        <v/>
      </c>
      <c r="S79" s="33" t="str">
        <f aca="false">IF(Q79="","",Q79-R79)</f>
        <v/>
      </c>
      <c r="T79" s="33" t="str">
        <f aca="false">IF(S79="","",MAX(0,-S79))</f>
        <v/>
      </c>
      <c r="U79" s="33" t="str">
        <f aca="false">IF(S79="","",MAX(0,S79))</f>
        <v/>
      </c>
      <c r="V79" s="11" t="str">
        <f aca="false">IF(J79="","NOT SCORED - NO JULY MONTHLY ROW",IF(OR(ABS(L79)&gt;0.005,ABS(O79)&gt;0.005,ABS(S79)&gt;0.005),"EXCEPTION","OK"))</f>
        <v>NOT SCORED - NO JULY MONTHLY ROW</v>
      </c>
      <c r="W79" s="11"/>
      <c r="X79" s="11" t="s">
        <v>2834</v>
      </c>
      <c r="Y79" s="33" t="n">
        <f aca="false">K79*N79</f>
        <v>453</v>
      </c>
    </row>
    <row r="80" customFormat="false" ht="20.85" hidden="false" customHeight="false" outlineLevel="0" collapsed="false">
      <c r="A80" s="8" t="s">
        <v>3113</v>
      </c>
      <c r="B80" s="8" t="s">
        <v>192</v>
      </c>
      <c r="C80" s="8" t="s">
        <v>2829</v>
      </c>
      <c r="D80" s="8" t="s">
        <v>3114</v>
      </c>
      <c r="E80" s="8" t="s">
        <v>3115</v>
      </c>
      <c r="F80" s="8" t="s">
        <v>3116</v>
      </c>
      <c r="G80" s="8" t="s">
        <v>3117</v>
      </c>
      <c r="H80" s="8" t="n">
        <v>40</v>
      </c>
      <c r="I80" s="34" t="n">
        <v>31.6</v>
      </c>
      <c r="J80" s="34"/>
      <c r="K80" s="34" t="n">
        <f aca="false">MAX(ROUNDUP(I80,0),H80)</f>
        <v>40</v>
      </c>
      <c r="L80" s="34" t="str">
        <f aca="false">IF(J80="","",J80-K80)</f>
        <v/>
      </c>
      <c r="M80" s="35"/>
      <c r="N80" s="35" t="n">
        <f aca="false">IF(C80="covered",10.4,7.55)</f>
        <v>7.55</v>
      </c>
      <c r="O80" s="35" t="str">
        <f aca="false">IF(M80="","",M80-N80)</f>
        <v/>
      </c>
      <c r="P80" s="8"/>
      <c r="Q80" s="36"/>
      <c r="R80" s="36" t="str">
        <f aca="false">IF(OR(J80="",P80=""),"",K80*N80*P80)</f>
        <v/>
      </c>
      <c r="S80" s="36" t="str">
        <f aca="false">IF(Q80="","",Q80-R80)</f>
        <v/>
      </c>
      <c r="T80" s="36" t="str">
        <f aca="false">IF(S80="","",MAX(0,-S80))</f>
        <v/>
      </c>
      <c r="U80" s="36" t="str">
        <f aca="false">IF(S80="","",MAX(0,S80))</f>
        <v/>
      </c>
      <c r="V80" s="8" t="str">
        <f aca="false">IF(J80="","NOT SCORED - NO JULY MONTHLY ROW",IF(OR(ABS(L80)&gt;0.005,ABS(O80)&gt;0.005,ABS(S80)&gt;0.005),"EXCEPTION","OK"))</f>
        <v>NOT SCORED - NO JULY MONTHLY ROW</v>
      </c>
      <c r="W80" s="8"/>
      <c r="X80" s="8" t="s">
        <v>2834</v>
      </c>
      <c r="Y80" s="36" t="n">
        <f aca="false">K80*N80</f>
        <v>302</v>
      </c>
    </row>
    <row r="81" customFormat="false" ht="20.85" hidden="false" customHeight="false" outlineLevel="0" collapsed="false">
      <c r="A81" s="11" t="s">
        <v>3118</v>
      </c>
      <c r="B81" s="11" t="s">
        <v>192</v>
      </c>
      <c r="C81" s="11" t="s">
        <v>2829</v>
      </c>
      <c r="D81" s="11" t="s">
        <v>3119</v>
      </c>
      <c r="E81" s="11" t="s">
        <v>3120</v>
      </c>
      <c r="F81" s="11" t="s">
        <v>3121</v>
      </c>
      <c r="G81" s="11" t="s">
        <v>3122</v>
      </c>
      <c r="H81" s="11" t="n">
        <v>28</v>
      </c>
      <c r="I81" s="31" t="n">
        <v>38.3</v>
      </c>
      <c r="J81" s="31"/>
      <c r="K81" s="31" t="n">
        <f aca="false">MAX(ROUNDUP(I81,0),H81)</f>
        <v>39</v>
      </c>
      <c r="L81" s="31" t="str">
        <f aca="false">IF(J81="","",J81-K81)</f>
        <v/>
      </c>
      <c r="M81" s="32"/>
      <c r="N81" s="32" t="n">
        <f aca="false">IF(C81="covered",10.4,7.55)</f>
        <v>7.55</v>
      </c>
      <c r="O81" s="32" t="str">
        <f aca="false">IF(M81="","",M81-N81)</f>
        <v/>
      </c>
      <c r="P81" s="11"/>
      <c r="Q81" s="33"/>
      <c r="R81" s="33" t="str">
        <f aca="false">IF(OR(J81="",P81=""),"",K81*N81*P81)</f>
        <v/>
      </c>
      <c r="S81" s="33" t="str">
        <f aca="false">IF(Q81="","",Q81-R81)</f>
        <v/>
      </c>
      <c r="T81" s="33" t="str">
        <f aca="false">IF(S81="","",MAX(0,-S81))</f>
        <v/>
      </c>
      <c r="U81" s="33" t="str">
        <f aca="false">IF(S81="","",MAX(0,S81))</f>
        <v/>
      </c>
      <c r="V81" s="11" t="str">
        <f aca="false">IF(J81="","NOT SCORED - NO JULY MONTHLY ROW",IF(OR(ABS(L81)&gt;0.005,ABS(O81)&gt;0.005,ABS(S81)&gt;0.005),"EXCEPTION","OK"))</f>
        <v>NOT SCORED - NO JULY MONTHLY ROW</v>
      </c>
      <c r="W81" s="11"/>
      <c r="X81" s="11" t="s">
        <v>2834</v>
      </c>
      <c r="Y81" s="33" t="n">
        <f aca="false">K81*N81</f>
        <v>294.45</v>
      </c>
    </row>
    <row r="82" customFormat="false" ht="20.85" hidden="false" customHeight="false" outlineLevel="0" collapsed="false">
      <c r="A82" s="8" t="s">
        <v>3123</v>
      </c>
      <c r="B82" s="8" t="s">
        <v>192</v>
      </c>
      <c r="C82" s="8" t="s">
        <v>2829</v>
      </c>
      <c r="D82" s="8" t="s">
        <v>3124</v>
      </c>
      <c r="E82" s="8" t="s">
        <v>3125</v>
      </c>
      <c r="F82" s="8" t="s">
        <v>3126</v>
      </c>
      <c r="G82" s="8" t="s">
        <v>3127</v>
      </c>
      <c r="H82" s="8" t="n">
        <v>36</v>
      </c>
      <c r="I82" s="34" t="n">
        <v>55.4</v>
      </c>
      <c r="J82" s="34"/>
      <c r="K82" s="34" t="n">
        <f aca="false">MAX(ROUNDUP(I82,0),H82)</f>
        <v>56</v>
      </c>
      <c r="L82" s="34" t="str">
        <f aca="false">IF(J82="","",J82-K82)</f>
        <v/>
      </c>
      <c r="M82" s="35"/>
      <c r="N82" s="35" t="n">
        <f aca="false">IF(C82="covered",10.4,7.55)</f>
        <v>7.55</v>
      </c>
      <c r="O82" s="35" t="str">
        <f aca="false">IF(M82="","",M82-N82)</f>
        <v/>
      </c>
      <c r="P82" s="8"/>
      <c r="Q82" s="36"/>
      <c r="R82" s="36" t="str">
        <f aca="false">IF(OR(J82="",P82=""),"",K82*N82*P82)</f>
        <v/>
      </c>
      <c r="S82" s="36" t="str">
        <f aca="false">IF(Q82="","",Q82-R82)</f>
        <v/>
      </c>
      <c r="T82" s="36" t="str">
        <f aca="false">IF(S82="","",MAX(0,-S82))</f>
        <v/>
      </c>
      <c r="U82" s="36" t="str">
        <f aca="false">IF(S82="","",MAX(0,S82))</f>
        <v/>
      </c>
      <c r="V82" s="8" t="str">
        <f aca="false">IF(J82="","NOT SCORED - NO JULY MONTHLY ROW",IF(OR(ABS(L82)&gt;0.005,ABS(O82)&gt;0.005,ABS(S82)&gt;0.005),"EXCEPTION","OK"))</f>
        <v>NOT SCORED - NO JULY MONTHLY ROW</v>
      </c>
      <c r="W82" s="8"/>
      <c r="X82" s="8" t="s">
        <v>2834</v>
      </c>
      <c r="Y82" s="36" t="n">
        <f aca="false">K82*N82</f>
        <v>422.8</v>
      </c>
    </row>
    <row r="83" customFormat="false" ht="20.85" hidden="false" customHeight="false" outlineLevel="0" collapsed="false">
      <c r="A83" s="11" t="s">
        <v>3128</v>
      </c>
      <c r="B83" s="11" t="s">
        <v>192</v>
      </c>
      <c r="C83" s="11" t="s">
        <v>2829</v>
      </c>
      <c r="D83" s="11" t="s">
        <v>3129</v>
      </c>
      <c r="E83" s="11" t="s">
        <v>3130</v>
      </c>
      <c r="F83" s="11" t="s">
        <v>3131</v>
      </c>
      <c r="G83" s="11" t="s">
        <v>3132</v>
      </c>
      <c r="H83" s="11" t="n">
        <v>45</v>
      </c>
      <c r="I83" s="31" t="n">
        <v>57.4</v>
      </c>
      <c r="J83" s="31"/>
      <c r="K83" s="31" t="n">
        <f aca="false">MAX(ROUNDUP(I83,0),H83)</f>
        <v>58</v>
      </c>
      <c r="L83" s="31" t="str">
        <f aca="false">IF(J83="","",J83-K83)</f>
        <v/>
      </c>
      <c r="M83" s="32"/>
      <c r="N83" s="32" t="n">
        <f aca="false">IF(C83="covered",10.4,7.55)</f>
        <v>7.55</v>
      </c>
      <c r="O83" s="32" t="str">
        <f aca="false">IF(M83="","",M83-N83)</f>
        <v/>
      </c>
      <c r="P83" s="11"/>
      <c r="Q83" s="33"/>
      <c r="R83" s="33" t="str">
        <f aca="false">IF(OR(J83="",P83=""),"",K83*N83*P83)</f>
        <v/>
      </c>
      <c r="S83" s="33" t="str">
        <f aca="false">IF(Q83="","",Q83-R83)</f>
        <v/>
      </c>
      <c r="T83" s="33" t="str">
        <f aca="false">IF(S83="","",MAX(0,-S83))</f>
        <v/>
      </c>
      <c r="U83" s="33" t="str">
        <f aca="false">IF(S83="","",MAX(0,S83))</f>
        <v/>
      </c>
      <c r="V83" s="11" t="str">
        <f aca="false">IF(J83="","NOT SCORED - NO JULY MONTHLY ROW",IF(OR(ABS(L83)&gt;0.005,ABS(O83)&gt;0.005,ABS(S83)&gt;0.005),"EXCEPTION","OK"))</f>
        <v>NOT SCORED - NO JULY MONTHLY ROW</v>
      </c>
      <c r="W83" s="11"/>
      <c r="X83" s="11" t="s">
        <v>2834</v>
      </c>
      <c r="Y83" s="33" t="n">
        <f aca="false">K83*N83</f>
        <v>437.9</v>
      </c>
    </row>
    <row r="84" customFormat="false" ht="20.85" hidden="false" customHeight="false" outlineLevel="0" collapsed="false">
      <c r="A84" s="8" t="s">
        <v>3133</v>
      </c>
      <c r="B84" s="8" t="s">
        <v>192</v>
      </c>
      <c r="C84" s="8" t="s">
        <v>2829</v>
      </c>
      <c r="D84" s="8" t="s">
        <v>3134</v>
      </c>
      <c r="E84" s="8" t="s">
        <v>3135</v>
      </c>
      <c r="F84" s="8" t="s">
        <v>3136</v>
      </c>
      <c r="G84" s="8" t="s">
        <v>3137</v>
      </c>
      <c r="H84" s="8" t="n">
        <v>28</v>
      </c>
      <c r="I84" s="34" t="n">
        <v>43.1</v>
      </c>
      <c r="J84" s="34"/>
      <c r="K84" s="34" t="n">
        <f aca="false">MAX(ROUNDUP(I84,0),H84)</f>
        <v>44</v>
      </c>
      <c r="L84" s="34" t="str">
        <f aca="false">IF(J84="","",J84-K84)</f>
        <v/>
      </c>
      <c r="M84" s="35"/>
      <c r="N84" s="35" t="n">
        <f aca="false">IF(C84="covered",10.4,7.55)</f>
        <v>7.55</v>
      </c>
      <c r="O84" s="35" t="str">
        <f aca="false">IF(M84="","",M84-N84)</f>
        <v/>
      </c>
      <c r="P84" s="8"/>
      <c r="Q84" s="36"/>
      <c r="R84" s="36" t="str">
        <f aca="false">IF(OR(J84="",P84=""),"",K84*N84*P84)</f>
        <v/>
      </c>
      <c r="S84" s="36" t="str">
        <f aca="false">IF(Q84="","",Q84-R84)</f>
        <v/>
      </c>
      <c r="T84" s="36" t="str">
        <f aca="false">IF(S84="","",MAX(0,-S84))</f>
        <v/>
      </c>
      <c r="U84" s="36" t="str">
        <f aca="false">IF(S84="","",MAX(0,S84))</f>
        <v/>
      </c>
      <c r="V84" s="8" t="str">
        <f aca="false">IF(J84="","NOT SCORED - NO JULY MONTHLY ROW",IF(OR(ABS(L84)&gt;0.005,ABS(O84)&gt;0.005,ABS(S84)&gt;0.005),"EXCEPTION","OK"))</f>
        <v>NOT SCORED - NO JULY MONTHLY ROW</v>
      </c>
      <c r="W84" s="8"/>
      <c r="X84" s="8" t="s">
        <v>2834</v>
      </c>
      <c r="Y84" s="36" t="n">
        <f aca="false">K84*N84</f>
        <v>332.2</v>
      </c>
    </row>
    <row r="85" customFormat="false" ht="20.85" hidden="false" customHeight="false" outlineLevel="0" collapsed="false">
      <c r="A85" s="11" t="s">
        <v>3138</v>
      </c>
      <c r="B85" s="11" t="s">
        <v>192</v>
      </c>
      <c r="C85" s="11" t="s">
        <v>2829</v>
      </c>
      <c r="D85" s="11" t="s">
        <v>3139</v>
      </c>
      <c r="E85" s="11" t="s">
        <v>3140</v>
      </c>
      <c r="F85" s="11" t="s">
        <v>3141</v>
      </c>
      <c r="G85" s="11" t="s">
        <v>3142</v>
      </c>
      <c r="H85" s="11" t="n">
        <v>70</v>
      </c>
      <c r="I85" s="31" t="n">
        <v>29.2</v>
      </c>
      <c r="J85" s="31"/>
      <c r="K85" s="31" t="n">
        <f aca="false">MAX(ROUNDUP(I85,0),H85)</f>
        <v>70</v>
      </c>
      <c r="L85" s="31" t="str">
        <f aca="false">IF(J85="","",J85-K85)</f>
        <v/>
      </c>
      <c r="M85" s="32"/>
      <c r="N85" s="32" t="n">
        <f aca="false">IF(C85="covered",10.4,7.55)</f>
        <v>7.55</v>
      </c>
      <c r="O85" s="32" t="str">
        <f aca="false">IF(M85="","",M85-N85)</f>
        <v/>
      </c>
      <c r="P85" s="11"/>
      <c r="Q85" s="33"/>
      <c r="R85" s="33" t="str">
        <f aca="false">IF(OR(J85="",P85=""),"",K85*N85*P85)</f>
        <v/>
      </c>
      <c r="S85" s="33" t="str">
        <f aca="false">IF(Q85="","",Q85-R85)</f>
        <v/>
      </c>
      <c r="T85" s="33" t="str">
        <f aca="false">IF(S85="","",MAX(0,-S85))</f>
        <v/>
      </c>
      <c r="U85" s="33" t="str">
        <f aca="false">IF(S85="","",MAX(0,S85))</f>
        <v/>
      </c>
      <c r="V85" s="11" t="str">
        <f aca="false">IF(J85="","NOT SCORED - NO JULY MONTHLY ROW",IF(OR(ABS(L85)&gt;0.005,ABS(O85)&gt;0.005,ABS(S85)&gt;0.005),"EXCEPTION","OK"))</f>
        <v>NOT SCORED - NO JULY MONTHLY ROW</v>
      </c>
      <c r="W85" s="11"/>
      <c r="X85" s="11" t="s">
        <v>2834</v>
      </c>
      <c r="Y85" s="33" t="n">
        <f aca="false">K85*N85</f>
        <v>528.5</v>
      </c>
    </row>
    <row r="86" customFormat="false" ht="20.85" hidden="false" customHeight="false" outlineLevel="0" collapsed="false">
      <c r="A86" s="8" t="s">
        <v>544</v>
      </c>
      <c r="B86" s="8" t="s">
        <v>192</v>
      </c>
      <c r="C86" s="8" t="s">
        <v>2829</v>
      </c>
      <c r="D86" s="8" t="s">
        <v>3143</v>
      </c>
      <c r="E86" s="8" t="s">
        <v>1048</v>
      </c>
      <c r="F86" s="8" t="s">
        <v>1049</v>
      </c>
      <c r="G86" s="8" t="s">
        <v>3144</v>
      </c>
      <c r="H86" s="8" t="n">
        <v>70</v>
      </c>
      <c r="I86" s="34" t="n">
        <v>30.5</v>
      </c>
      <c r="J86" s="34"/>
      <c r="K86" s="34" t="n">
        <f aca="false">MAX(ROUNDUP(I86,0),H86)</f>
        <v>70</v>
      </c>
      <c r="L86" s="34" t="str">
        <f aca="false">IF(J86="","",J86-K86)</f>
        <v/>
      </c>
      <c r="M86" s="35"/>
      <c r="N86" s="35" t="n">
        <f aca="false">IF(C86="covered",10.4,7.55)</f>
        <v>7.55</v>
      </c>
      <c r="O86" s="35" t="str">
        <f aca="false">IF(M86="","",M86-N86)</f>
        <v/>
      </c>
      <c r="P86" s="8"/>
      <c r="Q86" s="36"/>
      <c r="R86" s="36" t="str">
        <f aca="false">IF(OR(J86="",P86=""),"",K86*N86*P86)</f>
        <v/>
      </c>
      <c r="S86" s="36" t="str">
        <f aca="false">IF(Q86="","",Q86-R86)</f>
        <v/>
      </c>
      <c r="T86" s="36" t="str">
        <f aca="false">IF(S86="","",MAX(0,-S86))</f>
        <v/>
      </c>
      <c r="U86" s="36" t="str">
        <f aca="false">IF(S86="","",MAX(0,S86))</f>
        <v/>
      </c>
      <c r="V86" s="8" t="str">
        <f aca="false">IF(J86="","NOT SCORED - NO JULY MONTHLY ROW",IF(OR(ABS(L86)&gt;0.005,ABS(O86)&gt;0.005,ABS(S86)&gt;0.005),"EXCEPTION","OK"))</f>
        <v>NOT SCORED - NO JULY MONTHLY ROW</v>
      </c>
      <c r="W86" s="8"/>
      <c r="X86" s="8" t="s">
        <v>2834</v>
      </c>
      <c r="Y86" s="36" t="n">
        <f aca="false">K86*N86</f>
        <v>528.5</v>
      </c>
    </row>
    <row r="87" customFormat="false" ht="20.85" hidden="false" customHeight="false" outlineLevel="0" collapsed="false">
      <c r="A87" s="11" t="s">
        <v>3145</v>
      </c>
      <c r="B87" s="11" t="s">
        <v>192</v>
      </c>
      <c r="C87" s="11" t="s">
        <v>2829</v>
      </c>
      <c r="D87" s="11" t="s">
        <v>3146</v>
      </c>
      <c r="E87" s="11" t="s">
        <v>3147</v>
      </c>
      <c r="F87" s="11" t="s">
        <v>3148</v>
      </c>
      <c r="G87" s="11" t="s">
        <v>3149</v>
      </c>
      <c r="H87" s="11" t="n">
        <v>45</v>
      </c>
      <c r="I87" s="31" t="n">
        <v>34.6</v>
      </c>
      <c r="J87" s="31"/>
      <c r="K87" s="31" t="n">
        <f aca="false">MAX(ROUNDUP(I87,0),H87)</f>
        <v>45</v>
      </c>
      <c r="L87" s="31" t="str">
        <f aca="false">IF(J87="","",J87-K87)</f>
        <v/>
      </c>
      <c r="M87" s="32"/>
      <c r="N87" s="32" t="n">
        <f aca="false">IF(C87="covered",10.4,7.55)</f>
        <v>7.55</v>
      </c>
      <c r="O87" s="32" t="str">
        <f aca="false">IF(M87="","",M87-N87)</f>
        <v/>
      </c>
      <c r="P87" s="11"/>
      <c r="Q87" s="33"/>
      <c r="R87" s="33" t="str">
        <f aca="false">IF(OR(J87="",P87=""),"",K87*N87*P87)</f>
        <v/>
      </c>
      <c r="S87" s="33" t="str">
        <f aca="false">IF(Q87="","",Q87-R87)</f>
        <v/>
      </c>
      <c r="T87" s="33" t="str">
        <f aca="false">IF(S87="","",MAX(0,-S87))</f>
        <v/>
      </c>
      <c r="U87" s="33" t="str">
        <f aca="false">IF(S87="","",MAX(0,S87))</f>
        <v/>
      </c>
      <c r="V87" s="11" t="str">
        <f aca="false">IF(J87="","NOT SCORED - NO JULY MONTHLY ROW",IF(OR(ABS(L87)&gt;0.005,ABS(O87)&gt;0.005,ABS(S87)&gt;0.005),"EXCEPTION","OK"))</f>
        <v>NOT SCORED - NO JULY MONTHLY ROW</v>
      </c>
      <c r="W87" s="11"/>
      <c r="X87" s="11" t="s">
        <v>2834</v>
      </c>
      <c r="Y87" s="33" t="n">
        <f aca="false">K87*N87</f>
        <v>339.75</v>
      </c>
    </row>
    <row r="88" customFormat="false" ht="20.85" hidden="false" customHeight="false" outlineLevel="0" collapsed="false">
      <c r="A88" s="8" t="s">
        <v>3150</v>
      </c>
      <c r="B88" s="8" t="s">
        <v>192</v>
      </c>
      <c r="C88" s="8" t="s">
        <v>2829</v>
      </c>
      <c r="D88" s="8" t="s">
        <v>3151</v>
      </c>
      <c r="E88" s="8" t="s">
        <v>837</v>
      </c>
      <c r="F88" s="8" t="s">
        <v>838</v>
      </c>
      <c r="G88" s="8" t="s">
        <v>3152</v>
      </c>
      <c r="H88" s="8" t="n">
        <v>28</v>
      </c>
      <c r="I88" s="34" t="n">
        <v>48.3</v>
      </c>
      <c r="J88" s="34"/>
      <c r="K88" s="34" t="n">
        <f aca="false">MAX(ROUNDUP(I88,0),H88)</f>
        <v>49</v>
      </c>
      <c r="L88" s="34" t="str">
        <f aca="false">IF(J88="","",J88-K88)</f>
        <v/>
      </c>
      <c r="M88" s="35"/>
      <c r="N88" s="35" t="n">
        <f aca="false">IF(C88="covered",10.4,7.55)</f>
        <v>7.55</v>
      </c>
      <c r="O88" s="35" t="str">
        <f aca="false">IF(M88="","",M88-N88)</f>
        <v/>
      </c>
      <c r="P88" s="8"/>
      <c r="Q88" s="36"/>
      <c r="R88" s="36" t="str">
        <f aca="false">IF(OR(J88="",P88=""),"",K88*N88*P88)</f>
        <v/>
      </c>
      <c r="S88" s="36" t="str">
        <f aca="false">IF(Q88="","",Q88-R88)</f>
        <v/>
      </c>
      <c r="T88" s="36" t="str">
        <f aca="false">IF(S88="","",MAX(0,-S88))</f>
        <v/>
      </c>
      <c r="U88" s="36" t="str">
        <f aca="false">IF(S88="","",MAX(0,S88))</f>
        <v/>
      </c>
      <c r="V88" s="8" t="str">
        <f aca="false">IF(J88="","NOT SCORED - NO JULY MONTHLY ROW",IF(OR(ABS(L88)&gt;0.005,ABS(O88)&gt;0.005,ABS(S88)&gt;0.005),"EXCEPTION","OK"))</f>
        <v>NOT SCORED - NO JULY MONTHLY ROW</v>
      </c>
      <c r="W88" s="8"/>
      <c r="X88" s="8" t="s">
        <v>2834</v>
      </c>
      <c r="Y88" s="36" t="n">
        <f aca="false">K88*N88</f>
        <v>369.95</v>
      </c>
    </row>
    <row r="89" customFormat="false" ht="20.85" hidden="false" customHeight="false" outlineLevel="0" collapsed="false">
      <c r="A89" s="11" t="s">
        <v>1216</v>
      </c>
      <c r="B89" s="11" t="s">
        <v>192</v>
      </c>
      <c r="C89" s="11" t="s">
        <v>2829</v>
      </c>
      <c r="D89" s="11" t="s">
        <v>3153</v>
      </c>
      <c r="E89" s="11" t="s">
        <v>3154</v>
      </c>
      <c r="F89" s="11" t="s">
        <v>3155</v>
      </c>
      <c r="G89" s="11" t="s">
        <v>3156</v>
      </c>
      <c r="H89" s="11" t="n">
        <v>28</v>
      </c>
      <c r="I89" s="31" t="n">
        <v>48.7</v>
      </c>
      <c r="J89" s="31"/>
      <c r="K89" s="31" t="n">
        <f aca="false">MAX(ROUNDUP(I89,0),H89)</f>
        <v>49</v>
      </c>
      <c r="L89" s="31" t="str">
        <f aca="false">IF(J89="","",J89-K89)</f>
        <v/>
      </c>
      <c r="M89" s="32"/>
      <c r="N89" s="32" t="n">
        <f aca="false">IF(C89="covered",10.4,7.55)</f>
        <v>7.55</v>
      </c>
      <c r="O89" s="32" t="str">
        <f aca="false">IF(M89="","",M89-N89)</f>
        <v/>
      </c>
      <c r="P89" s="11"/>
      <c r="Q89" s="33"/>
      <c r="R89" s="33" t="str">
        <f aca="false">IF(OR(J89="",P89=""),"",K89*N89*P89)</f>
        <v/>
      </c>
      <c r="S89" s="33" t="str">
        <f aca="false">IF(Q89="","",Q89-R89)</f>
        <v/>
      </c>
      <c r="T89" s="33" t="str">
        <f aca="false">IF(S89="","",MAX(0,-S89))</f>
        <v/>
      </c>
      <c r="U89" s="33" t="str">
        <f aca="false">IF(S89="","",MAX(0,S89))</f>
        <v/>
      </c>
      <c r="V89" s="11" t="str">
        <f aca="false">IF(J89="","NOT SCORED - NO JULY MONTHLY ROW",IF(OR(ABS(L89)&gt;0.005,ABS(O89)&gt;0.005,ABS(S89)&gt;0.005),"EXCEPTION","OK"))</f>
        <v>NOT SCORED - NO JULY MONTHLY ROW</v>
      </c>
      <c r="W89" s="11"/>
      <c r="X89" s="11" t="s">
        <v>2834</v>
      </c>
      <c r="Y89" s="33" t="n">
        <f aca="false">K89*N89</f>
        <v>369.95</v>
      </c>
    </row>
    <row r="90" customFormat="false" ht="20.85" hidden="false" customHeight="false" outlineLevel="0" collapsed="false">
      <c r="A90" s="8" t="s">
        <v>1197</v>
      </c>
      <c r="B90" s="8" t="s">
        <v>192</v>
      </c>
      <c r="C90" s="8" t="s">
        <v>2829</v>
      </c>
      <c r="D90" s="8" t="s">
        <v>3157</v>
      </c>
      <c r="E90" s="8" t="s">
        <v>3158</v>
      </c>
      <c r="F90" s="8" t="s">
        <v>3159</v>
      </c>
      <c r="G90" s="8" t="s">
        <v>3160</v>
      </c>
      <c r="H90" s="8" t="n">
        <v>70</v>
      </c>
      <c r="I90" s="34" t="n">
        <v>33.1</v>
      </c>
      <c r="J90" s="34"/>
      <c r="K90" s="34" t="n">
        <f aca="false">MAX(ROUNDUP(I90,0),H90)</f>
        <v>70</v>
      </c>
      <c r="L90" s="34" t="str">
        <f aca="false">IF(J90="","",J90-K90)</f>
        <v/>
      </c>
      <c r="M90" s="35"/>
      <c r="N90" s="35" t="n">
        <f aca="false">IF(C90="covered",10.4,7.55)</f>
        <v>7.55</v>
      </c>
      <c r="O90" s="35" t="str">
        <f aca="false">IF(M90="","",M90-N90)</f>
        <v/>
      </c>
      <c r="P90" s="8"/>
      <c r="Q90" s="36"/>
      <c r="R90" s="36" t="str">
        <f aca="false">IF(OR(J90="",P90=""),"",K90*N90*P90)</f>
        <v/>
      </c>
      <c r="S90" s="36" t="str">
        <f aca="false">IF(Q90="","",Q90-R90)</f>
        <v/>
      </c>
      <c r="T90" s="36" t="str">
        <f aca="false">IF(S90="","",MAX(0,-S90))</f>
        <v/>
      </c>
      <c r="U90" s="36" t="str">
        <f aca="false">IF(S90="","",MAX(0,S90))</f>
        <v/>
      </c>
      <c r="V90" s="8" t="str">
        <f aca="false">IF(J90="","NOT SCORED - NO JULY MONTHLY ROW",IF(OR(ABS(L90)&gt;0.005,ABS(O90)&gt;0.005,ABS(S90)&gt;0.005),"EXCEPTION","OK"))</f>
        <v>NOT SCORED - NO JULY MONTHLY ROW</v>
      </c>
      <c r="W90" s="8"/>
      <c r="X90" s="8" t="s">
        <v>2834</v>
      </c>
      <c r="Y90" s="36" t="n">
        <f aca="false">K90*N90</f>
        <v>528.5</v>
      </c>
    </row>
    <row r="91" customFormat="false" ht="20.85" hidden="false" customHeight="false" outlineLevel="0" collapsed="false">
      <c r="A91" s="11" t="s">
        <v>3161</v>
      </c>
      <c r="B91" s="11" t="s">
        <v>192</v>
      </c>
      <c r="C91" s="11" t="s">
        <v>2829</v>
      </c>
      <c r="D91" s="11" t="s">
        <v>3162</v>
      </c>
      <c r="E91" s="11" t="s">
        <v>3163</v>
      </c>
      <c r="F91" s="11" t="s">
        <v>3164</v>
      </c>
      <c r="G91" s="11" t="s">
        <v>3165</v>
      </c>
      <c r="H91" s="11" t="n">
        <v>70</v>
      </c>
      <c r="I91" s="31" t="n">
        <v>55.9</v>
      </c>
      <c r="J91" s="31"/>
      <c r="K91" s="31" t="n">
        <f aca="false">MAX(ROUNDUP(I91,0),H91)</f>
        <v>70</v>
      </c>
      <c r="L91" s="31" t="str">
        <f aca="false">IF(J91="","",J91-K91)</f>
        <v/>
      </c>
      <c r="M91" s="32"/>
      <c r="N91" s="32" t="n">
        <f aca="false">IF(C91="covered",10.4,7.55)</f>
        <v>7.55</v>
      </c>
      <c r="O91" s="32" t="str">
        <f aca="false">IF(M91="","",M91-N91)</f>
        <v/>
      </c>
      <c r="P91" s="11"/>
      <c r="Q91" s="33"/>
      <c r="R91" s="33" t="str">
        <f aca="false">IF(OR(J91="",P91=""),"",K91*N91*P91)</f>
        <v/>
      </c>
      <c r="S91" s="33" t="str">
        <f aca="false">IF(Q91="","",Q91-R91)</f>
        <v/>
      </c>
      <c r="T91" s="33" t="str">
        <f aca="false">IF(S91="","",MAX(0,-S91))</f>
        <v/>
      </c>
      <c r="U91" s="33" t="str">
        <f aca="false">IF(S91="","",MAX(0,S91))</f>
        <v/>
      </c>
      <c r="V91" s="11" t="str">
        <f aca="false">IF(J91="","NOT SCORED - NO JULY MONTHLY ROW",IF(OR(ABS(L91)&gt;0.005,ABS(O91)&gt;0.005,ABS(S91)&gt;0.005),"EXCEPTION","OK"))</f>
        <v>NOT SCORED - NO JULY MONTHLY ROW</v>
      </c>
      <c r="W91" s="11"/>
      <c r="X91" s="11" t="s">
        <v>2834</v>
      </c>
      <c r="Y91" s="33" t="n">
        <f aca="false">K91*N91</f>
        <v>528.5</v>
      </c>
    </row>
    <row r="92" customFormat="false" ht="20.85" hidden="false" customHeight="false" outlineLevel="0" collapsed="false">
      <c r="A92" s="8" t="s">
        <v>3166</v>
      </c>
      <c r="B92" s="8" t="s">
        <v>192</v>
      </c>
      <c r="C92" s="8" t="s">
        <v>2829</v>
      </c>
      <c r="D92" s="8" t="s">
        <v>3167</v>
      </c>
      <c r="E92" s="8" t="s">
        <v>3168</v>
      </c>
      <c r="F92" s="8" t="s">
        <v>3169</v>
      </c>
      <c r="G92" s="8" t="s">
        <v>2947</v>
      </c>
      <c r="H92" s="8" t="n">
        <v>60</v>
      </c>
      <c r="I92" s="34" t="n">
        <v>56.6</v>
      </c>
      <c r="J92" s="34"/>
      <c r="K92" s="34" t="n">
        <f aca="false">MAX(ROUNDUP(I92,0),H92)</f>
        <v>60</v>
      </c>
      <c r="L92" s="34" t="str">
        <f aca="false">IF(J92="","",J92-K92)</f>
        <v/>
      </c>
      <c r="M92" s="35"/>
      <c r="N92" s="35" t="n">
        <f aca="false">IF(C92="covered",10.4,7.55)</f>
        <v>7.55</v>
      </c>
      <c r="O92" s="35" t="str">
        <f aca="false">IF(M92="","",M92-N92)</f>
        <v/>
      </c>
      <c r="P92" s="8"/>
      <c r="Q92" s="36"/>
      <c r="R92" s="36" t="str">
        <f aca="false">IF(OR(J92="",P92=""),"",K92*N92*P92)</f>
        <v/>
      </c>
      <c r="S92" s="36" t="str">
        <f aca="false">IF(Q92="","",Q92-R92)</f>
        <v/>
      </c>
      <c r="T92" s="36" t="str">
        <f aca="false">IF(S92="","",MAX(0,-S92))</f>
        <v/>
      </c>
      <c r="U92" s="36" t="str">
        <f aca="false">IF(S92="","",MAX(0,S92))</f>
        <v/>
      </c>
      <c r="V92" s="8" t="str">
        <f aca="false">IF(J92="","NOT SCORED - NO JULY MONTHLY ROW",IF(OR(ABS(L92)&gt;0.005,ABS(O92)&gt;0.005,ABS(S92)&gt;0.005),"EXCEPTION","OK"))</f>
        <v>NOT SCORED - NO JULY MONTHLY ROW</v>
      </c>
      <c r="W92" s="8"/>
      <c r="X92" s="8" t="s">
        <v>2834</v>
      </c>
      <c r="Y92" s="36" t="n">
        <f aca="false">K92*N92</f>
        <v>453</v>
      </c>
    </row>
    <row r="93" customFormat="false" ht="20.85" hidden="false" customHeight="false" outlineLevel="0" collapsed="false">
      <c r="A93" s="11" t="s">
        <v>3170</v>
      </c>
      <c r="B93" s="11" t="s">
        <v>192</v>
      </c>
      <c r="C93" s="11" t="s">
        <v>2829</v>
      </c>
      <c r="D93" s="11" t="s">
        <v>3171</v>
      </c>
      <c r="E93" s="11" t="s">
        <v>3172</v>
      </c>
      <c r="F93" s="11" t="s">
        <v>3173</v>
      </c>
      <c r="G93" s="11" t="s">
        <v>3174</v>
      </c>
      <c r="H93" s="11" t="n">
        <v>70</v>
      </c>
      <c r="I93" s="31" t="n">
        <v>56</v>
      </c>
      <c r="J93" s="31"/>
      <c r="K93" s="31" t="n">
        <f aca="false">MAX(ROUNDUP(I93,0),H93)</f>
        <v>70</v>
      </c>
      <c r="L93" s="31" t="str">
        <f aca="false">IF(J93="","",J93-K93)</f>
        <v/>
      </c>
      <c r="M93" s="32"/>
      <c r="N93" s="32" t="n">
        <f aca="false">IF(C93="covered",10.4,7.55)</f>
        <v>7.55</v>
      </c>
      <c r="O93" s="32" t="str">
        <f aca="false">IF(M93="","",M93-N93)</f>
        <v/>
      </c>
      <c r="P93" s="11"/>
      <c r="Q93" s="33"/>
      <c r="R93" s="33" t="str">
        <f aca="false">IF(OR(J93="",P93=""),"",K93*N93*P93)</f>
        <v/>
      </c>
      <c r="S93" s="33" t="str">
        <f aca="false">IF(Q93="","",Q93-R93)</f>
        <v/>
      </c>
      <c r="T93" s="33" t="str">
        <f aca="false">IF(S93="","",MAX(0,-S93))</f>
        <v/>
      </c>
      <c r="U93" s="33" t="str">
        <f aca="false">IF(S93="","",MAX(0,S93))</f>
        <v/>
      </c>
      <c r="V93" s="11" t="str">
        <f aca="false">IF(J93="","NOT SCORED - NO JULY MONTHLY ROW",IF(OR(ABS(L93)&gt;0.005,ABS(O93)&gt;0.005,ABS(S93)&gt;0.005),"EXCEPTION","OK"))</f>
        <v>NOT SCORED - NO JULY MONTHLY ROW</v>
      </c>
      <c r="W93" s="11"/>
      <c r="X93" s="11" t="s">
        <v>2834</v>
      </c>
      <c r="Y93" s="33" t="n">
        <f aca="false">K93*N93</f>
        <v>528.5</v>
      </c>
    </row>
    <row r="94" customFormat="false" ht="20.85" hidden="false" customHeight="false" outlineLevel="0" collapsed="false">
      <c r="A94" s="8" t="s">
        <v>3175</v>
      </c>
      <c r="B94" s="8" t="s">
        <v>192</v>
      </c>
      <c r="C94" s="8" t="s">
        <v>2829</v>
      </c>
      <c r="D94" s="8" t="s">
        <v>3176</v>
      </c>
      <c r="E94" s="8" t="s">
        <v>3177</v>
      </c>
      <c r="F94" s="8" t="s">
        <v>3178</v>
      </c>
      <c r="G94" s="8" t="s">
        <v>3000</v>
      </c>
      <c r="H94" s="8" t="n">
        <v>24</v>
      </c>
      <c r="I94" s="34" t="n">
        <v>43.9</v>
      </c>
      <c r="J94" s="34"/>
      <c r="K94" s="34" t="n">
        <f aca="false">MAX(ROUNDUP(I94,0),H94)</f>
        <v>44</v>
      </c>
      <c r="L94" s="34" t="str">
        <f aca="false">IF(J94="","",J94-K94)</f>
        <v/>
      </c>
      <c r="M94" s="35"/>
      <c r="N94" s="35" t="n">
        <f aca="false">IF(C94="covered",10.4,7.55)</f>
        <v>7.55</v>
      </c>
      <c r="O94" s="35" t="str">
        <f aca="false">IF(M94="","",M94-N94)</f>
        <v/>
      </c>
      <c r="P94" s="8"/>
      <c r="Q94" s="36"/>
      <c r="R94" s="36" t="str">
        <f aca="false">IF(OR(J94="",P94=""),"",K94*N94*P94)</f>
        <v/>
      </c>
      <c r="S94" s="36" t="str">
        <f aca="false">IF(Q94="","",Q94-R94)</f>
        <v/>
      </c>
      <c r="T94" s="36" t="str">
        <f aca="false">IF(S94="","",MAX(0,-S94))</f>
        <v/>
      </c>
      <c r="U94" s="36" t="str">
        <f aca="false">IF(S94="","",MAX(0,S94))</f>
        <v/>
      </c>
      <c r="V94" s="8" t="str">
        <f aca="false">IF(J94="","NOT SCORED - NO JULY MONTHLY ROW",IF(OR(ABS(L94)&gt;0.005,ABS(O94)&gt;0.005,ABS(S94)&gt;0.005),"EXCEPTION","OK"))</f>
        <v>NOT SCORED - NO JULY MONTHLY ROW</v>
      </c>
      <c r="W94" s="8"/>
      <c r="X94" s="8" t="s">
        <v>2834</v>
      </c>
      <c r="Y94" s="36" t="n">
        <f aca="false">K94*N94</f>
        <v>332.2</v>
      </c>
    </row>
    <row r="95" customFormat="false" ht="20.85" hidden="false" customHeight="false" outlineLevel="0" collapsed="false">
      <c r="A95" s="11" t="s">
        <v>3179</v>
      </c>
      <c r="B95" s="11" t="s">
        <v>192</v>
      </c>
      <c r="C95" s="11" t="s">
        <v>2829</v>
      </c>
      <c r="D95" s="11" t="s">
        <v>3180</v>
      </c>
      <c r="E95" s="11" t="s">
        <v>3181</v>
      </c>
      <c r="F95" s="11" t="s">
        <v>3182</v>
      </c>
      <c r="G95" s="11" t="s">
        <v>3183</v>
      </c>
      <c r="H95" s="11" t="n">
        <v>28</v>
      </c>
      <c r="I95" s="31" t="n">
        <v>57.9</v>
      </c>
      <c r="J95" s="31"/>
      <c r="K95" s="31" t="n">
        <f aca="false">MAX(ROUNDUP(I95,0),H95)</f>
        <v>58</v>
      </c>
      <c r="L95" s="31" t="str">
        <f aca="false">IF(J95="","",J95-K95)</f>
        <v/>
      </c>
      <c r="M95" s="32"/>
      <c r="N95" s="32" t="n">
        <f aca="false">IF(C95="covered",10.4,7.55)</f>
        <v>7.55</v>
      </c>
      <c r="O95" s="32" t="str">
        <f aca="false">IF(M95="","",M95-N95)</f>
        <v/>
      </c>
      <c r="P95" s="11"/>
      <c r="Q95" s="33"/>
      <c r="R95" s="33" t="str">
        <f aca="false">IF(OR(J95="",P95=""),"",K95*N95*P95)</f>
        <v/>
      </c>
      <c r="S95" s="33" t="str">
        <f aca="false">IF(Q95="","",Q95-R95)</f>
        <v/>
      </c>
      <c r="T95" s="33" t="str">
        <f aca="false">IF(S95="","",MAX(0,-S95))</f>
        <v/>
      </c>
      <c r="U95" s="33" t="str">
        <f aca="false">IF(S95="","",MAX(0,S95))</f>
        <v/>
      </c>
      <c r="V95" s="11" t="str">
        <f aca="false">IF(J95="","NOT SCORED - NO JULY MONTHLY ROW",IF(OR(ABS(L95)&gt;0.005,ABS(O95)&gt;0.005,ABS(S95)&gt;0.005),"EXCEPTION","OK"))</f>
        <v>NOT SCORED - NO JULY MONTHLY ROW</v>
      </c>
      <c r="W95" s="11"/>
      <c r="X95" s="11" t="s">
        <v>2834</v>
      </c>
      <c r="Y95" s="33" t="n">
        <f aca="false">K95*N95</f>
        <v>437.9</v>
      </c>
    </row>
    <row r="96" customFormat="false" ht="20.85" hidden="false" customHeight="false" outlineLevel="0" collapsed="false">
      <c r="A96" s="8" t="s">
        <v>3184</v>
      </c>
      <c r="B96" s="8" t="s">
        <v>192</v>
      </c>
      <c r="C96" s="8" t="s">
        <v>2829</v>
      </c>
      <c r="D96" s="8" t="s">
        <v>3185</v>
      </c>
      <c r="E96" s="8" t="s">
        <v>3186</v>
      </c>
      <c r="F96" s="8" t="s">
        <v>3187</v>
      </c>
      <c r="G96" s="8" t="s">
        <v>3188</v>
      </c>
      <c r="H96" s="8" t="n">
        <v>24</v>
      </c>
      <c r="I96" s="34" t="n">
        <v>48.4</v>
      </c>
      <c r="J96" s="34"/>
      <c r="K96" s="34" t="n">
        <f aca="false">MAX(ROUNDUP(I96,0),H96)</f>
        <v>49</v>
      </c>
      <c r="L96" s="34" t="str">
        <f aca="false">IF(J96="","",J96-K96)</f>
        <v/>
      </c>
      <c r="M96" s="35"/>
      <c r="N96" s="35" t="n">
        <f aca="false">IF(C96="covered",10.4,7.55)</f>
        <v>7.55</v>
      </c>
      <c r="O96" s="35" t="str">
        <f aca="false">IF(M96="","",M96-N96)</f>
        <v/>
      </c>
      <c r="P96" s="8"/>
      <c r="Q96" s="36"/>
      <c r="R96" s="36" t="str">
        <f aca="false">IF(OR(J96="",P96=""),"",K96*N96*P96)</f>
        <v/>
      </c>
      <c r="S96" s="36" t="str">
        <f aca="false">IF(Q96="","",Q96-R96)</f>
        <v/>
      </c>
      <c r="T96" s="36" t="str">
        <f aca="false">IF(S96="","",MAX(0,-S96))</f>
        <v/>
      </c>
      <c r="U96" s="36" t="str">
        <f aca="false">IF(S96="","",MAX(0,S96))</f>
        <v/>
      </c>
      <c r="V96" s="8" t="str">
        <f aca="false">IF(J96="","NOT SCORED - NO JULY MONTHLY ROW",IF(OR(ABS(L96)&gt;0.005,ABS(O96)&gt;0.005,ABS(S96)&gt;0.005),"EXCEPTION","OK"))</f>
        <v>NOT SCORED - NO JULY MONTHLY ROW</v>
      </c>
      <c r="W96" s="8"/>
      <c r="X96" s="8" t="s">
        <v>2834</v>
      </c>
      <c r="Y96" s="36" t="n">
        <f aca="false">K96*N96</f>
        <v>369.95</v>
      </c>
    </row>
    <row r="97" customFormat="false" ht="20.85" hidden="false" customHeight="false" outlineLevel="0" collapsed="false">
      <c r="A97" s="11" t="s">
        <v>3189</v>
      </c>
      <c r="B97" s="11" t="s">
        <v>192</v>
      </c>
      <c r="C97" s="11" t="s">
        <v>2829</v>
      </c>
      <c r="D97" s="11" t="s">
        <v>3190</v>
      </c>
      <c r="E97" s="11" t="s">
        <v>3191</v>
      </c>
      <c r="F97" s="11" t="s">
        <v>3192</v>
      </c>
      <c r="G97" s="11" t="s">
        <v>3193</v>
      </c>
      <c r="H97" s="11" t="n">
        <v>24</v>
      </c>
      <c r="I97" s="31" t="n">
        <v>27.3</v>
      </c>
      <c r="J97" s="31"/>
      <c r="K97" s="31" t="n">
        <f aca="false">MAX(ROUNDUP(I97,0),H97)</f>
        <v>28</v>
      </c>
      <c r="L97" s="31" t="str">
        <f aca="false">IF(J97="","",J97-K97)</f>
        <v/>
      </c>
      <c r="M97" s="32"/>
      <c r="N97" s="32" t="n">
        <f aca="false">IF(C97="covered",10.4,7.55)</f>
        <v>7.55</v>
      </c>
      <c r="O97" s="32" t="str">
        <f aca="false">IF(M97="","",M97-N97)</f>
        <v/>
      </c>
      <c r="P97" s="11"/>
      <c r="Q97" s="33"/>
      <c r="R97" s="33" t="str">
        <f aca="false">IF(OR(J97="",P97=""),"",K97*N97*P97)</f>
        <v/>
      </c>
      <c r="S97" s="33" t="str">
        <f aca="false">IF(Q97="","",Q97-R97)</f>
        <v/>
      </c>
      <c r="T97" s="33" t="str">
        <f aca="false">IF(S97="","",MAX(0,-S97))</f>
        <v/>
      </c>
      <c r="U97" s="33" t="str">
        <f aca="false">IF(S97="","",MAX(0,S97))</f>
        <v/>
      </c>
      <c r="V97" s="11" t="str">
        <f aca="false">IF(J97="","NOT SCORED - NO JULY MONTHLY ROW",IF(OR(ABS(L97)&gt;0.005,ABS(O97)&gt;0.005,ABS(S97)&gt;0.005),"EXCEPTION","OK"))</f>
        <v>NOT SCORED - NO JULY MONTHLY ROW</v>
      </c>
      <c r="W97" s="11"/>
      <c r="X97" s="11" t="s">
        <v>2834</v>
      </c>
      <c r="Y97" s="33" t="n">
        <f aca="false">K97*N97</f>
        <v>211.4</v>
      </c>
    </row>
    <row r="98" customFormat="false" ht="20.85" hidden="false" customHeight="false" outlineLevel="0" collapsed="false">
      <c r="A98" s="8" t="s">
        <v>992</v>
      </c>
      <c r="B98" s="8" t="s">
        <v>192</v>
      </c>
      <c r="C98" s="8" t="s">
        <v>2829</v>
      </c>
      <c r="D98" s="8" t="s">
        <v>3194</v>
      </c>
      <c r="E98" s="8" t="s">
        <v>3195</v>
      </c>
      <c r="F98" s="8" t="s">
        <v>3196</v>
      </c>
      <c r="G98" s="8" t="s">
        <v>3059</v>
      </c>
      <c r="H98" s="8" t="n">
        <v>60</v>
      </c>
      <c r="I98" s="34" t="n">
        <v>29.8</v>
      </c>
      <c r="J98" s="34"/>
      <c r="K98" s="34" t="n">
        <f aca="false">MAX(ROUNDUP(I98,0),H98)</f>
        <v>60</v>
      </c>
      <c r="L98" s="34" t="str">
        <f aca="false">IF(J98="","",J98-K98)</f>
        <v/>
      </c>
      <c r="M98" s="35"/>
      <c r="N98" s="35" t="n">
        <f aca="false">IF(C98="covered",10.4,7.55)</f>
        <v>7.55</v>
      </c>
      <c r="O98" s="35" t="str">
        <f aca="false">IF(M98="","",M98-N98)</f>
        <v/>
      </c>
      <c r="P98" s="8"/>
      <c r="Q98" s="36"/>
      <c r="R98" s="36" t="str">
        <f aca="false">IF(OR(J98="",P98=""),"",K98*N98*P98)</f>
        <v/>
      </c>
      <c r="S98" s="36" t="str">
        <f aca="false">IF(Q98="","",Q98-R98)</f>
        <v/>
      </c>
      <c r="T98" s="36" t="str">
        <f aca="false">IF(S98="","",MAX(0,-S98))</f>
        <v/>
      </c>
      <c r="U98" s="36" t="str">
        <f aca="false">IF(S98="","",MAX(0,S98))</f>
        <v/>
      </c>
      <c r="V98" s="8" t="str">
        <f aca="false">IF(J98="","NOT SCORED - NO JULY MONTHLY ROW",IF(OR(ABS(L98)&gt;0.005,ABS(O98)&gt;0.005,ABS(S98)&gt;0.005),"EXCEPTION","OK"))</f>
        <v>NOT SCORED - NO JULY MONTHLY ROW</v>
      </c>
      <c r="W98" s="8"/>
      <c r="X98" s="8" t="s">
        <v>2834</v>
      </c>
      <c r="Y98" s="36" t="n">
        <f aca="false">K98*N98</f>
        <v>453</v>
      </c>
    </row>
    <row r="99" customFormat="false" ht="20.85" hidden="false" customHeight="false" outlineLevel="0" collapsed="false">
      <c r="A99" s="11" t="s">
        <v>3197</v>
      </c>
      <c r="B99" s="11" t="s">
        <v>192</v>
      </c>
      <c r="C99" s="11" t="s">
        <v>2829</v>
      </c>
      <c r="D99" s="11" t="s">
        <v>3198</v>
      </c>
      <c r="E99" s="11" t="s">
        <v>2477</v>
      </c>
      <c r="F99" s="11" t="s">
        <v>3199</v>
      </c>
      <c r="G99" s="11" t="s">
        <v>3200</v>
      </c>
      <c r="H99" s="11" t="n">
        <v>24</v>
      </c>
      <c r="I99" s="31" t="n">
        <v>45.8</v>
      </c>
      <c r="J99" s="31"/>
      <c r="K99" s="31" t="n">
        <f aca="false">MAX(ROUNDUP(I99,0),H99)</f>
        <v>46</v>
      </c>
      <c r="L99" s="31" t="str">
        <f aca="false">IF(J99="","",J99-K99)</f>
        <v/>
      </c>
      <c r="M99" s="32"/>
      <c r="N99" s="32" t="n">
        <f aca="false">IF(C99="covered",10.4,7.55)</f>
        <v>7.55</v>
      </c>
      <c r="O99" s="32" t="str">
        <f aca="false">IF(M99="","",M99-N99)</f>
        <v/>
      </c>
      <c r="P99" s="11"/>
      <c r="Q99" s="33"/>
      <c r="R99" s="33" t="str">
        <f aca="false">IF(OR(J99="",P99=""),"",K99*N99*P99)</f>
        <v/>
      </c>
      <c r="S99" s="33" t="str">
        <f aca="false">IF(Q99="","",Q99-R99)</f>
        <v/>
      </c>
      <c r="T99" s="33" t="str">
        <f aca="false">IF(S99="","",MAX(0,-S99))</f>
        <v/>
      </c>
      <c r="U99" s="33" t="str">
        <f aca="false">IF(S99="","",MAX(0,S99))</f>
        <v/>
      </c>
      <c r="V99" s="11" t="str">
        <f aca="false">IF(J99="","NOT SCORED - NO JULY MONTHLY ROW",IF(OR(ABS(L99)&gt;0.005,ABS(O99)&gt;0.005,ABS(S99)&gt;0.005),"EXCEPTION","OK"))</f>
        <v>NOT SCORED - NO JULY MONTHLY ROW</v>
      </c>
      <c r="W99" s="11"/>
      <c r="X99" s="11" t="s">
        <v>2834</v>
      </c>
      <c r="Y99" s="33" t="n">
        <f aca="false">K99*N99</f>
        <v>347.3</v>
      </c>
    </row>
    <row r="100" customFormat="false" ht="20.85" hidden="false" customHeight="false" outlineLevel="0" collapsed="false">
      <c r="A100" s="8" t="s">
        <v>138</v>
      </c>
      <c r="B100" s="8" t="s">
        <v>192</v>
      </c>
      <c r="C100" s="8" t="s">
        <v>2829</v>
      </c>
      <c r="D100" s="8" t="s">
        <v>3201</v>
      </c>
      <c r="E100" s="8" t="s">
        <v>3202</v>
      </c>
      <c r="F100" s="8" t="s">
        <v>3203</v>
      </c>
      <c r="G100" s="8" t="s">
        <v>3204</v>
      </c>
      <c r="H100" s="8" t="n">
        <v>36</v>
      </c>
      <c r="I100" s="34" t="n">
        <v>59.7</v>
      </c>
      <c r="J100" s="34"/>
      <c r="K100" s="34" t="n">
        <f aca="false">MAX(ROUNDUP(I100,0),H100)</f>
        <v>60</v>
      </c>
      <c r="L100" s="34" t="str">
        <f aca="false">IF(J100="","",J100-K100)</f>
        <v/>
      </c>
      <c r="M100" s="35"/>
      <c r="N100" s="35" t="n">
        <f aca="false">IF(C100="covered",10.4,7.55)</f>
        <v>7.55</v>
      </c>
      <c r="O100" s="35" t="str">
        <f aca="false">IF(M100="","",M100-N100)</f>
        <v/>
      </c>
      <c r="P100" s="8"/>
      <c r="Q100" s="36"/>
      <c r="R100" s="36" t="str">
        <f aca="false">IF(OR(J100="",P100=""),"",K100*N100*P100)</f>
        <v/>
      </c>
      <c r="S100" s="36" t="str">
        <f aca="false">IF(Q100="","",Q100-R100)</f>
        <v/>
      </c>
      <c r="T100" s="36" t="str">
        <f aca="false">IF(S100="","",MAX(0,-S100))</f>
        <v/>
      </c>
      <c r="U100" s="36" t="str">
        <f aca="false">IF(S100="","",MAX(0,S100))</f>
        <v/>
      </c>
      <c r="V100" s="8" t="str">
        <f aca="false">IF(J100="","NOT SCORED - NO JULY MONTHLY ROW",IF(OR(ABS(L100)&gt;0.005,ABS(O100)&gt;0.005,ABS(S100)&gt;0.005),"EXCEPTION","OK"))</f>
        <v>NOT SCORED - NO JULY MONTHLY ROW</v>
      </c>
      <c r="W100" s="8"/>
      <c r="X100" s="8" t="s">
        <v>2834</v>
      </c>
      <c r="Y100" s="36" t="n">
        <f aca="false">K100*N100</f>
        <v>453</v>
      </c>
    </row>
    <row r="101" customFormat="false" ht="20.85" hidden="false" customHeight="false" outlineLevel="0" collapsed="false">
      <c r="A101" s="11" t="s">
        <v>3205</v>
      </c>
      <c r="B101" s="11" t="s">
        <v>192</v>
      </c>
      <c r="C101" s="11" t="s">
        <v>2829</v>
      </c>
      <c r="D101" s="11" t="s">
        <v>3206</v>
      </c>
      <c r="E101" s="11" t="s">
        <v>2229</v>
      </c>
      <c r="F101" s="11" t="s">
        <v>3207</v>
      </c>
      <c r="G101" s="11" t="s">
        <v>3208</v>
      </c>
      <c r="H101" s="11" t="n">
        <v>36</v>
      </c>
      <c r="I101" s="31" t="n">
        <v>59.9</v>
      </c>
      <c r="J101" s="31"/>
      <c r="K101" s="31" t="n">
        <f aca="false">MAX(ROUNDUP(I101,0),H101)</f>
        <v>60</v>
      </c>
      <c r="L101" s="31" t="str">
        <f aca="false">IF(J101="","",J101-K101)</f>
        <v/>
      </c>
      <c r="M101" s="32"/>
      <c r="N101" s="32" t="n">
        <f aca="false">IF(C101="covered",10.4,7.55)</f>
        <v>7.55</v>
      </c>
      <c r="O101" s="32" t="str">
        <f aca="false">IF(M101="","",M101-N101)</f>
        <v/>
      </c>
      <c r="P101" s="11"/>
      <c r="Q101" s="33"/>
      <c r="R101" s="33" t="str">
        <f aca="false">IF(OR(J101="",P101=""),"",K101*N101*P101)</f>
        <v/>
      </c>
      <c r="S101" s="33" t="str">
        <f aca="false">IF(Q101="","",Q101-R101)</f>
        <v/>
      </c>
      <c r="T101" s="33" t="str">
        <f aca="false">IF(S101="","",MAX(0,-S101))</f>
        <v/>
      </c>
      <c r="U101" s="33" t="str">
        <f aca="false">IF(S101="","",MAX(0,S101))</f>
        <v/>
      </c>
      <c r="V101" s="11" t="str">
        <f aca="false">IF(J101="","NOT SCORED - NO JULY MONTHLY ROW",IF(OR(ABS(L101)&gt;0.005,ABS(O101)&gt;0.005,ABS(S101)&gt;0.005),"EXCEPTION","OK"))</f>
        <v>NOT SCORED - NO JULY MONTHLY ROW</v>
      </c>
      <c r="W101" s="11"/>
      <c r="X101" s="11" t="s">
        <v>2834</v>
      </c>
      <c r="Y101" s="33" t="n">
        <f aca="false">K101*N101</f>
        <v>453</v>
      </c>
    </row>
    <row r="102" customFormat="false" ht="20.85" hidden="false" customHeight="false" outlineLevel="0" collapsed="false">
      <c r="A102" s="8" t="s">
        <v>3209</v>
      </c>
      <c r="B102" s="8" t="s">
        <v>192</v>
      </c>
      <c r="C102" s="8" t="s">
        <v>2829</v>
      </c>
      <c r="D102" s="8" t="s">
        <v>3210</v>
      </c>
      <c r="E102" s="8" t="s">
        <v>3211</v>
      </c>
      <c r="F102" s="8" t="s">
        <v>3212</v>
      </c>
      <c r="G102" s="8" t="s">
        <v>3213</v>
      </c>
      <c r="H102" s="8" t="n">
        <v>32</v>
      </c>
      <c r="I102" s="34" t="n">
        <v>49.7</v>
      </c>
      <c r="J102" s="34"/>
      <c r="K102" s="34" t="n">
        <f aca="false">MAX(ROUNDUP(I102,0),H102)</f>
        <v>50</v>
      </c>
      <c r="L102" s="34" t="str">
        <f aca="false">IF(J102="","",J102-K102)</f>
        <v/>
      </c>
      <c r="M102" s="35"/>
      <c r="N102" s="35" t="n">
        <f aca="false">IF(C102="covered",10.4,7.55)</f>
        <v>7.55</v>
      </c>
      <c r="O102" s="35" t="str">
        <f aca="false">IF(M102="","",M102-N102)</f>
        <v/>
      </c>
      <c r="P102" s="8"/>
      <c r="Q102" s="36"/>
      <c r="R102" s="36" t="str">
        <f aca="false">IF(OR(J102="",P102=""),"",K102*N102*P102)</f>
        <v/>
      </c>
      <c r="S102" s="36" t="str">
        <f aca="false">IF(Q102="","",Q102-R102)</f>
        <v/>
      </c>
      <c r="T102" s="36" t="str">
        <f aca="false">IF(S102="","",MAX(0,-S102))</f>
        <v/>
      </c>
      <c r="U102" s="36" t="str">
        <f aca="false">IF(S102="","",MAX(0,S102))</f>
        <v/>
      </c>
      <c r="V102" s="8" t="str">
        <f aca="false">IF(J102="","NOT SCORED - NO JULY MONTHLY ROW",IF(OR(ABS(L102)&gt;0.005,ABS(O102)&gt;0.005,ABS(S102)&gt;0.005),"EXCEPTION","OK"))</f>
        <v>NOT SCORED - NO JULY MONTHLY ROW</v>
      </c>
      <c r="W102" s="8"/>
      <c r="X102" s="8" t="s">
        <v>2834</v>
      </c>
      <c r="Y102" s="36" t="n">
        <f aca="false">K102*N102</f>
        <v>377.5</v>
      </c>
    </row>
    <row r="103" customFormat="false" ht="20.85" hidden="false" customHeight="false" outlineLevel="0" collapsed="false">
      <c r="A103" s="11" t="s">
        <v>412</v>
      </c>
      <c r="B103" s="11" t="s">
        <v>192</v>
      </c>
      <c r="C103" s="11" t="s">
        <v>2829</v>
      </c>
      <c r="D103" s="11" t="s">
        <v>3214</v>
      </c>
      <c r="E103" s="11" t="s">
        <v>3215</v>
      </c>
      <c r="F103" s="11" t="s">
        <v>3216</v>
      </c>
      <c r="G103" s="11" t="s">
        <v>3217</v>
      </c>
      <c r="H103" s="11" t="n">
        <v>50</v>
      </c>
      <c r="I103" s="31" t="n">
        <v>38.9</v>
      </c>
      <c r="J103" s="31"/>
      <c r="K103" s="31" t="n">
        <f aca="false">MAX(ROUNDUP(I103,0),H103)</f>
        <v>50</v>
      </c>
      <c r="L103" s="31" t="str">
        <f aca="false">IF(J103="","",J103-K103)</f>
        <v/>
      </c>
      <c r="M103" s="32"/>
      <c r="N103" s="32" t="n">
        <f aca="false">IF(C103="covered",10.4,7.55)</f>
        <v>7.55</v>
      </c>
      <c r="O103" s="32" t="str">
        <f aca="false">IF(M103="","",M103-N103)</f>
        <v/>
      </c>
      <c r="P103" s="11"/>
      <c r="Q103" s="33"/>
      <c r="R103" s="33" t="str">
        <f aca="false">IF(OR(J103="",P103=""),"",K103*N103*P103)</f>
        <v/>
      </c>
      <c r="S103" s="33" t="str">
        <f aca="false">IF(Q103="","",Q103-R103)</f>
        <v/>
      </c>
      <c r="T103" s="33" t="str">
        <f aca="false">IF(S103="","",MAX(0,-S103))</f>
        <v/>
      </c>
      <c r="U103" s="33" t="str">
        <f aca="false">IF(S103="","",MAX(0,S103))</f>
        <v/>
      </c>
      <c r="V103" s="11" t="str">
        <f aca="false">IF(J103="","NOT SCORED - NO JULY MONTHLY ROW",IF(OR(ABS(L103)&gt;0.005,ABS(O103)&gt;0.005,ABS(S103)&gt;0.005),"EXCEPTION","OK"))</f>
        <v>NOT SCORED - NO JULY MONTHLY ROW</v>
      </c>
      <c r="W103" s="11"/>
      <c r="X103" s="11" t="s">
        <v>2834</v>
      </c>
      <c r="Y103" s="33" t="n">
        <f aca="false">K103*N103</f>
        <v>377.5</v>
      </c>
    </row>
    <row r="104" customFormat="false" ht="20.85" hidden="false" customHeight="false" outlineLevel="0" collapsed="false">
      <c r="A104" s="8" t="s">
        <v>3218</v>
      </c>
      <c r="B104" s="8" t="s">
        <v>192</v>
      </c>
      <c r="C104" s="8" t="s">
        <v>2829</v>
      </c>
      <c r="D104" s="8" t="s">
        <v>3219</v>
      </c>
      <c r="E104" s="8" t="s">
        <v>3220</v>
      </c>
      <c r="F104" s="8" t="s">
        <v>3221</v>
      </c>
      <c r="G104" s="8" t="s">
        <v>3222</v>
      </c>
      <c r="H104" s="8" t="n">
        <v>45</v>
      </c>
      <c r="I104" s="34" t="n">
        <v>53.3</v>
      </c>
      <c r="J104" s="34"/>
      <c r="K104" s="34" t="n">
        <f aca="false">MAX(ROUNDUP(I104,0),H104)</f>
        <v>54</v>
      </c>
      <c r="L104" s="34" t="str">
        <f aca="false">IF(J104="","",J104-K104)</f>
        <v/>
      </c>
      <c r="M104" s="35"/>
      <c r="N104" s="35" t="n">
        <f aca="false">IF(C104="covered",10.4,7.55)</f>
        <v>7.55</v>
      </c>
      <c r="O104" s="35" t="str">
        <f aca="false">IF(M104="","",M104-N104)</f>
        <v/>
      </c>
      <c r="P104" s="8"/>
      <c r="Q104" s="36"/>
      <c r="R104" s="36" t="str">
        <f aca="false">IF(OR(J104="",P104=""),"",K104*N104*P104)</f>
        <v/>
      </c>
      <c r="S104" s="36" t="str">
        <f aca="false">IF(Q104="","",Q104-R104)</f>
        <v/>
      </c>
      <c r="T104" s="36" t="str">
        <f aca="false">IF(S104="","",MAX(0,-S104))</f>
        <v/>
      </c>
      <c r="U104" s="36" t="str">
        <f aca="false">IF(S104="","",MAX(0,S104))</f>
        <v/>
      </c>
      <c r="V104" s="8" t="str">
        <f aca="false">IF(J104="","NOT SCORED - NO JULY MONTHLY ROW",IF(OR(ABS(L104)&gt;0.005,ABS(O104)&gt;0.005,ABS(S104)&gt;0.005),"EXCEPTION","OK"))</f>
        <v>NOT SCORED - NO JULY MONTHLY ROW</v>
      </c>
      <c r="W104" s="8"/>
      <c r="X104" s="8" t="s">
        <v>2834</v>
      </c>
      <c r="Y104" s="36" t="n">
        <f aca="false">K104*N104</f>
        <v>407.7</v>
      </c>
    </row>
    <row r="105" customFormat="false" ht="20.85" hidden="false" customHeight="false" outlineLevel="0" collapsed="false">
      <c r="A105" s="11" t="s">
        <v>3223</v>
      </c>
      <c r="B105" s="11" t="s">
        <v>192</v>
      </c>
      <c r="C105" s="11" t="s">
        <v>2829</v>
      </c>
      <c r="D105" s="11" t="s">
        <v>3224</v>
      </c>
      <c r="E105" s="11" t="s">
        <v>3225</v>
      </c>
      <c r="F105" s="11" t="s">
        <v>3226</v>
      </c>
      <c r="G105" s="11" t="s">
        <v>3227</v>
      </c>
      <c r="H105" s="11" t="n">
        <v>45</v>
      </c>
      <c r="I105" s="31" t="n">
        <v>25.5</v>
      </c>
      <c r="J105" s="31"/>
      <c r="K105" s="31" t="n">
        <f aca="false">MAX(ROUNDUP(I105,0),H105)</f>
        <v>45</v>
      </c>
      <c r="L105" s="31" t="str">
        <f aca="false">IF(J105="","",J105-K105)</f>
        <v/>
      </c>
      <c r="M105" s="32"/>
      <c r="N105" s="32" t="n">
        <f aca="false">IF(C105="covered",10.4,7.55)</f>
        <v>7.55</v>
      </c>
      <c r="O105" s="32" t="str">
        <f aca="false">IF(M105="","",M105-N105)</f>
        <v/>
      </c>
      <c r="P105" s="11"/>
      <c r="Q105" s="33"/>
      <c r="R105" s="33" t="str">
        <f aca="false">IF(OR(J105="",P105=""),"",K105*N105*P105)</f>
        <v/>
      </c>
      <c r="S105" s="33" t="str">
        <f aca="false">IF(Q105="","",Q105-R105)</f>
        <v/>
      </c>
      <c r="T105" s="33" t="str">
        <f aca="false">IF(S105="","",MAX(0,-S105))</f>
        <v/>
      </c>
      <c r="U105" s="33" t="str">
        <f aca="false">IF(S105="","",MAX(0,S105))</f>
        <v/>
      </c>
      <c r="V105" s="11" t="str">
        <f aca="false">IF(J105="","NOT SCORED - NO JULY MONTHLY ROW",IF(OR(ABS(L105)&gt;0.005,ABS(O105)&gt;0.005,ABS(S105)&gt;0.005),"EXCEPTION","OK"))</f>
        <v>NOT SCORED - NO JULY MONTHLY ROW</v>
      </c>
      <c r="W105" s="11"/>
      <c r="X105" s="11" t="s">
        <v>2834</v>
      </c>
      <c r="Y105" s="33" t="n">
        <f aca="false">K105*N105</f>
        <v>339.75</v>
      </c>
    </row>
    <row r="106" customFormat="false" ht="20.85" hidden="false" customHeight="false" outlineLevel="0" collapsed="false">
      <c r="A106" s="8" t="s">
        <v>1281</v>
      </c>
      <c r="B106" s="8" t="s">
        <v>192</v>
      </c>
      <c r="C106" s="8" t="s">
        <v>2829</v>
      </c>
      <c r="D106" s="8" t="s">
        <v>3228</v>
      </c>
      <c r="E106" s="8" t="s">
        <v>3229</v>
      </c>
      <c r="F106" s="8" t="s">
        <v>3230</v>
      </c>
      <c r="G106" s="8" t="s">
        <v>3231</v>
      </c>
      <c r="H106" s="8" t="n">
        <v>24</v>
      </c>
      <c r="I106" s="34" t="n">
        <v>50.9</v>
      </c>
      <c r="J106" s="34"/>
      <c r="K106" s="34" t="n">
        <f aca="false">MAX(ROUNDUP(I106,0),H106)</f>
        <v>51</v>
      </c>
      <c r="L106" s="34" t="str">
        <f aca="false">IF(J106="","",J106-K106)</f>
        <v/>
      </c>
      <c r="M106" s="35"/>
      <c r="N106" s="35" t="n">
        <f aca="false">IF(C106="covered",10.4,7.55)</f>
        <v>7.55</v>
      </c>
      <c r="O106" s="35" t="str">
        <f aca="false">IF(M106="","",M106-N106)</f>
        <v/>
      </c>
      <c r="P106" s="8"/>
      <c r="Q106" s="36"/>
      <c r="R106" s="36" t="str">
        <f aca="false">IF(OR(J106="",P106=""),"",K106*N106*P106)</f>
        <v/>
      </c>
      <c r="S106" s="36" t="str">
        <f aca="false">IF(Q106="","",Q106-R106)</f>
        <v/>
      </c>
      <c r="T106" s="36" t="str">
        <f aca="false">IF(S106="","",MAX(0,-S106))</f>
        <v/>
      </c>
      <c r="U106" s="36" t="str">
        <f aca="false">IF(S106="","",MAX(0,S106))</f>
        <v/>
      </c>
      <c r="V106" s="8" t="str">
        <f aca="false">IF(J106="","NOT SCORED - NO JULY MONTHLY ROW",IF(OR(ABS(L106)&gt;0.005,ABS(O106)&gt;0.005,ABS(S106)&gt;0.005),"EXCEPTION","OK"))</f>
        <v>NOT SCORED - NO JULY MONTHLY ROW</v>
      </c>
      <c r="W106" s="8"/>
      <c r="X106" s="8" t="s">
        <v>2834</v>
      </c>
      <c r="Y106" s="36" t="n">
        <f aca="false">K106*N106</f>
        <v>385.05</v>
      </c>
    </row>
    <row r="107" customFormat="false" ht="20.85" hidden="false" customHeight="false" outlineLevel="0" collapsed="false">
      <c r="A107" s="11" t="s">
        <v>3232</v>
      </c>
      <c r="B107" s="11" t="s">
        <v>192</v>
      </c>
      <c r="C107" s="11" t="s">
        <v>2829</v>
      </c>
      <c r="D107" s="11" t="s">
        <v>3233</v>
      </c>
      <c r="E107" s="11" t="s">
        <v>3234</v>
      </c>
      <c r="F107" s="11" t="s">
        <v>3235</v>
      </c>
      <c r="G107" s="11" t="s">
        <v>3236</v>
      </c>
      <c r="H107" s="11" t="n">
        <v>40</v>
      </c>
      <c r="I107" s="31" t="n">
        <v>29</v>
      </c>
      <c r="J107" s="31"/>
      <c r="K107" s="31" t="n">
        <f aca="false">MAX(ROUNDUP(I107,0),H107)</f>
        <v>40</v>
      </c>
      <c r="L107" s="31" t="str">
        <f aca="false">IF(J107="","",J107-K107)</f>
        <v/>
      </c>
      <c r="M107" s="32"/>
      <c r="N107" s="32" t="n">
        <f aca="false">IF(C107="covered",10.4,7.55)</f>
        <v>7.55</v>
      </c>
      <c r="O107" s="32" t="str">
        <f aca="false">IF(M107="","",M107-N107)</f>
        <v/>
      </c>
      <c r="P107" s="11"/>
      <c r="Q107" s="33"/>
      <c r="R107" s="33" t="str">
        <f aca="false">IF(OR(J107="",P107=""),"",K107*N107*P107)</f>
        <v/>
      </c>
      <c r="S107" s="33" t="str">
        <f aca="false">IF(Q107="","",Q107-R107)</f>
        <v/>
      </c>
      <c r="T107" s="33" t="str">
        <f aca="false">IF(S107="","",MAX(0,-S107))</f>
        <v/>
      </c>
      <c r="U107" s="33" t="str">
        <f aca="false">IF(S107="","",MAX(0,S107))</f>
        <v/>
      </c>
      <c r="V107" s="11" t="str">
        <f aca="false">IF(J107="","NOT SCORED - NO JULY MONTHLY ROW",IF(OR(ABS(L107)&gt;0.005,ABS(O107)&gt;0.005,ABS(S107)&gt;0.005),"EXCEPTION","OK"))</f>
        <v>NOT SCORED - NO JULY MONTHLY ROW</v>
      </c>
      <c r="W107" s="11"/>
      <c r="X107" s="11" t="s">
        <v>2834</v>
      </c>
      <c r="Y107" s="33" t="n">
        <f aca="false">K107*N107</f>
        <v>302</v>
      </c>
    </row>
    <row r="108" customFormat="false" ht="20.85" hidden="false" customHeight="false" outlineLevel="0" collapsed="false">
      <c r="A108" s="8" t="s">
        <v>1485</v>
      </c>
      <c r="B108" s="8" t="s">
        <v>192</v>
      </c>
      <c r="C108" s="8" t="s">
        <v>2829</v>
      </c>
      <c r="D108" s="8" t="s">
        <v>3237</v>
      </c>
      <c r="E108" s="8" t="s">
        <v>3238</v>
      </c>
      <c r="F108" s="8" t="s">
        <v>3239</v>
      </c>
      <c r="G108" s="8" t="s">
        <v>3240</v>
      </c>
      <c r="H108" s="8" t="n">
        <v>50</v>
      </c>
      <c r="I108" s="34" t="n">
        <v>25.9</v>
      </c>
      <c r="J108" s="34"/>
      <c r="K108" s="34" t="n">
        <f aca="false">MAX(ROUNDUP(I108,0),H108)</f>
        <v>50</v>
      </c>
      <c r="L108" s="34" t="str">
        <f aca="false">IF(J108="","",J108-K108)</f>
        <v/>
      </c>
      <c r="M108" s="35"/>
      <c r="N108" s="35" t="n">
        <f aca="false">IF(C108="covered",10.4,7.55)</f>
        <v>7.55</v>
      </c>
      <c r="O108" s="35" t="str">
        <f aca="false">IF(M108="","",M108-N108)</f>
        <v/>
      </c>
      <c r="P108" s="8"/>
      <c r="Q108" s="36"/>
      <c r="R108" s="36" t="str">
        <f aca="false">IF(OR(J108="",P108=""),"",K108*N108*P108)</f>
        <v/>
      </c>
      <c r="S108" s="36" t="str">
        <f aca="false">IF(Q108="","",Q108-R108)</f>
        <v/>
      </c>
      <c r="T108" s="36" t="str">
        <f aca="false">IF(S108="","",MAX(0,-S108))</f>
        <v/>
      </c>
      <c r="U108" s="36" t="str">
        <f aca="false">IF(S108="","",MAX(0,S108))</f>
        <v/>
      </c>
      <c r="V108" s="8" t="str">
        <f aca="false">IF(J108="","NOT SCORED - NO JULY MONTHLY ROW",IF(OR(ABS(L108)&gt;0.005,ABS(O108)&gt;0.005,ABS(S108)&gt;0.005),"EXCEPTION","OK"))</f>
        <v>NOT SCORED - NO JULY MONTHLY ROW</v>
      </c>
      <c r="W108" s="8"/>
      <c r="X108" s="8" t="s">
        <v>2834</v>
      </c>
      <c r="Y108" s="36" t="n">
        <f aca="false">K108*N108</f>
        <v>377.5</v>
      </c>
    </row>
    <row r="109" customFormat="false" ht="20.85" hidden="false" customHeight="false" outlineLevel="0" collapsed="false">
      <c r="A109" s="11" t="s">
        <v>3241</v>
      </c>
      <c r="B109" s="11" t="s">
        <v>192</v>
      </c>
      <c r="C109" s="11" t="s">
        <v>2829</v>
      </c>
      <c r="D109" s="11" t="s">
        <v>3242</v>
      </c>
      <c r="E109" s="11" t="s">
        <v>3243</v>
      </c>
      <c r="F109" s="11" t="s">
        <v>3244</v>
      </c>
      <c r="G109" s="11" t="s">
        <v>3245</v>
      </c>
      <c r="H109" s="11" t="n">
        <v>32</v>
      </c>
      <c r="I109" s="31" t="n">
        <v>36.5</v>
      </c>
      <c r="J109" s="31"/>
      <c r="K109" s="31" t="n">
        <f aca="false">MAX(ROUNDUP(I109,0),H109)</f>
        <v>37</v>
      </c>
      <c r="L109" s="31" t="str">
        <f aca="false">IF(J109="","",J109-K109)</f>
        <v/>
      </c>
      <c r="M109" s="32"/>
      <c r="N109" s="32" t="n">
        <f aca="false">IF(C109="covered",10.4,7.55)</f>
        <v>7.55</v>
      </c>
      <c r="O109" s="32" t="str">
        <f aca="false">IF(M109="","",M109-N109)</f>
        <v/>
      </c>
      <c r="P109" s="11"/>
      <c r="Q109" s="33"/>
      <c r="R109" s="33" t="str">
        <f aca="false">IF(OR(J109="",P109=""),"",K109*N109*P109)</f>
        <v/>
      </c>
      <c r="S109" s="33" t="str">
        <f aca="false">IF(Q109="","",Q109-R109)</f>
        <v/>
      </c>
      <c r="T109" s="33" t="str">
        <f aca="false">IF(S109="","",MAX(0,-S109))</f>
        <v/>
      </c>
      <c r="U109" s="33" t="str">
        <f aca="false">IF(S109="","",MAX(0,S109))</f>
        <v/>
      </c>
      <c r="V109" s="11" t="str">
        <f aca="false">IF(J109="","NOT SCORED - NO JULY MONTHLY ROW",IF(OR(ABS(L109)&gt;0.005,ABS(O109)&gt;0.005,ABS(S109)&gt;0.005),"EXCEPTION","OK"))</f>
        <v>NOT SCORED - NO JULY MONTHLY ROW</v>
      </c>
      <c r="W109" s="11"/>
      <c r="X109" s="11" t="s">
        <v>2834</v>
      </c>
      <c r="Y109" s="33" t="n">
        <f aca="false">K109*N109</f>
        <v>279.35</v>
      </c>
    </row>
    <row r="110" customFormat="false" ht="20.85" hidden="false" customHeight="false" outlineLevel="0" collapsed="false">
      <c r="A110" s="8" t="s">
        <v>3246</v>
      </c>
      <c r="B110" s="8" t="s">
        <v>192</v>
      </c>
      <c r="C110" s="8" t="s">
        <v>2829</v>
      </c>
      <c r="D110" s="8" t="s">
        <v>3247</v>
      </c>
      <c r="E110" s="8" t="s">
        <v>3248</v>
      </c>
      <c r="F110" s="8" t="s">
        <v>3249</v>
      </c>
      <c r="G110" s="8" t="s">
        <v>3250</v>
      </c>
      <c r="H110" s="8" t="n">
        <v>32</v>
      </c>
      <c r="I110" s="34" t="n">
        <v>59</v>
      </c>
      <c r="J110" s="34"/>
      <c r="K110" s="34" t="n">
        <f aca="false">MAX(ROUNDUP(I110,0),H110)</f>
        <v>59</v>
      </c>
      <c r="L110" s="34" t="str">
        <f aca="false">IF(J110="","",J110-K110)</f>
        <v/>
      </c>
      <c r="M110" s="35"/>
      <c r="N110" s="35" t="n">
        <f aca="false">IF(C110="covered",10.4,7.55)</f>
        <v>7.55</v>
      </c>
      <c r="O110" s="35" t="str">
        <f aca="false">IF(M110="","",M110-N110)</f>
        <v/>
      </c>
      <c r="P110" s="8"/>
      <c r="Q110" s="36"/>
      <c r="R110" s="36" t="str">
        <f aca="false">IF(OR(J110="",P110=""),"",K110*N110*P110)</f>
        <v/>
      </c>
      <c r="S110" s="36" t="str">
        <f aca="false">IF(Q110="","",Q110-R110)</f>
        <v/>
      </c>
      <c r="T110" s="36" t="str">
        <f aca="false">IF(S110="","",MAX(0,-S110))</f>
        <v/>
      </c>
      <c r="U110" s="36" t="str">
        <f aca="false">IF(S110="","",MAX(0,S110))</f>
        <v/>
      </c>
      <c r="V110" s="8" t="str">
        <f aca="false">IF(J110="","NOT SCORED - NO JULY MONTHLY ROW",IF(OR(ABS(L110)&gt;0.005,ABS(O110)&gt;0.005,ABS(S110)&gt;0.005),"EXCEPTION","OK"))</f>
        <v>NOT SCORED - NO JULY MONTHLY ROW</v>
      </c>
      <c r="W110" s="8"/>
      <c r="X110" s="8" t="s">
        <v>2834</v>
      </c>
      <c r="Y110" s="36" t="n">
        <f aca="false">K110*N110</f>
        <v>445.45</v>
      </c>
    </row>
    <row r="111" customFormat="false" ht="20.85" hidden="false" customHeight="false" outlineLevel="0" collapsed="false">
      <c r="A111" s="11" t="s">
        <v>3251</v>
      </c>
      <c r="B111" s="11" t="s">
        <v>192</v>
      </c>
      <c r="C111" s="11" t="s">
        <v>2829</v>
      </c>
      <c r="D111" s="11" t="s">
        <v>3252</v>
      </c>
      <c r="E111" s="11" t="s">
        <v>106</v>
      </c>
      <c r="F111" s="11" t="s">
        <v>107</v>
      </c>
      <c r="G111" s="11" t="s">
        <v>2901</v>
      </c>
      <c r="H111" s="11" t="n">
        <v>28</v>
      </c>
      <c r="I111" s="31" t="n">
        <v>53.1</v>
      </c>
      <c r="J111" s="31"/>
      <c r="K111" s="31" t="n">
        <f aca="false">MAX(ROUNDUP(I111,0),H111)</f>
        <v>54</v>
      </c>
      <c r="L111" s="31" t="str">
        <f aca="false">IF(J111="","",J111-K111)</f>
        <v/>
      </c>
      <c r="M111" s="32"/>
      <c r="N111" s="32" t="n">
        <f aca="false">IF(C111="covered",10.4,7.55)</f>
        <v>7.55</v>
      </c>
      <c r="O111" s="32" t="str">
        <f aca="false">IF(M111="","",M111-N111)</f>
        <v/>
      </c>
      <c r="P111" s="11"/>
      <c r="Q111" s="33"/>
      <c r="R111" s="33" t="str">
        <f aca="false">IF(OR(J111="",P111=""),"",K111*N111*P111)</f>
        <v/>
      </c>
      <c r="S111" s="33" t="str">
        <f aca="false">IF(Q111="","",Q111-R111)</f>
        <v/>
      </c>
      <c r="T111" s="33" t="str">
        <f aca="false">IF(S111="","",MAX(0,-S111))</f>
        <v/>
      </c>
      <c r="U111" s="33" t="str">
        <f aca="false">IF(S111="","",MAX(0,S111))</f>
        <v/>
      </c>
      <c r="V111" s="11" t="str">
        <f aca="false">IF(J111="","NOT SCORED - NO JULY MONTHLY ROW",IF(OR(ABS(L111)&gt;0.005,ABS(O111)&gt;0.005,ABS(S111)&gt;0.005),"EXCEPTION","OK"))</f>
        <v>NOT SCORED - NO JULY MONTHLY ROW</v>
      </c>
      <c r="W111" s="11"/>
      <c r="X111" s="11" t="s">
        <v>2834</v>
      </c>
      <c r="Y111" s="33" t="n">
        <f aca="false">K111*N111</f>
        <v>407.7</v>
      </c>
    </row>
    <row r="112" customFormat="false" ht="20.85" hidden="false" customHeight="false" outlineLevel="0" collapsed="false">
      <c r="A112" s="8" t="s">
        <v>3253</v>
      </c>
      <c r="B112" s="8" t="s">
        <v>192</v>
      </c>
      <c r="C112" s="8" t="s">
        <v>2829</v>
      </c>
      <c r="D112" s="8" t="s">
        <v>3254</v>
      </c>
      <c r="E112" s="8" t="s">
        <v>3255</v>
      </c>
      <c r="F112" s="8" t="s">
        <v>3256</v>
      </c>
      <c r="G112" s="8" t="s">
        <v>3257</v>
      </c>
      <c r="H112" s="8" t="n">
        <v>24</v>
      </c>
      <c r="I112" s="34" t="n">
        <v>45.4</v>
      </c>
      <c r="J112" s="34"/>
      <c r="K112" s="34" t="n">
        <f aca="false">MAX(ROUNDUP(I112,0),H112)</f>
        <v>46</v>
      </c>
      <c r="L112" s="34" t="str">
        <f aca="false">IF(J112="","",J112-K112)</f>
        <v/>
      </c>
      <c r="M112" s="35"/>
      <c r="N112" s="35" t="n">
        <f aca="false">IF(C112="covered",10.4,7.55)</f>
        <v>7.55</v>
      </c>
      <c r="O112" s="35" t="str">
        <f aca="false">IF(M112="","",M112-N112)</f>
        <v/>
      </c>
      <c r="P112" s="8"/>
      <c r="Q112" s="36"/>
      <c r="R112" s="36" t="str">
        <f aca="false">IF(OR(J112="",P112=""),"",K112*N112*P112)</f>
        <v/>
      </c>
      <c r="S112" s="36" t="str">
        <f aca="false">IF(Q112="","",Q112-R112)</f>
        <v/>
      </c>
      <c r="T112" s="36" t="str">
        <f aca="false">IF(S112="","",MAX(0,-S112))</f>
        <v/>
      </c>
      <c r="U112" s="36" t="str">
        <f aca="false">IF(S112="","",MAX(0,S112))</f>
        <v/>
      </c>
      <c r="V112" s="8" t="str">
        <f aca="false">IF(J112="","NOT SCORED - NO JULY MONTHLY ROW",IF(OR(ABS(L112)&gt;0.005,ABS(O112)&gt;0.005,ABS(S112)&gt;0.005),"EXCEPTION","OK"))</f>
        <v>NOT SCORED - NO JULY MONTHLY ROW</v>
      </c>
      <c r="W112" s="8"/>
      <c r="X112" s="8" t="s">
        <v>2834</v>
      </c>
      <c r="Y112" s="36" t="n">
        <f aca="false">K112*N112</f>
        <v>347.3</v>
      </c>
    </row>
    <row r="113" customFormat="false" ht="20.85" hidden="false" customHeight="false" outlineLevel="0" collapsed="false">
      <c r="A113" s="11" t="s">
        <v>1525</v>
      </c>
      <c r="B113" s="11" t="s">
        <v>192</v>
      </c>
      <c r="C113" s="11" t="s">
        <v>2829</v>
      </c>
      <c r="D113" s="11" t="s">
        <v>3258</v>
      </c>
      <c r="E113" s="11" t="s">
        <v>3259</v>
      </c>
      <c r="F113" s="11" t="s">
        <v>3260</v>
      </c>
      <c r="G113" s="11" t="s">
        <v>3261</v>
      </c>
      <c r="H113" s="11" t="n">
        <v>32</v>
      </c>
      <c r="I113" s="31" t="n">
        <v>55.2</v>
      </c>
      <c r="J113" s="31"/>
      <c r="K113" s="31" t="n">
        <f aca="false">MAX(ROUNDUP(I113,0),H113)</f>
        <v>56</v>
      </c>
      <c r="L113" s="31" t="str">
        <f aca="false">IF(J113="","",J113-K113)</f>
        <v/>
      </c>
      <c r="M113" s="32"/>
      <c r="N113" s="32" t="n">
        <f aca="false">IF(C113="covered",10.4,7.55)</f>
        <v>7.55</v>
      </c>
      <c r="O113" s="32" t="str">
        <f aca="false">IF(M113="","",M113-N113)</f>
        <v/>
      </c>
      <c r="P113" s="11"/>
      <c r="Q113" s="33"/>
      <c r="R113" s="33" t="str">
        <f aca="false">IF(OR(J113="",P113=""),"",K113*N113*P113)</f>
        <v/>
      </c>
      <c r="S113" s="33" t="str">
        <f aca="false">IF(Q113="","",Q113-R113)</f>
        <v/>
      </c>
      <c r="T113" s="33" t="str">
        <f aca="false">IF(S113="","",MAX(0,-S113))</f>
        <v/>
      </c>
      <c r="U113" s="33" t="str">
        <f aca="false">IF(S113="","",MAX(0,S113))</f>
        <v/>
      </c>
      <c r="V113" s="11" t="str">
        <f aca="false">IF(J113="","NOT SCORED - NO JULY MONTHLY ROW",IF(OR(ABS(L113)&gt;0.005,ABS(O113)&gt;0.005,ABS(S113)&gt;0.005),"EXCEPTION","OK"))</f>
        <v>NOT SCORED - NO JULY MONTHLY ROW</v>
      </c>
      <c r="W113" s="11"/>
      <c r="X113" s="11" t="s">
        <v>2834</v>
      </c>
      <c r="Y113" s="33" t="n">
        <f aca="false">K113*N113</f>
        <v>422.8</v>
      </c>
    </row>
    <row r="114" customFormat="false" ht="20.85" hidden="false" customHeight="false" outlineLevel="0" collapsed="false">
      <c r="A114" s="8" t="s">
        <v>3262</v>
      </c>
      <c r="B114" s="8" t="s">
        <v>192</v>
      </c>
      <c r="C114" s="8" t="s">
        <v>2829</v>
      </c>
      <c r="D114" s="8" t="s">
        <v>3263</v>
      </c>
      <c r="E114" s="8" t="s">
        <v>3264</v>
      </c>
      <c r="F114" s="8" t="s">
        <v>3265</v>
      </c>
      <c r="G114" s="8" t="s">
        <v>3107</v>
      </c>
      <c r="H114" s="8" t="n">
        <v>24</v>
      </c>
      <c r="I114" s="34" t="n">
        <v>61.5</v>
      </c>
      <c r="J114" s="34"/>
      <c r="K114" s="34" t="n">
        <f aca="false">MAX(ROUNDUP(I114,0),H114)</f>
        <v>62</v>
      </c>
      <c r="L114" s="34" t="str">
        <f aca="false">IF(J114="","",J114-K114)</f>
        <v/>
      </c>
      <c r="M114" s="35"/>
      <c r="N114" s="35" t="n">
        <f aca="false">IF(C114="covered",10.4,7.55)</f>
        <v>7.55</v>
      </c>
      <c r="O114" s="35" t="str">
        <f aca="false">IF(M114="","",M114-N114)</f>
        <v/>
      </c>
      <c r="P114" s="8"/>
      <c r="Q114" s="36"/>
      <c r="R114" s="36" t="str">
        <f aca="false">IF(OR(J114="",P114=""),"",K114*N114*P114)</f>
        <v/>
      </c>
      <c r="S114" s="36" t="str">
        <f aca="false">IF(Q114="","",Q114-R114)</f>
        <v/>
      </c>
      <c r="T114" s="36" t="str">
        <f aca="false">IF(S114="","",MAX(0,-S114))</f>
        <v/>
      </c>
      <c r="U114" s="36" t="str">
        <f aca="false">IF(S114="","",MAX(0,S114))</f>
        <v/>
      </c>
      <c r="V114" s="8" t="str">
        <f aca="false">IF(J114="","NOT SCORED - NO JULY MONTHLY ROW",IF(OR(ABS(L114)&gt;0.005,ABS(O114)&gt;0.005,ABS(S114)&gt;0.005),"EXCEPTION","OK"))</f>
        <v>NOT SCORED - NO JULY MONTHLY ROW</v>
      </c>
      <c r="W114" s="8"/>
      <c r="X114" s="8" t="s">
        <v>2834</v>
      </c>
      <c r="Y114" s="36" t="n">
        <f aca="false">K114*N114</f>
        <v>468.1</v>
      </c>
    </row>
    <row r="115" customFormat="false" ht="20.85" hidden="false" customHeight="false" outlineLevel="0" collapsed="false">
      <c r="A115" s="11" t="s">
        <v>3266</v>
      </c>
      <c r="B115" s="11" t="s">
        <v>192</v>
      </c>
      <c r="C115" s="11" t="s">
        <v>2829</v>
      </c>
      <c r="D115" s="11" t="s">
        <v>3267</v>
      </c>
      <c r="E115" s="11" t="s">
        <v>643</v>
      </c>
      <c r="F115" s="11" t="s">
        <v>644</v>
      </c>
      <c r="G115" s="11" t="s">
        <v>3268</v>
      </c>
      <c r="H115" s="11" t="n">
        <v>24</v>
      </c>
      <c r="I115" s="31" t="n">
        <v>56.4</v>
      </c>
      <c r="J115" s="31"/>
      <c r="K115" s="31" t="n">
        <f aca="false">MAX(ROUNDUP(I115,0),H115)</f>
        <v>57</v>
      </c>
      <c r="L115" s="31" t="str">
        <f aca="false">IF(J115="","",J115-K115)</f>
        <v/>
      </c>
      <c r="M115" s="32"/>
      <c r="N115" s="32" t="n">
        <f aca="false">IF(C115="covered",10.4,7.55)</f>
        <v>7.55</v>
      </c>
      <c r="O115" s="32" t="str">
        <f aca="false">IF(M115="","",M115-N115)</f>
        <v/>
      </c>
      <c r="P115" s="11"/>
      <c r="Q115" s="33"/>
      <c r="R115" s="33" t="str">
        <f aca="false">IF(OR(J115="",P115=""),"",K115*N115*P115)</f>
        <v/>
      </c>
      <c r="S115" s="33" t="str">
        <f aca="false">IF(Q115="","",Q115-R115)</f>
        <v/>
      </c>
      <c r="T115" s="33" t="str">
        <f aca="false">IF(S115="","",MAX(0,-S115))</f>
        <v/>
      </c>
      <c r="U115" s="33" t="str">
        <f aca="false">IF(S115="","",MAX(0,S115))</f>
        <v/>
      </c>
      <c r="V115" s="11" t="str">
        <f aca="false">IF(J115="","NOT SCORED - NO JULY MONTHLY ROW",IF(OR(ABS(L115)&gt;0.005,ABS(O115)&gt;0.005,ABS(S115)&gt;0.005),"EXCEPTION","OK"))</f>
        <v>NOT SCORED - NO JULY MONTHLY ROW</v>
      </c>
      <c r="W115" s="11"/>
      <c r="X115" s="11" t="s">
        <v>2834</v>
      </c>
      <c r="Y115" s="33" t="n">
        <f aca="false">K115*N115</f>
        <v>430.35</v>
      </c>
    </row>
    <row r="116" customFormat="false" ht="20.85" hidden="false" customHeight="false" outlineLevel="0" collapsed="false">
      <c r="A116" s="8" t="s">
        <v>3269</v>
      </c>
      <c r="B116" s="8" t="s">
        <v>192</v>
      </c>
      <c r="C116" s="8" t="s">
        <v>2829</v>
      </c>
      <c r="D116" s="8" t="s">
        <v>3270</v>
      </c>
      <c r="E116" s="8" t="s">
        <v>3271</v>
      </c>
      <c r="F116" s="8" t="s">
        <v>3272</v>
      </c>
      <c r="G116" s="8" t="s">
        <v>3273</v>
      </c>
      <c r="H116" s="8" t="n">
        <v>50</v>
      </c>
      <c r="I116" s="34" t="n">
        <v>61.6</v>
      </c>
      <c r="J116" s="34"/>
      <c r="K116" s="34" t="n">
        <f aca="false">MAX(ROUNDUP(I116,0),H116)</f>
        <v>62</v>
      </c>
      <c r="L116" s="34" t="str">
        <f aca="false">IF(J116="","",J116-K116)</f>
        <v/>
      </c>
      <c r="M116" s="35"/>
      <c r="N116" s="35" t="n">
        <f aca="false">IF(C116="covered",10.4,7.55)</f>
        <v>7.55</v>
      </c>
      <c r="O116" s="35" t="str">
        <f aca="false">IF(M116="","",M116-N116)</f>
        <v/>
      </c>
      <c r="P116" s="8"/>
      <c r="Q116" s="36"/>
      <c r="R116" s="36" t="str">
        <f aca="false">IF(OR(J116="",P116=""),"",K116*N116*P116)</f>
        <v/>
      </c>
      <c r="S116" s="36" t="str">
        <f aca="false">IF(Q116="","",Q116-R116)</f>
        <v/>
      </c>
      <c r="T116" s="36" t="str">
        <f aca="false">IF(S116="","",MAX(0,-S116))</f>
        <v/>
      </c>
      <c r="U116" s="36" t="str">
        <f aca="false">IF(S116="","",MAX(0,S116))</f>
        <v/>
      </c>
      <c r="V116" s="8" t="str">
        <f aca="false">IF(J116="","NOT SCORED - NO JULY MONTHLY ROW",IF(OR(ABS(L116)&gt;0.005,ABS(O116)&gt;0.005,ABS(S116)&gt;0.005),"EXCEPTION","OK"))</f>
        <v>NOT SCORED - NO JULY MONTHLY ROW</v>
      </c>
      <c r="W116" s="8"/>
      <c r="X116" s="8" t="s">
        <v>2834</v>
      </c>
      <c r="Y116" s="36" t="n">
        <f aca="false">K116*N116</f>
        <v>468.1</v>
      </c>
    </row>
    <row r="117" customFormat="false" ht="20.85" hidden="false" customHeight="false" outlineLevel="0" collapsed="false">
      <c r="A117" s="11" t="s">
        <v>3274</v>
      </c>
      <c r="B117" s="11" t="s">
        <v>192</v>
      </c>
      <c r="C117" s="11" t="s">
        <v>2829</v>
      </c>
      <c r="D117" s="11" t="s">
        <v>3275</v>
      </c>
      <c r="E117" s="11" t="s">
        <v>3276</v>
      </c>
      <c r="F117" s="11" t="s">
        <v>3277</v>
      </c>
      <c r="G117" s="11" t="s">
        <v>3278</v>
      </c>
      <c r="H117" s="11" t="n">
        <v>36</v>
      </c>
      <c r="I117" s="31" t="n">
        <v>53.5</v>
      </c>
      <c r="J117" s="31"/>
      <c r="K117" s="31" t="n">
        <f aca="false">MAX(ROUNDUP(I117,0),H117)</f>
        <v>54</v>
      </c>
      <c r="L117" s="31" t="str">
        <f aca="false">IF(J117="","",J117-K117)</f>
        <v/>
      </c>
      <c r="M117" s="32"/>
      <c r="N117" s="32" t="n">
        <f aca="false">IF(C117="covered",10.4,7.55)</f>
        <v>7.55</v>
      </c>
      <c r="O117" s="32" t="str">
        <f aca="false">IF(M117="","",M117-N117)</f>
        <v/>
      </c>
      <c r="P117" s="11"/>
      <c r="Q117" s="33"/>
      <c r="R117" s="33" t="str">
        <f aca="false">IF(OR(J117="",P117=""),"",K117*N117*P117)</f>
        <v/>
      </c>
      <c r="S117" s="33" t="str">
        <f aca="false">IF(Q117="","",Q117-R117)</f>
        <v/>
      </c>
      <c r="T117" s="33" t="str">
        <f aca="false">IF(S117="","",MAX(0,-S117))</f>
        <v/>
      </c>
      <c r="U117" s="33" t="str">
        <f aca="false">IF(S117="","",MAX(0,S117))</f>
        <v/>
      </c>
      <c r="V117" s="11" t="str">
        <f aca="false">IF(J117="","NOT SCORED - NO JULY MONTHLY ROW",IF(OR(ABS(L117)&gt;0.005,ABS(O117)&gt;0.005,ABS(S117)&gt;0.005),"EXCEPTION","OK"))</f>
        <v>NOT SCORED - NO JULY MONTHLY ROW</v>
      </c>
      <c r="W117" s="11"/>
      <c r="X117" s="11" t="s">
        <v>2834</v>
      </c>
      <c r="Y117" s="33" t="n">
        <f aca="false">K117*N117</f>
        <v>407.7</v>
      </c>
    </row>
    <row r="118" customFormat="false" ht="20.85" hidden="false" customHeight="false" outlineLevel="0" collapsed="false">
      <c r="A118" s="8" t="s">
        <v>3279</v>
      </c>
      <c r="B118" s="8" t="s">
        <v>192</v>
      </c>
      <c r="C118" s="8" t="s">
        <v>2829</v>
      </c>
      <c r="D118" s="8" t="s">
        <v>3280</v>
      </c>
      <c r="E118" s="8" t="s">
        <v>3281</v>
      </c>
      <c r="F118" s="8" t="s">
        <v>3282</v>
      </c>
      <c r="G118" s="8" t="s">
        <v>3283</v>
      </c>
      <c r="H118" s="8" t="n">
        <v>28</v>
      </c>
      <c r="I118" s="34" t="n">
        <v>35.7</v>
      </c>
      <c r="J118" s="34"/>
      <c r="K118" s="34" t="n">
        <f aca="false">MAX(ROUNDUP(I118,0),H118)</f>
        <v>36</v>
      </c>
      <c r="L118" s="34" t="str">
        <f aca="false">IF(J118="","",J118-K118)</f>
        <v/>
      </c>
      <c r="M118" s="35"/>
      <c r="N118" s="35" t="n">
        <f aca="false">IF(C118="covered",10.4,7.55)</f>
        <v>7.55</v>
      </c>
      <c r="O118" s="35" t="str">
        <f aca="false">IF(M118="","",M118-N118)</f>
        <v/>
      </c>
      <c r="P118" s="8"/>
      <c r="Q118" s="36"/>
      <c r="R118" s="36" t="str">
        <f aca="false">IF(OR(J118="",P118=""),"",K118*N118*P118)</f>
        <v/>
      </c>
      <c r="S118" s="36" t="str">
        <f aca="false">IF(Q118="","",Q118-R118)</f>
        <v/>
      </c>
      <c r="T118" s="36" t="str">
        <f aca="false">IF(S118="","",MAX(0,-S118))</f>
        <v/>
      </c>
      <c r="U118" s="36" t="str">
        <f aca="false">IF(S118="","",MAX(0,S118))</f>
        <v/>
      </c>
      <c r="V118" s="8" t="str">
        <f aca="false">IF(J118="","NOT SCORED - NO JULY MONTHLY ROW",IF(OR(ABS(L118)&gt;0.005,ABS(O118)&gt;0.005,ABS(S118)&gt;0.005),"EXCEPTION","OK"))</f>
        <v>NOT SCORED - NO JULY MONTHLY ROW</v>
      </c>
      <c r="W118" s="8"/>
      <c r="X118" s="8" t="s">
        <v>2834</v>
      </c>
      <c r="Y118" s="36" t="n">
        <f aca="false">K118*N118</f>
        <v>271.8</v>
      </c>
    </row>
    <row r="119" customFormat="false" ht="20.85" hidden="false" customHeight="false" outlineLevel="0" collapsed="false">
      <c r="A119" s="11" t="s">
        <v>3284</v>
      </c>
      <c r="B119" s="11" t="s">
        <v>192</v>
      </c>
      <c r="C119" s="11" t="s">
        <v>2829</v>
      </c>
      <c r="D119" s="11" t="s">
        <v>3285</v>
      </c>
      <c r="E119" s="11" t="s">
        <v>3286</v>
      </c>
      <c r="F119" s="11" t="s">
        <v>3287</v>
      </c>
      <c r="G119" s="11" t="s">
        <v>3137</v>
      </c>
      <c r="H119" s="11" t="n">
        <v>32</v>
      </c>
      <c r="I119" s="31" t="n">
        <v>46.7</v>
      </c>
      <c r="J119" s="31"/>
      <c r="K119" s="31" t="n">
        <f aca="false">MAX(ROUNDUP(I119,0),H119)</f>
        <v>47</v>
      </c>
      <c r="L119" s="31" t="str">
        <f aca="false">IF(J119="","",J119-K119)</f>
        <v/>
      </c>
      <c r="M119" s="32"/>
      <c r="N119" s="32" t="n">
        <f aca="false">IF(C119="covered",10.4,7.55)</f>
        <v>7.55</v>
      </c>
      <c r="O119" s="32" t="str">
        <f aca="false">IF(M119="","",M119-N119)</f>
        <v/>
      </c>
      <c r="P119" s="11"/>
      <c r="Q119" s="33"/>
      <c r="R119" s="33" t="str">
        <f aca="false">IF(OR(J119="",P119=""),"",K119*N119*P119)</f>
        <v/>
      </c>
      <c r="S119" s="33" t="str">
        <f aca="false">IF(Q119="","",Q119-R119)</f>
        <v/>
      </c>
      <c r="T119" s="33" t="str">
        <f aca="false">IF(S119="","",MAX(0,-S119))</f>
        <v/>
      </c>
      <c r="U119" s="33" t="str">
        <f aca="false">IF(S119="","",MAX(0,S119))</f>
        <v/>
      </c>
      <c r="V119" s="11" t="str">
        <f aca="false">IF(J119="","NOT SCORED - NO JULY MONTHLY ROW",IF(OR(ABS(L119)&gt;0.005,ABS(O119)&gt;0.005,ABS(S119)&gt;0.005),"EXCEPTION","OK"))</f>
        <v>NOT SCORED - NO JULY MONTHLY ROW</v>
      </c>
      <c r="W119" s="11"/>
      <c r="X119" s="11" t="s">
        <v>2834</v>
      </c>
      <c r="Y119" s="33" t="n">
        <f aca="false">K119*N119</f>
        <v>354.85</v>
      </c>
    </row>
    <row r="120" customFormat="false" ht="20.85" hidden="false" customHeight="false" outlineLevel="0" collapsed="false">
      <c r="A120" s="8" t="s">
        <v>3288</v>
      </c>
      <c r="B120" s="8" t="s">
        <v>192</v>
      </c>
      <c r="C120" s="8" t="s">
        <v>2829</v>
      </c>
      <c r="D120" s="8" t="s">
        <v>3289</v>
      </c>
      <c r="E120" s="8" t="s">
        <v>3290</v>
      </c>
      <c r="F120" s="8" t="s">
        <v>3291</v>
      </c>
      <c r="G120" s="8" t="s">
        <v>3292</v>
      </c>
      <c r="H120" s="8" t="n">
        <v>70</v>
      </c>
      <c r="I120" s="34" t="n">
        <v>47.4</v>
      </c>
      <c r="J120" s="34"/>
      <c r="K120" s="34" t="n">
        <f aca="false">MAX(ROUNDUP(I120,0),H120)</f>
        <v>70</v>
      </c>
      <c r="L120" s="34" t="str">
        <f aca="false">IF(J120="","",J120-K120)</f>
        <v/>
      </c>
      <c r="M120" s="35"/>
      <c r="N120" s="35" t="n">
        <f aca="false">IF(C120="covered",10.4,7.55)</f>
        <v>7.55</v>
      </c>
      <c r="O120" s="35" t="str">
        <f aca="false">IF(M120="","",M120-N120)</f>
        <v/>
      </c>
      <c r="P120" s="8"/>
      <c r="Q120" s="36"/>
      <c r="R120" s="36" t="str">
        <f aca="false">IF(OR(J120="",P120=""),"",K120*N120*P120)</f>
        <v/>
      </c>
      <c r="S120" s="36" t="str">
        <f aca="false">IF(Q120="","",Q120-R120)</f>
        <v/>
      </c>
      <c r="T120" s="36" t="str">
        <f aca="false">IF(S120="","",MAX(0,-S120))</f>
        <v/>
      </c>
      <c r="U120" s="36" t="str">
        <f aca="false">IF(S120="","",MAX(0,S120))</f>
        <v/>
      </c>
      <c r="V120" s="8" t="str">
        <f aca="false">IF(J120="","NOT SCORED - NO JULY MONTHLY ROW",IF(OR(ABS(L120)&gt;0.005,ABS(O120)&gt;0.005,ABS(S120)&gt;0.005),"EXCEPTION","OK"))</f>
        <v>NOT SCORED - NO JULY MONTHLY ROW</v>
      </c>
      <c r="W120" s="8"/>
      <c r="X120" s="8" t="s">
        <v>2834</v>
      </c>
      <c r="Y120" s="36" t="n">
        <f aca="false">K120*N120</f>
        <v>528.5</v>
      </c>
    </row>
    <row r="121" customFormat="false" ht="20.85" hidden="false" customHeight="false" outlineLevel="0" collapsed="false">
      <c r="A121" s="11" t="s">
        <v>3293</v>
      </c>
      <c r="B121" s="11" t="s">
        <v>192</v>
      </c>
      <c r="C121" s="11" t="s">
        <v>2829</v>
      </c>
      <c r="D121" s="11" t="s">
        <v>3294</v>
      </c>
      <c r="E121" s="11" t="s">
        <v>1174</v>
      </c>
      <c r="F121" s="11" t="s">
        <v>1175</v>
      </c>
      <c r="G121" s="11" t="s">
        <v>3295</v>
      </c>
      <c r="H121" s="11" t="n">
        <v>70</v>
      </c>
      <c r="I121" s="31" t="n">
        <v>26.3</v>
      </c>
      <c r="J121" s="31"/>
      <c r="K121" s="31" t="n">
        <f aca="false">MAX(ROUNDUP(I121,0),H121)</f>
        <v>70</v>
      </c>
      <c r="L121" s="31" t="str">
        <f aca="false">IF(J121="","",J121-K121)</f>
        <v/>
      </c>
      <c r="M121" s="32"/>
      <c r="N121" s="32" t="n">
        <f aca="false">IF(C121="covered",10.4,7.55)</f>
        <v>7.55</v>
      </c>
      <c r="O121" s="32" t="str">
        <f aca="false">IF(M121="","",M121-N121)</f>
        <v/>
      </c>
      <c r="P121" s="11"/>
      <c r="Q121" s="33"/>
      <c r="R121" s="33" t="str">
        <f aca="false">IF(OR(J121="",P121=""),"",K121*N121*P121)</f>
        <v/>
      </c>
      <c r="S121" s="33" t="str">
        <f aca="false">IF(Q121="","",Q121-R121)</f>
        <v/>
      </c>
      <c r="T121" s="33" t="str">
        <f aca="false">IF(S121="","",MAX(0,-S121))</f>
        <v/>
      </c>
      <c r="U121" s="33" t="str">
        <f aca="false">IF(S121="","",MAX(0,S121))</f>
        <v/>
      </c>
      <c r="V121" s="11" t="str">
        <f aca="false">IF(J121="","NOT SCORED - NO JULY MONTHLY ROW",IF(OR(ABS(L121)&gt;0.005,ABS(O121)&gt;0.005,ABS(S121)&gt;0.005),"EXCEPTION","OK"))</f>
        <v>NOT SCORED - NO JULY MONTHLY ROW</v>
      </c>
      <c r="W121" s="11"/>
      <c r="X121" s="11" t="s">
        <v>2834</v>
      </c>
      <c r="Y121" s="33" t="n">
        <f aca="false">K121*N121</f>
        <v>528.5</v>
      </c>
    </row>
    <row r="122" customFormat="false" ht="20.85" hidden="false" customHeight="false" outlineLevel="0" collapsed="false">
      <c r="A122" s="8" t="s">
        <v>3296</v>
      </c>
      <c r="B122" s="8" t="s">
        <v>192</v>
      </c>
      <c r="C122" s="8" t="s">
        <v>2829</v>
      </c>
      <c r="D122" s="8" t="s">
        <v>3297</v>
      </c>
      <c r="E122" s="8" t="s">
        <v>2606</v>
      </c>
      <c r="F122" s="8" t="s">
        <v>3298</v>
      </c>
      <c r="G122" s="8" t="s">
        <v>3299</v>
      </c>
      <c r="H122" s="8" t="n">
        <v>32</v>
      </c>
      <c r="I122" s="34" t="n">
        <v>47.2</v>
      </c>
      <c r="J122" s="34"/>
      <c r="K122" s="34" t="n">
        <f aca="false">MAX(ROUNDUP(I122,0),H122)</f>
        <v>48</v>
      </c>
      <c r="L122" s="34" t="str">
        <f aca="false">IF(J122="","",J122-K122)</f>
        <v/>
      </c>
      <c r="M122" s="35"/>
      <c r="N122" s="35" t="n">
        <f aca="false">IF(C122="covered",10.4,7.55)</f>
        <v>7.55</v>
      </c>
      <c r="O122" s="35" t="str">
        <f aca="false">IF(M122="","",M122-N122)</f>
        <v/>
      </c>
      <c r="P122" s="8"/>
      <c r="Q122" s="36"/>
      <c r="R122" s="36" t="str">
        <f aca="false">IF(OR(J122="",P122=""),"",K122*N122*P122)</f>
        <v/>
      </c>
      <c r="S122" s="36" t="str">
        <f aca="false">IF(Q122="","",Q122-R122)</f>
        <v/>
      </c>
      <c r="T122" s="36" t="str">
        <f aca="false">IF(S122="","",MAX(0,-S122))</f>
        <v/>
      </c>
      <c r="U122" s="36" t="str">
        <f aca="false">IF(S122="","",MAX(0,S122))</f>
        <v/>
      </c>
      <c r="V122" s="8" t="str">
        <f aca="false">IF(J122="","NOT SCORED - NO JULY MONTHLY ROW",IF(OR(ABS(L122)&gt;0.005,ABS(O122)&gt;0.005,ABS(S122)&gt;0.005),"EXCEPTION","OK"))</f>
        <v>NOT SCORED - NO JULY MONTHLY ROW</v>
      </c>
      <c r="W122" s="8"/>
      <c r="X122" s="8" t="s">
        <v>2834</v>
      </c>
      <c r="Y122" s="36" t="n">
        <f aca="false">K122*N122</f>
        <v>362.4</v>
      </c>
    </row>
    <row r="123" customFormat="false" ht="20.85" hidden="false" customHeight="false" outlineLevel="0" collapsed="false">
      <c r="A123" s="11" t="s">
        <v>3300</v>
      </c>
      <c r="B123" s="11" t="s">
        <v>192</v>
      </c>
      <c r="C123" s="11" t="s">
        <v>2829</v>
      </c>
      <c r="D123" s="11" t="s">
        <v>3301</v>
      </c>
      <c r="E123" s="11" t="s">
        <v>3302</v>
      </c>
      <c r="F123" s="11" t="s">
        <v>3303</v>
      </c>
      <c r="G123" s="11" t="s">
        <v>3304</v>
      </c>
      <c r="H123" s="11" t="n">
        <v>60</v>
      </c>
      <c r="I123" s="31" t="n">
        <v>36.7</v>
      </c>
      <c r="J123" s="31"/>
      <c r="K123" s="31" t="n">
        <f aca="false">MAX(ROUNDUP(I123,0),H123)</f>
        <v>60</v>
      </c>
      <c r="L123" s="31" t="str">
        <f aca="false">IF(J123="","",J123-K123)</f>
        <v/>
      </c>
      <c r="M123" s="32"/>
      <c r="N123" s="32" t="n">
        <f aca="false">IF(C123="covered",10.4,7.55)</f>
        <v>7.55</v>
      </c>
      <c r="O123" s="32" t="str">
        <f aca="false">IF(M123="","",M123-N123)</f>
        <v/>
      </c>
      <c r="P123" s="11"/>
      <c r="Q123" s="33"/>
      <c r="R123" s="33" t="str">
        <f aca="false">IF(OR(J123="",P123=""),"",K123*N123*P123)</f>
        <v/>
      </c>
      <c r="S123" s="33" t="str">
        <f aca="false">IF(Q123="","",Q123-R123)</f>
        <v/>
      </c>
      <c r="T123" s="33" t="str">
        <f aca="false">IF(S123="","",MAX(0,-S123))</f>
        <v/>
      </c>
      <c r="U123" s="33" t="str">
        <f aca="false">IF(S123="","",MAX(0,S123))</f>
        <v/>
      </c>
      <c r="V123" s="11" t="str">
        <f aca="false">IF(J123="","NOT SCORED - NO JULY MONTHLY ROW",IF(OR(ABS(L123)&gt;0.005,ABS(O123)&gt;0.005,ABS(S123)&gt;0.005),"EXCEPTION","OK"))</f>
        <v>NOT SCORED - NO JULY MONTHLY ROW</v>
      </c>
      <c r="W123" s="11"/>
      <c r="X123" s="11" t="s">
        <v>2834</v>
      </c>
      <c r="Y123" s="33" t="n">
        <f aca="false">K123*N123</f>
        <v>453</v>
      </c>
    </row>
    <row r="124" customFormat="false" ht="20.85" hidden="false" customHeight="false" outlineLevel="0" collapsed="false">
      <c r="A124" s="8" t="s">
        <v>619</v>
      </c>
      <c r="B124" s="8" t="s">
        <v>192</v>
      </c>
      <c r="C124" s="8" t="s">
        <v>2829</v>
      </c>
      <c r="D124" s="8" t="s">
        <v>3305</v>
      </c>
      <c r="E124" s="8" t="s">
        <v>3306</v>
      </c>
      <c r="F124" s="8" t="s">
        <v>3307</v>
      </c>
      <c r="G124" s="8" t="s">
        <v>3308</v>
      </c>
      <c r="H124" s="8" t="n">
        <v>24</v>
      </c>
      <c r="I124" s="34" t="n">
        <v>19</v>
      </c>
      <c r="J124" s="34"/>
      <c r="K124" s="34" t="n">
        <f aca="false">MAX(ROUNDUP(I124,0),H124)</f>
        <v>24</v>
      </c>
      <c r="L124" s="34" t="str">
        <f aca="false">IF(J124="","",J124-K124)</f>
        <v/>
      </c>
      <c r="M124" s="35"/>
      <c r="N124" s="35" t="n">
        <f aca="false">IF(C124="covered",10.4,7.55)</f>
        <v>7.55</v>
      </c>
      <c r="O124" s="35" t="str">
        <f aca="false">IF(M124="","",M124-N124)</f>
        <v/>
      </c>
      <c r="P124" s="8"/>
      <c r="Q124" s="36"/>
      <c r="R124" s="36" t="str">
        <f aca="false">IF(OR(J124="",P124=""),"",K124*N124*P124)</f>
        <v/>
      </c>
      <c r="S124" s="36" t="str">
        <f aca="false">IF(Q124="","",Q124-R124)</f>
        <v/>
      </c>
      <c r="T124" s="36" t="str">
        <f aca="false">IF(S124="","",MAX(0,-S124))</f>
        <v/>
      </c>
      <c r="U124" s="36" t="str">
        <f aca="false">IF(S124="","",MAX(0,S124))</f>
        <v/>
      </c>
      <c r="V124" s="8" t="str">
        <f aca="false">IF(J124="","NOT SCORED - NO JULY MONTHLY ROW",IF(OR(ABS(L124)&gt;0.005,ABS(O124)&gt;0.005,ABS(S124)&gt;0.005),"EXCEPTION","OK"))</f>
        <v>NOT SCORED - NO JULY MONTHLY ROW</v>
      </c>
      <c r="W124" s="8"/>
      <c r="X124" s="8" t="s">
        <v>2834</v>
      </c>
      <c r="Y124" s="36" t="n">
        <f aca="false">K124*N124</f>
        <v>181.2</v>
      </c>
    </row>
    <row r="125" customFormat="false" ht="20.85" hidden="false" customHeight="false" outlineLevel="0" collapsed="false">
      <c r="A125" s="11" t="s">
        <v>3309</v>
      </c>
      <c r="B125" s="11" t="s">
        <v>192</v>
      </c>
      <c r="C125" s="11" t="s">
        <v>2829</v>
      </c>
      <c r="D125" s="11" t="s">
        <v>3310</v>
      </c>
      <c r="E125" s="11" t="s">
        <v>3311</v>
      </c>
      <c r="F125" s="11" t="s">
        <v>3312</v>
      </c>
      <c r="G125" s="11" t="s">
        <v>3313</v>
      </c>
      <c r="H125" s="11" t="n">
        <v>36</v>
      </c>
      <c r="I125" s="31" t="n">
        <v>25.8</v>
      </c>
      <c r="J125" s="31"/>
      <c r="K125" s="31" t="n">
        <f aca="false">MAX(ROUNDUP(I125,0),H125)</f>
        <v>36</v>
      </c>
      <c r="L125" s="31" t="str">
        <f aca="false">IF(J125="","",J125-K125)</f>
        <v/>
      </c>
      <c r="M125" s="32"/>
      <c r="N125" s="32" t="n">
        <f aca="false">IF(C125="covered",10.4,7.55)</f>
        <v>7.55</v>
      </c>
      <c r="O125" s="32" t="str">
        <f aca="false">IF(M125="","",M125-N125)</f>
        <v/>
      </c>
      <c r="P125" s="11"/>
      <c r="Q125" s="33"/>
      <c r="R125" s="33" t="str">
        <f aca="false">IF(OR(J125="",P125=""),"",K125*N125*P125)</f>
        <v/>
      </c>
      <c r="S125" s="33" t="str">
        <f aca="false">IF(Q125="","",Q125-R125)</f>
        <v/>
      </c>
      <c r="T125" s="33" t="str">
        <f aca="false">IF(S125="","",MAX(0,-S125))</f>
        <v/>
      </c>
      <c r="U125" s="33" t="str">
        <f aca="false">IF(S125="","",MAX(0,S125))</f>
        <v/>
      </c>
      <c r="V125" s="11" t="str">
        <f aca="false">IF(J125="","NOT SCORED - NO JULY MONTHLY ROW",IF(OR(ABS(L125)&gt;0.005,ABS(O125)&gt;0.005,ABS(S125)&gt;0.005),"EXCEPTION","OK"))</f>
        <v>NOT SCORED - NO JULY MONTHLY ROW</v>
      </c>
      <c r="W125" s="11"/>
      <c r="X125" s="11" t="s">
        <v>2834</v>
      </c>
      <c r="Y125" s="33" t="n">
        <f aca="false">K125*N125</f>
        <v>271.8</v>
      </c>
    </row>
    <row r="126" customFormat="false" ht="20.85" hidden="false" customHeight="false" outlineLevel="0" collapsed="false">
      <c r="A126" s="8" t="s">
        <v>3314</v>
      </c>
      <c r="B126" s="8" t="s">
        <v>192</v>
      </c>
      <c r="C126" s="8" t="s">
        <v>2829</v>
      </c>
      <c r="D126" s="8" t="s">
        <v>3315</v>
      </c>
      <c r="E126" s="8" t="s">
        <v>3316</v>
      </c>
      <c r="F126" s="8" t="s">
        <v>3317</v>
      </c>
      <c r="G126" s="8" t="s">
        <v>3318</v>
      </c>
      <c r="H126" s="8" t="n">
        <v>32</v>
      </c>
      <c r="I126" s="34" t="n">
        <v>58.4</v>
      </c>
      <c r="J126" s="34"/>
      <c r="K126" s="34" t="n">
        <f aca="false">MAX(ROUNDUP(I126,0),H126)</f>
        <v>59</v>
      </c>
      <c r="L126" s="34" t="str">
        <f aca="false">IF(J126="","",J126-K126)</f>
        <v/>
      </c>
      <c r="M126" s="35"/>
      <c r="N126" s="35" t="n">
        <f aca="false">IF(C126="covered",10.4,7.55)</f>
        <v>7.55</v>
      </c>
      <c r="O126" s="35" t="str">
        <f aca="false">IF(M126="","",M126-N126)</f>
        <v/>
      </c>
      <c r="P126" s="8"/>
      <c r="Q126" s="36"/>
      <c r="R126" s="36" t="str">
        <f aca="false">IF(OR(J126="",P126=""),"",K126*N126*P126)</f>
        <v/>
      </c>
      <c r="S126" s="36" t="str">
        <f aca="false">IF(Q126="","",Q126-R126)</f>
        <v/>
      </c>
      <c r="T126" s="36" t="str">
        <f aca="false">IF(S126="","",MAX(0,-S126))</f>
        <v/>
      </c>
      <c r="U126" s="36" t="str">
        <f aca="false">IF(S126="","",MAX(0,S126))</f>
        <v/>
      </c>
      <c r="V126" s="8" t="str">
        <f aca="false">IF(J126="","NOT SCORED - NO JULY MONTHLY ROW",IF(OR(ABS(L126)&gt;0.005,ABS(O126)&gt;0.005,ABS(S126)&gt;0.005),"EXCEPTION","OK"))</f>
        <v>NOT SCORED - NO JULY MONTHLY ROW</v>
      </c>
      <c r="W126" s="8"/>
      <c r="X126" s="8" t="s">
        <v>2834</v>
      </c>
      <c r="Y126" s="36" t="n">
        <f aca="false">K126*N126</f>
        <v>445.45</v>
      </c>
    </row>
    <row r="127" customFormat="false" ht="20.85" hidden="false" customHeight="false" outlineLevel="0" collapsed="false">
      <c r="A127" s="11" t="s">
        <v>3319</v>
      </c>
      <c r="B127" s="11" t="s">
        <v>192</v>
      </c>
      <c r="C127" s="11" t="s">
        <v>2829</v>
      </c>
      <c r="D127" s="11" t="s">
        <v>3320</v>
      </c>
      <c r="E127" s="11" t="s">
        <v>3321</v>
      </c>
      <c r="F127" s="11" t="s">
        <v>3322</v>
      </c>
      <c r="G127" s="11" t="s">
        <v>3097</v>
      </c>
      <c r="H127" s="11" t="n">
        <v>32</v>
      </c>
      <c r="I127" s="31" t="n">
        <v>31.4</v>
      </c>
      <c r="J127" s="31"/>
      <c r="K127" s="31" t="n">
        <f aca="false">MAX(ROUNDUP(I127,0),H127)</f>
        <v>32</v>
      </c>
      <c r="L127" s="31" t="str">
        <f aca="false">IF(J127="","",J127-K127)</f>
        <v/>
      </c>
      <c r="M127" s="32"/>
      <c r="N127" s="32" t="n">
        <f aca="false">IF(C127="covered",10.4,7.55)</f>
        <v>7.55</v>
      </c>
      <c r="O127" s="32" t="str">
        <f aca="false">IF(M127="","",M127-N127)</f>
        <v/>
      </c>
      <c r="P127" s="11"/>
      <c r="Q127" s="33"/>
      <c r="R127" s="33" t="str">
        <f aca="false">IF(OR(J127="",P127=""),"",K127*N127*P127)</f>
        <v/>
      </c>
      <c r="S127" s="33" t="str">
        <f aca="false">IF(Q127="","",Q127-R127)</f>
        <v/>
      </c>
      <c r="T127" s="33" t="str">
        <f aca="false">IF(S127="","",MAX(0,-S127))</f>
        <v/>
      </c>
      <c r="U127" s="33" t="str">
        <f aca="false">IF(S127="","",MAX(0,S127))</f>
        <v/>
      </c>
      <c r="V127" s="11" t="str">
        <f aca="false">IF(J127="","NOT SCORED - NO JULY MONTHLY ROW",IF(OR(ABS(L127)&gt;0.005,ABS(O127)&gt;0.005,ABS(S127)&gt;0.005),"EXCEPTION","OK"))</f>
        <v>NOT SCORED - NO JULY MONTHLY ROW</v>
      </c>
      <c r="W127" s="11"/>
      <c r="X127" s="11" t="s">
        <v>2834</v>
      </c>
      <c r="Y127" s="33" t="n">
        <f aca="false">K127*N127</f>
        <v>241.6</v>
      </c>
    </row>
    <row r="128" customFormat="false" ht="20.85" hidden="false" customHeight="false" outlineLevel="0" collapsed="false">
      <c r="A128" s="8" t="s">
        <v>3323</v>
      </c>
      <c r="B128" s="8" t="s">
        <v>192</v>
      </c>
      <c r="C128" s="8" t="s">
        <v>2829</v>
      </c>
      <c r="D128" s="8" t="s">
        <v>3324</v>
      </c>
      <c r="E128" s="8" t="s">
        <v>3325</v>
      </c>
      <c r="F128" s="8" t="s">
        <v>3326</v>
      </c>
      <c r="G128" s="8" t="s">
        <v>3327</v>
      </c>
      <c r="H128" s="8" t="n">
        <v>60</v>
      </c>
      <c r="I128" s="34" t="n">
        <v>29.1</v>
      </c>
      <c r="J128" s="34"/>
      <c r="K128" s="34" t="n">
        <f aca="false">MAX(ROUNDUP(I128,0),H128)</f>
        <v>60</v>
      </c>
      <c r="L128" s="34" t="str">
        <f aca="false">IF(J128="","",J128-K128)</f>
        <v/>
      </c>
      <c r="M128" s="35"/>
      <c r="N128" s="35" t="n">
        <f aca="false">IF(C128="covered",10.4,7.55)</f>
        <v>7.55</v>
      </c>
      <c r="O128" s="35" t="str">
        <f aca="false">IF(M128="","",M128-N128)</f>
        <v/>
      </c>
      <c r="P128" s="8"/>
      <c r="Q128" s="36"/>
      <c r="R128" s="36" t="str">
        <f aca="false">IF(OR(J128="",P128=""),"",K128*N128*P128)</f>
        <v/>
      </c>
      <c r="S128" s="36" t="str">
        <f aca="false">IF(Q128="","",Q128-R128)</f>
        <v/>
      </c>
      <c r="T128" s="36" t="str">
        <f aca="false">IF(S128="","",MAX(0,-S128))</f>
        <v/>
      </c>
      <c r="U128" s="36" t="str">
        <f aca="false">IF(S128="","",MAX(0,S128))</f>
        <v/>
      </c>
      <c r="V128" s="8" t="str">
        <f aca="false">IF(J128="","NOT SCORED - NO JULY MONTHLY ROW",IF(OR(ABS(L128)&gt;0.005,ABS(O128)&gt;0.005,ABS(S128)&gt;0.005),"EXCEPTION","OK"))</f>
        <v>NOT SCORED - NO JULY MONTHLY ROW</v>
      </c>
      <c r="W128" s="8"/>
      <c r="X128" s="8" t="s">
        <v>2834</v>
      </c>
      <c r="Y128" s="36" t="n">
        <f aca="false">K128*N128</f>
        <v>453</v>
      </c>
    </row>
    <row r="129" customFormat="false" ht="20.85" hidden="false" customHeight="false" outlineLevel="0" collapsed="false">
      <c r="A129" s="11" t="s">
        <v>526</v>
      </c>
      <c r="B129" s="11" t="s">
        <v>192</v>
      </c>
      <c r="C129" s="11" t="s">
        <v>2829</v>
      </c>
      <c r="D129" s="11" t="s">
        <v>3328</v>
      </c>
      <c r="E129" s="11" t="s">
        <v>3329</v>
      </c>
      <c r="F129" s="11" t="s">
        <v>3330</v>
      </c>
      <c r="G129" s="11" t="s">
        <v>3331</v>
      </c>
      <c r="H129" s="11" t="n">
        <v>60</v>
      </c>
      <c r="I129" s="31" t="n">
        <v>58.3</v>
      </c>
      <c r="J129" s="31"/>
      <c r="K129" s="31" t="n">
        <f aca="false">MAX(ROUNDUP(I129,0),H129)</f>
        <v>60</v>
      </c>
      <c r="L129" s="31" t="str">
        <f aca="false">IF(J129="","",J129-K129)</f>
        <v/>
      </c>
      <c r="M129" s="32"/>
      <c r="N129" s="32" t="n">
        <f aca="false">IF(C129="covered",10.4,7.55)</f>
        <v>7.55</v>
      </c>
      <c r="O129" s="32" t="str">
        <f aca="false">IF(M129="","",M129-N129)</f>
        <v/>
      </c>
      <c r="P129" s="11"/>
      <c r="Q129" s="33"/>
      <c r="R129" s="33" t="str">
        <f aca="false">IF(OR(J129="",P129=""),"",K129*N129*P129)</f>
        <v/>
      </c>
      <c r="S129" s="33" t="str">
        <f aca="false">IF(Q129="","",Q129-R129)</f>
        <v/>
      </c>
      <c r="T129" s="33" t="str">
        <f aca="false">IF(S129="","",MAX(0,-S129))</f>
        <v/>
      </c>
      <c r="U129" s="33" t="str">
        <f aca="false">IF(S129="","",MAX(0,S129))</f>
        <v/>
      </c>
      <c r="V129" s="11" t="str">
        <f aca="false">IF(J129="","NOT SCORED - NO JULY MONTHLY ROW",IF(OR(ABS(L129)&gt;0.005,ABS(O129)&gt;0.005,ABS(S129)&gt;0.005),"EXCEPTION","OK"))</f>
        <v>NOT SCORED - NO JULY MONTHLY ROW</v>
      </c>
      <c r="W129" s="11"/>
      <c r="X129" s="11" t="s">
        <v>2834</v>
      </c>
      <c r="Y129" s="33" t="n">
        <f aca="false">K129*N129</f>
        <v>453</v>
      </c>
    </row>
    <row r="130" customFormat="false" ht="20.85" hidden="false" customHeight="false" outlineLevel="0" collapsed="false">
      <c r="A130" s="8" t="s">
        <v>3332</v>
      </c>
      <c r="B130" s="8" t="s">
        <v>192</v>
      </c>
      <c r="C130" s="8" t="s">
        <v>2829</v>
      </c>
      <c r="D130" s="8" t="s">
        <v>3333</v>
      </c>
      <c r="E130" s="8" t="s">
        <v>1129</v>
      </c>
      <c r="F130" s="8" t="s">
        <v>1130</v>
      </c>
      <c r="G130" s="8" t="s">
        <v>3334</v>
      </c>
      <c r="H130" s="8" t="n">
        <v>45</v>
      </c>
      <c r="I130" s="34" t="n">
        <v>47.5</v>
      </c>
      <c r="J130" s="34"/>
      <c r="K130" s="34" t="n">
        <f aca="false">MAX(ROUNDUP(I130,0),H130)</f>
        <v>48</v>
      </c>
      <c r="L130" s="34" t="str">
        <f aca="false">IF(J130="","",J130-K130)</f>
        <v/>
      </c>
      <c r="M130" s="35"/>
      <c r="N130" s="35" t="n">
        <f aca="false">IF(C130="covered",10.4,7.55)</f>
        <v>7.55</v>
      </c>
      <c r="O130" s="35" t="str">
        <f aca="false">IF(M130="","",M130-N130)</f>
        <v/>
      </c>
      <c r="P130" s="8"/>
      <c r="Q130" s="36"/>
      <c r="R130" s="36" t="str">
        <f aca="false">IF(OR(J130="",P130=""),"",K130*N130*P130)</f>
        <v/>
      </c>
      <c r="S130" s="36" t="str">
        <f aca="false">IF(Q130="","",Q130-R130)</f>
        <v/>
      </c>
      <c r="T130" s="36" t="str">
        <f aca="false">IF(S130="","",MAX(0,-S130))</f>
        <v/>
      </c>
      <c r="U130" s="36" t="str">
        <f aca="false">IF(S130="","",MAX(0,S130))</f>
        <v/>
      </c>
      <c r="V130" s="8" t="str">
        <f aca="false">IF(J130="","NOT SCORED - NO JULY MONTHLY ROW",IF(OR(ABS(L130)&gt;0.005,ABS(O130)&gt;0.005,ABS(S130)&gt;0.005),"EXCEPTION","OK"))</f>
        <v>NOT SCORED - NO JULY MONTHLY ROW</v>
      </c>
      <c r="W130" s="8"/>
      <c r="X130" s="8" t="s">
        <v>2834</v>
      </c>
      <c r="Y130" s="36" t="n">
        <f aca="false">K130*N130</f>
        <v>362.4</v>
      </c>
    </row>
    <row r="131" customFormat="false" ht="20.85" hidden="false" customHeight="false" outlineLevel="0" collapsed="false">
      <c r="A131" s="11" t="s">
        <v>3335</v>
      </c>
      <c r="B131" s="11" t="s">
        <v>192</v>
      </c>
      <c r="C131" s="11" t="s">
        <v>2829</v>
      </c>
      <c r="D131" s="11" t="s">
        <v>3336</v>
      </c>
      <c r="E131" s="11" t="s">
        <v>3337</v>
      </c>
      <c r="F131" s="11" t="s">
        <v>3338</v>
      </c>
      <c r="G131" s="11" t="s">
        <v>3339</v>
      </c>
      <c r="H131" s="11" t="n">
        <v>45</v>
      </c>
      <c r="I131" s="31" t="n">
        <v>27.2</v>
      </c>
      <c r="J131" s="31"/>
      <c r="K131" s="31" t="n">
        <f aca="false">MAX(ROUNDUP(I131,0),H131)</f>
        <v>45</v>
      </c>
      <c r="L131" s="31" t="str">
        <f aca="false">IF(J131="","",J131-K131)</f>
        <v/>
      </c>
      <c r="M131" s="32"/>
      <c r="N131" s="32" t="n">
        <f aca="false">IF(C131="covered",10.4,7.55)</f>
        <v>7.55</v>
      </c>
      <c r="O131" s="32" t="str">
        <f aca="false">IF(M131="","",M131-N131)</f>
        <v/>
      </c>
      <c r="P131" s="11"/>
      <c r="Q131" s="33"/>
      <c r="R131" s="33" t="str">
        <f aca="false">IF(OR(J131="",P131=""),"",K131*N131*P131)</f>
        <v/>
      </c>
      <c r="S131" s="33" t="str">
        <f aca="false">IF(Q131="","",Q131-R131)</f>
        <v/>
      </c>
      <c r="T131" s="33" t="str">
        <f aca="false">IF(S131="","",MAX(0,-S131))</f>
        <v/>
      </c>
      <c r="U131" s="33" t="str">
        <f aca="false">IF(S131="","",MAX(0,S131))</f>
        <v/>
      </c>
      <c r="V131" s="11" t="str">
        <f aca="false">IF(J131="","NOT SCORED - NO JULY MONTHLY ROW",IF(OR(ABS(L131)&gt;0.005,ABS(O131)&gt;0.005,ABS(S131)&gt;0.005),"EXCEPTION","OK"))</f>
        <v>NOT SCORED - NO JULY MONTHLY ROW</v>
      </c>
      <c r="W131" s="11"/>
      <c r="X131" s="11" t="s">
        <v>2834</v>
      </c>
      <c r="Y131" s="33" t="n">
        <f aca="false">K131*N131</f>
        <v>339.75</v>
      </c>
    </row>
    <row r="132" customFormat="false" ht="20.85" hidden="false" customHeight="false" outlineLevel="0" collapsed="false">
      <c r="A132" s="8" t="s">
        <v>3340</v>
      </c>
      <c r="B132" s="8" t="s">
        <v>192</v>
      </c>
      <c r="C132" s="8" t="s">
        <v>2829</v>
      </c>
      <c r="D132" s="8" t="s">
        <v>3341</v>
      </c>
      <c r="E132" s="8" t="s">
        <v>3342</v>
      </c>
      <c r="F132" s="8" t="s">
        <v>3343</v>
      </c>
      <c r="G132" s="8" t="s">
        <v>3344</v>
      </c>
      <c r="H132" s="8" t="n">
        <v>80</v>
      </c>
      <c r="I132" s="34" t="n">
        <v>51.7</v>
      </c>
      <c r="J132" s="34"/>
      <c r="K132" s="34" t="n">
        <f aca="false">MAX(ROUNDUP(I132,0),H132)</f>
        <v>80</v>
      </c>
      <c r="L132" s="34" t="str">
        <f aca="false">IF(J132="","",J132-K132)</f>
        <v/>
      </c>
      <c r="M132" s="35"/>
      <c r="N132" s="35" t="n">
        <f aca="false">IF(C132="covered",10.4,7.55)</f>
        <v>7.55</v>
      </c>
      <c r="O132" s="35" t="str">
        <f aca="false">IF(M132="","",M132-N132)</f>
        <v/>
      </c>
      <c r="P132" s="8"/>
      <c r="Q132" s="36"/>
      <c r="R132" s="36" t="str">
        <f aca="false">IF(OR(J132="",P132=""),"",K132*N132*P132)</f>
        <v/>
      </c>
      <c r="S132" s="36" t="str">
        <f aca="false">IF(Q132="","",Q132-R132)</f>
        <v/>
      </c>
      <c r="T132" s="36" t="str">
        <f aca="false">IF(S132="","",MAX(0,-S132))</f>
        <v/>
      </c>
      <c r="U132" s="36" t="str">
        <f aca="false">IF(S132="","",MAX(0,S132))</f>
        <v/>
      </c>
      <c r="V132" s="8" t="str">
        <f aca="false">IF(J132="","NOT SCORED - NO JULY MONTHLY ROW",IF(OR(ABS(L132)&gt;0.005,ABS(O132)&gt;0.005,ABS(S132)&gt;0.005),"EXCEPTION","OK"))</f>
        <v>NOT SCORED - NO JULY MONTHLY ROW</v>
      </c>
      <c r="W132" s="8"/>
      <c r="X132" s="8" t="s">
        <v>2834</v>
      </c>
      <c r="Y132" s="36" t="n">
        <f aca="false">K132*N132</f>
        <v>604</v>
      </c>
    </row>
    <row r="133" customFormat="false" ht="20.85" hidden="false" customHeight="false" outlineLevel="0" collapsed="false">
      <c r="A133" s="11" t="s">
        <v>72</v>
      </c>
      <c r="B133" s="11" t="s">
        <v>192</v>
      </c>
      <c r="C133" s="11" t="s">
        <v>2829</v>
      </c>
      <c r="D133" s="11" t="s">
        <v>3345</v>
      </c>
      <c r="E133" s="11" t="s">
        <v>3346</v>
      </c>
      <c r="F133" s="11" t="s">
        <v>3347</v>
      </c>
      <c r="G133" s="11" t="s">
        <v>3348</v>
      </c>
      <c r="H133" s="11" t="n">
        <v>80</v>
      </c>
      <c r="I133" s="31" t="n">
        <v>48</v>
      </c>
      <c r="J133" s="31"/>
      <c r="K133" s="31" t="n">
        <f aca="false">MAX(ROUNDUP(I133,0),H133)</f>
        <v>80</v>
      </c>
      <c r="L133" s="31" t="str">
        <f aca="false">IF(J133="","",J133-K133)</f>
        <v/>
      </c>
      <c r="M133" s="32"/>
      <c r="N133" s="32" t="n">
        <f aca="false">IF(C133="covered",10.4,7.55)</f>
        <v>7.55</v>
      </c>
      <c r="O133" s="32" t="str">
        <f aca="false">IF(M133="","",M133-N133)</f>
        <v/>
      </c>
      <c r="P133" s="11"/>
      <c r="Q133" s="33"/>
      <c r="R133" s="33" t="str">
        <f aca="false">IF(OR(J133="",P133=""),"",K133*N133*P133)</f>
        <v/>
      </c>
      <c r="S133" s="33" t="str">
        <f aca="false">IF(Q133="","",Q133-R133)</f>
        <v/>
      </c>
      <c r="T133" s="33" t="str">
        <f aca="false">IF(S133="","",MAX(0,-S133))</f>
        <v/>
      </c>
      <c r="U133" s="33" t="str">
        <f aca="false">IF(S133="","",MAX(0,S133))</f>
        <v/>
      </c>
      <c r="V133" s="11" t="str">
        <f aca="false">IF(J133="","NOT SCORED - NO JULY MONTHLY ROW",IF(OR(ABS(L133)&gt;0.005,ABS(O133)&gt;0.005,ABS(S133)&gt;0.005),"EXCEPTION","OK"))</f>
        <v>NOT SCORED - NO JULY MONTHLY ROW</v>
      </c>
      <c r="W133" s="11"/>
      <c r="X133" s="11" t="s">
        <v>2834</v>
      </c>
      <c r="Y133" s="33" t="n">
        <f aca="false">K133*N133</f>
        <v>604</v>
      </c>
    </row>
    <row r="134" customFormat="false" ht="20.85" hidden="false" customHeight="false" outlineLevel="0" collapsed="false">
      <c r="A134" s="8" t="s">
        <v>130</v>
      </c>
      <c r="B134" s="8" t="s">
        <v>192</v>
      </c>
      <c r="C134" s="8" t="s">
        <v>2829</v>
      </c>
      <c r="D134" s="8" t="s">
        <v>3349</v>
      </c>
      <c r="E134" s="8" t="s">
        <v>3350</v>
      </c>
      <c r="F134" s="8" t="s">
        <v>3351</v>
      </c>
      <c r="G134" s="8" t="s">
        <v>3352</v>
      </c>
      <c r="H134" s="8" t="n">
        <v>60</v>
      </c>
      <c r="I134" s="34" t="n">
        <v>27.1</v>
      </c>
      <c r="J134" s="34"/>
      <c r="K134" s="34" t="n">
        <f aca="false">MAX(ROUNDUP(I134,0),H134)</f>
        <v>60</v>
      </c>
      <c r="L134" s="34" t="str">
        <f aca="false">IF(J134="","",J134-K134)</f>
        <v/>
      </c>
      <c r="M134" s="35"/>
      <c r="N134" s="35" t="n">
        <f aca="false">IF(C134="covered",10.4,7.55)</f>
        <v>7.55</v>
      </c>
      <c r="O134" s="35" t="str">
        <f aca="false">IF(M134="","",M134-N134)</f>
        <v/>
      </c>
      <c r="P134" s="8"/>
      <c r="Q134" s="36"/>
      <c r="R134" s="36" t="str">
        <f aca="false">IF(OR(J134="",P134=""),"",K134*N134*P134)</f>
        <v/>
      </c>
      <c r="S134" s="36" t="str">
        <f aca="false">IF(Q134="","",Q134-R134)</f>
        <v/>
      </c>
      <c r="T134" s="36" t="str">
        <f aca="false">IF(S134="","",MAX(0,-S134))</f>
        <v/>
      </c>
      <c r="U134" s="36" t="str">
        <f aca="false">IF(S134="","",MAX(0,S134))</f>
        <v/>
      </c>
      <c r="V134" s="8" t="str">
        <f aca="false">IF(J134="","NOT SCORED - NO JULY MONTHLY ROW",IF(OR(ABS(L134)&gt;0.005,ABS(O134)&gt;0.005,ABS(S134)&gt;0.005),"EXCEPTION","OK"))</f>
        <v>NOT SCORED - NO JULY MONTHLY ROW</v>
      </c>
      <c r="W134" s="8"/>
      <c r="X134" s="8" t="s">
        <v>2834</v>
      </c>
      <c r="Y134" s="36" t="n">
        <f aca="false">K134*N134</f>
        <v>453</v>
      </c>
    </row>
    <row r="135" customFormat="false" ht="20.85" hidden="false" customHeight="false" outlineLevel="0" collapsed="false">
      <c r="A135" s="11" t="s">
        <v>3353</v>
      </c>
      <c r="B135" s="11" t="s">
        <v>192</v>
      </c>
      <c r="C135" s="11" t="s">
        <v>2829</v>
      </c>
      <c r="D135" s="11" t="s">
        <v>3354</v>
      </c>
      <c r="E135" s="11" t="s">
        <v>3355</v>
      </c>
      <c r="F135" s="11" t="s">
        <v>3356</v>
      </c>
      <c r="G135" s="11" t="s">
        <v>3357</v>
      </c>
      <c r="H135" s="11" t="n">
        <v>32</v>
      </c>
      <c r="I135" s="31" t="n">
        <v>30.6</v>
      </c>
      <c r="J135" s="31"/>
      <c r="K135" s="31" t="n">
        <f aca="false">MAX(ROUNDUP(I135,0),H135)</f>
        <v>32</v>
      </c>
      <c r="L135" s="31" t="str">
        <f aca="false">IF(J135="","",J135-K135)</f>
        <v/>
      </c>
      <c r="M135" s="32"/>
      <c r="N135" s="32" t="n">
        <f aca="false">IF(C135="covered",10.4,7.55)</f>
        <v>7.55</v>
      </c>
      <c r="O135" s="32" t="str">
        <f aca="false">IF(M135="","",M135-N135)</f>
        <v/>
      </c>
      <c r="P135" s="11"/>
      <c r="Q135" s="33"/>
      <c r="R135" s="33" t="str">
        <f aca="false">IF(OR(J135="",P135=""),"",K135*N135*P135)</f>
        <v/>
      </c>
      <c r="S135" s="33" t="str">
        <f aca="false">IF(Q135="","",Q135-R135)</f>
        <v/>
      </c>
      <c r="T135" s="33" t="str">
        <f aca="false">IF(S135="","",MAX(0,-S135))</f>
        <v/>
      </c>
      <c r="U135" s="33" t="str">
        <f aca="false">IF(S135="","",MAX(0,S135))</f>
        <v/>
      </c>
      <c r="V135" s="11" t="str">
        <f aca="false">IF(J135="","NOT SCORED - NO JULY MONTHLY ROW",IF(OR(ABS(L135)&gt;0.005,ABS(O135)&gt;0.005,ABS(S135)&gt;0.005),"EXCEPTION","OK"))</f>
        <v>NOT SCORED - NO JULY MONTHLY ROW</v>
      </c>
      <c r="W135" s="11"/>
      <c r="X135" s="11" t="s">
        <v>2834</v>
      </c>
      <c r="Y135" s="33" t="n">
        <f aca="false">K135*N135</f>
        <v>241.6</v>
      </c>
    </row>
    <row r="136" customFormat="false" ht="20.85" hidden="false" customHeight="false" outlineLevel="0" collapsed="false">
      <c r="A136" s="8" t="s">
        <v>3358</v>
      </c>
      <c r="B136" s="8" t="s">
        <v>192</v>
      </c>
      <c r="C136" s="8" t="s">
        <v>2829</v>
      </c>
      <c r="D136" s="8" t="s">
        <v>3359</v>
      </c>
      <c r="E136" s="8" t="s">
        <v>2536</v>
      </c>
      <c r="F136" s="8" t="s">
        <v>3360</v>
      </c>
      <c r="G136" s="8" t="s">
        <v>3361</v>
      </c>
      <c r="H136" s="8" t="n">
        <v>70</v>
      </c>
      <c r="I136" s="34" t="n">
        <v>50.8</v>
      </c>
      <c r="J136" s="34"/>
      <c r="K136" s="34" t="n">
        <f aca="false">MAX(ROUNDUP(I136,0),H136)</f>
        <v>70</v>
      </c>
      <c r="L136" s="34" t="str">
        <f aca="false">IF(J136="","",J136-K136)</f>
        <v/>
      </c>
      <c r="M136" s="35"/>
      <c r="N136" s="35" t="n">
        <f aca="false">IF(C136="covered",10.4,7.55)</f>
        <v>7.55</v>
      </c>
      <c r="O136" s="35" t="str">
        <f aca="false">IF(M136="","",M136-N136)</f>
        <v/>
      </c>
      <c r="P136" s="8"/>
      <c r="Q136" s="36"/>
      <c r="R136" s="36" t="str">
        <f aca="false">IF(OR(J136="",P136=""),"",K136*N136*P136)</f>
        <v/>
      </c>
      <c r="S136" s="36" t="str">
        <f aca="false">IF(Q136="","",Q136-R136)</f>
        <v/>
      </c>
      <c r="T136" s="36" t="str">
        <f aca="false">IF(S136="","",MAX(0,-S136))</f>
        <v/>
      </c>
      <c r="U136" s="36" t="str">
        <f aca="false">IF(S136="","",MAX(0,S136))</f>
        <v/>
      </c>
      <c r="V136" s="8" t="str">
        <f aca="false">IF(J136="","NOT SCORED - NO JULY MONTHLY ROW",IF(OR(ABS(L136)&gt;0.005,ABS(O136)&gt;0.005,ABS(S136)&gt;0.005),"EXCEPTION","OK"))</f>
        <v>NOT SCORED - NO JULY MONTHLY ROW</v>
      </c>
      <c r="W136" s="8"/>
      <c r="X136" s="8" t="s">
        <v>2834</v>
      </c>
      <c r="Y136" s="36" t="n">
        <f aca="false">K136*N136</f>
        <v>528.5</v>
      </c>
    </row>
    <row r="137" customFormat="false" ht="20.85" hidden="false" customHeight="false" outlineLevel="0" collapsed="false">
      <c r="A137" s="11" t="s">
        <v>3362</v>
      </c>
      <c r="B137" s="11" t="s">
        <v>192</v>
      </c>
      <c r="C137" s="11" t="s">
        <v>2829</v>
      </c>
      <c r="D137" s="11" t="s">
        <v>3363</v>
      </c>
      <c r="E137" s="11" t="s">
        <v>3364</v>
      </c>
      <c r="F137" s="11" t="s">
        <v>3365</v>
      </c>
      <c r="G137" s="11" t="s">
        <v>3366</v>
      </c>
      <c r="H137" s="11" t="n">
        <v>24</v>
      </c>
      <c r="I137" s="31" t="n">
        <v>31.6</v>
      </c>
      <c r="J137" s="31"/>
      <c r="K137" s="31" t="n">
        <f aca="false">MAX(ROUNDUP(I137,0),H137)</f>
        <v>32</v>
      </c>
      <c r="L137" s="31" t="str">
        <f aca="false">IF(J137="","",J137-K137)</f>
        <v/>
      </c>
      <c r="M137" s="32"/>
      <c r="N137" s="32" t="n">
        <f aca="false">IF(C137="covered",10.4,7.55)</f>
        <v>7.55</v>
      </c>
      <c r="O137" s="32" t="str">
        <f aca="false">IF(M137="","",M137-N137)</f>
        <v/>
      </c>
      <c r="P137" s="11"/>
      <c r="Q137" s="33"/>
      <c r="R137" s="33" t="str">
        <f aca="false">IF(OR(J137="",P137=""),"",K137*N137*P137)</f>
        <v/>
      </c>
      <c r="S137" s="33" t="str">
        <f aca="false">IF(Q137="","",Q137-R137)</f>
        <v/>
      </c>
      <c r="T137" s="33" t="str">
        <f aca="false">IF(S137="","",MAX(0,-S137))</f>
        <v/>
      </c>
      <c r="U137" s="33" t="str">
        <f aca="false">IF(S137="","",MAX(0,S137))</f>
        <v/>
      </c>
      <c r="V137" s="11" t="str">
        <f aca="false">IF(J137="","NOT SCORED - NO JULY MONTHLY ROW",IF(OR(ABS(L137)&gt;0.005,ABS(O137)&gt;0.005,ABS(S137)&gt;0.005),"EXCEPTION","OK"))</f>
        <v>NOT SCORED - NO JULY MONTHLY ROW</v>
      </c>
      <c r="W137" s="11"/>
      <c r="X137" s="11" t="s">
        <v>2834</v>
      </c>
      <c r="Y137" s="33" t="n">
        <f aca="false">K137*N137</f>
        <v>241.6</v>
      </c>
    </row>
    <row r="138" customFormat="false" ht="20.85" hidden="false" customHeight="false" outlineLevel="0" collapsed="false">
      <c r="A138" s="8" t="s">
        <v>142</v>
      </c>
      <c r="B138" s="8" t="s">
        <v>192</v>
      </c>
      <c r="C138" s="8" t="s">
        <v>2829</v>
      </c>
      <c r="D138" s="8" t="s">
        <v>3367</v>
      </c>
      <c r="E138" s="8" t="s">
        <v>2557</v>
      </c>
      <c r="F138" s="8" t="s">
        <v>3368</v>
      </c>
      <c r="G138" s="8" t="s">
        <v>3313</v>
      </c>
      <c r="H138" s="8" t="n">
        <v>32</v>
      </c>
      <c r="I138" s="34" t="n">
        <v>22.5</v>
      </c>
      <c r="J138" s="34"/>
      <c r="K138" s="34" t="n">
        <f aca="false">MAX(ROUNDUP(I138,0),H138)</f>
        <v>32</v>
      </c>
      <c r="L138" s="34" t="str">
        <f aca="false">IF(J138="","",J138-K138)</f>
        <v/>
      </c>
      <c r="M138" s="35"/>
      <c r="N138" s="35" t="n">
        <f aca="false">IF(C138="covered",10.4,7.55)</f>
        <v>7.55</v>
      </c>
      <c r="O138" s="35" t="str">
        <f aca="false">IF(M138="","",M138-N138)</f>
        <v/>
      </c>
      <c r="P138" s="8"/>
      <c r="Q138" s="36"/>
      <c r="R138" s="36" t="str">
        <f aca="false">IF(OR(J138="",P138=""),"",K138*N138*P138)</f>
        <v/>
      </c>
      <c r="S138" s="36" t="str">
        <f aca="false">IF(Q138="","",Q138-R138)</f>
        <v/>
      </c>
      <c r="T138" s="36" t="str">
        <f aca="false">IF(S138="","",MAX(0,-S138))</f>
        <v/>
      </c>
      <c r="U138" s="36" t="str">
        <f aca="false">IF(S138="","",MAX(0,S138))</f>
        <v/>
      </c>
      <c r="V138" s="8" t="str">
        <f aca="false">IF(J138="","NOT SCORED - NO JULY MONTHLY ROW",IF(OR(ABS(L138)&gt;0.005,ABS(O138)&gt;0.005,ABS(S138)&gt;0.005),"EXCEPTION","OK"))</f>
        <v>NOT SCORED - NO JULY MONTHLY ROW</v>
      </c>
      <c r="W138" s="8"/>
      <c r="X138" s="8" t="s">
        <v>2834</v>
      </c>
      <c r="Y138" s="36" t="n">
        <f aca="false">K138*N138</f>
        <v>241.6</v>
      </c>
    </row>
    <row r="139" customFormat="false" ht="20.85" hidden="false" customHeight="false" outlineLevel="0" collapsed="false">
      <c r="A139" s="11" t="s">
        <v>3369</v>
      </c>
      <c r="B139" s="11" t="s">
        <v>192</v>
      </c>
      <c r="C139" s="11" t="s">
        <v>2829</v>
      </c>
      <c r="D139" s="11" t="s">
        <v>3370</v>
      </c>
      <c r="E139" s="11" t="s">
        <v>402</v>
      </c>
      <c r="F139" s="11" t="s">
        <v>403</v>
      </c>
      <c r="G139" s="11" t="s">
        <v>3371</v>
      </c>
      <c r="H139" s="11" t="n">
        <v>24</v>
      </c>
      <c r="I139" s="31" t="n">
        <v>51</v>
      </c>
      <c r="J139" s="31"/>
      <c r="K139" s="31" t="n">
        <f aca="false">MAX(ROUNDUP(I139,0),H139)</f>
        <v>51</v>
      </c>
      <c r="L139" s="31" t="str">
        <f aca="false">IF(J139="","",J139-K139)</f>
        <v/>
      </c>
      <c r="M139" s="32"/>
      <c r="N139" s="32" t="n">
        <f aca="false">IF(C139="covered",10.4,7.55)</f>
        <v>7.55</v>
      </c>
      <c r="O139" s="32" t="str">
        <f aca="false">IF(M139="","",M139-N139)</f>
        <v/>
      </c>
      <c r="P139" s="11"/>
      <c r="Q139" s="33"/>
      <c r="R139" s="33" t="str">
        <f aca="false">IF(OR(J139="",P139=""),"",K139*N139*P139)</f>
        <v/>
      </c>
      <c r="S139" s="33" t="str">
        <f aca="false">IF(Q139="","",Q139-R139)</f>
        <v/>
      </c>
      <c r="T139" s="33" t="str">
        <f aca="false">IF(S139="","",MAX(0,-S139))</f>
        <v/>
      </c>
      <c r="U139" s="33" t="str">
        <f aca="false">IF(S139="","",MAX(0,S139))</f>
        <v/>
      </c>
      <c r="V139" s="11" t="str">
        <f aca="false">IF(J139="","NOT SCORED - NO JULY MONTHLY ROW",IF(OR(ABS(L139)&gt;0.005,ABS(O139)&gt;0.005,ABS(S139)&gt;0.005),"EXCEPTION","OK"))</f>
        <v>NOT SCORED - NO JULY MONTHLY ROW</v>
      </c>
      <c r="W139" s="11"/>
      <c r="X139" s="11" t="s">
        <v>2834</v>
      </c>
      <c r="Y139" s="33" t="n">
        <f aca="false">K139*N139</f>
        <v>385.05</v>
      </c>
    </row>
    <row r="140" customFormat="false" ht="20.85" hidden="false" customHeight="false" outlineLevel="0" collapsed="false">
      <c r="A140" s="8" t="s">
        <v>3372</v>
      </c>
      <c r="B140" s="8" t="s">
        <v>192</v>
      </c>
      <c r="C140" s="8" t="s">
        <v>2829</v>
      </c>
      <c r="D140" s="8" t="s">
        <v>3373</v>
      </c>
      <c r="E140" s="8" t="s">
        <v>3374</v>
      </c>
      <c r="F140" s="8" t="s">
        <v>3375</v>
      </c>
      <c r="G140" s="8" t="s">
        <v>3376</v>
      </c>
      <c r="H140" s="8" t="n">
        <v>45</v>
      </c>
      <c r="I140" s="34" t="n">
        <v>42.1</v>
      </c>
      <c r="J140" s="34"/>
      <c r="K140" s="34" t="n">
        <f aca="false">MAX(ROUNDUP(I140,0),H140)</f>
        <v>45</v>
      </c>
      <c r="L140" s="34" t="str">
        <f aca="false">IF(J140="","",J140-K140)</f>
        <v/>
      </c>
      <c r="M140" s="35"/>
      <c r="N140" s="35" t="n">
        <f aca="false">IF(C140="covered",10.4,7.55)</f>
        <v>7.55</v>
      </c>
      <c r="O140" s="35" t="str">
        <f aca="false">IF(M140="","",M140-N140)</f>
        <v/>
      </c>
      <c r="P140" s="8"/>
      <c r="Q140" s="36"/>
      <c r="R140" s="36" t="str">
        <f aca="false">IF(OR(J140="",P140=""),"",K140*N140*P140)</f>
        <v/>
      </c>
      <c r="S140" s="36" t="str">
        <f aca="false">IF(Q140="","",Q140-R140)</f>
        <v/>
      </c>
      <c r="T140" s="36" t="str">
        <f aca="false">IF(S140="","",MAX(0,-S140))</f>
        <v/>
      </c>
      <c r="U140" s="36" t="str">
        <f aca="false">IF(S140="","",MAX(0,S140))</f>
        <v/>
      </c>
      <c r="V140" s="8" t="str">
        <f aca="false">IF(J140="","NOT SCORED - NO JULY MONTHLY ROW",IF(OR(ABS(L140)&gt;0.005,ABS(O140)&gt;0.005,ABS(S140)&gt;0.005),"EXCEPTION","OK"))</f>
        <v>NOT SCORED - NO JULY MONTHLY ROW</v>
      </c>
      <c r="W140" s="8"/>
      <c r="X140" s="8" t="s">
        <v>2834</v>
      </c>
      <c r="Y140" s="36" t="n">
        <f aca="false">K140*N140</f>
        <v>339.75</v>
      </c>
    </row>
    <row r="141" customFormat="false" ht="20.85" hidden="false" customHeight="false" outlineLevel="0" collapsed="false">
      <c r="A141" s="11" t="s">
        <v>1709</v>
      </c>
      <c r="B141" s="11" t="s">
        <v>192</v>
      </c>
      <c r="C141" s="11" t="s">
        <v>2829</v>
      </c>
      <c r="D141" s="11" t="s">
        <v>3377</v>
      </c>
      <c r="E141" s="11" t="s">
        <v>3378</v>
      </c>
      <c r="F141" s="11" t="s">
        <v>3379</v>
      </c>
      <c r="G141" s="11" t="s">
        <v>3380</v>
      </c>
      <c r="H141" s="11" t="n">
        <v>32</v>
      </c>
      <c r="I141" s="31" t="n">
        <v>19.8</v>
      </c>
      <c r="J141" s="31"/>
      <c r="K141" s="31" t="n">
        <f aca="false">MAX(ROUNDUP(I141,0),H141)</f>
        <v>32</v>
      </c>
      <c r="L141" s="31" t="str">
        <f aca="false">IF(J141="","",J141-K141)</f>
        <v/>
      </c>
      <c r="M141" s="32"/>
      <c r="N141" s="32" t="n">
        <f aca="false">IF(C141="covered",10.4,7.55)</f>
        <v>7.55</v>
      </c>
      <c r="O141" s="32" t="str">
        <f aca="false">IF(M141="","",M141-N141)</f>
        <v/>
      </c>
      <c r="P141" s="11"/>
      <c r="Q141" s="33"/>
      <c r="R141" s="33" t="str">
        <f aca="false">IF(OR(J141="",P141=""),"",K141*N141*P141)</f>
        <v/>
      </c>
      <c r="S141" s="33" t="str">
        <f aca="false">IF(Q141="","",Q141-R141)</f>
        <v/>
      </c>
      <c r="T141" s="33" t="str">
        <f aca="false">IF(S141="","",MAX(0,-S141))</f>
        <v/>
      </c>
      <c r="U141" s="33" t="str">
        <f aca="false">IF(S141="","",MAX(0,S141))</f>
        <v/>
      </c>
      <c r="V141" s="11" t="str">
        <f aca="false">IF(J141="","NOT SCORED - NO JULY MONTHLY ROW",IF(OR(ABS(L141)&gt;0.005,ABS(O141)&gt;0.005,ABS(S141)&gt;0.005),"EXCEPTION","OK"))</f>
        <v>NOT SCORED - NO JULY MONTHLY ROW</v>
      </c>
      <c r="W141" s="11"/>
      <c r="X141" s="11" t="s">
        <v>2834</v>
      </c>
      <c r="Y141" s="33" t="n">
        <f aca="false">K141*N141</f>
        <v>241.6</v>
      </c>
    </row>
    <row r="142" customFormat="false" ht="20.85" hidden="false" customHeight="false" outlineLevel="0" collapsed="false">
      <c r="A142" s="8" t="s">
        <v>3381</v>
      </c>
      <c r="B142" s="8" t="s">
        <v>192</v>
      </c>
      <c r="C142" s="8" t="s">
        <v>2829</v>
      </c>
      <c r="D142" s="8" t="s">
        <v>3382</v>
      </c>
      <c r="E142" s="8" t="s">
        <v>3383</v>
      </c>
      <c r="F142" s="8" t="s">
        <v>3384</v>
      </c>
      <c r="G142" s="8" t="s">
        <v>3385</v>
      </c>
      <c r="H142" s="8" t="n">
        <v>45</v>
      </c>
      <c r="I142" s="34" t="n">
        <v>28.5</v>
      </c>
      <c r="J142" s="34"/>
      <c r="K142" s="34" t="n">
        <f aca="false">MAX(ROUNDUP(I142,0),H142)</f>
        <v>45</v>
      </c>
      <c r="L142" s="34" t="str">
        <f aca="false">IF(J142="","",J142-K142)</f>
        <v/>
      </c>
      <c r="M142" s="35"/>
      <c r="N142" s="35" t="n">
        <f aca="false">IF(C142="covered",10.4,7.55)</f>
        <v>7.55</v>
      </c>
      <c r="O142" s="35" t="str">
        <f aca="false">IF(M142="","",M142-N142)</f>
        <v/>
      </c>
      <c r="P142" s="8"/>
      <c r="Q142" s="36"/>
      <c r="R142" s="36" t="str">
        <f aca="false">IF(OR(J142="",P142=""),"",K142*N142*P142)</f>
        <v/>
      </c>
      <c r="S142" s="36" t="str">
        <f aca="false">IF(Q142="","",Q142-R142)</f>
        <v/>
      </c>
      <c r="T142" s="36" t="str">
        <f aca="false">IF(S142="","",MAX(0,-S142))</f>
        <v/>
      </c>
      <c r="U142" s="36" t="str">
        <f aca="false">IF(S142="","",MAX(0,S142))</f>
        <v/>
      </c>
      <c r="V142" s="8" t="str">
        <f aca="false">IF(J142="","NOT SCORED - NO JULY MONTHLY ROW",IF(OR(ABS(L142)&gt;0.005,ABS(O142)&gt;0.005,ABS(S142)&gt;0.005),"EXCEPTION","OK"))</f>
        <v>NOT SCORED - NO JULY MONTHLY ROW</v>
      </c>
      <c r="W142" s="8"/>
      <c r="X142" s="8" t="s">
        <v>2834</v>
      </c>
      <c r="Y142" s="36" t="n">
        <f aca="false">K142*N142</f>
        <v>339.75</v>
      </c>
    </row>
    <row r="143" customFormat="false" ht="20.85" hidden="false" customHeight="false" outlineLevel="0" collapsed="false">
      <c r="A143" s="11" t="s">
        <v>3386</v>
      </c>
      <c r="B143" s="11" t="s">
        <v>192</v>
      </c>
      <c r="C143" s="11" t="s">
        <v>2829</v>
      </c>
      <c r="D143" s="11" t="s">
        <v>3387</v>
      </c>
      <c r="E143" s="11" t="s">
        <v>3388</v>
      </c>
      <c r="F143" s="11" t="s">
        <v>3389</v>
      </c>
      <c r="G143" s="11" t="s">
        <v>2952</v>
      </c>
      <c r="H143" s="11" t="n">
        <v>28</v>
      </c>
      <c r="I143" s="31" t="n">
        <v>35</v>
      </c>
      <c r="J143" s="31"/>
      <c r="K143" s="31" t="n">
        <f aca="false">MAX(ROUNDUP(I143,0),H143)</f>
        <v>35</v>
      </c>
      <c r="L143" s="31" t="str">
        <f aca="false">IF(J143="","",J143-K143)</f>
        <v/>
      </c>
      <c r="M143" s="32"/>
      <c r="N143" s="32" t="n">
        <f aca="false">IF(C143="covered",10.4,7.55)</f>
        <v>7.55</v>
      </c>
      <c r="O143" s="32" t="str">
        <f aca="false">IF(M143="","",M143-N143)</f>
        <v/>
      </c>
      <c r="P143" s="11"/>
      <c r="Q143" s="33"/>
      <c r="R143" s="33" t="str">
        <f aca="false">IF(OR(J143="",P143=""),"",K143*N143*P143)</f>
        <v/>
      </c>
      <c r="S143" s="33" t="str">
        <f aca="false">IF(Q143="","",Q143-R143)</f>
        <v/>
      </c>
      <c r="T143" s="33" t="str">
        <f aca="false">IF(S143="","",MAX(0,-S143))</f>
        <v/>
      </c>
      <c r="U143" s="33" t="str">
        <f aca="false">IF(S143="","",MAX(0,S143))</f>
        <v/>
      </c>
      <c r="V143" s="11" t="str">
        <f aca="false">IF(J143="","NOT SCORED - NO JULY MONTHLY ROW",IF(OR(ABS(L143)&gt;0.005,ABS(O143)&gt;0.005,ABS(S143)&gt;0.005),"EXCEPTION","OK"))</f>
        <v>NOT SCORED - NO JULY MONTHLY ROW</v>
      </c>
      <c r="W143" s="11"/>
      <c r="X143" s="11" t="s">
        <v>2834</v>
      </c>
      <c r="Y143" s="33" t="n">
        <f aca="false">K143*N143</f>
        <v>264.25</v>
      </c>
    </row>
    <row r="144" customFormat="false" ht="20.85" hidden="false" customHeight="false" outlineLevel="0" collapsed="false">
      <c r="A144" s="8" t="s">
        <v>3390</v>
      </c>
      <c r="B144" s="8" t="s">
        <v>207</v>
      </c>
      <c r="C144" s="8" t="s">
        <v>2829</v>
      </c>
      <c r="D144" s="8" t="s">
        <v>3391</v>
      </c>
      <c r="E144" s="8" t="s">
        <v>3392</v>
      </c>
      <c r="F144" s="8" t="s">
        <v>3393</v>
      </c>
      <c r="G144" s="8" t="s">
        <v>3394</v>
      </c>
      <c r="H144" s="8" t="n">
        <v>70</v>
      </c>
      <c r="I144" s="34" t="n">
        <v>27.6</v>
      </c>
      <c r="J144" s="34"/>
      <c r="K144" s="34" t="n">
        <f aca="false">MAX(ROUNDUP(I144,0),H144)</f>
        <v>70</v>
      </c>
      <c r="L144" s="34" t="str">
        <f aca="false">IF(J144="","",J144-K144)</f>
        <v/>
      </c>
      <c r="M144" s="35"/>
      <c r="N144" s="35" t="n">
        <f aca="false">IF(C144="covered",10.4,7.55)</f>
        <v>7.55</v>
      </c>
      <c r="O144" s="35" t="str">
        <f aca="false">IF(M144="","",M144-N144)</f>
        <v/>
      </c>
      <c r="P144" s="8"/>
      <c r="Q144" s="36"/>
      <c r="R144" s="36" t="str">
        <f aca="false">IF(OR(J144="",P144=""),"",K144*N144*P144)</f>
        <v/>
      </c>
      <c r="S144" s="36" t="str">
        <f aca="false">IF(Q144="","",Q144-R144)</f>
        <v/>
      </c>
      <c r="T144" s="36" t="str">
        <f aca="false">IF(S144="","",MAX(0,-S144))</f>
        <v/>
      </c>
      <c r="U144" s="36" t="str">
        <f aca="false">IF(S144="","",MAX(0,S144))</f>
        <v/>
      </c>
      <c r="V144" s="8" t="str">
        <f aca="false">IF(J144="","NOT SCORED - NO JULY MONTHLY ROW",IF(OR(ABS(L144)&gt;0.005,ABS(O144)&gt;0.005,ABS(S144)&gt;0.005),"EXCEPTION","OK"))</f>
        <v>NOT SCORED - NO JULY MONTHLY ROW</v>
      </c>
      <c r="W144" s="8"/>
      <c r="X144" s="8" t="s">
        <v>2834</v>
      </c>
      <c r="Y144" s="36" t="n">
        <f aca="false">K144*N144</f>
        <v>528.5</v>
      </c>
    </row>
    <row r="145" customFormat="false" ht="20.85" hidden="false" customHeight="false" outlineLevel="0" collapsed="false">
      <c r="A145" s="11" t="s">
        <v>1355</v>
      </c>
      <c r="B145" s="11" t="s">
        <v>207</v>
      </c>
      <c r="C145" s="11" t="s">
        <v>2829</v>
      </c>
      <c r="D145" s="11" t="s">
        <v>3395</v>
      </c>
      <c r="E145" s="11" t="s">
        <v>3396</v>
      </c>
      <c r="F145" s="11" t="s">
        <v>3397</v>
      </c>
      <c r="G145" s="11" t="s">
        <v>3398</v>
      </c>
      <c r="H145" s="11" t="n">
        <v>32</v>
      </c>
      <c r="I145" s="31" t="n">
        <v>44.3</v>
      </c>
      <c r="J145" s="31"/>
      <c r="K145" s="31" t="n">
        <f aca="false">MAX(ROUNDUP(I145,0),H145)</f>
        <v>45</v>
      </c>
      <c r="L145" s="31" t="str">
        <f aca="false">IF(J145="","",J145-K145)</f>
        <v/>
      </c>
      <c r="M145" s="32"/>
      <c r="N145" s="32" t="n">
        <f aca="false">IF(C145="covered",10.4,7.55)</f>
        <v>7.55</v>
      </c>
      <c r="O145" s="32" t="str">
        <f aca="false">IF(M145="","",M145-N145)</f>
        <v/>
      </c>
      <c r="P145" s="11"/>
      <c r="Q145" s="33"/>
      <c r="R145" s="33" t="str">
        <f aca="false">IF(OR(J145="",P145=""),"",K145*N145*P145)</f>
        <v/>
      </c>
      <c r="S145" s="33" t="str">
        <f aca="false">IF(Q145="","",Q145-R145)</f>
        <v/>
      </c>
      <c r="T145" s="33" t="str">
        <f aca="false">IF(S145="","",MAX(0,-S145))</f>
        <v/>
      </c>
      <c r="U145" s="33" t="str">
        <f aca="false">IF(S145="","",MAX(0,S145))</f>
        <v/>
      </c>
      <c r="V145" s="11" t="str">
        <f aca="false">IF(J145="","NOT SCORED - NO JULY MONTHLY ROW",IF(OR(ABS(L145)&gt;0.005,ABS(O145)&gt;0.005,ABS(S145)&gt;0.005),"EXCEPTION","OK"))</f>
        <v>NOT SCORED - NO JULY MONTHLY ROW</v>
      </c>
      <c r="W145" s="11"/>
      <c r="X145" s="11" t="s">
        <v>2834</v>
      </c>
      <c r="Y145" s="33" t="n">
        <f aca="false">K145*N145</f>
        <v>339.75</v>
      </c>
    </row>
    <row r="146" customFormat="false" ht="20.85" hidden="false" customHeight="false" outlineLevel="0" collapsed="false">
      <c r="A146" s="8" t="s">
        <v>3399</v>
      </c>
      <c r="B146" s="8" t="s">
        <v>207</v>
      </c>
      <c r="C146" s="8" t="s">
        <v>2829</v>
      </c>
      <c r="D146" s="8" t="s">
        <v>3400</v>
      </c>
      <c r="E146" s="8" t="s">
        <v>3401</v>
      </c>
      <c r="F146" s="8" t="s">
        <v>3402</v>
      </c>
      <c r="G146" s="8" t="s">
        <v>3403</v>
      </c>
      <c r="H146" s="8" t="n">
        <v>36</v>
      </c>
      <c r="I146" s="34" t="n">
        <v>55.5</v>
      </c>
      <c r="J146" s="34"/>
      <c r="K146" s="34" t="n">
        <f aca="false">MAX(ROUNDUP(I146,0),H146)</f>
        <v>56</v>
      </c>
      <c r="L146" s="34" t="str">
        <f aca="false">IF(J146="","",J146-K146)</f>
        <v/>
      </c>
      <c r="M146" s="35"/>
      <c r="N146" s="35" t="n">
        <f aca="false">IF(C146="covered",10.4,7.55)</f>
        <v>7.55</v>
      </c>
      <c r="O146" s="35" t="str">
        <f aca="false">IF(M146="","",M146-N146)</f>
        <v/>
      </c>
      <c r="P146" s="8"/>
      <c r="Q146" s="36"/>
      <c r="R146" s="36" t="str">
        <f aca="false">IF(OR(J146="",P146=""),"",K146*N146*P146)</f>
        <v/>
      </c>
      <c r="S146" s="36" t="str">
        <f aca="false">IF(Q146="","",Q146-R146)</f>
        <v/>
      </c>
      <c r="T146" s="36" t="str">
        <f aca="false">IF(S146="","",MAX(0,-S146))</f>
        <v/>
      </c>
      <c r="U146" s="36" t="str">
        <f aca="false">IF(S146="","",MAX(0,S146))</f>
        <v/>
      </c>
      <c r="V146" s="8" t="str">
        <f aca="false">IF(J146="","NOT SCORED - NO JULY MONTHLY ROW",IF(OR(ABS(L146)&gt;0.005,ABS(O146)&gt;0.005,ABS(S146)&gt;0.005),"EXCEPTION","OK"))</f>
        <v>NOT SCORED - NO JULY MONTHLY ROW</v>
      </c>
      <c r="W146" s="8"/>
      <c r="X146" s="8" t="s">
        <v>2834</v>
      </c>
      <c r="Y146" s="36" t="n">
        <f aca="false">K146*N146</f>
        <v>422.8</v>
      </c>
    </row>
    <row r="147" customFormat="false" ht="20.85" hidden="false" customHeight="false" outlineLevel="0" collapsed="false">
      <c r="A147" s="11" t="s">
        <v>1925</v>
      </c>
      <c r="B147" s="11" t="s">
        <v>207</v>
      </c>
      <c r="C147" s="11" t="s">
        <v>2829</v>
      </c>
      <c r="D147" s="11" t="s">
        <v>3404</v>
      </c>
      <c r="E147" s="11" t="s">
        <v>3405</v>
      </c>
      <c r="F147" s="11" t="s">
        <v>3406</v>
      </c>
      <c r="G147" s="11" t="s">
        <v>3183</v>
      </c>
      <c r="H147" s="11" t="n">
        <v>50</v>
      </c>
      <c r="I147" s="31" t="n">
        <v>52.4</v>
      </c>
      <c r="J147" s="31"/>
      <c r="K147" s="31" t="n">
        <f aca="false">MAX(ROUNDUP(I147,0),H147)</f>
        <v>53</v>
      </c>
      <c r="L147" s="31" t="str">
        <f aca="false">IF(J147="","",J147-K147)</f>
        <v/>
      </c>
      <c r="M147" s="32"/>
      <c r="N147" s="32" t="n">
        <f aca="false">IF(C147="covered",10.4,7.55)</f>
        <v>7.55</v>
      </c>
      <c r="O147" s="32" t="str">
        <f aca="false">IF(M147="","",M147-N147)</f>
        <v/>
      </c>
      <c r="P147" s="11"/>
      <c r="Q147" s="33"/>
      <c r="R147" s="33" t="str">
        <f aca="false">IF(OR(J147="",P147=""),"",K147*N147*P147)</f>
        <v/>
      </c>
      <c r="S147" s="33" t="str">
        <f aca="false">IF(Q147="","",Q147-R147)</f>
        <v/>
      </c>
      <c r="T147" s="33" t="str">
        <f aca="false">IF(S147="","",MAX(0,-S147))</f>
        <v/>
      </c>
      <c r="U147" s="33" t="str">
        <f aca="false">IF(S147="","",MAX(0,S147))</f>
        <v/>
      </c>
      <c r="V147" s="11" t="str">
        <f aca="false">IF(J147="","NOT SCORED - NO JULY MONTHLY ROW",IF(OR(ABS(L147)&gt;0.005,ABS(O147)&gt;0.005,ABS(S147)&gt;0.005),"EXCEPTION","OK"))</f>
        <v>NOT SCORED - NO JULY MONTHLY ROW</v>
      </c>
      <c r="W147" s="11"/>
      <c r="X147" s="11" t="s">
        <v>2834</v>
      </c>
      <c r="Y147" s="33" t="n">
        <f aca="false">K147*N147</f>
        <v>400.15</v>
      </c>
    </row>
    <row r="148" customFormat="false" ht="20.85" hidden="false" customHeight="false" outlineLevel="0" collapsed="false">
      <c r="A148" s="8" t="s">
        <v>1274</v>
      </c>
      <c r="B148" s="8" t="s">
        <v>207</v>
      </c>
      <c r="C148" s="8" t="s">
        <v>2829</v>
      </c>
      <c r="D148" s="8" t="s">
        <v>3407</v>
      </c>
      <c r="E148" s="8" t="s">
        <v>3408</v>
      </c>
      <c r="F148" s="8" t="s">
        <v>3409</v>
      </c>
      <c r="G148" s="8" t="s">
        <v>3410</v>
      </c>
      <c r="H148" s="8" t="n">
        <v>28</v>
      </c>
      <c r="I148" s="34" t="n">
        <v>36.9</v>
      </c>
      <c r="J148" s="34"/>
      <c r="K148" s="34" t="n">
        <f aca="false">MAX(ROUNDUP(I148,0),H148)</f>
        <v>37</v>
      </c>
      <c r="L148" s="34" t="str">
        <f aca="false">IF(J148="","",J148-K148)</f>
        <v/>
      </c>
      <c r="M148" s="35"/>
      <c r="N148" s="35" t="n">
        <f aca="false">IF(C148="covered",10.4,7.55)</f>
        <v>7.55</v>
      </c>
      <c r="O148" s="35" t="str">
        <f aca="false">IF(M148="","",M148-N148)</f>
        <v/>
      </c>
      <c r="P148" s="8"/>
      <c r="Q148" s="36"/>
      <c r="R148" s="36" t="str">
        <f aca="false">IF(OR(J148="",P148=""),"",K148*N148*P148)</f>
        <v/>
      </c>
      <c r="S148" s="36" t="str">
        <f aca="false">IF(Q148="","",Q148-R148)</f>
        <v/>
      </c>
      <c r="T148" s="36" t="str">
        <f aca="false">IF(S148="","",MAX(0,-S148))</f>
        <v/>
      </c>
      <c r="U148" s="36" t="str">
        <f aca="false">IF(S148="","",MAX(0,S148))</f>
        <v/>
      </c>
      <c r="V148" s="8" t="str">
        <f aca="false">IF(J148="","NOT SCORED - NO JULY MONTHLY ROW",IF(OR(ABS(L148)&gt;0.005,ABS(O148)&gt;0.005,ABS(S148)&gt;0.005),"EXCEPTION","OK"))</f>
        <v>NOT SCORED - NO JULY MONTHLY ROW</v>
      </c>
      <c r="W148" s="8"/>
      <c r="X148" s="8" t="s">
        <v>2834</v>
      </c>
      <c r="Y148" s="36" t="n">
        <f aca="false">K148*N148</f>
        <v>279.35</v>
      </c>
    </row>
    <row r="149" customFormat="false" ht="20.85" hidden="false" customHeight="false" outlineLevel="0" collapsed="false">
      <c r="A149" s="11" t="s">
        <v>1072</v>
      </c>
      <c r="B149" s="11" t="s">
        <v>207</v>
      </c>
      <c r="C149" s="11" t="s">
        <v>2829</v>
      </c>
      <c r="D149" s="11" t="s">
        <v>3411</v>
      </c>
      <c r="E149" s="11" t="s">
        <v>3412</v>
      </c>
      <c r="F149" s="11" t="s">
        <v>3413</v>
      </c>
      <c r="G149" s="11" t="s">
        <v>3414</v>
      </c>
      <c r="H149" s="11" t="n">
        <v>40</v>
      </c>
      <c r="I149" s="31" t="n">
        <v>47.8</v>
      </c>
      <c r="J149" s="31"/>
      <c r="K149" s="31" t="n">
        <f aca="false">MAX(ROUNDUP(I149,0),H149)</f>
        <v>48</v>
      </c>
      <c r="L149" s="31" t="str">
        <f aca="false">IF(J149="","",J149-K149)</f>
        <v/>
      </c>
      <c r="M149" s="32"/>
      <c r="N149" s="32" t="n">
        <f aca="false">IF(C149="covered",10.4,7.55)</f>
        <v>7.55</v>
      </c>
      <c r="O149" s="32" t="str">
        <f aca="false">IF(M149="","",M149-N149)</f>
        <v/>
      </c>
      <c r="P149" s="11"/>
      <c r="Q149" s="33"/>
      <c r="R149" s="33" t="str">
        <f aca="false">IF(OR(J149="",P149=""),"",K149*N149*P149)</f>
        <v/>
      </c>
      <c r="S149" s="33" t="str">
        <f aca="false">IF(Q149="","",Q149-R149)</f>
        <v/>
      </c>
      <c r="T149" s="33" t="str">
        <f aca="false">IF(S149="","",MAX(0,-S149))</f>
        <v/>
      </c>
      <c r="U149" s="33" t="str">
        <f aca="false">IF(S149="","",MAX(0,S149))</f>
        <v/>
      </c>
      <c r="V149" s="11" t="str">
        <f aca="false">IF(J149="","NOT SCORED - NO JULY MONTHLY ROW",IF(OR(ABS(L149)&gt;0.005,ABS(O149)&gt;0.005,ABS(S149)&gt;0.005),"EXCEPTION","OK"))</f>
        <v>NOT SCORED - NO JULY MONTHLY ROW</v>
      </c>
      <c r="W149" s="11"/>
      <c r="X149" s="11" t="s">
        <v>2834</v>
      </c>
      <c r="Y149" s="33" t="n">
        <f aca="false">K149*N149</f>
        <v>362.4</v>
      </c>
    </row>
    <row r="150" customFormat="false" ht="20.85" hidden="false" customHeight="false" outlineLevel="0" collapsed="false">
      <c r="A150" s="8" t="s">
        <v>3415</v>
      </c>
      <c r="B150" s="8" t="s">
        <v>207</v>
      </c>
      <c r="C150" s="8" t="s">
        <v>2829</v>
      </c>
      <c r="D150" s="8" t="s">
        <v>3416</v>
      </c>
      <c r="E150" s="8" t="s">
        <v>3417</v>
      </c>
      <c r="F150" s="8" t="s">
        <v>3418</v>
      </c>
      <c r="G150" s="8" t="s">
        <v>3222</v>
      </c>
      <c r="H150" s="8" t="n">
        <v>28</v>
      </c>
      <c r="I150" s="34" t="n">
        <v>34</v>
      </c>
      <c r="J150" s="34"/>
      <c r="K150" s="34" t="n">
        <f aca="false">MAX(ROUNDUP(I150,0),H150)</f>
        <v>34</v>
      </c>
      <c r="L150" s="34" t="str">
        <f aca="false">IF(J150="","",J150-K150)</f>
        <v/>
      </c>
      <c r="M150" s="35"/>
      <c r="N150" s="35" t="n">
        <f aca="false">IF(C150="covered",10.4,7.55)</f>
        <v>7.55</v>
      </c>
      <c r="O150" s="35" t="str">
        <f aca="false">IF(M150="","",M150-N150)</f>
        <v/>
      </c>
      <c r="P150" s="8"/>
      <c r="Q150" s="36"/>
      <c r="R150" s="36" t="str">
        <f aca="false">IF(OR(J150="",P150=""),"",K150*N150*P150)</f>
        <v/>
      </c>
      <c r="S150" s="36" t="str">
        <f aca="false">IF(Q150="","",Q150-R150)</f>
        <v/>
      </c>
      <c r="T150" s="36" t="str">
        <f aca="false">IF(S150="","",MAX(0,-S150))</f>
        <v/>
      </c>
      <c r="U150" s="36" t="str">
        <f aca="false">IF(S150="","",MAX(0,S150))</f>
        <v/>
      </c>
      <c r="V150" s="8" t="str">
        <f aca="false">IF(J150="","NOT SCORED - NO JULY MONTHLY ROW",IF(OR(ABS(L150)&gt;0.005,ABS(O150)&gt;0.005,ABS(S150)&gt;0.005),"EXCEPTION","OK"))</f>
        <v>NOT SCORED - NO JULY MONTHLY ROW</v>
      </c>
      <c r="W150" s="8"/>
      <c r="X150" s="8" t="s">
        <v>2834</v>
      </c>
      <c r="Y150" s="36" t="n">
        <f aca="false">K150*N150</f>
        <v>256.7</v>
      </c>
    </row>
    <row r="151" customFormat="false" ht="20.85" hidden="false" customHeight="false" outlineLevel="0" collapsed="false">
      <c r="A151" s="11" t="s">
        <v>405</v>
      </c>
      <c r="B151" s="11" t="s">
        <v>207</v>
      </c>
      <c r="C151" s="11" t="s">
        <v>2829</v>
      </c>
      <c r="D151" s="11" t="s">
        <v>3419</v>
      </c>
      <c r="E151" s="11" t="s">
        <v>3420</v>
      </c>
      <c r="F151" s="11" t="s">
        <v>3421</v>
      </c>
      <c r="G151" s="11" t="s">
        <v>3422</v>
      </c>
      <c r="H151" s="11" t="n">
        <v>32</v>
      </c>
      <c r="I151" s="31" t="n">
        <v>24.7</v>
      </c>
      <c r="J151" s="31"/>
      <c r="K151" s="31" t="n">
        <f aca="false">MAX(ROUNDUP(I151,0),H151)</f>
        <v>32</v>
      </c>
      <c r="L151" s="31" t="str">
        <f aca="false">IF(J151="","",J151-K151)</f>
        <v/>
      </c>
      <c r="M151" s="32"/>
      <c r="N151" s="32" t="n">
        <f aca="false">IF(C151="covered",10.4,7.55)</f>
        <v>7.55</v>
      </c>
      <c r="O151" s="32" t="str">
        <f aca="false">IF(M151="","",M151-N151)</f>
        <v/>
      </c>
      <c r="P151" s="11"/>
      <c r="Q151" s="33"/>
      <c r="R151" s="33" t="str">
        <f aca="false">IF(OR(J151="",P151=""),"",K151*N151*P151)</f>
        <v/>
      </c>
      <c r="S151" s="33" t="str">
        <f aca="false">IF(Q151="","",Q151-R151)</f>
        <v/>
      </c>
      <c r="T151" s="33" t="str">
        <f aca="false">IF(S151="","",MAX(0,-S151))</f>
        <v/>
      </c>
      <c r="U151" s="33" t="str">
        <f aca="false">IF(S151="","",MAX(0,S151))</f>
        <v/>
      </c>
      <c r="V151" s="11" t="str">
        <f aca="false">IF(J151="","NOT SCORED - NO JULY MONTHLY ROW",IF(OR(ABS(L151)&gt;0.005,ABS(O151)&gt;0.005,ABS(S151)&gt;0.005),"EXCEPTION","OK"))</f>
        <v>NOT SCORED - NO JULY MONTHLY ROW</v>
      </c>
      <c r="W151" s="11"/>
      <c r="X151" s="11" t="s">
        <v>2834</v>
      </c>
      <c r="Y151" s="33" t="n">
        <f aca="false">K151*N151</f>
        <v>241.6</v>
      </c>
    </row>
    <row r="152" customFormat="false" ht="20.85" hidden="false" customHeight="false" outlineLevel="0" collapsed="false">
      <c r="A152" s="8" t="s">
        <v>3423</v>
      </c>
      <c r="B152" s="8" t="s">
        <v>207</v>
      </c>
      <c r="C152" s="8" t="s">
        <v>2829</v>
      </c>
      <c r="D152" s="8" t="s">
        <v>3424</v>
      </c>
      <c r="E152" s="8" t="s">
        <v>2258</v>
      </c>
      <c r="F152" s="8" t="s">
        <v>3425</v>
      </c>
      <c r="G152" s="8" t="s">
        <v>3426</v>
      </c>
      <c r="H152" s="8" t="n">
        <v>28</v>
      </c>
      <c r="I152" s="34" t="n">
        <v>34.6</v>
      </c>
      <c r="J152" s="34"/>
      <c r="K152" s="34" t="n">
        <f aca="false">MAX(ROUNDUP(I152,0),H152)</f>
        <v>35</v>
      </c>
      <c r="L152" s="34" t="str">
        <f aca="false">IF(J152="","",J152-K152)</f>
        <v/>
      </c>
      <c r="M152" s="35"/>
      <c r="N152" s="35" t="n">
        <f aca="false">IF(C152="covered",10.4,7.55)</f>
        <v>7.55</v>
      </c>
      <c r="O152" s="35" t="str">
        <f aca="false">IF(M152="","",M152-N152)</f>
        <v/>
      </c>
      <c r="P152" s="8"/>
      <c r="Q152" s="36"/>
      <c r="R152" s="36" t="str">
        <f aca="false">IF(OR(J152="",P152=""),"",K152*N152*P152)</f>
        <v/>
      </c>
      <c r="S152" s="36" t="str">
        <f aca="false">IF(Q152="","",Q152-R152)</f>
        <v/>
      </c>
      <c r="T152" s="36" t="str">
        <f aca="false">IF(S152="","",MAX(0,-S152))</f>
        <v/>
      </c>
      <c r="U152" s="36" t="str">
        <f aca="false">IF(S152="","",MAX(0,S152))</f>
        <v/>
      </c>
      <c r="V152" s="8" t="str">
        <f aca="false">IF(J152="","NOT SCORED - NO JULY MONTHLY ROW",IF(OR(ABS(L152)&gt;0.005,ABS(O152)&gt;0.005,ABS(S152)&gt;0.005),"EXCEPTION","OK"))</f>
        <v>NOT SCORED - NO JULY MONTHLY ROW</v>
      </c>
      <c r="W152" s="8"/>
      <c r="X152" s="8" t="s">
        <v>2834</v>
      </c>
      <c r="Y152" s="36" t="n">
        <f aca="false">K152*N152</f>
        <v>264.25</v>
      </c>
    </row>
    <row r="153" customFormat="false" ht="20.85" hidden="false" customHeight="false" outlineLevel="0" collapsed="false">
      <c r="A153" s="11" t="s">
        <v>3427</v>
      </c>
      <c r="B153" s="11" t="s">
        <v>207</v>
      </c>
      <c r="C153" s="11" t="s">
        <v>2829</v>
      </c>
      <c r="D153" s="11" t="s">
        <v>3428</v>
      </c>
      <c r="E153" s="11" t="s">
        <v>3429</v>
      </c>
      <c r="F153" s="11" t="s">
        <v>3430</v>
      </c>
      <c r="G153" s="11" t="s">
        <v>3059</v>
      </c>
      <c r="H153" s="11" t="n">
        <v>45</v>
      </c>
      <c r="I153" s="31" t="n">
        <v>30.5</v>
      </c>
      <c r="J153" s="31"/>
      <c r="K153" s="31" t="n">
        <f aca="false">MAX(ROUNDUP(I153,0),H153)</f>
        <v>45</v>
      </c>
      <c r="L153" s="31" t="str">
        <f aca="false">IF(J153="","",J153-K153)</f>
        <v/>
      </c>
      <c r="M153" s="32"/>
      <c r="N153" s="32" t="n">
        <f aca="false">IF(C153="covered",10.4,7.55)</f>
        <v>7.55</v>
      </c>
      <c r="O153" s="32" t="str">
        <f aca="false">IF(M153="","",M153-N153)</f>
        <v/>
      </c>
      <c r="P153" s="11"/>
      <c r="Q153" s="33"/>
      <c r="R153" s="33" t="str">
        <f aca="false">IF(OR(J153="",P153=""),"",K153*N153*P153)</f>
        <v/>
      </c>
      <c r="S153" s="33" t="str">
        <f aca="false">IF(Q153="","",Q153-R153)</f>
        <v/>
      </c>
      <c r="T153" s="33" t="str">
        <f aca="false">IF(S153="","",MAX(0,-S153))</f>
        <v/>
      </c>
      <c r="U153" s="33" t="str">
        <f aca="false">IF(S153="","",MAX(0,S153))</f>
        <v/>
      </c>
      <c r="V153" s="11" t="str">
        <f aca="false">IF(J153="","NOT SCORED - NO JULY MONTHLY ROW",IF(OR(ABS(L153)&gt;0.005,ABS(O153)&gt;0.005,ABS(S153)&gt;0.005),"EXCEPTION","OK"))</f>
        <v>NOT SCORED - NO JULY MONTHLY ROW</v>
      </c>
      <c r="W153" s="11"/>
      <c r="X153" s="11" t="s">
        <v>2834</v>
      </c>
      <c r="Y153" s="33" t="n">
        <f aca="false">K153*N153</f>
        <v>339.75</v>
      </c>
    </row>
    <row r="154" customFormat="false" ht="20.85" hidden="false" customHeight="false" outlineLevel="0" collapsed="false">
      <c r="A154" s="8" t="s">
        <v>3431</v>
      </c>
      <c r="B154" s="8" t="s">
        <v>207</v>
      </c>
      <c r="C154" s="8" t="s">
        <v>2829</v>
      </c>
      <c r="D154" s="8" t="s">
        <v>3432</v>
      </c>
      <c r="E154" s="8" t="s">
        <v>3433</v>
      </c>
      <c r="F154" s="8" t="s">
        <v>3434</v>
      </c>
      <c r="G154" s="8" t="s">
        <v>3435</v>
      </c>
      <c r="H154" s="8" t="n">
        <v>32</v>
      </c>
      <c r="I154" s="34" t="n">
        <v>49.9</v>
      </c>
      <c r="J154" s="34"/>
      <c r="K154" s="34" t="n">
        <f aca="false">MAX(ROUNDUP(I154,0),H154)</f>
        <v>50</v>
      </c>
      <c r="L154" s="34" t="str">
        <f aca="false">IF(J154="","",J154-K154)</f>
        <v/>
      </c>
      <c r="M154" s="35"/>
      <c r="N154" s="35" t="n">
        <f aca="false">IF(C154="covered",10.4,7.55)</f>
        <v>7.55</v>
      </c>
      <c r="O154" s="35" t="str">
        <f aca="false">IF(M154="","",M154-N154)</f>
        <v/>
      </c>
      <c r="P154" s="8"/>
      <c r="Q154" s="36"/>
      <c r="R154" s="36" t="str">
        <f aca="false">IF(OR(J154="",P154=""),"",K154*N154*P154)</f>
        <v/>
      </c>
      <c r="S154" s="36" t="str">
        <f aca="false">IF(Q154="","",Q154-R154)</f>
        <v/>
      </c>
      <c r="T154" s="36" t="str">
        <f aca="false">IF(S154="","",MAX(0,-S154))</f>
        <v/>
      </c>
      <c r="U154" s="36" t="str">
        <f aca="false">IF(S154="","",MAX(0,S154))</f>
        <v/>
      </c>
      <c r="V154" s="8" t="str">
        <f aca="false">IF(J154="","NOT SCORED - NO JULY MONTHLY ROW",IF(OR(ABS(L154)&gt;0.005,ABS(O154)&gt;0.005,ABS(S154)&gt;0.005),"EXCEPTION","OK"))</f>
        <v>NOT SCORED - NO JULY MONTHLY ROW</v>
      </c>
      <c r="W154" s="8"/>
      <c r="X154" s="8" t="s">
        <v>2834</v>
      </c>
      <c r="Y154" s="36" t="n">
        <f aca="false">K154*N154</f>
        <v>377.5</v>
      </c>
    </row>
    <row r="155" customFormat="false" ht="20.85" hidden="false" customHeight="false" outlineLevel="0" collapsed="false">
      <c r="A155" s="11" t="s">
        <v>3436</v>
      </c>
      <c r="B155" s="11" t="s">
        <v>207</v>
      </c>
      <c r="C155" s="11" t="s">
        <v>2829</v>
      </c>
      <c r="D155" s="11" t="s">
        <v>3437</v>
      </c>
      <c r="E155" s="11" t="s">
        <v>3438</v>
      </c>
      <c r="F155" s="11" t="s">
        <v>3439</v>
      </c>
      <c r="G155" s="11" t="s">
        <v>2906</v>
      </c>
      <c r="H155" s="11" t="n">
        <v>36</v>
      </c>
      <c r="I155" s="31" t="n">
        <v>50.7</v>
      </c>
      <c r="J155" s="31"/>
      <c r="K155" s="31" t="n">
        <f aca="false">MAX(ROUNDUP(I155,0),H155)</f>
        <v>51</v>
      </c>
      <c r="L155" s="31" t="str">
        <f aca="false">IF(J155="","",J155-K155)</f>
        <v/>
      </c>
      <c r="M155" s="32"/>
      <c r="N155" s="32" t="n">
        <f aca="false">IF(C155="covered",10.4,7.55)</f>
        <v>7.55</v>
      </c>
      <c r="O155" s="32" t="str">
        <f aca="false">IF(M155="","",M155-N155)</f>
        <v/>
      </c>
      <c r="P155" s="11"/>
      <c r="Q155" s="33"/>
      <c r="R155" s="33" t="str">
        <f aca="false">IF(OR(J155="",P155=""),"",K155*N155*P155)</f>
        <v/>
      </c>
      <c r="S155" s="33" t="str">
        <f aca="false">IF(Q155="","",Q155-R155)</f>
        <v/>
      </c>
      <c r="T155" s="33" t="str">
        <f aca="false">IF(S155="","",MAX(0,-S155))</f>
        <v/>
      </c>
      <c r="U155" s="33" t="str">
        <f aca="false">IF(S155="","",MAX(0,S155))</f>
        <v/>
      </c>
      <c r="V155" s="11" t="str">
        <f aca="false">IF(J155="","NOT SCORED - NO JULY MONTHLY ROW",IF(OR(ABS(L155)&gt;0.005,ABS(O155)&gt;0.005,ABS(S155)&gt;0.005),"EXCEPTION","OK"))</f>
        <v>NOT SCORED - NO JULY MONTHLY ROW</v>
      </c>
      <c r="W155" s="11"/>
      <c r="X155" s="11" t="s">
        <v>2834</v>
      </c>
      <c r="Y155" s="33" t="n">
        <f aca="false">K155*N155</f>
        <v>385.05</v>
      </c>
    </row>
    <row r="156" customFormat="false" ht="20.85" hidden="false" customHeight="false" outlineLevel="0" collapsed="false">
      <c r="A156" s="8" t="s">
        <v>3440</v>
      </c>
      <c r="B156" s="8" t="s">
        <v>207</v>
      </c>
      <c r="C156" s="8" t="s">
        <v>2829</v>
      </c>
      <c r="D156" s="8" t="s">
        <v>3441</v>
      </c>
      <c r="E156" s="8" t="s">
        <v>3442</v>
      </c>
      <c r="F156" s="8" t="s">
        <v>3443</v>
      </c>
      <c r="G156" s="8" t="s">
        <v>2957</v>
      </c>
      <c r="H156" s="8" t="n">
        <v>32</v>
      </c>
      <c r="I156" s="34" t="n">
        <v>21</v>
      </c>
      <c r="J156" s="34"/>
      <c r="K156" s="34" t="n">
        <f aca="false">MAX(ROUNDUP(I156,0),H156)</f>
        <v>32</v>
      </c>
      <c r="L156" s="34" t="str">
        <f aca="false">IF(J156="","",J156-K156)</f>
        <v/>
      </c>
      <c r="M156" s="35"/>
      <c r="N156" s="35" t="n">
        <f aca="false">IF(C156="covered",10.4,7.55)</f>
        <v>7.55</v>
      </c>
      <c r="O156" s="35" t="str">
        <f aca="false">IF(M156="","",M156-N156)</f>
        <v/>
      </c>
      <c r="P156" s="8"/>
      <c r="Q156" s="36"/>
      <c r="R156" s="36" t="str">
        <f aca="false">IF(OR(J156="",P156=""),"",K156*N156*P156)</f>
        <v/>
      </c>
      <c r="S156" s="36" t="str">
        <f aca="false">IF(Q156="","",Q156-R156)</f>
        <v/>
      </c>
      <c r="T156" s="36" t="str">
        <f aca="false">IF(S156="","",MAX(0,-S156))</f>
        <v/>
      </c>
      <c r="U156" s="36" t="str">
        <f aca="false">IF(S156="","",MAX(0,S156))</f>
        <v/>
      </c>
      <c r="V156" s="8" t="str">
        <f aca="false">IF(J156="","NOT SCORED - NO JULY MONTHLY ROW",IF(OR(ABS(L156)&gt;0.005,ABS(O156)&gt;0.005,ABS(S156)&gt;0.005),"EXCEPTION","OK"))</f>
        <v>NOT SCORED - NO JULY MONTHLY ROW</v>
      </c>
      <c r="W156" s="8"/>
      <c r="X156" s="8" t="s">
        <v>2834</v>
      </c>
      <c r="Y156" s="36" t="n">
        <f aca="false">K156*N156</f>
        <v>241.6</v>
      </c>
    </row>
    <row r="157" customFormat="false" ht="20.85" hidden="false" customHeight="false" outlineLevel="0" collapsed="false">
      <c r="A157" s="11" t="s">
        <v>155</v>
      </c>
      <c r="B157" s="11" t="s">
        <v>207</v>
      </c>
      <c r="C157" s="11" t="s">
        <v>2829</v>
      </c>
      <c r="D157" s="11" t="s">
        <v>3444</v>
      </c>
      <c r="E157" s="11" t="s">
        <v>971</v>
      </c>
      <c r="F157" s="11" t="s">
        <v>972</v>
      </c>
      <c r="G157" s="11" t="s">
        <v>3445</v>
      </c>
      <c r="H157" s="11" t="n">
        <v>24</v>
      </c>
      <c r="I157" s="31" t="n">
        <v>19.8</v>
      </c>
      <c r="J157" s="31"/>
      <c r="K157" s="31" t="n">
        <f aca="false">MAX(ROUNDUP(I157,0),H157)</f>
        <v>24</v>
      </c>
      <c r="L157" s="31" t="str">
        <f aca="false">IF(J157="","",J157-K157)</f>
        <v/>
      </c>
      <c r="M157" s="32"/>
      <c r="N157" s="32" t="n">
        <f aca="false">IF(C157="covered",10.4,7.55)</f>
        <v>7.55</v>
      </c>
      <c r="O157" s="32" t="str">
        <f aca="false">IF(M157="","",M157-N157)</f>
        <v/>
      </c>
      <c r="P157" s="11"/>
      <c r="Q157" s="33"/>
      <c r="R157" s="33" t="str">
        <f aca="false">IF(OR(J157="",P157=""),"",K157*N157*P157)</f>
        <v/>
      </c>
      <c r="S157" s="33" t="str">
        <f aca="false">IF(Q157="","",Q157-R157)</f>
        <v/>
      </c>
      <c r="T157" s="33" t="str">
        <f aca="false">IF(S157="","",MAX(0,-S157))</f>
        <v/>
      </c>
      <c r="U157" s="33" t="str">
        <f aca="false">IF(S157="","",MAX(0,S157))</f>
        <v/>
      </c>
      <c r="V157" s="11" t="str">
        <f aca="false">IF(J157="","NOT SCORED - NO JULY MONTHLY ROW",IF(OR(ABS(L157)&gt;0.005,ABS(O157)&gt;0.005,ABS(S157)&gt;0.005),"EXCEPTION","OK"))</f>
        <v>NOT SCORED - NO JULY MONTHLY ROW</v>
      </c>
      <c r="W157" s="11"/>
      <c r="X157" s="11" t="s">
        <v>2834</v>
      </c>
      <c r="Y157" s="33" t="n">
        <f aca="false">K157*N157</f>
        <v>181.2</v>
      </c>
    </row>
    <row r="158" customFormat="false" ht="20.85" hidden="false" customHeight="false" outlineLevel="0" collapsed="false">
      <c r="A158" s="8" t="s">
        <v>3446</v>
      </c>
      <c r="B158" s="8" t="s">
        <v>207</v>
      </c>
      <c r="C158" s="8" t="s">
        <v>2829</v>
      </c>
      <c r="D158" s="8" t="s">
        <v>3447</v>
      </c>
      <c r="E158" s="8" t="s">
        <v>1413</v>
      </c>
      <c r="F158" s="8" t="s">
        <v>1414</v>
      </c>
      <c r="G158" s="8" t="s">
        <v>3448</v>
      </c>
      <c r="H158" s="8" t="n">
        <v>70</v>
      </c>
      <c r="I158" s="34" t="n">
        <v>43.2</v>
      </c>
      <c r="J158" s="34"/>
      <c r="K158" s="34" t="n">
        <f aca="false">MAX(ROUNDUP(I158,0),H158)</f>
        <v>70</v>
      </c>
      <c r="L158" s="34" t="str">
        <f aca="false">IF(J158="","",J158-K158)</f>
        <v/>
      </c>
      <c r="M158" s="35"/>
      <c r="N158" s="35" t="n">
        <f aca="false">IF(C158="covered",10.4,7.55)</f>
        <v>7.55</v>
      </c>
      <c r="O158" s="35" t="str">
        <f aca="false">IF(M158="","",M158-N158)</f>
        <v/>
      </c>
      <c r="P158" s="8"/>
      <c r="Q158" s="36"/>
      <c r="R158" s="36" t="str">
        <f aca="false">IF(OR(J158="",P158=""),"",K158*N158*P158)</f>
        <v/>
      </c>
      <c r="S158" s="36" t="str">
        <f aca="false">IF(Q158="","",Q158-R158)</f>
        <v/>
      </c>
      <c r="T158" s="36" t="str">
        <f aca="false">IF(S158="","",MAX(0,-S158))</f>
        <v/>
      </c>
      <c r="U158" s="36" t="str">
        <f aca="false">IF(S158="","",MAX(0,S158))</f>
        <v/>
      </c>
      <c r="V158" s="8" t="str">
        <f aca="false">IF(J158="","NOT SCORED - NO JULY MONTHLY ROW",IF(OR(ABS(L158)&gt;0.005,ABS(O158)&gt;0.005,ABS(S158)&gt;0.005),"EXCEPTION","OK"))</f>
        <v>NOT SCORED - NO JULY MONTHLY ROW</v>
      </c>
      <c r="W158" s="8"/>
      <c r="X158" s="8" t="s">
        <v>2834</v>
      </c>
      <c r="Y158" s="36" t="n">
        <f aca="false">K158*N158</f>
        <v>528.5</v>
      </c>
    </row>
    <row r="159" customFormat="false" ht="20.85" hidden="false" customHeight="false" outlineLevel="0" collapsed="false">
      <c r="A159" s="11" t="s">
        <v>3449</v>
      </c>
      <c r="B159" s="11" t="s">
        <v>207</v>
      </c>
      <c r="C159" s="11" t="s">
        <v>2829</v>
      </c>
      <c r="D159" s="11" t="s">
        <v>3450</v>
      </c>
      <c r="E159" s="11" t="s">
        <v>3451</v>
      </c>
      <c r="F159" s="11" t="s">
        <v>3452</v>
      </c>
      <c r="G159" s="11" t="s">
        <v>3453</v>
      </c>
      <c r="H159" s="11" t="n">
        <v>24</v>
      </c>
      <c r="I159" s="31" t="n">
        <v>31.6</v>
      </c>
      <c r="J159" s="31"/>
      <c r="K159" s="31" t="n">
        <f aca="false">MAX(ROUNDUP(I159,0),H159)</f>
        <v>32</v>
      </c>
      <c r="L159" s="31" t="str">
        <f aca="false">IF(J159="","",J159-K159)</f>
        <v/>
      </c>
      <c r="M159" s="32"/>
      <c r="N159" s="32" t="n">
        <f aca="false">IF(C159="covered",10.4,7.55)</f>
        <v>7.55</v>
      </c>
      <c r="O159" s="32" t="str">
        <f aca="false">IF(M159="","",M159-N159)</f>
        <v/>
      </c>
      <c r="P159" s="11"/>
      <c r="Q159" s="33"/>
      <c r="R159" s="33" t="str">
        <f aca="false">IF(OR(J159="",P159=""),"",K159*N159*P159)</f>
        <v/>
      </c>
      <c r="S159" s="33" t="str">
        <f aca="false">IF(Q159="","",Q159-R159)</f>
        <v/>
      </c>
      <c r="T159" s="33" t="str">
        <f aca="false">IF(S159="","",MAX(0,-S159))</f>
        <v/>
      </c>
      <c r="U159" s="33" t="str">
        <f aca="false">IF(S159="","",MAX(0,S159))</f>
        <v/>
      </c>
      <c r="V159" s="11" t="str">
        <f aca="false">IF(J159="","NOT SCORED - NO JULY MONTHLY ROW",IF(OR(ABS(L159)&gt;0.005,ABS(O159)&gt;0.005,ABS(S159)&gt;0.005),"EXCEPTION","OK"))</f>
        <v>NOT SCORED - NO JULY MONTHLY ROW</v>
      </c>
      <c r="W159" s="11"/>
      <c r="X159" s="11" t="s">
        <v>2834</v>
      </c>
      <c r="Y159" s="33" t="n">
        <f aca="false">K159*N159</f>
        <v>241.6</v>
      </c>
    </row>
    <row r="160" customFormat="false" ht="20.85" hidden="false" customHeight="false" outlineLevel="0" collapsed="false">
      <c r="A160" s="8" t="s">
        <v>3454</v>
      </c>
      <c r="B160" s="8" t="s">
        <v>207</v>
      </c>
      <c r="C160" s="8" t="s">
        <v>2829</v>
      </c>
      <c r="D160" s="8" t="s">
        <v>3455</v>
      </c>
      <c r="E160" s="8" t="s">
        <v>3456</v>
      </c>
      <c r="F160" s="8" t="s">
        <v>3457</v>
      </c>
      <c r="G160" s="8" t="s">
        <v>3458</v>
      </c>
      <c r="H160" s="8" t="n">
        <v>60</v>
      </c>
      <c r="I160" s="34" t="n">
        <v>52.3</v>
      </c>
      <c r="J160" s="34"/>
      <c r="K160" s="34" t="n">
        <f aca="false">MAX(ROUNDUP(I160,0),H160)</f>
        <v>60</v>
      </c>
      <c r="L160" s="34" t="str">
        <f aca="false">IF(J160="","",J160-K160)</f>
        <v/>
      </c>
      <c r="M160" s="35"/>
      <c r="N160" s="35" t="n">
        <f aca="false">IF(C160="covered",10.4,7.55)</f>
        <v>7.55</v>
      </c>
      <c r="O160" s="35" t="str">
        <f aca="false">IF(M160="","",M160-N160)</f>
        <v/>
      </c>
      <c r="P160" s="8"/>
      <c r="Q160" s="36"/>
      <c r="R160" s="36" t="str">
        <f aca="false">IF(OR(J160="",P160=""),"",K160*N160*P160)</f>
        <v/>
      </c>
      <c r="S160" s="36" t="str">
        <f aca="false">IF(Q160="","",Q160-R160)</f>
        <v/>
      </c>
      <c r="T160" s="36" t="str">
        <f aca="false">IF(S160="","",MAX(0,-S160))</f>
        <v/>
      </c>
      <c r="U160" s="36" t="str">
        <f aca="false">IF(S160="","",MAX(0,S160))</f>
        <v/>
      </c>
      <c r="V160" s="8" t="str">
        <f aca="false">IF(J160="","NOT SCORED - NO JULY MONTHLY ROW",IF(OR(ABS(L160)&gt;0.005,ABS(O160)&gt;0.005,ABS(S160)&gt;0.005),"EXCEPTION","OK"))</f>
        <v>NOT SCORED - NO JULY MONTHLY ROW</v>
      </c>
      <c r="W160" s="8"/>
      <c r="X160" s="8" t="s">
        <v>2834</v>
      </c>
      <c r="Y160" s="36" t="n">
        <f aca="false">K160*N160</f>
        <v>453</v>
      </c>
    </row>
    <row r="161" customFormat="false" ht="20.85" hidden="false" customHeight="false" outlineLevel="0" collapsed="false">
      <c r="A161" s="11" t="s">
        <v>3459</v>
      </c>
      <c r="B161" s="11" t="s">
        <v>207</v>
      </c>
      <c r="C161" s="11" t="s">
        <v>2829</v>
      </c>
      <c r="D161" s="11" t="s">
        <v>3460</v>
      </c>
      <c r="E161" s="11" t="s">
        <v>3461</v>
      </c>
      <c r="F161" s="11" t="s">
        <v>3462</v>
      </c>
      <c r="G161" s="11" t="s">
        <v>3463</v>
      </c>
      <c r="H161" s="11" t="n">
        <v>32</v>
      </c>
      <c r="I161" s="31" t="n">
        <v>27.8</v>
      </c>
      <c r="J161" s="31"/>
      <c r="K161" s="31" t="n">
        <f aca="false">MAX(ROUNDUP(I161,0),H161)</f>
        <v>32</v>
      </c>
      <c r="L161" s="31" t="str">
        <f aca="false">IF(J161="","",J161-K161)</f>
        <v/>
      </c>
      <c r="M161" s="32"/>
      <c r="N161" s="32" t="n">
        <f aca="false">IF(C161="covered",10.4,7.55)</f>
        <v>7.55</v>
      </c>
      <c r="O161" s="32" t="str">
        <f aca="false">IF(M161="","",M161-N161)</f>
        <v/>
      </c>
      <c r="P161" s="11"/>
      <c r="Q161" s="33"/>
      <c r="R161" s="33" t="str">
        <f aca="false">IF(OR(J161="",P161=""),"",K161*N161*P161)</f>
        <v/>
      </c>
      <c r="S161" s="33" t="str">
        <f aca="false">IF(Q161="","",Q161-R161)</f>
        <v/>
      </c>
      <c r="T161" s="33" t="str">
        <f aca="false">IF(S161="","",MAX(0,-S161))</f>
        <v/>
      </c>
      <c r="U161" s="33" t="str">
        <f aca="false">IF(S161="","",MAX(0,S161))</f>
        <v/>
      </c>
      <c r="V161" s="11" t="str">
        <f aca="false">IF(J161="","NOT SCORED - NO JULY MONTHLY ROW",IF(OR(ABS(L161)&gt;0.005,ABS(O161)&gt;0.005,ABS(S161)&gt;0.005),"EXCEPTION","OK"))</f>
        <v>NOT SCORED - NO JULY MONTHLY ROW</v>
      </c>
      <c r="W161" s="11"/>
      <c r="X161" s="11" t="s">
        <v>2834</v>
      </c>
      <c r="Y161" s="33" t="n">
        <f aca="false">K161*N161</f>
        <v>241.6</v>
      </c>
    </row>
    <row r="162" customFormat="false" ht="20.85" hidden="false" customHeight="false" outlineLevel="0" collapsed="false">
      <c r="A162" s="8" t="s">
        <v>80</v>
      </c>
      <c r="B162" s="8" t="s">
        <v>207</v>
      </c>
      <c r="C162" s="8" t="s">
        <v>2829</v>
      </c>
      <c r="D162" s="8" t="s">
        <v>3464</v>
      </c>
      <c r="E162" s="8" t="s">
        <v>3465</v>
      </c>
      <c r="F162" s="8" t="s">
        <v>3466</v>
      </c>
      <c r="G162" s="8" t="s">
        <v>3467</v>
      </c>
      <c r="H162" s="8" t="n">
        <v>40</v>
      </c>
      <c r="I162" s="34" t="n">
        <v>57.3</v>
      </c>
      <c r="J162" s="34"/>
      <c r="K162" s="34" t="n">
        <f aca="false">MAX(ROUNDUP(I162,0),H162)</f>
        <v>58</v>
      </c>
      <c r="L162" s="34" t="str">
        <f aca="false">IF(J162="","",J162-K162)</f>
        <v/>
      </c>
      <c r="M162" s="35"/>
      <c r="N162" s="35" t="n">
        <f aca="false">IF(C162="covered",10.4,7.55)</f>
        <v>7.55</v>
      </c>
      <c r="O162" s="35" t="str">
        <f aca="false">IF(M162="","",M162-N162)</f>
        <v/>
      </c>
      <c r="P162" s="8"/>
      <c r="Q162" s="36"/>
      <c r="R162" s="36" t="str">
        <f aca="false">IF(OR(J162="",P162=""),"",K162*N162*P162)</f>
        <v/>
      </c>
      <c r="S162" s="36" t="str">
        <f aca="false">IF(Q162="","",Q162-R162)</f>
        <v/>
      </c>
      <c r="T162" s="36" t="str">
        <f aca="false">IF(S162="","",MAX(0,-S162))</f>
        <v/>
      </c>
      <c r="U162" s="36" t="str">
        <f aca="false">IF(S162="","",MAX(0,S162))</f>
        <v/>
      </c>
      <c r="V162" s="8" t="str">
        <f aca="false">IF(J162="","NOT SCORED - NO JULY MONTHLY ROW",IF(OR(ABS(L162)&gt;0.005,ABS(O162)&gt;0.005,ABS(S162)&gt;0.005),"EXCEPTION","OK"))</f>
        <v>NOT SCORED - NO JULY MONTHLY ROW</v>
      </c>
      <c r="W162" s="8"/>
      <c r="X162" s="8" t="s">
        <v>2834</v>
      </c>
      <c r="Y162" s="36" t="n">
        <f aca="false">K162*N162</f>
        <v>437.9</v>
      </c>
    </row>
    <row r="163" customFormat="false" ht="20.85" hidden="false" customHeight="false" outlineLevel="0" collapsed="false">
      <c r="A163" s="11" t="s">
        <v>3468</v>
      </c>
      <c r="B163" s="11" t="s">
        <v>207</v>
      </c>
      <c r="C163" s="11" t="s">
        <v>2829</v>
      </c>
      <c r="D163" s="11" t="s">
        <v>3469</v>
      </c>
      <c r="E163" s="11" t="s">
        <v>3470</v>
      </c>
      <c r="F163" s="11" t="s">
        <v>3471</v>
      </c>
      <c r="G163" s="11" t="s">
        <v>3472</v>
      </c>
      <c r="H163" s="11" t="n">
        <v>80</v>
      </c>
      <c r="I163" s="31" t="n">
        <v>53.4</v>
      </c>
      <c r="J163" s="31"/>
      <c r="K163" s="31" t="n">
        <f aca="false">MAX(ROUNDUP(I163,0),H163)</f>
        <v>80</v>
      </c>
      <c r="L163" s="31" t="str">
        <f aca="false">IF(J163="","",J163-K163)</f>
        <v/>
      </c>
      <c r="M163" s="32"/>
      <c r="N163" s="32" t="n">
        <f aca="false">IF(C163="covered",10.4,7.55)</f>
        <v>7.55</v>
      </c>
      <c r="O163" s="32" t="str">
        <f aca="false">IF(M163="","",M163-N163)</f>
        <v/>
      </c>
      <c r="P163" s="11"/>
      <c r="Q163" s="33"/>
      <c r="R163" s="33" t="str">
        <f aca="false">IF(OR(J163="",P163=""),"",K163*N163*P163)</f>
        <v/>
      </c>
      <c r="S163" s="33" t="str">
        <f aca="false">IF(Q163="","",Q163-R163)</f>
        <v/>
      </c>
      <c r="T163" s="33" t="str">
        <f aca="false">IF(S163="","",MAX(0,-S163))</f>
        <v/>
      </c>
      <c r="U163" s="33" t="str">
        <f aca="false">IF(S163="","",MAX(0,S163))</f>
        <v/>
      </c>
      <c r="V163" s="11" t="str">
        <f aca="false">IF(J163="","NOT SCORED - NO JULY MONTHLY ROW",IF(OR(ABS(L163)&gt;0.005,ABS(O163)&gt;0.005,ABS(S163)&gt;0.005),"EXCEPTION","OK"))</f>
        <v>NOT SCORED - NO JULY MONTHLY ROW</v>
      </c>
      <c r="W163" s="11"/>
      <c r="X163" s="11" t="s">
        <v>2834</v>
      </c>
      <c r="Y163" s="33" t="n">
        <f aca="false">K163*N163</f>
        <v>604</v>
      </c>
    </row>
    <row r="164" customFormat="false" ht="20.85" hidden="false" customHeight="false" outlineLevel="0" collapsed="false">
      <c r="A164" s="8" t="s">
        <v>3473</v>
      </c>
      <c r="B164" s="8" t="s">
        <v>207</v>
      </c>
      <c r="C164" s="8" t="s">
        <v>2829</v>
      </c>
      <c r="D164" s="8" t="s">
        <v>3474</v>
      </c>
      <c r="E164" s="8" t="s">
        <v>3475</v>
      </c>
      <c r="F164" s="8" t="s">
        <v>3476</v>
      </c>
      <c r="G164" s="8" t="s">
        <v>3308</v>
      </c>
      <c r="H164" s="8" t="n">
        <v>24</v>
      </c>
      <c r="I164" s="34" t="n">
        <v>23.5</v>
      </c>
      <c r="J164" s="34"/>
      <c r="K164" s="34" t="n">
        <f aca="false">MAX(ROUNDUP(I164,0),H164)</f>
        <v>24</v>
      </c>
      <c r="L164" s="34" t="str">
        <f aca="false">IF(J164="","",J164-K164)</f>
        <v/>
      </c>
      <c r="M164" s="35"/>
      <c r="N164" s="35" t="n">
        <f aca="false">IF(C164="covered",10.4,7.55)</f>
        <v>7.55</v>
      </c>
      <c r="O164" s="35" t="str">
        <f aca="false">IF(M164="","",M164-N164)</f>
        <v/>
      </c>
      <c r="P164" s="8"/>
      <c r="Q164" s="36"/>
      <c r="R164" s="36" t="str">
        <f aca="false">IF(OR(J164="",P164=""),"",K164*N164*P164)</f>
        <v/>
      </c>
      <c r="S164" s="36" t="str">
        <f aca="false">IF(Q164="","",Q164-R164)</f>
        <v/>
      </c>
      <c r="T164" s="36" t="str">
        <f aca="false">IF(S164="","",MAX(0,-S164))</f>
        <v/>
      </c>
      <c r="U164" s="36" t="str">
        <f aca="false">IF(S164="","",MAX(0,S164))</f>
        <v/>
      </c>
      <c r="V164" s="8" t="str">
        <f aca="false">IF(J164="","NOT SCORED - NO JULY MONTHLY ROW",IF(OR(ABS(L164)&gt;0.005,ABS(O164)&gt;0.005,ABS(S164)&gt;0.005),"EXCEPTION","OK"))</f>
        <v>NOT SCORED - NO JULY MONTHLY ROW</v>
      </c>
      <c r="W164" s="8"/>
      <c r="X164" s="8" t="s">
        <v>2834</v>
      </c>
      <c r="Y164" s="36" t="n">
        <f aca="false">K164*N164</f>
        <v>181.2</v>
      </c>
    </row>
    <row r="165" customFormat="false" ht="20.85" hidden="false" customHeight="false" outlineLevel="0" collapsed="false">
      <c r="A165" s="11" t="s">
        <v>3477</v>
      </c>
      <c r="B165" s="11" t="s">
        <v>207</v>
      </c>
      <c r="C165" s="11" t="s">
        <v>2829</v>
      </c>
      <c r="D165" s="11" t="s">
        <v>3478</v>
      </c>
      <c r="E165" s="11" t="s">
        <v>3479</v>
      </c>
      <c r="F165" s="11" t="s">
        <v>3480</v>
      </c>
      <c r="G165" s="11" t="s">
        <v>3046</v>
      </c>
      <c r="H165" s="11" t="n">
        <v>32</v>
      </c>
      <c r="I165" s="31" t="n">
        <v>39.8</v>
      </c>
      <c r="J165" s="31"/>
      <c r="K165" s="31" t="n">
        <f aca="false">MAX(ROUNDUP(I165,0),H165)</f>
        <v>40</v>
      </c>
      <c r="L165" s="31" t="str">
        <f aca="false">IF(J165="","",J165-K165)</f>
        <v/>
      </c>
      <c r="M165" s="32"/>
      <c r="N165" s="32" t="n">
        <f aca="false">IF(C165="covered",10.4,7.55)</f>
        <v>7.55</v>
      </c>
      <c r="O165" s="32" t="str">
        <f aca="false">IF(M165="","",M165-N165)</f>
        <v/>
      </c>
      <c r="P165" s="11"/>
      <c r="Q165" s="33"/>
      <c r="R165" s="33" t="str">
        <f aca="false">IF(OR(J165="",P165=""),"",K165*N165*P165)</f>
        <v/>
      </c>
      <c r="S165" s="33" t="str">
        <f aca="false">IF(Q165="","",Q165-R165)</f>
        <v/>
      </c>
      <c r="T165" s="33" t="str">
        <f aca="false">IF(S165="","",MAX(0,-S165))</f>
        <v/>
      </c>
      <c r="U165" s="33" t="str">
        <f aca="false">IF(S165="","",MAX(0,S165))</f>
        <v/>
      </c>
      <c r="V165" s="11" t="str">
        <f aca="false">IF(J165="","NOT SCORED - NO JULY MONTHLY ROW",IF(OR(ABS(L165)&gt;0.005,ABS(O165)&gt;0.005,ABS(S165)&gt;0.005),"EXCEPTION","OK"))</f>
        <v>NOT SCORED - NO JULY MONTHLY ROW</v>
      </c>
      <c r="W165" s="11"/>
      <c r="X165" s="11" t="s">
        <v>2834</v>
      </c>
      <c r="Y165" s="33" t="n">
        <f aca="false">K165*N165</f>
        <v>302</v>
      </c>
    </row>
    <row r="166" customFormat="false" ht="20.85" hidden="false" customHeight="false" outlineLevel="0" collapsed="false">
      <c r="A166" s="8" t="s">
        <v>3481</v>
      </c>
      <c r="B166" s="8" t="s">
        <v>207</v>
      </c>
      <c r="C166" s="8" t="s">
        <v>2829</v>
      </c>
      <c r="D166" s="8" t="s">
        <v>3482</v>
      </c>
      <c r="E166" s="8" t="s">
        <v>3483</v>
      </c>
      <c r="F166" s="8" t="s">
        <v>3484</v>
      </c>
      <c r="G166" s="8" t="s">
        <v>3485</v>
      </c>
      <c r="H166" s="8" t="n">
        <v>80</v>
      </c>
      <c r="I166" s="34" t="n">
        <v>57.9</v>
      </c>
      <c r="J166" s="34"/>
      <c r="K166" s="34" t="n">
        <f aca="false">MAX(ROUNDUP(I166,0),H166)</f>
        <v>80</v>
      </c>
      <c r="L166" s="34" t="str">
        <f aca="false">IF(J166="","",J166-K166)</f>
        <v/>
      </c>
      <c r="M166" s="35"/>
      <c r="N166" s="35" t="n">
        <f aca="false">IF(C166="covered",10.4,7.55)</f>
        <v>7.55</v>
      </c>
      <c r="O166" s="35" t="str">
        <f aca="false">IF(M166="","",M166-N166)</f>
        <v/>
      </c>
      <c r="P166" s="8"/>
      <c r="Q166" s="36"/>
      <c r="R166" s="36" t="str">
        <f aca="false">IF(OR(J166="",P166=""),"",K166*N166*P166)</f>
        <v/>
      </c>
      <c r="S166" s="36" t="str">
        <f aca="false">IF(Q166="","",Q166-R166)</f>
        <v/>
      </c>
      <c r="T166" s="36" t="str">
        <f aca="false">IF(S166="","",MAX(0,-S166))</f>
        <v/>
      </c>
      <c r="U166" s="36" t="str">
        <f aca="false">IF(S166="","",MAX(0,S166))</f>
        <v/>
      </c>
      <c r="V166" s="8" t="str">
        <f aca="false">IF(J166="","NOT SCORED - NO JULY MONTHLY ROW",IF(OR(ABS(L166)&gt;0.005,ABS(O166)&gt;0.005,ABS(S166)&gt;0.005),"EXCEPTION","OK"))</f>
        <v>NOT SCORED - NO JULY MONTHLY ROW</v>
      </c>
      <c r="W166" s="8"/>
      <c r="X166" s="8" t="s">
        <v>2834</v>
      </c>
      <c r="Y166" s="36" t="n">
        <f aca="false">K166*N166</f>
        <v>604</v>
      </c>
    </row>
    <row r="167" customFormat="false" ht="20.85" hidden="false" customHeight="false" outlineLevel="0" collapsed="false">
      <c r="A167" s="11" t="s">
        <v>3486</v>
      </c>
      <c r="B167" s="11" t="s">
        <v>207</v>
      </c>
      <c r="C167" s="11" t="s">
        <v>2829</v>
      </c>
      <c r="D167" s="11" t="s">
        <v>3487</v>
      </c>
      <c r="E167" s="11" t="s">
        <v>792</v>
      </c>
      <c r="F167" s="11" t="s">
        <v>793</v>
      </c>
      <c r="G167" s="11" t="s">
        <v>3488</v>
      </c>
      <c r="H167" s="11" t="n">
        <v>32</v>
      </c>
      <c r="I167" s="31" t="n">
        <v>24.6</v>
      </c>
      <c r="J167" s="31"/>
      <c r="K167" s="31" t="n">
        <f aca="false">MAX(ROUNDUP(I167,0),H167)</f>
        <v>32</v>
      </c>
      <c r="L167" s="31" t="str">
        <f aca="false">IF(J167="","",J167-K167)</f>
        <v/>
      </c>
      <c r="M167" s="32"/>
      <c r="N167" s="32" t="n">
        <f aca="false">IF(C167="covered",10.4,7.55)</f>
        <v>7.55</v>
      </c>
      <c r="O167" s="32" t="str">
        <f aca="false">IF(M167="","",M167-N167)</f>
        <v/>
      </c>
      <c r="P167" s="11"/>
      <c r="Q167" s="33"/>
      <c r="R167" s="33" t="str">
        <f aca="false">IF(OR(J167="",P167=""),"",K167*N167*P167)</f>
        <v/>
      </c>
      <c r="S167" s="33" t="str">
        <f aca="false">IF(Q167="","",Q167-R167)</f>
        <v/>
      </c>
      <c r="T167" s="33" t="str">
        <f aca="false">IF(S167="","",MAX(0,-S167))</f>
        <v/>
      </c>
      <c r="U167" s="33" t="str">
        <f aca="false">IF(S167="","",MAX(0,S167))</f>
        <v/>
      </c>
      <c r="V167" s="11" t="str">
        <f aca="false">IF(J167="","NOT SCORED - NO JULY MONTHLY ROW",IF(OR(ABS(L167)&gt;0.005,ABS(O167)&gt;0.005,ABS(S167)&gt;0.005),"EXCEPTION","OK"))</f>
        <v>NOT SCORED - NO JULY MONTHLY ROW</v>
      </c>
      <c r="W167" s="11"/>
      <c r="X167" s="11" t="s">
        <v>2834</v>
      </c>
      <c r="Y167" s="33" t="n">
        <f aca="false">K167*N167</f>
        <v>241.6</v>
      </c>
    </row>
    <row r="168" customFormat="false" ht="20.85" hidden="false" customHeight="false" outlineLevel="0" collapsed="false">
      <c r="A168" s="8" t="s">
        <v>551</v>
      </c>
      <c r="B168" s="8" t="s">
        <v>207</v>
      </c>
      <c r="C168" s="8" t="s">
        <v>2829</v>
      </c>
      <c r="D168" s="8" t="s">
        <v>3489</v>
      </c>
      <c r="E168" s="8" t="s">
        <v>3490</v>
      </c>
      <c r="F168" s="8" t="s">
        <v>3491</v>
      </c>
      <c r="G168" s="8" t="s">
        <v>3492</v>
      </c>
      <c r="H168" s="8" t="n">
        <v>45</v>
      </c>
      <c r="I168" s="34" t="n">
        <v>48.4</v>
      </c>
      <c r="J168" s="34"/>
      <c r="K168" s="34" t="n">
        <f aca="false">MAX(ROUNDUP(I168,0),H168)</f>
        <v>49</v>
      </c>
      <c r="L168" s="34" t="str">
        <f aca="false">IF(J168="","",J168-K168)</f>
        <v/>
      </c>
      <c r="M168" s="35"/>
      <c r="N168" s="35" t="n">
        <f aca="false">IF(C168="covered",10.4,7.55)</f>
        <v>7.55</v>
      </c>
      <c r="O168" s="35" t="str">
        <f aca="false">IF(M168="","",M168-N168)</f>
        <v/>
      </c>
      <c r="P168" s="8"/>
      <c r="Q168" s="36"/>
      <c r="R168" s="36" t="str">
        <f aca="false">IF(OR(J168="",P168=""),"",K168*N168*P168)</f>
        <v/>
      </c>
      <c r="S168" s="36" t="str">
        <f aca="false">IF(Q168="","",Q168-R168)</f>
        <v/>
      </c>
      <c r="T168" s="36" t="str">
        <f aca="false">IF(S168="","",MAX(0,-S168))</f>
        <v/>
      </c>
      <c r="U168" s="36" t="str">
        <f aca="false">IF(S168="","",MAX(0,S168))</f>
        <v/>
      </c>
      <c r="V168" s="8" t="str">
        <f aca="false">IF(J168="","NOT SCORED - NO JULY MONTHLY ROW",IF(OR(ABS(L168)&gt;0.005,ABS(O168)&gt;0.005,ABS(S168)&gt;0.005),"EXCEPTION","OK"))</f>
        <v>NOT SCORED - NO JULY MONTHLY ROW</v>
      </c>
      <c r="W168" s="8"/>
      <c r="X168" s="8" t="s">
        <v>2834</v>
      </c>
      <c r="Y168" s="36" t="n">
        <f aca="false">K168*N168</f>
        <v>369.95</v>
      </c>
    </row>
    <row r="169" customFormat="false" ht="20.85" hidden="false" customHeight="false" outlineLevel="0" collapsed="false">
      <c r="A169" s="11" t="s">
        <v>3493</v>
      </c>
      <c r="B169" s="11" t="s">
        <v>207</v>
      </c>
      <c r="C169" s="11" t="s">
        <v>2829</v>
      </c>
      <c r="D169" s="11" t="s">
        <v>3494</v>
      </c>
      <c r="E169" s="11" t="s">
        <v>3495</v>
      </c>
      <c r="F169" s="11" t="s">
        <v>3496</v>
      </c>
      <c r="G169" s="11" t="s">
        <v>3497</v>
      </c>
      <c r="H169" s="11" t="n">
        <v>32</v>
      </c>
      <c r="I169" s="31" t="n">
        <v>27.3</v>
      </c>
      <c r="J169" s="31"/>
      <c r="K169" s="31" t="n">
        <f aca="false">MAX(ROUNDUP(I169,0),H169)</f>
        <v>32</v>
      </c>
      <c r="L169" s="31" t="str">
        <f aca="false">IF(J169="","",J169-K169)</f>
        <v/>
      </c>
      <c r="M169" s="32"/>
      <c r="N169" s="32" t="n">
        <f aca="false">IF(C169="covered",10.4,7.55)</f>
        <v>7.55</v>
      </c>
      <c r="O169" s="32" t="str">
        <f aca="false">IF(M169="","",M169-N169)</f>
        <v/>
      </c>
      <c r="P169" s="11"/>
      <c r="Q169" s="33"/>
      <c r="R169" s="33" t="str">
        <f aca="false">IF(OR(J169="",P169=""),"",K169*N169*P169)</f>
        <v/>
      </c>
      <c r="S169" s="33" t="str">
        <f aca="false">IF(Q169="","",Q169-R169)</f>
        <v/>
      </c>
      <c r="T169" s="33" t="str">
        <f aca="false">IF(S169="","",MAX(0,-S169))</f>
        <v/>
      </c>
      <c r="U169" s="33" t="str">
        <f aca="false">IF(S169="","",MAX(0,S169))</f>
        <v/>
      </c>
      <c r="V169" s="11" t="str">
        <f aca="false">IF(J169="","NOT SCORED - NO JULY MONTHLY ROW",IF(OR(ABS(L169)&gt;0.005,ABS(O169)&gt;0.005,ABS(S169)&gt;0.005),"EXCEPTION","OK"))</f>
        <v>NOT SCORED - NO JULY MONTHLY ROW</v>
      </c>
      <c r="W169" s="11"/>
      <c r="X169" s="11" t="s">
        <v>2834</v>
      </c>
      <c r="Y169" s="33" t="n">
        <f aca="false">K169*N169</f>
        <v>241.6</v>
      </c>
    </row>
    <row r="170" customFormat="false" ht="20.85" hidden="false" customHeight="false" outlineLevel="0" collapsed="false">
      <c r="A170" s="8" t="s">
        <v>3498</v>
      </c>
      <c r="B170" s="8" t="s">
        <v>207</v>
      </c>
      <c r="C170" s="8" t="s">
        <v>2829</v>
      </c>
      <c r="D170" s="8" t="s">
        <v>3499</v>
      </c>
      <c r="E170" s="8" t="s">
        <v>115</v>
      </c>
      <c r="F170" s="8" t="s">
        <v>116</v>
      </c>
      <c r="G170" s="8" t="s">
        <v>3500</v>
      </c>
      <c r="H170" s="8" t="n">
        <v>24</v>
      </c>
      <c r="I170" s="34" t="n">
        <v>46</v>
      </c>
      <c r="J170" s="34"/>
      <c r="K170" s="34" t="n">
        <f aca="false">MAX(ROUNDUP(I170,0),H170)</f>
        <v>46</v>
      </c>
      <c r="L170" s="34" t="str">
        <f aca="false">IF(J170="","",J170-K170)</f>
        <v/>
      </c>
      <c r="M170" s="35"/>
      <c r="N170" s="35" t="n">
        <f aca="false">IF(C170="covered",10.4,7.55)</f>
        <v>7.55</v>
      </c>
      <c r="O170" s="35" t="str">
        <f aca="false">IF(M170="","",M170-N170)</f>
        <v/>
      </c>
      <c r="P170" s="8"/>
      <c r="Q170" s="36"/>
      <c r="R170" s="36" t="str">
        <f aca="false">IF(OR(J170="",P170=""),"",K170*N170*P170)</f>
        <v/>
      </c>
      <c r="S170" s="36" t="str">
        <f aca="false">IF(Q170="","",Q170-R170)</f>
        <v/>
      </c>
      <c r="T170" s="36" t="str">
        <f aca="false">IF(S170="","",MAX(0,-S170))</f>
        <v/>
      </c>
      <c r="U170" s="36" t="str">
        <f aca="false">IF(S170="","",MAX(0,S170))</f>
        <v/>
      </c>
      <c r="V170" s="8" t="str">
        <f aca="false">IF(J170="","NOT SCORED - NO JULY MONTHLY ROW",IF(OR(ABS(L170)&gt;0.005,ABS(O170)&gt;0.005,ABS(S170)&gt;0.005),"EXCEPTION","OK"))</f>
        <v>NOT SCORED - NO JULY MONTHLY ROW</v>
      </c>
      <c r="W170" s="8"/>
      <c r="X170" s="8" t="s">
        <v>2834</v>
      </c>
      <c r="Y170" s="36" t="n">
        <f aca="false">K170*N170</f>
        <v>347.3</v>
      </c>
    </row>
    <row r="171" customFormat="false" ht="20.85" hidden="false" customHeight="false" outlineLevel="0" collapsed="false">
      <c r="A171" s="11" t="s">
        <v>3501</v>
      </c>
      <c r="B171" s="11" t="s">
        <v>207</v>
      </c>
      <c r="C171" s="11" t="s">
        <v>2829</v>
      </c>
      <c r="D171" s="11" t="s">
        <v>3502</v>
      </c>
      <c r="E171" s="11" t="s">
        <v>3503</v>
      </c>
      <c r="F171" s="11" t="s">
        <v>3504</v>
      </c>
      <c r="G171" s="11" t="s">
        <v>2919</v>
      </c>
      <c r="H171" s="11" t="n">
        <v>24</v>
      </c>
      <c r="I171" s="31" t="n">
        <v>27.6</v>
      </c>
      <c r="J171" s="31"/>
      <c r="K171" s="31" t="n">
        <f aca="false">MAX(ROUNDUP(I171,0),H171)</f>
        <v>28</v>
      </c>
      <c r="L171" s="31" t="str">
        <f aca="false">IF(J171="","",J171-K171)</f>
        <v/>
      </c>
      <c r="M171" s="32"/>
      <c r="N171" s="32" t="n">
        <f aca="false">IF(C171="covered",10.4,7.55)</f>
        <v>7.55</v>
      </c>
      <c r="O171" s="32" t="str">
        <f aca="false">IF(M171="","",M171-N171)</f>
        <v/>
      </c>
      <c r="P171" s="11"/>
      <c r="Q171" s="33"/>
      <c r="R171" s="33" t="str">
        <f aca="false">IF(OR(J171="",P171=""),"",K171*N171*P171)</f>
        <v/>
      </c>
      <c r="S171" s="33" t="str">
        <f aca="false">IF(Q171="","",Q171-R171)</f>
        <v/>
      </c>
      <c r="T171" s="33" t="str">
        <f aca="false">IF(S171="","",MAX(0,-S171))</f>
        <v/>
      </c>
      <c r="U171" s="33" t="str">
        <f aca="false">IF(S171="","",MAX(0,S171))</f>
        <v/>
      </c>
      <c r="V171" s="11" t="str">
        <f aca="false">IF(J171="","NOT SCORED - NO JULY MONTHLY ROW",IF(OR(ABS(L171)&gt;0.005,ABS(O171)&gt;0.005,ABS(S171)&gt;0.005),"EXCEPTION","OK"))</f>
        <v>NOT SCORED - NO JULY MONTHLY ROW</v>
      </c>
      <c r="W171" s="11"/>
      <c r="X171" s="11" t="s">
        <v>2834</v>
      </c>
      <c r="Y171" s="33" t="n">
        <f aca="false">K171*N171</f>
        <v>211.4</v>
      </c>
    </row>
    <row r="172" customFormat="false" ht="20.85" hidden="false" customHeight="false" outlineLevel="0" collapsed="false">
      <c r="A172" s="8" t="s">
        <v>721</v>
      </c>
      <c r="B172" s="8" t="s">
        <v>207</v>
      </c>
      <c r="C172" s="8" t="s">
        <v>2829</v>
      </c>
      <c r="D172" s="8" t="s">
        <v>3505</v>
      </c>
      <c r="E172" s="8" t="s">
        <v>2739</v>
      </c>
      <c r="F172" s="8" t="s">
        <v>3506</v>
      </c>
      <c r="G172" s="8" t="s">
        <v>3507</v>
      </c>
      <c r="H172" s="8" t="n">
        <v>24</v>
      </c>
      <c r="I172" s="34" t="n">
        <v>46.5</v>
      </c>
      <c r="J172" s="34"/>
      <c r="K172" s="34" t="n">
        <f aca="false">MAX(ROUNDUP(I172,0),H172)</f>
        <v>47</v>
      </c>
      <c r="L172" s="34" t="str">
        <f aca="false">IF(J172="","",J172-K172)</f>
        <v/>
      </c>
      <c r="M172" s="35"/>
      <c r="N172" s="35" t="n">
        <f aca="false">IF(C172="covered",10.4,7.55)</f>
        <v>7.55</v>
      </c>
      <c r="O172" s="35" t="str">
        <f aca="false">IF(M172="","",M172-N172)</f>
        <v/>
      </c>
      <c r="P172" s="8"/>
      <c r="Q172" s="36"/>
      <c r="R172" s="36" t="str">
        <f aca="false">IF(OR(J172="",P172=""),"",K172*N172*P172)</f>
        <v/>
      </c>
      <c r="S172" s="36" t="str">
        <f aca="false">IF(Q172="","",Q172-R172)</f>
        <v/>
      </c>
      <c r="T172" s="36" t="str">
        <f aca="false">IF(S172="","",MAX(0,-S172))</f>
        <v/>
      </c>
      <c r="U172" s="36" t="str">
        <f aca="false">IF(S172="","",MAX(0,S172))</f>
        <v/>
      </c>
      <c r="V172" s="8" t="str">
        <f aca="false">IF(J172="","NOT SCORED - NO JULY MONTHLY ROW",IF(OR(ABS(L172)&gt;0.005,ABS(O172)&gt;0.005,ABS(S172)&gt;0.005),"EXCEPTION","OK"))</f>
        <v>NOT SCORED - NO JULY MONTHLY ROW</v>
      </c>
      <c r="W172" s="8"/>
      <c r="X172" s="8" t="s">
        <v>2834</v>
      </c>
      <c r="Y172" s="36" t="n">
        <f aca="false">K172*N172</f>
        <v>354.85</v>
      </c>
    </row>
    <row r="173" customFormat="false" ht="20.85" hidden="false" customHeight="false" outlineLevel="0" collapsed="false">
      <c r="A173" s="11" t="s">
        <v>109</v>
      </c>
      <c r="B173" s="11" t="s">
        <v>207</v>
      </c>
      <c r="C173" s="11" t="s">
        <v>2829</v>
      </c>
      <c r="D173" s="11" t="s">
        <v>3508</v>
      </c>
      <c r="E173" s="11" t="s">
        <v>3509</v>
      </c>
      <c r="F173" s="11" t="s">
        <v>3510</v>
      </c>
      <c r="G173" s="11" t="s">
        <v>3511</v>
      </c>
      <c r="H173" s="11" t="n">
        <v>24</v>
      </c>
      <c r="I173" s="31" t="n">
        <v>39.1</v>
      </c>
      <c r="J173" s="31"/>
      <c r="K173" s="31" t="n">
        <f aca="false">MAX(ROUNDUP(I173,0),H173)</f>
        <v>40</v>
      </c>
      <c r="L173" s="31" t="str">
        <f aca="false">IF(J173="","",J173-K173)</f>
        <v/>
      </c>
      <c r="M173" s="32"/>
      <c r="N173" s="32" t="n">
        <f aca="false">IF(C173="covered",10.4,7.55)</f>
        <v>7.55</v>
      </c>
      <c r="O173" s="32" t="str">
        <f aca="false">IF(M173="","",M173-N173)</f>
        <v/>
      </c>
      <c r="P173" s="11"/>
      <c r="Q173" s="33"/>
      <c r="R173" s="33" t="str">
        <f aca="false">IF(OR(J173="",P173=""),"",K173*N173*P173)</f>
        <v/>
      </c>
      <c r="S173" s="33" t="str">
        <f aca="false">IF(Q173="","",Q173-R173)</f>
        <v/>
      </c>
      <c r="T173" s="33" t="str">
        <f aca="false">IF(S173="","",MAX(0,-S173))</f>
        <v/>
      </c>
      <c r="U173" s="33" t="str">
        <f aca="false">IF(S173="","",MAX(0,S173))</f>
        <v/>
      </c>
      <c r="V173" s="11" t="str">
        <f aca="false">IF(J173="","NOT SCORED - NO JULY MONTHLY ROW",IF(OR(ABS(L173)&gt;0.005,ABS(O173)&gt;0.005,ABS(S173)&gt;0.005),"EXCEPTION","OK"))</f>
        <v>NOT SCORED - NO JULY MONTHLY ROW</v>
      </c>
      <c r="W173" s="11"/>
      <c r="X173" s="11" t="s">
        <v>2834</v>
      </c>
      <c r="Y173" s="33" t="n">
        <f aca="false">K173*N173</f>
        <v>302</v>
      </c>
    </row>
    <row r="174" customFormat="false" ht="20.85" hidden="false" customHeight="false" outlineLevel="0" collapsed="false">
      <c r="A174" s="8" t="s">
        <v>3512</v>
      </c>
      <c r="B174" s="8" t="s">
        <v>207</v>
      </c>
      <c r="C174" s="8" t="s">
        <v>2829</v>
      </c>
      <c r="D174" s="8" t="s">
        <v>3513</v>
      </c>
      <c r="E174" s="8" t="s">
        <v>3514</v>
      </c>
      <c r="F174" s="8" t="s">
        <v>3515</v>
      </c>
      <c r="G174" s="8" t="s">
        <v>3516</v>
      </c>
      <c r="H174" s="8" t="n">
        <v>45</v>
      </c>
      <c r="I174" s="34" t="n">
        <v>60.3</v>
      </c>
      <c r="J174" s="34"/>
      <c r="K174" s="34" t="n">
        <f aca="false">MAX(ROUNDUP(I174,0),H174)</f>
        <v>61</v>
      </c>
      <c r="L174" s="34" t="str">
        <f aca="false">IF(J174="","",J174-K174)</f>
        <v/>
      </c>
      <c r="M174" s="35"/>
      <c r="N174" s="35" t="n">
        <f aca="false">IF(C174="covered",10.4,7.55)</f>
        <v>7.55</v>
      </c>
      <c r="O174" s="35" t="str">
        <f aca="false">IF(M174="","",M174-N174)</f>
        <v/>
      </c>
      <c r="P174" s="8"/>
      <c r="Q174" s="36"/>
      <c r="R174" s="36" t="str">
        <f aca="false">IF(OR(J174="",P174=""),"",K174*N174*P174)</f>
        <v/>
      </c>
      <c r="S174" s="36" t="str">
        <f aca="false">IF(Q174="","",Q174-R174)</f>
        <v/>
      </c>
      <c r="T174" s="36" t="str">
        <f aca="false">IF(S174="","",MAX(0,-S174))</f>
        <v/>
      </c>
      <c r="U174" s="36" t="str">
        <f aca="false">IF(S174="","",MAX(0,S174))</f>
        <v/>
      </c>
      <c r="V174" s="8" t="str">
        <f aca="false">IF(J174="","NOT SCORED - NO JULY MONTHLY ROW",IF(OR(ABS(L174)&gt;0.005,ABS(O174)&gt;0.005,ABS(S174)&gt;0.005),"EXCEPTION","OK"))</f>
        <v>NOT SCORED - NO JULY MONTHLY ROW</v>
      </c>
      <c r="W174" s="8"/>
      <c r="X174" s="8" t="s">
        <v>2834</v>
      </c>
      <c r="Y174" s="36" t="n">
        <f aca="false">K174*N174</f>
        <v>460.55</v>
      </c>
    </row>
    <row r="175" customFormat="false" ht="20.85" hidden="false" customHeight="false" outlineLevel="0" collapsed="false">
      <c r="A175" s="11" t="s">
        <v>3517</v>
      </c>
      <c r="B175" s="11" t="s">
        <v>207</v>
      </c>
      <c r="C175" s="11" t="s">
        <v>2829</v>
      </c>
      <c r="D175" s="11" t="s">
        <v>3518</v>
      </c>
      <c r="E175" s="11" t="s">
        <v>3519</v>
      </c>
      <c r="F175" s="11" t="s">
        <v>3520</v>
      </c>
      <c r="G175" s="11" t="s">
        <v>3213</v>
      </c>
      <c r="H175" s="11" t="n">
        <v>32</v>
      </c>
      <c r="I175" s="31" t="n">
        <v>58.9</v>
      </c>
      <c r="J175" s="31"/>
      <c r="K175" s="31" t="n">
        <f aca="false">MAX(ROUNDUP(I175,0),H175)</f>
        <v>59</v>
      </c>
      <c r="L175" s="31" t="str">
        <f aca="false">IF(J175="","",J175-K175)</f>
        <v/>
      </c>
      <c r="M175" s="32"/>
      <c r="N175" s="32" t="n">
        <f aca="false">IF(C175="covered",10.4,7.55)</f>
        <v>7.55</v>
      </c>
      <c r="O175" s="32" t="str">
        <f aca="false">IF(M175="","",M175-N175)</f>
        <v/>
      </c>
      <c r="P175" s="11"/>
      <c r="Q175" s="33"/>
      <c r="R175" s="33" t="str">
        <f aca="false">IF(OR(J175="",P175=""),"",K175*N175*P175)</f>
        <v/>
      </c>
      <c r="S175" s="33" t="str">
        <f aca="false">IF(Q175="","",Q175-R175)</f>
        <v/>
      </c>
      <c r="T175" s="33" t="str">
        <f aca="false">IF(S175="","",MAX(0,-S175))</f>
        <v/>
      </c>
      <c r="U175" s="33" t="str">
        <f aca="false">IF(S175="","",MAX(0,S175))</f>
        <v/>
      </c>
      <c r="V175" s="11" t="str">
        <f aca="false">IF(J175="","NOT SCORED - NO JULY MONTHLY ROW",IF(OR(ABS(L175)&gt;0.005,ABS(O175)&gt;0.005,ABS(S175)&gt;0.005),"EXCEPTION","OK"))</f>
        <v>NOT SCORED - NO JULY MONTHLY ROW</v>
      </c>
      <c r="W175" s="11"/>
      <c r="X175" s="11" t="s">
        <v>2834</v>
      </c>
      <c r="Y175" s="33" t="n">
        <f aca="false">K175*N175</f>
        <v>445.45</v>
      </c>
    </row>
    <row r="176" customFormat="false" ht="20.85" hidden="false" customHeight="false" outlineLevel="0" collapsed="false">
      <c r="A176" s="8" t="s">
        <v>1880</v>
      </c>
      <c r="B176" s="8" t="s">
        <v>207</v>
      </c>
      <c r="C176" s="8" t="s">
        <v>2829</v>
      </c>
      <c r="D176" s="8" t="s">
        <v>3521</v>
      </c>
      <c r="E176" s="8" t="s">
        <v>2420</v>
      </c>
      <c r="F176" s="8" t="s">
        <v>3522</v>
      </c>
      <c r="G176" s="8" t="s">
        <v>2877</v>
      </c>
      <c r="H176" s="8" t="n">
        <v>40</v>
      </c>
      <c r="I176" s="34" t="n">
        <v>22.7</v>
      </c>
      <c r="J176" s="34"/>
      <c r="K176" s="34" t="n">
        <f aca="false">MAX(ROUNDUP(I176,0),H176)</f>
        <v>40</v>
      </c>
      <c r="L176" s="34" t="str">
        <f aca="false">IF(J176="","",J176-K176)</f>
        <v/>
      </c>
      <c r="M176" s="35"/>
      <c r="N176" s="35" t="n">
        <f aca="false">IF(C176="covered",10.4,7.55)</f>
        <v>7.55</v>
      </c>
      <c r="O176" s="35" t="str">
        <f aca="false">IF(M176="","",M176-N176)</f>
        <v/>
      </c>
      <c r="P176" s="8"/>
      <c r="Q176" s="36"/>
      <c r="R176" s="36" t="str">
        <f aca="false">IF(OR(J176="",P176=""),"",K176*N176*P176)</f>
        <v/>
      </c>
      <c r="S176" s="36" t="str">
        <f aca="false">IF(Q176="","",Q176-R176)</f>
        <v/>
      </c>
      <c r="T176" s="36" t="str">
        <f aca="false">IF(S176="","",MAX(0,-S176))</f>
        <v/>
      </c>
      <c r="U176" s="36" t="str">
        <f aca="false">IF(S176="","",MAX(0,S176))</f>
        <v/>
      </c>
      <c r="V176" s="8" t="str">
        <f aca="false">IF(J176="","NOT SCORED - NO JULY MONTHLY ROW",IF(OR(ABS(L176)&gt;0.005,ABS(O176)&gt;0.005,ABS(S176)&gt;0.005),"EXCEPTION","OK"))</f>
        <v>NOT SCORED - NO JULY MONTHLY ROW</v>
      </c>
      <c r="W176" s="8"/>
      <c r="X176" s="8" t="s">
        <v>2834</v>
      </c>
      <c r="Y176" s="36" t="n">
        <f aca="false">K176*N176</f>
        <v>302</v>
      </c>
    </row>
    <row r="177" customFormat="false" ht="20.85" hidden="false" customHeight="false" outlineLevel="0" collapsed="false">
      <c r="A177" s="11" t="s">
        <v>1223</v>
      </c>
      <c r="B177" s="11" t="s">
        <v>207</v>
      </c>
      <c r="C177" s="11" t="s">
        <v>2829</v>
      </c>
      <c r="D177" s="11" t="s">
        <v>3523</v>
      </c>
      <c r="E177" s="11" t="s">
        <v>3524</v>
      </c>
      <c r="F177" s="11" t="s">
        <v>3525</v>
      </c>
      <c r="G177" s="11" t="s">
        <v>3526</v>
      </c>
      <c r="H177" s="11" t="n">
        <v>28</v>
      </c>
      <c r="I177" s="31" t="n">
        <v>58.1</v>
      </c>
      <c r="J177" s="31"/>
      <c r="K177" s="31" t="n">
        <f aca="false">MAX(ROUNDUP(I177,0),H177)</f>
        <v>59</v>
      </c>
      <c r="L177" s="31" t="str">
        <f aca="false">IF(J177="","",J177-K177)</f>
        <v/>
      </c>
      <c r="M177" s="32"/>
      <c r="N177" s="32" t="n">
        <f aca="false">IF(C177="covered",10.4,7.55)</f>
        <v>7.55</v>
      </c>
      <c r="O177" s="32" t="str">
        <f aca="false">IF(M177="","",M177-N177)</f>
        <v/>
      </c>
      <c r="P177" s="11"/>
      <c r="Q177" s="33"/>
      <c r="R177" s="33" t="str">
        <f aca="false">IF(OR(J177="",P177=""),"",K177*N177*P177)</f>
        <v/>
      </c>
      <c r="S177" s="33" t="str">
        <f aca="false">IF(Q177="","",Q177-R177)</f>
        <v/>
      </c>
      <c r="T177" s="33" t="str">
        <f aca="false">IF(S177="","",MAX(0,-S177))</f>
        <v/>
      </c>
      <c r="U177" s="33" t="str">
        <f aca="false">IF(S177="","",MAX(0,S177))</f>
        <v/>
      </c>
      <c r="V177" s="11" t="str">
        <f aca="false">IF(J177="","NOT SCORED - NO JULY MONTHLY ROW",IF(OR(ABS(L177)&gt;0.005,ABS(O177)&gt;0.005,ABS(S177)&gt;0.005),"EXCEPTION","OK"))</f>
        <v>NOT SCORED - NO JULY MONTHLY ROW</v>
      </c>
      <c r="W177" s="11"/>
      <c r="X177" s="11" t="s">
        <v>2834</v>
      </c>
      <c r="Y177" s="33" t="n">
        <f aca="false">K177*N177</f>
        <v>445.45</v>
      </c>
    </row>
    <row r="178" customFormat="false" ht="20.85" hidden="false" customHeight="false" outlineLevel="0" collapsed="false">
      <c r="A178" s="8" t="s">
        <v>3527</v>
      </c>
      <c r="B178" s="8" t="s">
        <v>207</v>
      </c>
      <c r="C178" s="8" t="s">
        <v>2829</v>
      </c>
      <c r="D178" s="8" t="s">
        <v>3528</v>
      </c>
      <c r="E178" s="8" t="s">
        <v>3529</v>
      </c>
      <c r="F178" s="8" t="s">
        <v>3530</v>
      </c>
      <c r="G178" s="8" t="s">
        <v>3064</v>
      </c>
      <c r="H178" s="8" t="n">
        <v>70</v>
      </c>
      <c r="I178" s="34" t="n">
        <v>47.1</v>
      </c>
      <c r="J178" s="34"/>
      <c r="K178" s="34" t="n">
        <f aca="false">MAX(ROUNDUP(I178,0),H178)</f>
        <v>70</v>
      </c>
      <c r="L178" s="34" t="str">
        <f aca="false">IF(J178="","",J178-K178)</f>
        <v/>
      </c>
      <c r="M178" s="35"/>
      <c r="N178" s="35" t="n">
        <f aca="false">IF(C178="covered",10.4,7.55)</f>
        <v>7.55</v>
      </c>
      <c r="O178" s="35" t="str">
        <f aca="false">IF(M178="","",M178-N178)</f>
        <v/>
      </c>
      <c r="P178" s="8"/>
      <c r="Q178" s="36"/>
      <c r="R178" s="36" t="str">
        <f aca="false">IF(OR(J178="",P178=""),"",K178*N178*P178)</f>
        <v/>
      </c>
      <c r="S178" s="36" t="str">
        <f aca="false">IF(Q178="","",Q178-R178)</f>
        <v/>
      </c>
      <c r="T178" s="36" t="str">
        <f aca="false">IF(S178="","",MAX(0,-S178))</f>
        <v/>
      </c>
      <c r="U178" s="36" t="str">
        <f aca="false">IF(S178="","",MAX(0,S178))</f>
        <v/>
      </c>
      <c r="V178" s="8" t="str">
        <f aca="false">IF(J178="","NOT SCORED - NO JULY MONTHLY ROW",IF(OR(ABS(L178)&gt;0.005,ABS(O178)&gt;0.005,ABS(S178)&gt;0.005),"EXCEPTION","OK"))</f>
        <v>NOT SCORED - NO JULY MONTHLY ROW</v>
      </c>
      <c r="W178" s="8"/>
      <c r="X178" s="8" t="s">
        <v>2834</v>
      </c>
      <c r="Y178" s="36" t="n">
        <f aca="false">K178*N178</f>
        <v>528.5</v>
      </c>
    </row>
    <row r="179" customFormat="false" ht="20.85" hidden="false" customHeight="false" outlineLevel="0" collapsed="false">
      <c r="A179" s="11" t="s">
        <v>3531</v>
      </c>
      <c r="B179" s="11" t="s">
        <v>207</v>
      </c>
      <c r="C179" s="11" t="s">
        <v>2829</v>
      </c>
      <c r="D179" s="11" t="s">
        <v>3532</v>
      </c>
      <c r="E179" s="11" t="s">
        <v>3533</v>
      </c>
      <c r="F179" s="11" t="s">
        <v>3534</v>
      </c>
      <c r="G179" s="11" t="s">
        <v>3535</v>
      </c>
      <c r="H179" s="11" t="n">
        <v>28</v>
      </c>
      <c r="I179" s="31" t="n">
        <v>37.5</v>
      </c>
      <c r="J179" s="31"/>
      <c r="K179" s="31" t="n">
        <f aca="false">MAX(ROUNDUP(I179,0),H179)</f>
        <v>38</v>
      </c>
      <c r="L179" s="31" t="str">
        <f aca="false">IF(J179="","",J179-K179)</f>
        <v/>
      </c>
      <c r="M179" s="32"/>
      <c r="N179" s="32" t="n">
        <f aca="false">IF(C179="covered",10.4,7.55)</f>
        <v>7.55</v>
      </c>
      <c r="O179" s="32" t="str">
        <f aca="false">IF(M179="","",M179-N179)</f>
        <v/>
      </c>
      <c r="P179" s="11"/>
      <c r="Q179" s="33"/>
      <c r="R179" s="33" t="str">
        <f aca="false">IF(OR(J179="",P179=""),"",K179*N179*P179)</f>
        <v/>
      </c>
      <c r="S179" s="33" t="str">
        <f aca="false">IF(Q179="","",Q179-R179)</f>
        <v/>
      </c>
      <c r="T179" s="33" t="str">
        <f aca="false">IF(S179="","",MAX(0,-S179))</f>
        <v/>
      </c>
      <c r="U179" s="33" t="str">
        <f aca="false">IF(S179="","",MAX(0,S179))</f>
        <v/>
      </c>
      <c r="V179" s="11" t="str">
        <f aca="false">IF(J179="","NOT SCORED - NO JULY MONTHLY ROW",IF(OR(ABS(L179)&gt;0.005,ABS(O179)&gt;0.005,ABS(S179)&gt;0.005),"EXCEPTION","OK"))</f>
        <v>NOT SCORED - NO JULY MONTHLY ROW</v>
      </c>
      <c r="W179" s="11"/>
      <c r="X179" s="11" t="s">
        <v>2834</v>
      </c>
      <c r="Y179" s="33" t="n">
        <f aca="false">K179*N179</f>
        <v>286.9</v>
      </c>
    </row>
    <row r="180" customFormat="false" ht="20.85" hidden="false" customHeight="false" outlineLevel="0" collapsed="false">
      <c r="A180" s="8" t="s">
        <v>3536</v>
      </c>
      <c r="B180" s="8" t="s">
        <v>207</v>
      </c>
      <c r="C180" s="8" t="s">
        <v>2829</v>
      </c>
      <c r="D180" s="8" t="s">
        <v>3537</v>
      </c>
      <c r="E180" s="8" t="s">
        <v>3538</v>
      </c>
      <c r="F180" s="8" t="s">
        <v>3539</v>
      </c>
      <c r="G180" s="8" t="s">
        <v>3540</v>
      </c>
      <c r="H180" s="8" t="n">
        <v>50</v>
      </c>
      <c r="I180" s="34" t="n">
        <v>44.2</v>
      </c>
      <c r="J180" s="34"/>
      <c r="K180" s="34" t="n">
        <f aca="false">MAX(ROUNDUP(I180,0),H180)</f>
        <v>50</v>
      </c>
      <c r="L180" s="34" t="str">
        <f aca="false">IF(J180="","",J180-K180)</f>
        <v/>
      </c>
      <c r="M180" s="35"/>
      <c r="N180" s="35" t="n">
        <f aca="false">IF(C180="covered",10.4,7.55)</f>
        <v>7.55</v>
      </c>
      <c r="O180" s="35" t="str">
        <f aca="false">IF(M180="","",M180-N180)</f>
        <v/>
      </c>
      <c r="P180" s="8"/>
      <c r="Q180" s="36"/>
      <c r="R180" s="36" t="str">
        <f aca="false">IF(OR(J180="",P180=""),"",K180*N180*P180)</f>
        <v/>
      </c>
      <c r="S180" s="36" t="str">
        <f aca="false">IF(Q180="","",Q180-R180)</f>
        <v/>
      </c>
      <c r="T180" s="36" t="str">
        <f aca="false">IF(S180="","",MAX(0,-S180))</f>
        <v/>
      </c>
      <c r="U180" s="36" t="str">
        <f aca="false">IF(S180="","",MAX(0,S180))</f>
        <v/>
      </c>
      <c r="V180" s="8" t="str">
        <f aca="false">IF(J180="","NOT SCORED - NO JULY MONTHLY ROW",IF(OR(ABS(L180)&gt;0.005,ABS(O180)&gt;0.005,ABS(S180)&gt;0.005),"EXCEPTION","OK"))</f>
        <v>NOT SCORED - NO JULY MONTHLY ROW</v>
      </c>
      <c r="W180" s="8"/>
      <c r="X180" s="8" t="s">
        <v>2834</v>
      </c>
      <c r="Y180" s="36" t="n">
        <f aca="false">K180*N180</f>
        <v>377.5</v>
      </c>
    </row>
    <row r="181" customFormat="false" ht="20.85" hidden="false" customHeight="false" outlineLevel="0" collapsed="false">
      <c r="A181" s="11" t="s">
        <v>3541</v>
      </c>
      <c r="B181" s="11" t="s">
        <v>207</v>
      </c>
      <c r="C181" s="11" t="s">
        <v>2829</v>
      </c>
      <c r="D181" s="11" t="s">
        <v>3542</v>
      </c>
      <c r="E181" s="11" t="s">
        <v>2150</v>
      </c>
      <c r="F181" s="11" t="s">
        <v>3543</v>
      </c>
      <c r="G181" s="11" t="s">
        <v>3544</v>
      </c>
      <c r="H181" s="11" t="n">
        <v>50</v>
      </c>
      <c r="I181" s="31" t="n">
        <v>48.8</v>
      </c>
      <c r="J181" s="31"/>
      <c r="K181" s="31" t="n">
        <f aca="false">MAX(ROUNDUP(I181,0),H181)</f>
        <v>50</v>
      </c>
      <c r="L181" s="31" t="str">
        <f aca="false">IF(J181="","",J181-K181)</f>
        <v/>
      </c>
      <c r="M181" s="32"/>
      <c r="N181" s="32" t="n">
        <f aca="false">IF(C181="covered",10.4,7.55)</f>
        <v>7.55</v>
      </c>
      <c r="O181" s="32" t="str">
        <f aca="false">IF(M181="","",M181-N181)</f>
        <v/>
      </c>
      <c r="P181" s="11"/>
      <c r="Q181" s="33"/>
      <c r="R181" s="33" t="str">
        <f aca="false">IF(OR(J181="",P181=""),"",K181*N181*P181)</f>
        <v/>
      </c>
      <c r="S181" s="33" t="str">
        <f aca="false">IF(Q181="","",Q181-R181)</f>
        <v/>
      </c>
      <c r="T181" s="33" t="str">
        <f aca="false">IF(S181="","",MAX(0,-S181))</f>
        <v/>
      </c>
      <c r="U181" s="33" t="str">
        <f aca="false">IF(S181="","",MAX(0,S181))</f>
        <v/>
      </c>
      <c r="V181" s="11" t="str">
        <f aca="false">IF(J181="","NOT SCORED - NO JULY MONTHLY ROW",IF(OR(ABS(L181)&gt;0.005,ABS(O181)&gt;0.005,ABS(S181)&gt;0.005),"EXCEPTION","OK"))</f>
        <v>NOT SCORED - NO JULY MONTHLY ROW</v>
      </c>
      <c r="W181" s="11"/>
      <c r="X181" s="11" t="s">
        <v>2834</v>
      </c>
      <c r="Y181" s="33" t="n">
        <f aca="false">K181*N181</f>
        <v>377.5</v>
      </c>
    </row>
    <row r="182" customFormat="false" ht="20.85" hidden="false" customHeight="false" outlineLevel="0" collapsed="false">
      <c r="A182" s="8" t="s">
        <v>3545</v>
      </c>
      <c r="B182" s="8" t="s">
        <v>207</v>
      </c>
      <c r="C182" s="8" t="s">
        <v>2829</v>
      </c>
      <c r="D182" s="8" t="s">
        <v>3546</v>
      </c>
      <c r="E182" s="8" t="s">
        <v>3547</v>
      </c>
      <c r="F182" s="8" t="s">
        <v>3548</v>
      </c>
      <c r="G182" s="8" t="s">
        <v>3549</v>
      </c>
      <c r="H182" s="8" t="n">
        <v>28</v>
      </c>
      <c r="I182" s="34" t="n">
        <v>51.5</v>
      </c>
      <c r="J182" s="34"/>
      <c r="K182" s="34" t="n">
        <f aca="false">MAX(ROUNDUP(I182,0),H182)</f>
        <v>52</v>
      </c>
      <c r="L182" s="34" t="str">
        <f aca="false">IF(J182="","",J182-K182)</f>
        <v/>
      </c>
      <c r="M182" s="35"/>
      <c r="N182" s="35" t="n">
        <f aca="false">IF(C182="covered",10.4,7.55)</f>
        <v>7.55</v>
      </c>
      <c r="O182" s="35" t="str">
        <f aca="false">IF(M182="","",M182-N182)</f>
        <v/>
      </c>
      <c r="P182" s="8"/>
      <c r="Q182" s="36"/>
      <c r="R182" s="36" t="str">
        <f aca="false">IF(OR(J182="",P182=""),"",K182*N182*P182)</f>
        <v/>
      </c>
      <c r="S182" s="36" t="str">
        <f aca="false">IF(Q182="","",Q182-R182)</f>
        <v/>
      </c>
      <c r="T182" s="36" t="str">
        <f aca="false">IF(S182="","",MAX(0,-S182))</f>
        <v/>
      </c>
      <c r="U182" s="36" t="str">
        <f aca="false">IF(S182="","",MAX(0,S182))</f>
        <v/>
      </c>
      <c r="V182" s="8" t="str">
        <f aca="false">IF(J182="","NOT SCORED - NO JULY MONTHLY ROW",IF(OR(ABS(L182)&gt;0.005,ABS(O182)&gt;0.005,ABS(S182)&gt;0.005),"EXCEPTION","OK"))</f>
        <v>NOT SCORED - NO JULY MONTHLY ROW</v>
      </c>
      <c r="W182" s="8"/>
      <c r="X182" s="8" t="s">
        <v>2834</v>
      </c>
      <c r="Y182" s="36" t="n">
        <f aca="false">K182*N182</f>
        <v>392.6</v>
      </c>
    </row>
    <row r="183" customFormat="false" ht="20.85" hidden="false" customHeight="false" outlineLevel="0" collapsed="false">
      <c r="A183" s="11" t="s">
        <v>3550</v>
      </c>
      <c r="B183" s="11" t="s">
        <v>207</v>
      </c>
      <c r="C183" s="11" t="s">
        <v>2829</v>
      </c>
      <c r="D183" s="11" t="s">
        <v>3551</v>
      </c>
      <c r="E183" s="11" t="s">
        <v>3552</v>
      </c>
      <c r="F183" s="11" t="s">
        <v>3553</v>
      </c>
      <c r="G183" s="11" t="s">
        <v>3097</v>
      </c>
      <c r="H183" s="11" t="n">
        <v>40</v>
      </c>
      <c r="I183" s="31" t="n">
        <v>26.4</v>
      </c>
      <c r="J183" s="31"/>
      <c r="K183" s="31" t="n">
        <f aca="false">MAX(ROUNDUP(I183,0),H183)</f>
        <v>40</v>
      </c>
      <c r="L183" s="31" t="str">
        <f aca="false">IF(J183="","",J183-K183)</f>
        <v/>
      </c>
      <c r="M183" s="32"/>
      <c r="N183" s="32" t="n">
        <f aca="false">IF(C183="covered",10.4,7.55)</f>
        <v>7.55</v>
      </c>
      <c r="O183" s="32" t="str">
        <f aca="false">IF(M183="","",M183-N183)</f>
        <v/>
      </c>
      <c r="P183" s="11"/>
      <c r="Q183" s="33"/>
      <c r="R183" s="33" t="str">
        <f aca="false">IF(OR(J183="",P183=""),"",K183*N183*P183)</f>
        <v/>
      </c>
      <c r="S183" s="33" t="str">
        <f aca="false">IF(Q183="","",Q183-R183)</f>
        <v/>
      </c>
      <c r="T183" s="33" t="str">
        <f aca="false">IF(S183="","",MAX(0,-S183))</f>
        <v/>
      </c>
      <c r="U183" s="33" t="str">
        <f aca="false">IF(S183="","",MAX(0,S183))</f>
        <v/>
      </c>
      <c r="V183" s="11" t="str">
        <f aca="false">IF(J183="","NOT SCORED - NO JULY MONTHLY ROW",IF(OR(ABS(L183)&gt;0.005,ABS(O183)&gt;0.005,ABS(S183)&gt;0.005),"EXCEPTION","OK"))</f>
        <v>NOT SCORED - NO JULY MONTHLY ROW</v>
      </c>
      <c r="W183" s="11"/>
      <c r="X183" s="11" t="s">
        <v>2834</v>
      </c>
      <c r="Y183" s="33" t="n">
        <f aca="false">K183*N183</f>
        <v>302</v>
      </c>
    </row>
    <row r="184" customFormat="false" ht="20.85" hidden="false" customHeight="false" outlineLevel="0" collapsed="false">
      <c r="A184" s="8" t="s">
        <v>1665</v>
      </c>
      <c r="B184" s="8" t="s">
        <v>207</v>
      </c>
      <c r="C184" s="8" t="s">
        <v>2829</v>
      </c>
      <c r="D184" s="8" t="s">
        <v>3554</v>
      </c>
      <c r="E184" s="8" t="s">
        <v>3555</v>
      </c>
      <c r="F184" s="8" t="s">
        <v>3556</v>
      </c>
      <c r="G184" s="8" t="s">
        <v>3458</v>
      </c>
      <c r="H184" s="8" t="n">
        <v>32</v>
      </c>
      <c r="I184" s="34" t="n">
        <v>23.2</v>
      </c>
      <c r="J184" s="34"/>
      <c r="K184" s="34" t="n">
        <f aca="false">MAX(ROUNDUP(I184,0),H184)</f>
        <v>32</v>
      </c>
      <c r="L184" s="34" t="str">
        <f aca="false">IF(J184="","",J184-K184)</f>
        <v/>
      </c>
      <c r="M184" s="35"/>
      <c r="N184" s="35" t="n">
        <f aca="false">IF(C184="covered",10.4,7.55)</f>
        <v>7.55</v>
      </c>
      <c r="O184" s="35" t="str">
        <f aca="false">IF(M184="","",M184-N184)</f>
        <v/>
      </c>
      <c r="P184" s="8"/>
      <c r="Q184" s="36"/>
      <c r="R184" s="36" t="str">
        <f aca="false">IF(OR(J184="",P184=""),"",K184*N184*P184)</f>
        <v/>
      </c>
      <c r="S184" s="36" t="str">
        <f aca="false">IF(Q184="","",Q184-R184)</f>
        <v/>
      </c>
      <c r="T184" s="36" t="str">
        <f aca="false">IF(S184="","",MAX(0,-S184))</f>
        <v/>
      </c>
      <c r="U184" s="36" t="str">
        <f aca="false">IF(S184="","",MAX(0,S184))</f>
        <v/>
      </c>
      <c r="V184" s="8" t="str">
        <f aca="false">IF(J184="","NOT SCORED - NO JULY MONTHLY ROW",IF(OR(ABS(L184)&gt;0.005,ABS(O184)&gt;0.005,ABS(S184)&gt;0.005),"EXCEPTION","OK"))</f>
        <v>NOT SCORED - NO JULY MONTHLY ROW</v>
      </c>
      <c r="W184" s="8"/>
      <c r="X184" s="8" t="s">
        <v>2834</v>
      </c>
      <c r="Y184" s="36" t="n">
        <f aca="false">K184*N184</f>
        <v>241.6</v>
      </c>
    </row>
    <row r="185" customFormat="false" ht="20.85" hidden="false" customHeight="false" outlineLevel="0" collapsed="false">
      <c r="A185" s="11" t="s">
        <v>3557</v>
      </c>
      <c r="B185" s="11" t="s">
        <v>207</v>
      </c>
      <c r="C185" s="11" t="s">
        <v>2829</v>
      </c>
      <c r="D185" s="11" t="s">
        <v>3558</v>
      </c>
      <c r="E185" s="11" t="s">
        <v>3559</v>
      </c>
      <c r="F185" s="11" t="s">
        <v>3560</v>
      </c>
      <c r="G185" s="11" t="s">
        <v>3561</v>
      </c>
      <c r="H185" s="11" t="n">
        <v>80</v>
      </c>
      <c r="I185" s="31" t="n">
        <v>48.6</v>
      </c>
      <c r="J185" s="31"/>
      <c r="K185" s="31" t="n">
        <f aca="false">MAX(ROUNDUP(I185,0),H185)</f>
        <v>80</v>
      </c>
      <c r="L185" s="31" t="str">
        <f aca="false">IF(J185="","",J185-K185)</f>
        <v/>
      </c>
      <c r="M185" s="32"/>
      <c r="N185" s="32" t="n">
        <f aca="false">IF(C185="covered",10.4,7.55)</f>
        <v>7.55</v>
      </c>
      <c r="O185" s="32" t="str">
        <f aca="false">IF(M185="","",M185-N185)</f>
        <v/>
      </c>
      <c r="P185" s="11"/>
      <c r="Q185" s="33"/>
      <c r="R185" s="33" t="str">
        <f aca="false">IF(OR(J185="",P185=""),"",K185*N185*P185)</f>
        <v/>
      </c>
      <c r="S185" s="33" t="str">
        <f aca="false">IF(Q185="","",Q185-R185)</f>
        <v/>
      </c>
      <c r="T185" s="33" t="str">
        <f aca="false">IF(S185="","",MAX(0,-S185))</f>
        <v/>
      </c>
      <c r="U185" s="33" t="str">
        <f aca="false">IF(S185="","",MAX(0,S185))</f>
        <v/>
      </c>
      <c r="V185" s="11" t="str">
        <f aca="false">IF(J185="","NOT SCORED - NO JULY MONTHLY ROW",IF(OR(ABS(L185)&gt;0.005,ABS(O185)&gt;0.005,ABS(S185)&gt;0.005),"EXCEPTION","OK"))</f>
        <v>NOT SCORED - NO JULY MONTHLY ROW</v>
      </c>
      <c r="W185" s="11"/>
      <c r="X185" s="11" t="s">
        <v>2834</v>
      </c>
      <c r="Y185" s="33" t="n">
        <f aca="false">K185*N185</f>
        <v>604</v>
      </c>
    </row>
    <row r="186" customFormat="false" ht="20.85" hidden="false" customHeight="false" outlineLevel="0" collapsed="false">
      <c r="A186" s="8" t="s">
        <v>3562</v>
      </c>
      <c r="B186" s="8" t="s">
        <v>207</v>
      </c>
      <c r="C186" s="8" t="s">
        <v>2829</v>
      </c>
      <c r="D186" s="8" t="s">
        <v>3563</v>
      </c>
      <c r="E186" s="8" t="s">
        <v>3564</v>
      </c>
      <c r="F186" s="8" t="s">
        <v>3565</v>
      </c>
      <c r="G186" s="8" t="s">
        <v>3566</v>
      </c>
      <c r="H186" s="8" t="n">
        <v>32</v>
      </c>
      <c r="I186" s="34" t="n">
        <v>30.9</v>
      </c>
      <c r="J186" s="34"/>
      <c r="K186" s="34" t="n">
        <f aca="false">MAX(ROUNDUP(I186,0),H186)</f>
        <v>32</v>
      </c>
      <c r="L186" s="34" t="str">
        <f aca="false">IF(J186="","",J186-K186)</f>
        <v/>
      </c>
      <c r="M186" s="35"/>
      <c r="N186" s="35" t="n">
        <f aca="false">IF(C186="covered",10.4,7.55)</f>
        <v>7.55</v>
      </c>
      <c r="O186" s="35" t="str">
        <f aca="false">IF(M186="","",M186-N186)</f>
        <v/>
      </c>
      <c r="P186" s="8"/>
      <c r="Q186" s="36"/>
      <c r="R186" s="36" t="str">
        <f aca="false">IF(OR(J186="",P186=""),"",K186*N186*P186)</f>
        <v/>
      </c>
      <c r="S186" s="36" t="str">
        <f aca="false">IF(Q186="","",Q186-R186)</f>
        <v/>
      </c>
      <c r="T186" s="36" t="str">
        <f aca="false">IF(S186="","",MAX(0,-S186))</f>
        <v/>
      </c>
      <c r="U186" s="36" t="str">
        <f aca="false">IF(S186="","",MAX(0,S186))</f>
        <v/>
      </c>
      <c r="V186" s="8" t="str">
        <f aca="false">IF(J186="","NOT SCORED - NO JULY MONTHLY ROW",IF(OR(ABS(L186)&gt;0.005,ABS(O186)&gt;0.005,ABS(S186)&gt;0.005),"EXCEPTION","OK"))</f>
        <v>NOT SCORED - NO JULY MONTHLY ROW</v>
      </c>
      <c r="W186" s="8"/>
      <c r="X186" s="8" t="s">
        <v>2834</v>
      </c>
      <c r="Y186" s="36" t="n">
        <f aca="false">K186*N186</f>
        <v>241.6</v>
      </c>
    </row>
    <row r="187" customFormat="false" ht="20.85" hidden="false" customHeight="false" outlineLevel="0" collapsed="false">
      <c r="A187" s="11" t="s">
        <v>3567</v>
      </c>
      <c r="B187" s="11" t="s">
        <v>207</v>
      </c>
      <c r="C187" s="11" t="s">
        <v>2829</v>
      </c>
      <c r="D187" s="11" t="s">
        <v>3568</v>
      </c>
      <c r="E187" s="11" t="s">
        <v>3569</v>
      </c>
      <c r="F187" s="11" t="s">
        <v>3570</v>
      </c>
      <c r="G187" s="11" t="s">
        <v>3142</v>
      </c>
      <c r="H187" s="11" t="n">
        <v>70</v>
      </c>
      <c r="I187" s="31" t="n">
        <v>57.4</v>
      </c>
      <c r="J187" s="31"/>
      <c r="K187" s="31" t="n">
        <f aca="false">MAX(ROUNDUP(I187,0),H187)</f>
        <v>70</v>
      </c>
      <c r="L187" s="31" t="str">
        <f aca="false">IF(J187="","",J187-K187)</f>
        <v/>
      </c>
      <c r="M187" s="32"/>
      <c r="N187" s="32" t="n">
        <f aca="false">IF(C187="covered",10.4,7.55)</f>
        <v>7.55</v>
      </c>
      <c r="O187" s="32" t="str">
        <f aca="false">IF(M187="","",M187-N187)</f>
        <v/>
      </c>
      <c r="P187" s="11"/>
      <c r="Q187" s="33"/>
      <c r="R187" s="33" t="str">
        <f aca="false">IF(OR(J187="",P187=""),"",K187*N187*P187)</f>
        <v/>
      </c>
      <c r="S187" s="33" t="str">
        <f aca="false">IF(Q187="","",Q187-R187)</f>
        <v/>
      </c>
      <c r="T187" s="33" t="str">
        <f aca="false">IF(S187="","",MAX(0,-S187))</f>
        <v/>
      </c>
      <c r="U187" s="33" t="str">
        <f aca="false">IF(S187="","",MAX(0,S187))</f>
        <v/>
      </c>
      <c r="V187" s="11" t="str">
        <f aca="false">IF(J187="","NOT SCORED - NO JULY MONTHLY ROW",IF(OR(ABS(L187)&gt;0.005,ABS(O187)&gt;0.005,ABS(S187)&gt;0.005),"EXCEPTION","OK"))</f>
        <v>NOT SCORED - NO JULY MONTHLY ROW</v>
      </c>
      <c r="W187" s="11"/>
      <c r="X187" s="11" t="s">
        <v>2834</v>
      </c>
      <c r="Y187" s="33" t="n">
        <f aca="false">K187*N187</f>
        <v>528.5</v>
      </c>
    </row>
    <row r="188" customFormat="false" ht="20.85" hidden="false" customHeight="false" outlineLevel="0" collapsed="false">
      <c r="A188" s="8" t="s">
        <v>1031</v>
      </c>
      <c r="B188" s="8" t="s">
        <v>207</v>
      </c>
      <c r="C188" s="8" t="s">
        <v>2829</v>
      </c>
      <c r="D188" s="8" t="s">
        <v>3571</v>
      </c>
      <c r="E188" s="8" t="s">
        <v>3572</v>
      </c>
      <c r="F188" s="8" t="s">
        <v>3573</v>
      </c>
      <c r="G188" s="8" t="s">
        <v>3222</v>
      </c>
      <c r="H188" s="8" t="n">
        <v>28</v>
      </c>
      <c r="I188" s="34" t="n">
        <v>20.7</v>
      </c>
      <c r="J188" s="34"/>
      <c r="K188" s="34" t="n">
        <f aca="false">MAX(ROUNDUP(I188,0),H188)</f>
        <v>28</v>
      </c>
      <c r="L188" s="34" t="str">
        <f aca="false">IF(J188="","",J188-K188)</f>
        <v/>
      </c>
      <c r="M188" s="35"/>
      <c r="N188" s="35" t="n">
        <f aca="false">IF(C188="covered",10.4,7.55)</f>
        <v>7.55</v>
      </c>
      <c r="O188" s="35" t="str">
        <f aca="false">IF(M188="","",M188-N188)</f>
        <v/>
      </c>
      <c r="P188" s="8"/>
      <c r="Q188" s="36"/>
      <c r="R188" s="36" t="str">
        <f aca="false">IF(OR(J188="",P188=""),"",K188*N188*P188)</f>
        <v/>
      </c>
      <c r="S188" s="36" t="str">
        <f aca="false">IF(Q188="","",Q188-R188)</f>
        <v/>
      </c>
      <c r="T188" s="36" t="str">
        <f aca="false">IF(S188="","",MAX(0,-S188))</f>
        <v/>
      </c>
      <c r="U188" s="36" t="str">
        <f aca="false">IF(S188="","",MAX(0,S188))</f>
        <v/>
      </c>
      <c r="V188" s="8" t="str">
        <f aca="false">IF(J188="","NOT SCORED - NO JULY MONTHLY ROW",IF(OR(ABS(L188)&gt;0.005,ABS(O188)&gt;0.005,ABS(S188)&gt;0.005),"EXCEPTION","OK"))</f>
        <v>NOT SCORED - NO JULY MONTHLY ROW</v>
      </c>
      <c r="W188" s="8"/>
      <c r="X188" s="8" t="s">
        <v>2834</v>
      </c>
      <c r="Y188" s="36" t="n">
        <f aca="false">K188*N188</f>
        <v>211.4</v>
      </c>
    </row>
    <row r="189" customFormat="false" ht="20.85" hidden="false" customHeight="false" outlineLevel="0" collapsed="false">
      <c r="A189" s="11" t="s">
        <v>3574</v>
      </c>
      <c r="B189" s="11" t="s">
        <v>207</v>
      </c>
      <c r="C189" s="11" t="s">
        <v>2829</v>
      </c>
      <c r="D189" s="11" t="s">
        <v>3575</v>
      </c>
      <c r="E189" s="11" t="s">
        <v>3576</v>
      </c>
      <c r="F189" s="11" t="s">
        <v>3577</v>
      </c>
      <c r="G189" s="11" t="s">
        <v>3578</v>
      </c>
      <c r="H189" s="11" t="n">
        <v>24</v>
      </c>
      <c r="I189" s="31" t="n">
        <v>30</v>
      </c>
      <c r="J189" s="31"/>
      <c r="K189" s="31" t="n">
        <f aca="false">MAX(ROUNDUP(I189,0),H189)</f>
        <v>30</v>
      </c>
      <c r="L189" s="31" t="str">
        <f aca="false">IF(J189="","",J189-K189)</f>
        <v/>
      </c>
      <c r="M189" s="32"/>
      <c r="N189" s="32" t="n">
        <f aca="false">IF(C189="covered",10.4,7.55)</f>
        <v>7.55</v>
      </c>
      <c r="O189" s="32" t="str">
        <f aca="false">IF(M189="","",M189-N189)</f>
        <v/>
      </c>
      <c r="P189" s="11"/>
      <c r="Q189" s="33"/>
      <c r="R189" s="33" t="str">
        <f aca="false">IF(OR(J189="",P189=""),"",K189*N189*P189)</f>
        <v/>
      </c>
      <c r="S189" s="33" t="str">
        <f aca="false">IF(Q189="","",Q189-R189)</f>
        <v/>
      </c>
      <c r="T189" s="33" t="str">
        <f aca="false">IF(S189="","",MAX(0,-S189))</f>
        <v/>
      </c>
      <c r="U189" s="33" t="str">
        <f aca="false">IF(S189="","",MAX(0,S189))</f>
        <v/>
      </c>
      <c r="V189" s="11" t="str">
        <f aca="false">IF(J189="","NOT SCORED - NO JULY MONTHLY ROW",IF(OR(ABS(L189)&gt;0.005,ABS(O189)&gt;0.005,ABS(S189)&gt;0.005),"EXCEPTION","OK"))</f>
        <v>NOT SCORED - NO JULY MONTHLY ROW</v>
      </c>
      <c r="W189" s="11"/>
      <c r="X189" s="11" t="s">
        <v>2834</v>
      </c>
      <c r="Y189" s="33" t="n">
        <f aca="false">K189*N189</f>
        <v>226.5</v>
      </c>
    </row>
    <row r="190" customFormat="false" ht="20.85" hidden="false" customHeight="false" outlineLevel="0" collapsed="false">
      <c r="A190" s="8" t="s">
        <v>3579</v>
      </c>
      <c r="B190" s="8" t="s">
        <v>207</v>
      </c>
      <c r="C190" s="8" t="s">
        <v>2829</v>
      </c>
      <c r="D190" s="8" t="s">
        <v>3580</v>
      </c>
      <c r="E190" s="8" t="s">
        <v>3581</v>
      </c>
      <c r="F190" s="8" t="s">
        <v>3582</v>
      </c>
      <c r="G190" s="8" t="s">
        <v>2844</v>
      </c>
      <c r="H190" s="8" t="n">
        <v>24</v>
      </c>
      <c r="I190" s="34" t="n">
        <v>58.1</v>
      </c>
      <c r="J190" s="34"/>
      <c r="K190" s="34" t="n">
        <f aca="false">MAX(ROUNDUP(I190,0),H190)</f>
        <v>59</v>
      </c>
      <c r="L190" s="34" t="str">
        <f aca="false">IF(J190="","",J190-K190)</f>
        <v/>
      </c>
      <c r="M190" s="35"/>
      <c r="N190" s="35" t="n">
        <f aca="false">IF(C190="covered",10.4,7.55)</f>
        <v>7.55</v>
      </c>
      <c r="O190" s="35" t="str">
        <f aca="false">IF(M190="","",M190-N190)</f>
        <v/>
      </c>
      <c r="P190" s="8"/>
      <c r="Q190" s="36"/>
      <c r="R190" s="36" t="str">
        <f aca="false">IF(OR(J190="",P190=""),"",K190*N190*P190)</f>
        <v/>
      </c>
      <c r="S190" s="36" t="str">
        <f aca="false">IF(Q190="","",Q190-R190)</f>
        <v/>
      </c>
      <c r="T190" s="36" t="str">
        <f aca="false">IF(S190="","",MAX(0,-S190))</f>
        <v/>
      </c>
      <c r="U190" s="36" t="str">
        <f aca="false">IF(S190="","",MAX(0,S190))</f>
        <v/>
      </c>
      <c r="V190" s="8" t="str">
        <f aca="false">IF(J190="","NOT SCORED - NO JULY MONTHLY ROW",IF(OR(ABS(L190)&gt;0.005,ABS(O190)&gt;0.005,ABS(S190)&gt;0.005),"EXCEPTION","OK"))</f>
        <v>NOT SCORED - NO JULY MONTHLY ROW</v>
      </c>
      <c r="W190" s="8"/>
      <c r="X190" s="8" t="s">
        <v>2834</v>
      </c>
      <c r="Y190" s="36" t="n">
        <f aca="false">K190*N190</f>
        <v>445.45</v>
      </c>
    </row>
    <row r="191" customFormat="false" ht="20.85" hidden="false" customHeight="false" outlineLevel="0" collapsed="false">
      <c r="A191" s="11" t="s">
        <v>3583</v>
      </c>
      <c r="B191" s="11" t="s">
        <v>207</v>
      </c>
      <c r="C191" s="11" t="s">
        <v>2829</v>
      </c>
      <c r="D191" s="11" t="s">
        <v>3584</v>
      </c>
      <c r="E191" s="11" t="s">
        <v>3585</v>
      </c>
      <c r="F191" s="11" t="s">
        <v>3586</v>
      </c>
      <c r="G191" s="11" t="s">
        <v>3587</v>
      </c>
      <c r="H191" s="11" t="n">
        <v>70</v>
      </c>
      <c r="I191" s="31" t="n">
        <v>58.3</v>
      </c>
      <c r="J191" s="31"/>
      <c r="K191" s="31" t="n">
        <f aca="false">MAX(ROUNDUP(I191,0),H191)</f>
        <v>70</v>
      </c>
      <c r="L191" s="31" t="str">
        <f aca="false">IF(J191="","",J191-K191)</f>
        <v/>
      </c>
      <c r="M191" s="32"/>
      <c r="N191" s="32" t="n">
        <f aca="false">IF(C191="covered",10.4,7.55)</f>
        <v>7.55</v>
      </c>
      <c r="O191" s="32" t="str">
        <f aca="false">IF(M191="","",M191-N191)</f>
        <v/>
      </c>
      <c r="P191" s="11"/>
      <c r="Q191" s="33"/>
      <c r="R191" s="33" t="str">
        <f aca="false">IF(OR(J191="",P191=""),"",K191*N191*P191)</f>
        <v/>
      </c>
      <c r="S191" s="33" t="str">
        <f aca="false">IF(Q191="","",Q191-R191)</f>
        <v/>
      </c>
      <c r="T191" s="33" t="str">
        <f aca="false">IF(S191="","",MAX(0,-S191))</f>
        <v/>
      </c>
      <c r="U191" s="33" t="str">
        <f aca="false">IF(S191="","",MAX(0,S191))</f>
        <v/>
      </c>
      <c r="V191" s="11" t="str">
        <f aca="false">IF(J191="","NOT SCORED - NO JULY MONTHLY ROW",IF(OR(ABS(L191)&gt;0.005,ABS(O191)&gt;0.005,ABS(S191)&gt;0.005),"EXCEPTION","OK"))</f>
        <v>NOT SCORED - NO JULY MONTHLY ROW</v>
      </c>
      <c r="W191" s="11"/>
      <c r="X191" s="11" t="s">
        <v>2834</v>
      </c>
      <c r="Y191" s="33" t="n">
        <f aca="false">K191*N191</f>
        <v>528.5</v>
      </c>
    </row>
    <row r="192" customFormat="false" ht="20.85" hidden="false" customHeight="false" outlineLevel="0" collapsed="false">
      <c r="A192" s="8" t="s">
        <v>859</v>
      </c>
      <c r="B192" s="8" t="s">
        <v>207</v>
      </c>
      <c r="C192" s="8" t="s">
        <v>2829</v>
      </c>
      <c r="D192" s="8" t="s">
        <v>3588</v>
      </c>
      <c r="E192" s="8" t="s">
        <v>3589</v>
      </c>
      <c r="F192" s="8" t="s">
        <v>3590</v>
      </c>
      <c r="G192" s="8" t="s">
        <v>3283</v>
      </c>
      <c r="H192" s="8" t="n">
        <v>70</v>
      </c>
      <c r="I192" s="34" t="n">
        <v>35.4</v>
      </c>
      <c r="J192" s="34"/>
      <c r="K192" s="34" t="n">
        <f aca="false">MAX(ROUNDUP(I192,0),H192)</f>
        <v>70</v>
      </c>
      <c r="L192" s="34" t="str">
        <f aca="false">IF(J192="","",J192-K192)</f>
        <v/>
      </c>
      <c r="M192" s="35"/>
      <c r="N192" s="35" t="n">
        <f aca="false">IF(C192="covered",10.4,7.55)</f>
        <v>7.55</v>
      </c>
      <c r="O192" s="35" t="str">
        <f aca="false">IF(M192="","",M192-N192)</f>
        <v/>
      </c>
      <c r="P192" s="8"/>
      <c r="Q192" s="36"/>
      <c r="R192" s="36" t="str">
        <f aca="false">IF(OR(J192="",P192=""),"",K192*N192*P192)</f>
        <v/>
      </c>
      <c r="S192" s="36" t="str">
        <f aca="false">IF(Q192="","",Q192-R192)</f>
        <v/>
      </c>
      <c r="T192" s="36" t="str">
        <f aca="false">IF(S192="","",MAX(0,-S192))</f>
        <v/>
      </c>
      <c r="U192" s="36" t="str">
        <f aca="false">IF(S192="","",MAX(0,S192))</f>
        <v/>
      </c>
      <c r="V192" s="8" t="str">
        <f aca="false">IF(J192="","NOT SCORED - NO JULY MONTHLY ROW",IF(OR(ABS(L192)&gt;0.005,ABS(O192)&gt;0.005,ABS(S192)&gt;0.005),"EXCEPTION","OK"))</f>
        <v>NOT SCORED - NO JULY MONTHLY ROW</v>
      </c>
      <c r="W192" s="8"/>
      <c r="X192" s="8" t="s">
        <v>2834</v>
      </c>
      <c r="Y192" s="36" t="n">
        <f aca="false">K192*N192</f>
        <v>528.5</v>
      </c>
    </row>
    <row r="193" customFormat="false" ht="20.85" hidden="false" customHeight="false" outlineLevel="0" collapsed="false">
      <c r="A193" s="11" t="s">
        <v>1886</v>
      </c>
      <c r="B193" s="11" t="s">
        <v>207</v>
      </c>
      <c r="C193" s="11" t="s">
        <v>2829</v>
      </c>
      <c r="D193" s="11" t="s">
        <v>3591</v>
      </c>
      <c r="E193" s="11" t="s">
        <v>3592</v>
      </c>
      <c r="F193" s="11" t="s">
        <v>3593</v>
      </c>
      <c r="G193" s="11" t="s">
        <v>3594</v>
      </c>
      <c r="H193" s="11" t="n">
        <v>32</v>
      </c>
      <c r="I193" s="31" t="n">
        <v>60.3</v>
      </c>
      <c r="J193" s="31"/>
      <c r="K193" s="31" t="n">
        <f aca="false">MAX(ROUNDUP(I193,0),H193)</f>
        <v>61</v>
      </c>
      <c r="L193" s="31" t="str">
        <f aca="false">IF(J193="","",J193-K193)</f>
        <v/>
      </c>
      <c r="M193" s="32"/>
      <c r="N193" s="32" t="n">
        <f aca="false">IF(C193="covered",10.4,7.55)</f>
        <v>7.55</v>
      </c>
      <c r="O193" s="32" t="str">
        <f aca="false">IF(M193="","",M193-N193)</f>
        <v/>
      </c>
      <c r="P193" s="11"/>
      <c r="Q193" s="33"/>
      <c r="R193" s="33" t="str">
        <f aca="false">IF(OR(J193="",P193=""),"",K193*N193*P193)</f>
        <v/>
      </c>
      <c r="S193" s="33" t="str">
        <f aca="false">IF(Q193="","",Q193-R193)</f>
        <v/>
      </c>
      <c r="T193" s="33" t="str">
        <f aca="false">IF(S193="","",MAX(0,-S193))</f>
        <v/>
      </c>
      <c r="U193" s="33" t="str">
        <f aca="false">IF(S193="","",MAX(0,S193))</f>
        <v/>
      </c>
      <c r="V193" s="11" t="str">
        <f aca="false">IF(J193="","NOT SCORED - NO JULY MONTHLY ROW",IF(OR(ABS(L193)&gt;0.005,ABS(O193)&gt;0.005,ABS(S193)&gt;0.005),"EXCEPTION","OK"))</f>
        <v>NOT SCORED - NO JULY MONTHLY ROW</v>
      </c>
      <c r="W193" s="11"/>
      <c r="X193" s="11" t="s">
        <v>2834</v>
      </c>
      <c r="Y193" s="33" t="n">
        <f aca="false">K193*N193</f>
        <v>460.55</v>
      </c>
    </row>
    <row r="194" customFormat="false" ht="20.85" hidden="false" customHeight="false" outlineLevel="0" collapsed="false">
      <c r="A194" s="8" t="s">
        <v>3595</v>
      </c>
      <c r="B194" s="8" t="s">
        <v>207</v>
      </c>
      <c r="C194" s="8" t="s">
        <v>2829</v>
      </c>
      <c r="D194" s="8" t="s">
        <v>3596</v>
      </c>
      <c r="E194" s="8" t="s">
        <v>3597</v>
      </c>
      <c r="F194" s="8" t="s">
        <v>3598</v>
      </c>
      <c r="G194" s="8" t="s">
        <v>3599</v>
      </c>
      <c r="H194" s="8" t="n">
        <v>50</v>
      </c>
      <c r="I194" s="34" t="n">
        <v>20.9</v>
      </c>
      <c r="J194" s="34"/>
      <c r="K194" s="34" t="n">
        <f aca="false">MAX(ROUNDUP(I194,0),H194)</f>
        <v>50</v>
      </c>
      <c r="L194" s="34" t="str">
        <f aca="false">IF(J194="","",J194-K194)</f>
        <v/>
      </c>
      <c r="M194" s="35"/>
      <c r="N194" s="35" t="n">
        <f aca="false">IF(C194="covered",10.4,7.55)</f>
        <v>7.55</v>
      </c>
      <c r="O194" s="35" t="str">
        <f aca="false">IF(M194="","",M194-N194)</f>
        <v/>
      </c>
      <c r="P194" s="8"/>
      <c r="Q194" s="36"/>
      <c r="R194" s="36" t="str">
        <f aca="false">IF(OR(J194="",P194=""),"",K194*N194*P194)</f>
        <v/>
      </c>
      <c r="S194" s="36" t="str">
        <f aca="false">IF(Q194="","",Q194-R194)</f>
        <v/>
      </c>
      <c r="T194" s="36" t="str">
        <f aca="false">IF(S194="","",MAX(0,-S194))</f>
        <v/>
      </c>
      <c r="U194" s="36" t="str">
        <f aca="false">IF(S194="","",MAX(0,S194))</f>
        <v/>
      </c>
      <c r="V194" s="8" t="str">
        <f aca="false">IF(J194="","NOT SCORED - NO JULY MONTHLY ROW",IF(OR(ABS(L194)&gt;0.005,ABS(O194)&gt;0.005,ABS(S194)&gt;0.005),"EXCEPTION","OK"))</f>
        <v>NOT SCORED - NO JULY MONTHLY ROW</v>
      </c>
      <c r="W194" s="8"/>
      <c r="X194" s="8" t="s">
        <v>2834</v>
      </c>
      <c r="Y194" s="36" t="n">
        <f aca="false">K194*N194</f>
        <v>377.5</v>
      </c>
    </row>
    <row r="195" customFormat="false" ht="20.85" hidden="false" customHeight="false" outlineLevel="0" collapsed="false">
      <c r="A195" s="11" t="s">
        <v>3600</v>
      </c>
      <c r="B195" s="11" t="s">
        <v>207</v>
      </c>
      <c r="C195" s="11" t="s">
        <v>2829</v>
      </c>
      <c r="D195" s="11" t="s">
        <v>3601</v>
      </c>
      <c r="E195" s="11" t="s">
        <v>3602</v>
      </c>
      <c r="F195" s="11" t="s">
        <v>3603</v>
      </c>
      <c r="G195" s="11" t="s">
        <v>3604</v>
      </c>
      <c r="H195" s="11" t="n">
        <v>40</v>
      </c>
      <c r="I195" s="31" t="n">
        <v>26.6</v>
      </c>
      <c r="J195" s="31"/>
      <c r="K195" s="31" t="n">
        <f aca="false">MAX(ROUNDUP(I195,0),H195)</f>
        <v>40</v>
      </c>
      <c r="L195" s="31" t="str">
        <f aca="false">IF(J195="","",J195-K195)</f>
        <v/>
      </c>
      <c r="M195" s="32"/>
      <c r="N195" s="32" t="n">
        <f aca="false">IF(C195="covered",10.4,7.55)</f>
        <v>7.55</v>
      </c>
      <c r="O195" s="32" t="str">
        <f aca="false">IF(M195="","",M195-N195)</f>
        <v/>
      </c>
      <c r="P195" s="11"/>
      <c r="Q195" s="33"/>
      <c r="R195" s="33" t="str">
        <f aca="false">IF(OR(J195="",P195=""),"",K195*N195*P195)</f>
        <v/>
      </c>
      <c r="S195" s="33" t="str">
        <f aca="false">IF(Q195="","",Q195-R195)</f>
        <v/>
      </c>
      <c r="T195" s="33" t="str">
        <f aca="false">IF(S195="","",MAX(0,-S195))</f>
        <v/>
      </c>
      <c r="U195" s="33" t="str">
        <f aca="false">IF(S195="","",MAX(0,S195))</f>
        <v/>
      </c>
      <c r="V195" s="11" t="str">
        <f aca="false">IF(J195="","NOT SCORED - NO JULY MONTHLY ROW",IF(OR(ABS(L195)&gt;0.005,ABS(O195)&gt;0.005,ABS(S195)&gt;0.005),"EXCEPTION","OK"))</f>
        <v>NOT SCORED - NO JULY MONTHLY ROW</v>
      </c>
      <c r="W195" s="11"/>
      <c r="X195" s="11" t="s">
        <v>2834</v>
      </c>
      <c r="Y195" s="33" t="n">
        <f aca="false">K195*N195</f>
        <v>302</v>
      </c>
    </row>
    <row r="196" customFormat="false" ht="20.85" hidden="false" customHeight="false" outlineLevel="0" collapsed="false">
      <c r="A196" s="8" t="s">
        <v>3605</v>
      </c>
      <c r="B196" s="8" t="s">
        <v>207</v>
      </c>
      <c r="C196" s="8" t="s">
        <v>2829</v>
      </c>
      <c r="D196" s="8" t="s">
        <v>3606</v>
      </c>
      <c r="E196" s="8" t="s">
        <v>3607</v>
      </c>
      <c r="F196" s="8" t="s">
        <v>3608</v>
      </c>
      <c r="G196" s="8" t="s">
        <v>3609</v>
      </c>
      <c r="H196" s="8" t="n">
        <v>28</v>
      </c>
      <c r="I196" s="34" t="n">
        <v>43.8</v>
      </c>
      <c r="J196" s="34"/>
      <c r="K196" s="34" t="n">
        <f aca="false">MAX(ROUNDUP(I196,0),H196)</f>
        <v>44</v>
      </c>
      <c r="L196" s="34" t="str">
        <f aca="false">IF(J196="","",J196-K196)</f>
        <v/>
      </c>
      <c r="M196" s="35"/>
      <c r="N196" s="35" t="n">
        <f aca="false">IF(C196="covered",10.4,7.55)</f>
        <v>7.55</v>
      </c>
      <c r="O196" s="35" t="str">
        <f aca="false">IF(M196="","",M196-N196)</f>
        <v/>
      </c>
      <c r="P196" s="8"/>
      <c r="Q196" s="36"/>
      <c r="R196" s="36" t="str">
        <f aca="false">IF(OR(J196="",P196=""),"",K196*N196*P196)</f>
        <v/>
      </c>
      <c r="S196" s="36" t="str">
        <f aca="false">IF(Q196="","",Q196-R196)</f>
        <v/>
      </c>
      <c r="T196" s="36" t="str">
        <f aca="false">IF(S196="","",MAX(0,-S196))</f>
        <v/>
      </c>
      <c r="U196" s="36" t="str">
        <f aca="false">IF(S196="","",MAX(0,S196))</f>
        <v/>
      </c>
      <c r="V196" s="8" t="str">
        <f aca="false">IF(J196="","NOT SCORED - NO JULY MONTHLY ROW",IF(OR(ABS(L196)&gt;0.005,ABS(O196)&gt;0.005,ABS(S196)&gt;0.005),"EXCEPTION","OK"))</f>
        <v>NOT SCORED - NO JULY MONTHLY ROW</v>
      </c>
      <c r="W196" s="8"/>
      <c r="X196" s="8" t="s">
        <v>2834</v>
      </c>
      <c r="Y196" s="36" t="n">
        <f aca="false">K196*N196</f>
        <v>332.2</v>
      </c>
    </row>
    <row r="197" customFormat="false" ht="20.85" hidden="false" customHeight="false" outlineLevel="0" collapsed="false">
      <c r="A197" s="11" t="s">
        <v>3610</v>
      </c>
      <c r="B197" s="11" t="s">
        <v>207</v>
      </c>
      <c r="C197" s="11" t="s">
        <v>2829</v>
      </c>
      <c r="D197" s="11" t="s">
        <v>3611</v>
      </c>
      <c r="E197" s="11" t="s">
        <v>3612</v>
      </c>
      <c r="F197" s="11" t="s">
        <v>3613</v>
      </c>
      <c r="G197" s="11" t="s">
        <v>3614</v>
      </c>
      <c r="H197" s="11" t="n">
        <v>50</v>
      </c>
      <c r="I197" s="31" t="n">
        <v>37.7</v>
      </c>
      <c r="J197" s="31"/>
      <c r="K197" s="31" t="n">
        <f aca="false">MAX(ROUNDUP(I197,0),H197)</f>
        <v>50</v>
      </c>
      <c r="L197" s="31" t="str">
        <f aca="false">IF(J197="","",J197-K197)</f>
        <v/>
      </c>
      <c r="M197" s="32"/>
      <c r="N197" s="32" t="n">
        <f aca="false">IF(C197="covered",10.4,7.55)</f>
        <v>7.55</v>
      </c>
      <c r="O197" s="32" t="str">
        <f aca="false">IF(M197="","",M197-N197)</f>
        <v/>
      </c>
      <c r="P197" s="11"/>
      <c r="Q197" s="33"/>
      <c r="R197" s="33" t="str">
        <f aca="false">IF(OR(J197="",P197=""),"",K197*N197*P197)</f>
        <v/>
      </c>
      <c r="S197" s="33" t="str">
        <f aca="false">IF(Q197="","",Q197-R197)</f>
        <v/>
      </c>
      <c r="T197" s="33" t="str">
        <f aca="false">IF(S197="","",MAX(0,-S197))</f>
        <v/>
      </c>
      <c r="U197" s="33" t="str">
        <f aca="false">IF(S197="","",MAX(0,S197))</f>
        <v/>
      </c>
      <c r="V197" s="11" t="str">
        <f aca="false">IF(J197="","NOT SCORED - NO JULY MONTHLY ROW",IF(OR(ABS(L197)&gt;0.005,ABS(O197)&gt;0.005,ABS(S197)&gt;0.005),"EXCEPTION","OK"))</f>
        <v>NOT SCORED - NO JULY MONTHLY ROW</v>
      </c>
      <c r="W197" s="11"/>
      <c r="X197" s="11" t="s">
        <v>2834</v>
      </c>
      <c r="Y197" s="33" t="n">
        <f aca="false">K197*N197</f>
        <v>377.5</v>
      </c>
    </row>
    <row r="198" customFormat="false" ht="20.85" hidden="false" customHeight="false" outlineLevel="0" collapsed="false">
      <c r="A198" s="8" t="s">
        <v>1150</v>
      </c>
      <c r="B198" s="8" t="s">
        <v>207</v>
      </c>
      <c r="C198" s="8" t="s">
        <v>2829</v>
      </c>
      <c r="D198" s="8" t="s">
        <v>3615</v>
      </c>
      <c r="E198" s="8" t="s">
        <v>3616</v>
      </c>
      <c r="F198" s="8" t="s">
        <v>3617</v>
      </c>
      <c r="G198" s="8" t="s">
        <v>3618</v>
      </c>
      <c r="H198" s="8" t="n">
        <v>24</v>
      </c>
      <c r="I198" s="34" t="n">
        <v>52.1</v>
      </c>
      <c r="J198" s="34"/>
      <c r="K198" s="34" t="n">
        <f aca="false">MAX(ROUNDUP(I198,0),H198)</f>
        <v>53</v>
      </c>
      <c r="L198" s="34" t="str">
        <f aca="false">IF(J198="","",J198-K198)</f>
        <v/>
      </c>
      <c r="M198" s="35"/>
      <c r="N198" s="35" t="n">
        <f aca="false">IF(C198="covered",10.4,7.55)</f>
        <v>7.55</v>
      </c>
      <c r="O198" s="35" t="str">
        <f aca="false">IF(M198="","",M198-N198)</f>
        <v/>
      </c>
      <c r="P198" s="8"/>
      <c r="Q198" s="36"/>
      <c r="R198" s="36" t="str">
        <f aca="false">IF(OR(J198="",P198=""),"",K198*N198*P198)</f>
        <v/>
      </c>
      <c r="S198" s="36" t="str">
        <f aca="false">IF(Q198="","",Q198-R198)</f>
        <v/>
      </c>
      <c r="T198" s="36" t="str">
        <f aca="false">IF(S198="","",MAX(0,-S198))</f>
        <v/>
      </c>
      <c r="U198" s="36" t="str">
        <f aca="false">IF(S198="","",MAX(0,S198))</f>
        <v/>
      </c>
      <c r="V198" s="8" t="str">
        <f aca="false">IF(J198="","NOT SCORED - NO JULY MONTHLY ROW",IF(OR(ABS(L198)&gt;0.005,ABS(O198)&gt;0.005,ABS(S198)&gt;0.005),"EXCEPTION","OK"))</f>
        <v>NOT SCORED - NO JULY MONTHLY ROW</v>
      </c>
      <c r="W198" s="8"/>
      <c r="X198" s="8" t="s">
        <v>2834</v>
      </c>
      <c r="Y198" s="36" t="n">
        <f aca="false">K198*N198</f>
        <v>400.15</v>
      </c>
    </row>
    <row r="199" customFormat="false" ht="20.85" hidden="false" customHeight="false" outlineLevel="0" collapsed="false">
      <c r="A199" s="11" t="s">
        <v>591</v>
      </c>
      <c r="B199" s="11" t="s">
        <v>207</v>
      </c>
      <c r="C199" s="11" t="s">
        <v>2829</v>
      </c>
      <c r="D199" s="11" t="s">
        <v>3619</v>
      </c>
      <c r="E199" s="11" t="s">
        <v>3620</v>
      </c>
      <c r="F199" s="11" t="s">
        <v>3621</v>
      </c>
      <c r="G199" s="11" t="s">
        <v>3622</v>
      </c>
      <c r="H199" s="11" t="n">
        <v>70</v>
      </c>
      <c r="I199" s="31" t="n">
        <v>59.9</v>
      </c>
      <c r="J199" s="31"/>
      <c r="K199" s="31" t="n">
        <f aca="false">MAX(ROUNDUP(I199,0),H199)</f>
        <v>70</v>
      </c>
      <c r="L199" s="31" t="str">
        <f aca="false">IF(J199="","",J199-K199)</f>
        <v/>
      </c>
      <c r="M199" s="32"/>
      <c r="N199" s="32" t="n">
        <f aca="false">IF(C199="covered",10.4,7.55)</f>
        <v>7.55</v>
      </c>
      <c r="O199" s="32" t="str">
        <f aca="false">IF(M199="","",M199-N199)</f>
        <v/>
      </c>
      <c r="P199" s="11"/>
      <c r="Q199" s="33"/>
      <c r="R199" s="33" t="str">
        <f aca="false">IF(OR(J199="",P199=""),"",K199*N199*P199)</f>
        <v/>
      </c>
      <c r="S199" s="33" t="str">
        <f aca="false">IF(Q199="","",Q199-R199)</f>
        <v/>
      </c>
      <c r="T199" s="33" t="str">
        <f aca="false">IF(S199="","",MAX(0,-S199))</f>
        <v/>
      </c>
      <c r="U199" s="33" t="str">
        <f aca="false">IF(S199="","",MAX(0,S199))</f>
        <v/>
      </c>
      <c r="V199" s="11" t="str">
        <f aca="false">IF(J199="","NOT SCORED - NO JULY MONTHLY ROW",IF(OR(ABS(L199)&gt;0.005,ABS(O199)&gt;0.005,ABS(S199)&gt;0.005),"EXCEPTION","OK"))</f>
        <v>NOT SCORED - NO JULY MONTHLY ROW</v>
      </c>
      <c r="W199" s="11"/>
      <c r="X199" s="11" t="s">
        <v>2834</v>
      </c>
      <c r="Y199" s="33" t="n">
        <f aca="false">K199*N199</f>
        <v>528.5</v>
      </c>
    </row>
    <row r="200" customFormat="false" ht="20.85" hidden="false" customHeight="false" outlineLevel="0" collapsed="false">
      <c r="A200" s="8" t="s">
        <v>3623</v>
      </c>
      <c r="B200" s="8" t="s">
        <v>207</v>
      </c>
      <c r="C200" s="8" t="s">
        <v>2829</v>
      </c>
      <c r="D200" s="8" t="s">
        <v>3624</v>
      </c>
      <c r="E200" s="8" t="s">
        <v>3625</v>
      </c>
      <c r="F200" s="8" t="s">
        <v>3626</v>
      </c>
      <c r="G200" s="8" t="s">
        <v>3627</v>
      </c>
      <c r="H200" s="8" t="n">
        <v>24</v>
      </c>
      <c r="I200" s="34" t="n">
        <v>55.5</v>
      </c>
      <c r="J200" s="34"/>
      <c r="K200" s="34" t="n">
        <f aca="false">MAX(ROUNDUP(I200,0),H200)</f>
        <v>56</v>
      </c>
      <c r="L200" s="34" t="str">
        <f aca="false">IF(J200="","",J200-K200)</f>
        <v/>
      </c>
      <c r="M200" s="35"/>
      <c r="N200" s="35" t="n">
        <f aca="false">IF(C200="covered",10.4,7.55)</f>
        <v>7.55</v>
      </c>
      <c r="O200" s="35" t="str">
        <f aca="false">IF(M200="","",M200-N200)</f>
        <v/>
      </c>
      <c r="P200" s="8"/>
      <c r="Q200" s="36"/>
      <c r="R200" s="36" t="str">
        <f aca="false">IF(OR(J200="",P200=""),"",K200*N200*P200)</f>
        <v/>
      </c>
      <c r="S200" s="36" t="str">
        <f aca="false">IF(Q200="","",Q200-R200)</f>
        <v/>
      </c>
      <c r="T200" s="36" t="str">
        <f aca="false">IF(S200="","",MAX(0,-S200))</f>
        <v/>
      </c>
      <c r="U200" s="36" t="str">
        <f aca="false">IF(S200="","",MAX(0,S200))</f>
        <v/>
      </c>
      <c r="V200" s="8" t="str">
        <f aca="false">IF(J200="","NOT SCORED - NO JULY MONTHLY ROW",IF(OR(ABS(L200)&gt;0.005,ABS(O200)&gt;0.005,ABS(S200)&gt;0.005),"EXCEPTION","OK"))</f>
        <v>NOT SCORED - NO JULY MONTHLY ROW</v>
      </c>
      <c r="W200" s="8"/>
      <c r="X200" s="8" t="s">
        <v>2834</v>
      </c>
      <c r="Y200" s="36" t="n">
        <f aca="false">K200*N200</f>
        <v>422.8</v>
      </c>
    </row>
    <row r="201" customFormat="false" ht="20.85" hidden="false" customHeight="false" outlineLevel="0" collapsed="false">
      <c r="A201" s="11" t="s">
        <v>3628</v>
      </c>
      <c r="B201" s="11" t="s">
        <v>207</v>
      </c>
      <c r="C201" s="11" t="s">
        <v>2829</v>
      </c>
      <c r="D201" s="11" t="s">
        <v>3629</v>
      </c>
      <c r="E201" s="11" t="s">
        <v>3630</v>
      </c>
      <c r="F201" s="11" t="s">
        <v>3631</v>
      </c>
      <c r="G201" s="11" t="s">
        <v>3632</v>
      </c>
      <c r="H201" s="11" t="n">
        <v>24</v>
      </c>
      <c r="I201" s="31" t="n">
        <v>32.9</v>
      </c>
      <c r="J201" s="31"/>
      <c r="K201" s="31" t="n">
        <f aca="false">MAX(ROUNDUP(I201,0),H201)</f>
        <v>33</v>
      </c>
      <c r="L201" s="31" t="str">
        <f aca="false">IF(J201="","",J201-K201)</f>
        <v/>
      </c>
      <c r="M201" s="32"/>
      <c r="N201" s="32" t="n">
        <f aca="false">IF(C201="covered",10.4,7.55)</f>
        <v>7.55</v>
      </c>
      <c r="O201" s="32" t="str">
        <f aca="false">IF(M201="","",M201-N201)</f>
        <v/>
      </c>
      <c r="P201" s="11"/>
      <c r="Q201" s="33"/>
      <c r="R201" s="33" t="str">
        <f aca="false">IF(OR(J201="",P201=""),"",K201*N201*P201)</f>
        <v/>
      </c>
      <c r="S201" s="33" t="str">
        <f aca="false">IF(Q201="","",Q201-R201)</f>
        <v/>
      </c>
      <c r="T201" s="33" t="str">
        <f aca="false">IF(S201="","",MAX(0,-S201))</f>
        <v/>
      </c>
      <c r="U201" s="33" t="str">
        <f aca="false">IF(S201="","",MAX(0,S201))</f>
        <v/>
      </c>
      <c r="V201" s="11" t="str">
        <f aca="false">IF(J201="","NOT SCORED - NO JULY MONTHLY ROW",IF(OR(ABS(L201)&gt;0.005,ABS(O201)&gt;0.005,ABS(S201)&gt;0.005),"EXCEPTION","OK"))</f>
        <v>NOT SCORED - NO JULY MONTHLY ROW</v>
      </c>
      <c r="W201" s="11"/>
      <c r="X201" s="11" t="s">
        <v>2834</v>
      </c>
      <c r="Y201" s="33" t="n">
        <f aca="false">K201*N201</f>
        <v>249.15</v>
      </c>
    </row>
    <row r="202" customFormat="false" ht="20.85" hidden="false" customHeight="false" outlineLevel="0" collapsed="false">
      <c r="A202" s="8" t="s">
        <v>3633</v>
      </c>
      <c r="B202" s="8" t="s">
        <v>207</v>
      </c>
      <c r="C202" s="8" t="s">
        <v>2829</v>
      </c>
      <c r="D202" s="8" t="s">
        <v>3634</v>
      </c>
      <c r="E202" s="8" t="s">
        <v>3635</v>
      </c>
      <c r="F202" s="8" t="s">
        <v>3636</v>
      </c>
      <c r="G202" s="8" t="s">
        <v>3435</v>
      </c>
      <c r="H202" s="8" t="n">
        <v>28</v>
      </c>
      <c r="I202" s="34" t="n">
        <v>45.8</v>
      </c>
      <c r="J202" s="34"/>
      <c r="K202" s="34" t="n">
        <f aca="false">MAX(ROUNDUP(I202,0),H202)</f>
        <v>46</v>
      </c>
      <c r="L202" s="34" t="str">
        <f aca="false">IF(J202="","",J202-K202)</f>
        <v/>
      </c>
      <c r="M202" s="35"/>
      <c r="N202" s="35" t="n">
        <f aca="false">IF(C202="covered",10.4,7.55)</f>
        <v>7.55</v>
      </c>
      <c r="O202" s="35" t="str">
        <f aca="false">IF(M202="","",M202-N202)</f>
        <v/>
      </c>
      <c r="P202" s="8"/>
      <c r="Q202" s="36"/>
      <c r="R202" s="36" t="str">
        <f aca="false">IF(OR(J202="",P202=""),"",K202*N202*P202)</f>
        <v/>
      </c>
      <c r="S202" s="36" t="str">
        <f aca="false">IF(Q202="","",Q202-R202)</f>
        <v/>
      </c>
      <c r="T202" s="36" t="str">
        <f aca="false">IF(S202="","",MAX(0,-S202))</f>
        <v/>
      </c>
      <c r="U202" s="36" t="str">
        <f aca="false">IF(S202="","",MAX(0,S202))</f>
        <v/>
      </c>
      <c r="V202" s="8" t="str">
        <f aca="false">IF(J202="","NOT SCORED - NO JULY MONTHLY ROW",IF(OR(ABS(L202)&gt;0.005,ABS(O202)&gt;0.005,ABS(S202)&gt;0.005),"EXCEPTION","OK"))</f>
        <v>NOT SCORED - NO JULY MONTHLY ROW</v>
      </c>
      <c r="W202" s="8"/>
      <c r="X202" s="8" t="s">
        <v>2834</v>
      </c>
      <c r="Y202" s="36" t="n">
        <f aca="false">K202*N202</f>
        <v>347.3</v>
      </c>
    </row>
    <row r="203" customFormat="false" ht="20.85" hidden="false" customHeight="false" outlineLevel="0" collapsed="false">
      <c r="A203" s="11" t="s">
        <v>3637</v>
      </c>
      <c r="B203" s="11" t="s">
        <v>207</v>
      </c>
      <c r="C203" s="11" t="s">
        <v>2829</v>
      </c>
      <c r="D203" s="11" t="s">
        <v>3638</v>
      </c>
      <c r="E203" s="11" t="s">
        <v>3639</v>
      </c>
      <c r="F203" s="11" t="s">
        <v>3640</v>
      </c>
      <c r="G203" s="11" t="s">
        <v>3641</v>
      </c>
      <c r="H203" s="11" t="n">
        <v>28</v>
      </c>
      <c r="I203" s="31" t="n">
        <v>27.1</v>
      </c>
      <c r="J203" s="31"/>
      <c r="K203" s="31" t="n">
        <f aca="false">MAX(ROUNDUP(I203,0),H203)</f>
        <v>28</v>
      </c>
      <c r="L203" s="31" t="str">
        <f aca="false">IF(J203="","",J203-K203)</f>
        <v/>
      </c>
      <c r="M203" s="32"/>
      <c r="N203" s="32" t="n">
        <f aca="false">IF(C203="covered",10.4,7.55)</f>
        <v>7.55</v>
      </c>
      <c r="O203" s="32" t="str">
        <f aca="false">IF(M203="","",M203-N203)</f>
        <v/>
      </c>
      <c r="P203" s="11"/>
      <c r="Q203" s="33"/>
      <c r="R203" s="33" t="str">
        <f aca="false">IF(OR(J203="",P203=""),"",K203*N203*P203)</f>
        <v/>
      </c>
      <c r="S203" s="33" t="str">
        <f aca="false">IF(Q203="","",Q203-R203)</f>
        <v/>
      </c>
      <c r="T203" s="33" t="str">
        <f aca="false">IF(S203="","",MAX(0,-S203))</f>
        <v/>
      </c>
      <c r="U203" s="33" t="str">
        <f aca="false">IF(S203="","",MAX(0,S203))</f>
        <v/>
      </c>
      <c r="V203" s="11" t="str">
        <f aca="false">IF(J203="","NOT SCORED - NO JULY MONTHLY ROW",IF(OR(ABS(L203)&gt;0.005,ABS(O203)&gt;0.005,ABS(S203)&gt;0.005),"EXCEPTION","OK"))</f>
        <v>NOT SCORED - NO JULY MONTHLY ROW</v>
      </c>
      <c r="W203" s="11"/>
      <c r="X203" s="11" t="s">
        <v>2834</v>
      </c>
      <c r="Y203" s="33" t="n">
        <f aca="false">K203*N203</f>
        <v>211.4</v>
      </c>
    </row>
    <row r="204" customFormat="false" ht="20.85" hidden="false" customHeight="false" outlineLevel="0" collapsed="false">
      <c r="A204" s="8" t="s">
        <v>1093</v>
      </c>
      <c r="B204" s="8" t="s">
        <v>207</v>
      </c>
      <c r="C204" s="8" t="s">
        <v>2829</v>
      </c>
      <c r="D204" s="8" t="s">
        <v>3642</v>
      </c>
      <c r="E204" s="8" t="s">
        <v>3643</v>
      </c>
      <c r="F204" s="8" t="s">
        <v>3644</v>
      </c>
      <c r="G204" s="8" t="s">
        <v>3645</v>
      </c>
      <c r="H204" s="8" t="n">
        <v>32</v>
      </c>
      <c r="I204" s="34" t="n">
        <v>53.4</v>
      </c>
      <c r="J204" s="34"/>
      <c r="K204" s="34" t="n">
        <f aca="false">MAX(ROUNDUP(I204,0),H204)</f>
        <v>54</v>
      </c>
      <c r="L204" s="34" t="str">
        <f aca="false">IF(J204="","",J204-K204)</f>
        <v/>
      </c>
      <c r="M204" s="35"/>
      <c r="N204" s="35" t="n">
        <f aca="false">IF(C204="covered",10.4,7.55)</f>
        <v>7.55</v>
      </c>
      <c r="O204" s="35" t="str">
        <f aca="false">IF(M204="","",M204-N204)</f>
        <v/>
      </c>
      <c r="P204" s="8"/>
      <c r="Q204" s="36"/>
      <c r="R204" s="36" t="str">
        <f aca="false">IF(OR(J204="",P204=""),"",K204*N204*P204)</f>
        <v/>
      </c>
      <c r="S204" s="36" t="str">
        <f aca="false">IF(Q204="","",Q204-R204)</f>
        <v/>
      </c>
      <c r="T204" s="36" t="str">
        <f aca="false">IF(S204="","",MAX(0,-S204))</f>
        <v/>
      </c>
      <c r="U204" s="36" t="str">
        <f aca="false">IF(S204="","",MAX(0,S204))</f>
        <v/>
      </c>
      <c r="V204" s="8" t="str">
        <f aca="false">IF(J204="","NOT SCORED - NO JULY MONTHLY ROW",IF(OR(ABS(L204)&gt;0.005,ABS(O204)&gt;0.005,ABS(S204)&gt;0.005),"EXCEPTION","OK"))</f>
        <v>NOT SCORED - NO JULY MONTHLY ROW</v>
      </c>
      <c r="W204" s="8"/>
      <c r="X204" s="8" t="s">
        <v>2834</v>
      </c>
      <c r="Y204" s="36" t="n">
        <f aca="false">K204*N204</f>
        <v>407.7</v>
      </c>
    </row>
    <row r="205" customFormat="false" ht="20.85" hidden="false" customHeight="false" outlineLevel="0" collapsed="false">
      <c r="A205" s="11" t="s">
        <v>3646</v>
      </c>
      <c r="B205" s="11" t="s">
        <v>207</v>
      </c>
      <c r="C205" s="11" t="s">
        <v>2829</v>
      </c>
      <c r="D205" s="11" t="s">
        <v>3647</v>
      </c>
      <c r="E205" s="11" t="s">
        <v>3648</v>
      </c>
      <c r="F205" s="11" t="s">
        <v>3649</v>
      </c>
      <c r="G205" s="11" t="s">
        <v>2919</v>
      </c>
      <c r="H205" s="11" t="n">
        <v>36</v>
      </c>
      <c r="I205" s="31" t="n">
        <v>28.9</v>
      </c>
      <c r="J205" s="31"/>
      <c r="K205" s="31" t="n">
        <f aca="false">MAX(ROUNDUP(I205,0),H205)</f>
        <v>36</v>
      </c>
      <c r="L205" s="31" t="str">
        <f aca="false">IF(J205="","",J205-K205)</f>
        <v/>
      </c>
      <c r="M205" s="32"/>
      <c r="N205" s="32" t="n">
        <f aca="false">IF(C205="covered",10.4,7.55)</f>
        <v>7.55</v>
      </c>
      <c r="O205" s="32" t="str">
        <f aca="false">IF(M205="","",M205-N205)</f>
        <v/>
      </c>
      <c r="P205" s="11"/>
      <c r="Q205" s="33"/>
      <c r="R205" s="33" t="str">
        <f aca="false">IF(OR(J205="",P205=""),"",K205*N205*P205)</f>
        <v/>
      </c>
      <c r="S205" s="33" t="str">
        <f aca="false">IF(Q205="","",Q205-R205)</f>
        <v/>
      </c>
      <c r="T205" s="33" t="str">
        <f aca="false">IF(S205="","",MAX(0,-S205))</f>
        <v/>
      </c>
      <c r="U205" s="33" t="str">
        <f aca="false">IF(S205="","",MAX(0,S205))</f>
        <v/>
      </c>
      <c r="V205" s="11" t="str">
        <f aca="false">IF(J205="","NOT SCORED - NO JULY MONTHLY ROW",IF(OR(ABS(L205)&gt;0.005,ABS(O205)&gt;0.005,ABS(S205)&gt;0.005),"EXCEPTION","OK"))</f>
        <v>NOT SCORED - NO JULY MONTHLY ROW</v>
      </c>
      <c r="W205" s="11"/>
      <c r="X205" s="11" t="s">
        <v>2834</v>
      </c>
      <c r="Y205" s="33" t="n">
        <f aca="false">K205*N205</f>
        <v>271.8</v>
      </c>
    </row>
    <row r="206" customFormat="false" ht="20.85" hidden="false" customHeight="false" outlineLevel="0" collapsed="false">
      <c r="A206" s="8" t="s">
        <v>3650</v>
      </c>
      <c r="B206" s="8" t="s">
        <v>207</v>
      </c>
      <c r="C206" s="8" t="s">
        <v>2829</v>
      </c>
      <c r="D206" s="8" t="s">
        <v>3651</v>
      </c>
      <c r="E206" s="8" t="s">
        <v>3652</v>
      </c>
      <c r="F206" s="8" t="s">
        <v>3653</v>
      </c>
      <c r="G206" s="8" t="s">
        <v>3654</v>
      </c>
      <c r="H206" s="8" t="n">
        <v>45</v>
      </c>
      <c r="I206" s="34" t="n">
        <v>24</v>
      </c>
      <c r="J206" s="34"/>
      <c r="K206" s="34" t="n">
        <f aca="false">MAX(ROUNDUP(I206,0),H206)</f>
        <v>45</v>
      </c>
      <c r="L206" s="34" t="str">
        <f aca="false">IF(J206="","",J206-K206)</f>
        <v/>
      </c>
      <c r="M206" s="35"/>
      <c r="N206" s="35" t="n">
        <f aca="false">IF(C206="covered",10.4,7.55)</f>
        <v>7.55</v>
      </c>
      <c r="O206" s="35" t="str">
        <f aca="false">IF(M206="","",M206-N206)</f>
        <v/>
      </c>
      <c r="P206" s="8"/>
      <c r="Q206" s="36"/>
      <c r="R206" s="36" t="str">
        <f aca="false">IF(OR(J206="",P206=""),"",K206*N206*P206)</f>
        <v/>
      </c>
      <c r="S206" s="36" t="str">
        <f aca="false">IF(Q206="","",Q206-R206)</f>
        <v/>
      </c>
      <c r="T206" s="36" t="str">
        <f aca="false">IF(S206="","",MAX(0,-S206))</f>
        <v/>
      </c>
      <c r="U206" s="36" t="str">
        <f aca="false">IF(S206="","",MAX(0,S206))</f>
        <v/>
      </c>
      <c r="V206" s="8" t="str">
        <f aca="false">IF(J206="","NOT SCORED - NO JULY MONTHLY ROW",IF(OR(ABS(L206)&gt;0.005,ABS(O206)&gt;0.005,ABS(S206)&gt;0.005),"EXCEPTION","OK"))</f>
        <v>NOT SCORED - NO JULY MONTHLY ROW</v>
      </c>
      <c r="W206" s="8"/>
      <c r="X206" s="8" t="s">
        <v>2834</v>
      </c>
      <c r="Y206" s="36" t="n">
        <f aca="false">K206*N206</f>
        <v>339.75</v>
      </c>
    </row>
    <row r="207" customFormat="false" ht="20.85" hidden="false" customHeight="false" outlineLevel="0" collapsed="false">
      <c r="A207" s="11" t="s">
        <v>3655</v>
      </c>
      <c r="B207" s="11" t="s">
        <v>207</v>
      </c>
      <c r="C207" s="11" t="s">
        <v>2829</v>
      </c>
      <c r="D207" s="11" t="s">
        <v>3656</v>
      </c>
      <c r="E207" s="11" t="s">
        <v>3657</v>
      </c>
      <c r="F207" s="11" t="s">
        <v>3658</v>
      </c>
      <c r="G207" s="11" t="s">
        <v>3659</v>
      </c>
      <c r="H207" s="11" t="n">
        <v>24</v>
      </c>
      <c r="I207" s="31" t="n">
        <v>35.5</v>
      </c>
      <c r="J207" s="31"/>
      <c r="K207" s="31" t="n">
        <f aca="false">MAX(ROUNDUP(I207,0),H207)</f>
        <v>36</v>
      </c>
      <c r="L207" s="31" t="str">
        <f aca="false">IF(J207="","",J207-K207)</f>
        <v/>
      </c>
      <c r="M207" s="32"/>
      <c r="N207" s="32" t="n">
        <f aca="false">IF(C207="covered",10.4,7.55)</f>
        <v>7.55</v>
      </c>
      <c r="O207" s="32" t="str">
        <f aca="false">IF(M207="","",M207-N207)</f>
        <v/>
      </c>
      <c r="P207" s="11"/>
      <c r="Q207" s="33"/>
      <c r="R207" s="33" t="str">
        <f aca="false">IF(OR(J207="",P207=""),"",K207*N207*P207)</f>
        <v/>
      </c>
      <c r="S207" s="33" t="str">
        <f aca="false">IF(Q207="","",Q207-R207)</f>
        <v/>
      </c>
      <c r="T207" s="33" t="str">
        <f aca="false">IF(S207="","",MAX(0,-S207))</f>
        <v/>
      </c>
      <c r="U207" s="33" t="str">
        <f aca="false">IF(S207="","",MAX(0,S207))</f>
        <v/>
      </c>
      <c r="V207" s="11" t="str">
        <f aca="false">IF(J207="","NOT SCORED - NO JULY MONTHLY ROW",IF(OR(ABS(L207)&gt;0.005,ABS(O207)&gt;0.005,ABS(S207)&gt;0.005),"EXCEPTION","OK"))</f>
        <v>NOT SCORED - NO JULY MONTHLY ROW</v>
      </c>
      <c r="W207" s="11"/>
      <c r="X207" s="11" t="s">
        <v>2834</v>
      </c>
      <c r="Y207" s="33" t="n">
        <f aca="false">K207*N207</f>
        <v>271.8</v>
      </c>
    </row>
    <row r="208" customFormat="false" ht="20.85" hidden="false" customHeight="false" outlineLevel="0" collapsed="false">
      <c r="A208" s="8" t="s">
        <v>3660</v>
      </c>
      <c r="B208" s="8" t="s">
        <v>207</v>
      </c>
      <c r="C208" s="8" t="s">
        <v>2829</v>
      </c>
      <c r="D208" s="8" t="s">
        <v>3661</v>
      </c>
      <c r="E208" s="8" t="s">
        <v>3662</v>
      </c>
      <c r="F208" s="8" t="s">
        <v>3663</v>
      </c>
      <c r="G208" s="8" t="s">
        <v>3664</v>
      </c>
      <c r="H208" s="8" t="n">
        <v>70</v>
      </c>
      <c r="I208" s="34" t="n">
        <v>47.1</v>
      </c>
      <c r="J208" s="34"/>
      <c r="K208" s="34" t="n">
        <f aca="false">MAX(ROUNDUP(I208,0),H208)</f>
        <v>70</v>
      </c>
      <c r="L208" s="34" t="str">
        <f aca="false">IF(J208="","",J208-K208)</f>
        <v/>
      </c>
      <c r="M208" s="35"/>
      <c r="N208" s="35" t="n">
        <f aca="false">IF(C208="covered",10.4,7.55)</f>
        <v>7.55</v>
      </c>
      <c r="O208" s="35" t="str">
        <f aca="false">IF(M208="","",M208-N208)</f>
        <v/>
      </c>
      <c r="P208" s="8"/>
      <c r="Q208" s="36"/>
      <c r="R208" s="36" t="str">
        <f aca="false">IF(OR(J208="",P208=""),"",K208*N208*P208)</f>
        <v/>
      </c>
      <c r="S208" s="36" t="str">
        <f aca="false">IF(Q208="","",Q208-R208)</f>
        <v/>
      </c>
      <c r="T208" s="36" t="str">
        <f aca="false">IF(S208="","",MAX(0,-S208))</f>
        <v/>
      </c>
      <c r="U208" s="36" t="str">
        <f aca="false">IF(S208="","",MAX(0,S208))</f>
        <v/>
      </c>
      <c r="V208" s="8" t="str">
        <f aca="false">IF(J208="","NOT SCORED - NO JULY MONTHLY ROW",IF(OR(ABS(L208)&gt;0.005,ABS(O208)&gt;0.005,ABS(S208)&gt;0.005),"EXCEPTION","OK"))</f>
        <v>NOT SCORED - NO JULY MONTHLY ROW</v>
      </c>
      <c r="W208" s="8"/>
      <c r="X208" s="8" t="s">
        <v>2834</v>
      </c>
      <c r="Y208" s="36" t="n">
        <f aca="false">K208*N208</f>
        <v>528.5</v>
      </c>
    </row>
    <row r="209" customFormat="false" ht="20.85" hidden="false" customHeight="false" outlineLevel="0" collapsed="false">
      <c r="A209" s="11" t="s">
        <v>3665</v>
      </c>
      <c r="B209" s="11" t="s">
        <v>207</v>
      </c>
      <c r="C209" s="11" t="s">
        <v>2829</v>
      </c>
      <c r="D209" s="11" t="s">
        <v>3666</v>
      </c>
      <c r="E209" s="11" t="s">
        <v>3667</v>
      </c>
      <c r="F209" s="11" t="s">
        <v>3668</v>
      </c>
      <c r="G209" s="11" t="s">
        <v>3669</v>
      </c>
      <c r="H209" s="11" t="n">
        <v>32</v>
      </c>
      <c r="I209" s="31" t="n">
        <v>48.1</v>
      </c>
      <c r="J209" s="31"/>
      <c r="K209" s="31" t="n">
        <f aca="false">MAX(ROUNDUP(I209,0),H209)</f>
        <v>49</v>
      </c>
      <c r="L209" s="31" t="str">
        <f aca="false">IF(J209="","",J209-K209)</f>
        <v/>
      </c>
      <c r="M209" s="32"/>
      <c r="N209" s="32" t="n">
        <f aca="false">IF(C209="covered",10.4,7.55)</f>
        <v>7.55</v>
      </c>
      <c r="O209" s="32" t="str">
        <f aca="false">IF(M209="","",M209-N209)</f>
        <v/>
      </c>
      <c r="P209" s="11"/>
      <c r="Q209" s="33"/>
      <c r="R209" s="33" t="str">
        <f aca="false">IF(OR(J209="",P209=""),"",K209*N209*P209)</f>
        <v/>
      </c>
      <c r="S209" s="33" t="str">
        <f aca="false">IF(Q209="","",Q209-R209)</f>
        <v/>
      </c>
      <c r="T209" s="33" t="str">
        <f aca="false">IF(S209="","",MAX(0,-S209))</f>
        <v/>
      </c>
      <c r="U209" s="33" t="str">
        <f aca="false">IF(S209="","",MAX(0,S209))</f>
        <v/>
      </c>
      <c r="V209" s="11" t="str">
        <f aca="false">IF(J209="","NOT SCORED - NO JULY MONTHLY ROW",IF(OR(ABS(L209)&gt;0.005,ABS(O209)&gt;0.005,ABS(S209)&gt;0.005),"EXCEPTION","OK"))</f>
        <v>NOT SCORED - NO JULY MONTHLY ROW</v>
      </c>
      <c r="W209" s="11"/>
      <c r="X209" s="11" t="s">
        <v>2834</v>
      </c>
      <c r="Y209" s="33" t="n">
        <f aca="false">K209*N209</f>
        <v>369.95</v>
      </c>
    </row>
    <row r="210" customFormat="false" ht="20.85" hidden="false" customHeight="false" outlineLevel="0" collapsed="false">
      <c r="A210" s="8" t="s">
        <v>788</v>
      </c>
      <c r="B210" s="8" t="s">
        <v>207</v>
      </c>
      <c r="C210" s="8" t="s">
        <v>2829</v>
      </c>
      <c r="D210" s="8" t="s">
        <v>3670</v>
      </c>
      <c r="E210" s="8" t="s">
        <v>3671</v>
      </c>
      <c r="F210" s="8" t="s">
        <v>3672</v>
      </c>
      <c r="G210" s="8" t="s">
        <v>3673</v>
      </c>
      <c r="H210" s="8" t="n">
        <v>60</v>
      </c>
      <c r="I210" s="34" t="n">
        <v>23.8</v>
      </c>
      <c r="J210" s="34"/>
      <c r="K210" s="34" t="n">
        <f aca="false">MAX(ROUNDUP(I210,0),H210)</f>
        <v>60</v>
      </c>
      <c r="L210" s="34" t="str">
        <f aca="false">IF(J210="","",J210-K210)</f>
        <v/>
      </c>
      <c r="M210" s="35"/>
      <c r="N210" s="35" t="n">
        <f aca="false">IF(C210="covered",10.4,7.55)</f>
        <v>7.55</v>
      </c>
      <c r="O210" s="35" t="str">
        <f aca="false">IF(M210="","",M210-N210)</f>
        <v/>
      </c>
      <c r="P210" s="8"/>
      <c r="Q210" s="36"/>
      <c r="R210" s="36" t="str">
        <f aca="false">IF(OR(J210="",P210=""),"",K210*N210*P210)</f>
        <v/>
      </c>
      <c r="S210" s="36" t="str">
        <f aca="false">IF(Q210="","",Q210-R210)</f>
        <v/>
      </c>
      <c r="T210" s="36" t="str">
        <f aca="false">IF(S210="","",MAX(0,-S210))</f>
        <v/>
      </c>
      <c r="U210" s="36" t="str">
        <f aca="false">IF(S210="","",MAX(0,S210))</f>
        <v/>
      </c>
      <c r="V210" s="8" t="str">
        <f aca="false">IF(J210="","NOT SCORED - NO JULY MONTHLY ROW",IF(OR(ABS(L210)&gt;0.005,ABS(O210)&gt;0.005,ABS(S210)&gt;0.005),"EXCEPTION","OK"))</f>
        <v>NOT SCORED - NO JULY MONTHLY ROW</v>
      </c>
      <c r="W210" s="8"/>
      <c r="X210" s="8" t="s">
        <v>2834</v>
      </c>
      <c r="Y210" s="36" t="n">
        <f aca="false">K210*N210</f>
        <v>453</v>
      </c>
    </row>
    <row r="211" customFormat="false" ht="20.85" hidden="false" customHeight="false" outlineLevel="0" collapsed="false">
      <c r="A211" s="11" t="s">
        <v>1685</v>
      </c>
      <c r="B211" s="11" t="s">
        <v>207</v>
      </c>
      <c r="C211" s="11" t="s">
        <v>2829</v>
      </c>
      <c r="D211" s="11" t="s">
        <v>3674</v>
      </c>
      <c r="E211" s="11" t="s">
        <v>3675</v>
      </c>
      <c r="F211" s="11" t="s">
        <v>3676</v>
      </c>
      <c r="G211" s="11" t="s">
        <v>3677</v>
      </c>
      <c r="H211" s="11" t="n">
        <v>32</v>
      </c>
      <c r="I211" s="31" t="n">
        <v>53.9</v>
      </c>
      <c r="J211" s="31"/>
      <c r="K211" s="31" t="n">
        <f aca="false">MAX(ROUNDUP(I211,0),H211)</f>
        <v>54</v>
      </c>
      <c r="L211" s="31" t="str">
        <f aca="false">IF(J211="","",J211-K211)</f>
        <v/>
      </c>
      <c r="M211" s="32"/>
      <c r="N211" s="32" t="n">
        <f aca="false">IF(C211="covered",10.4,7.55)</f>
        <v>7.55</v>
      </c>
      <c r="O211" s="32" t="str">
        <f aca="false">IF(M211="","",M211-N211)</f>
        <v/>
      </c>
      <c r="P211" s="11"/>
      <c r="Q211" s="33"/>
      <c r="R211" s="33" t="str">
        <f aca="false">IF(OR(J211="",P211=""),"",K211*N211*P211)</f>
        <v/>
      </c>
      <c r="S211" s="33" t="str">
        <f aca="false">IF(Q211="","",Q211-R211)</f>
        <v/>
      </c>
      <c r="T211" s="33" t="str">
        <f aca="false">IF(S211="","",MAX(0,-S211))</f>
        <v/>
      </c>
      <c r="U211" s="33" t="str">
        <f aca="false">IF(S211="","",MAX(0,S211))</f>
        <v/>
      </c>
      <c r="V211" s="11" t="str">
        <f aca="false">IF(J211="","NOT SCORED - NO JULY MONTHLY ROW",IF(OR(ABS(L211)&gt;0.005,ABS(O211)&gt;0.005,ABS(S211)&gt;0.005),"EXCEPTION","OK"))</f>
        <v>NOT SCORED - NO JULY MONTHLY ROW</v>
      </c>
      <c r="W211" s="11"/>
      <c r="X211" s="11" t="s">
        <v>2834</v>
      </c>
      <c r="Y211" s="33" t="n">
        <f aca="false">K211*N211</f>
        <v>407.7</v>
      </c>
    </row>
    <row r="212" customFormat="false" ht="20.85" hidden="false" customHeight="false" outlineLevel="0" collapsed="false">
      <c r="A212" s="8" t="s">
        <v>913</v>
      </c>
      <c r="B212" s="8" t="s">
        <v>207</v>
      </c>
      <c r="C212" s="8" t="s">
        <v>2829</v>
      </c>
      <c r="D212" s="8" t="s">
        <v>3678</v>
      </c>
      <c r="E212" s="8" t="s">
        <v>3679</v>
      </c>
      <c r="F212" s="8" t="s">
        <v>3680</v>
      </c>
      <c r="G212" s="8" t="s">
        <v>3681</v>
      </c>
      <c r="H212" s="8" t="n">
        <v>24</v>
      </c>
      <c r="I212" s="34" t="n">
        <v>47.7</v>
      </c>
      <c r="J212" s="34"/>
      <c r="K212" s="34" t="n">
        <f aca="false">MAX(ROUNDUP(I212,0),H212)</f>
        <v>48</v>
      </c>
      <c r="L212" s="34" t="str">
        <f aca="false">IF(J212="","",J212-K212)</f>
        <v/>
      </c>
      <c r="M212" s="35"/>
      <c r="N212" s="35" t="n">
        <f aca="false">IF(C212="covered",10.4,7.55)</f>
        <v>7.55</v>
      </c>
      <c r="O212" s="35" t="str">
        <f aca="false">IF(M212="","",M212-N212)</f>
        <v/>
      </c>
      <c r="P212" s="8"/>
      <c r="Q212" s="36"/>
      <c r="R212" s="36" t="str">
        <f aca="false">IF(OR(J212="",P212=""),"",K212*N212*P212)</f>
        <v/>
      </c>
      <c r="S212" s="36" t="str">
        <f aca="false">IF(Q212="","",Q212-R212)</f>
        <v/>
      </c>
      <c r="T212" s="36" t="str">
        <f aca="false">IF(S212="","",MAX(0,-S212))</f>
        <v/>
      </c>
      <c r="U212" s="36" t="str">
        <f aca="false">IF(S212="","",MAX(0,S212))</f>
        <v/>
      </c>
      <c r="V212" s="8" t="str">
        <f aca="false">IF(J212="","NOT SCORED - NO JULY MONTHLY ROW",IF(OR(ABS(L212)&gt;0.005,ABS(O212)&gt;0.005,ABS(S212)&gt;0.005),"EXCEPTION","OK"))</f>
        <v>NOT SCORED - NO JULY MONTHLY ROW</v>
      </c>
      <c r="W212" s="8"/>
      <c r="X212" s="8" t="s">
        <v>2834</v>
      </c>
      <c r="Y212" s="36" t="n">
        <f aca="false">K212*N212</f>
        <v>362.4</v>
      </c>
    </row>
    <row r="213" customFormat="false" ht="20.85" hidden="false" customHeight="false" outlineLevel="0" collapsed="false">
      <c r="A213" s="11" t="s">
        <v>3682</v>
      </c>
      <c r="B213" s="11" t="s">
        <v>207</v>
      </c>
      <c r="C213" s="11" t="s">
        <v>2829</v>
      </c>
      <c r="D213" s="11" t="s">
        <v>3683</v>
      </c>
      <c r="E213" s="11" t="s">
        <v>581</v>
      </c>
      <c r="F213" s="11" t="s">
        <v>582</v>
      </c>
      <c r="G213" s="11" t="s">
        <v>3684</v>
      </c>
      <c r="H213" s="11" t="n">
        <v>40</v>
      </c>
      <c r="I213" s="31" t="n">
        <v>54.9</v>
      </c>
      <c r="J213" s="31"/>
      <c r="K213" s="31" t="n">
        <f aca="false">MAX(ROUNDUP(I213,0),H213)</f>
        <v>55</v>
      </c>
      <c r="L213" s="31" t="str">
        <f aca="false">IF(J213="","",J213-K213)</f>
        <v/>
      </c>
      <c r="M213" s="32"/>
      <c r="N213" s="32" t="n">
        <f aca="false">IF(C213="covered",10.4,7.55)</f>
        <v>7.55</v>
      </c>
      <c r="O213" s="32" t="str">
        <f aca="false">IF(M213="","",M213-N213)</f>
        <v/>
      </c>
      <c r="P213" s="11"/>
      <c r="Q213" s="33"/>
      <c r="R213" s="33" t="str">
        <f aca="false">IF(OR(J213="",P213=""),"",K213*N213*P213)</f>
        <v/>
      </c>
      <c r="S213" s="33" t="str">
        <f aca="false">IF(Q213="","",Q213-R213)</f>
        <v/>
      </c>
      <c r="T213" s="33" t="str">
        <f aca="false">IF(S213="","",MAX(0,-S213))</f>
        <v/>
      </c>
      <c r="U213" s="33" t="str">
        <f aca="false">IF(S213="","",MAX(0,S213))</f>
        <v/>
      </c>
      <c r="V213" s="11" t="str">
        <f aca="false">IF(J213="","NOT SCORED - NO JULY MONTHLY ROW",IF(OR(ABS(L213)&gt;0.005,ABS(O213)&gt;0.005,ABS(S213)&gt;0.005),"EXCEPTION","OK"))</f>
        <v>NOT SCORED - NO JULY MONTHLY ROW</v>
      </c>
      <c r="W213" s="11"/>
      <c r="X213" s="11" t="s">
        <v>2834</v>
      </c>
      <c r="Y213" s="33" t="n">
        <f aca="false">K213*N213</f>
        <v>415.25</v>
      </c>
    </row>
    <row r="214" customFormat="false" ht="20.85" hidden="false" customHeight="false" outlineLevel="0" collapsed="false">
      <c r="A214" s="8" t="s">
        <v>479</v>
      </c>
      <c r="B214" s="8" t="s">
        <v>207</v>
      </c>
      <c r="C214" s="8" t="s">
        <v>2829</v>
      </c>
      <c r="D214" s="8" t="s">
        <v>3685</v>
      </c>
      <c r="E214" s="8" t="s">
        <v>3686</v>
      </c>
      <c r="F214" s="8" t="s">
        <v>3687</v>
      </c>
      <c r="G214" s="8" t="s">
        <v>3688</v>
      </c>
      <c r="H214" s="8" t="n">
        <v>45</v>
      </c>
      <c r="I214" s="34" t="n">
        <v>57.3</v>
      </c>
      <c r="J214" s="34"/>
      <c r="K214" s="34" t="n">
        <f aca="false">MAX(ROUNDUP(I214,0),H214)</f>
        <v>58</v>
      </c>
      <c r="L214" s="34" t="str">
        <f aca="false">IF(J214="","",J214-K214)</f>
        <v/>
      </c>
      <c r="M214" s="35"/>
      <c r="N214" s="35" t="n">
        <f aca="false">IF(C214="covered",10.4,7.55)</f>
        <v>7.55</v>
      </c>
      <c r="O214" s="35" t="str">
        <f aca="false">IF(M214="","",M214-N214)</f>
        <v/>
      </c>
      <c r="P214" s="8"/>
      <c r="Q214" s="36"/>
      <c r="R214" s="36" t="str">
        <f aca="false">IF(OR(J214="",P214=""),"",K214*N214*P214)</f>
        <v/>
      </c>
      <c r="S214" s="36" t="str">
        <f aca="false">IF(Q214="","",Q214-R214)</f>
        <v/>
      </c>
      <c r="T214" s="36" t="str">
        <f aca="false">IF(S214="","",MAX(0,-S214))</f>
        <v/>
      </c>
      <c r="U214" s="36" t="str">
        <f aca="false">IF(S214="","",MAX(0,S214))</f>
        <v/>
      </c>
      <c r="V214" s="8" t="str">
        <f aca="false">IF(J214="","NOT SCORED - NO JULY MONTHLY ROW",IF(OR(ABS(L214)&gt;0.005,ABS(O214)&gt;0.005,ABS(S214)&gt;0.005),"EXCEPTION","OK"))</f>
        <v>NOT SCORED - NO JULY MONTHLY ROW</v>
      </c>
      <c r="W214" s="8"/>
      <c r="X214" s="8" t="s">
        <v>2834</v>
      </c>
      <c r="Y214" s="36" t="n">
        <f aca="false">K214*N214</f>
        <v>437.9</v>
      </c>
    </row>
    <row r="215" customFormat="false" ht="20.85" hidden="false" customHeight="false" outlineLevel="0" collapsed="false">
      <c r="A215" s="11" t="s">
        <v>808</v>
      </c>
      <c r="B215" s="11" t="s">
        <v>207</v>
      </c>
      <c r="C215" s="11" t="s">
        <v>2829</v>
      </c>
      <c r="D215" s="11" t="s">
        <v>3689</v>
      </c>
      <c r="E215" s="11" t="s">
        <v>3690</v>
      </c>
      <c r="F215" s="11" t="s">
        <v>3691</v>
      </c>
      <c r="G215" s="11" t="s">
        <v>3692</v>
      </c>
      <c r="H215" s="11" t="n">
        <v>40</v>
      </c>
      <c r="I215" s="31" t="n">
        <v>55.3</v>
      </c>
      <c r="J215" s="31"/>
      <c r="K215" s="31" t="n">
        <f aca="false">MAX(ROUNDUP(I215,0),H215)</f>
        <v>56</v>
      </c>
      <c r="L215" s="31" t="str">
        <f aca="false">IF(J215="","",J215-K215)</f>
        <v/>
      </c>
      <c r="M215" s="32"/>
      <c r="N215" s="32" t="n">
        <f aca="false">IF(C215="covered",10.4,7.55)</f>
        <v>7.55</v>
      </c>
      <c r="O215" s="32" t="str">
        <f aca="false">IF(M215="","",M215-N215)</f>
        <v/>
      </c>
      <c r="P215" s="11"/>
      <c r="Q215" s="33"/>
      <c r="R215" s="33" t="str">
        <f aca="false">IF(OR(J215="",P215=""),"",K215*N215*P215)</f>
        <v/>
      </c>
      <c r="S215" s="33" t="str">
        <f aca="false">IF(Q215="","",Q215-R215)</f>
        <v/>
      </c>
      <c r="T215" s="33" t="str">
        <f aca="false">IF(S215="","",MAX(0,-S215))</f>
        <v/>
      </c>
      <c r="U215" s="33" t="str">
        <f aca="false">IF(S215="","",MAX(0,S215))</f>
        <v/>
      </c>
      <c r="V215" s="11" t="str">
        <f aca="false">IF(J215="","NOT SCORED - NO JULY MONTHLY ROW",IF(OR(ABS(L215)&gt;0.005,ABS(O215)&gt;0.005,ABS(S215)&gt;0.005),"EXCEPTION","OK"))</f>
        <v>NOT SCORED - NO JULY MONTHLY ROW</v>
      </c>
      <c r="W215" s="11"/>
      <c r="X215" s="11" t="s">
        <v>2834</v>
      </c>
      <c r="Y215" s="33" t="n">
        <f aca="false">K215*N215</f>
        <v>422.8</v>
      </c>
    </row>
    <row r="216" customFormat="false" ht="20.85" hidden="false" customHeight="false" outlineLevel="0" collapsed="false">
      <c r="A216" s="8" t="s">
        <v>1232</v>
      </c>
      <c r="B216" s="8" t="s">
        <v>207</v>
      </c>
      <c r="C216" s="8" t="s">
        <v>2829</v>
      </c>
      <c r="D216" s="8" t="s">
        <v>3693</v>
      </c>
      <c r="E216" s="8" t="s">
        <v>3694</v>
      </c>
      <c r="F216" s="8" t="s">
        <v>3695</v>
      </c>
      <c r="G216" s="8" t="s">
        <v>3696</v>
      </c>
      <c r="H216" s="8" t="n">
        <v>24</v>
      </c>
      <c r="I216" s="34" t="n">
        <v>32.7</v>
      </c>
      <c r="J216" s="34"/>
      <c r="K216" s="34" t="n">
        <f aca="false">MAX(ROUNDUP(I216,0),H216)</f>
        <v>33</v>
      </c>
      <c r="L216" s="34" t="str">
        <f aca="false">IF(J216="","",J216-K216)</f>
        <v/>
      </c>
      <c r="M216" s="35"/>
      <c r="N216" s="35" t="n">
        <f aca="false">IF(C216="covered",10.4,7.55)</f>
        <v>7.55</v>
      </c>
      <c r="O216" s="35" t="str">
        <f aca="false">IF(M216="","",M216-N216)</f>
        <v/>
      </c>
      <c r="P216" s="8"/>
      <c r="Q216" s="36"/>
      <c r="R216" s="36" t="str">
        <f aca="false">IF(OR(J216="",P216=""),"",K216*N216*P216)</f>
        <v/>
      </c>
      <c r="S216" s="36" t="str">
        <f aca="false">IF(Q216="","",Q216-R216)</f>
        <v/>
      </c>
      <c r="T216" s="36" t="str">
        <f aca="false">IF(S216="","",MAX(0,-S216))</f>
        <v/>
      </c>
      <c r="U216" s="36" t="str">
        <f aca="false">IF(S216="","",MAX(0,S216))</f>
        <v/>
      </c>
      <c r="V216" s="8" t="str">
        <f aca="false">IF(J216="","NOT SCORED - NO JULY MONTHLY ROW",IF(OR(ABS(L216)&gt;0.005,ABS(O216)&gt;0.005,ABS(S216)&gt;0.005),"EXCEPTION","OK"))</f>
        <v>NOT SCORED - NO JULY MONTHLY ROW</v>
      </c>
      <c r="W216" s="8"/>
      <c r="X216" s="8" t="s">
        <v>2834</v>
      </c>
      <c r="Y216" s="36" t="n">
        <f aca="false">K216*N216</f>
        <v>249.15</v>
      </c>
    </row>
    <row r="217" customFormat="false" ht="20.85" hidden="false" customHeight="false" outlineLevel="0" collapsed="false">
      <c r="A217" s="11" t="s">
        <v>1747</v>
      </c>
      <c r="B217" s="11" t="s">
        <v>207</v>
      </c>
      <c r="C217" s="11" t="s">
        <v>2829</v>
      </c>
      <c r="D217" s="11" t="s">
        <v>3697</v>
      </c>
      <c r="E217" s="11" t="s">
        <v>3698</v>
      </c>
      <c r="F217" s="11" t="s">
        <v>3699</v>
      </c>
      <c r="G217" s="11" t="s">
        <v>3700</v>
      </c>
      <c r="H217" s="11" t="n">
        <v>28</v>
      </c>
      <c r="I217" s="31" t="n">
        <v>50.7</v>
      </c>
      <c r="J217" s="31"/>
      <c r="K217" s="31" t="n">
        <f aca="false">MAX(ROUNDUP(I217,0),H217)</f>
        <v>51</v>
      </c>
      <c r="L217" s="31" t="str">
        <f aca="false">IF(J217="","",J217-K217)</f>
        <v/>
      </c>
      <c r="M217" s="32"/>
      <c r="N217" s="32" t="n">
        <f aca="false">IF(C217="covered",10.4,7.55)</f>
        <v>7.55</v>
      </c>
      <c r="O217" s="32" t="str">
        <f aca="false">IF(M217="","",M217-N217)</f>
        <v/>
      </c>
      <c r="P217" s="11"/>
      <c r="Q217" s="33"/>
      <c r="R217" s="33" t="str">
        <f aca="false">IF(OR(J217="",P217=""),"",K217*N217*P217)</f>
        <v/>
      </c>
      <c r="S217" s="33" t="str">
        <f aca="false">IF(Q217="","",Q217-R217)</f>
        <v/>
      </c>
      <c r="T217" s="33" t="str">
        <f aca="false">IF(S217="","",MAX(0,-S217))</f>
        <v/>
      </c>
      <c r="U217" s="33" t="str">
        <f aca="false">IF(S217="","",MAX(0,S217))</f>
        <v/>
      </c>
      <c r="V217" s="11" t="str">
        <f aca="false">IF(J217="","NOT SCORED - NO JULY MONTHLY ROW",IF(OR(ABS(L217)&gt;0.005,ABS(O217)&gt;0.005,ABS(S217)&gt;0.005),"EXCEPTION","OK"))</f>
        <v>NOT SCORED - NO JULY MONTHLY ROW</v>
      </c>
      <c r="W217" s="11"/>
      <c r="X217" s="11" t="s">
        <v>2834</v>
      </c>
      <c r="Y217" s="33" t="n">
        <f aca="false">K217*N217</f>
        <v>385.05</v>
      </c>
    </row>
    <row r="218" customFormat="false" ht="20.85" hidden="false" customHeight="false" outlineLevel="0" collapsed="false">
      <c r="A218" s="8" t="s">
        <v>3701</v>
      </c>
      <c r="B218" s="8" t="s">
        <v>207</v>
      </c>
      <c r="C218" s="8" t="s">
        <v>2829</v>
      </c>
      <c r="D218" s="8" t="s">
        <v>3702</v>
      </c>
      <c r="E218" s="8" t="s">
        <v>2274</v>
      </c>
      <c r="F218" s="8" t="s">
        <v>3703</v>
      </c>
      <c r="G218" s="8" t="s">
        <v>3704</v>
      </c>
      <c r="H218" s="8" t="n">
        <v>40</v>
      </c>
      <c r="I218" s="34" t="n">
        <v>28.6</v>
      </c>
      <c r="J218" s="34"/>
      <c r="K218" s="34" t="n">
        <f aca="false">MAX(ROUNDUP(I218,0),H218)</f>
        <v>40</v>
      </c>
      <c r="L218" s="34" t="str">
        <f aca="false">IF(J218="","",J218-K218)</f>
        <v/>
      </c>
      <c r="M218" s="35"/>
      <c r="N218" s="35" t="n">
        <f aca="false">IF(C218="covered",10.4,7.55)</f>
        <v>7.55</v>
      </c>
      <c r="O218" s="35" t="str">
        <f aca="false">IF(M218="","",M218-N218)</f>
        <v/>
      </c>
      <c r="P218" s="8"/>
      <c r="Q218" s="36"/>
      <c r="R218" s="36" t="str">
        <f aca="false">IF(OR(J218="",P218=""),"",K218*N218*P218)</f>
        <v/>
      </c>
      <c r="S218" s="36" t="str">
        <f aca="false">IF(Q218="","",Q218-R218)</f>
        <v/>
      </c>
      <c r="T218" s="36" t="str">
        <f aca="false">IF(S218="","",MAX(0,-S218))</f>
        <v/>
      </c>
      <c r="U218" s="36" t="str">
        <f aca="false">IF(S218="","",MAX(0,S218))</f>
        <v/>
      </c>
      <c r="V218" s="8" t="str">
        <f aca="false">IF(J218="","NOT SCORED - NO JULY MONTHLY ROW",IF(OR(ABS(L218)&gt;0.005,ABS(O218)&gt;0.005,ABS(S218)&gt;0.005),"EXCEPTION","OK"))</f>
        <v>NOT SCORED - NO JULY MONTHLY ROW</v>
      </c>
      <c r="W218" s="8"/>
      <c r="X218" s="8" t="s">
        <v>2834</v>
      </c>
      <c r="Y218" s="36" t="n">
        <f aca="false">K218*N218</f>
        <v>302</v>
      </c>
    </row>
    <row r="219" customFormat="false" ht="20.85" hidden="false" customHeight="false" outlineLevel="0" collapsed="false">
      <c r="A219" s="11" t="s">
        <v>1376</v>
      </c>
      <c r="B219" s="11" t="s">
        <v>207</v>
      </c>
      <c r="C219" s="11" t="s">
        <v>2829</v>
      </c>
      <c r="D219" s="11" t="s">
        <v>3705</v>
      </c>
      <c r="E219" s="11" t="s">
        <v>3706</v>
      </c>
      <c r="F219" s="11" t="s">
        <v>3707</v>
      </c>
      <c r="G219" s="11" t="s">
        <v>3500</v>
      </c>
      <c r="H219" s="11" t="n">
        <v>24</v>
      </c>
      <c r="I219" s="31" t="n">
        <v>31.4</v>
      </c>
      <c r="J219" s="31"/>
      <c r="K219" s="31" t="n">
        <f aca="false">MAX(ROUNDUP(I219,0),H219)</f>
        <v>32</v>
      </c>
      <c r="L219" s="31" t="str">
        <f aca="false">IF(J219="","",J219-K219)</f>
        <v/>
      </c>
      <c r="M219" s="32"/>
      <c r="N219" s="32" t="n">
        <f aca="false">IF(C219="covered",10.4,7.55)</f>
        <v>7.55</v>
      </c>
      <c r="O219" s="32" t="str">
        <f aca="false">IF(M219="","",M219-N219)</f>
        <v/>
      </c>
      <c r="P219" s="11"/>
      <c r="Q219" s="33"/>
      <c r="R219" s="33" t="str">
        <f aca="false">IF(OR(J219="",P219=""),"",K219*N219*P219)</f>
        <v/>
      </c>
      <c r="S219" s="33" t="str">
        <f aca="false">IF(Q219="","",Q219-R219)</f>
        <v/>
      </c>
      <c r="T219" s="33" t="str">
        <f aca="false">IF(S219="","",MAX(0,-S219))</f>
        <v/>
      </c>
      <c r="U219" s="33" t="str">
        <f aca="false">IF(S219="","",MAX(0,S219))</f>
        <v/>
      </c>
      <c r="V219" s="11" t="str">
        <f aca="false">IF(J219="","NOT SCORED - NO JULY MONTHLY ROW",IF(OR(ABS(L219)&gt;0.005,ABS(O219)&gt;0.005,ABS(S219)&gt;0.005),"EXCEPTION","OK"))</f>
        <v>NOT SCORED - NO JULY MONTHLY ROW</v>
      </c>
      <c r="W219" s="11"/>
      <c r="X219" s="11" t="s">
        <v>2834</v>
      </c>
      <c r="Y219" s="33" t="n">
        <f aca="false">K219*N219</f>
        <v>241.6</v>
      </c>
    </row>
    <row r="220" customFormat="false" ht="20.85" hidden="false" customHeight="false" outlineLevel="0" collapsed="false">
      <c r="A220" s="8" t="s">
        <v>1442</v>
      </c>
      <c r="B220" s="8" t="s">
        <v>207</v>
      </c>
      <c r="C220" s="8" t="s">
        <v>2829</v>
      </c>
      <c r="D220" s="8" t="s">
        <v>3708</v>
      </c>
      <c r="E220" s="8" t="s">
        <v>3709</v>
      </c>
      <c r="F220" s="8" t="s">
        <v>3710</v>
      </c>
      <c r="G220" s="8" t="s">
        <v>3711</v>
      </c>
      <c r="H220" s="8" t="n">
        <v>24</v>
      </c>
      <c r="I220" s="34" t="n">
        <v>28.3</v>
      </c>
      <c r="J220" s="34"/>
      <c r="K220" s="34" t="n">
        <f aca="false">MAX(ROUNDUP(I220,0),H220)</f>
        <v>29</v>
      </c>
      <c r="L220" s="34" t="str">
        <f aca="false">IF(J220="","",J220-K220)</f>
        <v/>
      </c>
      <c r="M220" s="35"/>
      <c r="N220" s="35" t="n">
        <f aca="false">IF(C220="covered",10.4,7.55)</f>
        <v>7.55</v>
      </c>
      <c r="O220" s="35" t="str">
        <f aca="false">IF(M220="","",M220-N220)</f>
        <v/>
      </c>
      <c r="P220" s="8"/>
      <c r="Q220" s="36"/>
      <c r="R220" s="36" t="str">
        <f aca="false">IF(OR(J220="",P220=""),"",K220*N220*P220)</f>
        <v/>
      </c>
      <c r="S220" s="36" t="str">
        <f aca="false">IF(Q220="","",Q220-R220)</f>
        <v/>
      </c>
      <c r="T220" s="36" t="str">
        <f aca="false">IF(S220="","",MAX(0,-S220))</f>
        <v/>
      </c>
      <c r="U220" s="36" t="str">
        <f aca="false">IF(S220="","",MAX(0,S220))</f>
        <v/>
      </c>
      <c r="V220" s="8" t="str">
        <f aca="false">IF(J220="","NOT SCORED - NO JULY MONTHLY ROW",IF(OR(ABS(L220)&gt;0.005,ABS(O220)&gt;0.005,ABS(S220)&gt;0.005),"EXCEPTION","OK"))</f>
        <v>NOT SCORED - NO JULY MONTHLY ROW</v>
      </c>
      <c r="W220" s="8"/>
      <c r="X220" s="8" t="s">
        <v>2834</v>
      </c>
      <c r="Y220" s="36" t="n">
        <f aca="false">K220*N220</f>
        <v>218.95</v>
      </c>
    </row>
    <row r="221" customFormat="false" ht="20.85" hidden="false" customHeight="false" outlineLevel="0" collapsed="false">
      <c r="A221" s="11" t="s">
        <v>3712</v>
      </c>
      <c r="B221" s="11" t="s">
        <v>207</v>
      </c>
      <c r="C221" s="11" t="s">
        <v>2829</v>
      </c>
      <c r="D221" s="11" t="s">
        <v>3713</v>
      </c>
      <c r="E221" s="11" t="s">
        <v>3714</v>
      </c>
      <c r="F221" s="11" t="s">
        <v>3715</v>
      </c>
      <c r="G221" s="11" t="s">
        <v>3716</v>
      </c>
      <c r="H221" s="11" t="n">
        <v>70</v>
      </c>
      <c r="I221" s="31" t="n">
        <v>53.3</v>
      </c>
      <c r="J221" s="31"/>
      <c r="K221" s="31" t="n">
        <f aca="false">MAX(ROUNDUP(I221,0),H221)</f>
        <v>70</v>
      </c>
      <c r="L221" s="31" t="str">
        <f aca="false">IF(J221="","",J221-K221)</f>
        <v/>
      </c>
      <c r="M221" s="32"/>
      <c r="N221" s="32" t="n">
        <f aca="false">IF(C221="covered",10.4,7.55)</f>
        <v>7.55</v>
      </c>
      <c r="O221" s="32" t="str">
        <f aca="false">IF(M221="","",M221-N221)</f>
        <v/>
      </c>
      <c r="P221" s="11"/>
      <c r="Q221" s="33"/>
      <c r="R221" s="33" t="str">
        <f aca="false">IF(OR(J221="",P221=""),"",K221*N221*P221)</f>
        <v/>
      </c>
      <c r="S221" s="33" t="str">
        <f aca="false">IF(Q221="","",Q221-R221)</f>
        <v/>
      </c>
      <c r="T221" s="33" t="str">
        <f aca="false">IF(S221="","",MAX(0,-S221))</f>
        <v/>
      </c>
      <c r="U221" s="33" t="str">
        <f aca="false">IF(S221="","",MAX(0,S221))</f>
        <v/>
      </c>
      <c r="V221" s="11" t="str">
        <f aca="false">IF(J221="","NOT SCORED - NO JULY MONTHLY ROW",IF(OR(ABS(L221)&gt;0.005,ABS(O221)&gt;0.005,ABS(S221)&gt;0.005),"EXCEPTION","OK"))</f>
        <v>NOT SCORED - NO JULY MONTHLY ROW</v>
      </c>
      <c r="W221" s="11"/>
      <c r="X221" s="11" t="s">
        <v>2834</v>
      </c>
      <c r="Y221" s="33" t="n">
        <f aca="false">K221*N221</f>
        <v>528.5</v>
      </c>
    </row>
    <row r="222" customFormat="false" ht="20.85" hidden="false" customHeight="false" outlineLevel="0" collapsed="false">
      <c r="A222" s="8" t="s">
        <v>3717</v>
      </c>
      <c r="B222" s="8" t="s">
        <v>207</v>
      </c>
      <c r="C222" s="8" t="s">
        <v>2829</v>
      </c>
      <c r="D222" s="8" t="s">
        <v>3718</v>
      </c>
      <c r="E222" s="8" t="s">
        <v>3719</v>
      </c>
      <c r="F222" s="8" t="s">
        <v>3720</v>
      </c>
      <c r="G222" s="8" t="s">
        <v>3721</v>
      </c>
      <c r="H222" s="8" t="n">
        <v>45</v>
      </c>
      <c r="I222" s="34" t="n">
        <v>27.8</v>
      </c>
      <c r="J222" s="34"/>
      <c r="K222" s="34" t="n">
        <f aca="false">MAX(ROUNDUP(I222,0),H222)</f>
        <v>45</v>
      </c>
      <c r="L222" s="34" t="str">
        <f aca="false">IF(J222="","",J222-K222)</f>
        <v/>
      </c>
      <c r="M222" s="35"/>
      <c r="N222" s="35" t="n">
        <f aca="false">IF(C222="covered",10.4,7.55)</f>
        <v>7.55</v>
      </c>
      <c r="O222" s="35" t="str">
        <f aca="false">IF(M222="","",M222-N222)</f>
        <v/>
      </c>
      <c r="P222" s="8"/>
      <c r="Q222" s="36"/>
      <c r="R222" s="36" t="str">
        <f aca="false">IF(OR(J222="",P222=""),"",K222*N222*P222)</f>
        <v/>
      </c>
      <c r="S222" s="36" t="str">
        <f aca="false">IF(Q222="","",Q222-R222)</f>
        <v/>
      </c>
      <c r="T222" s="36" t="str">
        <f aca="false">IF(S222="","",MAX(0,-S222))</f>
        <v/>
      </c>
      <c r="U222" s="36" t="str">
        <f aca="false">IF(S222="","",MAX(0,S222))</f>
        <v/>
      </c>
      <c r="V222" s="8" t="str">
        <f aca="false">IF(J222="","NOT SCORED - NO JULY MONTHLY ROW",IF(OR(ABS(L222)&gt;0.005,ABS(O222)&gt;0.005,ABS(S222)&gt;0.005),"EXCEPTION","OK"))</f>
        <v>NOT SCORED - NO JULY MONTHLY ROW</v>
      </c>
      <c r="W222" s="8"/>
      <c r="X222" s="8" t="s">
        <v>2834</v>
      </c>
      <c r="Y222" s="36" t="n">
        <f aca="false">K222*N222</f>
        <v>339.75</v>
      </c>
    </row>
    <row r="223" customFormat="false" ht="20.85" hidden="false" customHeight="false" outlineLevel="0" collapsed="false">
      <c r="A223" s="11" t="s">
        <v>3722</v>
      </c>
      <c r="B223" s="11" t="s">
        <v>207</v>
      </c>
      <c r="C223" s="11" t="s">
        <v>2829</v>
      </c>
      <c r="D223" s="11" t="s">
        <v>3723</v>
      </c>
      <c r="E223" s="11" t="s">
        <v>3724</v>
      </c>
      <c r="F223" s="11" t="s">
        <v>3725</v>
      </c>
      <c r="G223" s="11" t="s">
        <v>3726</v>
      </c>
      <c r="H223" s="11" t="n">
        <v>32</v>
      </c>
      <c r="I223" s="31" t="n">
        <v>59.1</v>
      </c>
      <c r="J223" s="31"/>
      <c r="K223" s="31" t="n">
        <f aca="false">MAX(ROUNDUP(I223,0),H223)</f>
        <v>60</v>
      </c>
      <c r="L223" s="31" t="str">
        <f aca="false">IF(J223="","",J223-K223)</f>
        <v/>
      </c>
      <c r="M223" s="32"/>
      <c r="N223" s="32" t="n">
        <f aca="false">IF(C223="covered",10.4,7.55)</f>
        <v>7.55</v>
      </c>
      <c r="O223" s="32" t="str">
        <f aca="false">IF(M223="","",M223-N223)</f>
        <v/>
      </c>
      <c r="P223" s="11"/>
      <c r="Q223" s="33"/>
      <c r="R223" s="33" t="str">
        <f aca="false">IF(OR(J223="",P223=""),"",K223*N223*P223)</f>
        <v/>
      </c>
      <c r="S223" s="33" t="str">
        <f aca="false">IF(Q223="","",Q223-R223)</f>
        <v/>
      </c>
      <c r="T223" s="33" t="str">
        <f aca="false">IF(S223="","",MAX(0,-S223))</f>
        <v/>
      </c>
      <c r="U223" s="33" t="str">
        <f aca="false">IF(S223="","",MAX(0,S223))</f>
        <v/>
      </c>
      <c r="V223" s="11" t="str">
        <f aca="false">IF(J223="","NOT SCORED - NO JULY MONTHLY ROW",IF(OR(ABS(L223)&gt;0.005,ABS(O223)&gt;0.005,ABS(S223)&gt;0.005),"EXCEPTION","OK"))</f>
        <v>NOT SCORED - NO JULY MONTHLY ROW</v>
      </c>
      <c r="W223" s="11"/>
      <c r="X223" s="11" t="s">
        <v>2834</v>
      </c>
      <c r="Y223" s="33" t="n">
        <f aca="false">K223*N223</f>
        <v>453</v>
      </c>
    </row>
    <row r="224" customFormat="false" ht="20.85" hidden="false" customHeight="false" outlineLevel="0" collapsed="false">
      <c r="A224" s="8" t="s">
        <v>3727</v>
      </c>
      <c r="B224" s="8" t="s">
        <v>207</v>
      </c>
      <c r="C224" s="8" t="s">
        <v>2829</v>
      </c>
      <c r="D224" s="8" t="s">
        <v>3728</v>
      </c>
      <c r="E224" s="8" t="s">
        <v>3729</v>
      </c>
      <c r="F224" s="8" t="s">
        <v>3730</v>
      </c>
      <c r="G224" s="8" t="s">
        <v>3731</v>
      </c>
      <c r="H224" s="8" t="n">
        <v>28</v>
      </c>
      <c r="I224" s="34" t="n">
        <v>41.5</v>
      </c>
      <c r="J224" s="34"/>
      <c r="K224" s="34" t="n">
        <f aca="false">MAX(ROUNDUP(I224,0),H224)</f>
        <v>42</v>
      </c>
      <c r="L224" s="34" t="str">
        <f aca="false">IF(J224="","",J224-K224)</f>
        <v/>
      </c>
      <c r="M224" s="35"/>
      <c r="N224" s="35" t="n">
        <f aca="false">IF(C224="covered",10.4,7.55)</f>
        <v>7.55</v>
      </c>
      <c r="O224" s="35" t="str">
        <f aca="false">IF(M224="","",M224-N224)</f>
        <v/>
      </c>
      <c r="P224" s="8"/>
      <c r="Q224" s="36"/>
      <c r="R224" s="36" t="str">
        <f aca="false">IF(OR(J224="",P224=""),"",K224*N224*P224)</f>
        <v/>
      </c>
      <c r="S224" s="36" t="str">
        <f aca="false">IF(Q224="","",Q224-R224)</f>
        <v/>
      </c>
      <c r="T224" s="36" t="str">
        <f aca="false">IF(S224="","",MAX(0,-S224))</f>
        <v/>
      </c>
      <c r="U224" s="36" t="str">
        <f aca="false">IF(S224="","",MAX(0,S224))</f>
        <v/>
      </c>
      <c r="V224" s="8" t="str">
        <f aca="false">IF(J224="","NOT SCORED - NO JULY MONTHLY ROW",IF(OR(ABS(L224)&gt;0.005,ABS(O224)&gt;0.005,ABS(S224)&gt;0.005),"EXCEPTION","OK"))</f>
        <v>NOT SCORED - NO JULY MONTHLY ROW</v>
      </c>
      <c r="W224" s="8"/>
      <c r="X224" s="8" t="s">
        <v>2834</v>
      </c>
      <c r="Y224" s="36" t="n">
        <f aca="false">K224*N224</f>
        <v>317.1</v>
      </c>
    </row>
    <row r="225" customFormat="false" ht="20.85" hidden="false" customHeight="false" outlineLevel="0" collapsed="false">
      <c r="A225" s="11" t="s">
        <v>2007</v>
      </c>
      <c r="B225" s="11" t="s">
        <v>207</v>
      </c>
      <c r="C225" s="11" t="s">
        <v>2829</v>
      </c>
      <c r="D225" s="11" t="s">
        <v>3732</v>
      </c>
      <c r="E225" s="11" t="s">
        <v>3733</v>
      </c>
      <c r="F225" s="11" t="s">
        <v>3734</v>
      </c>
      <c r="G225" s="11" t="s">
        <v>3735</v>
      </c>
      <c r="H225" s="11" t="n">
        <v>28</v>
      </c>
      <c r="I225" s="31" t="n">
        <v>41.9</v>
      </c>
      <c r="J225" s="31"/>
      <c r="K225" s="31" t="n">
        <f aca="false">MAX(ROUNDUP(I225,0),H225)</f>
        <v>42</v>
      </c>
      <c r="L225" s="31" t="str">
        <f aca="false">IF(J225="","",J225-K225)</f>
        <v/>
      </c>
      <c r="M225" s="32"/>
      <c r="N225" s="32" t="n">
        <f aca="false">IF(C225="covered",10.4,7.55)</f>
        <v>7.55</v>
      </c>
      <c r="O225" s="32" t="str">
        <f aca="false">IF(M225="","",M225-N225)</f>
        <v/>
      </c>
      <c r="P225" s="11"/>
      <c r="Q225" s="33"/>
      <c r="R225" s="33" t="str">
        <f aca="false">IF(OR(J225="",P225=""),"",K225*N225*P225)</f>
        <v/>
      </c>
      <c r="S225" s="33" t="str">
        <f aca="false">IF(Q225="","",Q225-R225)</f>
        <v/>
      </c>
      <c r="T225" s="33" t="str">
        <f aca="false">IF(S225="","",MAX(0,-S225))</f>
        <v/>
      </c>
      <c r="U225" s="33" t="str">
        <f aca="false">IF(S225="","",MAX(0,S225))</f>
        <v/>
      </c>
      <c r="V225" s="11" t="str">
        <f aca="false">IF(J225="","NOT SCORED - NO JULY MONTHLY ROW",IF(OR(ABS(L225)&gt;0.005,ABS(O225)&gt;0.005,ABS(S225)&gt;0.005),"EXCEPTION","OK"))</f>
        <v>NOT SCORED - NO JULY MONTHLY ROW</v>
      </c>
      <c r="W225" s="11"/>
      <c r="X225" s="11" t="s">
        <v>2834</v>
      </c>
      <c r="Y225" s="33" t="n">
        <f aca="false">K225*N225</f>
        <v>317.1</v>
      </c>
    </row>
    <row r="226" customFormat="false" ht="20.85" hidden="false" customHeight="false" outlineLevel="0" collapsed="false">
      <c r="A226" s="8" t="s">
        <v>3736</v>
      </c>
      <c r="B226" s="8" t="s">
        <v>207</v>
      </c>
      <c r="C226" s="8" t="s">
        <v>2829</v>
      </c>
      <c r="D226" s="8" t="s">
        <v>3737</v>
      </c>
      <c r="E226" s="8" t="s">
        <v>3738</v>
      </c>
      <c r="F226" s="8" t="s">
        <v>3739</v>
      </c>
      <c r="G226" s="8" t="s">
        <v>3740</v>
      </c>
      <c r="H226" s="8" t="n">
        <v>45</v>
      </c>
      <c r="I226" s="34" t="n">
        <v>38.2</v>
      </c>
      <c r="J226" s="34"/>
      <c r="K226" s="34" t="n">
        <f aca="false">MAX(ROUNDUP(I226,0),H226)</f>
        <v>45</v>
      </c>
      <c r="L226" s="34" t="str">
        <f aca="false">IF(J226="","",J226-K226)</f>
        <v/>
      </c>
      <c r="M226" s="35"/>
      <c r="N226" s="35" t="n">
        <f aca="false">IF(C226="covered",10.4,7.55)</f>
        <v>7.55</v>
      </c>
      <c r="O226" s="35" t="str">
        <f aca="false">IF(M226="","",M226-N226)</f>
        <v/>
      </c>
      <c r="P226" s="8"/>
      <c r="Q226" s="36"/>
      <c r="R226" s="36" t="str">
        <f aca="false">IF(OR(J226="",P226=""),"",K226*N226*P226)</f>
        <v/>
      </c>
      <c r="S226" s="36" t="str">
        <f aca="false">IF(Q226="","",Q226-R226)</f>
        <v/>
      </c>
      <c r="T226" s="36" t="str">
        <f aca="false">IF(S226="","",MAX(0,-S226))</f>
        <v/>
      </c>
      <c r="U226" s="36" t="str">
        <f aca="false">IF(S226="","",MAX(0,S226))</f>
        <v/>
      </c>
      <c r="V226" s="8" t="str">
        <f aca="false">IF(J226="","NOT SCORED - NO JULY MONTHLY ROW",IF(OR(ABS(L226)&gt;0.005,ABS(O226)&gt;0.005,ABS(S226)&gt;0.005),"EXCEPTION","OK"))</f>
        <v>NOT SCORED - NO JULY MONTHLY ROW</v>
      </c>
      <c r="W226" s="8"/>
      <c r="X226" s="8" t="s">
        <v>2834</v>
      </c>
      <c r="Y226" s="36" t="n">
        <f aca="false">K226*N226</f>
        <v>339.75</v>
      </c>
    </row>
    <row r="227" customFormat="false" ht="20.85" hidden="false" customHeight="false" outlineLevel="0" collapsed="false">
      <c r="A227" s="11" t="s">
        <v>1854</v>
      </c>
      <c r="B227" s="11" t="s">
        <v>207</v>
      </c>
      <c r="C227" s="11" t="s">
        <v>2829</v>
      </c>
      <c r="D227" s="11" t="s">
        <v>3741</v>
      </c>
      <c r="E227" s="11" t="s">
        <v>3742</v>
      </c>
      <c r="F227" s="11" t="s">
        <v>3743</v>
      </c>
      <c r="G227" s="11" t="s">
        <v>3744</v>
      </c>
      <c r="H227" s="11" t="n">
        <v>32</v>
      </c>
      <c r="I227" s="31" t="n">
        <v>48.2</v>
      </c>
      <c r="J227" s="31"/>
      <c r="K227" s="31" t="n">
        <f aca="false">MAX(ROUNDUP(I227,0),H227)</f>
        <v>49</v>
      </c>
      <c r="L227" s="31" t="str">
        <f aca="false">IF(J227="","",J227-K227)</f>
        <v/>
      </c>
      <c r="M227" s="32"/>
      <c r="N227" s="32" t="n">
        <f aca="false">IF(C227="covered",10.4,7.55)</f>
        <v>7.55</v>
      </c>
      <c r="O227" s="32" t="str">
        <f aca="false">IF(M227="","",M227-N227)</f>
        <v/>
      </c>
      <c r="P227" s="11"/>
      <c r="Q227" s="33"/>
      <c r="R227" s="33" t="str">
        <f aca="false">IF(OR(J227="",P227=""),"",K227*N227*P227)</f>
        <v/>
      </c>
      <c r="S227" s="33" t="str">
        <f aca="false">IF(Q227="","",Q227-R227)</f>
        <v/>
      </c>
      <c r="T227" s="33" t="str">
        <f aca="false">IF(S227="","",MAX(0,-S227))</f>
        <v/>
      </c>
      <c r="U227" s="33" t="str">
        <f aca="false">IF(S227="","",MAX(0,S227))</f>
        <v/>
      </c>
      <c r="V227" s="11" t="str">
        <f aca="false">IF(J227="","NOT SCORED - NO JULY MONTHLY ROW",IF(OR(ABS(L227)&gt;0.005,ABS(O227)&gt;0.005,ABS(S227)&gt;0.005),"EXCEPTION","OK"))</f>
        <v>NOT SCORED - NO JULY MONTHLY ROW</v>
      </c>
      <c r="W227" s="11"/>
      <c r="X227" s="11" t="s">
        <v>2834</v>
      </c>
      <c r="Y227" s="33" t="n">
        <f aca="false">K227*N227</f>
        <v>369.95</v>
      </c>
    </row>
    <row r="228" customFormat="false" ht="20.85" hidden="false" customHeight="false" outlineLevel="0" collapsed="false">
      <c r="A228" s="8" t="s">
        <v>1535</v>
      </c>
      <c r="B228" s="8" t="s">
        <v>207</v>
      </c>
      <c r="C228" s="8" t="s">
        <v>2829</v>
      </c>
      <c r="D228" s="8" t="s">
        <v>3745</v>
      </c>
      <c r="E228" s="8" t="s">
        <v>3746</v>
      </c>
      <c r="F228" s="8" t="s">
        <v>3747</v>
      </c>
      <c r="G228" s="8" t="s">
        <v>3748</v>
      </c>
      <c r="H228" s="8" t="n">
        <v>32</v>
      </c>
      <c r="I228" s="34" t="n">
        <v>61.2</v>
      </c>
      <c r="J228" s="34"/>
      <c r="K228" s="34" t="n">
        <f aca="false">MAX(ROUNDUP(I228,0),H228)</f>
        <v>62</v>
      </c>
      <c r="L228" s="34" t="str">
        <f aca="false">IF(J228="","",J228-K228)</f>
        <v/>
      </c>
      <c r="M228" s="35"/>
      <c r="N228" s="35" t="n">
        <f aca="false">IF(C228="covered",10.4,7.55)</f>
        <v>7.55</v>
      </c>
      <c r="O228" s="35" t="str">
        <f aca="false">IF(M228="","",M228-N228)</f>
        <v/>
      </c>
      <c r="P228" s="8"/>
      <c r="Q228" s="36"/>
      <c r="R228" s="36" t="str">
        <f aca="false">IF(OR(J228="",P228=""),"",K228*N228*P228)</f>
        <v/>
      </c>
      <c r="S228" s="36" t="str">
        <f aca="false">IF(Q228="","",Q228-R228)</f>
        <v/>
      </c>
      <c r="T228" s="36" t="str">
        <f aca="false">IF(S228="","",MAX(0,-S228))</f>
        <v/>
      </c>
      <c r="U228" s="36" t="str">
        <f aca="false">IF(S228="","",MAX(0,S228))</f>
        <v/>
      </c>
      <c r="V228" s="8" t="str">
        <f aca="false">IF(J228="","NOT SCORED - NO JULY MONTHLY ROW",IF(OR(ABS(L228)&gt;0.005,ABS(O228)&gt;0.005,ABS(S228)&gt;0.005),"EXCEPTION","OK"))</f>
        <v>NOT SCORED - NO JULY MONTHLY ROW</v>
      </c>
      <c r="W228" s="8"/>
      <c r="X228" s="8" t="s">
        <v>2834</v>
      </c>
      <c r="Y228" s="36" t="n">
        <f aca="false">K228*N228</f>
        <v>468.1</v>
      </c>
    </row>
    <row r="229" customFormat="false" ht="20.85" hidden="false" customHeight="false" outlineLevel="0" collapsed="false">
      <c r="A229" s="11" t="s">
        <v>3749</v>
      </c>
      <c r="B229" s="11" t="s">
        <v>207</v>
      </c>
      <c r="C229" s="11" t="s">
        <v>2829</v>
      </c>
      <c r="D229" s="11" t="s">
        <v>3750</v>
      </c>
      <c r="E229" s="11" t="s">
        <v>3751</v>
      </c>
      <c r="F229" s="11" t="s">
        <v>3752</v>
      </c>
      <c r="G229" s="11" t="s">
        <v>3744</v>
      </c>
      <c r="H229" s="11" t="n">
        <v>60</v>
      </c>
      <c r="I229" s="31" t="n">
        <v>48.4</v>
      </c>
      <c r="J229" s="31"/>
      <c r="K229" s="31" t="n">
        <f aca="false">MAX(ROUNDUP(I229,0),H229)</f>
        <v>60</v>
      </c>
      <c r="L229" s="31" t="str">
        <f aca="false">IF(J229="","",J229-K229)</f>
        <v/>
      </c>
      <c r="M229" s="32"/>
      <c r="N229" s="32" t="n">
        <f aca="false">IF(C229="covered",10.4,7.55)</f>
        <v>7.55</v>
      </c>
      <c r="O229" s="32" t="str">
        <f aca="false">IF(M229="","",M229-N229)</f>
        <v/>
      </c>
      <c r="P229" s="11"/>
      <c r="Q229" s="33"/>
      <c r="R229" s="33" t="str">
        <f aca="false">IF(OR(J229="",P229=""),"",K229*N229*P229)</f>
        <v/>
      </c>
      <c r="S229" s="33" t="str">
        <f aca="false">IF(Q229="","",Q229-R229)</f>
        <v/>
      </c>
      <c r="T229" s="33" t="str">
        <f aca="false">IF(S229="","",MAX(0,-S229))</f>
        <v/>
      </c>
      <c r="U229" s="33" t="str">
        <f aca="false">IF(S229="","",MAX(0,S229))</f>
        <v/>
      </c>
      <c r="V229" s="11" t="str">
        <f aca="false">IF(J229="","NOT SCORED - NO JULY MONTHLY ROW",IF(OR(ABS(L229)&gt;0.005,ABS(O229)&gt;0.005,ABS(S229)&gt;0.005),"EXCEPTION","OK"))</f>
        <v>NOT SCORED - NO JULY MONTHLY ROW</v>
      </c>
      <c r="W229" s="11"/>
      <c r="X229" s="11" t="s">
        <v>2834</v>
      </c>
      <c r="Y229" s="33" t="n">
        <f aca="false">K229*N229</f>
        <v>453</v>
      </c>
    </row>
    <row r="230" customFormat="false" ht="20.85" hidden="false" customHeight="false" outlineLevel="0" collapsed="false">
      <c r="A230" s="8" t="s">
        <v>3753</v>
      </c>
      <c r="B230" s="8" t="s">
        <v>207</v>
      </c>
      <c r="C230" s="8" t="s">
        <v>2829</v>
      </c>
      <c r="D230" s="8" t="s">
        <v>3754</v>
      </c>
      <c r="E230" s="8" t="s">
        <v>3755</v>
      </c>
      <c r="F230" s="8" t="s">
        <v>3756</v>
      </c>
      <c r="G230" s="8" t="s">
        <v>3757</v>
      </c>
      <c r="H230" s="8" t="n">
        <v>24</v>
      </c>
      <c r="I230" s="34" t="n">
        <v>26.5</v>
      </c>
      <c r="J230" s="34"/>
      <c r="K230" s="34" t="n">
        <f aca="false">MAX(ROUNDUP(I230,0),H230)</f>
        <v>27</v>
      </c>
      <c r="L230" s="34" t="str">
        <f aca="false">IF(J230="","",J230-K230)</f>
        <v/>
      </c>
      <c r="M230" s="35"/>
      <c r="N230" s="35" t="n">
        <f aca="false">IF(C230="covered",10.4,7.55)</f>
        <v>7.55</v>
      </c>
      <c r="O230" s="35" t="str">
        <f aca="false">IF(M230="","",M230-N230)</f>
        <v/>
      </c>
      <c r="P230" s="8"/>
      <c r="Q230" s="36"/>
      <c r="R230" s="36" t="str">
        <f aca="false">IF(OR(J230="",P230=""),"",K230*N230*P230)</f>
        <v/>
      </c>
      <c r="S230" s="36" t="str">
        <f aca="false">IF(Q230="","",Q230-R230)</f>
        <v/>
      </c>
      <c r="T230" s="36" t="str">
        <f aca="false">IF(S230="","",MAX(0,-S230))</f>
        <v/>
      </c>
      <c r="U230" s="36" t="str">
        <f aca="false">IF(S230="","",MAX(0,S230))</f>
        <v/>
      </c>
      <c r="V230" s="8" t="str">
        <f aca="false">IF(J230="","NOT SCORED - NO JULY MONTHLY ROW",IF(OR(ABS(L230)&gt;0.005,ABS(O230)&gt;0.005,ABS(S230)&gt;0.005),"EXCEPTION","OK"))</f>
        <v>NOT SCORED - NO JULY MONTHLY ROW</v>
      </c>
      <c r="W230" s="8"/>
      <c r="X230" s="8" t="s">
        <v>2834</v>
      </c>
      <c r="Y230" s="36" t="n">
        <f aca="false">K230*N230</f>
        <v>203.85</v>
      </c>
    </row>
    <row r="231" customFormat="false" ht="20.85" hidden="false" customHeight="false" outlineLevel="0" collapsed="false">
      <c r="A231" s="11" t="s">
        <v>3758</v>
      </c>
      <c r="B231" s="11" t="s">
        <v>207</v>
      </c>
      <c r="C231" s="11" t="s">
        <v>2829</v>
      </c>
      <c r="D231" s="11" t="s">
        <v>3759</v>
      </c>
      <c r="E231" s="11" t="s">
        <v>3760</v>
      </c>
      <c r="F231" s="11" t="s">
        <v>3761</v>
      </c>
      <c r="G231" s="11" t="s">
        <v>3500</v>
      </c>
      <c r="H231" s="11" t="n">
        <v>80</v>
      </c>
      <c r="I231" s="31" t="n">
        <v>53.2</v>
      </c>
      <c r="J231" s="31"/>
      <c r="K231" s="31" t="n">
        <f aca="false">MAX(ROUNDUP(I231,0),H231)</f>
        <v>80</v>
      </c>
      <c r="L231" s="31" t="str">
        <f aca="false">IF(J231="","",J231-K231)</f>
        <v/>
      </c>
      <c r="M231" s="32"/>
      <c r="N231" s="32" t="n">
        <f aca="false">IF(C231="covered",10.4,7.55)</f>
        <v>7.55</v>
      </c>
      <c r="O231" s="32" t="str">
        <f aca="false">IF(M231="","",M231-N231)</f>
        <v/>
      </c>
      <c r="P231" s="11"/>
      <c r="Q231" s="33"/>
      <c r="R231" s="33" t="str">
        <f aca="false">IF(OR(J231="",P231=""),"",K231*N231*P231)</f>
        <v/>
      </c>
      <c r="S231" s="33" t="str">
        <f aca="false">IF(Q231="","",Q231-R231)</f>
        <v/>
      </c>
      <c r="T231" s="33" t="str">
        <f aca="false">IF(S231="","",MAX(0,-S231))</f>
        <v/>
      </c>
      <c r="U231" s="33" t="str">
        <f aca="false">IF(S231="","",MAX(0,S231))</f>
        <v/>
      </c>
      <c r="V231" s="11" t="str">
        <f aca="false">IF(J231="","NOT SCORED - NO JULY MONTHLY ROW",IF(OR(ABS(L231)&gt;0.005,ABS(O231)&gt;0.005,ABS(S231)&gt;0.005),"EXCEPTION","OK"))</f>
        <v>NOT SCORED - NO JULY MONTHLY ROW</v>
      </c>
      <c r="W231" s="11"/>
      <c r="X231" s="11" t="s">
        <v>2834</v>
      </c>
      <c r="Y231" s="33" t="n">
        <f aca="false">K231*N231</f>
        <v>604</v>
      </c>
    </row>
    <row r="232" customFormat="false" ht="20.85" hidden="false" customHeight="false" outlineLevel="0" collapsed="false">
      <c r="A232" s="8" t="s">
        <v>3762</v>
      </c>
      <c r="B232" s="8" t="s">
        <v>207</v>
      </c>
      <c r="C232" s="8" t="s">
        <v>2829</v>
      </c>
      <c r="D232" s="8" t="s">
        <v>3763</v>
      </c>
      <c r="E232" s="8" t="s">
        <v>3764</v>
      </c>
      <c r="F232" s="8" t="s">
        <v>3765</v>
      </c>
      <c r="G232" s="8" t="s">
        <v>3766</v>
      </c>
      <c r="H232" s="8" t="n">
        <v>24</v>
      </c>
      <c r="I232" s="34" t="n">
        <v>52.5</v>
      </c>
      <c r="J232" s="34"/>
      <c r="K232" s="34" t="n">
        <f aca="false">MAX(ROUNDUP(I232,0),H232)</f>
        <v>53</v>
      </c>
      <c r="L232" s="34" t="str">
        <f aca="false">IF(J232="","",J232-K232)</f>
        <v/>
      </c>
      <c r="M232" s="35"/>
      <c r="N232" s="35" t="n">
        <f aca="false">IF(C232="covered",10.4,7.55)</f>
        <v>7.55</v>
      </c>
      <c r="O232" s="35" t="str">
        <f aca="false">IF(M232="","",M232-N232)</f>
        <v/>
      </c>
      <c r="P232" s="8"/>
      <c r="Q232" s="36"/>
      <c r="R232" s="36" t="str">
        <f aca="false">IF(OR(J232="",P232=""),"",K232*N232*P232)</f>
        <v/>
      </c>
      <c r="S232" s="36" t="str">
        <f aca="false">IF(Q232="","",Q232-R232)</f>
        <v/>
      </c>
      <c r="T232" s="36" t="str">
        <f aca="false">IF(S232="","",MAX(0,-S232))</f>
        <v/>
      </c>
      <c r="U232" s="36" t="str">
        <f aca="false">IF(S232="","",MAX(0,S232))</f>
        <v/>
      </c>
      <c r="V232" s="8" t="str">
        <f aca="false">IF(J232="","NOT SCORED - NO JULY MONTHLY ROW",IF(OR(ABS(L232)&gt;0.005,ABS(O232)&gt;0.005,ABS(S232)&gt;0.005),"EXCEPTION","OK"))</f>
        <v>NOT SCORED - NO JULY MONTHLY ROW</v>
      </c>
      <c r="W232" s="8"/>
      <c r="X232" s="8" t="s">
        <v>2834</v>
      </c>
      <c r="Y232" s="36" t="n">
        <f aca="false">K232*N232</f>
        <v>400.15</v>
      </c>
    </row>
    <row r="233" customFormat="false" ht="20.85" hidden="false" customHeight="false" outlineLevel="0" collapsed="false">
      <c r="A233" s="11" t="s">
        <v>3767</v>
      </c>
      <c r="B233" s="11" t="s">
        <v>207</v>
      </c>
      <c r="C233" s="11" t="s">
        <v>2829</v>
      </c>
      <c r="D233" s="11" t="s">
        <v>2830</v>
      </c>
      <c r="E233" s="11" t="s">
        <v>3768</v>
      </c>
      <c r="F233" s="11" t="s">
        <v>3769</v>
      </c>
      <c r="G233" s="11" t="s">
        <v>3770</v>
      </c>
      <c r="H233" s="11" t="n">
        <v>80</v>
      </c>
      <c r="I233" s="31" t="n">
        <v>40.6</v>
      </c>
      <c r="J233" s="31"/>
      <c r="K233" s="31" t="n">
        <f aca="false">MAX(ROUNDUP(I233,0),H233)</f>
        <v>80</v>
      </c>
      <c r="L233" s="31" t="str">
        <f aca="false">IF(J233="","",J233-K233)</f>
        <v/>
      </c>
      <c r="M233" s="32"/>
      <c r="N233" s="32" t="n">
        <f aca="false">IF(C233="covered",10.4,7.55)</f>
        <v>7.55</v>
      </c>
      <c r="O233" s="32" t="str">
        <f aca="false">IF(M233="","",M233-N233)</f>
        <v/>
      </c>
      <c r="P233" s="11"/>
      <c r="Q233" s="33"/>
      <c r="R233" s="33" t="str">
        <f aca="false">IF(OR(J233="",P233=""),"",K233*N233*P233)</f>
        <v/>
      </c>
      <c r="S233" s="33" t="str">
        <f aca="false">IF(Q233="","",Q233-R233)</f>
        <v/>
      </c>
      <c r="T233" s="33" t="str">
        <f aca="false">IF(S233="","",MAX(0,-S233))</f>
        <v/>
      </c>
      <c r="U233" s="33" t="str">
        <f aca="false">IF(S233="","",MAX(0,S233))</f>
        <v/>
      </c>
      <c r="V233" s="11" t="str">
        <f aca="false">IF(J233="","NOT SCORED - NO JULY MONTHLY ROW",IF(OR(ABS(L233)&gt;0.005,ABS(O233)&gt;0.005,ABS(S233)&gt;0.005),"EXCEPTION","OK"))</f>
        <v>NOT SCORED - NO JULY MONTHLY ROW</v>
      </c>
      <c r="W233" s="11"/>
      <c r="X233" s="11" t="s">
        <v>2834</v>
      </c>
      <c r="Y233" s="33" t="n">
        <f aca="false">K233*N233</f>
        <v>604</v>
      </c>
    </row>
    <row r="234" customFormat="false" ht="20.85" hidden="false" customHeight="false" outlineLevel="0" collapsed="false">
      <c r="A234" s="8" t="s">
        <v>3771</v>
      </c>
      <c r="B234" s="8" t="s">
        <v>207</v>
      </c>
      <c r="C234" s="8" t="s">
        <v>2829</v>
      </c>
      <c r="D234" s="8" t="s">
        <v>2836</v>
      </c>
      <c r="E234" s="8" t="s">
        <v>3772</v>
      </c>
      <c r="F234" s="8" t="s">
        <v>3773</v>
      </c>
      <c r="G234" s="8" t="s">
        <v>3774</v>
      </c>
      <c r="H234" s="8" t="n">
        <v>45</v>
      </c>
      <c r="I234" s="34" t="n">
        <v>37.5</v>
      </c>
      <c r="J234" s="34"/>
      <c r="K234" s="34" t="n">
        <f aca="false">MAX(ROUNDUP(I234,0),H234)</f>
        <v>45</v>
      </c>
      <c r="L234" s="34" t="str">
        <f aca="false">IF(J234="","",J234-K234)</f>
        <v/>
      </c>
      <c r="M234" s="35"/>
      <c r="N234" s="35" t="n">
        <f aca="false">IF(C234="covered",10.4,7.55)</f>
        <v>7.55</v>
      </c>
      <c r="O234" s="35" t="str">
        <f aca="false">IF(M234="","",M234-N234)</f>
        <v/>
      </c>
      <c r="P234" s="8"/>
      <c r="Q234" s="36"/>
      <c r="R234" s="36" t="str">
        <f aca="false">IF(OR(J234="",P234=""),"",K234*N234*P234)</f>
        <v/>
      </c>
      <c r="S234" s="36" t="str">
        <f aca="false">IF(Q234="","",Q234-R234)</f>
        <v/>
      </c>
      <c r="T234" s="36" t="str">
        <f aca="false">IF(S234="","",MAX(0,-S234))</f>
        <v/>
      </c>
      <c r="U234" s="36" t="str">
        <f aca="false">IF(S234="","",MAX(0,S234))</f>
        <v/>
      </c>
      <c r="V234" s="8" t="str">
        <f aca="false">IF(J234="","NOT SCORED - NO JULY MONTHLY ROW",IF(OR(ABS(L234)&gt;0.005,ABS(O234)&gt;0.005,ABS(S234)&gt;0.005),"EXCEPTION","OK"))</f>
        <v>NOT SCORED - NO JULY MONTHLY ROW</v>
      </c>
      <c r="W234" s="8"/>
      <c r="X234" s="8" t="s">
        <v>2834</v>
      </c>
      <c r="Y234" s="36" t="n">
        <f aca="false">K234*N234</f>
        <v>339.75</v>
      </c>
    </row>
    <row r="235" customFormat="false" ht="20.85" hidden="false" customHeight="false" outlineLevel="0" collapsed="false">
      <c r="A235" s="11" t="s">
        <v>3775</v>
      </c>
      <c r="B235" s="11" t="s">
        <v>207</v>
      </c>
      <c r="C235" s="11" t="s">
        <v>2829</v>
      </c>
      <c r="D235" s="11" t="s">
        <v>2841</v>
      </c>
      <c r="E235" s="11" t="s">
        <v>3776</v>
      </c>
      <c r="F235" s="11" t="s">
        <v>3777</v>
      </c>
      <c r="G235" s="11" t="s">
        <v>3778</v>
      </c>
      <c r="H235" s="11" t="n">
        <v>70</v>
      </c>
      <c r="I235" s="31" t="n">
        <v>54.6</v>
      </c>
      <c r="J235" s="31"/>
      <c r="K235" s="31" t="n">
        <f aca="false">MAX(ROUNDUP(I235,0),H235)</f>
        <v>70</v>
      </c>
      <c r="L235" s="31" t="str">
        <f aca="false">IF(J235="","",J235-K235)</f>
        <v/>
      </c>
      <c r="M235" s="32"/>
      <c r="N235" s="32" t="n">
        <f aca="false">IF(C235="covered",10.4,7.55)</f>
        <v>7.55</v>
      </c>
      <c r="O235" s="32" t="str">
        <f aca="false">IF(M235="","",M235-N235)</f>
        <v/>
      </c>
      <c r="P235" s="11"/>
      <c r="Q235" s="33"/>
      <c r="R235" s="33" t="str">
        <f aca="false">IF(OR(J235="",P235=""),"",K235*N235*P235)</f>
        <v/>
      </c>
      <c r="S235" s="33" t="str">
        <f aca="false">IF(Q235="","",Q235-R235)</f>
        <v/>
      </c>
      <c r="T235" s="33" t="str">
        <f aca="false">IF(S235="","",MAX(0,-S235))</f>
        <v/>
      </c>
      <c r="U235" s="33" t="str">
        <f aca="false">IF(S235="","",MAX(0,S235))</f>
        <v/>
      </c>
      <c r="V235" s="11" t="str">
        <f aca="false">IF(J235="","NOT SCORED - NO JULY MONTHLY ROW",IF(OR(ABS(L235)&gt;0.005,ABS(O235)&gt;0.005,ABS(S235)&gt;0.005),"EXCEPTION","OK"))</f>
        <v>NOT SCORED - NO JULY MONTHLY ROW</v>
      </c>
      <c r="W235" s="11"/>
      <c r="X235" s="11" t="s">
        <v>2834</v>
      </c>
      <c r="Y235" s="33" t="n">
        <f aca="false">K235*N235</f>
        <v>528.5</v>
      </c>
    </row>
    <row r="236" customFormat="false" ht="20.85" hidden="false" customHeight="false" outlineLevel="0" collapsed="false">
      <c r="A236" s="8" t="s">
        <v>3779</v>
      </c>
      <c r="B236" s="8" t="s">
        <v>207</v>
      </c>
      <c r="C236" s="8" t="s">
        <v>2829</v>
      </c>
      <c r="D236" s="8" t="s">
        <v>2846</v>
      </c>
      <c r="E236" s="8" t="s">
        <v>3780</v>
      </c>
      <c r="F236" s="8" t="s">
        <v>3781</v>
      </c>
      <c r="G236" s="8" t="s">
        <v>3782</v>
      </c>
      <c r="H236" s="8" t="n">
        <v>80</v>
      </c>
      <c r="I236" s="34" t="n">
        <v>46.1</v>
      </c>
      <c r="J236" s="34"/>
      <c r="K236" s="34" t="n">
        <f aca="false">MAX(ROUNDUP(I236,0),H236)</f>
        <v>80</v>
      </c>
      <c r="L236" s="34" t="str">
        <f aca="false">IF(J236="","",J236-K236)</f>
        <v/>
      </c>
      <c r="M236" s="35"/>
      <c r="N236" s="35" t="n">
        <f aca="false">IF(C236="covered",10.4,7.55)</f>
        <v>7.55</v>
      </c>
      <c r="O236" s="35" t="str">
        <f aca="false">IF(M236="","",M236-N236)</f>
        <v/>
      </c>
      <c r="P236" s="8"/>
      <c r="Q236" s="36"/>
      <c r="R236" s="36" t="str">
        <f aca="false">IF(OR(J236="",P236=""),"",K236*N236*P236)</f>
        <v/>
      </c>
      <c r="S236" s="36" t="str">
        <f aca="false">IF(Q236="","",Q236-R236)</f>
        <v/>
      </c>
      <c r="T236" s="36" t="str">
        <f aca="false">IF(S236="","",MAX(0,-S236))</f>
        <v/>
      </c>
      <c r="U236" s="36" t="str">
        <f aca="false">IF(S236="","",MAX(0,S236))</f>
        <v/>
      </c>
      <c r="V236" s="8" t="str">
        <f aca="false">IF(J236="","NOT SCORED - NO JULY MONTHLY ROW",IF(OR(ABS(L236)&gt;0.005,ABS(O236)&gt;0.005,ABS(S236)&gt;0.005),"EXCEPTION","OK"))</f>
        <v>NOT SCORED - NO JULY MONTHLY ROW</v>
      </c>
      <c r="W236" s="8"/>
      <c r="X236" s="8" t="s">
        <v>2834</v>
      </c>
      <c r="Y236" s="36" t="n">
        <f aca="false">K236*N236</f>
        <v>604</v>
      </c>
    </row>
    <row r="237" customFormat="false" ht="20.85" hidden="false" customHeight="false" outlineLevel="0" collapsed="false">
      <c r="A237" s="11" t="s">
        <v>3783</v>
      </c>
      <c r="B237" s="11" t="s">
        <v>207</v>
      </c>
      <c r="C237" s="11" t="s">
        <v>2829</v>
      </c>
      <c r="D237" s="11" t="s">
        <v>2849</v>
      </c>
      <c r="E237" s="11" t="s">
        <v>1333</v>
      </c>
      <c r="F237" s="11" t="s">
        <v>1334</v>
      </c>
      <c r="G237" s="11" t="s">
        <v>3784</v>
      </c>
      <c r="H237" s="11" t="n">
        <v>32</v>
      </c>
      <c r="I237" s="31" t="n">
        <v>47.8</v>
      </c>
      <c r="J237" s="31"/>
      <c r="K237" s="31" t="n">
        <f aca="false">MAX(ROUNDUP(I237,0),H237)</f>
        <v>48</v>
      </c>
      <c r="L237" s="31" t="str">
        <f aca="false">IF(J237="","",J237-K237)</f>
        <v/>
      </c>
      <c r="M237" s="32"/>
      <c r="N237" s="32" t="n">
        <f aca="false">IF(C237="covered",10.4,7.55)</f>
        <v>7.55</v>
      </c>
      <c r="O237" s="32" t="str">
        <f aca="false">IF(M237="","",M237-N237)</f>
        <v/>
      </c>
      <c r="P237" s="11"/>
      <c r="Q237" s="33"/>
      <c r="R237" s="33" t="str">
        <f aca="false">IF(OR(J237="",P237=""),"",K237*N237*P237)</f>
        <v/>
      </c>
      <c r="S237" s="33" t="str">
        <f aca="false">IF(Q237="","",Q237-R237)</f>
        <v/>
      </c>
      <c r="T237" s="33" t="str">
        <f aca="false">IF(S237="","",MAX(0,-S237))</f>
        <v/>
      </c>
      <c r="U237" s="33" t="str">
        <f aca="false">IF(S237="","",MAX(0,S237))</f>
        <v/>
      </c>
      <c r="V237" s="11" t="str">
        <f aca="false">IF(J237="","NOT SCORED - NO JULY MONTHLY ROW",IF(OR(ABS(L237)&gt;0.005,ABS(O237)&gt;0.005,ABS(S237)&gt;0.005),"EXCEPTION","OK"))</f>
        <v>NOT SCORED - NO JULY MONTHLY ROW</v>
      </c>
      <c r="W237" s="11"/>
      <c r="X237" s="11" t="s">
        <v>2834</v>
      </c>
      <c r="Y237" s="33" t="n">
        <f aca="false">K237*N237</f>
        <v>362.4</v>
      </c>
    </row>
    <row r="238" customFormat="false" ht="20.85" hidden="false" customHeight="false" outlineLevel="0" collapsed="false">
      <c r="A238" s="8" t="s">
        <v>3785</v>
      </c>
      <c r="B238" s="8" t="s">
        <v>207</v>
      </c>
      <c r="C238" s="8" t="s">
        <v>2829</v>
      </c>
      <c r="D238" s="8" t="s">
        <v>2852</v>
      </c>
      <c r="E238" s="8" t="s">
        <v>3786</v>
      </c>
      <c r="F238" s="8" t="s">
        <v>3787</v>
      </c>
      <c r="G238" s="8" t="s">
        <v>3410</v>
      </c>
      <c r="H238" s="8" t="n">
        <v>24</v>
      </c>
      <c r="I238" s="34" t="n">
        <v>27.5</v>
      </c>
      <c r="J238" s="34"/>
      <c r="K238" s="34" t="n">
        <f aca="false">MAX(ROUNDUP(I238,0),H238)</f>
        <v>28</v>
      </c>
      <c r="L238" s="34" t="str">
        <f aca="false">IF(J238="","",J238-K238)</f>
        <v/>
      </c>
      <c r="M238" s="35"/>
      <c r="N238" s="35" t="n">
        <f aca="false">IF(C238="covered",10.4,7.55)</f>
        <v>7.55</v>
      </c>
      <c r="O238" s="35" t="str">
        <f aca="false">IF(M238="","",M238-N238)</f>
        <v/>
      </c>
      <c r="P238" s="8"/>
      <c r="Q238" s="36"/>
      <c r="R238" s="36" t="str">
        <f aca="false">IF(OR(J238="",P238=""),"",K238*N238*P238)</f>
        <v/>
      </c>
      <c r="S238" s="36" t="str">
        <f aca="false">IF(Q238="","",Q238-R238)</f>
        <v/>
      </c>
      <c r="T238" s="36" t="str">
        <f aca="false">IF(S238="","",MAX(0,-S238))</f>
        <v/>
      </c>
      <c r="U238" s="36" t="str">
        <f aca="false">IF(S238="","",MAX(0,S238))</f>
        <v/>
      </c>
      <c r="V238" s="8" t="str">
        <f aca="false">IF(J238="","NOT SCORED - NO JULY MONTHLY ROW",IF(OR(ABS(L238)&gt;0.005,ABS(O238)&gt;0.005,ABS(S238)&gt;0.005),"EXCEPTION","OK"))</f>
        <v>NOT SCORED - NO JULY MONTHLY ROW</v>
      </c>
      <c r="W238" s="8"/>
      <c r="X238" s="8" t="s">
        <v>2834</v>
      </c>
      <c r="Y238" s="36" t="n">
        <f aca="false">K238*N238</f>
        <v>211.4</v>
      </c>
    </row>
    <row r="239" customFormat="false" ht="20.85" hidden="false" customHeight="false" outlineLevel="0" collapsed="false">
      <c r="A239" s="11" t="s">
        <v>3788</v>
      </c>
      <c r="B239" s="11" t="s">
        <v>207</v>
      </c>
      <c r="C239" s="11" t="s">
        <v>2829</v>
      </c>
      <c r="D239" s="11" t="s">
        <v>2861</v>
      </c>
      <c r="E239" s="11" t="s">
        <v>3789</v>
      </c>
      <c r="F239" s="11" t="s">
        <v>3790</v>
      </c>
      <c r="G239" s="11" t="s">
        <v>3791</v>
      </c>
      <c r="H239" s="11" t="n">
        <v>32</v>
      </c>
      <c r="I239" s="31" t="n">
        <v>35.6</v>
      </c>
      <c r="J239" s="31"/>
      <c r="K239" s="31" t="n">
        <f aca="false">MAX(ROUNDUP(I239,0),H239)</f>
        <v>36</v>
      </c>
      <c r="L239" s="31" t="str">
        <f aca="false">IF(J239="","",J239-K239)</f>
        <v/>
      </c>
      <c r="M239" s="32"/>
      <c r="N239" s="32" t="n">
        <f aca="false">IF(C239="covered",10.4,7.55)</f>
        <v>7.55</v>
      </c>
      <c r="O239" s="32" t="str">
        <f aca="false">IF(M239="","",M239-N239)</f>
        <v/>
      </c>
      <c r="P239" s="11"/>
      <c r="Q239" s="33"/>
      <c r="R239" s="33" t="str">
        <f aca="false">IF(OR(J239="",P239=""),"",K239*N239*P239)</f>
        <v/>
      </c>
      <c r="S239" s="33" t="str">
        <f aca="false">IF(Q239="","",Q239-R239)</f>
        <v/>
      </c>
      <c r="T239" s="33" t="str">
        <f aca="false">IF(S239="","",MAX(0,-S239))</f>
        <v/>
      </c>
      <c r="U239" s="33" t="str">
        <f aca="false">IF(S239="","",MAX(0,S239))</f>
        <v/>
      </c>
      <c r="V239" s="11" t="str">
        <f aca="false">IF(J239="","NOT SCORED - NO JULY MONTHLY ROW",IF(OR(ABS(L239)&gt;0.005,ABS(O239)&gt;0.005,ABS(S239)&gt;0.005),"EXCEPTION","OK"))</f>
        <v>NOT SCORED - NO JULY MONTHLY ROW</v>
      </c>
      <c r="W239" s="11"/>
      <c r="X239" s="11" t="s">
        <v>2834</v>
      </c>
      <c r="Y239" s="33" t="n">
        <f aca="false">K239*N239</f>
        <v>271.8</v>
      </c>
    </row>
    <row r="240" customFormat="false" ht="20.85" hidden="false" customHeight="false" outlineLevel="0" collapsed="false">
      <c r="A240" s="8" t="s">
        <v>3792</v>
      </c>
      <c r="B240" s="8" t="s">
        <v>207</v>
      </c>
      <c r="C240" s="8" t="s">
        <v>2829</v>
      </c>
      <c r="D240" s="8" t="s">
        <v>3793</v>
      </c>
      <c r="E240" s="8" t="s">
        <v>3794</v>
      </c>
      <c r="F240" s="8" t="s">
        <v>3795</v>
      </c>
      <c r="G240" s="8" t="s">
        <v>3796</v>
      </c>
      <c r="H240" s="8" t="n">
        <v>32</v>
      </c>
      <c r="I240" s="34" t="n">
        <v>19.9</v>
      </c>
      <c r="J240" s="34"/>
      <c r="K240" s="34" t="n">
        <f aca="false">MAX(ROUNDUP(I240,0),H240)</f>
        <v>32</v>
      </c>
      <c r="L240" s="34" t="str">
        <f aca="false">IF(J240="","",J240-K240)</f>
        <v/>
      </c>
      <c r="M240" s="35"/>
      <c r="N240" s="35" t="n">
        <f aca="false">IF(C240="covered",10.4,7.55)</f>
        <v>7.55</v>
      </c>
      <c r="O240" s="35" t="str">
        <f aca="false">IF(M240="","",M240-N240)</f>
        <v/>
      </c>
      <c r="P240" s="8"/>
      <c r="Q240" s="36"/>
      <c r="R240" s="36" t="str">
        <f aca="false">IF(OR(J240="",P240=""),"",K240*N240*P240)</f>
        <v/>
      </c>
      <c r="S240" s="36" t="str">
        <f aca="false">IF(Q240="","",Q240-R240)</f>
        <v/>
      </c>
      <c r="T240" s="36" t="str">
        <f aca="false">IF(S240="","",MAX(0,-S240))</f>
        <v/>
      </c>
      <c r="U240" s="36" t="str">
        <f aca="false">IF(S240="","",MAX(0,S240))</f>
        <v/>
      </c>
      <c r="V240" s="8" t="str">
        <f aca="false">IF(J240="","NOT SCORED - NO JULY MONTHLY ROW",IF(OR(ABS(L240)&gt;0.005,ABS(O240)&gt;0.005,ABS(S240)&gt;0.005),"EXCEPTION","OK"))</f>
        <v>NOT SCORED - NO JULY MONTHLY ROW</v>
      </c>
      <c r="W240" s="8"/>
      <c r="X240" s="8" t="s">
        <v>2834</v>
      </c>
      <c r="Y240" s="36" t="n">
        <f aca="false">K240*N240</f>
        <v>241.6</v>
      </c>
    </row>
    <row r="241" customFormat="false" ht="20.85" hidden="false" customHeight="false" outlineLevel="0" collapsed="false">
      <c r="A241" s="11" t="s">
        <v>3797</v>
      </c>
      <c r="B241" s="11" t="s">
        <v>207</v>
      </c>
      <c r="C241" s="11" t="s">
        <v>2829</v>
      </c>
      <c r="D241" s="11" t="s">
        <v>2866</v>
      </c>
      <c r="E241" s="11" t="s">
        <v>1266</v>
      </c>
      <c r="F241" s="11" t="s">
        <v>1267</v>
      </c>
      <c r="G241" s="11" t="s">
        <v>3798</v>
      </c>
      <c r="H241" s="11" t="n">
        <v>36</v>
      </c>
      <c r="I241" s="31" t="n">
        <v>55.4</v>
      </c>
      <c r="J241" s="31"/>
      <c r="K241" s="31" t="n">
        <f aca="false">MAX(ROUNDUP(I241,0),H241)</f>
        <v>56</v>
      </c>
      <c r="L241" s="31" t="str">
        <f aca="false">IF(J241="","",J241-K241)</f>
        <v/>
      </c>
      <c r="M241" s="32"/>
      <c r="N241" s="32" t="n">
        <f aca="false">IF(C241="covered",10.4,7.55)</f>
        <v>7.55</v>
      </c>
      <c r="O241" s="32" t="str">
        <f aca="false">IF(M241="","",M241-N241)</f>
        <v/>
      </c>
      <c r="P241" s="11"/>
      <c r="Q241" s="33"/>
      <c r="R241" s="33" t="str">
        <f aca="false">IF(OR(J241="",P241=""),"",K241*N241*P241)</f>
        <v/>
      </c>
      <c r="S241" s="33" t="str">
        <f aca="false">IF(Q241="","",Q241-R241)</f>
        <v/>
      </c>
      <c r="T241" s="33" t="str">
        <f aca="false">IF(S241="","",MAX(0,-S241))</f>
        <v/>
      </c>
      <c r="U241" s="33" t="str">
        <f aca="false">IF(S241="","",MAX(0,S241))</f>
        <v/>
      </c>
      <c r="V241" s="11" t="str">
        <f aca="false">IF(J241="","NOT SCORED - NO JULY MONTHLY ROW",IF(OR(ABS(L241)&gt;0.005,ABS(O241)&gt;0.005,ABS(S241)&gt;0.005),"EXCEPTION","OK"))</f>
        <v>NOT SCORED - NO JULY MONTHLY ROW</v>
      </c>
      <c r="W241" s="11"/>
      <c r="X241" s="11" t="s">
        <v>2834</v>
      </c>
      <c r="Y241" s="33" t="n">
        <f aca="false">K241*N241</f>
        <v>422.8</v>
      </c>
    </row>
    <row r="242" customFormat="false" ht="20.85" hidden="false" customHeight="false" outlineLevel="0" collapsed="false">
      <c r="A242" s="8" t="s">
        <v>3799</v>
      </c>
      <c r="B242" s="8" t="s">
        <v>207</v>
      </c>
      <c r="C242" s="8" t="s">
        <v>2829</v>
      </c>
      <c r="D242" s="8" t="s">
        <v>2871</v>
      </c>
      <c r="E242" s="8" t="s">
        <v>870</v>
      </c>
      <c r="F242" s="8" t="s">
        <v>871</v>
      </c>
      <c r="G242" s="8" t="s">
        <v>3800</v>
      </c>
      <c r="H242" s="8" t="n">
        <v>45</v>
      </c>
      <c r="I242" s="34" t="n">
        <v>52.6</v>
      </c>
      <c r="J242" s="34"/>
      <c r="K242" s="34" t="n">
        <f aca="false">MAX(ROUNDUP(I242,0),H242)</f>
        <v>53</v>
      </c>
      <c r="L242" s="34" t="str">
        <f aca="false">IF(J242="","",J242-K242)</f>
        <v/>
      </c>
      <c r="M242" s="35"/>
      <c r="N242" s="35" t="n">
        <f aca="false">IF(C242="covered",10.4,7.55)</f>
        <v>7.55</v>
      </c>
      <c r="O242" s="35" t="str">
        <f aca="false">IF(M242="","",M242-N242)</f>
        <v/>
      </c>
      <c r="P242" s="8"/>
      <c r="Q242" s="36"/>
      <c r="R242" s="36" t="str">
        <f aca="false">IF(OR(J242="",P242=""),"",K242*N242*P242)</f>
        <v/>
      </c>
      <c r="S242" s="36" t="str">
        <f aca="false">IF(Q242="","",Q242-R242)</f>
        <v/>
      </c>
      <c r="T242" s="36" t="str">
        <f aca="false">IF(S242="","",MAX(0,-S242))</f>
        <v/>
      </c>
      <c r="U242" s="36" t="str">
        <f aca="false">IF(S242="","",MAX(0,S242))</f>
        <v/>
      </c>
      <c r="V242" s="8" t="str">
        <f aca="false">IF(J242="","NOT SCORED - NO JULY MONTHLY ROW",IF(OR(ABS(L242)&gt;0.005,ABS(O242)&gt;0.005,ABS(S242)&gt;0.005),"EXCEPTION","OK"))</f>
        <v>NOT SCORED - NO JULY MONTHLY ROW</v>
      </c>
      <c r="W242" s="8"/>
      <c r="X242" s="8" t="s">
        <v>2834</v>
      </c>
      <c r="Y242" s="36" t="n">
        <f aca="false">K242*N242</f>
        <v>400.15</v>
      </c>
    </row>
    <row r="243" customFormat="false" ht="20.85" hidden="false" customHeight="false" outlineLevel="0" collapsed="false">
      <c r="A243" s="11" t="s">
        <v>3801</v>
      </c>
      <c r="B243" s="11" t="s">
        <v>207</v>
      </c>
      <c r="C243" s="11" t="s">
        <v>2829</v>
      </c>
      <c r="D243" s="11" t="s">
        <v>2879</v>
      </c>
      <c r="E243" s="11" t="s">
        <v>3802</v>
      </c>
      <c r="F243" s="11" t="s">
        <v>3803</v>
      </c>
      <c r="G243" s="11" t="s">
        <v>3804</v>
      </c>
      <c r="H243" s="11" t="n">
        <v>45</v>
      </c>
      <c r="I243" s="31" t="n">
        <v>20.1</v>
      </c>
      <c r="J243" s="31"/>
      <c r="K243" s="31" t="n">
        <f aca="false">MAX(ROUNDUP(I243,0),H243)</f>
        <v>45</v>
      </c>
      <c r="L243" s="31" t="str">
        <f aca="false">IF(J243="","",J243-K243)</f>
        <v/>
      </c>
      <c r="M243" s="32"/>
      <c r="N243" s="32" t="n">
        <f aca="false">IF(C243="covered",10.4,7.55)</f>
        <v>7.55</v>
      </c>
      <c r="O243" s="32" t="str">
        <f aca="false">IF(M243="","",M243-N243)</f>
        <v/>
      </c>
      <c r="P243" s="11"/>
      <c r="Q243" s="33"/>
      <c r="R243" s="33" t="str">
        <f aca="false">IF(OR(J243="",P243=""),"",K243*N243*P243)</f>
        <v/>
      </c>
      <c r="S243" s="33" t="str">
        <f aca="false">IF(Q243="","",Q243-R243)</f>
        <v/>
      </c>
      <c r="T243" s="33" t="str">
        <f aca="false">IF(S243="","",MAX(0,-S243))</f>
        <v/>
      </c>
      <c r="U243" s="33" t="str">
        <f aca="false">IF(S243="","",MAX(0,S243))</f>
        <v/>
      </c>
      <c r="V243" s="11" t="str">
        <f aca="false">IF(J243="","NOT SCORED - NO JULY MONTHLY ROW",IF(OR(ABS(L243)&gt;0.005,ABS(O243)&gt;0.005,ABS(S243)&gt;0.005),"EXCEPTION","OK"))</f>
        <v>NOT SCORED - NO JULY MONTHLY ROW</v>
      </c>
      <c r="W243" s="11"/>
      <c r="X243" s="11" t="s">
        <v>2834</v>
      </c>
      <c r="Y243" s="33" t="n">
        <f aca="false">K243*N243</f>
        <v>339.75</v>
      </c>
    </row>
    <row r="244" customFormat="false" ht="20.85" hidden="false" customHeight="false" outlineLevel="0" collapsed="false">
      <c r="A244" s="8" t="s">
        <v>3805</v>
      </c>
      <c r="B244" s="8" t="s">
        <v>207</v>
      </c>
      <c r="C244" s="8" t="s">
        <v>2829</v>
      </c>
      <c r="D244" s="8" t="s">
        <v>2884</v>
      </c>
      <c r="E244" s="8" t="s">
        <v>3806</v>
      </c>
      <c r="F244" s="8" t="s">
        <v>3807</v>
      </c>
      <c r="G244" s="8" t="s">
        <v>2892</v>
      </c>
      <c r="H244" s="8" t="n">
        <v>40</v>
      </c>
      <c r="I244" s="34" t="n">
        <v>22.8</v>
      </c>
      <c r="J244" s="34"/>
      <c r="K244" s="34" t="n">
        <f aca="false">MAX(ROUNDUP(I244,0),H244)</f>
        <v>40</v>
      </c>
      <c r="L244" s="34" t="str">
        <f aca="false">IF(J244="","",J244-K244)</f>
        <v/>
      </c>
      <c r="M244" s="35"/>
      <c r="N244" s="35" t="n">
        <f aca="false">IF(C244="covered",10.4,7.55)</f>
        <v>7.55</v>
      </c>
      <c r="O244" s="35" t="str">
        <f aca="false">IF(M244="","",M244-N244)</f>
        <v/>
      </c>
      <c r="P244" s="8"/>
      <c r="Q244" s="36"/>
      <c r="R244" s="36" t="str">
        <f aca="false">IF(OR(J244="",P244=""),"",K244*N244*P244)</f>
        <v/>
      </c>
      <c r="S244" s="36" t="str">
        <f aca="false">IF(Q244="","",Q244-R244)</f>
        <v/>
      </c>
      <c r="T244" s="36" t="str">
        <f aca="false">IF(S244="","",MAX(0,-S244))</f>
        <v/>
      </c>
      <c r="U244" s="36" t="str">
        <f aca="false">IF(S244="","",MAX(0,S244))</f>
        <v/>
      </c>
      <c r="V244" s="8" t="str">
        <f aca="false">IF(J244="","NOT SCORED - NO JULY MONTHLY ROW",IF(OR(ABS(L244)&gt;0.005,ABS(O244)&gt;0.005,ABS(S244)&gt;0.005),"EXCEPTION","OK"))</f>
        <v>NOT SCORED - NO JULY MONTHLY ROW</v>
      </c>
      <c r="W244" s="8"/>
      <c r="X244" s="8" t="s">
        <v>2834</v>
      </c>
      <c r="Y244" s="36" t="n">
        <f aca="false">K244*N244</f>
        <v>302</v>
      </c>
    </row>
    <row r="245" customFormat="false" ht="20.85" hidden="false" customHeight="false" outlineLevel="0" collapsed="false">
      <c r="A245" s="11" t="s">
        <v>3808</v>
      </c>
      <c r="B245" s="11" t="s">
        <v>207</v>
      </c>
      <c r="C245" s="11" t="s">
        <v>2829</v>
      </c>
      <c r="D245" s="11" t="s">
        <v>2889</v>
      </c>
      <c r="E245" s="11" t="s">
        <v>3809</v>
      </c>
      <c r="F245" s="11" t="s">
        <v>3810</v>
      </c>
      <c r="G245" s="11" t="s">
        <v>3811</v>
      </c>
      <c r="H245" s="11" t="n">
        <v>60</v>
      </c>
      <c r="I245" s="31" t="n">
        <v>36.4</v>
      </c>
      <c r="J245" s="31"/>
      <c r="K245" s="31" t="n">
        <f aca="false">MAX(ROUNDUP(I245,0),H245)</f>
        <v>60</v>
      </c>
      <c r="L245" s="31" t="str">
        <f aca="false">IF(J245="","",J245-K245)</f>
        <v/>
      </c>
      <c r="M245" s="32"/>
      <c r="N245" s="32" t="n">
        <f aca="false">IF(C245="covered",10.4,7.55)</f>
        <v>7.55</v>
      </c>
      <c r="O245" s="32" t="str">
        <f aca="false">IF(M245="","",M245-N245)</f>
        <v/>
      </c>
      <c r="P245" s="11"/>
      <c r="Q245" s="33"/>
      <c r="R245" s="33" t="str">
        <f aca="false">IF(OR(J245="",P245=""),"",K245*N245*P245)</f>
        <v/>
      </c>
      <c r="S245" s="33" t="str">
        <f aca="false">IF(Q245="","",Q245-R245)</f>
        <v/>
      </c>
      <c r="T245" s="33" t="str">
        <f aca="false">IF(S245="","",MAX(0,-S245))</f>
        <v/>
      </c>
      <c r="U245" s="33" t="str">
        <f aca="false">IF(S245="","",MAX(0,S245))</f>
        <v/>
      </c>
      <c r="V245" s="11" t="str">
        <f aca="false">IF(J245="","NOT SCORED - NO JULY MONTHLY ROW",IF(OR(ABS(L245)&gt;0.005,ABS(O245)&gt;0.005,ABS(S245)&gt;0.005),"EXCEPTION","OK"))</f>
        <v>NOT SCORED - NO JULY MONTHLY ROW</v>
      </c>
      <c r="W245" s="11"/>
      <c r="X245" s="11" t="s">
        <v>2834</v>
      </c>
      <c r="Y245" s="33" t="n">
        <f aca="false">K245*N245</f>
        <v>453</v>
      </c>
    </row>
    <row r="246" customFormat="false" ht="20.85" hidden="false" customHeight="false" outlineLevel="0" collapsed="false">
      <c r="A246" s="8" t="s">
        <v>3812</v>
      </c>
      <c r="B246" s="8" t="s">
        <v>207</v>
      </c>
      <c r="C246" s="8" t="s">
        <v>2829</v>
      </c>
      <c r="D246" s="8" t="s">
        <v>2898</v>
      </c>
      <c r="E246" s="8" t="s">
        <v>3813</v>
      </c>
      <c r="F246" s="8" t="s">
        <v>3814</v>
      </c>
      <c r="G246" s="8" t="s">
        <v>3815</v>
      </c>
      <c r="H246" s="8" t="n">
        <v>45</v>
      </c>
      <c r="I246" s="34" t="n">
        <v>24.9</v>
      </c>
      <c r="J246" s="34"/>
      <c r="K246" s="34" t="n">
        <f aca="false">MAX(ROUNDUP(I246,0),H246)</f>
        <v>45</v>
      </c>
      <c r="L246" s="34" t="str">
        <f aca="false">IF(J246="","",J246-K246)</f>
        <v/>
      </c>
      <c r="M246" s="35"/>
      <c r="N246" s="35" t="n">
        <f aca="false">IF(C246="covered",10.4,7.55)</f>
        <v>7.55</v>
      </c>
      <c r="O246" s="35" t="str">
        <f aca="false">IF(M246="","",M246-N246)</f>
        <v/>
      </c>
      <c r="P246" s="8"/>
      <c r="Q246" s="36"/>
      <c r="R246" s="36" t="str">
        <f aca="false">IF(OR(J246="",P246=""),"",K246*N246*P246)</f>
        <v/>
      </c>
      <c r="S246" s="36" t="str">
        <f aca="false">IF(Q246="","",Q246-R246)</f>
        <v/>
      </c>
      <c r="T246" s="36" t="str">
        <f aca="false">IF(S246="","",MAX(0,-S246))</f>
        <v/>
      </c>
      <c r="U246" s="36" t="str">
        <f aca="false">IF(S246="","",MAX(0,S246))</f>
        <v/>
      </c>
      <c r="V246" s="8" t="str">
        <f aca="false">IF(J246="","NOT SCORED - NO JULY MONTHLY ROW",IF(OR(ABS(L246)&gt;0.005,ABS(O246)&gt;0.005,ABS(S246)&gt;0.005),"EXCEPTION","OK"))</f>
        <v>NOT SCORED - NO JULY MONTHLY ROW</v>
      </c>
      <c r="W246" s="8"/>
      <c r="X246" s="8" t="s">
        <v>2834</v>
      </c>
      <c r="Y246" s="36" t="n">
        <f aca="false">K246*N246</f>
        <v>339.75</v>
      </c>
    </row>
    <row r="247" customFormat="false" ht="20.85" hidden="false" customHeight="false" outlineLevel="0" collapsed="false">
      <c r="A247" s="11" t="s">
        <v>3816</v>
      </c>
      <c r="B247" s="11" t="s">
        <v>207</v>
      </c>
      <c r="C247" s="11" t="s">
        <v>2829</v>
      </c>
      <c r="D247" s="11" t="s">
        <v>2908</v>
      </c>
      <c r="E247" s="11" t="s">
        <v>3817</v>
      </c>
      <c r="F247" s="11" t="s">
        <v>3818</v>
      </c>
      <c r="G247" s="11" t="s">
        <v>3819</v>
      </c>
      <c r="H247" s="11" t="n">
        <v>45</v>
      </c>
      <c r="I247" s="31" t="n">
        <v>25.7</v>
      </c>
      <c r="J247" s="31"/>
      <c r="K247" s="31" t="n">
        <f aca="false">MAX(ROUNDUP(I247,0),H247)</f>
        <v>45</v>
      </c>
      <c r="L247" s="31" t="str">
        <f aca="false">IF(J247="","",J247-K247)</f>
        <v/>
      </c>
      <c r="M247" s="32"/>
      <c r="N247" s="32" t="n">
        <f aca="false">IF(C247="covered",10.4,7.55)</f>
        <v>7.55</v>
      </c>
      <c r="O247" s="32" t="str">
        <f aca="false">IF(M247="","",M247-N247)</f>
        <v/>
      </c>
      <c r="P247" s="11"/>
      <c r="Q247" s="33"/>
      <c r="R247" s="33" t="str">
        <f aca="false">IF(OR(J247="",P247=""),"",K247*N247*P247)</f>
        <v/>
      </c>
      <c r="S247" s="33" t="str">
        <f aca="false">IF(Q247="","",Q247-R247)</f>
        <v/>
      </c>
      <c r="T247" s="33" t="str">
        <f aca="false">IF(S247="","",MAX(0,-S247))</f>
        <v/>
      </c>
      <c r="U247" s="33" t="str">
        <f aca="false">IF(S247="","",MAX(0,S247))</f>
        <v/>
      </c>
      <c r="V247" s="11" t="str">
        <f aca="false">IF(J247="","NOT SCORED - NO JULY MONTHLY ROW",IF(OR(ABS(L247)&gt;0.005,ABS(O247)&gt;0.005,ABS(S247)&gt;0.005),"EXCEPTION","OK"))</f>
        <v>NOT SCORED - NO JULY MONTHLY ROW</v>
      </c>
      <c r="W247" s="11"/>
      <c r="X247" s="11" t="s">
        <v>2834</v>
      </c>
      <c r="Y247" s="33" t="n">
        <f aca="false">K247*N247</f>
        <v>339.75</v>
      </c>
    </row>
    <row r="248" customFormat="false" ht="20.85" hidden="false" customHeight="false" outlineLevel="0" collapsed="false">
      <c r="A248" s="8" t="s">
        <v>3820</v>
      </c>
      <c r="B248" s="8" t="s">
        <v>207</v>
      </c>
      <c r="C248" s="8" t="s">
        <v>2829</v>
      </c>
      <c r="D248" s="8" t="s">
        <v>2913</v>
      </c>
      <c r="E248" s="8" t="s">
        <v>3821</v>
      </c>
      <c r="F248" s="8" t="s">
        <v>3822</v>
      </c>
      <c r="G248" s="8" t="s">
        <v>3102</v>
      </c>
      <c r="H248" s="8" t="n">
        <v>28</v>
      </c>
      <c r="I248" s="34" t="n">
        <v>54.6</v>
      </c>
      <c r="J248" s="34"/>
      <c r="K248" s="34" t="n">
        <f aca="false">MAX(ROUNDUP(I248,0),H248)</f>
        <v>55</v>
      </c>
      <c r="L248" s="34" t="str">
        <f aca="false">IF(J248="","",J248-K248)</f>
        <v/>
      </c>
      <c r="M248" s="35"/>
      <c r="N248" s="35" t="n">
        <f aca="false">IF(C248="covered",10.4,7.55)</f>
        <v>7.55</v>
      </c>
      <c r="O248" s="35" t="str">
        <f aca="false">IF(M248="","",M248-N248)</f>
        <v/>
      </c>
      <c r="P248" s="8"/>
      <c r="Q248" s="36"/>
      <c r="R248" s="36" t="str">
        <f aca="false">IF(OR(J248="",P248=""),"",K248*N248*P248)</f>
        <v/>
      </c>
      <c r="S248" s="36" t="str">
        <f aca="false">IF(Q248="","",Q248-R248)</f>
        <v/>
      </c>
      <c r="T248" s="36" t="str">
        <f aca="false">IF(S248="","",MAX(0,-S248))</f>
        <v/>
      </c>
      <c r="U248" s="36" t="str">
        <f aca="false">IF(S248="","",MAX(0,S248))</f>
        <v/>
      </c>
      <c r="V248" s="8" t="str">
        <f aca="false">IF(J248="","NOT SCORED - NO JULY MONTHLY ROW",IF(OR(ABS(L248)&gt;0.005,ABS(O248)&gt;0.005,ABS(S248)&gt;0.005),"EXCEPTION","OK"))</f>
        <v>NOT SCORED - NO JULY MONTHLY ROW</v>
      </c>
      <c r="W248" s="8"/>
      <c r="X248" s="8" t="s">
        <v>2834</v>
      </c>
      <c r="Y248" s="36" t="n">
        <f aca="false">K248*N248</f>
        <v>415.25</v>
      </c>
    </row>
    <row r="249" customFormat="false" ht="20.85" hidden="false" customHeight="false" outlineLevel="0" collapsed="false">
      <c r="A249" s="11" t="s">
        <v>3823</v>
      </c>
      <c r="B249" s="11" t="s">
        <v>207</v>
      </c>
      <c r="C249" s="11" t="s">
        <v>2829</v>
      </c>
      <c r="D249" s="11" t="s">
        <v>2917</v>
      </c>
      <c r="E249" s="11" t="s">
        <v>3824</v>
      </c>
      <c r="F249" s="11" t="s">
        <v>3825</v>
      </c>
      <c r="G249" s="11" t="s">
        <v>3826</v>
      </c>
      <c r="H249" s="11" t="n">
        <v>40</v>
      </c>
      <c r="I249" s="31" t="n">
        <v>31.6</v>
      </c>
      <c r="J249" s="31"/>
      <c r="K249" s="31" t="n">
        <f aca="false">MAX(ROUNDUP(I249,0),H249)</f>
        <v>40</v>
      </c>
      <c r="L249" s="31" t="str">
        <f aca="false">IF(J249="","",J249-K249)</f>
        <v/>
      </c>
      <c r="M249" s="32"/>
      <c r="N249" s="32" t="n">
        <f aca="false">IF(C249="covered",10.4,7.55)</f>
        <v>7.55</v>
      </c>
      <c r="O249" s="32" t="str">
        <f aca="false">IF(M249="","",M249-N249)</f>
        <v/>
      </c>
      <c r="P249" s="11"/>
      <c r="Q249" s="33"/>
      <c r="R249" s="33" t="str">
        <f aca="false">IF(OR(J249="",P249=""),"",K249*N249*P249)</f>
        <v/>
      </c>
      <c r="S249" s="33" t="str">
        <f aca="false">IF(Q249="","",Q249-R249)</f>
        <v/>
      </c>
      <c r="T249" s="33" t="str">
        <f aca="false">IF(S249="","",MAX(0,-S249))</f>
        <v/>
      </c>
      <c r="U249" s="33" t="str">
        <f aca="false">IF(S249="","",MAX(0,S249))</f>
        <v/>
      </c>
      <c r="V249" s="11" t="str">
        <f aca="false">IF(J249="","NOT SCORED - NO JULY MONTHLY ROW",IF(OR(ABS(L249)&gt;0.005,ABS(O249)&gt;0.005,ABS(S249)&gt;0.005),"EXCEPTION","OK"))</f>
        <v>NOT SCORED - NO JULY MONTHLY ROW</v>
      </c>
      <c r="W249" s="11"/>
      <c r="X249" s="11" t="s">
        <v>2834</v>
      </c>
      <c r="Y249" s="33" t="n">
        <f aca="false">K249*N249</f>
        <v>302</v>
      </c>
    </row>
    <row r="250" customFormat="false" ht="20.85" hidden="false" customHeight="false" outlineLevel="0" collapsed="false">
      <c r="A250" s="8" t="s">
        <v>3827</v>
      </c>
      <c r="B250" s="8" t="s">
        <v>207</v>
      </c>
      <c r="C250" s="8" t="s">
        <v>2829</v>
      </c>
      <c r="D250" s="8" t="s">
        <v>2921</v>
      </c>
      <c r="E250" s="8" t="s">
        <v>3828</v>
      </c>
      <c r="F250" s="8" t="s">
        <v>3829</v>
      </c>
      <c r="G250" s="8" t="s">
        <v>3087</v>
      </c>
      <c r="H250" s="8" t="n">
        <v>32</v>
      </c>
      <c r="I250" s="34" t="n">
        <v>47.2</v>
      </c>
      <c r="J250" s="34"/>
      <c r="K250" s="34" t="n">
        <f aca="false">MAX(ROUNDUP(I250,0),H250)</f>
        <v>48</v>
      </c>
      <c r="L250" s="34" t="str">
        <f aca="false">IF(J250="","",J250-K250)</f>
        <v/>
      </c>
      <c r="M250" s="35"/>
      <c r="N250" s="35" t="n">
        <f aca="false">IF(C250="covered",10.4,7.55)</f>
        <v>7.55</v>
      </c>
      <c r="O250" s="35" t="str">
        <f aca="false">IF(M250="","",M250-N250)</f>
        <v/>
      </c>
      <c r="P250" s="8"/>
      <c r="Q250" s="36"/>
      <c r="R250" s="36" t="str">
        <f aca="false">IF(OR(J250="",P250=""),"",K250*N250*P250)</f>
        <v/>
      </c>
      <c r="S250" s="36" t="str">
        <f aca="false">IF(Q250="","",Q250-R250)</f>
        <v/>
      </c>
      <c r="T250" s="36" t="str">
        <f aca="false">IF(S250="","",MAX(0,-S250))</f>
        <v/>
      </c>
      <c r="U250" s="36" t="str">
        <f aca="false">IF(S250="","",MAX(0,S250))</f>
        <v/>
      </c>
      <c r="V250" s="8" t="str">
        <f aca="false">IF(J250="","NOT SCORED - NO JULY MONTHLY ROW",IF(OR(ABS(L250)&gt;0.005,ABS(O250)&gt;0.005,ABS(S250)&gt;0.005),"EXCEPTION","OK"))</f>
        <v>NOT SCORED - NO JULY MONTHLY ROW</v>
      </c>
      <c r="W250" s="8"/>
      <c r="X250" s="8" t="s">
        <v>2834</v>
      </c>
      <c r="Y250" s="36" t="n">
        <f aca="false">K250*N250</f>
        <v>362.4</v>
      </c>
    </row>
    <row r="251" customFormat="false" ht="20.85" hidden="false" customHeight="false" outlineLevel="0" collapsed="false">
      <c r="A251" s="11" t="s">
        <v>3830</v>
      </c>
      <c r="B251" s="11" t="s">
        <v>207</v>
      </c>
      <c r="C251" s="11" t="s">
        <v>2829</v>
      </c>
      <c r="D251" s="11" t="s">
        <v>3831</v>
      </c>
      <c r="E251" s="11" t="s">
        <v>2490</v>
      </c>
      <c r="F251" s="11" t="s">
        <v>3832</v>
      </c>
      <c r="G251" s="11" t="s">
        <v>3833</v>
      </c>
      <c r="H251" s="11" t="n">
        <v>24</v>
      </c>
      <c r="I251" s="31" t="n">
        <v>40.4</v>
      </c>
      <c r="J251" s="31"/>
      <c r="K251" s="31" t="n">
        <f aca="false">MAX(ROUNDUP(I251,0),H251)</f>
        <v>41</v>
      </c>
      <c r="L251" s="31" t="str">
        <f aca="false">IF(J251="","",J251-K251)</f>
        <v/>
      </c>
      <c r="M251" s="32"/>
      <c r="N251" s="32" t="n">
        <f aca="false">IF(C251="covered",10.4,7.55)</f>
        <v>7.55</v>
      </c>
      <c r="O251" s="32" t="str">
        <f aca="false">IF(M251="","",M251-N251)</f>
        <v/>
      </c>
      <c r="P251" s="11"/>
      <c r="Q251" s="33"/>
      <c r="R251" s="33" t="str">
        <f aca="false">IF(OR(J251="",P251=""),"",K251*N251*P251)</f>
        <v/>
      </c>
      <c r="S251" s="33" t="str">
        <f aca="false">IF(Q251="","",Q251-R251)</f>
        <v/>
      </c>
      <c r="T251" s="33" t="str">
        <f aca="false">IF(S251="","",MAX(0,-S251))</f>
        <v/>
      </c>
      <c r="U251" s="33" t="str">
        <f aca="false">IF(S251="","",MAX(0,S251))</f>
        <v/>
      </c>
      <c r="V251" s="11" t="str">
        <f aca="false">IF(J251="","NOT SCORED - NO JULY MONTHLY ROW",IF(OR(ABS(L251)&gt;0.005,ABS(O251)&gt;0.005,ABS(S251)&gt;0.005),"EXCEPTION","OK"))</f>
        <v>NOT SCORED - NO JULY MONTHLY ROW</v>
      </c>
      <c r="W251" s="11"/>
      <c r="X251" s="11" t="s">
        <v>2834</v>
      </c>
      <c r="Y251" s="33" t="n">
        <f aca="false">K251*N251</f>
        <v>309.55</v>
      </c>
    </row>
    <row r="252" customFormat="false" ht="20.85" hidden="false" customHeight="false" outlineLevel="0" collapsed="false">
      <c r="A252" s="8" t="s">
        <v>967</v>
      </c>
      <c r="B252" s="8" t="s">
        <v>207</v>
      </c>
      <c r="C252" s="8" t="s">
        <v>2829</v>
      </c>
      <c r="D252" s="8" t="s">
        <v>2925</v>
      </c>
      <c r="E252" s="8" t="s">
        <v>3834</v>
      </c>
      <c r="F252" s="8" t="s">
        <v>3835</v>
      </c>
      <c r="G252" s="8" t="s">
        <v>3836</v>
      </c>
      <c r="H252" s="8" t="n">
        <v>24</v>
      </c>
      <c r="I252" s="34" t="n">
        <v>34.5</v>
      </c>
      <c r="J252" s="34"/>
      <c r="K252" s="34" t="n">
        <f aca="false">MAX(ROUNDUP(I252,0),H252)</f>
        <v>35</v>
      </c>
      <c r="L252" s="34" t="str">
        <f aca="false">IF(J252="","",J252-K252)</f>
        <v/>
      </c>
      <c r="M252" s="35"/>
      <c r="N252" s="35" t="n">
        <f aca="false">IF(C252="covered",10.4,7.55)</f>
        <v>7.55</v>
      </c>
      <c r="O252" s="35" t="str">
        <f aca="false">IF(M252="","",M252-N252)</f>
        <v/>
      </c>
      <c r="P252" s="8"/>
      <c r="Q252" s="36"/>
      <c r="R252" s="36" t="str">
        <f aca="false">IF(OR(J252="",P252=""),"",K252*N252*P252)</f>
        <v/>
      </c>
      <c r="S252" s="36" t="str">
        <f aca="false">IF(Q252="","",Q252-R252)</f>
        <v/>
      </c>
      <c r="T252" s="36" t="str">
        <f aca="false">IF(S252="","",MAX(0,-S252))</f>
        <v/>
      </c>
      <c r="U252" s="36" t="str">
        <f aca="false">IF(S252="","",MAX(0,S252))</f>
        <v/>
      </c>
      <c r="V252" s="8" t="str">
        <f aca="false">IF(J252="","NOT SCORED - NO JULY MONTHLY ROW",IF(OR(ABS(L252)&gt;0.005,ABS(O252)&gt;0.005,ABS(S252)&gt;0.005),"EXCEPTION","OK"))</f>
        <v>NOT SCORED - NO JULY MONTHLY ROW</v>
      </c>
      <c r="W252" s="8"/>
      <c r="X252" s="8" t="s">
        <v>2834</v>
      </c>
      <c r="Y252" s="36" t="n">
        <f aca="false">K252*N252</f>
        <v>264.25</v>
      </c>
    </row>
    <row r="253" customFormat="false" ht="20.85" hidden="false" customHeight="false" outlineLevel="0" collapsed="false">
      <c r="A253" s="11" t="s">
        <v>577</v>
      </c>
      <c r="B253" s="11" t="s">
        <v>207</v>
      </c>
      <c r="C253" s="11" t="s">
        <v>2829</v>
      </c>
      <c r="D253" s="11" t="s">
        <v>3837</v>
      </c>
      <c r="E253" s="11" t="s">
        <v>812</v>
      </c>
      <c r="F253" s="11" t="s">
        <v>813</v>
      </c>
      <c r="G253" s="11" t="s">
        <v>3838</v>
      </c>
      <c r="H253" s="11" t="n">
        <v>40</v>
      </c>
      <c r="I253" s="31" t="n">
        <v>52.7</v>
      </c>
      <c r="J253" s="31"/>
      <c r="K253" s="31" t="n">
        <f aca="false">MAX(ROUNDUP(I253,0),H253)</f>
        <v>53</v>
      </c>
      <c r="L253" s="31" t="str">
        <f aca="false">IF(J253="","",J253-K253)</f>
        <v/>
      </c>
      <c r="M253" s="32"/>
      <c r="N253" s="32" t="n">
        <f aca="false">IF(C253="covered",10.4,7.55)</f>
        <v>7.55</v>
      </c>
      <c r="O253" s="32" t="str">
        <f aca="false">IF(M253="","",M253-N253)</f>
        <v/>
      </c>
      <c r="P253" s="11"/>
      <c r="Q253" s="33"/>
      <c r="R253" s="33" t="str">
        <f aca="false">IF(OR(J253="",P253=""),"",K253*N253*P253)</f>
        <v/>
      </c>
      <c r="S253" s="33" t="str">
        <f aca="false">IF(Q253="","",Q253-R253)</f>
        <v/>
      </c>
      <c r="T253" s="33" t="str">
        <f aca="false">IF(S253="","",MAX(0,-S253))</f>
        <v/>
      </c>
      <c r="U253" s="33" t="str">
        <f aca="false">IF(S253="","",MAX(0,S253))</f>
        <v/>
      </c>
      <c r="V253" s="11" t="str">
        <f aca="false">IF(J253="","NOT SCORED - NO JULY MONTHLY ROW",IF(OR(ABS(L253)&gt;0.005,ABS(O253)&gt;0.005,ABS(S253)&gt;0.005),"EXCEPTION","OK"))</f>
        <v>NOT SCORED - NO JULY MONTHLY ROW</v>
      </c>
      <c r="W253" s="11"/>
      <c r="X253" s="11" t="s">
        <v>2834</v>
      </c>
      <c r="Y253" s="33" t="n">
        <f aca="false">K253*N253</f>
        <v>400.15</v>
      </c>
    </row>
    <row r="254" customFormat="false" ht="20.85" hidden="false" customHeight="false" outlineLevel="0" collapsed="false">
      <c r="A254" s="8" t="s">
        <v>1288</v>
      </c>
      <c r="B254" s="8" t="s">
        <v>207</v>
      </c>
      <c r="C254" s="8" t="s">
        <v>2829</v>
      </c>
      <c r="D254" s="8" t="s">
        <v>2930</v>
      </c>
      <c r="E254" s="8" t="s">
        <v>3839</v>
      </c>
      <c r="F254" s="8" t="s">
        <v>3840</v>
      </c>
      <c r="G254" s="8" t="s">
        <v>3394</v>
      </c>
      <c r="H254" s="8" t="n">
        <v>32</v>
      </c>
      <c r="I254" s="34" t="n">
        <v>33.2</v>
      </c>
      <c r="J254" s="34"/>
      <c r="K254" s="34" t="n">
        <f aca="false">MAX(ROUNDUP(I254,0),H254)</f>
        <v>34</v>
      </c>
      <c r="L254" s="34" t="str">
        <f aca="false">IF(J254="","",J254-K254)</f>
        <v/>
      </c>
      <c r="M254" s="35"/>
      <c r="N254" s="35" t="n">
        <f aca="false">IF(C254="covered",10.4,7.55)</f>
        <v>7.55</v>
      </c>
      <c r="O254" s="35" t="str">
        <f aca="false">IF(M254="","",M254-N254)</f>
        <v/>
      </c>
      <c r="P254" s="8"/>
      <c r="Q254" s="36"/>
      <c r="R254" s="36" t="str">
        <f aca="false">IF(OR(J254="",P254=""),"",K254*N254*P254)</f>
        <v/>
      </c>
      <c r="S254" s="36" t="str">
        <f aca="false">IF(Q254="","",Q254-R254)</f>
        <v/>
      </c>
      <c r="T254" s="36" t="str">
        <f aca="false">IF(S254="","",MAX(0,-S254))</f>
        <v/>
      </c>
      <c r="U254" s="36" t="str">
        <f aca="false">IF(S254="","",MAX(0,S254))</f>
        <v/>
      </c>
      <c r="V254" s="8" t="str">
        <f aca="false">IF(J254="","NOT SCORED - NO JULY MONTHLY ROW",IF(OR(ABS(L254)&gt;0.005,ABS(O254)&gt;0.005,ABS(S254)&gt;0.005),"EXCEPTION","OK"))</f>
        <v>NOT SCORED - NO JULY MONTHLY ROW</v>
      </c>
      <c r="W254" s="8"/>
      <c r="X254" s="8" t="s">
        <v>2834</v>
      </c>
      <c r="Y254" s="36" t="n">
        <f aca="false">K254*N254</f>
        <v>256.7</v>
      </c>
    </row>
    <row r="255" customFormat="false" ht="20.85" hidden="false" customHeight="false" outlineLevel="0" collapsed="false">
      <c r="A255" s="11" t="s">
        <v>3841</v>
      </c>
      <c r="B255" s="11" t="s">
        <v>207</v>
      </c>
      <c r="C255" s="11" t="s">
        <v>2829</v>
      </c>
      <c r="D255" s="11" t="s">
        <v>2935</v>
      </c>
      <c r="E255" s="11" t="s">
        <v>2094</v>
      </c>
      <c r="F255" s="11" t="s">
        <v>2095</v>
      </c>
      <c r="G255" s="11" t="s">
        <v>3842</v>
      </c>
      <c r="H255" s="11" t="n">
        <v>80</v>
      </c>
      <c r="I255" s="31" t="n">
        <v>21</v>
      </c>
      <c r="J255" s="31"/>
      <c r="K255" s="31" t="n">
        <f aca="false">MAX(ROUNDUP(I255,0),H255)</f>
        <v>80</v>
      </c>
      <c r="L255" s="31" t="str">
        <f aca="false">IF(J255="","",J255-K255)</f>
        <v/>
      </c>
      <c r="M255" s="32"/>
      <c r="N255" s="32" t="n">
        <f aca="false">IF(C255="covered",10.4,7.55)</f>
        <v>7.55</v>
      </c>
      <c r="O255" s="32" t="str">
        <f aca="false">IF(M255="","",M255-N255)</f>
        <v/>
      </c>
      <c r="P255" s="11"/>
      <c r="Q255" s="33"/>
      <c r="R255" s="33" t="str">
        <f aca="false">IF(OR(J255="",P255=""),"",K255*N255*P255)</f>
        <v/>
      </c>
      <c r="S255" s="33" t="str">
        <f aca="false">IF(Q255="","",Q255-R255)</f>
        <v/>
      </c>
      <c r="T255" s="33" t="str">
        <f aca="false">IF(S255="","",MAX(0,-S255))</f>
        <v/>
      </c>
      <c r="U255" s="33" t="str">
        <f aca="false">IF(S255="","",MAX(0,S255))</f>
        <v/>
      </c>
      <c r="V255" s="11" t="str">
        <f aca="false">IF(J255="","NOT SCORED - NO JULY MONTHLY ROW",IF(OR(ABS(L255)&gt;0.005,ABS(O255)&gt;0.005,ABS(S255)&gt;0.005),"EXCEPTION","OK"))</f>
        <v>NOT SCORED - NO JULY MONTHLY ROW</v>
      </c>
      <c r="W255" s="11"/>
      <c r="X255" s="11" t="s">
        <v>2834</v>
      </c>
      <c r="Y255" s="33" t="n">
        <f aca="false">K255*N255</f>
        <v>604</v>
      </c>
    </row>
    <row r="256" customFormat="false" ht="20.85" hidden="false" customHeight="false" outlineLevel="0" collapsed="false">
      <c r="A256" s="8" t="s">
        <v>3843</v>
      </c>
      <c r="B256" s="8" t="s">
        <v>207</v>
      </c>
      <c r="C256" s="8" t="s">
        <v>2829</v>
      </c>
      <c r="D256" s="8" t="s">
        <v>2940</v>
      </c>
      <c r="E256" s="8" t="s">
        <v>3844</v>
      </c>
      <c r="F256" s="8" t="s">
        <v>3845</v>
      </c>
      <c r="G256" s="8" t="s">
        <v>3054</v>
      </c>
      <c r="H256" s="8" t="n">
        <v>24</v>
      </c>
      <c r="I256" s="34" t="n">
        <v>41.9</v>
      </c>
      <c r="J256" s="34"/>
      <c r="K256" s="34" t="n">
        <f aca="false">MAX(ROUNDUP(I256,0),H256)</f>
        <v>42</v>
      </c>
      <c r="L256" s="34" t="str">
        <f aca="false">IF(J256="","",J256-K256)</f>
        <v/>
      </c>
      <c r="M256" s="35"/>
      <c r="N256" s="35" t="n">
        <f aca="false">IF(C256="covered",10.4,7.55)</f>
        <v>7.55</v>
      </c>
      <c r="O256" s="35" t="str">
        <f aca="false">IF(M256="","",M256-N256)</f>
        <v/>
      </c>
      <c r="P256" s="8"/>
      <c r="Q256" s="36"/>
      <c r="R256" s="36" t="str">
        <f aca="false">IF(OR(J256="",P256=""),"",K256*N256*P256)</f>
        <v/>
      </c>
      <c r="S256" s="36" t="str">
        <f aca="false">IF(Q256="","",Q256-R256)</f>
        <v/>
      </c>
      <c r="T256" s="36" t="str">
        <f aca="false">IF(S256="","",MAX(0,-S256))</f>
        <v/>
      </c>
      <c r="U256" s="36" t="str">
        <f aca="false">IF(S256="","",MAX(0,S256))</f>
        <v/>
      </c>
      <c r="V256" s="8" t="str">
        <f aca="false">IF(J256="","NOT SCORED - NO JULY MONTHLY ROW",IF(OR(ABS(L256)&gt;0.005,ABS(O256)&gt;0.005,ABS(S256)&gt;0.005),"EXCEPTION","OK"))</f>
        <v>NOT SCORED - NO JULY MONTHLY ROW</v>
      </c>
      <c r="W256" s="8"/>
      <c r="X256" s="8" t="s">
        <v>2834</v>
      </c>
      <c r="Y256" s="36" t="n">
        <f aca="false">K256*N256</f>
        <v>317.1</v>
      </c>
    </row>
    <row r="257" customFormat="false" ht="20.85" hidden="false" customHeight="false" outlineLevel="0" collapsed="false">
      <c r="A257" s="11" t="s">
        <v>3846</v>
      </c>
      <c r="B257" s="11" t="s">
        <v>207</v>
      </c>
      <c r="C257" s="11" t="s">
        <v>2829</v>
      </c>
      <c r="D257" s="11" t="s">
        <v>2944</v>
      </c>
      <c r="E257" s="11" t="s">
        <v>3847</v>
      </c>
      <c r="F257" s="11" t="s">
        <v>3848</v>
      </c>
      <c r="G257" s="11" t="s">
        <v>3213</v>
      </c>
      <c r="H257" s="11" t="n">
        <v>80</v>
      </c>
      <c r="I257" s="31" t="n">
        <v>47.1</v>
      </c>
      <c r="J257" s="31"/>
      <c r="K257" s="31" t="n">
        <f aca="false">MAX(ROUNDUP(I257,0),H257)</f>
        <v>80</v>
      </c>
      <c r="L257" s="31" t="str">
        <f aca="false">IF(J257="","",J257-K257)</f>
        <v/>
      </c>
      <c r="M257" s="32"/>
      <c r="N257" s="32" t="n">
        <f aca="false">IF(C257="covered",10.4,7.55)</f>
        <v>7.55</v>
      </c>
      <c r="O257" s="32" t="str">
        <f aca="false">IF(M257="","",M257-N257)</f>
        <v/>
      </c>
      <c r="P257" s="11"/>
      <c r="Q257" s="33"/>
      <c r="R257" s="33" t="str">
        <f aca="false">IF(OR(J257="",P257=""),"",K257*N257*P257)</f>
        <v/>
      </c>
      <c r="S257" s="33" t="str">
        <f aca="false">IF(Q257="","",Q257-R257)</f>
        <v/>
      </c>
      <c r="T257" s="33" t="str">
        <f aca="false">IF(S257="","",MAX(0,-S257))</f>
        <v/>
      </c>
      <c r="U257" s="33" t="str">
        <f aca="false">IF(S257="","",MAX(0,S257))</f>
        <v/>
      </c>
      <c r="V257" s="11" t="str">
        <f aca="false">IF(J257="","NOT SCORED - NO JULY MONTHLY ROW",IF(OR(ABS(L257)&gt;0.005,ABS(O257)&gt;0.005,ABS(S257)&gt;0.005),"EXCEPTION","OK"))</f>
        <v>NOT SCORED - NO JULY MONTHLY ROW</v>
      </c>
      <c r="W257" s="11"/>
      <c r="X257" s="11" t="s">
        <v>2834</v>
      </c>
      <c r="Y257" s="33" t="n">
        <f aca="false">K257*N257</f>
        <v>604</v>
      </c>
    </row>
    <row r="258" customFormat="false" ht="20.85" hidden="false" customHeight="false" outlineLevel="0" collapsed="false">
      <c r="A258" s="8" t="s">
        <v>1163</v>
      </c>
      <c r="B258" s="8" t="s">
        <v>207</v>
      </c>
      <c r="C258" s="8" t="s">
        <v>2829</v>
      </c>
      <c r="D258" s="8" t="s">
        <v>2949</v>
      </c>
      <c r="E258" s="8" t="s">
        <v>3849</v>
      </c>
      <c r="F258" s="8" t="s">
        <v>3850</v>
      </c>
      <c r="G258" s="8" t="s">
        <v>3851</v>
      </c>
      <c r="H258" s="8" t="n">
        <v>40</v>
      </c>
      <c r="I258" s="34" t="n">
        <v>30.9</v>
      </c>
      <c r="J258" s="34"/>
      <c r="K258" s="34" t="n">
        <f aca="false">MAX(ROUNDUP(I258,0),H258)</f>
        <v>40</v>
      </c>
      <c r="L258" s="34" t="str">
        <f aca="false">IF(J258="","",J258-K258)</f>
        <v/>
      </c>
      <c r="M258" s="35"/>
      <c r="N258" s="35" t="n">
        <f aca="false">IF(C258="covered",10.4,7.55)</f>
        <v>7.55</v>
      </c>
      <c r="O258" s="35" t="str">
        <f aca="false">IF(M258="","",M258-N258)</f>
        <v/>
      </c>
      <c r="P258" s="8"/>
      <c r="Q258" s="36"/>
      <c r="R258" s="36" t="str">
        <f aca="false">IF(OR(J258="",P258=""),"",K258*N258*P258)</f>
        <v/>
      </c>
      <c r="S258" s="36" t="str">
        <f aca="false">IF(Q258="","",Q258-R258)</f>
        <v/>
      </c>
      <c r="T258" s="36" t="str">
        <f aca="false">IF(S258="","",MAX(0,-S258))</f>
        <v/>
      </c>
      <c r="U258" s="36" t="str">
        <f aca="false">IF(S258="","",MAX(0,S258))</f>
        <v/>
      </c>
      <c r="V258" s="8" t="str">
        <f aca="false">IF(J258="","NOT SCORED - NO JULY MONTHLY ROW",IF(OR(ABS(L258)&gt;0.005,ABS(O258)&gt;0.005,ABS(S258)&gt;0.005),"EXCEPTION","OK"))</f>
        <v>NOT SCORED - NO JULY MONTHLY ROW</v>
      </c>
      <c r="W258" s="8"/>
      <c r="X258" s="8" t="s">
        <v>2834</v>
      </c>
      <c r="Y258" s="36" t="n">
        <f aca="false">K258*N258</f>
        <v>302</v>
      </c>
    </row>
    <row r="259" customFormat="false" ht="20.85" hidden="false" customHeight="false" outlineLevel="0" collapsed="false">
      <c r="A259" s="11" t="s">
        <v>3852</v>
      </c>
      <c r="B259" s="11" t="s">
        <v>207</v>
      </c>
      <c r="C259" s="11" t="s">
        <v>2829</v>
      </c>
      <c r="D259" s="11" t="s">
        <v>2959</v>
      </c>
      <c r="E259" s="11" t="s">
        <v>3853</v>
      </c>
      <c r="F259" s="11" t="s">
        <v>3854</v>
      </c>
      <c r="G259" s="11" t="s">
        <v>3770</v>
      </c>
      <c r="H259" s="11" t="n">
        <v>36</v>
      </c>
      <c r="I259" s="31" t="n">
        <v>37</v>
      </c>
      <c r="J259" s="31"/>
      <c r="K259" s="31" t="n">
        <f aca="false">MAX(ROUNDUP(I259,0),H259)</f>
        <v>37</v>
      </c>
      <c r="L259" s="31" t="str">
        <f aca="false">IF(J259="","",J259-K259)</f>
        <v/>
      </c>
      <c r="M259" s="32"/>
      <c r="N259" s="32" t="n">
        <f aca="false">IF(C259="covered",10.4,7.55)</f>
        <v>7.55</v>
      </c>
      <c r="O259" s="32" t="str">
        <f aca="false">IF(M259="","",M259-N259)</f>
        <v/>
      </c>
      <c r="P259" s="11"/>
      <c r="Q259" s="33"/>
      <c r="R259" s="33" t="str">
        <f aca="false">IF(OR(J259="",P259=""),"",K259*N259*P259)</f>
        <v/>
      </c>
      <c r="S259" s="33" t="str">
        <f aca="false">IF(Q259="","",Q259-R259)</f>
        <v/>
      </c>
      <c r="T259" s="33" t="str">
        <f aca="false">IF(S259="","",MAX(0,-S259))</f>
        <v/>
      </c>
      <c r="U259" s="33" t="str">
        <f aca="false">IF(S259="","",MAX(0,S259))</f>
        <v/>
      </c>
      <c r="V259" s="11" t="str">
        <f aca="false">IF(J259="","NOT SCORED - NO JULY MONTHLY ROW",IF(OR(ABS(L259)&gt;0.005,ABS(O259)&gt;0.005,ABS(S259)&gt;0.005),"EXCEPTION","OK"))</f>
        <v>NOT SCORED - NO JULY MONTHLY ROW</v>
      </c>
      <c r="W259" s="11"/>
      <c r="X259" s="11" t="s">
        <v>2834</v>
      </c>
      <c r="Y259" s="33" t="n">
        <f aca="false">K259*N259</f>
        <v>279.35</v>
      </c>
    </row>
    <row r="260" customFormat="false" ht="20.85" hidden="false" customHeight="false" outlineLevel="0" collapsed="false">
      <c r="A260" s="8" t="s">
        <v>833</v>
      </c>
      <c r="B260" s="8" t="s">
        <v>207</v>
      </c>
      <c r="C260" s="8" t="s">
        <v>2829</v>
      </c>
      <c r="D260" s="8" t="s">
        <v>2963</v>
      </c>
      <c r="E260" s="8" t="s">
        <v>3855</v>
      </c>
      <c r="F260" s="8" t="s">
        <v>3856</v>
      </c>
      <c r="G260" s="8" t="s">
        <v>3857</v>
      </c>
      <c r="H260" s="8" t="n">
        <v>60</v>
      </c>
      <c r="I260" s="34" t="n">
        <v>31.7</v>
      </c>
      <c r="J260" s="34"/>
      <c r="K260" s="34" t="n">
        <f aca="false">MAX(ROUNDUP(I260,0),H260)</f>
        <v>60</v>
      </c>
      <c r="L260" s="34" t="str">
        <f aca="false">IF(J260="","",J260-K260)</f>
        <v/>
      </c>
      <c r="M260" s="35"/>
      <c r="N260" s="35" t="n">
        <f aca="false">IF(C260="covered",10.4,7.55)</f>
        <v>7.55</v>
      </c>
      <c r="O260" s="35" t="str">
        <f aca="false">IF(M260="","",M260-N260)</f>
        <v/>
      </c>
      <c r="P260" s="8"/>
      <c r="Q260" s="36"/>
      <c r="R260" s="36" t="str">
        <f aca="false">IF(OR(J260="",P260=""),"",K260*N260*P260)</f>
        <v/>
      </c>
      <c r="S260" s="36" t="str">
        <f aca="false">IF(Q260="","",Q260-R260)</f>
        <v/>
      </c>
      <c r="T260" s="36" t="str">
        <f aca="false">IF(S260="","",MAX(0,-S260))</f>
        <v/>
      </c>
      <c r="U260" s="36" t="str">
        <f aca="false">IF(S260="","",MAX(0,S260))</f>
        <v/>
      </c>
      <c r="V260" s="8" t="str">
        <f aca="false">IF(J260="","NOT SCORED - NO JULY MONTHLY ROW",IF(OR(ABS(L260)&gt;0.005,ABS(O260)&gt;0.005,ABS(S260)&gt;0.005),"EXCEPTION","OK"))</f>
        <v>NOT SCORED - NO JULY MONTHLY ROW</v>
      </c>
      <c r="W260" s="8"/>
      <c r="X260" s="8" t="s">
        <v>2834</v>
      </c>
      <c r="Y260" s="36" t="n">
        <f aca="false">K260*N260</f>
        <v>453</v>
      </c>
    </row>
    <row r="261" customFormat="false" ht="20.85" hidden="false" customHeight="false" outlineLevel="0" collapsed="false">
      <c r="A261" s="11" t="s">
        <v>3858</v>
      </c>
      <c r="B261" s="11" t="s">
        <v>207</v>
      </c>
      <c r="C261" s="11" t="s">
        <v>2829</v>
      </c>
      <c r="D261" s="11" t="s">
        <v>3859</v>
      </c>
      <c r="E261" s="11" t="s">
        <v>3860</v>
      </c>
      <c r="F261" s="11" t="s">
        <v>3861</v>
      </c>
      <c r="G261" s="11" t="s">
        <v>3544</v>
      </c>
      <c r="H261" s="11" t="n">
        <v>36</v>
      </c>
      <c r="I261" s="31" t="n">
        <v>24.7</v>
      </c>
      <c r="J261" s="31"/>
      <c r="K261" s="31" t="n">
        <f aca="false">MAX(ROUNDUP(I261,0),H261)</f>
        <v>36</v>
      </c>
      <c r="L261" s="31" t="str">
        <f aca="false">IF(J261="","",J261-K261)</f>
        <v/>
      </c>
      <c r="M261" s="32"/>
      <c r="N261" s="32" t="n">
        <f aca="false">IF(C261="covered",10.4,7.55)</f>
        <v>7.55</v>
      </c>
      <c r="O261" s="32" t="str">
        <f aca="false">IF(M261="","",M261-N261)</f>
        <v/>
      </c>
      <c r="P261" s="11"/>
      <c r="Q261" s="33"/>
      <c r="R261" s="33" t="str">
        <f aca="false">IF(OR(J261="",P261=""),"",K261*N261*P261)</f>
        <v/>
      </c>
      <c r="S261" s="33" t="str">
        <f aca="false">IF(Q261="","",Q261-R261)</f>
        <v/>
      </c>
      <c r="T261" s="33" t="str">
        <f aca="false">IF(S261="","",MAX(0,-S261))</f>
        <v/>
      </c>
      <c r="U261" s="33" t="str">
        <f aca="false">IF(S261="","",MAX(0,S261))</f>
        <v/>
      </c>
      <c r="V261" s="11" t="str">
        <f aca="false">IF(J261="","NOT SCORED - NO JULY MONTHLY ROW",IF(OR(ABS(L261)&gt;0.005,ABS(O261)&gt;0.005,ABS(S261)&gt;0.005),"EXCEPTION","OK"))</f>
        <v>NOT SCORED - NO JULY MONTHLY ROW</v>
      </c>
      <c r="W261" s="11"/>
      <c r="X261" s="11" t="s">
        <v>2834</v>
      </c>
      <c r="Y261" s="33" t="n">
        <f aca="false">K261*N261</f>
        <v>271.8</v>
      </c>
    </row>
    <row r="262" customFormat="false" ht="20.85" hidden="false" customHeight="false" outlineLevel="0" collapsed="false">
      <c r="A262" s="8" t="s">
        <v>3862</v>
      </c>
      <c r="B262" s="8" t="s">
        <v>207</v>
      </c>
      <c r="C262" s="8" t="s">
        <v>2829</v>
      </c>
      <c r="D262" s="8" t="s">
        <v>2968</v>
      </c>
      <c r="E262" s="8" t="s">
        <v>3863</v>
      </c>
      <c r="F262" s="8" t="s">
        <v>3864</v>
      </c>
      <c r="G262" s="8" t="s">
        <v>3865</v>
      </c>
      <c r="H262" s="8" t="n">
        <v>24</v>
      </c>
      <c r="I262" s="34" t="n">
        <v>45</v>
      </c>
      <c r="J262" s="34"/>
      <c r="K262" s="34" t="n">
        <f aca="false">MAX(ROUNDUP(I262,0),H262)</f>
        <v>45</v>
      </c>
      <c r="L262" s="34" t="str">
        <f aca="false">IF(J262="","",J262-K262)</f>
        <v/>
      </c>
      <c r="M262" s="35"/>
      <c r="N262" s="35" t="n">
        <f aca="false">IF(C262="covered",10.4,7.55)</f>
        <v>7.55</v>
      </c>
      <c r="O262" s="35" t="str">
        <f aca="false">IF(M262="","",M262-N262)</f>
        <v/>
      </c>
      <c r="P262" s="8"/>
      <c r="Q262" s="36"/>
      <c r="R262" s="36" t="str">
        <f aca="false">IF(OR(J262="",P262=""),"",K262*N262*P262)</f>
        <v/>
      </c>
      <c r="S262" s="36" t="str">
        <f aca="false">IF(Q262="","",Q262-R262)</f>
        <v/>
      </c>
      <c r="T262" s="36" t="str">
        <f aca="false">IF(S262="","",MAX(0,-S262))</f>
        <v/>
      </c>
      <c r="U262" s="36" t="str">
        <f aca="false">IF(S262="","",MAX(0,S262))</f>
        <v/>
      </c>
      <c r="V262" s="8" t="str">
        <f aca="false">IF(J262="","NOT SCORED - NO JULY MONTHLY ROW",IF(OR(ABS(L262)&gt;0.005,ABS(O262)&gt;0.005,ABS(S262)&gt;0.005),"EXCEPTION","OK"))</f>
        <v>NOT SCORED - NO JULY MONTHLY ROW</v>
      </c>
      <c r="W262" s="8"/>
      <c r="X262" s="8" t="s">
        <v>2834</v>
      </c>
      <c r="Y262" s="36" t="n">
        <f aca="false">K262*N262</f>
        <v>339.75</v>
      </c>
    </row>
    <row r="263" customFormat="false" ht="20.85" hidden="false" customHeight="false" outlineLevel="0" collapsed="false">
      <c r="A263" s="11" t="s">
        <v>3866</v>
      </c>
      <c r="B263" s="11" t="s">
        <v>207</v>
      </c>
      <c r="C263" s="11" t="s">
        <v>2829</v>
      </c>
      <c r="D263" s="11" t="s">
        <v>2973</v>
      </c>
      <c r="E263" s="11" t="s">
        <v>3867</v>
      </c>
      <c r="F263" s="11" t="s">
        <v>3868</v>
      </c>
      <c r="G263" s="11" t="s">
        <v>3087</v>
      </c>
      <c r="H263" s="11" t="n">
        <v>28</v>
      </c>
      <c r="I263" s="31" t="n">
        <v>53.6</v>
      </c>
      <c r="J263" s="31"/>
      <c r="K263" s="31" t="n">
        <f aca="false">MAX(ROUNDUP(I263,0),H263)</f>
        <v>54</v>
      </c>
      <c r="L263" s="31" t="str">
        <f aca="false">IF(J263="","",J263-K263)</f>
        <v/>
      </c>
      <c r="M263" s="32"/>
      <c r="N263" s="32" t="n">
        <f aca="false">IF(C263="covered",10.4,7.55)</f>
        <v>7.55</v>
      </c>
      <c r="O263" s="32" t="str">
        <f aca="false">IF(M263="","",M263-N263)</f>
        <v/>
      </c>
      <c r="P263" s="11"/>
      <c r="Q263" s="33"/>
      <c r="R263" s="33" t="str">
        <f aca="false">IF(OR(J263="",P263=""),"",K263*N263*P263)</f>
        <v/>
      </c>
      <c r="S263" s="33" t="str">
        <f aca="false">IF(Q263="","",Q263-R263)</f>
        <v/>
      </c>
      <c r="T263" s="33" t="str">
        <f aca="false">IF(S263="","",MAX(0,-S263))</f>
        <v/>
      </c>
      <c r="U263" s="33" t="str">
        <f aca="false">IF(S263="","",MAX(0,S263))</f>
        <v/>
      </c>
      <c r="V263" s="11" t="str">
        <f aca="false">IF(J263="","NOT SCORED - NO JULY MONTHLY ROW",IF(OR(ABS(L263)&gt;0.005,ABS(O263)&gt;0.005,ABS(S263)&gt;0.005),"EXCEPTION","OK"))</f>
        <v>NOT SCORED - NO JULY MONTHLY ROW</v>
      </c>
      <c r="W263" s="11"/>
      <c r="X263" s="11" t="s">
        <v>2834</v>
      </c>
      <c r="Y263" s="33" t="n">
        <f aca="false">K263*N263</f>
        <v>407.7</v>
      </c>
    </row>
    <row r="264" customFormat="false" ht="20.85" hidden="false" customHeight="false" outlineLevel="0" collapsed="false">
      <c r="A264" s="8" t="s">
        <v>3869</v>
      </c>
      <c r="B264" s="8" t="s">
        <v>207</v>
      </c>
      <c r="C264" s="8" t="s">
        <v>2829</v>
      </c>
      <c r="D264" s="8" t="s">
        <v>2978</v>
      </c>
      <c r="E264" s="8" t="s">
        <v>3870</v>
      </c>
      <c r="F264" s="8" t="s">
        <v>3871</v>
      </c>
      <c r="G264" s="8" t="s">
        <v>3872</v>
      </c>
      <c r="H264" s="8" t="n">
        <v>80</v>
      </c>
      <c r="I264" s="34" t="n">
        <v>49.5</v>
      </c>
      <c r="J264" s="34"/>
      <c r="K264" s="34" t="n">
        <f aca="false">MAX(ROUNDUP(I264,0),H264)</f>
        <v>80</v>
      </c>
      <c r="L264" s="34" t="str">
        <f aca="false">IF(J264="","",J264-K264)</f>
        <v/>
      </c>
      <c r="M264" s="35"/>
      <c r="N264" s="35" t="n">
        <f aca="false">IF(C264="covered",10.4,7.55)</f>
        <v>7.55</v>
      </c>
      <c r="O264" s="35" t="str">
        <f aca="false">IF(M264="","",M264-N264)</f>
        <v/>
      </c>
      <c r="P264" s="8"/>
      <c r="Q264" s="36"/>
      <c r="R264" s="36" t="str">
        <f aca="false">IF(OR(J264="",P264=""),"",K264*N264*P264)</f>
        <v/>
      </c>
      <c r="S264" s="36" t="str">
        <f aca="false">IF(Q264="","",Q264-R264)</f>
        <v/>
      </c>
      <c r="T264" s="36" t="str">
        <f aca="false">IF(S264="","",MAX(0,-S264))</f>
        <v/>
      </c>
      <c r="U264" s="36" t="str">
        <f aca="false">IF(S264="","",MAX(0,S264))</f>
        <v/>
      </c>
      <c r="V264" s="8" t="str">
        <f aca="false">IF(J264="","NOT SCORED - NO JULY MONTHLY ROW",IF(OR(ABS(L264)&gt;0.005,ABS(O264)&gt;0.005,ABS(S264)&gt;0.005),"EXCEPTION","OK"))</f>
        <v>NOT SCORED - NO JULY MONTHLY ROW</v>
      </c>
      <c r="W264" s="8"/>
      <c r="X264" s="8" t="s">
        <v>2834</v>
      </c>
      <c r="Y264" s="36" t="n">
        <f aca="false">K264*N264</f>
        <v>604</v>
      </c>
    </row>
    <row r="265" customFormat="false" ht="20.85" hidden="false" customHeight="false" outlineLevel="0" collapsed="false">
      <c r="A265" s="11" t="s">
        <v>3873</v>
      </c>
      <c r="B265" s="11" t="s">
        <v>207</v>
      </c>
      <c r="C265" s="11" t="s">
        <v>2829</v>
      </c>
      <c r="D265" s="11" t="s">
        <v>2981</v>
      </c>
      <c r="E265" s="11" t="s">
        <v>3874</v>
      </c>
      <c r="F265" s="11" t="s">
        <v>3875</v>
      </c>
      <c r="G265" s="11" t="s">
        <v>3876</v>
      </c>
      <c r="H265" s="11" t="n">
        <v>45</v>
      </c>
      <c r="I265" s="31" t="n">
        <v>27.7</v>
      </c>
      <c r="J265" s="31"/>
      <c r="K265" s="31" t="n">
        <f aca="false">MAX(ROUNDUP(I265,0),H265)</f>
        <v>45</v>
      </c>
      <c r="L265" s="31" t="str">
        <f aca="false">IF(J265="","",J265-K265)</f>
        <v/>
      </c>
      <c r="M265" s="32"/>
      <c r="N265" s="32" t="n">
        <f aca="false">IF(C265="covered",10.4,7.55)</f>
        <v>7.55</v>
      </c>
      <c r="O265" s="32" t="str">
        <f aca="false">IF(M265="","",M265-N265)</f>
        <v/>
      </c>
      <c r="P265" s="11"/>
      <c r="Q265" s="33"/>
      <c r="R265" s="33" t="str">
        <f aca="false">IF(OR(J265="",P265=""),"",K265*N265*P265)</f>
        <v/>
      </c>
      <c r="S265" s="33" t="str">
        <f aca="false">IF(Q265="","",Q265-R265)</f>
        <v/>
      </c>
      <c r="T265" s="33" t="str">
        <f aca="false">IF(S265="","",MAX(0,-S265))</f>
        <v/>
      </c>
      <c r="U265" s="33" t="str">
        <f aca="false">IF(S265="","",MAX(0,S265))</f>
        <v/>
      </c>
      <c r="V265" s="11" t="str">
        <f aca="false">IF(J265="","NOT SCORED - NO JULY MONTHLY ROW",IF(OR(ABS(L265)&gt;0.005,ABS(O265)&gt;0.005,ABS(S265)&gt;0.005),"EXCEPTION","OK"))</f>
        <v>NOT SCORED - NO JULY MONTHLY ROW</v>
      </c>
      <c r="W265" s="11"/>
      <c r="X265" s="11" t="s">
        <v>2834</v>
      </c>
      <c r="Y265" s="33" t="n">
        <f aca="false">K265*N265</f>
        <v>339.75</v>
      </c>
    </row>
    <row r="266" customFormat="false" ht="20.85" hidden="false" customHeight="false" outlineLevel="0" collapsed="false">
      <c r="A266" s="8" t="s">
        <v>886</v>
      </c>
      <c r="B266" s="8" t="s">
        <v>207</v>
      </c>
      <c r="C266" s="8" t="s">
        <v>2829</v>
      </c>
      <c r="D266" s="8" t="s">
        <v>3877</v>
      </c>
      <c r="E266" s="8" t="s">
        <v>3878</v>
      </c>
      <c r="F266" s="8" t="s">
        <v>3879</v>
      </c>
      <c r="G266" s="8" t="s">
        <v>3880</v>
      </c>
      <c r="H266" s="8" t="n">
        <v>24</v>
      </c>
      <c r="I266" s="34" t="n">
        <v>41.8</v>
      </c>
      <c r="J266" s="34"/>
      <c r="K266" s="34" t="n">
        <f aca="false">MAX(ROUNDUP(I266,0),H266)</f>
        <v>42</v>
      </c>
      <c r="L266" s="34" t="str">
        <f aca="false">IF(J266="","",J266-K266)</f>
        <v/>
      </c>
      <c r="M266" s="35"/>
      <c r="N266" s="35" t="n">
        <f aca="false">IF(C266="covered",10.4,7.55)</f>
        <v>7.55</v>
      </c>
      <c r="O266" s="35" t="str">
        <f aca="false">IF(M266="","",M266-N266)</f>
        <v/>
      </c>
      <c r="P266" s="8"/>
      <c r="Q266" s="36"/>
      <c r="R266" s="36" t="str">
        <f aca="false">IF(OR(J266="",P266=""),"",K266*N266*P266)</f>
        <v/>
      </c>
      <c r="S266" s="36" t="str">
        <f aca="false">IF(Q266="","",Q266-R266)</f>
        <v/>
      </c>
      <c r="T266" s="36" t="str">
        <f aca="false">IF(S266="","",MAX(0,-S266))</f>
        <v/>
      </c>
      <c r="U266" s="36" t="str">
        <f aca="false">IF(S266="","",MAX(0,S266))</f>
        <v/>
      </c>
      <c r="V266" s="8" t="str">
        <f aca="false">IF(J266="","NOT SCORED - NO JULY MONTHLY ROW",IF(OR(ABS(L266)&gt;0.005,ABS(O266)&gt;0.005,ABS(S266)&gt;0.005),"EXCEPTION","OK"))</f>
        <v>NOT SCORED - NO JULY MONTHLY ROW</v>
      </c>
      <c r="W266" s="8"/>
      <c r="X266" s="8" t="s">
        <v>2834</v>
      </c>
      <c r="Y266" s="36" t="n">
        <f aca="false">K266*N266</f>
        <v>317.1</v>
      </c>
    </row>
    <row r="267" customFormat="false" ht="20.85" hidden="false" customHeight="false" outlineLevel="0" collapsed="false">
      <c r="A267" s="11" t="s">
        <v>361</v>
      </c>
      <c r="B267" s="11" t="s">
        <v>207</v>
      </c>
      <c r="C267" s="11" t="s">
        <v>2829</v>
      </c>
      <c r="D267" s="11" t="s">
        <v>2984</v>
      </c>
      <c r="E267" s="11" t="s">
        <v>3881</v>
      </c>
      <c r="F267" s="11" t="s">
        <v>3882</v>
      </c>
      <c r="G267" s="11" t="s">
        <v>3883</v>
      </c>
      <c r="H267" s="11" t="n">
        <v>36</v>
      </c>
      <c r="I267" s="31" t="n">
        <v>26.3</v>
      </c>
      <c r="J267" s="31"/>
      <c r="K267" s="31" t="n">
        <f aca="false">MAX(ROUNDUP(I267,0),H267)</f>
        <v>36</v>
      </c>
      <c r="L267" s="31" t="str">
        <f aca="false">IF(J267="","",J267-K267)</f>
        <v/>
      </c>
      <c r="M267" s="32"/>
      <c r="N267" s="32" t="n">
        <f aca="false">IF(C267="covered",10.4,7.55)</f>
        <v>7.55</v>
      </c>
      <c r="O267" s="32" t="str">
        <f aca="false">IF(M267="","",M267-N267)</f>
        <v/>
      </c>
      <c r="P267" s="11"/>
      <c r="Q267" s="33"/>
      <c r="R267" s="33" t="str">
        <f aca="false">IF(OR(J267="",P267=""),"",K267*N267*P267)</f>
        <v/>
      </c>
      <c r="S267" s="33" t="str">
        <f aca="false">IF(Q267="","",Q267-R267)</f>
        <v/>
      </c>
      <c r="T267" s="33" t="str">
        <f aca="false">IF(S267="","",MAX(0,-S267))</f>
        <v/>
      </c>
      <c r="U267" s="33" t="str">
        <f aca="false">IF(S267="","",MAX(0,S267))</f>
        <v/>
      </c>
      <c r="V267" s="11" t="str">
        <f aca="false">IF(J267="","NOT SCORED - NO JULY MONTHLY ROW",IF(OR(ABS(L267)&gt;0.005,ABS(O267)&gt;0.005,ABS(S267)&gt;0.005),"EXCEPTION","OK"))</f>
        <v>NOT SCORED - NO JULY MONTHLY ROW</v>
      </c>
      <c r="W267" s="11"/>
      <c r="X267" s="11" t="s">
        <v>2834</v>
      </c>
      <c r="Y267" s="33" t="n">
        <f aca="false">K267*N267</f>
        <v>271.8</v>
      </c>
    </row>
    <row r="268" customFormat="false" ht="20.85" hidden="false" customHeight="false" outlineLevel="0" collapsed="false">
      <c r="A268" s="8" t="s">
        <v>3884</v>
      </c>
      <c r="B268" s="8" t="s">
        <v>207</v>
      </c>
      <c r="C268" s="8" t="s">
        <v>2829</v>
      </c>
      <c r="D268" s="8" t="s">
        <v>2994</v>
      </c>
      <c r="E268" s="8" t="s">
        <v>2614</v>
      </c>
      <c r="F268" s="8" t="s">
        <v>3885</v>
      </c>
      <c r="G268" s="8" t="s">
        <v>3097</v>
      </c>
      <c r="H268" s="8" t="n">
        <v>24</v>
      </c>
      <c r="I268" s="34" t="n">
        <v>26.3</v>
      </c>
      <c r="J268" s="34"/>
      <c r="K268" s="34" t="n">
        <f aca="false">MAX(ROUNDUP(I268,0),H268)</f>
        <v>27</v>
      </c>
      <c r="L268" s="34" t="str">
        <f aca="false">IF(J268="","",J268-K268)</f>
        <v/>
      </c>
      <c r="M268" s="35"/>
      <c r="N268" s="35" t="n">
        <f aca="false">IF(C268="covered",10.4,7.55)</f>
        <v>7.55</v>
      </c>
      <c r="O268" s="35" t="str">
        <f aca="false">IF(M268="","",M268-N268)</f>
        <v/>
      </c>
      <c r="P268" s="8"/>
      <c r="Q268" s="36"/>
      <c r="R268" s="36" t="str">
        <f aca="false">IF(OR(J268="",P268=""),"",K268*N268*P268)</f>
        <v/>
      </c>
      <c r="S268" s="36" t="str">
        <f aca="false">IF(Q268="","",Q268-R268)</f>
        <v/>
      </c>
      <c r="T268" s="36" t="str">
        <f aca="false">IF(S268="","",MAX(0,-S268))</f>
        <v/>
      </c>
      <c r="U268" s="36" t="str">
        <f aca="false">IF(S268="","",MAX(0,S268))</f>
        <v/>
      </c>
      <c r="V268" s="8" t="str">
        <f aca="false">IF(J268="","NOT SCORED - NO JULY MONTHLY ROW",IF(OR(ABS(L268)&gt;0.005,ABS(O268)&gt;0.005,ABS(S268)&gt;0.005),"EXCEPTION","OK"))</f>
        <v>NOT SCORED - NO JULY MONTHLY ROW</v>
      </c>
      <c r="W268" s="8"/>
      <c r="X268" s="8" t="s">
        <v>2834</v>
      </c>
      <c r="Y268" s="36" t="n">
        <f aca="false">K268*N268</f>
        <v>203.85</v>
      </c>
    </row>
    <row r="269" customFormat="false" ht="20.85" hidden="false" customHeight="false" outlineLevel="0" collapsed="false">
      <c r="A269" s="11" t="s">
        <v>3886</v>
      </c>
      <c r="B269" s="11" t="s">
        <v>207</v>
      </c>
      <c r="C269" s="11" t="s">
        <v>2829</v>
      </c>
      <c r="D269" s="11" t="s">
        <v>2998</v>
      </c>
      <c r="E269" s="11" t="s">
        <v>3887</v>
      </c>
      <c r="F269" s="11" t="s">
        <v>3888</v>
      </c>
      <c r="G269" s="11" t="s">
        <v>3815</v>
      </c>
      <c r="H269" s="11" t="n">
        <v>60</v>
      </c>
      <c r="I269" s="31" t="n">
        <v>61.4</v>
      </c>
      <c r="J269" s="31"/>
      <c r="K269" s="31" t="n">
        <f aca="false">MAX(ROUNDUP(I269,0),H269)</f>
        <v>62</v>
      </c>
      <c r="L269" s="31" t="str">
        <f aca="false">IF(J269="","",J269-K269)</f>
        <v/>
      </c>
      <c r="M269" s="32"/>
      <c r="N269" s="32" t="n">
        <f aca="false">IF(C269="covered",10.4,7.55)</f>
        <v>7.55</v>
      </c>
      <c r="O269" s="32" t="str">
        <f aca="false">IF(M269="","",M269-N269)</f>
        <v/>
      </c>
      <c r="P269" s="11"/>
      <c r="Q269" s="33"/>
      <c r="R269" s="33" t="str">
        <f aca="false">IF(OR(J269="",P269=""),"",K269*N269*P269)</f>
        <v/>
      </c>
      <c r="S269" s="33" t="str">
        <f aca="false">IF(Q269="","",Q269-R269)</f>
        <v/>
      </c>
      <c r="T269" s="33" t="str">
        <f aca="false">IF(S269="","",MAX(0,-S269))</f>
        <v/>
      </c>
      <c r="U269" s="33" t="str">
        <f aca="false">IF(S269="","",MAX(0,S269))</f>
        <v/>
      </c>
      <c r="V269" s="11" t="str">
        <f aca="false">IF(J269="","NOT SCORED - NO JULY MONTHLY ROW",IF(OR(ABS(L269)&gt;0.005,ABS(O269)&gt;0.005,ABS(S269)&gt;0.005),"EXCEPTION","OK"))</f>
        <v>NOT SCORED - NO JULY MONTHLY ROW</v>
      </c>
      <c r="W269" s="11"/>
      <c r="X269" s="11" t="s">
        <v>2834</v>
      </c>
      <c r="Y269" s="33" t="n">
        <f aca="false">K269*N269</f>
        <v>468.1</v>
      </c>
    </row>
    <row r="270" customFormat="false" ht="20.85" hidden="false" customHeight="false" outlineLevel="0" collapsed="false">
      <c r="A270" s="8" t="s">
        <v>3889</v>
      </c>
      <c r="B270" s="8" t="s">
        <v>207</v>
      </c>
      <c r="C270" s="8" t="s">
        <v>2829</v>
      </c>
      <c r="D270" s="8" t="s">
        <v>3002</v>
      </c>
      <c r="E270" s="8" t="s">
        <v>3890</v>
      </c>
      <c r="F270" s="8" t="s">
        <v>3891</v>
      </c>
      <c r="G270" s="8" t="s">
        <v>3892</v>
      </c>
      <c r="H270" s="8" t="n">
        <v>32</v>
      </c>
      <c r="I270" s="34" t="n">
        <v>25.8</v>
      </c>
      <c r="J270" s="34"/>
      <c r="K270" s="34" t="n">
        <f aca="false">MAX(ROUNDUP(I270,0),H270)</f>
        <v>32</v>
      </c>
      <c r="L270" s="34" t="str">
        <f aca="false">IF(J270="","",J270-K270)</f>
        <v/>
      </c>
      <c r="M270" s="35"/>
      <c r="N270" s="35" t="n">
        <f aca="false">IF(C270="covered",10.4,7.55)</f>
        <v>7.55</v>
      </c>
      <c r="O270" s="35" t="str">
        <f aca="false">IF(M270="","",M270-N270)</f>
        <v/>
      </c>
      <c r="P270" s="8"/>
      <c r="Q270" s="36"/>
      <c r="R270" s="36" t="str">
        <f aca="false">IF(OR(J270="",P270=""),"",K270*N270*P270)</f>
        <v/>
      </c>
      <c r="S270" s="36" t="str">
        <f aca="false">IF(Q270="","",Q270-R270)</f>
        <v/>
      </c>
      <c r="T270" s="36" t="str">
        <f aca="false">IF(S270="","",MAX(0,-S270))</f>
        <v/>
      </c>
      <c r="U270" s="36" t="str">
        <f aca="false">IF(S270="","",MAX(0,S270))</f>
        <v/>
      </c>
      <c r="V270" s="8" t="str">
        <f aca="false">IF(J270="","NOT SCORED - NO JULY MONTHLY ROW",IF(OR(ABS(L270)&gt;0.005,ABS(O270)&gt;0.005,ABS(S270)&gt;0.005),"EXCEPTION","OK"))</f>
        <v>NOT SCORED - NO JULY MONTHLY ROW</v>
      </c>
      <c r="W270" s="8"/>
      <c r="X270" s="8" t="s">
        <v>2834</v>
      </c>
      <c r="Y270" s="36" t="n">
        <f aca="false">K270*N270</f>
        <v>241.6</v>
      </c>
    </row>
    <row r="271" customFormat="false" ht="20.85" hidden="false" customHeight="false" outlineLevel="0" collapsed="false">
      <c r="A271" s="11" t="s">
        <v>3893</v>
      </c>
      <c r="B271" s="11" t="s">
        <v>207</v>
      </c>
      <c r="C271" s="11" t="s">
        <v>2829</v>
      </c>
      <c r="D271" s="11" t="s">
        <v>3006</v>
      </c>
      <c r="E271" s="11" t="s">
        <v>3894</v>
      </c>
      <c r="F271" s="11" t="s">
        <v>3895</v>
      </c>
      <c r="G271" s="11" t="s">
        <v>3896</v>
      </c>
      <c r="H271" s="11" t="n">
        <v>32</v>
      </c>
      <c r="I271" s="31" t="n">
        <v>34.1</v>
      </c>
      <c r="J271" s="31"/>
      <c r="K271" s="31" t="n">
        <f aca="false">MAX(ROUNDUP(I271,0),H271)</f>
        <v>35</v>
      </c>
      <c r="L271" s="31" t="str">
        <f aca="false">IF(J271="","",J271-K271)</f>
        <v/>
      </c>
      <c r="M271" s="32"/>
      <c r="N271" s="32" t="n">
        <f aca="false">IF(C271="covered",10.4,7.55)</f>
        <v>7.55</v>
      </c>
      <c r="O271" s="32" t="str">
        <f aca="false">IF(M271="","",M271-N271)</f>
        <v/>
      </c>
      <c r="P271" s="11"/>
      <c r="Q271" s="33"/>
      <c r="R271" s="33" t="str">
        <f aca="false">IF(OR(J271="",P271=""),"",K271*N271*P271)</f>
        <v/>
      </c>
      <c r="S271" s="33" t="str">
        <f aca="false">IF(Q271="","",Q271-R271)</f>
        <v/>
      </c>
      <c r="T271" s="33" t="str">
        <f aca="false">IF(S271="","",MAX(0,-S271))</f>
        <v/>
      </c>
      <c r="U271" s="33" t="str">
        <f aca="false">IF(S271="","",MAX(0,S271))</f>
        <v/>
      </c>
      <c r="V271" s="11" t="str">
        <f aca="false">IF(J271="","NOT SCORED - NO JULY MONTHLY ROW",IF(OR(ABS(L271)&gt;0.005,ABS(O271)&gt;0.005,ABS(S271)&gt;0.005),"EXCEPTION","OK"))</f>
        <v>NOT SCORED - NO JULY MONTHLY ROW</v>
      </c>
      <c r="W271" s="11"/>
      <c r="X271" s="11" t="s">
        <v>2834</v>
      </c>
      <c r="Y271" s="33" t="n">
        <f aca="false">K271*N271</f>
        <v>264.25</v>
      </c>
    </row>
    <row r="272" customFormat="false" ht="20.85" hidden="false" customHeight="false" outlineLevel="0" collapsed="false">
      <c r="A272" s="8" t="s">
        <v>399</v>
      </c>
      <c r="B272" s="8" t="s">
        <v>207</v>
      </c>
      <c r="C272" s="8" t="s">
        <v>2829</v>
      </c>
      <c r="D272" s="8" t="s">
        <v>3011</v>
      </c>
      <c r="E272" s="8" t="s">
        <v>3897</v>
      </c>
      <c r="F272" s="8" t="s">
        <v>3898</v>
      </c>
      <c r="G272" s="8" t="s">
        <v>3899</v>
      </c>
      <c r="H272" s="8" t="n">
        <v>28</v>
      </c>
      <c r="I272" s="34" t="n">
        <v>41.8</v>
      </c>
      <c r="J272" s="34"/>
      <c r="K272" s="34" t="n">
        <f aca="false">MAX(ROUNDUP(I272,0),H272)</f>
        <v>42</v>
      </c>
      <c r="L272" s="34" t="str">
        <f aca="false">IF(J272="","",J272-K272)</f>
        <v/>
      </c>
      <c r="M272" s="35"/>
      <c r="N272" s="35" t="n">
        <f aca="false">IF(C272="covered",10.4,7.55)</f>
        <v>7.55</v>
      </c>
      <c r="O272" s="35" t="str">
        <f aca="false">IF(M272="","",M272-N272)</f>
        <v/>
      </c>
      <c r="P272" s="8"/>
      <c r="Q272" s="36"/>
      <c r="R272" s="36" t="str">
        <f aca="false">IF(OR(J272="",P272=""),"",K272*N272*P272)</f>
        <v/>
      </c>
      <c r="S272" s="36" t="str">
        <f aca="false">IF(Q272="","",Q272-R272)</f>
        <v/>
      </c>
      <c r="T272" s="36" t="str">
        <f aca="false">IF(S272="","",MAX(0,-S272))</f>
        <v/>
      </c>
      <c r="U272" s="36" t="str">
        <f aca="false">IF(S272="","",MAX(0,S272))</f>
        <v/>
      </c>
      <c r="V272" s="8" t="str">
        <f aca="false">IF(J272="","NOT SCORED - NO JULY MONTHLY ROW",IF(OR(ABS(L272)&gt;0.005,ABS(O272)&gt;0.005,ABS(S272)&gt;0.005),"EXCEPTION","OK"))</f>
        <v>NOT SCORED - NO JULY MONTHLY ROW</v>
      </c>
      <c r="W272" s="8"/>
      <c r="X272" s="8" t="s">
        <v>2834</v>
      </c>
      <c r="Y272" s="36" t="n">
        <f aca="false">K272*N272</f>
        <v>317.1</v>
      </c>
    </row>
    <row r="273" customFormat="false" ht="20.85" hidden="false" customHeight="false" outlineLevel="0" collapsed="false">
      <c r="A273" s="11" t="s">
        <v>1548</v>
      </c>
      <c r="B273" s="11" t="s">
        <v>207</v>
      </c>
      <c r="C273" s="11" t="s">
        <v>2829</v>
      </c>
      <c r="D273" s="11" t="s">
        <v>3900</v>
      </c>
      <c r="E273" s="11" t="s">
        <v>3901</v>
      </c>
      <c r="F273" s="11" t="s">
        <v>3902</v>
      </c>
      <c r="G273" s="11" t="s">
        <v>3903</v>
      </c>
      <c r="H273" s="11" t="n">
        <v>24</v>
      </c>
      <c r="I273" s="31" t="n">
        <v>32.4</v>
      </c>
      <c r="J273" s="31"/>
      <c r="K273" s="31" t="n">
        <f aca="false">MAX(ROUNDUP(I273,0),H273)</f>
        <v>33</v>
      </c>
      <c r="L273" s="31" t="str">
        <f aca="false">IF(J273="","",J273-K273)</f>
        <v/>
      </c>
      <c r="M273" s="32"/>
      <c r="N273" s="32" t="n">
        <f aca="false">IF(C273="covered",10.4,7.55)</f>
        <v>7.55</v>
      </c>
      <c r="O273" s="32" t="str">
        <f aca="false">IF(M273="","",M273-N273)</f>
        <v/>
      </c>
      <c r="P273" s="11"/>
      <c r="Q273" s="33"/>
      <c r="R273" s="33" t="str">
        <f aca="false">IF(OR(J273="",P273=""),"",K273*N273*P273)</f>
        <v/>
      </c>
      <c r="S273" s="33" t="str">
        <f aca="false">IF(Q273="","",Q273-R273)</f>
        <v/>
      </c>
      <c r="T273" s="33" t="str">
        <f aca="false">IF(S273="","",MAX(0,-S273))</f>
        <v/>
      </c>
      <c r="U273" s="33" t="str">
        <f aca="false">IF(S273="","",MAX(0,S273))</f>
        <v/>
      </c>
      <c r="V273" s="11" t="str">
        <f aca="false">IF(J273="","NOT SCORED - NO JULY MONTHLY ROW",IF(OR(ABS(L273)&gt;0.005,ABS(O273)&gt;0.005,ABS(S273)&gt;0.005),"EXCEPTION","OK"))</f>
        <v>NOT SCORED - NO JULY MONTHLY ROW</v>
      </c>
      <c r="W273" s="11"/>
      <c r="X273" s="11" t="s">
        <v>2834</v>
      </c>
      <c r="Y273" s="33" t="n">
        <f aca="false">K273*N273</f>
        <v>249.15</v>
      </c>
    </row>
    <row r="274" customFormat="false" ht="20.85" hidden="false" customHeight="false" outlineLevel="0" collapsed="false">
      <c r="A274" s="8" t="s">
        <v>3904</v>
      </c>
      <c r="B274" s="8" t="s">
        <v>207</v>
      </c>
      <c r="C274" s="8" t="s">
        <v>2829</v>
      </c>
      <c r="D274" s="8" t="s">
        <v>3905</v>
      </c>
      <c r="E274" s="8" t="s">
        <v>3906</v>
      </c>
      <c r="F274" s="8" t="s">
        <v>3907</v>
      </c>
      <c r="G274" s="8" t="s">
        <v>3339</v>
      </c>
      <c r="H274" s="8" t="n">
        <v>28</v>
      </c>
      <c r="I274" s="34" t="n">
        <v>37.3</v>
      </c>
      <c r="J274" s="34"/>
      <c r="K274" s="34" t="n">
        <f aca="false">MAX(ROUNDUP(I274,0),H274)</f>
        <v>38</v>
      </c>
      <c r="L274" s="34" t="str">
        <f aca="false">IF(J274="","",J274-K274)</f>
        <v/>
      </c>
      <c r="M274" s="35"/>
      <c r="N274" s="35" t="n">
        <f aca="false">IF(C274="covered",10.4,7.55)</f>
        <v>7.55</v>
      </c>
      <c r="O274" s="35" t="str">
        <f aca="false">IF(M274="","",M274-N274)</f>
        <v/>
      </c>
      <c r="P274" s="8"/>
      <c r="Q274" s="36"/>
      <c r="R274" s="36" t="str">
        <f aca="false">IF(OR(J274="",P274=""),"",K274*N274*P274)</f>
        <v/>
      </c>
      <c r="S274" s="36" t="str">
        <f aca="false">IF(Q274="","",Q274-R274)</f>
        <v/>
      </c>
      <c r="T274" s="36" t="str">
        <f aca="false">IF(S274="","",MAX(0,-S274))</f>
        <v/>
      </c>
      <c r="U274" s="36" t="str">
        <f aca="false">IF(S274="","",MAX(0,S274))</f>
        <v/>
      </c>
      <c r="V274" s="8" t="str">
        <f aca="false">IF(J274="","NOT SCORED - NO JULY MONTHLY ROW",IF(OR(ABS(L274)&gt;0.005,ABS(O274)&gt;0.005,ABS(S274)&gt;0.005),"EXCEPTION","OK"))</f>
        <v>NOT SCORED - NO JULY MONTHLY ROW</v>
      </c>
      <c r="W274" s="8"/>
      <c r="X274" s="8" t="s">
        <v>2834</v>
      </c>
      <c r="Y274" s="36" t="n">
        <f aca="false">K274*N274</f>
        <v>286.9</v>
      </c>
    </row>
    <row r="275" customFormat="false" ht="20.85" hidden="false" customHeight="false" outlineLevel="0" collapsed="false">
      <c r="A275" s="11" t="s">
        <v>3908</v>
      </c>
      <c r="B275" s="11" t="s">
        <v>207</v>
      </c>
      <c r="C275" s="11" t="s">
        <v>2829</v>
      </c>
      <c r="D275" s="11" t="s">
        <v>3014</v>
      </c>
      <c r="E275" s="11" t="s">
        <v>3909</v>
      </c>
      <c r="F275" s="11" t="s">
        <v>3910</v>
      </c>
      <c r="G275" s="11" t="s">
        <v>3911</v>
      </c>
      <c r="H275" s="11" t="n">
        <v>50</v>
      </c>
      <c r="I275" s="31" t="n">
        <v>19.2</v>
      </c>
      <c r="J275" s="31"/>
      <c r="K275" s="31" t="n">
        <f aca="false">MAX(ROUNDUP(I275,0),H275)</f>
        <v>50</v>
      </c>
      <c r="L275" s="31" t="str">
        <f aca="false">IF(J275="","",J275-K275)</f>
        <v/>
      </c>
      <c r="M275" s="32"/>
      <c r="N275" s="32" t="n">
        <f aca="false">IF(C275="covered",10.4,7.55)</f>
        <v>7.55</v>
      </c>
      <c r="O275" s="32" t="str">
        <f aca="false">IF(M275="","",M275-N275)</f>
        <v/>
      </c>
      <c r="P275" s="11"/>
      <c r="Q275" s="33"/>
      <c r="R275" s="33" t="str">
        <f aca="false">IF(OR(J275="",P275=""),"",K275*N275*P275)</f>
        <v/>
      </c>
      <c r="S275" s="33" t="str">
        <f aca="false">IF(Q275="","",Q275-R275)</f>
        <v/>
      </c>
      <c r="T275" s="33" t="str">
        <f aca="false">IF(S275="","",MAX(0,-S275))</f>
        <v/>
      </c>
      <c r="U275" s="33" t="str">
        <f aca="false">IF(S275="","",MAX(0,S275))</f>
        <v/>
      </c>
      <c r="V275" s="11" t="str">
        <f aca="false">IF(J275="","NOT SCORED - NO JULY MONTHLY ROW",IF(OR(ABS(L275)&gt;0.005,ABS(O275)&gt;0.005,ABS(S275)&gt;0.005),"EXCEPTION","OK"))</f>
        <v>NOT SCORED - NO JULY MONTHLY ROW</v>
      </c>
      <c r="W275" s="11"/>
      <c r="X275" s="11" t="s">
        <v>2834</v>
      </c>
      <c r="Y275" s="33" t="n">
        <f aca="false">K275*N275</f>
        <v>377.5</v>
      </c>
    </row>
    <row r="276" customFormat="false" ht="20.85" hidden="false" customHeight="false" outlineLevel="0" collapsed="false">
      <c r="A276" s="8" t="s">
        <v>3912</v>
      </c>
      <c r="B276" s="8" t="s">
        <v>207</v>
      </c>
      <c r="C276" s="8" t="s">
        <v>2829</v>
      </c>
      <c r="D276" s="8" t="s">
        <v>3018</v>
      </c>
      <c r="E276" s="8" t="s">
        <v>61</v>
      </c>
      <c r="F276" s="8" t="s">
        <v>62</v>
      </c>
      <c r="G276" s="8" t="s">
        <v>3913</v>
      </c>
      <c r="H276" s="8" t="n">
        <v>32</v>
      </c>
      <c r="I276" s="34" t="n">
        <v>23.6</v>
      </c>
      <c r="J276" s="34"/>
      <c r="K276" s="34" t="n">
        <f aca="false">MAX(ROUNDUP(I276,0),H276)</f>
        <v>32</v>
      </c>
      <c r="L276" s="34" t="str">
        <f aca="false">IF(J276="","",J276-K276)</f>
        <v/>
      </c>
      <c r="M276" s="35"/>
      <c r="N276" s="35" t="n">
        <f aca="false">IF(C276="covered",10.4,7.55)</f>
        <v>7.55</v>
      </c>
      <c r="O276" s="35" t="str">
        <f aca="false">IF(M276="","",M276-N276)</f>
        <v/>
      </c>
      <c r="P276" s="8"/>
      <c r="Q276" s="36"/>
      <c r="R276" s="36" t="str">
        <f aca="false">IF(OR(J276="",P276=""),"",K276*N276*P276)</f>
        <v/>
      </c>
      <c r="S276" s="36" t="str">
        <f aca="false">IF(Q276="","",Q276-R276)</f>
        <v/>
      </c>
      <c r="T276" s="36" t="str">
        <f aca="false">IF(S276="","",MAX(0,-S276))</f>
        <v/>
      </c>
      <c r="U276" s="36" t="str">
        <f aca="false">IF(S276="","",MAX(0,S276))</f>
        <v/>
      </c>
      <c r="V276" s="8" t="str">
        <f aca="false">IF(J276="","NOT SCORED - NO JULY MONTHLY ROW",IF(OR(ABS(L276)&gt;0.005,ABS(O276)&gt;0.005,ABS(S276)&gt;0.005),"EXCEPTION","OK"))</f>
        <v>NOT SCORED - NO JULY MONTHLY ROW</v>
      </c>
      <c r="W276" s="8"/>
      <c r="X276" s="8" t="s">
        <v>2834</v>
      </c>
      <c r="Y276" s="36" t="n">
        <f aca="false">K276*N276</f>
        <v>241.6</v>
      </c>
    </row>
    <row r="277" customFormat="false" ht="20.85" hidden="false" customHeight="false" outlineLevel="0" collapsed="false">
      <c r="A277" s="11" t="s">
        <v>1396</v>
      </c>
      <c r="B277" s="11" t="s">
        <v>207</v>
      </c>
      <c r="C277" s="11" t="s">
        <v>2829</v>
      </c>
      <c r="D277" s="11" t="s">
        <v>3023</v>
      </c>
      <c r="E277" s="11" t="s">
        <v>3914</v>
      </c>
      <c r="F277" s="11" t="s">
        <v>3915</v>
      </c>
      <c r="G277" s="11" t="s">
        <v>3916</v>
      </c>
      <c r="H277" s="11" t="n">
        <v>70</v>
      </c>
      <c r="I277" s="31" t="n">
        <v>25.3</v>
      </c>
      <c r="J277" s="31"/>
      <c r="K277" s="31" t="n">
        <f aca="false">MAX(ROUNDUP(I277,0),H277)</f>
        <v>70</v>
      </c>
      <c r="L277" s="31" t="str">
        <f aca="false">IF(J277="","",J277-K277)</f>
        <v/>
      </c>
      <c r="M277" s="32"/>
      <c r="N277" s="32" t="n">
        <f aca="false">IF(C277="covered",10.4,7.55)</f>
        <v>7.55</v>
      </c>
      <c r="O277" s="32" t="str">
        <f aca="false">IF(M277="","",M277-N277)</f>
        <v/>
      </c>
      <c r="P277" s="11"/>
      <c r="Q277" s="33"/>
      <c r="R277" s="33" t="str">
        <f aca="false">IF(OR(J277="",P277=""),"",K277*N277*P277)</f>
        <v/>
      </c>
      <c r="S277" s="33" t="str">
        <f aca="false">IF(Q277="","",Q277-R277)</f>
        <v/>
      </c>
      <c r="T277" s="33" t="str">
        <f aca="false">IF(S277="","",MAX(0,-S277))</f>
        <v/>
      </c>
      <c r="U277" s="33" t="str">
        <f aca="false">IF(S277="","",MAX(0,S277))</f>
        <v/>
      </c>
      <c r="V277" s="11" t="str">
        <f aca="false">IF(J277="","NOT SCORED - NO JULY MONTHLY ROW",IF(OR(ABS(L277)&gt;0.005,ABS(O277)&gt;0.005,ABS(S277)&gt;0.005),"EXCEPTION","OK"))</f>
        <v>NOT SCORED - NO JULY MONTHLY ROW</v>
      </c>
      <c r="W277" s="11"/>
      <c r="X277" s="11" t="s">
        <v>2834</v>
      </c>
      <c r="Y277" s="33" t="n">
        <f aca="false">K277*N277</f>
        <v>528.5</v>
      </c>
    </row>
    <row r="278" customFormat="false" ht="20.85" hidden="false" customHeight="false" outlineLevel="0" collapsed="false">
      <c r="A278" s="8" t="s">
        <v>3917</v>
      </c>
      <c r="B278" s="8" t="s">
        <v>207</v>
      </c>
      <c r="C278" s="8" t="s">
        <v>2829</v>
      </c>
      <c r="D278" s="8" t="s">
        <v>3025</v>
      </c>
      <c r="E278" s="8" t="s">
        <v>3918</v>
      </c>
      <c r="F278" s="8" t="s">
        <v>3919</v>
      </c>
      <c r="G278" s="8" t="s">
        <v>3920</v>
      </c>
      <c r="H278" s="8" t="n">
        <v>28</v>
      </c>
      <c r="I278" s="34" t="n">
        <v>48.9</v>
      </c>
      <c r="J278" s="34"/>
      <c r="K278" s="34" t="n">
        <f aca="false">MAX(ROUNDUP(I278,0),H278)</f>
        <v>49</v>
      </c>
      <c r="L278" s="34" t="str">
        <f aca="false">IF(J278="","",J278-K278)</f>
        <v/>
      </c>
      <c r="M278" s="35"/>
      <c r="N278" s="35" t="n">
        <f aca="false">IF(C278="covered",10.4,7.55)</f>
        <v>7.55</v>
      </c>
      <c r="O278" s="35" t="str">
        <f aca="false">IF(M278="","",M278-N278)</f>
        <v/>
      </c>
      <c r="P278" s="8"/>
      <c r="Q278" s="36"/>
      <c r="R278" s="36" t="str">
        <f aca="false">IF(OR(J278="",P278=""),"",K278*N278*P278)</f>
        <v/>
      </c>
      <c r="S278" s="36" t="str">
        <f aca="false">IF(Q278="","",Q278-R278)</f>
        <v/>
      </c>
      <c r="T278" s="36" t="str">
        <f aca="false">IF(S278="","",MAX(0,-S278))</f>
        <v/>
      </c>
      <c r="U278" s="36" t="str">
        <f aca="false">IF(S278="","",MAX(0,S278))</f>
        <v/>
      </c>
      <c r="V278" s="8" t="str">
        <f aca="false">IF(J278="","NOT SCORED - NO JULY MONTHLY ROW",IF(OR(ABS(L278)&gt;0.005,ABS(O278)&gt;0.005,ABS(S278)&gt;0.005),"EXCEPTION","OK"))</f>
        <v>NOT SCORED - NO JULY MONTHLY ROW</v>
      </c>
      <c r="W278" s="8"/>
      <c r="X278" s="8" t="s">
        <v>2834</v>
      </c>
      <c r="Y278" s="36" t="n">
        <f aca="false">K278*N278</f>
        <v>369.95</v>
      </c>
    </row>
    <row r="279" customFormat="false" ht="20.85" hidden="false" customHeight="false" outlineLevel="0" collapsed="false">
      <c r="A279" s="11" t="s">
        <v>3921</v>
      </c>
      <c r="B279" s="11" t="s">
        <v>207</v>
      </c>
      <c r="C279" s="11" t="s">
        <v>2829</v>
      </c>
      <c r="D279" s="11" t="s">
        <v>3030</v>
      </c>
      <c r="E279" s="11" t="s">
        <v>3922</v>
      </c>
      <c r="F279" s="11" t="s">
        <v>3923</v>
      </c>
      <c r="G279" s="11" t="s">
        <v>3924</v>
      </c>
      <c r="H279" s="11" t="n">
        <v>28</v>
      </c>
      <c r="I279" s="31" t="n">
        <v>44.5</v>
      </c>
      <c r="J279" s="31"/>
      <c r="K279" s="31" t="n">
        <f aca="false">MAX(ROUNDUP(I279,0),H279)</f>
        <v>45</v>
      </c>
      <c r="L279" s="31" t="str">
        <f aca="false">IF(J279="","",J279-K279)</f>
        <v/>
      </c>
      <c r="M279" s="32"/>
      <c r="N279" s="32" t="n">
        <f aca="false">IF(C279="covered",10.4,7.55)</f>
        <v>7.55</v>
      </c>
      <c r="O279" s="32" t="str">
        <f aca="false">IF(M279="","",M279-N279)</f>
        <v/>
      </c>
      <c r="P279" s="11"/>
      <c r="Q279" s="33"/>
      <c r="R279" s="33" t="str">
        <f aca="false">IF(OR(J279="",P279=""),"",K279*N279*P279)</f>
        <v/>
      </c>
      <c r="S279" s="33" t="str">
        <f aca="false">IF(Q279="","",Q279-R279)</f>
        <v/>
      </c>
      <c r="T279" s="33" t="str">
        <f aca="false">IF(S279="","",MAX(0,-S279))</f>
        <v/>
      </c>
      <c r="U279" s="33" t="str">
        <f aca="false">IF(S279="","",MAX(0,S279))</f>
        <v/>
      </c>
      <c r="V279" s="11" t="str">
        <f aca="false">IF(J279="","NOT SCORED - NO JULY MONTHLY ROW",IF(OR(ABS(L279)&gt;0.005,ABS(O279)&gt;0.005,ABS(S279)&gt;0.005),"EXCEPTION","OK"))</f>
        <v>NOT SCORED - NO JULY MONTHLY ROW</v>
      </c>
      <c r="W279" s="11"/>
      <c r="X279" s="11" t="s">
        <v>2834</v>
      </c>
      <c r="Y279" s="33" t="n">
        <f aca="false">K279*N279</f>
        <v>339.75</v>
      </c>
    </row>
    <row r="280" customFormat="false" ht="20.85" hidden="false" customHeight="false" outlineLevel="0" collapsed="false">
      <c r="A280" s="8" t="s">
        <v>3925</v>
      </c>
      <c r="B280" s="8" t="s">
        <v>207</v>
      </c>
      <c r="C280" s="8" t="s">
        <v>2829</v>
      </c>
      <c r="D280" s="8" t="s">
        <v>3035</v>
      </c>
      <c r="E280" s="8" t="s">
        <v>3926</v>
      </c>
      <c r="F280" s="8" t="s">
        <v>3927</v>
      </c>
      <c r="G280" s="8" t="s">
        <v>3467</v>
      </c>
      <c r="H280" s="8" t="n">
        <v>45</v>
      </c>
      <c r="I280" s="34" t="n">
        <v>38.7</v>
      </c>
      <c r="J280" s="34"/>
      <c r="K280" s="34" t="n">
        <f aca="false">MAX(ROUNDUP(I280,0),H280)</f>
        <v>45</v>
      </c>
      <c r="L280" s="34" t="str">
        <f aca="false">IF(J280="","",J280-K280)</f>
        <v/>
      </c>
      <c r="M280" s="35"/>
      <c r="N280" s="35" t="n">
        <f aca="false">IF(C280="covered",10.4,7.55)</f>
        <v>7.55</v>
      </c>
      <c r="O280" s="35" t="str">
        <f aca="false">IF(M280="","",M280-N280)</f>
        <v/>
      </c>
      <c r="P280" s="8"/>
      <c r="Q280" s="36"/>
      <c r="R280" s="36" t="str">
        <f aca="false">IF(OR(J280="",P280=""),"",K280*N280*P280)</f>
        <v/>
      </c>
      <c r="S280" s="36" t="str">
        <f aca="false">IF(Q280="","",Q280-R280)</f>
        <v/>
      </c>
      <c r="T280" s="36" t="str">
        <f aca="false">IF(S280="","",MAX(0,-S280))</f>
        <v/>
      </c>
      <c r="U280" s="36" t="str">
        <f aca="false">IF(S280="","",MAX(0,S280))</f>
        <v/>
      </c>
      <c r="V280" s="8" t="str">
        <f aca="false">IF(J280="","NOT SCORED - NO JULY MONTHLY ROW",IF(OR(ABS(L280)&gt;0.005,ABS(O280)&gt;0.005,ABS(S280)&gt;0.005),"EXCEPTION","OK"))</f>
        <v>NOT SCORED - NO JULY MONTHLY ROW</v>
      </c>
      <c r="W280" s="8"/>
      <c r="X280" s="8" t="s">
        <v>2834</v>
      </c>
      <c r="Y280" s="36" t="n">
        <f aca="false">K280*N280</f>
        <v>339.75</v>
      </c>
    </row>
    <row r="281" customFormat="false" ht="20.85" hidden="false" customHeight="false" outlineLevel="0" collapsed="false">
      <c r="A281" s="11" t="s">
        <v>3928</v>
      </c>
      <c r="B281" s="11" t="s">
        <v>207</v>
      </c>
      <c r="C281" s="11" t="s">
        <v>2829</v>
      </c>
      <c r="D281" s="11" t="s">
        <v>3039</v>
      </c>
      <c r="E281" s="11" t="s">
        <v>3929</v>
      </c>
      <c r="F281" s="11" t="s">
        <v>3930</v>
      </c>
      <c r="G281" s="11" t="s">
        <v>3931</v>
      </c>
      <c r="H281" s="11" t="n">
        <v>24</v>
      </c>
      <c r="I281" s="31" t="n">
        <v>25.7</v>
      </c>
      <c r="J281" s="31"/>
      <c r="K281" s="31" t="n">
        <f aca="false">MAX(ROUNDUP(I281,0),H281)</f>
        <v>26</v>
      </c>
      <c r="L281" s="31" t="str">
        <f aca="false">IF(J281="","",J281-K281)</f>
        <v/>
      </c>
      <c r="M281" s="32"/>
      <c r="N281" s="32" t="n">
        <f aca="false">IF(C281="covered",10.4,7.55)</f>
        <v>7.55</v>
      </c>
      <c r="O281" s="32" t="str">
        <f aca="false">IF(M281="","",M281-N281)</f>
        <v/>
      </c>
      <c r="P281" s="11"/>
      <c r="Q281" s="33"/>
      <c r="R281" s="33" t="str">
        <f aca="false">IF(OR(J281="",P281=""),"",K281*N281*P281)</f>
        <v/>
      </c>
      <c r="S281" s="33" t="str">
        <f aca="false">IF(Q281="","",Q281-R281)</f>
        <v/>
      </c>
      <c r="T281" s="33" t="str">
        <f aca="false">IF(S281="","",MAX(0,-S281))</f>
        <v/>
      </c>
      <c r="U281" s="33" t="str">
        <f aca="false">IF(S281="","",MAX(0,S281))</f>
        <v/>
      </c>
      <c r="V281" s="11" t="str">
        <f aca="false">IF(J281="","NOT SCORED - NO JULY MONTHLY ROW",IF(OR(ABS(L281)&gt;0.005,ABS(O281)&gt;0.005,ABS(S281)&gt;0.005),"EXCEPTION","OK"))</f>
        <v>NOT SCORED - NO JULY MONTHLY ROW</v>
      </c>
      <c r="W281" s="11"/>
      <c r="X281" s="11" t="s">
        <v>2834</v>
      </c>
      <c r="Y281" s="33" t="n">
        <f aca="false">K281*N281</f>
        <v>196.3</v>
      </c>
    </row>
    <row r="282" customFormat="false" ht="20.85" hidden="false" customHeight="false" outlineLevel="0" collapsed="false">
      <c r="A282" s="8" t="s">
        <v>1828</v>
      </c>
      <c r="B282" s="8" t="s">
        <v>207</v>
      </c>
      <c r="C282" s="8" t="s">
        <v>2829</v>
      </c>
      <c r="D282" s="8" t="s">
        <v>3932</v>
      </c>
      <c r="E282" s="8" t="s">
        <v>3933</v>
      </c>
      <c r="F282" s="8" t="s">
        <v>3934</v>
      </c>
      <c r="G282" s="8" t="s">
        <v>3028</v>
      </c>
      <c r="H282" s="8" t="n">
        <v>28</v>
      </c>
      <c r="I282" s="34" t="n">
        <v>27.1</v>
      </c>
      <c r="J282" s="34"/>
      <c r="K282" s="34" t="n">
        <f aca="false">MAX(ROUNDUP(I282,0),H282)</f>
        <v>28</v>
      </c>
      <c r="L282" s="34" t="str">
        <f aca="false">IF(J282="","",J282-K282)</f>
        <v/>
      </c>
      <c r="M282" s="35"/>
      <c r="N282" s="35" t="n">
        <f aca="false">IF(C282="covered",10.4,7.55)</f>
        <v>7.55</v>
      </c>
      <c r="O282" s="35" t="str">
        <f aca="false">IF(M282="","",M282-N282)</f>
        <v/>
      </c>
      <c r="P282" s="8"/>
      <c r="Q282" s="36"/>
      <c r="R282" s="36" t="str">
        <f aca="false">IF(OR(J282="",P282=""),"",K282*N282*P282)</f>
        <v/>
      </c>
      <c r="S282" s="36" t="str">
        <f aca="false">IF(Q282="","",Q282-R282)</f>
        <v/>
      </c>
      <c r="T282" s="36" t="str">
        <f aca="false">IF(S282="","",MAX(0,-S282))</f>
        <v/>
      </c>
      <c r="U282" s="36" t="str">
        <f aca="false">IF(S282="","",MAX(0,S282))</f>
        <v/>
      </c>
      <c r="V282" s="8" t="str">
        <f aca="false">IF(J282="","NOT SCORED - NO JULY MONTHLY ROW",IF(OR(ABS(L282)&gt;0.005,ABS(O282)&gt;0.005,ABS(S282)&gt;0.005),"EXCEPTION","OK"))</f>
        <v>NOT SCORED - NO JULY MONTHLY ROW</v>
      </c>
      <c r="W282" s="8"/>
      <c r="X282" s="8" t="s">
        <v>2834</v>
      </c>
      <c r="Y282" s="36" t="n">
        <f aca="false">K282*N282</f>
        <v>211.4</v>
      </c>
    </row>
    <row r="283" customFormat="false" ht="20.85" hidden="false" customHeight="false" outlineLevel="0" collapsed="false">
      <c r="A283" s="11" t="s">
        <v>3935</v>
      </c>
      <c r="B283" s="11" t="s">
        <v>207</v>
      </c>
      <c r="C283" s="11" t="s">
        <v>2829</v>
      </c>
      <c r="D283" s="11" t="s">
        <v>3043</v>
      </c>
      <c r="E283" s="11" t="s">
        <v>3936</v>
      </c>
      <c r="F283" s="11" t="s">
        <v>3937</v>
      </c>
      <c r="G283" s="11" t="s">
        <v>2869</v>
      </c>
      <c r="H283" s="11" t="n">
        <v>50</v>
      </c>
      <c r="I283" s="31" t="n">
        <v>36.7</v>
      </c>
      <c r="J283" s="31"/>
      <c r="K283" s="31" t="n">
        <f aca="false">MAX(ROUNDUP(I283,0),H283)</f>
        <v>50</v>
      </c>
      <c r="L283" s="31" t="str">
        <f aca="false">IF(J283="","",J283-K283)</f>
        <v/>
      </c>
      <c r="M283" s="32"/>
      <c r="N283" s="32" t="n">
        <f aca="false">IF(C283="covered",10.4,7.55)</f>
        <v>7.55</v>
      </c>
      <c r="O283" s="32" t="str">
        <f aca="false">IF(M283="","",M283-N283)</f>
        <v/>
      </c>
      <c r="P283" s="11"/>
      <c r="Q283" s="33"/>
      <c r="R283" s="33" t="str">
        <f aca="false">IF(OR(J283="",P283=""),"",K283*N283*P283)</f>
        <v/>
      </c>
      <c r="S283" s="33" t="str">
        <f aca="false">IF(Q283="","",Q283-R283)</f>
        <v/>
      </c>
      <c r="T283" s="33" t="str">
        <f aca="false">IF(S283="","",MAX(0,-S283))</f>
        <v/>
      </c>
      <c r="U283" s="33" t="str">
        <f aca="false">IF(S283="","",MAX(0,S283))</f>
        <v/>
      </c>
      <c r="V283" s="11" t="str">
        <f aca="false">IF(J283="","NOT SCORED - NO JULY MONTHLY ROW",IF(OR(ABS(L283)&gt;0.005,ABS(O283)&gt;0.005,ABS(S283)&gt;0.005),"EXCEPTION","OK"))</f>
        <v>NOT SCORED - NO JULY MONTHLY ROW</v>
      </c>
      <c r="W283" s="11"/>
      <c r="X283" s="11" t="s">
        <v>2834</v>
      </c>
      <c r="Y283" s="33" t="n">
        <f aca="false">K283*N283</f>
        <v>377.5</v>
      </c>
    </row>
    <row r="284" customFormat="false" ht="20.85" hidden="false" customHeight="false" outlineLevel="0" collapsed="false">
      <c r="A284" s="8" t="s">
        <v>3938</v>
      </c>
      <c r="B284" s="8" t="s">
        <v>207</v>
      </c>
      <c r="C284" s="8" t="s">
        <v>2829</v>
      </c>
      <c r="D284" s="8" t="s">
        <v>3048</v>
      </c>
      <c r="E284" s="8" t="s">
        <v>1655</v>
      </c>
      <c r="F284" s="8" t="s">
        <v>1656</v>
      </c>
      <c r="G284" s="8" t="s">
        <v>3614</v>
      </c>
      <c r="H284" s="8" t="n">
        <v>24</v>
      </c>
      <c r="I284" s="34" t="n">
        <v>49.2</v>
      </c>
      <c r="J284" s="34"/>
      <c r="K284" s="34" t="n">
        <f aca="false">MAX(ROUNDUP(I284,0),H284)</f>
        <v>50</v>
      </c>
      <c r="L284" s="34" t="str">
        <f aca="false">IF(J284="","",J284-K284)</f>
        <v/>
      </c>
      <c r="M284" s="35"/>
      <c r="N284" s="35" t="n">
        <f aca="false">IF(C284="covered",10.4,7.55)</f>
        <v>7.55</v>
      </c>
      <c r="O284" s="35" t="str">
        <f aca="false">IF(M284="","",M284-N284)</f>
        <v/>
      </c>
      <c r="P284" s="8"/>
      <c r="Q284" s="36"/>
      <c r="R284" s="36" t="str">
        <f aca="false">IF(OR(J284="",P284=""),"",K284*N284*P284)</f>
        <v/>
      </c>
      <c r="S284" s="36" t="str">
        <f aca="false">IF(Q284="","",Q284-R284)</f>
        <v/>
      </c>
      <c r="T284" s="36" t="str">
        <f aca="false">IF(S284="","",MAX(0,-S284))</f>
        <v/>
      </c>
      <c r="U284" s="36" t="str">
        <f aca="false">IF(S284="","",MAX(0,S284))</f>
        <v/>
      </c>
      <c r="V284" s="8" t="str">
        <f aca="false">IF(J284="","NOT SCORED - NO JULY MONTHLY ROW",IF(OR(ABS(L284)&gt;0.005,ABS(O284)&gt;0.005,ABS(S284)&gt;0.005),"EXCEPTION","OK"))</f>
        <v>NOT SCORED - NO JULY MONTHLY ROW</v>
      </c>
      <c r="W284" s="8"/>
      <c r="X284" s="8" t="s">
        <v>2834</v>
      </c>
      <c r="Y284" s="36" t="n">
        <f aca="false">K284*N284</f>
        <v>377.5</v>
      </c>
    </row>
    <row r="285" customFormat="false" ht="20.85" hidden="false" customHeight="false" outlineLevel="0" collapsed="false">
      <c r="A285" s="11" t="s">
        <v>3939</v>
      </c>
      <c r="B285" s="11" t="s">
        <v>207</v>
      </c>
      <c r="C285" s="11" t="s">
        <v>2829</v>
      </c>
      <c r="D285" s="11" t="s">
        <v>3053</v>
      </c>
      <c r="E285" s="11" t="s">
        <v>1502</v>
      </c>
      <c r="F285" s="11" t="s">
        <v>1503</v>
      </c>
      <c r="G285" s="11" t="s">
        <v>3361</v>
      </c>
      <c r="H285" s="11" t="n">
        <v>70</v>
      </c>
      <c r="I285" s="31" t="n">
        <v>20.5</v>
      </c>
      <c r="J285" s="31"/>
      <c r="K285" s="31" t="n">
        <f aca="false">MAX(ROUNDUP(I285,0),H285)</f>
        <v>70</v>
      </c>
      <c r="L285" s="31" t="str">
        <f aca="false">IF(J285="","",J285-K285)</f>
        <v/>
      </c>
      <c r="M285" s="32"/>
      <c r="N285" s="32" t="n">
        <f aca="false">IF(C285="covered",10.4,7.55)</f>
        <v>7.55</v>
      </c>
      <c r="O285" s="32" t="str">
        <f aca="false">IF(M285="","",M285-N285)</f>
        <v/>
      </c>
      <c r="P285" s="11"/>
      <c r="Q285" s="33"/>
      <c r="R285" s="33" t="str">
        <f aca="false">IF(OR(J285="",P285=""),"",K285*N285*P285)</f>
        <v/>
      </c>
      <c r="S285" s="33" t="str">
        <f aca="false">IF(Q285="","",Q285-R285)</f>
        <v/>
      </c>
      <c r="T285" s="33" t="str">
        <f aca="false">IF(S285="","",MAX(0,-S285))</f>
        <v/>
      </c>
      <c r="U285" s="33" t="str">
        <f aca="false">IF(S285="","",MAX(0,S285))</f>
        <v/>
      </c>
      <c r="V285" s="11" t="str">
        <f aca="false">IF(J285="","NOT SCORED - NO JULY MONTHLY ROW",IF(OR(ABS(L285)&gt;0.005,ABS(O285)&gt;0.005,ABS(S285)&gt;0.005),"EXCEPTION","OK"))</f>
        <v>NOT SCORED - NO JULY MONTHLY ROW</v>
      </c>
      <c r="W285" s="11"/>
      <c r="X285" s="11" t="s">
        <v>2834</v>
      </c>
      <c r="Y285" s="33" t="n">
        <f aca="false">K285*N285</f>
        <v>528.5</v>
      </c>
    </row>
    <row r="286" customFormat="false" ht="20.85" hidden="false" customHeight="false" outlineLevel="0" collapsed="false">
      <c r="A286" s="8" t="s">
        <v>3940</v>
      </c>
      <c r="B286" s="8" t="s">
        <v>207</v>
      </c>
      <c r="C286" s="8" t="s">
        <v>2829</v>
      </c>
      <c r="D286" s="8" t="s">
        <v>3056</v>
      </c>
      <c r="E286" s="8" t="s">
        <v>3941</v>
      </c>
      <c r="F286" s="8" t="s">
        <v>3942</v>
      </c>
      <c r="G286" s="8" t="s">
        <v>3222</v>
      </c>
      <c r="H286" s="8" t="n">
        <v>60</v>
      </c>
      <c r="I286" s="34" t="n">
        <v>42</v>
      </c>
      <c r="J286" s="34"/>
      <c r="K286" s="34" t="n">
        <f aca="false">MAX(ROUNDUP(I286,0),H286)</f>
        <v>60</v>
      </c>
      <c r="L286" s="34" t="str">
        <f aca="false">IF(J286="","",J286-K286)</f>
        <v/>
      </c>
      <c r="M286" s="35"/>
      <c r="N286" s="35" t="n">
        <f aca="false">IF(C286="covered",10.4,7.55)</f>
        <v>7.55</v>
      </c>
      <c r="O286" s="35" t="str">
        <f aca="false">IF(M286="","",M286-N286)</f>
        <v/>
      </c>
      <c r="P286" s="8"/>
      <c r="Q286" s="36"/>
      <c r="R286" s="36" t="str">
        <f aca="false">IF(OR(J286="",P286=""),"",K286*N286*P286)</f>
        <v/>
      </c>
      <c r="S286" s="36" t="str">
        <f aca="false">IF(Q286="","",Q286-R286)</f>
        <v/>
      </c>
      <c r="T286" s="36" t="str">
        <f aca="false">IF(S286="","",MAX(0,-S286))</f>
        <v/>
      </c>
      <c r="U286" s="36" t="str">
        <f aca="false">IF(S286="","",MAX(0,S286))</f>
        <v/>
      </c>
      <c r="V286" s="8" t="str">
        <f aca="false">IF(J286="","NOT SCORED - NO JULY MONTHLY ROW",IF(OR(ABS(L286)&gt;0.005,ABS(O286)&gt;0.005,ABS(S286)&gt;0.005),"EXCEPTION","OK"))</f>
        <v>NOT SCORED - NO JULY MONTHLY ROW</v>
      </c>
      <c r="W286" s="8"/>
      <c r="X286" s="8" t="s">
        <v>2834</v>
      </c>
      <c r="Y286" s="36" t="n">
        <f aca="false">K286*N286</f>
        <v>453</v>
      </c>
    </row>
    <row r="287" customFormat="false" ht="20.85" hidden="false" customHeight="false" outlineLevel="0" collapsed="false">
      <c r="A287" s="11" t="s">
        <v>3943</v>
      </c>
      <c r="B287" s="11" t="s">
        <v>207</v>
      </c>
      <c r="C287" s="11" t="s">
        <v>2829</v>
      </c>
      <c r="D287" s="11" t="s">
        <v>3061</v>
      </c>
      <c r="E287" s="11" t="s">
        <v>3944</v>
      </c>
      <c r="F287" s="11" t="s">
        <v>3945</v>
      </c>
      <c r="G287" s="11" t="s">
        <v>3946</v>
      </c>
      <c r="H287" s="11" t="n">
        <v>70</v>
      </c>
      <c r="I287" s="31" t="n">
        <v>24.4</v>
      </c>
      <c r="J287" s="31"/>
      <c r="K287" s="31" t="n">
        <f aca="false">MAX(ROUNDUP(I287,0),H287)</f>
        <v>70</v>
      </c>
      <c r="L287" s="31" t="str">
        <f aca="false">IF(J287="","",J287-K287)</f>
        <v/>
      </c>
      <c r="M287" s="32"/>
      <c r="N287" s="32" t="n">
        <f aca="false">IF(C287="covered",10.4,7.55)</f>
        <v>7.55</v>
      </c>
      <c r="O287" s="32" t="str">
        <f aca="false">IF(M287="","",M287-N287)</f>
        <v/>
      </c>
      <c r="P287" s="11"/>
      <c r="Q287" s="33"/>
      <c r="R287" s="33" t="str">
        <f aca="false">IF(OR(J287="",P287=""),"",K287*N287*P287)</f>
        <v/>
      </c>
      <c r="S287" s="33" t="str">
        <f aca="false">IF(Q287="","",Q287-R287)</f>
        <v/>
      </c>
      <c r="T287" s="33" t="str">
        <f aca="false">IF(S287="","",MAX(0,-S287))</f>
        <v/>
      </c>
      <c r="U287" s="33" t="str">
        <f aca="false">IF(S287="","",MAX(0,S287))</f>
        <v/>
      </c>
      <c r="V287" s="11" t="str">
        <f aca="false">IF(J287="","NOT SCORED - NO JULY MONTHLY ROW",IF(OR(ABS(L287)&gt;0.005,ABS(O287)&gt;0.005,ABS(S287)&gt;0.005),"EXCEPTION","OK"))</f>
        <v>NOT SCORED - NO JULY MONTHLY ROW</v>
      </c>
      <c r="W287" s="11"/>
      <c r="X287" s="11" t="s">
        <v>2834</v>
      </c>
      <c r="Y287" s="33" t="n">
        <f aca="false">K287*N287</f>
        <v>528.5</v>
      </c>
    </row>
    <row r="288" customFormat="false" ht="20.85" hidden="false" customHeight="false" outlineLevel="0" collapsed="false">
      <c r="A288" s="8" t="s">
        <v>3947</v>
      </c>
      <c r="B288" s="8" t="s">
        <v>207</v>
      </c>
      <c r="C288" s="8" t="s">
        <v>2829</v>
      </c>
      <c r="D288" s="8" t="s">
        <v>3066</v>
      </c>
      <c r="E288" s="8" t="s">
        <v>3948</v>
      </c>
      <c r="F288" s="8" t="s">
        <v>3949</v>
      </c>
      <c r="G288" s="8" t="s">
        <v>3950</v>
      </c>
      <c r="H288" s="8" t="n">
        <v>28</v>
      </c>
      <c r="I288" s="34" t="n">
        <v>56.7</v>
      </c>
      <c r="J288" s="34"/>
      <c r="K288" s="34" t="n">
        <f aca="false">MAX(ROUNDUP(I288,0),H288)</f>
        <v>57</v>
      </c>
      <c r="L288" s="34" t="str">
        <f aca="false">IF(J288="","",J288-K288)</f>
        <v/>
      </c>
      <c r="M288" s="35"/>
      <c r="N288" s="35" t="n">
        <f aca="false">IF(C288="covered",10.4,7.55)</f>
        <v>7.55</v>
      </c>
      <c r="O288" s="35" t="str">
        <f aca="false">IF(M288="","",M288-N288)</f>
        <v/>
      </c>
      <c r="P288" s="8"/>
      <c r="Q288" s="36"/>
      <c r="R288" s="36" t="str">
        <f aca="false">IF(OR(J288="",P288=""),"",K288*N288*P288)</f>
        <v/>
      </c>
      <c r="S288" s="36" t="str">
        <f aca="false">IF(Q288="","",Q288-R288)</f>
        <v/>
      </c>
      <c r="T288" s="36" t="str">
        <f aca="false">IF(S288="","",MAX(0,-S288))</f>
        <v/>
      </c>
      <c r="U288" s="36" t="str">
        <f aca="false">IF(S288="","",MAX(0,S288))</f>
        <v/>
      </c>
      <c r="V288" s="8" t="str">
        <f aca="false">IF(J288="","NOT SCORED - NO JULY MONTHLY ROW",IF(OR(ABS(L288)&gt;0.005,ABS(O288)&gt;0.005,ABS(S288)&gt;0.005),"EXCEPTION","OK"))</f>
        <v>NOT SCORED - NO JULY MONTHLY ROW</v>
      </c>
      <c r="W288" s="8"/>
      <c r="X288" s="8" t="s">
        <v>2834</v>
      </c>
      <c r="Y288" s="36" t="n">
        <f aca="false">K288*N288</f>
        <v>430.35</v>
      </c>
    </row>
    <row r="289" customFormat="false" ht="20.85" hidden="false" customHeight="false" outlineLevel="0" collapsed="false">
      <c r="A289" s="11" t="s">
        <v>3951</v>
      </c>
      <c r="B289" s="11" t="s">
        <v>207</v>
      </c>
      <c r="C289" s="11" t="s">
        <v>2829</v>
      </c>
      <c r="D289" s="11" t="s">
        <v>3071</v>
      </c>
      <c r="E289" s="11" t="s">
        <v>3952</v>
      </c>
      <c r="F289" s="11" t="s">
        <v>3953</v>
      </c>
      <c r="G289" s="11" t="s">
        <v>3954</v>
      </c>
      <c r="H289" s="11" t="n">
        <v>24</v>
      </c>
      <c r="I289" s="31" t="n">
        <v>61.6</v>
      </c>
      <c r="J289" s="31"/>
      <c r="K289" s="31" t="n">
        <f aca="false">MAX(ROUNDUP(I289,0),H289)</f>
        <v>62</v>
      </c>
      <c r="L289" s="31" t="str">
        <f aca="false">IF(J289="","",J289-K289)</f>
        <v/>
      </c>
      <c r="M289" s="32"/>
      <c r="N289" s="32" t="n">
        <f aca="false">IF(C289="covered",10.4,7.55)</f>
        <v>7.55</v>
      </c>
      <c r="O289" s="32" t="str">
        <f aca="false">IF(M289="","",M289-N289)</f>
        <v/>
      </c>
      <c r="P289" s="11"/>
      <c r="Q289" s="33"/>
      <c r="R289" s="33" t="str">
        <f aca="false">IF(OR(J289="",P289=""),"",K289*N289*P289)</f>
        <v/>
      </c>
      <c r="S289" s="33" t="str">
        <f aca="false">IF(Q289="","",Q289-R289)</f>
        <v/>
      </c>
      <c r="T289" s="33" t="str">
        <f aca="false">IF(S289="","",MAX(0,-S289))</f>
        <v/>
      </c>
      <c r="U289" s="33" t="str">
        <f aca="false">IF(S289="","",MAX(0,S289))</f>
        <v/>
      </c>
      <c r="V289" s="11" t="str">
        <f aca="false">IF(J289="","NOT SCORED - NO JULY MONTHLY ROW",IF(OR(ABS(L289)&gt;0.005,ABS(O289)&gt;0.005,ABS(S289)&gt;0.005),"EXCEPTION","OK"))</f>
        <v>NOT SCORED - NO JULY MONTHLY ROW</v>
      </c>
      <c r="W289" s="11"/>
      <c r="X289" s="11" t="s">
        <v>2834</v>
      </c>
      <c r="Y289" s="33" t="n">
        <f aca="false">K289*N289</f>
        <v>468.1</v>
      </c>
    </row>
    <row r="290" customFormat="false" ht="20.85" hidden="false" customHeight="false" outlineLevel="0" collapsed="false">
      <c r="A290" s="8" t="s">
        <v>3955</v>
      </c>
      <c r="B290" s="8" t="s">
        <v>207</v>
      </c>
      <c r="C290" s="8" t="s">
        <v>2829</v>
      </c>
      <c r="D290" s="8" t="s">
        <v>3076</v>
      </c>
      <c r="E290" s="8" t="s">
        <v>930</v>
      </c>
      <c r="F290" s="8" t="s">
        <v>931</v>
      </c>
      <c r="G290" s="8" t="s">
        <v>3956</v>
      </c>
      <c r="H290" s="8" t="n">
        <v>60</v>
      </c>
      <c r="I290" s="34" t="n">
        <v>54.8</v>
      </c>
      <c r="J290" s="34"/>
      <c r="K290" s="34" t="n">
        <f aca="false">MAX(ROUNDUP(I290,0),H290)</f>
        <v>60</v>
      </c>
      <c r="L290" s="34" t="str">
        <f aca="false">IF(J290="","",J290-K290)</f>
        <v/>
      </c>
      <c r="M290" s="35"/>
      <c r="N290" s="35" t="n">
        <f aca="false">IF(C290="covered",10.4,7.55)</f>
        <v>7.55</v>
      </c>
      <c r="O290" s="35" t="str">
        <f aca="false">IF(M290="","",M290-N290)</f>
        <v/>
      </c>
      <c r="P290" s="8"/>
      <c r="Q290" s="36"/>
      <c r="R290" s="36" t="str">
        <f aca="false">IF(OR(J290="",P290=""),"",K290*N290*P290)</f>
        <v/>
      </c>
      <c r="S290" s="36" t="str">
        <f aca="false">IF(Q290="","",Q290-R290)</f>
        <v/>
      </c>
      <c r="T290" s="36" t="str">
        <f aca="false">IF(S290="","",MAX(0,-S290))</f>
        <v/>
      </c>
      <c r="U290" s="36" t="str">
        <f aca="false">IF(S290="","",MAX(0,S290))</f>
        <v/>
      </c>
      <c r="V290" s="8" t="str">
        <f aca="false">IF(J290="","NOT SCORED - NO JULY MONTHLY ROW",IF(OR(ABS(L290)&gt;0.005,ABS(O290)&gt;0.005,ABS(S290)&gt;0.005),"EXCEPTION","OK"))</f>
        <v>NOT SCORED - NO JULY MONTHLY ROW</v>
      </c>
      <c r="W290" s="8"/>
      <c r="X290" s="8" t="s">
        <v>2834</v>
      </c>
      <c r="Y290" s="36" t="n">
        <f aca="false">K290*N290</f>
        <v>453</v>
      </c>
    </row>
    <row r="291" customFormat="false" ht="20.85" hidden="false" customHeight="false" outlineLevel="0" collapsed="false">
      <c r="A291" s="11" t="s">
        <v>3957</v>
      </c>
      <c r="B291" s="11" t="s">
        <v>207</v>
      </c>
      <c r="C291" s="11" t="s">
        <v>2829</v>
      </c>
      <c r="D291" s="11" t="s">
        <v>3958</v>
      </c>
      <c r="E291" s="11" t="s">
        <v>3959</v>
      </c>
      <c r="F291" s="11" t="s">
        <v>3960</v>
      </c>
      <c r="G291" s="11" t="s">
        <v>3961</v>
      </c>
      <c r="H291" s="11" t="n">
        <v>80</v>
      </c>
      <c r="I291" s="31" t="n">
        <v>20.2</v>
      </c>
      <c r="J291" s="31"/>
      <c r="K291" s="31" t="n">
        <f aca="false">MAX(ROUNDUP(I291,0),H291)</f>
        <v>80</v>
      </c>
      <c r="L291" s="31" t="str">
        <f aca="false">IF(J291="","",J291-K291)</f>
        <v/>
      </c>
      <c r="M291" s="32"/>
      <c r="N291" s="32" t="n">
        <f aca="false">IF(C291="covered",10.4,7.55)</f>
        <v>7.55</v>
      </c>
      <c r="O291" s="32" t="str">
        <f aca="false">IF(M291="","",M291-N291)</f>
        <v/>
      </c>
      <c r="P291" s="11"/>
      <c r="Q291" s="33"/>
      <c r="R291" s="33" t="str">
        <f aca="false">IF(OR(J291="",P291=""),"",K291*N291*P291)</f>
        <v/>
      </c>
      <c r="S291" s="33" t="str">
        <f aca="false">IF(Q291="","",Q291-R291)</f>
        <v/>
      </c>
      <c r="T291" s="33" t="str">
        <f aca="false">IF(S291="","",MAX(0,-S291))</f>
        <v/>
      </c>
      <c r="U291" s="33" t="str">
        <f aca="false">IF(S291="","",MAX(0,S291))</f>
        <v/>
      </c>
      <c r="V291" s="11" t="str">
        <f aca="false">IF(J291="","NOT SCORED - NO JULY MONTHLY ROW",IF(OR(ABS(L291)&gt;0.005,ABS(O291)&gt;0.005,ABS(S291)&gt;0.005),"EXCEPTION","OK"))</f>
        <v>NOT SCORED - NO JULY MONTHLY ROW</v>
      </c>
      <c r="W291" s="11"/>
      <c r="X291" s="11" t="s">
        <v>2834</v>
      </c>
      <c r="Y291" s="33" t="n">
        <f aca="false">K291*N291</f>
        <v>604</v>
      </c>
    </row>
    <row r="292" customFormat="false" ht="20.85" hidden="false" customHeight="false" outlineLevel="0" collapsed="false">
      <c r="A292" s="8" t="s">
        <v>1763</v>
      </c>
      <c r="B292" s="8" t="s">
        <v>207</v>
      </c>
      <c r="C292" s="8" t="s">
        <v>2829</v>
      </c>
      <c r="D292" s="8" t="s">
        <v>3080</v>
      </c>
      <c r="E292" s="8" t="s">
        <v>3962</v>
      </c>
      <c r="F292" s="8" t="s">
        <v>3963</v>
      </c>
      <c r="G292" s="8" t="s">
        <v>3964</v>
      </c>
      <c r="H292" s="8" t="n">
        <v>28</v>
      </c>
      <c r="I292" s="34" t="n">
        <v>59</v>
      </c>
      <c r="J292" s="34"/>
      <c r="K292" s="34" t="n">
        <f aca="false">MAX(ROUNDUP(I292,0),H292)</f>
        <v>59</v>
      </c>
      <c r="L292" s="34" t="str">
        <f aca="false">IF(J292="","",J292-K292)</f>
        <v/>
      </c>
      <c r="M292" s="35"/>
      <c r="N292" s="35" t="n">
        <f aca="false">IF(C292="covered",10.4,7.55)</f>
        <v>7.55</v>
      </c>
      <c r="O292" s="35" t="str">
        <f aca="false">IF(M292="","",M292-N292)</f>
        <v/>
      </c>
      <c r="P292" s="8"/>
      <c r="Q292" s="36"/>
      <c r="R292" s="36" t="str">
        <f aca="false">IF(OR(J292="",P292=""),"",K292*N292*P292)</f>
        <v/>
      </c>
      <c r="S292" s="36" t="str">
        <f aca="false">IF(Q292="","",Q292-R292)</f>
        <v/>
      </c>
      <c r="T292" s="36" t="str">
        <f aca="false">IF(S292="","",MAX(0,-S292))</f>
        <v/>
      </c>
      <c r="U292" s="36" t="str">
        <f aca="false">IF(S292="","",MAX(0,S292))</f>
        <v/>
      </c>
      <c r="V292" s="8" t="str">
        <f aca="false">IF(J292="","NOT SCORED - NO JULY MONTHLY ROW",IF(OR(ABS(L292)&gt;0.005,ABS(O292)&gt;0.005,ABS(S292)&gt;0.005),"EXCEPTION","OK"))</f>
        <v>NOT SCORED - NO JULY MONTHLY ROW</v>
      </c>
      <c r="W292" s="8"/>
      <c r="X292" s="8" t="s">
        <v>2834</v>
      </c>
      <c r="Y292" s="36" t="n">
        <f aca="false">K292*N292</f>
        <v>445.45</v>
      </c>
    </row>
    <row r="293" customFormat="false" ht="20.85" hidden="false" customHeight="false" outlineLevel="0" collapsed="false">
      <c r="A293" s="11" t="s">
        <v>1410</v>
      </c>
      <c r="B293" s="11" t="s">
        <v>207</v>
      </c>
      <c r="C293" s="11" t="s">
        <v>2829</v>
      </c>
      <c r="D293" s="11" t="s">
        <v>3084</v>
      </c>
      <c r="E293" s="11" t="s">
        <v>3965</v>
      </c>
      <c r="F293" s="11" t="s">
        <v>3966</v>
      </c>
      <c r="G293" s="11" t="s">
        <v>3967</v>
      </c>
      <c r="H293" s="11" t="n">
        <v>28</v>
      </c>
      <c r="I293" s="31" t="n">
        <v>31.5</v>
      </c>
      <c r="J293" s="31"/>
      <c r="K293" s="31" t="n">
        <f aca="false">MAX(ROUNDUP(I293,0),H293)</f>
        <v>32</v>
      </c>
      <c r="L293" s="31" t="str">
        <f aca="false">IF(J293="","",J293-K293)</f>
        <v/>
      </c>
      <c r="M293" s="32"/>
      <c r="N293" s="32" t="n">
        <f aca="false">IF(C293="covered",10.4,7.55)</f>
        <v>7.55</v>
      </c>
      <c r="O293" s="32" t="str">
        <f aca="false">IF(M293="","",M293-N293)</f>
        <v/>
      </c>
      <c r="P293" s="11"/>
      <c r="Q293" s="33"/>
      <c r="R293" s="33" t="str">
        <f aca="false">IF(OR(J293="",P293=""),"",K293*N293*P293)</f>
        <v/>
      </c>
      <c r="S293" s="33" t="str">
        <f aca="false">IF(Q293="","",Q293-R293)</f>
        <v/>
      </c>
      <c r="T293" s="33" t="str">
        <f aca="false">IF(S293="","",MAX(0,-S293))</f>
        <v/>
      </c>
      <c r="U293" s="33" t="str">
        <f aca="false">IF(S293="","",MAX(0,S293))</f>
        <v/>
      </c>
      <c r="V293" s="11" t="str">
        <f aca="false">IF(J293="","NOT SCORED - NO JULY MONTHLY ROW",IF(OR(ABS(L293)&gt;0.005,ABS(O293)&gt;0.005,ABS(S293)&gt;0.005),"EXCEPTION","OK"))</f>
        <v>NOT SCORED - NO JULY MONTHLY ROW</v>
      </c>
      <c r="W293" s="11"/>
      <c r="X293" s="11" t="s">
        <v>2834</v>
      </c>
      <c r="Y293" s="33" t="n">
        <f aca="false">K293*N293</f>
        <v>241.6</v>
      </c>
    </row>
    <row r="294" customFormat="false" ht="20.85" hidden="false" customHeight="false" outlineLevel="0" collapsed="false">
      <c r="A294" s="8" t="s">
        <v>3968</v>
      </c>
      <c r="B294" s="8" t="s">
        <v>207</v>
      </c>
      <c r="C294" s="8" t="s">
        <v>2829</v>
      </c>
      <c r="D294" s="8" t="s">
        <v>3089</v>
      </c>
      <c r="E294" s="8" t="s">
        <v>3969</v>
      </c>
      <c r="F294" s="8" t="s">
        <v>3970</v>
      </c>
      <c r="G294" s="8" t="s">
        <v>2938</v>
      </c>
      <c r="H294" s="8" t="n">
        <v>28</v>
      </c>
      <c r="I294" s="34" t="n">
        <v>29.7</v>
      </c>
      <c r="J294" s="34"/>
      <c r="K294" s="34" t="n">
        <f aca="false">MAX(ROUNDUP(I294,0),H294)</f>
        <v>30</v>
      </c>
      <c r="L294" s="34" t="str">
        <f aca="false">IF(J294="","",J294-K294)</f>
        <v/>
      </c>
      <c r="M294" s="35"/>
      <c r="N294" s="35" t="n">
        <f aca="false">IF(C294="covered",10.4,7.55)</f>
        <v>7.55</v>
      </c>
      <c r="O294" s="35" t="str">
        <f aca="false">IF(M294="","",M294-N294)</f>
        <v/>
      </c>
      <c r="P294" s="8"/>
      <c r="Q294" s="36"/>
      <c r="R294" s="36" t="str">
        <f aca="false">IF(OR(J294="",P294=""),"",K294*N294*P294)</f>
        <v/>
      </c>
      <c r="S294" s="36" t="str">
        <f aca="false">IF(Q294="","",Q294-R294)</f>
        <v/>
      </c>
      <c r="T294" s="36" t="str">
        <f aca="false">IF(S294="","",MAX(0,-S294))</f>
        <v/>
      </c>
      <c r="U294" s="36" t="str">
        <f aca="false">IF(S294="","",MAX(0,S294))</f>
        <v/>
      </c>
      <c r="V294" s="8" t="str">
        <f aca="false">IF(J294="","NOT SCORED - NO JULY MONTHLY ROW",IF(OR(ABS(L294)&gt;0.005,ABS(O294)&gt;0.005,ABS(S294)&gt;0.005),"EXCEPTION","OK"))</f>
        <v>NOT SCORED - NO JULY MONTHLY ROW</v>
      </c>
      <c r="W294" s="8"/>
      <c r="X294" s="8" t="s">
        <v>2834</v>
      </c>
      <c r="Y294" s="36" t="n">
        <f aca="false">K294*N294</f>
        <v>226.5</v>
      </c>
    </row>
    <row r="295" customFormat="false" ht="20.85" hidden="false" customHeight="false" outlineLevel="0" collapsed="false">
      <c r="A295" s="11" t="s">
        <v>3971</v>
      </c>
      <c r="B295" s="11" t="s">
        <v>207</v>
      </c>
      <c r="C295" s="11" t="s">
        <v>2829</v>
      </c>
      <c r="D295" s="11" t="s">
        <v>3094</v>
      </c>
      <c r="E295" s="11" t="s">
        <v>3972</v>
      </c>
      <c r="F295" s="11" t="s">
        <v>3973</v>
      </c>
      <c r="G295" s="11" t="s">
        <v>3819</v>
      </c>
      <c r="H295" s="11" t="n">
        <v>24</v>
      </c>
      <c r="I295" s="31" t="n">
        <v>54</v>
      </c>
      <c r="J295" s="31"/>
      <c r="K295" s="31" t="n">
        <f aca="false">MAX(ROUNDUP(I295,0),H295)</f>
        <v>54</v>
      </c>
      <c r="L295" s="31" t="str">
        <f aca="false">IF(J295="","",J295-K295)</f>
        <v/>
      </c>
      <c r="M295" s="32"/>
      <c r="N295" s="32" t="n">
        <f aca="false">IF(C295="covered",10.4,7.55)</f>
        <v>7.55</v>
      </c>
      <c r="O295" s="32" t="str">
        <f aca="false">IF(M295="","",M295-N295)</f>
        <v/>
      </c>
      <c r="P295" s="11"/>
      <c r="Q295" s="33"/>
      <c r="R295" s="33" t="str">
        <f aca="false">IF(OR(J295="",P295=""),"",K295*N295*P295)</f>
        <v/>
      </c>
      <c r="S295" s="33" t="str">
        <f aca="false">IF(Q295="","",Q295-R295)</f>
        <v/>
      </c>
      <c r="T295" s="33" t="str">
        <f aca="false">IF(S295="","",MAX(0,-S295))</f>
        <v/>
      </c>
      <c r="U295" s="33" t="str">
        <f aca="false">IF(S295="","",MAX(0,S295))</f>
        <v/>
      </c>
      <c r="V295" s="11" t="str">
        <f aca="false">IF(J295="","NOT SCORED - NO JULY MONTHLY ROW",IF(OR(ABS(L295)&gt;0.005,ABS(O295)&gt;0.005,ABS(S295)&gt;0.005),"EXCEPTION","OK"))</f>
        <v>NOT SCORED - NO JULY MONTHLY ROW</v>
      </c>
      <c r="W295" s="11"/>
      <c r="X295" s="11" t="s">
        <v>2834</v>
      </c>
      <c r="Y295" s="33" t="n">
        <f aca="false">K295*N295</f>
        <v>407.7</v>
      </c>
    </row>
    <row r="296" customFormat="false" ht="20.85" hidden="false" customHeight="false" outlineLevel="0" collapsed="false">
      <c r="A296" s="8" t="s">
        <v>3974</v>
      </c>
      <c r="B296" s="8" t="s">
        <v>207</v>
      </c>
      <c r="C296" s="8" t="s">
        <v>2829</v>
      </c>
      <c r="D296" s="8" t="s">
        <v>3099</v>
      </c>
      <c r="E296" s="8" t="s">
        <v>3975</v>
      </c>
      <c r="F296" s="8" t="s">
        <v>3976</v>
      </c>
      <c r="G296" s="8" t="s">
        <v>3977</v>
      </c>
      <c r="H296" s="8" t="n">
        <v>24</v>
      </c>
      <c r="I296" s="34" t="n">
        <v>40.1</v>
      </c>
      <c r="J296" s="34"/>
      <c r="K296" s="34" t="n">
        <f aca="false">MAX(ROUNDUP(I296,0),H296)</f>
        <v>41</v>
      </c>
      <c r="L296" s="34" t="str">
        <f aca="false">IF(J296="","",J296-K296)</f>
        <v/>
      </c>
      <c r="M296" s="35"/>
      <c r="N296" s="35" t="n">
        <f aca="false">IF(C296="covered",10.4,7.55)</f>
        <v>7.55</v>
      </c>
      <c r="O296" s="35" t="str">
        <f aca="false">IF(M296="","",M296-N296)</f>
        <v/>
      </c>
      <c r="P296" s="8"/>
      <c r="Q296" s="36"/>
      <c r="R296" s="36" t="str">
        <f aca="false">IF(OR(J296="",P296=""),"",K296*N296*P296)</f>
        <v/>
      </c>
      <c r="S296" s="36" t="str">
        <f aca="false">IF(Q296="","",Q296-R296)</f>
        <v/>
      </c>
      <c r="T296" s="36" t="str">
        <f aca="false">IF(S296="","",MAX(0,-S296))</f>
        <v/>
      </c>
      <c r="U296" s="36" t="str">
        <f aca="false">IF(S296="","",MAX(0,S296))</f>
        <v/>
      </c>
      <c r="V296" s="8" t="str">
        <f aca="false">IF(J296="","NOT SCORED - NO JULY MONTHLY ROW",IF(OR(ABS(L296)&gt;0.005,ABS(O296)&gt;0.005,ABS(S296)&gt;0.005),"EXCEPTION","OK"))</f>
        <v>NOT SCORED - NO JULY MONTHLY ROW</v>
      </c>
      <c r="W296" s="8"/>
      <c r="X296" s="8" t="s">
        <v>2834</v>
      </c>
      <c r="Y296" s="36" t="n">
        <f aca="false">K296*N296</f>
        <v>309.55</v>
      </c>
    </row>
    <row r="297" customFormat="false" ht="20.85" hidden="false" customHeight="false" outlineLevel="0" collapsed="false">
      <c r="A297" s="11" t="s">
        <v>3978</v>
      </c>
      <c r="B297" s="11" t="s">
        <v>207</v>
      </c>
      <c r="C297" s="11" t="s">
        <v>2829</v>
      </c>
      <c r="D297" s="11" t="s">
        <v>3979</v>
      </c>
      <c r="E297" s="11" t="s">
        <v>3980</v>
      </c>
      <c r="F297" s="11" t="s">
        <v>3981</v>
      </c>
      <c r="G297" s="11" t="s">
        <v>3982</v>
      </c>
      <c r="H297" s="11" t="n">
        <v>40</v>
      </c>
      <c r="I297" s="31" t="n">
        <v>58.8</v>
      </c>
      <c r="J297" s="31"/>
      <c r="K297" s="31" t="n">
        <f aca="false">MAX(ROUNDUP(I297,0),H297)</f>
        <v>59</v>
      </c>
      <c r="L297" s="31" t="str">
        <f aca="false">IF(J297="","",J297-K297)</f>
        <v/>
      </c>
      <c r="M297" s="32"/>
      <c r="N297" s="32" t="n">
        <f aca="false">IF(C297="covered",10.4,7.55)</f>
        <v>7.55</v>
      </c>
      <c r="O297" s="32" t="str">
        <f aca="false">IF(M297="","",M297-N297)</f>
        <v/>
      </c>
      <c r="P297" s="11"/>
      <c r="Q297" s="33"/>
      <c r="R297" s="33" t="str">
        <f aca="false">IF(OR(J297="",P297=""),"",K297*N297*P297)</f>
        <v/>
      </c>
      <c r="S297" s="33" t="str">
        <f aca="false">IF(Q297="","",Q297-R297)</f>
        <v/>
      </c>
      <c r="T297" s="33" t="str">
        <f aca="false">IF(S297="","",MAX(0,-S297))</f>
        <v/>
      </c>
      <c r="U297" s="33" t="str">
        <f aca="false">IF(S297="","",MAX(0,S297))</f>
        <v/>
      </c>
      <c r="V297" s="11" t="str">
        <f aca="false">IF(J297="","NOT SCORED - NO JULY MONTHLY ROW",IF(OR(ABS(L297)&gt;0.005,ABS(O297)&gt;0.005,ABS(S297)&gt;0.005),"EXCEPTION","OK"))</f>
        <v>NOT SCORED - NO JULY MONTHLY ROW</v>
      </c>
      <c r="W297" s="11"/>
      <c r="X297" s="11" t="s">
        <v>2834</v>
      </c>
      <c r="Y297" s="33" t="n">
        <f aca="false">K297*N297</f>
        <v>445.45</v>
      </c>
    </row>
    <row r="298" customFormat="false" ht="20.85" hidden="false" customHeight="false" outlineLevel="0" collapsed="false">
      <c r="A298" s="8" t="s">
        <v>1715</v>
      </c>
      <c r="B298" s="8" t="s">
        <v>207</v>
      </c>
      <c r="C298" s="8" t="s">
        <v>2829</v>
      </c>
      <c r="D298" s="8" t="s">
        <v>3983</v>
      </c>
      <c r="E298" s="8" t="s">
        <v>3984</v>
      </c>
      <c r="F298" s="8" t="s">
        <v>3985</v>
      </c>
      <c r="G298" s="8" t="s">
        <v>3986</v>
      </c>
      <c r="H298" s="8" t="n">
        <v>32</v>
      </c>
      <c r="I298" s="34" t="n">
        <v>44.8</v>
      </c>
      <c r="J298" s="34"/>
      <c r="K298" s="34" t="n">
        <f aca="false">MAX(ROUNDUP(I298,0),H298)</f>
        <v>45</v>
      </c>
      <c r="L298" s="34" t="str">
        <f aca="false">IF(J298="","",J298-K298)</f>
        <v/>
      </c>
      <c r="M298" s="35"/>
      <c r="N298" s="35" t="n">
        <f aca="false">IF(C298="covered",10.4,7.55)</f>
        <v>7.55</v>
      </c>
      <c r="O298" s="35" t="str">
        <f aca="false">IF(M298="","",M298-N298)</f>
        <v/>
      </c>
      <c r="P298" s="8"/>
      <c r="Q298" s="36"/>
      <c r="R298" s="36" t="str">
        <f aca="false">IF(OR(J298="",P298=""),"",K298*N298*P298)</f>
        <v/>
      </c>
      <c r="S298" s="36" t="str">
        <f aca="false">IF(Q298="","",Q298-R298)</f>
        <v/>
      </c>
      <c r="T298" s="36" t="str">
        <f aca="false">IF(S298="","",MAX(0,-S298))</f>
        <v/>
      </c>
      <c r="U298" s="36" t="str">
        <f aca="false">IF(S298="","",MAX(0,S298))</f>
        <v/>
      </c>
      <c r="V298" s="8" t="str">
        <f aca="false">IF(J298="","NOT SCORED - NO JULY MONTHLY ROW",IF(OR(ABS(L298)&gt;0.005,ABS(O298)&gt;0.005,ABS(S298)&gt;0.005),"EXCEPTION","OK"))</f>
        <v>NOT SCORED - NO JULY MONTHLY ROW</v>
      </c>
      <c r="W298" s="8"/>
      <c r="X298" s="8" t="s">
        <v>2834</v>
      </c>
      <c r="Y298" s="36" t="n">
        <f aca="false">K298*N298</f>
        <v>339.75</v>
      </c>
    </row>
    <row r="299" customFormat="false" ht="20.85" hidden="false" customHeight="false" outlineLevel="0" collapsed="false">
      <c r="A299" s="11" t="s">
        <v>3987</v>
      </c>
      <c r="B299" s="11" t="s">
        <v>207</v>
      </c>
      <c r="C299" s="11" t="s">
        <v>2829</v>
      </c>
      <c r="D299" s="11" t="s">
        <v>3104</v>
      </c>
      <c r="E299" s="11" t="s">
        <v>3988</v>
      </c>
      <c r="F299" s="11" t="s">
        <v>3989</v>
      </c>
      <c r="G299" s="11" t="s">
        <v>3990</v>
      </c>
      <c r="H299" s="11" t="n">
        <v>45</v>
      </c>
      <c r="I299" s="31" t="n">
        <v>34.3</v>
      </c>
      <c r="J299" s="31"/>
      <c r="K299" s="31" t="n">
        <f aca="false">MAX(ROUNDUP(I299,0),H299)</f>
        <v>45</v>
      </c>
      <c r="L299" s="31" t="str">
        <f aca="false">IF(J299="","",J299-K299)</f>
        <v/>
      </c>
      <c r="M299" s="32"/>
      <c r="N299" s="32" t="n">
        <f aca="false">IF(C299="covered",10.4,7.55)</f>
        <v>7.55</v>
      </c>
      <c r="O299" s="32" t="str">
        <f aca="false">IF(M299="","",M299-N299)</f>
        <v/>
      </c>
      <c r="P299" s="11"/>
      <c r="Q299" s="33"/>
      <c r="R299" s="33" t="str">
        <f aca="false">IF(OR(J299="",P299=""),"",K299*N299*P299)</f>
        <v/>
      </c>
      <c r="S299" s="33" t="str">
        <f aca="false">IF(Q299="","",Q299-R299)</f>
        <v/>
      </c>
      <c r="T299" s="33" t="str">
        <f aca="false">IF(S299="","",MAX(0,-S299))</f>
        <v/>
      </c>
      <c r="U299" s="33" t="str">
        <f aca="false">IF(S299="","",MAX(0,S299))</f>
        <v/>
      </c>
      <c r="V299" s="11" t="str">
        <f aca="false">IF(J299="","NOT SCORED - NO JULY MONTHLY ROW",IF(OR(ABS(L299)&gt;0.005,ABS(O299)&gt;0.005,ABS(S299)&gt;0.005),"EXCEPTION","OK"))</f>
        <v>NOT SCORED - NO JULY MONTHLY ROW</v>
      </c>
      <c r="W299" s="11"/>
      <c r="X299" s="11" t="s">
        <v>2834</v>
      </c>
      <c r="Y299" s="33" t="n">
        <f aca="false">K299*N299</f>
        <v>339.75</v>
      </c>
    </row>
    <row r="300" customFormat="false" ht="20.85" hidden="false" customHeight="false" outlineLevel="0" collapsed="false">
      <c r="A300" s="8" t="s">
        <v>3991</v>
      </c>
      <c r="B300" s="8" t="s">
        <v>207</v>
      </c>
      <c r="C300" s="8" t="s">
        <v>2829</v>
      </c>
      <c r="D300" s="8" t="s">
        <v>3109</v>
      </c>
      <c r="E300" s="8" t="s">
        <v>1552</v>
      </c>
      <c r="F300" s="8" t="s">
        <v>1553</v>
      </c>
      <c r="G300" s="8" t="s">
        <v>3992</v>
      </c>
      <c r="H300" s="8" t="n">
        <v>32</v>
      </c>
      <c r="I300" s="34" t="n">
        <v>57</v>
      </c>
      <c r="J300" s="34"/>
      <c r="K300" s="34" t="n">
        <f aca="false">MAX(ROUNDUP(I300,0),H300)</f>
        <v>57</v>
      </c>
      <c r="L300" s="34" t="str">
        <f aca="false">IF(J300="","",J300-K300)</f>
        <v/>
      </c>
      <c r="M300" s="35"/>
      <c r="N300" s="35" t="n">
        <f aca="false">IF(C300="covered",10.4,7.55)</f>
        <v>7.55</v>
      </c>
      <c r="O300" s="35" t="str">
        <f aca="false">IF(M300="","",M300-N300)</f>
        <v/>
      </c>
      <c r="P300" s="8"/>
      <c r="Q300" s="36"/>
      <c r="R300" s="36" t="str">
        <f aca="false">IF(OR(J300="",P300=""),"",K300*N300*P300)</f>
        <v/>
      </c>
      <c r="S300" s="36" t="str">
        <f aca="false">IF(Q300="","",Q300-R300)</f>
        <v/>
      </c>
      <c r="T300" s="36" t="str">
        <f aca="false">IF(S300="","",MAX(0,-S300))</f>
        <v/>
      </c>
      <c r="U300" s="36" t="str">
        <f aca="false">IF(S300="","",MAX(0,S300))</f>
        <v/>
      </c>
      <c r="V300" s="8" t="str">
        <f aca="false">IF(J300="","NOT SCORED - NO JULY MONTHLY ROW",IF(OR(ABS(L300)&gt;0.005,ABS(O300)&gt;0.005,ABS(S300)&gt;0.005),"EXCEPTION","OK"))</f>
        <v>NOT SCORED - NO JULY MONTHLY ROW</v>
      </c>
      <c r="W300" s="8"/>
      <c r="X300" s="8" t="s">
        <v>2834</v>
      </c>
      <c r="Y300" s="36" t="n">
        <f aca="false">K300*N300</f>
        <v>430.35</v>
      </c>
    </row>
    <row r="301" customFormat="false" ht="20.85" hidden="false" customHeight="false" outlineLevel="0" collapsed="false">
      <c r="A301" s="11" t="s">
        <v>1449</v>
      </c>
      <c r="B301" s="11" t="s">
        <v>207</v>
      </c>
      <c r="C301" s="11" t="s">
        <v>2829</v>
      </c>
      <c r="D301" s="11" t="s">
        <v>3114</v>
      </c>
      <c r="E301" s="11" t="s">
        <v>2561</v>
      </c>
      <c r="F301" s="11" t="s">
        <v>3993</v>
      </c>
      <c r="G301" s="11" t="s">
        <v>3994</v>
      </c>
      <c r="H301" s="11" t="n">
        <v>24</v>
      </c>
      <c r="I301" s="31" t="n">
        <v>44.8</v>
      </c>
      <c r="J301" s="31"/>
      <c r="K301" s="31" t="n">
        <f aca="false">MAX(ROUNDUP(I301,0),H301)</f>
        <v>45</v>
      </c>
      <c r="L301" s="31" t="str">
        <f aca="false">IF(J301="","",J301-K301)</f>
        <v/>
      </c>
      <c r="M301" s="32"/>
      <c r="N301" s="32" t="n">
        <f aca="false">IF(C301="covered",10.4,7.55)</f>
        <v>7.55</v>
      </c>
      <c r="O301" s="32" t="str">
        <f aca="false">IF(M301="","",M301-N301)</f>
        <v/>
      </c>
      <c r="P301" s="11"/>
      <c r="Q301" s="33"/>
      <c r="R301" s="33" t="str">
        <f aca="false">IF(OR(J301="",P301=""),"",K301*N301*P301)</f>
        <v/>
      </c>
      <c r="S301" s="33" t="str">
        <f aca="false">IF(Q301="","",Q301-R301)</f>
        <v/>
      </c>
      <c r="T301" s="33" t="str">
        <f aca="false">IF(S301="","",MAX(0,-S301))</f>
        <v/>
      </c>
      <c r="U301" s="33" t="str">
        <f aca="false">IF(S301="","",MAX(0,S301))</f>
        <v/>
      </c>
      <c r="V301" s="11" t="str">
        <f aca="false">IF(J301="","NOT SCORED - NO JULY MONTHLY ROW",IF(OR(ABS(L301)&gt;0.005,ABS(O301)&gt;0.005,ABS(S301)&gt;0.005),"EXCEPTION","OK"))</f>
        <v>NOT SCORED - NO JULY MONTHLY ROW</v>
      </c>
      <c r="W301" s="11"/>
      <c r="X301" s="11" t="s">
        <v>2834</v>
      </c>
      <c r="Y301" s="33" t="n">
        <f aca="false">K301*N301</f>
        <v>339.75</v>
      </c>
    </row>
    <row r="302" customFormat="false" ht="20.85" hidden="false" customHeight="false" outlineLevel="0" collapsed="false">
      <c r="A302" s="8" t="s">
        <v>3995</v>
      </c>
      <c r="B302" s="8" t="s">
        <v>207</v>
      </c>
      <c r="C302" s="8" t="s">
        <v>2829</v>
      </c>
      <c r="D302" s="8" t="s">
        <v>3119</v>
      </c>
      <c r="E302" s="8" t="s">
        <v>3996</v>
      </c>
      <c r="F302" s="8" t="s">
        <v>3997</v>
      </c>
      <c r="G302" s="8" t="s">
        <v>3127</v>
      </c>
      <c r="H302" s="8" t="n">
        <v>24</v>
      </c>
      <c r="I302" s="34" t="n">
        <v>21.9</v>
      </c>
      <c r="J302" s="34"/>
      <c r="K302" s="34" t="n">
        <f aca="false">MAX(ROUNDUP(I302,0),H302)</f>
        <v>24</v>
      </c>
      <c r="L302" s="34" t="str">
        <f aca="false">IF(J302="","",J302-K302)</f>
        <v/>
      </c>
      <c r="M302" s="35"/>
      <c r="N302" s="35" t="n">
        <f aca="false">IF(C302="covered",10.4,7.55)</f>
        <v>7.55</v>
      </c>
      <c r="O302" s="35" t="str">
        <f aca="false">IF(M302="","",M302-N302)</f>
        <v/>
      </c>
      <c r="P302" s="8"/>
      <c r="Q302" s="36"/>
      <c r="R302" s="36" t="str">
        <f aca="false">IF(OR(J302="",P302=""),"",K302*N302*P302)</f>
        <v/>
      </c>
      <c r="S302" s="36" t="str">
        <f aca="false">IF(Q302="","",Q302-R302)</f>
        <v/>
      </c>
      <c r="T302" s="36" t="str">
        <f aca="false">IF(S302="","",MAX(0,-S302))</f>
        <v/>
      </c>
      <c r="U302" s="36" t="str">
        <f aca="false">IF(S302="","",MAX(0,S302))</f>
        <v/>
      </c>
      <c r="V302" s="8" t="str">
        <f aca="false">IF(J302="","NOT SCORED - NO JULY MONTHLY ROW",IF(OR(ABS(L302)&gt;0.005,ABS(O302)&gt;0.005,ABS(S302)&gt;0.005),"EXCEPTION","OK"))</f>
        <v>NOT SCORED - NO JULY MONTHLY ROW</v>
      </c>
      <c r="W302" s="8"/>
      <c r="X302" s="8" t="s">
        <v>2834</v>
      </c>
      <c r="Y302" s="36" t="n">
        <f aca="false">K302*N302</f>
        <v>181.2</v>
      </c>
    </row>
    <row r="303" customFormat="false" ht="20.85" hidden="false" customHeight="false" outlineLevel="0" collapsed="false">
      <c r="A303" s="11" t="s">
        <v>1724</v>
      </c>
      <c r="B303" s="11" t="s">
        <v>207</v>
      </c>
      <c r="C303" s="11" t="s">
        <v>2829</v>
      </c>
      <c r="D303" s="11" t="s">
        <v>3124</v>
      </c>
      <c r="E303" s="11" t="s">
        <v>3998</v>
      </c>
      <c r="F303" s="11" t="s">
        <v>3999</v>
      </c>
      <c r="G303" s="11" t="s">
        <v>4000</v>
      </c>
      <c r="H303" s="11" t="n">
        <v>28</v>
      </c>
      <c r="I303" s="31" t="n">
        <v>61.1</v>
      </c>
      <c r="J303" s="31"/>
      <c r="K303" s="31" t="n">
        <f aca="false">MAX(ROUNDUP(I303,0),H303)</f>
        <v>62</v>
      </c>
      <c r="L303" s="31" t="str">
        <f aca="false">IF(J303="","",J303-K303)</f>
        <v/>
      </c>
      <c r="M303" s="32"/>
      <c r="N303" s="32" t="n">
        <f aca="false">IF(C303="covered",10.4,7.55)</f>
        <v>7.55</v>
      </c>
      <c r="O303" s="32" t="str">
        <f aca="false">IF(M303="","",M303-N303)</f>
        <v/>
      </c>
      <c r="P303" s="11"/>
      <c r="Q303" s="33"/>
      <c r="R303" s="33" t="str">
        <f aca="false">IF(OR(J303="",P303=""),"",K303*N303*P303)</f>
        <v/>
      </c>
      <c r="S303" s="33" t="str">
        <f aca="false">IF(Q303="","",Q303-R303)</f>
        <v/>
      </c>
      <c r="T303" s="33" t="str">
        <f aca="false">IF(S303="","",MAX(0,-S303))</f>
        <v/>
      </c>
      <c r="U303" s="33" t="str">
        <f aca="false">IF(S303="","",MAX(0,S303))</f>
        <v/>
      </c>
      <c r="V303" s="11" t="str">
        <f aca="false">IF(J303="","NOT SCORED - NO JULY MONTHLY ROW",IF(OR(ABS(L303)&gt;0.005,ABS(O303)&gt;0.005,ABS(S303)&gt;0.005),"EXCEPTION","OK"))</f>
        <v>NOT SCORED - NO JULY MONTHLY ROW</v>
      </c>
      <c r="W303" s="11"/>
      <c r="X303" s="11" t="s">
        <v>2834</v>
      </c>
      <c r="Y303" s="33" t="n">
        <f aca="false">K303*N303</f>
        <v>468.1</v>
      </c>
    </row>
    <row r="304" customFormat="false" ht="20.85" hidden="false" customHeight="false" outlineLevel="0" collapsed="false">
      <c r="A304" s="8" t="s">
        <v>4001</v>
      </c>
      <c r="B304" s="8" t="s">
        <v>207</v>
      </c>
      <c r="C304" s="8" t="s">
        <v>2829</v>
      </c>
      <c r="D304" s="8" t="s">
        <v>3134</v>
      </c>
      <c r="E304" s="8" t="s">
        <v>530</v>
      </c>
      <c r="F304" s="8" t="s">
        <v>531</v>
      </c>
      <c r="G304" s="8" t="s">
        <v>4002</v>
      </c>
      <c r="H304" s="8" t="n">
        <v>28</v>
      </c>
      <c r="I304" s="34" t="n">
        <v>22.2</v>
      </c>
      <c r="J304" s="34"/>
      <c r="K304" s="34" t="n">
        <f aca="false">MAX(ROUNDUP(I304,0),H304)</f>
        <v>28</v>
      </c>
      <c r="L304" s="34" t="str">
        <f aca="false">IF(J304="","",J304-K304)</f>
        <v/>
      </c>
      <c r="M304" s="35"/>
      <c r="N304" s="35" t="n">
        <f aca="false">IF(C304="covered",10.4,7.55)</f>
        <v>7.55</v>
      </c>
      <c r="O304" s="35" t="str">
        <f aca="false">IF(M304="","",M304-N304)</f>
        <v/>
      </c>
      <c r="P304" s="8"/>
      <c r="Q304" s="36"/>
      <c r="R304" s="36" t="str">
        <f aca="false">IF(OR(J304="",P304=""),"",K304*N304*P304)</f>
        <v/>
      </c>
      <c r="S304" s="36" t="str">
        <f aca="false">IF(Q304="","",Q304-R304)</f>
        <v/>
      </c>
      <c r="T304" s="36" t="str">
        <f aca="false">IF(S304="","",MAX(0,-S304))</f>
        <v/>
      </c>
      <c r="U304" s="36" t="str">
        <f aca="false">IF(S304="","",MAX(0,S304))</f>
        <v/>
      </c>
      <c r="V304" s="8" t="str">
        <f aca="false">IF(J304="","NOT SCORED - NO JULY MONTHLY ROW",IF(OR(ABS(L304)&gt;0.005,ABS(O304)&gt;0.005,ABS(S304)&gt;0.005),"EXCEPTION","OK"))</f>
        <v>NOT SCORED - NO JULY MONTHLY ROW</v>
      </c>
      <c r="W304" s="8"/>
      <c r="X304" s="8" t="s">
        <v>2834</v>
      </c>
      <c r="Y304" s="36" t="n">
        <f aca="false">K304*N304</f>
        <v>211.4</v>
      </c>
    </row>
    <row r="305" customFormat="false" ht="20.85" hidden="false" customHeight="false" outlineLevel="0" collapsed="false">
      <c r="A305" s="11" t="s">
        <v>4003</v>
      </c>
      <c r="B305" s="11" t="s">
        <v>207</v>
      </c>
      <c r="C305" s="11" t="s">
        <v>2829</v>
      </c>
      <c r="D305" s="11" t="s">
        <v>3139</v>
      </c>
      <c r="E305" s="11" t="s">
        <v>4004</v>
      </c>
      <c r="F305" s="11" t="s">
        <v>4005</v>
      </c>
      <c r="G305" s="11" t="s">
        <v>4006</v>
      </c>
      <c r="H305" s="11" t="n">
        <v>45</v>
      </c>
      <c r="I305" s="31" t="n">
        <v>21.2</v>
      </c>
      <c r="J305" s="31"/>
      <c r="K305" s="31" t="n">
        <f aca="false">MAX(ROUNDUP(I305,0),H305)</f>
        <v>45</v>
      </c>
      <c r="L305" s="31" t="str">
        <f aca="false">IF(J305="","",J305-K305)</f>
        <v/>
      </c>
      <c r="M305" s="32"/>
      <c r="N305" s="32" t="n">
        <f aca="false">IF(C305="covered",10.4,7.55)</f>
        <v>7.55</v>
      </c>
      <c r="O305" s="32" t="str">
        <f aca="false">IF(M305="","",M305-N305)</f>
        <v/>
      </c>
      <c r="P305" s="11"/>
      <c r="Q305" s="33"/>
      <c r="R305" s="33" t="str">
        <f aca="false">IF(OR(J305="",P305=""),"",K305*N305*P305)</f>
        <v/>
      </c>
      <c r="S305" s="33" t="str">
        <f aca="false">IF(Q305="","",Q305-R305)</f>
        <v/>
      </c>
      <c r="T305" s="33" t="str">
        <f aca="false">IF(S305="","",MAX(0,-S305))</f>
        <v/>
      </c>
      <c r="U305" s="33" t="str">
        <f aca="false">IF(S305="","",MAX(0,S305))</f>
        <v/>
      </c>
      <c r="V305" s="11" t="str">
        <f aca="false">IF(J305="","NOT SCORED - NO JULY MONTHLY ROW",IF(OR(ABS(L305)&gt;0.005,ABS(O305)&gt;0.005,ABS(S305)&gt;0.005),"EXCEPTION","OK"))</f>
        <v>NOT SCORED - NO JULY MONTHLY ROW</v>
      </c>
      <c r="W305" s="11"/>
      <c r="X305" s="11" t="s">
        <v>2834</v>
      </c>
      <c r="Y305" s="33" t="n">
        <f aca="false">K305*N305</f>
        <v>339.75</v>
      </c>
    </row>
    <row r="306" customFormat="false" ht="20.85" hidden="false" customHeight="false" outlineLevel="0" collapsed="false">
      <c r="A306" s="8" t="s">
        <v>4007</v>
      </c>
      <c r="B306" s="8" t="s">
        <v>207</v>
      </c>
      <c r="C306" s="8" t="s">
        <v>2829</v>
      </c>
      <c r="D306" s="8" t="s">
        <v>3143</v>
      </c>
      <c r="E306" s="8" t="s">
        <v>4008</v>
      </c>
      <c r="F306" s="8" t="s">
        <v>4009</v>
      </c>
      <c r="G306" s="8" t="s">
        <v>4010</v>
      </c>
      <c r="H306" s="8" t="n">
        <v>40</v>
      </c>
      <c r="I306" s="34" t="n">
        <v>34.1</v>
      </c>
      <c r="J306" s="34"/>
      <c r="K306" s="34" t="n">
        <f aca="false">MAX(ROUNDUP(I306,0),H306)</f>
        <v>40</v>
      </c>
      <c r="L306" s="34" t="str">
        <f aca="false">IF(J306="","",J306-K306)</f>
        <v/>
      </c>
      <c r="M306" s="35"/>
      <c r="N306" s="35" t="n">
        <f aca="false">IF(C306="covered",10.4,7.55)</f>
        <v>7.55</v>
      </c>
      <c r="O306" s="35" t="str">
        <f aca="false">IF(M306="","",M306-N306)</f>
        <v/>
      </c>
      <c r="P306" s="8"/>
      <c r="Q306" s="36"/>
      <c r="R306" s="36" t="str">
        <f aca="false">IF(OR(J306="",P306=""),"",K306*N306*P306)</f>
        <v/>
      </c>
      <c r="S306" s="36" t="str">
        <f aca="false">IF(Q306="","",Q306-R306)</f>
        <v/>
      </c>
      <c r="T306" s="36" t="str">
        <f aca="false">IF(S306="","",MAX(0,-S306))</f>
        <v/>
      </c>
      <c r="U306" s="36" t="str">
        <f aca="false">IF(S306="","",MAX(0,S306))</f>
        <v/>
      </c>
      <c r="V306" s="8" t="str">
        <f aca="false">IF(J306="","NOT SCORED - NO JULY MONTHLY ROW",IF(OR(ABS(L306)&gt;0.005,ABS(O306)&gt;0.005,ABS(S306)&gt;0.005),"EXCEPTION","OK"))</f>
        <v>NOT SCORED - NO JULY MONTHLY ROW</v>
      </c>
      <c r="W306" s="8"/>
      <c r="X306" s="8" t="s">
        <v>2834</v>
      </c>
      <c r="Y306" s="36" t="n">
        <f aca="false">K306*N306</f>
        <v>302</v>
      </c>
    </row>
    <row r="307" customFormat="false" ht="20.85" hidden="false" customHeight="false" outlineLevel="0" collapsed="false">
      <c r="A307" s="11" t="s">
        <v>4011</v>
      </c>
      <c r="B307" s="11" t="s">
        <v>207</v>
      </c>
      <c r="C307" s="11" t="s">
        <v>2829</v>
      </c>
      <c r="D307" s="11" t="s">
        <v>3151</v>
      </c>
      <c r="E307" s="11" t="s">
        <v>1649</v>
      </c>
      <c r="F307" s="11" t="s">
        <v>1650</v>
      </c>
      <c r="G307" s="11" t="s">
        <v>3273</v>
      </c>
      <c r="H307" s="11" t="n">
        <v>32</v>
      </c>
      <c r="I307" s="31" t="n">
        <v>22.1</v>
      </c>
      <c r="J307" s="31"/>
      <c r="K307" s="31" t="n">
        <f aca="false">MAX(ROUNDUP(I307,0),H307)</f>
        <v>32</v>
      </c>
      <c r="L307" s="31" t="str">
        <f aca="false">IF(J307="","",J307-K307)</f>
        <v/>
      </c>
      <c r="M307" s="32"/>
      <c r="N307" s="32" t="n">
        <f aca="false">IF(C307="covered",10.4,7.55)</f>
        <v>7.55</v>
      </c>
      <c r="O307" s="32" t="str">
        <f aca="false">IF(M307="","",M307-N307)</f>
        <v/>
      </c>
      <c r="P307" s="11"/>
      <c r="Q307" s="33"/>
      <c r="R307" s="33" t="str">
        <f aca="false">IF(OR(J307="",P307=""),"",K307*N307*P307)</f>
        <v/>
      </c>
      <c r="S307" s="33" t="str">
        <f aca="false">IF(Q307="","",Q307-R307)</f>
        <v/>
      </c>
      <c r="T307" s="33" t="str">
        <f aca="false">IF(S307="","",MAX(0,-S307))</f>
        <v/>
      </c>
      <c r="U307" s="33" t="str">
        <f aca="false">IF(S307="","",MAX(0,S307))</f>
        <v/>
      </c>
      <c r="V307" s="11" t="str">
        <f aca="false">IF(J307="","NOT SCORED - NO JULY MONTHLY ROW",IF(OR(ABS(L307)&gt;0.005,ABS(O307)&gt;0.005,ABS(S307)&gt;0.005),"EXCEPTION","OK"))</f>
        <v>NOT SCORED - NO JULY MONTHLY ROW</v>
      </c>
      <c r="W307" s="11"/>
      <c r="X307" s="11" t="s">
        <v>2834</v>
      </c>
      <c r="Y307" s="33" t="n">
        <f aca="false">K307*N307</f>
        <v>241.6</v>
      </c>
    </row>
    <row r="308" customFormat="false" ht="20.85" hidden="false" customHeight="false" outlineLevel="0" collapsed="false">
      <c r="A308" s="8" t="s">
        <v>4012</v>
      </c>
      <c r="B308" s="8" t="s">
        <v>207</v>
      </c>
      <c r="C308" s="8" t="s">
        <v>2829</v>
      </c>
      <c r="D308" s="8" t="s">
        <v>3153</v>
      </c>
      <c r="E308" s="8" t="s">
        <v>4013</v>
      </c>
      <c r="F308" s="8" t="s">
        <v>4014</v>
      </c>
      <c r="G308" s="8" t="s">
        <v>4015</v>
      </c>
      <c r="H308" s="8" t="n">
        <v>24</v>
      </c>
      <c r="I308" s="34" t="n">
        <v>24.6</v>
      </c>
      <c r="J308" s="34"/>
      <c r="K308" s="34" t="n">
        <f aca="false">MAX(ROUNDUP(I308,0),H308)</f>
        <v>25</v>
      </c>
      <c r="L308" s="34" t="str">
        <f aca="false">IF(J308="","",J308-K308)</f>
        <v/>
      </c>
      <c r="M308" s="35"/>
      <c r="N308" s="35" t="n">
        <f aca="false">IF(C308="covered",10.4,7.55)</f>
        <v>7.55</v>
      </c>
      <c r="O308" s="35" t="str">
        <f aca="false">IF(M308="","",M308-N308)</f>
        <v/>
      </c>
      <c r="P308" s="8"/>
      <c r="Q308" s="36"/>
      <c r="R308" s="36" t="str">
        <f aca="false">IF(OR(J308="",P308=""),"",K308*N308*P308)</f>
        <v/>
      </c>
      <c r="S308" s="36" t="str">
        <f aca="false">IF(Q308="","",Q308-R308)</f>
        <v/>
      </c>
      <c r="T308" s="36" t="str">
        <f aca="false">IF(S308="","",MAX(0,-S308))</f>
        <v/>
      </c>
      <c r="U308" s="36" t="str">
        <f aca="false">IF(S308="","",MAX(0,S308))</f>
        <v/>
      </c>
      <c r="V308" s="8" t="str">
        <f aca="false">IF(J308="","NOT SCORED - NO JULY MONTHLY ROW",IF(OR(ABS(L308)&gt;0.005,ABS(O308)&gt;0.005,ABS(S308)&gt;0.005),"EXCEPTION","OK"))</f>
        <v>NOT SCORED - NO JULY MONTHLY ROW</v>
      </c>
      <c r="W308" s="8"/>
      <c r="X308" s="8" t="s">
        <v>2834</v>
      </c>
      <c r="Y308" s="36" t="n">
        <f aca="false">K308*N308</f>
        <v>188.75</v>
      </c>
    </row>
    <row r="309" customFormat="false" ht="20.85" hidden="false" customHeight="false" outlineLevel="0" collapsed="false">
      <c r="A309" s="11" t="s">
        <v>4016</v>
      </c>
      <c r="B309" s="11" t="s">
        <v>207</v>
      </c>
      <c r="C309" s="11" t="s">
        <v>2829</v>
      </c>
      <c r="D309" s="11" t="s">
        <v>3157</v>
      </c>
      <c r="E309" s="11" t="s">
        <v>2413</v>
      </c>
      <c r="F309" s="11" t="s">
        <v>4017</v>
      </c>
      <c r="G309" s="11" t="s">
        <v>4018</v>
      </c>
      <c r="H309" s="11" t="n">
        <v>28</v>
      </c>
      <c r="I309" s="31" t="n">
        <v>52.3</v>
      </c>
      <c r="J309" s="31"/>
      <c r="K309" s="31" t="n">
        <f aca="false">MAX(ROUNDUP(I309,0),H309)</f>
        <v>53</v>
      </c>
      <c r="L309" s="31" t="str">
        <f aca="false">IF(J309="","",J309-K309)</f>
        <v/>
      </c>
      <c r="M309" s="32"/>
      <c r="N309" s="32" t="n">
        <f aca="false">IF(C309="covered",10.4,7.55)</f>
        <v>7.55</v>
      </c>
      <c r="O309" s="32" t="str">
        <f aca="false">IF(M309="","",M309-N309)</f>
        <v/>
      </c>
      <c r="P309" s="11"/>
      <c r="Q309" s="33"/>
      <c r="R309" s="33" t="str">
        <f aca="false">IF(OR(J309="",P309=""),"",K309*N309*P309)</f>
        <v/>
      </c>
      <c r="S309" s="33" t="str">
        <f aca="false">IF(Q309="","",Q309-R309)</f>
        <v/>
      </c>
      <c r="T309" s="33" t="str">
        <f aca="false">IF(S309="","",MAX(0,-S309))</f>
        <v/>
      </c>
      <c r="U309" s="33" t="str">
        <f aca="false">IF(S309="","",MAX(0,S309))</f>
        <v/>
      </c>
      <c r="V309" s="11" t="str">
        <f aca="false">IF(J309="","NOT SCORED - NO JULY MONTHLY ROW",IF(OR(ABS(L309)&gt;0.005,ABS(O309)&gt;0.005,ABS(S309)&gt;0.005),"EXCEPTION","OK"))</f>
        <v>NOT SCORED - NO JULY MONTHLY ROW</v>
      </c>
      <c r="W309" s="11"/>
      <c r="X309" s="11" t="s">
        <v>2834</v>
      </c>
      <c r="Y309" s="33" t="n">
        <f aca="false">K309*N309</f>
        <v>400.15</v>
      </c>
    </row>
    <row r="310" customFormat="false" ht="20.85" hidden="false" customHeight="false" outlineLevel="0" collapsed="false">
      <c r="A310" s="8" t="s">
        <v>4019</v>
      </c>
      <c r="B310" s="8" t="s">
        <v>207</v>
      </c>
      <c r="C310" s="8" t="s">
        <v>2829</v>
      </c>
      <c r="D310" s="8" t="s">
        <v>4020</v>
      </c>
      <c r="E310" s="8" t="s">
        <v>4021</v>
      </c>
      <c r="F310" s="8" t="s">
        <v>4022</v>
      </c>
      <c r="G310" s="8" t="s">
        <v>4023</v>
      </c>
      <c r="H310" s="8" t="n">
        <v>70</v>
      </c>
      <c r="I310" s="34" t="n">
        <v>25.9</v>
      </c>
      <c r="J310" s="34"/>
      <c r="K310" s="34" t="n">
        <f aca="false">MAX(ROUNDUP(I310,0),H310)</f>
        <v>70</v>
      </c>
      <c r="L310" s="34" t="str">
        <f aca="false">IF(J310="","",J310-K310)</f>
        <v/>
      </c>
      <c r="M310" s="35"/>
      <c r="N310" s="35" t="n">
        <f aca="false">IF(C310="covered",10.4,7.55)</f>
        <v>7.55</v>
      </c>
      <c r="O310" s="35" t="str">
        <f aca="false">IF(M310="","",M310-N310)</f>
        <v/>
      </c>
      <c r="P310" s="8"/>
      <c r="Q310" s="36"/>
      <c r="R310" s="36" t="str">
        <f aca="false">IF(OR(J310="",P310=""),"",K310*N310*P310)</f>
        <v/>
      </c>
      <c r="S310" s="36" t="str">
        <f aca="false">IF(Q310="","",Q310-R310)</f>
        <v/>
      </c>
      <c r="T310" s="36" t="str">
        <f aca="false">IF(S310="","",MAX(0,-S310))</f>
        <v/>
      </c>
      <c r="U310" s="36" t="str">
        <f aca="false">IF(S310="","",MAX(0,S310))</f>
        <v/>
      </c>
      <c r="V310" s="8" t="str">
        <f aca="false">IF(J310="","NOT SCORED - NO JULY MONTHLY ROW",IF(OR(ABS(L310)&gt;0.005,ABS(O310)&gt;0.005,ABS(S310)&gt;0.005),"EXCEPTION","OK"))</f>
        <v>NOT SCORED - NO JULY MONTHLY ROW</v>
      </c>
      <c r="W310" s="8"/>
      <c r="X310" s="8" t="s">
        <v>2834</v>
      </c>
      <c r="Y310" s="36" t="n">
        <f aca="false">K310*N310</f>
        <v>528.5</v>
      </c>
    </row>
    <row r="311" customFormat="false" ht="20.85" hidden="false" customHeight="false" outlineLevel="0" collapsed="false">
      <c r="A311" s="11" t="s">
        <v>4024</v>
      </c>
      <c r="B311" s="11" t="s">
        <v>207</v>
      </c>
      <c r="C311" s="11" t="s">
        <v>2829</v>
      </c>
      <c r="D311" s="11" t="s">
        <v>3162</v>
      </c>
      <c r="E311" s="11" t="s">
        <v>4025</v>
      </c>
      <c r="F311" s="11" t="s">
        <v>4026</v>
      </c>
      <c r="G311" s="11" t="s">
        <v>4027</v>
      </c>
      <c r="H311" s="11" t="n">
        <v>28</v>
      </c>
      <c r="I311" s="31" t="n">
        <v>46.5</v>
      </c>
      <c r="J311" s="31"/>
      <c r="K311" s="31" t="n">
        <f aca="false">MAX(ROUNDUP(I311,0),H311)</f>
        <v>47</v>
      </c>
      <c r="L311" s="31" t="str">
        <f aca="false">IF(J311="","",J311-K311)</f>
        <v/>
      </c>
      <c r="M311" s="32"/>
      <c r="N311" s="32" t="n">
        <f aca="false">IF(C311="covered",10.4,7.55)</f>
        <v>7.55</v>
      </c>
      <c r="O311" s="32" t="str">
        <f aca="false">IF(M311="","",M311-N311)</f>
        <v/>
      </c>
      <c r="P311" s="11"/>
      <c r="Q311" s="33"/>
      <c r="R311" s="33" t="str">
        <f aca="false">IF(OR(J311="",P311=""),"",K311*N311*P311)</f>
        <v/>
      </c>
      <c r="S311" s="33" t="str">
        <f aca="false">IF(Q311="","",Q311-R311)</f>
        <v/>
      </c>
      <c r="T311" s="33" t="str">
        <f aca="false">IF(S311="","",MAX(0,-S311))</f>
        <v/>
      </c>
      <c r="U311" s="33" t="str">
        <f aca="false">IF(S311="","",MAX(0,S311))</f>
        <v/>
      </c>
      <c r="V311" s="11" t="str">
        <f aca="false">IF(J311="","NOT SCORED - NO JULY MONTHLY ROW",IF(OR(ABS(L311)&gt;0.005,ABS(O311)&gt;0.005,ABS(S311)&gt;0.005),"EXCEPTION","OK"))</f>
        <v>NOT SCORED - NO JULY MONTHLY ROW</v>
      </c>
      <c r="W311" s="11"/>
      <c r="X311" s="11" t="s">
        <v>2834</v>
      </c>
      <c r="Y311" s="33" t="n">
        <f aca="false">K311*N311</f>
        <v>354.85</v>
      </c>
    </row>
    <row r="312" customFormat="false" ht="20.85" hidden="false" customHeight="false" outlineLevel="0" collapsed="false">
      <c r="A312" s="8" t="s">
        <v>4028</v>
      </c>
      <c r="B312" s="8" t="s">
        <v>207</v>
      </c>
      <c r="C312" s="8" t="s">
        <v>2829</v>
      </c>
      <c r="D312" s="8" t="s">
        <v>3171</v>
      </c>
      <c r="E312" s="8" t="s">
        <v>4029</v>
      </c>
      <c r="F312" s="8" t="s">
        <v>4030</v>
      </c>
      <c r="G312" s="8" t="s">
        <v>4031</v>
      </c>
      <c r="H312" s="8" t="n">
        <v>70</v>
      </c>
      <c r="I312" s="34" t="n">
        <v>28</v>
      </c>
      <c r="J312" s="34"/>
      <c r="K312" s="34" t="n">
        <f aca="false">MAX(ROUNDUP(I312,0),H312)</f>
        <v>70</v>
      </c>
      <c r="L312" s="34" t="str">
        <f aca="false">IF(J312="","",J312-K312)</f>
        <v/>
      </c>
      <c r="M312" s="35"/>
      <c r="N312" s="35" t="n">
        <f aca="false">IF(C312="covered",10.4,7.55)</f>
        <v>7.55</v>
      </c>
      <c r="O312" s="35" t="str">
        <f aca="false">IF(M312="","",M312-N312)</f>
        <v/>
      </c>
      <c r="P312" s="8"/>
      <c r="Q312" s="36"/>
      <c r="R312" s="36" t="str">
        <f aca="false">IF(OR(J312="",P312=""),"",K312*N312*P312)</f>
        <v/>
      </c>
      <c r="S312" s="36" t="str">
        <f aca="false">IF(Q312="","",Q312-R312)</f>
        <v/>
      </c>
      <c r="T312" s="36" t="str">
        <f aca="false">IF(S312="","",MAX(0,-S312))</f>
        <v/>
      </c>
      <c r="U312" s="36" t="str">
        <f aca="false">IF(S312="","",MAX(0,S312))</f>
        <v/>
      </c>
      <c r="V312" s="8" t="str">
        <f aca="false">IF(J312="","NOT SCORED - NO JULY MONTHLY ROW",IF(OR(ABS(L312)&gt;0.005,ABS(O312)&gt;0.005,ABS(S312)&gt;0.005),"EXCEPTION","OK"))</f>
        <v>NOT SCORED - NO JULY MONTHLY ROW</v>
      </c>
      <c r="W312" s="8"/>
      <c r="X312" s="8" t="s">
        <v>2834</v>
      </c>
      <c r="Y312" s="36" t="n">
        <f aca="false">K312*N312</f>
        <v>528.5</v>
      </c>
    </row>
    <row r="313" customFormat="false" ht="20.85" hidden="false" customHeight="false" outlineLevel="0" collapsed="false">
      <c r="A313" s="11" t="s">
        <v>4032</v>
      </c>
      <c r="B313" s="11" t="s">
        <v>207</v>
      </c>
      <c r="C313" s="11" t="s">
        <v>2829</v>
      </c>
      <c r="D313" s="11" t="s">
        <v>3176</v>
      </c>
      <c r="E313" s="11" t="s">
        <v>4033</v>
      </c>
      <c r="F313" s="11" t="s">
        <v>4034</v>
      </c>
      <c r="G313" s="11" t="s">
        <v>3087</v>
      </c>
      <c r="H313" s="11" t="n">
        <v>24</v>
      </c>
      <c r="I313" s="31" t="n">
        <v>25.9</v>
      </c>
      <c r="J313" s="31"/>
      <c r="K313" s="31" t="n">
        <f aca="false">MAX(ROUNDUP(I313,0),H313)</f>
        <v>26</v>
      </c>
      <c r="L313" s="31" t="str">
        <f aca="false">IF(J313="","",J313-K313)</f>
        <v/>
      </c>
      <c r="M313" s="32"/>
      <c r="N313" s="32" t="n">
        <f aca="false">IF(C313="covered",10.4,7.55)</f>
        <v>7.55</v>
      </c>
      <c r="O313" s="32" t="str">
        <f aca="false">IF(M313="","",M313-N313)</f>
        <v/>
      </c>
      <c r="P313" s="11"/>
      <c r="Q313" s="33"/>
      <c r="R313" s="33" t="str">
        <f aca="false">IF(OR(J313="",P313=""),"",K313*N313*P313)</f>
        <v/>
      </c>
      <c r="S313" s="33" t="str">
        <f aca="false">IF(Q313="","",Q313-R313)</f>
        <v/>
      </c>
      <c r="T313" s="33" t="str">
        <f aca="false">IF(S313="","",MAX(0,-S313))</f>
        <v/>
      </c>
      <c r="U313" s="33" t="str">
        <f aca="false">IF(S313="","",MAX(0,S313))</f>
        <v/>
      </c>
      <c r="V313" s="11" t="str">
        <f aca="false">IF(J313="","NOT SCORED - NO JULY MONTHLY ROW",IF(OR(ABS(L313)&gt;0.005,ABS(O313)&gt;0.005,ABS(S313)&gt;0.005),"EXCEPTION","OK"))</f>
        <v>NOT SCORED - NO JULY MONTHLY ROW</v>
      </c>
      <c r="W313" s="11"/>
      <c r="X313" s="11" t="s">
        <v>2834</v>
      </c>
      <c r="Y313" s="33" t="n">
        <f aca="false">K313*N313</f>
        <v>196.3</v>
      </c>
    </row>
    <row r="314" customFormat="false" ht="20.85" hidden="false" customHeight="false" outlineLevel="0" collapsed="false">
      <c r="A314" s="8" t="s">
        <v>4035</v>
      </c>
      <c r="B314" s="8" t="s">
        <v>207</v>
      </c>
      <c r="C314" s="8" t="s">
        <v>2829</v>
      </c>
      <c r="D314" s="8" t="s">
        <v>3180</v>
      </c>
      <c r="E314" s="8" t="s">
        <v>4036</v>
      </c>
      <c r="F314" s="8" t="s">
        <v>4037</v>
      </c>
      <c r="G314" s="8" t="s">
        <v>3986</v>
      </c>
      <c r="H314" s="8" t="n">
        <v>40</v>
      </c>
      <c r="I314" s="34" t="n">
        <v>47.3</v>
      </c>
      <c r="J314" s="34"/>
      <c r="K314" s="34" t="n">
        <f aca="false">MAX(ROUNDUP(I314,0),H314)</f>
        <v>48</v>
      </c>
      <c r="L314" s="34" t="str">
        <f aca="false">IF(J314="","",J314-K314)</f>
        <v/>
      </c>
      <c r="M314" s="35"/>
      <c r="N314" s="35" t="n">
        <f aca="false">IF(C314="covered",10.4,7.55)</f>
        <v>7.55</v>
      </c>
      <c r="O314" s="35" t="str">
        <f aca="false">IF(M314="","",M314-N314)</f>
        <v/>
      </c>
      <c r="P314" s="8"/>
      <c r="Q314" s="36"/>
      <c r="R314" s="36" t="str">
        <f aca="false">IF(OR(J314="",P314=""),"",K314*N314*P314)</f>
        <v/>
      </c>
      <c r="S314" s="36" t="str">
        <f aca="false">IF(Q314="","",Q314-R314)</f>
        <v/>
      </c>
      <c r="T314" s="36" t="str">
        <f aca="false">IF(S314="","",MAX(0,-S314))</f>
        <v/>
      </c>
      <c r="U314" s="36" t="str">
        <f aca="false">IF(S314="","",MAX(0,S314))</f>
        <v/>
      </c>
      <c r="V314" s="8" t="str">
        <f aca="false">IF(J314="","NOT SCORED - NO JULY MONTHLY ROW",IF(OR(ABS(L314)&gt;0.005,ABS(O314)&gt;0.005,ABS(S314)&gt;0.005),"EXCEPTION","OK"))</f>
        <v>NOT SCORED - NO JULY MONTHLY ROW</v>
      </c>
      <c r="W314" s="8"/>
      <c r="X314" s="8" t="s">
        <v>2834</v>
      </c>
      <c r="Y314" s="36" t="n">
        <f aca="false">K314*N314</f>
        <v>362.4</v>
      </c>
    </row>
    <row r="315" customFormat="false" ht="20.85" hidden="false" customHeight="false" outlineLevel="0" collapsed="false">
      <c r="A315" s="11" t="s">
        <v>1183</v>
      </c>
      <c r="B315" s="11" t="s">
        <v>207</v>
      </c>
      <c r="C315" s="11" t="s">
        <v>2829</v>
      </c>
      <c r="D315" s="11" t="s">
        <v>3185</v>
      </c>
      <c r="E315" s="11" t="s">
        <v>4038</v>
      </c>
      <c r="F315" s="11" t="s">
        <v>4039</v>
      </c>
      <c r="G315" s="11" t="s">
        <v>3149</v>
      </c>
      <c r="H315" s="11" t="n">
        <v>36</v>
      </c>
      <c r="I315" s="31" t="n">
        <v>26.8</v>
      </c>
      <c r="J315" s="31"/>
      <c r="K315" s="31" t="n">
        <f aca="false">MAX(ROUNDUP(I315,0),H315)</f>
        <v>36</v>
      </c>
      <c r="L315" s="31" t="str">
        <f aca="false">IF(J315="","",J315-K315)</f>
        <v/>
      </c>
      <c r="M315" s="32"/>
      <c r="N315" s="32" t="n">
        <f aca="false">IF(C315="covered",10.4,7.55)</f>
        <v>7.55</v>
      </c>
      <c r="O315" s="32" t="str">
        <f aca="false">IF(M315="","",M315-N315)</f>
        <v/>
      </c>
      <c r="P315" s="11"/>
      <c r="Q315" s="33"/>
      <c r="R315" s="33" t="str">
        <f aca="false">IF(OR(J315="",P315=""),"",K315*N315*P315)</f>
        <v/>
      </c>
      <c r="S315" s="33" t="str">
        <f aca="false">IF(Q315="","",Q315-R315)</f>
        <v/>
      </c>
      <c r="T315" s="33" t="str">
        <f aca="false">IF(S315="","",MAX(0,-S315))</f>
        <v/>
      </c>
      <c r="U315" s="33" t="str">
        <f aca="false">IF(S315="","",MAX(0,S315))</f>
        <v/>
      </c>
      <c r="V315" s="11" t="str">
        <f aca="false">IF(J315="","NOT SCORED - NO JULY MONTHLY ROW",IF(OR(ABS(L315)&gt;0.005,ABS(O315)&gt;0.005,ABS(S315)&gt;0.005),"EXCEPTION","OK"))</f>
        <v>NOT SCORED - NO JULY MONTHLY ROW</v>
      </c>
      <c r="W315" s="11"/>
      <c r="X315" s="11" t="s">
        <v>2834</v>
      </c>
      <c r="Y315" s="33" t="n">
        <f aca="false">K315*N315</f>
        <v>271.8</v>
      </c>
    </row>
    <row r="316" customFormat="false" ht="20.85" hidden="false" customHeight="false" outlineLevel="0" collapsed="false">
      <c r="A316" s="8" t="s">
        <v>4040</v>
      </c>
      <c r="B316" s="8" t="s">
        <v>207</v>
      </c>
      <c r="C316" s="8" t="s">
        <v>2829</v>
      </c>
      <c r="D316" s="8" t="s">
        <v>3190</v>
      </c>
      <c r="E316" s="8" t="s">
        <v>4041</v>
      </c>
      <c r="F316" s="8" t="s">
        <v>4042</v>
      </c>
      <c r="G316" s="8" t="s">
        <v>3688</v>
      </c>
      <c r="H316" s="8" t="n">
        <v>32</v>
      </c>
      <c r="I316" s="34" t="n">
        <v>34.6</v>
      </c>
      <c r="J316" s="34"/>
      <c r="K316" s="34" t="n">
        <f aca="false">MAX(ROUNDUP(I316,0),H316)</f>
        <v>35</v>
      </c>
      <c r="L316" s="34" t="str">
        <f aca="false">IF(J316="","",J316-K316)</f>
        <v/>
      </c>
      <c r="M316" s="35"/>
      <c r="N316" s="35" t="n">
        <f aca="false">IF(C316="covered",10.4,7.55)</f>
        <v>7.55</v>
      </c>
      <c r="O316" s="35" t="str">
        <f aca="false">IF(M316="","",M316-N316)</f>
        <v/>
      </c>
      <c r="P316" s="8"/>
      <c r="Q316" s="36"/>
      <c r="R316" s="36" t="str">
        <f aca="false">IF(OR(J316="",P316=""),"",K316*N316*P316)</f>
        <v/>
      </c>
      <c r="S316" s="36" t="str">
        <f aca="false">IF(Q316="","",Q316-R316)</f>
        <v/>
      </c>
      <c r="T316" s="36" t="str">
        <f aca="false">IF(S316="","",MAX(0,-S316))</f>
        <v/>
      </c>
      <c r="U316" s="36" t="str">
        <f aca="false">IF(S316="","",MAX(0,S316))</f>
        <v/>
      </c>
      <c r="V316" s="8" t="str">
        <f aca="false">IF(J316="","NOT SCORED - NO JULY MONTHLY ROW",IF(OR(ABS(L316)&gt;0.005,ABS(O316)&gt;0.005,ABS(S316)&gt;0.005),"EXCEPTION","OK"))</f>
        <v>NOT SCORED - NO JULY MONTHLY ROW</v>
      </c>
      <c r="W316" s="8"/>
      <c r="X316" s="8" t="s">
        <v>2834</v>
      </c>
      <c r="Y316" s="36" t="n">
        <f aca="false">K316*N316</f>
        <v>264.25</v>
      </c>
    </row>
    <row r="317" customFormat="false" ht="20.85" hidden="false" customHeight="false" outlineLevel="0" collapsed="false">
      <c r="A317" s="11" t="s">
        <v>960</v>
      </c>
      <c r="B317" s="11" t="s">
        <v>207</v>
      </c>
      <c r="C317" s="11" t="s">
        <v>2829</v>
      </c>
      <c r="D317" s="11" t="s">
        <v>4043</v>
      </c>
      <c r="E317" s="11" t="s">
        <v>4044</v>
      </c>
      <c r="F317" s="11" t="s">
        <v>4045</v>
      </c>
      <c r="G317" s="11" t="s">
        <v>4046</v>
      </c>
      <c r="H317" s="11" t="n">
        <v>24</v>
      </c>
      <c r="I317" s="31" t="n">
        <v>43.8</v>
      </c>
      <c r="J317" s="31"/>
      <c r="K317" s="31" t="n">
        <f aca="false">MAX(ROUNDUP(I317,0),H317)</f>
        <v>44</v>
      </c>
      <c r="L317" s="31" t="str">
        <f aca="false">IF(J317="","",J317-K317)</f>
        <v/>
      </c>
      <c r="M317" s="32"/>
      <c r="N317" s="32" t="n">
        <f aca="false">IF(C317="covered",10.4,7.55)</f>
        <v>7.55</v>
      </c>
      <c r="O317" s="32" t="str">
        <f aca="false">IF(M317="","",M317-N317)</f>
        <v/>
      </c>
      <c r="P317" s="11"/>
      <c r="Q317" s="33"/>
      <c r="R317" s="33" t="str">
        <f aca="false">IF(OR(J317="",P317=""),"",K317*N317*P317)</f>
        <v/>
      </c>
      <c r="S317" s="33" t="str">
        <f aca="false">IF(Q317="","",Q317-R317)</f>
        <v/>
      </c>
      <c r="T317" s="33" t="str">
        <f aca="false">IF(S317="","",MAX(0,-S317))</f>
        <v/>
      </c>
      <c r="U317" s="33" t="str">
        <f aca="false">IF(S317="","",MAX(0,S317))</f>
        <v/>
      </c>
      <c r="V317" s="11" t="str">
        <f aca="false">IF(J317="","NOT SCORED - NO JULY MONTHLY ROW",IF(OR(ABS(L317)&gt;0.005,ABS(O317)&gt;0.005,ABS(S317)&gt;0.005),"EXCEPTION","OK"))</f>
        <v>NOT SCORED - NO JULY MONTHLY ROW</v>
      </c>
      <c r="W317" s="11"/>
      <c r="X317" s="11" t="s">
        <v>2834</v>
      </c>
      <c r="Y317" s="33" t="n">
        <f aca="false">K317*N317</f>
        <v>332.2</v>
      </c>
    </row>
    <row r="318" customFormat="false" ht="20.85" hidden="false" customHeight="false" outlineLevel="0" collapsed="false">
      <c r="A318" s="8" t="s">
        <v>4047</v>
      </c>
      <c r="B318" s="8" t="s">
        <v>207</v>
      </c>
      <c r="C318" s="8" t="s">
        <v>2829</v>
      </c>
      <c r="D318" s="8" t="s">
        <v>3198</v>
      </c>
      <c r="E318" s="8" t="s">
        <v>4048</v>
      </c>
      <c r="F318" s="8" t="s">
        <v>4049</v>
      </c>
      <c r="G318" s="8" t="s">
        <v>4050</v>
      </c>
      <c r="H318" s="8" t="n">
        <v>45</v>
      </c>
      <c r="I318" s="34" t="n">
        <v>44.7</v>
      </c>
      <c r="J318" s="34"/>
      <c r="K318" s="34" t="n">
        <f aca="false">MAX(ROUNDUP(I318,0),H318)</f>
        <v>45</v>
      </c>
      <c r="L318" s="34" t="str">
        <f aca="false">IF(J318="","",J318-K318)</f>
        <v/>
      </c>
      <c r="M318" s="35"/>
      <c r="N318" s="35" t="n">
        <f aca="false">IF(C318="covered",10.4,7.55)</f>
        <v>7.55</v>
      </c>
      <c r="O318" s="35" t="str">
        <f aca="false">IF(M318="","",M318-N318)</f>
        <v/>
      </c>
      <c r="P318" s="8"/>
      <c r="Q318" s="36"/>
      <c r="R318" s="36" t="str">
        <f aca="false">IF(OR(J318="",P318=""),"",K318*N318*P318)</f>
        <v/>
      </c>
      <c r="S318" s="36" t="str">
        <f aca="false">IF(Q318="","",Q318-R318)</f>
        <v/>
      </c>
      <c r="T318" s="36" t="str">
        <f aca="false">IF(S318="","",MAX(0,-S318))</f>
        <v/>
      </c>
      <c r="U318" s="36" t="str">
        <f aca="false">IF(S318="","",MAX(0,S318))</f>
        <v/>
      </c>
      <c r="V318" s="8" t="str">
        <f aca="false">IF(J318="","NOT SCORED - NO JULY MONTHLY ROW",IF(OR(ABS(L318)&gt;0.005,ABS(O318)&gt;0.005,ABS(S318)&gt;0.005),"EXCEPTION","OK"))</f>
        <v>NOT SCORED - NO JULY MONTHLY ROW</v>
      </c>
      <c r="W318" s="8"/>
      <c r="X318" s="8" t="s">
        <v>2834</v>
      </c>
      <c r="Y318" s="36" t="n">
        <f aca="false">K318*N318</f>
        <v>339.75</v>
      </c>
    </row>
    <row r="319" customFormat="false" ht="20.85" hidden="false" customHeight="false" outlineLevel="0" collapsed="false">
      <c r="A319" s="11" t="s">
        <v>451</v>
      </c>
      <c r="B319" s="11" t="s">
        <v>207</v>
      </c>
      <c r="C319" s="11" t="s">
        <v>2829</v>
      </c>
      <c r="D319" s="11" t="s">
        <v>3206</v>
      </c>
      <c r="E319" s="11" t="s">
        <v>4051</v>
      </c>
      <c r="F319" s="11" t="s">
        <v>4052</v>
      </c>
      <c r="G319" s="11" t="s">
        <v>4053</v>
      </c>
      <c r="H319" s="11" t="n">
        <v>80</v>
      </c>
      <c r="I319" s="31" t="n">
        <v>31.9</v>
      </c>
      <c r="J319" s="31"/>
      <c r="K319" s="31" t="n">
        <f aca="false">MAX(ROUNDUP(I319,0),H319)</f>
        <v>80</v>
      </c>
      <c r="L319" s="31" t="str">
        <f aca="false">IF(J319="","",J319-K319)</f>
        <v/>
      </c>
      <c r="M319" s="32"/>
      <c r="N319" s="32" t="n">
        <f aca="false">IF(C319="covered",10.4,7.55)</f>
        <v>7.55</v>
      </c>
      <c r="O319" s="32" t="str">
        <f aca="false">IF(M319="","",M319-N319)</f>
        <v/>
      </c>
      <c r="P319" s="11"/>
      <c r="Q319" s="33"/>
      <c r="R319" s="33" t="str">
        <f aca="false">IF(OR(J319="",P319=""),"",K319*N319*P319)</f>
        <v/>
      </c>
      <c r="S319" s="33" t="str">
        <f aca="false">IF(Q319="","",Q319-R319)</f>
        <v/>
      </c>
      <c r="T319" s="33" t="str">
        <f aca="false">IF(S319="","",MAX(0,-S319))</f>
        <v/>
      </c>
      <c r="U319" s="33" t="str">
        <f aca="false">IF(S319="","",MAX(0,S319))</f>
        <v/>
      </c>
      <c r="V319" s="11" t="str">
        <f aca="false">IF(J319="","NOT SCORED - NO JULY MONTHLY ROW",IF(OR(ABS(L319)&gt;0.005,ABS(O319)&gt;0.005,ABS(S319)&gt;0.005),"EXCEPTION","OK"))</f>
        <v>NOT SCORED - NO JULY MONTHLY ROW</v>
      </c>
      <c r="W319" s="11"/>
      <c r="X319" s="11" t="s">
        <v>2834</v>
      </c>
      <c r="Y319" s="33" t="n">
        <f aca="false">K319*N319</f>
        <v>604</v>
      </c>
    </row>
    <row r="320" customFormat="false" ht="20.85" hidden="false" customHeight="false" outlineLevel="0" collapsed="false">
      <c r="A320" s="8" t="s">
        <v>4054</v>
      </c>
      <c r="B320" s="8" t="s">
        <v>207</v>
      </c>
      <c r="C320" s="8" t="s">
        <v>2829</v>
      </c>
      <c r="D320" s="8" t="s">
        <v>3210</v>
      </c>
      <c r="E320" s="8" t="s">
        <v>2528</v>
      </c>
      <c r="F320" s="8" t="s">
        <v>4055</v>
      </c>
      <c r="G320" s="8" t="s">
        <v>4056</v>
      </c>
      <c r="H320" s="8" t="n">
        <v>80</v>
      </c>
      <c r="I320" s="34" t="n">
        <v>59.4</v>
      </c>
      <c r="J320" s="34"/>
      <c r="K320" s="34" t="n">
        <f aca="false">MAX(ROUNDUP(I320,0),H320)</f>
        <v>80</v>
      </c>
      <c r="L320" s="34" t="str">
        <f aca="false">IF(J320="","",J320-K320)</f>
        <v/>
      </c>
      <c r="M320" s="35"/>
      <c r="N320" s="35" t="n">
        <f aca="false">IF(C320="covered",10.4,7.55)</f>
        <v>7.55</v>
      </c>
      <c r="O320" s="35" t="str">
        <f aca="false">IF(M320="","",M320-N320)</f>
        <v/>
      </c>
      <c r="P320" s="8"/>
      <c r="Q320" s="36"/>
      <c r="R320" s="36" t="str">
        <f aca="false">IF(OR(J320="",P320=""),"",K320*N320*P320)</f>
        <v/>
      </c>
      <c r="S320" s="36" t="str">
        <f aca="false">IF(Q320="","",Q320-R320)</f>
        <v/>
      </c>
      <c r="T320" s="36" t="str">
        <f aca="false">IF(S320="","",MAX(0,-S320))</f>
        <v/>
      </c>
      <c r="U320" s="36" t="str">
        <f aca="false">IF(S320="","",MAX(0,S320))</f>
        <v/>
      </c>
      <c r="V320" s="8" t="str">
        <f aca="false">IF(J320="","NOT SCORED - NO JULY MONTHLY ROW",IF(OR(ABS(L320)&gt;0.005,ABS(O320)&gt;0.005,ABS(S320)&gt;0.005),"EXCEPTION","OK"))</f>
        <v>NOT SCORED - NO JULY MONTHLY ROW</v>
      </c>
      <c r="W320" s="8"/>
      <c r="X320" s="8" t="s">
        <v>2834</v>
      </c>
      <c r="Y320" s="36" t="n">
        <f aca="false">K320*N320</f>
        <v>604</v>
      </c>
    </row>
    <row r="321" customFormat="false" ht="20.85" hidden="false" customHeight="false" outlineLevel="0" collapsed="false">
      <c r="A321" s="11" t="s">
        <v>2074</v>
      </c>
      <c r="B321" s="11" t="s">
        <v>207</v>
      </c>
      <c r="C321" s="11" t="s">
        <v>2829</v>
      </c>
      <c r="D321" s="11" t="s">
        <v>3214</v>
      </c>
      <c r="E321" s="11" t="s">
        <v>4057</v>
      </c>
      <c r="F321" s="11" t="s">
        <v>4058</v>
      </c>
      <c r="G321" s="11" t="s">
        <v>3578</v>
      </c>
      <c r="H321" s="11" t="n">
        <v>32</v>
      </c>
      <c r="I321" s="31" t="n">
        <v>42.9</v>
      </c>
      <c r="J321" s="31"/>
      <c r="K321" s="31" t="n">
        <f aca="false">MAX(ROUNDUP(I321,0),H321)</f>
        <v>43</v>
      </c>
      <c r="L321" s="31" t="str">
        <f aca="false">IF(J321="","",J321-K321)</f>
        <v/>
      </c>
      <c r="M321" s="32"/>
      <c r="N321" s="32" t="n">
        <f aca="false">IF(C321="covered",10.4,7.55)</f>
        <v>7.55</v>
      </c>
      <c r="O321" s="32" t="str">
        <f aca="false">IF(M321="","",M321-N321)</f>
        <v/>
      </c>
      <c r="P321" s="11"/>
      <c r="Q321" s="33"/>
      <c r="R321" s="33" t="str">
        <f aca="false">IF(OR(J321="",P321=""),"",K321*N321*P321)</f>
        <v/>
      </c>
      <c r="S321" s="33" t="str">
        <f aca="false">IF(Q321="","",Q321-R321)</f>
        <v/>
      </c>
      <c r="T321" s="33" t="str">
        <f aca="false">IF(S321="","",MAX(0,-S321))</f>
        <v/>
      </c>
      <c r="U321" s="33" t="str">
        <f aca="false">IF(S321="","",MAX(0,S321))</f>
        <v/>
      </c>
      <c r="V321" s="11" t="str">
        <f aca="false">IF(J321="","NOT SCORED - NO JULY MONTHLY ROW",IF(OR(ABS(L321)&gt;0.005,ABS(O321)&gt;0.005,ABS(S321)&gt;0.005),"EXCEPTION","OK"))</f>
        <v>NOT SCORED - NO JULY MONTHLY ROW</v>
      </c>
      <c r="W321" s="11"/>
      <c r="X321" s="11" t="s">
        <v>2834</v>
      </c>
      <c r="Y321" s="33" t="n">
        <f aca="false">K321*N321</f>
        <v>324.65</v>
      </c>
    </row>
    <row r="322" customFormat="false" ht="20.85" hidden="false" customHeight="false" outlineLevel="0" collapsed="false">
      <c r="A322" s="8" t="s">
        <v>4059</v>
      </c>
      <c r="B322" s="8" t="s">
        <v>207</v>
      </c>
      <c r="C322" s="8" t="s">
        <v>2829</v>
      </c>
      <c r="D322" s="8" t="s">
        <v>3219</v>
      </c>
      <c r="E322" s="8" t="s">
        <v>4060</v>
      </c>
      <c r="F322" s="8" t="s">
        <v>4061</v>
      </c>
      <c r="G322" s="8" t="s">
        <v>4053</v>
      </c>
      <c r="H322" s="8" t="n">
        <v>36</v>
      </c>
      <c r="I322" s="34" t="n">
        <v>44</v>
      </c>
      <c r="J322" s="34"/>
      <c r="K322" s="34" t="n">
        <f aca="false">MAX(ROUNDUP(I322,0),H322)</f>
        <v>44</v>
      </c>
      <c r="L322" s="34" t="str">
        <f aca="false">IF(J322="","",J322-K322)</f>
        <v/>
      </c>
      <c r="M322" s="35"/>
      <c r="N322" s="35" t="n">
        <f aca="false">IF(C322="covered",10.4,7.55)</f>
        <v>7.55</v>
      </c>
      <c r="O322" s="35" t="str">
        <f aca="false">IF(M322="","",M322-N322)</f>
        <v/>
      </c>
      <c r="P322" s="8"/>
      <c r="Q322" s="36"/>
      <c r="R322" s="36" t="str">
        <f aca="false">IF(OR(J322="",P322=""),"",K322*N322*P322)</f>
        <v/>
      </c>
      <c r="S322" s="36" t="str">
        <f aca="false">IF(Q322="","",Q322-R322)</f>
        <v/>
      </c>
      <c r="T322" s="36" t="str">
        <f aca="false">IF(S322="","",MAX(0,-S322))</f>
        <v/>
      </c>
      <c r="U322" s="36" t="str">
        <f aca="false">IF(S322="","",MAX(0,S322))</f>
        <v/>
      </c>
      <c r="V322" s="8" t="str">
        <f aca="false">IF(J322="","NOT SCORED - NO JULY MONTHLY ROW",IF(OR(ABS(L322)&gt;0.005,ABS(O322)&gt;0.005,ABS(S322)&gt;0.005),"EXCEPTION","OK"))</f>
        <v>NOT SCORED - NO JULY MONTHLY ROW</v>
      </c>
      <c r="W322" s="8"/>
      <c r="X322" s="8" t="s">
        <v>2834</v>
      </c>
      <c r="Y322" s="36" t="n">
        <f aca="false">K322*N322</f>
        <v>332.2</v>
      </c>
    </row>
    <row r="323" customFormat="false" ht="20.85" hidden="false" customHeight="false" outlineLevel="0" collapsed="false">
      <c r="A323" s="11" t="s">
        <v>1859</v>
      </c>
      <c r="B323" s="11" t="s">
        <v>207</v>
      </c>
      <c r="C323" s="11" t="s">
        <v>2829</v>
      </c>
      <c r="D323" s="11" t="s">
        <v>3228</v>
      </c>
      <c r="E323" s="11" t="s">
        <v>4062</v>
      </c>
      <c r="F323" s="11" t="s">
        <v>4063</v>
      </c>
      <c r="G323" s="11" t="s">
        <v>4064</v>
      </c>
      <c r="H323" s="11" t="n">
        <v>36</v>
      </c>
      <c r="I323" s="31" t="n">
        <v>53.6</v>
      </c>
      <c r="J323" s="31"/>
      <c r="K323" s="31" t="n">
        <f aca="false">MAX(ROUNDUP(I323,0),H323)</f>
        <v>54</v>
      </c>
      <c r="L323" s="31" t="str">
        <f aca="false">IF(J323="","",J323-K323)</f>
        <v/>
      </c>
      <c r="M323" s="32"/>
      <c r="N323" s="32" t="n">
        <f aca="false">IF(C323="covered",10.4,7.55)</f>
        <v>7.55</v>
      </c>
      <c r="O323" s="32" t="str">
        <f aca="false">IF(M323="","",M323-N323)</f>
        <v/>
      </c>
      <c r="P323" s="11"/>
      <c r="Q323" s="33"/>
      <c r="R323" s="33" t="str">
        <f aca="false">IF(OR(J323="",P323=""),"",K323*N323*P323)</f>
        <v/>
      </c>
      <c r="S323" s="33" t="str">
        <f aca="false">IF(Q323="","",Q323-R323)</f>
        <v/>
      </c>
      <c r="T323" s="33" t="str">
        <f aca="false">IF(S323="","",MAX(0,-S323))</f>
        <v/>
      </c>
      <c r="U323" s="33" t="str">
        <f aca="false">IF(S323="","",MAX(0,S323))</f>
        <v/>
      </c>
      <c r="V323" s="11" t="str">
        <f aca="false">IF(J323="","NOT SCORED - NO JULY MONTHLY ROW",IF(OR(ABS(L323)&gt;0.005,ABS(O323)&gt;0.005,ABS(S323)&gt;0.005),"EXCEPTION","OK"))</f>
        <v>NOT SCORED - NO JULY MONTHLY ROW</v>
      </c>
      <c r="W323" s="11"/>
      <c r="X323" s="11" t="s">
        <v>2834</v>
      </c>
      <c r="Y323" s="33" t="n">
        <f aca="false">K323*N323</f>
        <v>407.7</v>
      </c>
    </row>
    <row r="324" customFormat="false" ht="20.85" hidden="false" customHeight="false" outlineLevel="0" collapsed="false">
      <c r="A324" s="8" t="s">
        <v>4065</v>
      </c>
      <c r="B324" s="8" t="s">
        <v>207</v>
      </c>
      <c r="C324" s="8" t="s">
        <v>2829</v>
      </c>
      <c r="D324" s="8" t="s">
        <v>3233</v>
      </c>
      <c r="E324" s="8" t="s">
        <v>4066</v>
      </c>
      <c r="F324" s="8" t="s">
        <v>4067</v>
      </c>
      <c r="G324" s="8" t="s">
        <v>3292</v>
      </c>
      <c r="H324" s="8" t="n">
        <v>24</v>
      </c>
      <c r="I324" s="34" t="n">
        <v>52.9</v>
      </c>
      <c r="J324" s="34"/>
      <c r="K324" s="34" t="n">
        <f aca="false">MAX(ROUNDUP(I324,0),H324)</f>
        <v>53</v>
      </c>
      <c r="L324" s="34" t="str">
        <f aca="false">IF(J324="","",J324-K324)</f>
        <v/>
      </c>
      <c r="M324" s="35"/>
      <c r="N324" s="35" t="n">
        <f aca="false">IF(C324="covered",10.4,7.55)</f>
        <v>7.55</v>
      </c>
      <c r="O324" s="35" t="str">
        <f aca="false">IF(M324="","",M324-N324)</f>
        <v/>
      </c>
      <c r="P324" s="8"/>
      <c r="Q324" s="36"/>
      <c r="R324" s="36" t="str">
        <f aca="false">IF(OR(J324="",P324=""),"",K324*N324*P324)</f>
        <v/>
      </c>
      <c r="S324" s="36" t="str">
        <f aca="false">IF(Q324="","",Q324-R324)</f>
        <v/>
      </c>
      <c r="T324" s="36" t="str">
        <f aca="false">IF(S324="","",MAX(0,-S324))</f>
        <v/>
      </c>
      <c r="U324" s="36" t="str">
        <f aca="false">IF(S324="","",MAX(0,S324))</f>
        <v/>
      </c>
      <c r="V324" s="8" t="str">
        <f aca="false">IF(J324="","NOT SCORED - NO JULY MONTHLY ROW",IF(OR(ABS(L324)&gt;0.005,ABS(O324)&gt;0.005,ABS(S324)&gt;0.005),"EXCEPTION","OK"))</f>
        <v>NOT SCORED - NO JULY MONTHLY ROW</v>
      </c>
      <c r="W324" s="8"/>
      <c r="X324" s="8" t="s">
        <v>2834</v>
      </c>
      <c r="Y324" s="36" t="n">
        <f aca="false">K324*N324</f>
        <v>400.15</v>
      </c>
    </row>
    <row r="325" customFormat="false" ht="20.85" hidden="false" customHeight="false" outlineLevel="0" collapsed="false">
      <c r="A325" s="11" t="s">
        <v>4068</v>
      </c>
      <c r="B325" s="11" t="s">
        <v>207</v>
      </c>
      <c r="C325" s="11" t="s">
        <v>2829</v>
      </c>
      <c r="D325" s="11" t="s">
        <v>3237</v>
      </c>
      <c r="E325" s="11" t="s">
        <v>4069</v>
      </c>
      <c r="F325" s="11" t="s">
        <v>4070</v>
      </c>
      <c r="G325" s="11" t="s">
        <v>3245</v>
      </c>
      <c r="H325" s="11" t="n">
        <v>28</v>
      </c>
      <c r="I325" s="31" t="n">
        <v>61.1</v>
      </c>
      <c r="J325" s="31"/>
      <c r="K325" s="31" t="n">
        <f aca="false">MAX(ROUNDUP(I325,0),H325)</f>
        <v>62</v>
      </c>
      <c r="L325" s="31" t="str">
        <f aca="false">IF(J325="","",J325-K325)</f>
        <v/>
      </c>
      <c r="M325" s="32"/>
      <c r="N325" s="32" t="n">
        <f aca="false">IF(C325="covered",10.4,7.55)</f>
        <v>7.55</v>
      </c>
      <c r="O325" s="32" t="str">
        <f aca="false">IF(M325="","",M325-N325)</f>
        <v/>
      </c>
      <c r="P325" s="11"/>
      <c r="Q325" s="33"/>
      <c r="R325" s="33" t="str">
        <f aca="false">IF(OR(J325="",P325=""),"",K325*N325*P325)</f>
        <v/>
      </c>
      <c r="S325" s="33" t="str">
        <f aca="false">IF(Q325="","",Q325-R325)</f>
        <v/>
      </c>
      <c r="T325" s="33" t="str">
        <f aca="false">IF(S325="","",MAX(0,-S325))</f>
        <v/>
      </c>
      <c r="U325" s="33" t="str">
        <f aca="false">IF(S325="","",MAX(0,S325))</f>
        <v/>
      </c>
      <c r="V325" s="11" t="str">
        <f aca="false">IF(J325="","NOT SCORED - NO JULY MONTHLY ROW",IF(OR(ABS(L325)&gt;0.005,ABS(O325)&gt;0.005,ABS(S325)&gt;0.005),"EXCEPTION","OK"))</f>
        <v>NOT SCORED - NO JULY MONTHLY ROW</v>
      </c>
      <c r="W325" s="11"/>
      <c r="X325" s="11" t="s">
        <v>2834</v>
      </c>
      <c r="Y325" s="33" t="n">
        <f aca="false">K325*N325</f>
        <v>468.1</v>
      </c>
    </row>
    <row r="326" customFormat="false" ht="20.85" hidden="false" customHeight="false" outlineLevel="0" collapsed="false">
      <c r="A326" s="8" t="s">
        <v>1873</v>
      </c>
      <c r="B326" s="8" t="s">
        <v>207</v>
      </c>
      <c r="C326" s="8" t="s">
        <v>2829</v>
      </c>
      <c r="D326" s="8" t="s">
        <v>3242</v>
      </c>
      <c r="E326" s="8" t="s">
        <v>737</v>
      </c>
      <c r="F326" s="8" t="s">
        <v>738</v>
      </c>
      <c r="G326" s="8" t="s">
        <v>4071</v>
      </c>
      <c r="H326" s="8" t="n">
        <v>28</v>
      </c>
      <c r="I326" s="34" t="n">
        <v>52.6</v>
      </c>
      <c r="J326" s="34"/>
      <c r="K326" s="34" t="n">
        <f aca="false">MAX(ROUNDUP(I326,0),H326)</f>
        <v>53</v>
      </c>
      <c r="L326" s="34" t="str">
        <f aca="false">IF(J326="","",J326-K326)</f>
        <v/>
      </c>
      <c r="M326" s="35"/>
      <c r="N326" s="35" t="n">
        <f aca="false">IF(C326="covered",10.4,7.55)</f>
        <v>7.55</v>
      </c>
      <c r="O326" s="35" t="str">
        <f aca="false">IF(M326="","",M326-N326)</f>
        <v/>
      </c>
      <c r="P326" s="8"/>
      <c r="Q326" s="36"/>
      <c r="R326" s="36" t="str">
        <f aca="false">IF(OR(J326="",P326=""),"",K326*N326*P326)</f>
        <v/>
      </c>
      <c r="S326" s="36" t="str">
        <f aca="false">IF(Q326="","",Q326-R326)</f>
        <v/>
      </c>
      <c r="T326" s="36" t="str">
        <f aca="false">IF(S326="","",MAX(0,-S326))</f>
        <v/>
      </c>
      <c r="U326" s="36" t="str">
        <f aca="false">IF(S326="","",MAX(0,S326))</f>
        <v/>
      </c>
      <c r="V326" s="8" t="str">
        <f aca="false">IF(J326="","NOT SCORED - NO JULY MONTHLY ROW",IF(OR(ABS(L326)&gt;0.005,ABS(O326)&gt;0.005,ABS(S326)&gt;0.005),"EXCEPTION","OK"))</f>
        <v>NOT SCORED - NO JULY MONTHLY ROW</v>
      </c>
      <c r="W326" s="8"/>
      <c r="X326" s="8" t="s">
        <v>2834</v>
      </c>
      <c r="Y326" s="36" t="n">
        <f aca="false">K326*N326</f>
        <v>400.15</v>
      </c>
    </row>
    <row r="327" customFormat="false" ht="20.85" hidden="false" customHeight="false" outlineLevel="0" collapsed="false">
      <c r="A327" s="11" t="s">
        <v>4072</v>
      </c>
      <c r="B327" s="11" t="s">
        <v>207</v>
      </c>
      <c r="C327" s="11" t="s">
        <v>2829</v>
      </c>
      <c r="D327" s="11" t="s">
        <v>3247</v>
      </c>
      <c r="E327" s="11" t="s">
        <v>4073</v>
      </c>
      <c r="F327" s="11" t="s">
        <v>4074</v>
      </c>
      <c r="G327" s="11" t="s">
        <v>3334</v>
      </c>
      <c r="H327" s="11" t="n">
        <v>32</v>
      </c>
      <c r="I327" s="31" t="n">
        <v>58.2</v>
      </c>
      <c r="J327" s="31"/>
      <c r="K327" s="31" t="n">
        <f aca="false">MAX(ROUNDUP(I327,0),H327)</f>
        <v>59</v>
      </c>
      <c r="L327" s="31" t="str">
        <f aca="false">IF(J327="","",J327-K327)</f>
        <v/>
      </c>
      <c r="M327" s="32"/>
      <c r="N327" s="32" t="n">
        <f aca="false">IF(C327="covered",10.4,7.55)</f>
        <v>7.55</v>
      </c>
      <c r="O327" s="32" t="str">
        <f aca="false">IF(M327="","",M327-N327)</f>
        <v/>
      </c>
      <c r="P327" s="11"/>
      <c r="Q327" s="33"/>
      <c r="R327" s="33" t="str">
        <f aca="false">IF(OR(J327="",P327=""),"",K327*N327*P327)</f>
        <v/>
      </c>
      <c r="S327" s="33" t="str">
        <f aca="false">IF(Q327="","",Q327-R327)</f>
        <v/>
      </c>
      <c r="T327" s="33" t="str">
        <f aca="false">IF(S327="","",MAX(0,-S327))</f>
        <v/>
      </c>
      <c r="U327" s="33" t="str">
        <f aca="false">IF(S327="","",MAX(0,S327))</f>
        <v/>
      </c>
      <c r="V327" s="11" t="str">
        <f aca="false">IF(J327="","NOT SCORED - NO JULY MONTHLY ROW",IF(OR(ABS(L327)&gt;0.005,ABS(O327)&gt;0.005,ABS(S327)&gt;0.005),"EXCEPTION","OK"))</f>
        <v>NOT SCORED - NO JULY MONTHLY ROW</v>
      </c>
      <c r="W327" s="11"/>
      <c r="X327" s="11" t="s">
        <v>2834</v>
      </c>
      <c r="Y327" s="33" t="n">
        <f aca="false">K327*N327</f>
        <v>445.45</v>
      </c>
    </row>
    <row r="328" customFormat="false" ht="20.85" hidden="false" customHeight="false" outlineLevel="0" collapsed="false">
      <c r="A328" s="8" t="s">
        <v>4075</v>
      </c>
      <c r="B328" s="8" t="s">
        <v>207</v>
      </c>
      <c r="C328" s="8" t="s">
        <v>2829</v>
      </c>
      <c r="D328" s="8" t="s">
        <v>3252</v>
      </c>
      <c r="E328" s="8" t="s">
        <v>4076</v>
      </c>
      <c r="F328" s="8" t="s">
        <v>4077</v>
      </c>
      <c r="G328" s="8" t="s">
        <v>4078</v>
      </c>
      <c r="H328" s="8" t="n">
        <v>28</v>
      </c>
      <c r="I328" s="34" t="n">
        <v>57.3</v>
      </c>
      <c r="J328" s="34"/>
      <c r="K328" s="34" t="n">
        <f aca="false">MAX(ROUNDUP(I328,0),H328)</f>
        <v>58</v>
      </c>
      <c r="L328" s="34" t="str">
        <f aca="false">IF(J328="","",J328-K328)</f>
        <v/>
      </c>
      <c r="M328" s="35"/>
      <c r="N328" s="35" t="n">
        <f aca="false">IF(C328="covered",10.4,7.55)</f>
        <v>7.55</v>
      </c>
      <c r="O328" s="35" t="str">
        <f aca="false">IF(M328="","",M328-N328)</f>
        <v/>
      </c>
      <c r="P328" s="8"/>
      <c r="Q328" s="36"/>
      <c r="R328" s="36" t="str">
        <f aca="false">IF(OR(J328="",P328=""),"",K328*N328*P328)</f>
        <v/>
      </c>
      <c r="S328" s="36" t="str">
        <f aca="false">IF(Q328="","",Q328-R328)</f>
        <v/>
      </c>
      <c r="T328" s="36" t="str">
        <f aca="false">IF(S328="","",MAX(0,-S328))</f>
        <v/>
      </c>
      <c r="U328" s="36" t="str">
        <f aca="false">IF(S328="","",MAX(0,S328))</f>
        <v/>
      </c>
      <c r="V328" s="8" t="str">
        <f aca="false">IF(J328="","NOT SCORED - NO JULY MONTHLY ROW",IF(OR(ABS(L328)&gt;0.005,ABS(O328)&gt;0.005,ABS(S328)&gt;0.005),"EXCEPTION","OK"))</f>
        <v>NOT SCORED - NO JULY MONTHLY ROW</v>
      </c>
      <c r="W328" s="8"/>
      <c r="X328" s="8" t="s">
        <v>2834</v>
      </c>
      <c r="Y328" s="36" t="n">
        <f aca="false">K328*N328</f>
        <v>437.9</v>
      </c>
    </row>
    <row r="329" customFormat="false" ht="20.85" hidden="false" customHeight="false" outlineLevel="0" collapsed="false">
      <c r="A329" s="11" t="s">
        <v>4079</v>
      </c>
      <c r="B329" s="11" t="s">
        <v>207</v>
      </c>
      <c r="C329" s="11" t="s">
        <v>2829</v>
      </c>
      <c r="D329" s="11" t="s">
        <v>3254</v>
      </c>
      <c r="E329" s="11" t="s">
        <v>4080</v>
      </c>
      <c r="F329" s="11" t="s">
        <v>4081</v>
      </c>
      <c r="G329" s="11" t="s">
        <v>4082</v>
      </c>
      <c r="H329" s="11" t="n">
        <v>50</v>
      </c>
      <c r="I329" s="31" t="n">
        <v>27.7</v>
      </c>
      <c r="J329" s="31"/>
      <c r="K329" s="31" t="n">
        <f aca="false">MAX(ROUNDUP(I329,0),H329)</f>
        <v>50</v>
      </c>
      <c r="L329" s="31" t="str">
        <f aca="false">IF(J329="","",J329-K329)</f>
        <v/>
      </c>
      <c r="M329" s="32"/>
      <c r="N329" s="32" t="n">
        <f aca="false">IF(C329="covered",10.4,7.55)</f>
        <v>7.55</v>
      </c>
      <c r="O329" s="32" t="str">
        <f aca="false">IF(M329="","",M329-N329)</f>
        <v/>
      </c>
      <c r="P329" s="11"/>
      <c r="Q329" s="33"/>
      <c r="R329" s="33" t="str">
        <f aca="false">IF(OR(J329="",P329=""),"",K329*N329*P329)</f>
        <v/>
      </c>
      <c r="S329" s="33" t="str">
        <f aca="false">IF(Q329="","",Q329-R329)</f>
        <v/>
      </c>
      <c r="T329" s="33" t="str">
        <f aca="false">IF(S329="","",MAX(0,-S329))</f>
        <v/>
      </c>
      <c r="U329" s="33" t="str">
        <f aca="false">IF(S329="","",MAX(0,S329))</f>
        <v/>
      </c>
      <c r="V329" s="11" t="str">
        <f aca="false">IF(J329="","NOT SCORED - NO JULY MONTHLY ROW",IF(OR(ABS(L329)&gt;0.005,ABS(O329)&gt;0.005,ABS(S329)&gt;0.005),"EXCEPTION","OK"))</f>
        <v>NOT SCORED - NO JULY MONTHLY ROW</v>
      </c>
      <c r="W329" s="11"/>
      <c r="X329" s="11" t="s">
        <v>2834</v>
      </c>
      <c r="Y329" s="33" t="n">
        <f aca="false">K329*N329</f>
        <v>377.5</v>
      </c>
    </row>
    <row r="330" customFormat="false" ht="20.85" hidden="false" customHeight="false" outlineLevel="0" collapsed="false">
      <c r="A330" s="8" t="s">
        <v>626</v>
      </c>
      <c r="B330" s="8" t="s">
        <v>207</v>
      </c>
      <c r="C330" s="8" t="s">
        <v>2829</v>
      </c>
      <c r="D330" s="8" t="s">
        <v>3258</v>
      </c>
      <c r="E330" s="8" t="s">
        <v>4083</v>
      </c>
      <c r="F330" s="8" t="s">
        <v>4084</v>
      </c>
      <c r="G330" s="8" t="s">
        <v>4085</v>
      </c>
      <c r="H330" s="8" t="n">
        <v>32</v>
      </c>
      <c r="I330" s="34" t="n">
        <v>58.9</v>
      </c>
      <c r="J330" s="34"/>
      <c r="K330" s="34" t="n">
        <f aca="false">MAX(ROUNDUP(I330,0),H330)</f>
        <v>59</v>
      </c>
      <c r="L330" s="34" t="str">
        <f aca="false">IF(J330="","",J330-K330)</f>
        <v/>
      </c>
      <c r="M330" s="35"/>
      <c r="N330" s="35" t="n">
        <f aca="false">IF(C330="covered",10.4,7.55)</f>
        <v>7.55</v>
      </c>
      <c r="O330" s="35" t="str">
        <f aca="false">IF(M330="","",M330-N330)</f>
        <v/>
      </c>
      <c r="P330" s="8"/>
      <c r="Q330" s="36"/>
      <c r="R330" s="36" t="str">
        <f aca="false">IF(OR(J330="",P330=""),"",K330*N330*P330)</f>
        <v/>
      </c>
      <c r="S330" s="36" t="str">
        <f aca="false">IF(Q330="","",Q330-R330)</f>
        <v/>
      </c>
      <c r="T330" s="36" t="str">
        <f aca="false">IF(S330="","",MAX(0,-S330))</f>
        <v/>
      </c>
      <c r="U330" s="36" t="str">
        <f aca="false">IF(S330="","",MAX(0,S330))</f>
        <v/>
      </c>
      <c r="V330" s="8" t="str">
        <f aca="false">IF(J330="","NOT SCORED - NO JULY MONTHLY ROW",IF(OR(ABS(L330)&gt;0.005,ABS(O330)&gt;0.005,ABS(S330)&gt;0.005),"EXCEPTION","OK"))</f>
        <v>NOT SCORED - NO JULY MONTHLY ROW</v>
      </c>
      <c r="W330" s="8"/>
      <c r="X330" s="8" t="s">
        <v>2834</v>
      </c>
      <c r="Y330" s="36" t="n">
        <f aca="false">K330*N330</f>
        <v>445.45</v>
      </c>
    </row>
    <row r="331" customFormat="false" ht="20.85" hidden="false" customHeight="false" outlineLevel="0" collapsed="false">
      <c r="A331" s="11" t="s">
        <v>740</v>
      </c>
      <c r="B331" s="11" t="s">
        <v>207</v>
      </c>
      <c r="C331" s="11" t="s">
        <v>2829</v>
      </c>
      <c r="D331" s="11" t="s">
        <v>3263</v>
      </c>
      <c r="E331" s="11" t="s">
        <v>4086</v>
      </c>
      <c r="F331" s="11" t="s">
        <v>4087</v>
      </c>
      <c r="G331" s="11" t="s">
        <v>2928</v>
      </c>
      <c r="H331" s="11" t="n">
        <v>60</v>
      </c>
      <c r="I331" s="31" t="n">
        <v>43.1</v>
      </c>
      <c r="J331" s="31"/>
      <c r="K331" s="31" t="n">
        <f aca="false">MAX(ROUNDUP(I331,0),H331)</f>
        <v>60</v>
      </c>
      <c r="L331" s="31" t="str">
        <f aca="false">IF(J331="","",J331-K331)</f>
        <v/>
      </c>
      <c r="M331" s="32"/>
      <c r="N331" s="32" t="n">
        <f aca="false">IF(C331="covered",10.4,7.55)</f>
        <v>7.55</v>
      </c>
      <c r="O331" s="32" t="str">
        <f aca="false">IF(M331="","",M331-N331)</f>
        <v/>
      </c>
      <c r="P331" s="11"/>
      <c r="Q331" s="33"/>
      <c r="R331" s="33" t="str">
        <f aca="false">IF(OR(J331="",P331=""),"",K331*N331*P331)</f>
        <v/>
      </c>
      <c r="S331" s="33" t="str">
        <f aca="false">IF(Q331="","",Q331-R331)</f>
        <v/>
      </c>
      <c r="T331" s="33" t="str">
        <f aca="false">IF(S331="","",MAX(0,-S331))</f>
        <v/>
      </c>
      <c r="U331" s="33" t="str">
        <f aca="false">IF(S331="","",MAX(0,S331))</f>
        <v/>
      </c>
      <c r="V331" s="11" t="str">
        <f aca="false">IF(J331="","NOT SCORED - NO JULY MONTHLY ROW",IF(OR(ABS(L331)&gt;0.005,ABS(O331)&gt;0.005,ABS(S331)&gt;0.005),"EXCEPTION","OK"))</f>
        <v>NOT SCORED - NO JULY MONTHLY ROW</v>
      </c>
      <c r="W331" s="11"/>
      <c r="X331" s="11" t="s">
        <v>2834</v>
      </c>
      <c r="Y331" s="33" t="n">
        <f aca="false">K331*N331</f>
        <v>453</v>
      </c>
    </row>
    <row r="332" customFormat="false" ht="20.85" hidden="false" customHeight="false" outlineLevel="0" collapsed="false">
      <c r="A332" s="8" t="s">
        <v>4088</v>
      </c>
      <c r="B332" s="8" t="s">
        <v>207</v>
      </c>
      <c r="C332" s="8" t="s">
        <v>2829</v>
      </c>
      <c r="D332" s="8" t="s">
        <v>3267</v>
      </c>
      <c r="E332" s="8" t="s">
        <v>4089</v>
      </c>
      <c r="F332" s="8" t="s">
        <v>4090</v>
      </c>
      <c r="G332" s="8" t="s">
        <v>4091</v>
      </c>
      <c r="H332" s="8" t="n">
        <v>45</v>
      </c>
      <c r="I332" s="34" t="n">
        <v>48.2</v>
      </c>
      <c r="J332" s="34"/>
      <c r="K332" s="34" t="n">
        <f aca="false">MAX(ROUNDUP(I332,0),H332)</f>
        <v>49</v>
      </c>
      <c r="L332" s="34" t="str">
        <f aca="false">IF(J332="","",J332-K332)</f>
        <v/>
      </c>
      <c r="M332" s="35"/>
      <c r="N332" s="35" t="n">
        <f aca="false">IF(C332="covered",10.4,7.55)</f>
        <v>7.55</v>
      </c>
      <c r="O332" s="35" t="str">
        <f aca="false">IF(M332="","",M332-N332)</f>
        <v/>
      </c>
      <c r="P332" s="8"/>
      <c r="Q332" s="36"/>
      <c r="R332" s="36" t="str">
        <f aca="false">IF(OR(J332="",P332=""),"",K332*N332*P332)</f>
        <v/>
      </c>
      <c r="S332" s="36" t="str">
        <f aca="false">IF(Q332="","",Q332-R332)</f>
        <v/>
      </c>
      <c r="T332" s="36" t="str">
        <f aca="false">IF(S332="","",MAX(0,-S332))</f>
        <v/>
      </c>
      <c r="U332" s="36" t="str">
        <f aca="false">IF(S332="","",MAX(0,S332))</f>
        <v/>
      </c>
      <c r="V332" s="8" t="str">
        <f aca="false">IF(J332="","NOT SCORED - NO JULY MONTHLY ROW",IF(OR(ABS(L332)&gt;0.005,ABS(O332)&gt;0.005,ABS(S332)&gt;0.005),"EXCEPTION","OK"))</f>
        <v>NOT SCORED - NO JULY MONTHLY ROW</v>
      </c>
      <c r="W332" s="8"/>
      <c r="X332" s="8" t="s">
        <v>2834</v>
      </c>
      <c r="Y332" s="36" t="n">
        <f aca="false">K332*N332</f>
        <v>369.95</v>
      </c>
    </row>
    <row r="333" customFormat="false" ht="20.85" hidden="false" customHeight="false" outlineLevel="0" collapsed="false">
      <c r="A333" s="11" t="s">
        <v>4092</v>
      </c>
      <c r="B333" s="11" t="s">
        <v>207</v>
      </c>
      <c r="C333" s="11" t="s">
        <v>2829</v>
      </c>
      <c r="D333" s="11" t="s">
        <v>3270</v>
      </c>
      <c r="E333" s="11" t="s">
        <v>4093</v>
      </c>
      <c r="F333" s="11" t="s">
        <v>4094</v>
      </c>
      <c r="G333" s="11" t="s">
        <v>3740</v>
      </c>
      <c r="H333" s="11" t="n">
        <v>80</v>
      </c>
      <c r="I333" s="31" t="n">
        <v>56.6</v>
      </c>
      <c r="J333" s="31"/>
      <c r="K333" s="31" t="n">
        <f aca="false">MAX(ROUNDUP(I333,0),H333)</f>
        <v>80</v>
      </c>
      <c r="L333" s="31" t="str">
        <f aca="false">IF(J333="","",J333-K333)</f>
        <v/>
      </c>
      <c r="M333" s="32"/>
      <c r="N333" s="32" t="n">
        <f aca="false">IF(C333="covered",10.4,7.55)</f>
        <v>7.55</v>
      </c>
      <c r="O333" s="32" t="str">
        <f aca="false">IF(M333="","",M333-N333)</f>
        <v/>
      </c>
      <c r="P333" s="11"/>
      <c r="Q333" s="33"/>
      <c r="R333" s="33" t="str">
        <f aca="false">IF(OR(J333="",P333=""),"",K333*N333*P333)</f>
        <v/>
      </c>
      <c r="S333" s="33" t="str">
        <f aca="false">IF(Q333="","",Q333-R333)</f>
        <v/>
      </c>
      <c r="T333" s="33" t="str">
        <f aca="false">IF(S333="","",MAX(0,-S333))</f>
        <v/>
      </c>
      <c r="U333" s="33" t="str">
        <f aca="false">IF(S333="","",MAX(0,S333))</f>
        <v/>
      </c>
      <c r="V333" s="11" t="str">
        <f aca="false">IF(J333="","NOT SCORED - NO JULY MONTHLY ROW",IF(OR(ABS(L333)&gt;0.005,ABS(O333)&gt;0.005,ABS(S333)&gt;0.005),"EXCEPTION","OK"))</f>
        <v>NOT SCORED - NO JULY MONTHLY ROW</v>
      </c>
      <c r="W333" s="11"/>
      <c r="X333" s="11" t="s">
        <v>2834</v>
      </c>
      <c r="Y333" s="33" t="n">
        <f aca="false">K333*N333</f>
        <v>604</v>
      </c>
    </row>
    <row r="334" customFormat="false" ht="15" hidden="false" customHeight="false" outlineLevel="0" collapsed="false">
      <c r="A334" s="8" t="s">
        <v>4095</v>
      </c>
      <c r="B334" s="8" t="s">
        <v>224</v>
      </c>
      <c r="C334" s="8" t="s">
        <v>2829</v>
      </c>
      <c r="D334" s="8" t="s">
        <v>3391</v>
      </c>
      <c r="E334" s="8" t="s">
        <v>4096</v>
      </c>
      <c r="F334" s="8" t="s">
        <v>4097</v>
      </c>
      <c r="G334" s="8" t="s">
        <v>4010</v>
      </c>
      <c r="H334" s="8" t="n">
        <v>80</v>
      </c>
      <c r="I334" s="34" t="n">
        <v>29.3</v>
      </c>
      <c r="J334" s="34" t="n">
        <v>80</v>
      </c>
      <c r="K334" s="34" t="n">
        <f aca="false">MAX(ROUNDUP(I334,0),H334)</f>
        <v>80</v>
      </c>
      <c r="L334" s="34" t="n">
        <f aca="false">IF(J334="","",J334-K334)</f>
        <v>0</v>
      </c>
      <c r="M334" s="35" t="n">
        <v>7.55</v>
      </c>
      <c r="N334" s="35" t="n">
        <f aca="false">IF(C334="covered",10.4,7.55)</f>
        <v>7.55</v>
      </c>
      <c r="O334" s="35" t="n">
        <f aca="false">IF(M334="","",M334-N334)</f>
        <v>0</v>
      </c>
      <c r="P334" s="8" t="n">
        <v>1</v>
      </c>
      <c r="Q334" s="36" t="n">
        <v>604</v>
      </c>
      <c r="R334" s="36" t="n">
        <f aca="false">IF(OR(J334="",P334=""),"",K334*N334*P334)</f>
        <v>604</v>
      </c>
      <c r="S334" s="36" t="n">
        <f aca="false">IF(Q334="","",Q334-R334)</f>
        <v>0</v>
      </c>
      <c r="T334" s="36" t="n">
        <f aca="false">IF(S334="","",MAX(0,-S334))</f>
        <v>-0</v>
      </c>
      <c r="U334" s="36" t="n">
        <f aca="false">IF(S334="","",MAX(0,S334))</f>
        <v>0</v>
      </c>
      <c r="V334" s="8" t="str">
        <f aca="false">IF(J334="","NOT SCORED - NO JULY MONTHLY ROW",IF(OR(ABS(L334)&gt;0.005,ABS(O334)&gt;0.005,ABS(S334)&gt;0.005),"EXCEPTION","OK"))</f>
        <v>OK</v>
      </c>
      <c r="W334" s="8" t="s">
        <v>4098</v>
      </c>
      <c r="X334" s="8" t="s">
        <v>4099</v>
      </c>
      <c r="Y334" s="36" t="n">
        <f aca="false">K334*N334</f>
        <v>604</v>
      </c>
    </row>
    <row r="335" customFormat="false" ht="15" hidden="false" customHeight="false" outlineLevel="0" collapsed="false">
      <c r="A335" s="11" t="s">
        <v>4100</v>
      </c>
      <c r="B335" s="11" t="s">
        <v>224</v>
      </c>
      <c r="C335" s="11" t="s">
        <v>2829</v>
      </c>
      <c r="D335" s="11" t="s">
        <v>3395</v>
      </c>
      <c r="E335" s="11" t="s">
        <v>2307</v>
      </c>
      <c r="F335" s="11" t="s">
        <v>4101</v>
      </c>
      <c r="G335" s="11" t="s">
        <v>4102</v>
      </c>
      <c r="H335" s="11" t="n">
        <v>24</v>
      </c>
      <c r="I335" s="31" t="n">
        <v>55.3</v>
      </c>
      <c r="J335" s="31" t="n">
        <v>56</v>
      </c>
      <c r="K335" s="31" t="n">
        <f aca="false">MAX(ROUNDUP(I335,0),H335)</f>
        <v>56</v>
      </c>
      <c r="L335" s="31" t="n">
        <f aca="false">IF(J335="","",J335-K335)</f>
        <v>0</v>
      </c>
      <c r="M335" s="32" t="n">
        <v>7.55</v>
      </c>
      <c r="N335" s="32" t="n">
        <f aca="false">IF(C335="covered",10.4,7.55)</f>
        <v>7.55</v>
      </c>
      <c r="O335" s="32" t="n">
        <f aca="false">IF(M335="","",M335-N335)</f>
        <v>0</v>
      </c>
      <c r="P335" s="11" t="n">
        <v>1</v>
      </c>
      <c r="Q335" s="33" t="n">
        <v>422.8</v>
      </c>
      <c r="R335" s="33" t="n">
        <f aca="false">IF(OR(J335="",P335=""),"",K335*N335*P335)</f>
        <v>422.8</v>
      </c>
      <c r="S335" s="33" t="n">
        <f aca="false">IF(Q335="","",Q335-R335)</f>
        <v>0</v>
      </c>
      <c r="T335" s="33" t="n">
        <f aca="false">IF(S335="","",MAX(0,-S335))</f>
        <v>-0</v>
      </c>
      <c r="U335" s="33" t="n">
        <f aca="false">IF(S335="","",MAX(0,S335))</f>
        <v>0</v>
      </c>
      <c r="V335" s="11" t="str">
        <f aca="false">IF(J335="","NOT SCORED - NO JULY MONTHLY ROW",IF(OR(ABS(L335)&gt;0.005,ABS(O335)&gt;0.005,ABS(S335)&gt;0.005),"EXCEPTION","OK"))</f>
        <v>OK</v>
      </c>
      <c r="W335" s="11" t="s">
        <v>4103</v>
      </c>
      <c r="X335" s="11" t="s">
        <v>4099</v>
      </c>
      <c r="Y335" s="33" t="n">
        <f aca="false">K335*N335</f>
        <v>422.8</v>
      </c>
    </row>
    <row r="336" customFormat="false" ht="15" hidden="false" customHeight="false" outlineLevel="0" collapsed="false">
      <c r="A336" s="8" t="s">
        <v>4104</v>
      </c>
      <c r="B336" s="8" t="s">
        <v>224</v>
      </c>
      <c r="C336" s="8" t="s">
        <v>2829</v>
      </c>
      <c r="D336" s="8" t="s">
        <v>3400</v>
      </c>
      <c r="E336" s="8" t="s">
        <v>4105</v>
      </c>
      <c r="F336" s="8" t="s">
        <v>4106</v>
      </c>
      <c r="G336" s="8" t="s">
        <v>3954</v>
      </c>
      <c r="H336" s="8" t="n">
        <v>36</v>
      </c>
      <c r="I336" s="34" t="n">
        <v>42.6</v>
      </c>
      <c r="J336" s="34" t="n">
        <v>43</v>
      </c>
      <c r="K336" s="34" t="n">
        <f aca="false">MAX(ROUNDUP(I336,0),H336)</f>
        <v>43</v>
      </c>
      <c r="L336" s="34" t="n">
        <f aca="false">IF(J336="","",J336-K336)</f>
        <v>0</v>
      </c>
      <c r="M336" s="35" t="n">
        <v>7.55</v>
      </c>
      <c r="N336" s="35" t="n">
        <f aca="false">IF(C336="covered",10.4,7.55)</f>
        <v>7.55</v>
      </c>
      <c r="O336" s="35" t="n">
        <f aca="false">IF(M336="","",M336-N336)</f>
        <v>0</v>
      </c>
      <c r="P336" s="8" t="n">
        <v>1</v>
      </c>
      <c r="Q336" s="36" t="n">
        <v>324.65</v>
      </c>
      <c r="R336" s="36" t="n">
        <f aca="false">IF(OR(J336="",P336=""),"",K336*N336*P336)</f>
        <v>324.65</v>
      </c>
      <c r="S336" s="36" t="n">
        <f aca="false">IF(Q336="","",Q336-R336)</f>
        <v>0</v>
      </c>
      <c r="T336" s="36" t="n">
        <f aca="false">IF(S336="","",MAX(0,-S336))</f>
        <v>-0</v>
      </c>
      <c r="U336" s="36" t="n">
        <f aca="false">IF(S336="","",MAX(0,S336))</f>
        <v>0</v>
      </c>
      <c r="V336" s="8" t="str">
        <f aca="false">IF(J336="","NOT SCORED - NO JULY MONTHLY ROW",IF(OR(ABS(L336)&gt;0.005,ABS(O336)&gt;0.005,ABS(S336)&gt;0.005),"EXCEPTION","OK"))</f>
        <v>OK</v>
      </c>
      <c r="W336" s="8" t="s">
        <v>4107</v>
      </c>
      <c r="X336" s="8" t="s">
        <v>4099</v>
      </c>
      <c r="Y336" s="36" t="n">
        <f aca="false">K336*N336</f>
        <v>324.65</v>
      </c>
    </row>
    <row r="337" customFormat="false" ht="15" hidden="false" customHeight="false" outlineLevel="0" collapsed="false">
      <c r="A337" s="11" t="s">
        <v>4108</v>
      </c>
      <c r="B337" s="11" t="s">
        <v>224</v>
      </c>
      <c r="C337" s="11" t="s">
        <v>2829</v>
      </c>
      <c r="D337" s="11" t="s">
        <v>4109</v>
      </c>
      <c r="E337" s="11" t="s">
        <v>4110</v>
      </c>
      <c r="F337" s="11" t="s">
        <v>4111</v>
      </c>
      <c r="G337" s="11" t="s">
        <v>3641</v>
      </c>
      <c r="H337" s="11" t="n">
        <v>36</v>
      </c>
      <c r="I337" s="31" t="n">
        <v>60.2</v>
      </c>
      <c r="J337" s="31" t="n">
        <v>61</v>
      </c>
      <c r="K337" s="31" t="n">
        <f aca="false">MAX(ROUNDUP(I337,0),H337)</f>
        <v>61</v>
      </c>
      <c r="L337" s="31" t="n">
        <f aca="false">IF(J337="","",J337-K337)</f>
        <v>0</v>
      </c>
      <c r="M337" s="32" t="n">
        <v>7.55</v>
      </c>
      <c r="N337" s="32" t="n">
        <f aca="false">IF(C337="covered",10.4,7.55)</f>
        <v>7.55</v>
      </c>
      <c r="O337" s="32" t="n">
        <f aca="false">IF(M337="","",M337-N337)</f>
        <v>0</v>
      </c>
      <c r="P337" s="11" t="n">
        <v>1</v>
      </c>
      <c r="Q337" s="33" t="n">
        <v>460.55</v>
      </c>
      <c r="R337" s="33" t="n">
        <f aca="false">IF(OR(J337="",P337=""),"",K337*N337*P337)</f>
        <v>460.55</v>
      </c>
      <c r="S337" s="33" t="n">
        <f aca="false">IF(Q337="","",Q337-R337)</f>
        <v>0</v>
      </c>
      <c r="T337" s="33" t="n">
        <f aca="false">IF(S337="","",MAX(0,-S337))</f>
        <v>-0</v>
      </c>
      <c r="U337" s="33" t="n">
        <f aca="false">IF(S337="","",MAX(0,S337))</f>
        <v>0</v>
      </c>
      <c r="V337" s="11" t="str">
        <f aca="false">IF(J337="","NOT SCORED - NO JULY MONTHLY ROW",IF(OR(ABS(L337)&gt;0.005,ABS(O337)&gt;0.005,ABS(S337)&gt;0.005),"EXCEPTION","OK"))</f>
        <v>OK</v>
      </c>
      <c r="W337" s="11" t="s">
        <v>4112</v>
      </c>
      <c r="X337" s="11" t="s">
        <v>4099</v>
      </c>
      <c r="Y337" s="33" t="n">
        <f aca="false">K337*N337</f>
        <v>460.55</v>
      </c>
    </row>
    <row r="338" customFormat="false" ht="15" hidden="false" customHeight="false" outlineLevel="0" collapsed="false">
      <c r="A338" s="8" t="s">
        <v>4113</v>
      </c>
      <c r="B338" s="8" t="s">
        <v>224</v>
      </c>
      <c r="C338" s="8" t="s">
        <v>2829</v>
      </c>
      <c r="D338" s="8" t="s">
        <v>3407</v>
      </c>
      <c r="E338" s="8" t="s">
        <v>4114</v>
      </c>
      <c r="F338" s="8" t="s">
        <v>4115</v>
      </c>
      <c r="G338" s="8" t="s">
        <v>4116</v>
      </c>
      <c r="H338" s="8" t="n">
        <v>45</v>
      </c>
      <c r="I338" s="34" t="n">
        <v>47.5</v>
      </c>
      <c r="J338" s="34" t="n">
        <v>48</v>
      </c>
      <c r="K338" s="34" t="n">
        <f aca="false">MAX(ROUNDUP(I338,0),H338)</f>
        <v>48</v>
      </c>
      <c r="L338" s="34" t="n">
        <f aca="false">IF(J338="","",J338-K338)</f>
        <v>0</v>
      </c>
      <c r="M338" s="35" t="n">
        <v>7.55</v>
      </c>
      <c r="N338" s="35" t="n">
        <f aca="false">IF(C338="covered",10.4,7.55)</f>
        <v>7.55</v>
      </c>
      <c r="O338" s="35" t="n">
        <f aca="false">IF(M338="","",M338-N338)</f>
        <v>0</v>
      </c>
      <c r="P338" s="8" t="n">
        <v>1</v>
      </c>
      <c r="Q338" s="36" t="n">
        <v>362.4</v>
      </c>
      <c r="R338" s="36" t="n">
        <f aca="false">IF(OR(J338="",P338=""),"",K338*N338*P338)</f>
        <v>362.4</v>
      </c>
      <c r="S338" s="36" t="n">
        <f aca="false">IF(Q338="","",Q338-R338)</f>
        <v>0</v>
      </c>
      <c r="T338" s="36" t="n">
        <f aca="false">IF(S338="","",MAX(0,-S338))</f>
        <v>-0</v>
      </c>
      <c r="U338" s="36" t="n">
        <f aca="false">IF(S338="","",MAX(0,S338))</f>
        <v>0</v>
      </c>
      <c r="V338" s="8" t="str">
        <f aca="false">IF(J338="","NOT SCORED - NO JULY MONTHLY ROW",IF(OR(ABS(L338)&gt;0.005,ABS(O338)&gt;0.005,ABS(S338)&gt;0.005),"EXCEPTION","OK"))</f>
        <v>OK</v>
      </c>
      <c r="W338" s="8" t="s">
        <v>4117</v>
      </c>
      <c r="X338" s="8" t="s">
        <v>4099</v>
      </c>
      <c r="Y338" s="36" t="n">
        <f aca="false">K338*N338</f>
        <v>362.4</v>
      </c>
    </row>
    <row r="339" customFormat="false" ht="15" hidden="false" customHeight="false" outlineLevel="0" collapsed="false">
      <c r="A339" s="11" t="s">
        <v>118</v>
      </c>
      <c r="B339" s="11" t="s">
        <v>224</v>
      </c>
      <c r="C339" s="11" t="s">
        <v>2829</v>
      </c>
      <c r="D339" s="11" t="s">
        <v>3411</v>
      </c>
      <c r="E339" s="11" t="s">
        <v>1035</v>
      </c>
      <c r="F339" s="11" t="s">
        <v>1036</v>
      </c>
      <c r="G339" s="11" t="s">
        <v>4118</v>
      </c>
      <c r="H339" s="11" t="n">
        <v>28</v>
      </c>
      <c r="I339" s="31" t="n">
        <v>23.7</v>
      </c>
      <c r="J339" s="31" t="n">
        <v>28</v>
      </c>
      <c r="K339" s="31" t="n">
        <f aca="false">MAX(ROUNDUP(I339,0),H339)</f>
        <v>28</v>
      </c>
      <c r="L339" s="31" t="n">
        <f aca="false">IF(J339="","",J339-K339)</f>
        <v>0</v>
      </c>
      <c r="M339" s="32" t="n">
        <v>7.55</v>
      </c>
      <c r="N339" s="32" t="n">
        <f aca="false">IF(C339="covered",10.4,7.55)</f>
        <v>7.55</v>
      </c>
      <c r="O339" s="32" t="n">
        <f aca="false">IF(M339="","",M339-N339)</f>
        <v>0</v>
      </c>
      <c r="P339" s="11" t="n">
        <v>1</v>
      </c>
      <c r="Q339" s="33" t="n">
        <v>211.4</v>
      </c>
      <c r="R339" s="33" t="n">
        <f aca="false">IF(OR(J339="",P339=""),"",K339*N339*P339)</f>
        <v>211.4</v>
      </c>
      <c r="S339" s="33" t="n">
        <f aca="false">IF(Q339="","",Q339-R339)</f>
        <v>0</v>
      </c>
      <c r="T339" s="33" t="n">
        <f aca="false">IF(S339="","",MAX(0,-S339))</f>
        <v>-0</v>
      </c>
      <c r="U339" s="33" t="n">
        <f aca="false">IF(S339="","",MAX(0,S339))</f>
        <v>0</v>
      </c>
      <c r="V339" s="11" t="str">
        <f aca="false">IF(J339="","NOT SCORED - NO JULY MONTHLY ROW",IF(OR(ABS(L339)&gt;0.005,ABS(O339)&gt;0.005,ABS(S339)&gt;0.005),"EXCEPTION","OK"))</f>
        <v>OK</v>
      </c>
      <c r="W339" s="11" t="s">
        <v>4119</v>
      </c>
      <c r="X339" s="11" t="s">
        <v>4099</v>
      </c>
      <c r="Y339" s="33" t="n">
        <f aca="false">K339*N339</f>
        <v>211.4</v>
      </c>
    </row>
    <row r="340" customFormat="false" ht="15" hidden="false" customHeight="false" outlineLevel="0" collapsed="false">
      <c r="A340" s="8" t="s">
        <v>4120</v>
      </c>
      <c r="B340" s="8" t="s">
        <v>224</v>
      </c>
      <c r="C340" s="8" t="s">
        <v>2829</v>
      </c>
      <c r="D340" s="8" t="s">
        <v>3416</v>
      </c>
      <c r="E340" s="8" t="s">
        <v>4121</v>
      </c>
      <c r="F340" s="8" t="s">
        <v>4122</v>
      </c>
      <c r="G340" s="8" t="s">
        <v>4123</v>
      </c>
      <c r="H340" s="8" t="n">
        <v>40</v>
      </c>
      <c r="I340" s="34" t="n">
        <v>59.3</v>
      </c>
      <c r="J340" s="34" t="n">
        <v>60</v>
      </c>
      <c r="K340" s="34" t="n">
        <f aca="false">MAX(ROUNDUP(I340,0),H340)</f>
        <v>60</v>
      </c>
      <c r="L340" s="34" t="n">
        <f aca="false">IF(J340="","",J340-K340)</f>
        <v>0</v>
      </c>
      <c r="M340" s="35" t="n">
        <v>7.55</v>
      </c>
      <c r="N340" s="35" t="n">
        <f aca="false">IF(C340="covered",10.4,7.55)</f>
        <v>7.55</v>
      </c>
      <c r="O340" s="35" t="n">
        <f aca="false">IF(M340="","",M340-N340)</f>
        <v>0</v>
      </c>
      <c r="P340" s="8" t="n">
        <v>1</v>
      </c>
      <c r="Q340" s="36" t="n">
        <v>453</v>
      </c>
      <c r="R340" s="36" t="n">
        <f aca="false">IF(OR(J340="",P340=""),"",K340*N340*P340)</f>
        <v>453</v>
      </c>
      <c r="S340" s="36" t="n">
        <f aca="false">IF(Q340="","",Q340-R340)</f>
        <v>0</v>
      </c>
      <c r="T340" s="36" t="n">
        <f aca="false">IF(S340="","",MAX(0,-S340))</f>
        <v>-0</v>
      </c>
      <c r="U340" s="36" t="n">
        <f aca="false">IF(S340="","",MAX(0,S340))</f>
        <v>0</v>
      </c>
      <c r="V340" s="8" t="str">
        <f aca="false">IF(J340="","NOT SCORED - NO JULY MONTHLY ROW",IF(OR(ABS(L340)&gt;0.005,ABS(O340)&gt;0.005,ABS(S340)&gt;0.005),"EXCEPTION","OK"))</f>
        <v>OK</v>
      </c>
      <c r="W340" s="8" t="s">
        <v>4124</v>
      </c>
      <c r="X340" s="8" t="s">
        <v>4099</v>
      </c>
      <c r="Y340" s="36" t="n">
        <f aca="false">K340*N340</f>
        <v>453</v>
      </c>
    </row>
    <row r="341" customFormat="false" ht="15" hidden="false" customHeight="false" outlineLevel="0" collapsed="false">
      <c r="A341" s="11" t="s">
        <v>122</v>
      </c>
      <c r="B341" s="11" t="s">
        <v>224</v>
      </c>
      <c r="C341" s="11" t="s">
        <v>2829</v>
      </c>
      <c r="D341" s="11" t="s">
        <v>3419</v>
      </c>
      <c r="E341" s="11" t="s">
        <v>4125</v>
      </c>
      <c r="F341" s="11" t="s">
        <v>4126</v>
      </c>
      <c r="G341" s="11" t="s">
        <v>3811</v>
      </c>
      <c r="H341" s="11" t="n">
        <v>60</v>
      </c>
      <c r="I341" s="31" t="n">
        <v>30.9</v>
      </c>
      <c r="J341" s="31" t="n">
        <v>60</v>
      </c>
      <c r="K341" s="31" t="n">
        <f aca="false">MAX(ROUNDUP(I341,0),H341)</f>
        <v>60</v>
      </c>
      <c r="L341" s="31" t="n">
        <f aca="false">IF(J341="","",J341-K341)</f>
        <v>0</v>
      </c>
      <c r="M341" s="32" t="n">
        <v>7.55</v>
      </c>
      <c r="N341" s="32" t="n">
        <f aca="false">IF(C341="covered",10.4,7.55)</f>
        <v>7.55</v>
      </c>
      <c r="O341" s="32" t="n">
        <f aca="false">IF(M341="","",M341-N341)</f>
        <v>0</v>
      </c>
      <c r="P341" s="11" t="n">
        <v>1</v>
      </c>
      <c r="Q341" s="33" t="n">
        <v>453</v>
      </c>
      <c r="R341" s="33" t="n">
        <f aca="false">IF(OR(J341="",P341=""),"",K341*N341*P341)</f>
        <v>453</v>
      </c>
      <c r="S341" s="33" t="n">
        <f aca="false">IF(Q341="","",Q341-R341)</f>
        <v>0</v>
      </c>
      <c r="T341" s="33" t="n">
        <f aca="false">IF(S341="","",MAX(0,-S341))</f>
        <v>-0</v>
      </c>
      <c r="U341" s="33" t="n">
        <f aca="false">IF(S341="","",MAX(0,S341))</f>
        <v>0</v>
      </c>
      <c r="V341" s="11" t="str">
        <f aca="false">IF(J341="","NOT SCORED - NO JULY MONTHLY ROW",IF(OR(ABS(L341)&gt;0.005,ABS(O341)&gt;0.005,ABS(S341)&gt;0.005),"EXCEPTION","OK"))</f>
        <v>OK</v>
      </c>
      <c r="W341" s="11" t="s">
        <v>4127</v>
      </c>
      <c r="X341" s="11" t="s">
        <v>4099</v>
      </c>
      <c r="Y341" s="33" t="n">
        <f aca="false">K341*N341</f>
        <v>453</v>
      </c>
    </row>
    <row r="342" customFormat="false" ht="15" hidden="false" customHeight="false" outlineLevel="0" collapsed="false">
      <c r="A342" s="8" t="s">
        <v>681</v>
      </c>
      <c r="B342" s="8" t="s">
        <v>224</v>
      </c>
      <c r="C342" s="8" t="s">
        <v>2829</v>
      </c>
      <c r="D342" s="8" t="s">
        <v>3424</v>
      </c>
      <c r="E342" s="8" t="s">
        <v>4128</v>
      </c>
      <c r="F342" s="8" t="s">
        <v>4129</v>
      </c>
      <c r="G342" s="8" t="s">
        <v>3526</v>
      </c>
      <c r="H342" s="8" t="n">
        <v>28</v>
      </c>
      <c r="I342" s="34" t="n">
        <v>36.3</v>
      </c>
      <c r="J342" s="34" t="n">
        <v>37</v>
      </c>
      <c r="K342" s="34" t="n">
        <f aca="false">MAX(ROUNDUP(I342,0),H342)</f>
        <v>37</v>
      </c>
      <c r="L342" s="34" t="n">
        <f aca="false">IF(J342="","",J342-K342)</f>
        <v>0</v>
      </c>
      <c r="M342" s="35" t="n">
        <v>7.55</v>
      </c>
      <c r="N342" s="35" t="n">
        <f aca="false">IF(C342="covered",10.4,7.55)</f>
        <v>7.55</v>
      </c>
      <c r="O342" s="35" t="n">
        <f aca="false">IF(M342="","",M342-N342)</f>
        <v>0</v>
      </c>
      <c r="P342" s="8" t="n">
        <v>1</v>
      </c>
      <c r="Q342" s="36" t="n">
        <v>279.35</v>
      </c>
      <c r="R342" s="36" t="n">
        <f aca="false">IF(OR(J342="",P342=""),"",K342*N342*P342)</f>
        <v>279.35</v>
      </c>
      <c r="S342" s="36" t="n">
        <f aca="false">IF(Q342="","",Q342-R342)</f>
        <v>0</v>
      </c>
      <c r="T342" s="36" t="n">
        <f aca="false">IF(S342="","",MAX(0,-S342))</f>
        <v>-0</v>
      </c>
      <c r="U342" s="36" t="n">
        <f aca="false">IF(S342="","",MAX(0,S342))</f>
        <v>0</v>
      </c>
      <c r="V342" s="8" t="str">
        <f aca="false">IF(J342="","NOT SCORED - NO JULY MONTHLY ROW",IF(OR(ABS(L342)&gt;0.005,ABS(O342)&gt;0.005,ABS(S342)&gt;0.005),"EXCEPTION","OK"))</f>
        <v>OK</v>
      </c>
      <c r="W342" s="8" t="s">
        <v>4130</v>
      </c>
      <c r="X342" s="8" t="s">
        <v>4099</v>
      </c>
      <c r="Y342" s="36" t="n">
        <f aca="false">K342*N342</f>
        <v>279.35</v>
      </c>
    </row>
    <row r="343" customFormat="false" ht="15" hidden="false" customHeight="false" outlineLevel="0" collapsed="false">
      <c r="A343" s="11" t="s">
        <v>570</v>
      </c>
      <c r="B343" s="11" t="s">
        <v>224</v>
      </c>
      <c r="C343" s="11" t="s">
        <v>2829</v>
      </c>
      <c r="D343" s="11" t="s">
        <v>3428</v>
      </c>
      <c r="E343" s="11" t="s">
        <v>1592</v>
      </c>
      <c r="F343" s="11" t="s">
        <v>1593</v>
      </c>
      <c r="G343" s="11" t="s">
        <v>3726</v>
      </c>
      <c r="H343" s="11" t="n">
        <v>28</v>
      </c>
      <c r="I343" s="31" t="n">
        <v>43.9</v>
      </c>
      <c r="J343" s="31" t="n">
        <v>44</v>
      </c>
      <c r="K343" s="31" t="n">
        <f aca="false">MAX(ROUNDUP(I343,0),H343)</f>
        <v>44</v>
      </c>
      <c r="L343" s="31" t="n">
        <f aca="false">IF(J343="","",J343-K343)</f>
        <v>0</v>
      </c>
      <c r="M343" s="32" t="n">
        <v>7.55</v>
      </c>
      <c r="N343" s="32" t="n">
        <f aca="false">IF(C343="covered",10.4,7.55)</f>
        <v>7.55</v>
      </c>
      <c r="O343" s="32" t="n">
        <f aca="false">IF(M343="","",M343-N343)</f>
        <v>0</v>
      </c>
      <c r="P343" s="11" t="n">
        <v>1</v>
      </c>
      <c r="Q343" s="33" t="n">
        <v>332.2</v>
      </c>
      <c r="R343" s="33" t="n">
        <f aca="false">IF(OR(J343="",P343=""),"",K343*N343*P343)</f>
        <v>332.2</v>
      </c>
      <c r="S343" s="33" t="n">
        <f aca="false">IF(Q343="","",Q343-R343)</f>
        <v>0</v>
      </c>
      <c r="T343" s="33" t="n">
        <f aca="false">IF(S343="","",MAX(0,-S343))</f>
        <v>-0</v>
      </c>
      <c r="U343" s="33" t="n">
        <f aca="false">IF(S343="","",MAX(0,S343))</f>
        <v>0</v>
      </c>
      <c r="V343" s="11" t="str">
        <f aca="false">IF(J343="","NOT SCORED - NO JULY MONTHLY ROW",IF(OR(ABS(L343)&gt;0.005,ABS(O343)&gt;0.005,ABS(S343)&gt;0.005),"EXCEPTION","OK"))</f>
        <v>OK</v>
      </c>
      <c r="W343" s="11" t="s">
        <v>4131</v>
      </c>
      <c r="X343" s="11" t="s">
        <v>4099</v>
      </c>
      <c r="Y343" s="33" t="n">
        <f aca="false">K343*N343</f>
        <v>332.2</v>
      </c>
    </row>
    <row r="344" customFormat="false" ht="15" hidden="false" customHeight="false" outlineLevel="0" collapsed="false">
      <c r="A344" s="8" t="s">
        <v>4132</v>
      </c>
      <c r="B344" s="8" t="s">
        <v>224</v>
      </c>
      <c r="C344" s="8" t="s">
        <v>2829</v>
      </c>
      <c r="D344" s="8" t="s">
        <v>3432</v>
      </c>
      <c r="E344" s="8" t="s">
        <v>4133</v>
      </c>
      <c r="F344" s="8" t="s">
        <v>4134</v>
      </c>
      <c r="G344" s="8" t="s">
        <v>4135</v>
      </c>
      <c r="H344" s="8" t="n">
        <v>70</v>
      </c>
      <c r="I344" s="34" t="n">
        <v>38.7</v>
      </c>
      <c r="J344" s="34" t="n">
        <v>70</v>
      </c>
      <c r="K344" s="34" t="n">
        <f aca="false">MAX(ROUNDUP(I344,0),H344)</f>
        <v>70</v>
      </c>
      <c r="L344" s="34" t="n">
        <f aca="false">IF(J344="","",J344-K344)</f>
        <v>0</v>
      </c>
      <c r="M344" s="35" t="n">
        <v>7.55</v>
      </c>
      <c r="N344" s="35" t="n">
        <f aca="false">IF(C344="covered",10.4,7.55)</f>
        <v>7.55</v>
      </c>
      <c r="O344" s="35" t="n">
        <f aca="false">IF(M344="","",M344-N344)</f>
        <v>0</v>
      </c>
      <c r="P344" s="8" t="n">
        <v>1</v>
      </c>
      <c r="Q344" s="36" t="n">
        <v>528.5</v>
      </c>
      <c r="R344" s="36" t="n">
        <f aca="false">IF(OR(J344="",P344=""),"",K344*N344*P344)</f>
        <v>528.5</v>
      </c>
      <c r="S344" s="36" t="n">
        <f aca="false">IF(Q344="","",Q344-R344)</f>
        <v>0</v>
      </c>
      <c r="T344" s="36" t="n">
        <f aca="false">IF(S344="","",MAX(0,-S344))</f>
        <v>-0</v>
      </c>
      <c r="U344" s="36" t="n">
        <f aca="false">IF(S344="","",MAX(0,S344))</f>
        <v>0</v>
      </c>
      <c r="V344" s="8" t="str">
        <f aca="false">IF(J344="","NOT SCORED - NO JULY MONTHLY ROW",IF(OR(ABS(L344)&gt;0.005,ABS(O344)&gt;0.005,ABS(S344)&gt;0.005),"EXCEPTION","OK"))</f>
        <v>OK</v>
      </c>
      <c r="W344" s="8" t="s">
        <v>4136</v>
      </c>
      <c r="X344" s="8" t="s">
        <v>4099</v>
      </c>
      <c r="Y344" s="36" t="n">
        <f aca="false">K344*N344</f>
        <v>528.5</v>
      </c>
    </row>
    <row r="345" customFormat="false" ht="15" hidden="false" customHeight="false" outlineLevel="0" collapsed="false">
      <c r="A345" s="11" t="s">
        <v>4137</v>
      </c>
      <c r="B345" s="11" t="s">
        <v>224</v>
      </c>
      <c r="C345" s="11" t="s">
        <v>2829</v>
      </c>
      <c r="D345" s="11" t="s">
        <v>3437</v>
      </c>
      <c r="E345" s="11" t="s">
        <v>4138</v>
      </c>
      <c r="F345" s="11" t="s">
        <v>4139</v>
      </c>
      <c r="G345" s="11" t="s">
        <v>4140</v>
      </c>
      <c r="H345" s="11" t="n">
        <v>45</v>
      </c>
      <c r="I345" s="31" t="n">
        <v>61.3</v>
      </c>
      <c r="J345" s="31" t="n">
        <v>62</v>
      </c>
      <c r="K345" s="31" t="n">
        <f aca="false">MAX(ROUNDUP(I345,0),H345)</f>
        <v>62</v>
      </c>
      <c r="L345" s="31" t="n">
        <f aca="false">IF(J345="","",J345-K345)</f>
        <v>0</v>
      </c>
      <c r="M345" s="32" t="n">
        <v>7.55</v>
      </c>
      <c r="N345" s="32" t="n">
        <f aca="false">IF(C345="covered",10.4,7.55)</f>
        <v>7.55</v>
      </c>
      <c r="O345" s="32" t="n">
        <f aca="false">IF(M345="","",M345-N345)</f>
        <v>0</v>
      </c>
      <c r="P345" s="11" t="n">
        <v>1</v>
      </c>
      <c r="Q345" s="33" t="n">
        <v>468.1</v>
      </c>
      <c r="R345" s="33" t="n">
        <f aca="false">IF(OR(J345="",P345=""),"",K345*N345*P345)</f>
        <v>468.1</v>
      </c>
      <c r="S345" s="33" t="n">
        <f aca="false">IF(Q345="","",Q345-R345)</f>
        <v>0</v>
      </c>
      <c r="T345" s="33" t="n">
        <f aca="false">IF(S345="","",MAX(0,-S345))</f>
        <v>-0</v>
      </c>
      <c r="U345" s="33" t="n">
        <f aca="false">IF(S345="","",MAX(0,S345))</f>
        <v>0</v>
      </c>
      <c r="V345" s="11" t="str">
        <f aca="false">IF(J345="","NOT SCORED - NO JULY MONTHLY ROW",IF(OR(ABS(L345)&gt;0.005,ABS(O345)&gt;0.005,ABS(S345)&gt;0.005),"EXCEPTION","OK"))</f>
        <v>OK</v>
      </c>
      <c r="W345" s="11" t="s">
        <v>4141</v>
      </c>
      <c r="X345" s="11" t="s">
        <v>4099</v>
      </c>
      <c r="Y345" s="33" t="n">
        <f aca="false">K345*N345</f>
        <v>468.1</v>
      </c>
    </row>
    <row r="346" customFormat="false" ht="15" hidden="false" customHeight="false" outlineLevel="0" collapsed="false">
      <c r="A346" s="8" t="s">
        <v>4142</v>
      </c>
      <c r="B346" s="8" t="s">
        <v>224</v>
      </c>
      <c r="C346" s="8" t="s">
        <v>2829</v>
      </c>
      <c r="D346" s="8" t="s">
        <v>3441</v>
      </c>
      <c r="E346" s="8" t="s">
        <v>4143</v>
      </c>
      <c r="F346" s="8" t="s">
        <v>4144</v>
      </c>
      <c r="G346" s="8" t="s">
        <v>3614</v>
      </c>
      <c r="H346" s="8" t="n">
        <v>24</v>
      </c>
      <c r="I346" s="34" t="n">
        <v>41.6</v>
      </c>
      <c r="J346" s="34" t="n">
        <v>42</v>
      </c>
      <c r="K346" s="34" t="n">
        <f aca="false">MAX(ROUNDUP(I346,0),H346)</f>
        <v>42</v>
      </c>
      <c r="L346" s="34" t="n">
        <f aca="false">IF(J346="","",J346-K346)</f>
        <v>0</v>
      </c>
      <c r="M346" s="35" t="n">
        <v>7.55</v>
      </c>
      <c r="N346" s="35" t="n">
        <f aca="false">IF(C346="covered",10.4,7.55)</f>
        <v>7.55</v>
      </c>
      <c r="O346" s="35" t="n">
        <f aca="false">IF(M346="","",M346-N346)</f>
        <v>0</v>
      </c>
      <c r="P346" s="8" t="n">
        <v>1</v>
      </c>
      <c r="Q346" s="36" t="n">
        <v>317.1</v>
      </c>
      <c r="R346" s="36" t="n">
        <f aca="false">IF(OR(J346="",P346=""),"",K346*N346*P346)</f>
        <v>317.1</v>
      </c>
      <c r="S346" s="36" t="n">
        <f aca="false">IF(Q346="","",Q346-R346)</f>
        <v>0</v>
      </c>
      <c r="T346" s="36" t="n">
        <f aca="false">IF(S346="","",MAX(0,-S346))</f>
        <v>-0</v>
      </c>
      <c r="U346" s="36" t="n">
        <f aca="false">IF(S346="","",MAX(0,S346))</f>
        <v>0</v>
      </c>
      <c r="V346" s="8" t="str">
        <f aca="false">IF(J346="","NOT SCORED - NO JULY MONTHLY ROW",IF(OR(ABS(L346)&gt;0.005,ABS(O346)&gt;0.005,ABS(S346)&gt;0.005),"EXCEPTION","OK"))</f>
        <v>OK</v>
      </c>
      <c r="W346" s="8" t="s">
        <v>4145</v>
      </c>
      <c r="X346" s="8" t="s">
        <v>4099</v>
      </c>
      <c r="Y346" s="36" t="n">
        <f aca="false">K346*N346</f>
        <v>317.1</v>
      </c>
    </row>
    <row r="347" customFormat="false" ht="15" hidden="false" customHeight="false" outlineLevel="0" collapsed="false">
      <c r="A347" s="11" t="s">
        <v>4146</v>
      </c>
      <c r="B347" s="11" t="s">
        <v>224</v>
      </c>
      <c r="C347" s="11" t="s">
        <v>2829</v>
      </c>
      <c r="D347" s="11" t="s">
        <v>3444</v>
      </c>
      <c r="E347" s="11" t="s">
        <v>4147</v>
      </c>
      <c r="F347" s="11" t="s">
        <v>4148</v>
      </c>
      <c r="G347" s="11" t="s">
        <v>4149</v>
      </c>
      <c r="H347" s="11" t="n">
        <v>32</v>
      </c>
      <c r="I347" s="31" t="n">
        <v>38.4</v>
      </c>
      <c r="J347" s="31" t="n">
        <v>39</v>
      </c>
      <c r="K347" s="31" t="n">
        <f aca="false">MAX(ROUNDUP(I347,0),H347)</f>
        <v>39</v>
      </c>
      <c r="L347" s="31" t="n">
        <f aca="false">IF(J347="","",J347-K347)</f>
        <v>0</v>
      </c>
      <c r="M347" s="32" t="n">
        <v>7.55</v>
      </c>
      <c r="N347" s="32" t="n">
        <f aca="false">IF(C347="covered",10.4,7.55)</f>
        <v>7.55</v>
      </c>
      <c r="O347" s="32" t="n">
        <f aca="false">IF(M347="","",M347-N347)</f>
        <v>0</v>
      </c>
      <c r="P347" s="11" t="n">
        <v>1</v>
      </c>
      <c r="Q347" s="33" t="n">
        <v>294.45</v>
      </c>
      <c r="R347" s="33" t="n">
        <f aca="false">IF(OR(J347="",P347=""),"",K347*N347*P347)</f>
        <v>294.45</v>
      </c>
      <c r="S347" s="33" t="n">
        <f aca="false">IF(Q347="","",Q347-R347)</f>
        <v>0</v>
      </c>
      <c r="T347" s="33" t="n">
        <f aca="false">IF(S347="","",MAX(0,-S347))</f>
        <v>-0</v>
      </c>
      <c r="U347" s="33" t="n">
        <f aca="false">IF(S347="","",MAX(0,S347))</f>
        <v>0</v>
      </c>
      <c r="V347" s="11" t="str">
        <f aca="false">IF(J347="","NOT SCORED - NO JULY MONTHLY ROW",IF(OR(ABS(L347)&gt;0.005,ABS(O347)&gt;0.005,ABS(S347)&gt;0.005),"EXCEPTION","OK"))</f>
        <v>OK</v>
      </c>
      <c r="W347" s="11" t="s">
        <v>4150</v>
      </c>
      <c r="X347" s="11" t="s">
        <v>4099</v>
      </c>
      <c r="Y347" s="33" t="n">
        <f aca="false">K347*N347</f>
        <v>294.45</v>
      </c>
    </row>
    <row r="348" customFormat="false" ht="15" hidden="false" customHeight="false" outlineLevel="0" collapsed="false">
      <c r="A348" s="8" t="s">
        <v>4151</v>
      </c>
      <c r="B348" s="8" t="s">
        <v>224</v>
      </c>
      <c r="C348" s="8" t="s">
        <v>2829</v>
      </c>
      <c r="D348" s="8" t="s">
        <v>3447</v>
      </c>
      <c r="E348" s="8" t="s">
        <v>4152</v>
      </c>
      <c r="F348" s="8" t="s">
        <v>4153</v>
      </c>
      <c r="G348" s="8" t="s">
        <v>4154</v>
      </c>
      <c r="H348" s="8" t="n">
        <v>32</v>
      </c>
      <c r="I348" s="34" t="n">
        <v>25.7</v>
      </c>
      <c r="J348" s="34" t="n">
        <v>32</v>
      </c>
      <c r="K348" s="34" t="n">
        <f aca="false">MAX(ROUNDUP(I348,0),H348)</f>
        <v>32</v>
      </c>
      <c r="L348" s="34" t="n">
        <f aca="false">IF(J348="","",J348-K348)</f>
        <v>0</v>
      </c>
      <c r="M348" s="35" t="n">
        <v>7.55</v>
      </c>
      <c r="N348" s="35" t="n">
        <f aca="false">IF(C348="covered",10.4,7.55)</f>
        <v>7.55</v>
      </c>
      <c r="O348" s="35" t="n">
        <f aca="false">IF(M348="","",M348-N348)</f>
        <v>0</v>
      </c>
      <c r="P348" s="8" t="n">
        <v>1</v>
      </c>
      <c r="Q348" s="36" t="n">
        <v>241.6</v>
      </c>
      <c r="R348" s="36" t="n">
        <f aca="false">IF(OR(J348="",P348=""),"",K348*N348*P348)</f>
        <v>241.6</v>
      </c>
      <c r="S348" s="36" t="n">
        <f aca="false">IF(Q348="","",Q348-R348)</f>
        <v>0</v>
      </c>
      <c r="T348" s="36" t="n">
        <f aca="false">IF(S348="","",MAX(0,-S348))</f>
        <v>-0</v>
      </c>
      <c r="U348" s="36" t="n">
        <f aca="false">IF(S348="","",MAX(0,S348))</f>
        <v>0</v>
      </c>
      <c r="V348" s="8" t="str">
        <f aca="false">IF(J348="","NOT SCORED - NO JULY MONTHLY ROW",IF(OR(ABS(L348)&gt;0.005,ABS(O348)&gt;0.005,ABS(S348)&gt;0.005),"EXCEPTION","OK"))</f>
        <v>OK</v>
      </c>
      <c r="W348" s="8" t="s">
        <v>4155</v>
      </c>
      <c r="X348" s="8" t="s">
        <v>4099</v>
      </c>
      <c r="Y348" s="36" t="n">
        <f aca="false">K348*N348</f>
        <v>241.6</v>
      </c>
    </row>
    <row r="349" customFormat="false" ht="15" hidden="false" customHeight="false" outlineLevel="0" collapsed="false">
      <c r="A349" s="11" t="s">
        <v>1125</v>
      </c>
      <c r="B349" s="11" t="s">
        <v>224</v>
      </c>
      <c r="C349" s="11" t="s">
        <v>2829</v>
      </c>
      <c r="D349" s="11" t="s">
        <v>3455</v>
      </c>
      <c r="E349" s="11" t="s">
        <v>2776</v>
      </c>
      <c r="F349" s="11" t="s">
        <v>4156</v>
      </c>
      <c r="G349" s="11" t="s">
        <v>3614</v>
      </c>
      <c r="H349" s="11" t="n">
        <v>45</v>
      </c>
      <c r="I349" s="31" t="n">
        <v>48.3</v>
      </c>
      <c r="J349" s="31" t="n">
        <v>49</v>
      </c>
      <c r="K349" s="31" t="n">
        <f aca="false">MAX(ROUNDUP(I349,0),H349)</f>
        <v>49</v>
      </c>
      <c r="L349" s="31" t="n">
        <f aca="false">IF(J349="","",J349-K349)</f>
        <v>0</v>
      </c>
      <c r="M349" s="32" t="n">
        <v>7.55</v>
      </c>
      <c r="N349" s="32" t="n">
        <f aca="false">IF(C349="covered",10.4,7.55)</f>
        <v>7.55</v>
      </c>
      <c r="O349" s="32" t="n">
        <f aca="false">IF(M349="","",M349-N349)</f>
        <v>0</v>
      </c>
      <c r="P349" s="11" t="n">
        <v>1</v>
      </c>
      <c r="Q349" s="33" t="n">
        <v>369.95</v>
      </c>
      <c r="R349" s="33" t="n">
        <f aca="false">IF(OR(J349="",P349=""),"",K349*N349*P349)</f>
        <v>369.95</v>
      </c>
      <c r="S349" s="33" t="n">
        <f aca="false">IF(Q349="","",Q349-R349)</f>
        <v>0</v>
      </c>
      <c r="T349" s="33" t="n">
        <f aca="false">IF(S349="","",MAX(0,-S349))</f>
        <v>-0</v>
      </c>
      <c r="U349" s="33" t="n">
        <f aca="false">IF(S349="","",MAX(0,S349))</f>
        <v>0</v>
      </c>
      <c r="V349" s="11" t="str">
        <f aca="false">IF(J349="","NOT SCORED - NO JULY MONTHLY ROW",IF(OR(ABS(L349)&gt;0.005,ABS(O349)&gt;0.005,ABS(S349)&gt;0.005),"EXCEPTION","OK"))</f>
        <v>OK</v>
      </c>
      <c r="W349" s="11" t="s">
        <v>4157</v>
      </c>
      <c r="X349" s="11" t="s">
        <v>4099</v>
      </c>
      <c r="Y349" s="33" t="n">
        <f aca="false">K349*N349</f>
        <v>369.95</v>
      </c>
    </row>
    <row r="350" customFormat="false" ht="15" hidden="false" customHeight="false" outlineLevel="0" collapsed="false">
      <c r="A350" s="8" t="s">
        <v>660</v>
      </c>
      <c r="B350" s="8" t="s">
        <v>224</v>
      </c>
      <c r="C350" s="8" t="s">
        <v>2829</v>
      </c>
      <c r="D350" s="8" t="s">
        <v>3460</v>
      </c>
      <c r="E350" s="8" t="s">
        <v>1831</v>
      </c>
      <c r="F350" s="8" t="s">
        <v>1832</v>
      </c>
      <c r="G350" s="8" t="s">
        <v>3711</v>
      </c>
      <c r="H350" s="8" t="n">
        <v>32</v>
      </c>
      <c r="I350" s="34" t="n">
        <v>48.3</v>
      </c>
      <c r="J350" s="34" t="n">
        <v>49</v>
      </c>
      <c r="K350" s="34" t="n">
        <f aca="false">MAX(ROUNDUP(I350,0),H350)</f>
        <v>49</v>
      </c>
      <c r="L350" s="34" t="n">
        <f aca="false">IF(J350="","",J350-K350)</f>
        <v>0</v>
      </c>
      <c r="M350" s="35" t="n">
        <v>7.55</v>
      </c>
      <c r="N350" s="35" t="n">
        <f aca="false">IF(C350="covered",10.4,7.55)</f>
        <v>7.55</v>
      </c>
      <c r="O350" s="35" t="n">
        <f aca="false">IF(M350="","",M350-N350)</f>
        <v>0</v>
      </c>
      <c r="P350" s="8" t="n">
        <v>1</v>
      </c>
      <c r="Q350" s="36" t="n">
        <v>369.95</v>
      </c>
      <c r="R350" s="36" t="n">
        <f aca="false">IF(OR(J350="",P350=""),"",K350*N350*P350)</f>
        <v>369.95</v>
      </c>
      <c r="S350" s="36" t="n">
        <f aca="false">IF(Q350="","",Q350-R350)</f>
        <v>0</v>
      </c>
      <c r="T350" s="36" t="n">
        <f aca="false">IF(S350="","",MAX(0,-S350))</f>
        <v>-0</v>
      </c>
      <c r="U350" s="36" t="n">
        <f aca="false">IF(S350="","",MAX(0,S350))</f>
        <v>0</v>
      </c>
      <c r="V350" s="8" t="str">
        <f aca="false">IF(J350="","NOT SCORED - NO JULY MONTHLY ROW",IF(OR(ABS(L350)&gt;0.005,ABS(O350)&gt;0.005,ABS(S350)&gt;0.005),"EXCEPTION","OK"))</f>
        <v>OK</v>
      </c>
      <c r="W350" s="8" t="s">
        <v>4158</v>
      </c>
      <c r="X350" s="8" t="s">
        <v>4099</v>
      </c>
      <c r="Y350" s="36" t="n">
        <f aca="false">K350*N350</f>
        <v>369.95</v>
      </c>
    </row>
    <row r="351" customFormat="false" ht="15" hidden="false" customHeight="false" outlineLevel="0" collapsed="false">
      <c r="A351" s="11" t="s">
        <v>4159</v>
      </c>
      <c r="B351" s="11" t="s">
        <v>224</v>
      </c>
      <c r="C351" s="11" t="s">
        <v>2829</v>
      </c>
      <c r="D351" s="11" t="s">
        <v>3464</v>
      </c>
      <c r="E351" s="11" t="s">
        <v>4160</v>
      </c>
      <c r="F351" s="11" t="s">
        <v>4161</v>
      </c>
      <c r="G351" s="11" t="s">
        <v>4162</v>
      </c>
      <c r="H351" s="11" t="n">
        <v>80</v>
      </c>
      <c r="I351" s="31" t="n">
        <v>59.3</v>
      </c>
      <c r="J351" s="31" t="n">
        <v>80</v>
      </c>
      <c r="K351" s="31" t="n">
        <f aca="false">MAX(ROUNDUP(I351,0),H351)</f>
        <v>80</v>
      </c>
      <c r="L351" s="31" t="n">
        <f aca="false">IF(J351="","",J351-K351)</f>
        <v>0</v>
      </c>
      <c r="M351" s="32" t="n">
        <v>7.55</v>
      </c>
      <c r="N351" s="32" t="n">
        <f aca="false">IF(C351="covered",10.4,7.55)</f>
        <v>7.55</v>
      </c>
      <c r="O351" s="32" t="n">
        <f aca="false">IF(M351="","",M351-N351)</f>
        <v>0</v>
      </c>
      <c r="P351" s="11" t="n">
        <v>1</v>
      </c>
      <c r="Q351" s="33" t="n">
        <v>604</v>
      </c>
      <c r="R351" s="33" t="n">
        <f aca="false">IF(OR(J351="",P351=""),"",K351*N351*P351)</f>
        <v>604</v>
      </c>
      <c r="S351" s="33" t="n">
        <f aca="false">IF(Q351="","",Q351-R351)</f>
        <v>0</v>
      </c>
      <c r="T351" s="33" t="n">
        <f aca="false">IF(S351="","",MAX(0,-S351))</f>
        <v>-0</v>
      </c>
      <c r="U351" s="33" t="n">
        <f aca="false">IF(S351="","",MAX(0,S351))</f>
        <v>0</v>
      </c>
      <c r="V351" s="11" t="str">
        <f aca="false">IF(J351="","NOT SCORED - NO JULY MONTHLY ROW",IF(OR(ABS(L351)&gt;0.005,ABS(O351)&gt;0.005,ABS(S351)&gt;0.005),"EXCEPTION","OK"))</f>
        <v>OK</v>
      </c>
      <c r="W351" s="11" t="s">
        <v>4163</v>
      </c>
      <c r="X351" s="11" t="s">
        <v>4099</v>
      </c>
      <c r="Y351" s="33" t="n">
        <f aca="false">K351*N351</f>
        <v>604</v>
      </c>
    </row>
    <row r="352" customFormat="false" ht="15" hidden="false" customHeight="false" outlineLevel="0" collapsed="false">
      <c r="A352" s="8" t="s">
        <v>4164</v>
      </c>
      <c r="B352" s="8" t="s">
        <v>224</v>
      </c>
      <c r="C352" s="8" t="s">
        <v>2829</v>
      </c>
      <c r="D352" s="8" t="s">
        <v>3469</v>
      </c>
      <c r="E352" s="8" t="s">
        <v>4165</v>
      </c>
      <c r="F352" s="8" t="s">
        <v>4166</v>
      </c>
      <c r="G352" s="8" t="s">
        <v>4167</v>
      </c>
      <c r="H352" s="8" t="n">
        <v>28</v>
      </c>
      <c r="I352" s="34" t="n">
        <v>37.9</v>
      </c>
      <c r="J352" s="34" t="n">
        <v>38</v>
      </c>
      <c r="K352" s="34" t="n">
        <f aca="false">MAX(ROUNDUP(I352,0),H352)</f>
        <v>38</v>
      </c>
      <c r="L352" s="34" t="n">
        <f aca="false">IF(J352="","",J352-K352)</f>
        <v>0</v>
      </c>
      <c r="M352" s="35" t="n">
        <v>7.55</v>
      </c>
      <c r="N352" s="35" t="n">
        <f aca="false">IF(C352="covered",10.4,7.55)</f>
        <v>7.55</v>
      </c>
      <c r="O352" s="35" t="n">
        <f aca="false">IF(M352="","",M352-N352)</f>
        <v>0</v>
      </c>
      <c r="P352" s="8" t="n">
        <v>1</v>
      </c>
      <c r="Q352" s="36" t="n">
        <v>286.9</v>
      </c>
      <c r="R352" s="36" t="n">
        <f aca="false">IF(OR(J352="",P352=""),"",K352*N352*P352)</f>
        <v>286.9</v>
      </c>
      <c r="S352" s="36" t="n">
        <f aca="false">IF(Q352="","",Q352-R352)</f>
        <v>0</v>
      </c>
      <c r="T352" s="36" t="n">
        <f aca="false">IF(S352="","",MAX(0,-S352))</f>
        <v>-0</v>
      </c>
      <c r="U352" s="36" t="n">
        <f aca="false">IF(S352="","",MAX(0,S352))</f>
        <v>0</v>
      </c>
      <c r="V352" s="8" t="str">
        <f aca="false">IF(J352="","NOT SCORED - NO JULY MONTHLY ROW",IF(OR(ABS(L352)&gt;0.005,ABS(O352)&gt;0.005,ABS(S352)&gt;0.005),"EXCEPTION","OK"))</f>
        <v>OK</v>
      </c>
      <c r="W352" s="8" t="s">
        <v>4168</v>
      </c>
      <c r="X352" s="8" t="s">
        <v>4099</v>
      </c>
      <c r="Y352" s="36" t="n">
        <f aca="false">K352*N352</f>
        <v>286.9</v>
      </c>
    </row>
    <row r="353" customFormat="false" ht="15" hidden="false" customHeight="false" outlineLevel="0" collapsed="false">
      <c r="A353" s="11" t="s">
        <v>4169</v>
      </c>
      <c r="B353" s="11" t="s">
        <v>224</v>
      </c>
      <c r="C353" s="11" t="s">
        <v>2829</v>
      </c>
      <c r="D353" s="11" t="s">
        <v>3474</v>
      </c>
      <c r="E353" s="11" t="s">
        <v>469</v>
      </c>
      <c r="F353" s="11" t="s">
        <v>470</v>
      </c>
      <c r="G353" s="11" t="s">
        <v>4027</v>
      </c>
      <c r="H353" s="11" t="n">
        <v>70</v>
      </c>
      <c r="I353" s="31" t="n">
        <v>25.7</v>
      </c>
      <c r="J353" s="31" t="n">
        <v>70</v>
      </c>
      <c r="K353" s="31" t="n">
        <f aca="false">MAX(ROUNDUP(I353,0),H353)</f>
        <v>70</v>
      </c>
      <c r="L353" s="31" t="n">
        <f aca="false">IF(J353="","",J353-K353)</f>
        <v>0</v>
      </c>
      <c r="M353" s="32" t="n">
        <v>7.55</v>
      </c>
      <c r="N353" s="32" t="n">
        <f aca="false">IF(C353="covered",10.4,7.55)</f>
        <v>7.55</v>
      </c>
      <c r="O353" s="32" t="n">
        <f aca="false">IF(M353="","",M353-N353)</f>
        <v>0</v>
      </c>
      <c r="P353" s="11" t="n">
        <v>1</v>
      </c>
      <c r="Q353" s="33" t="n">
        <v>528.5</v>
      </c>
      <c r="R353" s="33" t="n">
        <f aca="false">IF(OR(J353="",P353=""),"",K353*N353*P353)</f>
        <v>528.5</v>
      </c>
      <c r="S353" s="33" t="n">
        <f aca="false">IF(Q353="","",Q353-R353)</f>
        <v>0</v>
      </c>
      <c r="T353" s="33" t="n">
        <f aca="false">IF(S353="","",MAX(0,-S353))</f>
        <v>-0</v>
      </c>
      <c r="U353" s="33" t="n">
        <f aca="false">IF(S353="","",MAX(0,S353))</f>
        <v>0</v>
      </c>
      <c r="V353" s="11" t="str">
        <f aca="false">IF(J353="","NOT SCORED - NO JULY MONTHLY ROW",IF(OR(ABS(L353)&gt;0.005,ABS(O353)&gt;0.005,ABS(S353)&gt;0.005),"EXCEPTION","OK"))</f>
        <v>OK</v>
      </c>
      <c r="W353" s="11" t="s">
        <v>4170</v>
      </c>
      <c r="X353" s="11" t="s">
        <v>4099</v>
      </c>
      <c r="Y353" s="33" t="n">
        <f aca="false">K353*N353</f>
        <v>528.5</v>
      </c>
    </row>
    <row r="354" customFormat="false" ht="15" hidden="false" customHeight="false" outlineLevel="0" collapsed="false">
      <c r="A354" s="8" t="s">
        <v>4171</v>
      </c>
      <c r="B354" s="8" t="s">
        <v>224</v>
      </c>
      <c r="C354" s="8" t="s">
        <v>2829</v>
      </c>
      <c r="D354" s="8" t="s">
        <v>4172</v>
      </c>
      <c r="E354" s="8" t="s">
        <v>4173</v>
      </c>
      <c r="F354" s="8" t="s">
        <v>4174</v>
      </c>
      <c r="G354" s="8" t="s">
        <v>3102</v>
      </c>
      <c r="H354" s="8" t="n">
        <v>28</v>
      </c>
      <c r="I354" s="34" t="n">
        <v>44.4</v>
      </c>
      <c r="J354" s="34" t="n">
        <v>45</v>
      </c>
      <c r="K354" s="34" t="n">
        <f aca="false">MAX(ROUNDUP(I354,0),H354)</f>
        <v>45</v>
      </c>
      <c r="L354" s="34" t="n">
        <f aca="false">IF(J354="","",J354-K354)</f>
        <v>0</v>
      </c>
      <c r="M354" s="35" t="n">
        <v>7.55</v>
      </c>
      <c r="N354" s="35" t="n">
        <f aca="false">IF(C354="covered",10.4,7.55)</f>
        <v>7.55</v>
      </c>
      <c r="O354" s="35" t="n">
        <f aca="false">IF(M354="","",M354-N354)</f>
        <v>0</v>
      </c>
      <c r="P354" s="8" t="n">
        <v>1</v>
      </c>
      <c r="Q354" s="36" t="n">
        <v>339.75</v>
      </c>
      <c r="R354" s="36" t="n">
        <f aca="false">IF(OR(J354="",P354=""),"",K354*N354*P354)</f>
        <v>339.75</v>
      </c>
      <c r="S354" s="36" t="n">
        <f aca="false">IF(Q354="","",Q354-R354)</f>
        <v>0</v>
      </c>
      <c r="T354" s="36" t="n">
        <f aca="false">IF(S354="","",MAX(0,-S354))</f>
        <v>-0</v>
      </c>
      <c r="U354" s="36" t="n">
        <f aca="false">IF(S354="","",MAX(0,S354))</f>
        <v>0</v>
      </c>
      <c r="V354" s="8" t="str">
        <f aca="false">IF(J354="","NOT SCORED - NO JULY MONTHLY ROW",IF(OR(ABS(L354)&gt;0.005,ABS(O354)&gt;0.005,ABS(S354)&gt;0.005),"EXCEPTION","OK"))</f>
        <v>OK</v>
      </c>
      <c r="W354" s="8" t="s">
        <v>4175</v>
      </c>
      <c r="X354" s="8" t="s">
        <v>4099</v>
      </c>
      <c r="Y354" s="36" t="n">
        <f aca="false">K354*N354</f>
        <v>339.75</v>
      </c>
    </row>
    <row r="355" customFormat="false" ht="15" hidden="false" customHeight="false" outlineLevel="0" collapsed="false">
      <c r="A355" s="11" t="s">
        <v>1672</v>
      </c>
      <c r="B355" s="11" t="s">
        <v>224</v>
      </c>
      <c r="C355" s="11" t="s">
        <v>2829</v>
      </c>
      <c r="D355" s="11" t="s">
        <v>4176</v>
      </c>
      <c r="E355" s="11" t="s">
        <v>4177</v>
      </c>
      <c r="F355" s="11" t="s">
        <v>4178</v>
      </c>
      <c r="G355" s="11" t="s">
        <v>4179</v>
      </c>
      <c r="H355" s="11" t="n">
        <v>32</v>
      </c>
      <c r="I355" s="31" t="n">
        <v>55.7</v>
      </c>
      <c r="J355" s="31" t="n">
        <v>56</v>
      </c>
      <c r="K355" s="31" t="n">
        <f aca="false">MAX(ROUNDUP(I355,0),H355)</f>
        <v>56</v>
      </c>
      <c r="L355" s="31" t="n">
        <f aca="false">IF(J355="","",J355-K355)</f>
        <v>0</v>
      </c>
      <c r="M355" s="32" t="n">
        <v>7.55</v>
      </c>
      <c r="N355" s="32" t="n">
        <f aca="false">IF(C355="covered",10.4,7.55)</f>
        <v>7.55</v>
      </c>
      <c r="O355" s="32" t="n">
        <f aca="false">IF(M355="","",M355-N355)</f>
        <v>0</v>
      </c>
      <c r="P355" s="11" t="n">
        <v>1</v>
      </c>
      <c r="Q355" s="33" t="n">
        <v>422.8</v>
      </c>
      <c r="R355" s="33" t="n">
        <f aca="false">IF(OR(J355="",P355=""),"",K355*N355*P355)</f>
        <v>422.8</v>
      </c>
      <c r="S355" s="33" t="n">
        <f aca="false">IF(Q355="","",Q355-R355)</f>
        <v>0</v>
      </c>
      <c r="T355" s="33" t="n">
        <f aca="false">IF(S355="","",MAX(0,-S355))</f>
        <v>-0</v>
      </c>
      <c r="U355" s="33" t="n">
        <f aca="false">IF(S355="","",MAX(0,S355))</f>
        <v>0</v>
      </c>
      <c r="V355" s="11" t="str">
        <f aca="false">IF(J355="","NOT SCORED - NO JULY MONTHLY ROW",IF(OR(ABS(L355)&gt;0.005,ABS(O355)&gt;0.005,ABS(S355)&gt;0.005),"EXCEPTION","OK"))</f>
        <v>OK</v>
      </c>
      <c r="W355" s="11" t="s">
        <v>4180</v>
      </c>
      <c r="X355" s="11" t="s">
        <v>4099</v>
      </c>
      <c r="Y355" s="33" t="n">
        <f aca="false">K355*N355</f>
        <v>422.8</v>
      </c>
    </row>
    <row r="356" customFormat="false" ht="15" hidden="false" customHeight="false" outlineLevel="0" collapsed="false">
      <c r="A356" s="8" t="s">
        <v>4181</v>
      </c>
      <c r="B356" s="8" t="s">
        <v>224</v>
      </c>
      <c r="C356" s="8" t="s">
        <v>2829</v>
      </c>
      <c r="D356" s="8" t="s">
        <v>3478</v>
      </c>
      <c r="E356" s="8" t="s">
        <v>4182</v>
      </c>
      <c r="F356" s="8" t="s">
        <v>4183</v>
      </c>
      <c r="G356" s="8" t="s">
        <v>4184</v>
      </c>
      <c r="H356" s="8" t="n">
        <v>36</v>
      </c>
      <c r="I356" s="34" t="n">
        <v>39.3</v>
      </c>
      <c r="J356" s="34" t="n">
        <v>40</v>
      </c>
      <c r="K356" s="34" t="n">
        <f aca="false">MAX(ROUNDUP(I356,0),H356)</f>
        <v>40</v>
      </c>
      <c r="L356" s="34" t="n">
        <f aca="false">IF(J356="","",J356-K356)</f>
        <v>0</v>
      </c>
      <c r="M356" s="35" t="n">
        <v>7.55</v>
      </c>
      <c r="N356" s="35" t="n">
        <f aca="false">IF(C356="covered",10.4,7.55)</f>
        <v>7.55</v>
      </c>
      <c r="O356" s="35" t="n">
        <f aca="false">IF(M356="","",M356-N356)</f>
        <v>0</v>
      </c>
      <c r="P356" s="8" t="n">
        <v>1</v>
      </c>
      <c r="Q356" s="36" t="n">
        <v>302</v>
      </c>
      <c r="R356" s="36" t="n">
        <f aca="false">IF(OR(J356="",P356=""),"",K356*N356*P356)</f>
        <v>302</v>
      </c>
      <c r="S356" s="36" t="n">
        <f aca="false">IF(Q356="","",Q356-R356)</f>
        <v>0</v>
      </c>
      <c r="T356" s="36" t="n">
        <f aca="false">IF(S356="","",MAX(0,-S356))</f>
        <v>-0</v>
      </c>
      <c r="U356" s="36" t="n">
        <f aca="false">IF(S356="","",MAX(0,S356))</f>
        <v>0</v>
      </c>
      <c r="V356" s="8" t="str">
        <f aca="false">IF(J356="","NOT SCORED - NO JULY MONTHLY ROW",IF(OR(ABS(L356)&gt;0.005,ABS(O356)&gt;0.005,ABS(S356)&gt;0.005),"EXCEPTION","OK"))</f>
        <v>OK</v>
      </c>
      <c r="W356" s="8" t="s">
        <v>4185</v>
      </c>
      <c r="X356" s="8" t="s">
        <v>4099</v>
      </c>
      <c r="Y356" s="36" t="n">
        <f aca="false">K356*N356</f>
        <v>302</v>
      </c>
    </row>
    <row r="357" customFormat="false" ht="15" hidden="false" customHeight="false" outlineLevel="0" collapsed="false">
      <c r="A357" s="11" t="s">
        <v>4186</v>
      </c>
      <c r="B357" s="11" t="s">
        <v>224</v>
      </c>
      <c r="C357" s="11" t="s">
        <v>2829</v>
      </c>
      <c r="D357" s="11" t="s">
        <v>3482</v>
      </c>
      <c r="E357" s="11" t="s">
        <v>4187</v>
      </c>
      <c r="F357" s="11" t="s">
        <v>4188</v>
      </c>
      <c r="G357" s="11" t="s">
        <v>4189</v>
      </c>
      <c r="H357" s="11" t="n">
        <v>32</v>
      </c>
      <c r="I357" s="31" t="n">
        <v>49.2</v>
      </c>
      <c r="J357" s="31" t="n">
        <v>50</v>
      </c>
      <c r="K357" s="31" t="n">
        <f aca="false">MAX(ROUNDUP(I357,0),H357)</f>
        <v>50</v>
      </c>
      <c r="L357" s="31" t="n">
        <f aca="false">IF(J357="","",J357-K357)</f>
        <v>0</v>
      </c>
      <c r="M357" s="32" t="n">
        <v>7.55</v>
      </c>
      <c r="N357" s="32" t="n">
        <f aca="false">IF(C357="covered",10.4,7.55)</f>
        <v>7.55</v>
      </c>
      <c r="O357" s="32" t="n">
        <f aca="false">IF(M357="","",M357-N357)</f>
        <v>0</v>
      </c>
      <c r="P357" s="11" t="n">
        <v>1</v>
      </c>
      <c r="Q357" s="33" t="n">
        <v>377.5</v>
      </c>
      <c r="R357" s="33" t="n">
        <f aca="false">IF(OR(J357="",P357=""),"",K357*N357*P357)</f>
        <v>377.5</v>
      </c>
      <c r="S357" s="33" t="n">
        <f aca="false">IF(Q357="","",Q357-R357)</f>
        <v>0</v>
      </c>
      <c r="T357" s="33" t="n">
        <f aca="false">IF(S357="","",MAX(0,-S357))</f>
        <v>-0</v>
      </c>
      <c r="U357" s="33" t="n">
        <f aca="false">IF(S357="","",MAX(0,S357))</f>
        <v>0</v>
      </c>
      <c r="V357" s="11" t="str">
        <f aca="false">IF(J357="","NOT SCORED - NO JULY MONTHLY ROW",IF(OR(ABS(L357)&gt;0.005,ABS(O357)&gt;0.005,ABS(S357)&gt;0.005),"EXCEPTION","OK"))</f>
        <v>OK</v>
      </c>
      <c r="W357" s="11" t="s">
        <v>4190</v>
      </c>
      <c r="X357" s="11" t="s">
        <v>4099</v>
      </c>
      <c r="Y357" s="33" t="n">
        <f aca="false">K357*N357</f>
        <v>377.5</v>
      </c>
    </row>
    <row r="358" customFormat="false" ht="15" hidden="false" customHeight="false" outlineLevel="0" collapsed="false">
      <c r="A358" s="8" t="s">
        <v>103</v>
      </c>
      <c r="B358" s="8" t="s">
        <v>224</v>
      </c>
      <c r="C358" s="8" t="s">
        <v>2829</v>
      </c>
      <c r="D358" s="8" t="s">
        <v>4191</v>
      </c>
      <c r="E358" s="8" t="s">
        <v>1669</v>
      </c>
      <c r="F358" s="8" t="s">
        <v>1670</v>
      </c>
      <c r="G358" s="8" t="s">
        <v>3731</v>
      </c>
      <c r="H358" s="8" t="n">
        <v>28</v>
      </c>
      <c r="I358" s="34" t="n">
        <v>34.1</v>
      </c>
      <c r="J358" s="34" t="n">
        <v>35</v>
      </c>
      <c r="K358" s="34" t="n">
        <f aca="false">MAX(ROUNDUP(I358,0),H358)</f>
        <v>35</v>
      </c>
      <c r="L358" s="34" t="n">
        <f aca="false">IF(J358="","",J358-K358)</f>
        <v>0</v>
      </c>
      <c r="M358" s="35" t="n">
        <v>7.55</v>
      </c>
      <c r="N358" s="35" t="n">
        <f aca="false">IF(C358="covered",10.4,7.55)</f>
        <v>7.55</v>
      </c>
      <c r="O358" s="35" t="n">
        <f aca="false">IF(M358="","",M358-N358)</f>
        <v>0</v>
      </c>
      <c r="P358" s="8" t="n">
        <v>1</v>
      </c>
      <c r="Q358" s="36" t="n">
        <v>264.25</v>
      </c>
      <c r="R358" s="36" t="n">
        <f aca="false">IF(OR(J358="",P358=""),"",K358*N358*P358)</f>
        <v>264.25</v>
      </c>
      <c r="S358" s="36" t="n">
        <f aca="false">IF(Q358="","",Q358-R358)</f>
        <v>0</v>
      </c>
      <c r="T358" s="36" t="n">
        <f aca="false">IF(S358="","",MAX(0,-S358))</f>
        <v>-0</v>
      </c>
      <c r="U358" s="36" t="n">
        <f aca="false">IF(S358="","",MAX(0,S358))</f>
        <v>0</v>
      </c>
      <c r="V358" s="8" t="str">
        <f aca="false">IF(J358="","NOT SCORED - NO JULY MONTHLY ROW",IF(OR(ABS(L358)&gt;0.005,ABS(O358)&gt;0.005,ABS(S358)&gt;0.005),"EXCEPTION","OK"))</f>
        <v>OK</v>
      </c>
      <c r="W358" s="8" t="s">
        <v>4192</v>
      </c>
      <c r="X358" s="8" t="s">
        <v>4099</v>
      </c>
      <c r="Y358" s="36" t="n">
        <f aca="false">K358*N358</f>
        <v>264.25</v>
      </c>
    </row>
    <row r="359" customFormat="false" ht="15" hidden="false" customHeight="false" outlineLevel="0" collapsed="false">
      <c r="A359" s="11" t="s">
        <v>4193</v>
      </c>
      <c r="B359" s="11" t="s">
        <v>224</v>
      </c>
      <c r="C359" s="11" t="s">
        <v>2829</v>
      </c>
      <c r="D359" s="11" t="s">
        <v>3487</v>
      </c>
      <c r="E359" s="11" t="s">
        <v>4194</v>
      </c>
      <c r="F359" s="11" t="s">
        <v>4195</v>
      </c>
      <c r="G359" s="11" t="s">
        <v>2887</v>
      </c>
      <c r="H359" s="11" t="n">
        <v>40</v>
      </c>
      <c r="I359" s="31" t="n">
        <v>21.1</v>
      </c>
      <c r="J359" s="31" t="n">
        <v>40</v>
      </c>
      <c r="K359" s="31" t="n">
        <f aca="false">MAX(ROUNDUP(I359,0),H359)</f>
        <v>40</v>
      </c>
      <c r="L359" s="31" t="n">
        <f aca="false">IF(J359="","",J359-K359)</f>
        <v>0</v>
      </c>
      <c r="M359" s="32" t="n">
        <v>7.55</v>
      </c>
      <c r="N359" s="32" t="n">
        <f aca="false">IF(C359="covered",10.4,7.55)</f>
        <v>7.55</v>
      </c>
      <c r="O359" s="32" t="n">
        <f aca="false">IF(M359="","",M359-N359)</f>
        <v>0</v>
      </c>
      <c r="P359" s="11" t="n">
        <v>1</v>
      </c>
      <c r="Q359" s="33" t="n">
        <v>302</v>
      </c>
      <c r="R359" s="33" t="n">
        <f aca="false">IF(OR(J359="",P359=""),"",K359*N359*P359)</f>
        <v>302</v>
      </c>
      <c r="S359" s="33" t="n">
        <f aca="false">IF(Q359="","",Q359-R359)</f>
        <v>0</v>
      </c>
      <c r="T359" s="33" t="n">
        <f aca="false">IF(S359="","",MAX(0,-S359))</f>
        <v>-0</v>
      </c>
      <c r="U359" s="33" t="n">
        <f aca="false">IF(S359="","",MAX(0,S359))</f>
        <v>0</v>
      </c>
      <c r="V359" s="11" t="str">
        <f aca="false">IF(J359="","NOT SCORED - NO JULY MONTHLY ROW",IF(OR(ABS(L359)&gt;0.005,ABS(O359)&gt;0.005,ABS(S359)&gt;0.005),"EXCEPTION","OK"))</f>
        <v>OK</v>
      </c>
      <c r="W359" s="11" t="s">
        <v>4196</v>
      </c>
      <c r="X359" s="11" t="s">
        <v>4099</v>
      </c>
      <c r="Y359" s="33" t="n">
        <f aca="false">K359*N359</f>
        <v>302</v>
      </c>
    </row>
    <row r="360" customFormat="false" ht="15" hidden="false" customHeight="false" outlineLevel="0" collapsed="false">
      <c r="A360" s="8" t="s">
        <v>4197</v>
      </c>
      <c r="B360" s="8" t="s">
        <v>224</v>
      </c>
      <c r="C360" s="8" t="s">
        <v>2829</v>
      </c>
      <c r="D360" s="8" t="s">
        <v>3494</v>
      </c>
      <c r="E360" s="8" t="s">
        <v>4198</v>
      </c>
      <c r="F360" s="8" t="s">
        <v>4199</v>
      </c>
      <c r="G360" s="8" t="s">
        <v>3819</v>
      </c>
      <c r="H360" s="8" t="n">
        <v>24</v>
      </c>
      <c r="I360" s="34" t="n">
        <v>35.2</v>
      </c>
      <c r="J360" s="34" t="n">
        <v>36</v>
      </c>
      <c r="K360" s="34" t="n">
        <f aca="false">MAX(ROUNDUP(I360,0),H360)</f>
        <v>36</v>
      </c>
      <c r="L360" s="34" t="n">
        <f aca="false">IF(J360="","",J360-K360)</f>
        <v>0</v>
      </c>
      <c r="M360" s="35" t="n">
        <v>7.55</v>
      </c>
      <c r="N360" s="35" t="n">
        <f aca="false">IF(C360="covered",10.4,7.55)</f>
        <v>7.55</v>
      </c>
      <c r="O360" s="35" t="n">
        <f aca="false">IF(M360="","",M360-N360)</f>
        <v>0</v>
      </c>
      <c r="P360" s="8" t="n">
        <v>1</v>
      </c>
      <c r="Q360" s="36" t="n">
        <v>271.8</v>
      </c>
      <c r="R360" s="36" t="n">
        <f aca="false">IF(OR(J360="",P360=""),"",K360*N360*P360)</f>
        <v>271.8</v>
      </c>
      <c r="S360" s="36" t="n">
        <f aca="false">IF(Q360="","",Q360-R360)</f>
        <v>0</v>
      </c>
      <c r="T360" s="36" t="n">
        <f aca="false">IF(S360="","",MAX(0,-S360))</f>
        <v>-0</v>
      </c>
      <c r="U360" s="36" t="n">
        <f aca="false">IF(S360="","",MAX(0,S360))</f>
        <v>0</v>
      </c>
      <c r="V360" s="8" t="str">
        <f aca="false">IF(J360="","NOT SCORED - NO JULY MONTHLY ROW",IF(OR(ABS(L360)&gt;0.005,ABS(O360)&gt;0.005,ABS(S360)&gt;0.005),"EXCEPTION","OK"))</f>
        <v>OK</v>
      </c>
      <c r="W360" s="8" t="s">
        <v>4200</v>
      </c>
      <c r="X360" s="8" t="s">
        <v>4099</v>
      </c>
      <c r="Y360" s="36" t="n">
        <f aca="false">K360*N360</f>
        <v>271.8</v>
      </c>
    </row>
    <row r="361" customFormat="false" ht="15" hidden="false" customHeight="false" outlineLevel="0" collapsed="false">
      <c r="A361" s="11" t="s">
        <v>4201</v>
      </c>
      <c r="B361" s="11" t="s">
        <v>224</v>
      </c>
      <c r="C361" s="11" t="s">
        <v>2829</v>
      </c>
      <c r="D361" s="11" t="s">
        <v>3499</v>
      </c>
      <c r="E361" s="11" t="s">
        <v>4202</v>
      </c>
      <c r="F361" s="11" t="s">
        <v>4203</v>
      </c>
      <c r="G361" s="11" t="s">
        <v>4204</v>
      </c>
      <c r="H361" s="11" t="n">
        <v>45</v>
      </c>
      <c r="I361" s="31" t="n">
        <v>42.1</v>
      </c>
      <c r="J361" s="31" t="n">
        <v>45</v>
      </c>
      <c r="K361" s="31" t="n">
        <f aca="false">MAX(ROUNDUP(I361,0),H361)</f>
        <v>45</v>
      </c>
      <c r="L361" s="31" t="n">
        <f aca="false">IF(J361="","",J361-K361)</f>
        <v>0</v>
      </c>
      <c r="M361" s="32" t="n">
        <v>7.55</v>
      </c>
      <c r="N361" s="32" t="n">
        <f aca="false">IF(C361="covered",10.4,7.55)</f>
        <v>7.55</v>
      </c>
      <c r="O361" s="32" t="n">
        <f aca="false">IF(M361="","",M361-N361)</f>
        <v>0</v>
      </c>
      <c r="P361" s="11" t="n">
        <v>1</v>
      </c>
      <c r="Q361" s="33" t="n">
        <v>339.75</v>
      </c>
      <c r="R361" s="33" t="n">
        <f aca="false">IF(OR(J361="",P361=""),"",K361*N361*P361)</f>
        <v>339.75</v>
      </c>
      <c r="S361" s="33" t="n">
        <f aca="false">IF(Q361="","",Q361-R361)</f>
        <v>0</v>
      </c>
      <c r="T361" s="33" t="n">
        <f aca="false">IF(S361="","",MAX(0,-S361))</f>
        <v>-0</v>
      </c>
      <c r="U361" s="33" t="n">
        <f aca="false">IF(S361="","",MAX(0,S361))</f>
        <v>0</v>
      </c>
      <c r="V361" s="11" t="str">
        <f aca="false">IF(J361="","NOT SCORED - NO JULY MONTHLY ROW",IF(OR(ABS(L361)&gt;0.005,ABS(O361)&gt;0.005,ABS(S361)&gt;0.005),"EXCEPTION","OK"))</f>
        <v>OK</v>
      </c>
      <c r="W361" s="11" t="s">
        <v>4205</v>
      </c>
      <c r="X361" s="11" t="s">
        <v>4099</v>
      </c>
      <c r="Y361" s="33" t="n">
        <f aca="false">K361*N361</f>
        <v>339.75</v>
      </c>
    </row>
    <row r="362" customFormat="false" ht="15" hidden="false" customHeight="false" outlineLevel="0" collapsed="false">
      <c r="A362" s="8" t="s">
        <v>4206</v>
      </c>
      <c r="B362" s="8" t="s">
        <v>224</v>
      </c>
      <c r="C362" s="8" t="s">
        <v>2829</v>
      </c>
      <c r="D362" s="8" t="s">
        <v>3502</v>
      </c>
      <c r="E362" s="8" t="s">
        <v>4207</v>
      </c>
      <c r="F362" s="8" t="s">
        <v>4208</v>
      </c>
      <c r="G362" s="8" t="s">
        <v>4209</v>
      </c>
      <c r="H362" s="8" t="n">
        <v>32</v>
      </c>
      <c r="I362" s="34" t="n">
        <v>24.5</v>
      </c>
      <c r="J362" s="34" t="n">
        <v>32</v>
      </c>
      <c r="K362" s="34" t="n">
        <f aca="false">MAX(ROUNDUP(I362,0),H362)</f>
        <v>32</v>
      </c>
      <c r="L362" s="34" t="n">
        <f aca="false">IF(J362="","",J362-K362)</f>
        <v>0</v>
      </c>
      <c r="M362" s="35" t="n">
        <v>7.55</v>
      </c>
      <c r="N362" s="35" t="n">
        <f aca="false">IF(C362="covered",10.4,7.55)</f>
        <v>7.55</v>
      </c>
      <c r="O362" s="35" t="n">
        <f aca="false">IF(M362="","",M362-N362)</f>
        <v>0</v>
      </c>
      <c r="P362" s="8" t="n">
        <v>1</v>
      </c>
      <c r="Q362" s="36" t="n">
        <v>241.6</v>
      </c>
      <c r="R362" s="36" t="n">
        <f aca="false">IF(OR(J362="",P362=""),"",K362*N362*P362)</f>
        <v>241.6</v>
      </c>
      <c r="S362" s="36" t="n">
        <f aca="false">IF(Q362="","",Q362-R362)</f>
        <v>0</v>
      </c>
      <c r="T362" s="36" t="n">
        <f aca="false">IF(S362="","",MAX(0,-S362))</f>
        <v>-0</v>
      </c>
      <c r="U362" s="36" t="n">
        <f aca="false">IF(S362="","",MAX(0,S362))</f>
        <v>0</v>
      </c>
      <c r="V362" s="8" t="str">
        <f aca="false">IF(J362="","NOT SCORED - NO JULY MONTHLY ROW",IF(OR(ABS(L362)&gt;0.005,ABS(O362)&gt;0.005,ABS(S362)&gt;0.005),"EXCEPTION","OK"))</f>
        <v>OK</v>
      </c>
      <c r="W362" s="8" t="s">
        <v>4210</v>
      </c>
      <c r="X362" s="8" t="s">
        <v>4099</v>
      </c>
      <c r="Y362" s="36" t="n">
        <f aca="false">K362*N362</f>
        <v>241.6</v>
      </c>
    </row>
    <row r="363" customFormat="false" ht="15" hidden="false" customHeight="false" outlineLevel="0" collapsed="false">
      <c r="A363" s="11" t="s">
        <v>1416</v>
      </c>
      <c r="B363" s="11" t="s">
        <v>224</v>
      </c>
      <c r="C363" s="11" t="s">
        <v>2829</v>
      </c>
      <c r="D363" s="11" t="s">
        <v>3505</v>
      </c>
      <c r="E363" s="11" t="s">
        <v>4211</v>
      </c>
      <c r="F363" s="11" t="s">
        <v>4212</v>
      </c>
      <c r="G363" s="11" t="s">
        <v>3222</v>
      </c>
      <c r="H363" s="11" t="n">
        <v>36</v>
      </c>
      <c r="I363" s="31" t="n">
        <v>30.4</v>
      </c>
      <c r="J363" s="31" t="n">
        <v>36</v>
      </c>
      <c r="K363" s="31" t="n">
        <f aca="false">MAX(ROUNDUP(I363,0),H363)</f>
        <v>36</v>
      </c>
      <c r="L363" s="31" t="n">
        <f aca="false">IF(J363="","",J363-K363)</f>
        <v>0</v>
      </c>
      <c r="M363" s="32" t="n">
        <v>7.55</v>
      </c>
      <c r="N363" s="32" t="n">
        <f aca="false">IF(C363="covered",10.4,7.55)</f>
        <v>7.55</v>
      </c>
      <c r="O363" s="32" t="n">
        <f aca="false">IF(M363="","",M363-N363)</f>
        <v>0</v>
      </c>
      <c r="P363" s="11" t="n">
        <v>1</v>
      </c>
      <c r="Q363" s="33" t="n">
        <v>271.8</v>
      </c>
      <c r="R363" s="33" t="n">
        <f aca="false">IF(OR(J363="",P363=""),"",K363*N363*P363)</f>
        <v>271.8</v>
      </c>
      <c r="S363" s="33" t="n">
        <f aca="false">IF(Q363="","",Q363-R363)</f>
        <v>0</v>
      </c>
      <c r="T363" s="33" t="n">
        <f aca="false">IF(S363="","",MAX(0,-S363))</f>
        <v>-0</v>
      </c>
      <c r="U363" s="33" t="n">
        <f aca="false">IF(S363="","",MAX(0,S363))</f>
        <v>0</v>
      </c>
      <c r="V363" s="11" t="str">
        <f aca="false">IF(J363="","NOT SCORED - NO JULY MONTHLY ROW",IF(OR(ABS(L363)&gt;0.005,ABS(O363)&gt;0.005,ABS(S363)&gt;0.005),"EXCEPTION","OK"))</f>
        <v>OK</v>
      </c>
      <c r="W363" s="11" t="s">
        <v>4213</v>
      </c>
      <c r="X363" s="11" t="s">
        <v>4099</v>
      </c>
      <c r="Y363" s="33" t="n">
        <f aca="false">K363*N363</f>
        <v>271.8</v>
      </c>
    </row>
    <row r="364" customFormat="false" ht="15" hidden="false" customHeight="false" outlineLevel="0" collapsed="false">
      <c r="A364" s="8" t="s">
        <v>4214</v>
      </c>
      <c r="B364" s="8" t="s">
        <v>224</v>
      </c>
      <c r="C364" s="8" t="s">
        <v>2829</v>
      </c>
      <c r="D364" s="8" t="s">
        <v>3508</v>
      </c>
      <c r="E364" s="8" t="s">
        <v>4215</v>
      </c>
      <c r="F364" s="8" t="s">
        <v>4216</v>
      </c>
      <c r="G364" s="8" t="s">
        <v>3622</v>
      </c>
      <c r="H364" s="8" t="n">
        <v>24</v>
      </c>
      <c r="I364" s="34" t="n">
        <v>39.6</v>
      </c>
      <c r="J364" s="34" t="n">
        <v>40</v>
      </c>
      <c r="K364" s="34" t="n">
        <f aca="false">MAX(ROUNDUP(I364,0),H364)</f>
        <v>40</v>
      </c>
      <c r="L364" s="34" t="n">
        <f aca="false">IF(J364="","",J364-K364)</f>
        <v>0</v>
      </c>
      <c r="M364" s="35" t="n">
        <v>7.55</v>
      </c>
      <c r="N364" s="35" t="n">
        <f aca="false">IF(C364="covered",10.4,7.55)</f>
        <v>7.55</v>
      </c>
      <c r="O364" s="35" t="n">
        <f aca="false">IF(M364="","",M364-N364)</f>
        <v>0</v>
      </c>
      <c r="P364" s="8" t="n">
        <v>1</v>
      </c>
      <c r="Q364" s="36" t="n">
        <v>302</v>
      </c>
      <c r="R364" s="36" t="n">
        <f aca="false">IF(OR(J364="",P364=""),"",K364*N364*P364)</f>
        <v>302</v>
      </c>
      <c r="S364" s="36" t="n">
        <f aca="false">IF(Q364="","",Q364-R364)</f>
        <v>0</v>
      </c>
      <c r="T364" s="36" t="n">
        <f aca="false">IF(S364="","",MAX(0,-S364))</f>
        <v>-0</v>
      </c>
      <c r="U364" s="36" t="n">
        <f aca="false">IF(S364="","",MAX(0,S364))</f>
        <v>0</v>
      </c>
      <c r="V364" s="8" t="str">
        <f aca="false">IF(J364="","NOT SCORED - NO JULY MONTHLY ROW",IF(OR(ABS(L364)&gt;0.005,ABS(O364)&gt;0.005,ABS(S364)&gt;0.005),"EXCEPTION","OK"))</f>
        <v>OK</v>
      </c>
      <c r="W364" s="8" t="s">
        <v>4217</v>
      </c>
      <c r="X364" s="8" t="s">
        <v>4099</v>
      </c>
      <c r="Y364" s="36" t="n">
        <f aca="false">K364*N364</f>
        <v>302</v>
      </c>
    </row>
    <row r="365" customFormat="false" ht="15" hidden="false" customHeight="false" outlineLevel="0" collapsed="false">
      <c r="A365" s="11" t="s">
        <v>4218</v>
      </c>
      <c r="B365" s="11" t="s">
        <v>224</v>
      </c>
      <c r="C365" s="11" t="s">
        <v>2829</v>
      </c>
      <c r="D365" s="11" t="s">
        <v>3513</v>
      </c>
      <c r="E365" s="11" t="s">
        <v>4219</v>
      </c>
      <c r="F365" s="11" t="s">
        <v>4220</v>
      </c>
      <c r="G365" s="11" t="s">
        <v>3903</v>
      </c>
      <c r="H365" s="11" t="n">
        <v>50</v>
      </c>
      <c r="I365" s="31" t="n">
        <v>41.5</v>
      </c>
      <c r="J365" s="31" t="n">
        <v>50</v>
      </c>
      <c r="K365" s="31" t="n">
        <f aca="false">MAX(ROUNDUP(I365,0),H365)</f>
        <v>50</v>
      </c>
      <c r="L365" s="31" t="n">
        <f aca="false">IF(J365="","",J365-K365)</f>
        <v>0</v>
      </c>
      <c r="M365" s="32" t="n">
        <v>7.55</v>
      </c>
      <c r="N365" s="32" t="n">
        <f aca="false">IF(C365="covered",10.4,7.55)</f>
        <v>7.55</v>
      </c>
      <c r="O365" s="32" t="n">
        <f aca="false">IF(M365="","",M365-N365)</f>
        <v>0</v>
      </c>
      <c r="P365" s="11" t="n">
        <v>1</v>
      </c>
      <c r="Q365" s="33" t="n">
        <v>377.5</v>
      </c>
      <c r="R365" s="33" t="n">
        <f aca="false">IF(OR(J365="",P365=""),"",K365*N365*P365)</f>
        <v>377.5</v>
      </c>
      <c r="S365" s="33" t="n">
        <f aca="false">IF(Q365="","",Q365-R365)</f>
        <v>0</v>
      </c>
      <c r="T365" s="33" t="n">
        <f aca="false">IF(S365="","",MAX(0,-S365))</f>
        <v>-0</v>
      </c>
      <c r="U365" s="33" t="n">
        <f aca="false">IF(S365="","",MAX(0,S365))</f>
        <v>0</v>
      </c>
      <c r="V365" s="11" t="str">
        <f aca="false">IF(J365="","NOT SCORED - NO JULY MONTHLY ROW",IF(OR(ABS(L365)&gt;0.005,ABS(O365)&gt;0.005,ABS(S365)&gt;0.005),"EXCEPTION","OK"))</f>
        <v>OK</v>
      </c>
      <c r="W365" s="11" t="s">
        <v>4221</v>
      </c>
      <c r="X365" s="11" t="s">
        <v>4099</v>
      </c>
      <c r="Y365" s="33" t="n">
        <f aca="false">K365*N365</f>
        <v>377.5</v>
      </c>
    </row>
    <row r="366" customFormat="false" ht="15" hidden="false" customHeight="false" outlineLevel="0" collapsed="false">
      <c r="A366" s="8" t="s">
        <v>4222</v>
      </c>
      <c r="B366" s="8" t="s">
        <v>224</v>
      </c>
      <c r="C366" s="8" t="s">
        <v>2829</v>
      </c>
      <c r="D366" s="8" t="s">
        <v>3518</v>
      </c>
      <c r="E366" s="8" t="s">
        <v>4223</v>
      </c>
      <c r="F366" s="8" t="s">
        <v>4224</v>
      </c>
      <c r="G366" s="8" t="s">
        <v>4225</v>
      </c>
      <c r="H366" s="8" t="n">
        <v>32</v>
      </c>
      <c r="I366" s="34" t="n">
        <v>19.5</v>
      </c>
      <c r="J366" s="34" t="n">
        <v>32</v>
      </c>
      <c r="K366" s="34" t="n">
        <f aca="false">MAX(ROUNDUP(I366,0),H366)</f>
        <v>32</v>
      </c>
      <c r="L366" s="34" t="n">
        <f aca="false">IF(J366="","",J366-K366)</f>
        <v>0</v>
      </c>
      <c r="M366" s="35" t="n">
        <v>7.55</v>
      </c>
      <c r="N366" s="35" t="n">
        <f aca="false">IF(C366="covered",10.4,7.55)</f>
        <v>7.55</v>
      </c>
      <c r="O366" s="35" t="n">
        <f aca="false">IF(M366="","",M366-N366)</f>
        <v>0</v>
      </c>
      <c r="P366" s="8" t="n">
        <v>1</v>
      </c>
      <c r="Q366" s="36" t="n">
        <v>241.6</v>
      </c>
      <c r="R366" s="36" t="n">
        <f aca="false">IF(OR(J366="",P366=""),"",K366*N366*P366)</f>
        <v>241.6</v>
      </c>
      <c r="S366" s="36" t="n">
        <f aca="false">IF(Q366="","",Q366-R366)</f>
        <v>0</v>
      </c>
      <c r="T366" s="36" t="n">
        <f aca="false">IF(S366="","",MAX(0,-S366))</f>
        <v>-0</v>
      </c>
      <c r="U366" s="36" t="n">
        <f aca="false">IF(S366="","",MAX(0,S366))</f>
        <v>0</v>
      </c>
      <c r="V366" s="8" t="str">
        <f aca="false">IF(J366="","NOT SCORED - NO JULY MONTHLY ROW",IF(OR(ABS(L366)&gt;0.005,ABS(O366)&gt;0.005,ABS(S366)&gt;0.005),"EXCEPTION","OK"))</f>
        <v>OK</v>
      </c>
      <c r="W366" s="8" t="s">
        <v>4226</v>
      </c>
      <c r="X366" s="8" t="s">
        <v>4099</v>
      </c>
      <c r="Y366" s="36" t="n">
        <f aca="false">K366*N366</f>
        <v>241.6</v>
      </c>
    </row>
    <row r="367" customFormat="false" ht="15" hidden="false" customHeight="false" outlineLevel="0" collapsed="false">
      <c r="A367" s="11" t="s">
        <v>4227</v>
      </c>
      <c r="B367" s="11" t="s">
        <v>224</v>
      </c>
      <c r="C367" s="11" t="s">
        <v>2829</v>
      </c>
      <c r="D367" s="11" t="s">
        <v>3523</v>
      </c>
      <c r="E367" s="11" t="s">
        <v>4228</v>
      </c>
      <c r="F367" s="11" t="s">
        <v>4229</v>
      </c>
      <c r="G367" s="11" t="s">
        <v>4230</v>
      </c>
      <c r="H367" s="11" t="n">
        <v>60</v>
      </c>
      <c r="I367" s="31" t="n">
        <v>23.2</v>
      </c>
      <c r="J367" s="31" t="n">
        <v>60</v>
      </c>
      <c r="K367" s="31" t="n">
        <f aca="false">MAX(ROUNDUP(I367,0),H367)</f>
        <v>60</v>
      </c>
      <c r="L367" s="31" t="n">
        <f aca="false">IF(J367="","",J367-K367)</f>
        <v>0</v>
      </c>
      <c r="M367" s="32" t="n">
        <v>7.55</v>
      </c>
      <c r="N367" s="32" t="n">
        <f aca="false">IF(C367="covered",10.4,7.55)</f>
        <v>7.55</v>
      </c>
      <c r="O367" s="32" t="n">
        <f aca="false">IF(M367="","",M367-N367)</f>
        <v>0</v>
      </c>
      <c r="P367" s="11" t="n">
        <v>1</v>
      </c>
      <c r="Q367" s="33" t="n">
        <v>453</v>
      </c>
      <c r="R367" s="33" t="n">
        <f aca="false">IF(OR(J367="",P367=""),"",K367*N367*P367)</f>
        <v>453</v>
      </c>
      <c r="S367" s="33" t="n">
        <f aca="false">IF(Q367="","",Q367-R367)</f>
        <v>0</v>
      </c>
      <c r="T367" s="33" t="n">
        <f aca="false">IF(S367="","",MAX(0,-S367))</f>
        <v>-0</v>
      </c>
      <c r="U367" s="33" t="n">
        <f aca="false">IF(S367="","",MAX(0,S367))</f>
        <v>0</v>
      </c>
      <c r="V367" s="11" t="str">
        <f aca="false">IF(J367="","NOT SCORED - NO JULY MONTHLY ROW",IF(OR(ABS(L367)&gt;0.005,ABS(O367)&gt;0.005,ABS(S367)&gt;0.005),"EXCEPTION","OK"))</f>
        <v>OK</v>
      </c>
      <c r="W367" s="11" t="s">
        <v>4231</v>
      </c>
      <c r="X367" s="11" t="s">
        <v>4099</v>
      </c>
      <c r="Y367" s="33" t="n">
        <f aca="false">K367*N367</f>
        <v>453</v>
      </c>
    </row>
    <row r="368" customFormat="false" ht="15" hidden="false" customHeight="false" outlineLevel="0" collapsed="false">
      <c r="A368" s="8" t="s">
        <v>4232</v>
      </c>
      <c r="B368" s="8" t="s">
        <v>224</v>
      </c>
      <c r="C368" s="8" t="s">
        <v>2829</v>
      </c>
      <c r="D368" s="8" t="s">
        <v>3528</v>
      </c>
      <c r="E368" s="8" t="s">
        <v>4233</v>
      </c>
      <c r="F368" s="8" t="s">
        <v>4234</v>
      </c>
      <c r="G368" s="8" t="s">
        <v>4235</v>
      </c>
      <c r="H368" s="8" t="n">
        <v>32</v>
      </c>
      <c r="I368" s="34" t="n">
        <v>20.4</v>
      </c>
      <c r="J368" s="34" t="n">
        <v>32</v>
      </c>
      <c r="K368" s="34" t="n">
        <f aca="false">MAX(ROUNDUP(I368,0),H368)</f>
        <v>32</v>
      </c>
      <c r="L368" s="34" t="n">
        <f aca="false">IF(J368="","",J368-K368)</f>
        <v>0</v>
      </c>
      <c r="M368" s="35" t="n">
        <v>7.55</v>
      </c>
      <c r="N368" s="35" t="n">
        <f aca="false">IF(C368="covered",10.4,7.55)</f>
        <v>7.55</v>
      </c>
      <c r="O368" s="35" t="n">
        <f aca="false">IF(M368="","",M368-N368)</f>
        <v>0</v>
      </c>
      <c r="P368" s="8" t="n">
        <v>1</v>
      </c>
      <c r="Q368" s="36" t="n">
        <v>241.6</v>
      </c>
      <c r="R368" s="36" t="n">
        <f aca="false">IF(OR(J368="",P368=""),"",K368*N368*P368)</f>
        <v>241.6</v>
      </c>
      <c r="S368" s="36" t="n">
        <f aca="false">IF(Q368="","",Q368-R368)</f>
        <v>0</v>
      </c>
      <c r="T368" s="36" t="n">
        <f aca="false">IF(S368="","",MAX(0,-S368))</f>
        <v>-0</v>
      </c>
      <c r="U368" s="36" t="n">
        <f aca="false">IF(S368="","",MAX(0,S368))</f>
        <v>0</v>
      </c>
      <c r="V368" s="8" t="str">
        <f aca="false">IF(J368="","NOT SCORED - NO JULY MONTHLY ROW",IF(OR(ABS(L368)&gt;0.005,ABS(O368)&gt;0.005,ABS(S368)&gt;0.005),"EXCEPTION","OK"))</f>
        <v>OK</v>
      </c>
      <c r="W368" s="8" t="s">
        <v>4236</v>
      </c>
      <c r="X368" s="8" t="s">
        <v>4099</v>
      </c>
      <c r="Y368" s="36" t="n">
        <f aca="false">K368*N368</f>
        <v>241.6</v>
      </c>
    </row>
    <row r="369" customFormat="false" ht="15" hidden="false" customHeight="false" outlineLevel="0" collapsed="false">
      <c r="A369" s="11" t="s">
        <v>4237</v>
      </c>
      <c r="B369" s="11" t="s">
        <v>224</v>
      </c>
      <c r="C369" s="11" t="s">
        <v>2829</v>
      </c>
      <c r="D369" s="11" t="s">
        <v>3532</v>
      </c>
      <c r="E369" s="11" t="s">
        <v>4238</v>
      </c>
      <c r="F369" s="11" t="s">
        <v>4239</v>
      </c>
      <c r="G369" s="11" t="s">
        <v>4240</v>
      </c>
      <c r="H369" s="11" t="n">
        <v>50</v>
      </c>
      <c r="I369" s="31" t="n">
        <v>42.6</v>
      </c>
      <c r="J369" s="31" t="n">
        <v>50</v>
      </c>
      <c r="K369" s="31" t="n">
        <f aca="false">MAX(ROUNDUP(I369,0),H369)</f>
        <v>50</v>
      </c>
      <c r="L369" s="31" t="n">
        <f aca="false">IF(J369="","",J369-K369)</f>
        <v>0</v>
      </c>
      <c r="M369" s="32" t="n">
        <v>7.55</v>
      </c>
      <c r="N369" s="32" t="n">
        <f aca="false">IF(C369="covered",10.4,7.55)</f>
        <v>7.55</v>
      </c>
      <c r="O369" s="32" t="n">
        <f aca="false">IF(M369="","",M369-N369)</f>
        <v>0</v>
      </c>
      <c r="P369" s="11" t="n">
        <v>1</v>
      </c>
      <c r="Q369" s="33" t="n">
        <v>377.5</v>
      </c>
      <c r="R369" s="33" t="n">
        <f aca="false">IF(OR(J369="",P369=""),"",K369*N369*P369)</f>
        <v>377.5</v>
      </c>
      <c r="S369" s="33" t="n">
        <f aca="false">IF(Q369="","",Q369-R369)</f>
        <v>0</v>
      </c>
      <c r="T369" s="33" t="n">
        <f aca="false">IF(S369="","",MAX(0,-S369))</f>
        <v>-0</v>
      </c>
      <c r="U369" s="33" t="n">
        <f aca="false">IF(S369="","",MAX(0,S369))</f>
        <v>0</v>
      </c>
      <c r="V369" s="11" t="str">
        <f aca="false">IF(J369="","NOT SCORED - NO JULY MONTHLY ROW",IF(OR(ABS(L369)&gt;0.005,ABS(O369)&gt;0.005,ABS(S369)&gt;0.005),"EXCEPTION","OK"))</f>
        <v>OK</v>
      </c>
      <c r="W369" s="11" t="s">
        <v>4241</v>
      </c>
      <c r="X369" s="11" t="s">
        <v>4099</v>
      </c>
      <c r="Y369" s="33" t="n">
        <f aca="false">K369*N369</f>
        <v>377.5</v>
      </c>
    </row>
    <row r="370" customFormat="false" ht="15" hidden="false" customHeight="false" outlineLevel="0" collapsed="false">
      <c r="A370" s="8" t="s">
        <v>4242</v>
      </c>
      <c r="B370" s="8" t="s">
        <v>224</v>
      </c>
      <c r="C370" s="8" t="s">
        <v>2829</v>
      </c>
      <c r="D370" s="8" t="s">
        <v>3537</v>
      </c>
      <c r="E370" s="8" t="s">
        <v>771</v>
      </c>
      <c r="F370" s="8" t="s">
        <v>772</v>
      </c>
      <c r="G370" s="8" t="s">
        <v>2943</v>
      </c>
      <c r="H370" s="8" t="n">
        <v>32</v>
      </c>
      <c r="I370" s="34" t="n">
        <v>32.9</v>
      </c>
      <c r="J370" s="34" t="n">
        <v>33</v>
      </c>
      <c r="K370" s="34" t="n">
        <f aca="false">MAX(ROUNDUP(I370,0),H370)</f>
        <v>33</v>
      </c>
      <c r="L370" s="34" t="n">
        <f aca="false">IF(J370="","",J370-K370)</f>
        <v>0</v>
      </c>
      <c r="M370" s="35" t="n">
        <v>7.55</v>
      </c>
      <c r="N370" s="35" t="n">
        <f aca="false">IF(C370="covered",10.4,7.55)</f>
        <v>7.55</v>
      </c>
      <c r="O370" s="35" t="n">
        <f aca="false">IF(M370="","",M370-N370)</f>
        <v>0</v>
      </c>
      <c r="P370" s="8" t="n">
        <v>1</v>
      </c>
      <c r="Q370" s="36" t="n">
        <v>249.15</v>
      </c>
      <c r="R370" s="36" t="n">
        <f aca="false">IF(OR(J370="",P370=""),"",K370*N370*P370)</f>
        <v>249.15</v>
      </c>
      <c r="S370" s="36" t="n">
        <f aca="false">IF(Q370="","",Q370-R370)</f>
        <v>0</v>
      </c>
      <c r="T370" s="36" t="n">
        <f aca="false">IF(S370="","",MAX(0,-S370))</f>
        <v>-0</v>
      </c>
      <c r="U370" s="36" t="n">
        <f aca="false">IF(S370="","",MAX(0,S370))</f>
        <v>0</v>
      </c>
      <c r="V370" s="8" t="str">
        <f aca="false">IF(J370="","NOT SCORED - NO JULY MONTHLY ROW",IF(OR(ABS(L370)&gt;0.005,ABS(O370)&gt;0.005,ABS(S370)&gt;0.005),"EXCEPTION","OK"))</f>
        <v>OK</v>
      </c>
      <c r="W370" s="8" t="s">
        <v>4243</v>
      </c>
      <c r="X370" s="8" t="s">
        <v>4099</v>
      </c>
      <c r="Y370" s="36" t="n">
        <f aca="false">K370*N370</f>
        <v>249.15</v>
      </c>
    </row>
    <row r="371" customFormat="false" ht="15" hidden="false" customHeight="false" outlineLevel="0" collapsed="false">
      <c r="A371" s="11" t="s">
        <v>4244</v>
      </c>
      <c r="B371" s="11" t="s">
        <v>224</v>
      </c>
      <c r="C371" s="11" t="s">
        <v>2829</v>
      </c>
      <c r="D371" s="11" t="s">
        <v>3542</v>
      </c>
      <c r="E371" s="11" t="s">
        <v>4245</v>
      </c>
      <c r="F371" s="11" t="s">
        <v>4246</v>
      </c>
      <c r="G371" s="11" t="s">
        <v>3833</v>
      </c>
      <c r="H371" s="11" t="n">
        <v>36</v>
      </c>
      <c r="I371" s="31" t="n">
        <v>23</v>
      </c>
      <c r="J371" s="31" t="n">
        <v>36</v>
      </c>
      <c r="K371" s="31" t="n">
        <f aca="false">MAX(ROUNDUP(I371,0),H371)</f>
        <v>36</v>
      </c>
      <c r="L371" s="31" t="n">
        <f aca="false">IF(J371="","",J371-K371)</f>
        <v>0</v>
      </c>
      <c r="M371" s="32" t="n">
        <v>7.55</v>
      </c>
      <c r="N371" s="32" t="n">
        <f aca="false">IF(C371="covered",10.4,7.55)</f>
        <v>7.55</v>
      </c>
      <c r="O371" s="32" t="n">
        <f aca="false">IF(M371="","",M371-N371)</f>
        <v>0</v>
      </c>
      <c r="P371" s="11" t="n">
        <v>1</v>
      </c>
      <c r="Q371" s="33" t="n">
        <v>271.8</v>
      </c>
      <c r="R371" s="33" t="n">
        <f aca="false">IF(OR(J371="",P371=""),"",K371*N371*P371)</f>
        <v>271.8</v>
      </c>
      <c r="S371" s="33" t="n">
        <f aca="false">IF(Q371="","",Q371-R371)</f>
        <v>0</v>
      </c>
      <c r="T371" s="33" t="n">
        <f aca="false">IF(S371="","",MAX(0,-S371))</f>
        <v>-0</v>
      </c>
      <c r="U371" s="33" t="n">
        <f aca="false">IF(S371="","",MAX(0,S371))</f>
        <v>0</v>
      </c>
      <c r="V371" s="11" t="str">
        <f aca="false">IF(J371="","NOT SCORED - NO JULY MONTHLY ROW",IF(OR(ABS(L371)&gt;0.005,ABS(O371)&gt;0.005,ABS(S371)&gt;0.005),"EXCEPTION","OK"))</f>
        <v>OK</v>
      </c>
      <c r="W371" s="11" t="s">
        <v>4247</v>
      </c>
      <c r="X371" s="11" t="s">
        <v>4099</v>
      </c>
      <c r="Y371" s="33" t="n">
        <f aca="false">K371*N371</f>
        <v>271.8</v>
      </c>
    </row>
    <row r="372" customFormat="false" ht="15" hidden="false" customHeight="false" outlineLevel="0" collapsed="false">
      <c r="A372" s="8" t="s">
        <v>4248</v>
      </c>
      <c r="B372" s="8" t="s">
        <v>224</v>
      </c>
      <c r="C372" s="8" t="s">
        <v>2829</v>
      </c>
      <c r="D372" s="8" t="s">
        <v>3546</v>
      </c>
      <c r="E372" s="8" t="s">
        <v>4249</v>
      </c>
      <c r="F372" s="8" t="s">
        <v>4250</v>
      </c>
      <c r="G372" s="8" t="s">
        <v>4251</v>
      </c>
      <c r="H372" s="8" t="n">
        <v>70</v>
      </c>
      <c r="I372" s="34" t="n">
        <v>21.3</v>
      </c>
      <c r="J372" s="34" t="n">
        <v>70</v>
      </c>
      <c r="K372" s="34" t="n">
        <f aca="false">MAX(ROUNDUP(I372,0),H372)</f>
        <v>70</v>
      </c>
      <c r="L372" s="34" t="n">
        <f aca="false">IF(J372="","",J372-K372)</f>
        <v>0</v>
      </c>
      <c r="M372" s="35" t="n">
        <v>7.55</v>
      </c>
      <c r="N372" s="35" t="n">
        <f aca="false">IF(C372="covered",10.4,7.55)</f>
        <v>7.55</v>
      </c>
      <c r="O372" s="35" t="n">
        <f aca="false">IF(M372="","",M372-N372)</f>
        <v>0</v>
      </c>
      <c r="P372" s="8" t="n">
        <v>1</v>
      </c>
      <c r="Q372" s="36" t="n">
        <v>528.5</v>
      </c>
      <c r="R372" s="36" t="n">
        <f aca="false">IF(OR(J372="",P372=""),"",K372*N372*P372)</f>
        <v>528.5</v>
      </c>
      <c r="S372" s="36" t="n">
        <f aca="false">IF(Q372="","",Q372-R372)</f>
        <v>0</v>
      </c>
      <c r="T372" s="36" t="n">
        <f aca="false">IF(S372="","",MAX(0,-S372))</f>
        <v>-0</v>
      </c>
      <c r="U372" s="36" t="n">
        <f aca="false">IF(S372="","",MAX(0,S372))</f>
        <v>0</v>
      </c>
      <c r="V372" s="8" t="str">
        <f aca="false">IF(J372="","NOT SCORED - NO JULY MONTHLY ROW",IF(OR(ABS(L372)&gt;0.005,ABS(O372)&gt;0.005,ABS(S372)&gt;0.005),"EXCEPTION","OK"))</f>
        <v>OK</v>
      </c>
      <c r="W372" s="8" t="s">
        <v>4252</v>
      </c>
      <c r="X372" s="8" t="s">
        <v>4099</v>
      </c>
      <c r="Y372" s="36" t="n">
        <f aca="false">K372*N372</f>
        <v>528.5</v>
      </c>
    </row>
    <row r="373" customFormat="false" ht="15" hidden="false" customHeight="false" outlineLevel="0" collapsed="false">
      <c r="A373" s="11" t="s">
        <v>4253</v>
      </c>
      <c r="B373" s="11" t="s">
        <v>224</v>
      </c>
      <c r="C373" s="11" t="s">
        <v>2829</v>
      </c>
      <c r="D373" s="11" t="s">
        <v>3551</v>
      </c>
      <c r="E373" s="11" t="s">
        <v>4254</v>
      </c>
      <c r="F373" s="11" t="s">
        <v>4255</v>
      </c>
      <c r="G373" s="11" t="s">
        <v>4256</v>
      </c>
      <c r="H373" s="11" t="n">
        <v>40</v>
      </c>
      <c r="I373" s="31" t="n">
        <v>22.1</v>
      </c>
      <c r="J373" s="31" t="n">
        <v>40</v>
      </c>
      <c r="K373" s="31" t="n">
        <f aca="false">MAX(ROUNDUP(I373,0),H373)</f>
        <v>40</v>
      </c>
      <c r="L373" s="31" t="n">
        <f aca="false">IF(J373="","",J373-K373)</f>
        <v>0</v>
      </c>
      <c r="M373" s="32" t="n">
        <v>7.55</v>
      </c>
      <c r="N373" s="32" t="n">
        <f aca="false">IF(C373="covered",10.4,7.55)</f>
        <v>7.55</v>
      </c>
      <c r="O373" s="32" t="n">
        <f aca="false">IF(M373="","",M373-N373)</f>
        <v>0</v>
      </c>
      <c r="P373" s="11" t="n">
        <v>1</v>
      </c>
      <c r="Q373" s="33" t="n">
        <v>302</v>
      </c>
      <c r="R373" s="33" t="n">
        <f aca="false">IF(OR(J373="",P373=""),"",K373*N373*P373)</f>
        <v>302</v>
      </c>
      <c r="S373" s="33" t="n">
        <f aca="false">IF(Q373="","",Q373-R373)</f>
        <v>0</v>
      </c>
      <c r="T373" s="33" t="n">
        <f aca="false">IF(S373="","",MAX(0,-S373))</f>
        <v>-0</v>
      </c>
      <c r="U373" s="33" t="n">
        <f aca="false">IF(S373="","",MAX(0,S373))</f>
        <v>0</v>
      </c>
      <c r="V373" s="11" t="str">
        <f aca="false">IF(J373="","NOT SCORED - NO JULY MONTHLY ROW",IF(OR(ABS(L373)&gt;0.005,ABS(O373)&gt;0.005,ABS(S373)&gt;0.005),"EXCEPTION","OK"))</f>
        <v>OK</v>
      </c>
      <c r="W373" s="11" t="s">
        <v>4257</v>
      </c>
      <c r="X373" s="11" t="s">
        <v>4099</v>
      </c>
      <c r="Y373" s="33" t="n">
        <f aca="false">K373*N373</f>
        <v>302</v>
      </c>
    </row>
    <row r="374" customFormat="false" ht="15" hidden="false" customHeight="false" outlineLevel="0" collapsed="false">
      <c r="A374" s="8" t="s">
        <v>4258</v>
      </c>
      <c r="B374" s="8" t="s">
        <v>224</v>
      </c>
      <c r="C374" s="8" t="s">
        <v>2829</v>
      </c>
      <c r="D374" s="8" t="s">
        <v>4259</v>
      </c>
      <c r="E374" s="8" t="s">
        <v>4260</v>
      </c>
      <c r="F374" s="8" t="s">
        <v>4261</v>
      </c>
      <c r="G374" s="8" t="s">
        <v>4027</v>
      </c>
      <c r="H374" s="8" t="n">
        <v>28</v>
      </c>
      <c r="I374" s="34" t="n">
        <v>57.1</v>
      </c>
      <c r="J374" s="34" t="n">
        <v>58</v>
      </c>
      <c r="K374" s="34" t="n">
        <f aca="false">MAX(ROUNDUP(I374,0),H374)</f>
        <v>58</v>
      </c>
      <c r="L374" s="34" t="n">
        <f aca="false">IF(J374="","",J374-K374)</f>
        <v>0</v>
      </c>
      <c r="M374" s="35" t="n">
        <v>7.55</v>
      </c>
      <c r="N374" s="35" t="n">
        <f aca="false">IF(C374="covered",10.4,7.55)</f>
        <v>7.55</v>
      </c>
      <c r="O374" s="35" t="n">
        <f aca="false">IF(M374="","",M374-N374)</f>
        <v>0</v>
      </c>
      <c r="P374" s="8" t="n">
        <v>1</v>
      </c>
      <c r="Q374" s="36" t="n">
        <v>437.9</v>
      </c>
      <c r="R374" s="36" t="n">
        <f aca="false">IF(OR(J374="",P374=""),"",K374*N374*P374)</f>
        <v>437.9</v>
      </c>
      <c r="S374" s="36" t="n">
        <f aca="false">IF(Q374="","",Q374-R374)</f>
        <v>0</v>
      </c>
      <c r="T374" s="36" t="n">
        <f aca="false">IF(S374="","",MAX(0,-S374))</f>
        <v>-0</v>
      </c>
      <c r="U374" s="36" t="n">
        <f aca="false">IF(S374="","",MAX(0,S374))</f>
        <v>0</v>
      </c>
      <c r="V374" s="8" t="str">
        <f aca="false">IF(J374="","NOT SCORED - NO JULY MONTHLY ROW",IF(OR(ABS(L374)&gt;0.005,ABS(O374)&gt;0.005,ABS(S374)&gt;0.005),"EXCEPTION","OK"))</f>
        <v>OK</v>
      </c>
      <c r="W374" s="8" t="s">
        <v>4262</v>
      </c>
      <c r="X374" s="8" t="s">
        <v>4099</v>
      </c>
      <c r="Y374" s="36" t="n">
        <f aca="false">K374*N374</f>
        <v>437.9</v>
      </c>
    </row>
    <row r="375" customFormat="false" ht="15" hidden="false" customHeight="false" outlineLevel="0" collapsed="false">
      <c r="A375" s="11" t="s">
        <v>4263</v>
      </c>
      <c r="B375" s="11" t="s">
        <v>224</v>
      </c>
      <c r="C375" s="11" t="s">
        <v>2829</v>
      </c>
      <c r="D375" s="11" t="s">
        <v>3554</v>
      </c>
      <c r="E375" s="11" t="s">
        <v>4264</v>
      </c>
      <c r="F375" s="11" t="s">
        <v>4265</v>
      </c>
      <c r="G375" s="11" t="s">
        <v>3561</v>
      </c>
      <c r="H375" s="11" t="n">
        <v>24</v>
      </c>
      <c r="I375" s="31" t="n">
        <v>29.3</v>
      </c>
      <c r="J375" s="31" t="n">
        <v>30</v>
      </c>
      <c r="K375" s="31" t="n">
        <f aca="false">MAX(ROUNDUP(I375,0),H375)</f>
        <v>30</v>
      </c>
      <c r="L375" s="31" t="n">
        <f aca="false">IF(J375="","",J375-K375)</f>
        <v>0</v>
      </c>
      <c r="M375" s="32" t="n">
        <v>7.55</v>
      </c>
      <c r="N375" s="32" t="n">
        <f aca="false">IF(C375="covered",10.4,7.55)</f>
        <v>7.55</v>
      </c>
      <c r="O375" s="32" t="n">
        <f aca="false">IF(M375="","",M375-N375)</f>
        <v>0</v>
      </c>
      <c r="P375" s="11" t="n">
        <v>1</v>
      </c>
      <c r="Q375" s="33" t="n">
        <v>226.5</v>
      </c>
      <c r="R375" s="33" t="n">
        <f aca="false">IF(OR(J375="",P375=""),"",K375*N375*P375)</f>
        <v>226.5</v>
      </c>
      <c r="S375" s="33" t="n">
        <f aca="false">IF(Q375="","",Q375-R375)</f>
        <v>0</v>
      </c>
      <c r="T375" s="33" t="n">
        <f aca="false">IF(S375="","",MAX(0,-S375))</f>
        <v>-0</v>
      </c>
      <c r="U375" s="33" t="n">
        <f aca="false">IF(S375="","",MAX(0,S375))</f>
        <v>0</v>
      </c>
      <c r="V375" s="11" t="str">
        <f aca="false">IF(J375="","NOT SCORED - NO JULY MONTHLY ROW",IF(OR(ABS(L375)&gt;0.005,ABS(O375)&gt;0.005,ABS(S375)&gt;0.005),"EXCEPTION","OK"))</f>
        <v>OK</v>
      </c>
      <c r="W375" s="11" t="s">
        <v>4266</v>
      </c>
      <c r="X375" s="11" t="s">
        <v>4099</v>
      </c>
      <c r="Y375" s="33" t="n">
        <f aca="false">K375*N375</f>
        <v>226.5</v>
      </c>
    </row>
    <row r="376" customFormat="false" ht="15" hidden="false" customHeight="false" outlineLevel="0" collapsed="false">
      <c r="A376" s="8" t="s">
        <v>4267</v>
      </c>
      <c r="B376" s="8" t="s">
        <v>224</v>
      </c>
      <c r="C376" s="8" t="s">
        <v>2829</v>
      </c>
      <c r="D376" s="8" t="s">
        <v>3558</v>
      </c>
      <c r="E376" s="8" t="s">
        <v>4268</v>
      </c>
      <c r="F376" s="8" t="s">
        <v>4269</v>
      </c>
      <c r="G376" s="8" t="s">
        <v>3149</v>
      </c>
      <c r="H376" s="8" t="n">
        <v>36</v>
      </c>
      <c r="I376" s="34" t="n">
        <v>19</v>
      </c>
      <c r="J376" s="34" t="n">
        <v>36</v>
      </c>
      <c r="K376" s="34" t="n">
        <f aca="false">MAX(ROUNDUP(I376,0),H376)</f>
        <v>36</v>
      </c>
      <c r="L376" s="34" t="n">
        <f aca="false">IF(J376="","",J376-K376)</f>
        <v>0</v>
      </c>
      <c r="M376" s="35" t="n">
        <v>7.55</v>
      </c>
      <c r="N376" s="35" t="n">
        <f aca="false">IF(C376="covered",10.4,7.55)</f>
        <v>7.55</v>
      </c>
      <c r="O376" s="35" t="n">
        <f aca="false">IF(M376="","",M376-N376)</f>
        <v>0</v>
      </c>
      <c r="P376" s="8" t="n">
        <v>1</v>
      </c>
      <c r="Q376" s="36" t="n">
        <v>271.8</v>
      </c>
      <c r="R376" s="36" t="n">
        <f aca="false">IF(OR(J376="",P376=""),"",K376*N376*P376)</f>
        <v>271.8</v>
      </c>
      <c r="S376" s="36" t="n">
        <f aca="false">IF(Q376="","",Q376-R376)</f>
        <v>0</v>
      </c>
      <c r="T376" s="36" t="n">
        <f aca="false">IF(S376="","",MAX(0,-S376))</f>
        <v>-0</v>
      </c>
      <c r="U376" s="36" t="n">
        <f aca="false">IF(S376="","",MAX(0,S376))</f>
        <v>0</v>
      </c>
      <c r="V376" s="8" t="str">
        <f aca="false">IF(J376="","NOT SCORED - NO JULY MONTHLY ROW",IF(OR(ABS(L376)&gt;0.005,ABS(O376)&gt;0.005,ABS(S376)&gt;0.005),"EXCEPTION","OK"))</f>
        <v>OK</v>
      </c>
      <c r="W376" s="8" t="s">
        <v>4270</v>
      </c>
      <c r="X376" s="8" t="s">
        <v>4099</v>
      </c>
      <c r="Y376" s="36" t="n">
        <f aca="false">K376*N376</f>
        <v>271.8</v>
      </c>
    </row>
    <row r="377" customFormat="false" ht="15" hidden="false" customHeight="false" outlineLevel="0" collapsed="false">
      <c r="A377" s="11" t="s">
        <v>4271</v>
      </c>
      <c r="B377" s="11" t="s">
        <v>224</v>
      </c>
      <c r="C377" s="11" t="s">
        <v>2829</v>
      </c>
      <c r="D377" s="11" t="s">
        <v>3563</v>
      </c>
      <c r="E377" s="11" t="s">
        <v>4272</v>
      </c>
      <c r="F377" s="11" t="s">
        <v>4273</v>
      </c>
      <c r="G377" s="11" t="s">
        <v>4184</v>
      </c>
      <c r="H377" s="11" t="n">
        <v>24</v>
      </c>
      <c r="I377" s="31" t="n">
        <v>49.6</v>
      </c>
      <c r="J377" s="31" t="n">
        <v>50</v>
      </c>
      <c r="K377" s="31" t="n">
        <f aca="false">MAX(ROUNDUP(I377,0),H377)</f>
        <v>50</v>
      </c>
      <c r="L377" s="31" t="n">
        <f aca="false">IF(J377="","",J377-K377)</f>
        <v>0</v>
      </c>
      <c r="M377" s="32" t="n">
        <v>7.55</v>
      </c>
      <c r="N377" s="32" t="n">
        <f aca="false">IF(C377="covered",10.4,7.55)</f>
        <v>7.55</v>
      </c>
      <c r="O377" s="32" t="n">
        <f aca="false">IF(M377="","",M377-N377)</f>
        <v>0</v>
      </c>
      <c r="P377" s="11" t="n">
        <v>1</v>
      </c>
      <c r="Q377" s="33" t="n">
        <v>377.5</v>
      </c>
      <c r="R377" s="33" t="n">
        <f aca="false">IF(OR(J377="",P377=""),"",K377*N377*P377)</f>
        <v>377.5</v>
      </c>
      <c r="S377" s="33" t="n">
        <f aca="false">IF(Q377="","",Q377-R377)</f>
        <v>0</v>
      </c>
      <c r="T377" s="33" t="n">
        <f aca="false">IF(S377="","",MAX(0,-S377))</f>
        <v>-0</v>
      </c>
      <c r="U377" s="33" t="n">
        <f aca="false">IF(S377="","",MAX(0,S377))</f>
        <v>0</v>
      </c>
      <c r="V377" s="11" t="str">
        <f aca="false">IF(J377="","NOT SCORED - NO JULY MONTHLY ROW",IF(OR(ABS(L377)&gt;0.005,ABS(O377)&gt;0.005,ABS(S377)&gt;0.005),"EXCEPTION","OK"))</f>
        <v>OK</v>
      </c>
      <c r="W377" s="11" t="s">
        <v>4274</v>
      </c>
      <c r="X377" s="11" t="s">
        <v>4099</v>
      </c>
      <c r="Y377" s="33" t="n">
        <f aca="false">K377*N377</f>
        <v>377.5</v>
      </c>
    </row>
    <row r="378" customFormat="false" ht="15" hidden="false" customHeight="false" outlineLevel="0" collapsed="false">
      <c r="A378" s="8" t="s">
        <v>4275</v>
      </c>
      <c r="B378" s="8" t="s">
        <v>224</v>
      </c>
      <c r="C378" s="8" t="s">
        <v>2829</v>
      </c>
      <c r="D378" s="8" t="s">
        <v>3571</v>
      </c>
      <c r="E378" s="8" t="s">
        <v>4276</v>
      </c>
      <c r="F378" s="8" t="s">
        <v>4277</v>
      </c>
      <c r="G378" s="8" t="s">
        <v>2952</v>
      </c>
      <c r="H378" s="8" t="n">
        <v>40</v>
      </c>
      <c r="I378" s="34" t="n">
        <v>49.2</v>
      </c>
      <c r="J378" s="34" t="n">
        <v>50</v>
      </c>
      <c r="K378" s="34" t="n">
        <f aca="false">MAX(ROUNDUP(I378,0),H378)</f>
        <v>50</v>
      </c>
      <c r="L378" s="34" t="n">
        <f aca="false">IF(J378="","",J378-K378)</f>
        <v>0</v>
      </c>
      <c r="M378" s="35" t="n">
        <v>7.55</v>
      </c>
      <c r="N378" s="35" t="n">
        <f aca="false">IF(C378="covered",10.4,7.55)</f>
        <v>7.55</v>
      </c>
      <c r="O378" s="35" t="n">
        <f aca="false">IF(M378="","",M378-N378)</f>
        <v>0</v>
      </c>
      <c r="P378" s="8" t="n">
        <v>1</v>
      </c>
      <c r="Q378" s="36" t="n">
        <v>377.5</v>
      </c>
      <c r="R378" s="36" t="n">
        <f aca="false">IF(OR(J378="",P378=""),"",K378*N378*P378)</f>
        <v>377.5</v>
      </c>
      <c r="S378" s="36" t="n">
        <f aca="false">IF(Q378="","",Q378-R378)</f>
        <v>0</v>
      </c>
      <c r="T378" s="36" t="n">
        <f aca="false">IF(S378="","",MAX(0,-S378))</f>
        <v>-0</v>
      </c>
      <c r="U378" s="36" t="n">
        <f aca="false">IF(S378="","",MAX(0,S378))</f>
        <v>0</v>
      </c>
      <c r="V378" s="8" t="str">
        <f aca="false">IF(J378="","NOT SCORED - NO JULY MONTHLY ROW",IF(OR(ABS(L378)&gt;0.005,ABS(O378)&gt;0.005,ABS(S378)&gt;0.005),"EXCEPTION","OK"))</f>
        <v>OK</v>
      </c>
      <c r="W378" s="8" t="s">
        <v>4278</v>
      </c>
      <c r="X378" s="8" t="s">
        <v>4099</v>
      </c>
      <c r="Y378" s="36" t="n">
        <f aca="false">K378*N378</f>
        <v>377.5</v>
      </c>
    </row>
    <row r="379" customFormat="false" ht="15" hidden="false" customHeight="false" outlineLevel="0" collapsed="false">
      <c r="A379" s="11" t="s">
        <v>4279</v>
      </c>
      <c r="B379" s="11" t="s">
        <v>224</v>
      </c>
      <c r="C379" s="11" t="s">
        <v>2829</v>
      </c>
      <c r="D379" s="11" t="s">
        <v>3575</v>
      </c>
      <c r="E379" s="11" t="s">
        <v>4280</v>
      </c>
      <c r="F379" s="11" t="s">
        <v>4281</v>
      </c>
      <c r="G379" s="11" t="s">
        <v>4282</v>
      </c>
      <c r="H379" s="11" t="n">
        <v>40</v>
      </c>
      <c r="I379" s="31" t="n">
        <v>29.4</v>
      </c>
      <c r="J379" s="31" t="n">
        <v>40</v>
      </c>
      <c r="K379" s="31" t="n">
        <f aca="false">MAX(ROUNDUP(I379,0),H379)</f>
        <v>40</v>
      </c>
      <c r="L379" s="31" t="n">
        <f aca="false">IF(J379="","",J379-K379)</f>
        <v>0</v>
      </c>
      <c r="M379" s="32" t="n">
        <v>7.55</v>
      </c>
      <c r="N379" s="32" t="n">
        <f aca="false">IF(C379="covered",10.4,7.55)</f>
        <v>7.55</v>
      </c>
      <c r="O379" s="32" t="n">
        <f aca="false">IF(M379="","",M379-N379)</f>
        <v>0</v>
      </c>
      <c r="P379" s="11" t="n">
        <v>1</v>
      </c>
      <c r="Q379" s="33" t="n">
        <v>302</v>
      </c>
      <c r="R379" s="33" t="n">
        <f aca="false">IF(OR(J379="",P379=""),"",K379*N379*P379)</f>
        <v>302</v>
      </c>
      <c r="S379" s="33" t="n">
        <f aca="false">IF(Q379="","",Q379-R379)</f>
        <v>0</v>
      </c>
      <c r="T379" s="33" t="n">
        <f aca="false">IF(S379="","",MAX(0,-S379))</f>
        <v>-0</v>
      </c>
      <c r="U379" s="33" t="n">
        <f aca="false">IF(S379="","",MAX(0,S379))</f>
        <v>0</v>
      </c>
      <c r="V379" s="11" t="str">
        <f aca="false">IF(J379="","NOT SCORED - NO JULY MONTHLY ROW",IF(OR(ABS(L379)&gt;0.005,ABS(O379)&gt;0.005,ABS(S379)&gt;0.005),"EXCEPTION","OK"))</f>
        <v>OK</v>
      </c>
      <c r="W379" s="11" t="s">
        <v>4283</v>
      </c>
      <c r="X379" s="11" t="s">
        <v>4099</v>
      </c>
      <c r="Y379" s="33" t="n">
        <f aca="false">K379*N379</f>
        <v>302</v>
      </c>
    </row>
    <row r="380" customFormat="false" ht="15" hidden="false" customHeight="false" outlineLevel="0" collapsed="false">
      <c r="A380" s="8" t="s">
        <v>379</v>
      </c>
      <c r="B380" s="8" t="s">
        <v>224</v>
      </c>
      <c r="C380" s="8" t="s">
        <v>2829</v>
      </c>
      <c r="D380" s="8" t="s">
        <v>3580</v>
      </c>
      <c r="E380" s="8" t="s">
        <v>4284</v>
      </c>
      <c r="F380" s="8" t="s">
        <v>4285</v>
      </c>
      <c r="G380" s="8" t="s">
        <v>3313</v>
      </c>
      <c r="H380" s="8" t="n">
        <v>36</v>
      </c>
      <c r="I380" s="34" t="n">
        <v>39.1</v>
      </c>
      <c r="J380" s="34" t="n">
        <v>40</v>
      </c>
      <c r="K380" s="34" t="n">
        <f aca="false">MAX(ROUNDUP(I380,0),H380)</f>
        <v>40</v>
      </c>
      <c r="L380" s="34" t="n">
        <f aca="false">IF(J380="","",J380-K380)</f>
        <v>0</v>
      </c>
      <c r="M380" s="35" t="n">
        <v>7.55</v>
      </c>
      <c r="N380" s="35" t="n">
        <f aca="false">IF(C380="covered",10.4,7.55)</f>
        <v>7.55</v>
      </c>
      <c r="O380" s="35" t="n">
        <f aca="false">IF(M380="","",M380-N380)</f>
        <v>0</v>
      </c>
      <c r="P380" s="8" t="n">
        <v>1</v>
      </c>
      <c r="Q380" s="36" t="n">
        <v>302</v>
      </c>
      <c r="R380" s="36" t="n">
        <f aca="false">IF(OR(J380="",P380=""),"",K380*N380*P380)</f>
        <v>302</v>
      </c>
      <c r="S380" s="36" t="n">
        <f aca="false">IF(Q380="","",Q380-R380)</f>
        <v>0</v>
      </c>
      <c r="T380" s="36" t="n">
        <f aca="false">IF(S380="","",MAX(0,-S380))</f>
        <v>-0</v>
      </c>
      <c r="U380" s="36" t="n">
        <f aca="false">IF(S380="","",MAX(0,S380))</f>
        <v>0</v>
      </c>
      <c r="V380" s="8" t="str">
        <f aca="false">IF(J380="","NOT SCORED - NO JULY MONTHLY ROW",IF(OR(ABS(L380)&gt;0.005,ABS(O380)&gt;0.005,ABS(S380)&gt;0.005),"EXCEPTION","OK"))</f>
        <v>OK</v>
      </c>
      <c r="W380" s="8" t="s">
        <v>4286</v>
      </c>
      <c r="X380" s="8" t="s">
        <v>4099</v>
      </c>
      <c r="Y380" s="36" t="n">
        <f aca="false">K380*N380</f>
        <v>302</v>
      </c>
    </row>
    <row r="381" customFormat="false" ht="15" hidden="false" customHeight="false" outlineLevel="0" collapsed="false">
      <c r="A381" s="11" t="s">
        <v>4287</v>
      </c>
      <c r="B381" s="11" t="s">
        <v>224</v>
      </c>
      <c r="C381" s="11" t="s">
        <v>2829</v>
      </c>
      <c r="D381" s="11" t="s">
        <v>3584</v>
      </c>
      <c r="E381" s="11" t="s">
        <v>4288</v>
      </c>
      <c r="F381" s="11" t="s">
        <v>4289</v>
      </c>
      <c r="G381" s="11" t="s">
        <v>4290</v>
      </c>
      <c r="H381" s="11" t="n">
        <v>40</v>
      </c>
      <c r="I381" s="31" t="n">
        <v>61.9</v>
      </c>
      <c r="J381" s="31" t="n">
        <v>62</v>
      </c>
      <c r="K381" s="31" t="n">
        <f aca="false">MAX(ROUNDUP(I381,0),H381)</f>
        <v>62</v>
      </c>
      <c r="L381" s="31" t="n">
        <f aca="false">IF(J381="","",J381-K381)</f>
        <v>0</v>
      </c>
      <c r="M381" s="32" t="n">
        <v>7.55</v>
      </c>
      <c r="N381" s="32" t="n">
        <f aca="false">IF(C381="covered",10.4,7.55)</f>
        <v>7.55</v>
      </c>
      <c r="O381" s="32" t="n">
        <f aca="false">IF(M381="","",M381-N381)</f>
        <v>0</v>
      </c>
      <c r="P381" s="11" t="n">
        <v>1</v>
      </c>
      <c r="Q381" s="33" t="n">
        <v>468.1</v>
      </c>
      <c r="R381" s="33" t="n">
        <f aca="false">IF(OR(J381="",P381=""),"",K381*N381*P381)</f>
        <v>468.1</v>
      </c>
      <c r="S381" s="33" t="n">
        <f aca="false">IF(Q381="","",Q381-R381)</f>
        <v>0</v>
      </c>
      <c r="T381" s="33" t="n">
        <f aca="false">IF(S381="","",MAX(0,-S381))</f>
        <v>-0</v>
      </c>
      <c r="U381" s="33" t="n">
        <f aca="false">IF(S381="","",MAX(0,S381))</f>
        <v>0</v>
      </c>
      <c r="V381" s="11" t="str">
        <f aca="false">IF(J381="","NOT SCORED - NO JULY MONTHLY ROW",IF(OR(ABS(L381)&gt;0.005,ABS(O381)&gt;0.005,ABS(S381)&gt;0.005),"EXCEPTION","OK"))</f>
        <v>OK</v>
      </c>
      <c r="W381" s="11" t="s">
        <v>4291</v>
      </c>
      <c r="X381" s="11" t="s">
        <v>4099</v>
      </c>
      <c r="Y381" s="33" t="n">
        <f aca="false">K381*N381</f>
        <v>468.1</v>
      </c>
    </row>
    <row r="382" customFormat="false" ht="15" hidden="false" customHeight="false" outlineLevel="0" collapsed="false">
      <c r="A382" s="8" t="s">
        <v>979</v>
      </c>
      <c r="B382" s="8" t="s">
        <v>224</v>
      </c>
      <c r="C382" s="8" t="s">
        <v>2829</v>
      </c>
      <c r="D382" s="8" t="s">
        <v>3588</v>
      </c>
      <c r="E382" s="8" t="s">
        <v>4292</v>
      </c>
      <c r="F382" s="8" t="s">
        <v>4293</v>
      </c>
      <c r="G382" s="8" t="s">
        <v>4162</v>
      </c>
      <c r="H382" s="8" t="n">
        <v>50</v>
      </c>
      <c r="I382" s="34" t="n">
        <v>21</v>
      </c>
      <c r="J382" s="34" t="n">
        <v>50</v>
      </c>
      <c r="K382" s="34" t="n">
        <f aca="false">MAX(ROUNDUP(I382,0),H382)</f>
        <v>50</v>
      </c>
      <c r="L382" s="34" t="n">
        <f aca="false">IF(J382="","",J382-K382)</f>
        <v>0</v>
      </c>
      <c r="M382" s="35" t="n">
        <v>7.55</v>
      </c>
      <c r="N382" s="35" t="n">
        <f aca="false">IF(C382="covered",10.4,7.55)</f>
        <v>7.55</v>
      </c>
      <c r="O382" s="35" t="n">
        <f aca="false">IF(M382="","",M382-N382)</f>
        <v>0</v>
      </c>
      <c r="P382" s="8" t="n">
        <v>1</v>
      </c>
      <c r="Q382" s="36" t="n">
        <v>377.5</v>
      </c>
      <c r="R382" s="36" t="n">
        <f aca="false">IF(OR(J382="",P382=""),"",K382*N382*P382)</f>
        <v>377.5</v>
      </c>
      <c r="S382" s="36" t="n">
        <f aca="false">IF(Q382="","",Q382-R382)</f>
        <v>0</v>
      </c>
      <c r="T382" s="36" t="n">
        <f aca="false">IF(S382="","",MAX(0,-S382))</f>
        <v>-0</v>
      </c>
      <c r="U382" s="36" t="n">
        <f aca="false">IF(S382="","",MAX(0,S382))</f>
        <v>0</v>
      </c>
      <c r="V382" s="8" t="str">
        <f aca="false">IF(J382="","NOT SCORED - NO JULY MONTHLY ROW",IF(OR(ABS(L382)&gt;0.005,ABS(O382)&gt;0.005,ABS(S382)&gt;0.005),"EXCEPTION","OK"))</f>
        <v>OK</v>
      </c>
      <c r="W382" s="8" t="s">
        <v>4294</v>
      </c>
      <c r="X382" s="8" t="s">
        <v>4099</v>
      </c>
      <c r="Y382" s="36" t="n">
        <f aca="false">K382*N382</f>
        <v>377.5</v>
      </c>
    </row>
    <row r="383" customFormat="false" ht="15" hidden="false" customHeight="false" outlineLevel="0" collapsed="false">
      <c r="A383" s="11" t="s">
        <v>4295</v>
      </c>
      <c r="B383" s="11" t="s">
        <v>224</v>
      </c>
      <c r="C383" s="11" t="s">
        <v>2829</v>
      </c>
      <c r="D383" s="11" t="s">
        <v>3591</v>
      </c>
      <c r="E383" s="11" t="s">
        <v>4296</v>
      </c>
      <c r="F383" s="11" t="s">
        <v>4297</v>
      </c>
      <c r="G383" s="11" t="s">
        <v>3692</v>
      </c>
      <c r="H383" s="11" t="n">
        <v>70</v>
      </c>
      <c r="I383" s="31" t="n">
        <v>19.3</v>
      </c>
      <c r="J383" s="31" t="n">
        <v>70</v>
      </c>
      <c r="K383" s="31" t="n">
        <f aca="false">MAX(ROUNDUP(I383,0),H383)</f>
        <v>70</v>
      </c>
      <c r="L383" s="31" t="n">
        <f aca="false">IF(J383="","",J383-K383)</f>
        <v>0</v>
      </c>
      <c r="M383" s="32" t="n">
        <v>7.55</v>
      </c>
      <c r="N383" s="32" t="n">
        <f aca="false">IF(C383="covered",10.4,7.55)</f>
        <v>7.55</v>
      </c>
      <c r="O383" s="32" t="n">
        <f aca="false">IF(M383="","",M383-N383)</f>
        <v>0</v>
      </c>
      <c r="P383" s="11" t="n">
        <v>1</v>
      </c>
      <c r="Q383" s="33" t="n">
        <v>528.5</v>
      </c>
      <c r="R383" s="33" t="n">
        <f aca="false">IF(OR(J383="",P383=""),"",K383*N383*P383)</f>
        <v>528.5</v>
      </c>
      <c r="S383" s="33" t="n">
        <f aca="false">IF(Q383="","",Q383-R383)</f>
        <v>0</v>
      </c>
      <c r="T383" s="33" t="n">
        <f aca="false">IF(S383="","",MAX(0,-S383))</f>
        <v>-0</v>
      </c>
      <c r="U383" s="33" t="n">
        <f aca="false">IF(S383="","",MAX(0,S383))</f>
        <v>0</v>
      </c>
      <c r="V383" s="11" t="str">
        <f aca="false">IF(J383="","NOT SCORED - NO JULY MONTHLY ROW",IF(OR(ABS(L383)&gt;0.005,ABS(O383)&gt;0.005,ABS(S383)&gt;0.005),"EXCEPTION","OK"))</f>
        <v>OK</v>
      </c>
      <c r="W383" s="11" t="s">
        <v>4298</v>
      </c>
      <c r="X383" s="11" t="s">
        <v>4099</v>
      </c>
      <c r="Y383" s="33" t="n">
        <f aca="false">K383*N383</f>
        <v>528.5</v>
      </c>
    </row>
    <row r="384" customFormat="false" ht="15" hidden="false" customHeight="false" outlineLevel="0" collapsed="false">
      <c r="A384" s="8" t="s">
        <v>4299</v>
      </c>
      <c r="B384" s="8" t="s">
        <v>224</v>
      </c>
      <c r="C384" s="8" t="s">
        <v>2829</v>
      </c>
      <c r="D384" s="8" t="s">
        <v>3596</v>
      </c>
      <c r="E384" s="8" t="s">
        <v>2186</v>
      </c>
      <c r="F384" s="8" t="s">
        <v>4300</v>
      </c>
      <c r="G384" s="8" t="s">
        <v>3774</v>
      </c>
      <c r="H384" s="8" t="n">
        <v>28</v>
      </c>
      <c r="I384" s="34" t="n">
        <v>26.7</v>
      </c>
      <c r="J384" s="34" t="n">
        <v>28</v>
      </c>
      <c r="K384" s="34" t="n">
        <f aca="false">MAX(ROUNDUP(I384,0),H384)</f>
        <v>28</v>
      </c>
      <c r="L384" s="34" t="n">
        <f aca="false">IF(J384="","",J384-K384)</f>
        <v>0</v>
      </c>
      <c r="M384" s="35" t="n">
        <v>7.55</v>
      </c>
      <c r="N384" s="35" t="n">
        <f aca="false">IF(C384="covered",10.4,7.55)</f>
        <v>7.55</v>
      </c>
      <c r="O384" s="35" t="n">
        <f aca="false">IF(M384="","",M384-N384)</f>
        <v>0</v>
      </c>
      <c r="P384" s="8" t="n">
        <v>1</v>
      </c>
      <c r="Q384" s="36" t="n">
        <v>211.4</v>
      </c>
      <c r="R384" s="36" t="n">
        <f aca="false">IF(OR(J384="",P384=""),"",K384*N384*P384)</f>
        <v>211.4</v>
      </c>
      <c r="S384" s="36" t="n">
        <f aca="false">IF(Q384="","",Q384-R384)</f>
        <v>0</v>
      </c>
      <c r="T384" s="36" t="n">
        <f aca="false">IF(S384="","",MAX(0,-S384))</f>
        <v>-0</v>
      </c>
      <c r="U384" s="36" t="n">
        <f aca="false">IF(S384="","",MAX(0,S384))</f>
        <v>0</v>
      </c>
      <c r="V384" s="8" t="str">
        <f aca="false">IF(J384="","NOT SCORED - NO JULY MONTHLY ROW",IF(OR(ABS(L384)&gt;0.005,ABS(O384)&gt;0.005,ABS(S384)&gt;0.005),"EXCEPTION","OK"))</f>
        <v>OK</v>
      </c>
      <c r="W384" s="8" t="s">
        <v>4301</v>
      </c>
      <c r="X384" s="8" t="s">
        <v>4099</v>
      </c>
      <c r="Y384" s="36" t="n">
        <f aca="false">K384*N384</f>
        <v>211.4</v>
      </c>
    </row>
    <row r="385" customFormat="false" ht="15" hidden="false" customHeight="false" outlineLevel="0" collapsed="false">
      <c r="A385" s="11" t="s">
        <v>4302</v>
      </c>
      <c r="B385" s="11" t="s">
        <v>224</v>
      </c>
      <c r="C385" s="11" t="s">
        <v>2829</v>
      </c>
      <c r="D385" s="11" t="s">
        <v>3601</v>
      </c>
      <c r="E385" s="11" t="s">
        <v>4303</v>
      </c>
      <c r="F385" s="11" t="s">
        <v>4304</v>
      </c>
      <c r="G385" s="11" t="s">
        <v>3507</v>
      </c>
      <c r="H385" s="11" t="n">
        <v>50</v>
      </c>
      <c r="I385" s="31" t="n">
        <v>43.4</v>
      </c>
      <c r="J385" s="31" t="n">
        <v>50</v>
      </c>
      <c r="K385" s="31" t="n">
        <f aca="false">MAX(ROUNDUP(I385,0),H385)</f>
        <v>50</v>
      </c>
      <c r="L385" s="31" t="n">
        <f aca="false">IF(J385="","",J385-K385)</f>
        <v>0</v>
      </c>
      <c r="M385" s="32" t="n">
        <v>7.55</v>
      </c>
      <c r="N385" s="32" t="n">
        <f aca="false">IF(C385="covered",10.4,7.55)</f>
        <v>7.55</v>
      </c>
      <c r="O385" s="32" t="n">
        <f aca="false">IF(M385="","",M385-N385)</f>
        <v>0</v>
      </c>
      <c r="P385" s="11" t="n">
        <v>1</v>
      </c>
      <c r="Q385" s="33" t="n">
        <v>377.5</v>
      </c>
      <c r="R385" s="33" t="n">
        <f aca="false">IF(OR(J385="",P385=""),"",K385*N385*P385)</f>
        <v>377.5</v>
      </c>
      <c r="S385" s="33" t="n">
        <f aca="false">IF(Q385="","",Q385-R385)</f>
        <v>0</v>
      </c>
      <c r="T385" s="33" t="n">
        <f aca="false">IF(S385="","",MAX(0,-S385))</f>
        <v>-0</v>
      </c>
      <c r="U385" s="33" t="n">
        <f aca="false">IF(S385="","",MAX(0,S385))</f>
        <v>0</v>
      </c>
      <c r="V385" s="11" t="str">
        <f aca="false">IF(J385="","NOT SCORED - NO JULY MONTHLY ROW",IF(OR(ABS(L385)&gt;0.005,ABS(O385)&gt;0.005,ABS(S385)&gt;0.005),"EXCEPTION","OK"))</f>
        <v>OK</v>
      </c>
      <c r="W385" s="11" t="s">
        <v>4305</v>
      </c>
      <c r="X385" s="11" t="s">
        <v>4099</v>
      </c>
      <c r="Y385" s="33" t="n">
        <f aca="false">K385*N385</f>
        <v>377.5</v>
      </c>
    </row>
    <row r="386" customFormat="false" ht="15" hidden="false" customHeight="false" outlineLevel="0" collapsed="false">
      <c r="A386" s="8" t="s">
        <v>4306</v>
      </c>
      <c r="B386" s="8" t="s">
        <v>224</v>
      </c>
      <c r="C386" s="8" t="s">
        <v>2829</v>
      </c>
      <c r="D386" s="8" t="s">
        <v>3606</v>
      </c>
      <c r="E386" s="8" t="s">
        <v>4307</v>
      </c>
      <c r="F386" s="8" t="s">
        <v>4308</v>
      </c>
      <c r="G386" s="8" t="s">
        <v>4309</v>
      </c>
      <c r="H386" s="8" t="n">
        <v>32</v>
      </c>
      <c r="I386" s="34" t="n">
        <v>22.3</v>
      </c>
      <c r="J386" s="34" t="n">
        <v>32</v>
      </c>
      <c r="K386" s="34" t="n">
        <f aca="false">MAX(ROUNDUP(I386,0),H386)</f>
        <v>32</v>
      </c>
      <c r="L386" s="34" t="n">
        <f aca="false">IF(J386="","",J386-K386)</f>
        <v>0</v>
      </c>
      <c r="M386" s="35" t="n">
        <v>7.55</v>
      </c>
      <c r="N386" s="35" t="n">
        <f aca="false">IF(C386="covered",10.4,7.55)</f>
        <v>7.55</v>
      </c>
      <c r="O386" s="35" t="n">
        <f aca="false">IF(M386="","",M386-N386)</f>
        <v>0</v>
      </c>
      <c r="P386" s="8" t="n">
        <v>1</v>
      </c>
      <c r="Q386" s="36" t="n">
        <v>241.6</v>
      </c>
      <c r="R386" s="36" t="n">
        <f aca="false">IF(OR(J386="",P386=""),"",K386*N386*P386)</f>
        <v>241.6</v>
      </c>
      <c r="S386" s="36" t="n">
        <f aca="false">IF(Q386="","",Q386-R386)</f>
        <v>0</v>
      </c>
      <c r="T386" s="36" t="n">
        <f aca="false">IF(S386="","",MAX(0,-S386))</f>
        <v>-0</v>
      </c>
      <c r="U386" s="36" t="n">
        <f aca="false">IF(S386="","",MAX(0,S386))</f>
        <v>0</v>
      </c>
      <c r="V386" s="8" t="str">
        <f aca="false">IF(J386="","NOT SCORED - NO JULY MONTHLY ROW",IF(OR(ABS(L386)&gt;0.005,ABS(O386)&gt;0.005,ABS(S386)&gt;0.005),"EXCEPTION","OK"))</f>
        <v>OK</v>
      </c>
      <c r="W386" s="8" t="s">
        <v>4310</v>
      </c>
      <c r="X386" s="8" t="s">
        <v>4099</v>
      </c>
      <c r="Y386" s="36" t="n">
        <f aca="false">K386*N386</f>
        <v>241.6</v>
      </c>
    </row>
    <row r="387" customFormat="false" ht="15" hidden="false" customHeight="false" outlineLevel="0" collapsed="false">
      <c r="A387" s="11" t="s">
        <v>4311</v>
      </c>
      <c r="B387" s="11" t="s">
        <v>224</v>
      </c>
      <c r="C387" s="11" t="s">
        <v>2829</v>
      </c>
      <c r="D387" s="11" t="s">
        <v>3611</v>
      </c>
      <c r="E387" s="11" t="s">
        <v>4312</v>
      </c>
      <c r="F387" s="11" t="s">
        <v>4313</v>
      </c>
      <c r="G387" s="11" t="s">
        <v>3009</v>
      </c>
      <c r="H387" s="11" t="n">
        <v>28</v>
      </c>
      <c r="I387" s="31" t="n">
        <v>30.1</v>
      </c>
      <c r="J387" s="31" t="n">
        <v>31</v>
      </c>
      <c r="K387" s="31" t="n">
        <f aca="false">MAX(ROUNDUP(I387,0),H387)</f>
        <v>31</v>
      </c>
      <c r="L387" s="31" t="n">
        <f aca="false">IF(J387="","",J387-K387)</f>
        <v>0</v>
      </c>
      <c r="M387" s="32" t="n">
        <v>7.55</v>
      </c>
      <c r="N387" s="32" t="n">
        <f aca="false">IF(C387="covered",10.4,7.55)</f>
        <v>7.55</v>
      </c>
      <c r="O387" s="32" t="n">
        <f aca="false">IF(M387="","",M387-N387)</f>
        <v>0</v>
      </c>
      <c r="P387" s="11" t="n">
        <v>1</v>
      </c>
      <c r="Q387" s="33" t="n">
        <v>234.05</v>
      </c>
      <c r="R387" s="33" t="n">
        <f aca="false">IF(OR(J387="",P387=""),"",K387*N387*P387)</f>
        <v>234.05</v>
      </c>
      <c r="S387" s="33" t="n">
        <f aca="false">IF(Q387="","",Q387-R387)</f>
        <v>0</v>
      </c>
      <c r="T387" s="33" t="n">
        <f aca="false">IF(S387="","",MAX(0,-S387))</f>
        <v>-0</v>
      </c>
      <c r="U387" s="33" t="n">
        <f aca="false">IF(S387="","",MAX(0,S387))</f>
        <v>0</v>
      </c>
      <c r="V387" s="11" t="str">
        <f aca="false">IF(J387="","NOT SCORED - NO JULY MONTHLY ROW",IF(OR(ABS(L387)&gt;0.005,ABS(O387)&gt;0.005,ABS(S387)&gt;0.005),"EXCEPTION","OK"))</f>
        <v>OK</v>
      </c>
      <c r="W387" s="11" t="s">
        <v>4314</v>
      </c>
      <c r="X387" s="11" t="s">
        <v>4099</v>
      </c>
      <c r="Y387" s="33" t="n">
        <f aca="false">K387*N387</f>
        <v>234.05</v>
      </c>
    </row>
    <row r="388" customFormat="false" ht="15" hidden="false" customHeight="false" outlineLevel="0" collapsed="false">
      <c r="A388" s="8" t="s">
        <v>4315</v>
      </c>
      <c r="B388" s="8" t="s">
        <v>224</v>
      </c>
      <c r="C388" s="8" t="s">
        <v>2829</v>
      </c>
      <c r="D388" s="8" t="s">
        <v>3615</v>
      </c>
      <c r="E388" s="8" t="s">
        <v>4316</v>
      </c>
      <c r="F388" s="8" t="s">
        <v>4317</v>
      </c>
      <c r="G388" s="8" t="s">
        <v>4318</v>
      </c>
      <c r="H388" s="8" t="n">
        <v>50</v>
      </c>
      <c r="I388" s="34" t="n">
        <v>21.8</v>
      </c>
      <c r="J388" s="34" t="n">
        <v>50</v>
      </c>
      <c r="K388" s="34" t="n">
        <f aca="false">MAX(ROUNDUP(I388,0),H388)</f>
        <v>50</v>
      </c>
      <c r="L388" s="34" t="n">
        <f aca="false">IF(J388="","",J388-K388)</f>
        <v>0</v>
      </c>
      <c r="M388" s="35" t="n">
        <v>7.55</v>
      </c>
      <c r="N388" s="35" t="n">
        <f aca="false">IF(C388="covered",10.4,7.55)</f>
        <v>7.55</v>
      </c>
      <c r="O388" s="35" t="n">
        <f aca="false">IF(M388="","",M388-N388)</f>
        <v>0</v>
      </c>
      <c r="P388" s="8" t="n">
        <v>1</v>
      </c>
      <c r="Q388" s="36" t="n">
        <v>377.5</v>
      </c>
      <c r="R388" s="36" t="n">
        <f aca="false">IF(OR(J388="",P388=""),"",K388*N388*P388)</f>
        <v>377.5</v>
      </c>
      <c r="S388" s="36" t="n">
        <f aca="false">IF(Q388="","",Q388-R388)</f>
        <v>0</v>
      </c>
      <c r="T388" s="36" t="n">
        <f aca="false">IF(S388="","",MAX(0,-S388))</f>
        <v>-0</v>
      </c>
      <c r="U388" s="36" t="n">
        <f aca="false">IF(S388="","",MAX(0,S388))</f>
        <v>0</v>
      </c>
      <c r="V388" s="8" t="str">
        <f aca="false">IF(J388="","NOT SCORED - NO JULY MONTHLY ROW",IF(OR(ABS(L388)&gt;0.005,ABS(O388)&gt;0.005,ABS(S388)&gt;0.005),"EXCEPTION","OK"))</f>
        <v>OK</v>
      </c>
      <c r="W388" s="8" t="s">
        <v>4319</v>
      </c>
      <c r="X388" s="8" t="s">
        <v>4099</v>
      </c>
      <c r="Y388" s="36" t="n">
        <f aca="false">K388*N388</f>
        <v>377.5</v>
      </c>
    </row>
    <row r="389" customFormat="false" ht="15" hidden="false" customHeight="false" outlineLevel="0" collapsed="false">
      <c r="A389" s="11" t="s">
        <v>4320</v>
      </c>
      <c r="B389" s="11" t="s">
        <v>224</v>
      </c>
      <c r="C389" s="11" t="s">
        <v>2829</v>
      </c>
      <c r="D389" s="11" t="s">
        <v>3619</v>
      </c>
      <c r="E389" s="11" t="s">
        <v>4321</v>
      </c>
      <c r="F389" s="11" t="s">
        <v>4322</v>
      </c>
      <c r="G389" s="11" t="s">
        <v>4323</v>
      </c>
      <c r="H389" s="11" t="n">
        <v>32</v>
      </c>
      <c r="I389" s="31" t="n">
        <v>32.5</v>
      </c>
      <c r="J389" s="31" t="n">
        <v>33</v>
      </c>
      <c r="K389" s="31" t="n">
        <f aca="false">MAX(ROUNDUP(I389,0),H389)</f>
        <v>33</v>
      </c>
      <c r="L389" s="31" t="n">
        <f aca="false">IF(J389="","",J389-K389)</f>
        <v>0</v>
      </c>
      <c r="M389" s="32" t="n">
        <v>7.55</v>
      </c>
      <c r="N389" s="32" t="n">
        <f aca="false">IF(C389="covered",10.4,7.55)</f>
        <v>7.55</v>
      </c>
      <c r="O389" s="32" t="n">
        <f aca="false">IF(M389="","",M389-N389)</f>
        <v>0</v>
      </c>
      <c r="P389" s="11" t="n">
        <v>1</v>
      </c>
      <c r="Q389" s="33" t="n">
        <v>249.15</v>
      </c>
      <c r="R389" s="33" t="n">
        <f aca="false">IF(OR(J389="",P389=""),"",K389*N389*P389)</f>
        <v>249.15</v>
      </c>
      <c r="S389" s="33" t="n">
        <f aca="false">IF(Q389="","",Q389-R389)</f>
        <v>0</v>
      </c>
      <c r="T389" s="33" t="n">
        <f aca="false">IF(S389="","",MAX(0,-S389))</f>
        <v>-0</v>
      </c>
      <c r="U389" s="33" t="n">
        <f aca="false">IF(S389="","",MAX(0,S389))</f>
        <v>0</v>
      </c>
      <c r="V389" s="11" t="str">
        <f aca="false">IF(J389="","NOT SCORED - NO JULY MONTHLY ROW",IF(OR(ABS(L389)&gt;0.005,ABS(O389)&gt;0.005,ABS(S389)&gt;0.005),"EXCEPTION","OK"))</f>
        <v>OK</v>
      </c>
      <c r="W389" s="11" t="s">
        <v>4324</v>
      </c>
      <c r="X389" s="11" t="s">
        <v>4099</v>
      </c>
      <c r="Y389" s="33" t="n">
        <f aca="false">K389*N389</f>
        <v>249.15</v>
      </c>
    </row>
    <row r="390" customFormat="false" ht="15" hidden="false" customHeight="false" outlineLevel="0" collapsed="false">
      <c r="A390" s="8" t="s">
        <v>4325</v>
      </c>
      <c r="B390" s="8" t="s">
        <v>224</v>
      </c>
      <c r="C390" s="8" t="s">
        <v>2829</v>
      </c>
      <c r="D390" s="8" t="s">
        <v>3624</v>
      </c>
      <c r="E390" s="8" t="s">
        <v>4326</v>
      </c>
      <c r="F390" s="8" t="s">
        <v>4327</v>
      </c>
      <c r="G390" s="8" t="s">
        <v>4328</v>
      </c>
      <c r="H390" s="8" t="n">
        <v>24</v>
      </c>
      <c r="I390" s="34" t="n">
        <v>43.2</v>
      </c>
      <c r="J390" s="34" t="n">
        <v>44</v>
      </c>
      <c r="K390" s="34" t="n">
        <f aca="false">MAX(ROUNDUP(I390,0),H390)</f>
        <v>44</v>
      </c>
      <c r="L390" s="34" t="n">
        <f aca="false">IF(J390="","",J390-K390)</f>
        <v>0</v>
      </c>
      <c r="M390" s="35" t="n">
        <v>7.55</v>
      </c>
      <c r="N390" s="35" t="n">
        <f aca="false">IF(C390="covered",10.4,7.55)</f>
        <v>7.55</v>
      </c>
      <c r="O390" s="35" t="n">
        <f aca="false">IF(M390="","",M390-N390)</f>
        <v>0</v>
      </c>
      <c r="P390" s="8" t="n">
        <v>1</v>
      </c>
      <c r="Q390" s="36" t="n">
        <v>332.2</v>
      </c>
      <c r="R390" s="36" t="n">
        <f aca="false">IF(OR(J390="",P390=""),"",K390*N390*P390)</f>
        <v>332.2</v>
      </c>
      <c r="S390" s="36" t="n">
        <f aca="false">IF(Q390="","",Q390-R390)</f>
        <v>0</v>
      </c>
      <c r="T390" s="36" t="n">
        <f aca="false">IF(S390="","",MAX(0,-S390))</f>
        <v>-0</v>
      </c>
      <c r="U390" s="36" t="n">
        <f aca="false">IF(S390="","",MAX(0,S390))</f>
        <v>0</v>
      </c>
      <c r="V390" s="8" t="str">
        <f aca="false">IF(J390="","NOT SCORED - NO JULY MONTHLY ROW",IF(OR(ABS(L390)&gt;0.005,ABS(O390)&gt;0.005,ABS(S390)&gt;0.005),"EXCEPTION","OK"))</f>
        <v>OK</v>
      </c>
      <c r="W390" s="8" t="s">
        <v>4329</v>
      </c>
      <c r="X390" s="8" t="s">
        <v>4099</v>
      </c>
      <c r="Y390" s="36" t="n">
        <f aca="false">K390*N390</f>
        <v>332.2</v>
      </c>
    </row>
    <row r="391" customFormat="false" ht="15" hidden="false" customHeight="false" outlineLevel="0" collapsed="false">
      <c r="A391" s="11" t="s">
        <v>4330</v>
      </c>
      <c r="B391" s="11" t="s">
        <v>224</v>
      </c>
      <c r="C391" s="11" t="s">
        <v>2829</v>
      </c>
      <c r="D391" s="11" t="s">
        <v>3629</v>
      </c>
      <c r="E391" s="11" t="s">
        <v>4331</v>
      </c>
      <c r="F391" s="11" t="s">
        <v>4332</v>
      </c>
      <c r="G391" s="11" t="s">
        <v>4333</v>
      </c>
      <c r="H391" s="11" t="n">
        <v>36</v>
      </c>
      <c r="I391" s="31" t="n">
        <v>60.1</v>
      </c>
      <c r="J391" s="31" t="n">
        <v>61</v>
      </c>
      <c r="K391" s="31" t="n">
        <f aca="false">MAX(ROUNDUP(I391,0),H391)</f>
        <v>61</v>
      </c>
      <c r="L391" s="31" t="n">
        <f aca="false">IF(J391="","",J391-K391)</f>
        <v>0</v>
      </c>
      <c r="M391" s="32" t="n">
        <v>7.55</v>
      </c>
      <c r="N391" s="32" t="n">
        <f aca="false">IF(C391="covered",10.4,7.55)</f>
        <v>7.55</v>
      </c>
      <c r="O391" s="32" t="n">
        <f aca="false">IF(M391="","",M391-N391)</f>
        <v>0</v>
      </c>
      <c r="P391" s="11" t="n">
        <v>1</v>
      </c>
      <c r="Q391" s="33" t="n">
        <v>460.55</v>
      </c>
      <c r="R391" s="33" t="n">
        <f aca="false">IF(OR(J391="",P391=""),"",K391*N391*P391)</f>
        <v>460.55</v>
      </c>
      <c r="S391" s="33" t="n">
        <f aca="false">IF(Q391="","",Q391-R391)</f>
        <v>0</v>
      </c>
      <c r="T391" s="33" t="n">
        <f aca="false">IF(S391="","",MAX(0,-S391))</f>
        <v>-0</v>
      </c>
      <c r="U391" s="33" t="n">
        <f aca="false">IF(S391="","",MAX(0,S391))</f>
        <v>0</v>
      </c>
      <c r="V391" s="11" t="str">
        <f aca="false">IF(J391="","NOT SCORED - NO JULY MONTHLY ROW",IF(OR(ABS(L391)&gt;0.005,ABS(O391)&gt;0.005,ABS(S391)&gt;0.005),"EXCEPTION","OK"))</f>
        <v>OK</v>
      </c>
      <c r="W391" s="11" t="s">
        <v>4334</v>
      </c>
      <c r="X391" s="11" t="s">
        <v>4099</v>
      </c>
      <c r="Y391" s="33" t="n">
        <f aca="false">K391*N391</f>
        <v>460.55</v>
      </c>
    </row>
    <row r="392" customFormat="false" ht="15" hidden="false" customHeight="false" outlineLevel="0" collapsed="false">
      <c r="A392" s="8" t="s">
        <v>4335</v>
      </c>
      <c r="B392" s="8" t="s">
        <v>224</v>
      </c>
      <c r="C392" s="8" t="s">
        <v>2829</v>
      </c>
      <c r="D392" s="8" t="s">
        <v>3634</v>
      </c>
      <c r="E392" s="8" t="s">
        <v>4336</v>
      </c>
      <c r="F392" s="8" t="s">
        <v>4337</v>
      </c>
      <c r="G392" s="8" t="s">
        <v>4338</v>
      </c>
      <c r="H392" s="8" t="n">
        <v>36</v>
      </c>
      <c r="I392" s="34" t="n">
        <v>44.2</v>
      </c>
      <c r="J392" s="34" t="n">
        <v>45</v>
      </c>
      <c r="K392" s="34" t="n">
        <f aca="false">MAX(ROUNDUP(I392,0),H392)</f>
        <v>45</v>
      </c>
      <c r="L392" s="34" t="n">
        <f aca="false">IF(J392="","",J392-K392)</f>
        <v>0</v>
      </c>
      <c r="M392" s="35" t="n">
        <v>7.55</v>
      </c>
      <c r="N392" s="35" t="n">
        <f aca="false">IF(C392="covered",10.4,7.55)</f>
        <v>7.55</v>
      </c>
      <c r="O392" s="35" t="n">
        <f aca="false">IF(M392="","",M392-N392)</f>
        <v>0</v>
      </c>
      <c r="P392" s="8" t="n">
        <v>1</v>
      </c>
      <c r="Q392" s="36" t="n">
        <v>339.75</v>
      </c>
      <c r="R392" s="36" t="n">
        <f aca="false">IF(OR(J392="",P392=""),"",K392*N392*P392)</f>
        <v>339.75</v>
      </c>
      <c r="S392" s="36" t="n">
        <f aca="false">IF(Q392="","",Q392-R392)</f>
        <v>0</v>
      </c>
      <c r="T392" s="36" t="n">
        <f aca="false">IF(S392="","",MAX(0,-S392))</f>
        <v>-0</v>
      </c>
      <c r="U392" s="36" t="n">
        <f aca="false">IF(S392="","",MAX(0,S392))</f>
        <v>0</v>
      </c>
      <c r="V392" s="8" t="str">
        <f aca="false">IF(J392="","NOT SCORED - NO JULY MONTHLY ROW",IF(OR(ABS(L392)&gt;0.005,ABS(O392)&gt;0.005,ABS(S392)&gt;0.005),"EXCEPTION","OK"))</f>
        <v>OK</v>
      </c>
      <c r="W392" s="8" t="s">
        <v>4339</v>
      </c>
      <c r="X392" s="8" t="s">
        <v>4099</v>
      </c>
      <c r="Y392" s="36" t="n">
        <f aca="false">K392*N392</f>
        <v>339.75</v>
      </c>
    </row>
    <row r="393" customFormat="false" ht="15" hidden="false" customHeight="false" outlineLevel="0" collapsed="false">
      <c r="A393" s="11" t="s">
        <v>4340</v>
      </c>
      <c r="B393" s="11" t="s">
        <v>224</v>
      </c>
      <c r="C393" s="11" t="s">
        <v>2829</v>
      </c>
      <c r="D393" s="11" t="s">
        <v>3638</v>
      </c>
      <c r="E393" s="11" t="s">
        <v>4341</v>
      </c>
      <c r="F393" s="11" t="s">
        <v>4342</v>
      </c>
      <c r="G393" s="11" t="s">
        <v>3507</v>
      </c>
      <c r="H393" s="11" t="n">
        <v>32</v>
      </c>
      <c r="I393" s="31" t="n">
        <v>37</v>
      </c>
      <c r="J393" s="31" t="n">
        <v>37</v>
      </c>
      <c r="K393" s="31" t="n">
        <f aca="false">MAX(ROUNDUP(I393,0),H393)</f>
        <v>37</v>
      </c>
      <c r="L393" s="31" t="n">
        <f aca="false">IF(J393="","",J393-K393)</f>
        <v>0</v>
      </c>
      <c r="M393" s="32" t="n">
        <v>7.55</v>
      </c>
      <c r="N393" s="32" t="n">
        <f aca="false">IF(C393="covered",10.4,7.55)</f>
        <v>7.55</v>
      </c>
      <c r="O393" s="32" t="n">
        <f aca="false">IF(M393="","",M393-N393)</f>
        <v>0</v>
      </c>
      <c r="P393" s="11" t="n">
        <v>1</v>
      </c>
      <c r="Q393" s="33" t="n">
        <v>279.35</v>
      </c>
      <c r="R393" s="33" t="n">
        <f aca="false">IF(OR(J393="",P393=""),"",K393*N393*P393)</f>
        <v>279.35</v>
      </c>
      <c r="S393" s="33" t="n">
        <f aca="false">IF(Q393="","",Q393-R393)</f>
        <v>0</v>
      </c>
      <c r="T393" s="33" t="n">
        <f aca="false">IF(S393="","",MAX(0,-S393))</f>
        <v>-0</v>
      </c>
      <c r="U393" s="33" t="n">
        <f aca="false">IF(S393="","",MAX(0,S393))</f>
        <v>0</v>
      </c>
      <c r="V393" s="11" t="str">
        <f aca="false">IF(J393="","NOT SCORED - NO JULY MONTHLY ROW",IF(OR(ABS(L393)&gt;0.005,ABS(O393)&gt;0.005,ABS(S393)&gt;0.005),"EXCEPTION","OK"))</f>
        <v>OK</v>
      </c>
      <c r="W393" s="11" t="s">
        <v>4343</v>
      </c>
      <c r="X393" s="11" t="s">
        <v>4099</v>
      </c>
      <c r="Y393" s="33" t="n">
        <f aca="false">K393*N393</f>
        <v>279.35</v>
      </c>
    </row>
    <row r="394" customFormat="false" ht="15" hidden="false" customHeight="false" outlineLevel="0" collapsed="false">
      <c r="A394" s="8" t="s">
        <v>1132</v>
      </c>
      <c r="B394" s="8" t="s">
        <v>224</v>
      </c>
      <c r="C394" s="8" t="s">
        <v>2829</v>
      </c>
      <c r="D394" s="8" t="s">
        <v>3642</v>
      </c>
      <c r="E394" s="8" t="s">
        <v>4344</v>
      </c>
      <c r="F394" s="8" t="s">
        <v>4345</v>
      </c>
      <c r="G394" s="8" t="s">
        <v>4346</v>
      </c>
      <c r="H394" s="8" t="n">
        <v>70</v>
      </c>
      <c r="I394" s="34" t="n">
        <v>56.8</v>
      </c>
      <c r="J394" s="34" t="n">
        <v>70</v>
      </c>
      <c r="K394" s="34" t="n">
        <f aca="false">MAX(ROUNDUP(I394,0),H394)</f>
        <v>70</v>
      </c>
      <c r="L394" s="34" t="n">
        <f aca="false">IF(J394="","",J394-K394)</f>
        <v>0</v>
      </c>
      <c r="M394" s="35" t="n">
        <v>7.55</v>
      </c>
      <c r="N394" s="35" t="n">
        <f aca="false">IF(C394="covered",10.4,7.55)</f>
        <v>7.55</v>
      </c>
      <c r="O394" s="35" t="n">
        <f aca="false">IF(M394="","",M394-N394)</f>
        <v>0</v>
      </c>
      <c r="P394" s="8" t="n">
        <v>1</v>
      </c>
      <c r="Q394" s="36" t="n">
        <v>528.5</v>
      </c>
      <c r="R394" s="36" t="n">
        <f aca="false">IF(OR(J394="",P394=""),"",K394*N394*P394)</f>
        <v>528.5</v>
      </c>
      <c r="S394" s="36" t="n">
        <f aca="false">IF(Q394="","",Q394-R394)</f>
        <v>0</v>
      </c>
      <c r="T394" s="36" t="n">
        <f aca="false">IF(S394="","",MAX(0,-S394))</f>
        <v>-0</v>
      </c>
      <c r="U394" s="36" t="n">
        <f aca="false">IF(S394="","",MAX(0,S394))</f>
        <v>0</v>
      </c>
      <c r="V394" s="8" t="str">
        <f aca="false">IF(J394="","NOT SCORED - NO JULY MONTHLY ROW",IF(OR(ABS(L394)&gt;0.005,ABS(O394)&gt;0.005,ABS(S394)&gt;0.005),"EXCEPTION","OK"))</f>
        <v>OK</v>
      </c>
      <c r="W394" s="8" t="s">
        <v>4347</v>
      </c>
      <c r="X394" s="8" t="s">
        <v>4099</v>
      </c>
      <c r="Y394" s="36" t="n">
        <f aca="false">K394*N394</f>
        <v>528.5</v>
      </c>
    </row>
    <row r="395" customFormat="false" ht="15" hidden="false" customHeight="false" outlineLevel="0" collapsed="false">
      <c r="A395" s="11" t="s">
        <v>4348</v>
      </c>
      <c r="B395" s="11" t="s">
        <v>224</v>
      </c>
      <c r="C395" s="11" t="s">
        <v>2829</v>
      </c>
      <c r="D395" s="11" t="s">
        <v>3651</v>
      </c>
      <c r="E395" s="11" t="s">
        <v>4349</v>
      </c>
      <c r="F395" s="11" t="s">
        <v>4350</v>
      </c>
      <c r="G395" s="11" t="s">
        <v>4006</v>
      </c>
      <c r="H395" s="11" t="n">
        <v>70</v>
      </c>
      <c r="I395" s="31" t="n">
        <v>18.7</v>
      </c>
      <c r="J395" s="31" t="n">
        <v>70</v>
      </c>
      <c r="K395" s="31" t="n">
        <f aca="false">MAX(ROUNDUP(I395,0),H395)</f>
        <v>70</v>
      </c>
      <c r="L395" s="31" t="n">
        <f aca="false">IF(J395="","",J395-K395)</f>
        <v>0</v>
      </c>
      <c r="M395" s="32" t="n">
        <v>7.55</v>
      </c>
      <c r="N395" s="32" t="n">
        <f aca="false">IF(C395="covered",10.4,7.55)</f>
        <v>7.55</v>
      </c>
      <c r="O395" s="32" t="n">
        <f aca="false">IF(M395="","",M395-N395)</f>
        <v>0</v>
      </c>
      <c r="P395" s="11" t="n">
        <v>1</v>
      </c>
      <c r="Q395" s="33" t="n">
        <v>528.5</v>
      </c>
      <c r="R395" s="33" t="n">
        <f aca="false">IF(OR(J395="",P395=""),"",K395*N395*P395)</f>
        <v>528.5</v>
      </c>
      <c r="S395" s="33" t="n">
        <f aca="false">IF(Q395="","",Q395-R395)</f>
        <v>0</v>
      </c>
      <c r="T395" s="33" t="n">
        <f aca="false">IF(S395="","",MAX(0,-S395))</f>
        <v>-0</v>
      </c>
      <c r="U395" s="33" t="n">
        <f aca="false">IF(S395="","",MAX(0,S395))</f>
        <v>0</v>
      </c>
      <c r="V395" s="11" t="str">
        <f aca="false">IF(J395="","NOT SCORED - NO JULY MONTHLY ROW",IF(OR(ABS(L395)&gt;0.005,ABS(O395)&gt;0.005,ABS(S395)&gt;0.005),"EXCEPTION","OK"))</f>
        <v>OK</v>
      </c>
      <c r="W395" s="11" t="s">
        <v>4351</v>
      </c>
      <c r="X395" s="11" t="s">
        <v>4099</v>
      </c>
      <c r="Y395" s="33" t="n">
        <f aca="false">K395*N395</f>
        <v>528.5</v>
      </c>
    </row>
    <row r="396" customFormat="false" ht="15" hidden="false" customHeight="false" outlineLevel="0" collapsed="false">
      <c r="A396" s="8" t="s">
        <v>4352</v>
      </c>
      <c r="B396" s="8" t="s">
        <v>224</v>
      </c>
      <c r="C396" s="8" t="s">
        <v>2829</v>
      </c>
      <c r="D396" s="8" t="s">
        <v>3656</v>
      </c>
      <c r="E396" s="8" t="s">
        <v>4353</v>
      </c>
      <c r="F396" s="8" t="s">
        <v>4354</v>
      </c>
      <c r="G396" s="8" t="s">
        <v>2962</v>
      </c>
      <c r="H396" s="8" t="n">
        <v>28</v>
      </c>
      <c r="I396" s="34" t="n">
        <v>56.7</v>
      </c>
      <c r="J396" s="34" t="n">
        <v>57</v>
      </c>
      <c r="K396" s="34" t="n">
        <f aca="false">MAX(ROUNDUP(I396,0),H396)</f>
        <v>57</v>
      </c>
      <c r="L396" s="34" t="n">
        <f aca="false">IF(J396="","",J396-K396)</f>
        <v>0</v>
      </c>
      <c r="M396" s="35" t="n">
        <v>7.55</v>
      </c>
      <c r="N396" s="35" t="n">
        <f aca="false">IF(C396="covered",10.4,7.55)</f>
        <v>7.55</v>
      </c>
      <c r="O396" s="35" t="n">
        <f aca="false">IF(M396="","",M396-N396)</f>
        <v>0</v>
      </c>
      <c r="P396" s="8" t="n">
        <v>1</v>
      </c>
      <c r="Q396" s="36" t="n">
        <v>430.35</v>
      </c>
      <c r="R396" s="36" t="n">
        <f aca="false">IF(OR(J396="",P396=""),"",K396*N396*P396)</f>
        <v>430.35</v>
      </c>
      <c r="S396" s="36" t="n">
        <f aca="false">IF(Q396="","",Q396-R396)</f>
        <v>0</v>
      </c>
      <c r="T396" s="36" t="n">
        <f aca="false">IF(S396="","",MAX(0,-S396))</f>
        <v>-0</v>
      </c>
      <c r="U396" s="36" t="n">
        <f aca="false">IF(S396="","",MAX(0,S396))</f>
        <v>0</v>
      </c>
      <c r="V396" s="8" t="str">
        <f aca="false">IF(J396="","NOT SCORED - NO JULY MONTHLY ROW",IF(OR(ABS(L396)&gt;0.005,ABS(O396)&gt;0.005,ABS(S396)&gt;0.005),"EXCEPTION","OK"))</f>
        <v>OK</v>
      </c>
      <c r="W396" s="8" t="s">
        <v>4355</v>
      </c>
      <c r="X396" s="8" t="s">
        <v>4099</v>
      </c>
      <c r="Y396" s="36" t="n">
        <f aca="false">K396*N396</f>
        <v>430.35</v>
      </c>
    </row>
    <row r="397" customFormat="false" ht="15" hidden="false" customHeight="false" outlineLevel="0" collapsed="false">
      <c r="A397" s="11" t="s">
        <v>4356</v>
      </c>
      <c r="B397" s="11" t="s">
        <v>224</v>
      </c>
      <c r="C397" s="11" t="s">
        <v>2829</v>
      </c>
      <c r="D397" s="11" t="s">
        <v>3661</v>
      </c>
      <c r="E397" s="11" t="s">
        <v>282</v>
      </c>
      <c r="F397" s="11" t="s">
        <v>283</v>
      </c>
      <c r="G397" s="11" t="s">
        <v>3992</v>
      </c>
      <c r="H397" s="11" t="n">
        <v>36</v>
      </c>
      <c r="I397" s="31" t="n">
        <v>50.2</v>
      </c>
      <c r="J397" s="31" t="n">
        <v>51</v>
      </c>
      <c r="K397" s="31" t="n">
        <f aca="false">MAX(ROUNDUP(I397,0),H397)</f>
        <v>51</v>
      </c>
      <c r="L397" s="31" t="n">
        <f aca="false">IF(J397="","",J397-K397)</f>
        <v>0</v>
      </c>
      <c r="M397" s="32" t="n">
        <v>7.55</v>
      </c>
      <c r="N397" s="32" t="n">
        <f aca="false">IF(C397="covered",10.4,7.55)</f>
        <v>7.55</v>
      </c>
      <c r="O397" s="32" t="n">
        <f aca="false">IF(M397="","",M397-N397)</f>
        <v>0</v>
      </c>
      <c r="P397" s="11" t="n">
        <v>1</v>
      </c>
      <c r="Q397" s="33" t="n">
        <v>385.05</v>
      </c>
      <c r="R397" s="33" t="n">
        <f aca="false">IF(OR(J397="",P397=""),"",K397*N397*P397)</f>
        <v>385.05</v>
      </c>
      <c r="S397" s="33" t="n">
        <f aca="false">IF(Q397="","",Q397-R397)</f>
        <v>0</v>
      </c>
      <c r="T397" s="33" t="n">
        <f aca="false">IF(S397="","",MAX(0,-S397))</f>
        <v>-0</v>
      </c>
      <c r="U397" s="33" t="n">
        <f aca="false">IF(S397="","",MAX(0,S397))</f>
        <v>0</v>
      </c>
      <c r="V397" s="11" t="str">
        <f aca="false">IF(J397="","NOT SCORED - NO JULY MONTHLY ROW",IF(OR(ABS(L397)&gt;0.005,ABS(O397)&gt;0.005,ABS(S397)&gt;0.005),"EXCEPTION","OK"))</f>
        <v>OK</v>
      </c>
      <c r="W397" s="11" t="s">
        <v>4357</v>
      </c>
      <c r="X397" s="11" t="s">
        <v>4099</v>
      </c>
      <c r="Y397" s="33" t="n">
        <f aca="false">K397*N397</f>
        <v>385.05</v>
      </c>
    </row>
    <row r="398" customFormat="false" ht="15" hidden="false" customHeight="false" outlineLevel="0" collapsed="false">
      <c r="A398" s="8" t="s">
        <v>1086</v>
      </c>
      <c r="B398" s="8" t="s">
        <v>224</v>
      </c>
      <c r="C398" s="8" t="s">
        <v>2829</v>
      </c>
      <c r="D398" s="8" t="s">
        <v>3666</v>
      </c>
      <c r="E398" s="8" t="s">
        <v>2532</v>
      </c>
      <c r="F398" s="8" t="s">
        <v>4358</v>
      </c>
      <c r="G398" s="8" t="s">
        <v>3497</v>
      </c>
      <c r="H398" s="8" t="n">
        <v>80</v>
      </c>
      <c r="I398" s="34" t="n">
        <v>19.3</v>
      </c>
      <c r="J398" s="34" t="n">
        <v>80</v>
      </c>
      <c r="K398" s="34" t="n">
        <f aca="false">MAX(ROUNDUP(I398,0),H398)</f>
        <v>80</v>
      </c>
      <c r="L398" s="34" t="n">
        <f aca="false">IF(J398="","",J398-K398)</f>
        <v>0</v>
      </c>
      <c r="M398" s="35" t="n">
        <v>7.55</v>
      </c>
      <c r="N398" s="35" t="n">
        <f aca="false">IF(C398="covered",10.4,7.55)</f>
        <v>7.55</v>
      </c>
      <c r="O398" s="35" t="n">
        <f aca="false">IF(M398="","",M398-N398)</f>
        <v>0</v>
      </c>
      <c r="P398" s="8" t="n">
        <v>1</v>
      </c>
      <c r="Q398" s="36" t="n">
        <v>604</v>
      </c>
      <c r="R398" s="36" t="n">
        <f aca="false">IF(OR(J398="",P398=""),"",K398*N398*P398)</f>
        <v>604</v>
      </c>
      <c r="S398" s="36" t="n">
        <f aca="false">IF(Q398="","",Q398-R398)</f>
        <v>0</v>
      </c>
      <c r="T398" s="36" t="n">
        <f aca="false">IF(S398="","",MAX(0,-S398))</f>
        <v>-0</v>
      </c>
      <c r="U398" s="36" t="n">
        <f aca="false">IF(S398="","",MAX(0,S398))</f>
        <v>0</v>
      </c>
      <c r="V398" s="8" t="str">
        <f aca="false">IF(J398="","NOT SCORED - NO JULY MONTHLY ROW",IF(OR(ABS(L398)&gt;0.005,ABS(O398)&gt;0.005,ABS(S398)&gt;0.005),"EXCEPTION","OK"))</f>
        <v>OK</v>
      </c>
      <c r="W398" s="8" t="s">
        <v>4359</v>
      </c>
      <c r="X398" s="8" t="s">
        <v>4099</v>
      </c>
      <c r="Y398" s="36" t="n">
        <f aca="false">K398*N398</f>
        <v>604</v>
      </c>
    </row>
    <row r="399" customFormat="false" ht="15" hidden="false" customHeight="false" outlineLevel="0" collapsed="false">
      <c r="A399" s="11" t="s">
        <v>4360</v>
      </c>
      <c r="B399" s="11" t="s">
        <v>224</v>
      </c>
      <c r="C399" s="11" t="s">
        <v>2829</v>
      </c>
      <c r="D399" s="11" t="s">
        <v>3670</v>
      </c>
      <c r="E399" s="11" t="s">
        <v>4361</v>
      </c>
      <c r="F399" s="11" t="s">
        <v>4362</v>
      </c>
      <c r="G399" s="11" t="s">
        <v>4363</v>
      </c>
      <c r="H399" s="11" t="n">
        <v>28</v>
      </c>
      <c r="I399" s="31" t="n">
        <v>50.5</v>
      </c>
      <c r="J399" s="31" t="n">
        <v>51</v>
      </c>
      <c r="K399" s="31" t="n">
        <f aca="false">MAX(ROUNDUP(I399,0),H399)</f>
        <v>51</v>
      </c>
      <c r="L399" s="31" t="n">
        <f aca="false">IF(J399="","",J399-K399)</f>
        <v>0</v>
      </c>
      <c r="M399" s="32" t="n">
        <v>7.55</v>
      </c>
      <c r="N399" s="32" t="n">
        <f aca="false">IF(C399="covered",10.4,7.55)</f>
        <v>7.55</v>
      </c>
      <c r="O399" s="32" t="n">
        <f aca="false">IF(M399="","",M399-N399)</f>
        <v>0</v>
      </c>
      <c r="P399" s="11" t="n">
        <v>1</v>
      </c>
      <c r="Q399" s="33" t="n">
        <v>385.05</v>
      </c>
      <c r="R399" s="33" t="n">
        <f aca="false">IF(OR(J399="",P399=""),"",K399*N399*P399)</f>
        <v>385.05</v>
      </c>
      <c r="S399" s="33" t="n">
        <f aca="false">IF(Q399="","",Q399-R399)</f>
        <v>0</v>
      </c>
      <c r="T399" s="33" t="n">
        <f aca="false">IF(S399="","",MAX(0,-S399))</f>
        <v>-0</v>
      </c>
      <c r="U399" s="33" t="n">
        <f aca="false">IF(S399="","",MAX(0,S399))</f>
        <v>0</v>
      </c>
      <c r="V399" s="11" t="str">
        <f aca="false">IF(J399="","NOT SCORED - NO JULY MONTHLY ROW",IF(OR(ABS(L399)&gt;0.005,ABS(O399)&gt;0.005,ABS(S399)&gt;0.005),"EXCEPTION","OK"))</f>
        <v>OK</v>
      </c>
      <c r="W399" s="11" t="s">
        <v>4364</v>
      </c>
      <c r="X399" s="11" t="s">
        <v>4099</v>
      </c>
      <c r="Y399" s="33" t="n">
        <f aca="false">K399*N399</f>
        <v>385.05</v>
      </c>
    </row>
    <row r="400" customFormat="false" ht="15" hidden="false" customHeight="false" outlineLevel="0" collapsed="false">
      <c r="A400" s="8" t="s">
        <v>4365</v>
      </c>
      <c r="B400" s="8" t="s">
        <v>224</v>
      </c>
      <c r="C400" s="8" t="s">
        <v>2829</v>
      </c>
      <c r="D400" s="8" t="s">
        <v>3674</v>
      </c>
      <c r="E400" s="8" t="s">
        <v>4366</v>
      </c>
      <c r="F400" s="8" t="s">
        <v>4367</v>
      </c>
      <c r="G400" s="8" t="s">
        <v>4368</v>
      </c>
      <c r="H400" s="8" t="n">
        <v>40</v>
      </c>
      <c r="I400" s="34" t="n">
        <v>31.6</v>
      </c>
      <c r="J400" s="34" t="n">
        <v>40</v>
      </c>
      <c r="K400" s="34" t="n">
        <f aca="false">MAX(ROUNDUP(I400,0),H400)</f>
        <v>40</v>
      </c>
      <c r="L400" s="34" t="n">
        <f aca="false">IF(J400="","",J400-K400)</f>
        <v>0</v>
      </c>
      <c r="M400" s="35" t="n">
        <v>7.55</v>
      </c>
      <c r="N400" s="35" t="n">
        <f aca="false">IF(C400="covered",10.4,7.55)</f>
        <v>7.55</v>
      </c>
      <c r="O400" s="35" t="n">
        <f aca="false">IF(M400="","",M400-N400)</f>
        <v>0</v>
      </c>
      <c r="P400" s="8" t="n">
        <v>1</v>
      </c>
      <c r="Q400" s="36" t="n">
        <v>302</v>
      </c>
      <c r="R400" s="36" t="n">
        <f aca="false">IF(OR(J400="",P400=""),"",K400*N400*P400)</f>
        <v>302</v>
      </c>
      <c r="S400" s="36" t="n">
        <f aca="false">IF(Q400="","",Q400-R400)</f>
        <v>0</v>
      </c>
      <c r="T400" s="36" t="n">
        <f aca="false">IF(S400="","",MAX(0,-S400))</f>
        <v>-0</v>
      </c>
      <c r="U400" s="36" t="n">
        <f aca="false">IF(S400="","",MAX(0,S400))</f>
        <v>0</v>
      </c>
      <c r="V400" s="8" t="str">
        <f aca="false">IF(J400="","NOT SCORED - NO JULY MONTHLY ROW",IF(OR(ABS(L400)&gt;0.005,ABS(O400)&gt;0.005,ABS(S400)&gt;0.005),"EXCEPTION","OK"))</f>
        <v>OK</v>
      </c>
      <c r="W400" s="8" t="s">
        <v>4369</v>
      </c>
      <c r="X400" s="8" t="s">
        <v>4099</v>
      </c>
      <c r="Y400" s="36" t="n">
        <f aca="false">K400*N400</f>
        <v>302</v>
      </c>
    </row>
    <row r="401" customFormat="false" ht="15" hidden="false" customHeight="false" outlineLevel="0" collapsed="false">
      <c r="A401" s="11" t="s">
        <v>4370</v>
      </c>
      <c r="B401" s="11" t="s">
        <v>224</v>
      </c>
      <c r="C401" s="11" t="s">
        <v>2829</v>
      </c>
      <c r="D401" s="11" t="s">
        <v>3678</v>
      </c>
      <c r="E401" s="11" t="s">
        <v>4371</v>
      </c>
      <c r="F401" s="11" t="s">
        <v>4372</v>
      </c>
      <c r="G401" s="11" t="s">
        <v>4373</v>
      </c>
      <c r="H401" s="11" t="n">
        <v>50</v>
      </c>
      <c r="I401" s="31" t="n">
        <v>60</v>
      </c>
      <c r="J401" s="31" t="n">
        <v>60</v>
      </c>
      <c r="K401" s="31" t="n">
        <f aca="false">MAX(ROUNDUP(I401,0),H401)</f>
        <v>60</v>
      </c>
      <c r="L401" s="31" t="n">
        <f aca="false">IF(J401="","",J401-K401)</f>
        <v>0</v>
      </c>
      <c r="M401" s="32" t="n">
        <v>7.55</v>
      </c>
      <c r="N401" s="32" t="n">
        <f aca="false">IF(C401="covered",10.4,7.55)</f>
        <v>7.55</v>
      </c>
      <c r="O401" s="32" t="n">
        <f aca="false">IF(M401="","",M401-N401)</f>
        <v>0</v>
      </c>
      <c r="P401" s="11" t="n">
        <v>1</v>
      </c>
      <c r="Q401" s="33" t="n">
        <v>453</v>
      </c>
      <c r="R401" s="33" t="n">
        <f aca="false">IF(OR(J401="",P401=""),"",K401*N401*P401)</f>
        <v>453</v>
      </c>
      <c r="S401" s="33" t="n">
        <f aca="false">IF(Q401="","",Q401-R401)</f>
        <v>0</v>
      </c>
      <c r="T401" s="33" t="n">
        <f aca="false">IF(S401="","",MAX(0,-S401))</f>
        <v>-0</v>
      </c>
      <c r="U401" s="33" t="n">
        <f aca="false">IF(S401="","",MAX(0,S401))</f>
        <v>0</v>
      </c>
      <c r="V401" s="11" t="str">
        <f aca="false">IF(J401="","NOT SCORED - NO JULY MONTHLY ROW",IF(OR(ABS(L401)&gt;0.005,ABS(O401)&gt;0.005,ABS(S401)&gt;0.005),"EXCEPTION","OK"))</f>
        <v>OK</v>
      </c>
      <c r="W401" s="11" t="s">
        <v>4374</v>
      </c>
      <c r="X401" s="11" t="s">
        <v>4099</v>
      </c>
      <c r="Y401" s="33" t="n">
        <f aca="false">K401*N401</f>
        <v>453</v>
      </c>
    </row>
    <row r="402" customFormat="false" ht="15" hidden="false" customHeight="false" outlineLevel="0" collapsed="false">
      <c r="A402" s="8" t="s">
        <v>4375</v>
      </c>
      <c r="B402" s="8" t="s">
        <v>224</v>
      </c>
      <c r="C402" s="8" t="s">
        <v>2829</v>
      </c>
      <c r="D402" s="8" t="s">
        <v>3683</v>
      </c>
      <c r="E402" s="8" t="s">
        <v>4376</v>
      </c>
      <c r="F402" s="8" t="s">
        <v>4377</v>
      </c>
      <c r="G402" s="8" t="s">
        <v>4378</v>
      </c>
      <c r="H402" s="8" t="n">
        <v>70</v>
      </c>
      <c r="I402" s="34" t="n">
        <v>31.8</v>
      </c>
      <c r="J402" s="34" t="n">
        <v>70</v>
      </c>
      <c r="K402" s="34" t="n">
        <f aca="false">MAX(ROUNDUP(I402,0),H402)</f>
        <v>70</v>
      </c>
      <c r="L402" s="34" t="n">
        <f aca="false">IF(J402="","",J402-K402)</f>
        <v>0</v>
      </c>
      <c r="M402" s="35" t="n">
        <v>7.55</v>
      </c>
      <c r="N402" s="35" t="n">
        <f aca="false">IF(C402="covered",10.4,7.55)</f>
        <v>7.55</v>
      </c>
      <c r="O402" s="35" t="n">
        <f aca="false">IF(M402="","",M402-N402)</f>
        <v>0</v>
      </c>
      <c r="P402" s="8" t="n">
        <v>1</v>
      </c>
      <c r="Q402" s="36" t="n">
        <v>528.5</v>
      </c>
      <c r="R402" s="36" t="n">
        <f aca="false">IF(OR(J402="",P402=""),"",K402*N402*P402)</f>
        <v>528.5</v>
      </c>
      <c r="S402" s="36" t="n">
        <f aca="false">IF(Q402="","",Q402-R402)</f>
        <v>0</v>
      </c>
      <c r="T402" s="36" t="n">
        <f aca="false">IF(S402="","",MAX(0,-S402))</f>
        <v>-0</v>
      </c>
      <c r="U402" s="36" t="n">
        <f aca="false">IF(S402="","",MAX(0,S402))</f>
        <v>0</v>
      </c>
      <c r="V402" s="8" t="str">
        <f aca="false">IF(J402="","NOT SCORED - NO JULY MONTHLY ROW",IF(OR(ABS(L402)&gt;0.005,ABS(O402)&gt;0.005,ABS(S402)&gt;0.005),"EXCEPTION","OK"))</f>
        <v>OK</v>
      </c>
      <c r="W402" s="8" t="s">
        <v>4379</v>
      </c>
      <c r="X402" s="8" t="s">
        <v>4099</v>
      </c>
      <c r="Y402" s="36" t="n">
        <f aca="false">K402*N402</f>
        <v>528.5</v>
      </c>
    </row>
    <row r="403" customFormat="false" ht="15" hidden="false" customHeight="false" outlineLevel="0" collapsed="false">
      <c r="A403" s="11" t="s">
        <v>4380</v>
      </c>
      <c r="B403" s="11" t="s">
        <v>224</v>
      </c>
      <c r="C403" s="11" t="s">
        <v>2829</v>
      </c>
      <c r="D403" s="11" t="s">
        <v>3685</v>
      </c>
      <c r="E403" s="11" t="s">
        <v>4381</v>
      </c>
      <c r="F403" s="11" t="s">
        <v>4382</v>
      </c>
      <c r="G403" s="11" t="s">
        <v>3500</v>
      </c>
      <c r="H403" s="11" t="n">
        <v>24</v>
      </c>
      <c r="I403" s="31" t="n">
        <v>46.9</v>
      </c>
      <c r="J403" s="31" t="n">
        <v>47</v>
      </c>
      <c r="K403" s="31" t="n">
        <f aca="false">MAX(ROUNDUP(I403,0),H403)</f>
        <v>47</v>
      </c>
      <c r="L403" s="31" t="n">
        <f aca="false">IF(J403="","",J403-K403)</f>
        <v>0</v>
      </c>
      <c r="M403" s="32" t="n">
        <v>7.55</v>
      </c>
      <c r="N403" s="32" t="n">
        <f aca="false">IF(C403="covered",10.4,7.55)</f>
        <v>7.55</v>
      </c>
      <c r="O403" s="32" t="n">
        <f aca="false">IF(M403="","",M403-N403)</f>
        <v>0</v>
      </c>
      <c r="P403" s="11" t="n">
        <v>1</v>
      </c>
      <c r="Q403" s="33" t="n">
        <v>354.85</v>
      </c>
      <c r="R403" s="33" t="n">
        <f aca="false">IF(OR(J403="",P403=""),"",K403*N403*P403)</f>
        <v>354.85</v>
      </c>
      <c r="S403" s="33" t="n">
        <f aca="false">IF(Q403="","",Q403-R403)</f>
        <v>0</v>
      </c>
      <c r="T403" s="33" t="n">
        <f aca="false">IF(S403="","",MAX(0,-S403))</f>
        <v>-0</v>
      </c>
      <c r="U403" s="33" t="n">
        <f aca="false">IF(S403="","",MAX(0,S403))</f>
        <v>0</v>
      </c>
      <c r="V403" s="11" t="str">
        <f aca="false">IF(J403="","NOT SCORED - NO JULY MONTHLY ROW",IF(OR(ABS(L403)&gt;0.005,ABS(O403)&gt;0.005,ABS(S403)&gt;0.005),"EXCEPTION","OK"))</f>
        <v>OK</v>
      </c>
      <c r="W403" s="11" t="s">
        <v>4383</v>
      </c>
      <c r="X403" s="11" t="s">
        <v>4099</v>
      </c>
      <c r="Y403" s="33" t="n">
        <f aca="false">K403*N403</f>
        <v>354.85</v>
      </c>
    </row>
    <row r="404" customFormat="false" ht="15" hidden="false" customHeight="false" outlineLevel="0" collapsed="false">
      <c r="A404" s="8" t="s">
        <v>4384</v>
      </c>
      <c r="B404" s="8" t="s">
        <v>224</v>
      </c>
      <c r="C404" s="8" t="s">
        <v>2829</v>
      </c>
      <c r="D404" s="8" t="s">
        <v>3689</v>
      </c>
      <c r="E404" s="8" t="s">
        <v>4385</v>
      </c>
      <c r="F404" s="8" t="s">
        <v>4386</v>
      </c>
      <c r="G404" s="8" t="s">
        <v>3278</v>
      </c>
      <c r="H404" s="8" t="n">
        <v>40</v>
      </c>
      <c r="I404" s="34" t="n">
        <v>29.4</v>
      </c>
      <c r="J404" s="34" t="n">
        <v>40</v>
      </c>
      <c r="K404" s="34" t="n">
        <f aca="false">MAX(ROUNDUP(I404,0),H404)</f>
        <v>40</v>
      </c>
      <c r="L404" s="34" t="n">
        <f aca="false">IF(J404="","",J404-K404)</f>
        <v>0</v>
      </c>
      <c r="M404" s="35" t="n">
        <v>7.55</v>
      </c>
      <c r="N404" s="35" t="n">
        <f aca="false">IF(C404="covered",10.4,7.55)</f>
        <v>7.55</v>
      </c>
      <c r="O404" s="35" t="n">
        <f aca="false">IF(M404="","",M404-N404)</f>
        <v>0</v>
      </c>
      <c r="P404" s="8" t="n">
        <v>1</v>
      </c>
      <c r="Q404" s="36" t="n">
        <v>302</v>
      </c>
      <c r="R404" s="36" t="n">
        <f aca="false">IF(OR(J404="",P404=""),"",K404*N404*P404)</f>
        <v>302</v>
      </c>
      <c r="S404" s="36" t="n">
        <f aca="false">IF(Q404="","",Q404-R404)</f>
        <v>0</v>
      </c>
      <c r="T404" s="36" t="n">
        <f aca="false">IF(S404="","",MAX(0,-S404))</f>
        <v>-0</v>
      </c>
      <c r="U404" s="36" t="n">
        <f aca="false">IF(S404="","",MAX(0,S404))</f>
        <v>0</v>
      </c>
      <c r="V404" s="8" t="str">
        <f aca="false">IF(J404="","NOT SCORED - NO JULY MONTHLY ROW",IF(OR(ABS(L404)&gt;0.005,ABS(O404)&gt;0.005,ABS(S404)&gt;0.005),"EXCEPTION","OK"))</f>
        <v>OK</v>
      </c>
      <c r="W404" s="8" t="s">
        <v>4387</v>
      </c>
      <c r="X404" s="8" t="s">
        <v>4099</v>
      </c>
      <c r="Y404" s="36" t="n">
        <f aca="false">K404*N404</f>
        <v>302</v>
      </c>
    </row>
    <row r="405" customFormat="false" ht="15" hidden="false" customHeight="false" outlineLevel="0" collapsed="false">
      <c r="A405" s="11" t="s">
        <v>4388</v>
      </c>
      <c r="B405" s="11" t="s">
        <v>224</v>
      </c>
      <c r="C405" s="11" t="s">
        <v>2829</v>
      </c>
      <c r="D405" s="11" t="s">
        <v>3693</v>
      </c>
      <c r="E405" s="11" t="s">
        <v>1475</v>
      </c>
      <c r="F405" s="11" t="s">
        <v>1476</v>
      </c>
      <c r="G405" s="11" t="s">
        <v>4389</v>
      </c>
      <c r="H405" s="11" t="n">
        <v>45</v>
      </c>
      <c r="I405" s="31" t="n">
        <v>31.1</v>
      </c>
      <c r="J405" s="31" t="n">
        <v>45</v>
      </c>
      <c r="K405" s="31" t="n">
        <f aca="false">MAX(ROUNDUP(I405,0),H405)</f>
        <v>45</v>
      </c>
      <c r="L405" s="31" t="n">
        <f aca="false">IF(J405="","",J405-K405)</f>
        <v>0</v>
      </c>
      <c r="M405" s="32" t="n">
        <v>7.55</v>
      </c>
      <c r="N405" s="32" t="n">
        <f aca="false">IF(C405="covered",10.4,7.55)</f>
        <v>7.55</v>
      </c>
      <c r="O405" s="32" t="n">
        <f aca="false">IF(M405="","",M405-N405)</f>
        <v>0</v>
      </c>
      <c r="P405" s="11" t="n">
        <v>1</v>
      </c>
      <c r="Q405" s="33" t="n">
        <v>339.75</v>
      </c>
      <c r="R405" s="33" t="n">
        <f aca="false">IF(OR(J405="",P405=""),"",K405*N405*P405)</f>
        <v>339.75</v>
      </c>
      <c r="S405" s="33" t="n">
        <f aca="false">IF(Q405="","",Q405-R405)</f>
        <v>0</v>
      </c>
      <c r="T405" s="33" t="n">
        <f aca="false">IF(S405="","",MAX(0,-S405))</f>
        <v>-0</v>
      </c>
      <c r="U405" s="33" t="n">
        <f aca="false">IF(S405="","",MAX(0,S405))</f>
        <v>0</v>
      </c>
      <c r="V405" s="11" t="str">
        <f aca="false">IF(J405="","NOT SCORED - NO JULY MONTHLY ROW",IF(OR(ABS(L405)&gt;0.005,ABS(O405)&gt;0.005,ABS(S405)&gt;0.005),"EXCEPTION","OK"))</f>
        <v>OK</v>
      </c>
      <c r="W405" s="11" t="s">
        <v>4390</v>
      </c>
      <c r="X405" s="11" t="s">
        <v>4099</v>
      </c>
      <c r="Y405" s="33" t="n">
        <f aca="false">K405*N405</f>
        <v>339.75</v>
      </c>
    </row>
    <row r="406" customFormat="false" ht="15" hidden="false" customHeight="false" outlineLevel="0" collapsed="false">
      <c r="A406" s="8" t="s">
        <v>4391</v>
      </c>
      <c r="B406" s="8" t="s">
        <v>224</v>
      </c>
      <c r="C406" s="8" t="s">
        <v>2829</v>
      </c>
      <c r="D406" s="8" t="s">
        <v>3697</v>
      </c>
      <c r="E406" s="8" t="s">
        <v>4392</v>
      </c>
      <c r="F406" s="8" t="s">
        <v>4393</v>
      </c>
      <c r="G406" s="8" t="s">
        <v>3453</v>
      </c>
      <c r="H406" s="8" t="n">
        <v>28</v>
      </c>
      <c r="I406" s="34" t="n">
        <v>59.4</v>
      </c>
      <c r="J406" s="34" t="n">
        <v>60</v>
      </c>
      <c r="K406" s="34" t="n">
        <f aca="false">MAX(ROUNDUP(I406,0),H406)</f>
        <v>60</v>
      </c>
      <c r="L406" s="34" t="n">
        <f aca="false">IF(J406="","",J406-K406)</f>
        <v>0</v>
      </c>
      <c r="M406" s="35" t="n">
        <v>7.55</v>
      </c>
      <c r="N406" s="35" t="n">
        <f aca="false">IF(C406="covered",10.4,7.55)</f>
        <v>7.55</v>
      </c>
      <c r="O406" s="35" t="n">
        <f aca="false">IF(M406="","",M406-N406)</f>
        <v>0</v>
      </c>
      <c r="P406" s="8" t="n">
        <v>1</v>
      </c>
      <c r="Q406" s="36" t="n">
        <v>453</v>
      </c>
      <c r="R406" s="36" t="n">
        <f aca="false">IF(OR(J406="",P406=""),"",K406*N406*P406)</f>
        <v>453</v>
      </c>
      <c r="S406" s="36" t="n">
        <f aca="false">IF(Q406="","",Q406-R406)</f>
        <v>0</v>
      </c>
      <c r="T406" s="36" t="n">
        <f aca="false">IF(S406="","",MAX(0,-S406))</f>
        <v>-0</v>
      </c>
      <c r="U406" s="36" t="n">
        <f aca="false">IF(S406="","",MAX(0,S406))</f>
        <v>0</v>
      </c>
      <c r="V406" s="8" t="str">
        <f aca="false">IF(J406="","NOT SCORED - NO JULY MONTHLY ROW",IF(OR(ABS(L406)&gt;0.005,ABS(O406)&gt;0.005,ABS(S406)&gt;0.005),"EXCEPTION","OK"))</f>
        <v>OK</v>
      </c>
      <c r="W406" s="8" t="s">
        <v>4394</v>
      </c>
      <c r="X406" s="8" t="s">
        <v>4099</v>
      </c>
      <c r="Y406" s="36" t="n">
        <f aca="false">K406*N406</f>
        <v>453</v>
      </c>
    </row>
    <row r="407" customFormat="false" ht="15" hidden="false" customHeight="false" outlineLevel="0" collapsed="false">
      <c r="A407" s="11" t="s">
        <v>4395</v>
      </c>
      <c r="B407" s="11" t="s">
        <v>224</v>
      </c>
      <c r="C407" s="11" t="s">
        <v>2829</v>
      </c>
      <c r="D407" s="11" t="s">
        <v>3702</v>
      </c>
      <c r="E407" s="11" t="s">
        <v>1201</v>
      </c>
      <c r="F407" s="11" t="s">
        <v>1202</v>
      </c>
      <c r="G407" s="11" t="s">
        <v>4396</v>
      </c>
      <c r="H407" s="11" t="n">
        <v>70</v>
      </c>
      <c r="I407" s="31" t="n">
        <v>51.6</v>
      </c>
      <c r="J407" s="31" t="n">
        <v>70</v>
      </c>
      <c r="K407" s="31" t="n">
        <f aca="false">MAX(ROUNDUP(I407,0),H407)</f>
        <v>70</v>
      </c>
      <c r="L407" s="31" t="n">
        <f aca="false">IF(J407="","",J407-K407)</f>
        <v>0</v>
      </c>
      <c r="M407" s="32" t="n">
        <v>7.55</v>
      </c>
      <c r="N407" s="32" t="n">
        <f aca="false">IF(C407="covered",10.4,7.55)</f>
        <v>7.55</v>
      </c>
      <c r="O407" s="32" t="n">
        <f aca="false">IF(M407="","",M407-N407)</f>
        <v>0</v>
      </c>
      <c r="P407" s="11" t="n">
        <v>1</v>
      </c>
      <c r="Q407" s="33" t="n">
        <v>528.5</v>
      </c>
      <c r="R407" s="33" t="n">
        <f aca="false">IF(OR(J407="",P407=""),"",K407*N407*P407)</f>
        <v>528.5</v>
      </c>
      <c r="S407" s="33" t="n">
        <f aca="false">IF(Q407="","",Q407-R407)</f>
        <v>0</v>
      </c>
      <c r="T407" s="33" t="n">
        <f aca="false">IF(S407="","",MAX(0,-S407))</f>
        <v>-0</v>
      </c>
      <c r="U407" s="33" t="n">
        <f aca="false">IF(S407="","",MAX(0,S407))</f>
        <v>0</v>
      </c>
      <c r="V407" s="11" t="str">
        <f aca="false">IF(J407="","NOT SCORED - NO JULY MONTHLY ROW",IF(OR(ABS(L407)&gt;0.005,ABS(O407)&gt;0.005,ABS(S407)&gt;0.005),"EXCEPTION","OK"))</f>
        <v>OK</v>
      </c>
      <c r="W407" s="11" t="s">
        <v>4397</v>
      </c>
      <c r="X407" s="11" t="s">
        <v>4099</v>
      </c>
      <c r="Y407" s="33" t="n">
        <f aca="false">K407*N407</f>
        <v>528.5</v>
      </c>
    </row>
    <row r="408" customFormat="false" ht="15" hidden="false" customHeight="false" outlineLevel="0" collapsed="false">
      <c r="A408" s="8" t="s">
        <v>4398</v>
      </c>
      <c r="B408" s="8" t="s">
        <v>224</v>
      </c>
      <c r="C408" s="8" t="s">
        <v>2829</v>
      </c>
      <c r="D408" s="8" t="s">
        <v>3705</v>
      </c>
      <c r="E408" s="8" t="s">
        <v>4399</v>
      </c>
      <c r="F408" s="8" t="s">
        <v>4400</v>
      </c>
      <c r="G408" s="8" t="s">
        <v>3774</v>
      </c>
      <c r="H408" s="8" t="n">
        <v>32</v>
      </c>
      <c r="I408" s="34" t="n">
        <v>44.8</v>
      </c>
      <c r="J408" s="34" t="n">
        <v>45</v>
      </c>
      <c r="K408" s="34" t="n">
        <f aca="false">MAX(ROUNDUP(I408,0),H408)</f>
        <v>45</v>
      </c>
      <c r="L408" s="34" t="n">
        <f aca="false">IF(J408="","",J408-K408)</f>
        <v>0</v>
      </c>
      <c r="M408" s="35" t="n">
        <v>7.55</v>
      </c>
      <c r="N408" s="35" t="n">
        <f aca="false">IF(C408="covered",10.4,7.55)</f>
        <v>7.55</v>
      </c>
      <c r="O408" s="35" t="n">
        <f aca="false">IF(M408="","",M408-N408)</f>
        <v>0</v>
      </c>
      <c r="P408" s="8" t="n">
        <v>1</v>
      </c>
      <c r="Q408" s="36" t="n">
        <v>339.75</v>
      </c>
      <c r="R408" s="36" t="n">
        <f aca="false">IF(OR(J408="",P408=""),"",K408*N408*P408)</f>
        <v>339.75</v>
      </c>
      <c r="S408" s="36" t="n">
        <f aca="false">IF(Q408="","",Q408-R408)</f>
        <v>0</v>
      </c>
      <c r="T408" s="36" t="n">
        <f aca="false">IF(S408="","",MAX(0,-S408))</f>
        <v>-0</v>
      </c>
      <c r="U408" s="36" t="n">
        <f aca="false">IF(S408="","",MAX(0,S408))</f>
        <v>0</v>
      </c>
      <c r="V408" s="8" t="str">
        <f aca="false">IF(J408="","NOT SCORED - NO JULY MONTHLY ROW",IF(OR(ABS(L408)&gt;0.005,ABS(O408)&gt;0.005,ABS(S408)&gt;0.005),"EXCEPTION","OK"))</f>
        <v>OK</v>
      </c>
      <c r="W408" s="8" t="s">
        <v>4401</v>
      </c>
      <c r="X408" s="8" t="s">
        <v>4099</v>
      </c>
      <c r="Y408" s="36" t="n">
        <f aca="false">K408*N408</f>
        <v>339.75</v>
      </c>
    </row>
    <row r="409" customFormat="false" ht="15" hidden="false" customHeight="false" outlineLevel="0" collapsed="false">
      <c r="A409" s="11" t="s">
        <v>4402</v>
      </c>
      <c r="B409" s="11" t="s">
        <v>224</v>
      </c>
      <c r="C409" s="11" t="s">
        <v>2829</v>
      </c>
      <c r="D409" s="11" t="s">
        <v>3708</v>
      </c>
      <c r="E409" s="11" t="s">
        <v>4403</v>
      </c>
      <c r="F409" s="11" t="s">
        <v>4404</v>
      </c>
      <c r="G409" s="11" t="s">
        <v>3819</v>
      </c>
      <c r="H409" s="11" t="n">
        <v>70</v>
      </c>
      <c r="I409" s="31" t="n">
        <v>26.8</v>
      </c>
      <c r="J409" s="31" t="n">
        <v>70</v>
      </c>
      <c r="K409" s="31" t="n">
        <f aca="false">MAX(ROUNDUP(I409,0),H409)</f>
        <v>70</v>
      </c>
      <c r="L409" s="31" t="n">
        <f aca="false">IF(J409="","",J409-K409)</f>
        <v>0</v>
      </c>
      <c r="M409" s="32" t="n">
        <v>7.55</v>
      </c>
      <c r="N409" s="32" t="n">
        <f aca="false">IF(C409="covered",10.4,7.55)</f>
        <v>7.55</v>
      </c>
      <c r="O409" s="32" t="n">
        <f aca="false">IF(M409="","",M409-N409)</f>
        <v>0</v>
      </c>
      <c r="P409" s="11" t="n">
        <v>1</v>
      </c>
      <c r="Q409" s="33" t="n">
        <v>528.5</v>
      </c>
      <c r="R409" s="33" t="n">
        <f aca="false">IF(OR(J409="",P409=""),"",K409*N409*P409)</f>
        <v>528.5</v>
      </c>
      <c r="S409" s="33" t="n">
        <f aca="false">IF(Q409="","",Q409-R409)</f>
        <v>0</v>
      </c>
      <c r="T409" s="33" t="n">
        <f aca="false">IF(S409="","",MAX(0,-S409))</f>
        <v>-0</v>
      </c>
      <c r="U409" s="33" t="n">
        <f aca="false">IF(S409="","",MAX(0,S409))</f>
        <v>0</v>
      </c>
      <c r="V409" s="11" t="str">
        <f aca="false">IF(J409="","NOT SCORED - NO JULY MONTHLY ROW",IF(OR(ABS(L409)&gt;0.005,ABS(O409)&gt;0.005,ABS(S409)&gt;0.005),"EXCEPTION","OK"))</f>
        <v>OK</v>
      </c>
      <c r="W409" s="11" t="s">
        <v>4405</v>
      </c>
      <c r="X409" s="11" t="s">
        <v>4099</v>
      </c>
      <c r="Y409" s="33" t="n">
        <f aca="false">K409*N409</f>
        <v>528.5</v>
      </c>
    </row>
    <row r="410" customFormat="false" ht="15" hidden="false" customHeight="false" outlineLevel="0" collapsed="false">
      <c r="A410" s="8" t="s">
        <v>4406</v>
      </c>
      <c r="B410" s="8" t="s">
        <v>224</v>
      </c>
      <c r="C410" s="8" t="s">
        <v>2829</v>
      </c>
      <c r="D410" s="8" t="s">
        <v>3713</v>
      </c>
      <c r="E410" s="8" t="s">
        <v>4407</v>
      </c>
      <c r="F410" s="8" t="s">
        <v>4408</v>
      </c>
      <c r="G410" s="8" t="s">
        <v>4409</v>
      </c>
      <c r="H410" s="8" t="n">
        <v>70</v>
      </c>
      <c r="I410" s="34" t="n">
        <v>42.5</v>
      </c>
      <c r="J410" s="34" t="n">
        <v>70</v>
      </c>
      <c r="K410" s="34" t="n">
        <f aca="false">MAX(ROUNDUP(I410,0),H410)</f>
        <v>70</v>
      </c>
      <c r="L410" s="34" t="n">
        <f aca="false">IF(J410="","",J410-K410)</f>
        <v>0</v>
      </c>
      <c r="M410" s="35" t="n">
        <v>7.55</v>
      </c>
      <c r="N410" s="35" t="n">
        <f aca="false">IF(C410="covered",10.4,7.55)</f>
        <v>7.55</v>
      </c>
      <c r="O410" s="35" t="n">
        <f aca="false">IF(M410="","",M410-N410)</f>
        <v>0</v>
      </c>
      <c r="P410" s="8" t="n">
        <v>1</v>
      </c>
      <c r="Q410" s="36" t="n">
        <v>528.5</v>
      </c>
      <c r="R410" s="36" t="n">
        <f aca="false">IF(OR(J410="",P410=""),"",K410*N410*P410)</f>
        <v>528.5</v>
      </c>
      <c r="S410" s="36" t="n">
        <f aca="false">IF(Q410="","",Q410-R410)</f>
        <v>0</v>
      </c>
      <c r="T410" s="36" t="n">
        <f aca="false">IF(S410="","",MAX(0,-S410))</f>
        <v>-0</v>
      </c>
      <c r="U410" s="36" t="n">
        <f aca="false">IF(S410="","",MAX(0,S410))</f>
        <v>0</v>
      </c>
      <c r="V410" s="8" t="str">
        <f aca="false">IF(J410="","NOT SCORED - NO JULY MONTHLY ROW",IF(OR(ABS(L410)&gt;0.005,ABS(O410)&gt;0.005,ABS(S410)&gt;0.005),"EXCEPTION","OK"))</f>
        <v>OK</v>
      </c>
      <c r="W410" s="8" t="s">
        <v>4410</v>
      </c>
      <c r="X410" s="8" t="s">
        <v>4099</v>
      </c>
      <c r="Y410" s="36" t="n">
        <f aca="false">K410*N410</f>
        <v>528.5</v>
      </c>
    </row>
    <row r="411" customFormat="false" ht="15" hidden="false" customHeight="false" outlineLevel="0" collapsed="false">
      <c r="A411" s="11" t="s">
        <v>4411</v>
      </c>
      <c r="B411" s="11" t="s">
        <v>224</v>
      </c>
      <c r="C411" s="11" t="s">
        <v>2829</v>
      </c>
      <c r="D411" s="11" t="s">
        <v>3718</v>
      </c>
      <c r="E411" s="11" t="s">
        <v>4412</v>
      </c>
      <c r="F411" s="11" t="s">
        <v>4413</v>
      </c>
      <c r="G411" s="11" t="s">
        <v>4414</v>
      </c>
      <c r="H411" s="11" t="n">
        <v>70</v>
      </c>
      <c r="I411" s="31" t="n">
        <v>58.8</v>
      </c>
      <c r="J411" s="31" t="n">
        <v>70</v>
      </c>
      <c r="K411" s="31" t="n">
        <f aca="false">MAX(ROUNDUP(I411,0),H411)</f>
        <v>70</v>
      </c>
      <c r="L411" s="31" t="n">
        <f aca="false">IF(J411="","",J411-K411)</f>
        <v>0</v>
      </c>
      <c r="M411" s="32" t="n">
        <v>7.55</v>
      </c>
      <c r="N411" s="32" t="n">
        <f aca="false">IF(C411="covered",10.4,7.55)</f>
        <v>7.55</v>
      </c>
      <c r="O411" s="32" t="n">
        <f aca="false">IF(M411="","",M411-N411)</f>
        <v>0</v>
      </c>
      <c r="P411" s="11" t="n">
        <v>1</v>
      </c>
      <c r="Q411" s="33" t="n">
        <v>528.5</v>
      </c>
      <c r="R411" s="33" t="n">
        <f aca="false">IF(OR(J411="",P411=""),"",K411*N411*P411)</f>
        <v>528.5</v>
      </c>
      <c r="S411" s="33" t="n">
        <f aca="false">IF(Q411="","",Q411-R411)</f>
        <v>0</v>
      </c>
      <c r="T411" s="33" t="n">
        <f aca="false">IF(S411="","",MAX(0,-S411))</f>
        <v>-0</v>
      </c>
      <c r="U411" s="33" t="n">
        <f aca="false">IF(S411="","",MAX(0,S411))</f>
        <v>0</v>
      </c>
      <c r="V411" s="11" t="str">
        <f aca="false">IF(J411="","NOT SCORED - NO JULY MONTHLY ROW",IF(OR(ABS(L411)&gt;0.005,ABS(O411)&gt;0.005,ABS(S411)&gt;0.005),"EXCEPTION","OK"))</f>
        <v>OK</v>
      </c>
      <c r="W411" s="11" t="s">
        <v>4415</v>
      </c>
      <c r="X411" s="11" t="s">
        <v>4099</v>
      </c>
      <c r="Y411" s="33" t="n">
        <f aca="false">K411*N411</f>
        <v>528.5</v>
      </c>
    </row>
    <row r="412" customFormat="false" ht="15" hidden="false" customHeight="false" outlineLevel="0" collapsed="false">
      <c r="A412" s="8" t="s">
        <v>57</v>
      </c>
      <c r="B412" s="8" t="s">
        <v>224</v>
      </c>
      <c r="C412" s="8" t="s">
        <v>2829</v>
      </c>
      <c r="D412" s="8" t="s">
        <v>3723</v>
      </c>
      <c r="E412" s="8" t="s">
        <v>4416</v>
      </c>
      <c r="F412" s="8" t="s">
        <v>4417</v>
      </c>
      <c r="G412" s="8" t="s">
        <v>3074</v>
      </c>
      <c r="H412" s="8" t="n">
        <v>40</v>
      </c>
      <c r="I412" s="34" t="n">
        <v>20.6</v>
      </c>
      <c r="J412" s="34" t="n">
        <v>40</v>
      </c>
      <c r="K412" s="34" t="n">
        <f aca="false">MAX(ROUNDUP(I412,0),H412)</f>
        <v>40</v>
      </c>
      <c r="L412" s="34" t="n">
        <f aca="false">IF(J412="","",J412-K412)</f>
        <v>0</v>
      </c>
      <c r="M412" s="35" t="n">
        <v>7.55</v>
      </c>
      <c r="N412" s="35" t="n">
        <f aca="false">IF(C412="covered",10.4,7.55)</f>
        <v>7.55</v>
      </c>
      <c r="O412" s="35" t="n">
        <f aca="false">IF(M412="","",M412-N412)</f>
        <v>0</v>
      </c>
      <c r="P412" s="8" t="n">
        <v>1</v>
      </c>
      <c r="Q412" s="36" t="n">
        <v>302</v>
      </c>
      <c r="R412" s="36" t="n">
        <f aca="false">IF(OR(J412="",P412=""),"",K412*N412*P412)</f>
        <v>302</v>
      </c>
      <c r="S412" s="36" t="n">
        <f aca="false">IF(Q412="","",Q412-R412)</f>
        <v>0</v>
      </c>
      <c r="T412" s="36" t="n">
        <f aca="false">IF(S412="","",MAX(0,-S412))</f>
        <v>-0</v>
      </c>
      <c r="U412" s="36" t="n">
        <f aca="false">IF(S412="","",MAX(0,S412))</f>
        <v>0</v>
      </c>
      <c r="V412" s="8" t="str">
        <f aca="false">IF(J412="","NOT SCORED - NO JULY MONTHLY ROW",IF(OR(ABS(L412)&gt;0.005,ABS(O412)&gt;0.005,ABS(S412)&gt;0.005),"EXCEPTION","OK"))</f>
        <v>OK</v>
      </c>
      <c r="W412" s="8" t="s">
        <v>4418</v>
      </c>
      <c r="X412" s="8" t="s">
        <v>4099</v>
      </c>
      <c r="Y412" s="36" t="n">
        <f aca="false">K412*N412</f>
        <v>302</v>
      </c>
    </row>
    <row r="413" customFormat="false" ht="15" hidden="false" customHeight="false" outlineLevel="0" collapsed="false">
      <c r="A413" s="11" t="s">
        <v>1436</v>
      </c>
      <c r="B413" s="11" t="s">
        <v>224</v>
      </c>
      <c r="C413" s="11" t="s">
        <v>2829</v>
      </c>
      <c r="D413" s="11" t="s">
        <v>3728</v>
      </c>
      <c r="E413" s="11" t="s">
        <v>4419</v>
      </c>
      <c r="F413" s="11" t="s">
        <v>4420</v>
      </c>
      <c r="G413" s="11" t="s">
        <v>3087</v>
      </c>
      <c r="H413" s="11" t="n">
        <v>24</v>
      </c>
      <c r="I413" s="31" t="n">
        <v>42.4</v>
      </c>
      <c r="J413" s="31" t="n">
        <v>43</v>
      </c>
      <c r="K413" s="31" t="n">
        <f aca="false">MAX(ROUNDUP(I413,0),H413)</f>
        <v>43</v>
      </c>
      <c r="L413" s="31" t="n">
        <f aca="false">IF(J413="","",J413-K413)</f>
        <v>0</v>
      </c>
      <c r="M413" s="32" t="n">
        <v>7.55</v>
      </c>
      <c r="N413" s="32" t="n">
        <f aca="false">IF(C413="covered",10.4,7.55)</f>
        <v>7.55</v>
      </c>
      <c r="O413" s="32" t="n">
        <f aca="false">IF(M413="","",M413-N413)</f>
        <v>0</v>
      </c>
      <c r="P413" s="11" t="n">
        <v>1</v>
      </c>
      <c r="Q413" s="33" t="n">
        <v>324.65</v>
      </c>
      <c r="R413" s="33" t="n">
        <f aca="false">IF(OR(J413="",P413=""),"",K413*N413*P413)</f>
        <v>324.65</v>
      </c>
      <c r="S413" s="33" t="n">
        <f aca="false">IF(Q413="","",Q413-R413)</f>
        <v>0</v>
      </c>
      <c r="T413" s="33" t="n">
        <f aca="false">IF(S413="","",MAX(0,-S413))</f>
        <v>-0</v>
      </c>
      <c r="U413" s="33" t="n">
        <f aca="false">IF(S413="","",MAX(0,S413))</f>
        <v>0</v>
      </c>
      <c r="V413" s="11" t="str">
        <f aca="false">IF(J413="","NOT SCORED - NO JULY MONTHLY ROW",IF(OR(ABS(L413)&gt;0.005,ABS(O413)&gt;0.005,ABS(S413)&gt;0.005),"EXCEPTION","OK"))</f>
        <v>OK</v>
      </c>
      <c r="W413" s="11" t="s">
        <v>4421</v>
      </c>
      <c r="X413" s="11" t="s">
        <v>4099</v>
      </c>
      <c r="Y413" s="33" t="n">
        <f aca="false">K413*N413</f>
        <v>324.65</v>
      </c>
    </row>
    <row r="414" customFormat="false" ht="15" hidden="false" customHeight="false" outlineLevel="0" collapsed="false">
      <c r="A414" s="8" t="s">
        <v>4422</v>
      </c>
      <c r="B414" s="8" t="s">
        <v>224</v>
      </c>
      <c r="C414" s="8" t="s">
        <v>2829</v>
      </c>
      <c r="D414" s="8" t="s">
        <v>3732</v>
      </c>
      <c r="E414" s="8" t="s">
        <v>4423</v>
      </c>
      <c r="F414" s="8" t="s">
        <v>4424</v>
      </c>
      <c r="G414" s="8" t="s">
        <v>3292</v>
      </c>
      <c r="H414" s="8" t="n">
        <v>24</v>
      </c>
      <c r="I414" s="34" t="n">
        <v>33.7</v>
      </c>
      <c r="J414" s="34" t="n">
        <v>34</v>
      </c>
      <c r="K414" s="34" t="n">
        <f aca="false">MAX(ROUNDUP(I414,0),H414)</f>
        <v>34</v>
      </c>
      <c r="L414" s="34" t="n">
        <f aca="false">IF(J414="","",J414-K414)</f>
        <v>0</v>
      </c>
      <c r="M414" s="35" t="n">
        <v>7.55</v>
      </c>
      <c r="N414" s="35" t="n">
        <f aca="false">IF(C414="covered",10.4,7.55)</f>
        <v>7.55</v>
      </c>
      <c r="O414" s="35" t="n">
        <f aca="false">IF(M414="","",M414-N414)</f>
        <v>0</v>
      </c>
      <c r="P414" s="8" t="n">
        <v>1</v>
      </c>
      <c r="Q414" s="36" t="n">
        <v>256.7</v>
      </c>
      <c r="R414" s="36" t="n">
        <f aca="false">IF(OR(J414="",P414=""),"",K414*N414*P414)</f>
        <v>256.7</v>
      </c>
      <c r="S414" s="36" t="n">
        <f aca="false">IF(Q414="","",Q414-R414)</f>
        <v>0</v>
      </c>
      <c r="T414" s="36" t="n">
        <f aca="false">IF(S414="","",MAX(0,-S414))</f>
        <v>-0</v>
      </c>
      <c r="U414" s="36" t="n">
        <f aca="false">IF(S414="","",MAX(0,S414))</f>
        <v>0</v>
      </c>
      <c r="V414" s="8" t="str">
        <f aca="false">IF(J414="","NOT SCORED - NO JULY MONTHLY ROW",IF(OR(ABS(L414)&gt;0.005,ABS(O414)&gt;0.005,ABS(S414)&gt;0.005),"EXCEPTION","OK"))</f>
        <v>OK</v>
      </c>
      <c r="W414" s="8" t="s">
        <v>4425</v>
      </c>
      <c r="X414" s="8" t="s">
        <v>4099</v>
      </c>
      <c r="Y414" s="36" t="n">
        <f aca="false">K414*N414</f>
        <v>256.7</v>
      </c>
    </row>
    <row r="415" customFormat="false" ht="15" hidden="false" customHeight="false" outlineLevel="0" collapsed="false">
      <c r="A415" s="11" t="s">
        <v>4426</v>
      </c>
      <c r="B415" s="11" t="s">
        <v>224</v>
      </c>
      <c r="C415" s="11" t="s">
        <v>2829</v>
      </c>
      <c r="D415" s="11" t="s">
        <v>4427</v>
      </c>
      <c r="E415" s="11" t="s">
        <v>4428</v>
      </c>
      <c r="F415" s="11" t="s">
        <v>4429</v>
      </c>
      <c r="G415" s="11" t="s">
        <v>3448</v>
      </c>
      <c r="H415" s="11" t="n">
        <v>28</v>
      </c>
      <c r="I415" s="31" t="n">
        <v>56.9</v>
      </c>
      <c r="J415" s="31" t="n">
        <v>57</v>
      </c>
      <c r="K415" s="31" t="n">
        <f aca="false">MAX(ROUNDUP(I415,0),H415)</f>
        <v>57</v>
      </c>
      <c r="L415" s="31" t="n">
        <f aca="false">IF(J415="","",J415-K415)</f>
        <v>0</v>
      </c>
      <c r="M415" s="32" t="n">
        <v>7.55</v>
      </c>
      <c r="N415" s="32" t="n">
        <f aca="false">IF(C415="covered",10.4,7.55)</f>
        <v>7.55</v>
      </c>
      <c r="O415" s="32" t="n">
        <f aca="false">IF(M415="","",M415-N415)</f>
        <v>0</v>
      </c>
      <c r="P415" s="11" t="n">
        <v>1</v>
      </c>
      <c r="Q415" s="33" t="n">
        <v>430.35</v>
      </c>
      <c r="R415" s="33" t="n">
        <f aca="false">IF(OR(J415="",P415=""),"",K415*N415*P415)</f>
        <v>430.35</v>
      </c>
      <c r="S415" s="33" t="n">
        <f aca="false">IF(Q415="","",Q415-R415)</f>
        <v>0</v>
      </c>
      <c r="T415" s="33" t="n">
        <f aca="false">IF(S415="","",MAX(0,-S415))</f>
        <v>-0</v>
      </c>
      <c r="U415" s="33" t="n">
        <f aca="false">IF(S415="","",MAX(0,S415))</f>
        <v>0</v>
      </c>
      <c r="V415" s="11" t="str">
        <f aca="false">IF(J415="","NOT SCORED - NO JULY MONTHLY ROW",IF(OR(ABS(L415)&gt;0.005,ABS(O415)&gt;0.005,ABS(S415)&gt;0.005),"EXCEPTION","OK"))</f>
        <v>OK</v>
      </c>
      <c r="W415" s="11" t="s">
        <v>4430</v>
      </c>
      <c r="X415" s="11" t="s">
        <v>4099</v>
      </c>
      <c r="Y415" s="33" t="n">
        <f aca="false">K415*N415</f>
        <v>430.35</v>
      </c>
    </row>
    <row r="416" customFormat="false" ht="15" hidden="false" customHeight="false" outlineLevel="0" collapsed="false">
      <c r="A416" s="8" t="s">
        <v>4431</v>
      </c>
      <c r="B416" s="8" t="s">
        <v>224</v>
      </c>
      <c r="C416" s="8" t="s">
        <v>2829</v>
      </c>
      <c r="D416" s="8" t="s">
        <v>3737</v>
      </c>
      <c r="E416" s="8" t="s">
        <v>4432</v>
      </c>
      <c r="F416" s="8" t="s">
        <v>4433</v>
      </c>
      <c r="G416" s="8" t="s">
        <v>4434</v>
      </c>
      <c r="H416" s="8" t="n">
        <v>24</v>
      </c>
      <c r="I416" s="34" t="n">
        <v>58</v>
      </c>
      <c r="J416" s="34" t="n">
        <v>58</v>
      </c>
      <c r="K416" s="34" t="n">
        <f aca="false">MAX(ROUNDUP(I416,0),H416)</f>
        <v>58</v>
      </c>
      <c r="L416" s="34" t="n">
        <f aca="false">IF(J416="","",J416-K416)</f>
        <v>0</v>
      </c>
      <c r="M416" s="35" t="n">
        <v>7.55</v>
      </c>
      <c r="N416" s="35" t="n">
        <f aca="false">IF(C416="covered",10.4,7.55)</f>
        <v>7.55</v>
      </c>
      <c r="O416" s="35" t="n">
        <f aca="false">IF(M416="","",M416-N416)</f>
        <v>0</v>
      </c>
      <c r="P416" s="8" t="n">
        <v>1</v>
      </c>
      <c r="Q416" s="36" t="n">
        <v>437.9</v>
      </c>
      <c r="R416" s="36" t="n">
        <f aca="false">IF(OR(J416="",P416=""),"",K416*N416*P416)</f>
        <v>437.9</v>
      </c>
      <c r="S416" s="36" t="n">
        <f aca="false">IF(Q416="","",Q416-R416)</f>
        <v>0</v>
      </c>
      <c r="T416" s="36" t="n">
        <f aca="false">IF(S416="","",MAX(0,-S416))</f>
        <v>-0</v>
      </c>
      <c r="U416" s="36" t="n">
        <f aca="false">IF(S416="","",MAX(0,S416))</f>
        <v>0</v>
      </c>
      <c r="V416" s="8" t="str">
        <f aca="false">IF(J416="","NOT SCORED - NO JULY MONTHLY ROW",IF(OR(ABS(L416)&gt;0.005,ABS(O416)&gt;0.005,ABS(S416)&gt;0.005),"EXCEPTION","OK"))</f>
        <v>OK</v>
      </c>
      <c r="W416" s="8" t="s">
        <v>4435</v>
      </c>
      <c r="X416" s="8" t="s">
        <v>4099</v>
      </c>
      <c r="Y416" s="36" t="n">
        <f aca="false">K416*N416</f>
        <v>437.9</v>
      </c>
    </row>
    <row r="417" customFormat="false" ht="15" hidden="false" customHeight="false" outlineLevel="0" collapsed="false">
      <c r="A417" s="11" t="s">
        <v>4436</v>
      </c>
      <c r="B417" s="11" t="s">
        <v>224</v>
      </c>
      <c r="C417" s="11" t="s">
        <v>2829</v>
      </c>
      <c r="D417" s="11" t="s">
        <v>3741</v>
      </c>
      <c r="E417" s="11" t="s">
        <v>1676</v>
      </c>
      <c r="F417" s="11" t="s">
        <v>1677</v>
      </c>
      <c r="G417" s="11" t="s">
        <v>2976</v>
      </c>
      <c r="H417" s="11" t="n">
        <v>45</v>
      </c>
      <c r="I417" s="31" t="n">
        <v>36.5</v>
      </c>
      <c r="J417" s="31" t="n">
        <v>45</v>
      </c>
      <c r="K417" s="31" t="n">
        <f aca="false">MAX(ROUNDUP(I417,0),H417)</f>
        <v>45</v>
      </c>
      <c r="L417" s="31" t="n">
        <f aca="false">IF(J417="","",J417-K417)</f>
        <v>0</v>
      </c>
      <c r="M417" s="32" t="n">
        <v>7.55</v>
      </c>
      <c r="N417" s="32" t="n">
        <f aca="false">IF(C417="covered",10.4,7.55)</f>
        <v>7.55</v>
      </c>
      <c r="O417" s="32" t="n">
        <f aca="false">IF(M417="","",M417-N417)</f>
        <v>0</v>
      </c>
      <c r="P417" s="11" t="n">
        <v>1</v>
      </c>
      <c r="Q417" s="33" t="n">
        <v>339.75</v>
      </c>
      <c r="R417" s="33" t="n">
        <f aca="false">IF(OR(J417="",P417=""),"",K417*N417*P417)</f>
        <v>339.75</v>
      </c>
      <c r="S417" s="33" t="n">
        <f aca="false">IF(Q417="","",Q417-R417)</f>
        <v>0</v>
      </c>
      <c r="T417" s="33" t="n">
        <f aca="false">IF(S417="","",MAX(0,-S417))</f>
        <v>-0</v>
      </c>
      <c r="U417" s="33" t="n">
        <f aca="false">IF(S417="","",MAX(0,S417))</f>
        <v>0</v>
      </c>
      <c r="V417" s="11" t="str">
        <f aca="false">IF(J417="","NOT SCORED - NO JULY MONTHLY ROW",IF(OR(ABS(L417)&gt;0.005,ABS(O417)&gt;0.005,ABS(S417)&gt;0.005),"EXCEPTION","OK"))</f>
        <v>OK</v>
      </c>
      <c r="W417" s="11" t="s">
        <v>4437</v>
      </c>
      <c r="X417" s="11" t="s">
        <v>4099</v>
      </c>
      <c r="Y417" s="33" t="n">
        <f aca="false">K417*N417</f>
        <v>339.75</v>
      </c>
    </row>
    <row r="418" customFormat="false" ht="15" hidden="false" customHeight="false" outlineLevel="0" collapsed="false">
      <c r="A418" s="8" t="s">
        <v>4438</v>
      </c>
      <c r="B418" s="8" t="s">
        <v>224</v>
      </c>
      <c r="C418" s="8" t="s">
        <v>2829</v>
      </c>
      <c r="D418" s="8" t="s">
        <v>3745</v>
      </c>
      <c r="E418" s="8" t="s">
        <v>2484</v>
      </c>
      <c r="F418" s="8" t="s">
        <v>4439</v>
      </c>
      <c r="G418" s="8" t="s">
        <v>3268</v>
      </c>
      <c r="H418" s="8" t="n">
        <v>32</v>
      </c>
      <c r="I418" s="34" t="n">
        <v>21.8</v>
      </c>
      <c r="J418" s="34" t="n">
        <v>32</v>
      </c>
      <c r="K418" s="34" t="n">
        <f aca="false">MAX(ROUNDUP(I418,0),H418)</f>
        <v>32</v>
      </c>
      <c r="L418" s="34" t="n">
        <f aca="false">IF(J418="","",J418-K418)</f>
        <v>0</v>
      </c>
      <c r="M418" s="35" t="n">
        <v>7.55</v>
      </c>
      <c r="N418" s="35" t="n">
        <f aca="false">IF(C418="covered",10.4,7.55)</f>
        <v>7.55</v>
      </c>
      <c r="O418" s="35" t="n">
        <f aca="false">IF(M418="","",M418-N418)</f>
        <v>0</v>
      </c>
      <c r="P418" s="8" t="n">
        <v>1</v>
      </c>
      <c r="Q418" s="36" t="n">
        <v>241.6</v>
      </c>
      <c r="R418" s="36" t="n">
        <f aca="false">IF(OR(J418="",P418=""),"",K418*N418*P418)</f>
        <v>241.6</v>
      </c>
      <c r="S418" s="36" t="n">
        <f aca="false">IF(Q418="","",Q418-R418)</f>
        <v>0</v>
      </c>
      <c r="T418" s="36" t="n">
        <f aca="false">IF(S418="","",MAX(0,-S418))</f>
        <v>-0</v>
      </c>
      <c r="U418" s="36" t="n">
        <f aca="false">IF(S418="","",MAX(0,S418))</f>
        <v>0</v>
      </c>
      <c r="V418" s="8" t="str">
        <f aca="false">IF(J418="","NOT SCORED - NO JULY MONTHLY ROW",IF(OR(ABS(L418)&gt;0.005,ABS(O418)&gt;0.005,ABS(S418)&gt;0.005),"EXCEPTION","OK"))</f>
        <v>OK</v>
      </c>
      <c r="W418" s="8" t="s">
        <v>4440</v>
      </c>
      <c r="X418" s="8" t="s">
        <v>4099</v>
      </c>
      <c r="Y418" s="36" t="n">
        <f aca="false">K418*N418</f>
        <v>241.6</v>
      </c>
    </row>
    <row r="419" customFormat="false" ht="15" hidden="false" customHeight="false" outlineLevel="0" collapsed="false">
      <c r="A419" s="11" t="s">
        <v>1753</v>
      </c>
      <c r="B419" s="11" t="s">
        <v>224</v>
      </c>
      <c r="C419" s="11" t="s">
        <v>2829</v>
      </c>
      <c r="D419" s="11" t="s">
        <v>3750</v>
      </c>
      <c r="E419" s="11" t="s">
        <v>476</v>
      </c>
      <c r="F419" s="11" t="s">
        <v>477</v>
      </c>
      <c r="G419" s="11" t="s">
        <v>4027</v>
      </c>
      <c r="H419" s="11" t="n">
        <v>36</v>
      </c>
      <c r="I419" s="31" t="n">
        <v>26.2</v>
      </c>
      <c r="J419" s="31" t="n">
        <v>36</v>
      </c>
      <c r="K419" s="31" t="n">
        <f aca="false">MAX(ROUNDUP(I419,0),H419)</f>
        <v>36</v>
      </c>
      <c r="L419" s="31" t="n">
        <f aca="false">IF(J419="","",J419-K419)</f>
        <v>0</v>
      </c>
      <c r="M419" s="32" t="n">
        <v>7.55</v>
      </c>
      <c r="N419" s="32" t="n">
        <f aca="false">IF(C419="covered",10.4,7.55)</f>
        <v>7.55</v>
      </c>
      <c r="O419" s="32" t="n">
        <f aca="false">IF(M419="","",M419-N419)</f>
        <v>0</v>
      </c>
      <c r="P419" s="11" t="n">
        <v>1</v>
      </c>
      <c r="Q419" s="33" t="n">
        <v>271.8</v>
      </c>
      <c r="R419" s="33" t="n">
        <f aca="false">IF(OR(J419="",P419=""),"",K419*N419*P419)</f>
        <v>271.8</v>
      </c>
      <c r="S419" s="33" t="n">
        <f aca="false">IF(Q419="","",Q419-R419)</f>
        <v>0</v>
      </c>
      <c r="T419" s="33" t="n">
        <f aca="false">IF(S419="","",MAX(0,-S419))</f>
        <v>-0</v>
      </c>
      <c r="U419" s="33" t="n">
        <f aca="false">IF(S419="","",MAX(0,S419))</f>
        <v>0</v>
      </c>
      <c r="V419" s="11" t="str">
        <f aca="false">IF(J419="","NOT SCORED - NO JULY MONTHLY ROW",IF(OR(ABS(L419)&gt;0.005,ABS(O419)&gt;0.005,ABS(S419)&gt;0.005),"EXCEPTION","OK"))</f>
        <v>OK</v>
      </c>
      <c r="W419" s="11" t="s">
        <v>4441</v>
      </c>
      <c r="X419" s="11" t="s">
        <v>4099</v>
      </c>
      <c r="Y419" s="33" t="n">
        <f aca="false">K419*N419</f>
        <v>271.8</v>
      </c>
    </row>
    <row r="420" customFormat="false" ht="15" hidden="false" customHeight="false" outlineLevel="0" collapsed="false">
      <c r="A420" s="8" t="s">
        <v>4442</v>
      </c>
      <c r="B420" s="8" t="s">
        <v>224</v>
      </c>
      <c r="C420" s="8" t="s">
        <v>2829</v>
      </c>
      <c r="D420" s="8" t="s">
        <v>3759</v>
      </c>
      <c r="E420" s="8" t="s">
        <v>4443</v>
      </c>
      <c r="F420" s="8" t="s">
        <v>4444</v>
      </c>
      <c r="G420" s="8" t="s">
        <v>3684</v>
      </c>
      <c r="H420" s="8" t="n">
        <v>70</v>
      </c>
      <c r="I420" s="34" t="n">
        <v>37.2</v>
      </c>
      <c r="J420" s="34" t="n">
        <v>70</v>
      </c>
      <c r="K420" s="34" t="n">
        <f aca="false">MAX(ROUNDUP(I420,0),H420)</f>
        <v>70</v>
      </c>
      <c r="L420" s="34" t="n">
        <f aca="false">IF(J420="","",J420-K420)</f>
        <v>0</v>
      </c>
      <c r="M420" s="35" t="n">
        <v>7.55</v>
      </c>
      <c r="N420" s="35" t="n">
        <f aca="false">IF(C420="covered",10.4,7.55)</f>
        <v>7.55</v>
      </c>
      <c r="O420" s="35" t="n">
        <f aca="false">IF(M420="","",M420-N420)</f>
        <v>0</v>
      </c>
      <c r="P420" s="8" t="n">
        <v>1</v>
      </c>
      <c r="Q420" s="36" t="n">
        <v>528.5</v>
      </c>
      <c r="R420" s="36" t="n">
        <f aca="false">IF(OR(J420="",P420=""),"",K420*N420*P420)</f>
        <v>528.5</v>
      </c>
      <c r="S420" s="36" t="n">
        <f aca="false">IF(Q420="","",Q420-R420)</f>
        <v>0</v>
      </c>
      <c r="T420" s="36" t="n">
        <f aca="false">IF(S420="","",MAX(0,-S420))</f>
        <v>-0</v>
      </c>
      <c r="U420" s="36" t="n">
        <f aca="false">IF(S420="","",MAX(0,S420))</f>
        <v>0</v>
      </c>
      <c r="V420" s="8" t="str">
        <f aca="false">IF(J420="","NOT SCORED - NO JULY MONTHLY ROW",IF(OR(ABS(L420)&gt;0.005,ABS(O420)&gt;0.005,ABS(S420)&gt;0.005),"EXCEPTION","OK"))</f>
        <v>OK</v>
      </c>
      <c r="W420" s="8" t="s">
        <v>4445</v>
      </c>
      <c r="X420" s="8" t="s">
        <v>4099</v>
      </c>
      <c r="Y420" s="36" t="n">
        <f aca="false">K420*N420</f>
        <v>528.5</v>
      </c>
    </row>
    <row r="421" customFormat="false" ht="15" hidden="false" customHeight="false" outlineLevel="0" collapsed="false">
      <c r="A421" s="11" t="s">
        <v>4446</v>
      </c>
      <c r="B421" s="11" t="s">
        <v>224</v>
      </c>
      <c r="C421" s="11" t="s">
        <v>2829</v>
      </c>
      <c r="D421" s="11" t="s">
        <v>3763</v>
      </c>
      <c r="E421" s="11" t="s">
        <v>4447</v>
      </c>
      <c r="F421" s="11" t="s">
        <v>4448</v>
      </c>
      <c r="G421" s="11" t="s">
        <v>4449</v>
      </c>
      <c r="H421" s="11" t="n">
        <v>45</v>
      </c>
      <c r="I421" s="31" t="n">
        <v>51.9</v>
      </c>
      <c r="J421" s="31" t="n">
        <v>52</v>
      </c>
      <c r="K421" s="31" t="n">
        <f aca="false">MAX(ROUNDUP(I421,0),H421)</f>
        <v>52</v>
      </c>
      <c r="L421" s="31" t="n">
        <f aca="false">IF(J421="","",J421-K421)</f>
        <v>0</v>
      </c>
      <c r="M421" s="32" t="n">
        <v>7.55</v>
      </c>
      <c r="N421" s="32" t="n">
        <f aca="false">IF(C421="covered",10.4,7.55)</f>
        <v>7.55</v>
      </c>
      <c r="O421" s="32" t="n">
        <f aca="false">IF(M421="","",M421-N421)</f>
        <v>0</v>
      </c>
      <c r="P421" s="11" t="n">
        <v>1</v>
      </c>
      <c r="Q421" s="33" t="n">
        <v>392.6</v>
      </c>
      <c r="R421" s="33" t="n">
        <f aca="false">IF(OR(J421="",P421=""),"",K421*N421*P421)</f>
        <v>392.6</v>
      </c>
      <c r="S421" s="33" t="n">
        <f aca="false">IF(Q421="","",Q421-R421)</f>
        <v>0</v>
      </c>
      <c r="T421" s="33" t="n">
        <f aca="false">IF(S421="","",MAX(0,-S421))</f>
        <v>-0</v>
      </c>
      <c r="U421" s="33" t="n">
        <f aca="false">IF(S421="","",MAX(0,S421))</f>
        <v>0</v>
      </c>
      <c r="V421" s="11" t="str">
        <f aca="false">IF(J421="","NOT SCORED - NO JULY MONTHLY ROW",IF(OR(ABS(L421)&gt;0.005,ABS(O421)&gt;0.005,ABS(S421)&gt;0.005),"EXCEPTION","OK"))</f>
        <v>OK</v>
      </c>
      <c r="W421" s="11" t="s">
        <v>4450</v>
      </c>
      <c r="X421" s="11" t="s">
        <v>4099</v>
      </c>
      <c r="Y421" s="33" t="n">
        <f aca="false">K421*N421</f>
        <v>392.6</v>
      </c>
    </row>
    <row r="422" customFormat="false" ht="15" hidden="false" customHeight="false" outlineLevel="0" collapsed="false">
      <c r="A422" s="8" t="s">
        <v>4451</v>
      </c>
      <c r="B422" s="8" t="s">
        <v>224</v>
      </c>
      <c r="C422" s="8" t="s">
        <v>2829</v>
      </c>
      <c r="D422" s="8" t="s">
        <v>2830</v>
      </c>
      <c r="E422" s="8" t="s">
        <v>4452</v>
      </c>
      <c r="F422" s="8" t="s">
        <v>4453</v>
      </c>
      <c r="G422" s="8" t="s">
        <v>3174</v>
      </c>
      <c r="H422" s="8" t="n">
        <v>32</v>
      </c>
      <c r="I422" s="34" t="n">
        <v>46.4</v>
      </c>
      <c r="J422" s="34" t="n">
        <v>47</v>
      </c>
      <c r="K422" s="34" t="n">
        <f aca="false">MAX(ROUNDUP(I422,0),H422)</f>
        <v>47</v>
      </c>
      <c r="L422" s="34" t="n">
        <f aca="false">IF(J422="","",J422-K422)</f>
        <v>0</v>
      </c>
      <c r="M422" s="35" t="n">
        <v>7.55</v>
      </c>
      <c r="N422" s="35" t="n">
        <f aca="false">IF(C422="covered",10.4,7.55)</f>
        <v>7.55</v>
      </c>
      <c r="O422" s="35" t="n">
        <f aca="false">IF(M422="","",M422-N422)</f>
        <v>0</v>
      </c>
      <c r="P422" s="8" t="n">
        <v>1</v>
      </c>
      <c r="Q422" s="36" t="n">
        <v>354.85</v>
      </c>
      <c r="R422" s="36" t="n">
        <f aca="false">IF(OR(J422="",P422=""),"",K422*N422*P422)</f>
        <v>354.85</v>
      </c>
      <c r="S422" s="36" t="n">
        <f aca="false">IF(Q422="","",Q422-R422)</f>
        <v>0</v>
      </c>
      <c r="T422" s="36" t="n">
        <f aca="false">IF(S422="","",MAX(0,-S422))</f>
        <v>-0</v>
      </c>
      <c r="U422" s="36" t="n">
        <f aca="false">IF(S422="","",MAX(0,S422))</f>
        <v>0</v>
      </c>
      <c r="V422" s="8" t="str">
        <f aca="false">IF(J422="","NOT SCORED - NO JULY MONTHLY ROW",IF(OR(ABS(L422)&gt;0.005,ABS(O422)&gt;0.005,ABS(S422)&gt;0.005),"EXCEPTION","OK"))</f>
        <v>OK</v>
      </c>
      <c r="W422" s="8" t="s">
        <v>4454</v>
      </c>
      <c r="X422" s="8" t="s">
        <v>4099</v>
      </c>
      <c r="Y422" s="36" t="n">
        <f aca="false">K422*N422</f>
        <v>354.85</v>
      </c>
    </row>
    <row r="423" customFormat="false" ht="15" hidden="false" customHeight="false" outlineLevel="0" collapsed="false">
      <c r="A423" s="11" t="s">
        <v>4455</v>
      </c>
      <c r="B423" s="11" t="s">
        <v>224</v>
      </c>
      <c r="C423" s="11" t="s">
        <v>2829</v>
      </c>
      <c r="D423" s="11" t="s">
        <v>2836</v>
      </c>
      <c r="E423" s="11" t="s">
        <v>4456</v>
      </c>
      <c r="F423" s="11" t="s">
        <v>4457</v>
      </c>
      <c r="G423" s="11" t="s">
        <v>4458</v>
      </c>
      <c r="H423" s="11" t="n">
        <v>36</v>
      </c>
      <c r="I423" s="31" t="n">
        <v>58.9</v>
      </c>
      <c r="J423" s="31" t="n">
        <v>59</v>
      </c>
      <c r="K423" s="31" t="n">
        <f aca="false">MAX(ROUNDUP(I423,0),H423)</f>
        <v>59</v>
      </c>
      <c r="L423" s="31" t="n">
        <f aca="false">IF(J423="","",J423-K423)</f>
        <v>0</v>
      </c>
      <c r="M423" s="32" t="n">
        <v>7.55</v>
      </c>
      <c r="N423" s="32" t="n">
        <f aca="false">IF(C423="covered",10.4,7.55)</f>
        <v>7.55</v>
      </c>
      <c r="O423" s="32" t="n">
        <f aca="false">IF(M423="","",M423-N423)</f>
        <v>0</v>
      </c>
      <c r="P423" s="11" t="n">
        <v>1</v>
      </c>
      <c r="Q423" s="33" t="n">
        <v>445.45</v>
      </c>
      <c r="R423" s="33" t="n">
        <f aca="false">IF(OR(J423="",P423=""),"",K423*N423*P423)</f>
        <v>445.45</v>
      </c>
      <c r="S423" s="33" t="n">
        <f aca="false">IF(Q423="","",Q423-R423)</f>
        <v>0</v>
      </c>
      <c r="T423" s="33" t="n">
        <f aca="false">IF(S423="","",MAX(0,-S423))</f>
        <v>-0</v>
      </c>
      <c r="U423" s="33" t="n">
        <f aca="false">IF(S423="","",MAX(0,S423))</f>
        <v>0</v>
      </c>
      <c r="V423" s="11" t="str">
        <f aca="false">IF(J423="","NOT SCORED - NO JULY MONTHLY ROW",IF(OR(ABS(L423)&gt;0.005,ABS(O423)&gt;0.005,ABS(S423)&gt;0.005),"EXCEPTION","OK"))</f>
        <v>OK</v>
      </c>
      <c r="W423" s="11" t="s">
        <v>4459</v>
      </c>
      <c r="X423" s="11" t="s">
        <v>4099</v>
      </c>
      <c r="Y423" s="33" t="n">
        <f aca="false">K423*N423</f>
        <v>445.45</v>
      </c>
    </row>
    <row r="424" customFormat="false" ht="15" hidden="false" customHeight="false" outlineLevel="0" collapsed="false">
      <c r="A424" s="8" t="s">
        <v>4460</v>
      </c>
      <c r="B424" s="8" t="s">
        <v>224</v>
      </c>
      <c r="C424" s="8" t="s">
        <v>2829</v>
      </c>
      <c r="D424" s="8" t="s">
        <v>2841</v>
      </c>
      <c r="E424" s="8" t="s">
        <v>4461</v>
      </c>
      <c r="F424" s="8" t="s">
        <v>4462</v>
      </c>
      <c r="G424" s="8" t="s">
        <v>3472</v>
      </c>
      <c r="H424" s="8" t="n">
        <v>28</v>
      </c>
      <c r="I424" s="34" t="n">
        <v>54.2</v>
      </c>
      <c r="J424" s="34" t="n">
        <v>55</v>
      </c>
      <c r="K424" s="34" t="n">
        <f aca="false">MAX(ROUNDUP(I424,0),H424)</f>
        <v>55</v>
      </c>
      <c r="L424" s="34" t="n">
        <f aca="false">IF(J424="","",J424-K424)</f>
        <v>0</v>
      </c>
      <c r="M424" s="35" t="n">
        <v>7.55</v>
      </c>
      <c r="N424" s="35" t="n">
        <f aca="false">IF(C424="covered",10.4,7.55)</f>
        <v>7.55</v>
      </c>
      <c r="O424" s="35" t="n">
        <f aca="false">IF(M424="","",M424-N424)</f>
        <v>0</v>
      </c>
      <c r="P424" s="8" t="n">
        <v>1</v>
      </c>
      <c r="Q424" s="36" t="n">
        <v>415.25</v>
      </c>
      <c r="R424" s="36" t="n">
        <f aca="false">IF(OR(J424="",P424=""),"",K424*N424*P424)</f>
        <v>415.25</v>
      </c>
      <c r="S424" s="36" t="n">
        <f aca="false">IF(Q424="","",Q424-R424)</f>
        <v>0</v>
      </c>
      <c r="T424" s="36" t="n">
        <f aca="false">IF(S424="","",MAX(0,-S424))</f>
        <v>-0</v>
      </c>
      <c r="U424" s="36" t="n">
        <f aca="false">IF(S424="","",MAX(0,S424))</f>
        <v>0</v>
      </c>
      <c r="V424" s="8" t="str">
        <f aca="false">IF(J424="","NOT SCORED - NO JULY MONTHLY ROW",IF(OR(ABS(L424)&gt;0.005,ABS(O424)&gt;0.005,ABS(S424)&gt;0.005),"EXCEPTION","OK"))</f>
        <v>OK</v>
      </c>
      <c r="W424" s="8" t="s">
        <v>4463</v>
      </c>
      <c r="X424" s="8" t="s">
        <v>4099</v>
      </c>
      <c r="Y424" s="36" t="n">
        <f aca="false">K424*N424</f>
        <v>415.25</v>
      </c>
    </row>
    <row r="425" customFormat="false" ht="15" hidden="false" customHeight="false" outlineLevel="0" collapsed="false">
      <c r="A425" s="11" t="s">
        <v>4464</v>
      </c>
      <c r="B425" s="11" t="s">
        <v>224</v>
      </c>
      <c r="C425" s="11" t="s">
        <v>2829</v>
      </c>
      <c r="D425" s="11" t="s">
        <v>2846</v>
      </c>
      <c r="E425" s="11" t="s">
        <v>4465</v>
      </c>
      <c r="F425" s="11" t="s">
        <v>4466</v>
      </c>
      <c r="G425" s="11" t="s">
        <v>3778</v>
      </c>
      <c r="H425" s="11" t="n">
        <v>32</v>
      </c>
      <c r="I425" s="31" t="n">
        <v>26.2</v>
      </c>
      <c r="J425" s="31" t="n">
        <v>32</v>
      </c>
      <c r="K425" s="31" t="n">
        <f aca="false">MAX(ROUNDUP(I425,0),H425)</f>
        <v>32</v>
      </c>
      <c r="L425" s="31" t="n">
        <f aca="false">IF(J425="","",J425-K425)</f>
        <v>0</v>
      </c>
      <c r="M425" s="32" t="n">
        <v>7.55</v>
      </c>
      <c r="N425" s="32" t="n">
        <f aca="false">IF(C425="covered",10.4,7.55)</f>
        <v>7.55</v>
      </c>
      <c r="O425" s="32" t="n">
        <f aca="false">IF(M425="","",M425-N425)</f>
        <v>0</v>
      </c>
      <c r="P425" s="11" t="n">
        <v>1</v>
      </c>
      <c r="Q425" s="33" t="n">
        <v>241.6</v>
      </c>
      <c r="R425" s="33" t="n">
        <f aca="false">IF(OR(J425="",P425=""),"",K425*N425*P425)</f>
        <v>241.6</v>
      </c>
      <c r="S425" s="33" t="n">
        <f aca="false">IF(Q425="","",Q425-R425)</f>
        <v>0</v>
      </c>
      <c r="T425" s="33" t="n">
        <f aca="false">IF(S425="","",MAX(0,-S425))</f>
        <v>-0</v>
      </c>
      <c r="U425" s="33" t="n">
        <f aca="false">IF(S425="","",MAX(0,S425))</f>
        <v>0</v>
      </c>
      <c r="V425" s="11" t="str">
        <f aca="false">IF(J425="","NOT SCORED - NO JULY MONTHLY ROW",IF(OR(ABS(L425)&gt;0.005,ABS(O425)&gt;0.005,ABS(S425)&gt;0.005),"EXCEPTION","OK"))</f>
        <v>OK</v>
      </c>
      <c r="W425" s="11" t="s">
        <v>4467</v>
      </c>
      <c r="X425" s="11" t="s">
        <v>4099</v>
      </c>
      <c r="Y425" s="33" t="n">
        <f aca="false">K425*N425</f>
        <v>241.6</v>
      </c>
    </row>
    <row r="426" customFormat="false" ht="15" hidden="false" customHeight="false" outlineLevel="0" collapsed="false">
      <c r="A426" s="8" t="s">
        <v>4468</v>
      </c>
      <c r="B426" s="8" t="s">
        <v>224</v>
      </c>
      <c r="C426" s="8" t="s">
        <v>2829</v>
      </c>
      <c r="D426" s="8" t="s">
        <v>2849</v>
      </c>
      <c r="E426" s="8" t="s">
        <v>4469</v>
      </c>
      <c r="F426" s="8" t="s">
        <v>4470</v>
      </c>
      <c r="G426" s="8" t="s">
        <v>4471</v>
      </c>
      <c r="H426" s="8" t="n">
        <v>60</v>
      </c>
      <c r="I426" s="34" t="n">
        <v>37.4</v>
      </c>
      <c r="J426" s="34" t="n">
        <v>60</v>
      </c>
      <c r="K426" s="34" t="n">
        <f aca="false">MAX(ROUNDUP(I426,0),H426)</f>
        <v>60</v>
      </c>
      <c r="L426" s="34" t="n">
        <f aca="false">IF(J426="","",J426-K426)</f>
        <v>0</v>
      </c>
      <c r="M426" s="35" t="n">
        <v>7.55</v>
      </c>
      <c r="N426" s="35" t="n">
        <f aca="false">IF(C426="covered",10.4,7.55)</f>
        <v>7.55</v>
      </c>
      <c r="O426" s="35" t="n">
        <f aca="false">IF(M426="","",M426-N426)</f>
        <v>0</v>
      </c>
      <c r="P426" s="8" t="n">
        <v>1</v>
      </c>
      <c r="Q426" s="36" t="n">
        <v>453</v>
      </c>
      <c r="R426" s="36" t="n">
        <f aca="false">IF(OR(J426="",P426=""),"",K426*N426*P426)</f>
        <v>453</v>
      </c>
      <c r="S426" s="36" t="n">
        <f aca="false">IF(Q426="","",Q426-R426)</f>
        <v>0</v>
      </c>
      <c r="T426" s="36" t="n">
        <f aca="false">IF(S426="","",MAX(0,-S426))</f>
        <v>-0</v>
      </c>
      <c r="U426" s="36" t="n">
        <f aca="false">IF(S426="","",MAX(0,S426))</f>
        <v>0</v>
      </c>
      <c r="V426" s="8" t="str">
        <f aca="false">IF(J426="","NOT SCORED - NO JULY MONTHLY ROW",IF(OR(ABS(L426)&gt;0.005,ABS(O426)&gt;0.005,ABS(S426)&gt;0.005),"EXCEPTION","OK"))</f>
        <v>OK</v>
      </c>
      <c r="W426" s="8" t="s">
        <v>4472</v>
      </c>
      <c r="X426" s="8" t="s">
        <v>4099</v>
      </c>
      <c r="Y426" s="36" t="n">
        <f aca="false">K426*N426</f>
        <v>453</v>
      </c>
    </row>
    <row r="427" customFormat="false" ht="15" hidden="false" customHeight="false" outlineLevel="0" collapsed="false">
      <c r="A427" s="11" t="s">
        <v>4473</v>
      </c>
      <c r="B427" s="11" t="s">
        <v>224</v>
      </c>
      <c r="C427" s="11" t="s">
        <v>2829</v>
      </c>
      <c r="D427" s="11" t="s">
        <v>2852</v>
      </c>
      <c r="E427" s="11" t="s">
        <v>4474</v>
      </c>
      <c r="F427" s="11" t="s">
        <v>4475</v>
      </c>
      <c r="G427" s="11" t="s">
        <v>3149</v>
      </c>
      <c r="H427" s="11" t="n">
        <v>70</v>
      </c>
      <c r="I427" s="31" t="n">
        <v>55.2</v>
      </c>
      <c r="J427" s="31" t="n">
        <v>70</v>
      </c>
      <c r="K427" s="31" t="n">
        <f aca="false">MAX(ROUNDUP(I427,0),H427)</f>
        <v>70</v>
      </c>
      <c r="L427" s="31" t="n">
        <f aca="false">IF(J427="","",J427-K427)</f>
        <v>0</v>
      </c>
      <c r="M427" s="32" t="n">
        <v>7.55</v>
      </c>
      <c r="N427" s="32" t="n">
        <f aca="false">IF(C427="covered",10.4,7.55)</f>
        <v>7.55</v>
      </c>
      <c r="O427" s="32" t="n">
        <f aca="false">IF(M427="","",M427-N427)</f>
        <v>0</v>
      </c>
      <c r="P427" s="11" t="n">
        <v>1</v>
      </c>
      <c r="Q427" s="33" t="n">
        <v>528.5</v>
      </c>
      <c r="R427" s="33" t="n">
        <f aca="false">IF(OR(J427="",P427=""),"",K427*N427*P427)</f>
        <v>528.5</v>
      </c>
      <c r="S427" s="33" t="n">
        <f aca="false">IF(Q427="","",Q427-R427)</f>
        <v>0</v>
      </c>
      <c r="T427" s="33" t="n">
        <f aca="false">IF(S427="","",MAX(0,-S427))</f>
        <v>-0</v>
      </c>
      <c r="U427" s="33" t="n">
        <f aca="false">IF(S427="","",MAX(0,S427))</f>
        <v>0</v>
      </c>
      <c r="V427" s="11" t="str">
        <f aca="false">IF(J427="","NOT SCORED - NO JULY MONTHLY ROW",IF(OR(ABS(L427)&gt;0.005,ABS(O427)&gt;0.005,ABS(S427)&gt;0.005),"EXCEPTION","OK"))</f>
        <v>OK</v>
      </c>
      <c r="W427" s="11" t="s">
        <v>4476</v>
      </c>
      <c r="X427" s="11" t="s">
        <v>4099</v>
      </c>
      <c r="Y427" s="33" t="n">
        <f aca="false">K427*N427</f>
        <v>528.5</v>
      </c>
    </row>
    <row r="428" customFormat="false" ht="15" hidden="false" customHeight="false" outlineLevel="0" collapsed="false">
      <c r="A428" s="8" t="s">
        <v>4477</v>
      </c>
      <c r="B428" s="8" t="s">
        <v>224</v>
      </c>
      <c r="C428" s="8" t="s">
        <v>2829</v>
      </c>
      <c r="D428" s="8" t="s">
        <v>2857</v>
      </c>
      <c r="E428" s="8" t="s">
        <v>4478</v>
      </c>
      <c r="F428" s="8" t="s">
        <v>4479</v>
      </c>
      <c r="G428" s="8" t="s">
        <v>3299</v>
      </c>
      <c r="H428" s="8" t="n">
        <v>36</v>
      </c>
      <c r="I428" s="34" t="n">
        <v>59.7</v>
      </c>
      <c r="J428" s="34" t="n">
        <v>60</v>
      </c>
      <c r="K428" s="34" t="n">
        <f aca="false">MAX(ROUNDUP(I428,0),H428)</f>
        <v>60</v>
      </c>
      <c r="L428" s="34" t="n">
        <f aca="false">IF(J428="","",J428-K428)</f>
        <v>0</v>
      </c>
      <c r="M428" s="35" t="n">
        <v>7.55</v>
      </c>
      <c r="N428" s="35" t="n">
        <f aca="false">IF(C428="covered",10.4,7.55)</f>
        <v>7.55</v>
      </c>
      <c r="O428" s="35" t="n">
        <f aca="false">IF(M428="","",M428-N428)</f>
        <v>0</v>
      </c>
      <c r="P428" s="8" t="n">
        <v>1</v>
      </c>
      <c r="Q428" s="36" t="n">
        <v>453</v>
      </c>
      <c r="R428" s="36" t="n">
        <f aca="false">IF(OR(J428="",P428=""),"",K428*N428*P428)</f>
        <v>453</v>
      </c>
      <c r="S428" s="36" t="n">
        <f aca="false">IF(Q428="","",Q428-R428)</f>
        <v>0</v>
      </c>
      <c r="T428" s="36" t="n">
        <f aca="false">IF(S428="","",MAX(0,-S428))</f>
        <v>-0</v>
      </c>
      <c r="U428" s="36" t="n">
        <f aca="false">IF(S428="","",MAX(0,S428))</f>
        <v>0</v>
      </c>
      <c r="V428" s="8" t="str">
        <f aca="false">IF(J428="","NOT SCORED - NO JULY MONTHLY ROW",IF(OR(ABS(L428)&gt;0.005,ABS(O428)&gt;0.005,ABS(S428)&gt;0.005),"EXCEPTION","OK"))</f>
        <v>OK</v>
      </c>
      <c r="W428" s="8" t="s">
        <v>4480</v>
      </c>
      <c r="X428" s="8" t="s">
        <v>4099</v>
      </c>
      <c r="Y428" s="36" t="n">
        <f aca="false">K428*N428</f>
        <v>453</v>
      </c>
    </row>
    <row r="429" customFormat="false" ht="15" hidden="false" customHeight="false" outlineLevel="0" collapsed="false">
      <c r="A429" s="11" t="s">
        <v>4481</v>
      </c>
      <c r="B429" s="11" t="s">
        <v>224</v>
      </c>
      <c r="C429" s="11" t="s">
        <v>2829</v>
      </c>
      <c r="D429" s="11" t="s">
        <v>3793</v>
      </c>
      <c r="E429" s="11" t="s">
        <v>4482</v>
      </c>
      <c r="F429" s="11" t="s">
        <v>4250</v>
      </c>
      <c r="G429" s="11" t="s">
        <v>3426</v>
      </c>
      <c r="H429" s="11" t="n">
        <v>28</v>
      </c>
      <c r="I429" s="31" t="n">
        <v>52.5</v>
      </c>
      <c r="J429" s="31" t="n">
        <v>53</v>
      </c>
      <c r="K429" s="31" t="n">
        <f aca="false">MAX(ROUNDUP(I429,0),H429)</f>
        <v>53</v>
      </c>
      <c r="L429" s="31" t="n">
        <f aca="false">IF(J429="","",J429-K429)</f>
        <v>0</v>
      </c>
      <c r="M429" s="32" t="n">
        <v>7.55</v>
      </c>
      <c r="N429" s="32" t="n">
        <f aca="false">IF(C429="covered",10.4,7.55)</f>
        <v>7.55</v>
      </c>
      <c r="O429" s="32" t="n">
        <f aca="false">IF(M429="","",M429-N429)</f>
        <v>0</v>
      </c>
      <c r="P429" s="11" t="n">
        <v>1</v>
      </c>
      <c r="Q429" s="33" t="n">
        <v>400.15</v>
      </c>
      <c r="R429" s="33" t="n">
        <f aca="false">IF(OR(J429="",P429=""),"",K429*N429*P429)</f>
        <v>400.15</v>
      </c>
      <c r="S429" s="33" t="n">
        <f aca="false">IF(Q429="","",Q429-R429)</f>
        <v>0</v>
      </c>
      <c r="T429" s="33" t="n">
        <f aca="false">IF(S429="","",MAX(0,-S429))</f>
        <v>-0</v>
      </c>
      <c r="U429" s="33" t="n">
        <f aca="false">IF(S429="","",MAX(0,S429))</f>
        <v>0</v>
      </c>
      <c r="V429" s="11" t="str">
        <f aca="false">IF(J429="","NOT SCORED - NO JULY MONTHLY ROW",IF(OR(ABS(L429)&gt;0.005,ABS(O429)&gt;0.005,ABS(S429)&gt;0.005),"EXCEPTION","OK"))</f>
        <v>OK</v>
      </c>
      <c r="W429" s="11" t="s">
        <v>4483</v>
      </c>
      <c r="X429" s="11" t="s">
        <v>4099</v>
      </c>
      <c r="Y429" s="33" t="n">
        <f aca="false">K429*N429</f>
        <v>400.15</v>
      </c>
    </row>
    <row r="430" customFormat="false" ht="15" hidden="false" customHeight="false" outlineLevel="0" collapsed="false">
      <c r="A430" s="8" t="s">
        <v>753</v>
      </c>
      <c r="B430" s="8" t="s">
        <v>224</v>
      </c>
      <c r="C430" s="8" t="s">
        <v>2829</v>
      </c>
      <c r="D430" s="8" t="s">
        <v>2866</v>
      </c>
      <c r="E430" s="8" t="s">
        <v>4484</v>
      </c>
      <c r="F430" s="8" t="s">
        <v>4485</v>
      </c>
      <c r="G430" s="8" t="s">
        <v>3931</v>
      </c>
      <c r="H430" s="8" t="n">
        <v>28</v>
      </c>
      <c r="I430" s="34" t="n">
        <v>35.3</v>
      </c>
      <c r="J430" s="34" t="n">
        <v>36</v>
      </c>
      <c r="K430" s="34" t="n">
        <f aca="false">MAX(ROUNDUP(I430,0),H430)</f>
        <v>36</v>
      </c>
      <c r="L430" s="34" t="n">
        <f aca="false">IF(J430="","",J430-K430)</f>
        <v>0</v>
      </c>
      <c r="M430" s="35" t="n">
        <v>7.55</v>
      </c>
      <c r="N430" s="35" t="n">
        <f aca="false">IF(C430="covered",10.4,7.55)</f>
        <v>7.55</v>
      </c>
      <c r="O430" s="35" t="n">
        <f aca="false">IF(M430="","",M430-N430)</f>
        <v>0</v>
      </c>
      <c r="P430" s="8" t="n">
        <v>1</v>
      </c>
      <c r="Q430" s="36" t="n">
        <v>271.8</v>
      </c>
      <c r="R430" s="36" t="n">
        <f aca="false">IF(OR(J430="",P430=""),"",K430*N430*P430)</f>
        <v>271.8</v>
      </c>
      <c r="S430" s="36" t="n">
        <f aca="false">IF(Q430="","",Q430-R430)</f>
        <v>0</v>
      </c>
      <c r="T430" s="36" t="n">
        <f aca="false">IF(S430="","",MAX(0,-S430))</f>
        <v>-0</v>
      </c>
      <c r="U430" s="36" t="n">
        <f aca="false">IF(S430="","",MAX(0,S430))</f>
        <v>0</v>
      </c>
      <c r="V430" s="8" t="str">
        <f aca="false">IF(J430="","NOT SCORED - NO JULY MONTHLY ROW",IF(OR(ABS(L430)&gt;0.005,ABS(O430)&gt;0.005,ABS(S430)&gt;0.005),"EXCEPTION","OK"))</f>
        <v>OK</v>
      </c>
      <c r="W430" s="8" t="s">
        <v>4486</v>
      </c>
      <c r="X430" s="8" t="s">
        <v>4099</v>
      </c>
      <c r="Y430" s="36" t="n">
        <f aca="false">K430*N430</f>
        <v>271.8</v>
      </c>
    </row>
    <row r="431" customFormat="false" ht="15" hidden="false" customHeight="false" outlineLevel="0" collapsed="false">
      <c r="A431" s="11" t="s">
        <v>4487</v>
      </c>
      <c r="B431" s="11" t="s">
        <v>224</v>
      </c>
      <c r="C431" s="11" t="s">
        <v>2829</v>
      </c>
      <c r="D431" s="11" t="s">
        <v>2871</v>
      </c>
      <c r="E431" s="11" t="s">
        <v>4488</v>
      </c>
      <c r="F431" s="11" t="s">
        <v>4489</v>
      </c>
      <c r="G431" s="11" t="s">
        <v>3463</v>
      </c>
      <c r="H431" s="11" t="n">
        <v>60</v>
      </c>
      <c r="I431" s="31" t="n">
        <v>43.8</v>
      </c>
      <c r="J431" s="31" t="n">
        <v>60</v>
      </c>
      <c r="K431" s="31" t="n">
        <f aca="false">MAX(ROUNDUP(I431,0),H431)</f>
        <v>60</v>
      </c>
      <c r="L431" s="31" t="n">
        <f aca="false">IF(J431="","",J431-K431)</f>
        <v>0</v>
      </c>
      <c r="M431" s="32" t="n">
        <v>7.55</v>
      </c>
      <c r="N431" s="32" t="n">
        <f aca="false">IF(C431="covered",10.4,7.55)</f>
        <v>7.55</v>
      </c>
      <c r="O431" s="32" t="n">
        <f aca="false">IF(M431="","",M431-N431)</f>
        <v>0</v>
      </c>
      <c r="P431" s="11" t="n">
        <v>1</v>
      </c>
      <c r="Q431" s="33" t="n">
        <v>453</v>
      </c>
      <c r="R431" s="33" t="n">
        <f aca="false">IF(OR(J431="",P431=""),"",K431*N431*P431)</f>
        <v>453</v>
      </c>
      <c r="S431" s="33" t="n">
        <f aca="false">IF(Q431="","",Q431-R431)</f>
        <v>0</v>
      </c>
      <c r="T431" s="33" t="n">
        <f aca="false">IF(S431="","",MAX(0,-S431))</f>
        <v>-0</v>
      </c>
      <c r="U431" s="33" t="n">
        <f aca="false">IF(S431="","",MAX(0,S431))</f>
        <v>0</v>
      </c>
      <c r="V431" s="11" t="str">
        <f aca="false">IF(J431="","NOT SCORED - NO JULY MONTHLY ROW",IF(OR(ABS(L431)&gt;0.005,ABS(O431)&gt;0.005,ABS(S431)&gt;0.005),"EXCEPTION","OK"))</f>
        <v>OK</v>
      </c>
      <c r="W431" s="11" t="s">
        <v>4490</v>
      </c>
      <c r="X431" s="11" t="s">
        <v>4099</v>
      </c>
      <c r="Y431" s="33" t="n">
        <f aca="false">K431*N431</f>
        <v>453</v>
      </c>
    </row>
    <row r="432" customFormat="false" ht="15" hidden="false" customHeight="false" outlineLevel="0" collapsed="false">
      <c r="A432" s="8" t="s">
        <v>4491</v>
      </c>
      <c r="B432" s="8" t="s">
        <v>224</v>
      </c>
      <c r="C432" s="8" t="s">
        <v>2829</v>
      </c>
      <c r="D432" s="8" t="s">
        <v>2875</v>
      </c>
      <c r="E432" s="8" t="s">
        <v>4492</v>
      </c>
      <c r="F432" s="8" t="s">
        <v>4493</v>
      </c>
      <c r="G432" s="8" t="s">
        <v>4494</v>
      </c>
      <c r="H432" s="8" t="n">
        <v>24</v>
      </c>
      <c r="I432" s="34" t="n">
        <v>40.1</v>
      </c>
      <c r="J432" s="34" t="n">
        <v>41</v>
      </c>
      <c r="K432" s="34" t="n">
        <f aca="false">MAX(ROUNDUP(I432,0),H432)</f>
        <v>41</v>
      </c>
      <c r="L432" s="34" t="n">
        <f aca="false">IF(J432="","",J432-K432)</f>
        <v>0</v>
      </c>
      <c r="M432" s="35" t="n">
        <v>7.55</v>
      </c>
      <c r="N432" s="35" t="n">
        <f aca="false">IF(C432="covered",10.4,7.55)</f>
        <v>7.55</v>
      </c>
      <c r="O432" s="35" t="n">
        <f aca="false">IF(M432="","",M432-N432)</f>
        <v>0</v>
      </c>
      <c r="P432" s="8" t="n">
        <v>1</v>
      </c>
      <c r="Q432" s="36" t="n">
        <v>309.55</v>
      </c>
      <c r="R432" s="36" t="n">
        <f aca="false">IF(OR(J432="",P432=""),"",K432*N432*P432)</f>
        <v>309.55</v>
      </c>
      <c r="S432" s="36" t="n">
        <f aca="false">IF(Q432="","",Q432-R432)</f>
        <v>0</v>
      </c>
      <c r="T432" s="36" t="n">
        <f aca="false">IF(S432="","",MAX(0,-S432))</f>
        <v>-0</v>
      </c>
      <c r="U432" s="36" t="n">
        <f aca="false">IF(S432="","",MAX(0,S432))</f>
        <v>0</v>
      </c>
      <c r="V432" s="8" t="str">
        <f aca="false">IF(J432="","NOT SCORED - NO JULY MONTHLY ROW",IF(OR(ABS(L432)&gt;0.005,ABS(O432)&gt;0.005,ABS(S432)&gt;0.005),"EXCEPTION","OK"))</f>
        <v>OK</v>
      </c>
      <c r="W432" s="8" t="s">
        <v>4495</v>
      </c>
      <c r="X432" s="8" t="s">
        <v>4099</v>
      </c>
      <c r="Y432" s="36" t="n">
        <f aca="false">K432*N432</f>
        <v>309.55</v>
      </c>
    </row>
    <row r="433" customFormat="false" ht="15" hidden="false" customHeight="false" outlineLevel="0" collapsed="false">
      <c r="A433" s="11" t="s">
        <v>4496</v>
      </c>
      <c r="B433" s="11" t="s">
        <v>224</v>
      </c>
      <c r="C433" s="11" t="s">
        <v>2829</v>
      </c>
      <c r="D433" s="11" t="s">
        <v>2879</v>
      </c>
      <c r="E433" s="11" t="s">
        <v>4497</v>
      </c>
      <c r="F433" s="11" t="s">
        <v>4498</v>
      </c>
      <c r="G433" s="11" t="s">
        <v>4499</v>
      </c>
      <c r="H433" s="11" t="n">
        <v>24</v>
      </c>
      <c r="I433" s="31" t="n">
        <v>50.2</v>
      </c>
      <c r="J433" s="31" t="n">
        <v>51</v>
      </c>
      <c r="K433" s="31" t="n">
        <f aca="false">MAX(ROUNDUP(I433,0),H433)</f>
        <v>51</v>
      </c>
      <c r="L433" s="31" t="n">
        <f aca="false">IF(J433="","",J433-K433)</f>
        <v>0</v>
      </c>
      <c r="M433" s="32" t="n">
        <v>7.55</v>
      </c>
      <c r="N433" s="32" t="n">
        <f aca="false">IF(C433="covered",10.4,7.55)</f>
        <v>7.55</v>
      </c>
      <c r="O433" s="32" t="n">
        <f aca="false">IF(M433="","",M433-N433)</f>
        <v>0</v>
      </c>
      <c r="P433" s="11" t="n">
        <v>1</v>
      </c>
      <c r="Q433" s="33" t="n">
        <v>385.05</v>
      </c>
      <c r="R433" s="33" t="n">
        <f aca="false">IF(OR(J433="",P433=""),"",K433*N433*P433)</f>
        <v>385.05</v>
      </c>
      <c r="S433" s="33" t="n">
        <f aca="false">IF(Q433="","",Q433-R433)</f>
        <v>0</v>
      </c>
      <c r="T433" s="33" t="n">
        <f aca="false">IF(S433="","",MAX(0,-S433))</f>
        <v>-0</v>
      </c>
      <c r="U433" s="33" t="n">
        <f aca="false">IF(S433="","",MAX(0,S433))</f>
        <v>0</v>
      </c>
      <c r="V433" s="11" t="str">
        <f aca="false">IF(J433="","NOT SCORED - NO JULY MONTHLY ROW",IF(OR(ABS(L433)&gt;0.005,ABS(O433)&gt;0.005,ABS(S433)&gt;0.005),"EXCEPTION","OK"))</f>
        <v>OK</v>
      </c>
      <c r="W433" s="11" t="s">
        <v>4500</v>
      </c>
      <c r="X433" s="11" t="s">
        <v>4099</v>
      </c>
      <c r="Y433" s="33" t="n">
        <f aca="false">K433*N433</f>
        <v>385.05</v>
      </c>
    </row>
    <row r="434" customFormat="false" ht="15" hidden="false" customHeight="false" outlineLevel="0" collapsed="false">
      <c r="A434" s="8" t="s">
        <v>4501</v>
      </c>
      <c r="B434" s="8" t="s">
        <v>224</v>
      </c>
      <c r="C434" s="8" t="s">
        <v>2829</v>
      </c>
      <c r="D434" s="8" t="s">
        <v>2884</v>
      </c>
      <c r="E434" s="8" t="s">
        <v>163</v>
      </c>
      <c r="F434" s="8" t="s">
        <v>164</v>
      </c>
      <c r="G434" s="8" t="s">
        <v>4502</v>
      </c>
      <c r="H434" s="8" t="n">
        <v>24</v>
      </c>
      <c r="I434" s="34" t="n">
        <v>61</v>
      </c>
      <c r="J434" s="34" t="n">
        <v>61</v>
      </c>
      <c r="K434" s="34" t="n">
        <f aca="false">MAX(ROUNDUP(I434,0),H434)</f>
        <v>61</v>
      </c>
      <c r="L434" s="34" t="n">
        <f aca="false">IF(J434="","",J434-K434)</f>
        <v>0</v>
      </c>
      <c r="M434" s="35" t="n">
        <v>7.55</v>
      </c>
      <c r="N434" s="35" t="n">
        <f aca="false">IF(C434="covered",10.4,7.55)</f>
        <v>7.55</v>
      </c>
      <c r="O434" s="35" t="n">
        <f aca="false">IF(M434="","",M434-N434)</f>
        <v>0</v>
      </c>
      <c r="P434" s="8" t="n">
        <v>1</v>
      </c>
      <c r="Q434" s="36" t="n">
        <v>460.55</v>
      </c>
      <c r="R434" s="36" t="n">
        <f aca="false">IF(OR(J434="",P434=""),"",K434*N434*P434)</f>
        <v>460.55</v>
      </c>
      <c r="S434" s="36" t="n">
        <f aca="false">IF(Q434="","",Q434-R434)</f>
        <v>0</v>
      </c>
      <c r="T434" s="36" t="n">
        <f aca="false">IF(S434="","",MAX(0,-S434))</f>
        <v>-0</v>
      </c>
      <c r="U434" s="36" t="n">
        <f aca="false">IF(S434="","",MAX(0,S434))</f>
        <v>0</v>
      </c>
      <c r="V434" s="8" t="str">
        <f aca="false">IF(J434="","NOT SCORED - NO JULY MONTHLY ROW",IF(OR(ABS(L434)&gt;0.005,ABS(O434)&gt;0.005,ABS(S434)&gt;0.005),"EXCEPTION","OK"))</f>
        <v>OK</v>
      </c>
      <c r="W434" s="8" t="s">
        <v>4503</v>
      </c>
      <c r="X434" s="8" t="s">
        <v>4099</v>
      </c>
      <c r="Y434" s="36" t="n">
        <f aca="false">K434*N434</f>
        <v>460.55</v>
      </c>
    </row>
    <row r="435" customFormat="false" ht="15" hidden="false" customHeight="false" outlineLevel="0" collapsed="false">
      <c r="A435" s="11" t="s">
        <v>4504</v>
      </c>
      <c r="B435" s="11" t="s">
        <v>224</v>
      </c>
      <c r="C435" s="11" t="s">
        <v>2829</v>
      </c>
      <c r="D435" s="11" t="s">
        <v>2889</v>
      </c>
      <c r="E435" s="11" t="s">
        <v>4505</v>
      </c>
      <c r="F435" s="11" t="s">
        <v>4506</v>
      </c>
      <c r="G435" s="11" t="s">
        <v>4507</v>
      </c>
      <c r="H435" s="11" t="n">
        <v>40</v>
      </c>
      <c r="I435" s="31" t="n">
        <v>30.5</v>
      </c>
      <c r="J435" s="31" t="n">
        <v>40</v>
      </c>
      <c r="K435" s="31" t="n">
        <f aca="false">MAX(ROUNDUP(I435,0),H435)</f>
        <v>40</v>
      </c>
      <c r="L435" s="31" t="n">
        <f aca="false">IF(J435="","",J435-K435)</f>
        <v>0</v>
      </c>
      <c r="M435" s="32" t="n">
        <v>7.55</v>
      </c>
      <c r="N435" s="32" t="n">
        <f aca="false">IF(C435="covered",10.4,7.55)</f>
        <v>7.55</v>
      </c>
      <c r="O435" s="32" t="n">
        <f aca="false">IF(M435="","",M435-N435)</f>
        <v>0</v>
      </c>
      <c r="P435" s="11" t="n">
        <v>1</v>
      </c>
      <c r="Q435" s="33" t="n">
        <v>302</v>
      </c>
      <c r="R435" s="33" t="n">
        <f aca="false">IF(OR(J435="",P435=""),"",K435*N435*P435)</f>
        <v>302</v>
      </c>
      <c r="S435" s="33" t="n">
        <f aca="false">IF(Q435="","",Q435-R435)</f>
        <v>0</v>
      </c>
      <c r="T435" s="33" t="n">
        <f aca="false">IF(S435="","",MAX(0,-S435))</f>
        <v>-0</v>
      </c>
      <c r="U435" s="33" t="n">
        <f aca="false">IF(S435="","",MAX(0,S435))</f>
        <v>0</v>
      </c>
      <c r="V435" s="11" t="str">
        <f aca="false">IF(J435="","NOT SCORED - NO JULY MONTHLY ROW",IF(OR(ABS(L435)&gt;0.005,ABS(O435)&gt;0.005,ABS(S435)&gt;0.005),"EXCEPTION","OK"))</f>
        <v>OK</v>
      </c>
      <c r="W435" s="11" t="s">
        <v>4508</v>
      </c>
      <c r="X435" s="11" t="s">
        <v>4099</v>
      </c>
      <c r="Y435" s="33" t="n">
        <f aca="false">K435*N435</f>
        <v>302</v>
      </c>
    </row>
    <row r="436" customFormat="false" ht="15" hidden="false" customHeight="false" outlineLevel="0" collapsed="false">
      <c r="A436" s="8" t="s">
        <v>4509</v>
      </c>
      <c r="B436" s="8" t="s">
        <v>224</v>
      </c>
      <c r="C436" s="8" t="s">
        <v>2829</v>
      </c>
      <c r="D436" s="8" t="s">
        <v>2893</v>
      </c>
      <c r="E436" s="8" t="s">
        <v>4510</v>
      </c>
      <c r="F436" s="8" t="s">
        <v>4511</v>
      </c>
      <c r="G436" s="8" t="s">
        <v>4512</v>
      </c>
      <c r="H436" s="8" t="n">
        <v>24</v>
      </c>
      <c r="I436" s="34" t="n">
        <v>38.6</v>
      </c>
      <c r="J436" s="34" t="n">
        <v>39</v>
      </c>
      <c r="K436" s="34" t="n">
        <f aca="false">MAX(ROUNDUP(I436,0),H436)</f>
        <v>39</v>
      </c>
      <c r="L436" s="34" t="n">
        <f aca="false">IF(J436="","",J436-K436)</f>
        <v>0</v>
      </c>
      <c r="M436" s="35" t="n">
        <v>7.55</v>
      </c>
      <c r="N436" s="35" t="n">
        <f aca="false">IF(C436="covered",10.4,7.55)</f>
        <v>7.55</v>
      </c>
      <c r="O436" s="35" t="n">
        <f aca="false">IF(M436="","",M436-N436)</f>
        <v>0</v>
      </c>
      <c r="P436" s="8" t="n">
        <v>1</v>
      </c>
      <c r="Q436" s="36" t="n">
        <v>294.45</v>
      </c>
      <c r="R436" s="36" t="n">
        <f aca="false">IF(OR(J436="",P436=""),"",K436*N436*P436)</f>
        <v>294.45</v>
      </c>
      <c r="S436" s="36" t="n">
        <f aca="false">IF(Q436="","",Q436-R436)</f>
        <v>0</v>
      </c>
      <c r="T436" s="36" t="n">
        <f aca="false">IF(S436="","",MAX(0,-S436))</f>
        <v>-0</v>
      </c>
      <c r="U436" s="36" t="n">
        <f aca="false">IF(S436="","",MAX(0,S436))</f>
        <v>0</v>
      </c>
      <c r="V436" s="8" t="str">
        <f aca="false">IF(J436="","NOT SCORED - NO JULY MONTHLY ROW",IF(OR(ABS(L436)&gt;0.005,ABS(O436)&gt;0.005,ABS(S436)&gt;0.005),"EXCEPTION","OK"))</f>
        <v>OK</v>
      </c>
      <c r="W436" s="8" t="s">
        <v>4513</v>
      </c>
      <c r="X436" s="8" t="s">
        <v>4099</v>
      </c>
      <c r="Y436" s="36" t="n">
        <f aca="false">K436*N436</f>
        <v>294.45</v>
      </c>
    </row>
    <row r="437" customFormat="false" ht="15" hidden="false" customHeight="false" outlineLevel="0" collapsed="false">
      <c r="A437" s="11" t="s">
        <v>760</v>
      </c>
      <c r="B437" s="11" t="s">
        <v>224</v>
      </c>
      <c r="C437" s="11" t="s">
        <v>2829</v>
      </c>
      <c r="D437" s="11" t="s">
        <v>2898</v>
      </c>
      <c r="E437" s="11" t="s">
        <v>4514</v>
      </c>
      <c r="F437" s="11" t="s">
        <v>4515</v>
      </c>
      <c r="G437" s="11" t="s">
        <v>4516</v>
      </c>
      <c r="H437" s="11" t="n">
        <v>50</v>
      </c>
      <c r="I437" s="31" t="n">
        <v>36.8</v>
      </c>
      <c r="J437" s="31" t="n">
        <v>50</v>
      </c>
      <c r="K437" s="31" t="n">
        <f aca="false">MAX(ROUNDUP(I437,0),H437)</f>
        <v>50</v>
      </c>
      <c r="L437" s="31" t="n">
        <f aca="false">IF(J437="","",J437-K437)</f>
        <v>0</v>
      </c>
      <c r="M437" s="32" t="n">
        <v>7.55</v>
      </c>
      <c r="N437" s="32" t="n">
        <f aca="false">IF(C437="covered",10.4,7.55)</f>
        <v>7.55</v>
      </c>
      <c r="O437" s="32" t="n">
        <f aca="false">IF(M437="","",M437-N437)</f>
        <v>0</v>
      </c>
      <c r="P437" s="11" t="n">
        <v>1</v>
      </c>
      <c r="Q437" s="33" t="n">
        <v>377.5</v>
      </c>
      <c r="R437" s="33" t="n">
        <f aca="false">IF(OR(J437="",P437=""),"",K437*N437*P437)</f>
        <v>377.5</v>
      </c>
      <c r="S437" s="33" t="n">
        <f aca="false">IF(Q437="","",Q437-R437)</f>
        <v>0</v>
      </c>
      <c r="T437" s="33" t="n">
        <f aca="false">IF(S437="","",MAX(0,-S437))</f>
        <v>-0</v>
      </c>
      <c r="U437" s="33" t="n">
        <f aca="false">IF(S437="","",MAX(0,S437))</f>
        <v>0</v>
      </c>
      <c r="V437" s="11" t="str">
        <f aca="false">IF(J437="","NOT SCORED - NO JULY MONTHLY ROW",IF(OR(ABS(L437)&gt;0.005,ABS(O437)&gt;0.005,ABS(S437)&gt;0.005),"EXCEPTION","OK"))</f>
        <v>OK</v>
      </c>
      <c r="W437" s="11" t="s">
        <v>4517</v>
      </c>
      <c r="X437" s="11" t="s">
        <v>4099</v>
      </c>
      <c r="Y437" s="33" t="n">
        <f aca="false">K437*N437</f>
        <v>377.5</v>
      </c>
    </row>
    <row r="438" customFormat="false" ht="15" hidden="false" customHeight="false" outlineLevel="0" collapsed="false">
      <c r="A438" s="8" t="s">
        <v>1268</v>
      </c>
      <c r="B438" s="8" t="s">
        <v>224</v>
      </c>
      <c r="C438" s="8" t="s">
        <v>2829</v>
      </c>
      <c r="D438" s="8" t="s">
        <v>2903</v>
      </c>
      <c r="E438" s="8" t="s">
        <v>4518</v>
      </c>
      <c r="F438" s="8" t="s">
        <v>4519</v>
      </c>
      <c r="G438" s="8" t="s">
        <v>3000</v>
      </c>
      <c r="H438" s="8" t="n">
        <v>32</v>
      </c>
      <c r="I438" s="34" t="n">
        <v>53.2</v>
      </c>
      <c r="J438" s="34" t="n">
        <v>54</v>
      </c>
      <c r="K438" s="34" t="n">
        <f aca="false">MAX(ROUNDUP(I438,0),H438)</f>
        <v>54</v>
      </c>
      <c r="L438" s="34" t="n">
        <f aca="false">IF(J438="","",J438-K438)</f>
        <v>0</v>
      </c>
      <c r="M438" s="35" t="n">
        <v>7.55</v>
      </c>
      <c r="N438" s="35" t="n">
        <f aca="false">IF(C438="covered",10.4,7.55)</f>
        <v>7.55</v>
      </c>
      <c r="O438" s="35" t="n">
        <f aca="false">IF(M438="","",M438-N438)</f>
        <v>0</v>
      </c>
      <c r="P438" s="8" t="n">
        <v>1</v>
      </c>
      <c r="Q438" s="36" t="n">
        <v>407.7</v>
      </c>
      <c r="R438" s="36" t="n">
        <f aca="false">IF(OR(J438="",P438=""),"",K438*N438*P438)</f>
        <v>407.7</v>
      </c>
      <c r="S438" s="36" t="n">
        <f aca="false">IF(Q438="","",Q438-R438)</f>
        <v>0</v>
      </c>
      <c r="T438" s="36" t="n">
        <f aca="false">IF(S438="","",MAX(0,-S438))</f>
        <v>-0</v>
      </c>
      <c r="U438" s="36" t="n">
        <f aca="false">IF(S438="","",MAX(0,S438))</f>
        <v>0</v>
      </c>
      <c r="V438" s="8" t="str">
        <f aca="false">IF(J438="","NOT SCORED - NO JULY MONTHLY ROW",IF(OR(ABS(L438)&gt;0.005,ABS(O438)&gt;0.005,ABS(S438)&gt;0.005),"EXCEPTION","OK"))</f>
        <v>OK</v>
      </c>
      <c r="W438" s="8" t="s">
        <v>4520</v>
      </c>
      <c r="X438" s="8" t="s">
        <v>4099</v>
      </c>
      <c r="Y438" s="36" t="n">
        <f aca="false">K438*N438</f>
        <v>407.7</v>
      </c>
    </row>
    <row r="439" customFormat="false" ht="15" hidden="false" customHeight="false" outlineLevel="0" collapsed="false">
      <c r="A439" s="11" t="s">
        <v>4521</v>
      </c>
      <c r="B439" s="11" t="s">
        <v>224</v>
      </c>
      <c r="C439" s="11" t="s">
        <v>2829</v>
      </c>
      <c r="D439" s="11" t="s">
        <v>2908</v>
      </c>
      <c r="E439" s="11" t="s">
        <v>4522</v>
      </c>
      <c r="F439" s="11" t="s">
        <v>4523</v>
      </c>
      <c r="G439" s="11" t="s">
        <v>4524</v>
      </c>
      <c r="H439" s="11" t="n">
        <v>24</v>
      </c>
      <c r="I439" s="31" t="n">
        <v>26.9</v>
      </c>
      <c r="J439" s="31" t="n">
        <v>27</v>
      </c>
      <c r="K439" s="31" t="n">
        <f aca="false">MAX(ROUNDUP(I439,0),H439)</f>
        <v>27</v>
      </c>
      <c r="L439" s="31" t="n">
        <f aca="false">IF(J439="","",J439-K439)</f>
        <v>0</v>
      </c>
      <c r="M439" s="32" t="n">
        <v>7.55</v>
      </c>
      <c r="N439" s="32" t="n">
        <f aca="false">IF(C439="covered",10.4,7.55)</f>
        <v>7.55</v>
      </c>
      <c r="O439" s="32" t="n">
        <f aca="false">IF(M439="","",M439-N439)</f>
        <v>0</v>
      </c>
      <c r="P439" s="11" t="n">
        <v>1</v>
      </c>
      <c r="Q439" s="33" t="n">
        <v>203.85</v>
      </c>
      <c r="R439" s="33" t="n">
        <f aca="false">IF(OR(J439="",P439=""),"",K439*N439*P439)</f>
        <v>203.85</v>
      </c>
      <c r="S439" s="33" t="n">
        <f aca="false">IF(Q439="","",Q439-R439)</f>
        <v>0</v>
      </c>
      <c r="T439" s="33" t="n">
        <f aca="false">IF(S439="","",MAX(0,-S439))</f>
        <v>-0</v>
      </c>
      <c r="U439" s="33" t="n">
        <f aca="false">IF(S439="","",MAX(0,S439))</f>
        <v>0</v>
      </c>
      <c r="V439" s="11" t="str">
        <f aca="false">IF(J439="","NOT SCORED - NO JULY MONTHLY ROW",IF(OR(ABS(L439)&gt;0.005,ABS(O439)&gt;0.005,ABS(S439)&gt;0.005),"EXCEPTION","OK"))</f>
        <v>OK</v>
      </c>
      <c r="W439" s="11" t="s">
        <v>4525</v>
      </c>
      <c r="X439" s="11" t="s">
        <v>4099</v>
      </c>
      <c r="Y439" s="33" t="n">
        <f aca="false">K439*N439</f>
        <v>203.85</v>
      </c>
    </row>
    <row r="440" customFormat="false" ht="15" hidden="false" customHeight="false" outlineLevel="0" collapsed="false">
      <c r="A440" s="8" t="s">
        <v>4526</v>
      </c>
      <c r="B440" s="8" t="s">
        <v>224</v>
      </c>
      <c r="C440" s="8" t="s">
        <v>2829</v>
      </c>
      <c r="D440" s="8" t="s">
        <v>2913</v>
      </c>
      <c r="E440" s="8" t="s">
        <v>4527</v>
      </c>
      <c r="F440" s="8" t="s">
        <v>4528</v>
      </c>
      <c r="G440" s="8" t="s">
        <v>3009</v>
      </c>
      <c r="H440" s="8" t="n">
        <v>50</v>
      </c>
      <c r="I440" s="34" t="n">
        <v>38.3</v>
      </c>
      <c r="J440" s="34" t="n">
        <v>50</v>
      </c>
      <c r="K440" s="34" t="n">
        <f aca="false">MAX(ROUNDUP(I440,0),H440)</f>
        <v>50</v>
      </c>
      <c r="L440" s="34" t="n">
        <f aca="false">IF(J440="","",J440-K440)</f>
        <v>0</v>
      </c>
      <c r="M440" s="35" t="n">
        <v>7.55</v>
      </c>
      <c r="N440" s="35" t="n">
        <f aca="false">IF(C440="covered",10.4,7.55)</f>
        <v>7.55</v>
      </c>
      <c r="O440" s="35" t="n">
        <f aca="false">IF(M440="","",M440-N440)</f>
        <v>0</v>
      </c>
      <c r="P440" s="8" t="n">
        <v>1</v>
      </c>
      <c r="Q440" s="36" t="n">
        <v>377.5</v>
      </c>
      <c r="R440" s="36" t="n">
        <f aca="false">IF(OR(J440="",P440=""),"",K440*N440*P440)</f>
        <v>377.5</v>
      </c>
      <c r="S440" s="36" t="n">
        <f aca="false">IF(Q440="","",Q440-R440)</f>
        <v>0</v>
      </c>
      <c r="T440" s="36" t="n">
        <f aca="false">IF(S440="","",MAX(0,-S440))</f>
        <v>-0</v>
      </c>
      <c r="U440" s="36" t="n">
        <f aca="false">IF(S440="","",MAX(0,S440))</f>
        <v>0</v>
      </c>
      <c r="V440" s="8" t="str">
        <f aca="false">IF(J440="","NOT SCORED - NO JULY MONTHLY ROW",IF(OR(ABS(L440)&gt;0.005,ABS(O440)&gt;0.005,ABS(S440)&gt;0.005),"EXCEPTION","OK"))</f>
        <v>OK</v>
      </c>
      <c r="W440" s="8" t="s">
        <v>4529</v>
      </c>
      <c r="X440" s="8" t="s">
        <v>4099</v>
      </c>
      <c r="Y440" s="36" t="n">
        <f aca="false">K440*N440</f>
        <v>377.5</v>
      </c>
    </row>
    <row r="441" customFormat="false" ht="15" hidden="false" customHeight="false" outlineLevel="0" collapsed="false">
      <c r="A441" s="11" t="s">
        <v>1968</v>
      </c>
      <c r="B441" s="11" t="s">
        <v>224</v>
      </c>
      <c r="C441" s="11" t="s">
        <v>2829</v>
      </c>
      <c r="D441" s="11" t="s">
        <v>2917</v>
      </c>
      <c r="E441" s="11" t="s">
        <v>731</v>
      </c>
      <c r="F441" s="11" t="s">
        <v>732</v>
      </c>
      <c r="G441" s="11" t="s">
        <v>4530</v>
      </c>
      <c r="H441" s="11" t="n">
        <v>36</v>
      </c>
      <c r="I441" s="31" t="n">
        <v>26.5</v>
      </c>
      <c r="J441" s="31" t="n">
        <v>36</v>
      </c>
      <c r="K441" s="31" t="n">
        <f aca="false">MAX(ROUNDUP(I441,0),H441)</f>
        <v>36</v>
      </c>
      <c r="L441" s="31" t="n">
        <f aca="false">IF(J441="","",J441-K441)</f>
        <v>0</v>
      </c>
      <c r="M441" s="32" t="n">
        <v>7.55</v>
      </c>
      <c r="N441" s="32" t="n">
        <f aca="false">IF(C441="covered",10.4,7.55)</f>
        <v>7.55</v>
      </c>
      <c r="O441" s="32" t="n">
        <f aca="false">IF(M441="","",M441-N441)</f>
        <v>0</v>
      </c>
      <c r="P441" s="11" t="n">
        <v>1</v>
      </c>
      <c r="Q441" s="33" t="n">
        <v>271.8</v>
      </c>
      <c r="R441" s="33" t="n">
        <f aca="false">IF(OR(J441="",P441=""),"",K441*N441*P441)</f>
        <v>271.8</v>
      </c>
      <c r="S441" s="33" t="n">
        <f aca="false">IF(Q441="","",Q441-R441)</f>
        <v>0</v>
      </c>
      <c r="T441" s="33" t="n">
        <f aca="false">IF(S441="","",MAX(0,-S441))</f>
        <v>-0</v>
      </c>
      <c r="U441" s="33" t="n">
        <f aca="false">IF(S441="","",MAX(0,S441))</f>
        <v>0</v>
      </c>
      <c r="V441" s="11" t="str">
        <f aca="false">IF(J441="","NOT SCORED - NO JULY MONTHLY ROW",IF(OR(ABS(L441)&gt;0.005,ABS(O441)&gt;0.005,ABS(S441)&gt;0.005),"EXCEPTION","OK"))</f>
        <v>OK</v>
      </c>
      <c r="W441" s="11" t="s">
        <v>4531</v>
      </c>
      <c r="X441" s="11" t="s">
        <v>4099</v>
      </c>
      <c r="Y441" s="33" t="n">
        <f aca="false">K441*N441</f>
        <v>271.8</v>
      </c>
    </row>
    <row r="442" customFormat="false" ht="15" hidden="false" customHeight="false" outlineLevel="0" collapsed="false">
      <c r="A442" s="8" t="s">
        <v>1051</v>
      </c>
      <c r="B442" s="8" t="s">
        <v>224</v>
      </c>
      <c r="C442" s="8" t="s">
        <v>2829</v>
      </c>
      <c r="D442" s="8" t="s">
        <v>2921</v>
      </c>
      <c r="E442" s="8" t="s">
        <v>4532</v>
      </c>
      <c r="F442" s="8" t="s">
        <v>4533</v>
      </c>
      <c r="G442" s="8" t="s">
        <v>3731</v>
      </c>
      <c r="H442" s="8" t="n">
        <v>24</v>
      </c>
      <c r="I442" s="34" t="n">
        <v>57.9</v>
      </c>
      <c r="J442" s="34" t="n">
        <v>58</v>
      </c>
      <c r="K442" s="34" t="n">
        <f aca="false">MAX(ROUNDUP(I442,0),H442)</f>
        <v>58</v>
      </c>
      <c r="L442" s="34" t="n">
        <f aca="false">IF(J442="","",J442-K442)</f>
        <v>0</v>
      </c>
      <c r="M442" s="35" t="n">
        <v>7.55</v>
      </c>
      <c r="N442" s="35" t="n">
        <f aca="false">IF(C442="covered",10.4,7.55)</f>
        <v>7.55</v>
      </c>
      <c r="O442" s="35" t="n">
        <f aca="false">IF(M442="","",M442-N442)</f>
        <v>0</v>
      </c>
      <c r="P442" s="8" t="n">
        <v>1</v>
      </c>
      <c r="Q442" s="36" t="n">
        <v>437.9</v>
      </c>
      <c r="R442" s="36" t="n">
        <f aca="false">IF(OR(J442="",P442=""),"",K442*N442*P442)</f>
        <v>437.9</v>
      </c>
      <c r="S442" s="36" t="n">
        <f aca="false">IF(Q442="","",Q442-R442)</f>
        <v>0</v>
      </c>
      <c r="T442" s="36" t="n">
        <f aca="false">IF(S442="","",MAX(0,-S442))</f>
        <v>-0</v>
      </c>
      <c r="U442" s="36" t="n">
        <f aca="false">IF(S442="","",MAX(0,S442))</f>
        <v>0</v>
      </c>
      <c r="V442" s="8" t="str">
        <f aca="false">IF(J442="","NOT SCORED - NO JULY MONTHLY ROW",IF(OR(ABS(L442)&gt;0.005,ABS(O442)&gt;0.005,ABS(S442)&gt;0.005),"EXCEPTION","OK"))</f>
        <v>OK</v>
      </c>
      <c r="W442" s="8" t="s">
        <v>4534</v>
      </c>
      <c r="X442" s="8" t="s">
        <v>4099</v>
      </c>
      <c r="Y442" s="36" t="n">
        <f aca="false">K442*N442</f>
        <v>437.9</v>
      </c>
    </row>
    <row r="443" customFormat="false" ht="15" hidden="false" customHeight="false" outlineLevel="0" collapsed="false">
      <c r="A443" s="11" t="s">
        <v>4535</v>
      </c>
      <c r="B443" s="11" t="s">
        <v>224</v>
      </c>
      <c r="C443" s="11" t="s">
        <v>2829</v>
      </c>
      <c r="D443" s="11" t="s">
        <v>3831</v>
      </c>
      <c r="E443" s="11" t="s">
        <v>295</v>
      </c>
      <c r="F443" s="11" t="s">
        <v>296</v>
      </c>
      <c r="G443" s="11" t="s">
        <v>4536</v>
      </c>
      <c r="H443" s="11" t="n">
        <v>32</v>
      </c>
      <c r="I443" s="31" t="n">
        <v>19.2</v>
      </c>
      <c r="J443" s="31" t="n">
        <v>32</v>
      </c>
      <c r="K443" s="31" t="n">
        <f aca="false">MAX(ROUNDUP(I443,0),H443)</f>
        <v>32</v>
      </c>
      <c r="L443" s="31" t="n">
        <f aca="false">IF(J443="","",J443-K443)</f>
        <v>0</v>
      </c>
      <c r="M443" s="32" t="n">
        <v>7.55</v>
      </c>
      <c r="N443" s="32" t="n">
        <f aca="false">IF(C443="covered",10.4,7.55)</f>
        <v>7.55</v>
      </c>
      <c r="O443" s="32" t="n">
        <f aca="false">IF(M443="","",M443-N443)</f>
        <v>0</v>
      </c>
      <c r="P443" s="11" t="n">
        <v>1</v>
      </c>
      <c r="Q443" s="33" t="n">
        <v>241.6</v>
      </c>
      <c r="R443" s="33" t="n">
        <f aca="false">IF(OR(J443="",P443=""),"",K443*N443*P443)</f>
        <v>241.6</v>
      </c>
      <c r="S443" s="33" t="n">
        <f aca="false">IF(Q443="","",Q443-R443)</f>
        <v>0</v>
      </c>
      <c r="T443" s="33" t="n">
        <f aca="false">IF(S443="","",MAX(0,-S443))</f>
        <v>-0</v>
      </c>
      <c r="U443" s="33" t="n">
        <f aca="false">IF(S443="","",MAX(0,S443))</f>
        <v>0</v>
      </c>
      <c r="V443" s="11" t="str">
        <f aca="false">IF(J443="","NOT SCORED - NO JULY MONTHLY ROW",IF(OR(ABS(L443)&gt;0.005,ABS(O443)&gt;0.005,ABS(S443)&gt;0.005),"EXCEPTION","OK"))</f>
        <v>OK</v>
      </c>
      <c r="W443" s="11" t="s">
        <v>4537</v>
      </c>
      <c r="X443" s="11" t="s">
        <v>4099</v>
      </c>
      <c r="Y443" s="33" t="n">
        <f aca="false">K443*N443</f>
        <v>241.6</v>
      </c>
    </row>
    <row r="444" customFormat="false" ht="15" hidden="false" customHeight="false" outlineLevel="0" collapsed="false">
      <c r="A444" s="8" t="s">
        <v>4538</v>
      </c>
      <c r="B444" s="8" t="s">
        <v>224</v>
      </c>
      <c r="C444" s="8" t="s">
        <v>2829</v>
      </c>
      <c r="D444" s="8" t="s">
        <v>2925</v>
      </c>
      <c r="E444" s="8" t="s">
        <v>4539</v>
      </c>
      <c r="F444" s="8" t="s">
        <v>4540</v>
      </c>
      <c r="G444" s="8" t="s">
        <v>4541</v>
      </c>
      <c r="H444" s="8" t="n">
        <v>24</v>
      </c>
      <c r="I444" s="34" t="n">
        <v>22.8</v>
      </c>
      <c r="J444" s="34" t="n">
        <v>24</v>
      </c>
      <c r="K444" s="34" t="n">
        <f aca="false">MAX(ROUNDUP(I444,0),H444)</f>
        <v>24</v>
      </c>
      <c r="L444" s="34" t="n">
        <f aca="false">IF(J444="","",J444-K444)</f>
        <v>0</v>
      </c>
      <c r="M444" s="35" t="n">
        <v>7.55</v>
      </c>
      <c r="N444" s="35" t="n">
        <f aca="false">IF(C444="covered",10.4,7.55)</f>
        <v>7.55</v>
      </c>
      <c r="O444" s="35" t="n">
        <f aca="false">IF(M444="","",M444-N444)</f>
        <v>0</v>
      </c>
      <c r="P444" s="8" t="n">
        <v>1</v>
      </c>
      <c r="Q444" s="36" t="n">
        <v>181.2</v>
      </c>
      <c r="R444" s="36" t="n">
        <f aca="false">IF(OR(J444="",P444=""),"",K444*N444*P444)</f>
        <v>181.2</v>
      </c>
      <c r="S444" s="36" t="n">
        <f aca="false">IF(Q444="","",Q444-R444)</f>
        <v>0</v>
      </c>
      <c r="T444" s="36" t="n">
        <f aca="false">IF(S444="","",MAX(0,-S444))</f>
        <v>-0</v>
      </c>
      <c r="U444" s="36" t="n">
        <f aca="false">IF(S444="","",MAX(0,S444))</f>
        <v>0</v>
      </c>
      <c r="V444" s="8" t="str">
        <f aca="false">IF(J444="","NOT SCORED - NO JULY MONTHLY ROW",IF(OR(ABS(L444)&gt;0.005,ABS(O444)&gt;0.005,ABS(S444)&gt;0.005),"EXCEPTION","OK"))</f>
        <v>OK</v>
      </c>
      <c r="W444" s="8" t="s">
        <v>4542</v>
      </c>
      <c r="X444" s="8" t="s">
        <v>4099</v>
      </c>
      <c r="Y444" s="36" t="n">
        <f aca="false">K444*N444</f>
        <v>181.2</v>
      </c>
    </row>
    <row r="445" customFormat="false" ht="15" hidden="false" customHeight="false" outlineLevel="0" collapsed="false">
      <c r="A445" s="11" t="s">
        <v>4543</v>
      </c>
      <c r="B445" s="11" t="s">
        <v>224</v>
      </c>
      <c r="C445" s="11" t="s">
        <v>2829</v>
      </c>
      <c r="D445" s="11" t="s">
        <v>3837</v>
      </c>
      <c r="E445" s="11" t="s">
        <v>4544</v>
      </c>
      <c r="F445" s="11" t="s">
        <v>4545</v>
      </c>
      <c r="G445" s="11" t="s">
        <v>4546</v>
      </c>
      <c r="H445" s="11" t="n">
        <v>50</v>
      </c>
      <c r="I445" s="31" t="n">
        <v>26.9</v>
      </c>
      <c r="J445" s="31" t="n">
        <v>50</v>
      </c>
      <c r="K445" s="31" t="n">
        <f aca="false">MAX(ROUNDUP(I445,0),H445)</f>
        <v>50</v>
      </c>
      <c r="L445" s="31" t="n">
        <f aca="false">IF(J445="","",J445-K445)</f>
        <v>0</v>
      </c>
      <c r="M445" s="32" t="n">
        <v>7.55</v>
      </c>
      <c r="N445" s="32" t="n">
        <f aca="false">IF(C445="covered",10.4,7.55)</f>
        <v>7.55</v>
      </c>
      <c r="O445" s="32" t="n">
        <f aca="false">IF(M445="","",M445-N445)</f>
        <v>0</v>
      </c>
      <c r="P445" s="11" t="n">
        <v>1</v>
      </c>
      <c r="Q445" s="33" t="n">
        <v>377.5</v>
      </c>
      <c r="R445" s="33" t="n">
        <f aca="false">IF(OR(J445="",P445=""),"",K445*N445*P445)</f>
        <v>377.5</v>
      </c>
      <c r="S445" s="33" t="n">
        <f aca="false">IF(Q445="","",Q445-R445)</f>
        <v>0</v>
      </c>
      <c r="T445" s="33" t="n">
        <f aca="false">IF(S445="","",MAX(0,-S445))</f>
        <v>-0</v>
      </c>
      <c r="U445" s="33" t="n">
        <f aca="false">IF(S445="","",MAX(0,S445))</f>
        <v>0</v>
      </c>
      <c r="V445" s="11" t="str">
        <f aca="false">IF(J445="","NOT SCORED - NO JULY MONTHLY ROW",IF(OR(ABS(L445)&gt;0.005,ABS(O445)&gt;0.005,ABS(S445)&gt;0.005),"EXCEPTION","OK"))</f>
        <v>OK</v>
      </c>
      <c r="W445" s="11" t="s">
        <v>4547</v>
      </c>
      <c r="X445" s="11" t="s">
        <v>4099</v>
      </c>
      <c r="Y445" s="33" t="n">
        <f aca="false">K445*N445</f>
        <v>377.5</v>
      </c>
    </row>
    <row r="446" customFormat="false" ht="15" hidden="false" customHeight="false" outlineLevel="0" collapsed="false">
      <c r="A446" s="8" t="s">
        <v>66</v>
      </c>
      <c r="B446" s="8" t="s">
        <v>224</v>
      </c>
      <c r="C446" s="8" t="s">
        <v>2829</v>
      </c>
      <c r="D446" s="8" t="s">
        <v>2930</v>
      </c>
      <c r="E446" s="8" t="s">
        <v>4548</v>
      </c>
      <c r="F446" s="8" t="s">
        <v>4549</v>
      </c>
      <c r="G446" s="8" t="s">
        <v>2971</v>
      </c>
      <c r="H446" s="8" t="n">
        <v>24</v>
      </c>
      <c r="I446" s="34" t="n">
        <v>22</v>
      </c>
      <c r="J446" s="34" t="n">
        <v>24</v>
      </c>
      <c r="K446" s="34" t="n">
        <f aca="false">MAX(ROUNDUP(I446,0),H446)</f>
        <v>24</v>
      </c>
      <c r="L446" s="34" t="n">
        <f aca="false">IF(J446="","",J446-K446)</f>
        <v>0</v>
      </c>
      <c r="M446" s="35" t="n">
        <v>7.55</v>
      </c>
      <c r="N446" s="35" t="n">
        <f aca="false">IF(C446="covered",10.4,7.55)</f>
        <v>7.55</v>
      </c>
      <c r="O446" s="35" t="n">
        <f aca="false">IF(M446="","",M446-N446)</f>
        <v>0</v>
      </c>
      <c r="P446" s="8" t="n">
        <v>1</v>
      </c>
      <c r="Q446" s="36" t="n">
        <v>181.2</v>
      </c>
      <c r="R446" s="36" t="n">
        <f aca="false">IF(OR(J446="",P446=""),"",K446*N446*P446)</f>
        <v>181.2</v>
      </c>
      <c r="S446" s="36" t="n">
        <f aca="false">IF(Q446="","",Q446-R446)</f>
        <v>0</v>
      </c>
      <c r="T446" s="36" t="n">
        <f aca="false">IF(S446="","",MAX(0,-S446))</f>
        <v>-0</v>
      </c>
      <c r="U446" s="36" t="n">
        <f aca="false">IF(S446="","",MAX(0,S446))</f>
        <v>0</v>
      </c>
      <c r="V446" s="8" t="str">
        <f aca="false">IF(J446="","NOT SCORED - NO JULY MONTHLY ROW",IF(OR(ABS(L446)&gt;0.005,ABS(O446)&gt;0.005,ABS(S446)&gt;0.005),"EXCEPTION","OK"))</f>
        <v>OK</v>
      </c>
      <c r="W446" s="8" t="s">
        <v>4550</v>
      </c>
      <c r="X446" s="8" t="s">
        <v>4099</v>
      </c>
      <c r="Y446" s="36" t="n">
        <f aca="false">K446*N446</f>
        <v>181.2</v>
      </c>
    </row>
    <row r="447" customFormat="false" ht="15" hidden="false" customHeight="false" outlineLevel="0" collapsed="false">
      <c r="A447" s="11" t="s">
        <v>4551</v>
      </c>
      <c r="B447" s="11" t="s">
        <v>224</v>
      </c>
      <c r="C447" s="11" t="s">
        <v>2829</v>
      </c>
      <c r="D447" s="11" t="s">
        <v>2935</v>
      </c>
      <c r="E447" s="11" t="s">
        <v>4552</v>
      </c>
      <c r="F447" s="11" t="s">
        <v>4553</v>
      </c>
      <c r="G447" s="11" t="s">
        <v>4554</v>
      </c>
      <c r="H447" s="11" t="n">
        <v>60</v>
      </c>
      <c r="I447" s="31" t="n">
        <v>35</v>
      </c>
      <c r="J447" s="31" t="n">
        <v>60</v>
      </c>
      <c r="K447" s="31" t="n">
        <f aca="false">MAX(ROUNDUP(I447,0),H447)</f>
        <v>60</v>
      </c>
      <c r="L447" s="31" t="n">
        <f aca="false">IF(J447="","",J447-K447)</f>
        <v>0</v>
      </c>
      <c r="M447" s="32" t="n">
        <v>7.55</v>
      </c>
      <c r="N447" s="32" t="n">
        <f aca="false">IF(C447="covered",10.4,7.55)</f>
        <v>7.55</v>
      </c>
      <c r="O447" s="32" t="n">
        <f aca="false">IF(M447="","",M447-N447)</f>
        <v>0</v>
      </c>
      <c r="P447" s="11" t="n">
        <v>1</v>
      </c>
      <c r="Q447" s="33" t="n">
        <v>453</v>
      </c>
      <c r="R447" s="33" t="n">
        <f aca="false">IF(OR(J447="",P447=""),"",K447*N447*P447)</f>
        <v>453</v>
      </c>
      <c r="S447" s="33" t="n">
        <f aca="false">IF(Q447="","",Q447-R447)</f>
        <v>0</v>
      </c>
      <c r="T447" s="33" t="n">
        <f aca="false">IF(S447="","",MAX(0,-S447))</f>
        <v>-0</v>
      </c>
      <c r="U447" s="33" t="n">
        <f aca="false">IF(S447="","",MAX(0,S447))</f>
        <v>0</v>
      </c>
      <c r="V447" s="11" t="str">
        <f aca="false">IF(J447="","NOT SCORED - NO JULY MONTHLY ROW",IF(OR(ABS(L447)&gt;0.005,ABS(O447)&gt;0.005,ABS(S447)&gt;0.005),"EXCEPTION","OK"))</f>
        <v>OK</v>
      </c>
      <c r="W447" s="11" t="s">
        <v>4555</v>
      </c>
      <c r="X447" s="11" t="s">
        <v>4099</v>
      </c>
      <c r="Y447" s="33" t="n">
        <f aca="false">K447*N447</f>
        <v>453</v>
      </c>
    </row>
    <row r="448" customFormat="false" ht="15" hidden="false" customHeight="false" outlineLevel="0" collapsed="false">
      <c r="A448" s="8" t="s">
        <v>4556</v>
      </c>
      <c r="B448" s="8" t="s">
        <v>224</v>
      </c>
      <c r="C448" s="8" t="s">
        <v>2829</v>
      </c>
      <c r="D448" s="8" t="s">
        <v>2940</v>
      </c>
      <c r="E448" s="8" t="s">
        <v>4557</v>
      </c>
      <c r="F448" s="8" t="s">
        <v>4558</v>
      </c>
      <c r="G448" s="8" t="s">
        <v>3992</v>
      </c>
      <c r="H448" s="8" t="n">
        <v>40</v>
      </c>
      <c r="I448" s="34" t="n">
        <v>54.9</v>
      </c>
      <c r="J448" s="34" t="n">
        <v>55</v>
      </c>
      <c r="K448" s="34" t="n">
        <f aca="false">MAX(ROUNDUP(I448,0),H448)</f>
        <v>55</v>
      </c>
      <c r="L448" s="34" t="n">
        <f aca="false">IF(J448="","",J448-K448)</f>
        <v>0</v>
      </c>
      <c r="M448" s="35" t="n">
        <v>7.55</v>
      </c>
      <c r="N448" s="35" t="n">
        <f aca="false">IF(C448="covered",10.4,7.55)</f>
        <v>7.55</v>
      </c>
      <c r="O448" s="35" t="n">
        <f aca="false">IF(M448="","",M448-N448)</f>
        <v>0</v>
      </c>
      <c r="P448" s="8" t="n">
        <v>1</v>
      </c>
      <c r="Q448" s="36" t="n">
        <v>415.25</v>
      </c>
      <c r="R448" s="36" t="n">
        <f aca="false">IF(OR(J448="",P448=""),"",K448*N448*P448)</f>
        <v>415.25</v>
      </c>
      <c r="S448" s="36" t="n">
        <f aca="false">IF(Q448="","",Q448-R448)</f>
        <v>0</v>
      </c>
      <c r="T448" s="36" t="n">
        <f aca="false">IF(S448="","",MAX(0,-S448))</f>
        <v>-0</v>
      </c>
      <c r="U448" s="36" t="n">
        <f aca="false">IF(S448="","",MAX(0,S448))</f>
        <v>0</v>
      </c>
      <c r="V448" s="8" t="str">
        <f aca="false">IF(J448="","NOT SCORED - NO JULY MONTHLY ROW",IF(OR(ABS(L448)&gt;0.005,ABS(O448)&gt;0.005,ABS(S448)&gt;0.005),"EXCEPTION","OK"))</f>
        <v>OK</v>
      </c>
      <c r="W448" s="8" t="s">
        <v>4559</v>
      </c>
      <c r="X448" s="8" t="s">
        <v>4099</v>
      </c>
      <c r="Y448" s="36" t="n">
        <f aca="false">K448*N448</f>
        <v>415.25</v>
      </c>
    </row>
    <row r="449" customFormat="false" ht="15" hidden="false" customHeight="false" outlineLevel="0" collapsed="false">
      <c r="A449" s="11" t="s">
        <v>4560</v>
      </c>
      <c r="B449" s="11" t="s">
        <v>224</v>
      </c>
      <c r="C449" s="11" t="s">
        <v>2829</v>
      </c>
      <c r="D449" s="11" t="s">
        <v>2944</v>
      </c>
      <c r="E449" s="11" t="s">
        <v>4561</v>
      </c>
      <c r="F449" s="11" t="s">
        <v>4562</v>
      </c>
      <c r="G449" s="11" t="s">
        <v>4563</v>
      </c>
      <c r="H449" s="11" t="n">
        <v>45</v>
      </c>
      <c r="I449" s="31" t="n">
        <v>53.8</v>
      </c>
      <c r="J449" s="31" t="n">
        <v>54</v>
      </c>
      <c r="K449" s="31" t="n">
        <f aca="false">MAX(ROUNDUP(I449,0),H449)</f>
        <v>54</v>
      </c>
      <c r="L449" s="31" t="n">
        <f aca="false">IF(J449="","",J449-K449)</f>
        <v>0</v>
      </c>
      <c r="M449" s="32" t="n">
        <v>7.55</v>
      </c>
      <c r="N449" s="32" t="n">
        <f aca="false">IF(C449="covered",10.4,7.55)</f>
        <v>7.55</v>
      </c>
      <c r="O449" s="32" t="n">
        <f aca="false">IF(M449="","",M449-N449)</f>
        <v>0</v>
      </c>
      <c r="P449" s="11" t="n">
        <v>1</v>
      </c>
      <c r="Q449" s="33" t="n">
        <v>407.7</v>
      </c>
      <c r="R449" s="33" t="n">
        <f aca="false">IF(OR(J449="",P449=""),"",K449*N449*P449)</f>
        <v>407.7</v>
      </c>
      <c r="S449" s="33" t="n">
        <f aca="false">IF(Q449="","",Q449-R449)</f>
        <v>0</v>
      </c>
      <c r="T449" s="33" t="n">
        <f aca="false">IF(S449="","",MAX(0,-S449))</f>
        <v>-0</v>
      </c>
      <c r="U449" s="33" t="n">
        <f aca="false">IF(S449="","",MAX(0,S449))</f>
        <v>0</v>
      </c>
      <c r="V449" s="11" t="str">
        <f aca="false">IF(J449="","NOT SCORED - NO JULY MONTHLY ROW",IF(OR(ABS(L449)&gt;0.005,ABS(O449)&gt;0.005,ABS(S449)&gt;0.005),"EXCEPTION","OK"))</f>
        <v>OK</v>
      </c>
      <c r="W449" s="11" t="s">
        <v>4564</v>
      </c>
      <c r="X449" s="11" t="s">
        <v>4099</v>
      </c>
      <c r="Y449" s="33" t="n">
        <f aca="false">K449*N449</f>
        <v>407.7</v>
      </c>
    </row>
    <row r="450" customFormat="false" ht="15" hidden="false" customHeight="false" outlineLevel="0" collapsed="false">
      <c r="A450" s="8" t="s">
        <v>1018</v>
      </c>
      <c r="B450" s="8" t="s">
        <v>224</v>
      </c>
      <c r="C450" s="8" t="s">
        <v>2829</v>
      </c>
      <c r="D450" s="8" t="s">
        <v>2949</v>
      </c>
      <c r="E450" s="8" t="s">
        <v>4565</v>
      </c>
      <c r="F450" s="8" t="s">
        <v>4566</v>
      </c>
      <c r="G450" s="8" t="s">
        <v>4567</v>
      </c>
      <c r="H450" s="8" t="n">
        <v>24</v>
      </c>
      <c r="I450" s="34" t="n">
        <v>40</v>
      </c>
      <c r="J450" s="34" t="n">
        <v>40</v>
      </c>
      <c r="K450" s="34" t="n">
        <f aca="false">MAX(ROUNDUP(I450,0),H450)</f>
        <v>40</v>
      </c>
      <c r="L450" s="34" t="n">
        <f aca="false">IF(J450="","",J450-K450)</f>
        <v>0</v>
      </c>
      <c r="M450" s="35" t="n">
        <v>7.55</v>
      </c>
      <c r="N450" s="35" t="n">
        <f aca="false">IF(C450="covered",10.4,7.55)</f>
        <v>7.55</v>
      </c>
      <c r="O450" s="35" t="n">
        <f aca="false">IF(M450="","",M450-N450)</f>
        <v>0</v>
      </c>
      <c r="P450" s="8" t="n">
        <v>1</v>
      </c>
      <c r="Q450" s="36" t="n">
        <v>302</v>
      </c>
      <c r="R450" s="36" t="n">
        <f aca="false">IF(OR(J450="",P450=""),"",K450*N450*P450)</f>
        <v>302</v>
      </c>
      <c r="S450" s="36" t="n">
        <f aca="false">IF(Q450="","",Q450-R450)</f>
        <v>0</v>
      </c>
      <c r="T450" s="36" t="n">
        <f aca="false">IF(S450="","",MAX(0,-S450))</f>
        <v>-0</v>
      </c>
      <c r="U450" s="36" t="n">
        <f aca="false">IF(S450="","",MAX(0,S450))</f>
        <v>0</v>
      </c>
      <c r="V450" s="8" t="str">
        <f aca="false">IF(J450="","NOT SCORED - NO JULY MONTHLY ROW",IF(OR(ABS(L450)&gt;0.005,ABS(O450)&gt;0.005,ABS(S450)&gt;0.005),"EXCEPTION","OK"))</f>
        <v>OK</v>
      </c>
      <c r="W450" s="8" t="s">
        <v>4568</v>
      </c>
      <c r="X450" s="8" t="s">
        <v>4099</v>
      </c>
      <c r="Y450" s="36" t="n">
        <f aca="false">K450*N450</f>
        <v>302</v>
      </c>
    </row>
    <row r="451" customFormat="false" ht="15" hidden="false" customHeight="false" outlineLevel="0" collapsed="false">
      <c r="A451" s="11" t="s">
        <v>126</v>
      </c>
      <c r="B451" s="11" t="s">
        <v>224</v>
      </c>
      <c r="C451" s="11" t="s">
        <v>2829</v>
      </c>
      <c r="D451" s="11" t="s">
        <v>2954</v>
      </c>
      <c r="E451" s="11" t="s">
        <v>4569</v>
      </c>
      <c r="F451" s="11" t="s">
        <v>4570</v>
      </c>
      <c r="G451" s="11" t="s">
        <v>3544</v>
      </c>
      <c r="H451" s="11" t="n">
        <v>28</v>
      </c>
      <c r="I451" s="31" t="n">
        <v>42.7</v>
      </c>
      <c r="J451" s="31" t="n">
        <v>43</v>
      </c>
      <c r="K451" s="31" t="n">
        <f aca="false">MAX(ROUNDUP(I451,0),H451)</f>
        <v>43</v>
      </c>
      <c r="L451" s="31" t="n">
        <f aca="false">IF(J451="","",J451-K451)</f>
        <v>0</v>
      </c>
      <c r="M451" s="32" t="n">
        <v>7.55</v>
      </c>
      <c r="N451" s="32" t="n">
        <f aca="false">IF(C451="covered",10.4,7.55)</f>
        <v>7.55</v>
      </c>
      <c r="O451" s="32" t="n">
        <f aca="false">IF(M451="","",M451-N451)</f>
        <v>0</v>
      </c>
      <c r="P451" s="11" t="n">
        <v>1</v>
      </c>
      <c r="Q451" s="33" t="n">
        <v>324.65</v>
      </c>
      <c r="R451" s="33" t="n">
        <f aca="false">IF(OR(J451="",P451=""),"",K451*N451*P451)</f>
        <v>324.65</v>
      </c>
      <c r="S451" s="33" t="n">
        <f aca="false">IF(Q451="","",Q451-R451)</f>
        <v>0</v>
      </c>
      <c r="T451" s="33" t="n">
        <f aca="false">IF(S451="","",MAX(0,-S451))</f>
        <v>-0</v>
      </c>
      <c r="U451" s="33" t="n">
        <f aca="false">IF(S451="","",MAX(0,S451))</f>
        <v>0</v>
      </c>
      <c r="V451" s="11" t="str">
        <f aca="false">IF(J451="","NOT SCORED - NO JULY MONTHLY ROW",IF(OR(ABS(L451)&gt;0.005,ABS(O451)&gt;0.005,ABS(S451)&gt;0.005),"EXCEPTION","OK"))</f>
        <v>OK</v>
      </c>
      <c r="W451" s="11" t="s">
        <v>4571</v>
      </c>
      <c r="X451" s="11" t="s">
        <v>4099</v>
      </c>
      <c r="Y451" s="33" t="n">
        <f aca="false">K451*N451</f>
        <v>324.65</v>
      </c>
    </row>
    <row r="452" customFormat="false" ht="15" hidden="false" customHeight="false" outlineLevel="0" collapsed="false">
      <c r="A452" s="8" t="s">
        <v>4572</v>
      </c>
      <c r="B452" s="8" t="s">
        <v>224</v>
      </c>
      <c r="C452" s="8" t="s">
        <v>2829</v>
      </c>
      <c r="D452" s="8" t="s">
        <v>2959</v>
      </c>
      <c r="E452" s="8" t="s">
        <v>4573</v>
      </c>
      <c r="F452" s="8" t="s">
        <v>4574</v>
      </c>
      <c r="G452" s="8" t="s">
        <v>4575</v>
      </c>
      <c r="H452" s="8" t="n">
        <v>28</v>
      </c>
      <c r="I452" s="34" t="n">
        <v>51.6</v>
      </c>
      <c r="J452" s="34" t="n">
        <v>52</v>
      </c>
      <c r="K452" s="34" t="n">
        <f aca="false">MAX(ROUNDUP(I452,0),H452)</f>
        <v>52</v>
      </c>
      <c r="L452" s="34" t="n">
        <f aca="false">IF(J452="","",J452-K452)</f>
        <v>0</v>
      </c>
      <c r="M452" s="35" t="n">
        <v>7.55</v>
      </c>
      <c r="N452" s="35" t="n">
        <f aca="false">IF(C452="covered",10.4,7.55)</f>
        <v>7.55</v>
      </c>
      <c r="O452" s="35" t="n">
        <f aca="false">IF(M452="","",M452-N452)</f>
        <v>0</v>
      </c>
      <c r="P452" s="8" t="n">
        <v>1</v>
      </c>
      <c r="Q452" s="36" t="n">
        <v>392.6</v>
      </c>
      <c r="R452" s="36" t="n">
        <f aca="false">IF(OR(J452="",P452=""),"",K452*N452*P452)</f>
        <v>392.6</v>
      </c>
      <c r="S452" s="36" t="n">
        <f aca="false">IF(Q452="","",Q452-R452)</f>
        <v>0</v>
      </c>
      <c r="T452" s="36" t="n">
        <f aca="false">IF(S452="","",MAX(0,-S452))</f>
        <v>-0</v>
      </c>
      <c r="U452" s="36" t="n">
        <f aca="false">IF(S452="","",MAX(0,S452))</f>
        <v>0</v>
      </c>
      <c r="V452" s="8" t="str">
        <f aca="false">IF(J452="","NOT SCORED - NO JULY MONTHLY ROW",IF(OR(ABS(L452)&gt;0.005,ABS(O452)&gt;0.005,ABS(S452)&gt;0.005),"EXCEPTION","OK"))</f>
        <v>OK</v>
      </c>
      <c r="W452" s="8" t="s">
        <v>4576</v>
      </c>
      <c r="X452" s="8" t="s">
        <v>4099</v>
      </c>
      <c r="Y452" s="36" t="n">
        <f aca="false">K452*N452</f>
        <v>392.6</v>
      </c>
    </row>
    <row r="453" customFormat="false" ht="15" hidden="false" customHeight="false" outlineLevel="0" collapsed="false">
      <c r="A453" s="11" t="s">
        <v>4577</v>
      </c>
      <c r="B453" s="11" t="s">
        <v>224</v>
      </c>
      <c r="C453" s="11" t="s">
        <v>2829</v>
      </c>
      <c r="D453" s="11" t="s">
        <v>2963</v>
      </c>
      <c r="E453" s="11" t="s">
        <v>2445</v>
      </c>
      <c r="F453" s="11" t="s">
        <v>4578</v>
      </c>
      <c r="G453" s="11" t="s">
        <v>4458</v>
      </c>
      <c r="H453" s="11" t="n">
        <v>28</v>
      </c>
      <c r="I453" s="31" t="n">
        <v>50.3</v>
      </c>
      <c r="J453" s="31" t="n">
        <v>51</v>
      </c>
      <c r="K453" s="31" t="n">
        <f aca="false">MAX(ROUNDUP(I453,0),H453)</f>
        <v>51</v>
      </c>
      <c r="L453" s="31" t="n">
        <f aca="false">IF(J453="","",J453-K453)</f>
        <v>0</v>
      </c>
      <c r="M453" s="32" t="n">
        <v>7.55</v>
      </c>
      <c r="N453" s="32" t="n">
        <f aca="false">IF(C453="covered",10.4,7.55)</f>
        <v>7.55</v>
      </c>
      <c r="O453" s="32" t="n">
        <f aca="false">IF(M453="","",M453-N453)</f>
        <v>0</v>
      </c>
      <c r="P453" s="11" t="n">
        <v>1</v>
      </c>
      <c r="Q453" s="33" t="n">
        <v>385.05</v>
      </c>
      <c r="R453" s="33" t="n">
        <f aca="false">IF(OR(J453="",P453=""),"",K453*N453*P453)</f>
        <v>385.05</v>
      </c>
      <c r="S453" s="33" t="n">
        <f aca="false">IF(Q453="","",Q453-R453)</f>
        <v>0</v>
      </c>
      <c r="T453" s="33" t="n">
        <f aca="false">IF(S453="","",MAX(0,-S453))</f>
        <v>-0</v>
      </c>
      <c r="U453" s="33" t="n">
        <f aca="false">IF(S453="","",MAX(0,S453))</f>
        <v>0</v>
      </c>
      <c r="V453" s="11" t="str">
        <f aca="false">IF(J453="","NOT SCORED - NO JULY MONTHLY ROW",IF(OR(ABS(L453)&gt;0.005,ABS(O453)&gt;0.005,ABS(S453)&gt;0.005),"EXCEPTION","OK"))</f>
        <v>OK</v>
      </c>
      <c r="W453" s="11" t="s">
        <v>4579</v>
      </c>
      <c r="X453" s="11" t="s">
        <v>4099</v>
      </c>
      <c r="Y453" s="33" t="n">
        <f aca="false">K453*N453</f>
        <v>385.05</v>
      </c>
    </row>
    <row r="454" customFormat="false" ht="15" hidden="false" customHeight="false" outlineLevel="0" collapsed="false">
      <c r="A454" s="8" t="s">
        <v>4580</v>
      </c>
      <c r="B454" s="8" t="s">
        <v>224</v>
      </c>
      <c r="C454" s="8" t="s">
        <v>2829</v>
      </c>
      <c r="D454" s="8" t="s">
        <v>3859</v>
      </c>
      <c r="E454" s="8" t="s">
        <v>4581</v>
      </c>
      <c r="F454" s="8" t="s">
        <v>1677</v>
      </c>
      <c r="G454" s="8" t="s">
        <v>3371</v>
      </c>
      <c r="H454" s="8" t="n">
        <v>24</v>
      </c>
      <c r="I454" s="34" t="n">
        <v>47</v>
      </c>
      <c r="J454" s="34" t="n">
        <v>47</v>
      </c>
      <c r="K454" s="34" t="n">
        <f aca="false">MAX(ROUNDUP(I454,0),H454)</f>
        <v>47</v>
      </c>
      <c r="L454" s="34" t="n">
        <f aca="false">IF(J454="","",J454-K454)</f>
        <v>0</v>
      </c>
      <c r="M454" s="35" t="n">
        <v>7.55</v>
      </c>
      <c r="N454" s="35" t="n">
        <f aca="false">IF(C454="covered",10.4,7.55)</f>
        <v>7.55</v>
      </c>
      <c r="O454" s="35" t="n">
        <f aca="false">IF(M454="","",M454-N454)</f>
        <v>0</v>
      </c>
      <c r="P454" s="8" t="n">
        <v>1</v>
      </c>
      <c r="Q454" s="36" t="n">
        <v>354.85</v>
      </c>
      <c r="R454" s="36" t="n">
        <f aca="false">IF(OR(J454="",P454=""),"",K454*N454*P454)</f>
        <v>354.85</v>
      </c>
      <c r="S454" s="36" t="n">
        <f aca="false">IF(Q454="","",Q454-R454)</f>
        <v>0</v>
      </c>
      <c r="T454" s="36" t="n">
        <f aca="false">IF(S454="","",MAX(0,-S454))</f>
        <v>-0</v>
      </c>
      <c r="U454" s="36" t="n">
        <f aca="false">IF(S454="","",MAX(0,S454))</f>
        <v>0</v>
      </c>
      <c r="V454" s="8" t="str">
        <f aca="false">IF(J454="","NOT SCORED - NO JULY MONTHLY ROW",IF(OR(ABS(L454)&gt;0.005,ABS(O454)&gt;0.005,ABS(S454)&gt;0.005),"EXCEPTION","OK"))</f>
        <v>OK</v>
      </c>
      <c r="W454" s="8" t="s">
        <v>4582</v>
      </c>
      <c r="X454" s="8" t="s">
        <v>4099</v>
      </c>
      <c r="Y454" s="36" t="n">
        <f aca="false">K454*N454</f>
        <v>354.85</v>
      </c>
    </row>
    <row r="455" customFormat="false" ht="15" hidden="false" customHeight="false" outlineLevel="0" collapsed="false">
      <c r="A455" s="11" t="s">
        <v>4583</v>
      </c>
      <c r="B455" s="11" t="s">
        <v>224</v>
      </c>
      <c r="C455" s="11" t="s">
        <v>2829</v>
      </c>
      <c r="D455" s="11" t="s">
        <v>2978</v>
      </c>
      <c r="E455" s="11" t="s">
        <v>2465</v>
      </c>
      <c r="F455" s="11" t="s">
        <v>4584</v>
      </c>
      <c r="G455" s="11" t="s">
        <v>4585</v>
      </c>
      <c r="H455" s="11" t="n">
        <v>45</v>
      </c>
      <c r="I455" s="31" t="n">
        <v>53</v>
      </c>
      <c r="J455" s="31" t="n">
        <v>53</v>
      </c>
      <c r="K455" s="31" t="n">
        <f aca="false">MAX(ROUNDUP(I455,0),H455)</f>
        <v>53</v>
      </c>
      <c r="L455" s="31" t="n">
        <f aca="false">IF(J455="","",J455-K455)</f>
        <v>0</v>
      </c>
      <c r="M455" s="32" t="n">
        <v>7.55</v>
      </c>
      <c r="N455" s="32" t="n">
        <f aca="false">IF(C455="covered",10.4,7.55)</f>
        <v>7.55</v>
      </c>
      <c r="O455" s="32" t="n">
        <f aca="false">IF(M455="","",M455-N455)</f>
        <v>0</v>
      </c>
      <c r="P455" s="11" t="n">
        <v>1</v>
      </c>
      <c r="Q455" s="33" t="n">
        <v>400.15</v>
      </c>
      <c r="R455" s="33" t="n">
        <f aca="false">IF(OR(J455="",P455=""),"",K455*N455*P455)</f>
        <v>400.15</v>
      </c>
      <c r="S455" s="33" t="n">
        <f aca="false">IF(Q455="","",Q455-R455)</f>
        <v>0</v>
      </c>
      <c r="T455" s="33" t="n">
        <f aca="false">IF(S455="","",MAX(0,-S455))</f>
        <v>-0</v>
      </c>
      <c r="U455" s="33" t="n">
        <f aca="false">IF(S455="","",MAX(0,S455))</f>
        <v>0</v>
      </c>
      <c r="V455" s="11" t="str">
        <f aca="false">IF(J455="","NOT SCORED - NO JULY MONTHLY ROW",IF(OR(ABS(L455)&gt;0.005,ABS(O455)&gt;0.005,ABS(S455)&gt;0.005),"EXCEPTION","OK"))</f>
        <v>OK</v>
      </c>
      <c r="W455" s="11" t="s">
        <v>4586</v>
      </c>
      <c r="X455" s="11" t="s">
        <v>4099</v>
      </c>
      <c r="Y455" s="33" t="n">
        <f aca="false">K455*N455</f>
        <v>400.15</v>
      </c>
    </row>
    <row r="456" customFormat="false" ht="15" hidden="false" customHeight="false" outlineLevel="0" collapsed="false">
      <c r="A456" s="8" t="s">
        <v>4587</v>
      </c>
      <c r="B456" s="8" t="s">
        <v>224</v>
      </c>
      <c r="C456" s="8" t="s">
        <v>2829</v>
      </c>
      <c r="D456" s="8" t="s">
        <v>2981</v>
      </c>
      <c r="E456" s="8" t="s">
        <v>4588</v>
      </c>
      <c r="F456" s="8" t="s">
        <v>4589</v>
      </c>
      <c r="G456" s="8" t="s">
        <v>3488</v>
      </c>
      <c r="H456" s="8" t="n">
        <v>45</v>
      </c>
      <c r="I456" s="34" t="n">
        <v>23.5</v>
      </c>
      <c r="J456" s="34" t="n">
        <v>45</v>
      </c>
      <c r="K456" s="34" t="n">
        <f aca="false">MAX(ROUNDUP(I456,0),H456)</f>
        <v>45</v>
      </c>
      <c r="L456" s="34" t="n">
        <f aca="false">IF(J456="","",J456-K456)</f>
        <v>0</v>
      </c>
      <c r="M456" s="35" t="n">
        <v>7.55</v>
      </c>
      <c r="N456" s="35" t="n">
        <f aca="false">IF(C456="covered",10.4,7.55)</f>
        <v>7.55</v>
      </c>
      <c r="O456" s="35" t="n">
        <f aca="false">IF(M456="","",M456-N456)</f>
        <v>0</v>
      </c>
      <c r="P456" s="8" t="n">
        <v>1</v>
      </c>
      <c r="Q456" s="36" t="n">
        <v>339.75</v>
      </c>
      <c r="R456" s="36" t="n">
        <f aca="false">IF(OR(J456="",P456=""),"",K456*N456*P456)</f>
        <v>339.75</v>
      </c>
      <c r="S456" s="36" t="n">
        <f aca="false">IF(Q456="","",Q456-R456)</f>
        <v>0</v>
      </c>
      <c r="T456" s="36" t="n">
        <f aca="false">IF(S456="","",MAX(0,-S456))</f>
        <v>-0</v>
      </c>
      <c r="U456" s="36" t="n">
        <f aca="false">IF(S456="","",MAX(0,S456))</f>
        <v>0</v>
      </c>
      <c r="V456" s="8" t="str">
        <f aca="false">IF(J456="","NOT SCORED - NO JULY MONTHLY ROW",IF(OR(ABS(L456)&gt;0.005,ABS(O456)&gt;0.005,ABS(S456)&gt;0.005),"EXCEPTION","OK"))</f>
        <v>OK</v>
      </c>
      <c r="W456" s="8" t="s">
        <v>4590</v>
      </c>
      <c r="X456" s="8" t="s">
        <v>4099</v>
      </c>
      <c r="Y456" s="36" t="n">
        <f aca="false">K456*N456</f>
        <v>339.75</v>
      </c>
    </row>
    <row r="457" customFormat="false" ht="15" hidden="false" customHeight="false" outlineLevel="0" collapsed="false">
      <c r="A457" s="11" t="s">
        <v>4591</v>
      </c>
      <c r="B457" s="11" t="s">
        <v>224</v>
      </c>
      <c r="C457" s="11" t="s">
        <v>2829</v>
      </c>
      <c r="D457" s="11" t="s">
        <v>3877</v>
      </c>
      <c r="E457" s="11" t="s">
        <v>2416</v>
      </c>
      <c r="F457" s="11" t="s">
        <v>4592</v>
      </c>
      <c r="G457" s="11" t="s">
        <v>4593</v>
      </c>
      <c r="H457" s="11" t="n">
        <v>36</v>
      </c>
      <c r="I457" s="31" t="n">
        <v>42.6</v>
      </c>
      <c r="J457" s="31" t="n">
        <v>43</v>
      </c>
      <c r="K457" s="31" t="n">
        <f aca="false">MAX(ROUNDUP(I457,0),H457)</f>
        <v>43</v>
      </c>
      <c r="L457" s="31" t="n">
        <f aca="false">IF(J457="","",J457-K457)</f>
        <v>0</v>
      </c>
      <c r="M457" s="32" t="n">
        <v>7.55</v>
      </c>
      <c r="N457" s="32" t="n">
        <f aca="false">IF(C457="covered",10.4,7.55)</f>
        <v>7.55</v>
      </c>
      <c r="O457" s="32" t="n">
        <f aca="false">IF(M457="","",M457-N457)</f>
        <v>0</v>
      </c>
      <c r="P457" s="11" t="n">
        <v>1</v>
      </c>
      <c r="Q457" s="33" t="n">
        <v>324.65</v>
      </c>
      <c r="R457" s="33" t="n">
        <f aca="false">IF(OR(J457="",P457=""),"",K457*N457*P457)</f>
        <v>324.65</v>
      </c>
      <c r="S457" s="33" t="n">
        <f aca="false">IF(Q457="","",Q457-R457)</f>
        <v>0</v>
      </c>
      <c r="T457" s="33" t="n">
        <f aca="false">IF(S457="","",MAX(0,-S457))</f>
        <v>-0</v>
      </c>
      <c r="U457" s="33" t="n">
        <f aca="false">IF(S457="","",MAX(0,S457))</f>
        <v>0</v>
      </c>
      <c r="V457" s="11" t="str">
        <f aca="false">IF(J457="","NOT SCORED - NO JULY MONTHLY ROW",IF(OR(ABS(L457)&gt;0.005,ABS(O457)&gt;0.005,ABS(S457)&gt;0.005),"EXCEPTION","OK"))</f>
        <v>OK</v>
      </c>
      <c r="W457" s="11" t="s">
        <v>4594</v>
      </c>
      <c r="X457" s="11" t="s">
        <v>4099</v>
      </c>
      <c r="Y457" s="33" t="n">
        <f aca="false">K457*N457</f>
        <v>324.65</v>
      </c>
    </row>
    <row r="458" customFormat="false" ht="15" hidden="false" customHeight="false" outlineLevel="0" collapsed="false">
      <c r="A458" s="8" t="s">
        <v>4595</v>
      </c>
      <c r="B458" s="8" t="s">
        <v>224</v>
      </c>
      <c r="C458" s="8" t="s">
        <v>2829</v>
      </c>
      <c r="D458" s="8" t="s">
        <v>2984</v>
      </c>
      <c r="E458" s="8" t="s">
        <v>4596</v>
      </c>
      <c r="F458" s="8" t="s">
        <v>4597</v>
      </c>
      <c r="G458" s="8" t="s">
        <v>3956</v>
      </c>
      <c r="H458" s="8" t="n">
        <v>70</v>
      </c>
      <c r="I458" s="34" t="n">
        <v>27</v>
      </c>
      <c r="J458" s="34" t="n">
        <v>70</v>
      </c>
      <c r="K458" s="34" t="n">
        <f aca="false">MAX(ROUNDUP(I458,0),H458)</f>
        <v>70</v>
      </c>
      <c r="L458" s="34" t="n">
        <f aca="false">IF(J458="","",J458-K458)</f>
        <v>0</v>
      </c>
      <c r="M458" s="35" t="n">
        <v>7.55</v>
      </c>
      <c r="N458" s="35" t="n">
        <f aca="false">IF(C458="covered",10.4,7.55)</f>
        <v>7.55</v>
      </c>
      <c r="O458" s="35" t="n">
        <f aca="false">IF(M458="","",M458-N458)</f>
        <v>0</v>
      </c>
      <c r="P458" s="8" t="n">
        <v>1</v>
      </c>
      <c r="Q458" s="36" t="n">
        <v>528.5</v>
      </c>
      <c r="R458" s="36" t="n">
        <f aca="false">IF(OR(J458="",P458=""),"",K458*N458*P458)</f>
        <v>528.5</v>
      </c>
      <c r="S458" s="36" t="n">
        <f aca="false">IF(Q458="","",Q458-R458)</f>
        <v>0</v>
      </c>
      <c r="T458" s="36" t="n">
        <f aca="false">IF(S458="","",MAX(0,-S458))</f>
        <v>-0</v>
      </c>
      <c r="U458" s="36" t="n">
        <f aca="false">IF(S458="","",MAX(0,S458))</f>
        <v>0</v>
      </c>
      <c r="V458" s="8" t="str">
        <f aca="false">IF(J458="","NOT SCORED - NO JULY MONTHLY ROW",IF(OR(ABS(L458)&gt;0.005,ABS(O458)&gt;0.005,ABS(S458)&gt;0.005),"EXCEPTION","OK"))</f>
        <v>OK</v>
      </c>
      <c r="W458" s="8" t="s">
        <v>4598</v>
      </c>
      <c r="X458" s="8" t="s">
        <v>4099</v>
      </c>
      <c r="Y458" s="36" t="n">
        <f aca="false">K458*N458</f>
        <v>528.5</v>
      </c>
    </row>
    <row r="459" customFormat="false" ht="15" hidden="false" customHeight="false" outlineLevel="0" collapsed="false">
      <c r="A459" s="11" t="s">
        <v>4599</v>
      </c>
      <c r="B459" s="11" t="s">
        <v>224</v>
      </c>
      <c r="C459" s="11" t="s">
        <v>2829</v>
      </c>
      <c r="D459" s="11" t="s">
        <v>2989</v>
      </c>
      <c r="E459" s="11" t="s">
        <v>4600</v>
      </c>
      <c r="F459" s="11" t="s">
        <v>4601</v>
      </c>
      <c r="G459" s="11" t="s">
        <v>2887</v>
      </c>
      <c r="H459" s="11" t="n">
        <v>28</v>
      </c>
      <c r="I459" s="31" t="n">
        <v>27.3</v>
      </c>
      <c r="J459" s="31" t="n">
        <v>28</v>
      </c>
      <c r="K459" s="31" t="n">
        <f aca="false">MAX(ROUNDUP(I459,0),H459)</f>
        <v>28</v>
      </c>
      <c r="L459" s="31" t="n">
        <f aca="false">IF(J459="","",J459-K459)</f>
        <v>0</v>
      </c>
      <c r="M459" s="32" t="n">
        <v>7.55</v>
      </c>
      <c r="N459" s="32" t="n">
        <f aca="false">IF(C459="covered",10.4,7.55)</f>
        <v>7.55</v>
      </c>
      <c r="O459" s="32" t="n">
        <f aca="false">IF(M459="","",M459-N459)</f>
        <v>0</v>
      </c>
      <c r="P459" s="11" t="n">
        <v>1</v>
      </c>
      <c r="Q459" s="33" t="n">
        <v>211.4</v>
      </c>
      <c r="R459" s="33" t="n">
        <f aca="false">IF(OR(J459="",P459=""),"",K459*N459*P459)</f>
        <v>211.4</v>
      </c>
      <c r="S459" s="33" t="n">
        <f aca="false">IF(Q459="","",Q459-R459)</f>
        <v>0</v>
      </c>
      <c r="T459" s="33" t="n">
        <f aca="false">IF(S459="","",MAX(0,-S459))</f>
        <v>-0</v>
      </c>
      <c r="U459" s="33" t="n">
        <f aca="false">IF(S459="","",MAX(0,S459))</f>
        <v>0</v>
      </c>
      <c r="V459" s="11" t="str">
        <f aca="false">IF(J459="","NOT SCORED - NO JULY MONTHLY ROW",IF(OR(ABS(L459)&gt;0.005,ABS(O459)&gt;0.005,ABS(S459)&gt;0.005),"EXCEPTION","OK"))</f>
        <v>OK</v>
      </c>
      <c r="W459" s="11" t="s">
        <v>4602</v>
      </c>
      <c r="X459" s="11" t="s">
        <v>4099</v>
      </c>
      <c r="Y459" s="33" t="n">
        <f aca="false">K459*N459</f>
        <v>211.4</v>
      </c>
    </row>
    <row r="460" customFormat="false" ht="15" hidden="false" customHeight="false" outlineLevel="0" collapsed="false">
      <c r="A460" s="8" t="s">
        <v>4603</v>
      </c>
      <c r="B460" s="8" t="s">
        <v>224</v>
      </c>
      <c r="C460" s="8" t="s">
        <v>2829</v>
      </c>
      <c r="D460" s="8" t="s">
        <v>3002</v>
      </c>
      <c r="E460" s="8" t="s">
        <v>4604</v>
      </c>
      <c r="F460" s="8" t="s">
        <v>4605</v>
      </c>
      <c r="G460" s="8" t="s">
        <v>3422</v>
      </c>
      <c r="H460" s="8" t="n">
        <v>80</v>
      </c>
      <c r="I460" s="34" t="n">
        <v>61.6</v>
      </c>
      <c r="J460" s="34" t="n">
        <v>80</v>
      </c>
      <c r="K460" s="34" t="n">
        <f aca="false">MAX(ROUNDUP(I460,0),H460)</f>
        <v>80</v>
      </c>
      <c r="L460" s="34" t="n">
        <f aca="false">IF(J460="","",J460-K460)</f>
        <v>0</v>
      </c>
      <c r="M460" s="35" t="n">
        <v>7.55</v>
      </c>
      <c r="N460" s="35" t="n">
        <f aca="false">IF(C460="covered",10.4,7.55)</f>
        <v>7.55</v>
      </c>
      <c r="O460" s="35" t="n">
        <f aca="false">IF(M460="","",M460-N460)</f>
        <v>0</v>
      </c>
      <c r="P460" s="8" t="n">
        <v>1</v>
      </c>
      <c r="Q460" s="36" t="n">
        <v>604</v>
      </c>
      <c r="R460" s="36" t="n">
        <f aca="false">IF(OR(J460="",P460=""),"",K460*N460*P460)</f>
        <v>604</v>
      </c>
      <c r="S460" s="36" t="n">
        <f aca="false">IF(Q460="","",Q460-R460)</f>
        <v>0</v>
      </c>
      <c r="T460" s="36" t="n">
        <f aca="false">IF(S460="","",MAX(0,-S460))</f>
        <v>-0</v>
      </c>
      <c r="U460" s="36" t="n">
        <f aca="false">IF(S460="","",MAX(0,S460))</f>
        <v>0</v>
      </c>
      <c r="V460" s="8" t="str">
        <f aca="false">IF(J460="","NOT SCORED - NO JULY MONTHLY ROW",IF(OR(ABS(L460)&gt;0.005,ABS(O460)&gt;0.005,ABS(S460)&gt;0.005),"EXCEPTION","OK"))</f>
        <v>OK</v>
      </c>
      <c r="W460" s="8" t="s">
        <v>4606</v>
      </c>
      <c r="X460" s="8" t="s">
        <v>4099</v>
      </c>
      <c r="Y460" s="36" t="n">
        <f aca="false">K460*N460</f>
        <v>604</v>
      </c>
    </row>
    <row r="461" customFormat="false" ht="15" hidden="false" customHeight="false" outlineLevel="0" collapsed="false">
      <c r="A461" s="11" t="s">
        <v>4607</v>
      </c>
      <c r="B461" s="11" t="s">
        <v>224</v>
      </c>
      <c r="C461" s="11" t="s">
        <v>2829</v>
      </c>
      <c r="D461" s="11" t="s">
        <v>3011</v>
      </c>
      <c r="E461" s="11" t="s">
        <v>4608</v>
      </c>
      <c r="F461" s="11" t="s">
        <v>4609</v>
      </c>
      <c r="G461" s="11" t="s">
        <v>3492</v>
      </c>
      <c r="H461" s="11" t="n">
        <v>32</v>
      </c>
      <c r="I461" s="31" t="n">
        <v>61.8</v>
      </c>
      <c r="J461" s="31" t="n">
        <v>62</v>
      </c>
      <c r="K461" s="31" t="n">
        <f aca="false">MAX(ROUNDUP(I461,0),H461)</f>
        <v>62</v>
      </c>
      <c r="L461" s="31" t="n">
        <f aca="false">IF(J461="","",J461-K461)</f>
        <v>0</v>
      </c>
      <c r="M461" s="32" t="n">
        <v>7.55</v>
      </c>
      <c r="N461" s="32" t="n">
        <f aca="false">IF(C461="covered",10.4,7.55)</f>
        <v>7.55</v>
      </c>
      <c r="O461" s="32" t="n">
        <f aca="false">IF(M461="","",M461-N461)</f>
        <v>0</v>
      </c>
      <c r="P461" s="11" t="n">
        <v>1</v>
      </c>
      <c r="Q461" s="33" t="n">
        <v>468.1</v>
      </c>
      <c r="R461" s="33" t="n">
        <f aca="false">IF(OR(J461="",P461=""),"",K461*N461*P461)</f>
        <v>468.1</v>
      </c>
      <c r="S461" s="33" t="n">
        <f aca="false">IF(Q461="","",Q461-R461)</f>
        <v>0</v>
      </c>
      <c r="T461" s="33" t="n">
        <f aca="false">IF(S461="","",MAX(0,-S461))</f>
        <v>-0</v>
      </c>
      <c r="U461" s="33" t="n">
        <f aca="false">IF(S461="","",MAX(0,S461))</f>
        <v>0</v>
      </c>
      <c r="V461" s="11" t="str">
        <f aca="false">IF(J461="","NOT SCORED - NO JULY MONTHLY ROW",IF(OR(ABS(L461)&gt;0.005,ABS(O461)&gt;0.005,ABS(S461)&gt;0.005),"EXCEPTION","OK"))</f>
        <v>OK</v>
      </c>
      <c r="W461" s="11" t="s">
        <v>4610</v>
      </c>
      <c r="X461" s="11" t="s">
        <v>4099</v>
      </c>
      <c r="Y461" s="33" t="n">
        <f aca="false">K461*N461</f>
        <v>468.1</v>
      </c>
    </row>
    <row r="462" customFormat="false" ht="15" hidden="false" customHeight="false" outlineLevel="0" collapsed="false">
      <c r="A462" s="8" t="s">
        <v>880</v>
      </c>
      <c r="B462" s="8" t="s">
        <v>224</v>
      </c>
      <c r="C462" s="8" t="s">
        <v>2829</v>
      </c>
      <c r="D462" s="8" t="s">
        <v>3900</v>
      </c>
      <c r="E462" s="8" t="s">
        <v>4611</v>
      </c>
      <c r="F462" s="8" t="s">
        <v>4612</v>
      </c>
      <c r="G462" s="8" t="s">
        <v>2982</v>
      </c>
      <c r="H462" s="8" t="n">
        <v>60</v>
      </c>
      <c r="I462" s="34" t="n">
        <v>47.3</v>
      </c>
      <c r="J462" s="34" t="n">
        <v>60</v>
      </c>
      <c r="K462" s="34" t="n">
        <f aca="false">MAX(ROUNDUP(I462,0),H462)</f>
        <v>60</v>
      </c>
      <c r="L462" s="34" t="n">
        <f aca="false">IF(J462="","",J462-K462)</f>
        <v>0</v>
      </c>
      <c r="M462" s="35" t="n">
        <v>7.55</v>
      </c>
      <c r="N462" s="35" t="n">
        <f aca="false">IF(C462="covered",10.4,7.55)</f>
        <v>7.55</v>
      </c>
      <c r="O462" s="35" t="n">
        <f aca="false">IF(M462="","",M462-N462)</f>
        <v>0</v>
      </c>
      <c r="P462" s="8" t="n">
        <v>1</v>
      </c>
      <c r="Q462" s="36" t="n">
        <v>453</v>
      </c>
      <c r="R462" s="36" t="n">
        <f aca="false">IF(OR(J462="",P462=""),"",K462*N462*P462)</f>
        <v>453</v>
      </c>
      <c r="S462" s="36" t="n">
        <f aca="false">IF(Q462="","",Q462-R462)</f>
        <v>0</v>
      </c>
      <c r="T462" s="36" t="n">
        <f aca="false">IF(S462="","",MAX(0,-S462))</f>
        <v>-0</v>
      </c>
      <c r="U462" s="36" t="n">
        <f aca="false">IF(S462="","",MAX(0,S462))</f>
        <v>0</v>
      </c>
      <c r="V462" s="8" t="str">
        <f aca="false">IF(J462="","NOT SCORED - NO JULY MONTHLY ROW",IF(OR(ABS(L462)&gt;0.005,ABS(O462)&gt;0.005,ABS(S462)&gt;0.005),"EXCEPTION","OK"))</f>
        <v>OK</v>
      </c>
      <c r="W462" s="8" t="s">
        <v>4613</v>
      </c>
      <c r="X462" s="8" t="s">
        <v>4099</v>
      </c>
      <c r="Y462" s="36" t="n">
        <f aca="false">K462*N462</f>
        <v>453</v>
      </c>
    </row>
    <row r="463" customFormat="false" ht="15" hidden="false" customHeight="false" outlineLevel="0" collapsed="false">
      <c r="A463" s="11" t="s">
        <v>4614</v>
      </c>
      <c r="B463" s="11" t="s">
        <v>224</v>
      </c>
      <c r="C463" s="11" t="s">
        <v>2829</v>
      </c>
      <c r="D463" s="11" t="s">
        <v>3014</v>
      </c>
      <c r="E463" s="11" t="s">
        <v>4615</v>
      </c>
      <c r="F463" s="11" t="s">
        <v>4616</v>
      </c>
      <c r="G463" s="11" t="s">
        <v>2864</v>
      </c>
      <c r="H463" s="11" t="n">
        <v>45</v>
      </c>
      <c r="I463" s="31" t="n">
        <v>24</v>
      </c>
      <c r="J463" s="31" t="n">
        <v>45</v>
      </c>
      <c r="K463" s="31" t="n">
        <f aca="false">MAX(ROUNDUP(I463,0),H463)</f>
        <v>45</v>
      </c>
      <c r="L463" s="31" t="n">
        <f aca="false">IF(J463="","",J463-K463)</f>
        <v>0</v>
      </c>
      <c r="M463" s="32" t="n">
        <v>7.55</v>
      </c>
      <c r="N463" s="32" t="n">
        <f aca="false">IF(C463="covered",10.4,7.55)</f>
        <v>7.55</v>
      </c>
      <c r="O463" s="32" t="n">
        <f aca="false">IF(M463="","",M463-N463)</f>
        <v>0</v>
      </c>
      <c r="P463" s="11" t="n">
        <v>1</v>
      </c>
      <c r="Q463" s="33" t="n">
        <v>339.75</v>
      </c>
      <c r="R463" s="33" t="n">
        <f aca="false">IF(OR(J463="",P463=""),"",K463*N463*P463)</f>
        <v>339.75</v>
      </c>
      <c r="S463" s="33" t="n">
        <f aca="false">IF(Q463="","",Q463-R463)</f>
        <v>0</v>
      </c>
      <c r="T463" s="33" t="n">
        <f aca="false">IF(S463="","",MAX(0,-S463))</f>
        <v>-0</v>
      </c>
      <c r="U463" s="33" t="n">
        <f aca="false">IF(S463="","",MAX(0,S463))</f>
        <v>0</v>
      </c>
      <c r="V463" s="11" t="str">
        <f aca="false">IF(J463="","NOT SCORED - NO JULY MONTHLY ROW",IF(OR(ABS(L463)&gt;0.005,ABS(O463)&gt;0.005,ABS(S463)&gt;0.005),"EXCEPTION","OK"))</f>
        <v>OK</v>
      </c>
      <c r="W463" s="11" t="s">
        <v>4617</v>
      </c>
      <c r="X463" s="11" t="s">
        <v>4099</v>
      </c>
      <c r="Y463" s="33" t="n">
        <f aca="false">K463*N463</f>
        <v>339.75</v>
      </c>
    </row>
    <row r="464" customFormat="false" ht="15" hidden="false" customHeight="false" outlineLevel="0" collapsed="false">
      <c r="A464" s="8" t="s">
        <v>4618</v>
      </c>
      <c r="B464" s="8" t="s">
        <v>224</v>
      </c>
      <c r="C464" s="8" t="s">
        <v>2829</v>
      </c>
      <c r="D464" s="8" t="s">
        <v>3018</v>
      </c>
      <c r="E464" s="8" t="s">
        <v>4619</v>
      </c>
      <c r="F464" s="8" t="s">
        <v>4620</v>
      </c>
      <c r="G464" s="8" t="s">
        <v>2976</v>
      </c>
      <c r="H464" s="8" t="n">
        <v>32</v>
      </c>
      <c r="I464" s="34" t="n">
        <v>51.2</v>
      </c>
      <c r="J464" s="34" t="n">
        <v>52</v>
      </c>
      <c r="K464" s="34" t="n">
        <f aca="false">MAX(ROUNDUP(I464,0),H464)</f>
        <v>52</v>
      </c>
      <c r="L464" s="34" t="n">
        <f aca="false">IF(J464="","",J464-K464)</f>
        <v>0</v>
      </c>
      <c r="M464" s="35" t="n">
        <v>7.55</v>
      </c>
      <c r="N464" s="35" t="n">
        <f aca="false">IF(C464="covered",10.4,7.55)</f>
        <v>7.55</v>
      </c>
      <c r="O464" s="35" t="n">
        <f aca="false">IF(M464="","",M464-N464)</f>
        <v>0</v>
      </c>
      <c r="P464" s="8" t="n">
        <v>1</v>
      </c>
      <c r="Q464" s="36" t="n">
        <v>392.6</v>
      </c>
      <c r="R464" s="36" t="n">
        <f aca="false">IF(OR(J464="",P464=""),"",K464*N464*P464)</f>
        <v>392.6</v>
      </c>
      <c r="S464" s="36" t="n">
        <f aca="false">IF(Q464="","",Q464-R464)</f>
        <v>0</v>
      </c>
      <c r="T464" s="36" t="n">
        <f aca="false">IF(S464="","",MAX(0,-S464))</f>
        <v>-0</v>
      </c>
      <c r="U464" s="36" t="n">
        <f aca="false">IF(S464="","",MAX(0,S464))</f>
        <v>0</v>
      </c>
      <c r="V464" s="8" t="str">
        <f aca="false">IF(J464="","NOT SCORED - NO JULY MONTHLY ROW",IF(OR(ABS(L464)&gt;0.005,ABS(O464)&gt;0.005,ABS(S464)&gt;0.005),"EXCEPTION","OK"))</f>
        <v>OK</v>
      </c>
      <c r="W464" s="8" t="s">
        <v>4621</v>
      </c>
      <c r="X464" s="8" t="s">
        <v>4099</v>
      </c>
      <c r="Y464" s="36" t="n">
        <f aca="false">K464*N464</f>
        <v>392.6</v>
      </c>
    </row>
    <row r="465" customFormat="false" ht="15" hidden="false" customHeight="false" outlineLevel="0" collapsed="false">
      <c r="A465" s="11" t="s">
        <v>4622</v>
      </c>
      <c r="B465" s="11" t="s">
        <v>224</v>
      </c>
      <c r="C465" s="11" t="s">
        <v>2829</v>
      </c>
      <c r="D465" s="11" t="s">
        <v>3023</v>
      </c>
      <c r="E465" s="11" t="s">
        <v>4623</v>
      </c>
      <c r="F465" s="11" t="s">
        <v>4624</v>
      </c>
      <c r="G465" s="11" t="s">
        <v>4085</v>
      </c>
      <c r="H465" s="11" t="n">
        <v>32</v>
      </c>
      <c r="I465" s="31" t="n">
        <v>44.2</v>
      </c>
      <c r="J465" s="31" t="n">
        <v>45</v>
      </c>
      <c r="K465" s="31" t="n">
        <f aca="false">MAX(ROUNDUP(I465,0),H465)</f>
        <v>45</v>
      </c>
      <c r="L465" s="31" t="n">
        <f aca="false">IF(J465="","",J465-K465)</f>
        <v>0</v>
      </c>
      <c r="M465" s="32" t="n">
        <v>7.55</v>
      </c>
      <c r="N465" s="32" t="n">
        <f aca="false">IF(C465="covered",10.4,7.55)</f>
        <v>7.55</v>
      </c>
      <c r="O465" s="32" t="n">
        <f aca="false">IF(M465="","",M465-N465)</f>
        <v>0</v>
      </c>
      <c r="P465" s="11" t="n">
        <v>1</v>
      </c>
      <c r="Q465" s="33" t="n">
        <v>339.75</v>
      </c>
      <c r="R465" s="33" t="n">
        <f aca="false">IF(OR(J465="",P465=""),"",K465*N465*P465)</f>
        <v>339.75</v>
      </c>
      <c r="S465" s="33" t="n">
        <f aca="false">IF(Q465="","",Q465-R465)</f>
        <v>0</v>
      </c>
      <c r="T465" s="33" t="n">
        <f aca="false">IF(S465="","",MAX(0,-S465))</f>
        <v>-0</v>
      </c>
      <c r="U465" s="33" t="n">
        <f aca="false">IF(S465="","",MAX(0,S465))</f>
        <v>0</v>
      </c>
      <c r="V465" s="11" t="str">
        <f aca="false">IF(J465="","NOT SCORED - NO JULY MONTHLY ROW",IF(OR(ABS(L465)&gt;0.005,ABS(O465)&gt;0.005,ABS(S465)&gt;0.005),"EXCEPTION","OK"))</f>
        <v>OK</v>
      </c>
      <c r="W465" s="11" t="s">
        <v>4625</v>
      </c>
      <c r="X465" s="11" t="s">
        <v>4099</v>
      </c>
      <c r="Y465" s="33" t="n">
        <f aca="false">K465*N465</f>
        <v>339.75</v>
      </c>
    </row>
    <row r="466" customFormat="false" ht="15" hidden="false" customHeight="false" outlineLevel="0" collapsed="false">
      <c r="A466" s="8" t="s">
        <v>4626</v>
      </c>
      <c r="B466" s="8" t="s">
        <v>224</v>
      </c>
      <c r="C466" s="8" t="s">
        <v>2829</v>
      </c>
      <c r="D466" s="8" t="s">
        <v>3025</v>
      </c>
      <c r="E466" s="8" t="s">
        <v>4627</v>
      </c>
      <c r="F466" s="8" t="s">
        <v>4628</v>
      </c>
      <c r="G466" s="8" t="s">
        <v>3142</v>
      </c>
      <c r="H466" s="8" t="n">
        <v>40</v>
      </c>
      <c r="I466" s="34" t="n">
        <v>50.3</v>
      </c>
      <c r="J466" s="34" t="n">
        <v>51</v>
      </c>
      <c r="K466" s="34" t="n">
        <f aca="false">MAX(ROUNDUP(I466,0),H466)</f>
        <v>51</v>
      </c>
      <c r="L466" s="34" t="n">
        <f aca="false">IF(J466="","",J466-K466)</f>
        <v>0</v>
      </c>
      <c r="M466" s="35" t="n">
        <v>7.55</v>
      </c>
      <c r="N466" s="35" t="n">
        <f aca="false">IF(C466="covered",10.4,7.55)</f>
        <v>7.55</v>
      </c>
      <c r="O466" s="35" t="n">
        <f aca="false">IF(M466="","",M466-N466)</f>
        <v>0</v>
      </c>
      <c r="P466" s="8" t="n">
        <v>1</v>
      </c>
      <c r="Q466" s="36" t="n">
        <v>385.05</v>
      </c>
      <c r="R466" s="36" t="n">
        <f aca="false">IF(OR(J466="",P466=""),"",K466*N466*P466)</f>
        <v>385.05</v>
      </c>
      <c r="S466" s="36" t="n">
        <f aca="false">IF(Q466="","",Q466-R466)</f>
        <v>0</v>
      </c>
      <c r="T466" s="36" t="n">
        <f aca="false">IF(S466="","",MAX(0,-S466))</f>
        <v>-0</v>
      </c>
      <c r="U466" s="36" t="n">
        <f aca="false">IF(S466="","",MAX(0,S466))</f>
        <v>0</v>
      </c>
      <c r="V466" s="8" t="str">
        <f aca="false">IF(J466="","NOT SCORED - NO JULY MONTHLY ROW",IF(OR(ABS(L466)&gt;0.005,ABS(O466)&gt;0.005,ABS(S466)&gt;0.005),"EXCEPTION","OK"))</f>
        <v>OK</v>
      </c>
      <c r="W466" s="8" t="s">
        <v>4629</v>
      </c>
      <c r="X466" s="8" t="s">
        <v>4099</v>
      </c>
      <c r="Y466" s="36" t="n">
        <f aca="false">K466*N466</f>
        <v>385.05</v>
      </c>
    </row>
    <row r="467" customFormat="false" ht="15" hidden="false" customHeight="false" outlineLevel="0" collapsed="false">
      <c r="A467" s="11" t="s">
        <v>4630</v>
      </c>
      <c r="B467" s="11" t="s">
        <v>224</v>
      </c>
      <c r="C467" s="11" t="s">
        <v>2829</v>
      </c>
      <c r="D467" s="11" t="s">
        <v>3030</v>
      </c>
      <c r="E467" s="11" t="s">
        <v>4631</v>
      </c>
      <c r="F467" s="11" t="s">
        <v>4632</v>
      </c>
      <c r="G467" s="11" t="s">
        <v>3024</v>
      </c>
      <c r="H467" s="11" t="n">
        <v>36</v>
      </c>
      <c r="I467" s="31" t="n">
        <v>42.5</v>
      </c>
      <c r="J467" s="31" t="n">
        <v>43</v>
      </c>
      <c r="K467" s="31" t="n">
        <f aca="false">MAX(ROUNDUP(I467,0),H467)</f>
        <v>43</v>
      </c>
      <c r="L467" s="31" t="n">
        <f aca="false">IF(J467="","",J467-K467)</f>
        <v>0</v>
      </c>
      <c r="M467" s="32" t="n">
        <v>7.55</v>
      </c>
      <c r="N467" s="32" t="n">
        <f aca="false">IF(C467="covered",10.4,7.55)</f>
        <v>7.55</v>
      </c>
      <c r="O467" s="32" t="n">
        <f aca="false">IF(M467="","",M467-N467)</f>
        <v>0</v>
      </c>
      <c r="P467" s="11" t="n">
        <v>1</v>
      </c>
      <c r="Q467" s="33" t="n">
        <v>324.65</v>
      </c>
      <c r="R467" s="33" t="n">
        <f aca="false">IF(OR(J467="",P467=""),"",K467*N467*P467)</f>
        <v>324.65</v>
      </c>
      <c r="S467" s="33" t="n">
        <f aca="false">IF(Q467="","",Q467-R467)</f>
        <v>0</v>
      </c>
      <c r="T467" s="33" t="n">
        <f aca="false">IF(S467="","",MAX(0,-S467))</f>
        <v>-0</v>
      </c>
      <c r="U467" s="33" t="n">
        <f aca="false">IF(S467="","",MAX(0,S467))</f>
        <v>0</v>
      </c>
      <c r="V467" s="11" t="str">
        <f aca="false">IF(J467="","NOT SCORED - NO JULY MONTHLY ROW",IF(OR(ABS(L467)&gt;0.005,ABS(O467)&gt;0.005,ABS(S467)&gt;0.005),"EXCEPTION","OK"))</f>
        <v>OK</v>
      </c>
      <c r="W467" s="11" t="s">
        <v>4633</v>
      </c>
      <c r="X467" s="11" t="s">
        <v>4099</v>
      </c>
      <c r="Y467" s="33" t="n">
        <f aca="false">K467*N467</f>
        <v>324.65</v>
      </c>
    </row>
    <row r="468" customFormat="false" ht="15" hidden="false" customHeight="false" outlineLevel="0" collapsed="false">
      <c r="A468" s="8" t="s">
        <v>866</v>
      </c>
      <c r="B468" s="8" t="s">
        <v>224</v>
      </c>
      <c r="C468" s="8" t="s">
        <v>2829</v>
      </c>
      <c r="D468" s="8" t="s">
        <v>3039</v>
      </c>
      <c r="E468" s="8" t="s">
        <v>4634</v>
      </c>
      <c r="F468" s="8" t="s">
        <v>4635</v>
      </c>
      <c r="G468" s="8" t="s">
        <v>4636</v>
      </c>
      <c r="H468" s="8" t="n">
        <v>50</v>
      </c>
      <c r="I468" s="34" t="n">
        <v>44.2</v>
      </c>
      <c r="J468" s="34" t="n">
        <v>50</v>
      </c>
      <c r="K468" s="34" t="n">
        <f aca="false">MAX(ROUNDUP(I468,0),H468)</f>
        <v>50</v>
      </c>
      <c r="L468" s="34" t="n">
        <f aca="false">IF(J468="","",J468-K468)</f>
        <v>0</v>
      </c>
      <c r="M468" s="35" t="n">
        <v>7.55</v>
      </c>
      <c r="N468" s="35" t="n">
        <f aca="false">IF(C468="covered",10.4,7.55)</f>
        <v>7.55</v>
      </c>
      <c r="O468" s="35" t="n">
        <f aca="false">IF(M468="","",M468-N468)</f>
        <v>0</v>
      </c>
      <c r="P468" s="8" t="n">
        <v>1</v>
      </c>
      <c r="Q468" s="36" t="n">
        <v>377.5</v>
      </c>
      <c r="R468" s="36" t="n">
        <f aca="false">IF(OR(J468="",P468=""),"",K468*N468*P468)</f>
        <v>377.5</v>
      </c>
      <c r="S468" s="36" t="n">
        <f aca="false">IF(Q468="","",Q468-R468)</f>
        <v>0</v>
      </c>
      <c r="T468" s="36" t="n">
        <f aca="false">IF(S468="","",MAX(0,-S468))</f>
        <v>-0</v>
      </c>
      <c r="U468" s="36" t="n">
        <f aca="false">IF(S468="","",MAX(0,S468))</f>
        <v>0</v>
      </c>
      <c r="V468" s="8" t="str">
        <f aca="false">IF(J468="","NOT SCORED - NO JULY MONTHLY ROW",IF(OR(ABS(L468)&gt;0.005,ABS(O468)&gt;0.005,ABS(S468)&gt;0.005),"EXCEPTION","OK"))</f>
        <v>OK</v>
      </c>
      <c r="W468" s="8" t="s">
        <v>4637</v>
      </c>
      <c r="X468" s="8" t="s">
        <v>4099</v>
      </c>
      <c r="Y468" s="36" t="n">
        <f aca="false">K468*N468</f>
        <v>377.5</v>
      </c>
    </row>
    <row r="469" customFormat="false" ht="15" hidden="false" customHeight="false" outlineLevel="0" collapsed="false">
      <c r="A469" s="11" t="s">
        <v>933</v>
      </c>
      <c r="B469" s="11" t="s">
        <v>224</v>
      </c>
      <c r="C469" s="11" t="s">
        <v>2829</v>
      </c>
      <c r="D469" s="11" t="s">
        <v>3932</v>
      </c>
      <c r="E469" s="11" t="s">
        <v>1965</v>
      </c>
      <c r="F469" s="11" t="s">
        <v>1966</v>
      </c>
      <c r="G469" s="11" t="s">
        <v>4638</v>
      </c>
      <c r="H469" s="11" t="n">
        <v>28</v>
      </c>
      <c r="I469" s="31" t="n">
        <v>23.6</v>
      </c>
      <c r="J469" s="31" t="n">
        <v>28</v>
      </c>
      <c r="K469" s="31" t="n">
        <f aca="false">MAX(ROUNDUP(I469,0),H469)</f>
        <v>28</v>
      </c>
      <c r="L469" s="31" t="n">
        <f aca="false">IF(J469="","",J469-K469)</f>
        <v>0</v>
      </c>
      <c r="M469" s="32" t="n">
        <v>7.55</v>
      </c>
      <c r="N469" s="32" t="n">
        <f aca="false">IF(C469="covered",10.4,7.55)</f>
        <v>7.55</v>
      </c>
      <c r="O469" s="32" t="n">
        <f aca="false">IF(M469="","",M469-N469)</f>
        <v>0</v>
      </c>
      <c r="P469" s="11" t="n">
        <v>1</v>
      </c>
      <c r="Q469" s="33" t="n">
        <v>211.4</v>
      </c>
      <c r="R469" s="33" t="n">
        <f aca="false">IF(OR(J469="",P469=""),"",K469*N469*P469)</f>
        <v>211.4</v>
      </c>
      <c r="S469" s="33" t="n">
        <f aca="false">IF(Q469="","",Q469-R469)</f>
        <v>0</v>
      </c>
      <c r="T469" s="33" t="n">
        <f aca="false">IF(S469="","",MAX(0,-S469))</f>
        <v>-0</v>
      </c>
      <c r="U469" s="33" t="n">
        <f aca="false">IF(S469="","",MAX(0,S469))</f>
        <v>0</v>
      </c>
      <c r="V469" s="11" t="str">
        <f aca="false">IF(J469="","NOT SCORED - NO JULY MONTHLY ROW",IF(OR(ABS(L469)&gt;0.005,ABS(O469)&gt;0.005,ABS(S469)&gt;0.005),"EXCEPTION","OK"))</f>
        <v>OK</v>
      </c>
      <c r="W469" s="11" t="s">
        <v>4639</v>
      </c>
      <c r="X469" s="11" t="s">
        <v>4099</v>
      </c>
      <c r="Y469" s="33" t="n">
        <f aca="false">K469*N469</f>
        <v>211.4</v>
      </c>
    </row>
    <row r="470" customFormat="false" ht="15" hidden="false" customHeight="false" outlineLevel="0" collapsed="false">
      <c r="A470" s="8" t="s">
        <v>4640</v>
      </c>
      <c r="B470" s="8" t="s">
        <v>224</v>
      </c>
      <c r="C470" s="8" t="s">
        <v>2829</v>
      </c>
      <c r="D470" s="8" t="s">
        <v>3043</v>
      </c>
      <c r="E470" s="8" t="s">
        <v>4641</v>
      </c>
      <c r="F470" s="8" t="s">
        <v>4642</v>
      </c>
      <c r="G470" s="8" t="s">
        <v>4643</v>
      </c>
      <c r="H470" s="8" t="n">
        <v>24</v>
      </c>
      <c r="I470" s="34" t="n">
        <v>27.6</v>
      </c>
      <c r="J470" s="34" t="n">
        <v>28</v>
      </c>
      <c r="K470" s="34" t="n">
        <f aca="false">MAX(ROUNDUP(I470,0),H470)</f>
        <v>28</v>
      </c>
      <c r="L470" s="34" t="n">
        <f aca="false">IF(J470="","",J470-K470)</f>
        <v>0</v>
      </c>
      <c r="M470" s="35" t="n">
        <v>7.55</v>
      </c>
      <c r="N470" s="35" t="n">
        <f aca="false">IF(C470="covered",10.4,7.55)</f>
        <v>7.55</v>
      </c>
      <c r="O470" s="35" t="n">
        <f aca="false">IF(M470="","",M470-N470)</f>
        <v>0</v>
      </c>
      <c r="P470" s="8" t="n">
        <v>1</v>
      </c>
      <c r="Q470" s="36" t="n">
        <v>211.4</v>
      </c>
      <c r="R470" s="36" t="n">
        <f aca="false">IF(OR(J470="",P470=""),"",K470*N470*P470)</f>
        <v>211.4</v>
      </c>
      <c r="S470" s="36" t="n">
        <f aca="false">IF(Q470="","",Q470-R470)</f>
        <v>0</v>
      </c>
      <c r="T470" s="36" t="n">
        <f aca="false">IF(S470="","",MAX(0,-S470))</f>
        <v>-0</v>
      </c>
      <c r="U470" s="36" t="n">
        <f aca="false">IF(S470="","",MAX(0,S470))</f>
        <v>0</v>
      </c>
      <c r="V470" s="8" t="str">
        <f aca="false">IF(J470="","NOT SCORED - NO JULY MONTHLY ROW",IF(OR(ABS(L470)&gt;0.005,ABS(O470)&gt;0.005,ABS(S470)&gt;0.005),"EXCEPTION","OK"))</f>
        <v>OK</v>
      </c>
      <c r="W470" s="8" t="s">
        <v>4644</v>
      </c>
      <c r="X470" s="8" t="s">
        <v>4099</v>
      </c>
      <c r="Y470" s="36" t="n">
        <f aca="false">K470*N470</f>
        <v>211.4</v>
      </c>
    </row>
    <row r="471" customFormat="false" ht="15" hidden="false" customHeight="false" outlineLevel="0" collapsed="false">
      <c r="A471" s="11" t="s">
        <v>4645</v>
      </c>
      <c r="B471" s="11" t="s">
        <v>224</v>
      </c>
      <c r="C471" s="11" t="s">
        <v>2829</v>
      </c>
      <c r="D471" s="11" t="s">
        <v>3053</v>
      </c>
      <c r="E471" s="11" t="s">
        <v>4646</v>
      </c>
      <c r="F471" s="11" t="s">
        <v>4647</v>
      </c>
      <c r="G471" s="11" t="s">
        <v>4648</v>
      </c>
      <c r="H471" s="11" t="n">
        <v>32</v>
      </c>
      <c r="I471" s="31" t="n">
        <v>50.6</v>
      </c>
      <c r="J471" s="31" t="n">
        <v>51</v>
      </c>
      <c r="K471" s="31" t="n">
        <f aca="false">MAX(ROUNDUP(I471,0),H471)</f>
        <v>51</v>
      </c>
      <c r="L471" s="31" t="n">
        <f aca="false">IF(J471="","",J471-K471)</f>
        <v>0</v>
      </c>
      <c r="M471" s="32" t="n">
        <v>7.55</v>
      </c>
      <c r="N471" s="32" t="n">
        <f aca="false">IF(C471="covered",10.4,7.55)</f>
        <v>7.55</v>
      </c>
      <c r="O471" s="32" t="n">
        <f aca="false">IF(M471="","",M471-N471)</f>
        <v>0</v>
      </c>
      <c r="P471" s="11" t="n">
        <v>1</v>
      </c>
      <c r="Q471" s="33" t="n">
        <v>385.05</v>
      </c>
      <c r="R471" s="33" t="n">
        <f aca="false">IF(OR(J471="",P471=""),"",K471*N471*P471)</f>
        <v>385.05</v>
      </c>
      <c r="S471" s="33" t="n">
        <f aca="false">IF(Q471="","",Q471-R471)</f>
        <v>0</v>
      </c>
      <c r="T471" s="33" t="n">
        <f aca="false">IF(S471="","",MAX(0,-S471))</f>
        <v>-0</v>
      </c>
      <c r="U471" s="33" t="n">
        <f aca="false">IF(S471="","",MAX(0,S471))</f>
        <v>0</v>
      </c>
      <c r="V471" s="11" t="str">
        <f aca="false">IF(J471="","NOT SCORED - NO JULY MONTHLY ROW",IF(OR(ABS(L471)&gt;0.005,ABS(O471)&gt;0.005,ABS(S471)&gt;0.005),"EXCEPTION","OK"))</f>
        <v>OK</v>
      </c>
      <c r="W471" s="11" t="s">
        <v>4649</v>
      </c>
      <c r="X471" s="11" t="s">
        <v>4099</v>
      </c>
      <c r="Y471" s="33" t="n">
        <f aca="false">K471*N471</f>
        <v>385.05</v>
      </c>
    </row>
    <row r="472" customFormat="false" ht="15" hidden="false" customHeight="false" outlineLevel="0" collapsed="false">
      <c r="A472" s="8" t="s">
        <v>4650</v>
      </c>
      <c r="B472" s="8" t="s">
        <v>224</v>
      </c>
      <c r="C472" s="8" t="s">
        <v>2829</v>
      </c>
      <c r="D472" s="8" t="s">
        <v>3056</v>
      </c>
      <c r="E472" s="8" t="s">
        <v>4651</v>
      </c>
      <c r="F472" s="8" t="s">
        <v>4652</v>
      </c>
      <c r="G472" s="8" t="s">
        <v>3236</v>
      </c>
      <c r="H472" s="8" t="n">
        <v>32</v>
      </c>
      <c r="I472" s="34" t="n">
        <v>32.3</v>
      </c>
      <c r="J472" s="34" t="n">
        <v>33</v>
      </c>
      <c r="K472" s="34" t="n">
        <f aca="false">MAX(ROUNDUP(I472,0),H472)</f>
        <v>33</v>
      </c>
      <c r="L472" s="34" t="n">
        <f aca="false">IF(J472="","",J472-K472)</f>
        <v>0</v>
      </c>
      <c r="M472" s="35" t="n">
        <v>7.55</v>
      </c>
      <c r="N472" s="35" t="n">
        <f aca="false">IF(C472="covered",10.4,7.55)</f>
        <v>7.55</v>
      </c>
      <c r="O472" s="35" t="n">
        <f aca="false">IF(M472="","",M472-N472)</f>
        <v>0</v>
      </c>
      <c r="P472" s="8" t="n">
        <v>1</v>
      </c>
      <c r="Q472" s="36" t="n">
        <v>249.15</v>
      </c>
      <c r="R472" s="36" t="n">
        <f aca="false">IF(OR(J472="",P472=""),"",K472*N472*P472)</f>
        <v>249.15</v>
      </c>
      <c r="S472" s="36" t="n">
        <f aca="false">IF(Q472="","",Q472-R472)</f>
        <v>0</v>
      </c>
      <c r="T472" s="36" t="n">
        <f aca="false">IF(S472="","",MAX(0,-S472))</f>
        <v>-0</v>
      </c>
      <c r="U472" s="36" t="n">
        <f aca="false">IF(S472="","",MAX(0,S472))</f>
        <v>0</v>
      </c>
      <c r="V472" s="8" t="str">
        <f aca="false">IF(J472="","NOT SCORED - NO JULY MONTHLY ROW",IF(OR(ABS(L472)&gt;0.005,ABS(O472)&gt;0.005,ABS(S472)&gt;0.005),"EXCEPTION","OK"))</f>
        <v>OK</v>
      </c>
      <c r="W472" s="8" t="s">
        <v>4653</v>
      </c>
      <c r="X472" s="8" t="s">
        <v>4099</v>
      </c>
      <c r="Y472" s="36" t="n">
        <f aca="false">K472*N472</f>
        <v>249.15</v>
      </c>
    </row>
    <row r="473" customFormat="false" ht="15" hidden="false" customHeight="false" outlineLevel="0" collapsed="false">
      <c r="A473" s="11" t="s">
        <v>4654</v>
      </c>
      <c r="B473" s="11" t="s">
        <v>224</v>
      </c>
      <c r="C473" s="11" t="s">
        <v>2829</v>
      </c>
      <c r="D473" s="11" t="s">
        <v>3061</v>
      </c>
      <c r="E473" s="11" t="s">
        <v>4655</v>
      </c>
      <c r="F473" s="11" t="s">
        <v>4656</v>
      </c>
      <c r="G473" s="11" t="s">
        <v>4657</v>
      </c>
      <c r="H473" s="11" t="n">
        <v>50</v>
      </c>
      <c r="I473" s="31" t="n">
        <v>59.1</v>
      </c>
      <c r="J473" s="31" t="n">
        <v>60</v>
      </c>
      <c r="K473" s="31" t="n">
        <f aca="false">MAX(ROUNDUP(I473,0),H473)</f>
        <v>60</v>
      </c>
      <c r="L473" s="31" t="n">
        <f aca="false">IF(J473="","",J473-K473)</f>
        <v>0</v>
      </c>
      <c r="M473" s="32" t="n">
        <v>7.55</v>
      </c>
      <c r="N473" s="32" t="n">
        <f aca="false">IF(C473="covered",10.4,7.55)</f>
        <v>7.55</v>
      </c>
      <c r="O473" s="32" t="n">
        <f aca="false">IF(M473="","",M473-N473)</f>
        <v>0</v>
      </c>
      <c r="P473" s="11" t="n">
        <v>1</v>
      </c>
      <c r="Q473" s="33" t="n">
        <v>453</v>
      </c>
      <c r="R473" s="33" t="n">
        <f aca="false">IF(OR(J473="",P473=""),"",K473*N473*P473)</f>
        <v>453</v>
      </c>
      <c r="S473" s="33" t="n">
        <f aca="false">IF(Q473="","",Q473-R473)</f>
        <v>0</v>
      </c>
      <c r="T473" s="33" t="n">
        <f aca="false">IF(S473="","",MAX(0,-S473))</f>
        <v>-0</v>
      </c>
      <c r="U473" s="33" t="n">
        <f aca="false">IF(S473="","",MAX(0,S473))</f>
        <v>0</v>
      </c>
      <c r="V473" s="11" t="str">
        <f aca="false">IF(J473="","NOT SCORED - NO JULY MONTHLY ROW",IF(OR(ABS(L473)&gt;0.005,ABS(O473)&gt;0.005,ABS(S473)&gt;0.005),"EXCEPTION","OK"))</f>
        <v>OK</v>
      </c>
      <c r="W473" s="11" t="s">
        <v>4658</v>
      </c>
      <c r="X473" s="11" t="s">
        <v>4099</v>
      </c>
      <c r="Y473" s="33" t="n">
        <f aca="false">K473*N473</f>
        <v>453</v>
      </c>
    </row>
    <row r="474" customFormat="false" ht="15" hidden="false" customHeight="false" outlineLevel="0" collapsed="false">
      <c r="A474" s="8" t="s">
        <v>4659</v>
      </c>
      <c r="B474" s="8" t="s">
        <v>224</v>
      </c>
      <c r="C474" s="8" t="s">
        <v>2829</v>
      </c>
      <c r="D474" s="8" t="s">
        <v>3066</v>
      </c>
      <c r="E474" s="8" t="s">
        <v>4660</v>
      </c>
      <c r="F474" s="8" t="s">
        <v>4661</v>
      </c>
      <c r="G474" s="8" t="s">
        <v>2987</v>
      </c>
      <c r="H474" s="8" t="n">
        <v>45</v>
      </c>
      <c r="I474" s="34" t="n">
        <v>49.1</v>
      </c>
      <c r="J474" s="34" t="n">
        <v>50</v>
      </c>
      <c r="K474" s="34" t="n">
        <f aca="false">MAX(ROUNDUP(I474,0),H474)</f>
        <v>50</v>
      </c>
      <c r="L474" s="34" t="n">
        <f aca="false">IF(J474="","",J474-K474)</f>
        <v>0</v>
      </c>
      <c r="M474" s="35" t="n">
        <v>7.55</v>
      </c>
      <c r="N474" s="35" t="n">
        <f aca="false">IF(C474="covered",10.4,7.55)</f>
        <v>7.55</v>
      </c>
      <c r="O474" s="35" t="n">
        <f aca="false">IF(M474="","",M474-N474)</f>
        <v>0</v>
      </c>
      <c r="P474" s="8" t="n">
        <v>1</v>
      </c>
      <c r="Q474" s="36" t="n">
        <v>377.5</v>
      </c>
      <c r="R474" s="36" t="n">
        <f aca="false">IF(OR(J474="",P474=""),"",K474*N474*P474)</f>
        <v>377.5</v>
      </c>
      <c r="S474" s="36" t="n">
        <f aca="false">IF(Q474="","",Q474-R474)</f>
        <v>0</v>
      </c>
      <c r="T474" s="36" t="n">
        <f aca="false">IF(S474="","",MAX(0,-S474))</f>
        <v>-0</v>
      </c>
      <c r="U474" s="36" t="n">
        <f aca="false">IF(S474="","",MAX(0,S474))</f>
        <v>0</v>
      </c>
      <c r="V474" s="8" t="str">
        <f aca="false">IF(J474="","NOT SCORED - NO JULY MONTHLY ROW",IF(OR(ABS(L474)&gt;0.005,ABS(O474)&gt;0.005,ABS(S474)&gt;0.005),"EXCEPTION","OK"))</f>
        <v>OK</v>
      </c>
      <c r="W474" s="8" t="s">
        <v>4662</v>
      </c>
      <c r="X474" s="8" t="s">
        <v>4099</v>
      </c>
      <c r="Y474" s="36" t="n">
        <f aca="false">K474*N474</f>
        <v>377.5</v>
      </c>
    </row>
    <row r="475" customFormat="false" ht="15" hidden="false" customHeight="false" outlineLevel="0" collapsed="false">
      <c r="A475" s="11" t="s">
        <v>1639</v>
      </c>
      <c r="B475" s="11" t="s">
        <v>224</v>
      </c>
      <c r="C475" s="11" t="s">
        <v>2829</v>
      </c>
      <c r="D475" s="11" t="s">
        <v>3071</v>
      </c>
      <c r="E475" s="11" t="s">
        <v>4663</v>
      </c>
      <c r="F475" s="11" t="s">
        <v>4664</v>
      </c>
      <c r="G475" s="11" t="s">
        <v>2933</v>
      </c>
      <c r="H475" s="11" t="n">
        <v>28</v>
      </c>
      <c r="I475" s="31" t="n">
        <v>21.9</v>
      </c>
      <c r="J475" s="31" t="n">
        <v>28</v>
      </c>
      <c r="K475" s="31" t="n">
        <f aca="false">MAX(ROUNDUP(I475,0),H475)</f>
        <v>28</v>
      </c>
      <c r="L475" s="31" t="n">
        <f aca="false">IF(J475="","",J475-K475)</f>
        <v>0</v>
      </c>
      <c r="M475" s="32" t="n">
        <v>7.55</v>
      </c>
      <c r="N475" s="32" t="n">
        <f aca="false">IF(C475="covered",10.4,7.55)</f>
        <v>7.55</v>
      </c>
      <c r="O475" s="32" t="n">
        <f aca="false">IF(M475="","",M475-N475)</f>
        <v>0</v>
      </c>
      <c r="P475" s="11" t="n">
        <v>1</v>
      </c>
      <c r="Q475" s="33" t="n">
        <v>211.4</v>
      </c>
      <c r="R475" s="33" t="n">
        <f aca="false">IF(OR(J475="",P475=""),"",K475*N475*P475)</f>
        <v>211.4</v>
      </c>
      <c r="S475" s="33" t="n">
        <f aca="false">IF(Q475="","",Q475-R475)</f>
        <v>0</v>
      </c>
      <c r="T475" s="33" t="n">
        <f aca="false">IF(S475="","",MAX(0,-S475))</f>
        <v>-0</v>
      </c>
      <c r="U475" s="33" t="n">
        <f aca="false">IF(S475="","",MAX(0,S475))</f>
        <v>0</v>
      </c>
      <c r="V475" s="11" t="str">
        <f aca="false">IF(J475="","NOT SCORED - NO JULY MONTHLY ROW",IF(OR(ABS(L475)&gt;0.005,ABS(O475)&gt;0.005,ABS(S475)&gt;0.005),"EXCEPTION","OK"))</f>
        <v>OK</v>
      </c>
      <c r="W475" s="11" t="s">
        <v>4665</v>
      </c>
      <c r="X475" s="11" t="s">
        <v>4099</v>
      </c>
      <c r="Y475" s="33" t="n">
        <f aca="false">K475*N475</f>
        <v>211.4</v>
      </c>
    </row>
    <row r="476" customFormat="false" ht="15" hidden="false" customHeight="false" outlineLevel="0" collapsed="false">
      <c r="A476" s="8" t="s">
        <v>4666</v>
      </c>
      <c r="B476" s="8" t="s">
        <v>224</v>
      </c>
      <c r="C476" s="8" t="s">
        <v>2829</v>
      </c>
      <c r="D476" s="8" t="s">
        <v>3076</v>
      </c>
      <c r="E476" s="8" t="s">
        <v>4667</v>
      </c>
      <c r="F476" s="8" t="s">
        <v>4668</v>
      </c>
      <c r="G476" s="8" t="s">
        <v>4669</v>
      </c>
      <c r="H476" s="8" t="n">
        <v>36</v>
      </c>
      <c r="I476" s="34" t="n">
        <v>39.5</v>
      </c>
      <c r="J476" s="34" t="n">
        <v>40</v>
      </c>
      <c r="K476" s="34" t="n">
        <f aca="false">MAX(ROUNDUP(I476,0),H476)</f>
        <v>40</v>
      </c>
      <c r="L476" s="34" t="n">
        <f aca="false">IF(J476="","",J476-K476)</f>
        <v>0</v>
      </c>
      <c r="M476" s="35" t="n">
        <v>7.55</v>
      </c>
      <c r="N476" s="35" t="n">
        <f aca="false">IF(C476="covered",10.4,7.55)</f>
        <v>7.55</v>
      </c>
      <c r="O476" s="35" t="n">
        <f aca="false">IF(M476="","",M476-N476)</f>
        <v>0</v>
      </c>
      <c r="P476" s="8" t="n">
        <v>1</v>
      </c>
      <c r="Q476" s="36" t="n">
        <v>302</v>
      </c>
      <c r="R476" s="36" t="n">
        <f aca="false">IF(OR(J476="",P476=""),"",K476*N476*P476)</f>
        <v>302</v>
      </c>
      <c r="S476" s="36" t="n">
        <f aca="false">IF(Q476="","",Q476-R476)</f>
        <v>0</v>
      </c>
      <c r="T476" s="36" t="n">
        <f aca="false">IF(S476="","",MAX(0,-S476))</f>
        <v>-0</v>
      </c>
      <c r="U476" s="36" t="n">
        <f aca="false">IF(S476="","",MAX(0,S476))</f>
        <v>0</v>
      </c>
      <c r="V476" s="8" t="str">
        <f aca="false">IF(J476="","NOT SCORED - NO JULY MONTHLY ROW",IF(OR(ABS(L476)&gt;0.005,ABS(O476)&gt;0.005,ABS(S476)&gt;0.005),"EXCEPTION","OK"))</f>
        <v>OK</v>
      </c>
      <c r="W476" s="8" t="s">
        <v>4670</v>
      </c>
      <c r="X476" s="8" t="s">
        <v>4099</v>
      </c>
      <c r="Y476" s="36" t="n">
        <f aca="false">K476*N476</f>
        <v>302</v>
      </c>
    </row>
    <row r="477" customFormat="false" ht="15" hidden="false" customHeight="false" outlineLevel="0" collapsed="false">
      <c r="A477" s="11" t="s">
        <v>4671</v>
      </c>
      <c r="B477" s="11" t="s">
        <v>224</v>
      </c>
      <c r="C477" s="11" t="s">
        <v>2829</v>
      </c>
      <c r="D477" s="11" t="s">
        <v>3958</v>
      </c>
      <c r="E477" s="11" t="s">
        <v>4672</v>
      </c>
      <c r="F477" s="11" t="s">
        <v>4673</v>
      </c>
      <c r="G477" s="11" t="s">
        <v>3911</v>
      </c>
      <c r="H477" s="11" t="n">
        <v>60</v>
      </c>
      <c r="I477" s="31" t="n">
        <v>35.8</v>
      </c>
      <c r="J477" s="31" t="n">
        <v>60</v>
      </c>
      <c r="K477" s="31" t="n">
        <f aca="false">MAX(ROUNDUP(I477,0),H477)</f>
        <v>60</v>
      </c>
      <c r="L477" s="31" t="n">
        <f aca="false">IF(J477="","",J477-K477)</f>
        <v>0</v>
      </c>
      <c r="M477" s="32" t="n">
        <v>7.55</v>
      </c>
      <c r="N477" s="32" t="n">
        <f aca="false">IF(C477="covered",10.4,7.55)</f>
        <v>7.55</v>
      </c>
      <c r="O477" s="32" t="n">
        <f aca="false">IF(M477="","",M477-N477)</f>
        <v>0</v>
      </c>
      <c r="P477" s="11" t="n">
        <v>1</v>
      </c>
      <c r="Q477" s="33" t="n">
        <v>453</v>
      </c>
      <c r="R477" s="33" t="n">
        <f aca="false">IF(OR(J477="",P477=""),"",K477*N477*P477)</f>
        <v>453</v>
      </c>
      <c r="S477" s="33" t="n">
        <f aca="false">IF(Q477="","",Q477-R477)</f>
        <v>0</v>
      </c>
      <c r="T477" s="33" t="n">
        <f aca="false">IF(S477="","",MAX(0,-S477))</f>
        <v>-0</v>
      </c>
      <c r="U477" s="33" t="n">
        <f aca="false">IF(S477="","",MAX(0,S477))</f>
        <v>0</v>
      </c>
      <c r="V477" s="11" t="str">
        <f aca="false">IF(J477="","NOT SCORED - NO JULY MONTHLY ROW",IF(OR(ABS(L477)&gt;0.005,ABS(O477)&gt;0.005,ABS(S477)&gt;0.005),"EXCEPTION","OK"))</f>
        <v>OK</v>
      </c>
      <c r="W477" s="11" t="s">
        <v>4674</v>
      </c>
      <c r="X477" s="11" t="s">
        <v>4099</v>
      </c>
      <c r="Y477" s="33" t="n">
        <f aca="false">K477*N477</f>
        <v>453</v>
      </c>
    </row>
    <row r="478" customFormat="false" ht="15" hidden="false" customHeight="false" outlineLevel="0" collapsed="false">
      <c r="A478" s="8" t="s">
        <v>4675</v>
      </c>
      <c r="B478" s="8" t="s">
        <v>224</v>
      </c>
      <c r="C478" s="8" t="s">
        <v>2829</v>
      </c>
      <c r="D478" s="8" t="s">
        <v>3080</v>
      </c>
      <c r="E478" s="8" t="s">
        <v>2567</v>
      </c>
      <c r="F478" s="8" t="s">
        <v>4676</v>
      </c>
      <c r="G478" s="8" t="s">
        <v>4677</v>
      </c>
      <c r="H478" s="8" t="n">
        <v>36</v>
      </c>
      <c r="I478" s="34" t="n">
        <v>51.1</v>
      </c>
      <c r="J478" s="34" t="n">
        <v>52</v>
      </c>
      <c r="K478" s="34" t="n">
        <f aca="false">MAX(ROUNDUP(I478,0),H478)</f>
        <v>52</v>
      </c>
      <c r="L478" s="34" t="n">
        <f aca="false">IF(J478="","",J478-K478)</f>
        <v>0</v>
      </c>
      <c r="M478" s="35" t="n">
        <v>7.55</v>
      </c>
      <c r="N478" s="35" t="n">
        <f aca="false">IF(C478="covered",10.4,7.55)</f>
        <v>7.55</v>
      </c>
      <c r="O478" s="35" t="n">
        <f aca="false">IF(M478="","",M478-N478)</f>
        <v>0</v>
      </c>
      <c r="P478" s="8" t="n">
        <v>1</v>
      </c>
      <c r="Q478" s="36" t="n">
        <v>392.6</v>
      </c>
      <c r="R478" s="36" t="n">
        <f aca="false">IF(OR(J478="",P478=""),"",K478*N478*P478)</f>
        <v>392.6</v>
      </c>
      <c r="S478" s="36" t="n">
        <f aca="false">IF(Q478="","",Q478-R478)</f>
        <v>0</v>
      </c>
      <c r="T478" s="36" t="n">
        <f aca="false">IF(S478="","",MAX(0,-S478))</f>
        <v>-0</v>
      </c>
      <c r="U478" s="36" t="n">
        <f aca="false">IF(S478="","",MAX(0,S478))</f>
        <v>0</v>
      </c>
      <c r="V478" s="8" t="str">
        <f aca="false">IF(J478="","NOT SCORED - NO JULY MONTHLY ROW",IF(OR(ABS(L478)&gt;0.005,ABS(O478)&gt;0.005,ABS(S478)&gt;0.005),"EXCEPTION","OK"))</f>
        <v>OK</v>
      </c>
      <c r="W478" s="8" t="s">
        <v>4678</v>
      </c>
      <c r="X478" s="8" t="s">
        <v>4099</v>
      </c>
      <c r="Y478" s="36" t="n">
        <f aca="false">K478*N478</f>
        <v>392.6</v>
      </c>
    </row>
    <row r="479" customFormat="false" ht="15" hidden="false" customHeight="false" outlineLevel="0" collapsed="false">
      <c r="A479" s="11" t="s">
        <v>4679</v>
      </c>
      <c r="B479" s="11" t="s">
        <v>224</v>
      </c>
      <c r="C479" s="11" t="s">
        <v>2829</v>
      </c>
      <c r="D479" s="11" t="s">
        <v>3084</v>
      </c>
      <c r="E479" s="11" t="s">
        <v>2188</v>
      </c>
      <c r="F479" s="11" t="s">
        <v>4680</v>
      </c>
      <c r="G479" s="11" t="s">
        <v>3669</v>
      </c>
      <c r="H479" s="11" t="n">
        <v>40</v>
      </c>
      <c r="I479" s="31" t="n">
        <v>29.3</v>
      </c>
      <c r="J479" s="31" t="n">
        <v>40</v>
      </c>
      <c r="K479" s="31" t="n">
        <f aca="false">MAX(ROUNDUP(I479,0),H479)</f>
        <v>40</v>
      </c>
      <c r="L479" s="31" t="n">
        <f aca="false">IF(J479="","",J479-K479)</f>
        <v>0</v>
      </c>
      <c r="M479" s="32" t="n">
        <v>7.55</v>
      </c>
      <c r="N479" s="32" t="n">
        <f aca="false">IF(C479="covered",10.4,7.55)</f>
        <v>7.55</v>
      </c>
      <c r="O479" s="32" t="n">
        <f aca="false">IF(M479="","",M479-N479)</f>
        <v>0</v>
      </c>
      <c r="P479" s="11" t="n">
        <v>1</v>
      </c>
      <c r="Q479" s="33" t="n">
        <v>302</v>
      </c>
      <c r="R479" s="33" t="n">
        <f aca="false">IF(OR(J479="",P479=""),"",K479*N479*P479)</f>
        <v>302</v>
      </c>
      <c r="S479" s="33" t="n">
        <f aca="false">IF(Q479="","",Q479-R479)</f>
        <v>0</v>
      </c>
      <c r="T479" s="33" t="n">
        <f aca="false">IF(S479="","",MAX(0,-S479))</f>
        <v>-0</v>
      </c>
      <c r="U479" s="33" t="n">
        <f aca="false">IF(S479="","",MAX(0,S479))</f>
        <v>0</v>
      </c>
      <c r="V479" s="11" t="str">
        <f aca="false">IF(J479="","NOT SCORED - NO JULY MONTHLY ROW",IF(OR(ABS(L479)&gt;0.005,ABS(O479)&gt;0.005,ABS(S479)&gt;0.005),"EXCEPTION","OK"))</f>
        <v>OK</v>
      </c>
      <c r="W479" s="11" t="s">
        <v>4681</v>
      </c>
      <c r="X479" s="11" t="s">
        <v>4099</v>
      </c>
      <c r="Y479" s="33" t="n">
        <f aca="false">K479*N479</f>
        <v>302</v>
      </c>
    </row>
    <row r="480" customFormat="false" ht="15" hidden="false" customHeight="false" outlineLevel="0" collapsed="false">
      <c r="A480" s="8" t="s">
        <v>4682</v>
      </c>
      <c r="B480" s="8" t="s">
        <v>224</v>
      </c>
      <c r="C480" s="8" t="s">
        <v>2829</v>
      </c>
      <c r="D480" s="8" t="s">
        <v>3089</v>
      </c>
      <c r="E480" s="8" t="s">
        <v>4683</v>
      </c>
      <c r="F480" s="8" t="s">
        <v>4684</v>
      </c>
      <c r="G480" s="8" t="s">
        <v>4685</v>
      </c>
      <c r="H480" s="8" t="n">
        <v>24</v>
      </c>
      <c r="I480" s="34" t="n">
        <v>46.9</v>
      </c>
      <c r="J480" s="34" t="n">
        <v>47</v>
      </c>
      <c r="K480" s="34" t="n">
        <f aca="false">MAX(ROUNDUP(I480,0),H480)</f>
        <v>47</v>
      </c>
      <c r="L480" s="34" t="n">
        <f aca="false">IF(J480="","",J480-K480)</f>
        <v>0</v>
      </c>
      <c r="M480" s="35" t="n">
        <v>7.55</v>
      </c>
      <c r="N480" s="35" t="n">
        <f aca="false">IF(C480="covered",10.4,7.55)</f>
        <v>7.55</v>
      </c>
      <c r="O480" s="35" t="n">
        <f aca="false">IF(M480="","",M480-N480)</f>
        <v>0</v>
      </c>
      <c r="P480" s="8" t="n">
        <v>1</v>
      </c>
      <c r="Q480" s="36" t="n">
        <v>354.85</v>
      </c>
      <c r="R480" s="36" t="n">
        <f aca="false">IF(OR(J480="",P480=""),"",K480*N480*P480)</f>
        <v>354.85</v>
      </c>
      <c r="S480" s="36" t="n">
        <f aca="false">IF(Q480="","",Q480-R480)</f>
        <v>0</v>
      </c>
      <c r="T480" s="36" t="n">
        <f aca="false">IF(S480="","",MAX(0,-S480))</f>
        <v>-0</v>
      </c>
      <c r="U480" s="36" t="n">
        <f aca="false">IF(S480="","",MAX(0,S480))</f>
        <v>0</v>
      </c>
      <c r="V480" s="8" t="str">
        <f aca="false">IF(J480="","NOT SCORED - NO JULY MONTHLY ROW",IF(OR(ABS(L480)&gt;0.005,ABS(O480)&gt;0.005,ABS(S480)&gt;0.005),"EXCEPTION","OK"))</f>
        <v>OK</v>
      </c>
      <c r="W480" s="8" t="s">
        <v>4686</v>
      </c>
      <c r="X480" s="8" t="s">
        <v>4099</v>
      </c>
      <c r="Y480" s="36" t="n">
        <f aca="false">K480*N480</f>
        <v>354.85</v>
      </c>
    </row>
    <row r="481" customFormat="false" ht="15" hidden="false" customHeight="false" outlineLevel="0" collapsed="false">
      <c r="A481" s="11" t="s">
        <v>4687</v>
      </c>
      <c r="B481" s="11" t="s">
        <v>224</v>
      </c>
      <c r="C481" s="11" t="s">
        <v>2829</v>
      </c>
      <c r="D481" s="11" t="s">
        <v>3094</v>
      </c>
      <c r="E481" s="11" t="s">
        <v>4688</v>
      </c>
      <c r="F481" s="11" t="s">
        <v>4689</v>
      </c>
      <c r="G481" s="11" t="s">
        <v>4690</v>
      </c>
      <c r="H481" s="11" t="n">
        <v>32</v>
      </c>
      <c r="I481" s="31" t="n">
        <v>54.4</v>
      </c>
      <c r="J481" s="31" t="n">
        <v>55</v>
      </c>
      <c r="K481" s="31" t="n">
        <f aca="false">MAX(ROUNDUP(I481,0),H481)</f>
        <v>55</v>
      </c>
      <c r="L481" s="31" t="n">
        <f aca="false">IF(J481="","",J481-K481)</f>
        <v>0</v>
      </c>
      <c r="M481" s="32" t="n">
        <v>7.55</v>
      </c>
      <c r="N481" s="32" t="n">
        <f aca="false">IF(C481="covered",10.4,7.55)</f>
        <v>7.55</v>
      </c>
      <c r="O481" s="32" t="n">
        <f aca="false">IF(M481="","",M481-N481)</f>
        <v>0</v>
      </c>
      <c r="P481" s="11" t="n">
        <v>1</v>
      </c>
      <c r="Q481" s="33" t="n">
        <v>415.25</v>
      </c>
      <c r="R481" s="33" t="n">
        <f aca="false">IF(OR(J481="",P481=""),"",K481*N481*P481)</f>
        <v>415.25</v>
      </c>
      <c r="S481" s="33" t="n">
        <f aca="false">IF(Q481="","",Q481-R481)</f>
        <v>0</v>
      </c>
      <c r="T481" s="33" t="n">
        <f aca="false">IF(S481="","",MAX(0,-S481))</f>
        <v>-0</v>
      </c>
      <c r="U481" s="33" t="n">
        <f aca="false">IF(S481="","",MAX(0,S481))</f>
        <v>0</v>
      </c>
      <c r="V481" s="11" t="str">
        <f aca="false">IF(J481="","NOT SCORED - NO JULY MONTHLY ROW",IF(OR(ABS(L481)&gt;0.005,ABS(O481)&gt;0.005,ABS(S481)&gt;0.005),"EXCEPTION","OK"))</f>
        <v>OK</v>
      </c>
      <c r="W481" s="11" t="s">
        <v>4691</v>
      </c>
      <c r="X481" s="11" t="s">
        <v>4099</v>
      </c>
      <c r="Y481" s="33" t="n">
        <f aca="false">K481*N481</f>
        <v>415.25</v>
      </c>
    </row>
    <row r="482" customFormat="false" ht="15" hidden="false" customHeight="false" outlineLevel="0" collapsed="false">
      <c r="A482" s="8" t="s">
        <v>4692</v>
      </c>
      <c r="B482" s="8" t="s">
        <v>224</v>
      </c>
      <c r="C482" s="8" t="s">
        <v>2829</v>
      </c>
      <c r="D482" s="8" t="s">
        <v>3099</v>
      </c>
      <c r="E482" s="8" t="s">
        <v>4693</v>
      </c>
      <c r="F482" s="8" t="s">
        <v>4694</v>
      </c>
      <c r="G482" s="8" t="s">
        <v>4179</v>
      </c>
      <c r="H482" s="8" t="n">
        <v>50</v>
      </c>
      <c r="I482" s="34" t="n">
        <v>53.3</v>
      </c>
      <c r="J482" s="34" t="n">
        <v>54</v>
      </c>
      <c r="K482" s="34" t="n">
        <f aca="false">MAX(ROUNDUP(I482,0),H482)</f>
        <v>54</v>
      </c>
      <c r="L482" s="34" t="n">
        <f aca="false">IF(J482="","",J482-K482)</f>
        <v>0</v>
      </c>
      <c r="M482" s="35" t="n">
        <v>7.55</v>
      </c>
      <c r="N482" s="35" t="n">
        <f aca="false">IF(C482="covered",10.4,7.55)</f>
        <v>7.55</v>
      </c>
      <c r="O482" s="35" t="n">
        <f aca="false">IF(M482="","",M482-N482)</f>
        <v>0</v>
      </c>
      <c r="P482" s="8" t="n">
        <v>1</v>
      </c>
      <c r="Q482" s="36" t="n">
        <v>407.7</v>
      </c>
      <c r="R482" s="36" t="n">
        <f aca="false">IF(OR(J482="",P482=""),"",K482*N482*P482)</f>
        <v>407.7</v>
      </c>
      <c r="S482" s="36" t="n">
        <f aca="false">IF(Q482="","",Q482-R482)</f>
        <v>0</v>
      </c>
      <c r="T482" s="36" t="n">
        <f aca="false">IF(S482="","",MAX(0,-S482))</f>
        <v>-0</v>
      </c>
      <c r="U482" s="36" t="n">
        <f aca="false">IF(S482="","",MAX(0,S482))</f>
        <v>0</v>
      </c>
      <c r="V482" s="8" t="str">
        <f aca="false">IF(J482="","NOT SCORED - NO JULY MONTHLY ROW",IF(OR(ABS(L482)&gt;0.005,ABS(O482)&gt;0.005,ABS(S482)&gt;0.005),"EXCEPTION","OK"))</f>
        <v>OK</v>
      </c>
      <c r="W482" s="8" t="s">
        <v>4695</v>
      </c>
      <c r="X482" s="8" t="s">
        <v>4099</v>
      </c>
      <c r="Y482" s="36" t="n">
        <f aca="false">K482*N482</f>
        <v>407.7</v>
      </c>
    </row>
    <row r="483" customFormat="false" ht="15" hidden="false" customHeight="false" outlineLevel="0" collapsed="false">
      <c r="A483" s="11" t="s">
        <v>4696</v>
      </c>
      <c r="B483" s="11" t="s">
        <v>224</v>
      </c>
      <c r="C483" s="11" t="s">
        <v>2829</v>
      </c>
      <c r="D483" s="11" t="s">
        <v>3979</v>
      </c>
      <c r="E483" s="11" t="s">
        <v>4697</v>
      </c>
      <c r="F483" s="11" t="s">
        <v>4698</v>
      </c>
      <c r="G483" s="11" t="s">
        <v>4699</v>
      </c>
      <c r="H483" s="11" t="n">
        <v>70</v>
      </c>
      <c r="I483" s="31" t="n">
        <v>35.8</v>
      </c>
      <c r="J483" s="31" t="n">
        <v>70</v>
      </c>
      <c r="K483" s="31" t="n">
        <f aca="false">MAX(ROUNDUP(I483,0),H483)</f>
        <v>70</v>
      </c>
      <c r="L483" s="31" t="n">
        <f aca="false">IF(J483="","",J483-K483)</f>
        <v>0</v>
      </c>
      <c r="M483" s="32" t="n">
        <v>7.55</v>
      </c>
      <c r="N483" s="32" t="n">
        <f aca="false">IF(C483="covered",10.4,7.55)</f>
        <v>7.55</v>
      </c>
      <c r="O483" s="32" t="n">
        <f aca="false">IF(M483="","",M483-N483)</f>
        <v>0</v>
      </c>
      <c r="P483" s="11" t="n">
        <v>1</v>
      </c>
      <c r="Q483" s="33" t="n">
        <v>528.5</v>
      </c>
      <c r="R483" s="33" t="n">
        <f aca="false">IF(OR(J483="",P483=""),"",K483*N483*P483)</f>
        <v>528.5</v>
      </c>
      <c r="S483" s="33" t="n">
        <f aca="false">IF(Q483="","",Q483-R483)</f>
        <v>0</v>
      </c>
      <c r="T483" s="33" t="n">
        <f aca="false">IF(S483="","",MAX(0,-S483))</f>
        <v>-0</v>
      </c>
      <c r="U483" s="33" t="n">
        <f aca="false">IF(S483="","",MAX(0,S483))</f>
        <v>0</v>
      </c>
      <c r="V483" s="11" t="str">
        <f aca="false">IF(J483="","NOT SCORED - NO JULY MONTHLY ROW",IF(OR(ABS(L483)&gt;0.005,ABS(O483)&gt;0.005,ABS(S483)&gt;0.005),"EXCEPTION","OK"))</f>
        <v>OK</v>
      </c>
      <c r="W483" s="11" t="s">
        <v>4700</v>
      </c>
      <c r="X483" s="11" t="s">
        <v>4099</v>
      </c>
      <c r="Y483" s="33" t="n">
        <f aca="false">K483*N483</f>
        <v>528.5</v>
      </c>
    </row>
    <row r="484" customFormat="false" ht="15" hidden="false" customHeight="false" outlineLevel="0" collapsed="false">
      <c r="A484" s="8" t="s">
        <v>4701</v>
      </c>
      <c r="B484" s="8" t="s">
        <v>224</v>
      </c>
      <c r="C484" s="8" t="s">
        <v>2829</v>
      </c>
      <c r="D484" s="8" t="s">
        <v>3983</v>
      </c>
      <c r="E484" s="8" t="s">
        <v>4702</v>
      </c>
      <c r="F484" s="8" t="s">
        <v>4703</v>
      </c>
      <c r="G484" s="8" t="s">
        <v>4704</v>
      </c>
      <c r="H484" s="8" t="n">
        <v>45</v>
      </c>
      <c r="I484" s="34" t="n">
        <v>22.3</v>
      </c>
      <c r="J484" s="34" t="n">
        <v>45</v>
      </c>
      <c r="K484" s="34" t="n">
        <f aca="false">MAX(ROUNDUP(I484,0),H484)</f>
        <v>45</v>
      </c>
      <c r="L484" s="34" t="n">
        <f aca="false">IF(J484="","",J484-K484)</f>
        <v>0</v>
      </c>
      <c r="M484" s="35" t="n">
        <v>7.55</v>
      </c>
      <c r="N484" s="35" t="n">
        <f aca="false">IF(C484="covered",10.4,7.55)</f>
        <v>7.55</v>
      </c>
      <c r="O484" s="35" t="n">
        <f aca="false">IF(M484="","",M484-N484)</f>
        <v>0</v>
      </c>
      <c r="P484" s="8" t="n">
        <v>1</v>
      </c>
      <c r="Q484" s="36" t="n">
        <v>339.75</v>
      </c>
      <c r="R484" s="36" t="n">
        <f aca="false">IF(OR(J484="",P484=""),"",K484*N484*P484)</f>
        <v>339.75</v>
      </c>
      <c r="S484" s="36" t="n">
        <f aca="false">IF(Q484="","",Q484-R484)</f>
        <v>0</v>
      </c>
      <c r="T484" s="36" t="n">
        <f aca="false">IF(S484="","",MAX(0,-S484))</f>
        <v>-0</v>
      </c>
      <c r="U484" s="36" t="n">
        <f aca="false">IF(S484="","",MAX(0,S484))</f>
        <v>0</v>
      </c>
      <c r="V484" s="8" t="str">
        <f aca="false">IF(J484="","NOT SCORED - NO JULY MONTHLY ROW",IF(OR(ABS(L484)&gt;0.005,ABS(O484)&gt;0.005,ABS(S484)&gt;0.005),"EXCEPTION","OK"))</f>
        <v>OK</v>
      </c>
      <c r="W484" s="8" t="s">
        <v>4705</v>
      </c>
      <c r="X484" s="8" t="s">
        <v>4099</v>
      </c>
      <c r="Y484" s="36" t="n">
        <f aca="false">K484*N484</f>
        <v>339.75</v>
      </c>
    </row>
    <row r="485" customFormat="false" ht="15" hidden="false" customHeight="false" outlineLevel="0" collapsed="false">
      <c r="A485" s="11" t="s">
        <v>4706</v>
      </c>
      <c r="B485" s="11" t="s">
        <v>224</v>
      </c>
      <c r="C485" s="11" t="s">
        <v>2829</v>
      </c>
      <c r="D485" s="11" t="s">
        <v>3104</v>
      </c>
      <c r="E485" s="11" t="s">
        <v>4707</v>
      </c>
      <c r="F485" s="11" t="s">
        <v>4708</v>
      </c>
      <c r="G485" s="11" t="s">
        <v>4516</v>
      </c>
      <c r="H485" s="11" t="n">
        <v>70</v>
      </c>
      <c r="I485" s="31" t="n">
        <v>53.3</v>
      </c>
      <c r="J485" s="31" t="n">
        <v>70</v>
      </c>
      <c r="K485" s="31" t="n">
        <f aca="false">MAX(ROUNDUP(I485,0),H485)</f>
        <v>70</v>
      </c>
      <c r="L485" s="31" t="n">
        <f aca="false">IF(J485="","",J485-K485)</f>
        <v>0</v>
      </c>
      <c r="M485" s="32" t="n">
        <v>7.55</v>
      </c>
      <c r="N485" s="32" t="n">
        <f aca="false">IF(C485="covered",10.4,7.55)</f>
        <v>7.55</v>
      </c>
      <c r="O485" s="32" t="n">
        <f aca="false">IF(M485="","",M485-N485)</f>
        <v>0</v>
      </c>
      <c r="P485" s="11" t="n">
        <v>1</v>
      </c>
      <c r="Q485" s="33" t="n">
        <v>528.5</v>
      </c>
      <c r="R485" s="33" t="n">
        <f aca="false">IF(OR(J485="",P485=""),"",K485*N485*P485)</f>
        <v>528.5</v>
      </c>
      <c r="S485" s="33" t="n">
        <f aca="false">IF(Q485="","",Q485-R485)</f>
        <v>0</v>
      </c>
      <c r="T485" s="33" t="n">
        <f aca="false">IF(S485="","",MAX(0,-S485))</f>
        <v>-0</v>
      </c>
      <c r="U485" s="33" t="n">
        <f aca="false">IF(S485="","",MAX(0,S485))</f>
        <v>0</v>
      </c>
      <c r="V485" s="11" t="str">
        <f aca="false">IF(J485="","NOT SCORED - NO JULY MONTHLY ROW",IF(OR(ABS(L485)&gt;0.005,ABS(O485)&gt;0.005,ABS(S485)&gt;0.005),"EXCEPTION","OK"))</f>
        <v>OK</v>
      </c>
      <c r="W485" s="11" t="s">
        <v>4709</v>
      </c>
      <c r="X485" s="11" t="s">
        <v>4099</v>
      </c>
      <c r="Y485" s="33" t="n">
        <f aca="false">K485*N485</f>
        <v>528.5</v>
      </c>
    </row>
    <row r="486" customFormat="false" ht="15" hidden="false" customHeight="false" outlineLevel="0" collapsed="false">
      <c r="A486" s="8" t="s">
        <v>4710</v>
      </c>
      <c r="B486" s="8" t="s">
        <v>224</v>
      </c>
      <c r="C486" s="8" t="s">
        <v>2829</v>
      </c>
      <c r="D486" s="8" t="s">
        <v>3109</v>
      </c>
      <c r="E486" s="8" t="s">
        <v>1420</v>
      </c>
      <c r="F486" s="8" t="s">
        <v>1421</v>
      </c>
      <c r="G486" s="8" t="s">
        <v>3622</v>
      </c>
      <c r="H486" s="8" t="n">
        <v>28</v>
      </c>
      <c r="I486" s="34" t="n">
        <v>56.4</v>
      </c>
      <c r="J486" s="34" t="n">
        <v>57</v>
      </c>
      <c r="K486" s="34" t="n">
        <f aca="false">MAX(ROUNDUP(I486,0),H486)</f>
        <v>57</v>
      </c>
      <c r="L486" s="34" t="n">
        <f aca="false">IF(J486="","",J486-K486)</f>
        <v>0</v>
      </c>
      <c r="M486" s="35" t="n">
        <v>7.55</v>
      </c>
      <c r="N486" s="35" t="n">
        <f aca="false">IF(C486="covered",10.4,7.55)</f>
        <v>7.55</v>
      </c>
      <c r="O486" s="35" t="n">
        <f aca="false">IF(M486="","",M486-N486)</f>
        <v>0</v>
      </c>
      <c r="P486" s="8" t="n">
        <v>1</v>
      </c>
      <c r="Q486" s="36" t="n">
        <v>430.35</v>
      </c>
      <c r="R486" s="36" t="n">
        <f aca="false">IF(OR(J486="",P486=""),"",K486*N486*P486)</f>
        <v>430.35</v>
      </c>
      <c r="S486" s="36" t="n">
        <f aca="false">IF(Q486="","",Q486-R486)</f>
        <v>0</v>
      </c>
      <c r="T486" s="36" t="n">
        <f aca="false">IF(S486="","",MAX(0,-S486))</f>
        <v>-0</v>
      </c>
      <c r="U486" s="36" t="n">
        <f aca="false">IF(S486="","",MAX(0,S486))</f>
        <v>0</v>
      </c>
      <c r="V486" s="8" t="str">
        <f aca="false">IF(J486="","NOT SCORED - NO JULY MONTHLY ROW",IF(OR(ABS(L486)&gt;0.005,ABS(O486)&gt;0.005,ABS(S486)&gt;0.005),"EXCEPTION","OK"))</f>
        <v>OK</v>
      </c>
      <c r="W486" s="8" t="s">
        <v>4711</v>
      </c>
      <c r="X486" s="8" t="s">
        <v>4099</v>
      </c>
      <c r="Y486" s="36" t="n">
        <f aca="false">K486*N486</f>
        <v>430.35</v>
      </c>
    </row>
    <row r="487" customFormat="false" ht="15" hidden="false" customHeight="false" outlineLevel="0" collapsed="false">
      <c r="A487" s="11" t="s">
        <v>794</v>
      </c>
      <c r="B487" s="11" t="s">
        <v>224</v>
      </c>
      <c r="C487" s="11" t="s">
        <v>2829</v>
      </c>
      <c r="D487" s="11" t="s">
        <v>3114</v>
      </c>
      <c r="E487" s="11" t="s">
        <v>4712</v>
      </c>
      <c r="F487" s="11" t="s">
        <v>4713</v>
      </c>
      <c r="G487" s="11" t="s">
        <v>4575</v>
      </c>
      <c r="H487" s="11" t="n">
        <v>32</v>
      </c>
      <c r="I487" s="31" t="n">
        <v>22.4</v>
      </c>
      <c r="J487" s="31" t="n">
        <v>32</v>
      </c>
      <c r="K487" s="31" t="n">
        <f aca="false">MAX(ROUNDUP(I487,0),H487)</f>
        <v>32</v>
      </c>
      <c r="L487" s="31" t="n">
        <f aca="false">IF(J487="","",J487-K487)</f>
        <v>0</v>
      </c>
      <c r="M487" s="32" t="n">
        <v>7.55</v>
      </c>
      <c r="N487" s="32" t="n">
        <f aca="false">IF(C487="covered",10.4,7.55)</f>
        <v>7.55</v>
      </c>
      <c r="O487" s="32" t="n">
        <f aca="false">IF(M487="","",M487-N487)</f>
        <v>0</v>
      </c>
      <c r="P487" s="11" t="n">
        <v>1</v>
      </c>
      <c r="Q487" s="33" t="n">
        <v>241.6</v>
      </c>
      <c r="R487" s="33" t="n">
        <f aca="false">IF(OR(J487="",P487=""),"",K487*N487*P487)</f>
        <v>241.6</v>
      </c>
      <c r="S487" s="33" t="n">
        <f aca="false">IF(Q487="","",Q487-R487)</f>
        <v>0</v>
      </c>
      <c r="T487" s="33" t="n">
        <f aca="false">IF(S487="","",MAX(0,-S487))</f>
        <v>-0</v>
      </c>
      <c r="U487" s="33" t="n">
        <f aca="false">IF(S487="","",MAX(0,S487))</f>
        <v>0</v>
      </c>
      <c r="V487" s="11" t="str">
        <f aca="false">IF(J487="","NOT SCORED - NO JULY MONTHLY ROW",IF(OR(ABS(L487)&gt;0.005,ABS(O487)&gt;0.005,ABS(S487)&gt;0.005),"EXCEPTION","OK"))</f>
        <v>OK</v>
      </c>
      <c r="W487" s="11" t="s">
        <v>4714</v>
      </c>
      <c r="X487" s="11" t="s">
        <v>4099</v>
      </c>
      <c r="Y487" s="33" t="n">
        <f aca="false">K487*N487</f>
        <v>241.6</v>
      </c>
    </row>
    <row r="488" customFormat="false" ht="15" hidden="false" customHeight="false" outlineLevel="0" collapsed="false">
      <c r="A488" s="8" t="s">
        <v>4715</v>
      </c>
      <c r="B488" s="8" t="s">
        <v>224</v>
      </c>
      <c r="C488" s="8" t="s">
        <v>2829</v>
      </c>
      <c r="D488" s="8" t="s">
        <v>3119</v>
      </c>
      <c r="E488" s="8" t="s">
        <v>2712</v>
      </c>
      <c r="F488" s="8" t="s">
        <v>4716</v>
      </c>
      <c r="G488" s="8" t="s">
        <v>4717</v>
      </c>
      <c r="H488" s="8" t="n">
        <v>28</v>
      </c>
      <c r="I488" s="34" t="n">
        <v>59</v>
      </c>
      <c r="J488" s="34" t="n">
        <v>59</v>
      </c>
      <c r="K488" s="34" t="n">
        <f aca="false">MAX(ROUNDUP(I488,0),H488)</f>
        <v>59</v>
      </c>
      <c r="L488" s="34" t="n">
        <f aca="false">IF(J488="","",J488-K488)</f>
        <v>0</v>
      </c>
      <c r="M488" s="35" t="n">
        <v>7.55</v>
      </c>
      <c r="N488" s="35" t="n">
        <f aca="false">IF(C488="covered",10.4,7.55)</f>
        <v>7.55</v>
      </c>
      <c r="O488" s="35" t="n">
        <f aca="false">IF(M488="","",M488-N488)</f>
        <v>0</v>
      </c>
      <c r="P488" s="8" t="n">
        <v>1</v>
      </c>
      <c r="Q488" s="36" t="n">
        <v>445.45</v>
      </c>
      <c r="R488" s="36" t="n">
        <f aca="false">IF(OR(J488="",P488=""),"",K488*N488*P488)</f>
        <v>445.45</v>
      </c>
      <c r="S488" s="36" t="n">
        <f aca="false">IF(Q488="","",Q488-R488)</f>
        <v>0</v>
      </c>
      <c r="T488" s="36" t="n">
        <f aca="false">IF(S488="","",MAX(0,-S488))</f>
        <v>-0</v>
      </c>
      <c r="U488" s="36" t="n">
        <f aca="false">IF(S488="","",MAX(0,S488))</f>
        <v>0</v>
      </c>
      <c r="V488" s="8" t="str">
        <f aca="false">IF(J488="","NOT SCORED - NO JULY MONTHLY ROW",IF(OR(ABS(L488)&gt;0.005,ABS(O488)&gt;0.005,ABS(S488)&gt;0.005),"EXCEPTION","OK"))</f>
        <v>OK</v>
      </c>
      <c r="W488" s="8" t="s">
        <v>4718</v>
      </c>
      <c r="X488" s="8" t="s">
        <v>4099</v>
      </c>
      <c r="Y488" s="36" t="n">
        <f aca="false">K488*N488</f>
        <v>445.45</v>
      </c>
    </row>
    <row r="489" customFormat="false" ht="15" hidden="false" customHeight="false" outlineLevel="0" collapsed="false">
      <c r="A489" s="11" t="s">
        <v>4719</v>
      </c>
      <c r="B489" s="11" t="s">
        <v>224</v>
      </c>
      <c r="C489" s="11" t="s">
        <v>2829</v>
      </c>
      <c r="D489" s="11" t="s">
        <v>3124</v>
      </c>
      <c r="E489" s="11" t="s">
        <v>4720</v>
      </c>
      <c r="F489" s="11" t="s">
        <v>4721</v>
      </c>
      <c r="G489" s="11" t="s">
        <v>3992</v>
      </c>
      <c r="H489" s="11" t="n">
        <v>36</v>
      </c>
      <c r="I489" s="31" t="n">
        <v>33.5</v>
      </c>
      <c r="J489" s="31" t="n">
        <v>36</v>
      </c>
      <c r="K489" s="31" t="n">
        <f aca="false">MAX(ROUNDUP(I489,0),H489)</f>
        <v>36</v>
      </c>
      <c r="L489" s="31" t="n">
        <f aca="false">IF(J489="","",J489-K489)</f>
        <v>0</v>
      </c>
      <c r="M489" s="32" t="n">
        <v>7.55</v>
      </c>
      <c r="N489" s="32" t="n">
        <f aca="false">IF(C489="covered",10.4,7.55)</f>
        <v>7.55</v>
      </c>
      <c r="O489" s="32" t="n">
        <f aca="false">IF(M489="","",M489-N489)</f>
        <v>0</v>
      </c>
      <c r="P489" s="11" t="n">
        <v>1</v>
      </c>
      <c r="Q489" s="33" t="n">
        <v>271.8</v>
      </c>
      <c r="R489" s="33" t="n">
        <f aca="false">IF(OR(J489="",P489=""),"",K489*N489*P489)</f>
        <v>271.8</v>
      </c>
      <c r="S489" s="33" t="n">
        <f aca="false">IF(Q489="","",Q489-R489)</f>
        <v>0</v>
      </c>
      <c r="T489" s="33" t="n">
        <f aca="false">IF(S489="","",MAX(0,-S489))</f>
        <v>-0</v>
      </c>
      <c r="U489" s="33" t="n">
        <f aca="false">IF(S489="","",MAX(0,S489))</f>
        <v>0</v>
      </c>
      <c r="V489" s="11" t="str">
        <f aca="false">IF(J489="","NOT SCORED - NO JULY MONTHLY ROW",IF(OR(ABS(L489)&gt;0.005,ABS(O489)&gt;0.005,ABS(S489)&gt;0.005),"EXCEPTION","OK"))</f>
        <v>OK</v>
      </c>
      <c r="W489" s="11" t="s">
        <v>4722</v>
      </c>
      <c r="X489" s="11" t="s">
        <v>4099</v>
      </c>
      <c r="Y489" s="33" t="n">
        <f aca="false">K489*N489</f>
        <v>271.8</v>
      </c>
    </row>
    <row r="490" customFormat="false" ht="15" hidden="false" customHeight="false" outlineLevel="0" collapsed="false">
      <c r="A490" s="8" t="s">
        <v>4723</v>
      </c>
      <c r="B490" s="8" t="s">
        <v>224</v>
      </c>
      <c r="C490" s="8" t="s">
        <v>2829</v>
      </c>
      <c r="D490" s="8" t="s">
        <v>3129</v>
      </c>
      <c r="E490" s="8" t="s">
        <v>4724</v>
      </c>
      <c r="F490" s="8" t="s">
        <v>4725</v>
      </c>
      <c r="G490" s="8" t="s">
        <v>4726</v>
      </c>
      <c r="H490" s="8" t="n">
        <v>28</v>
      </c>
      <c r="I490" s="34" t="n">
        <v>29.3</v>
      </c>
      <c r="J490" s="34" t="n">
        <v>30</v>
      </c>
      <c r="K490" s="34" t="n">
        <f aca="false">MAX(ROUNDUP(I490,0),H490)</f>
        <v>30</v>
      </c>
      <c r="L490" s="34" t="n">
        <f aca="false">IF(J490="","",J490-K490)</f>
        <v>0</v>
      </c>
      <c r="M490" s="35" t="n">
        <v>7.55</v>
      </c>
      <c r="N490" s="35" t="n">
        <f aca="false">IF(C490="covered",10.4,7.55)</f>
        <v>7.55</v>
      </c>
      <c r="O490" s="35" t="n">
        <f aca="false">IF(M490="","",M490-N490)</f>
        <v>0</v>
      </c>
      <c r="P490" s="8" t="n">
        <v>1</v>
      </c>
      <c r="Q490" s="36" t="n">
        <v>226.5</v>
      </c>
      <c r="R490" s="36" t="n">
        <f aca="false">IF(OR(J490="",P490=""),"",K490*N490*P490)</f>
        <v>226.5</v>
      </c>
      <c r="S490" s="36" t="n">
        <f aca="false">IF(Q490="","",Q490-R490)</f>
        <v>0</v>
      </c>
      <c r="T490" s="36" t="n">
        <f aca="false">IF(S490="","",MAX(0,-S490))</f>
        <v>-0</v>
      </c>
      <c r="U490" s="36" t="n">
        <f aca="false">IF(S490="","",MAX(0,S490))</f>
        <v>0</v>
      </c>
      <c r="V490" s="8" t="str">
        <f aca="false">IF(J490="","NOT SCORED - NO JULY MONTHLY ROW",IF(OR(ABS(L490)&gt;0.005,ABS(O490)&gt;0.005,ABS(S490)&gt;0.005),"EXCEPTION","OK"))</f>
        <v>OK</v>
      </c>
      <c r="W490" s="8" t="s">
        <v>4727</v>
      </c>
      <c r="X490" s="8" t="s">
        <v>4099</v>
      </c>
      <c r="Y490" s="36" t="n">
        <f aca="false">K490*N490</f>
        <v>226.5</v>
      </c>
    </row>
    <row r="491" customFormat="false" ht="15" hidden="false" customHeight="false" outlineLevel="0" collapsed="false">
      <c r="A491" s="11" t="s">
        <v>4728</v>
      </c>
      <c r="B491" s="11" t="s">
        <v>224</v>
      </c>
      <c r="C491" s="11" t="s">
        <v>2829</v>
      </c>
      <c r="D491" s="11" t="s">
        <v>3134</v>
      </c>
      <c r="E491" s="11" t="s">
        <v>4729</v>
      </c>
      <c r="F491" s="11" t="s">
        <v>4730</v>
      </c>
      <c r="G491" s="11" t="s">
        <v>4204</v>
      </c>
      <c r="H491" s="11" t="n">
        <v>80</v>
      </c>
      <c r="I491" s="31" t="n">
        <v>49.7</v>
      </c>
      <c r="J491" s="31" t="n">
        <v>80</v>
      </c>
      <c r="K491" s="31" t="n">
        <f aca="false">MAX(ROUNDUP(I491,0),H491)</f>
        <v>80</v>
      </c>
      <c r="L491" s="31" t="n">
        <f aca="false">IF(J491="","",J491-K491)</f>
        <v>0</v>
      </c>
      <c r="M491" s="32" t="n">
        <v>7.55</v>
      </c>
      <c r="N491" s="32" t="n">
        <f aca="false">IF(C491="covered",10.4,7.55)</f>
        <v>7.55</v>
      </c>
      <c r="O491" s="32" t="n">
        <f aca="false">IF(M491="","",M491-N491)</f>
        <v>0</v>
      </c>
      <c r="P491" s="11" t="n">
        <v>1</v>
      </c>
      <c r="Q491" s="33" t="n">
        <v>604</v>
      </c>
      <c r="R491" s="33" t="n">
        <f aca="false">IF(OR(J491="",P491=""),"",K491*N491*P491)</f>
        <v>604</v>
      </c>
      <c r="S491" s="33" t="n">
        <f aca="false">IF(Q491="","",Q491-R491)</f>
        <v>0</v>
      </c>
      <c r="T491" s="33" t="n">
        <f aca="false">IF(S491="","",MAX(0,-S491))</f>
        <v>-0</v>
      </c>
      <c r="U491" s="33" t="n">
        <f aca="false">IF(S491="","",MAX(0,S491))</f>
        <v>0</v>
      </c>
      <c r="V491" s="11" t="str">
        <f aca="false">IF(J491="","NOT SCORED - NO JULY MONTHLY ROW",IF(OR(ABS(L491)&gt;0.005,ABS(O491)&gt;0.005,ABS(S491)&gt;0.005),"EXCEPTION","OK"))</f>
        <v>OK</v>
      </c>
      <c r="W491" s="11" t="s">
        <v>4731</v>
      </c>
      <c r="X491" s="11" t="s">
        <v>4099</v>
      </c>
      <c r="Y491" s="33" t="n">
        <f aca="false">K491*N491</f>
        <v>604</v>
      </c>
    </row>
    <row r="492" customFormat="false" ht="15" hidden="false" customHeight="false" outlineLevel="0" collapsed="false">
      <c r="A492" s="8" t="s">
        <v>4732</v>
      </c>
      <c r="B492" s="8" t="s">
        <v>224</v>
      </c>
      <c r="C492" s="8" t="s">
        <v>2829</v>
      </c>
      <c r="D492" s="8" t="s">
        <v>3139</v>
      </c>
      <c r="E492" s="8" t="s">
        <v>4733</v>
      </c>
      <c r="F492" s="8" t="s">
        <v>4734</v>
      </c>
      <c r="G492" s="8" t="s">
        <v>4240</v>
      </c>
      <c r="H492" s="8" t="n">
        <v>70</v>
      </c>
      <c r="I492" s="34" t="n">
        <v>58.3</v>
      </c>
      <c r="J492" s="34" t="n">
        <v>70</v>
      </c>
      <c r="K492" s="34" t="n">
        <f aca="false">MAX(ROUNDUP(I492,0),H492)</f>
        <v>70</v>
      </c>
      <c r="L492" s="34" t="n">
        <f aca="false">IF(J492="","",J492-K492)</f>
        <v>0</v>
      </c>
      <c r="M492" s="35" t="n">
        <v>7.55</v>
      </c>
      <c r="N492" s="35" t="n">
        <f aca="false">IF(C492="covered",10.4,7.55)</f>
        <v>7.55</v>
      </c>
      <c r="O492" s="35" t="n">
        <f aca="false">IF(M492="","",M492-N492)</f>
        <v>0</v>
      </c>
      <c r="P492" s="8" t="n">
        <v>1</v>
      </c>
      <c r="Q492" s="36" t="n">
        <v>528.5</v>
      </c>
      <c r="R492" s="36" t="n">
        <f aca="false">IF(OR(J492="",P492=""),"",K492*N492*P492)</f>
        <v>528.5</v>
      </c>
      <c r="S492" s="36" t="n">
        <f aca="false">IF(Q492="","",Q492-R492)</f>
        <v>0</v>
      </c>
      <c r="T492" s="36" t="n">
        <f aca="false">IF(S492="","",MAX(0,-S492))</f>
        <v>-0</v>
      </c>
      <c r="U492" s="36" t="n">
        <f aca="false">IF(S492="","",MAX(0,S492))</f>
        <v>0</v>
      </c>
      <c r="V492" s="8" t="str">
        <f aca="false">IF(J492="","NOT SCORED - NO JULY MONTHLY ROW",IF(OR(ABS(L492)&gt;0.005,ABS(O492)&gt;0.005,ABS(S492)&gt;0.005),"EXCEPTION","OK"))</f>
        <v>OK</v>
      </c>
      <c r="W492" s="8" t="s">
        <v>4735</v>
      </c>
      <c r="X492" s="8" t="s">
        <v>4099</v>
      </c>
      <c r="Y492" s="36" t="n">
        <f aca="false">K492*N492</f>
        <v>528.5</v>
      </c>
    </row>
    <row r="493" customFormat="false" ht="15" hidden="false" customHeight="false" outlineLevel="0" collapsed="false">
      <c r="A493" s="11" t="s">
        <v>4736</v>
      </c>
      <c r="B493" s="11" t="s">
        <v>224</v>
      </c>
      <c r="C493" s="11" t="s">
        <v>2829</v>
      </c>
      <c r="D493" s="11" t="s">
        <v>3143</v>
      </c>
      <c r="E493" s="11" t="s">
        <v>4737</v>
      </c>
      <c r="F493" s="11" t="s">
        <v>4738</v>
      </c>
      <c r="G493" s="11" t="s">
        <v>4027</v>
      </c>
      <c r="H493" s="11" t="n">
        <v>28</v>
      </c>
      <c r="I493" s="31" t="n">
        <v>26.3</v>
      </c>
      <c r="J493" s="31" t="n">
        <v>28</v>
      </c>
      <c r="K493" s="31" t="n">
        <f aca="false">MAX(ROUNDUP(I493,0),H493)</f>
        <v>28</v>
      </c>
      <c r="L493" s="31" t="n">
        <f aca="false">IF(J493="","",J493-K493)</f>
        <v>0</v>
      </c>
      <c r="M493" s="32" t="n">
        <v>7.55</v>
      </c>
      <c r="N493" s="32" t="n">
        <f aca="false">IF(C493="covered",10.4,7.55)</f>
        <v>7.55</v>
      </c>
      <c r="O493" s="32" t="n">
        <f aca="false">IF(M493="","",M493-N493)</f>
        <v>0</v>
      </c>
      <c r="P493" s="11" t="n">
        <v>1</v>
      </c>
      <c r="Q493" s="33" t="n">
        <v>211.4</v>
      </c>
      <c r="R493" s="33" t="n">
        <f aca="false">IF(OR(J493="",P493=""),"",K493*N493*P493)</f>
        <v>211.4</v>
      </c>
      <c r="S493" s="33" t="n">
        <f aca="false">IF(Q493="","",Q493-R493)</f>
        <v>0</v>
      </c>
      <c r="T493" s="33" t="n">
        <f aca="false">IF(S493="","",MAX(0,-S493))</f>
        <v>-0</v>
      </c>
      <c r="U493" s="33" t="n">
        <f aca="false">IF(S493="","",MAX(0,S493))</f>
        <v>0</v>
      </c>
      <c r="V493" s="11" t="str">
        <f aca="false">IF(J493="","NOT SCORED - NO JULY MONTHLY ROW",IF(OR(ABS(L493)&gt;0.005,ABS(O493)&gt;0.005,ABS(S493)&gt;0.005),"EXCEPTION","OK"))</f>
        <v>OK</v>
      </c>
      <c r="W493" s="11" t="s">
        <v>4739</v>
      </c>
      <c r="X493" s="11" t="s">
        <v>4099</v>
      </c>
      <c r="Y493" s="33" t="n">
        <f aca="false">K493*N493</f>
        <v>211.4</v>
      </c>
    </row>
    <row r="494" customFormat="false" ht="15" hidden="false" customHeight="false" outlineLevel="0" collapsed="false">
      <c r="A494" s="8" t="s">
        <v>4740</v>
      </c>
      <c r="B494" s="8" t="s">
        <v>224</v>
      </c>
      <c r="C494" s="8" t="s">
        <v>2829</v>
      </c>
      <c r="D494" s="8" t="s">
        <v>3146</v>
      </c>
      <c r="E494" s="8" t="s">
        <v>1213</v>
      </c>
      <c r="F494" s="8" t="s">
        <v>1214</v>
      </c>
      <c r="G494" s="8" t="s">
        <v>3426</v>
      </c>
      <c r="H494" s="8" t="n">
        <v>70</v>
      </c>
      <c r="I494" s="34" t="n">
        <v>61</v>
      </c>
      <c r="J494" s="34" t="n">
        <v>70</v>
      </c>
      <c r="K494" s="34" t="n">
        <f aca="false">MAX(ROUNDUP(I494,0),H494)</f>
        <v>70</v>
      </c>
      <c r="L494" s="34" t="n">
        <f aca="false">IF(J494="","",J494-K494)</f>
        <v>0</v>
      </c>
      <c r="M494" s="35" t="n">
        <v>7.55</v>
      </c>
      <c r="N494" s="35" t="n">
        <f aca="false">IF(C494="covered",10.4,7.55)</f>
        <v>7.55</v>
      </c>
      <c r="O494" s="35" t="n">
        <f aca="false">IF(M494="","",M494-N494)</f>
        <v>0</v>
      </c>
      <c r="P494" s="8" t="n">
        <v>1</v>
      </c>
      <c r="Q494" s="36" t="n">
        <v>528.5</v>
      </c>
      <c r="R494" s="36" t="n">
        <f aca="false">IF(OR(J494="",P494=""),"",K494*N494*P494)</f>
        <v>528.5</v>
      </c>
      <c r="S494" s="36" t="n">
        <f aca="false">IF(Q494="","",Q494-R494)</f>
        <v>0</v>
      </c>
      <c r="T494" s="36" t="n">
        <f aca="false">IF(S494="","",MAX(0,-S494))</f>
        <v>-0</v>
      </c>
      <c r="U494" s="36" t="n">
        <f aca="false">IF(S494="","",MAX(0,S494))</f>
        <v>0</v>
      </c>
      <c r="V494" s="8" t="str">
        <f aca="false">IF(J494="","NOT SCORED - NO JULY MONTHLY ROW",IF(OR(ABS(L494)&gt;0.005,ABS(O494)&gt;0.005,ABS(S494)&gt;0.005),"EXCEPTION","OK"))</f>
        <v>OK</v>
      </c>
      <c r="W494" s="8" t="s">
        <v>4741</v>
      </c>
      <c r="X494" s="8" t="s">
        <v>4099</v>
      </c>
      <c r="Y494" s="36" t="n">
        <f aca="false">K494*N494</f>
        <v>528.5</v>
      </c>
    </row>
    <row r="495" customFormat="false" ht="15" hidden="false" customHeight="false" outlineLevel="0" collapsed="false">
      <c r="A495" s="11" t="s">
        <v>4742</v>
      </c>
      <c r="B495" s="11" t="s">
        <v>224</v>
      </c>
      <c r="C495" s="11" t="s">
        <v>2829</v>
      </c>
      <c r="D495" s="11" t="s">
        <v>3151</v>
      </c>
      <c r="E495" s="11" t="s">
        <v>2674</v>
      </c>
      <c r="F495" s="11" t="s">
        <v>4743</v>
      </c>
      <c r="G495" s="11" t="s">
        <v>3240</v>
      </c>
      <c r="H495" s="11" t="n">
        <v>28</v>
      </c>
      <c r="I495" s="31" t="n">
        <v>26.4</v>
      </c>
      <c r="J495" s="31" t="n">
        <v>28</v>
      </c>
      <c r="K495" s="31" t="n">
        <f aca="false">MAX(ROUNDUP(I495,0),H495)</f>
        <v>28</v>
      </c>
      <c r="L495" s="31" t="n">
        <f aca="false">IF(J495="","",J495-K495)</f>
        <v>0</v>
      </c>
      <c r="M495" s="32" t="n">
        <v>7.55</v>
      </c>
      <c r="N495" s="32" t="n">
        <f aca="false">IF(C495="covered",10.4,7.55)</f>
        <v>7.55</v>
      </c>
      <c r="O495" s="32" t="n">
        <f aca="false">IF(M495="","",M495-N495)</f>
        <v>0</v>
      </c>
      <c r="P495" s="11" t="n">
        <v>1</v>
      </c>
      <c r="Q495" s="33" t="n">
        <v>211.4</v>
      </c>
      <c r="R495" s="33" t="n">
        <f aca="false">IF(OR(J495="",P495=""),"",K495*N495*P495)</f>
        <v>211.4</v>
      </c>
      <c r="S495" s="33" t="n">
        <f aca="false">IF(Q495="","",Q495-R495)</f>
        <v>0</v>
      </c>
      <c r="T495" s="33" t="n">
        <f aca="false">IF(S495="","",MAX(0,-S495))</f>
        <v>-0</v>
      </c>
      <c r="U495" s="33" t="n">
        <f aca="false">IF(S495="","",MAX(0,S495))</f>
        <v>0</v>
      </c>
      <c r="V495" s="11" t="str">
        <f aca="false">IF(J495="","NOT SCORED - NO JULY MONTHLY ROW",IF(OR(ABS(L495)&gt;0.005,ABS(O495)&gt;0.005,ABS(S495)&gt;0.005),"EXCEPTION","OK"))</f>
        <v>OK</v>
      </c>
      <c r="W495" s="11" t="s">
        <v>4744</v>
      </c>
      <c r="X495" s="11" t="s">
        <v>4099</v>
      </c>
      <c r="Y495" s="33" t="n">
        <f aca="false">K495*N495</f>
        <v>211.4</v>
      </c>
    </row>
    <row r="496" customFormat="false" ht="15" hidden="false" customHeight="false" outlineLevel="0" collapsed="false">
      <c r="A496" s="8" t="s">
        <v>1757</v>
      </c>
      <c r="B496" s="8" t="s">
        <v>224</v>
      </c>
      <c r="C496" s="8" t="s">
        <v>2829</v>
      </c>
      <c r="D496" s="8" t="s">
        <v>3153</v>
      </c>
      <c r="E496" s="8" t="s">
        <v>4745</v>
      </c>
      <c r="F496" s="8" t="s">
        <v>4746</v>
      </c>
      <c r="G496" s="8" t="s">
        <v>4747</v>
      </c>
      <c r="H496" s="8" t="n">
        <v>45</v>
      </c>
      <c r="I496" s="34" t="n">
        <v>54.3</v>
      </c>
      <c r="J496" s="34" t="n">
        <v>55</v>
      </c>
      <c r="K496" s="34" t="n">
        <f aca="false">MAX(ROUNDUP(I496,0),H496)</f>
        <v>55</v>
      </c>
      <c r="L496" s="34" t="n">
        <f aca="false">IF(J496="","",J496-K496)</f>
        <v>0</v>
      </c>
      <c r="M496" s="35" t="n">
        <v>7.55</v>
      </c>
      <c r="N496" s="35" t="n">
        <f aca="false">IF(C496="covered",10.4,7.55)</f>
        <v>7.55</v>
      </c>
      <c r="O496" s="35" t="n">
        <f aca="false">IF(M496="","",M496-N496)</f>
        <v>0</v>
      </c>
      <c r="P496" s="8" t="n">
        <v>1</v>
      </c>
      <c r="Q496" s="36" t="n">
        <v>415.25</v>
      </c>
      <c r="R496" s="36" t="n">
        <f aca="false">IF(OR(J496="",P496=""),"",K496*N496*P496)</f>
        <v>415.25</v>
      </c>
      <c r="S496" s="36" t="n">
        <f aca="false">IF(Q496="","",Q496-R496)</f>
        <v>0</v>
      </c>
      <c r="T496" s="36" t="n">
        <f aca="false">IF(S496="","",MAX(0,-S496))</f>
        <v>-0</v>
      </c>
      <c r="U496" s="36" t="n">
        <f aca="false">IF(S496="","",MAX(0,S496))</f>
        <v>0</v>
      </c>
      <c r="V496" s="8" t="str">
        <f aca="false">IF(J496="","NOT SCORED - NO JULY MONTHLY ROW",IF(OR(ABS(L496)&gt;0.005,ABS(O496)&gt;0.005,ABS(S496)&gt;0.005),"EXCEPTION","OK"))</f>
        <v>OK</v>
      </c>
      <c r="W496" s="8" t="s">
        <v>4748</v>
      </c>
      <c r="X496" s="8" t="s">
        <v>4099</v>
      </c>
      <c r="Y496" s="36" t="n">
        <f aca="false">K496*N496</f>
        <v>415.25</v>
      </c>
    </row>
    <row r="497" customFormat="false" ht="15" hidden="false" customHeight="false" outlineLevel="0" collapsed="false">
      <c r="A497" s="11" t="s">
        <v>688</v>
      </c>
      <c r="B497" s="11" t="s">
        <v>224</v>
      </c>
      <c r="C497" s="11" t="s">
        <v>2829</v>
      </c>
      <c r="D497" s="11" t="s">
        <v>3157</v>
      </c>
      <c r="E497" s="11" t="s">
        <v>4749</v>
      </c>
      <c r="F497" s="11" t="s">
        <v>4750</v>
      </c>
      <c r="G497" s="11" t="s">
        <v>4046</v>
      </c>
      <c r="H497" s="11" t="n">
        <v>40</v>
      </c>
      <c r="I497" s="31" t="n">
        <v>30.1</v>
      </c>
      <c r="J497" s="31" t="n">
        <v>40</v>
      </c>
      <c r="K497" s="31" t="n">
        <f aca="false">MAX(ROUNDUP(I497,0),H497)</f>
        <v>40</v>
      </c>
      <c r="L497" s="31" t="n">
        <f aca="false">IF(J497="","",J497-K497)</f>
        <v>0</v>
      </c>
      <c r="M497" s="32" t="n">
        <v>7.55</v>
      </c>
      <c r="N497" s="32" t="n">
        <f aca="false">IF(C497="covered",10.4,7.55)</f>
        <v>7.55</v>
      </c>
      <c r="O497" s="32" t="n">
        <f aca="false">IF(M497="","",M497-N497)</f>
        <v>0</v>
      </c>
      <c r="P497" s="11" t="n">
        <v>1</v>
      </c>
      <c r="Q497" s="33" t="n">
        <v>302</v>
      </c>
      <c r="R497" s="33" t="n">
        <f aca="false">IF(OR(J497="",P497=""),"",K497*N497*P497)</f>
        <v>302</v>
      </c>
      <c r="S497" s="33" t="n">
        <f aca="false">IF(Q497="","",Q497-R497)</f>
        <v>0</v>
      </c>
      <c r="T497" s="33" t="n">
        <f aca="false">IF(S497="","",MAX(0,-S497))</f>
        <v>-0</v>
      </c>
      <c r="U497" s="33" t="n">
        <f aca="false">IF(S497="","",MAX(0,S497))</f>
        <v>0</v>
      </c>
      <c r="V497" s="11" t="str">
        <f aca="false">IF(J497="","NOT SCORED - NO JULY MONTHLY ROW",IF(OR(ABS(L497)&gt;0.005,ABS(O497)&gt;0.005,ABS(S497)&gt;0.005),"EXCEPTION","OK"))</f>
        <v>OK</v>
      </c>
      <c r="W497" s="11" t="s">
        <v>4751</v>
      </c>
      <c r="X497" s="11" t="s">
        <v>4099</v>
      </c>
      <c r="Y497" s="33" t="n">
        <f aca="false">K497*N497</f>
        <v>302</v>
      </c>
    </row>
    <row r="498" customFormat="false" ht="15" hidden="false" customHeight="false" outlineLevel="0" collapsed="false">
      <c r="A498" s="8" t="s">
        <v>4752</v>
      </c>
      <c r="B498" s="8" t="s">
        <v>224</v>
      </c>
      <c r="C498" s="8" t="s">
        <v>2829</v>
      </c>
      <c r="D498" s="8" t="s">
        <v>4020</v>
      </c>
      <c r="E498" s="8" t="s">
        <v>2749</v>
      </c>
      <c r="F498" s="8" t="s">
        <v>4753</v>
      </c>
      <c r="G498" s="8" t="s">
        <v>4754</v>
      </c>
      <c r="H498" s="8" t="n">
        <v>50</v>
      </c>
      <c r="I498" s="34" t="n">
        <v>41.7</v>
      </c>
      <c r="J498" s="34" t="n">
        <v>50</v>
      </c>
      <c r="K498" s="34" t="n">
        <f aca="false">MAX(ROUNDUP(I498,0),H498)</f>
        <v>50</v>
      </c>
      <c r="L498" s="34" t="n">
        <f aca="false">IF(J498="","",J498-K498)</f>
        <v>0</v>
      </c>
      <c r="M498" s="35" t="n">
        <v>7.55</v>
      </c>
      <c r="N498" s="35" t="n">
        <f aca="false">IF(C498="covered",10.4,7.55)</f>
        <v>7.55</v>
      </c>
      <c r="O498" s="35" t="n">
        <f aca="false">IF(M498="","",M498-N498)</f>
        <v>0</v>
      </c>
      <c r="P498" s="8" t="n">
        <v>1</v>
      </c>
      <c r="Q498" s="36" t="n">
        <v>377.5</v>
      </c>
      <c r="R498" s="36" t="n">
        <f aca="false">IF(OR(J498="",P498=""),"",K498*N498*P498)</f>
        <v>377.5</v>
      </c>
      <c r="S498" s="36" t="n">
        <f aca="false">IF(Q498="","",Q498-R498)</f>
        <v>0</v>
      </c>
      <c r="T498" s="36" t="n">
        <f aca="false">IF(S498="","",MAX(0,-S498))</f>
        <v>-0</v>
      </c>
      <c r="U498" s="36" t="n">
        <f aca="false">IF(S498="","",MAX(0,S498))</f>
        <v>0</v>
      </c>
      <c r="V498" s="8" t="str">
        <f aca="false">IF(J498="","NOT SCORED - NO JULY MONTHLY ROW",IF(OR(ABS(L498)&gt;0.005,ABS(O498)&gt;0.005,ABS(S498)&gt;0.005),"EXCEPTION","OK"))</f>
        <v>OK</v>
      </c>
      <c r="W498" s="8" t="s">
        <v>4755</v>
      </c>
      <c r="X498" s="8" t="s">
        <v>4099</v>
      </c>
      <c r="Y498" s="36" t="n">
        <f aca="false">K498*N498</f>
        <v>377.5</v>
      </c>
    </row>
    <row r="499" customFormat="false" ht="15" hidden="false" customHeight="false" outlineLevel="0" collapsed="false">
      <c r="A499" s="11" t="s">
        <v>4756</v>
      </c>
      <c r="B499" s="11" t="s">
        <v>224</v>
      </c>
      <c r="C499" s="11" t="s">
        <v>2829</v>
      </c>
      <c r="D499" s="11" t="s">
        <v>3162</v>
      </c>
      <c r="E499" s="11" t="s">
        <v>1662</v>
      </c>
      <c r="F499" s="11" t="s">
        <v>1663</v>
      </c>
      <c r="G499" s="11" t="s">
        <v>4757</v>
      </c>
      <c r="H499" s="11" t="n">
        <v>80</v>
      </c>
      <c r="I499" s="31" t="n">
        <v>39.4</v>
      </c>
      <c r="J499" s="31" t="n">
        <v>80</v>
      </c>
      <c r="K499" s="31" t="n">
        <f aca="false">MAX(ROUNDUP(I499,0),H499)</f>
        <v>80</v>
      </c>
      <c r="L499" s="31" t="n">
        <f aca="false">IF(J499="","",J499-K499)</f>
        <v>0</v>
      </c>
      <c r="M499" s="32" t="n">
        <v>7.55</v>
      </c>
      <c r="N499" s="32" t="n">
        <f aca="false">IF(C499="covered",10.4,7.55)</f>
        <v>7.55</v>
      </c>
      <c r="O499" s="32" t="n">
        <f aca="false">IF(M499="","",M499-N499)</f>
        <v>0</v>
      </c>
      <c r="P499" s="11" t="n">
        <v>1</v>
      </c>
      <c r="Q499" s="33" t="n">
        <v>604</v>
      </c>
      <c r="R499" s="33" t="n">
        <f aca="false">IF(OR(J499="",P499=""),"",K499*N499*P499)</f>
        <v>604</v>
      </c>
      <c r="S499" s="33" t="n">
        <f aca="false">IF(Q499="","",Q499-R499)</f>
        <v>0</v>
      </c>
      <c r="T499" s="33" t="n">
        <f aca="false">IF(S499="","",MAX(0,-S499))</f>
        <v>-0</v>
      </c>
      <c r="U499" s="33" t="n">
        <f aca="false">IF(S499="","",MAX(0,S499))</f>
        <v>0</v>
      </c>
      <c r="V499" s="11" t="str">
        <f aca="false">IF(J499="","NOT SCORED - NO JULY MONTHLY ROW",IF(OR(ABS(L499)&gt;0.005,ABS(O499)&gt;0.005,ABS(S499)&gt;0.005),"EXCEPTION","OK"))</f>
        <v>OK</v>
      </c>
      <c r="W499" s="11" t="s">
        <v>4758</v>
      </c>
      <c r="X499" s="11" t="s">
        <v>4099</v>
      </c>
      <c r="Y499" s="33" t="n">
        <f aca="false">K499*N499</f>
        <v>604</v>
      </c>
    </row>
    <row r="500" customFormat="false" ht="15" hidden="false" customHeight="false" outlineLevel="0" collapsed="false">
      <c r="A500" s="8" t="s">
        <v>4759</v>
      </c>
      <c r="B500" s="8" t="s">
        <v>224</v>
      </c>
      <c r="C500" s="8" t="s">
        <v>2829</v>
      </c>
      <c r="D500" s="8" t="s">
        <v>3167</v>
      </c>
      <c r="E500" s="8" t="s">
        <v>4760</v>
      </c>
      <c r="F500" s="8" t="s">
        <v>4761</v>
      </c>
      <c r="G500" s="8" t="s">
        <v>3435</v>
      </c>
      <c r="H500" s="8" t="n">
        <v>24</v>
      </c>
      <c r="I500" s="34" t="n">
        <v>35.5</v>
      </c>
      <c r="J500" s="34" t="n">
        <v>36</v>
      </c>
      <c r="K500" s="34" t="n">
        <f aca="false">MAX(ROUNDUP(I500,0),H500)</f>
        <v>36</v>
      </c>
      <c r="L500" s="34" t="n">
        <f aca="false">IF(J500="","",J500-K500)</f>
        <v>0</v>
      </c>
      <c r="M500" s="35" t="n">
        <v>7.55</v>
      </c>
      <c r="N500" s="35" t="n">
        <f aca="false">IF(C500="covered",10.4,7.55)</f>
        <v>7.55</v>
      </c>
      <c r="O500" s="35" t="n">
        <f aca="false">IF(M500="","",M500-N500)</f>
        <v>0</v>
      </c>
      <c r="P500" s="8" t="n">
        <v>1</v>
      </c>
      <c r="Q500" s="36" t="n">
        <v>271.8</v>
      </c>
      <c r="R500" s="36" t="n">
        <f aca="false">IF(OR(J500="",P500=""),"",K500*N500*P500)</f>
        <v>271.8</v>
      </c>
      <c r="S500" s="36" t="n">
        <f aca="false">IF(Q500="","",Q500-R500)</f>
        <v>0</v>
      </c>
      <c r="T500" s="36" t="n">
        <f aca="false">IF(S500="","",MAX(0,-S500))</f>
        <v>-0</v>
      </c>
      <c r="U500" s="36" t="n">
        <f aca="false">IF(S500="","",MAX(0,S500))</f>
        <v>0</v>
      </c>
      <c r="V500" s="8" t="str">
        <f aca="false">IF(J500="","NOT SCORED - NO JULY MONTHLY ROW",IF(OR(ABS(L500)&gt;0.005,ABS(O500)&gt;0.005,ABS(S500)&gt;0.005),"EXCEPTION","OK"))</f>
        <v>OK</v>
      </c>
      <c r="W500" s="8" t="s">
        <v>4762</v>
      </c>
      <c r="X500" s="8" t="s">
        <v>4099</v>
      </c>
      <c r="Y500" s="36" t="n">
        <f aca="false">K500*N500</f>
        <v>271.8</v>
      </c>
    </row>
    <row r="501" customFormat="false" ht="15" hidden="false" customHeight="false" outlineLevel="0" collapsed="false">
      <c r="A501" s="11" t="s">
        <v>4763</v>
      </c>
      <c r="B501" s="11" t="s">
        <v>224</v>
      </c>
      <c r="C501" s="11" t="s">
        <v>2829</v>
      </c>
      <c r="D501" s="11" t="s">
        <v>3171</v>
      </c>
      <c r="E501" s="11" t="s">
        <v>4764</v>
      </c>
      <c r="F501" s="11" t="s">
        <v>4765</v>
      </c>
      <c r="G501" s="11" t="s">
        <v>4766</v>
      </c>
      <c r="H501" s="11" t="n">
        <v>32</v>
      </c>
      <c r="I501" s="31" t="n">
        <v>54.1</v>
      </c>
      <c r="J501" s="31" t="n">
        <v>55</v>
      </c>
      <c r="K501" s="31" t="n">
        <f aca="false">MAX(ROUNDUP(I501,0),H501)</f>
        <v>55</v>
      </c>
      <c r="L501" s="31" t="n">
        <f aca="false">IF(J501="","",J501-K501)</f>
        <v>0</v>
      </c>
      <c r="M501" s="32" t="n">
        <v>7.55</v>
      </c>
      <c r="N501" s="32" t="n">
        <f aca="false">IF(C501="covered",10.4,7.55)</f>
        <v>7.55</v>
      </c>
      <c r="O501" s="32" t="n">
        <f aca="false">IF(M501="","",M501-N501)</f>
        <v>0</v>
      </c>
      <c r="P501" s="11" t="n">
        <v>1</v>
      </c>
      <c r="Q501" s="33" t="n">
        <v>415.25</v>
      </c>
      <c r="R501" s="33" t="n">
        <f aca="false">IF(OR(J501="",P501=""),"",K501*N501*P501)</f>
        <v>415.25</v>
      </c>
      <c r="S501" s="33" t="n">
        <f aca="false">IF(Q501="","",Q501-R501)</f>
        <v>0</v>
      </c>
      <c r="T501" s="33" t="n">
        <f aca="false">IF(S501="","",MAX(0,-S501))</f>
        <v>-0</v>
      </c>
      <c r="U501" s="33" t="n">
        <f aca="false">IF(S501="","",MAX(0,S501))</f>
        <v>0</v>
      </c>
      <c r="V501" s="11" t="str">
        <f aca="false">IF(J501="","NOT SCORED - NO JULY MONTHLY ROW",IF(OR(ABS(L501)&gt;0.005,ABS(O501)&gt;0.005,ABS(S501)&gt;0.005),"EXCEPTION","OK"))</f>
        <v>OK</v>
      </c>
      <c r="W501" s="11" t="s">
        <v>4767</v>
      </c>
      <c r="X501" s="11" t="s">
        <v>4099</v>
      </c>
      <c r="Y501" s="33" t="n">
        <f aca="false">K501*N501</f>
        <v>415.25</v>
      </c>
    </row>
    <row r="502" customFormat="false" ht="15" hidden="false" customHeight="false" outlineLevel="0" collapsed="false">
      <c r="A502" s="8" t="s">
        <v>1646</v>
      </c>
      <c r="B502" s="8" t="s">
        <v>224</v>
      </c>
      <c r="C502" s="8" t="s">
        <v>2829</v>
      </c>
      <c r="D502" s="8" t="s">
        <v>3176</v>
      </c>
      <c r="E502" s="8" t="s">
        <v>4768</v>
      </c>
      <c r="F502" s="8" t="s">
        <v>4769</v>
      </c>
      <c r="G502" s="8" t="s">
        <v>4770</v>
      </c>
      <c r="H502" s="8" t="n">
        <v>24</v>
      </c>
      <c r="I502" s="34" t="n">
        <v>35</v>
      </c>
      <c r="J502" s="34" t="n">
        <v>35</v>
      </c>
      <c r="K502" s="34" t="n">
        <f aca="false">MAX(ROUNDUP(I502,0),H502)</f>
        <v>35</v>
      </c>
      <c r="L502" s="34" t="n">
        <f aca="false">IF(J502="","",J502-K502)</f>
        <v>0</v>
      </c>
      <c r="M502" s="35" t="n">
        <v>7.55</v>
      </c>
      <c r="N502" s="35" t="n">
        <f aca="false">IF(C502="covered",10.4,7.55)</f>
        <v>7.55</v>
      </c>
      <c r="O502" s="35" t="n">
        <f aca="false">IF(M502="","",M502-N502)</f>
        <v>0</v>
      </c>
      <c r="P502" s="8" t="n">
        <v>1</v>
      </c>
      <c r="Q502" s="36" t="n">
        <v>264.25</v>
      </c>
      <c r="R502" s="36" t="n">
        <f aca="false">IF(OR(J502="",P502=""),"",K502*N502*P502)</f>
        <v>264.25</v>
      </c>
      <c r="S502" s="36" t="n">
        <f aca="false">IF(Q502="","",Q502-R502)</f>
        <v>0</v>
      </c>
      <c r="T502" s="36" t="n">
        <f aca="false">IF(S502="","",MAX(0,-S502))</f>
        <v>-0</v>
      </c>
      <c r="U502" s="36" t="n">
        <f aca="false">IF(S502="","",MAX(0,S502))</f>
        <v>0</v>
      </c>
      <c r="V502" s="8" t="str">
        <f aca="false">IF(J502="","NOT SCORED - NO JULY MONTHLY ROW",IF(OR(ABS(L502)&gt;0.005,ABS(O502)&gt;0.005,ABS(S502)&gt;0.005),"EXCEPTION","OK"))</f>
        <v>OK</v>
      </c>
      <c r="W502" s="8" t="s">
        <v>4771</v>
      </c>
      <c r="X502" s="8" t="s">
        <v>4099</v>
      </c>
      <c r="Y502" s="36" t="n">
        <f aca="false">K502*N502</f>
        <v>264.25</v>
      </c>
    </row>
    <row r="503" customFormat="false" ht="15" hidden="false" customHeight="false" outlineLevel="0" collapsed="false">
      <c r="A503" s="11" t="s">
        <v>4772</v>
      </c>
      <c r="B503" s="11" t="s">
        <v>224</v>
      </c>
      <c r="C503" s="11" t="s">
        <v>2829</v>
      </c>
      <c r="D503" s="11" t="s">
        <v>3185</v>
      </c>
      <c r="E503" s="11" t="s">
        <v>4773</v>
      </c>
      <c r="F503" s="11" t="s">
        <v>4774</v>
      </c>
      <c r="G503" s="11" t="s">
        <v>4775</v>
      </c>
      <c r="H503" s="11" t="n">
        <v>40</v>
      </c>
      <c r="I503" s="31" t="n">
        <v>28.5</v>
      </c>
      <c r="J503" s="31" t="n">
        <v>40</v>
      </c>
      <c r="K503" s="31" t="n">
        <f aca="false">MAX(ROUNDUP(I503,0),H503)</f>
        <v>40</v>
      </c>
      <c r="L503" s="31" t="n">
        <f aca="false">IF(J503="","",J503-K503)</f>
        <v>0</v>
      </c>
      <c r="M503" s="32" t="n">
        <v>7.55</v>
      </c>
      <c r="N503" s="32" t="n">
        <f aca="false">IF(C503="covered",10.4,7.55)</f>
        <v>7.55</v>
      </c>
      <c r="O503" s="32" t="n">
        <f aca="false">IF(M503="","",M503-N503)</f>
        <v>0</v>
      </c>
      <c r="P503" s="11" t="n">
        <v>1</v>
      </c>
      <c r="Q503" s="33" t="n">
        <v>302</v>
      </c>
      <c r="R503" s="33" t="n">
        <f aca="false">IF(OR(J503="",P503=""),"",K503*N503*P503)</f>
        <v>302</v>
      </c>
      <c r="S503" s="33" t="n">
        <f aca="false">IF(Q503="","",Q503-R503)</f>
        <v>0</v>
      </c>
      <c r="T503" s="33" t="n">
        <f aca="false">IF(S503="","",MAX(0,-S503))</f>
        <v>-0</v>
      </c>
      <c r="U503" s="33" t="n">
        <f aca="false">IF(S503="","",MAX(0,S503))</f>
        <v>0</v>
      </c>
      <c r="V503" s="11" t="str">
        <f aca="false">IF(J503="","NOT SCORED - NO JULY MONTHLY ROW",IF(OR(ABS(L503)&gt;0.005,ABS(O503)&gt;0.005,ABS(S503)&gt;0.005),"EXCEPTION","OK"))</f>
        <v>OK</v>
      </c>
      <c r="W503" s="11" t="s">
        <v>4776</v>
      </c>
      <c r="X503" s="11" t="s">
        <v>4099</v>
      </c>
      <c r="Y503" s="33" t="n">
        <f aca="false">K503*N503</f>
        <v>302</v>
      </c>
    </row>
    <row r="504" customFormat="false" ht="15" hidden="false" customHeight="false" outlineLevel="0" collapsed="false">
      <c r="A504" s="8" t="s">
        <v>4777</v>
      </c>
      <c r="B504" s="8" t="s">
        <v>224</v>
      </c>
      <c r="C504" s="8" t="s">
        <v>2829</v>
      </c>
      <c r="D504" s="8" t="s">
        <v>3190</v>
      </c>
      <c r="E504" s="8" t="s">
        <v>4778</v>
      </c>
      <c r="F504" s="8" t="s">
        <v>4779</v>
      </c>
      <c r="G504" s="8" t="s">
        <v>4780</v>
      </c>
      <c r="H504" s="8" t="n">
        <v>60</v>
      </c>
      <c r="I504" s="34" t="n">
        <v>49.9</v>
      </c>
      <c r="J504" s="34" t="n">
        <v>60</v>
      </c>
      <c r="K504" s="34" t="n">
        <f aca="false">MAX(ROUNDUP(I504,0),H504)</f>
        <v>60</v>
      </c>
      <c r="L504" s="34" t="n">
        <f aca="false">IF(J504="","",J504-K504)</f>
        <v>0</v>
      </c>
      <c r="M504" s="35" t="n">
        <v>7.55</v>
      </c>
      <c r="N504" s="35" t="n">
        <f aca="false">IF(C504="covered",10.4,7.55)</f>
        <v>7.55</v>
      </c>
      <c r="O504" s="35" t="n">
        <f aca="false">IF(M504="","",M504-N504)</f>
        <v>0</v>
      </c>
      <c r="P504" s="8" t="n">
        <v>1</v>
      </c>
      <c r="Q504" s="36" t="n">
        <v>453</v>
      </c>
      <c r="R504" s="36" t="n">
        <f aca="false">IF(OR(J504="",P504=""),"",K504*N504*P504)</f>
        <v>453</v>
      </c>
      <c r="S504" s="36" t="n">
        <f aca="false">IF(Q504="","",Q504-R504)</f>
        <v>0</v>
      </c>
      <c r="T504" s="36" t="n">
        <f aca="false">IF(S504="","",MAX(0,-S504))</f>
        <v>-0</v>
      </c>
      <c r="U504" s="36" t="n">
        <f aca="false">IF(S504="","",MAX(0,S504))</f>
        <v>0</v>
      </c>
      <c r="V504" s="8" t="str">
        <f aca="false">IF(J504="","NOT SCORED - NO JULY MONTHLY ROW",IF(OR(ABS(L504)&gt;0.005,ABS(O504)&gt;0.005,ABS(S504)&gt;0.005),"EXCEPTION","OK"))</f>
        <v>OK</v>
      </c>
      <c r="W504" s="8" t="s">
        <v>4781</v>
      </c>
      <c r="X504" s="8" t="s">
        <v>4099</v>
      </c>
      <c r="Y504" s="36" t="n">
        <f aca="false">K504*N504</f>
        <v>453</v>
      </c>
    </row>
    <row r="505" customFormat="false" ht="15" hidden="false" customHeight="false" outlineLevel="0" collapsed="false">
      <c r="A505" s="11" t="s">
        <v>4782</v>
      </c>
      <c r="B505" s="11" t="s">
        <v>224</v>
      </c>
      <c r="C505" s="11" t="s">
        <v>2829</v>
      </c>
      <c r="D505" s="11" t="s">
        <v>3194</v>
      </c>
      <c r="E505" s="11" t="s">
        <v>4783</v>
      </c>
      <c r="F505" s="11" t="s">
        <v>4784</v>
      </c>
      <c r="G505" s="11" t="s">
        <v>4050</v>
      </c>
      <c r="H505" s="11" t="n">
        <v>32</v>
      </c>
      <c r="I505" s="31" t="n">
        <v>54.2</v>
      </c>
      <c r="J505" s="31" t="n">
        <v>55</v>
      </c>
      <c r="K505" s="31" t="n">
        <f aca="false">MAX(ROUNDUP(I505,0),H505)</f>
        <v>55</v>
      </c>
      <c r="L505" s="31" t="n">
        <f aca="false">IF(J505="","",J505-K505)</f>
        <v>0</v>
      </c>
      <c r="M505" s="32" t="n">
        <v>7.55</v>
      </c>
      <c r="N505" s="32" t="n">
        <f aca="false">IF(C505="covered",10.4,7.55)</f>
        <v>7.55</v>
      </c>
      <c r="O505" s="32" t="n">
        <f aca="false">IF(M505="","",M505-N505)</f>
        <v>0</v>
      </c>
      <c r="P505" s="11" t="n">
        <v>1</v>
      </c>
      <c r="Q505" s="33" t="n">
        <v>415.25</v>
      </c>
      <c r="R505" s="33" t="n">
        <f aca="false">IF(OR(J505="",P505=""),"",K505*N505*P505)</f>
        <v>415.25</v>
      </c>
      <c r="S505" s="33" t="n">
        <f aca="false">IF(Q505="","",Q505-R505)</f>
        <v>0</v>
      </c>
      <c r="T505" s="33" t="n">
        <f aca="false">IF(S505="","",MAX(0,-S505))</f>
        <v>-0</v>
      </c>
      <c r="U505" s="33" t="n">
        <f aca="false">IF(S505="","",MAX(0,S505))</f>
        <v>0</v>
      </c>
      <c r="V505" s="11" t="str">
        <f aca="false">IF(J505="","NOT SCORED - NO JULY MONTHLY ROW",IF(OR(ABS(L505)&gt;0.005,ABS(O505)&gt;0.005,ABS(S505)&gt;0.005),"EXCEPTION","OK"))</f>
        <v>OK</v>
      </c>
      <c r="W505" s="11" t="s">
        <v>4785</v>
      </c>
      <c r="X505" s="11" t="s">
        <v>4099</v>
      </c>
      <c r="Y505" s="33" t="n">
        <f aca="false">K505*N505</f>
        <v>415.25</v>
      </c>
    </row>
    <row r="506" customFormat="false" ht="15" hidden="false" customHeight="false" outlineLevel="0" collapsed="false">
      <c r="A506" s="8" t="s">
        <v>4786</v>
      </c>
      <c r="B506" s="8" t="s">
        <v>224</v>
      </c>
      <c r="C506" s="8" t="s">
        <v>2829</v>
      </c>
      <c r="D506" s="8" t="s">
        <v>3198</v>
      </c>
      <c r="E506" s="8" t="s">
        <v>4787</v>
      </c>
      <c r="F506" s="8" t="s">
        <v>4788</v>
      </c>
      <c r="G506" s="8" t="s">
        <v>3851</v>
      </c>
      <c r="H506" s="8" t="n">
        <v>28</v>
      </c>
      <c r="I506" s="34" t="n">
        <v>37.9</v>
      </c>
      <c r="J506" s="34" t="n">
        <v>38</v>
      </c>
      <c r="K506" s="34" t="n">
        <f aca="false">MAX(ROUNDUP(I506,0),H506)</f>
        <v>38</v>
      </c>
      <c r="L506" s="34" t="n">
        <f aca="false">IF(J506="","",J506-K506)</f>
        <v>0</v>
      </c>
      <c r="M506" s="35" t="n">
        <v>7.55</v>
      </c>
      <c r="N506" s="35" t="n">
        <f aca="false">IF(C506="covered",10.4,7.55)</f>
        <v>7.55</v>
      </c>
      <c r="O506" s="35" t="n">
        <f aca="false">IF(M506="","",M506-N506)</f>
        <v>0</v>
      </c>
      <c r="P506" s="8" t="n">
        <v>1</v>
      </c>
      <c r="Q506" s="36" t="n">
        <v>286.9</v>
      </c>
      <c r="R506" s="36" t="n">
        <f aca="false">IF(OR(J506="",P506=""),"",K506*N506*P506)</f>
        <v>286.9</v>
      </c>
      <c r="S506" s="36" t="n">
        <f aca="false">IF(Q506="","",Q506-R506)</f>
        <v>0</v>
      </c>
      <c r="T506" s="36" t="n">
        <f aca="false">IF(S506="","",MAX(0,-S506))</f>
        <v>-0</v>
      </c>
      <c r="U506" s="36" t="n">
        <f aca="false">IF(S506="","",MAX(0,S506))</f>
        <v>0</v>
      </c>
      <c r="V506" s="8" t="str">
        <f aca="false">IF(J506="","NOT SCORED - NO JULY MONTHLY ROW",IF(OR(ABS(L506)&gt;0.005,ABS(O506)&gt;0.005,ABS(S506)&gt;0.005),"EXCEPTION","OK"))</f>
        <v>OK</v>
      </c>
      <c r="W506" s="8" t="s">
        <v>4789</v>
      </c>
      <c r="X506" s="8" t="s">
        <v>4099</v>
      </c>
      <c r="Y506" s="36" t="n">
        <f aca="false">K506*N506</f>
        <v>286.9</v>
      </c>
    </row>
    <row r="507" customFormat="false" ht="15" hidden="false" customHeight="false" outlineLevel="0" collapsed="false">
      <c r="A507" s="11" t="s">
        <v>920</v>
      </c>
      <c r="B507" s="11" t="s">
        <v>224</v>
      </c>
      <c r="C507" s="11" t="s">
        <v>2829</v>
      </c>
      <c r="D507" s="11" t="s">
        <v>3201</v>
      </c>
      <c r="E507" s="11" t="s">
        <v>2026</v>
      </c>
      <c r="F507" s="11" t="s">
        <v>990</v>
      </c>
      <c r="G507" s="11" t="s">
        <v>4790</v>
      </c>
      <c r="H507" s="11" t="n">
        <v>80</v>
      </c>
      <c r="I507" s="31" t="n">
        <v>46.8</v>
      </c>
      <c r="J507" s="31" t="n">
        <v>80</v>
      </c>
      <c r="K507" s="31" t="n">
        <f aca="false">MAX(ROUNDUP(I507,0),H507)</f>
        <v>80</v>
      </c>
      <c r="L507" s="31" t="n">
        <f aca="false">IF(J507="","",J507-K507)</f>
        <v>0</v>
      </c>
      <c r="M507" s="32" t="n">
        <v>7.55</v>
      </c>
      <c r="N507" s="32" t="n">
        <f aca="false">IF(C507="covered",10.4,7.55)</f>
        <v>7.55</v>
      </c>
      <c r="O507" s="32" t="n">
        <f aca="false">IF(M507="","",M507-N507)</f>
        <v>0</v>
      </c>
      <c r="P507" s="11" t="n">
        <v>1</v>
      </c>
      <c r="Q507" s="33" t="n">
        <v>604</v>
      </c>
      <c r="R507" s="33" t="n">
        <f aca="false">IF(OR(J507="",P507=""),"",K507*N507*P507)</f>
        <v>604</v>
      </c>
      <c r="S507" s="33" t="n">
        <f aca="false">IF(Q507="","",Q507-R507)</f>
        <v>0</v>
      </c>
      <c r="T507" s="33" t="n">
        <f aca="false">IF(S507="","",MAX(0,-S507))</f>
        <v>-0</v>
      </c>
      <c r="U507" s="33" t="n">
        <f aca="false">IF(S507="","",MAX(0,S507))</f>
        <v>0</v>
      </c>
      <c r="V507" s="11" t="str">
        <f aca="false">IF(J507="","NOT SCORED - NO JULY MONTHLY ROW",IF(OR(ABS(L507)&gt;0.005,ABS(O507)&gt;0.005,ABS(S507)&gt;0.005),"EXCEPTION","OK"))</f>
        <v>OK</v>
      </c>
      <c r="W507" s="11" t="s">
        <v>4791</v>
      </c>
      <c r="X507" s="11" t="s">
        <v>4099</v>
      </c>
      <c r="Y507" s="33" t="n">
        <f aca="false">K507*N507</f>
        <v>604</v>
      </c>
    </row>
    <row r="508" customFormat="false" ht="15" hidden="false" customHeight="false" outlineLevel="0" collapsed="false">
      <c r="A508" s="8" t="s">
        <v>4792</v>
      </c>
      <c r="B508" s="8" t="s">
        <v>224</v>
      </c>
      <c r="C508" s="8" t="s">
        <v>2829</v>
      </c>
      <c r="D508" s="8" t="s">
        <v>3206</v>
      </c>
      <c r="E508" s="8" t="s">
        <v>4793</v>
      </c>
      <c r="F508" s="8" t="s">
        <v>4794</v>
      </c>
      <c r="G508" s="8" t="s">
        <v>4795</v>
      </c>
      <c r="H508" s="8" t="n">
        <v>24</v>
      </c>
      <c r="I508" s="34" t="n">
        <v>26.2</v>
      </c>
      <c r="J508" s="34" t="n">
        <v>27</v>
      </c>
      <c r="K508" s="34" t="n">
        <f aca="false">MAX(ROUNDUP(I508,0),H508)</f>
        <v>27</v>
      </c>
      <c r="L508" s="34" t="n">
        <f aca="false">IF(J508="","",J508-K508)</f>
        <v>0</v>
      </c>
      <c r="M508" s="35" t="n">
        <v>7.55</v>
      </c>
      <c r="N508" s="35" t="n">
        <f aca="false">IF(C508="covered",10.4,7.55)</f>
        <v>7.55</v>
      </c>
      <c r="O508" s="35" t="n">
        <f aca="false">IF(M508="","",M508-N508)</f>
        <v>0</v>
      </c>
      <c r="P508" s="8" t="n">
        <v>1</v>
      </c>
      <c r="Q508" s="36" t="n">
        <v>203.85</v>
      </c>
      <c r="R508" s="36" t="n">
        <f aca="false">IF(OR(J508="",P508=""),"",K508*N508*P508)</f>
        <v>203.85</v>
      </c>
      <c r="S508" s="36" t="n">
        <f aca="false">IF(Q508="","",Q508-R508)</f>
        <v>0</v>
      </c>
      <c r="T508" s="36" t="n">
        <f aca="false">IF(S508="","",MAX(0,-S508))</f>
        <v>-0</v>
      </c>
      <c r="U508" s="36" t="n">
        <f aca="false">IF(S508="","",MAX(0,S508))</f>
        <v>0</v>
      </c>
      <c r="V508" s="8" t="str">
        <f aca="false">IF(J508="","NOT SCORED - NO JULY MONTHLY ROW",IF(OR(ABS(L508)&gt;0.005,ABS(O508)&gt;0.005,ABS(S508)&gt;0.005),"EXCEPTION","OK"))</f>
        <v>OK</v>
      </c>
      <c r="W508" s="8" t="s">
        <v>4796</v>
      </c>
      <c r="X508" s="8" t="s">
        <v>4099</v>
      </c>
      <c r="Y508" s="36" t="n">
        <f aca="false">K508*N508</f>
        <v>203.85</v>
      </c>
    </row>
    <row r="509" customFormat="false" ht="15" hidden="false" customHeight="false" outlineLevel="0" collapsed="false">
      <c r="A509" s="11" t="s">
        <v>4797</v>
      </c>
      <c r="B509" s="11" t="s">
        <v>224</v>
      </c>
      <c r="C509" s="11" t="s">
        <v>2829</v>
      </c>
      <c r="D509" s="11" t="s">
        <v>3210</v>
      </c>
      <c r="E509" s="11" t="s">
        <v>4798</v>
      </c>
      <c r="F509" s="11" t="s">
        <v>4799</v>
      </c>
      <c r="G509" s="11" t="s">
        <v>4800</v>
      </c>
      <c r="H509" s="11" t="n">
        <v>45</v>
      </c>
      <c r="I509" s="31" t="n">
        <v>38.3</v>
      </c>
      <c r="J509" s="31" t="n">
        <v>45</v>
      </c>
      <c r="K509" s="31" t="n">
        <f aca="false">MAX(ROUNDUP(I509,0),H509)</f>
        <v>45</v>
      </c>
      <c r="L509" s="31" t="n">
        <f aca="false">IF(J509="","",J509-K509)</f>
        <v>0</v>
      </c>
      <c r="M509" s="32" t="n">
        <v>7.55</v>
      </c>
      <c r="N509" s="32" t="n">
        <f aca="false">IF(C509="covered",10.4,7.55)</f>
        <v>7.55</v>
      </c>
      <c r="O509" s="32" t="n">
        <f aca="false">IF(M509="","",M509-N509)</f>
        <v>0</v>
      </c>
      <c r="P509" s="11" t="n">
        <v>1</v>
      </c>
      <c r="Q509" s="33" t="n">
        <v>339.75</v>
      </c>
      <c r="R509" s="33" t="n">
        <f aca="false">IF(OR(J509="",P509=""),"",K509*N509*P509)</f>
        <v>339.75</v>
      </c>
      <c r="S509" s="33" t="n">
        <f aca="false">IF(Q509="","",Q509-R509)</f>
        <v>0</v>
      </c>
      <c r="T509" s="33" t="n">
        <f aca="false">IF(S509="","",MAX(0,-S509))</f>
        <v>-0</v>
      </c>
      <c r="U509" s="33" t="n">
        <f aca="false">IF(S509="","",MAX(0,S509))</f>
        <v>0</v>
      </c>
      <c r="V509" s="11" t="str">
        <f aca="false">IF(J509="","NOT SCORED - NO JULY MONTHLY ROW",IF(OR(ABS(L509)&gt;0.005,ABS(O509)&gt;0.005,ABS(S509)&gt;0.005),"EXCEPTION","OK"))</f>
        <v>OK</v>
      </c>
      <c r="W509" s="11" t="s">
        <v>4801</v>
      </c>
      <c r="X509" s="11" t="s">
        <v>4099</v>
      </c>
      <c r="Y509" s="33" t="n">
        <f aca="false">K509*N509</f>
        <v>339.75</v>
      </c>
    </row>
    <row r="510" customFormat="false" ht="15" hidden="false" customHeight="false" outlineLevel="0" collapsed="false">
      <c r="A510" s="8" t="s">
        <v>4802</v>
      </c>
      <c r="B510" s="8" t="s">
        <v>224</v>
      </c>
      <c r="C510" s="8" t="s">
        <v>2829</v>
      </c>
      <c r="D510" s="8" t="s">
        <v>3214</v>
      </c>
      <c r="E510" s="8" t="s">
        <v>4803</v>
      </c>
      <c r="F510" s="8" t="s">
        <v>4804</v>
      </c>
      <c r="G510" s="8" t="s">
        <v>3990</v>
      </c>
      <c r="H510" s="8" t="n">
        <v>45</v>
      </c>
      <c r="I510" s="34" t="n">
        <v>47</v>
      </c>
      <c r="J510" s="34" t="n">
        <v>47</v>
      </c>
      <c r="K510" s="34" t="n">
        <f aca="false">MAX(ROUNDUP(I510,0),H510)</f>
        <v>47</v>
      </c>
      <c r="L510" s="34" t="n">
        <f aca="false">IF(J510="","",J510-K510)</f>
        <v>0</v>
      </c>
      <c r="M510" s="35" t="n">
        <v>7.55</v>
      </c>
      <c r="N510" s="35" t="n">
        <f aca="false">IF(C510="covered",10.4,7.55)</f>
        <v>7.55</v>
      </c>
      <c r="O510" s="35" t="n">
        <f aca="false">IF(M510="","",M510-N510)</f>
        <v>0</v>
      </c>
      <c r="P510" s="8" t="n">
        <v>1</v>
      </c>
      <c r="Q510" s="36" t="n">
        <v>354.85</v>
      </c>
      <c r="R510" s="36" t="n">
        <f aca="false">IF(OR(J510="",P510=""),"",K510*N510*P510)</f>
        <v>354.85</v>
      </c>
      <c r="S510" s="36" t="n">
        <f aca="false">IF(Q510="","",Q510-R510)</f>
        <v>0</v>
      </c>
      <c r="T510" s="36" t="n">
        <f aca="false">IF(S510="","",MAX(0,-S510))</f>
        <v>-0</v>
      </c>
      <c r="U510" s="36" t="n">
        <f aca="false">IF(S510="","",MAX(0,S510))</f>
        <v>0</v>
      </c>
      <c r="V510" s="8" t="str">
        <f aca="false">IF(J510="","NOT SCORED - NO JULY MONTHLY ROW",IF(OR(ABS(L510)&gt;0.005,ABS(O510)&gt;0.005,ABS(S510)&gt;0.005),"EXCEPTION","OK"))</f>
        <v>OK</v>
      </c>
      <c r="W510" s="8" t="s">
        <v>4805</v>
      </c>
      <c r="X510" s="8" t="s">
        <v>4099</v>
      </c>
      <c r="Y510" s="36" t="n">
        <f aca="false">K510*N510</f>
        <v>354.85</v>
      </c>
    </row>
    <row r="511" customFormat="false" ht="15" hidden="false" customHeight="false" outlineLevel="0" collapsed="false">
      <c r="A511" s="11" t="s">
        <v>4806</v>
      </c>
      <c r="B511" s="11" t="s">
        <v>224</v>
      </c>
      <c r="C511" s="11" t="s">
        <v>2829</v>
      </c>
      <c r="D511" s="11" t="s">
        <v>3219</v>
      </c>
      <c r="E511" s="11" t="s">
        <v>4807</v>
      </c>
      <c r="F511" s="11" t="s">
        <v>4808</v>
      </c>
      <c r="G511" s="11" t="s">
        <v>3009</v>
      </c>
      <c r="H511" s="11" t="n">
        <v>80</v>
      </c>
      <c r="I511" s="31" t="n">
        <v>58.9</v>
      </c>
      <c r="J511" s="31" t="n">
        <v>80</v>
      </c>
      <c r="K511" s="31" t="n">
        <f aca="false">MAX(ROUNDUP(I511,0),H511)</f>
        <v>80</v>
      </c>
      <c r="L511" s="31" t="n">
        <f aca="false">IF(J511="","",J511-K511)</f>
        <v>0</v>
      </c>
      <c r="M511" s="32" t="n">
        <v>7.55</v>
      </c>
      <c r="N511" s="32" t="n">
        <f aca="false">IF(C511="covered",10.4,7.55)</f>
        <v>7.55</v>
      </c>
      <c r="O511" s="32" t="n">
        <f aca="false">IF(M511="","",M511-N511)</f>
        <v>0</v>
      </c>
      <c r="P511" s="11" t="n">
        <v>1</v>
      </c>
      <c r="Q511" s="33" t="n">
        <v>604</v>
      </c>
      <c r="R511" s="33" t="n">
        <f aca="false">IF(OR(J511="",P511=""),"",K511*N511*P511)</f>
        <v>604</v>
      </c>
      <c r="S511" s="33" t="n">
        <f aca="false">IF(Q511="","",Q511-R511)</f>
        <v>0</v>
      </c>
      <c r="T511" s="33" t="n">
        <f aca="false">IF(S511="","",MAX(0,-S511))</f>
        <v>-0</v>
      </c>
      <c r="U511" s="33" t="n">
        <f aca="false">IF(S511="","",MAX(0,S511))</f>
        <v>0</v>
      </c>
      <c r="V511" s="11" t="str">
        <f aca="false">IF(J511="","NOT SCORED - NO JULY MONTHLY ROW",IF(OR(ABS(L511)&gt;0.005,ABS(O511)&gt;0.005,ABS(S511)&gt;0.005),"EXCEPTION","OK"))</f>
        <v>OK</v>
      </c>
      <c r="W511" s="11" t="s">
        <v>4809</v>
      </c>
      <c r="X511" s="11" t="s">
        <v>4099</v>
      </c>
      <c r="Y511" s="33" t="n">
        <f aca="false">K511*N511</f>
        <v>604</v>
      </c>
    </row>
    <row r="512" customFormat="false" ht="15" hidden="false" customHeight="false" outlineLevel="0" collapsed="false">
      <c r="A512" s="8" t="s">
        <v>4810</v>
      </c>
      <c r="B512" s="8" t="s">
        <v>224</v>
      </c>
      <c r="C512" s="8" t="s">
        <v>2829</v>
      </c>
      <c r="D512" s="8" t="s">
        <v>3224</v>
      </c>
      <c r="E512" s="8" t="s">
        <v>2294</v>
      </c>
      <c r="F512" s="8" t="s">
        <v>4811</v>
      </c>
      <c r="G512" s="8" t="s">
        <v>4812</v>
      </c>
      <c r="H512" s="8" t="n">
        <v>40</v>
      </c>
      <c r="I512" s="34" t="n">
        <v>52</v>
      </c>
      <c r="J512" s="34" t="n">
        <v>52</v>
      </c>
      <c r="K512" s="34" t="n">
        <f aca="false">MAX(ROUNDUP(I512,0),H512)</f>
        <v>52</v>
      </c>
      <c r="L512" s="34" t="n">
        <f aca="false">IF(J512="","",J512-K512)</f>
        <v>0</v>
      </c>
      <c r="M512" s="35" t="n">
        <v>7.55</v>
      </c>
      <c r="N512" s="35" t="n">
        <f aca="false">IF(C512="covered",10.4,7.55)</f>
        <v>7.55</v>
      </c>
      <c r="O512" s="35" t="n">
        <f aca="false">IF(M512="","",M512-N512)</f>
        <v>0</v>
      </c>
      <c r="P512" s="8" t="n">
        <v>1</v>
      </c>
      <c r="Q512" s="36" t="n">
        <v>392.6</v>
      </c>
      <c r="R512" s="36" t="n">
        <f aca="false">IF(OR(J512="",P512=""),"",K512*N512*P512)</f>
        <v>392.6</v>
      </c>
      <c r="S512" s="36" t="n">
        <f aca="false">IF(Q512="","",Q512-R512)</f>
        <v>0</v>
      </c>
      <c r="T512" s="36" t="n">
        <f aca="false">IF(S512="","",MAX(0,-S512))</f>
        <v>-0</v>
      </c>
      <c r="U512" s="36" t="n">
        <f aca="false">IF(S512="","",MAX(0,S512))</f>
        <v>0</v>
      </c>
      <c r="V512" s="8" t="str">
        <f aca="false">IF(J512="","NOT SCORED - NO JULY MONTHLY ROW",IF(OR(ABS(L512)&gt;0.005,ABS(O512)&gt;0.005,ABS(S512)&gt;0.005),"EXCEPTION","OK"))</f>
        <v>OK</v>
      </c>
      <c r="W512" s="8" t="s">
        <v>4813</v>
      </c>
      <c r="X512" s="8" t="s">
        <v>4099</v>
      </c>
      <c r="Y512" s="36" t="n">
        <f aca="false">K512*N512</f>
        <v>392.6</v>
      </c>
    </row>
    <row r="513" customFormat="false" ht="15" hidden="false" customHeight="false" outlineLevel="0" collapsed="false">
      <c r="A513" s="11" t="s">
        <v>4814</v>
      </c>
      <c r="B513" s="11" t="s">
        <v>224</v>
      </c>
      <c r="C513" s="11" t="s">
        <v>2829</v>
      </c>
      <c r="D513" s="11" t="s">
        <v>3228</v>
      </c>
      <c r="E513" s="11" t="s">
        <v>4815</v>
      </c>
      <c r="F513" s="11" t="s">
        <v>4816</v>
      </c>
      <c r="G513" s="11" t="s">
        <v>3087</v>
      </c>
      <c r="H513" s="11" t="n">
        <v>40</v>
      </c>
      <c r="I513" s="31" t="n">
        <v>34.8</v>
      </c>
      <c r="J513" s="31" t="n">
        <v>40</v>
      </c>
      <c r="K513" s="31" t="n">
        <f aca="false">MAX(ROUNDUP(I513,0),H513)</f>
        <v>40</v>
      </c>
      <c r="L513" s="31" t="n">
        <f aca="false">IF(J513="","",J513-K513)</f>
        <v>0</v>
      </c>
      <c r="M513" s="32" t="n">
        <v>7.55</v>
      </c>
      <c r="N513" s="32" t="n">
        <f aca="false">IF(C513="covered",10.4,7.55)</f>
        <v>7.55</v>
      </c>
      <c r="O513" s="32" t="n">
        <f aca="false">IF(M513="","",M513-N513)</f>
        <v>0</v>
      </c>
      <c r="P513" s="11" t="n">
        <v>1</v>
      </c>
      <c r="Q513" s="33" t="n">
        <v>302</v>
      </c>
      <c r="R513" s="33" t="n">
        <f aca="false">IF(OR(J513="",P513=""),"",K513*N513*P513)</f>
        <v>302</v>
      </c>
      <c r="S513" s="33" t="n">
        <f aca="false">IF(Q513="","",Q513-R513)</f>
        <v>0</v>
      </c>
      <c r="T513" s="33" t="n">
        <f aca="false">IF(S513="","",MAX(0,-S513))</f>
        <v>-0</v>
      </c>
      <c r="U513" s="33" t="n">
        <f aca="false">IF(S513="","",MAX(0,S513))</f>
        <v>0</v>
      </c>
      <c r="V513" s="11" t="str">
        <f aca="false">IF(J513="","NOT SCORED - NO JULY MONTHLY ROW",IF(OR(ABS(L513)&gt;0.005,ABS(O513)&gt;0.005,ABS(S513)&gt;0.005),"EXCEPTION","OK"))</f>
        <v>OK</v>
      </c>
      <c r="W513" s="11" t="s">
        <v>4817</v>
      </c>
      <c r="X513" s="11" t="s">
        <v>4099</v>
      </c>
      <c r="Y513" s="33" t="n">
        <f aca="false">K513*N513</f>
        <v>302</v>
      </c>
    </row>
    <row r="514" customFormat="false" ht="15" hidden="false" customHeight="false" outlineLevel="0" collapsed="false">
      <c r="A514" s="8" t="s">
        <v>1322</v>
      </c>
      <c r="B514" s="8" t="s">
        <v>224</v>
      </c>
      <c r="C514" s="8" t="s">
        <v>2829</v>
      </c>
      <c r="D514" s="8" t="s">
        <v>3233</v>
      </c>
      <c r="E514" s="8" t="s">
        <v>4818</v>
      </c>
      <c r="F514" s="8" t="s">
        <v>4819</v>
      </c>
      <c r="G514" s="8" t="s">
        <v>4502</v>
      </c>
      <c r="H514" s="8" t="n">
        <v>45</v>
      </c>
      <c r="I514" s="34" t="n">
        <v>24.6</v>
      </c>
      <c r="J514" s="34" t="n">
        <v>45</v>
      </c>
      <c r="K514" s="34" t="n">
        <f aca="false">MAX(ROUNDUP(I514,0),H514)</f>
        <v>45</v>
      </c>
      <c r="L514" s="34" t="n">
        <f aca="false">IF(J514="","",J514-K514)</f>
        <v>0</v>
      </c>
      <c r="M514" s="35" t="n">
        <v>7.55</v>
      </c>
      <c r="N514" s="35" t="n">
        <f aca="false">IF(C514="covered",10.4,7.55)</f>
        <v>7.55</v>
      </c>
      <c r="O514" s="35" t="n">
        <f aca="false">IF(M514="","",M514-N514)</f>
        <v>0</v>
      </c>
      <c r="P514" s="8" t="n">
        <v>1</v>
      </c>
      <c r="Q514" s="36" t="n">
        <v>339.75</v>
      </c>
      <c r="R514" s="36" t="n">
        <f aca="false">IF(OR(J514="",P514=""),"",K514*N514*P514)</f>
        <v>339.75</v>
      </c>
      <c r="S514" s="36" t="n">
        <f aca="false">IF(Q514="","",Q514-R514)</f>
        <v>0</v>
      </c>
      <c r="T514" s="36" t="n">
        <f aca="false">IF(S514="","",MAX(0,-S514))</f>
        <v>-0</v>
      </c>
      <c r="U514" s="36" t="n">
        <f aca="false">IF(S514="","",MAX(0,S514))</f>
        <v>0</v>
      </c>
      <c r="V514" s="8" t="str">
        <f aca="false">IF(J514="","NOT SCORED - NO JULY MONTHLY ROW",IF(OR(ABS(L514)&gt;0.005,ABS(O514)&gt;0.005,ABS(S514)&gt;0.005),"EXCEPTION","OK"))</f>
        <v>OK</v>
      </c>
      <c r="W514" s="8" t="s">
        <v>4820</v>
      </c>
      <c r="X514" s="8" t="s">
        <v>4099</v>
      </c>
      <c r="Y514" s="36" t="n">
        <f aca="false">K514*N514</f>
        <v>339.75</v>
      </c>
    </row>
    <row r="515" customFormat="false" ht="15" hidden="false" customHeight="false" outlineLevel="0" collapsed="false">
      <c r="A515" s="11" t="s">
        <v>4821</v>
      </c>
      <c r="B515" s="11" t="s">
        <v>224</v>
      </c>
      <c r="C515" s="11" t="s">
        <v>2829</v>
      </c>
      <c r="D515" s="11" t="s">
        <v>3237</v>
      </c>
      <c r="E515" s="11" t="s">
        <v>2113</v>
      </c>
      <c r="F515" s="11" t="s">
        <v>4822</v>
      </c>
      <c r="G515" s="11" t="s">
        <v>3990</v>
      </c>
      <c r="H515" s="11" t="n">
        <v>70</v>
      </c>
      <c r="I515" s="31" t="n">
        <v>53.7</v>
      </c>
      <c r="J515" s="31" t="n">
        <v>70</v>
      </c>
      <c r="K515" s="31" t="n">
        <f aca="false">MAX(ROUNDUP(I515,0),H515)</f>
        <v>70</v>
      </c>
      <c r="L515" s="31" t="n">
        <f aca="false">IF(J515="","",J515-K515)</f>
        <v>0</v>
      </c>
      <c r="M515" s="32" t="n">
        <v>7.55</v>
      </c>
      <c r="N515" s="32" t="n">
        <f aca="false">IF(C515="covered",10.4,7.55)</f>
        <v>7.55</v>
      </c>
      <c r="O515" s="32" t="n">
        <f aca="false">IF(M515="","",M515-N515)</f>
        <v>0</v>
      </c>
      <c r="P515" s="11" t="n">
        <v>1</v>
      </c>
      <c r="Q515" s="33" t="n">
        <v>528.5</v>
      </c>
      <c r="R515" s="33" t="n">
        <f aca="false">IF(OR(J515="",P515=""),"",K515*N515*P515)</f>
        <v>528.5</v>
      </c>
      <c r="S515" s="33" t="n">
        <f aca="false">IF(Q515="","",Q515-R515)</f>
        <v>0</v>
      </c>
      <c r="T515" s="33" t="n">
        <f aca="false">IF(S515="","",MAX(0,-S515))</f>
        <v>-0</v>
      </c>
      <c r="U515" s="33" t="n">
        <f aca="false">IF(S515="","",MAX(0,S515))</f>
        <v>0</v>
      </c>
      <c r="V515" s="11" t="str">
        <f aca="false">IF(J515="","NOT SCORED - NO JULY MONTHLY ROW",IF(OR(ABS(L515)&gt;0.005,ABS(O515)&gt;0.005,ABS(S515)&gt;0.005),"EXCEPTION","OK"))</f>
        <v>OK</v>
      </c>
      <c r="W515" s="11" t="s">
        <v>4823</v>
      </c>
      <c r="X515" s="11" t="s">
        <v>4099</v>
      </c>
      <c r="Y515" s="33" t="n">
        <f aca="false">K515*N515</f>
        <v>528.5</v>
      </c>
    </row>
    <row r="516" customFormat="false" ht="15" hidden="false" customHeight="false" outlineLevel="0" collapsed="false">
      <c r="A516" s="8" t="s">
        <v>4824</v>
      </c>
      <c r="B516" s="8" t="s">
        <v>224</v>
      </c>
      <c r="C516" s="8" t="s">
        <v>2829</v>
      </c>
      <c r="D516" s="8" t="s">
        <v>3242</v>
      </c>
      <c r="E516" s="8" t="s">
        <v>4825</v>
      </c>
      <c r="F516" s="8" t="s">
        <v>4826</v>
      </c>
      <c r="G516" s="8" t="s">
        <v>4585</v>
      </c>
      <c r="H516" s="8" t="n">
        <v>60</v>
      </c>
      <c r="I516" s="34" t="n">
        <v>24</v>
      </c>
      <c r="J516" s="34" t="n">
        <v>60</v>
      </c>
      <c r="K516" s="34" t="n">
        <f aca="false">MAX(ROUNDUP(I516,0),H516)</f>
        <v>60</v>
      </c>
      <c r="L516" s="34" t="n">
        <f aca="false">IF(J516="","",J516-K516)</f>
        <v>0</v>
      </c>
      <c r="M516" s="35" t="n">
        <v>7.55</v>
      </c>
      <c r="N516" s="35" t="n">
        <f aca="false">IF(C516="covered",10.4,7.55)</f>
        <v>7.55</v>
      </c>
      <c r="O516" s="35" t="n">
        <f aca="false">IF(M516="","",M516-N516)</f>
        <v>0</v>
      </c>
      <c r="P516" s="8" t="n">
        <v>1</v>
      </c>
      <c r="Q516" s="36" t="n">
        <v>453</v>
      </c>
      <c r="R516" s="36" t="n">
        <f aca="false">IF(OR(J516="",P516=""),"",K516*N516*P516)</f>
        <v>453</v>
      </c>
      <c r="S516" s="36" t="n">
        <f aca="false">IF(Q516="","",Q516-R516)</f>
        <v>0</v>
      </c>
      <c r="T516" s="36" t="n">
        <f aca="false">IF(S516="","",MAX(0,-S516))</f>
        <v>-0</v>
      </c>
      <c r="U516" s="36" t="n">
        <f aca="false">IF(S516="","",MAX(0,S516))</f>
        <v>0</v>
      </c>
      <c r="V516" s="8" t="str">
        <f aca="false">IF(J516="","NOT SCORED - NO JULY MONTHLY ROW",IF(OR(ABS(L516)&gt;0.005,ABS(O516)&gt;0.005,ABS(S516)&gt;0.005),"EXCEPTION","OK"))</f>
        <v>OK</v>
      </c>
      <c r="W516" s="8" t="s">
        <v>4827</v>
      </c>
      <c r="X516" s="8" t="s">
        <v>4099</v>
      </c>
      <c r="Y516" s="36" t="n">
        <f aca="false">K516*N516</f>
        <v>453</v>
      </c>
    </row>
    <row r="517" customFormat="false" ht="15" hidden="false" customHeight="false" outlineLevel="0" collapsed="false">
      <c r="A517" s="11" t="s">
        <v>4828</v>
      </c>
      <c r="B517" s="11" t="s">
        <v>224</v>
      </c>
      <c r="C517" s="11" t="s">
        <v>2829</v>
      </c>
      <c r="D517" s="11" t="s">
        <v>3247</v>
      </c>
      <c r="E517" s="11" t="s">
        <v>4829</v>
      </c>
      <c r="F517" s="11" t="s">
        <v>4830</v>
      </c>
      <c r="G517" s="11" t="s">
        <v>4831</v>
      </c>
      <c r="H517" s="11" t="n">
        <v>70</v>
      </c>
      <c r="I517" s="31" t="n">
        <v>47.4</v>
      </c>
      <c r="J517" s="31" t="n">
        <v>70</v>
      </c>
      <c r="K517" s="31" t="n">
        <f aca="false">MAX(ROUNDUP(I517,0),H517)</f>
        <v>70</v>
      </c>
      <c r="L517" s="31" t="n">
        <f aca="false">IF(J517="","",J517-K517)</f>
        <v>0</v>
      </c>
      <c r="M517" s="32" t="n">
        <v>7.55</v>
      </c>
      <c r="N517" s="32" t="n">
        <f aca="false">IF(C517="covered",10.4,7.55)</f>
        <v>7.55</v>
      </c>
      <c r="O517" s="32" t="n">
        <f aca="false">IF(M517="","",M517-N517)</f>
        <v>0</v>
      </c>
      <c r="P517" s="11" t="n">
        <v>1</v>
      </c>
      <c r="Q517" s="33" t="n">
        <v>528.5</v>
      </c>
      <c r="R517" s="33" t="n">
        <f aca="false">IF(OR(J517="",P517=""),"",K517*N517*P517)</f>
        <v>528.5</v>
      </c>
      <c r="S517" s="33" t="n">
        <f aca="false">IF(Q517="","",Q517-R517)</f>
        <v>0</v>
      </c>
      <c r="T517" s="33" t="n">
        <f aca="false">IF(S517="","",MAX(0,-S517))</f>
        <v>-0</v>
      </c>
      <c r="U517" s="33" t="n">
        <f aca="false">IF(S517="","",MAX(0,S517))</f>
        <v>0</v>
      </c>
      <c r="V517" s="11" t="str">
        <f aca="false">IF(J517="","NOT SCORED - NO JULY MONTHLY ROW",IF(OR(ABS(L517)&gt;0.005,ABS(O517)&gt;0.005,ABS(S517)&gt;0.005),"EXCEPTION","OK"))</f>
        <v>OK</v>
      </c>
      <c r="W517" s="11" t="s">
        <v>4832</v>
      </c>
      <c r="X517" s="11" t="s">
        <v>4099</v>
      </c>
      <c r="Y517" s="33" t="n">
        <f aca="false">K517*N517</f>
        <v>528.5</v>
      </c>
    </row>
    <row r="518" customFormat="false" ht="15" hidden="false" customHeight="false" outlineLevel="0" collapsed="false">
      <c r="A518" s="8" t="s">
        <v>4833</v>
      </c>
      <c r="B518" s="8" t="s">
        <v>224</v>
      </c>
      <c r="C518" s="8" t="s">
        <v>2829</v>
      </c>
      <c r="D518" s="8" t="s">
        <v>3252</v>
      </c>
      <c r="E518" s="8" t="s">
        <v>4834</v>
      </c>
      <c r="F518" s="8" t="s">
        <v>4835</v>
      </c>
      <c r="G518" s="8" t="s">
        <v>4836</v>
      </c>
      <c r="H518" s="8" t="n">
        <v>32</v>
      </c>
      <c r="I518" s="34" t="n">
        <v>47.2</v>
      </c>
      <c r="J518" s="34" t="n">
        <v>48</v>
      </c>
      <c r="K518" s="34" t="n">
        <f aca="false">MAX(ROUNDUP(I518,0),H518)</f>
        <v>48</v>
      </c>
      <c r="L518" s="34" t="n">
        <f aca="false">IF(J518="","",J518-K518)</f>
        <v>0</v>
      </c>
      <c r="M518" s="35" t="n">
        <v>7.55</v>
      </c>
      <c r="N518" s="35" t="n">
        <f aca="false">IF(C518="covered",10.4,7.55)</f>
        <v>7.55</v>
      </c>
      <c r="O518" s="35" t="n">
        <f aca="false">IF(M518="","",M518-N518)</f>
        <v>0</v>
      </c>
      <c r="P518" s="8" t="n">
        <v>1</v>
      </c>
      <c r="Q518" s="36" t="n">
        <v>362.4</v>
      </c>
      <c r="R518" s="36" t="n">
        <f aca="false">IF(OR(J518="",P518=""),"",K518*N518*P518)</f>
        <v>362.4</v>
      </c>
      <c r="S518" s="36" t="n">
        <f aca="false">IF(Q518="","",Q518-R518)</f>
        <v>0</v>
      </c>
      <c r="T518" s="36" t="n">
        <f aca="false">IF(S518="","",MAX(0,-S518))</f>
        <v>-0</v>
      </c>
      <c r="U518" s="36" t="n">
        <f aca="false">IF(S518="","",MAX(0,S518))</f>
        <v>0</v>
      </c>
      <c r="V518" s="8" t="str">
        <f aca="false">IF(J518="","NOT SCORED - NO JULY MONTHLY ROW",IF(OR(ABS(L518)&gt;0.005,ABS(O518)&gt;0.005,ABS(S518)&gt;0.005),"EXCEPTION","OK"))</f>
        <v>OK</v>
      </c>
      <c r="W518" s="8" t="s">
        <v>4837</v>
      </c>
      <c r="X518" s="8" t="s">
        <v>4099</v>
      </c>
      <c r="Y518" s="36" t="n">
        <f aca="false">K518*N518</f>
        <v>362.4</v>
      </c>
    </row>
    <row r="519" customFormat="false" ht="15" hidden="false" customHeight="false" outlineLevel="0" collapsed="false">
      <c r="A519" s="11" t="s">
        <v>4838</v>
      </c>
      <c r="B519" s="11" t="s">
        <v>224</v>
      </c>
      <c r="C519" s="11" t="s">
        <v>2829</v>
      </c>
      <c r="D519" s="11" t="s">
        <v>3254</v>
      </c>
      <c r="E519" s="11" t="s">
        <v>4839</v>
      </c>
      <c r="F519" s="11" t="s">
        <v>4840</v>
      </c>
      <c r="G519" s="11" t="s">
        <v>4841</v>
      </c>
      <c r="H519" s="11" t="n">
        <v>28</v>
      </c>
      <c r="I519" s="31" t="n">
        <v>25.3</v>
      </c>
      <c r="J519" s="31" t="n">
        <v>28</v>
      </c>
      <c r="K519" s="31" t="n">
        <f aca="false">MAX(ROUNDUP(I519,0),H519)</f>
        <v>28</v>
      </c>
      <c r="L519" s="31" t="n">
        <f aca="false">IF(J519="","",J519-K519)</f>
        <v>0</v>
      </c>
      <c r="M519" s="32" t="n">
        <v>7.55</v>
      </c>
      <c r="N519" s="32" t="n">
        <f aca="false">IF(C519="covered",10.4,7.55)</f>
        <v>7.55</v>
      </c>
      <c r="O519" s="32" t="n">
        <f aca="false">IF(M519="","",M519-N519)</f>
        <v>0</v>
      </c>
      <c r="P519" s="11" t="n">
        <v>1</v>
      </c>
      <c r="Q519" s="33" t="n">
        <v>211.4</v>
      </c>
      <c r="R519" s="33" t="n">
        <f aca="false">IF(OR(J519="",P519=""),"",K519*N519*P519)</f>
        <v>211.4</v>
      </c>
      <c r="S519" s="33" t="n">
        <f aca="false">IF(Q519="","",Q519-R519)</f>
        <v>0</v>
      </c>
      <c r="T519" s="33" t="n">
        <f aca="false">IF(S519="","",MAX(0,-S519))</f>
        <v>-0</v>
      </c>
      <c r="U519" s="33" t="n">
        <f aca="false">IF(S519="","",MAX(0,S519))</f>
        <v>0</v>
      </c>
      <c r="V519" s="11" t="str">
        <f aca="false">IF(J519="","NOT SCORED - NO JULY MONTHLY ROW",IF(OR(ABS(L519)&gt;0.005,ABS(O519)&gt;0.005,ABS(S519)&gt;0.005),"EXCEPTION","OK"))</f>
        <v>OK</v>
      </c>
      <c r="W519" s="11" t="s">
        <v>4842</v>
      </c>
      <c r="X519" s="11" t="s">
        <v>4099</v>
      </c>
      <c r="Y519" s="33" t="n">
        <f aca="false">K519*N519</f>
        <v>211.4</v>
      </c>
    </row>
    <row r="520" customFormat="false" ht="15" hidden="false" customHeight="false" outlineLevel="0" collapsed="false">
      <c r="A520" s="8" t="s">
        <v>4843</v>
      </c>
      <c r="B520" s="8" t="s">
        <v>224</v>
      </c>
      <c r="C520" s="8" t="s">
        <v>2829</v>
      </c>
      <c r="D520" s="8" t="s">
        <v>3258</v>
      </c>
      <c r="E520" s="8" t="s">
        <v>4844</v>
      </c>
      <c r="F520" s="8" t="s">
        <v>4845</v>
      </c>
      <c r="G520" s="8" t="s">
        <v>4846</v>
      </c>
      <c r="H520" s="8" t="n">
        <v>50</v>
      </c>
      <c r="I520" s="34" t="n">
        <v>49.5</v>
      </c>
      <c r="J520" s="34" t="n">
        <v>50</v>
      </c>
      <c r="K520" s="34" t="n">
        <f aca="false">MAX(ROUNDUP(I520,0),H520)</f>
        <v>50</v>
      </c>
      <c r="L520" s="34" t="n">
        <f aca="false">IF(J520="","",J520-K520)</f>
        <v>0</v>
      </c>
      <c r="M520" s="35" t="n">
        <v>7.55</v>
      </c>
      <c r="N520" s="35" t="n">
        <f aca="false">IF(C520="covered",10.4,7.55)</f>
        <v>7.55</v>
      </c>
      <c r="O520" s="35" t="n">
        <f aca="false">IF(M520="","",M520-N520)</f>
        <v>0</v>
      </c>
      <c r="P520" s="8" t="n">
        <v>1</v>
      </c>
      <c r="Q520" s="36" t="n">
        <v>377.5</v>
      </c>
      <c r="R520" s="36" t="n">
        <f aca="false">IF(OR(J520="",P520=""),"",K520*N520*P520)</f>
        <v>377.5</v>
      </c>
      <c r="S520" s="36" t="n">
        <f aca="false">IF(Q520="","",Q520-R520)</f>
        <v>0</v>
      </c>
      <c r="T520" s="36" t="n">
        <f aca="false">IF(S520="","",MAX(0,-S520))</f>
        <v>-0</v>
      </c>
      <c r="U520" s="36" t="n">
        <f aca="false">IF(S520="","",MAX(0,S520))</f>
        <v>0</v>
      </c>
      <c r="V520" s="8" t="str">
        <f aca="false">IF(J520="","NOT SCORED - NO JULY MONTHLY ROW",IF(OR(ABS(L520)&gt;0.005,ABS(O520)&gt;0.005,ABS(S520)&gt;0.005),"EXCEPTION","OK"))</f>
        <v>OK</v>
      </c>
      <c r="W520" s="8" t="s">
        <v>4847</v>
      </c>
      <c r="X520" s="8" t="s">
        <v>4099</v>
      </c>
      <c r="Y520" s="36" t="n">
        <f aca="false">K520*N520</f>
        <v>377.5</v>
      </c>
    </row>
    <row r="521" customFormat="false" ht="15" hidden="false" customHeight="false" outlineLevel="0" collapsed="false">
      <c r="A521" s="11" t="s">
        <v>840</v>
      </c>
      <c r="B521" s="11" t="s">
        <v>224</v>
      </c>
      <c r="C521" s="11" t="s">
        <v>2829</v>
      </c>
      <c r="D521" s="11" t="s">
        <v>3263</v>
      </c>
      <c r="E521" s="11" t="s">
        <v>4848</v>
      </c>
      <c r="F521" s="11" t="s">
        <v>4849</v>
      </c>
      <c r="G521" s="11" t="s">
        <v>4050</v>
      </c>
      <c r="H521" s="11" t="n">
        <v>24</v>
      </c>
      <c r="I521" s="31" t="n">
        <v>53.1</v>
      </c>
      <c r="J521" s="31" t="n">
        <v>54</v>
      </c>
      <c r="K521" s="31" t="n">
        <f aca="false">MAX(ROUNDUP(I521,0),H521)</f>
        <v>54</v>
      </c>
      <c r="L521" s="31" t="n">
        <f aca="false">IF(J521="","",J521-K521)</f>
        <v>0</v>
      </c>
      <c r="M521" s="32" t="n">
        <v>7.55</v>
      </c>
      <c r="N521" s="32" t="n">
        <f aca="false">IF(C521="covered",10.4,7.55)</f>
        <v>7.55</v>
      </c>
      <c r="O521" s="32" t="n">
        <f aca="false">IF(M521="","",M521-N521)</f>
        <v>0</v>
      </c>
      <c r="P521" s="11" t="n">
        <v>1</v>
      </c>
      <c r="Q521" s="33" t="n">
        <v>407.7</v>
      </c>
      <c r="R521" s="33" t="n">
        <f aca="false">IF(OR(J521="",P521=""),"",K521*N521*P521)</f>
        <v>407.7</v>
      </c>
      <c r="S521" s="33" t="n">
        <f aca="false">IF(Q521="","",Q521-R521)</f>
        <v>0</v>
      </c>
      <c r="T521" s="33" t="n">
        <f aca="false">IF(S521="","",MAX(0,-S521))</f>
        <v>-0</v>
      </c>
      <c r="U521" s="33" t="n">
        <f aca="false">IF(S521="","",MAX(0,S521))</f>
        <v>0</v>
      </c>
      <c r="V521" s="11" t="str">
        <f aca="false">IF(J521="","NOT SCORED - NO JULY MONTHLY ROW",IF(OR(ABS(L521)&gt;0.005,ABS(O521)&gt;0.005,ABS(S521)&gt;0.005),"EXCEPTION","OK"))</f>
        <v>OK</v>
      </c>
      <c r="W521" s="11" t="s">
        <v>4850</v>
      </c>
      <c r="X521" s="11" t="s">
        <v>4099</v>
      </c>
      <c r="Y521" s="33" t="n">
        <f aca="false">K521*N521</f>
        <v>407.7</v>
      </c>
    </row>
    <row r="522" customFormat="false" ht="15" hidden="false" customHeight="false" outlineLevel="0" collapsed="false">
      <c r="A522" s="8" t="s">
        <v>4851</v>
      </c>
      <c r="B522" s="8" t="s">
        <v>224</v>
      </c>
      <c r="C522" s="8" t="s">
        <v>2829</v>
      </c>
      <c r="D522" s="8" t="s">
        <v>3267</v>
      </c>
      <c r="E522" s="8" t="s">
        <v>4852</v>
      </c>
      <c r="F522" s="8" t="s">
        <v>4853</v>
      </c>
      <c r="G522" s="8" t="s">
        <v>4854</v>
      </c>
      <c r="H522" s="8" t="n">
        <v>24</v>
      </c>
      <c r="I522" s="34" t="n">
        <v>48.6</v>
      </c>
      <c r="J522" s="34" t="n">
        <v>49</v>
      </c>
      <c r="K522" s="34" t="n">
        <f aca="false">MAX(ROUNDUP(I522,0),H522)</f>
        <v>49</v>
      </c>
      <c r="L522" s="34" t="n">
        <f aca="false">IF(J522="","",J522-K522)</f>
        <v>0</v>
      </c>
      <c r="M522" s="35" t="n">
        <v>7.55</v>
      </c>
      <c r="N522" s="35" t="n">
        <f aca="false">IF(C522="covered",10.4,7.55)</f>
        <v>7.55</v>
      </c>
      <c r="O522" s="35" t="n">
        <f aca="false">IF(M522="","",M522-N522)</f>
        <v>0</v>
      </c>
      <c r="P522" s="8" t="n">
        <v>1</v>
      </c>
      <c r="Q522" s="36" t="n">
        <v>369.95</v>
      </c>
      <c r="R522" s="36" t="n">
        <f aca="false">IF(OR(J522="",P522=""),"",K522*N522*P522)</f>
        <v>369.95</v>
      </c>
      <c r="S522" s="36" t="n">
        <f aca="false">IF(Q522="","",Q522-R522)</f>
        <v>0</v>
      </c>
      <c r="T522" s="36" t="n">
        <f aca="false">IF(S522="","",MAX(0,-S522))</f>
        <v>-0</v>
      </c>
      <c r="U522" s="36" t="n">
        <f aca="false">IF(S522="","",MAX(0,S522))</f>
        <v>0</v>
      </c>
      <c r="V522" s="8" t="str">
        <f aca="false">IF(J522="","NOT SCORED - NO JULY MONTHLY ROW",IF(OR(ABS(L522)&gt;0.005,ABS(O522)&gt;0.005,ABS(S522)&gt;0.005),"EXCEPTION","OK"))</f>
        <v>OK</v>
      </c>
      <c r="W522" s="8" t="s">
        <v>4855</v>
      </c>
      <c r="X522" s="8" t="s">
        <v>4099</v>
      </c>
      <c r="Y522" s="36" t="n">
        <f aca="false">K522*N522</f>
        <v>369.95</v>
      </c>
    </row>
    <row r="523" customFormat="false" ht="15" hidden="false" customHeight="false" outlineLevel="0" collapsed="false">
      <c r="A523" s="11" t="s">
        <v>4856</v>
      </c>
      <c r="B523" s="11" t="s">
        <v>224</v>
      </c>
      <c r="C523" s="11" t="s">
        <v>2829</v>
      </c>
      <c r="D523" s="11" t="s">
        <v>3270</v>
      </c>
      <c r="E523" s="11" t="s">
        <v>4857</v>
      </c>
      <c r="F523" s="11" t="s">
        <v>4858</v>
      </c>
      <c r="G523" s="11" t="s">
        <v>4859</v>
      </c>
      <c r="H523" s="11" t="n">
        <v>24</v>
      </c>
      <c r="I523" s="31" t="n">
        <v>29.8</v>
      </c>
      <c r="J523" s="31" t="n">
        <v>30</v>
      </c>
      <c r="K523" s="31" t="n">
        <f aca="false">MAX(ROUNDUP(I523,0),H523)</f>
        <v>30</v>
      </c>
      <c r="L523" s="31" t="n">
        <f aca="false">IF(J523="","",J523-K523)</f>
        <v>0</v>
      </c>
      <c r="M523" s="32" t="n">
        <v>7.55</v>
      </c>
      <c r="N523" s="32" t="n">
        <f aca="false">IF(C523="covered",10.4,7.55)</f>
        <v>7.55</v>
      </c>
      <c r="O523" s="32" t="n">
        <f aca="false">IF(M523="","",M523-N523)</f>
        <v>0</v>
      </c>
      <c r="P523" s="11" t="n">
        <v>1</v>
      </c>
      <c r="Q523" s="33" t="n">
        <v>226.5</v>
      </c>
      <c r="R523" s="33" t="n">
        <f aca="false">IF(OR(J523="",P523=""),"",K523*N523*P523)</f>
        <v>226.5</v>
      </c>
      <c r="S523" s="33" t="n">
        <f aca="false">IF(Q523="","",Q523-R523)</f>
        <v>0</v>
      </c>
      <c r="T523" s="33" t="n">
        <f aca="false">IF(S523="","",MAX(0,-S523))</f>
        <v>-0</v>
      </c>
      <c r="U523" s="33" t="n">
        <f aca="false">IF(S523="","",MAX(0,S523))</f>
        <v>0</v>
      </c>
      <c r="V523" s="11" t="str">
        <f aca="false">IF(J523="","NOT SCORED - NO JULY MONTHLY ROW",IF(OR(ABS(L523)&gt;0.005,ABS(O523)&gt;0.005,ABS(S523)&gt;0.005),"EXCEPTION","OK"))</f>
        <v>OK</v>
      </c>
      <c r="W523" s="11" t="s">
        <v>4860</v>
      </c>
      <c r="X523" s="11" t="s">
        <v>4099</v>
      </c>
      <c r="Y523" s="33" t="n">
        <f aca="false">K523*N523</f>
        <v>226.5</v>
      </c>
    </row>
    <row r="524" customFormat="false" ht="15" hidden="false" customHeight="false" outlineLevel="0" collapsed="false">
      <c r="A524" s="8" t="s">
        <v>4861</v>
      </c>
      <c r="B524" s="8" t="s">
        <v>224</v>
      </c>
      <c r="C524" s="8" t="s">
        <v>2829</v>
      </c>
      <c r="D524" s="8" t="s">
        <v>3275</v>
      </c>
      <c r="E524" s="8" t="s">
        <v>4862</v>
      </c>
      <c r="F524" s="8" t="s">
        <v>4863</v>
      </c>
      <c r="G524" s="8" t="s">
        <v>3883</v>
      </c>
      <c r="H524" s="8" t="n">
        <v>28</v>
      </c>
      <c r="I524" s="34" t="n">
        <v>61.3</v>
      </c>
      <c r="J524" s="34" t="n">
        <v>62</v>
      </c>
      <c r="K524" s="34" t="n">
        <f aca="false">MAX(ROUNDUP(I524,0),H524)</f>
        <v>62</v>
      </c>
      <c r="L524" s="34" t="n">
        <f aca="false">IF(J524="","",J524-K524)</f>
        <v>0</v>
      </c>
      <c r="M524" s="35" t="n">
        <v>7.55</v>
      </c>
      <c r="N524" s="35" t="n">
        <f aca="false">IF(C524="covered",10.4,7.55)</f>
        <v>7.55</v>
      </c>
      <c r="O524" s="35" t="n">
        <f aca="false">IF(M524="","",M524-N524)</f>
        <v>0</v>
      </c>
      <c r="P524" s="8" t="n">
        <v>1</v>
      </c>
      <c r="Q524" s="36" t="n">
        <v>468.1</v>
      </c>
      <c r="R524" s="36" t="n">
        <f aca="false">IF(OR(J524="",P524=""),"",K524*N524*P524)</f>
        <v>468.1</v>
      </c>
      <c r="S524" s="36" t="n">
        <f aca="false">IF(Q524="","",Q524-R524)</f>
        <v>0</v>
      </c>
      <c r="T524" s="36" t="n">
        <f aca="false">IF(S524="","",MAX(0,-S524))</f>
        <v>-0</v>
      </c>
      <c r="U524" s="36" t="n">
        <f aca="false">IF(S524="","",MAX(0,S524))</f>
        <v>0</v>
      </c>
      <c r="V524" s="8" t="str">
        <f aca="false">IF(J524="","NOT SCORED - NO JULY MONTHLY ROW",IF(OR(ABS(L524)&gt;0.005,ABS(O524)&gt;0.005,ABS(S524)&gt;0.005),"EXCEPTION","OK"))</f>
        <v>OK</v>
      </c>
      <c r="W524" s="8" t="s">
        <v>4864</v>
      </c>
      <c r="X524" s="8" t="s">
        <v>4099</v>
      </c>
      <c r="Y524" s="36" t="n">
        <f aca="false">K524*N524</f>
        <v>468.1</v>
      </c>
    </row>
    <row r="525" customFormat="false" ht="15" hidden="false" customHeight="false" outlineLevel="0" collapsed="false">
      <c r="A525" s="11" t="s">
        <v>4865</v>
      </c>
      <c r="B525" s="11" t="s">
        <v>224</v>
      </c>
      <c r="C525" s="11" t="s">
        <v>2829</v>
      </c>
      <c r="D525" s="11" t="s">
        <v>3280</v>
      </c>
      <c r="E525" s="11" t="s">
        <v>4866</v>
      </c>
      <c r="F525" s="11" t="s">
        <v>4867</v>
      </c>
      <c r="G525" s="11" t="s">
        <v>4868</v>
      </c>
      <c r="H525" s="11" t="n">
        <v>40</v>
      </c>
      <c r="I525" s="31" t="n">
        <v>51.4</v>
      </c>
      <c r="J525" s="31" t="n">
        <v>52</v>
      </c>
      <c r="K525" s="31" t="n">
        <f aca="false">MAX(ROUNDUP(I525,0),H525)</f>
        <v>52</v>
      </c>
      <c r="L525" s="31" t="n">
        <f aca="false">IF(J525="","",J525-K525)</f>
        <v>0</v>
      </c>
      <c r="M525" s="32" t="n">
        <v>7.55</v>
      </c>
      <c r="N525" s="32" t="n">
        <f aca="false">IF(C525="covered",10.4,7.55)</f>
        <v>7.55</v>
      </c>
      <c r="O525" s="32" t="n">
        <f aca="false">IF(M525="","",M525-N525)</f>
        <v>0</v>
      </c>
      <c r="P525" s="11" t="n">
        <v>1</v>
      </c>
      <c r="Q525" s="33" t="n">
        <v>392.6</v>
      </c>
      <c r="R525" s="33" t="n">
        <f aca="false">IF(OR(J525="",P525=""),"",K525*N525*P525)</f>
        <v>392.6</v>
      </c>
      <c r="S525" s="33" t="n">
        <f aca="false">IF(Q525="","",Q525-R525)</f>
        <v>0</v>
      </c>
      <c r="T525" s="33" t="n">
        <f aca="false">IF(S525="","",MAX(0,-S525))</f>
        <v>-0</v>
      </c>
      <c r="U525" s="33" t="n">
        <f aca="false">IF(S525="","",MAX(0,S525))</f>
        <v>0</v>
      </c>
      <c r="V525" s="11" t="str">
        <f aca="false">IF(J525="","NOT SCORED - NO JULY MONTHLY ROW",IF(OR(ABS(L525)&gt;0.005,ABS(O525)&gt;0.005,ABS(S525)&gt;0.005),"EXCEPTION","OK"))</f>
        <v>OK</v>
      </c>
      <c r="W525" s="11" t="s">
        <v>4869</v>
      </c>
      <c r="X525" s="11" t="s">
        <v>4099</v>
      </c>
      <c r="Y525" s="33" t="n">
        <f aca="false">K525*N525</f>
        <v>392.6</v>
      </c>
    </row>
    <row r="526" customFormat="false" ht="15" hidden="false" customHeight="false" outlineLevel="0" collapsed="false">
      <c r="A526" s="8" t="s">
        <v>4870</v>
      </c>
      <c r="B526" s="8" t="s">
        <v>224</v>
      </c>
      <c r="C526" s="8" t="s">
        <v>2829</v>
      </c>
      <c r="D526" s="8" t="s">
        <v>3285</v>
      </c>
      <c r="E526" s="8" t="s">
        <v>4871</v>
      </c>
      <c r="F526" s="8" t="s">
        <v>4872</v>
      </c>
      <c r="G526" s="8" t="s">
        <v>3627</v>
      </c>
      <c r="H526" s="8" t="n">
        <v>32</v>
      </c>
      <c r="I526" s="34" t="n">
        <v>61.9</v>
      </c>
      <c r="J526" s="34" t="n">
        <v>62</v>
      </c>
      <c r="K526" s="34" t="n">
        <f aca="false">MAX(ROUNDUP(I526,0),H526)</f>
        <v>62</v>
      </c>
      <c r="L526" s="34" t="n">
        <f aca="false">IF(J526="","",J526-K526)</f>
        <v>0</v>
      </c>
      <c r="M526" s="35" t="n">
        <v>7.55</v>
      </c>
      <c r="N526" s="35" t="n">
        <f aca="false">IF(C526="covered",10.4,7.55)</f>
        <v>7.55</v>
      </c>
      <c r="O526" s="35" t="n">
        <f aca="false">IF(M526="","",M526-N526)</f>
        <v>0</v>
      </c>
      <c r="P526" s="8" t="n">
        <v>1</v>
      </c>
      <c r="Q526" s="36" t="n">
        <v>468.1</v>
      </c>
      <c r="R526" s="36" t="n">
        <f aca="false">IF(OR(J526="",P526=""),"",K526*N526*P526)</f>
        <v>468.1</v>
      </c>
      <c r="S526" s="36" t="n">
        <f aca="false">IF(Q526="","",Q526-R526)</f>
        <v>0</v>
      </c>
      <c r="T526" s="36" t="n">
        <f aca="false">IF(S526="","",MAX(0,-S526))</f>
        <v>-0</v>
      </c>
      <c r="U526" s="36" t="n">
        <f aca="false">IF(S526="","",MAX(0,S526))</f>
        <v>0</v>
      </c>
      <c r="V526" s="8" t="str">
        <f aca="false">IF(J526="","NOT SCORED - NO JULY MONTHLY ROW",IF(OR(ABS(L526)&gt;0.005,ABS(O526)&gt;0.005,ABS(S526)&gt;0.005),"EXCEPTION","OK"))</f>
        <v>OK</v>
      </c>
      <c r="W526" s="8" t="s">
        <v>4873</v>
      </c>
      <c r="X526" s="8" t="s">
        <v>4099</v>
      </c>
      <c r="Y526" s="36" t="n">
        <f aca="false">K526*N526</f>
        <v>468.1</v>
      </c>
    </row>
    <row r="527" customFormat="false" ht="15" hidden="false" customHeight="false" outlineLevel="0" collapsed="false">
      <c r="A527" s="11" t="s">
        <v>4874</v>
      </c>
      <c r="B527" s="11" t="s">
        <v>224</v>
      </c>
      <c r="C527" s="11" t="s">
        <v>2829</v>
      </c>
      <c r="D527" s="11" t="s">
        <v>3289</v>
      </c>
      <c r="E527" s="11" t="s">
        <v>4875</v>
      </c>
      <c r="F527" s="11" t="s">
        <v>4876</v>
      </c>
      <c r="G527" s="11" t="s">
        <v>4877</v>
      </c>
      <c r="H527" s="11" t="n">
        <v>28</v>
      </c>
      <c r="I527" s="31" t="n">
        <v>26.2</v>
      </c>
      <c r="J527" s="31" t="n">
        <v>28</v>
      </c>
      <c r="K527" s="31" t="n">
        <f aca="false">MAX(ROUNDUP(I527,0),H527)</f>
        <v>28</v>
      </c>
      <c r="L527" s="31" t="n">
        <f aca="false">IF(J527="","",J527-K527)</f>
        <v>0</v>
      </c>
      <c r="M527" s="32" t="n">
        <v>7.55</v>
      </c>
      <c r="N527" s="32" t="n">
        <f aca="false">IF(C527="covered",10.4,7.55)</f>
        <v>7.55</v>
      </c>
      <c r="O527" s="32" t="n">
        <f aca="false">IF(M527="","",M527-N527)</f>
        <v>0</v>
      </c>
      <c r="P527" s="11" t="n">
        <v>1</v>
      </c>
      <c r="Q527" s="33" t="n">
        <v>211.4</v>
      </c>
      <c r="R527" s="33" t="n">
        <f aca="false">IF(OR(J527="",P527=""),"",K527*N527*P527)</f>
        <v>211.4</v>
      </c>
      <c r="S527" s="33" t="n">
        <f aca="false">IF(Q527="","",Q527-R527)</f>
        <v>0</v>
      </c>
      <c r="T527" s="33" t="n">
        <f aca="false">IF(S527="","",MAX(0,-S527))</f>
        <v>-0</v>
      </c>
      <c r="U527" s="33" t="n">
        <f aca="false">IF(S527="","",MAX(0,S527))</f>
        <v>0</v>
      </c>
      <c r="V527" s="11" t="str">
        <f aca="false">IF(J527="","NOT SCORED - NO JULY MONTHLY ROW",IF(OR(ABS(L527)&gt;0.005,ABS(O527)&gt;0.005,ABS(S527)&gt;0.005),"EXCEPTION","OK"))</f>
        <v>OK</v>
      </c>
      <c r="W527" s="11" t="s">
        <v>4878</v>
      </c>
      <c r="X527" s="11" t="s">
        <v>4099</v>
      </c>
      <c r="Y527" s="33" t="n">
        <f aca="false">K527*N527</f>
        <v>211.4</v>
      </c>
    </row>
    <row r="528" customFormat="false" ht="15" hidden="false" customHeight="false" outlineLevel="0" collapsed="false">
      <c r="A528" s="8" t="s">
        <v>4879</v>
      </c>
      <c r="B528" s="8" t="s">
        <v>224</v>
      </c>
      <c r="C528" s="8" t="s">
        <v>2829</v>
      </c>
      <c r="D528" s="8" t="s">
        <v>3294</v>
      </c>
      <c r="E528" s="8" t="s">
        <v>4880</v>
      </c>
      <c r="F528" s="8" t="s">
        <v>4881</v>
      </c>
      <c r="G528" s="8" t="s">
        <v>4882</v>
      </c>
      <c r="H528" s="8" t="n">
        <v>32</v>
      </c>
      <c r="I528" s="34" t="n">
        <v>40.6</v>
      </c>
      <c r="J528" s="34" t="n">
        <v>41</v>
      </c>
      <c r="K528" s="34" t="n">
        <f aca="false">MAX(ROUNDUP(I528,0),H528)</f>
        <v>41</v>
      </c>
      <c r="L528" s="34" t="n">
        <f aca="false">IF(J528="","",J528-K528)</f>
        <v>0</v>
      </c>
      <c r="M528" s="35" t="n">
        <v>7.55</v>
      </c>
      <c r="N528" s="35" t="n">
        <f aca="false">IF(C528="covered",10.4,7.55)</f>
        <v>7.55</v>
      </c>
      <c r="O528" s="35" t="n">
        <f aca="false">IF(M528="","",M528-N528)</f>
        <v>0</v>
      </c>
      <c r="P528" s="8" t="n">
        <v>1</v>
      </c>
      <c r="Q528" s="36" t="n">
        <v>309.55</v>
      </c>
      <c r="R528" s="36" t="n">
        <f aca="false">IF(OR(J528="",P528=""),"",K528*N528*P528)</f>
        <v>309.55</v>
      </c>
      <c r="S528" s="36" t="n">
        <f aca="false">IF(Q528="","",Q528-R528)</f>
        <v>0</v>
      </c>
      <c r="T528" s="36" t="n">
        <f aca="false">IF(S528="","",MAX(0,-S528))</f>
        <v>-0</v>
      </c>
      <c r="U528" s="36" t="n">
        <f aca="false">IF(S528="","",MAX(0,S528))</f>
        <v>0</v>
      </c>
      <c r="V528" s="8" t="str">
        <f aca="false">IF(J528="","NOT SCORED - NO JULY MONTHLY ROW",IF(OR(ABS(L528)&gt;0.005,ABS(O528)&gt;0.005,ABS(S528)&gt;0.005),"EXCEPTION","OK"))</f>
        <v>OK</v>
      </c>
      <c r="W528" s="8" t="s">
        <v>4883</v>
      </c>
      <c r="X528" s="8" t="s">
        <v>4099</v>
      </c>
      <c r="Y528" s="36" t="n">
        <f aca="false">K528*N528</f>
        <v>309.55</v>
      </c>
    </row>
    <row r="529" customFormat="false" ht="15" hidden="false" customHeight="false" outlineLevel="0" collapsed="false">
      <c r="A529" s="11" t="s">
        <v>4884</v>
      </c>
      <c r="B529" s="11" t="s">
        <v>224</v>
      </c>
      <c r="C529" s="11" t="s">
        <v>2829</v>
      </c>
      <c r="D529" s="11" t="s">
        <v>3297</v>
      </c>
      <c r="E529" s="11" t="s">
        <v>4885</v>
      </c>
      <c r="F529" s="11" t="s">
        <v>4886</v>
      </c>
      <c r="G529" s="11" t="s">
        <v>3308</v>
      </c>
      <c r="H529" s="11" t="n">
        <v>45</v>
      </c>
      <c r="I529" s="31" t="n">
        <v>59.5</v>
      </c>
      <c r="J529" s="31" t="n">
        <v>60</v>
      </c>
      <c r="K529" s="31" t="n">
        <f aca="false">MAX(ROUNDUP(I529,0),H529)</f>
        <v>60</v>
      </c>
      <c r="L529" s="31" t="n">
        <f aca="false">IF(J529="","",J529-K529)</f>
        <v>0</v>
      </c>
      <c r="M529" s="32" t="n">
        <v>7.55</v>
      </c>
      <c r="N529" s="32" t="n">
        <f aca="false">IF(C529="covered",10.4,7.55)</f>
        <v>7.55</v>
      </c>
      <c r="O529" s="32" t="n">
        <f aca="false">IF(M529="","",M529-N529)</f>
        <v>0</v>
      </c>
      <c r="P529" s="11" t="n">
        <v>1</v>
      </c>
      <c r="Q529" s="33" t="n">
        <v>453</v>
      </c>
      <c r="R529" s="33" t="n">
        <f aca="false">IF(OR(J529="",P529=""),"",K529*N529*P529)</f>
        <v>453</v>
      </c>
      <c r="S529" s="33" t="n">
        <f aca="false">IF(Q529="","",Q529-R529)</f>
        <v>0</v>
      </c>
      <c r="T529" s="33" t="n">
        <f aca="false">IF(S529="","",MAX(0,-S529))</f>
        <v>-0</v>
      </c>
      <c r="U529" s="33" t="n">
        <f aca="false">IF(S529="","",MAX(0,S529))</f>
        <v>0</v>
      </c>
      <c r="V529" s="11" t="str">
        <f aca="false">IF(J529="","NOT SCORED - NO JULY MONTHLY ROW",IF(OR(ABS(L529)&gt;0.005,ABS(O529)&gt;0.005,ABS(S529)&gt;0.005),"EXCEPTION","OK"))</f>
        <v>OK</v>
      </c>
      <c r="W529" s="11" t="s">
        <v>4887</v>
      </c>
      <c r="X529" s="11" t="s">
        <v>4099</v>
      </c>
      <c r="Y529" s="33" t="n">
        <f aca="false">K529*N529</f>
        <v>453</v>
      </c>
    </row>
    <row r="530" customFormat="false" ht="15" hidden="false" customHeight="false" outlineLevel="0" collapsed="false">
      <c r="A530" s="8" t="s">
        <v>819</v>
      </c>
      <c r="B530" s="8" t="s">
        <v>224</v>
      </c>
      <c r="C530" s="8" t="s">
        <v>2829</v>
      </c>
      <c r="D530" s="8" t="s">
        <v>3301</v>
      </c>
      <c r="E530" s="8" t="s">
        <v>1910</v>
      </c>
      <c r="F530" s="8" t="s">
        <v>1911</v>
      </c>
      <c r="G530" s="8" t="s">
        <v>4888</v>
      </c>
      <c r="H530" s="8" t="n">
        <v>28</v>
      </c>
      <c r="I530" s="34" t="n">
        <v>26.7</v>
      </c>
      <c r="J530" s="34" t="n">
        <v>28</v>
      </c>
      <c r="K530" s="34" t="n">
        <f aca="false">MAX(ROUNDUP(I530,0),H530)</f>
        <v>28</v>
      </c>
      <c r="L530" s="34" t="n">
        <f aca="false">IF(J530="","",J530-K530)</f>
        <v>0</v>
      </c>
      <c r="M530" s="35" t="n">
        <v>7.55</v>
      </c>
      <c r="N530" s="35" t="n">
        <f aca="false">IF(C530="covered",10.4,7.55)</f>
        <v>7.55</v>
      </c>
      <c r="O530" s="35" t="n">
        <f aca="false">IF(M530="","",M530-N530)</f>
        <v>0</v>
      </c>
      <c r="P530" s="8" t="n">
        <v>1</v>
      </c>
      <c r="Q530" s="36" t="n">
        <v>211.4</v>
      </c>
      <c r="R530" s="36" t="n">
        <f aca="false">IF(OR(J530="",P530=""),"",K530*N530*P530)</f>
        <v>211.4</v>
      </c>
      <c r="S530" s="36" t="n">
        <f aca="false">IF(Q530="","",Q530-R530)</f>
        <v>0</v>
      </c>
      <c r="T530" s="36" t="n">
        <f aca="false">IF(S530="","",MAX(0,-S530))</f>
        <v>-0</v>
      </c>
      <c r="U530" s="36" t="n">
        <f aca="false">IF(S530="","",MAX(0,S530))</f>
        <v>0</v>
      </c>
      <c r="V530" s="8" t="str">
        <f aca="false">IF(J530="","NOT SCORED - NO JULY MONTHLY ROW",IF(OR(ABS(L530)&gt;0.005,ABS(O530)&gt;0.005,ABS(S530)&gt;0.005),"EXCEPTION","OK"))</f>
        <v>OK</v>
      </c>
      <c r="W530" s="8" t="s">
        <v>4889</v>
      </c>
      <c r="X530" s="8" t="s">
        <v>4099</v>
      </c>
      <c r="Y530" s="36" t="n">
        <f aca="false">K530*N530</f>
        <v>211.4</v>
      </c>
    </row>
    <row r="531" customFormat="false" ht="15" hidden="false" customHeight="false" outlineLevel="0" collapsed="false">
      <c r="A531" s="11" t="s">
        <v>1423</v>
      </c>
      <c r="B531" s="11" t="s">
        <v>224</v>
      </c>
      <c r="C531" s="11" t="s">
        <v>2829</v>
      </c>
      <c r="D531" s="11" t="s">
        <v>3305</v>
      </c>
      <c r="E531" s="11" t="s">
        <v>4890</v>
      </c>
      <c r="F531" s="11" t="s">
        <v>4891</v>
      </c>
      <c r="G531" s="11" t="s">
        <v>4892</v>
      </c>
      <c r="H531" s="11" t="n">
        <v>40</v>
      </c>
      <c r="I531" s="31" t="n">
        <v>34.4</v>
      </c>
      <c r="J531" s="31" t="n">
        <v>40</v>
      </c>
      <c r="K531" s="31" t="n">
        <f aca="false">MAX(ROUNDUP(I531,0),H531)</f>
        <v>40</v>
      </c>
      <c r="L531" s="31" t="n">
        <f aca="false">IF(J531="","",J531-K531)</f>
        <v>0</v>
      </c>
      <c r="M531" s="32" t="n">
        <v>7.55</v>
      </c>
      <c r="N531" s="32" t="n">
        <f aca="false">IF(C531="covered",10.4,7.55)</f>
        <v>7.55</v>
      </c>
      <c r="O531" s="32" t="n">
        <f aca="false">IF(M531="","",M531-N531)</f>
        <v>0</v>
      </c>
      <c r="P531" s="11" t="n">
        <v>1</v>
      </c>
      <c r="Q531" s="33" t="n">
        <v>302</v>
      </c>
      <c r="R531" s="33" t="n">
        <f aca="false">IF(OR(J531="",P531=""),"",K531*N531*P531)</f>
        <v>302</v>
      </c>
      <c r="S531" s="33" t="n">
        <f aca="false">IF(Q531="","",Q531-R531)</f>
        <v>0</v>
      </c>
      <c r="T531" s="33" t="n">
        <f aca="false">IF(S531="","",MAX(0,-S531))</f>
        <v>-0</v>
      </c>
      <c r="U531" s="33" t="n">
        <f aca="false">IF(S531="","",MAX(0,S531))</f>
        <v>0</v>
      </c>
      <c r="V531" s="11" t="str">
        <f aca="false">IF(J531="","NOT SCORED - NO JULY MONTHLY ROW",IF(OR(ABS(L531)&gt;0.005,ABS(O531)&gt;0.005,ABS(S531)&gt;0.005),"EXCEPTION","OK"))</f>
        <v>OK</v>
      </c>
      <c r="W531" s="11" t="s">
        <v>4893</v>
      </c>
      <c r="X531" s="11" t="s">
        <v>4099</v>
      </c>
      <c r="Y531" s="33" t="n">
        <f aca="false">K531*N531</f>
        <v>302</v>
      </c>
    </row>
    <row r="532" customFormat="false" ht="15" hidden="false" customHeight="false" outlineLevel="0" collapsed="false">
      <c r="A532" s="8" t="s">
        <v>4894</v>
      </c>
      <c r="B532" s="8" t="s">
        <v>224</v>
      </c>
      <c r="C532" s="8" t="s">
        <v>2829</v>
      </c>
      <c r="D532" s="8" t="s">
        <v>3315</v>
      </c>
      <c r="E532" s="8" t="s">
        <v>4895</v>
      </c>
      <c r="F532" s="8" t="s">
        <v>4896</v>
      </c>
      <c r="G532" s="8" t="s">
        <v>4800</v>
      </c>
      <c r="H532" s="8" t="n">
        <v>32</v>
      </c>
      <c r="I532" s="34" t="n">
        <v>26.5</v>
      </c>
      <c r="J532" s="34" t="n">
        <v>32</v>
      </c>
      <c r="K532" s="34" t="n">
        <f aca="false">MAX(ROUNDUP(I532,0),H532)</f>
        <v>32</v>
      </c>
      <c r="L532" s="34" t="n">
        <f aca="false">IF(J532="","",J532-K532)</f>
        <v>0</v>
      </c>
      <c r="M532" s="35" t="n">
        <v>7.55</v>
      </c>
      <c r="N532" s="35" t="n">
        <f aca="false">IF(C532="covered",10.4,7.55)</f>
        <v>7.55</v>
      </c>
      <c r="O532" s="35" t="n">
        <f aca="false">IF(M532="","",M532-N532)</f>
        <v>0</v>
      </c>
      <c r="P532" s="8" t="n">
        <v>1</v>
      </c>
      <c r="Q532" s="36" t="n">
        <v>241.6</v>
      </c>
      <c r="R532" s="36" t="n">
        <f aca="false">IF(OR(J532="",P532=""),"",K532*N532*P532)</f>
        <v>241.6</v>
      </c>
      <c r="S532" s="36" t="n">
        <f aca="false">IF(Q532="","",Q532-R532)</f>
        <v>0</v>
      </c>
      <c r="T532" s="36" t="n">
        <f aca="false">IF(S532="","",MAX(0,-S532))</f>
        <v>-0</v>
      </c>
      <c r="U532" s="36" t="n">
        <f aca="false">IF(S532="","",MAX(0,S532))</f>
        <v>0</v>
      </c>
      <c r="V532" s="8" t="str">
        <f aca="false">IF(J532="","NOT SCORED - NO JULY MONTHLY ROW",IF(OR(ABS(L532)&gt;0.005,ABS(O532)&gt;0.005,ABS(S532)&gt;0.005),"EXCEPTION","OK"))</f>
        <v>OK</v>
      </c>
      <c r="W532" s="8" t="s">
        <v>4897</v>
      </c>
      <c r="X532" s="8" t="s">
        <v>4099</v>
      </c>
      <c r="Y532" s="36" t="n">
        <f aca="false">K532*N532</f>
        <v>241.6</v>
      </c>
    </row>
    <row r="533" customFormat="false" ht="15" hidden="false" customHeight="false" outlineLevel="0" collapsed="false">
      <c r="A533" s="11" t="s">
        <v>392</v>
      </c>
      <c r="B533" s="11" t="s">
        <v>224</v>
      </c>
      <c r="C533" s="11" t="s">
        <v>2829</v>
      </c>
      <c r="D533" s="11" t="s">
        <v>3324</v>
      </c>
      <c r="E533" s="11" t="s">
        <v>4898</v>
      </c>
      <c r="F533" s="11" t="s">
        <v>4899</v>
      </c>
      <c r="G533" s="11" t="s">
        <v>2869</v>
      </c>
      <c r="H533" s="11" t="n">
        <v>32</v>
      </c>
      <c r="I533" s="31" t="n">
        <v>53.6</v>
      </c>
      <c r="J533" s="31" t="n">
        <v>54</v>
      </c>
      <c r="K533" s="31" t="n">
        <f aca="false">MAX(ROUNDUP(I533,0),H533)</f>
        <v>54</v>
      </c>
      <c r="L533" s="31" t="n">
        <f aca="false">IF(J533="","",J533-K533)</f>
        <v>0</v>
      </c>
      <c r="M533" s="32" t="n">
        <v>7.55</v>
      </c>
      <c r="N533" s="32" t="n">
        <f aca="false">IF(C533="covered",10.4,7.55)</f>
        <v>7.55</v>
      </c>
      <c r="O533" s="32" t="n">
        <f aca="false">IF(M533="","",M533-N533)</f>
        <v>0</v>
      </c>
      <c r="P533" s="11" t="n">
        <v>1</v>
      </c>
      <c r="Q533" s="33" t="n">
        <v>407.7</v>
      </c>
      <c r="R533" s="33" t="n">
        <f aca="false">IF(OR(J533="",P533=""),"",K533*N533*P533)</f>
        <v>407.7</v>
      </c>
      <c r="S533" s="33" t="n">
        <f aca="false">IF(Q533="","",Q533-R533)</f>
        <v>0</v>
      </c>
      <c r="T533" s="33" t="n">
        <f aca="false">IF(S533="","",MAX(0,-S533))</f>
        <v>-0</v>
      </c>
      <c r="U533" s="33" t="n">
        <f aca="false">IF(S533="","",MAX(0,S533))</f>
        <v>0</v>
      </c>
      <c r="V533" s="11" t="str">
        <f aca="false">IF(J533="","NOT SCORED - NO JULY MONTHLY ROW",IF(OR(ABS(L533)&gt;0.005,ABS(O533)&gt;0.005,ABS(S533)&gt;0.005),"EXCEPTION","OK"))</f>
        <v>OK</v>
      </c>
      <c r="W533" s="11" t="s">
        <v>4900</v>
      </c>
      <c r="X533" s="11" t="s">
        <v>4099</v>
      </c>
      <c r="Y533" s="33" t="n">
        <f aca="false">K533*N533</f>
        <v>407.7</v>
      </c>
    </row>
    <row r="534" customFormat="false" ht="15" hidden="false" customHeight="false" outlineLevel="0" collapsed="false">
      <c r="A534" s="8" t="s">
        <v>4901</v>
      </c>
      <c r="B534" s="8" t="s">
        <v>224</v>
      </c>
      <c r="C534" s="8" t="s">
        <v>2829</v>
      </c>
      <c r="D534" s="8" t="s">
        <v>3328</v>
      </c>
      <c r="E534" s="8" t="s">
        <v>4902</v>
      </c>
      <c r="F534" s="8" t="s">
        <v>4903</v>
      </c>
      <c r="G534" s="8" t="s">
        <v>2874</v>
      </c>
      <c r="H534" s="8" t="n">
        <v>50</v>
      </c>
      <c r="I534" s="34" t="n">
        <v>19.8</v>
      </c>
      <c r="J534" s="34" t="n">
        <v>50</v>
      </c>
      <c r="K534" s="34" t="n">
        <f aca="false">MAX(ROUNDUP(I534,0),H534)</f>
        <v>50</v>
      </c>
      <c r="L534" s="34" t="n">
        <f aca="false">IF(J534="","",J534-K534)</f>
        <v>0</v>
      </c>
      <c r="M534" s="35" t="n">
        <v>7.55</v>
      </c>
      <c r="N534" s="35" t="n">
        <f aca="false">IF(C534="covered",10.4,7.55)</f>
        <v>7.55</v>
      </c>
      <c r="O534" s="35" t="n">
        <f aca="false">IF(M534="","",M534-N534)</f>
        <v>0</v>
      </c>
      <c r="P534" s="8" t="n">
        <v>1</v>
      </c>
      <c r="Q534" s="36" t="n">
        <v>377.5</v>
      </c>
      <c r="R534" s="36" t="n">
        <f aca="false">IF(OR(J534="",P534=""),"",K534*N534*P534)</f>
        <v>377.5</v>
      </c>
      <c r="S534" s="36" t="n">
        <f aca="false">IF(Q534="","",Q534-R534)</f>
        <v>0</v>
      </c>
      <c r="T534" s="36" t="n">
        <f aca="false">IF(S534="","",MAX(0,-S534))</f>
        <v>-0</v>
      </c>
      <c r="U534" s="36" t="n">
        <f aca="false">IF(S534="","",MAX(0,S534))</f>
        <v>0</v>
      </c>
      <c r="V534" s="8" t="str">
        <f aca="false">IF(J534="","NOT SCORED - NO JULY MONTHLY ROW",IF(OR(ABS(L534)&gt;0.005,ABS(O534)&gt;0.005,ABS(S534)&gt;0.005),"EXCEPTION","OK"))</f>
        <v>OK</v>
      </c>
      <c r="W534" s="8" t="s">
        <v>4904</v>
      </c>
      <c r="X534" s="8" t="s">
        <v>4099</v>
      </c>
      <c r="Y534" s="36" t="n">
        <f aca="false">K534*N534</f>
        <v>377.5</v>
      </c>
    </row>
    <row r="535" customFormat="false" ht="15" hidden="false" customHeight="false" outlineLevel="0" collapsed="false">
      <c r="A535" s="11" t="s">
        <v>4905</v>
      </c>
      <c r="B535" s="11" t="s">
        <v>224</v>
      </c>
      <c r="C535" s="11" t="s">
        <v>2829</v>
      </c>
      <c r="D535" s="11" t="s">
        <v>3336</v>
      </c>
      <c r="E535" s="11" t="s">
        <v>4906</v>
      </c>
      <c r="F535" s="11" t="s">
        <v>4907</v>
      </c>
      <c r="G535" s="11" t="s">
        <v>4546</v>
      </c>
      <c r="H535" s="11" t="n">
        <v>32</v>
      </c>
      <c r="I535" s="31" t="n">
        <v>44.2</v>
      </c>
      <c r="J535" s="31" t="n">
        <v>45</v>
      </c>
      <c r="K535" s="31" t="n">
        <f aca="false">MAX(ROUNDUP(I535,0),H535)</f>
        <v>45</v>
      </c>
      <c r="L535" s="31" t="n">
        <f aca="false">IF(J535="","",J535-K535)</f>
        <v>0</v>
      </c>
      <c r="M535" s="32" t="n">
        <v>7.55</v>
      </c>
      <c r="N535" s="32" t="n">
        <f aca="false">IF(C535="covered",10.4,7.55)</f>
        <v>7.55</v>
      </c>
      <c r="O535" s="32" t="n">
        <f aca="false">IF(M535="","",M535-N535)</f>
        <v>0</v>
      </c>
      <c r="P535" s="11" t="n">
        <v>1</v>
      </c>
      <c r="Q535" s="33" t="n">
        <v>339.75</v>
      </c>
      <c r="R535" s="33" t="n">
        <f aca="false">IF(OR(J535="",P535=""),"",K535*N535*P535)</f>
        <v>339.75</v>
      </c>
      <c r="S535" s="33" t="n">
        <f aca="false">IF(Q535="","",Q535-R535)</f>
        <v>0</v>
      </c>
      <c r="T535" s="33" t="n">
        <f aca="false">IF(S535="","",MAX(0,-S535))</f>
        <v>-0</v>
      </c>
      <c r="U535" s="33" t="n">
        <f aca="false">IF(S535="","",MAX(0,S535))</f>
        <v>0</v>
      </c>
      <c r="V535" s="11" t="str">
        <f aca="false">IF(J535="","NOT SCORED - NO JULY MONTHLY ROW",IF(OR(ABS(L535)&gt;0.005,ABS(O535)&gt;0.005,ABS(S535)&gt;0.005),"EXCEPTION","OK"))</f>
        <v>OK</v>
      </c>
      <c r="W535" s="11" t="s">
        <v>4908</v>
      </c>
      <c r="X535" s="11" t="s">
        <v>4099</v>
      </c>
      <c r="Y535" s="33" t="n">
        <f aca="false">K535*N535</f>
        <v>339.75</v>
      </c>
    </row>
    <row r="536" customFormat="false" ht="15" hidden="false" customHeight="false" outlineLevel="0" collapsed="false">
      <c r="A536" s="8" t="s">
        <v>4909</v>
      </c>
      <c r="B536" s="8" t="s">
        <v>224</v>
      </c>
      <c r="C536" s="8" t="s">
        <v>2829</v>
      </c>
      <c r="D536" s="8" t="s">
        <v>3341</v>
      </c>
      <c r="E536" s="8" t="s">
        <v>4910</v>
      </c>
      <c r="F536" s="8" t="s">
        <v>4911</v>
      </c>
      <c r="G536" s="8" t="s">
        <v>4912</v>
      </c>
      <c r="H536" s="8" t="n">
        <v>32</v>
      </c>
      <c r="I536" s="34" t="n">
        <v>40.1</v>
      </c>
      <c r="J536" s="34" t="n">
        <v>41</v>
      </c>
      <c r="K536" s="34" t="n">
        <f aca="false">MAX(ROUNDUP(I536,0),H536)</f>
        <v>41</v>
      </c>
      <c r="L536" s="34" t="n">
        <f aca="false">IF(J536="","",J536-K536)</f>
        <v>0</v>
      </c>
      <c r="M536" s="35" t="n">
        <v>7.55</v>
      </c>
      <c r="N536" s="35" t="n">
        <f aca="false">IF(C536="covered",10.4,7.55)</f>
        <v>7.55</v>
      </c>
      <c r="O536" s="35" t="n">
        <f aca="false">IF(M536="","",M536-N536)</f>
        <v>0</v>
      </c>
      <c r="P536" s="8" t="n">
        <v>1</v>
      </c>
      <c r="Q536" s="36" t="n">
        <v>309.55</v>
      </c>
      <c r="R536" s="36" t="n">
        <f aca="false">IF(OR(J536="",P536=""),"",K536*N536*P536)</f>
        <v>309.55</v>
      </c>
      <c r="S536" s="36" t="n">
        <f aca="false">IF(Q536="","",Q536-R536)</f>
        <v>0</v>
      </c>
      <c r="T536" s="36" t="n">
        <f aca="false">IF(S536="","",MAX(0,-S536))</f>
        <v>-0</v>
      </c>
      <c r="U536" s="36" t="n">
        <f aca="false">IF(S536="","",MAX(0,S536))</f>
        <v>0</v>
      </c>
      <c r="V536" s="8" t="str">
        <f aca="false">IF(J536="","NOT SCORED - NO JULY MONTHLY ROW",IF(OR(ABS(L536)&gt;0.005,ABS(O536)&gt;0.005,ABS(S536)&gt;0.005),"EXCEPTION","OK"))</f>
        <v>OK</v>
      </c>
      <c r="W536" s="8" t="s">
        <v>4913</v>
      </c>
      <c r="X536" s="8" t="s">
        <v>4099</v>
      </c>
      <c r="Y536" s="36" t="n">
        <f aca="false">K536*N536</f>
        <v>309.55</v>
      </c>
    </row>
    <row r="537" customFormat="false" ht="15" hidden="false" customHeight="false" outlineLevel="0" collapsed="false">
      <c r="A537" s="11" t="s">
        <v>4914</v>
      </c>
      <c r="B537" s="11" t="s">
        <v>224</v>
      </c>
      <c r="C537" s="11" t="s">
        <v>2829</v>
      </c>
      <c r="D537" s="11" t="s">
        <v>3345</v>
      </c>
      <c r="E537" s="11" t="s">
        <v>4915</v>
      </c>
      <c r="F537" s="11" t="s">
        <v>4916</v>
      </c>
      <c r="G537" s="11" t="s">
        <v>4917</v>
      </c>
      <c r="H537" s="11" t="n">
        <v>45</v>
      </c>
      <c r="I537" s="31" t="n">
        <v>53</v>
      </c>
      <c r="J537" s="31" t="n">
        <v>53</v>
      </c>
      <c r="K537" s="31" t="n">
        <f aca="false">MAX(ROUNDUP(I537,0),H537)</f>
        <v>53</v>
      </c>
      <c r="L537" s="31" t="n">
        <f aca="false">IF(J537="","",J537-K537)</f>
        <v>0</v>
      </c>
      <c r="M537" s="32" t="n">
        <v>7.55</v>
      </c>
      <c r="N537" s="32" t="n">
        <f aca="false">IF(C537="covered",10.4,7.55)</f>
        <v>7.55</v>
      </c>
      <c r="O537" s="32" t="n">
        <f aca="false">IF(M537="","",M537-N537)</f>
        <v>0</v>
      </c>
      <c r="P537" s="11" t="n">
        <v>1</v>
      </c>
      <c r="Q537" s="33" t="n">
        <v>400.15</v>
      </c>
      <c r="R537" s="33" t="n">
        <f aca="false">IF(OR(J537="",P537=""),"",K537*N537*P537)</f>
        <v>400.15</v>
      </c>
      <c r="S537" s="33" t="n">
        <f aca="false">IF(Q537="","",Q537-R537)</f>
        <v>0</v>
      </c>
      <c r="T537" s="33" t="n">
        <f aca="false">IF(S537="","",MAX(0,-S537))</f>
        <v>-0</v>
      </c>
      <c r="U537" s="33" t="n">
        <f aca="false">IF(S537="","",MAX(0,S537))</f>
        <v>0</v>
      </c>
      <c r="V537" s="11" t="str">
        <f aca="false">IF(J537="","NOT SCORED - NO JULY MONTHLY ROW",IF(OR(ABS(L537)&gt;0.005,ABS(O537)&gt;0.005,ABS(S537)&gt;0.005),"EXCEPTION","OK"))</f>
        <v>OK</v>
      </c>
      <c r="W537" s="11" t="s">
        <v>4918</v>
      </c>
      <c r="X537" s="11" t="s">
        <v>4099</v>
      </c>
      <c r="Y537" s="33" t="n">
        <f aca="false">K537*N537</f>
        <v>400.15</v>
      </c>
    </row>
    <row r="538" customFormat="false" ht="15" hidden="false" customHeight="false" outlineLevel="0" collapsed="false">
      <c r="A538" s="8" t="s">
        <v>4919</v>
      </c>
      <c r="B538" s="8" t="s">
        <v>224</v>
      </c>
      <c r="C538" s="8" t="s">
        <v>2829</v>
      </c>
      <c r="D538" s="8" t="s">
        <v>3349</v>
      </c>
      <c r="E538" s="8" t="s">
        <v>4920</v>
      </c>
      <c r="F538" s="8" t="s">
        <v>4921</v>
      </c>
      <c r="G538" s="8" t="s">
        <v>3038</v>
      </c>
      <c r="H538" s="8" t="n">
        <v>40</v>
      </c>
      <c r="I538" s="34" t="n">
        <v>21.2</v>
      </c>
      <c r="J538" s="34" t="n">
        <v>40</v>
      </c>
      <c r="K538" s="34" t="n">
        <f aca="false">MAX(ROUNDUP(I538,0),H538)</f>
        <v>40</v>
      </c>
      <c r="L538" s="34" t="n">
        <f aca="false">IF(J538="","",J538-K538)</f>
        <v>0</v>
      </c>
      <c r="M538" s="35" t="n">
        <v>7.55</v>
      </c>
      <c r="N538" s="35" t="n">
        <f aca="false">IF(C538="covered",10.4,7.55)</f>
        <v>7.55</v>
      </c>
      <c r="O538" s="35" t="n">
        <f aca="false">IF(M538="","",M538-N538)</f>
        <v>0</v>
      </c>
      <c r="P538" s="8" t="n">
        <v>1</v>
      </c>
      <c r="Q538" s="36" t="n">
        <v>302</v>
      </c>
      <c r="R538" s="36" t="n">
        <f aca="false">IF(OR(J538="",P538=""),"",K538*N538*P538)</f>
        <v>302</v>
      </c>
      <c r="S538" s="36" t="n">
        <f aca="false">IF(Q538="","",Q538-R538)</f>
        <v>0</v>
      </c>
      <c r="T538" s="36" t="n">
        <f aca="false">IF(S538="","",MAX(0,-S538))</f>
        <v>-0</v>
      </c>
      <c r="U538" s="36" t="n">
        <f aca="false">IF(S538="","",MAX(0,S538))</f>
        <v>0</v>
      </c>
      <c r="V538" s="8" t="str">
        <f aca="false">IF(J538="","NOT SCORED - NO JULY MONTHLY ROW",IF(OR(ABS(L538)&gt;0.005,ABS(O538)&gt;0.005,ABS(S538)&gt;0.005),"EXCEPTION","OK"))</f>
        <v>OK</v>
      </c>
      <c r="W538" s="8" t="s">
        <v>4922</v>
      </c>
      <c r="X538" s="8" t="s">
        <v>4099</v>
      </c>
      <c r="Y538" s="36" t="n">
        <f aca="false">K538*N538</f>
        <v>302</v>
      </c>
    </row>
    <row r="539" customFormat="false" ht="15" hidden="false" customHeight="false" outlineLevel="0" collapsed="false">
      <c r="A539" s="11" t="s">
        <v>4923</v>
      </c>
      <c r="B539" s="11" t="s">
        <v>224</v>
      </c>
      <c r="C539" s="11" t="s">
        <v>2829</v>
      </c>
      <c r="D539" s="11" t="s">
        <v>3354</v>
      </c>
      <c r="E539" s="11" t="s">
        <v>4924</v>
      </c>
      <c r="F539" s="11" t="s">
        <v>4925</v>
      </c>
      <c r="G539" s="11" t="s">
        <v>4225</v>
      </c>
      <c r="H539" s="11" t="n">
        <v>40</v>
      </c>
      <c r="I539" s="31" t="n">
        <v>34.4</v>
      </c>
      <c r="J539" s="31" t="n">
        <v>40</v>
      </c>
      <c r="K539" s="31" t="n">
        <f aca="false">MAX(ROUNDUP(I539,0),H539)</f>
        <v>40</v>
      </c>
      <c r="L539" s="31" t="n">
        <f aca="false">IF(J539="","",J539-K539)</f>
        <v>0</v>
      </c>
      <c r="M539" s="32" t="n">
        <v>7.55</v>
      </c>
      <c r="N539" s="32" t="n">
        <f aca="false">IF(C539="covered",10.4,7.55)</f>
        <v>7.55</v>
      </c>
      <c r="O539" s="32" t="n">
        <f aca="false">IF(M539="","",M539-N539)</f>
        <v>0</v>
      </c>
      <c r="P539" s="11" t="n">
        <v>1</v>
      </c>
      <c r="Q539" s="33" t="n">
        <v>302</v>
      </c>
      <c r="R539" s="33" t="n">
        <f aca="false">IF(OR(J539="",P539=""),"",K539*N539*P539)</f>
        <v>302</v>
      </c>
      <c r="S539" s="33" t="n">
        <f aca="false">IF(Q539="","",Q539-R539)</f>
        <v>0</v>
      </c>
      <c r="T539" s="33" t="n">
        <f aca="false">IF(S539="","",MAX(0,-S539))</f>
        <v>-0</v>
      </c>
      <c r="U539" s="33" t="n">
        <f aca="false">IF(S539="","",MAX(0,S539))</f>
        <v>0</v>
      </c>
      <c r="V539" s="11" t="str">
        <f aca="false">IF(J539="","NOT SCORED - NO JULY MONTHLY ROW",IF(OR(ABS(L539)&gt;0.005,ABS(O539)&gt;0.005,ABS(S539)&gt;0.005),"EXCEPTION","OK"))</f>
        <v>OK</v>
      </c>
      <c r="W539" s="11" t="s">
        <v>4926</v>
      </c>
      <c r="X539" s="11" t="s">
        <v>4099</v>
      </c>
      <c r="Y539" s="33" t="n">
        <f aca="false">K539*N539</f>
        <v>302</v>
      </c>
    </row>
    <row r="540" customFormat="false" ht="15" hidden="false" customHeight="false" outlineLevel="0" collapsed="false">
      <c r="A540" s="8" t="s">
        <v>1309</v>
      </c>
      <c r="B540" s="8" t="s">
        <v>224</v>
      </c>
      <c r="C540" s="8" t="s">
        <v>2829</v>
      </c>
      <c r="D540" s="8" t="s">
        <v>3359</v>
      </c>
      <c r="E540" s="8" t="s">
        <v>4927</v>
      </c>
      <c r="F540" s="8" t="s">
        <v>4928</v>
      </c>
      <c r="G540" s="8" t="s">
        <v>4929</v>
      </c>
      <c r="H540" s="8" t="n">
        <v>24</v>
      </c>
      <c r="I540" s="34" t="n">
        <v>20.7</v>
      </c>
      <c r="J540" s="34" t="n">
        <v>24</v>
      </c>
      <c r="K540" s="34" t="n">
        <f aca="false">MAX(ROUNDUP(I540,0),H540)</f>
        <v>24</v>
      </c>
      <c r="L540" s="34" t="n">
        <f aca="false">IF(J540="","",J540-K540)</f>
        <v>0</v>
      </c>
      <c r="M540" s="35" t="n">
        <v>7.55</v>
      </c>
      <c r="N540" s="35" t="n">
        <f aca="false">IF(C540="covered",10.4,7.55)</f>
        <v>7.55</v>
      </c>
      <c r="O540" s="35" t="n">
        <f aca="false">IF(M540="","",M540-N540)</f>
        <v>0</v>
      </c>
      <c r="P540" s="8" t="n">
        <v>1</v>
      </c>
      <c r="Q540" s="36" t="n">
        <v>181.2</v>
      </c>
      <c r="R540" s="36" t="n">
        <f aca="false">IF(OR(J540="",P540=""),"",K540*N540*P540)</f>
        <v>181.2</v>
      </c>
      <c r="S540" s="36" t="n">
        <f aca="false">IF(Q540="","",Q540-R540)</f>
        <v>0</v>
      </c>
      <c r="T540" s="36" t="n">
        <f aca="false">IF(S540="","",MAX(0,-S540))</f>
        <v>-0</v>
      </c>
      <c r="U540" s="36" t="n">
        <f aca="false">IF(S540="","",MAX(0,S540))</f>
        <v>0</v>
      </c>
      <c r="V540" s="8" t="str">
        <f aca="false">IF(J540="","NOT SCORED - NO JULY MONTHLY ROW",IF(OR(ABS(L540)&gt;0.005,ABS(O540)&gt;0.005,ABS(S540)&gt;0.005),"EXCEPTION","OK"))</f>
        <v>OK</v>
      </c>
      <c r="W540" s="8" t="s">
        <v>4930</v>
      </c>
      <c r="X540" s="8" t="s">
        <v>4099</v>
      </c>
      <c r="Y540" s="36" t="n">
        <f aca="false">K540*N540</f>
        <v>181.2</v>
      </c>
    </row>
    <row r="541" customFormat="false" ht="15" hidden="false" customHeight="false" outlineLevel="0" collapsed="false">
      <c r="A541" s="11" t="s">
        <v>4931</v>
      </c>
      <c r="B541" s="11" t="s">
        <v>224</v>
      </c>
      <c r="C541" s="11" t="s">
        <v>2829</v>
      </c>
      <c r="D541" s="11" t="s">
        <v>3363</v>
      </c>
      <c r="E541" s="11" t="s">
        <v>718</v>
      </c>
      <c r="F541" s="11" t="s">
        <v>719</v>
      </c>
      <c r="G541" s="11" t="s">
        <v>4932</v>
      </c>
      <c r="H541" s="11" t="n">
        <v>28</v>
      </c>
      <c r="I541" s="31" t="n">
        <v>55.1</v>
      </c>
      <c r="J541" s="31" t="n">
        <v>56</v>
      </c>
      <c r="K541" s="31" t="n">
        <f aca="false">MAX(ROUNDUP(I541,0),H541)</f>
        <v>56</v>
      </c>
      <c r="L541" s="31" t="n">
        <f aca="false">IF(J541="","",J541-K541)</f>
        <v>0</v>
      </c>
      <c r="M541" s="32" t="n">
        <v>7.55</v>
      </c>
      <c r="N541" s="32" t="n">
        <f aca="false">IF(C541="covered",10.4,7.55)</f>
        <v>7.55</v>
      </c>
      <c r="O541" s="32" t="n">
        <f aca="false">IF(M541="","",M541-N541)</f>
        <v>0</v>
      </c>
      <c r="P541" s="11" t="n">
        <v>1</v>
      </c>
      <c r="Q541" s="33" t="n">
        <v>422.8</v>
      </c>
      <c r="R541" s="33" t="n">
        <f aca="false">IF(OR(J541="",P541=""),"",K541*N541*P541)</f>
        <v>422.8</v>
      </c>
      <c r="S541" s="33" t="n">
        <f aca="false">IF(Q541="","",Q541-R541)</f>
        <v>0</v>
      </c>
      <c r="T541" s="33" t="n">
        <f aca="false">IF(S541="","",MAX(0,-S541))</f>
        <v>-0</v>
      </c>
      <c r="U541" s="33" t="n">
        <f aca="false">IF(S541="","",MAX(0,S541))</f>
        <v>0</v>
      </c>
      <c r="V541" s="11" t="str">
        <f aca="false">IF(J541="","NOT SCORED - NO JULY MONTHLY ROW",IF(OR(ABS(L541)&gt;0.005,ABS(O541)&gt;0.005,ABS(S541)&gt;0.005),"EXCEPTION","OK"))</f>
        <v>OK</v>
      </c>
      <c r="W541" s="11" t="s">
        <v>4933</v>
      </c>
      <c r="X541" s="11" t="s">
        <v>4099</v>
      </c>
      <c r="Y541" s="33" t="n">
        <f aca="false">K541*N541</f>
        <v>422.8</v>
      </c>
    </row>
    <row r="542" customFormat="false" ht="15" hidden="false" customHeight="false" outlineLevel="0" collapsed="false">
      <c r="A542" s="8" t="s">
        <v>4934</v>
      </c>
      <c r="B542" s="8" t="s">
        <v>224</v>
      </c>
      <c r="C542" s="8" t="s">
        <v>2829</v>
      </c>
      <c r="D542" s="8" t="s">
        <v>3367</v>
      </c>
      <c r="E542" s="8" t="s">
        <v>4935</v>
      </c>
      <c r="F542" s="8" t="s">
        <v>4936</v>
      </c>
      <c r="G542" s="8" t="s">
        <v>4937</v>
      </c>
      <c r="H542" s="8" t="n">
        <v>32</v>
      </c>
      <c r="I542" s="34" t="n">
        <v>61.8</v>
      </c>
      <c r="J542" s="34" t="n">
        <v>62</v>
      </c>
      <c r="K542" s="34" t="n">
        <f aca="false">MAX(ROUNDUP(I542,0),H542)</f>
        <v>62</v>
      </c>
      <c r="L542" s="34" t="n">
        <f aca="false">IF(J542="","",J542-K542)</f>
        <v>0</v>
      </c>
      <c r="M542" s="35" t="n">
        <v>7.55</v>
      </c>
      <c r="N542" s="35" t="n">
        <f aca="false">IF(C542="covered",10.4,7.55)</f>
        <v>7.55</v>
      </c>
      <c r="O542" s="35" t="n">
        <f aca="false">IF(M542="","",M542-N542)</f>
        <v>0</v>
      </c>
      <c r="P542" s="8" t="n">
        <v>1</v>
      </c>
      <c r="Q542" s="36" t="n">
        <v>468.1</v>
      </c>
      <c r="R542" s="36" t="n">
        <f aca="false">IF(OR(J542="",P542=""),"",K542*N542*P542)</f>
        <v>468.1</v>
      </c>
      <c r="S542" s="36" t="n">
        <f aca="false">IF(Q542="","",Q542-R542)</f>
        <v>0</v>
      </c>
      <c r="T542" s="36" t="n">
        <f aca="false">IF(S542="","",MAX(0,-S542))</f>
        <v>-0</v>
      </c>
      <c r="U542" s="36" t="n">
        <f aca="false">IF(S542="","",MAX(0,S542))</f>
        <v>0</v>
      </c>
      <c r="V542" s="8" t="str">
        <f aca="false">IF(J542="","NOT SCORED - NO JULY MONTHLY ROW",IF(OR(ABS(L542)&gt;0.005,ABS(O542)&gt;0.005,ABS(S542)&gt;0.005),"EXCEPTION","OK"))</f>
        <v>OK</v>
      </c>
      <c r="W542" s="8" t="s">
        <v>4938</v>
      </c>
      <c r="X542" s="8" t="s">
        <v>4099</v>
      </c>
      <c r="Y542" s="36" t="n">
        <f aca="false">K542*N542</f>
        <v>468.1</v>
      </c>
    </row>
    <row r="543" customFormat="false" ht="15" hidden="false" customHeight="false" outlineLevel="0" collapsed="false">
      <c r="A543" s="11" t="s">
        <v>4939</v>
      </c>
      <c r="B543" s="11" t="s">
        <v>224</v>
      </c>
      <c r="C543" s="11" t="s">
        <v>2829</v>
      </c>
      <c r="D543" s="11" t="s">
        <v>3370</v>
      </c>
      <c r="E543" s="11" t="s">
        <v>4940</v>
      </c>
      <c r="F543" s="11" t="s">
        <v>4941</v>
      </c>
      <c r="G543" s="11" t="s">
        <v>3883</v>
      </c>
      <c r="H543" s="11" t="n">
        <v>28</v>
      </c>
      <c r="I543" s="31" t="n">
        <v>60.8</v>
      </c>
      <c r="J543" s="31" t="n">
        <v>61</v>
      </c>
      <c r="K543" s="31" t="n">
        <f aca="false">MAX(ROUNDUP(I543,0),H543)</f>
        <v>61</v>
      </c>
      <c r="L543" s="31" t="n">
        <f aca="false">IF(J543="","",J543-K543)</f>
        <v>0</v>
      </c>
      <c r="M543" s="32" t="n">
        <v>7.55</v>
      </c>
      <c r="N543" s="32" t="n">
        <f aca="false">IF(C543="covered",10.4,7.55)</f>
        <v>7.55</v>
      </c>
      <c r="O543" s="32" t="n">
        <f aca="false">IF(M543="","",M543-N543)</f>
        <v>0</v>
      </c>
      <c r="P543" s="11" t="n">
        <v>1</v>
      </c>
      <c r="Q543" s="33" t="n">
        <v>460.55</v>
      </c>
      <c r="R543" s="33" t="n">
        <f aca="false">IF(OR(J543="",P543=""),"",K543*N543*P543)</f>
        <v>460.55</v>
      </c>
      <c r="S543" s="33" t="n">
        <f aca="false">IF(Q543="","",Q543-R543)</f>
        <v>0</v>
      </c>
      <c r="T543" s="33" t="n">
        <f aca="false">IF(S543="","",MAX(0,-S543))</f>
        <v>-0</v>
      </c>
      <c r="U543" s="33" t="n">
        <f aca="false">IF(S543="","",MAX(0,S543))</f>
        <v>0</v>
      </c>
      <c r="V543" s="11" t="str">
        <f aca="false">IF(J543="","NOT SCORED - NO JULY MONTHLY ROW",IF(OR(ABS(L543)&gt;0.005,ABS(O543)&gt;0.005,ABS(S543)&gt;0.005),"EXCEPTION","OK"))</f>
        <v>OK</v>
      </c>
      <c r="W543" s="11" t="s">
        <v>4942</v>
      </c>
      <c r="X543" s="11" t="s">
        <v>4099</v>
      </c>
      <c r="Y543" s="33" t="n">
        <f aca="false">K543*N543</f>
        <v>460.55</v>
      </c>
    </row>
    <row r="544" customFormat="false" ht="15" hidden="false" customHeight="false" outlineLevel="0" collapsed="false">
      <c r="A544" s="8" t="s">
        <v>4943</v>
      </c>
      <c r="B544" s="8" t="s">
        <v>224</v>
      </c>
      <c r="C544" s="8" t="s">
        <v>2829</v>
      </c>
      <c r="D544" s="8" t="s">
        <v>3373</v>
      </c>
      <c r="E544" s="8" t="s">
        <v>2498</v>
      </c>
      <c r="F544" s="8" t="s">
        <v>4944</v>
      </c>
      <c r="G544" s="8" t="s">
        <v>4524</v>
      </c>
      <c r="H544" s="8" t="n">
        <v>45</v>
      </c>
      <c r="I544" s="34" t="n">
        <v>50.6</v>
      </c>
      <c r="J544" s="34" t="n">
        <v>51</v>
      </c>
      <c r="K544" s="34" t="n">
        <f aca="false">MAX(ROUNDUP(I544,0),H544)</f>
        <v>51</v>
      </c>
      <c r="L544" s="34" t="n">
        <f aca="false">IF(J544="","",J544-K544)</f>
        <v>0</v>
      </c>
      <c r="M544" s="35" t="n">
        <v>7.55</v>
      </c>
      <c r="N544" s="35" t="n">
        <f aca="false">IF(C544="covered",10.4,7.55)</f>
        <v>7.55</v>
      </c>
      <c r="O544" s="35" t="n">
        <f aca="false">IF(M544="","",M544-N544)</f>
        <v>0</v>
      </c>
      <c r="P544" s="8" t="n">
        <v>1</v>
      </c>
      <c r="Q544" s="36" t="n">
        <v>385.05</v>
      </c>
      <c r="R544" s="36" t="n">
        <f aca="false">IF(OR(J544="",P544=""),"",K544*N544*P544)</f>
        <v>385.05</v>
      </c>
      <c r="S544" s="36" t="n">
        <f aca="false">IF(Q544="","",Q544-R544)</f>
        <v>0</v>
      </c>
      <c r="T544" s="36" t="n">
        <f aca="false">IF(S544="","",MAX(0,-S544))</f>
        <v>-0</v>
      </c>
      <c r="U544" s="36" t="n">
        <f aca="false">IF(S544="","",MAX(0,S544))</f>
        <v>0</v>
      </c>
      <c r="V544" s="8" t="str">
        <f aca="false">IF(J544="","NOT SCORED - NO JULY MONTHLY ROW",IF(OR(ABS(L544)&gt;0.005,ABS(O544)&gt;0.005,ABS(S544)&gt;0.005),"EXCEPTION","OK"))</f>
        <v>OK</v>
      </c>
      <c r="W544" s="8" t="s">
        <v>4945</v>
      </c>
      <c r="X544" s="8" t="s">
        <v>4099</v>
      </c>
      <c r="Y544" s="36" t="n">
        <f aca="false">K544*N544</f>
        <v>385.05</v>
      </c>
    </row>
    <row r="545" customFormat="false" ht="15" hidden="false" customHeight="false" outlineLevel="0" collapsed="false">
      <c r="A545" s="11" t="s">
        <v>926</v>
      </c>
      <c r="B545" s="11" t="s">
        <v>224</v>
      </c>
      <c r="C545" s="11" t="s">
        <v>2829</v>
      </c>
      <c r="D545" s="11" t="s">
        <v>3382</v>
      </c>
      <c r="E545" s="11" t="s">
        <v>1285</v>
      </c>
      <c r="F545" s="11" t="s">
        <v>1286</v>
      </c>
      <c r="G545" s="11" t="s">
        <v>4363</v>
      </c>
      <c r="H545" s="11" t="n">
        <v>70</v>
      </c>
      <c r="I545" s="31" t="n">
        <v>57.5</v>
      </c>
      <c r="J545" s="31" t="n">
        <v>70</v>
      </c>
      <c r="K545" s="31" t="n">
        <f aca="false">MAX(ROUNDUP(I545,0),H545)</f>
        <v>70</v>
      </c>
      <c r="L545" s="31" t="n">
        <f aca="false">IF(J545="","",J545-K545)</f>
        <v>0</v>
      </c>
      <c r="M545" s="32" t="n">
        <v>7.55</v>
      </c>
      <c r="N545" s="32" t="n">
        <f aca="false">IF(C545="covered",10.4,7.55)</f>
        <v>7.55</v>
      </c>
      <c r="O545" s="32" t="n">
        <f aca="false">IF(M545="","",M545-N545)</f>
        <v>0</v>
      </c>
      <c r="P545" s="11" t="n">
        <v>1</v>
      </c>
      <c r="Q545" s="33" t="n">
        <v>528.5</v>
      </c>
      <c r="R545" s="33" t="n">
        <f aca="false">IF(OR(J545="",P545=""),"",K545*N545*P545)</f>
        <v>528.5</v>
      </c>
      <c r="S545" s="33" t="n">
        <f aca="false">IF(Q545="","",Q545-R545)</f>
        <v>0</v>
      </c>
      <c r="T545" s="33" t="n">
        <f aca="false">IF(S545="","",MAX(0,-S545))</f>
        <v>-0</v>
      </c>
      <c r="U545" s="33" t="n">
        <f aca="false">IF(S545="","",MAX(0,S545))</f>
        <v>0</v>
      </c>
      <c r="V545" s="11" t="str">
        <f aca="false">IF(J545="","NOT SCORED - NO JULY MONTHLY ROW",IF(OR(ABS(L545)&gt;0.005,ABS(O545)&gt;0.005,ABS(S545)&gt;0.005),"EXCEPTION","OK"))</f>
        <v>OK</v>
      </c>
      <c r="W545" s="11" t="s">
        <v>4946</v>
      </c>
      <c r="X545" s="11" t="s">
        <v>4099</v>
      </c>
      <c r="Y545" s="33" t="n">
        <f aca="false">K545*N545</f>
        <v>528.5</v>
      </c>
    </row>
    <row r="546" customFormat="false" ht="15" hidden="false" customHeight="false" outlineLevel="0" collapsed="false">
      <c r="A546" s="8" t="s">
        <v>1210</v>
      </c>
      <c r="B546" s="8" t="s">
        <v>224</v>
      </c>
      <c r="C546" s="8" t="s">
        <v>2829</v>
      </c>
      <c r="D546" s="8" t="s">
        <v>4947</v>
      </c>
      <c r="E546" s="8" t="s">
        <v>1577</v>
      </c>
      <c r="F546" s="8" t="s">
        <v>1578</v>
      </c>
      <c r="G546" s="8" t="s">
        <v>4948</v>
      </c>
      <c r="H546" s="8" t="n">
        <v>32</v>
      </c>
      <c r="I546" s="34" t="n">
        <v>39</v>
      </c>
      <c r="J546" s="34" t="n">
        <v>39</v>
      </c>
      <c r="K546" s="34" t="n">
        <f aca="false">MAX(ROUNDUP(I546,0),H546)</f>
        <v>39</v>
      </c>
      <c r="L546" s="34" t="n">
        <f aca="false">IF(J546="","",J546-K546)</f>
        <v>0</v>
      </c>
      <c r="M546" s="35" t="n">
        <v>7.55</v>
      </c>
      <c r="N546" s="35" t="n">
        <f aca="false">IF(C546="covered",10.4,7.55)</f>
        <v>7.55</v>
      </c>
      <c r="O546" s="35" t="n">
        <f aca="false">IF(M546="","",M546-N546)</f>
        <v>0</v>
      </c>
      <c r="P546" s="8" t="n">
        <v>1</v>
      </c>
      <c r="Q546" s="36" t="n">
        <v>294.45</v>
      </c>
      <c r="R546" s="36" t="n">
        <f aca="false">IF(OR(J546="",P546=""),"",K546*N546*P546)</f>
        <v>294.45</v>
      </c>
      <c r="S546" s="36" t="n">
        <f aca="false">IF(Q546="","",Q546-R546)</f>
        <v>0</v>
      </c>
      <c r="T546" s="36" t="n">
        <f aca="false">IF(S546="","",MAX(0,-S546))</f>
        <v>-0</v>
      </c>
      <c r="U546" s="36" t="n">
        <f aca="false">IF(S546="","",MAX(0,S546))</f>
        <v>0</v>
      </c>
      <c r="V546" s="8" t="str">
        <f aca="false">IF(J546="","NOT SCORED - NO JULY MONTHLY ROW",IF(OR(ABS(L546)&gt;0.005,ABS(O546)&gt;0.005,ABS(S546)&gt;0.005),"EXCEPTION","OK"))</f>
        <v>OK</v>
      </c>
      <c r="W546" s="8" t="s">
        <v>4949</v>
      </c>
      <c r="X546" s="8" t="s">
        <v>4099</v>
      </c>
      <c r="Y546" s="36" t="n">
        <f aca="false">K546*N546</f>
        <v>294.45</v>
      </c>
    </row>
    <row r="547" customFormat="false" ht="15" hidden="false" customHeight="false" outlineLevel="0" collapsed="false">
      <c r="A547" s="11" t="s">
        <v>4950</v>
      </c>
      <c r="B547" s="11" t="s">
        <v>224</v>
      </c>
      <c r="C547" s="11" t="s">
        <v>2829</v>
      </c>
      <c r="D547" s="11" t="s">
        <v>3387</v>
      </c>
      <c r="E547" s="11" t="s">
        <v>4951</v>
      </c>
      <c r="F547" s="11" t="s">
        <v>4952</v>
      </c>
      <c r="G547" s="11" t="s">
        <v>4953</v>
      </c>
      <c r="H547" s="11" t="n">
        <v>60</v>
      </c>
      <c r="I547" s="31" t="n">
        <v>26.5</v>
      </c>
      <c r="J547" s="31" t="n">
        <v>60</v>
      </c>
      <c r="K547" s="31" t="n">
        <f aca="false">MAX(ROUNDUP(I547,0),H547)</f>
        <v>60</v>
      </c>
      <c r="L547" s="31" t="n">
        <f aca="false">IF(J547="","",J547-K547)</f>
        <v>0</v>
      </c>
      <c r="M547" s="32" t="n">
        <v>7.55</v>
      </c>
      <c r="N547" s="32" t="n">
        <f aca="false">IF(C547="covered",10.4,7.55)</f>
        <v>7.55</v>
      </c>
      <c r="O547" s="32" t="n">
        <f aca="false">IF(M547="","",M547-N547)</f>
        <v>0</v>
      </c>
      <c r="P547" s="11" t="n">
        <v>1</v>
      </c>
      <c r="Q547" s="33" t="n">
        <v>453</v>
      </c>
      <c r="R547" s="33" t="n">
        <f aca="false">IF(OR(J547="",P547=""),"",K547*N547*P547)</f>
        <v>453</v>
      </c>
      <c r="S547" s="33" t="n">
        <f aca="false">IF(Q547="","",Q547-R547)</f>
        <v>0</v>
      </c>
      <c r="T547" s="33" t="n">
        <f aca="false">IF(S547="","",MAX(0,-S547))</f>
        <v>-0</v>
      </c>
      <c r="U547" s="33" t="n">
        <f aca="false">IF(S547="","",MAX(0,S547))</f>
        <v>0</v>
      </c>
      <c r="V547" s="11" t="str">
        <f aca="false">IF(J547="","NOT SCORED - NO JULY MONTHLY ROW",IF(OR(ABS(L547)&gt;0.005,ABS(O547)&gt;0.005,ABS(S547)&gt;0.005),"EXCEPTION","OK"))</f>
        <v>OK</v>
      </c>
      <c r="W547" s="11" t="s">
        <v>4954</v>
      </c>
      <c r="X547" s="11" t="s">
        <v>4099</v>
      </c>
      <c r="Y547" s="33" t="n">
        <f aca="false">K547*N547</f>
        <v>453</v>
      </c>
    </row>
    <row r="548" customFormat="false" ht="15" hidden="false" customHeight="false" outlineLevel="0" collapsed="false">
      <c r="A548" s="8" t="s">
        <v>4955</v>
      </c>
      <c r="B548" s="8" t="s">
        <v>224</v>
      </c>
      <c r="C548" s="8" t="s">
        <v>2829</v>
      </c>
      <c r="D548" s="8" t="s">
        <v>4956</v>
      </c>
      <c r="E548" s="8" t="s">
        <v>4957</v>
      </c>
      <c r="F548" s="8" t="s">
        <v>4958</v>
      </c>
      <c r="G548" s="8" t="s">
        <v>3892</v>
      </c>
      <c r="H548" s="8" t="n">
        <v>24</v>
      </c>
      <c r="I548" s="34" t="n">
        <v>33.7</v>
      </c>
      <c r="J548" s="34" t="n">
        <v>34</v>
      </c>
      <c r="K548" s="34" t="n">
        <f aca="false">MAX(ROUNDUP(I548,0),H548)</f>
        <v>34</v>
      </c>
      <c r="L548" s="34" t="n">
        <f aca="false">IF(J548="","",J548-K548)</f>
        <v>0</v>
      </c>
      <c r="M548" s="35" t="n">
        <v>7.55</v>
      </c>
      <c r="N548" s="35" t="n">
        <f aca="false">IF(C548="covered",10.4,7.55)</f>
        <v>7.55</v>
      </c>
      <c r="O548" s="35" t="n">
        <f aca="false">IF(M548="","",M548-N548)</f>
        <v>0</v>
      </c>
      <c r="P548" s="8" t="n">
        <v>1</v>
      </c>
      <c r="Q548" s="36" t="n">
        <v>256.7</v>
      </c>
      <c r="R548" s="36" t="n">
        <f aca="false">IF(OR(J548="",P548=""),"",K548*N548*P548)</f>
        <v>256.7</v>
      </c>
      <c r="S548" s="36" t="n">
        <f aca="false">IF(Q548="","",Q548-R548)</f>
        <v>0</v>
      </c>
      <c r="T548" s="36" t="n">
        <f aca="false">IF(S548="","",MAX(0,-S548))</f>
        <v>-0</v>
      </c>
      <c r="U548" s="36" t="n">
        <f aca="false">IF(S548="","",MAX(0,S548))</f>
        <v>0</v>
      </c>
      <c r="V548" s="8" t="str">
        <f aca="false">IF(J548="","NOT SCORED - NO JULY MONTHLY ROW",IF(OR(ABS(L548)&gt;0.005,ABS(O548)&gt;0.005,ABS(S548)&gt;0.005),"EXCEPTION","OK"))</f>
        <v>OK</v>
      </c>
      <c r="W548" s="8" t="s">
        <v>4959</v>
      </c>
      <c r="X548" s="8" t="s">
        <v>4099</v>
      </c>
      <c r="Y548" s="36" t="n">
        <f aca="false">K548*N548</f>
        <v>256.7</v>
      </c>
    </row>
    <row r="549" customFormat="false" ht="15" hidden="false" customHeight="false" outlineLevel="0" collapsed="false">
      <c r="A549" s="11" t="s">
        <v>4960</v>
      </c>
      <c r="B549" s="11" t="s">
        <v>192</v>
      </c>
      <c r="C549" s="11" t="s">
        <v>2829</v>
      </c>
      <c r="D549" s="11" t="s">
        <v>3395</v>
      </c>
      <c r="E549" s="11" t="s">
        <v>4961</v>
      </c>
      <c r="F549" s="11" t="s">
        <v>4962</v>
      </c>
      <c r="G549" s="11" t="s">
        <v>4963</v>
      </c>
      <c r="H549" s="11" t="n">
        <v>40</v>
      </c>
      <c r="I549" s="31" t="n">
        <v>43.8</v>
      </c>
      <c r="J549" s="31" t="n">
        <v>44</v>
      </c>
      <c r="K549" s="31" t="n">
        <f aca="false">MAX(ROUNDUP(I549,0),H549)</f>
        <v>44</v>
      </c>
      <c r="L549" s="31" t="n">
        <f aca="false">IF(J549="","",J549-K549)</f>
        <v>0</v>
      </c>
      <c r="M549" s="32" t="n">
        <v>7.55</v>
      </c>
      <c r="N549" s="32" t="n">
        <f aca="false">IF(C549="covered",10.4,7.55)</f>
        <v>7.55</v>
      </c>
      <c r="O549" s="32" t="n">
        <f aca="false">IF(M549="","",M549-N549)</f>
        <v>0</v>
      </c>
      <c r="P549" s="11" t="n">
        <v>1</v>
      </c>
      <c r="Q549" s="33" t="n">
        <v>332.2</v>
      </c>
      <c r="R549" s="33" t="n">
        <f aca="false">IF(OR(J549="",P549=""),"",K549*N549*P549)</f>
        <v>332.2</v>
      </c>
      <c r="S549" s="33" t="n">
        <f aca="false">IF(Q549="","",Q549-R549)</f>
        <v>0</v>
      </c>
      <c r="T549" s="33" t="n">
        <f aca="false">IF(S549="","",MAX(0,-S549))</f>
        <v>-0</v>
      </c>
      <c r="U549" s="33" t="n">
        <f aca="false">IF(S549="","",MAX(0,S549))</f>
        <v>0</v>
      </c>
      <c r="V549" s="11" t="str">
        <f aca="false">IF(J549="","NOT SCORED - NO JULY MONTHLY ROW",IF(OR(ABS(L549)&gt;0.005,ABS(O549)&gt;0.005,ABS(S549)&gt;0.005),"EXCEPTION","OK"))</f>
        <v>OK</v>
      </c>
      <c r="W549" s="11" t="s">
        <v>4964</v>
      </c>
      <c r="X549" s="11" t="s">
        <v>4099</v>
      </c>
      <c r="Y549" s="33" t="n">
        <f aca="false">K549*N549</f>
        <v>332.2</v>
      </c>
    </row>
    <row r="550" customFormat="false" ht="15" hidden="false" customHeight="false" outlineLevel="0" collapsed="false">
      <c r="A550" s="8" t="s">
        <v>147</v>
      </c>
      <c r="B550" s="8" t="s">
        <v>192</v>
      </c>
      <c r="C550" s="8" t="s">
        <v>2829</v>
      </c>
      <c r="D550" s="8" t="s">
        <v>3400</v>
      </c>
      <c r="E550" s="8" t="s">
        <v>4965</v>
      </c>
      <c r="F550" s="8" t="s">
        <v>4966</v>
      </c>
      <c r="G550" s="8" t="s">
        <v>2928</v>
      </c>
      <c r="H550" s="8" t="n">
        <v>45</v>
      </c>
      <c r="I550" s="34" t="n">
        <v>21.9</v>
      </c>
      <c r="J550" s="34" t="n">
        <v>45</v>
      </c>
      <c r="K550" s="34" t="n">
        <f aca="false">MAX(ROUNDUP(I550,0),H550)</f>
        <v>45</v>
      </c>
      <c r="L550" s="34" t="n">
        <f aca="false">IF(J550="","",J550-K550)</f>
        <v>0</v>
      </c>
      <c r="M550" s="35" t="n">
        <v>7.55</v>
      </c>
      <c r="N550" s="35" t="n">
        <f aca="false">IF(C550="covered",10.4,7.55)</f>
        <v>7.55</v>
      </c>
      <c r="O550" s="35" t="n">
        <f aca="false">IF(M550="","",M550-N550)</f>
        <v>0</v>
      </c>
      <c r="P550" s="8" t="n">
        <v>1</v>
      </c>
      <c r="Q550" s="36" t="n">
        <v>339.75</v>
      </c>
      <c r="R550" s="36" t="n">
        <f aca="false">IF(OR(J550="",P550=""),"",K550*N550*P550)</f>
        <v>339.75</v>
      </c>
      <c r="S550" s="36" t="n">
        <f aca="false">IF(Q550="","",Q550-R550)</f>
        <v>0</v>
      </c>
      <c r="T550" s="36" t="n">
        <f aca="false">IF(S550="","",MAX(0,-S550))</f>
        <v>-0</v>
      </c>
      <c r="U550" s="36" t="n">
        <f aca="false">IF(S550="","",MAX(0,S550))</f>
        <v>0</v>
      </c>
      <c r="V550" s="8" t="str">
        <f aca="false">IF(J550="","NOT SCORED - NO JULY MONTHLY ROW",IF(OR(ABS(L550)&gt;0.005,ABS(O550)&gt;0.005,ABS(S550)&gt;0.005),"EXCEPTION","OK"))</f>
        <v>OK</v>
      </c>
      <c r="W550" s="8" t="s">
        <v>4967</v>
      </c>
      <c r="X550" s="8" t="s">
        <v>4099</v>
      </c>
      <c r="Y550" s="36" t="n">
        <f aca="false">K550*N550</f>
        <v>339.75</v>
      </c>
    </row>
    <row r="551" customFormat="false" ht="15" hidden="false" customHeight="false" outlineLevel="0" collapsed="false">
      <c r="A551" s="11" t="s">
        <v>4968</v>
      </c>
      <c r="B551" s="11" t="s">
        <v>192</v>
      </c>
      <c r="C551" s="11" t="s">
        <v>2829</v>
      </c>
      <c r="D551" s="11" t="s">
        <v>3404</v>
      </c>
      <c r="E551" s="11" t="s">
        <v>4969</v>
      </c>
      <c r="F551" s="11" t="s">
        <v>4970</v>
      </c>
      <c r="G551" s="11" t="s">
        <v>3021</v>
      </c>
      <c r="H551" s="11" t="n">
        <v>40</v>
      </c>
      <c r="I551" s="31" t="n">
        <v>49.6</v>
      </c>
      <c r="J551" s="31" t="n">
        <v>50</v>
      </c>
      <c r="K551" s="31" t="n">
        <f aca="false">MAX(ROUNDUP(I551,0),H551)</f>
        <v>50</v>
      </c>
      <c r="L551" s="31" t="n">
        <f aca="false">IF(J551="","",J551-K551)</f>
        <v>0</v>
      </c>
      <c r="M551" s="32" t="n">
        <v>7.55</v>
      </c>
      <c r="N551" s="32" t="n">
        <f aca="false">IF(C551="covered",10.4,7.55)</f>
        <v>7.55</v>
      </c>
      <c r="O551" s="32" t="n">
        <f aca="false">IF(M551="","",M551-N551)</f>
        <v>0</v>
      </c>
      <c r="P551" s="11" t="n">
        <v>1</v>
      </c>
      <c r="Q551" s="33" t="n">
        <v>377.5</v>
      </c>
      <c r="R551" s="33" t="n">
        <f aca="false">IF(OR(J551="",P551=""),"",K551*N551*P551)</f>
        <v>377.5</v>
      </c>
      <c r="S551" s="33" t="n">
        <f aca="false">IF(Q551="","",Q551-R551)</f>
        <v>0</v>
      </c>
      <c r="T551" s="33" t="n">
        <f aca="false">IF(S551="","",MAX(0,-S551))</f>
        <v>-0</v>
      </c>
      <c r="U551" s="33" t="n">
        <f aca="false">IF(S551="","",MAX(0,S551))</f>
        <v>0</v>
      </c>
      <c r="V551" s="11" t="str">
        <f aca="false">IF(J551="","NOT SCORED - NO JULY MONTHLY ROW",IF(OR(ABS(L551)&gt;0.005,ABS(O551)&gt;0.005,ABS(S551)&gt;0.005),"EXCEPTION","OK"))</f>
        <v>OK</v>
      </c>
      <c r="W551" s="11" t="s">
        <v>4971</v>
      </c>
      <c r="X551" s="11" t="s">
        <v>4099</v>
      </c>
      <c r="Y551" s="33" t="n">
        <f aca="false">K551*N551</f>
        <v>377.5</v>
      </c>
    </row>
    <row r="552" customFormat="false" ht="15" hidden="false" customHeight="false" outlineLevel="0" collapsed="false">
      <c r="A552" s="8" t="s">
        <v>1816</v>
      </c>
      <c r="B552" s="8" t="s">
        <v>192</v>
      </c>
      <c r="C552" s="8" t="s">
        <v>2829</v>
      </c>
      <c r="D552" s="8" t="s">
        <v>4109</v>
      </c>
      <c r="E552" s="8" t="s">
        <v>4972</v>
      </c>
      <c r="F552" s="8" t="s">
        <v>4973</v>
      </c>
      <c r="G552" s="8" t="s">
        <v>4974</v>
      </c>
      <c r="H552" s="8" t="n">
        <v>60</v>
      </c>
      <c r="I552" s="34" t="n">
        <v>35.5</v>
      </c>
      <c r="J552" s="34" t="n">
        <v>60</v>
      </c>
      <c r="K552" s="34" t="n">
        <f aca="false">MAX(ROUNDUP(I552,0),H552)</f>
        <v>60</v>
      </c>
      <c r="L552" s="34" t="n">
        <f aca="false">IF(J552="","",J552-K552)</f>
        <v>0</v>
      </c>
      <c r="M552" s="35" t="n">
        <v>7.55</v>
      </c>
      <c r="N552" s="35" t="n">
        <f aca="false">IF(C552="covered",10.4,7.55)</f>
        <v>7.55</v>
      </c>
      <c r="O552" s="35" t="n">
        <f aca="false">IF(M552="","",M552-N552)</f>
        <v>0</v>
      </c>
      <c r="P552" s="8" t="n">
        <v>1</v>
      </c>
      <c r="Q552" s="36" t="n">
        <v>453</v>
      </c>
      <c r="R552" s="36" t="n">
        <f aca="false">IF(OR(J552="",P552=""),"",K552*N552*P552)</f>
        <v>453</v>
      </c>
      <c r="S552" s="36" t="n">
        <f aca="false">IF(Q552="","",Q552-R552)</f>
        <v>0</v>
      </c>
      <c r="T552" s="36" t="n">
        <f aca="false">IF(S552="","",MAX(0,-S552))</f>
        <v>-0</v>
      </c>
      <c r="U552" s="36" t="n">
        <f aca="false">IF(S552="","",MAX(0,S552))</f>
        <v>0</v>
      </c>
      <c r="V552" s="8" t="str">
        <f aca="false">IF(J552="","NOT SCORED - NO JULY MONTHLY ROW",IF(OR(ABS(L552)&gt;0.005,ABS(O552)&gt;0.005,ABS(S552)&gt;0.005),"EXCEPTION","OK"))</f>
        <v>OK</v>
      </c>
      <c r="W552" s="8" t="s">
        <v>4975</v>
      </c>
      <c r="X552" s="8" t="s">
        <v>4099</v>
      </c>
      <c r="Y552" s="36" t="n">
        <f aca="false">K552*N552</f>
        <v>453</v>
      </c>
    </row>
    <row r="553" customFormat="false" ht="15" hidden="false" customHeight="false" outlineLevel="0" collapsed="false">
      <c r="A553" s="11" t="s">
        <v>4976</v>
      </c>
      <c r="B553" s="11" t="s">
        <v>192</v>
      </c>
      <c r="C553" s="11" t="s">
        <v>2829</v>
      </c>
      <c r="D553" s="11" t="s">
        <v>3407</v>
      </c>
      <c r="E553" s="11" t="s">
        <v>4977</v>
      </c>
      <c r="F553" s="11" t="s">
        <v>4978</v>
      </c>
      <c r="G553" s="11" t="s">
        <v>4979</v>
      </c>
      <c r="H553" s="11" t="n">
        <v>80</v>
      </c>
      <c r="I553" s="31" t="n">
        <v>40.5</v>
      </c>
      <c r="J553" s="31" t="n">
        <v>80</v>
      </c>
      <c r="K553" s="31" t="n">
        <f aca="false">MAX(ROUNDUP(I553,0),H553)</f>
        <v>80</v>
      </c>
      <c r="L553" s="31" t="n">
        <f aca="false">IF(J553="","",J553-K553)</f>
        <v>0</v>
      </c>
      <c r="M553" s="32" t="n">
        <v>7.55</v>
      </c>
      <c r="N553" s="32" t="n">
        <f aca="false">IF(C553="covered",10.4,7.55)</f>
        <v>7.55</v>
      </c>
      <c r="O553" s="32" t="n">
        <f aca="false">IF(M553="","",M553-N553)</f>
        <v>0</v>
      </c>
      <c r="P553" s="11" t="n">
        <v>1</v>
      </c>
      <c r="Q553" s="33" t="n">
        <v>604</v>
      </c>
      <c r="R553" s="33" t="n">
        <f aca="false">IF(OR(J553="",P553=""),"",K553*N553*P553)</f>
        <v>604</v>
      </c>
      <c r="S553" s="33" t="n">
        <f aca="false">IF(Q553="","",Q553-R553)</f>
        <v>0</v>
      </c>
      <c r="T553" s="33" t="n">
        <f aca="false">IF(S553="","",MAX(0,-S553))</f>
        <v>-0</v>
      </c>
      <c r="U553" s="33" t="n">
        <f aca="false">IF(S553="","",MAX(0,S553))</f>
        <v>0</v>
      </c>
      <c r="V553" s="11" t="str">
        <f aca="false">IF(J553="","NOT SCORED - NO JULY MONTHLY ROW",IF(OR(ABS(L553)&gt;0.005,ABS(O553)&gt;0.005,ABS(S553)&gt;0.005),"EXCEPTION","OK"))</f>
        <v>OK</v>
      </c>
      <c r="W553" s="11" t="s">
        <v>4980</v>
      </c>
      <c r="X553" s="11" t="s">
        <v>4099</v>
      </c>
      <c r="Y553" s="33" t="n">
        <f aca="false">K553*N553</f>
        <v>604</v>
      </c>
    </row>
    <row r="554" customFormat="false" ht="15" hidden="false" customHeight="false" outlineLevel="0" collapsed="false">
      <c r="A554" s="8" t="s">
        <v>4981</v>
      </c>
      <c r="B554" s="8" t="s">
        <v>192</v>
      </c>
      <c r="C554" s="8" t="s">
        <v>2829</v>
      </c>
      <c r="D554" s="8" t="s">
        <v>3416</v>
      </c>
      <c r="E554" s="8" t="s">
        <v>4982</v>
      </c>
      <c r="F554" s="8" t="s">
        <v>4983</v>
      </c>
      <c r="G554" s="8" t="s">
        <v>3344</v>
      </c>
      <c r="H554" s="8" t="n">
        <v>32</v>
      </c>
      <c r="I554" s="34" t="n">
        <v>46.9</v>
      </c>
      <c r="J554" s="34" t="n">
        <v>47</v>
      </c>
      <c r="K554" s="34" t="n">
        <f aca="false">MAX(ROUNDUP(I554,0),H554)</f>
        <v>47</v>
      </c>
      <c r="L554" s="34" t="n">
        <f aca="false">IF(J554="","",J554-K554)</f>
        <v>0</v>
      </c>
      <c r="M554" s="35" t="n">
        <v>7.55</v>
      </c>
      <c r="N554" s="35" t="n">
        <f aca="false">IF(C554="covered",10.4,7.55)</f>
        <v>7.55</v>
      </c>
      <c r="O554" s="35" t="n">
        <f aca="false">IF(M554="","",M554-N554)</f>
        <v>0</v>
      </c>
      <c r="P554" s="8" t="n">
        <v>1</v>
      </c>
      <c r="Q554" s="36" t="n">
        <v>354.85</v>
      </c>
      <c r="R554" s="36" t="n">
        <f aca="false">IF(OR(J554="",P554=""),"",K554*N554*P554)</f>
        <v>354.85</v>
      </c>
      <c r="S554" s="36" t="n">
        <f aca="false">IF(Q554="","",Q554-R554)</f>
        <v>0</v>
      </c>
      <c r="T554" s="36" t="n">
        <f aca="false">IF(S554="","",MAX(0,-S554))</f>
        <v>-0</v>
      </c>
      <c r="U554" s="36" t="n">
        <f aca="false">IF(S554="","",MAX(0,S554))</f>
        <v>0</v>
      </c>
      <c r="V554" s="8" t="str">
        <f aca="false">IF(J554="","NOT SCORED - NO JULY MONTHLY ROW",IF(OR(ABS(L554)&gt;0.005,ABS(O554)&gt;0.005,ABS(S554)&gt;0.005),"EXCEPTION","OK"))</f>
        <v>OK</v>
      </c>
      <c r="W554" s="8" t="s">
        <v>4984</v>
      </c>
      <c r="X554" s="8" t="s">
        <v>4099</v>
      </c>
      <c r="Y554" s="36" t="n">
        <f aca="false">K554*N554</f>
        <v>354.85</v>
      </c>
    </row>
    <row r="555" customFormat="false" ht="15" hidden="false" customHeight="false" outlineLevel="0" collapsed="false">
      <c r="A555" s="11" t="s">
        <v>4985</v>
      </c>
      <c r="B555" s="11" t="s">
        <v>192</v>
      </c>
      <c r="C555" s="11" t="s">
        <v>2829</v>
      </c>
      <c r="D555" s="11" t="s">
        <v>3419</v>
      </c>
      <c r="E555" s="11" t="s">
        <v>4986</v>
      </c>
      <c r="F555" s="11" t="s">
        <v>4987</v>
      </c>
      <c r="G555" s="11" t="s">
        <v>4699</v>
      </c>
      <c r="H555" s="11" t="n">
        <v>28</v>
      </c>
      <c r="I555" s="31" t="n">
        <v>55</v>
      </c>
      <c r="J555" s="31" t="n">
        <v>55</v>
      </c>
      <c r="K555" s="31" t="n">
        <f aca="false">MAX(ROUNDUP(I555,0),H555)</f>
        <v>55</v>
      </c>
      <c r="L555" s="31" t="n">
        <f aca="false">IF(J555="","",J555-K555)</f>
        <v>0</v>
      </c>
      <c r="M555" s="32" t="n">
        <v>7.55</v>
      </c>
      <c r="N555" s="32" t="n">
        <f aca="false">IF(C555="covered",10.4,7.55)</f>
        <v>7.55</v>
      </c>
      <c r="O555" s="32" t="n">
        <f aca="false">IF(M555="","",M555-N555)</f>
        <v>0</v>
      </c>
      <c r="P555" s="11" t="n">
        <v>1</v>
      </c>
      <c r="Q555" s="33" t="n">
        <v>415.25</v>
      </c>
      <c r="R555" s="33" t="n">
        <f aca="false">IF(OR(J555="",P555=""),"",K555*N555*P555)</f>
        <v>415.25</v>
      </c>
      <c r="S555" s="33" t="n">
        <f aca="false">IF(Q555="","",Q555-R555)</f>
        <v>0</v>
      </c>
      <c r="T555" s="33" t="n">
        <f aca="false">IF(S555="","",MAX(0,-S555))</f>
        <v>-0</v>
      </c>
      <c r="U555" s="33" t="n">
        <f aca="false">IF(S555="","",MAX(0,S555))</f>
        <v>0</v>
      </c>
      <c r="V555" s="11" t="str">
        <f aca="false">IF(J555="","NOT SCORED - NO JULY MONTHLY ROW",IF(OR(ABS(L555)&gt;0.005,ABS(O555)&gt;0.005,ABS(S555)&gt;0.005),"EXCEPTION","OK"))</f>
        <v>OK</v>
      </c>
      <c r="W555" s="11" t="s">
        <v>4988</v>
      </c>
      <c r="X555" s="11" t="s">
        <v>4099</v>
      </c>
      <c r="Y555" s="33" t="n">
        <f aca="false">K555*N555</f>
        <v>415.25</v>
      </c>
    </row>
    <row r="556" customFormat="false" ht="15" hidden="false" customHeight="false" outlineLevel="0" collapsed="false">
      <c r="A556" s="8" t="s">
        <v>4989</v>
      </c>
      <c r="B556" s="8" t="s">
        <v>192</v>
      </c>
      <c r="C556" s="8" t="s">
        <v>2829</v>
      </c>
      <c r="D556" s="8" t="s">
        <v>3424</v>
      </c>
      <c r="E556" s="8" t="s">
        <v>4990</v>
      </c>
      <c r="F556" s="8" t="s">
        <v>4991</v>
      </c>
      <c r="G556" s="8" t="s">
        <v>4992</v>
      </c>
      <c r="H556" s="8" t="n">
        <v>80</v>
      </c>
      <c r="I556" s="34" t="n">
        <v>42.1</v>
      </c>
      <c r="J556" s="34" t="n">
        <v>80</v>
      </c>
      <c r="K556" s="34" t="n">
        <f aca="false">MAX(ROUNDUP(I556,0),H556)</f>
        <v>80</v>
      </c>
      <c r="L556" s="34" t="n">
        <f aca="false">IF(J556="","",J556-K556)</f>
        <v>0</v>
      </c>
      <c r="M556" s="35" t="n">
        <v>7.55</v>
      </c>
      <c r="N556" s="35" t="n">
        <f aca="false">IF(C556="covered",10.4,7.55)</f>
        <v>7.55</v>
      </c>
      <c r="O556" s="35" t="n">
        <f aca="false">IF(M556="","",M556-N556)</f>
        <v>0</v>
      </c>
      <c r="P556" s="8" t="n">
        <v>1</v>
      </c>
      <c r="Q556" s="36" t="n">
        <v>604</v>
      </c>
      <c r="R556" s="36" t="n">
        <f aca="false">IF(OR(J556="",P556=""),"",K556*N556*P556)</f>
        <v>604</v>
      </c>
      <c r="S556" s="36" t="n">
        <f aca="false">IF(Q556="","",Q556-R556)</f>
        <v>0</v>
      </c>
      <c r="T556" s="36" t="n">
        <f aca="false">IF(S556="","",MAX(0,-S556))</f>
        <v>-0</v>
      </c>
      <c r="U556" s="36" t="n">
        <f aca="false">IF(S556="","",MAX(0,S556))</f>
        <v>0</v>
      </c>
      <c r="V556" s="8" t="str">
        <f aca="false">IF(J556="","NOT SCORED - NO JULY MONTHLY ROW",IF(OR(ABS(L556)&gt;0.005,ABS(O556)&gt;0.005,ABS(S556)&gt;0.005),"EXCEPTION","OK"))</f>
        <v>OK</v>
      </c>
      <c r="W556" s="8" t="s">
        <v>4993</v>
      </c>
      <c r="X556" s="8" t="s">
        <v>4099</v>
      </c>
      <c r="Y556" s="36" t="n">
        <f aca="false">K556*N556</f>
        <v>604</v>
      </c>
    </row>
    <row r="557" customFormat="false" ht="15" hidden="false" customHeight="false" outlineLevel="0" collapsed="false">
      <c r="A557" s="11" t="s">
        <v>4994</v>
      </c>
      <c r="B557" s="11" t="s">
        <v>192</v>
      </c>
      <c r="C557" s="11" t="s">
        <v>2829</v>
      </c>
      <c r="D557" s="11" t="s">
        <v>3428</v>
      </c>
      <c r="E557" s="11" t="s">
        <v>4995</v>
      </c>
      <c r="F557" s="11" t="s">
        <v>4996</v>
      </c>
      <c r="G557" s="11" t="s">
        <v>4204</v>
      </c>
      <c r="H557" s="11" t="n">
        <v>28</v>
      </c>
      <c r="I557" s="31" t="n">
        <v>59.8</v>
      </c>
      <c r="J557" s="31" t="n">
        <v>60</v>
      </c>
      <c r="K557" s="31" t="n">
        <f aca="false">MAX(ROUNDUP(I557,0),H557)</f>
        <v>60</v>
      </c>
      <c r="L557" s="31" t="n">
        <f aca="false">IF(J557="","",J557-K557)</f>
        <v>0</v>
      </c>
      <c r="M557" s="32" t="n">
        <v>7.55</v>
      </c>
      <c r="N557" s="32" t="n">
        <f aca="false">IF(C557="covered",10.4,7.55)</f>
        <v>7.55</v>
      </c>
      <c r="O557" s="32" t="n">
        <f aca="false">IF(M557="","",M557-N557)</f>
        <v>0</v>
      </c>
      <c r="P557" s="11" t="n">
        <v>1</v>
      </c>
      <c r="Q557" s="33" t="n">
        <v>453</v>
      </c>
      <c r="R557" s="33" t="n">
        <f aca="false">IF(OR(J557="",P557=""),"",K557*N557*P557)</f>
        <v>453</v>
      </c>
      <c r="S557" s="33" t="n">
        <f aca="false">IF(Q557="","",Q557-R557)</f>
        <v>0</v>
      </c>
      <c r="T557" s="33" t="n">
        <f aca="false">IF(S557="","",MAX(0,-S557))</f>
        <v>-0</v>
      </c>
      <c r="U557" s="33" t="n">
        <f aca="false">IF(S557="","",MAX(0,S557))</f>
        <v>0</v>
      </c>
      <c r="V557" s="11" t="str">
        <f aca="false">IF(J557="","NOT SCORED - NO JULY MONTHLY ROW",IF(OR(ABS(L557)&gt;0.005,ABS(O557)&gt;0.005,ABS(S557)&gt;0.005),"EXCEPTION","OK"))</f>
        <v>OK</v>
      </c>
      <c r="W557" s="11" t="s">
        <v>4997</v>
      </c>
      <c r="X557" s="11" t="s">
        <v>4099</v>
      </c>
      <c r="Y557" s="33" t="n">
        <f aca="false">K557*N557</f>
        <v>453</v>
      </c>
    </row>
    <row r="558" customFormat="false" ht="15" hidden="false" customHeight="false" outlineLevel="0" collapsed="false">
      <c r="A558" s="8" t="s">
        <v>4998</v>
      </c>
      <c r="B558" s="8" t="s">
        <v>192</v>
      </c>
      <c r="C558" s="8" t="s">
        <v>2829</v>
      </c>
      <c r="D558" s="8" t="s">
        <v>3432</v>
      </c>
      <c r="E558" s="8" t="s">
        <v>4999</v>
      </c>
      <c r="F558" s="8" t="s">
        <v>5000</v>
      </c>
      <c r="G558" s="8" t="s">
        <v>5001</v>
      </c>
      <c r="H558" s="8" t="n">
        <v>32</v>
      </c>
      <c r="I558" s="34" t="n">
        <v>19.8</v>
      </c>
      <c r="J558" s="34" t="n">
        <v>32</v>
      </c>
      <c r="K558" s="34" t="n">
        <f aca="false">MAX(ROUNDUP(I558,0),H558)</f>
        <v>32</v>
      </c>
      <c r="L558" s="34" t="n">
        <f aca="false">IF(J558="","",J558-K558)</f>
        <v>0</v>
      </c>
      <c r="M558" s="35" t="n">
        <v>7.55</v>
      </c>
      <c r="N558" s="35" t="n">
        <f aca="false">IF(C558="covered",10.4,7.55)</f>
        <v>7.55</v>
      </c>
      <c r="O558" s="35" t="n">
        <f aca="false">IF(M558="","",M558-N558)</f>
        <v>0</v>
      </c>
      <c r="P558" s="8" t="n">
        <v>1</v>
      </c>
      <c r="Q558" s="36" t="n">
        <v>241.6</v>
      </c>
      <c r="R558" s="36" t="n">
        <f aca="false">IF(OR(J558="",P558=""),"",K558*N558*P558)</f>
        <v>241.6</v>
      </c>
      <c r="S558" s="36" t="n">
        <f aca="false">IF(Q558="","",Q558-R558)</f>
        <v>0</v>
      </c>
      <c r="T558" s="36" t="n">
        <f aca="false">IF(S558="","",MAX(0,-S558))</f>
        <v>-0</v>
      </c>
      <c r="U558" s="36" t="n">
        <f aca="false">IF(S558="","",MAX(0,S558))</f>
        <v>0</v>
      </c>
      <c r="V558" s="8" t="str">
        <f aca="false">IF(J558="","NOT SCORED - NO JULY MONTHLY ROW",IF(OR(ABS(L558)&gt;0.005,ABS(O558)&gt;0.005,ABS(S558)&gt;0.005),"EXCEPTION","OK"))</f>
        <v>OK</v>
      </c>
      <c r="W558" s="8" t="s">
        <v>5002</v>
      </c>
      <c r="X558" s="8" t="s">
        <v>4099</v>
      </c>
      <c r="Y558" s="36" t="n">
        <f aca="false">K558*N558</f>
        <v>241.6</v>
      </c>
    </row>
    <row r="559" customFormat="false" ht="15" hidden="false" customHeight="false" outlineLevel="0" collapsed="false">
      <c r="A559" s="11" t="s">
        <v>5003</v>
      </c>
      <c r="B559" s="11" t="s">
        <v>192</v>
      </c>
      <c r="C559" s="11" t="s">
        <v>2829</v>
      </c>
      <c r="D559" s="11" t="s">
        <v>3437</v>
      </c>
      <c r="E559" s="11" t="s">
        <v>5004</v>
      </c>
      <c r="F559" s="11" t="s">
        <v>5005</v>
      </c>
      <c r="G559" s="11" t="s">
        <v>5006</v>
      </c>
      <c r="H559" s="11" t="n">
        <v>45</v>
      </c>
      <c r="I559" s="31" t="n">
        <v>45.1</v>
      </c>
      <c r="J559" s="31" t="n">
        <v>46</v>
      </c>
      <c r="K559" s="31" t="n">
        <f aca="false">MAX(ROUNDUP(I559,0),H559)</f>
        <v>46</v>
      </c>
      <c r="L559" s="31" t="n">
        <f aca="false">IF(J559="","",J559-K559)</f>
        <v>0</v>
      </c>
      <c r="M559" s="32" t="n">
        <v>7.55</v>
      </c>
      <c r="N559" s="32" t="n">
        <f aca="false">IF(C559="covered",10.4,7.55)</f>
        <v>7.55</v>
      </c>
      <c r="O559" s="32" t="n">
        <f aca="false">IF(M559="","",M559-N559)</f>
        <v>0</v>
      </c>
      <c r="P559" s="11" t="n">
        <v>1</v>
      </c>
      <c r="Q559" s="33" t="n">
        <v>347.3</v>
      </c>
      <c r="R559" s="33" t="n">
        <f aca="false">IF(OR(J559="",P559=""),"",K559*N559*P559)</f>
        <v>347.3</v>
      </c>
      <c r="S559" s="33" t="n">
        <f aca="false">IF(Q559="","",Q559-R559)</f>
        <v>0</v>
      </c>
      <c r="T559" s="33" t="n">
        <f aca="false">IF(S559="","",MAX(0,-S559))</f>
        <v>-0</v>
      </c>
      <c r="U559" s="33" t="n">
        <f aca="false">IF(S559="","",MAX(0,S559))</f>
        <v>0</v>
      </c>
      <c r="V559" s="11" t="str">
        <f aca="false">IF(J559="","NOT SCORED - NO JULY MONTHLY ROW",IF(OR(ABS(L559)&gt;0.005,ABS(O559)&gt;0.005,ABS(S559)&gt;0.005),"EXCEPTION","OK"))</f>
        <v>OK</v>
      </c>
      <c r="W559" s="11" t="s">
        <v>5007</v>
      </c>
      <c r="X559" s="11" t="s">
        <v>4099</v>
      </c>
      <c r="Y559" s="33" t="n">
        <f aca="false">K559*N559</f>
        <v>347.3</v>
      </c>
    </row>
    <row r="560" customFormat="false" ht="15" hidden="false" customHeight="false" outlineLevel="0" collapsed="false">
      <c r="A560" s="8" t="s">
        <v>5008</v>
      </c>
      <c r="B560" s="8" t="s">
        <v>192</v>
      </c>
      <c r="C560" s="8" t="s">
        <v>2829</v>
      </c>
      <c r="D560" s="8" t="s">
        <v>3441</v>
      </c>
      <c r="E560" s="8" t="s">
        <v>5009</v>
      </c>
      <c r="F560" s="8" t="s">
        <v>5010</v>
      </c>
      <c r="G560" s="8" t="s">
        <v>5011</v>
      </c>
      <c r="H560" s="8" t="n">
        <v>24</v>
      </c>
      <c r="I560" s="34" t="n">
        <v>36.6</v>
      </c>
      <c r="J560" s="34" t="n">
        <v>37</v>
      </c>
      <c r="K560" s="34" t="n">
        <f aca="false">MAX(ROUNDUP(I560,0),H560)</f>
        <v>37</v>
      </c>
      <c r="L560" s="34" t="n">
        <f aca="false">IF(J560="","",J560-K560)</f>
        <v>0</v>
      </c>
      <c r="M560" s="35" t="n">
        <v>7.55</v>
      </c>
      <c r="N560" s="35" t="n">
        <f aca="false">IF(C560="covered",10.4,7.55)</f>
        <v>7.55</v>
      </c>
      <c r="O560" s="35" t="n">
        <f aca="false">IF(M560="","",M560-N560)</f>
        <v>0</v>
      </c>
      <c r="P560" s="8" t="n">
        <v>1</v>
      </c>
      <c r="Q560" s="36" t="n">
        <v>279.35</v>
      </c>
      <c r="R560" s="36" t="n">
        <f aca="false">IF(OR(J560="",P560=""),"",K560*N560*P560)</f>
        <v>279.35</v>
      </c>
      <c r="S560" s="36" t="n">
        <f aca="false">IF(Q560="","",Q560-R560)</f>
        <v>0</v>
      </c>
      <c r="T560" s="36" t="n">
        <f aca="false">IF(S560="","",MAX(0,-S560))</f>
        <v>-0</v>
      </c>
      <c r="U560" s="36" t="n">
        <f aca="false">IF(S560="","",MAX(0,S560))</f>
        <v>0</v>
      </c>
      <c r="V560" s="8" t="str">
        <f aca="false">IF(J560="","NOT SCORED - NO JULY MONTHLY ROW",IF(OR(ABS(L560)&gt;0.005,ABS(O560)&gt;0.005,ABS(S560)&gt;0.005),"EXCEPTION","OK"))</f>
        <v>OK</v>
      </c>
      <c r="W560" s="8" t="s">
        <v>5012</v>
      </c>
      <c r="X560" s="8" t="s">
        <v>4099</v>
      </c>
      <c r="Y560" s="36" t="n">
        <f aca="false">K560*N560</f>
        <v>279.35</v>
      </c>
    </row>
    <row r="561" customFormat="false" ht="15" hidden="false" customHeight="false" outlineLevel="0" collapsed="false">
      <c r="A561" s="11" t="s">
        <v>5013</v>
      </c>
      <c r="B561" s="11" t="s">
        <v>192</v>
      </c>
      <c r="C561" s="11" t="s">
        <v>2829</v>
      </c>
      <c r="D561" s="11" t="s">
        <v>3444</v>
      </c>
      <c r="E561" s="11" t="s">
        <v>5014</v>
      </c>
      <c r="F561" s="11" t="s">
        <v>5015</v>
      </c>
      <c r="G561" s="11" t="s">
        <v>5016</v>
      </c>
      <c r="H561" s="11" t="n">
        <v>50</v>
      </c>
      <c r="I561" s="31" t="n">
        <v>26.4</v>
      </c>
      <c r="J561" s="31" t="n">
        <v>50</v>
      </c>
      <c r="K561" s="31" t="n">
        <f aca="false">MAX(ROUNDUP(I561,0),H561)</f>
        <v>50</v>
      </c>
      <c r="L561" s="31" t="n">
        <f aca="false">IF(J561="","",J561-K561)</f>
        <v>0</v>
      </c>
      <c r="M561" s="32" t="n">
        <v>7.55</v>
      </c>
      <c r="N561" s="32" t="n">
        <f aca="false">IF(C561="covered",10.4,7.55)</f>
        <v>7.55</v>
      </c>
      <c r="O561" s="32" t="n">
        <f aca="false">IF(M561="","",M561-N561)</f>
        <v>0</v>
      </c>
      <c r="P561" s="11" t="n">
        <v>1</v>
      </c>
      <c r="Q561" s="33" t="n">
        <v>377.5</v>
      </c>
      <c r="R561" s="33" t="n">
        <f aca="false">IF(OR(J561="",P561=""),"",K561*N561*P561)</f>
        <v>377.5</v>
      </c>
      <c r="S561" s="33" t="n">
        <f aca="false">IF(Q561="","",Q561-R561)</f>
        <v>0</v>
      </c>
      <c r="T561" s="33" t="n">
        <f aca="false">IF(S561="","",MAX(0,-S561))</f>
        <v>-0</v>
      </c>
      <c r="U561" s="33" t="n">
        <f aca="false">IF(S561="","",MAX(0,S561))</f>
        <v>0</v>
      </c>
      <c r="V561" s="11" t="str">
        <f aca="false">IF(J561="","NOT SCORED - NO JULY MONTHLY ROW",IF(OR(ABS(L561)&gt;0.005,ABS(O561)&gt;0.005,ABS(S561)&gt;0.005),"EXCEPTION","OK"))</f>
        <v>OK</v>
      </c>
      <c r="W561" s="11" t="s">
        <v>5017</v>
      </c>
      <c r="X561" s="11" t="s">
        <v>4099</v>
      </c>
      <c r="Y561" s="33" t="n">
        <f aca="false">K561*N561</f>
        <v>377.5</v>
      </c>
    </row>
    <row r="562" customFormat="false" ht="15" hidden="false" customHeight="false" outlineLevel="0" collapsed="false">
      <c r="A562" s="8" t="s">
        <v>319</v>
      </c>
      <c r="B562" s="8" t="s">
        <v>192</v>
      </c>
      <c r="C562" s="8" t="s">
        <v>2829</v>
      </c>
      <c r="D562" s="8" t="s">
        <v>3447</v>
      </c>
      <c r="E562" s="8" t="s">
        <v>2225</v>
      </c>
      <c r="F562" s="8" t="s">
        <v>5018</v>
      </c>
      <c r="G562" s="8" t="s">
        <v>5019</v>
      </c>
      <c r="H562" s="8" t="n">
        <v>32</v>
      </c>
      <c r="I562" s="34" t="n">
        <v>49.4</v>
      </c>
      <c r="J562" s="34" t="n">
        <v>50</v>
      </c>
      <c r="K562" s="34" t="n">
        <f aca="false">MAX(ROUNDUP(I562,0),H562)</f>
        <v>50</v>
      </c>
      <c r="L562" s="34" t="n">
        <f aca="false">IF(J562="","",J562-K562)</f>
        <v>0</v>
      </c>
      <c r="M562" s="35" t="n">
        <v>7.55</v>
      </c>
      <c r="N562" s="35" t="n">
        <f aca="false">IF(C562="covered",10.4,7.55)</f>
        <v>7.55</v>
      </c>
      <c r="O562" s="35" t="n">
        <f aca="false">IF(M562="","",M562-N562)</f>
        <v>0</v>
      </c>
      <c r="P562" s="8" t="n">
        <v>1</v>
      </c>
      <c r="Q562" s="36" t="n">
        <v>377.5</v>
      </c>
      <c r="R562" s="36" t="n">
        <f aca="false">IF(OR(J562="",P562=""),"",K562*N562*P562)</f>
        <v>377.5</v>
      </c>
      <c r="S562" s="36" t="n">
        <f aca="false">IF(Q562="","",Q562-R562)</f>
        <v>0</v>
      </c>
      <c r="T562" s="36" t="n">
        <f aca="false">IF(S562="","",MAX(0,-S562))</f>
        <v>-0</v>
      </c>
      <c r="U562" s="36" t="n">
        <f aca="false">IF(S562="","",MAX(0,S562))</f>
        <v>0</v>
      </c>
      <c r="V562" s="8" t="str">
        <f aca="false">IF(J562="","NOT SCORED - NO JULY MONTHLY ROW",IF(OR(ABS(L562)&gt;0.005,ABS(O562)&gt;0.005,ABS(S562)&gt;0.005),"EXCEPTION","OK"))</f>
        <v>OK</v>
      </c>
      <c r="W562" s="8" t="s">
        <v>5020</v>
      </c>
      <c r="X562" s="8" t="s">
        <v>4099</v>
      </c>
      <c r="Y562" s="36" t="n">
        <f aca="false">K562*N562</f>
        <v>377.5</v>
      </c>
    </row>
    <row r="563" customFormat="false" ht="15" hidden="false" customHeight="false" outlineLevel="0" collapsed="false">
      <c r="A563" s="11" t="s">
        <v>5021</v>
      </c>
      <c r="B563" s="11" t="s">
        <v>192</v>
      </c>
      <c r="C563" s="11" t="s">
        <v>2829</v>
      </c>
      <c r="D563" s="11" t="s">
        <v>3450</v>
      </c>
      <c r="E563" s="11" t="s">
        <v>5022</v>
      </c>
      <c r="F563" s="11" t="s">
        <v>5023</v>
      </c>
      <c r="G563" s="11" t="s">
        <v>5024</v>
      </c>
      <c r="H563" s="11" t="n">
        <v>50</v>
      </c>
      <c r="I563" s="31" t="n">
        <v>50</v>
      </c>
      <c r="J563" s="31" t="n">
        <v>50</v>
      </c>
      <c r="K563" s="31" t="n">
        <f aca="false">MAX(ROUNDUP(I563,0),H563)</f>
        <v>50</v>
      </c>
      <c r="L563" s="31" t="n">
        <f aca="false">IF(J563="","",J563-K563)</f>
        <v>0</v>
      </c>
      <c r="M563" s="32" t="n">
        <v>7.55</v>
      </c>
      <c r="N563" s="32" t="n">
        <f aca="false">IF(C563="covered",10.4,7.55)</f>
        <v>7.55</v>
      </c>
      <c r="O563" s="32" t="n">
        <f aca="false">IF(M563="","",M563-N563)</f>
        <v>0</v>
      </c>
      <c r="P563" s="11" t="n">
        <v>1</v>
      </c>
      <c r="Q563" s="33" t="n">
        <v>377.5</v>
      </c>
      <c r="R563" s="33" t="n">
        <f aca="false">IF(OR(J563="",P563=""),"",K563*N563*P563)</f>
        <v>377.5</v>
      </c>
      <c r="S563" s="33" t="n">
        <f aca="false">IF(Q563="","",Q563-R563)</f>
        <v>0</v>
      </c>
      <c r="T563" s="33" t="n">
        <f aca="false">IF(S563="","",MAX(0,-S563))</f>
        <v>-0</v>
      </c>
      <c r="U563" s="33" t="n">
        <f aca="false">IF(S563="","",MAX(0,S563))</f>
        <v>0</v>
      </c>
      <c r="V563" s="11" t="str">
        <f aca="false">IF(J563="","NOT SCORED - NO JULY MONTHLY ROW",IF(OR(ABS(L563)&gt;0.005,ABS(O563)&gt;0.005,ABS(S563)&gt;0.005),"EXCEPTION","OK"))</f>
        <v>OK</v>
      </c>
      <c r="W563" s="11" t="s">
        <v>5025</v>
      </c>
      <c r="X563" s="11" t="s">
        <v>4099</v>
      </c>
      <c r="Y563" s="33" t="n">
        <f aca="false">K563*N563</f>
        <v>377.5</v>
      </c>
    </row>
    <row r="564" customFormat="false" ht="15" hidden="false" customHeight="false" outlineLevel="0" collapsed="false">
      <c r="A564" s="8" t="s">
        <v>564</v>
      </c>
      <c r="B564" s="8" t="s">
        <v>192</v>
      </c>
      <c r="C564" s="8" t="s">
        <v>2829</v>
      </c>
      <c r="D564" s="8" t="s">
        <v>3455</v>
      </c>
      <c r="E564" s="8" t="s">
        <v>5026</v>
      </c>
      <c r="F564" s="8" t="s">
        <v>5027</v>
      </c>
      <c r="G564" s="8" t="s">
        <v>3492</v>
      </c>
      <c r="H564" s="8" t="n">
        <v>60</v>
      </c>
      <c r="I564" s="34" t="n">
        <v>53.9</v>
      </c>
      <c r="J564" s="34" t="n">
        <v>60</v>
      </c>
      <c r="K564" s="34" t="n">
        <f aca="false">MAX(ROUNDUP(I564,0),H564)</f>
        <v>60</v>
      </c>
      <c r="L564" s="34" t="n">
        <f aca="false">IF(J564="","",J564-K564)</f>
        <v>0</v>
      </c>
      <c r="M564" s="35" t="n">
        <v>7.55</v>
      </c>
      <c r="N564" s="35" t="n">
        <f aca="false">IF(C564="covered",10.4,7.55)</f>
        <v>7.55</v>
      </c>
      <c r="O564" s="35" t="n">
        <f aca="false">IF(M564="","",M564-N564)</f>
        <v>0</v>
      </c>
      <c r="P564" s="8" t="n">
        <v>1</v>
      </c>
      <c r="Q564" s="36" t="n">
        <v>453</v>
      </c>
      <c r="R564" s="36" t="n">
        <f aca="false">IF(OR(J564="",P564=""),"",K564*N564*P564)</f>
        <v>453</v>
      </c>
      <c r="S564" s="36" t="n">
        <f aca="false">IF(Q564="","",Q564-R564)</f>
        <v>0</v>
      </c>
      <c r="T564" s="36" t="n">
        <f aca="false">IF(S564="","",MAX(0,-S564))</f>
        <v>-0</v>
      </c>
      <c r="U564" s="36" t="n">
        <f aca="false">IF(S564="","",MAX(0,S564))</f>
        <v>0</v>
      </c>
      <c r="V564" s="8" t="str">
        <f aca="false">IF(J564="","NOT SCORED - NO JULY MONTHLY ROW",IF(OR(ABS(L564)&gt;0.005,ABS(O564)&gt;0.005,ABS(S564)&gt;0.005),"EXCEPTION","OK"))</f>
        <v>OK</v>
      </c>
      <c r="W564" s="8" t="s">
        <v>5028</v>
      </c>
      <c r="X564" s="8" t="s">
        <v>4099</v>
      </c>
      <c r="Y564" s="36" t="n">
        <f aca="false">K564*N564</f>
        <v>453</v>
      </c>
    </row>
    <row r="565" customFormat="false" ht="15" hidden="false" customHeight="false" outlineLevel="0" collapsed="false">
      <c r="A565" s="11" t="s">
        <v>5029</v>
      </c>
      <c r="B565" s="11" t="s">
        <v>192</v>
      </c>
      <c r="C565" s="11" t="s">
        <v>2829</v>
      </c>
      <c r="D565" s="11" t="s">
        <v>3460</v>
      </c>
      <c r="E565" s="11" t="s">
        <v>5030</v>
      </c>
      <c r="F565" s="11" t="s">
        <v>5031</v>
      </c>
      <c r="G565" s="11" t="s">
        <v>3731</v>
      </c>
      <c r="H565" s="11" t="n">
        <v>28</v>
      </c>
      <c r="I565" s="31" t="n">
        <v>37.9</v>
      </c>
      <c r="J565" s="31" t="n">
        <v>38</v>
      </c>
      <c r="K565" s="31" t="n">
        <f aca="false">MAX(ROUNDUP(I565,0),H565)</f>
        <v>38</v>
      </c>
      <c r="L565" s="31" t="n">
        <f aca="false">IF(J565="","",J565-K565)</f>
        <v>0</v>
      </c>
      <c r="M565" s="32" t="n">
        <v>7.55</v>
      </c>
      <c r="N565" s="32" t="n">
        <f aca="false">IF(C565="covered",10.4,7.55)</f>
        <v>7.55</v>
      </c>
      <c r="O565" s="32" t="n">
        <f aca="false">IF(M565="","",M565-N565)</f>
        <v>0</v>
      </c>
      <c r="P565" s="11" t="n">
        <v>1</v>
      </c>
      <c r="Q565" s="33" t="n">
        <v>286.9</v>
      </c>
      <c r="R565" s="33" t="n">
        <f aca="false">IF(OR(J565="",P565=""),"",K565*N565*P565)</f>
        <v>286.9</v>
      </c>
      <c r="S565" s="33" t="n">
        <f aca="false">IF(Q565="","",Q565-R565)</f>
        <v>0</v>
      </c>
      <c r="T565" s="33" t="n">
        <f aca="false">IF(S565="","",MAX(0,-S565))</f>
        <v>-0</v>
      </c>
      <c r="U565" s="33" t="n">
        <f aca="false">IF(S565="","",MAX(0,S565))</f>
        <v>0</v>
      </c>
      <c r="V565" s="11" t="str">
        <f aca="false">IF(J565="","NOT SCORED - NO JULY MONTHLY ROW",IF(OR(ABS(L565)&gt;0.005,ABS(O565)&gt;0.005,ABS(S565)&gt;0.005),"EXCEPTION","OK"))</f>
        <v>OK</v>
      </c>
      <c r="W565" s="11" t="s">
        <v>5032</v>
      </c>
      <c r="X565" s="11" t="s">
        <v>4099</v>
      </c>
      <c r="Y565" s="33" t="n">
        <f aca="false">K565*N565</f>
        <v>286.9</v>
      </c>
    </row>
    <row r="566" customFormat="false" ht="15" hidden="false" customHeight="false" outlineLevel="0" collapsed="false">
      <c r="A566" s="8" t="s">
        <v>5033</v>
      </c>
      <c r="B566" s="8" t="s">
        <v>192</v>
      </c>
      <c r="C566" s="8" t="s">
        <v>2829</v>
      </c>
      <c r="D566" s="8" t="s">
        <v>3464</v>
      </c>
      <c r="E566" s="8" t="s">
        <v>5034</v>
      </c>
      <c r="F566" s="8" t="s">
        <v>5035</v>
      </c>
      <c r="G566" s="8" t="s">
        <v>4091</v>
      </c>
      <c r="H566" s="8" t="n">
        <v>32</v>
      </c>
      <c r="I566" s="34" t="n">
        <v>49.8</v>
      </c>
      <c r="J566" s="34" t="n">
        <v>50</v>
      </c>
      <c r="K566" s="34" t="n">
        <f aca="false">MAX(ROUNDUP(I566,0),H566)</f>
        <v>50</v>
      </c>
      <c r="L566" s="34" t="n">
        <f aca="false">IF(J566="","",J566-K566)</f>
        <v>0</v>
      </c>
      <c r="M566" s="35" t="n">
        <v>7.55</v>
      </c>
      <c r="N566" s="35" t="n">
        <f aca="false">IF(C566="covered",10.4,7.55)</f>
        <v>7.55</v>
      </c>
      <c r="O566" s="35" t="n">
        <f aca="false">IF(M566="","",M566-N566)</f>
        <v>0</v>
      </c>
      <c r="P566" s="8" t="n">
        <v>1</v>
      </c>
      <c r="Q566" s="36" t="n">
        <v>377.5</v>
      </c>
      <c r="R566" s="36" t="n">
        <f aca="false">IF(OR(J566="",P566=""),"",K566*N566*P566)</f>
        <v>377.5</v>
      </c>
      <c r="S566" s="36" t="n">
        <f aca="false">IF(Q566="","",Q566-R566)</f>
        <v>0</v>
      </c>
      <c r="T566" s="36" t="n">
        <f aca="false">IF(S566="","",MAX(0,-S566))</f>
        <v>-0</v>
      </c>
      <c r="U566" s="36" t="n">
        <f aca="false">IF(S566="","",MAX(0,S566))</f>
        <v>0</v>
      </c>
      <c r="V566" s="8" t="str">
        <f aca="false">IF(J566="","NOT SCORED - NO JULY MONTHLY ROW",IF(OR(ABS(L566)&gt;0.005,ABS(O566)&gt;0.005,ABS(S566)&gt;0.005),"EXCEPTION","OK"))</f>
        <v>OK</v>
      </c>
      <c r="W566" s="8" t="s">
        <v>5036</v>
      </c>
      <c r="X566" s="8" t="s">
        <v>4099</v>
      </c>
      <c r="Y566" s="36" t="n">
        <f aca="false">K566*N566</f>
        <v>377.5</v>
      </c>
    </row>
    <row r="567" customFormat="false" ht="15" hidden="false" customHeight="false" outlineLevel="0" collapsed="false">
      <c r="A567" s="11" t="s">
        <v>5037</v>
      </c>
      <c r="B567" s="11" t="s">
        <v>192</v>
      </c>
      <c r="C567" s="11" t="s">
        <v>2829</v>
      </c>
      <c r="D567" s="11" t="s">
        <v>3469</v>
      </c>
      <c r="E567" s="11" t="s">
        <v>5038</v>
      </c>
      <c r="F567" s="11" t="s">
        <v>5039</v>
      </c>
      <c r="G567" s="11" t="s">
        <v>2933</v>
      </c>
      <c r="H567" s="11" t="n">
        <v>32</v>
      </c>
      <c r="I567" s="31" t="n">
        <v>40.7</v>
      </c>
      <c r="J567" s="31" t="n">
        <v>41</v>
      </c>
      <c r="K567" s="31" t="n">
        <f aca="false">MAX(ROUNDUP(I567,0),H567)</f>
        <v>41</v>
      </c>
      <c r="L567" s="31" t="n">
        <f aca="false">IF(J567="","",J567-K567)</f>
        <v>0</v>
      </c>
      <c r="M567" s="32" t="n">
        <v>7.55</v>
      </c>
      <c r="N567" s="32" t="n">
        <f aca="false">IF(C567="covered",10.4,7.55)</f>
        <v>7.55</v>
      </c>
      <c r="O567" s="32" t="n">
        <f aca="false">IF(M567="","",M567-N567)</f>
        <v>0</v>
      </c>
      <c r="P567" s="11" t="n">
        <v>1</v>
      </c>
      <c r="Q567" s="33" t="n">
        <v>309.55</v>
      </c>
      <c r="R567" s="33" t="n">
        <f aca="false">IF(OR(J567="",P567=""),"",K567*N567*P567)</f>
        <v>309.55</v>
      </c>
      <c r="S567" s="33" t="n">
        <f aca="false">IF(Q567="","",Q567-R567)</f>
        <v>0</v>
      </c>
      <c r="T567" s="33" t="n">
        <f aca="false">IF(S567="","",MAX(0,-S567))</f>
        <v>-0</v>
      </c>
      <c r="U567" s="33" t="n">
        <f aca="false">IF(S567="","",MAX(0,S567))</f>
        <v>0</v>
      </c>
      <c r="V567" s="11" t="str">
        <f aca="false">IF(J567="","NOT SCORED - NO JULY MONTHLY ROW",IF(OR(ABS(L567)&gt;0.005,ABS(O567)&gt;0.005,ABS(S567)&gt;0.005),"EXCEPTION","OK"))</f>
        <v>OK</v>
      </c>
      <c r="W567" s="11" t="s">
        <v>5040</v>
      </c>
      <c r="X567" s="11" t="s">
        <v>4099</v>
      </c>
      <c r="Y567" s="33" t="n">
        <f aca="false">K567*N567</f>
        <v>309.55</v>
      </c>
    </row>
    <row r="568" customFormat="false" ht="15" hidden="false" customHeight="false" outlineLevel="0" collapsed="false">
      <c r="A568" s="8" t="s">
        <v>5041</v>
      </c>
      <c r="B568" s="8" t="s">
        <v>192</v>
      </c>
      <c r="C568" s="8" t="s">
        <v>2829</v>
      </c>
      <c r="D568" s="8" t="s">
        <v>3474</v>
      </c>
      <c r="E568" s="8" t="s">
        <v>5042</v>
      </c>
      <c r="F568" s="8" t="s">
        <v>5043</v>
      </c>
      <c r="G568" s="8" t="s">
        <v>5044</v>
      </c>
      <c r="H568" s="8" t="n">
        <v>32</v>
      </c>
      <c r="I568" s="34" t="n">
        <v>26.5</v>
      </c>
      <c r="J568" s="34" t="n">
        <v>32</v>
      </c>
      <c r="K568" s="34" t="n">
        <f aca="false">MAX(ROUNDUP(I568,0),H568)</f>
        <v>32</v>
      </c>
      <c r="L568" s="34" t="n">
        <f aca="false">IF(J568="","",J568-K568)</f>
        <v>0</v>
      </c>
      <c r="M568" s="35" t="n">
        <v>7.55</v>
      </c>
      <c r="N568" s="35" t="n">
        <f aca="false">IF(C568="covered",10.4,7.55)</f>
        <v>7.55</v>
      </c>
      <c r="O568" s="35" t="n">
        <f aca="false">IF(M568="","",M568-N568)</f>
        <v>0</v>
      </c>
      <c r="P568" s="8" t="n">
        <v>1</v>
      </c>
      <c r="Q568" s="36" t="n">
        <v>241.6</v>
      </c>
      <c r="R568" s="36" t="n">
        <f aca="false">IF(OR(J568="",P568=""),"",K568*N568*P568)</f>
        <v>241.6</v>
      </c>
      <c r="S568" s="36" t="n">
        <f aca="false">IF(Q568="","",Q568-R568)</f>
        <v>0</v>
      </c>
      <c r="T568" s="36" t="n">
        <f aca="false">IF(S568="","",MAX(0,-S568))</f>
        <v>-0</v>
      </c>
      <c r="U568" s="36" t="n">
        <f aca="false">IF(S568="","",MAX(0,S568))</f>
        <v>0</v>
      </c>
      <c r="V568" s="8" t="str">
        <f aca="false">IF(J568="","NOT SCORED - NO JULY MONTHLY ROW",IF(OR(ABS(L568)&gt;0.005,ABS(O568)&gt;0.005,ABS(S568)&gt;0.005),"EXCEPTION","OK"))</f>
        <v>OK</v>
      </c>
      <c r="W568" s="8" t="s">
        <v>5045</v>
      </c>
      <c r="X568" s="8" t="s">
        <v>4099</v>
      </c>
      <c r="Y568" s="36" t="n">
        <f aca="false">K568*N568</f>
        <v>241.6</v>
      </c>
    </row>
    <row r="569" customFormat="false" ht="15" hidden="false" customHeight="false" outlineLevel="0" collapsed="false">
      <c r="A569" s="11" t="s">
        <v>1107</v>
      </c>
      <c r="B569" s="11" t="s">
        <v>192</v>
      </c>
      <c r="C569" s="11" t="s">
        <v>2829</v>
      </c>
      <c r="D569" s="11" t="s">
        <v>4172</v>
      </c>
      <c r="E569" s="11" t="s">
        <v>5046</v>
      </c>
      <c r="F569" s="11" t="s">
        <v>5047</v>
      </c>
      <c r="G569" s="11" t="s">
        <v>2896</v>
      </c>
      <c r="H569" s="11" t="n">
        <v>80</v>
      </c>
      <c r="I569" s="31" t="n">
        <v>40.2</v>
      </c>
      <c r="J569" s="31" t="n">
        <v>80</v>
      </c>
      <c r="K569" s="31" t="n">
        <f aca="false">MAX(ROUNDUP(I569,0),H569)</f>
        <v>80</v>
      </c>
      <c r="L569" s="31" t="n">
        <f aca="false">IF(J569="","",J569-K569)</f>
        <v>0</v>
      </c>
      <c r="M569" s="32" t="n">
        <v>7.55</v>
      </c>
      <c r="N569" s="32" t="n">
        <f aca="false">IF(C569="covered",10.4,7.55)</f>
        <v>7.55</v>
      </c>
      <c r="O569" s="32" t="n">
        <f aca="false">IF(M569="","",M569-N569)</f>
        <v>0</v>
      </c>
      <c r="P569" s="11" t="n">
        <v>1</v>
      </c>
      <c r="Q569" s="33" t="n">
        <v>604</v>
      </c>
      <c r="R569" s="33" t="n">
        <f aca="false">IF(OR(J569="",P569=""),"",K569*N569*P569)</f>
        <v>604</v>
      </c>
      <c r="S569" s="33" t="n">
        <f aca="false">IF(Q569="","",Q569-R569)</f>
        <v>0</v>
      </c>
      <c r="T569" s="33" t="n">
        <f aca="false">IF(S569="","",MAX(0,-S569))</f>
        <v>-0</v>
      </c>
      <c r="U569" s="33" t="n">
        <f aca="false">IF(S569="","",MAX(0,S569))</f>
        <v>0</v>
      </c>
      <c r="V569" s="11" t="str">
        <f aca="false">IF(J569="","NOT SCORED - NO JULY MONTHLY ROW",IF(OR(ABS(L569)&gt;0.005,ABS(O569)&gt;0.005,ABS(S569)&gt;0.005),"EXCEPTION","OK"))</f>
        <v>OK</v>
      </c>
      <c r="W569" s="11" t="s">
        <v>5048</v>
      </c>
      <c r="X569" s="11" t="s">
        <v>4099</v>
      </c>
      <c r="Y569" s="33" t="n">
        <f aca="false">K569*N569</f>
        <v>604</v>
      </c>
    </row>
    <row r="570" customFormat="false" ht="15" hidden="false" customHeight="false" outlineLevel="0" collapsed="false">
      <c r="A570" s="8" t="s">
        <v>1256</v>
      </c>
      <c r="B570" s="8" t="s">
        <v>192</v>
      </c>
      <c r="C570" s="8" t="s">
        <v>2829</v>
      </c>
      <c r="D570" s="8" t="s">
        <v>3478</v>
      </c>
      <c r="E570" s="8" t="s">
        <v>5049</v>
      </c>
      <c r="F570" s="8" t="s">
        <v>5050</v>
      </c>
      <c r="G570" s="8" t="s">
        <v>3659</v>
      </c>
      <c r="H570" s="8" t="n">
        <v>32</v>
      </c>
      <c r="I570" s="34" t="n">
        <v>36.5</v>
      </c>
      <c r="J570" s="34" t="n">
        <v>37</v>
      </c>
      <c r="K570" s="34" t="n">
        <f aca="false">MAX(ROUNDUP(I570,0),H570)</f>
        <v>37</v>
      </c>
      <c r="L570" s="34" t="n">
        <f aca="false">IF(J570="","",J570-K570)</f>
        <v>0</v>
      </c>
      <c r="M570" s="35" t="n">
        <v>7.55</v>
      </c>
      <c r="N570" s="35" t="n">
        <f aca="false">IF(C570="covered",10.4,7.55)</f>
        <v>7.55</v>
      </c>
      <c r="O570" s="35" t="n">
        <f aca="false">IF(M570="","",M570-N570)</f>
        <v>0</v>
      </c>
      <c r="P570" s="8" t="n">
        <v>1</v>
      </c>
      <c r="Q570" s="36" t="n">
        <v>279.35</v>
      </c>
      <c r="R570" s="36" t="n">
        <f aca="false">IF(OR(J570="",P570=""),"",K570*N570*P570)</f>
        <v>279.35</v>
      </c>
      <c r="S570" s="36" t="n">
        <f aca="false">IF(Q570="","",Q570-R570)</f>
        <v>0</v>
      </c>
      <c r="T570" s="36" t="n">
        <f aca="false">IF(S570="","",MAX(0,-S570))</f>
        <v>-0</v>
      </c>
      <c r="U570" s="36" t="n">
        <f aca="false">IF(S570="","",MAX(0,S570))</f>
        <v>0</v>
      </c>
      <c r="V570" s="8" t="str">
        <f aca="false">IF(J570="","NOT SCORED - NO JULY MONTHLY ROW",IF(OR(ABS(L570)&gt;0.005,ABS(O570)&gt;0.005,ABS(S570)&gt;0.005),"EXCEPTION","OK"))</f>
        <v>OK</v>
      </c>
      <c r="W570" s="8" t="s">
        <v>5051</v>
      </c>
      <c r="X570" s="8" t="s">
        <v>4099</v>
      </c>
      <c r="Y570" s="36" t="n">
        <f aca="false">K570*N570</f>
        <v>279.35</v>
      </c>
    </row>
    <row r="571" customFormat="false" ht="15" hidden="false" customHeight="false" outlineLevel="0" collapsed="false">
      <c r="A571" s="11" t="s">
        <v>5052</v>
      </c>
      <c r="B571" s="11" t="s">
        <v>192</v>
      </c>
      <c r="C571" s="11" t="s">
        <v>2829</v>
      </c>
      <c r="D571" s="11" t="s">
        <v>3482</v>
      </c>
      <c r="E571" s="11" t="s">
        <v>5053</v>
      </c>
      <c r="F571" s="11" t="s">
        <v>5054</v>
      </c>
      <c r="G571" s="11" t="s">
        <v>5055</v>
      </c>
      <c r="H571" s="11" t="n">
        <v>80</v>
      </c>
      <c r="I571" s="31" t="n">
        <v>58.2</v>
      </c>
      <c r="J571" s="31" t="n">
        <v>80</v>
      </c>
      <c r="K571" s="31" t="n">
        <f aca="false">MAX(ROUNDUP(I571,0),H571)</f>
        <v>80</v>
      </c>
      <c r="L571" s="31" t="n">
        <f aca="false">IF(J571="","",J571-K571)</f>
        <v>0</v>
      </c>
      <c r="M571" s="32" t="n">
        <v>7.55</v>
      </c>
      <c r="N571" s="32" t="n">
        <f aca="false">IF(C571="covered",10.4,7.55)</f>
        <v>7.55</v>
      </c>
      <c r="O571" s="32" t="n">
        <f aca="false">IF(M571="","",M571-N571)</f>
        <v>0</v>
      </c>
      <c r="P571" s="11" t="n">
        <v>1</v>
      </c>
      <c r="Q571" s="33" t="n">
        <v>604</v>
      </c>
      <c r="R571" s="33" t="n">
        <f aca="false">IF(OR(J571="",P571=""),"",K571*N571*P571)</f>
        <v>604</v>
      </c>
      <c r="S571" s="33" t="n">
        <f aca="false">IF(Q571="","",Q571-R571)</f>
        <v>0</v>
      </c>
      <c r="T571" s="33" t="n">
        <f aca="false">IF(S571="","",MAX(0,-S571))</f>
        <v>-0</v>
      </c>
      <c r="U571" s="33" t="n">
        <f aca="false">IF(S571="","",MAX(0,S571))</f>
        <v>0</v>
      </c>
      <c r="V571" s="11" t="str">
        <f aca="false">IF(J571="","NOT SCORED - NO JULY MONTHLY ROW",IF(OR(ABS(L571)&gt;0.005,ABS(O571)&gt;0.005,ABS(S571)&gt;0.005),"EXCEPTION","OK"))</f>
        <v>OK</v>
      </c>
      <c r="W571" s="11" t="s">
        <v>5056</v>
      </c>
      <c r="X571" s="11" t="s">
        <v>4099</v>
      </c>
      <c r="Y571" s="33" t="n">
        <f aca="false">K571*N571</f>
        <v>604</v>
      </c>
    </row>
    <row r="572" customFormat="false" ht="15" hidden="false" customHeight="false" outlineLevel="0" collapsed="false">
      <c r="A572" s="8" t="s">
        <v>5057</v>
      </c>
      <c r="B572" s="8" t="s">
        <v>192</v>
      </c>
      <c r="C572" s="8" t="s">
        <v>2829</v>
      </c>
      <c r="D572" s="8" t="s">
        <v>3487</v>
      </c>
      <c r="E572" s="8" t="s">
        <v>5058</v>
      </c>
      <c r="F572" s="8" t="s">
        <v>5059</v>
      </c>
      <c r="G572" s="8" t="s">
        <v>5060</v>
      </c>
      <c r="H572" s="8" t="n">
        <v>32</v>
      </c>
      <c r="I572" s="34" t="n">
        <v>25.1</v>
      </c>
      <c r="J572" s="34" t="n">
        <v>32</v>
      </c>
      <c r="K572" s="34" t="n">
        <f aca="false">MAX(ROUNDUP(I572,0),H572)</f>
        <v>32</v>
      </c>
      <c r="L572" s="34" t="n">
        <f aca="false">IF(J572="","",J572-K572)</f>
        <v>0</v>
      </c>
      <c r="M572" s="35" t="n">
        <v>7.55</v>
      </c>
      <c r="N572" s="35" t="n">
        <f aca="false">IF(C572="covered",10.4,7.55)</f>
        <v>7.55</v>
      </c>
      <c r="O572" s="35" t="n">
        <f aca="false">IF(M572="","",M572-N572)</f>
        <v>0</v>
      </c>
      <c r="P572" s="8" t="n">
        <v>1</v>
      </c>
      <c r="Q572" s="36" t="n">
        <v>241.6</v>
      </c>
      <c r="R572" s="36" t="n">
        <f aca="false">IF(OR(J572="",P572=""),"",K572*N572*P572)</f>
        <v>241.6</v>
      </c>
      <c r="S572" s="36" t="n">
        <f aca="false">IF(Q572="","",Q572-R572)</f>
        <v>0</v>
      </c>
      <c r="T572" s="36" t="n">
        <f aca="false">IF(S572="","",MAX(0,-S572))</f>
        <v>-0</v>
      </c>
      <c r="U572" s="36" t="n">
        <f aca="false">IF(S572="","",MAX(0,S572))</f>
        <v>0</v>
      </c>
      <c r="V572" s="8" t="str">
        <f aca="false">IF(J572="","NOT SCORED - NO JULY MONTHLY ROW",IF(OR(ABS(L572)&gt;0.005,ABS(O572)&gt;0.005,ABS(S572)&gt;0.005),"EXCEPTION","OK"))</f>
        <v>OK</v>
      </c>
      <c r="W572" s="8" t="s">
        <v>5061</v>
      </c>
      <c r="X572" s="8" t="s">
        <v>4099</v>
      </c>
      <c r="Y572" s="36" t="n">
        <f aca="false">K572*N572</f>
        <v>241.6</v>
      </c>
    </row>
    <row r="573" customFormat="false" ht="15" hidden="false" customHeight="false" outlineLevel="0" collapsed="false">
      <c r="A573" s="11" t="s">
        <v>5062</v>
      </c>
      <c r="B573" s="11" t="s">
        <v>192</v>
      </c>
      <c r="C573" s="11" t="s">
        <v>2829</v>
      </c>
      <c r="D573" s="11" t="s">
        <v>3489</v>
      </c>
      <c r="E573" s="11" t="s">
        <v>5063</v>
      </c>
      <c r="F573" s="11" t="s">
        <v>5064</v>
      </c>
      <c r="G573" s="11" t="s">
        <v>3240</v>
      </c>
      <c r="H573" s="11" t="n">
        <v>50</v>
      </c>
      <c r="I573" s="31" t="n">
        <v>43.1</v>
      </c>
      <c r="J573" s="31" t="n">
        <v>50</v>
      </c>
      <c r="K573" s="31" t="n">
        <f aca="false">MAX(ROUNDUP(I573,0),H573)</f>
        <v>50</v>
      </c>
      <c r="L573" s="31" t="n">
        <f aca="false">IF(J573="","",J573-K573)</f>
        <v>0</v>
      </c>
      <c r="M573" s="32" t="n">
        <v>7.55</v>
      </c>
      <c r="N573" s="32" t="n">
        <f aca="false">IF(C573="covered",10.4,7.55)</f>
        <v>7.55</v>
      </c>
      <c r="O573" s="32" t="n">
        <f aca="false">IF(M573="","",M573-N573)</f>
        <v>0</v>
      </c>
      <c r="P573" s="11" t="n">
        <v>1</v>
      </c>
      <c r="Q573" s="33" t="n">
        <v>377.5</v>
      </c>
      <c r="R573" s="33" t="n">
        <f aca="false">IF(OR(J573="",P573=""),"",K573*N573*P573)</f>
        <v>377.5</v>
      </c>
      <c r="S573" s="33" t="n">
        <f aca="false">IF(Q573="","",Q573-R573)</f>
        <v>0</v>
      </c>
      <c r="T573" s="33" t="n">
        <f aca="false">IF(S573="","",MAX(0,-S573))</f>
        <v>-0</v>
      </c>
      <c r="U573" s="33" t="n">
        <f aca="false">IF(S573="","",MAX(0,S573))</f>
        <v>0</v>
      </c>
      <c r="V573" s="11" t="str">
        <f aca="false">IF(J573="","NOT SCORED - NO JULY MONTHLY ROW",IF(OR(ABS(L573)&gt;0.005,ABS(O573)&gt;0.005,ABS(S573)&gt;0.005),"EXCEPTION","OK"))</f>
        <v>OK</v>
      </c>
      <c r="W573" s="11" t="s">
        <v>5065</v>
      </c>
      <c r="X573" s="11" t="s">
        <v>4099</v>
      </c>
      <c r="Y573" s="33" t="n">
        <f aca="false">K573*N573</f>
        <v>377.5</v>
      </c>
    </row>
    <row r="574" customFormat="false" ht="15" hidden="false" customHeight="false" outlineLevel="0" collapsed="false">
      <c r="A574" s="8" t="s">
        <v>1079</v>
      </c>
      <c r="B574" s="8" t="s">
        <v>192</v>
      </c>
      <c r="C574" s="8" t="s">
        <v>2829</v>
      </c>
      <c r="D574" s="8" t="s">
        <v>3494</v>
      </c>
      <c r="E574" s="8" t="s">
        <v>5066</v>
      </c>
      <c r="F574" s="8" t="s">
        <v>5067</v>
      </c>
      <c r="G574" s="8" t="s">
        <v>3770</v>
      </c>
      <c r="H574" s="8" t="n">
        <v>24</v>
      </c>
      <c r="I574" s="34" t="n">
        <v>55.9</v>
      </c>
      <c r="J574" s="34" t="n">
        <v>56</v>
      </c>
      <c r="K574" s="34" t="n">
        <f aca="false">MAX(ROUNDUP(I574,0),H574)</f>
        <v>56</v>
      </c>
      <c r="L574" s="34" t="n">
        <f aca="false">IF(J574="","",J574-K574)</f>
        <v>0</v>
      </c>
      <c r="M574" s="35" t="n">
        <v>7.55</v>
      </c>
      <c r="N574" s="35" t="n">
        <f aca="false">IF(C574="covered",10.4,7.55)</f>
        <v>7.55</v>
      </c>
      <c r="O574" s="35" t="n">
        <f aca="false">IF(M574="","",M574-N574)</f>
        <v>0</v>
      </c>
      <c r="P574" s="8" t="n">
        <v>1</v>
      </c>
      <c r="Q574" s="36" t="n">
        <v>422.8</v>
      </c>
      <c r="R574" s="36" t="n">
        <f aca="false">IF(OR(J574="",P574=""),"",K574*N574*P574)</f>
        <v>422.8</v>
      </c>
      <c r="S574" s="36" t="n">
        <f aca="false">IF(Q574="","",Q574-R574)</f>
        <v>0</v>
      </c>
      <c r="T574" s="36" t="n">
        <f aca="false">IF(S574="","",MAX(0,-S574))</f>
        <v>-0</v>
      </c>
      <c r="U574" s="36" t="n">
        <f aca="false">IF(S574="","",MAX(0,S574))</f>
        <v>0</v>
      </c>
      <c r="V574" s="8" t="str">
        <f aca="false">IF(J574="","NOT SCORED - NO JULY MONTHLY ROW",IF(OR(ABS(L574)&gt;0.005,ABS(O574)&gt;0.005,ABS(S574)&gt;0.005),"EXCEPTION","OK"))</f>
        <v>OK</v>
      </c>
      <c r="W574" s="8" t="s">
        <v>5068</v>
      </c>
      <c r="X574" s="8" t="s">
        <v>4099</v>
      </c>
      <c r="Y574" s="36" t="n">
        <f aca="false">K574*N574</f>
        <v>422.8</v>
      </c>
    </row>
    <row r="575" customFormat="false" ht="15" hidden="false" customHeight="false" outlineLevel="0" collapsed="false">
      <c r="A575" s="11" t="s">
        <v>5069</v>
      </c>
      <c r="B575" s="11" t="s">
        <v>192</v>
      </c>
      <c r="C575" s="11" t="s">
        <v>2829</v>
      </c>
      <c r="D575" s="11" t="s">
        <v>3499</v>
      </c>
      <c r="E575" s="11" t="s">
        <v>5070</v>
      </c>
      <c r="F575" s="11" t="s">
        <v>5071</v>
      </c>
      <c r="G575" s="11" t="s">
        <v>3770</v>
      </c>
      <c r="H575" s="11" t="n">
        <v>24</v>
      </c>
      <c r="I575" s="31" t="n">
        <v>52.2</v>
      </c>
      <c r="J575" s="31" t="n">
        <v>53</v>
      </c>
      <c r="K575" s="31" t="n">
        <f aca="false">MAX(ROUNDUP(I575,0),H575)</f>
        <v>53</v>
      </c>
      <c r="L575" s="31" t="n">
        <f aca="false">IF(J575="","",J575-K575)</f>
        <v>0</v>
      </c>
      <c r="M575" s="32" t="n">
        <v>7.55</v>
      </c>
      <c r="N575" s="32" t="n">
        <f aca="false">IF(C575="covered",10.4,7.55)</f>
        <v>7.55</v>
      </c>
      <c r="O575" s="32" t="n">
        <f aca="false">IF(M575="","",M575-N575)</f>
        <v>0</v>
      </c>
      <c r="P575" s="11" t="n">
        <v>1</v>
      </c>
      <c r="Q575" s="33" t="n">
        <v>400.15</v>
      </c>
      <c r="R575" s="33" t="n">
        <f aca="false">IF(OR(J575="",P575=""),"",K575*N575*P575)</f>
        <v>400.15</v>
      </c>
      <c r="S575" s="33" t="n">
        <f aca="false">IF(Q575="","",Q575-R575)</f>
        <v>0</v>
      </c>
      <c r="T575" s="33" t="n">
        <f aca="false">IF(S575="","",MAX(0,-S575))</f>
        <v>-0</v>
      </c>
      <c r="U575" s="33" t="n">
        <f aca="false">IF(S575="","",MAX(0,S575))</f>
        <v>0</v>
      </c>
      <c r="V575" s="11" t="str">
        <f aca="false">IF(J575="","NOT SCORED - NO JULY MONTHLY ROW",IF(OR(ABS(L575)&gt;0.005,ABS(O575)&gt;0.005,ABS(S575)&gt;0.005),"EXCEPTION","OK"))</f>
        <v>OK</v>
      </c>
      <c r="W575" s="11" t="s">
        <v>5072</v>
      </c>
      <c r="X575" s="11" t="s">
        <v>4099</v>
      </c>
      <c r="Y575" s="33" t="n">
        <f aca="false">K575*N575</f>
        <v>400.15</v>
      </c>
    </row>
    <row r="576" customFormat="false" ht="15" hidden="false" customHeight="false" outlineLevel="0" collapsed="false">
      <c r="A576" s="8" t="s">
        <v>5073</v>
      </c>
      <c r="B576" s="8" t="s">
        <v>192</v>
      </c>
      <c r="C576" s="8" t="s">
        <v>2829</v>
      </c>
      <c r="D576" s="8" t="s">
        <v>3502</v>
      </c>
      <c r="E576" s="8" t="s">
        <v>5074</v>
      </c>
      <c r="F576" s="8" t="s">
        <v>5075</v>
      </c>
      <c r="G576" s="8" t="s">
        <v>3735</v>
      </c>
      <c r="H576" s="8" t="n">
        <v>24</v>
      </c>
      <c r="I576" s="34" t="n">
        <v>57.6</v>
      </c>
      <c r="J576" s="34" t="n">
        <v>58</v>
      </c>
      <c r="K576" s="34" t="n">
        <f aca="false">MAX(ROUNDUP(I576,0),H576)</f>
        <v>58</v>
      </c>
      <c r="L576" s="34" t="n">
        <f aca="false">IF(J576="","",J576-K576)</f>
        <v>0</v>
      </c>
      <c r="M576" s="35" t="n">
        <v>7.55</v>
      </c>
      <c r="N576" s="35" t="n">
        <f aca="false">IF(C576="covered",10.4,7.55)</f>
        <v>7.55</v>
      </c>
      <c r="O576" s="35" t="n">
        <f aca="false">IF(M576="","",M576-N576)</f>
        <v>0</v>
      </c>
      <c r="P576" s="8" t="n">
        <v>1</v>
      </c>
      <c r="Q576" s="36" t="n">
        <v>437.9</v>
      </c>
      <c r="R576" s="36" t="n">
        <f aca="false">IF(OR(J576="",P576=""),"",K576*N576*P576)</f>
        <v>437.9</v>
      </c>
      <c r="S576" s="36" t="n">
        <f aca="false">IF(Q576="","",Q576-R576)</f>
        <v>0</v>
      </c>
      <c r="T576" s="36" t="n">
        <f aca="false">IF(S576="","",MAX(0,-S576))</f>
        <v>-0</v>
      </c>
      <c r="U576" s="36" t="n">
        <f aca="false">IF(S576="","",MAX(0,S576))</f>
        <v>0</v>
      </c>
      <c r="V576" s="8" t="str">
        <f aca="false">IF(J576="","NOT SCORED - NO JULY MONTHLY ROW",IF(OR(ABS(L576)&gt;0.005,ABS(O576)&gt;0.005,ABS(S576)&gt;0.005),"EXCEPTION","OK"))</f>
        <v>OK</v>
      </c>
      <c r="W576" s="8" t="s">
        <v>5076</v>
      </c>
      <c r="X576" s="8" t="s">
        <v>4099</v>
      </c>
      <c r="Y576" s="36" t="n">
        <f aca="false">K576*N576</f>
        <v>437.9</v>
      </c>
    </row>
    <row r="577" customFormat="false" ht="15" hidden="false" customHeight="false" outlineLevel="0" collapsed="false">
      <c r="A577" s="11" t="s">
        <v>5077</v>
      </c>
      <c r="B577" s="11" t="s">
        <v>192</v>
      </c>
      <c r="C577" s="11" t="s">
        <v>2829</v>
      </c>
      <c r="D577" s="11" t="s">
        <v>3505</v>
      </c>
      <c r="E577" s="11" t="s">
        <v>5078</v>
      </c>
      <c r="F577" s="11" t="s">
        <v>5079</v>
      </c>
      <c r="G577" s="11" t="s">
        <v>2938</v>
      </c>
      <c r="H577" s="11" t="n">
        <v>40</v>
      </c>
      <c r="I577" s="31" t="n">
        <v>36</v>
      </c>
      <c r="J577" s="31" t="n">
        <v>40</v>
      </c>
      <c r="K577" s="31" t="n">
        <f aca="false">MAX(ROUNDUP(I577,0),H577)</f>
        <v>40</v>
      </c>
      <c r="L577" s="31" t="n">
        <f aca="false">IF(J577="","",J577-K577)</f>
        <v>0</v>
      </c>
      <c r="M577" s="32" t="n">
        <v>7.55</v>
      </c>
      <c r="N577" s="32" t="n">
        <f aca="false">IF(C577="covered",10.4,7.55)</f>
        <v>7.55</v>
      </c>
      <c r="O577" s="32" t="n">
        <f aca="false">IF(M577="","",M577-N577)</f>
        <v>0</v>
      </c>
      <c r="P577" s="11" t="n">
        <v>1</v>
      </c>
      <c r="Q577" s="33" t="n">
        <v>302</v>
      </c>
      <c r="R577" s="33" t="n">
        <f aca="false">IF(OR(J577="",P577=""),"",K577*N577*P577)</f>
        <v>302</v>
      </c>
      <c r="S577" s="33" t="n">
        <f aca="false">IF(Q577="","",Q577-R577)</f>
        <v>0</v>
      </c>
      <c r="T577" s="33" t="n">
        <f aca="false">IF(S577="","",MAX(0,-S577))</f>
        <v>-0</v>
      </c>
      <c r="U577" s="33" t="n">
        <f aca="false">IF(S577="","",MAX(0,S577))</f>
        <v>0</v>
      </c>
      <c r="V577" s="11" t="str">
        <f aca="false">IF(J577="","NOT SCORED - NO JULY MONTHLY ROW",IF(OR(ABS(L577)&gt;0.005,ABS(O577)&gt;0.005,ABS(S577)&gt;0.005),"EXCEPTION","OK"))</f>
        <v>OK</v>
      </c>
      <c r="W577" s="11" t="s">
        <v>5080</v>
      </c>
      <c r="X577" s="11" t="s">
        <v>4099</v>
      </c>
      <c r="Y577" s="33" t="n">
        <f aca="false">K577*N577</f>
        <v>302</v>
      </c>
    </row>
    <row r="578" customFormat="false" ht="15" hidden="false" customHeight="false" outlineLevel="0" collapsed="false">
      <c r="A578" s="8" t="s">
        <v>5081</v>
      </c>
      <c r="B578" s="8" t="s">
        <v>192</v>
      </c>
      <c r="C578" s="8" t="s">
        <v>2829</v>
      </c>
      <c r="D578" s="8" t="s">
        <v>3508</v>
      </c>
      <c r="E578" s="8" t="s">
        <v>5082</v>
      </c>
      <c r="F578" s="8" t="s">
        <v>5083</v>
      </c>
      <c r="G578" s="8" t="s">
        <v>5016</v>
      </c>
      <c r="H578" s="8" t="n">
        <v>40</v>
      </c>
      <c r="I578" s="34" t="n">
        <v>30.9</v>
      </c>
      <c r="J578" s="34" t="n">
        <v>40</v>
      </c>
      <c r="K578" s="34" t="n">
        <f aca="false">MAX(ROUNDUP(I578,0),H578)</f>
        <v>40</v>
      </c>
      <c r="L578" s="34" t="n">
        <f aca="false">IF(J578="","",J578-K578)</f>
        <v>0</v>
      </c>
      <c r="M578" s="35" t="n">
        <v>7.55</v>
      </c>
      <c r="N578" s="35" t="n">
        <f aca="false">IF(C578="covered",10.4,7.55)</f>
        <v>7.55</v>
      </c>
      <c r="O578" s="35" t="n">
        <f aca="false">IF(M578="","",M578-N578)</f>
        <v>0</v>
      </c>
      <c r="P578" s="8" t="n">
        <v>1</v>
      </c>
      <c r="Q578" s="36" t="n">
        <v>302</v>
      </c>
      <c r="R578" s="36" t="n">
        <f aca="false">IF(OR(J578="",P578=""),"",K578*N578*P578)</f>
        <v>302</v>
      </c>
      <c r="S578" s="36" t="n">
        <f aca="false">IF(Q578="","",Q578-R578)</f>
        <v>0</v>
      </c>
      <c r="T578" s="36" t="n">
        <f aca="false">IF(S578="","",MAX(0,-S578))</f>
        <v>-0</v>
      </c>
      <c r="U578" s="36" t="n">
        <f aca="false">IF(S578="","",MAX(0,S578))</f>
        <v>0</v>
      </c>
      <c r="V578" s="8" t="str">
        <f aca="false">IF(J578="","NOT SCORED - NO JULY MONTHLY ROW",IF(OR(ABS(L578)&gt;0.005,ABS(O578)&gt;0.005,ABS(S578)&gt;0.005),"EXCEPTION","OK"))</f>
        <v>OK</v>
      </c>
      <c r="W578" s="8" t="s">
        <v>5084</v>
      </c>
      <c r="X578" s="8" t="s">
        <v>4099</v>
      </c>
      <c r="Y578" s="36" t="n">
        <f aca="false">K578*N578</f>
        <v>302</v>
      </c>
    </row>
    <row r="579" customFormat="false" ht="15" hidden="false" customHeight="false" outlineLevel="0" collapsed="false">
      <c r="A579" s="11" t="s">
        <v>5085</v>
      </c>
      <c r="B579" s="11" t="s">
        <v>192</v>
      </c>
      <c r="C579" s="11" t="s">
        <v>2829</v>
      </c>
      <c r="D579" s="11" t="s">
        <v>3513</v>
      </c>
      <c r="E579" s="11" t="s">
        <v>1903</v>
      </c>
      <c r="F579" s="11" t="s">
        <v>1904</v>
      </c>
      <c r="G579" s="11" t="s">
        <v>4389</v>
      </c>
      <c r="H579" s="11" t="n">
        <v>28</v>
      </c>
      <c r="I579" s="31" t="n">
        <v>22.7</v>
      </c>
      <c r="J579" s="31" t="n">
        <v>28</v>
      </c>
      <c r="K579" s="31" t="n">
        <f aca="false">MAX(ROUNDUP(I579,0),H579)</f>
        <v>28</v>
      </c>
      <c r="L579" s="31" t="n">
        <f aca="false">IF(J579="","",J579-K579)</f>
        <v>0</v>
      </c>
      <c r="M579" s="32" t="n">
        <v>7.55</v>
      </c>
      <c r="N579" s="32" t="n">
        <f aca="false">IF(C579="covered",10.4,7.55)</f>
        <v>7.55</v>
      </c>
      <c r="O579" s="32" t="n">
        <f aca="false">IF(M579="","",M579-N579)</f>
        <v>0</v>
      </c>
      <c r="P579" s="11" t="n">
        <v>1</v>
      </c>
      <c r="Q579" s="33" t="n">
        <v>211.4</v>
      </c>
      <c r="R579" s="33" t="n">
        <f aca="false">IF(OR(J579="",P579=""),"",K579*N579*P579)</f>
        <v>211.4</v>
      </c>
      <c r="S579" s="33" t="n">
        <f aca="false">IF(Q579="","",Q579-R579)</f>
        <v>0</v>
      </c>
      <c r="T579" s="33" t="n">
        <f aca="false">IF(S579="","",MAX(0,-S579))</f>
        <v>-0</v>
      </c>
      <c r="U579" s="33" t="n">
        <f aca="false">IF(S579="","",MAX(0,S579))</f>
        <v>0</v>
      </c>
      <c r="V579" s="11" t="str">
        <f aca="false">IF(J579="","NOT SCORED - NO JULY MONTHLY ROW",IF(OR(ABS(L579)&gt;0.005,ABS(O579)&gt;0.005,ABS(S579)&gt;0.005),"EXCEPTION","OK"))</f>
        <v>OK</v>
      </c>
      <c r="W579" s="11" t="s">
        <v>5086</v>
      </c>
      <c r="X579" s="11" t="s">
        <v>4099</v>
      </c>
      <c r="Y579" s="33" t="n">
        <f aca="false">K579*N579</f>
        <v>211.4</v>
      </c>
    </row>
    <row r="580" customFormat="false" ht="15" hidden="false" customHeight="false" outlineLevel="0" collapsed="false">
      <c r="A580" s="8" t="s">
        <v>5087</v>
      </c>
      <c r="B580" s="8" t="s">
        <v>192</v>
      </c>
      <c r="C580" s="8" t="s">
        <v>2829</v>
      </c>
      <c r="D580" s="8" t="s">
        <v>3518</v>
      </c>
      <c r="E580" s="8" t="s">
        <v>5088</v>
      </c>
      <c r="F580" s="8" t="s">
        <v>5089</v>
      </c>
      <c r="G580" s="8" t="s">
        <v>5090</v>
      </c>
      <c r="H580" s="8" t="n">
        <v>60</v>
      </c>
      <c r="I580" s="34" t="n">
        <v>31.8</v>
      </c>
      <c r="J580" s="34" t="n">
        <v>60</v>
      </c>
      <c r="K580" s="34" t="n">
        <f aca="false">MAX(ROUNDUP(I580,0),H580)</f>
        <v>60</v>
      </c>
      <c r="L580" s="34" t="n">
        <f aca="false">IF(J580="","",J580-K580)</f>
        <v>0</v>
      </c>
      <c r="M580" s="35" t="n">
        <v>7.55</v>
      </c>
      <c r="N580" s="35" t="n">
        <f aca="false">IF(C580="covered",10.4,7.55)</f>
        <v>7.55</v>
      </c>
      <c r="O580" s="35" t="n">
        <f aca="false">IF(M580="","",M580-N580)</f>
        <v>0</v>
      </c>
      <c r="P580" s="8" t="n">
        <v>1</v>
      </c>
      <c r="Q580" s="36" t="n">
        <v>453</v>
      </c>
      <c r="R580" s="36" t="n">
        <f aca="false">IF(OR(J580="",P580=""),"",K580*N580*P580)</f>
        <v>453</v>
      </c>
      <c r="S580" s="36" t="n">
        <f aca="false">IF(Q580="","",Q580-R580)</f>
        <v>0</v>
      </c>
      <c r="T580" s="36" t="n">
        <f aca="false">IF(S580="","",MAX(0,-S580))</f>
        <v>-0</v>
      </c>
      <c r="U580" s="36" t="n">
        <f aca="false">IF(S580="","",MAX(0,S580))</f>
        <v>0</v>
      </c>
      <c r="V580" s="8" t="str">
        <f aca="false">IF(J580="","NOT SCORED - NO JULY MONTHLY ROW",IF(OR(ABS(L580)&gt;0.005,ABS(O580)&gt;0.005,ABS(S580)&gt;0.005),"EXCEPTION","OK"))</f>
        <v>OK</v>
      </c>
      <c r="W580" s="8" t="s">
        <v>5091</v>
      </c>
      <c r="X580" s="8" t="s">
        <v>4099</v>
      </c>
      <c r="Y580" s="36" t="n">
        <f aca="false">K580*N580</f>
        <v>453</v>
      </c>
    </row>
    <row r="581" customFormat="false" ht="15" hidden="false" customHeight="false" outlineLevel="0" collapsed="false">
      <c r="A581" s="11" t="s">
        <v>5092</v>
      </c>
      <c r="B581" s="11" t="s">
        <v>192</v>
      </c>
      <c r="C581" s="11" t="s">
        <v>2829</v>
      </c>
      <c r="D581" s="11" t="s">
        <v>3521</v>
      </c>
      <c r="E581" s="11" t="s">
        <v>5093</v>
      </c>
      <c r="F581" s="11" t="s">
        <v>4084</v>
      </c>
      <c r="G581" s="11" t="s">
        <v>2901</v>
      </c>
      <c r="H581" s="11" t="n">
        <v>28</v>
      </c>
      <c r="I581" s="31" t="n">
        <v>28.3</v>
      </c>
      <c r="J581" s="31" t="n">
        <v>29</v>
      </c>
      <c r="K581" s="31" t="n">
        <f aca="false">MAX(ROUNDUP(I581,0),H581)</f>
        <v>29</v>
      </c>
      <c r="L581" s="31" t="n">
        <f aca="false">IF(J581="","",J581-K581)</f>
        <v>0</v>
      </c>
      <c r="M581" s="32" t="n">
        <v>7.55</v>
      </c>
      <c r="N581" s="32" t="n">
        <f aca="false">IF(C581="covered",10.4,7.55)</f>
        <v>7.55</v>
      </c>
      <c r="O581" s="32" t="n">
        <f aca="false">IF(M581="","",M581-N581)</f>
        <v>0</v>
      </c>
      <c r="P581" s="11" t="n">
        <v>1</v>
      </c>
      <c r="Q581" s="33" t="n">
        <v>218.95</v>
      </c>
      <c r="R581" s="33" t="n">
        <f aca="false">IF(OR(J581="",P581=""),"",K581*N581*P581)</f>
        <v>218.95</v>
      </c>
      <c r="S581" s="33" t="n">
        <f aca="false">IF(Q581="","",Q581-R581)</f>
        <v>0</v>
      </c>
      <c r="T581" s="33" t="n">
        <f aca="false">IF(S581="","",MAX(0,-S581))</f>
        <v>-0</v>
      </c>
      <c r="U581" s="33" t="n">
        <f aca="false">IF(S581="","",MAX(0,S581))</f>
        <v>0</v>
      </c>
      <c r="V581" s="11" t="str">
        <f aca="false">IF(J581="","NOT SCORED - NO JULY MONTHLY ROW",IF(OR(ABS(L581)&gt;0.005,ABS(O581)&gt;0.005,ABS(S581)&gt;0.005),"EXCEPTION","OK"))</f>
        <v>OK</v>
      </c>
      <c r="W581" s="11" t="s">
        <v>5094</v>
      </c>
      <c r="X581" s="11" t="s">
        <v>4099</v>
      </c>
      <c r="Y581" s="33" t="n">
        <f aca="false">K581*N581</f>
        <v>218.95</v>
      </c>
    </row>
    <row r="582" customFormat="false" ht="15" hidden="false" customHeight="false" outlineLevel="0" collapsed="false">
      <c r="A582" s="8" t="s">
        <v>1994</v>
      </c>
      <c r="B582" s="8" t="s">
        <v>192</v>
      </c>
      <c r="C582" s="8" t="s">
        <v>2829</v>
      </c>
      <c r="D582" s="8" t="s">
        <v>3523</v>
      </c>
      <c r="E582" s="8" t="s">
        <v>5095</v>
      </c>
      <c r="F582" s="8" t="s">
        <v>5096</v>
      </c>
      <c r="G582" s="8" t="s">
        <v>4027</v>
      </c>
      <c r="H582" s="8" t="n">
        <v>24</v>
      </c>
      <c r="I582" s="34" t="n">
        <v>25.2</v>
      </c>
      <c r="J582" s="34" t="n">
        <v>26</v>
      </c>
      <c r="K582" s="34" t="n">
        <f aca="false">MAX(ROUNDUP(I582,0),H582)</f>
        <v>26</v>
      </c>
      <c r="L582" s="34" t="n">
        <f aca="false">IF(J582="","",J582-K582)</f>
        <v>0</v>
      </c>
      <c r="M582" s="35" t="n">
        <v>7.55</v>
      </c>
      <c r="N582" s="35" t="n">
        <f aca="false">IF(C582="covered",10.4,7.55)</f>
        <v>7.55</v>
      </c>
      <c r="O582" s="35" t="n">
        <f aca="false">IF(M582="","",M582-N582)</f>
        <v>0</v>
      </c>
      <c r="P582" s="8" t="n">
        <v>1</v>
      </c>
      <c r="Q582" s="36" t="n">
        <v>196.3</v>
      </c>
      <c r="R582" s="36" t="n">
        <f aca="false">IF(OR(J582="",P582=""),"",K582*N582*P582)</f>
        <v>196.3</v>
      </c>
      <c r="S582" s="36" t="n">
        <f aca="false">IF(Q582="","",Q582-R582)</f>
        <v>0</v>
      </c>
      <c r="T582" s="36" t="n">
        <f aca="false">IF(S582="","",MAX(0,-S582))</f>
        <v>-0</v>
      </c>
      <c r="U582" s="36" t="n">
        <f aca="false">IF(S582="","",MAX(0,S582))</f>
        <v>0</v>
      </c>
      <c r="V582" s="8" t="str">
        <f aca="false">IF(J582="","NOT SCORED - NO JULY MONTHLY ROW",IF(OR(ABS(L582)&gt;0.005,ABS(O582)&gt;0.005,ABS(S582)&gt;0.005),"EXCEPTION","OK"))</f>
        <v>OK</v>
      </c>
      <c r="W582" s="8" t="s">
        <v>5097</v>
      </c>
      <c r="X582" s="8" t="s">
        <v>4099</v>
      </c>
      <c r="Y582" s="36" t="n">
        <f aca="false">K582*N582</f>
        <v>196.3</v>
      </c>
    </row>
    <row r="583" customFormat="false" ht="15" hidden="false" customHeight="false" outlineLevel="0" collapsed="false">
      <c r="A583" s="11" t="s">
        <v>5098</v>
      </c>
      <c r="B583" s="11" t="s">
        <v>192</v>
      </c>
      <c r="C583" s="11" t="s">
        <v>2829</v>
      </c>
      <c r="D583" s="11" t="s">
        <v>3528</v>
      </c>
      <c r="E583" s="11" t="s">
        <v>5099</v>
      </c>
      <c r="F583" s="11" t="s">
        <v>5100</v>
      </c>
      <c r="G583" s="11" t="s">
        <v>3024</v>
      </c>
      <c r="H583" s="11" t="n">
        <v>28</v>
      </c>
      <c r="I583" s="31" t="n">
        <v>33.7</v>
      </c>
      <c r="J583" s="31" t="n">
        <v>34</v>
      </c>
      <c r="K583" s="31" t="n">
        <f aca="false">MAX(ROUNDUP(I583,0),H583)</f>
        <v>34</v>
      </c>
      <c r="L583" s="31" t="n">
        <f aca="false">IF(J583="","",J583-K583)</f>
        <v>0</v>
      </c>
      <c r="M583" s="32" t="n">
        <v>7.55</v>
      </c>
      <c r="N583" s="32" t="n">
        <f aca="false">IF(C583="covered",10.4,7.55)</f>
        <v>7.55</v>
      </c>
      <c r="O583" s="32" t="n">
        <f aca="false">IF(M583="","",M583-N583)</f>
        <v>0</v>
      </c>
      <c r="P583" s="11" t="n">
        <v>1</v>
      </c>
      <c r="Q583" s="33" t="n">
        <v>256.7</v>
      </c>
      <c r="R583" s="33" t="n">
        <f aca="false">IF(OR(J583="",P583=""),"",K583*N583*P583)</f>
        <v>256.7</v>
      </c>
      <c r="S583" s="33" t="n">
        <f aca="false">IF(Q583="","",Q583-R583)</f>
        <v>0</v>
      </c>
      <c r="T583" s="33" t="n">
        <f aca="false">IF(S583="","",MAX(0,-S583))</f>
        <v>-0</v>
      </c>
      <c r="U583" s="33" t="n">
        <f aca="false">IF(S583="","",MAX(0,S583))</f>
        <v>0</v>
      </c>
      <c r="V583" s="11" t="str">
        <f aca="false">IF(J583="","NOT SCORED - NO JULY MONTHLY ROW",IF(OR(ABS(L583)&gt;0.005,ABS(O583)&gt;0.005,ABS(S583)&gt;0.005),"EXCEPTION","OK"))</f>
        <v>OK</v>
      </c>
      <c r="W583" s="11" t="s">
        <v>5101</v>
      </c>
      <c r="X583" s="11" t="s">
        <v>4099</v>
      </c>
      <c r="Y583" s="33" t="n">
        <f aca="false">K583*N583</f>
        <v>256.7</v>
      </c>
    </row>
    <row r="584" customFormat="false" ht="15" hidden="false" customHeight="false" outlineLevel="0" collapsed="false">
      <c r="A584" s="8" t="s">
        <v>1627</v>
      </c>
      <c r="B584" s="8" t="s">
        <v>192</v>
      </c>
      <c r="C584" s="8" t="s">
        <v>2829</v>
      </c>
      <c r="D584" s="8" t="s">
        <v>3532</v>
      </c>
      <c r="E584" s="8" t="s">
        <v>5102</v>
      </c>
      <c r="F584" s="8" t="s">
        <v>5103</v>
      </c>
      <c r="G584" s="8" t="s">
        <v>3127</v>
      </c>
      <c r="H584" s="8" t="n">
        <v>80</v>
      </c>
      <c r="I584" s="34" t="n">
        <v>42.5</v>
      </c>
      <c r="J584" s="34" t="n">
        <v>80</v>
      </c>
      <c r="K584" s="34" t="n">
        <f aca="false">MAX(ROUNDUP(I584,0),H584)</f>
        <v>80</v>
      </c>
      <c r="L584" s="34" t="n">
        <f aca="false">IF(J584="","",J584-K584)</f>
        <v>0</v>
      </c>
      <c r="M584" s="35" t="n">
        <v>7.55</v>
      </c>
      <c r="N584" s="35" t="n">
        <f aca="false">IF(C584="covered",10.4,7.55)</f>
        <v>7.55</v>
      </c>
      <c r="O584" s="35" t="n">
        <f aca="false">IF(M584="","",M584-N584)</f>
        <v>0</v>
      </c>
      <c r="P584" s="8" t="n">
        <v>1</v>
      </c>
      <c r="Q584" s="36" t="n">
        <v>604</v>
      </c>
      <c r="R584" s="36" t="n">
        <f aca="false">IF(OR(J584="",P584=""),"",K584*N584*P584)</f>
        <v>604</v>
      </c>
      <c r="S584" s="36" t="n">
        <f aca="false">IF(Q584="","",Q584-R584)</f>
        <v>0</v>
      </c>
      <c r="T584" s="36" t="n">
        <f aca="false">IF(S584="","",MAX(0,-S584))</f>
        <v>-0</v>
      </c>
      <c r="U584" s="36" t="n">
        <f aca="false">IF(S584="","",MAX(0,S584))</f>
        <v>0</v>
      </c>
      <c r="V584" s="8" t="str">
        <f aca="false">IF(J584="","NOT SCORED - NO JULY MONTHLY ROW",IF(OR(ABS(L584)&gt;0.005,ABS(O584)&gt;0.005,ABS(S584)&gt;0.005),"EXCEPTION","OK"))</f>
        <v>OK</v>
      </c>
      <c r="W584" s="8" t="s">
        <v>5104</v>
      </c>
      <c r="X584" s="8" t="s">
        <v>4099</v>
      </c>
      <c r="Y584" s="36" t="n">
        <f aca="false">K584*N584</f>
        <v>604</v>
      </c>
    </row>
    <row r="585" customFormat="false" ht="15" hidden="false" customHeight="false" outlineLevel="0" collapsed="false">
      <c r="A585" s="11" t="s">
        <v>5105</v>
      </c>
      <c r="B585" s="11" t="s">
        <v>192</v>
      </c>
      <c r="C585" s="11" t="s">
        <v>2829</v>
      </c>
      <c r="D585" s="11" t="s">
        <v>3537</v>
      </c>
      <c r="E585" s="11" t="s">
        <v>5106</v>
      </c>
      <c r="F585" s="11" t="s">
        <v>5107</v>
      </c>
      <c r="G585" s="11" t="s">
        <v>2864</v>
      </c>
      <c r="H585" s="11" t="n">
        <v>80</v>
      </c>
      <c r="I585" s="31" t="n">
        <v>58.7</v>
      </c>
      <c r="J585" s="31" t="n">
        <v>80</v>
      </c>
      <c r="K585" s="31" t="n">
        <f aca="false">MAX(ROUNDUP(I585,0),H585)</f>
        <v>80</v>
      </c>
      <c r="L585" s="31" t="n">
        <f aca="false">IF(J585="","",J585-K585)</f>
        <v>0</v>
      </c>
      <c r="M585" s="32" t="n">
        <v>7.55</v>
      </c>
      <c r="N585" s="32" t="n">
        <f aca="false">IF(C585="covered",10.4,7.55)</f>
        <v>7.55</v>
      </c>
      <c r="O585" s="32" t="n">
        <f aca="false">IF(M585="","",M585-N585)</f>
        <v>0</v>
      </c>
      <c r="P585" s="11" t="n">
        <v>1</v>
      </c>
      <c r="Q585" s="33" t="n">
        <v>604</v>
      </c>
      <c r="R585" s="33" t="n">
        <f aca="false">IF(OR(J585="",P585=""),"",K585*N585*P585)</f>
        <v>604</v>
      </c>
      <c r="S585" s="33" t="n">
        <f aca="false">IF(Q585="","",Q585-R585)</f>
        <v>0</v>
      </c>
      <c r="T585" s="33" t="n">
        <f aca="false">IF(S585="","",MAX(0,-S585))</f>
        <v>-0</v>
      </c>
      <c r="U585" s="33" t="n">
        <f aca="false">IF(S585="","",MAX(0,S585))</f>
        <v>0</v>
      </c>
      <c r="V585" s="11" t="str">
        <f aca="false">IF(J585="","NOT SCORED - NO JULY MONTHLY ROW",IF(OR(ABS(L585)&gt;0.005,ABS(O585)&gt;0.005,ABS(S585)&gt;0.005),"EXCEPTION","OK"))</f>
        <v>OK</v>
      </c>
      <c r="W585" s="11" t="s">
        <v>5108</v>
      </c>
      <c r="X585" s="11" t="s">
        <v>4099</v>
      </c>
      <c r="Y585" s="33" t="n">
        <f aca="false">K585*N585</f>
        <v>604</v>
      </c>
    </row>
    <row r="586" customFormat="false" ht="15" hidden="false" customHeight="false" outlineLevel="0" collapsed="false">
      <c r="A586" s="8" t="s">
        <v>5109</v>
      </c>
      <c r="B586" s="8" t="s">
        <v>192</v>
      </c>
      <c r="C586" s="8" t="s">
        <v>2829</v>
      </c>
      <c r="D586" s="8" t="s">
        <v>3542</v>
      </c>
      <c r="E586" s="8" t="s">
        <v>2617</v>
      </c>
      <c r="F586" s="8" t="s">
        <v>5110</v>
      </c>
      <c r="G586" s="8" t="s">
        <v>3376</v>
      </c>
      <c r="H586" s="8" t="n">
        <v>60</v>
      </c>
      <c r="I586" s="34" t="n">
        <v>56.1</v>
      </c>
      <c r="J586" s="34" t="n">
        <v>60</v>
      </c>
      <c r="K586" s="34" t="n">
        <f aca="false">MAX(ROUNDUP(I586,0),H586)</f>
        <v>60</v>
      </c>
      <c r="L586" s="34" t="n">
        <f aca="false">IF(J586="","",J586-K586)</f>
        <v>0</v>
      </c>
      <c r="M586" s="35" t="n">
        <v>7.55</v>
      </c>
      <c r="N586" s="35" t="n">
        <f aca="false">IF(C586="covered",10.4,7.55)</f>
        <v>7.55</v>
      </c>
      <c r="O586" s="35" t="n">
        <f aca="false">IF(M586="","",M586-N586)</f>
        <v>0</v>
      </c>
      <c r="P586" s="8" t="n">
        <v>1</v>
      </c>
      <c r="Q586" s="36" t="n">
        <v>453</v>
      </c>
      <c r="R586" s="36" t="n">
        <f aca="false">IF(OR(J586="",P586=""),"",K586*N586*P586)</f>
        <v>453</v>
      </c>
      <c r="S586" s="36" t="n">
        <f aca="false">IF(Q586="","",Q586-R586)</f>
        <v>0</v>
      </c>
      <c r="T586" s="36" t="n">
        <f aca="false">IF(S586="","",MAX(0,-S586))</f>
        <v>-0</v>
      </c>
      <c r="U586" s="36" t="n">
        <f aca="false">IF(S586="","",MAX(0,S586))</f>
        <v>0</v>
      </c>
      <c r="V586" s="8" t="str">
        <f aca="false">IF(J586="","NOT SCORED - NO JULY MONTHLY ROW",IF(OR(ABS(L586)&gt;0.005,ABS(O586)&gt;0.005,ABS(S586)&gt;0.005),"EXCEPTION","OK"))</f>
        <v>OK</v>
      </c>
      <c r="W586" s="8" t="s">
        <v>5111</v>
      </c>
      <c r="X586" s="8" t="s">
        <v>4099</v>
      </c>
      <c r="Y586" s="36" t="n">
        <f aca="false">K586*N586</f>
        <v>453</v>
      </c>
    </row>
    <row r="587" customFormat="false" ht="15" hidden="false" customHeight="false" outlineLevel="0" collapsed="false">
      <c r="A587" s="11" t="s">
        <v>326</v>
      </c>
      <c r="B587" s="11" t="s">
        <v>192</v>
      </c>
      <c r="C587" s="11" t="s">
        <v>2829</v>
      </c>
      <c r="D587" s="11" t="s">
        <v>3551</v>
      </c>
      <c r="E587" s="11" t="s">
        <v>2071</v>
      </c>
      <c r="F587" s="11" t="s">
        <v>2072</v>
      </c>
      <c r="G587" s="11" t="s">
        <v>3445</v>
      </c>
      <c r="H587" s="11" t="n">
        <v>60</v>
      </c>
      <c r="I587" s="31" t="n">
        <v>54.9</v>
      </c>
      <c r="J587" s="31" t="n">
        <v>60</v>
      </c>
      <c r="K587" s="31" t="n">
        <f aca="false">MAX(ROUNDUP(I587,0),H587)</f>
        <v>60</v>
      </c>
      <c r="L587" s="31" t="n">
        <f aca="false">IF(J587="","",J587-K587)</f>
        <v>0</v>
      </c>
      <c r="M587" s="32" t="n">
        <v>7.55</v>
      </c>
      <c r="N587" s="32" t="n">
        <f aca="false">IF(C587="covered",10.4,7.55)</f>
        <v>7.55</v>
      </c>
      <c r="O587" s="32" t="n">
        <f aca="false">IF(M587="","",M587-N587)</f>
        <v>0</v>
      </c>
      <c r="P587" s="11" t="n">
        <v>1</v>
      </c>
      <c r="Q587" s="33" t="n">
        <v>453</v>
      </c>
      <c r="R587" s="33" t="n">
        <f aca="false">IF(OR(J587="",P587=""),"",K587*N587*P587)</f>
        <v>453</v>
      </c>
      <c r="S587" s="33" t="n">
        <f aca="false">IF(Q587="","",Q587-R587)</f>
        <v>0</v>
      </c>
      <c r="T587" s="33" t="n">
        <f aca="false">IF(S587="","",MAX(0,-S587))</f>
        <v>-0</v>
      </c>
      <c r="U587" s="33" t="n">
        <f aca="false">IF(S587="","",MAX(0,S587))</f>
        <v>0</v>
      </c>
      <c r="V587" s="11" t="str">
        <f aca="false">IF(J587="","NOT SCORED - NO JULY MONTHLY ROW",IF(OR(ABS(L587)&gt;0.005,ABS(O587)&gt;0.005,ABS(S587)&gt;0.005),"EXCEPTION","OK"))</f>
        <v>OK</v>
      </c>
      <c r="W587" s="11" t="s">
        <v>5112</v>
      </c>
      <c r="X587" s="11" t="s">
        <v>4099</v>
      </c>
      <c r="Y587" s="33" t="n">
        <f aca="false">K587*N587</f>
        <v>453</v>
      </c>
    </row>
    <row r="588" customFormat="false" ht="15" hidden="false" customHeight="false" outlineLevel="0" collapsed="false">
      <c r="A588" s="8" t="s">
        <v>5113</v>
      </c>
      <c r="B588" s="8" t="s">
        <v>192</v>
      </c>
      <c r="C588" s="8" t="s">
        <v>2829</v>
      </c>
      <c r="D588" s="8" t="s">
        <v>4259</v>
      </c>
      <c r="E588" s="8" t="s">
        <v>89</v>
      </c>
      <c r="F588" s="8" t="s">
        <v>90</v>
      </c>
      <c r="G588" s="8" t="s">
        <v>5114</v>
      </c>
      <c r="H588" s="8" t="n">
        <v>80</v>
      </c>
      <c r="I588" s="34" t="n">
        <v>31.6</v>
      </c>
      <c r="J588" s="34" t="n">
        <v>80</v>
      </c>
      <c r="K588" s="34" t="n">
        <f aca="false">MAX(ROUNDUP(I588,0),H588)</f>
        <v>80</v>
      </c>
      <c r="L588" s="34" t="n">
        <f aca="false">IF(J588="","",J588-K588)</f>
        <v>0</v>
      </c>
      <c r="M588" s="35" t="n">
        <v>7.55</v>
      </c>
      <c r="N588" s="35" t="n">
        <f aca="false">IF(C588="covered",10.4,7.55)</f>
        <v>7.55</v>
      </c>
      <c r="O588" s="35" t="n">
        <f aca="false">IF(M588="","",M588-N588)</f>
        <v>0</v>
      </c>
      <c r="P588" s="8" t="n">
        <v>1</v>
      </c>
      <c r="Q588" s="36" t="n">
        <v>604</v>
      </c>
      <c r="R588" s="36" t="n">
        <f aca="false">IF(OR(J588="",P588=""),"",K588*N588*P588)</f>
        <v>604</v>
      </c>
      <c r="S588" s="36" t="n">
        <f aca="false">IF(Q588="","",Q588-R588)</f>
        <v>0</v>
      </c>
      <c r="T588" s="36" t="n">
        <f aca="false">IF(S588="","",MAX(0,-S588))</f>
        <v>-0</v>
      </c>
      <c r="U588" s="36" t="n">
        <f aca="false">IF(S588="","",MAX(0,S588))</f>
        <v>0</v>
      </c>
      <c r="V588" s="8" t="str">
        <f aca="false">IF(J588="","NOT SCORED - NO JULY MONTHLY ROW",IF(OR(ABS(L588)&gt;0.005,ABS(O588)&gt;0.005,ABS(S588)&gt;0.005),"EXCEPTION","OK"))</f>
        <v>OK</v>
      </c>
      <c r="W588" s="8" t="s">
        <v>5115</v>
      </c>
      <c r="X588" s="8" t="s">
        <v>4099</v>
      </c>
      <c r="Y588" s="36" t="n">
        <f aca="false">K588*N588</f>
        <v>604</v>
      </c>
    </row>
    <row r="589" customFormat="false" ht="15" hidden="false" customHeight="false" outlineLevel="0" collapsed="false">
      <c r="A589" s="11" t="s">
        <v>5116</v>
      </c>
      <c r="B589" s="11" t="s">
        <v>192</v>
      </c>
      <c r="C589" s="11" t="s">
        <v>2829</v>
      </c>
      <c r="D589" s="11" t="s">
        <v>3554</v>
      </c>
      <c r="E589" s="11" t="s">
        <v>5117</v>
      </c>
      <c r="F589" s="11" t="s">
        <v>5118</v>
      </c>
      <c r="G589" s="11" t="s">
        <v>5119</v>
      </c>
      <c r="H589" s="11" t="n">
        <v>60</v>
      </c>
      <c r="I589" s="31" t="n">
        <v>29.9</v>
      </c>
      <c r="J589" s="31" t="n">
        <v>60</v>
      </c>
      <c r="K589" s="31" t="n">
        <f aca="false">MAX(ROUNDUP(I589,0),H589)</f>
        <v>60</v>
      </c>
      <c r="L589" s="31" t="n">
        <f aca="false">IF(J589="","",J589-K589)</f>
        <v>0</v>
      </c>
      <c r="M589" s="32" t="n">
        <v>7.55</v>
      </c>
      <c r="N589" s="32" t="n">
        <f aca="false">IF(C589="covered",10.4,7.55)</f>
        <v>7.55</v>
      </c>
      <c r="O589" s="32" t="n">
        <f aca="false">IF(M589="","",M589-N589)</f>
        <v>0</v>
      </c>
      <c r="P589" s="11" t="n">
        <v>1</v>
      </c>
      <c r="Q589" s="33" t="n">
        <v>453</v>
      </c>
      <c r="R589" s="33" t="n">
        <f aca="false">IF(OR(J589="",P589=""),"",K589*N589*P589)</f>
        <v>453</v>
      </c>
      <c r="S589" s="33" t="n">
        <f aca="false">IF(Q589="","",Q589-R589)</f>
        <v>0</v>
      </c>
      <c r="T589" s="33" t="n">
        <f aca="false">IF(S589="","",MAX(0,-S589))</f>
        <v>-0</v>
      </c>
      <c r="U589" s="33" t="n">
        <f aca="false">IF(S589="","",MAX(0,S589))</f>
        <v>0</v>
      </c>
      <c r="V589" s="11" t="str">
        <f aca="false">IF(J589="","NOT SCORED - NO JULY MONTHLY ROW",IF(OR(ABS(L589)&gt;0.005,ABS(O589)&gt;0.005,ABS(S589)&gt;0.005),"EXCEPTION","OK"))</f>
        <v>OK</v>
      </c>
      <c r="W589" s="11" t="s">
        <v>5120</v>
      </c>
      <c r="X589" s="11" t="s">
        <v>4099</v>
      </c>
      <c r="Y589" s="33" t="n">
        <f aca="false">K589*N589</f>
        <v>453</v>
      </c>
    </row>
    <row r="590" customFormat="false" ht="15" hidden="false" customHeight="false" outlineLevel="0" collapsed="false">
      <c r="A590" s="8" t="s">
        <v>2054</v>
      </c>
      <c r="B590" s="8" t="s">
        <v>192</v>
      </c>
      <c r="C590" s="8" t="s">
        <v>2829</v>
      </c>
      <c r="D590" s="8" t="s">
        <v>3558</v>
      </c>
      <c r="E590" s="8" t="s">
        <v>5121</v>
      </c>
      <c r="F590" s="8" t="s">
        <v>5122</v>
      </c>
      <c r="G590" s="8" t="s">
        <v>5123</v>
      </c>
      <c r="H590" s="8" t="n">
        <v>28</v>
      </c>
      <c r="I590" s="34" t="n">
        <v>45.5</v>
      </c>
      <c r="J590" s="34" t="n">
        <v>46</v>
      </c>
      <c r="K590" s="34" t="n">
        <f aca="false">MAX(ROUNDUP(I590,0),H590)</f>
        <v>46</v>
      </c>
      <c r="L590" s="34" t="n">
        <f aca="false">IF(J590="","",J590-K590)</f>
        <v>0</v>
      </c>
      <c r="M590" s="35" t="n">
        <v>7.55</v>
      </c>
      <c r="N590" s="35" t="n">
        <f aca="false">IF(C590="covered",10.4,7.55)</f>
        <v>7.55</v>
      </c>
      <c r="O590" s="35" t="n">
        <f aca="false">IF(M590="","",M590-N590)</f>
        <v>0</v>
      </c>
      <c r="P590" s="8" t="n">
        <v>1</v>
      </c>
      <c r="Q590" s="36" t="n">
        <v>347.3</v>
      </c>
      <c r="R590" s="36" t="n">
        <f aca="false">IF(OR(J590="",P590=""),"",K590*N590*P590)</f>
        <v>347.3</v>
      </c>
      <c r="S590" s="36" t="n">
        <f aca="false">IF(Q590="","",Q590-R590)</f>
        <v>0</v>
      </c>
      <c r="T590" s="36" t="n">
        <f aca="false">IF(S590="","",MAX(0,-S590))</f>
        <v>-0</v>
      </c>
      <c r="U590" s="36" t="n">
        <f aca="false">IF(S590="","",MAX(0,S590))</f>
        <v>0</v>
      </c>
      <c r="V590" s="8" t="str">
        <f aca="false">IF(J590="","NOT SCORED - NO JULY MONTHLY ROW",IF(OR(ABS(L590)&gt;0.005,ABS(O590)&gt;0.005,ABS(S590)&gt;0.005),"EXCEPTION","OK"))</f>
        <v>OK</v>
      </c>
      <c r="W590" s="8" t="s">
        <v>5124</v>
      </c>
      <c r="X590" s="8" t="s">
        <v>4099</v>
      </c>
      <c r="Y590" s="36" t="n">
        <f aca="false">K590*N590</f>
        <v>347.3</v>
      </c>
    </row>
    <row r="591" customFormat="false" ht="15" hidden="false" customHeight="false" outlineLevel="0" collapsed="false">
      <c r="A591" s="11" t="s">
        <v>639</v>
      </c>
      <c r="B591" s="11" t="s">
        <v>192</v>
      </c>
      <c r="C591" s="11" t="s">
        <v>2829</v>
      </c>
      <c r="D591" s="11" t="s">
        <v>3568</v>
      </c>
      <c r="E591" s="11" t="s">
        <v>5125</v>
      </c>
      <c r="F591" s="11" t="s">
        <v>5126</v>
      </c>
      <c r="G591" s="11" t="s">
        <v>5127</v>
      </c>
      <c r="H591" s="11" t="n">
        <v>24</v>
      </c>
      <c r="I591" s="31" t="n">
        <v>32.4</v>
      </c>
      <c r="J591" s="31" t="n">
        <v>33</v>
      </c>
      <c r="K591" s="31" t="n">
        <f aca="false">MAX(ROUNDUP(I591,0),H591)</f>
        <v>33</v>
      </c>
      <c r="L591" s="31" t="n">
        <f aca="false">IF(J591="","",J591-K591)</f>
        <v>0</v>
      </c>
      <c r="M591" s="32" t="n">
        <v>7.55</v>
      </c>
      <c r="N591" s="32" t="n">
        <f aca="false">IF(C591="covered",10.4,7.55)</f>
        <v>7.55</v>
      </c>
      <c r="O591" s="32" t="n">
        <f aca="false">IF(M591="","",M591-N591)</f>
        <v>0</v>
      </c>
      <c r="P591" s="11" t="n">
        <v>1</v>
      </c>
      <c r="Q591" s="33" t="n">
        <v>249.15</v>
      </c>
      <c r="R591" s="33" t="n">
        <f aca="false">IF(OR(J591="",P591=""),"",K591*N591*P591)</f>
        <v>249.15</v>
      </c>
      <c r="S591" s="33" t="n">
        <f aca="false">IF(Q591="","",Q591-R591)</f>
        <v>0</v>
      </c>
      <c r="T591" s="33" t="n">
        <f aca="false">IF(S591="","",MAX(0,-S591))</f>
        <v>-0</v>
      </c>
      <c r="U591" s="33" t="n">
        <f aca="false">IF(S591="","",MAX(0,S591))</f>
        <v>0</v>
      </c>
      <c r="V591" s="11" t="str">
        <f aca="false">IF(J591="","NOT SCORED - NO JULY MONTHLY ROW",IF(OR(ABS(L591)&gt;0.005,ABS(O591)&gt;0.005,ABS(S591)&gt;0.005),"EXCEPTION","OK"))</f>
        <v>OK</v>
      </c>
      <c r="W591" s="11" t="s">
        <v>5128</v>
      </c>
      <c r="X591" s="11" t="s">
        <v>4099</v>
      </c>
      <c r="Y591" s="33" t="n">
        <f aca="false">K591*N591</f>
        <v>249.15</v>
      </c>
    </row>
    <row r="592" customFormat="false" ht="15" hidden="false" customHeight="false" outlineLevel="0" collapsed="false">
      <c r="A592" s="8" t="s">
        <v>5129</v>
      </c>
      <c r="B592" s="8" t="s">
        <v>192</v>
      </c>
      <c r="C592" s="8" t="s">
        <v>2829</v>
      </c>
      <c r="D592" s="8" t="s">
        <v>3571</v>
      </c>
      <c r="E592" s="8" t="s">
        <v>5130</v>
      </c>
      <c r="F592" s="8" t="s">
        <v>5131</v>
      </c>
      <c r="G592" s="8" t="s">
        <v>5132</v>
      </c>
      <c r="H592" s="8" t="n">
        <v>28</v>
      </c>
      <c r="I592" s="34" t="n">
        <v>55.3</v>
      </c>
      <c r="J592" s="34" t="n">
        <v>56</v>
      </c>
      <c r="K592" s="34" t="n">
        <f aca="false">MAX(ROUNDUP(I592,0),H592)</f>
        <v>56</v>
      </c>
      <c r="L592" s="34" t="n">
        <f aca="false">IF(J592="","",J592-K592)</f>
        <v>0</v>
      </c>
      <c r="M592" s="35" t="n">
        <v>7.55</v>
      </c>
      <c r="N592" s="35" t="n">
        <f aca="false">IF(C592="covered",10.4,7.55)</f>
        <v>7.55</v>
      </c>
      <c r="O592" s="35" t="n">
        <f aca="false">IF(M592="","",M592-N592)</f>
        <v>0</v>
      </c>
      <c r="P592" s="8" t="n">
        <v>1</v>
      </c>
      <c r="Q592" s="36" t="n">
        <v>422.8</v>
      </c>
      <c r="R592" s="36" t="n">
        <f aca="false">IF(OR(J592="",P592=""),"",K592*N592*P592)</f>
        <v>422.8</v>
      </c>
      <c r="S592" s="36" t="n">
        <f aca="false">IF(Q592="","",Q592-R592)</f>
        <v>0</v>
      </c>
      <c r="T592" s="36" t="n">
        <f aca="false">IF(S592="","",MAX(0,-S592))</f>
        <v>-0</v>
      </c>
      <c r="U592" s="36" t="n">
        <f aca="false">IF(S592="","",MAX(0,S592))</f>
        <v>0</v>
      </c>
      <c r="V592" s="8" t="str">
        <f aca="false">IF(J592="","NOT SCORED - NO JULY MONTHLY ROW",IF(OR(ABS(L592)&gt;0.005,ABS(O592)&gt;0.005,ABS(S592)&gt;0.005),"EXCEPTION","OK"))</f>
        <v>OK</v>
      </c>
      <c r="W592" s="8" t="s">
        <v>5133</v>
      </c>
      <c r="X592" s="8" t="s">
        <v>4099</v>
      </c>
      <c r="Y592" s="36" t="n">
        <f aca="false">K592*N592</f>
        <v>422.8</v>
      </c>
    </row>
    <row r="593" customFormat="false" ht="15" hidden="false" customHeight="false" outlineLevel="0" collapsed="false">
      <c r="A593" s="11" t="s">
        <v>5134</v>
      </c>
      <c r="B593" s="11" t="s">
        <v>192</v>
      </c>
      <c r="C593" s="11" t="s">
        <v>2829</v>
      </c>
      <c r="D593" s="11" t="s">
        <v>3575</v>
      </c>
      <c r="E593" s="11" t="s">
        <v>5135</v>
      </c>
      <c r="F593" s="11" t="s">
        <v>5136</v>
      </c>
      <c r="G593" s="11" t="s">
        <v>3422</v>
      </c>
      <c r="H593" s="11" t="n">
        <v>28</v>
      </c>
      <c r="I593" s="31" t="n">
        <v>29.9</v>
      </c>
      <c r="J593" s="31" t="n">
        <v>30</v>
      </c>
      <c r="K593" s="31" t="n">
        <f aca="false">MAX(ROUNDUP(I593,0),H593)</f>
        <v>30</v>
      </c>
      <c r="L593" s="31" t="n">
        <f aca="false">IF(J593="","",J593-K593)</f>
        <v>0</v>
      </c>
      <c r="M593" s="32" t="n">
        <v>7.55</v>
      </c>
      <c r="N593" s="32" t="n">
        <f aca="false">IF(C593="covered",10.4,7.55)</f>
        <v>7.55</v>
      </c>
      <c r="O593" s="32" t="n">
        <f aca="false">IF(M593="","",M593-N593)</f>
        <v>0</v>
      </c>
      <c r="P593" s="11" t="n">
        <v>1</v>
      </c>
      <c r="Q593" s="33" t="n">
        <v>226.5</v>
      </c>
      <c r="R593" s="33" t="n">
        <f aca="false">IF(OR(J593="",P593=""),"",K593*N593*P593)</f>
        <v>226.5</v>
      </c>
      <c r="S593" s="33" t="n">
        <f aca="false">IF(Q593="","",Q593-R593)</f>
        <v>0</v>
      </c>
      <c r="T593" s="33" t="n">
        <f aca="false">IF(S593="","",MAX(0,-S593))</f>
        <v>-0</v>
      </c>
      <c r="U593" s="33" t="n">
        <f aca="false">IF(S593="","",MAX(0,S593))</f>
        <v>0</v>
      </c>
      <c r="V593" s="11" t="str">
        <f aca="false">IF(J593="","NOT SCORED - NO JULY MONTHLY ROW",IF(OR(ABS(L593)&gt;0.005,ABS(O593)&gt;0.005,ABS(S593)&gt;0.005),"EXCEPTION","OK"))</f>
        <v>OK</v>
      </c>
      <c r="W593" s="11" t="s">
        <v>5137</v>
      </c>
      <c r="X593" s="11" t="s">
        <v>4099</v>
      </c>
      <c r="Y593" s="33" t="n">
        <f aca="false">K593*N593</f>
        <v>226.5</v>
      </c>
    </row>
    <row r="594" customFormat="false" ht="15" hidden="false" customHeight="false" outlineLevel="0" collapsed="false">
      <c r="A594" s="8" t="s">
        <v>5138</v>
      </c>
      <c r="B594" s="8" t="s">
        <v>192</v>
      </c>
      <c r="C594" s="8" t="s">
        <v>2829</v>
      </c>
      <c r="D594" s="8" t="s">
        <v>3580</v>
      </c>
      <c r="E594" s="8" t="s">
        <v>5139</v>
      </c>
      <c r="F594" s="8" t="s">
        <v>5140</v>
      </c>
      <c r="G594" s="8" t="s">
        <v>4795</v>
      </c>
      <c r="H594" s="8" t="n">
        <v>32</v>
      </c>
      <c r="I594" s="34" t="n">
        <v>35.3</v>
      </c>
      <c r="J594" s="34" t="n">
        <v>36</v>
      </c>
      <c r="K594" s="34" t="n">
        <f aca="false">MAX(ROUNDUP(I594,0),H594)</f>
        <v>36</v>
      </c>
      <c r="L594" s="34" t="n">
        <f aca="false">IF(J594="","",J594-K594)</f>
        <v>0</v>
      </c>
      <c r="M594" s="35" t="n">
        <v>7.55</v>
      </c>
      <c r="N594" s="35" t="n">
        <f aca="false">IF(C594="covered",10.4,7.55)</f>
        <v>7.55</v>
      </c>
      <c r="O594" s="35" t="n">
        <f aca="false">IF(M594="","",M594-N594)</f>
        <v>0</v>
      </c>
      <c r="P594" s="8" t="n">
        <v>1</v>
      </c>
      <c r="Q594" s="36" t="n">
        <v>271.8</v>
      </c>
      <c r="R594" s="36" t="n">
        <f aca="false">IF(OR(J594="",P594=""),"",K594*N594*P594)</f>
        <v>271.8</v>
      </c>
      <c r="S594" s="36" t="n">
        <f aca="false">IF(Q594="","",Q594-R594)</f>
        <v>0</v>
      </c>
      <c r="T594" s="36" t="n">
        <f aca="false">IF(S594="","",MAX(0,-S594))</f>
        <v>-0</v>
      </c>
      <c r="U594" s="36" t="n">
        <f aca="false">IF(S594="","",MAX(0,S594))</f>
        <v>0</v>
      </c>
      <c r="V594" s="8" t="str">
        <f aca="false">IF(J594="","NOT SCORED - NO JULY MONTHLY ROW",IF(OR(ABS(L594)&gt;0.005,ABS(O594)&gt;0.005,ABS(S594)&gt;0.005),"EXCEPTION","OK"))</f>
        <v>OK</v>
      </c>
      <c r="W594" s="8" t="s">
        <v>5141</v>
      </c>
      <c r="X594" s="8" t="s">
        <v>4099</v>
      </c>
      <c r="Y594" s="36" t="n">
        <f aca="false">K594*N594</f>
        <v>271.8</v>
      </c>
    </row>
    <row r="595" customFormat="false" ht="15" hidden="false" customHeight="false" outlineLevel="0" collapsed="false">
      <c r="A595" s="11" t="s">
        <v>1580</v>
      </c>
      <c r="B595" s="11" t="s">
        <v>192</v>
      </c>
      <c r="C595" s="11" t="s">
        <v>2829</v>
      </c>
      <c r="D595" s="11" t="s">
        <v>3584</v>
      </c>
      <c r="E595" s="11" t="s">
        <v>5142</v>
      </c>
      <c r="F595" s="11" t="s">
        <v>5143</v>
      </c>
      <c r="G595" s="11" t="s">
        <v>3127</v>
      </c>
      <c r="H595" s="11" t="n">
        <v>80</v>
      </c>
      <c r="I595" s="31" t="n">
        <v>60</v>
      </c>
      <c r="J595" s="31" t="n">
        <v>80</v>
      </c>
      <c r="K595" s="31" t="n">
        <f aca="false">MAX(ROUNDUP(I595,0),H595)</f>
        <v>80</v>
      </c>
      <c r="L595" s="31" t="n">
        <f aca="false">IF(J595="","",J595-K595)</f>
        <v>0</v>
      </c>
      <c r="M595" s="32" t="n">
        <v>7.55</v>
      </c>
      <c r="N595" s="32" t="n">
        <f aca="false">IF(C595="covered",10.4,7.55)</f>
        <v>7.55</v>
      </c>
      <c r="O595" s="32" t="n">
        <f aca="false">IF(M595="","",M595-N595)</f>
        <v>0</v>
      </c>
      <c r="P595" s="11" t="n">
        <v>1</v>
      </c>
      <c r="Q595" s="33" t="n">
        <v>604</v>
      </c>
      <c r="R595" s="33" t="n">
        <f aca="false">IF(OR(J595="",P595=""),"",K595*N595*P595)</f>
        <v>604</v>
      </c>
      <c r="S595" s="33" t="n">
        <f aca="false">IF(Q595="","",Q595-R595)</f>
        <v>0</v>
      </c>
      <c r="T595" s="33" t="n">
        <f aca="false">IF(S595="","",MAX(0,-S595))</f>
        <v>-0</v>
      </c>
      <c r="U595" s="33" t="n">
        <f aca="false">IF(S595="","",MAX(0,S595))</f>
        <v>0</v>
      </c>
      <c r="V595" s="11" t="str">
        <f aca="false">IF(J595="","NOT SCORED - NO JULY MONTHLY ROW",IF(OR(ABS(L595)&gt;0.005,ABS(O595)&gt;0.005,ABS(S595)&gt;0.005),"EXCEPTION","OK"))</f>
        <v>OK</v>
      </c>
      <c r="W595" s="11" t="s">
        <v>5144</v>
      </c>
      <c r="X595" s="11" t="s">
        <v>4099</v>
      </c>
      <c r="Y595" s="33" t="n">
        <f aca="false">K595*N595</f>
        <v>604</v>
      </c>
    </row>
    <row r="596" customFormat="false" ht="15" hidden="false" customHeight="false" outlineLevel="0" collapsed="false">
      <c r="A596" s="8" t="s">
        <v>365</v>
      </c>
      <c r="B596" s="8" t="s">
        <v>192</v>
      </c>
      <c r="C596" s="8" t="s">
        <v>2829</v>
      </c>
      <c r="D596" s="8" t="s">
        <v>3588</v>
      </c>
      <c r="E596" s="8" t="s">
        <v>5145</v>
      </c>
      <c r="F596" s="8" t="s">
        <v>5146</v>
      </c>
      <c r="G596" s="8" t="s">
        <v>3361</v>
      </c>
      <c r="H596" s="8" t="n">
        <v>32</v>
      </c>
      <c r="I596" s="34" t="n">
        <v>46.9</v>
      </c>
      <c r="J596" s="34" t="n">
        <v>47</v>
      </c>
      <c r="K596" s="34" t="n">
        <f aca="false">MAX(ROUNDUP(I596,0),H596)</f>
        <v>47</v>
      </c>
      <c r="L596" s="34" t="n">
        <f aca="false">IF(J596="","",J596-K596)</f>
        <v>0</v>
      </c>
      <c r="M596" s="35" t="n">
        <v>7.55</v>
      </c>
      <c r="N596" s="35" t="n">
        <f aca="false">IF(C596="covered",10.4,7.55)</f>
        <v>7.55</v>
      </c>
      <c r="O596" s="35" t="n">
        <f aca="false">IF(M596="","",M596-N596)</f>
        <v>0</v>
      </c>
      <c r="P596" s="8" t="n">
        <v>1</v>
      </c>
      <c r="Q596" s="36" t="n">
        <v>354.85</v>
      </c>
      <c r="R596" s="36" t="n">
        <f aca="false">IF(OR(J596="",P596=""),"",K596*N596*P596)</f>
        <v>354.85</v>
      </c>
      <c r="S596" s="36" t="n">
        <f aca="false">IF(Q596="","",Q596-R596)</f>
        <v>0</v>
      </c>
      <c r="T596" s="36" t="n">
        <f aca="false">IF(S596="","",MAX(0,-S596))</f>
        <v>-0</v>
      </c>
      <c r="U596" s="36" t="n">
        <f aca="false">IF(S596="","",MAX(0,S596))</f>
        <v>0</v>
      </c>
      <c r="V596" s="8" t="str">
        <f aca="false">IF(J596="","NOT SCORED - NO JULY MONTHLY ROW",IF(OR(ABS(L596)&gt;0.005,ABS(O596)&gt;0.005,ABS(S596)&gt;0.005),"EXCEPTION","OK"))</f>
        <v>OK</v>
      </c>
      <c r="W596" s="8" t="s">
        <v>5147</v>
      </c>
      <c r="X596" s="8" t="s">
        <v>4099</v>
      </c>
      <c r="Y596" s="36" t="n">
        <f aca="false">K596*N596</f>
        <v>354.85</v>
      </c>
    </row>
    <row r="597" customFormat="false" ht="15" hidden="false" customHeight="false" outlineLevel="0" collapsed="false">
      <c r="A597" s="11" t="s">
        <v>5148</v>
      </c>
      <c r="B597" s="11" t="s">
        <v>192</v>
      </c>
      <c r="C597" s="11" t="s">
        <v>2829</v>
      </c>
      <c r="D597" s="11" t="s">
        <v>3591</v>
      </c>
      <c r="E597" s="11" t="s">
        <v>2424</v>
      </c>
      <c r="F597" s="11" t="s">
        <v>5149</v>
      </c>
      <c r="G597" s="11" t="s">
        <v>4225</v>
      </c>
      <c r="H597" s="11" t="n">
        <v>32</v>
      </c>
      <c r="I597" s="31" t="n">
        <v>41.2</v>
      </c>
      <c r="J597" s="31" t="n">
        <v>42</v>
      </c>
      <c r="K597" s="31" t="n">
        <f aca="false">MAX(ROUNDUP(I597,0),H597)</f>
        <v>42</v>
      </c>
      <c r="L597" s="31" t="n">
        <f aca="false">IF(J597="","",J597-K597)</f>
        <v>0</v>
      </c>
      <c r="M597" s="32" t="n">
        <v>7.55</v>
      </c>
      <c r="N597" s="32" t="n">
        <f aca="false">IF(C597="covered",10.4,7.55)</f>
        <v>7.55</v>
      </c>
      <c r="O597" s="32" t="n">
        <f aca="false">IF(M597="","",M597-N597)</f>
        <v>0</v>
      </c>
      <c r="P597" s="11" t="n">
        <v>1</v>
      </c>
      <c r="Q597" s="33" t="n">
        <v>317.1</v>
      </c>
      <c r="R597" s="33" t="n">
        <f aca="false">IF(OR(J597="",P597=""),"",K597*N597*P597)</f>
        <v>317.1</v>
      </c>
      <c r="S597" s="33" t="n">
        <f aca="false">IF(Q597="","",Q597-R597)</f>
        <v>0</v>
      </c>
      <c r="T597" s="33" t="n">
        <f aca="false">IF(S597="","",MAX(0,-S597))</f>
        <v>-0</v>
      </c>
      <c r="U597" s="33" t="n">
        <f aca="false">IF(S597="","",MAX(0,S597))</f>
        <v>0</v>
      </c>
      <c r="V597" s="11" t="str">
        <f aca="false">IF(J597="","NOT SCORED - NO JULY MONTHLY ROW",IF(OR(ABS(L597)&gt;0.005,ABS(O597)&gt;0.005,ABS(S597)&gt;0.005),"EXCEPTION","OK"))</f>
        <v>OK</v>
      </c>
      <c r="W597" s="11" t="s">
        <v>5150</v>
      </c>
      <c r="X597" s="11" t="s">
        <v>4099</v>
      </c>
      <c r="Y597" s="33" t="n">
        <f aca="false">K597*N597</f>
        <v>317.1</v>
      </c>
    </row>
    <row r="598" customFormat="false" ht="15" hidden="false" customHeight="false" outlineLevel="0" collapsed="false">
      <c r="A598" s="8" t="s">
        <v>5151</v>
      </c>
      <c r="B598" s="8" t="s">
        <v>192</v>
      </c>
      <c r="C598" s="8" t="s">
        <v>2829</v>
      </c>
      <c r="D598" s="8" t="s">
        <v>3596</v>
      </c>
      <c r="E598" s="8" t="s">
        <v>5152</v>
      </c>
      <c r="F598" s="8" t="s">
        <v>5153</v>
      </c>
      <c r="G598" s="8" t="s">
        <v>3740</v>
      </c>
      <c r="H598" s="8" t="n">
        <v>60</v>
      </c>
      <c r="I598" s="34" t="n">
        <v>51.5</v>
      </c>
      <c r="J598" s="34" t="n">
        <v>60</v>
      </c>
      <c r="K598" s="34" t="n">
        <f aca="false">MAX(ROUNDUP(I598,0),H598)</f>
        <v>60</v>
      </c>
      <c r="L598" s="34" t="n">
        <f aca="false">IF(J598="","",J598-K598)</f>
        <v>0</v>
      </c>
      <c r="M598" s="35" t="n">
        <v>7.55</v>
      </c>
      <c r="N598" s="35" t="n">
        <f aca="false">IF(C598="covered",10.4,7.55)</f>
        <v>7.55</v>
      </c>
      <c r="O598" s="35" t="n">
        <f aca="false">IF(M598="","",M598-N598)</f>
        <v>0</v>
      </c>
      <c r="P598" s="8" t="n">
        <v>1</v>
      </c>
      <c r="Q598" s="36" t="n">
        <v>453</v>
      </c>
      <c r="R598" s="36" t="n">
        <f aca="false">IF(OR(J598="",P598=""),"",K598*N598*P598)</f>
        <v>453</v>
      </c>
      <c r="S598" s="36" t="n">
        <f aca="false">IF(Q598="","",Q598-R598)</f>
        <v>0</v>
      </c>
      <c r="T598" s="36" t="n">
        <f aca="false">IF(S598="","",MAX(0,-S598))</f>
        <v>-0</v>
      </c>
      <c r="U598" s="36" t="n">
        <f aca="false">IF(S598="","",MAX(0,S598))</f>
        <v>0</v>
      </c>
      <c r="V598" s="8" t="str">
        <f aca="false">IF(J598="","NOT SCORED - NO JULY MONTHLY ROW",IF(OR(ABS(L598)&gt;0.005,ABS(O598)&gt;0.005,ABS(S598)&gt;0.005),"EXCEPTION","OK"))</f>
        <v>OK</v>
      </c>
      <c r="W598" s="8" t="s">
        <v>5154</v>
      </c>
      <c r="X598" s="8" t="s">
        <v>4099</v>
      </c>
      <c r="Y598" s="36" t="n">
        <f aca="false">K598*N598</f>
        <v>453</v>
      </c>
    </row>
    <row r="599" customFormat="false" ht="15" hidden="false" customHeight="false" outlineLevel="0" collapsed="false">
      <c r="A599" s="11" t="s">
        <v>5155</v>
      </c>
      <c r="B599" s="11" t="s">
        <v>192</v>
      </c>
      <c r="C599" s="11" t="s">
        <v>2829</v>
      </c>
      <c r="D599" s="11" t="s">
        <v>3601</v>
      </c>
      <c r="E599" s="11" t="s">
        <v>5156</v>
      </c>
      <c r="F599" s="11" t="s">
        <v>5157</v>
      </c>
      <c r="G599" s="11" t="s">
        <v>3954</v>
      </c>
      <c r="H599" s="11" t="n">
        <v>40</v>
      </c>
      <c r="I599" s="31" t="n">
        <v>48.5</v>
      </c>
      <c r="J599" s="31" t="n">
        <v>49</v>
      </c>
      <c r="K599" s="31" t="n">
        <f aca="false">MAX(ROUNDUP(I599,0),H599)</f>
        <v>49</v>
      </c>
      <c r="L599" s="31" t="n">
        <f aca="false">IF(J599="","",J599-K599)</f>
        <v>0</v>
      </c>
      <c r="M599" s="32" t="n">
        <v>7.55</v>
      </c>
      <c r="N599" s="32" t="n">
        <f aca="false">IF(C599="covered",10.4,7.55)</f>
        <v>7.55</v>
      </c>
      <c r="O599" s="32" t="n">
        <f aca="false">IF(M599="","",M599-N599)</f>
        <v>0</v>
      </c>
      <c r="P599" s="11" t="n">
        <v>1</v>
      </c>
      <c r="Q599" s="33" t="n">
        <v>369.95</v>
      </c>
      <c r="R599" s="33" t="n">
        <f aca="false">IF(OR(J599="",P599=""),"",K599*N599*P599)</f>
        <v>369.95</v>
      </c>
      <c r="S599" s="33" t="n">
        <f aca="false">IF(Q599="","",Q599-R599)</f>
        <v>0</v>
      </c>
      <c r="T599" s="33" t="n">
        <f aca="false">IF(S599="","",MAX(0,-S599))</f>
        <v>-0</v>
      </c>
      <c r="U599" s="33" t="n">
        <f aca="false">IF(S599="","",MAX(0,S599))</f>
        <v>0</v>
      </c>
      <c r="V599" s="11" t="str">
        <f aca="false">IF(J599="","NOT SCORED - NO JULY MONTHLY ROW",IF(OR(ABS(L599)&gt;0.005,ABS(O599)&gt;0.005,ABS(S599)&gt;0.005),"EXCEPTION","OK"))</f>
        <v>OK</v>
      </c>
      <c r="W599" s="11" t="s">
        <v>5158</v>
      </c>
      <c r="X599" s="11" t="s">
        <v>4099</v>
      </c>
      <c r="Y599" s="33" t="n">
        <f aca="false">K599*N599</f>
        <v>369.95</v>
      </c>
    </row>
    <row r="600" customFormat="false" ht="15" hidden="false" customHeight="false" outlineLevel="0" collapsed="false">
      <c r="A600" s="8" t="s">
        <v>5159</v>
      </c>
      <c r="B600" s="8" t="s">
        <v>192</v>
      </c>
      <c r="C600" s="8" t="s">
        <v>2829</v>
      </c>
      <c r="D600" s="8" t="s">
        <v>5160</v>
      </c>
      <c r="E600" s="8" t="s">
        <v>5161</v>
      </c>
      <c r="F600" s="8" t="s">
        <v>5162</v>
      </c>
      <c r="G600" s="8" t="s">
        <v>5055</v>
      </c>
      <c r="H600" s="8" t="n">
        <v>36</v>
      </c>
      <c r="I600" s="34" t="n">
        <v>20.4</v>
      </c>
      <c r="J600" s="34" t="n">
        <v>36</v>
      </c>
      <c r="K600" s="34" t="n">
        <f aca="false">MAX(ROUNDUP(I600,0),H600)</f>
        <v>36</v>
      </c>
      <c r="L600" s="34" t="n">
        <f aca="false">IF(J600="","",J600-K600)</f>
        <v>0</v>
      </c>
      <c r="M600" s="35" t="n">
        <v>7.55</v>
      </c>
      <c r="N600" s="35" t="n">
        <f aca="false">IF(C600="covered",10.4,7.55)</f>
        <v>7.55</v>
      </c>
      <c r="O600" s="35" t="n">
        <f aca="false">IF(M600="","",M600-N600)</f>
        <v>0</v>
      </c>
      <c r="P600" s="8" t="n">
        <v>1</v>
      </c>
      <c r="Q600" s="36" t="n">
        <v>271.8</v>
      </c>
      <c r="R600" s="36" t="n">
        <f aca="false">IF(OR(J600="",P600=""),"",K600*N600*P600)</f>
        <v>271.8</v>
      </c>
      <c r="S600" s="36" t="n">
        <f aca="false">IF(Q600="","",Q600-R600)</f>
        <v>0</v>
      </c>
      <c r="T600" s="36" t="n">
        <f aca="false">IF(S600="","",MAX(0,-S600))</f>
        <v>-0</v>
      </c>
      <c r="U600" s="36" t="n">
        <f aca="false">IF(S600="","",MAX(0,S600))</f>
        <v>0</v>
      </c>
      <c r="V600" s="8" t="str">
        <f aca="false">IF(J600="","NOT SCORED - NO JULY MONTHLY ROW",IF(OR(ABS(L600)&gt;0.005,ABS(O600)&gt;0.005,ABS(S600)&gt;0.005),"EXCEPTION","OK"))</f>
        <v>OK</v>
      </c>
      <c r="W600" s="8" t="s">
        <v>5163</v>
      </c>
      <c r="X600" s="8" t="s">
        <v>4099</v>
      </c>
      <c r="Y600" s="36" t="n">
        <f aca="false">K600*N600</f>
        <v>271.8</v>
      </c>
    </row>
    <row r="601" customFormat="false" ht="15" hidden="false" customHeight="false" outlineLevel="0" collapsed="false">
      <c r="A601" s="11" t="s">
        <v>5164</v>
      </c>
      <c r="B601" s="11" t="s">
        <v>192</v>
      </c>
      <c r="C601" s="11" t="s">
        <v>2829</v>
      </c>
      <c r="D601" s="11" t="s">
        <v>3611</v>
      </c>
      <c r="E601" s="11" t="s">
        <v>5165</v>
      </c>
      <c r="F601" s="11" t="s">
        <v>5166</v>
      </c>
      <c r="G601" s="11" t="s">
        <v>2966</v>
      </c>
      <c r="H601" s="11" t="n">
        <v>70</v>
      </c>
      <c r="I601" s="31" t="n">
        <v>51.7</v>
      </c>
      <c r="J601" s="31" t="n">
        <v>70</v>
      </c>
      <c r="K601" s="31" t="n">
        <f aca="false">MAX(ROUNDUP(I601,0),H601)</f>
        <v>70</v>
      </c>
      <c r="L601" s="31" t="n">
        <f aca="false">IF(J601="","",J601-K601)</f>
        <v>0</v>
      </c>
      <c r="M601" s="32" t="n">
        <v>7.55</v>
      </c>
      <c r="N601" s="32" t="n">
        <f aca="false">IF(C601="covered",10.4,7.55)</f>
        <v>7.55</v>
      </c>
      <c r="O601" s="32" t="n">
        <f aca="false">IF(M601="","",M601-N601)</f>
        <v>0</v>
      </c>
      <c r="P601" s="11" t="n">
        <v>1</v>
      </c>
      <c r="Q601" s="33" t="n">
        <v>528.5</v>
      </c>
      <c r="R601" s="33" t="n">
        <f aca="false">IF(OR(J601="",P601=""),"",K601*N601*P601)</f>
        <v>528.5</v>
      </c>
      <c r="S601" s="33" t="n">
        <f aca="false">IF(Q601="","",Q601-R601)</f>
        <v>0</v>
      </c>
      <c r="T601" s="33" t="n">
        <f aca="false">IF(S601="","",MAX(0,-S601))</f>
        <v>-0</v>
      </c>
      <c r="U601" s="33" t="n">
        <f aca="false">IF(S601="","",MAX(0,S601))</f>
        <v>0</v>
      </c>
      <c r="V601" s="11" t="str">
        <f aca="false">IF(J601="","NOT SCORED - NO JULY MONTHLY ROW",IF(OR(ABS(L601)&gt;0.005,ABS(O601)&gt;0.005,ABS(S601)&gt;0.005),"EXCEPTION","OK"))</f>
        <v>OK</v>
      </c>
      <c r="W601" s="11" t="s">
        <v>5167</v>
      </c>
      <c r="X601" s="11" t="s">
        <v>4099</v>
      </c>
      <c r="Y601" s="33" t="n">
        <f aca="false">K601*N601</f>
        <v>528.5</v>
      </c>
    </row>
    <row r="602" customFormat="false" ht="15" hidden="false" customHeight="false" outlineLevel="0" collapsed="false">
      <c r="A602" s="8" t="s">
        <v>5168</v>
      </c>
      <c r="B602" s="8" t="s">
        <v>192</v>
      </c>
      <c r="C602" s="8" t="s">
        <v>2829</v>
      </c>
      <c r="D602" s="8" t="s">
        <v>3615</v>
      </c>
      <c r="E602" s="8" t="s">
        <v>1682</v>
      </c>
      <c r="F602" s="8" t="s">
        <v>1683</v>
      </c>
      <c r="G602" s="8" t="s">
        <v>5169</v>
      </c>
      <c r="H602" s="8" t="n">
        <v>32</v>
      </c>
      <c r="I602" s="34" t="n">
        <v>60.7</v>
      </c>
      <c r="J602" s="34" t="n">
        <v>61</v>
      </c>
      <c r="K602" s="34" t="n">
        <f aca="false">MAX(ROUNDUP(I602,0),H602)</f>
        <v>61</v>
      </c>
      <c r="L602" s="34" t="n">
        <f aca="false">IF(J602="","",J602-K602)</f>
        <v>0</v>
      </c>
      <c r="M602" s="35" t="n">
        <v>7.55</v>
      </c>
      <c r="N602" s="35" t="n">
        <f aca="false">IF(C602="covered",10.4,7.55)</f>
        <v>7.55</v>
      </c>
      <c r="O602" s="35" t="n">
        <f aca="false">IF(M602="","",M602-N602)</f>
        <v>0</v>
      </c>
      <c r="P602" s="8" t="n">
        <v>1</v>
      </c>
      <c r="Q602" s="36" t="n">
        <v>460.55</v>
      </c>
      <c r="R602" s="36" t="n">
        <f aca="false">IF(OR(J602="",P602=""),"",K602*N602*P602)</f>
        <v>460.55</v>
      </c>
      <c r="S602" s="36" t="n">
        <f aca="false">IF(Q602="","",Q602-R602)</f>
        <v>0</v>
      </c>
      <c r="T602" s="36" t="n">
        <f aca="false">IF(S602="","",MAX(0,-S602))</f>
        <v>-0</v>
      </c>
      <c r="U602" s="36" t="n">
        <f aca="false">IF(S602="","",MAX(0,S602))</f>
        <v>0</v>
      </c>
      <c r="V602" s="8" t="str">
        <f aca="false">IF(J602="","NOT SCORED - NO JULY MONTHLY ROW",IF(OR(ABS(L602)&gt;0.005,ABS(O602)&gt;0.005,ABS(S602)&gt;0.005),"EXCEPTION","OK"))</f>
        <v>OK</v>
      </c>
      <c r="W602" s="8" t="s">
        <v>5170</v>
      </c>
      <c r="X602" s="8" t="s">
        <v>4099</v>
      </c>
      <c r="Y602" s="36" t="n">
        <f aca="false">K602*N602</f>
        <v>460.55</v>
      </c>
    </row>
    <row r="603" customFormat="false" ht="15" hidden="false" customHeight="false" outlineLevel="0" collapsed="false">
      <c r="A603" s="11" t="s">
        <v>5171</v>
      </c>
      <c r="B603" s="11" t="s">
        <v>192</v>
      </c>
      <c r="C603" s="11" t="s">
        <v>2829</v>
      </c>
      <c r="D603" s="11" t="s">
        <v>3624</v>
      </c>
      <c r="E603" s="11" t="s">
        <v>1883</v>
      </c>
      <c r="F603" s="11" t="s">
        <v>1884</v>
      </c>
      <c r="G603" s="11" t="s">
        <v>5060</v>
      </c>
      <c r="H603" s="11" t="n">
        <v>32</v>
      </c>
      <c r="I603" s="31" t="n">
        <v>58.4</v>
      </c>
      <c r="J603" s="31" t="n">
        <v>59</v>
      </c>
      <c r="K603" s="31" t="n">
        <f aca="false">MAX(ROUNDUP(I603,0),H603)</f>
        <v>59</v>
      </c>
      <c r="L603" s="31" t="n">
        <f aca="false">IF(J603="","",J603-K603)</f>
        <v>0</v>
      </c>
      <c r="M603" s="32" t="n">
        <v>7.55</v>
      </c>
      <c r="N603" s="32" t="n">
        <f aca="false">IF(C603="covered",10.4,7.55)</f>
        <v>7.55</v>
      </c>
      <c r="O603" s="32" t="n">
        <f aca="false">IF(M603="","",M603-N603)</f>
        <v>0</v>
      </c>
      <c r="P603" s="11" t="n">
        <v>1</v>
      </c>
      <c r="Q603" s="33" t="n">
        <v>445.45</v>
      </c>
      <c r="R603" s="33" t="n">
        <f aca="false">IF(OR(J603="",P603=""),"",K603*N603*P603)</f>
        <v>445.45</v>
      </c>
      <c r="S603" s="33" t="n">
        <f aca="false">IF(Q603="","",Q603-R603)</f>
        <v>0</v>
      </c>
      <c r="T603" s="33" t="n">
        <f aca="false">IF(S603="","",MAX(0,-S603))</f>
        <v>-0</v>
      </c>
      <c r="U603" s="33" t="n">
        <f aca="false">IF(S603="","",MAX(0,S603))</f>
        <v>0</v>
      </c>
      <c r="V603" s="11" t="str">
        <f aca="false">IF(J603="","NOT SCORED - NO JULY MONTHLY ROW",IF(OR(ABS(L603)&gt;0.005,ABS(O603)&gt;0.005,ABS(S603)&gt;0.005),"EXCEPTION","OK"))</f>
        <v>OK</v>
      </c>
      <c r="W603" s="11" t="s">
        <v>5172</v>
      </c>
      <c r="X603" s="11" t="s">
        <v>4099</v>
      </c>
      <c r="Y603" s="33" t="n">
        <f aca="false">K603*N603</f>
        <v>445.45</v>
      </c>
    </row>
    <row r="604" customFormat="false" ht="15" hidden="false" customHeight="false" outlineLevel="0" collapsed="false">
      <c r="A604" s="8" t="s">
        <v>5173</v>
      </c>
      <c r="B604" s="8" t="s">
        <v>192</v>
      </c>
      <c r="C604" s="8" t="s">
        <v>2829</v>
      </c>
      <c r="D604" s="8" t="s">
        <v>3629</v>
      </c>
      <c r="E604" s="8" t="s">
        <v>5174</v>
      </c>
      <c r="F604" s="8" t="s">
        <v>5175</v>
      </c>
      <c r="G604" s="8" t="s">
        <v>3292</v>
      </c>
      <c r="H604" s="8" t="n">
        <v>32</v>
      </c>
      <c r="I604" s="34" t="n">
        <v>25.6</v>
      </c>
      <c r="J604" s="34" t="n">
        <v>32</v>
      </c>
      <c r="K604" s="34" t="n">
        <f aca="false">MAX(ROUNDUP(I604,0),H604)</f>
        <v>32</v>
      </c>
      <c r="L604" s="34" t="n">
        <f aca="false">IF(J604="","",J604-K604)</f>
        <v>0</v>
      </c>
      <c r="M604" s="35" t="n">
        <v>7.55</v>
      </c>
      <c r="N604" s="35" t="n">
        <f aca="false">IF(C604="covered",10.4,7.55)</f>
        <v>7.55</v>
      </c>
      <c r="O604" s="35" t="n">
        <f aca="false">IF(M604="","",M604-N604)</f>
        <v>0</v>
      </c>
      <c r="P604" s="8" t="n">
        <v>1</v>
      </c>
      <c r="Q604" s="36" t="n">
        <v>241.6</v>
      </c>
      <c r="R604" s="36" t="n">
        <f aca="false">IF(OR(J604="",P604=""),"",K604*N604*P604)</f>
        <v>241.6</v>
      </c>
      <c r="S604" s="36" t="n">
        <f aca="false">IF(Q604="","",Q604-R604)</f>
        <v>0</v>
      </c>
      <c r="T604" s="36" t="n">
        <f aca="false">IF(S604="","",MAX(0,-S604))</f>
        <v>-0</v>
      </c>
      <c r="U604" s="36" t="n">
        <f aca="false">IF(S604="","",MAX(0,S604))</f>
        <v>0</v>
      </c>
      <c r="V604" s="8" t="str">
        <f aca="false">IF(J604="","NOT SCORED - NO JULY MONTHLY ROW",IF(OR(ABS(L604)&gt;0.005,ABS(O604)&gt;0.005,ABS(S604)&gt;0.005),"EXCEPTION","OK"))</f>
        <v>OK</v>
      </c>
      <c r="W604" s="8" t="s">
        <v>5176</v>
      </c>
      <c r="X604" s="8" t="s">
        <v>4099</v>
      </c>
      <c r="Y604" s="36" t="n">
        <f aca="false">K604*N604</f>
        <v>241.6</v>
      </c>
    </row>
    <row r="605" customFormat="false" ht="15" hidden="false" customHeight="false" outlineLevel="0" collapsed="false">
      <c r="A605" s="11" t="s">
        <v>5177</v>
      </c>
      <c r="B605" s="11" t="s">
        <v>192</v>
      </c>
      <c r="C605" s="11" t="s">
        <v>2829</v>
      </c>
      <c r="D605" s="11" t="s">
        <v>3634</v>
      </c>
      <c r="E605" s="11" t="s">
        <v>5178</v>
      </c>
      <c r="F605" s="11" t="s">
        <v>5179</v>
      </c>
      <c r="G605" s="11" t="s">
        <v>4140</v>
      </c>
      <c r="H605" s="11" t="n">
        <v>32</v>
      </c>
      <c r="I605" s="31" t="n">
        <v>58.8</v>
      </c>
      <c r="J605" s="31" t="n">
        <v>59</v>
      </c>
      <c r="K605" s="31" t="n">
        <f aca="false">MAX(ROUNDUP(I605,0),H605)</f>
        <v>59</v>
      </c>
      <c r="L605" s="31" t="n">
        <f aca="false">IF(J605="","",J605-K605)</f>
        <v>0</v>
      </c>
      <c r="M605" s="32" t="n">
        <v>7.55</v>
      </c>
      <c r="N605" s="32" t="n">
        <f aca="false">IF(C605="covered",10.4,7.55)</f>
        <v>7.55</v>
      </c>
      <c r="O605" s="32" t="n">
        <f aca="false">IF(M605="","",M605-N605)</f>
        <v>0</v>
      </c>
      <c r="P605" s="11" t="n">
        <v>1</v>
      </c>
      <c r="Q605" s="33" t="n">
        <v>445.45</v>
      </c>
      <c r="R605" s="33" t="n">
        <f aca="false">IF(OR(J605="",P605=""),"",K605*N605*P605)</f>
        <v>445.45</v>
      </c>
      <c r="S605" s="33" t="n">
        <f aca="false">IF(Q605="","",Q605-R605)</f>
        <v>0</v>
      </c>
      <c r="T605" s="33" t="n">
        <f aca="false">IF(S605="","",MAX(0,-S605))</f>
        <v>-0</v>
      </c>
      <c r="U605" s="33" t="n">
        <f aca="false">IF(S605="","",MAX(0,S605))</f>
        <v>0</v>
      </c>
      <c r="V605" s="11" t="str">
        <f aca="false">IF(J605="","NOT SCORED - NO JULY MONTHLY ROW",IF(OR(ABS(L605)&gt;0.005,ABS(O605)&gt;0.005,ABS(S605)&gt;0.005),"EXCEPTION","OK"))</f>
        <v>OK</v>
      </c>
      <c r="W605" s="11" t="s">
        <v>5180</v>
      </c>
      <c r="X605" s="11" t="s">
        <v>4099</v>
      </c>
      <c r="Y605" s="33" t="n">
        <f aca="false">K605*N605</f>
        <v>445.45</v>
      </c>
    </row>
    <row r="606" customFormat="false" ht="15" hidden="false" customHeight="false" outlineLevel="0" collapsed="false">
      <c r="A606" s="8" t="s">
        <v>5181</v>
      </c>
      <c r="B606" s="8" t="s">
        <v>192</v>
      </c>
      <c r="C606" s="8" t="s">
        <v>2829</v>
      </c>
      <c r="D606" s="8" t="s">
        <v>3638</v>
      </c>
      <c r="E606" s="8" t="s">
        <v>5182</v>
      </c>
      <c r="F606" s="8" t="s">
        <v>5183</v>
      </c>
      <c r="G606" s="8" t="s">
        <v>4396</v>
      </c>
      <c r="H606" s="8" t="n">
        <v>28</v>
      </c>
      <c r="I606" s="34" t="n">
        <v>32.1</v>
      </c>
      <c r="J606" s="34" t="n">
        <v>33</v>
      </c>
      <c r="K606" s="34" t="n">
        <f aca="false">MAX(ROUNDUP(I606,0),H606)</f>
        <v>33</v>
      </c>
      <c r="L606" s="34" t="n">
        <f aca="false">IF(J606="","",J606-K606)</f>
        <v>0</v>
      </c>
      <c r="M606" s="35" t="n">
        <v>7.55</v>
      </c>
      <c r="N606" s="35" t="n">
        <f aca="false">IF(C606="covered",10.4,7.55)</f>
        <v>7.55</v>
      </c>
      <c r="O606" s="35" t="n">
        <f aca="false">IF(M606="","",M606-N606)</f>
        <v>0</v>
      </c>
      <c r="P606" s="8" t="n">
        <v>1</v>
      </c>
      <c r="Q606" s="36" t="n">
        <v>249.15</v>
      </c>
      <c r="R606" s="36" t="n">
        <f aca="false">IF(OR(J606="",P606=""),"",K606*N606*P606)</f>
        <v>249.15</v>
      </c>
      <c r="S606" s="36" t="n">
        <f aca="false">IF(Q606="","",Q606-R606)</f>
        <v>0</v>
      </c>
      <c r="T606" s="36" t="n">
        <f aca="false">IF(S606="","",MAX(0,-S606))</f>
        <v>-0</v>
      </c>
      <c r="U606" s="36" t="n">
        <f aca="false">IF(S606="","",MAX(0,S606))</f>
        <v>0</v>
      </c>
      <c r="V606" s="8" t="str">
        <f aca="false">IF(J606="","NOT SCORED - NO JULY MONTHLY ROW",IF(OR(ABS(L606)&gt;0.005,ABS(O606)&gt;0.005,ABS(S606)&gt;0.005),"EXCEPTION","OK"))</f>
        <v>OK</v>
      </c>
      <c r="W606" s="8" t="s">
        <v>5184</v>
      </c>
      <c r="X606" s="8" t="s">
        <v>4099</v>
      </c>
      <c r="Y606" s="36" t="n">
        <f aca="false">K606*N606</f>
        <v>249.15</v>
      </c>
    </row>
    <row r="607" customFormat="false" ht="15" hidden="false" customHeight="false" outlineLevel="0" collapsed="false">
      <c r="A607" s="11" t="s">
        <v>5185</v>
      </c>
      <c r="B607" s="11" t="s">
        <v>192</v>
      </c>
      <c r="C607" s="11" t="s">
        <v>2829</v>
      </c>
      <c r="D607" s="11" t="s">
        <v>3647</v>
      </c>
      <c r="E607" s="11" t="s">
        <v>5186</v>
      </c>
      <c r="F607" s="11" t="s">
        <v>5187</v>
      </c>
      <c r="G607" s="11" t="s">
        <v>3144</v>
      </c>
      <c r="H607" s="11" t="n">
        <v>36</v>
      </c>
      <c r="I607" s="31" t="n">
        <v>42.3</v>
      </c>
      <c r="J607" s="31" t="n">
        <v>43</v>
      </c>
      <c r="K607" s="31" t="n">
        <f aca="false">MAX(ROUNDUP(I607,0),H607)</f>
        <v>43</v>
      </c>
      <c r="L607" s="31" t="n">
        <f aca="false">IF(J607="","",J607-K607)</f>
        <v>0</v>
      </c>
      <c r="M607" s="32" t="n">
        <v>7.55</v>
      </c>
      <c r="N607" s="32" t="n">
        <f aca="false">IF(C607="covered",10.4,7.55)</f>
        <v>7.55</v>
      </c>
      <c r="O607" s="32" t="n">
        <f aca="false">IF(M607="","",M607-N607)</f>
        <v>0</v>
      </c>
      <c r="P607" s="11" t="n">
        <v>1</v>
      </c>
      <c r="Q607" s="33" t="n">
        <v>324.65</v>
      </c>
      <c r="R607" s="33" t="n">
        <f aca="false">IF(OR(J607="",P607=""),"",K607*N607*P607)</f>
        <v>324.65</v>
      </c>
      <c r="S607" s="33" t="n">
        <f aca="false">IF(Q607="","",Q607-R607)</f>
        <v>0</v>
      </c>
      <c r="T607" s="33" t="n">
        <f aca="false">IF(S607="","",MAX(0,-S607))</f>
        <v>-0</v>
      </c>
      <c r="U607" s="33" t="n">
        <f aca="false">IF(S607="","",MAX(0,S607))</f>
        <v>0</v>
      </c>
      <c r="V607" s="11" t="str">
        <f aca="false">IF(J607="","NOT SCORED - NO JULY MONTHLY ROW",IF(OR(ABS(L607)&gt;0.005,ABS(O607)&gt;0.005,ABS(S607)&gt;0.005),"EXCEPTION","OK"))</f>
        <v>OK</v>
      </c>
      <c r="W607" s="11" t="s">
        <v>5188</v>
      </c>
      <c r="X607" s="11" t="s">
        <v>4099</v>
      </c>
      <c r="Y607" s="33" t="n">
        <f aca="false">K607*N607</f>
        <v>324.65</v>
      </c>
    </row>
    <row r="608" customFormat="false" ht="15" hidden="false" customHeight="false" outlineLevel="0" collapsed="false">
      <c r="A608" s="8" t="s">
        <v>5189</v>
      </c>
      <c r="B608" s="8" t="s">
        <v>192</v>
      </c>
      <c r="C608" s="8" t="s">
        <v>2829</v>
      </c>
      <c r="D608" s="8" t="s">
        <v>3651</v>
      </c>
      <c r="E608" s="8" t="s">
        <v>5190</v>
      </c>
      <c r="F608" s="8" t="s">
        <v>5191</v>
      </c>
      <c r="G608" s="8" t="s">
        <v>5192</v>
      </c>
      <c r="H608" s="8" t="n">
        <v>45</v>
      </c>
      <c r="I608" s="34" t="n">
        <v>58</v>
      </c>
      <c r="J608" s="34" t="n">
        <v>58</v>
      </c>
      <c r="K608" s="34" t="n">
        <f aca="false">MAX(ROUNDUP(I608,0),H608)</f>
        <v>58</v>
      </c>
      <c r="L608" s="34" t="n">
        <f aca="false">IF(J608="","",J608-K608)</f>
        <v>0</v>
      </c>
      <c r="M608" s="35" t="n">
        <v>7.55</v>
      </c>
      <c r="N608" s="35" t="n">
        <f aca="false">IF(C608="covered",10.4,7.55)</f>
        <v>7.55</v>
      </c>
      <c r="O608" s="35" t="n">
        <f aca="false">IF(M608="","",M608-N608)</f>
        <v>0</v>
      </c>
      <c r="P608" s="8" t="n">
        <v>1</v>
      </c>
      <c r="Q608" s="36" t="n">
        <v>437.9</v>
      </c>
      <c r="R608" s="36" t="n">
        <f aca="false">IF(OR(J608="",P608=""),"",K608*N608*P608)</f>
        <v>437.9</v>
      </c>
      <c r="S608" s="36" t="n">
        <f aca="false">IF(Q608="","",Q608-R608)</f>
        <v>0</v>
      </c>
      <c r="T608" s="36" t="n">
        <f aca="false">IF(S608="","",MAX(0,-S608))</f>
        <v>-0</v>
      </c>
      <c r="U608" s="36" t="n">
        <f aca="false">IF(S608="","",MAX(0,S608))</f>
        <v>0</v>
      </c>
      <c r="V608" s="8" t="str">
        <f aca="false">IF(J608="","NOT SCORED - NO JULY MONTHLY ROW",IF(OR(ABS(L608)&gt;0.005,ABS(O608)&gt;0.005,ABS(S608)&gt;0.005),"EXCEPTION","OK"))</f>
        <v>OK</v>
      </c>
      <c r="W608" s="8" t="s">
        <v>5193</v>
      </c>
      <c r="X608" s="8" t="s">
        <v>4099</v>
      </c>
      <c r="Y608" s="36" t="n">
        <f aca="false">K608*N608</f>
        <v>437.9</v>
      </c>
    </row>
    <row r="609" customFormat="false" ht="15" hidden="false" customHeight="false" outlineLevel="0" collapsed="false">
      <c r="A609" s="11" t="s">
        <v>5194</v>
      </c>
      <c r="B609" s="11" t="s">
        <v>192</v>
      </c>
      <c r="C609" s="11" t="s">
        <v>2829</v>
      </c>
      <c r="D609" s="11" t="s">
        <v>3656</v>
      </c>
      <c r="E609" s="11" t="s">
        <v>5195</v>
      </c>
      <c r="F609" s="11" t="s">
        <v>5196</v>
      </c>
      <c r="G609" s="11" t="s">
        <v>2864</v>
      </c>
      <c r="H609" s="11" t="n">
        <v>45</v>
      </c>
      <c r="I609" s="31" t="n">
        <v>30.1</v>
      </c>
      <c r="J609" s="31" t="n">
        <v>45</v>
      </c>
      <c r="K609" s="31" t="n">
        <f aca="false">MAX(ROUNDUP(I609,0),H609)</f>
        <v>45</v>
      </c>
      <c r="L609" s="31" t="n">
        <f aca="false">IF(J609="","",J609-K609)</f>
        <v>0</v>
      </c>
      <c r="M609" s="32" t="n">
        <v>7.55</v>
      </c>
      <c r="N609" s="32" t="n">
        <f aca="false">IF(C609="covered",10.4,7.55)</f>
        <v>7.55</v>
      </c>
      <c r="O609" s="32" t="n">
        <f aca="false">IF(M609="","",M609-N609)</f>
        <v>0</v>
      </c>
      <c r="P609" s="11" t="n">
        <v>1</v>
      </c>
      <c r="Q609" s="33" t="n">
        <v>339.75</v>
      </c>
      <c r="R609" s="33" t="n">
        <f aca="false">IF(OR(J609="",P609=""),"",K609*N609*P609)</f>
        <v>339.75</v>
      </c>
      <c r="S609" s="33" t="n">
        <f aca="false">IF(Q609="","",Q609-R609)</f>
        <v>0</v>
      </c>
      <c r="T609" s="33" t="n">
        <f aca="false">IF(S609="","",MAX(0,-S609))</f>
        <v>-0</v>
      </c>
      <c r="U609" s="33" t="n">
        <f aca="false">IF(S609="","",MAX(0,S609))</f>
        <v>0</v>
      </c>
      <c r="V609" s="11" t="str">
        <f aca="false">IF(J609="","NOT SCORED - NO JULY MONTHLY ROW",IF(OR(ABS(L609)&gt;0.005,ABS(O609)&gt;0.005,ABS(S609)&gt;0.005),"EXCEPTION","OK"))</f>
        <v>OK</v>
      </c>
      <c r="W609" s="11" t="s">
        <v>5197</v>
      </c>
      <c r="X609" s="11" t="s">
        <v>4099</v>
      </c>
      <c r="Y609" s="33" t="n">
        <f aca="false">K609*N609</f>
        <v>339.75</v>
      </c>
    </row>
    <row r="610" customFormat="false" ht="15" hidden="false" customHeight="false" outlineLevel="0" collapsed="false">
      <c r="A610" s="8" t="s">
        <v>1834</v>
      </c>
      <c r="B610" s="8" t="s">
        <v>192</v>
      </c>
      <c r="C610" s="8" t="s">
        <v>2829</v>
      </c>
      <c r="D610" s="8" t="s">
        <v>3661</v>
      </c>
      <c r="E610" s="8" t="s">
        <v>5198</v>
      </c>
      <c r="F610" s="8" t="s">
        <v>5199</v>
      </c>
      <c r="G610" s="8" t="s">
        <v>3292</v>
      </c>
      <c r="H610" s="8" t="n">
        <v>80</v>
      </c>
      <c r="I610" s="34" t="n">
        <v>54.2</v>
      </c>
      <c r="J610" s="34" t="n">
        <v>80</v>
      </c>
      <c r="K610" s="34" t="n">
        <f aca="false">MAX(ROUNDUP(I610,0),H610)</f>
        <v>80</v>
      </c>
      <c r="L610" s="34" t="n">
        <f aca="false">IF(J610="","",J610-K610)</f>
        <v>0</v>
      </c>
      <c r="M610" s="35" t="n">
        <v>7.55</v>
      </c>
      <c r="N610" s="35" t="n">
        <f aca="false">IF(C610="covered",10.4,7.55)</f>
        <v>7.55</v>
      </c>
      <c r="O610" s="35" t="n">
        <f aca="false">IF(M610="","",M610-N610)</f>
        <v>0</v>
      </c>
      <c r="P610" s="8" t="n">
        <v>1</v>
      </c>
      <c r="Q610" s="36" t="n">
        <v>604</v>
      </c>
      <c r="R610" s="36" t="n">
        <f aca="false">IF(OR(J610="",P610=""),"",K610*N610*P610)</f>
        <v>604</v>
      </c>
      <c r="S610" s="36" t="n">
        <f aca="false">IF(Q610="","",Q610-R610)</f>
        <v>0</v>
      </c>
      <c r="T610" s="36" t="n">
        <f aca="false">IF(S610="","",MAX(0,-S610))</f>
        <v>-0</v>
      </c>
      <c r="U610" s="36" t="n">
        <f aca="false">IF(S610="","",MAX(0,S610))</f>
        <v>0</v>
      </c>
      <c r="V610" s="8" t="str">
        <f aca="false">IF(J610="","NOT SCORED - NO JULY MONTHLY ROW",IF(OR(ABS(L610)&gt;0.005,ABS(O610)&gt;0.005,ABS(S610)&gt;0.005),"EXCEPTION","OK"))</f>
        <v>OK</v>
      </c>
      <c r="W610" s="8" t="s">
        <v>5200</v>
      </c>
      <c r="X610" s="8" t="s">
        <v>4099</v>
      </c>
      <c r="Y610" s="36" t="n">
        <f aca="false">K610*N610</f>
        <v>604</v>
      </c>
    </row>
    <row r="611" customFormat="false" ht="15" hidden="false" customHeight="false" outlineLevel="0" collapsed="false">
      <c r="A611" s="11" t="s">
        <v>1470</v>
      </c>
      <c r="B611" s="11" t="s">
        <v>192</v>
      </c>
      <c r="C611" s="11" t="s">
        <v>2829</v>
      </c>
      <c r="D611" s="11" t="s">
        <v>3670</v>
      </c>
      <c r="E611" s="11" t="s">
        <v>5201</v>
      </c>
      <c r="F611" s="11" t="s">
        <v>5202</v>
      </c>
      <c r="G611" s="11" t="s">
        <v>5203</v>
      </c>
      <c r="H611" s="11" t="n">
        <v>45</v>
      </c>
      <c r="I611" s="31" t="n">
        <v>40.3</v>
      </c>
      <c r="J611" s="31" t="n">
        <v>45</v>
      </c>
      <c r="K611" s="31" t="n">
        <f aca="false">MAX(ROUNDUP(I611,0),H611)</f>
        <v>45</v>
      </c>
      <c r="L611" s="31" t="n">
        <f aca="false">IF(J611="","",J611-K611)</f>
        <v>0</v>
      </c>
      <c r="M611" s="32" t="n">
        <v>7.55</v>
      </c>
      <c r="N611" s="32" t="n">
        <f aca="false">IF(C611="covered",10.4,7.55)</f>
        <v>7.55</v>
      </c>
      <c r="O611" s="32" t="n">
        <f aca="false">IF(M611="","",M611-N611)</f>
        <v>0</v>
      </c>
      <c r="P611" s="11" t="n">
        <v>1</v>
      </c>
      <c r="Q611" s="33" t="n">
        <v>339.75</v>
      </c>
      <c r="R611" s="33" t="n">
        <f aca="false">IF(OR(J611="",P611=""),"",K611*N611*P611)</f>
        <v>339.75</v>
      </c>
      <c r="S611" s="33" t="n">
        <f aca="false">IF(Q611="","",Q611-R611)</f>
        <v>0</v>
      </c>
      <c r="T611" s="33" t="n">
        <f aca="false">IF(S611="","",MAX(0,-S611))</f>
        <v>-0</v>
      </c>
      <c r="U611" s="33" t="n">
        <f aca="false">IF(S611="","",MAX(0,S611))</f>
        <v>0</v>
      </c>
      <c r="V611" s="11" t="str">
        <f aca="false">IF(J611="","NOT SCORED - NO JULY MONTHLY ROW",IF(OR(ABS(L611)&gt;0.005,ABS(O611)&gt;0.005,ABS(S611)&gt;0.005),"EXCEPTION","OK"))</f>
        <v>OK</v>
      </c>
      <c r="W611" s="11" t="s">
        <v>5204</v>
      </c>
      <c r="X611" s="11" t="s">
        <v>4099</v>
      </c>
      <c r="Y611" s="33" t="n">
        <f aca="false">K611*N611</f>
        <v>339.75</v>
      </c>
    </row>
    <row r="612" customFormat="false" ht="15" hidden="false" customHeight="false" outlineLevel="0" collapsed="false">
      <c r="A612" s="8" t="s">
        <v>5205</v>
      </c>
      <c r="B612" s="8" t="s">
        <v>192</v>
      </c>
      <c r="C612" s="8" t="s">
        <v>2829</v>
      </c>
      <c r="D612" s="8" t="s">
        <v>3674</v>
      </c>
      <c r="E612" s="8" t="s">
        <v>5206</v>
      </c>
      <c r="F612" s="8" t="s">
        <v>5207</v>
      </c>
      <c r="G612" s="8" t="s">
        <v>5208</v>
      </c>
      <c r="H612" s="8" t="n">
        <v>24</v>
      </c>
      <c r="I612" s="34" t="n">
        <v>33.6</v>
      </c>
      <c r="J612" s="34" t="n">
        <v>34</v>
      </c>
      <c r="K612" s="34" t="n">
        <f aca="false">MAX(ROUNDUP(I612,0),H612)</f>
        <v>34</v>
      </c>
      <c r="L612" s="34" t="n">
        <f aca="false">IF(J612="","",J612-K612)</f>
        <v>0</v>
      </c>
      <c r="M612" s="35" t="n">
        <v>7.55</v>
      </c>
      <c r="N612" s="35" t="n">
        <f aca="false">IF(C612="covered",10.4,7.55)</f>
        <v>7.55</v>
      </c>
      <c r="O612" s="35" t="n">
        <f aca="false">IF(M612="","",M612-N612)</f>
        <v>0</v>
      </c>
      <c r="P612" s="8" t="n">
        <v>1</v>
      </c>
      <c r="Q612" s="36" t="n">
        <v>256.7</v>
      </c>
      <c r="R612" s="36" t="n">
        <f aca="false">IF(OR(J612="",P612=""),"",K612*N612*P612)</f>
        <v>256.7</v>
      </c>
      <c r="S612" s="36" t="n">
        <f aca="false">IF(Q612="","",Q612-R612)</f>
        <v>0</v>
      </c>
      <c r="T612" s="36" t="n">
        <f aca="false">IF(S612="","",MAX(0,-S612))</f>
        <v>-0</v>
      </c>
      <c r="U612" s="36" t="n">
        <f aca="false">IF(S612="","",MAX(0,S612))</f>
        <v>0</v>
      </c>
      <c r="V612" s="8" t="str">
        <f aca="false">IF(J612="","NOT SCORED - NO JULY MONTHLY ROW",IF(OR(ABS(L612)&gt;0.005,ABS(O612)&gt;0.005,ABS(S612)&gt;0.005),"EXCEPTION","OK"))</f>
        <v>OK</v>
      </c>
      <c r="W612" s="8" t="s">
        <v>5209</v>
      </c>
      <c r="X612" s="8" t="s">
        <v>4099</v>
      </c>
      <c r="Y612" s="36" t="n">
        <f aca="false">K612*N612</f>
        <v>256.7</v>
      </c>
    </row>
    <row r="613" customFormat="false" ht="15" hidden="false" customHeight="false" outlineLevel="0" collapsed="false">
      <c r="A613" s="11" t="s">
        <v>5210</v>
      </c>
      <c r="B613" s="11" t="s">
        <v>192</v>
      </c>
      <c r="C613" s="11" t="s">
        <v>2829</v>
      </c>
      <c r="D613" s="11" t="s">
        <v>3678</v>
      </c>
      <c r="E613" s="11" t="s">
        <v>5211</v>
      </c>
      <c r="F613" s="11" t="s">
        <v>5212</v>
      </c>
      <c r="G613" s="11" t="s">
        <v>3165</v>
      </c>
      <c r="H613" s="11" t="n">
        <v>32</v>
      </c>
      <c r="I613" s="31" t="n">
        <v>26.3</v>
      </c>
      <c r="J613" s="31" t="n">
        <v>32</v>
      </c>
      <c r="K613" s="31" t="n">
        <f aca="false">MAX(ROUNDUP(I613,0),H613)</f>
        <v>32</v>
      </c>
      <c r="L613" s="31" t="n">
        <f aca="false">IF(J613="","",J613-K613)</f>
        <v>0</v>
      </c>
      <c r="M613" s="32" t="n">
        <v>7.55</v>
      </c>
      <c r="N613" s="32" t="n">
        <f aca="false">IF(C613="covered",10.4,7.55)</f>
        <v>7.55</v>
      </c>
      <c r="O613" s="32" t="n">
        <f aca="false">IF(M613="","",M613-N613)</f>
        <v>0</v>
      </c>
      <c r="P613" s="11" t="n">
        <v>1</v>
      </c>
      <c r="Q613" s="33" t="n">
        <v>241.6</v>
      </c>
      <c r="R613" s="33" t="n">
        <f aca="false">IF(OR(J613="",P613=""),"",K613*N613*P613)</f>
        <v>241.6</v>
      </c>
      <c r="S613" s="33" t="n">
        <f aca="false">IF(Q613="","",Q613-R613)</f>
        <v>0</v>
      </c>
      <c r="T613" s="33" t="n">
        <f aca="false">IF(S613="","",MAX(0,-S613))</f>
        <v>-0</v>
      </c>
      <c r="U613" s="33" t="n">
        <f aca="false">IF(S613="","",MAX(0,S613))</f>
        <v>0</v>
      </c>
      <c r="V613" s="11" t="str">
        <f aca="false">IF(J613="","NOT SCORED - NO JULY MONTHLY ROW",IF(OR(ABS(L613)&gt;0.005,ABS(O613)&gt;0.005,ABS(S613)&gt;0.005),"EXCEPTION","OK"))</f>
        <v>OK</v>
      </c>
      <c r="W613" s="11" t="s">
        <v>5213</v>
      </c>
      <c r="X613" s="11" t="s">
        <v>4099</v>
      </c>
      <c r="Y613" s="33" t="n">
        <f aca="false">K613*N613</f>
        <v>241.6</v>
      </c>
    </row>
    <row r="614" customFormat="false" ht="15" hidden="false" customHeight="false" outlineLevel="0" collapsed="false">
      <c r="A614" s="8" t="s">
        <v>5214</v>
      </c>
      <c r="B614" s="8" t="s">
        <v>192</v>
      </c>
      <c r="C614" s="8" t="s">
        <v>2829</v>
      </c>
      <c r="D614" s="8" t="s">
        <v>3683</v>
      </c>
      <c r="E614" s="8" t="s">
        <v>5215</v>
      </c>
      <c r="F614" s="8" t="s">
        <v>5216</v>
      </c>
      <c r="G614" s="8" t="s">
        <v>4046</v>
      </c>
      <c r="H614" s="8" t="n">
        <v>60</v>
      </c>
      <c r="I614" s="34" t="n">
        <v>38.1</v>
      </c>
      <c r="J614" s="34" t="n">
        <v>60</v>
      </c>
      <c r="K614" s="34" t="n">
        <f aca="false">MAX(ROUNDUP(I614,0),H614)</f>
        <v>60</v>
      </c>
      <c r="L614" s="34" t="n">
        <f aca="false">IF(J614="","",J614-K614)</f>
        <v>0</v>
      </c>
      <c r="M614" s="35" t="n">
        <v>7.55</v>
      </c>
      <c r="N614" s="35" t="n">
        <f aca="false">IF(C614="covered",10.4,7.55)</f>
        <v>7.55</v>
      </c>
      <c r="O614" s="35" t="n">
        <f aca="false">IF(M614="","",M614-N614)</f>
        <v>0</v>
      </c>
      <c r="P614" s="8" t="n">
        <v>1</v>
      </c>
      <c r="Q614" s="36" t="n">
        <v>453</v>
      </c>
      <c r="R614" s="36" t="n">
        <f aca="false">IF(OR(J614="",P614=""),"",K614*N614*P614)</f>
        <v>453</v>
      </c>
      <c r="S614" s="36" t="n">
        <f aca="false">IF(Q614="","",Q614-R614)</f>
        <v>0</v>
      </c>
      <c r="T614" s="36" t="n">
        <f aca="false">IF(S614="","",MAX(0,-S614))</f>
        <v>-0</v>
      </c>
      <c r="U614" s="36" t="n">
        <f aca="false">IF(S614="","",MAX(0,S614))</f>
        <v>0</v>
      </c>
      <c r="V614" s="8" t="str">
        <f aca="false">IF(J614="","NOT SCORED - NO JULY MONTHLY ROW",IF(OR(ABS(L614)&gt;0.005,ABS(O614)&gt;0.005,ABS(S614)&gt;0.005),"EXCEPTION","OK"))</f>
        <v>OK</v>
      </c>
      <c r="W614" s="8" t="s">
        <v>5217</v>
      </c>
      <c r="X614" s="8" t="s">
        <v>4099</v>
      </c>
      <c r="Y614" s="36" t="n">
        <f aca="false">K614*N614</f>
        <v>453</v>
      </c>
    </row>
    <row r="615" customFormat="false" ht="15" hidden="false" customHeight="false" outlineLevel="0" collapsed="false">
      <c r="A615" s="11" t="s">
        <v>5218</v>
      </c>
      <c r="B615" s="11" t="s">
        <v>192</v>
      </c>
      <c r="C615" s="11" t="s">
        <v>2829</v>
      </c>
      <c r="D615" s="11" t="s">
        <v>3685</v>
      </c>
      <c r="E615" s="11" t="s">
        <v>5219</v>
      </c>
      <c r="F615" s="11" t="s">
        <v>5220</v>
      </c>
      <c r="G615" s="11" t="s">
        <v>5221</v>
      </c>
      <c r="H615" s="11" t="n">
        <v>45</v>
      </c>
      <c r="I615" s="31" t="n">
        <v>31.8</v>
      </c>
      <c r="J615" s="31" t="n">
        <v>45</v>
      </c>
      <c r="K615" s="31" t="n">
        <f aca="false">MAX(ROUNDUP(I615,0),H615)</f>
        <v>45</v>
      </c>
      <c r="L615" s="31" t="n">
        <f aca="false">IF(J615="","",J615-K615)</f>
        <v>0</v>
      </c>
      <c r="M615" s="32" t="n">
        <v>7.55</v>
      </c>
      <c r="N615" s="32" t="n">
        <f aca="false">IF(C615="covered",10.4,7.55)</f>
        <v>7.55</v>
      </c>
      <c r="O615" s="32" t="n">
        <f aca="false">IF(M615="","",M615-N615)</f>
        <v>0</v>
      </c>
      <c r="P615" s="11" t="n">
        <v>1</v>
      </c>
      <c r="Q615" s="33" t="n">
        <v>339.75</v>
      </c>
      <c r="R615" s="33" t="n">
        <f aca="false">IF(OR(J615="",P615=""),"",K615*N615*P615)</f>
        <v>339.75</v>
      </c>
      <c r="S615" s="33" t="n">
        <f aca="false">IF(Q615="","",Q615-R615)</f>
        <v>0</v>
      </c>
      <c r="T615" s="33" t="n">
        <f aca="false">IF(S615="","",MAX(0,-S615))</f>
        <v>-0</v>
      </c>
      <c r="U615" s="33" t="n">
        <f aca="false">IF(S615="","",MAX(0,S615))</f>
        <v>0</v>
      </c>
      <c r="V615" s="11" t="str">
        <f aca="false">IF(J615="","NOT SCORED - NO JULY MONTHLY ROW",IF(OR(ABS(L615)&gt;0.005,ABS(O615)&gt;0.005,ABS(S615)&gt;0.005),"EXCEPTION","OK"))</f>
        <v>OK</v>
      </c>
      <c r="W615" s="11" t="s">
        <v>5222</v>
      </c>
      <c r="X615" s="11" t="s">
        <v>4099</v>
      </c>
      <c r="Y615" s="33" t="n">
        <f aca="false">K615*N615</f>
        <v>339.75</v>
      </c>
    </row>
    <row r="616" customFormat="false" ht="15" hidden="false" customHeight="false" outlineLevel="0" collapsed="false">
      <c r="A616" s="8" t="s">
        <v>5223</v>
      </c>
      <c r="B616" s="8" t="s">
        <v>192</v>
      </c>
      <c r="C616" s="8" t="s">
        <v>2829</v>
      </c>
      <c r="D616" s="8" t="s">
        <v>3689</v>
      </c>
      <c r="E616" s="8" t="s">
        <v>5224</v>
      </c>
      <c r="F616" s="8" t="s">
        <v>5225</v>
      </c>
      <c r="G616" s="8" t="s">
        <v>4240</v>
      </c>
      <c r="H616" s="8" t="n">
        <v>28</v>
      </c>
      <c r="I616" s="34" t="n">
        <v>61.4</v>
      </c>
      <c r="J616" s="34" t="n">
        <v>62</v>
      </c>
      <c r="K616" s="34" t="n">
        <f aca="false">MAX(ROUNDUP(I616,0),H616)</f>
        <v>62</v>
      </c>
      <c r="L616" s="34" t="n">
        <f aca="false">IF(J616="","",J616-K616)</f>
        <v>0</v>
      </c>
      <c r="M616" s="35" t="n">
        <v>7.55</v>
      </c>
      <c r="N616" s="35" t="n">
        <f aca="false">IF(C616="covered",10.4,7.55)</f>
        <v>7.55</v>
      </c>
      <c r="O616" s="35" t="n">
        <f aca="false">IF(M616="","",M616-N616)</f>
        <v>0</v>
      </c>
      <c r="P616" s="8" t="n">
        <v>1</v>
      </c>
      <c r="Q616" s="36" t="n">
        <v>468.1</v>
      </c>
      <c r="R616" s="36" t="n">
        <f aca="false">IF(OR(J616="",P616=""),"",K616*N616*P616)</f>
        <v>468.1</v>
      </c>
      <c r="S616" s="36" t="n">
        <f aca="false">IF(Q616="","",Q616-R616)</f>
        <v>0</v>
      </c>
      <c r="T616" s="36" t="n">
        <f aca="false">IF(S616="","",MAX(0,-S616))</f>
        <v>-0</v>
      </c>
      <c r="U616" s="36" t="n">
        <f aca="false">IF(S616="","",MAX(0,S616))</f>
        <v>0</v>
      </c>
      <c r="V616" s="8" t="str">
        <f aca="false">IF(J616="","NOT SCORED - NO JULY MONTHLY ROW",IF(OR(ABS(L616)&gt;0.005,ABS(O616)&gt;0.005,ABS(S616)&gt;0.005),"EXCEPTION","OK"))</f>
        <v>OK</v>
      </c>
      <c r="W616" s="8" t="s">
        <v>5226</v>
      </c>
      <c r="X616" s="8" t="s">
        <v>4099</v>
      </c>
      <c r="Y616" s="36" t="n">
        <f aca="false">K616*N616</f>
        <v>468.1</v>
      </c>
    </row>
    <row r="617" customFormat="false" ht="15" hidden="false" customHeight="false" outlineLevel="0" collapsed="false">
      <c r="A617" s="11" t="s">
        <v>5227</v>
      </c>
      <c r="B617" s="11" t="s">
        <v>192</v>
      </c>
      <c r="C617" s="11" t="s">
        <v>2829</v>
      </c>
      <c r="D617" s="11" t="s">
        <v>3693</v>
      </c>
      <c r="E617" s="11" t="s">
        <v>5228</v>
      </c>
      <c r="F617" s="11" t="s">
        <v>5229</v>
      </c>
      <c r="G617" s="11" t="s">
        <v>5230</v>
      </c>
      <c r="H617" s="11" t="n">
        <v>45</v>
      </c>
      <c r="I617" s="31" t="n">
        <v>23.5</v>
      </c>
      <c r="J617" s="31" t="n">
        <v>45</v>
      </c>
      <c r="K617" s="31" t="n">
        <f aca="false">MAX(ROUNDUP(I617,0),H617)</f>
        <v>45</v>
      </c>
      <c r="L617" s="31" t="n">
        <f aca="false">IF(J617="","",J617-K617)</f>
        <v>0</v>
      </c>
      <c r="M617" s="32" t="n">
        <v>7.55</v>
      </c>
      <c r="N617" s="32" t="n">
        <f aca="false">IF(C617="covered",10.4,7.55)</f>
        <v>7.55</v>
      </c>
      <c r="O617" s="32" t="n">
        <f aca="false">IF(M617="","",M617-N617)</f>
        <v>0</v>
      </c>
      <c r="P617" s="11" t="n">
        <v>1</v>
      </c>
      <c r="Q617" s="33" t="n">
        <v>339.75</v>
      </c>
      <c r="R617" s="33" t="n">
        <f aca="false">IF(OR(J617="",P617=""),"",K617*N617*P617)</f>
        <v>339.75</v>
      </c>
      <c r="S617" s="33" t="n">
        <f aca="false">IF(Q617="","",Q617-R617)</f>
        <v>0</v>
      </c>
      <c r="T617" s="33" t="n">
        <f aca="false">IF(S617="","",MAX(0,-S617))</f>
        <v>-0</v>
      </c>
      <c r="U617" s="33" t="n">
        <f aca="false">IF(S617="","",MAX(0,S617))</f>
        <v>0</v>
      </c>
      <c r="V617" s="11" t="str">
        <f aca="false">IF(J617="","NOT SCORED - NO JULY MONTHLY ROW",IF(OR(ABS(L617)&gt;0.005,ABS(O617)&gt;0.005,ABS(S617)&gt;0.005),"EXCEPTION","OK"))</f>
        <v>OK</v>
      </c>
      <c r="W617" s="11" t="s">
        <v>5231</v>
      </c>
      <c r="X617" s="11" t="s">
        <v>4099</v>
      </c>
      <c r="Y617" s="33" t="n">
        <f aca="false">K617*N617</f>
        <v>339.75</v>
      </c>
    </row>
    <row r="618" customFormat="false" ht="15" hidden="false" customHeight="false" outlineLevel="0" collapsed="false">
      <c r="A618" s="8" t="s">
        <v>5232</v>
      </c>
      <c r="B618" s="8" t="s">
        <v>192</v>
      </c>
      <c r="C618" s="8" t="s">
        <v>2829</v>
      </c>
      <c r="D618" s="8" t="s">
        <v>3697</v>
      </c>
      <c r="E618" s="8" t="s">
        <v>5233</v>
      </c>
      <c r="F618" s="8" t="s">
        <v>5234</v>
      </c>
      <c r="G618" s="8" t="s">
        <v>5235</v>
      </c>
      <c r="H618" s="8" t="n">
        <v>28</v>
      </c>
      <c r="I618" s="34" t="n">
        <v>21</v>
      </c>
      <c r="J618" s="34" t="n">
        <v>28</v>
      </c>
      <c r="K618" s="34" t="n">
        <f aca="false">MAX(ROUNDUP(I618,0),H618)</f>
        <v>28</v>
      </c>
      <c r="L618" s="34" t="n">
        <f aca="false">IF(J618="","",J618-K618)</f>
        <v>0</v>
      </c>
      <c r="M618" s="35" t="n">
        <v>7.55</v>
      </c>
      <c r="N618" s="35" t="n">
        <f aca="false">IF(C618="covered",10.4,7.55)</f>
        <v>7.55</v>
      </c>
      <c r="O618" s="35" t="n">
        <f aca="false">IF(M618="","",M618-N618)</f>
        <v>0</v>
      </c>
      <c r="P618" s="8" t="n">
        <v>1</v>
      </c>
      <c r="Q618" s="36" t="n">
        <v>211.4</v>
      </c>
      <c r="R618" s="36" t="n">
        <f aca="false">IF(OR(J618="",P618=""),"",K618*N618*P618)</f>
        <v>211.4</v>
      </c>
      <c r="S618" s="36" t="n">
        <f aca="false">IF(Q618="","",Q618-R618)</f>
        <v>0</v>
      </c>
      <c r="T618" s="36" t="n">
        <f aca="false">IF(S618="","",MAX(0,-S618))</f>
        <v>-0</v>
      </c>
      <c r="U618" s="36" t="n">
        <f aca="false">IF(S618="","",MAX(0,S618))</f>
        <v>0</v>
      </c>
      <c r="V618" s="8" t="str">
        <f aca="false">IF(J618="","NOT SCORED - NO JULY MONTHLY ROW",IF(OR(ABS(L618)&gt;0.005,ABS(O618)&gt;0.005,ABS(S618)&gt;0.005),"EXCEPTION","OK"))</f>
        <v>OK</v>
      </c>
      <c r="W618" s="8" t="s">
        <v>5236</v>
      </c>
      <c r="X618" s="8" t="s">
        <v>4099</v>
      </c>
      <c r="Y618" s="36" t="n">
        <f aca="false">K618*N618</f>
        <v>211.4</v>
      </c>
    </row>
    <row r="619" customFormat="false" ht="15" hidden="false" customHeight="false" outlineLevel="0" collapsed="false">
      <c r="A619" s="11" t="s">
        <v>5237</v>
      </c>
      <c r="B619" s="11" t="s">
        <v>192</v>
      </c>
      <c r="C619" s="11" t="s">
        <v>2829</v>
      </c>
      <c r="D619" s="11" t="s">
        <v>3702</v>
      </c>
      <c r="E619" s="11" t="s">
        <v>5238</v>
      </c>
      <c r="F619" s="11" t="s">
        <v>5239</v>
      </c>
      <c r="G619" s="11" t="s">
        <v>5240</v>
      </c>
      <c r="H619" s="11" t="n">
        <v>45</v>
      </c>
      <c r="I619" s="31" t="n">
        <v>55.5</v>
      </c>
      <c r="J619" s="31" t="n">
        <v>56</v>
      </c>
      <c r="K619" s="31" t="n">
        <f aca="false">MAX(ROUNDUP(I619,0),H619)</f>
        <v>56</v>
      </c>
      <c r="L619" s="31" t="n">
        <f aca="false">IF(J619="","",J619-K619)</f>
        <v>0</v>
      </c>
      <c r="M619" s="32" t="n">
        <v>7.55</v>
      </c>
      <c r="N619" s="32" t="n">
        <f aca="false">IF(C619="covered",10.4,7.55)</f>
        <v>7.55</v>
      </c>
      <c r="O619" s="32" t="n">
        <f aca="false">IF(M619="","",M619-N619)</f>
        <v>0</v>
      </c>
      <c r="P619" s="11" t="n">
        <v>1</v>
      </c>
      <c r="Q619" s="33" t="n">
        <v>422.8</v>
      </c>
      <c r="R619" s="33" t="n">
        <f aca="false">IF(OR(J619="",P619=""),"",K619*N619*P619)</f>
        <v>422.8</v>
      </c>
      <c r="S619" s="33" t="n">
        <f aca="false">IF(Q619="","",Q619-R619)</f>
        <v>0</v>
      </c>
      <c r="T619" s="33" t="n">
        <f aca="false">IF(S619="","",MAX(0,-S619))</f>
        <v>-0</v>
      </c>
      <c r="U619" s="33" t="n">
        <f aca="false">IF(S619="","",MAX(0,S619))</f>
        <v>0</v>
      </c>
      <c r="V619" s="11" t="str">
        <f aca="false">IF(J619="","NOT SCORED - NO JULY MONTHLY ROW",IF(OR(ABS(L619)&gt;0.005,ABS(O619)&gt;0.005,ABS(S619)&gt;0.005),"EXCEPTION","OK"))</f>
        <v>OK</v>
      </c>
      <c r="W619" s="11" t="s">
        <v>5241</v>
      </c>
      <c r="X619" s="11" t="s">
        <v>4099</v>
      </c>
      <c r="Y619" s="33" t="n">
        <f aca="false">K619*N619</f>
        <v>422.8</v>
      </c>
    </row>
    <row r="620" customFormat="false" ht="15" hidden="false" customHeight="false" outlineLevel="0" collapsed="false">
      <c r="A620" s="8" t="s">
        <v>5242</v>
      </c>
      <c r="B620" s="8" t="s">
        <v>192</v>
      </c>
      <c r="C620" s="8" t="s">
        <v>2829</v>
      </c>
      <c r="D620" s="8" t="s">
        <v>3705</v>
      </c>
      <c r="E620" s="8" t="s">
        <v>389</v>
      </c>
      <c r="F620" s="8" t="s">
        <v>390</v>
      </c>
      <c r="G620" s="8" t="s">
        <v>5243</v>
      </c>
      <c r="H620" s="8" t="n">
        <v>70</v>
      </c>
      <c r="I620" s="34" t="n">
        <v>40.2</v>
      </c>
      <c r="J620" s="34" t="n">
        <v>70</v>
      </c>
      <c r="K620" s="34" t="n">
        <f aca="false">MAX(ROUNDUP(I620,0),H620)</f>
        <v>70</v>
      </c>
      <c r="L620" s="34" t="n">
        <f aca="false">IF(J620="","",J620-K620)</f>
        <v>0</v>
      </c>
      <c r="M620" s="35" t="n">
        <v>7.55</v>
      </c>
      <c r="N620" s="35" t="n">
        <f aca="false">IF(C620="covered",10.4,7.55)</f>
        <v>7.55</v>
      </c>
      <c r="O620" s="35" t="n">
        <f aca="false">IF(M620="","",M620-N620)</f>
        <v>0</v>
      </c>
      <c r="P620" s="8" t="n">
        <v>1</v>
      </c>
      <c r="Q620" s="36" t="n">
        <v>528.5</v>
      </c>
      <c r="R620" s="36" t="n">
        <f aca="false">IF(OR(J620="",P620=""),"",K620*N620*P620)</f>
        <v>528.5</v>
      </c>
      <c r="S620" s="36" t="n">
        <f aca="false">IF(Q620="","",Q620-R620)</f>
        <v>0</v>
      </c>
      <c r="T620" s="36" t="n">
        <f aca="false">IF(S620="","",MAX(0,-S620))</f>
        <v>-0</v>
      </c>
      <c r="U620" s="36" t="n">
        <f aca="false">IF(S620="","",MAX(0,S620))</f>
        <v>0</v>
      </c>
      <c r="V620" s="8" t="str">
        <f aca="false">IF(J620="","NOT SCORED - NO JULY MONTHLY ROW",IF(OR(ABS(L620)&gt;0.005,ABS(O620)&gt;0.005,ABS(S620)&gt;0.005),"EXCEPTION","OK"))</f>
        <v>OK</v>
      </c>
      <c r="W620" s="8" t="s">
        <v>5244</v>
      </c>
      <c r="X620" s="8" t="s">
        <v>4099</v>
      </c>
      <c r="Y620" s="36" t="n">
        <f aca="false">K620*N620</f>
        <v>528.5</v>
      </c>
    </row>
    <row r="621" customFormat="false" ht="15" hidden="false" customHeight="false" outlineLevel="0" collapsed="false">
      <c r="A621" s="11" t="s">
        <v>5245</v>
      </c>
      <c r="B621" s="11" t="s">
        <v>192</v>
      </c>
      <c r="C621" s="11" t="s">
        <v>2829</v>
      </c>
      <c r="D621" s="11" t="s">
        <v>3708</v>
      </c>
      <c r="E621" s="11" t="s">
        <v>5246</v>
      </c>
      <c r="F621" s="11" t="s">
        <v>5247</v>
      </c>
      <c r="G621" s="11" t="s">
        <v>5248</v>
      </c>
      <c r="H621" s="11" t="n">
        <v>32</v>
      </c>
      <c r="I621" s="31" t="n">
        <v>48.1</v>
      </c>
      <c r="J621" s="31" t="n">
        <v>49</v>
      </c>
      <c r="K621" s="31" t="n">
        <f aca="false">MAX(ROUNDUP(I621,0),H621)</f>
        <v>49</v>
      </c>
      <c r="L621" s="31" t="n">
        <f aca="false">IF(J621="","",J621-K621)</f>
        <v>0</v>
      </c>
      <c r="M621" s="32" t="n">
        <v>7.55</v>
      </c>
      <c r="N621" s="32" t="n">
        <f aca="false">IF(C621="covered",10.4,7.55)</f>
        <v>7.55</v>
      </c>
      <c r="O621" s="32" t="n">
        <f aca="false">IF(M621="","",M621-N621)</f>
        <v>0</v>
      </c>
      <c r="P621" s="11" t="n">
        <v>1</v>
      </c>
      <c r="Q621" s="33" t="n">
        <v>369.95</v>
      </c>
      <c r="R621" s="33" t="n">
        <f aca="false">IF(OR(J621="",P621=""),"",K621*N621*P621)</f>
        <v>369.95</v>
      </c>
      <c r="S621" s="33" t="n">
        <f aca="false">IF(Q621="","",Q621-R621)</f>
        <v>0</v>
      </c>
      <c r="T621" s="33" t="n">
        <f aca="false">IF(S621="","",MAX(0,-S621))</f>
        <v>-0</v>
      </c>
      <c r="U621" s="33" t="n">
        <f aca="false">IF(S621="","",MAX(0,S621))</f>
        <v>0</v>
      </c>
      <c r="V621" s="11" t="str">
        <f aca="false">IF(J621="","NOT SCORED - NO JULY MONTHLY ROW",IF(OR(ABS(L621)&gt;0.005,ABS(O621)&gt;0.005,ABS(S621)&gt;0.005),"EXCEPTION","OK"))</f>
        <v>OK</v>
      </c>
      <c r="W621" s="11" t="s">
        <v>5249</v>
      </c>
      <c r="X621" s="11" t="s">
        <v>4099</v>
      </c>
      <c r="Y621" s="33" t="n">
        <f aca="false">K621*N621</f>
        <v>369.95</v>
      </c>
    </row>
    <row r="622" customFormat="false" ht="15" hidden="false" customHeight="false" outlineLevel="0" collapsed="false">
      <c r="A622" s="8" t="s">
        <v>5250</v>
      </c>
      <c r="B622" s="8" t="s">
        <v>192</v>
      </c>
      <c r="C622" s="8" t="s">
        <v>2829</v>
      </c>
      <c r="D622" s="8" t="s">
        <v>3713</v>
      </c>
      <c r="E622" s="8" t="s">
        <v>5251</v>
      </c>
      <c r="F622" s="8" t="s">
        <v>5252</v>
      </c>
      <c r="G622" s="8" t="s">
        <v>3327</v>
      </c>
      <c r="H622" s="8" t="n">
        <v>24</v>
      </c>
      <c r="I622" s="34" t="n">
        <v>35.1</v>
      </c>
      <c r="J622" s="34" t="n">
        <v>36</v>
      </c>
      <c r="K622" s="34" t="n">
        <f aca="false">MAX(ROUNDUP(I622,0),H622)</f>
        <v>36</v>
      </c>
      <c r="L622" s="34" t="n">
        <f aca="false">IF(J622="","",J622-K622)</f>
        <v>0</v>
      </c>
      <c r="M622" s="35" t="n">
        <v>7.55</v>
      </c>
      <c r="N622" s="35" t="n">
        <f aca="false">IF(C622="covered",10.4,7.55)</f>
        <v>7.55</v>
      </c>
      <c r="O622" s="35" t="n">
        <f aca="false">IF(M622="","",M622-N622)</f>
        <v>0</v>
      </c>
      <c r="P622" s="8" t="n">
        <v>1</v>
      </c>
      <c r="Q622" s="36" t="n">
        <v>271.8</v>
      </c>
      <c r="R622" s="36" t="n">
        <f aca="false">IF(OR(J622="",P622=""),"",K622*N622*P622)</f>
        <v>271.8</v>
      </c>
      <c r="S622" s="36" t="n">
        <f aca="false">IF(Q622="","",Q622-R622)</f>
        <v>0</v>
      </c>
      <c r="T622" s="36" t="n">
        <f aca="false">IF(S622="","",MAX(0,-S622))</f>
        <v>-0</v>
      </c>
      <c r="U622" s="36" t="n">
        <f aca="false">IF(S622="","",MAX(0,S622))</f>
        <v>0</v>
      </c>
      <c r="V622" s="8" t="str">
        <f aca="false">IF(J622="","NOT SCORED - NO JULY MONTHLY ROW",IF(OR(ABS(L622)&gt;0.005,ABS(O622)&gt;0.005,ABS(S622)&gt;0.005),"EXCEPTION","OK"))</f>
        <v>OK</v>
      </c>
      <c r="W622" s="8" t="s">
        <v>5253</v>
      </c>
      <c r="X622" s="8" t="s">
        <v>4099</v>
      </c>
      <c r="Y622" s="36" t="n">
        <f aca="false">K622*N622</f>
        <v>271.8</v>
      </c>
    </row>
    <row r="623" customFormat="false" ht="15" hidden="false" customHeight="false" outlineLevel="0" collapsed="false">
      <c r="A623" s="11" t="s">
        <v>5254</v>
      </c>
      <c r="B623" s="11" t="s">
        <v>192</v>
      </c>
      <c r="C623" s="11" t="s">
        <v>2829</v>
      </c>
      <c r="D623" s="11" t="s">
        <v>3718</v>
      </c>
      <c r="E623" s="11" t="s">
        <v>5255</v>
      </c>
      <c r="F623" s="11" t="s">
        <v>5256</v>
      </c>
      <c r="G623" s="11" t="s">
        <v>5257</v>
      </c>
      <c r="H623" s="11" t="n">
        <v>60</v>
      </c>
      <c r="I623" s="31" t="n">
        <v>24.7</v>
      </c>
      <c r="J623" s="31" t="n">
        <v>60</v>
      </c>
      <c r="K623" s="31" t="n">
        <f aca="false">MAX(ROUNDUP(I623,0),H623)</f>
        <v>60</v>
      </c>
      <c r="L623" s="31" t="n">
        <f aca="false">IF(J623="","",J623-K623)</f>
        <v>0</v>
      </c>
      <c r="M623" s="32" t="n">
        <v>7.55</v>
      </c>
      <c r="N623" s="32" t="n">
        <f aca="false">IF(C623="covered",10.4,7.55)</f>
        <v>7.55</v>
      </c>
      <c r="O623" s="32" t="n">
        <f aca="false">IF(M623="","",M623-N623)</f>
        <v>0</v>
      </c>
      <c r="P623" s="11" t="n">
        <v>1</v>
      </c>
      <c r="Q623" s="33" t="n">
        <v>453</v>
      </c>
      <c r="R623" s="33" t="n">
        <f aca="false">IF(OR(J623="",P623=""),"",K623*N623*P623)</f>
        <v>453</v>
      </c>
      <c r="S623" s="33" t="n">
        <f aca="false">IF(Q623="","",Q623-R623)</f>
        <v>0</v>
      </c>
      <c r="T623" s="33" t="n">
        <f aca="false">IF(S623="","",MAX(0,-S623))</f>
        <v>-0</v>
      </c>
      <c r="U623" s="33" t="n">
        <f aca="false">IF(S623="","",MAX(0,S623))</f>
        <v>0</v>
      </c>
      <c r="V623" s="11" t="str">
        <f aca="false">IF(J623="","NOT SCORED - NO JULY MONTHLY ROW",IF(OR(ABS(L623)&gt;0.005,ABS(O623)&gt;0.005,ABS(S623)&gt;0.005),"EXCEPTION","OK"))</f>
        <v>OK</v>
      </c>
      <c r="W623" s="11" t="s">
        <v>5258</v>
      </c>
      <c r="X623" s="11" t="s">
        <v>4099</v>
      </c>
      <c r="Y623" s="33" t="n">
        <f aca="false">K623*N623</f>
        <v>453</v>
      </c>
    </row>
    <row r="624" customFormat="false" ht="15" hidden="false" customHeight="false" outlineLevel="0" collapsed="false">
      <c r="A624" s="8" t="s">
        <v>519</v>
      </c>
      <c r="B624" s="8" t="s">
        <v>192</v>
      </c>
      <c r="C624" s="8" t="s">
        <v>2829</v>
      </c>
      <c r="D624" s="8" t="s">
        <v>3723</v>
      </c>
      <c r="E624" s="8" t="s">
        <v>5259</v>
      </c>
      <c r="F624" s="8" t="s">
        <v>5260</v>
      </c>
      <c r="G624" s="8" t="s">
        <v>3208</v>
      </c>
      <c r="H624" s="8" t="n">
        <v>45</v>
      </c>
      <c r="I624" s="34" t="n">
        <v>31.7</v>
      </c>
      <c r="J624" s="34" t="n">
        <v>45</v>
      </c>
      <c r="K624" s="34" t="n">
        <f aca="false">MAX(ROUNDUP(I624,0),H624)</f>
        <v>45</v>
      </c>
      <c r="L624" s="34" t="n">
        <f aca="false">IF(J624="","",J624-K624)</f>
        <v>0</v>
      </c>
      <c r="M624" s="35" t="n">
        <v>7.55</v>
      </c>
      <c r="N624" s="35" t="n">
        <f aca="false">IF(C624="covered",10.4,7.55)</f>
        <v>7.55</v>
      </c>
      <c r="O624" s="35" t="n">
        <f aca="false">IF(M624="","",M624-N624)</f>
        <v>0</v>
      </c>
      <c r="P624" s="8" t="n">
        <v>1</v>
      </c>
      <c r="Q624" s="36" t="n">
        <v>339.75</v>
      </c>
      <c r="R624" s="36" t="n">
        <f aca="false">IF(OR(J624="",P624=""),"",K624*N624*P624)</f>
        <v>339.75</v>
      </c>
      <c r="S624" s="36" t="n">
        <f aca="false">IF(Q624="","",Q624-R624)</f>
        <v>0</v>
      </c>
      <c r="T624" s="36" t="n">
        <f aca="false">IF(S624="","",MAX(0,-S624))</f>
        <v>-0</v>
      </c>
      <c r="U624" s="36" t="n">
        <f aca="false">IF(S624="","",MAX(0,S624))</f>
        <v>0</v>
      </c>
      <c r="V624" s="8" t="str">
        <f aca="false">IF(J624="","NOT SCORED - NO JULY MONTHLY ROW",IF(OR(ABS(L624)&gt;0.005,ABS(O624)&gt;0.005,ABS(S624)&gt;0.005),"EXCEPTION","OK"))</f>
        <v>OK</v>
      </c>
      <c r="W624" s="8" t="s">
        <v>5261</v>
      </c>
      <c r="X624" s="8" t="s">
        <v>4099</v>
      </c>
      <c r="Y624" s="36" t="n">
        <f aca="false">K624*N624</f>
        <v>339.75</v>
      </c>
    </row>
    <row r="625" customFormat="false" ht="15" hidden="false" customHeight="false" outlineLevel="0" collapsed="false">
      <c r="A625" s="11" t="s">
        <v>2061</v>
      </c>
      <c r="B625" s="11" t="s">
        <v>192</v>
      </c>
      <c r="C625" s="11" t="s">
        <v>2829</v>
      </c>
      <c r="D625" s="11" t="s">
        <v>3728</v>
      </c>
      <c r="E625" s="11" t="s">
        <v>2318</v>
      </c>
      <c r="F625" s="11" t="s">
        <v>5262</v>
      </c>
      <c r="G625" s="11" t="s">
        <v>5263</v>
      </c>
      <c r="H625" s="11" t="n">
        <v>24</v>
      </c>
      <c r="I625" s="31" t="n">
        <v>47.9</v>
      </c>
      <c r="J625" s="31" t="n">
        <v>48</v>
      </c>
      <c r="K625" s="31" t="n">
        <f aca="false">MAX(ROUNDUP(I625,0),H625)</f>
        <v>48</v>
      </c>
      <c r="L625" s="31" t="n">
        <f aca="false">IF(J625="","",J625-K625)</f>
        <v>0</v>
      </c>
      <c r="M625" s="32" t="n">
        <v>7.55</v>
      </c>
      <c r="N625" s="32" t="n">
        <f aca="false">IF(C625="covered",10.4,7.55)</f>
        <v>7.55</v>
      </c>
      <c r="O625" s="32" t="n">
        <f aca="false">IF(M625="","",M625-N625)</f>
        <v>0</v>
      </c>
      <c r="P625" s="11" t="n">
        <v>1</v>
      </c>
      <c r="Q625" s="33" t="n">
        <v>362.4</v>
      </c>
      <c r="R625" s="33" t="n">
        <f aca="false">IF(OR(J625="",P625=""),"",K625*N625*P625)</f>
        <v>362.4</v>
      </c>
      <c r="S625" s="33" t="n">
        <f aca="false">IF(Q625="","",Q625-R625)</f>
        <v>0</v>
      </c>
      <c r="T625" s="33" t="n">
        <f aca="false">IF(S625="","",MAX(0,-S625))</f>
        <v>-0</v>
      </c>
      <c r="U625" s="33" t="n">
        <f aca="false">IF(S625="","",MAX(0,S625))</f>
        <v>0</v>
      </c>
      <c r="V625" s="11" t="str">
        <f aca="false">IF(J625="","NOT SCORED - NO JULY MONTHLY ROW",IF(OR(ABS(L625)&gt;0.005,ABS(O625)&gt;0.005,ABS(S625)&gt;0.005),"EXCEPTION","OK"))</f>
        <v>OK</v>
      </c>
      <c r="W625" s="11" t="s">
        <v>5264</v>
      </c>
      <c r="X625" s="11" t="s">
        <v>4099</v>
      </c>
      <c r="Y625" s="33" t="n">
        <f aca="false">K625*N625</f>
        <v>362.4</v>
      </c>
    </row>
    <row r="626" customFormat="false" ht="15" hidden="false" customHeight="false" outlineLevel="0" collapsed="false">
      <c r="A626" s="8" t="s">
        <v>5265</v>
      </c>
      <c r="B626" s="8" t="s">
        <v>192</v>
      </c>
      <c r="C626" s="8" t="s">
        <v>2829</v>
      </c>
      <c r="D626" s="8" t="s">
        <v>3732</v>
      </c>
      <c r="E626" s="8" t="s">
        <v>5266</v>
      </c>
      <c r="F626" s="8" t="s">
        <v>5267</v>
      </c>
      <c r="G626" s="8" t="s">
        <v>4338</v>
      </c>
      <c r="H626" s="8" t="n">
        <v>32</v>
      </c>
      <c r="I626" s="34" t="n">
        <v>23.7</v>
      </c>
      <c r="J626" s="34" t="n">
        <v>32</v>
      </c>
      <c r="K626" s="34" t="n">
        <f aca="false">MAX(ROUNDUP(I626,0),H626)</f>
        <v>32</v>
      </c>
      <c r="L626" s="34" t="n">
        <f aca="false">IF(J626="","",J626-K626)</f>
        <v>0</v>
      </c>
      <c r="M626" s="35" t="n">
        <v>7.55</v>
      </c>
      <c r="N626" s="35" t="n">
        <f aca="false">IF(C626="covered",10.4,7.55)</f>
        <v>7.55</v>
      </c>
      <c r="O626" s="35" t="n">
        <f aca="false">IF(M626="","",M626-N626)</f>
        <v>0</v>
      </c>
      <c r="P626" s="8" t="n">
        <v>1</v>
      </c>
      <c r="Q626" s="36" t="n">
        <v>241.6</v>
      </c>
      <c r="R626" s="36" t="n">
        <f aca="false">IF(OR(J626="",P626=""),"",K626*N626*P626)</f>
        <v>241.6</v>
      </c>
      <c r="S626" s="36" t="n">
        <f aca="false">IF(Q626="","",Q626-R626)</f>
        <v>0</v>
      </c>
      <c r="T626" s="36" t="n">
        <f aca="false">IF(S626="","",MAX(0,-S626))</f>
        <v>-0</v>
      </c>
      <c r="U626" s="36" t="n">
        <f aca="false">IF(S626="","",MAX(0,S626))</f>
        <v>0</v>
      </c>
      <c r="V626" s="8" t="str">
        <f aca="false">IF(J626="","NOT SCORED - NO JULY MONTHLY ROW",IF(OR(ABS(L626)&gt;0.005,ABS(O626)&gt;0.005,ABS(S626)&gt;0.005),"EXCEPTION","OK"))</f>
        <v>OK</v>
      </c>
      <c r="W626" s="8" t="s">
        <v>5268</v>
      </c>
      <c r="X626" s="8" t="s">
        <v>4099</v>
      </c>
      <c r="Y626" s="36" t="n">
        <f aca="false">K626*N626</f>
        <v>241.6</v>
      </c>
    </row>
    <row r="627" customFormat="false" ht="15" hidden="false" customHeight="false" outlineLevel="0" collapsed="false">
      <c r="A627" s="11" t="s">
        <v>5269</v>
      </c>
      <c r="B627" s="11" t="s">
        <v>192</v>
      </c>
      <c r="C627" s="11" t="s">
        <v>2829</v>
      </c>
      <c r="D627" s="11" t="s">
        <v>4427</v>
      </c>
      <c r="E627" s="11" t="s">
        <v>5270</v>
      </c>
      <c r="F627" s="11" t="s">
        <v>5271</v>
      </c>
      <c r="G627" s="11" t="s">
        <v>4240</v>
      </c>
      <c r="H627" s="11" t="n">
        <v>32</v>
      </c>
      <c r="I627" s="31" t="n">
        <v>52.8</v>
      </c>
      <c r="J627" s="31" t="n">
        <v>53</v>
      </c>
      <c r="K627" s="31" t="n">
        <f aca="false">MAX(ROUNDUP(I627,0),H627)</f>
        <v>53</v>
      </c>
      <c r="L627" s="31" t="n">
        <f aca="false">IF(J627="","",J627-K627)</f>
        <v>0</v>
      </c>
      <c r="M627" s="32" t="n">
        <v>7.55</v>
      </c>
      <c r="N627" s="32" t="n">
        <f aca="false">IF(C627="covered",10.4,7.55)</f>
        <v>7.55</v>
      </c>
      <c r="O627" s="32" t="n">
        <f aca="false">IF(M627="","",M627-N627)</f>
        <v>0</v>
      </c>
      <c r="P627" s="11" t="n">
        <v>1</v>
      </c>
      <c r="Q627" s="33" t="n">
        <v>400.15</v>
      </c>
      <c r="R627" s="33" t="n">
        <f aca="false">IF(OR(J627="",P627=""),"",K627*N627*P627)</f>
        <v>400.15</v>
      </c>
      <c r="S627" s="33" t="n">
        <f aca="false">IF(Q627="","",Q627-R627)</f>
        <v>0</v>
      </c>
      <c r="T627" s="33" t="n">
        <f aca="false">IF(S627="","",MAX(0,-S627))</f>
        <v>-0</v>
      </c>
      <c r="U627" s="33" t="n">
        <f aca="false">IF(S627="","",MAX(0,S627))</f>
        <v>0</v>
      </c>
      <c r="V627" s="11" t="str">
        <f aca="false">IF(J627="","NOT SCORED - NO JULY MONTHLY ROW",IF(OR(ABS(L627)&gt;0.005,ABS(O627)&gt;0.005,ABS(S627)&gt;0.005),"EXCEPTION","OK"))</f>
        <v>OK</v>
      </c>
      <c r="W627" s="11" t="s">
        <v>5272</v>
      </c>
      <c r="X627" s="11" t="s">
        <v>4099</v>
      </c>
      <c r="Y627" s="33" t="n">
        <f aca="false">K627*N627</f>
        <v>400.15</v>
      </c>
    </row>
    <row r="628" customFormat="false" ht="15" hidden="false" customHeight="false" outlineLevel="0" collapsed="false">
      <c r="A628" s="8" t="s">
        <v>5273</v>
      </c>
      <c r="B628" s="8" t="s">
        <v>192</v>
      </c>
      <c r="C628" s="8" t="s">
        <v>2829</v>
      </c>
      <c r="D628" s="8" t="s">
        <v>3737</v>
      </c>
      <c r="E628" s="8" t="s">
        <v>5274</v>
      </c>
      <c r="F628" s="8" t="s">
        <v>5275</v>
      </c>
      <c r="G628" s="8" t="s">
        <v>3604</v>
      </c>
      <c r="H628" s="8" t="n">
        <v>24</v>
      </c>
      <c r="I628" s="34" t="n">
        <v>28.3</v>
      </c>
      <c r="J628" s="34" t="n">
        <v>29</v>
      </c>
      <c r="K628" s="34" t="n">
        <f aca="false">MAX(ROUNDUP(I628,0),H628)</f>
        <v>29</v>
      </c>
      <c r="L628" s="34" t="n">
        <f aca="false">IF(J628="","",J628-K628)</f>
        <v>0</v>
      </c>
      <c r="M628" s="35" t="n">
        <v>7.55</v>
      </c>
      <c r="N628" s="35" t="n">
        <f aca="false">IF(C628="covered",10.4,7.55)</f>
        <v>7.55</v>
      </c>
      <c r="O628" s="35" t="n">
        <f aca="false">IF(M628="","",M628-N628)</f>
        <v>0</v>
      </c>
      <c r="P628" s="8" t="n">
        <v>1</v>
      </c>
      <c r="Q628" s="36" t="n">
        <v>218.95</v>
      </c>
      <c r="R628" s="36" t="n">
        <f aca="false">IF(OR(J628="",P628=""),"",K628*N628*P628)</f>
        <v>218.95</v>
      </c>
      <c r="S628" s="36" t="n">
        <f aca="false">IF(Q628="","",Q628-R628)</f>
        <v>0</v>
      </c>
      <c r="T628" s="36" t="n">
        <f aca="false">IF(S628="","",MAX(0,-S628))</f>
        <v>-0</v>
      </c>
      <c r="U628" s="36" t="n">
        <f aca="false">IF(S628="","",MAX(0,S628))</f>
        <v>0</v>
      </c>
      <c r="V628" s="8" t="str">
        <f aca="false">IF(J628="","NOT SCORED - NO JULY MONTHLY ROW",IF(OR(ABS(L628)&gt;0.005,ABS(O628)&gt;0.005,ABS(S628)&gt;0.005),"EXCEPTION","OK"))</f>
        <v>OK</v>
      </c>
      <c r="W628" s="8" t="s">
        <v>5276</v>
      </c>
      <c r="X628" s="8" t="s">
        <v>4099</v>
      </c>
      <c r="Y628" s="36" t="n">
        <f aca="false">K628*N628</f>
        <v>218.95</v>
      </c>
    </row>
    <row r="629" customFormat="false" ht="15" hidden="false" customHeight="false" outlineLevel="0" collapsed="false">
      <c r="A629" s="11" t="s">
        <v>1740</v>
      </c>
      <c r="B629" s="11" t="s">
        <v>192</v>
      </c>
      <c r="C629" s="11" t="s">
        <v>2829</v>
      </c>
      <c r="D629" s="11" t="s">
        <v>3741</v>
      </c>
      <c r="E629" s="11" t="s">
        <v>5277</v>
      </c>
      <c r="F629" s="11" t="s">
        <v>5278</v>
      </c>
      <c r="G629" s="11" t="s">
        <v>5279</v>
      </c>
      <c r="H629" s="11" t="n">
        <v>32</v>
      </c>
      <c r="I629" s="31" t="n">
        <v>27</v>
      </c>
      <c r="J629" s="31" t="n">
        <v>32</v>
      </c>
      <c r="K629" s="31" t="n">
        <f aca="false">MAX(ROUNDUP(I629,0),H629)</f>
        <v>32</v>
      </c>
      <c r="L629" s="31" t="n">
        <f aca="false">IF(J629="","",J629-K629)</f>
        <v>0</v>
      </c>
      <c r="M629" s="32" t="n">
        <v>7.55</v>
      </c>
      <c r="N629" s="32" t="n">
        <f aca="false">IF(C629="covered",10.4,7.55)</f>
        <v>7.55</v>
      </c>
      <c r="O629" s="32" t="n">
        <f aca="false">IF(M629="","",M629-N629)</f>
        <v>0</v>
      </c>
      <c r="P629" s="11" t="n">
        <v>1</v>
      </c>
      <c r="Q629" s="33" t="n">
        <v>241.6</v>
      </c>
      <c r="R629" s="33" t="n">
        <f aca="false">IF(OR(J629="",P629=""),"",K629*N629*P629)</f>
        <v>241.6</v>
      </c>
      <c r="S629" s="33" t="n">
        <f aca="false">IF(Q629="","",Q629-R629)</f>
        <v>0</v>
      </c>
      <c r="T629" s="33" t="n">
        <f aca="false">IF(S629="","",MAX(0,-S629))</f>
        <v>-0</v>
      </c>
      <c r="U629" s="33" t="n">
        <f aca="false">IF(S629="","",MAX(0,S629))</f>
        <v>0</v>
      </c>
      <c r="V629" s="11" t="str">
        <f aca="false">IF(J629="","NOT SCORED - NO JULY MONTHLY ROW",IF(OR(ABS(L629)&gt;0.005,ABS(O629)&gt;0.005,ABS(S629)&gt;0.005),"EXCEPTION","OK"))</f>
        <v>OK</v>
      </c>
      <c r="W629" s="11" t="s">
        <v>5280</v>
      </c>
      <c r="X629" s="11" t="s">
        <v>4099</v>
      </c>
      <c r="Y629" s="33" t="n">
        <f aca="false">K629*N629</f>
        <v>241.6</v>
      </c>
    </row>
    <row r="630" customFormat="false" ht="15" hidden="false" customHeight="false" outlineLevel="0" collapsed="false">
      <c r="A630" s="8" t="s">
        <v>5281</v>
      </c>
      <c r="B630" s="8" t="s">
        <v>192</v>
      </c>
      <c r="C630" s="8" t="s">
        <v>2829</v>
      </c>
      <c r="D630" s="8" t="s">
        <v>3745</v>
      </c>
      <c r="E630" s="8" t="s">
        <v>5282</v>
      </c>
      <c r="F630" s="8" t="s">
        <v>5283</v>
      </c>
      <c r="G630" s="8" t="s">
        <v>5284</v>
      </c>
      <c r="H630" s="8" t="n">
        <v>28</v>
      </c>
      <c r="I630" s="34" t="n">
        <v>18.5</v>
      </c>
      <c r="J630" s="34" t="n">
        <v>28</v>
      </c>
      <c r="K630" s="34" t="n">
        <f aca="false">MAX(ROUNDUP(I630,0),H630)</f>
        <v>28</v>
      </c>
      <c r="L630" s="34" t="n">
        <f aca="false">IF(J630="","",J630-K630)</f>
        <v>0</v>
      </c>
      <c r="M630" s="35" t="n">
        <v>7.55</v>
      </c>
      <c r="N630" s="35" t="n">
        <f aca="false">IF(C630="covered",10.4,7.55)</f>
        <v>7.55</v>
      </c>
      <c r="O630" s="35" t="n">
        <f aca="false">IF(M630="","",M630-N630)</f>
        <v>0</v>
      </c>
      <c r="P630" s="8" t="n">
        <v>1</v>
      </c>
      <c r="Q630" s="36" t="n">
        <v>211.4</v>
      </c>
      <c r="R630" s="36" t="n">
        <f aca="false">IF(OR(J630="",P630=""),"",K630*N630*P630)</f>
        <v>211.4</v>
      </c>
      <c r="S630" s="36" t="n">
        <f aca="false">IF(Q630="","",Q630-R630)</f>
        <v>0</v>
      </c>
      <c r="T630" s="36" t="n">
        <f aca="false">IF(S630="","",MAX(0,-S630))</f>
        <v>-0</v>
      </c>
      <c r="U630" s="36" t="n">
        <f aca="false">IF(S630="","",MAX(0,S630))</f>
        <v>0</v>
      </c>
      <c r="V630" s="8" t="str">
        <f aca="false">IF(J630="","NOT SCORED - NO JULY MONTHLY ROW",IF(OR(ABS(L630)&gt;0.005,ABS(O630)&gt;0.005,ABS(S630)&gt;0.005),"EXCEPTION","OK"))</f>
        <v>OK</v>
      </c>
      <c r="W630" s="8" t="s">
        <v>5285</v>
      </c>
      <c r="X630" s="8" t="s">
        <v>4099</v>
      </c>
      <c r="Y630" s="36" t="n">
        <f aca="false">K630*N630</f>
        <v>211.4</v>
      </c>
    </row>
    <row r="631" customFormat="false" ht="15" hidden="false" customHeight="false" outlineLevel="0" collapsed="false">
      <c r="A631" s="11" t="s">
        <v>5286</v>
      </c>
      <c r="B631" s="11" t="s">
        <v>192</v>
      </c>
      <c r="C631" s="11" t="s">
        <v>2829</v>
      </c>
      <c r="D631" s="11" t="s">
        <v>3750</v>
      </c>
      <c r="E631" s="11" t="s">
        <v>5287</v>
      </c>
      <c r="F631" s="11" t="s">
        <v>5288</v>
      </c>
      <c r="G631" s="11" t="s">
        <v>3587</v>
      </c>
      <c r="H631" s="11" t="n">
        <v>80</v>
      </c>
      <c r="I631" s="31" t="n">
        <v>46.6</v>
      </c>
      <c r="J631" s="31" t="n">
        <v>80</v>
      </c>
      <c r="K631" s="31" t="n">
        <f aca="false">MAX(ROUNDUP(I631,0),H631)</f>
        <v>80</v>
      </c>
      <c r="L631" s="31" t="n">
        <f aca="false">IF(J631="","",J631-K631)</f>
        <v>0</v>
      </c>
      <c r="M631" s="32" t="n">
        <v>7.55</v>
      </c>
      <c r="N631" s="32" t="n">
        <f aca="false">IF(C631="covered",10.4,7.55)</f>
        <v>7.55</v>
      </c>
      <c r="O631" s="32" t="n">
        <f aca="false">IF(M631="","",M631-N631)</f>
        <v>0</v>
      </c>
      <c r="P631" s="11" t="n">
        <v>1</v>
      </c>
      <c r="Q631" s="33" t="n">
        <v>604</v>
      </c>
      <c r="R631" s="33" t="n">
        <f aca="false">IF(OR(J631="",P631=""),"",K631*N631*P631)</f>
        <v>604</v>
      </c>
      <c r="S631" s="33" t="n">
        <f aca="false">IF(Q631="","",Q631-R631)</f>
        <v>0</v>
      </c>
      <c r="T631" s="33" t="n">
        <f aca="false">IF(S631="","",MAX(0,-S631))</f>
        <v>-0</v>
      </c>
      <c r="U631" s="33" t="n">
        <f aca="false">IF(S631="","",MAX(0,S631))</f>
        <v>0</v>
      </c>
      <c r="V631" s="11" t="str">
        <f aca="false">IF(J631="","NOT SCORED - NO JULY MONTHLY ROW",IF(OR(ABS(L631)&gt;0.005,ABS(O631)&gt;0.005,ABS(S631)&gt;0.005),"EXCEPTION","OK"))</f>
        <v>OK</v>
      </c>
      <c r="W631" s="11" t="s">
        <v>5289</v>
      </c>
      <c r="X631" s="11" t="s">
        <v>4099</v>
      </c>
      <c r="Y631" s="33" t="n">
        <f aca="false">K631*N631</f>
        <v>604</v>
      </c>
    </row>
    <row r="632" customFormat="false" ht="15" hidden="false" customHeight="false" outlineLevel="0" collapsed="false">
      <c r="A632" s="8" t="s">
        <v>5290</v>
      </c>
      <c r="B632" s="8" t="s">
        <v>192</v>
      </c>
      <c r="C632" s="8" t="s">
        <v>2829</v>
      </c>
      <c r="D632" s="8" t="s">
        <v>3754</v>
      </c>
      <c r="E632" s="8" t="s">
        <v>5291</v>
      </c>
      <c r="F632" s="8" t="s">
        <v>5292</v>
      </c>
      <c r="G632" s="8" t="s">
        <v>3352</v>
      </c>
      <c r="H632" s="8" t="n">
        <v>80</v>
      </c>
      <c r="I632" s="34" t="n">
        <v>40.9</v>
      </c>
      <c r="J632" s="34" t="n">
        <v>80</v>
      </c>
      <c r="K632" s="34" t="n">
        <f aca="false">MAX(ROUNDUP(I632,0),H632)</f>
        <v>80</v>
      </c>
      <c r="L632" s="34" t="n">
        <f aca="false">IF(J632="","",J632-K632)</f>
        <v>0</v>
      </c>
      <c r="M632" s="35" t="n">
        <v>7.55</v>
      </c>
      <c r="N632" s="35" t="n">
        <f aca="false">IF(C632="covered",10.4,7.55)</f>
        <v>7.55</v>
      </c>
      <c r="O632" s="35" t="n">
        <f aca="false">IF(M632="","",M632-N632)</f>
        <v>0</v>
      </c>
      <c r="P632" s="8" t="n">
        <v>1</v>
      </c>
      <c r="Q632" s="36" t="n">
        <v>604</v>
      </c>
      <c r="R632" s="36" t="n">
        <f aca="false">IF(OR(J632="",P632=""),"",K632*N632*P632)</f>
        <v>604</v>
      </c>
      <c r="S632" s="36" t="n">
        <f aca="false">IF(Q632="","",Q632-R632)</f>
        <v>0</v>
      </c>
      <c r="T632" s="36" t="n">
        <f aca="false">IF(S632="","",MAX(0,-S632))</f>
        <v>-0</v>
      </c>
      <c r="U632" s="36" t="n">
        <f aca="false">IF(S632="","",MAX(0,S632))</f>
        <v>0</v>
      </c>
      <c r="V632" s="8" t="str">
        <f aca="false">IF(J632="","NOT SCORED - NO JULY MONTHLY ROW",IF(OR(ABS(L632)&gt;0.005,ABS(O632)&gt;0.005,ABS(S632)&gt;0.005),"EXCEPTION","OK"))</f>
        <v>OK</v>
      </c>
      <c r="W632" s="8" t="s">
        <v>5293</v>
      </c>
      <c r="X632" s="8" t="s">
        <v>4099</v>
      </c>
      <c r="Y632" s="36" t="n">
        <f aca="false">K632*N632</f>
        <v>604</v>
      </c>
    </row>
    <row r="633" customFormat="false" ht="15" hidden="false" customHeight="false" outlineLevel="0" collapsed="false">
      <c r="A633" s="11" t="s">
        <v>5294</v>
      </c>
      <c r="B633" s="11" t="s">
        <v>192</v>
      </c>
      <c r="C633" s="11" t="s">
        <v>2829</v>
      </c>
      <c r="D633" s="11" t="s">
        <v>3759</v>
      </c>
      <c r="E633" s="11" t="s">
        <v>5295</v>
      </c>
      <c r="F633" s="11" t="s">
        <v>5296</v>
      </c>
      <c r="G633" s="11" t="s">
        <v>5297</v>
      </c>
      <c r="H633" s="11" t="n">
        <v>32</v>
      </c>
      <c r="I633" s="31" t="n">
        <v>42</v>
      </c>
      <c r="J633" s="31" t="n">
        <v>42</v>
      </c>
      <c r="K633" s="31" t="n">
        <f aca="false">MAX(ROUNDUP(I633,0),H633)</f>
        <v>42</v>
      </c>
      <c r="L633" s="31" t="n">
        <f aca="false">IF(J633="","",J633-K633)</f>
        <v>0</v>
      </c>
      <c r="M633" s="32" t="n">
        <v>7.55</v>
      </c>
      <c r="N633" s="32" t="n">
        <f aca="false">IF(C633="covered",10.4,7.55)</f>
        <v>7.55</v>
      </c>
      <c r="O633" s="32" t="n">
        <f aca="false">IF(M633="","",M633-N633)</f>
        <v>0</v>
      </c>
      <c r="P633" s="11" t="n">
        <v>1</v>
      </c>
      <c r="Q633" s="33" t="n">
        <v>317.1</v>
      </c>
      <c r="R633" s="33" t="n">
        <f aca="false">IF(OR(J633="",P633=""),"",K633*N633*P633)</f>
        <v>317.1</v>
      </c>
      <c r="S633" s="33" t="n">
        <f aca="false">IF(Q633="","",Q633-R633)</f>
        <v>0</v>
      </c>
      <c r="T633" s="33" t="n">
        <f aca="false">IF(S633="","",MAX(0,-S633))</f>
        <v>-0</v>
      </c>
      <c r="U633" s="33" t="n">
        <f aca="false">IF(S633="","",MAX(0,S633))</f>
        <v>0</v>
      </c>
      <c r="V633" s="11" t="str">
        <f aca="false">IF(J633="","NOT SCORED - NO JULY MONTHLY ROW",IF(OR(ABS(L633)&gt;0.005,ABS(O633)&gt;0.005,ABS(S633)&gt;0.005),"EXCEPTION","OK"))</f>
        <v>OK</v>
      </c>
      <c r="W633" s="11" t="s">
        <v>5298</v>
      </c>
      <c r="X633" s="11" t="s">
        <v>4099</v>
      </c>
      <c r="Y633" s="33" t="n">
        <f aca="false">K633*N633</f>
        <v>317.1</v>
      </c>
    </row>
    <row r="634" customFormat="false" ht="15" hidden="false" customHeight="false" outlineLevel="0" collapsed="false">
      <c r="A634" s="8" t="s">
        <v>5299</v>
      </c>
      <c r="B634" s="8" t="s">
        <v>192</v>
      </c>
      <c r="C634" s="8" t="s">
        <v>2829</v>
      </c>
      <c r="D634" s="8" t="s">
        <v>5300</v>
      </c>
      <c r="E634" s="8" t="s">
        <v>5301</v>
      </c>
      <c r="F634" s="8" t="s">
        <v>5302</v>
      </c>
      <c r="G634" s="8" t="s">
        <v>5303</v>
      </c>
      <c r="H634" s="8" t="n">
        <v>40</v>
      </c>
      <c r="I634" s="34" t="n">
        <v>22.6</v>
      </c>
      <c r="J634" s="34" t="n">
        <v>40</v>
      </c>
      <c r="K634" s="34" t="n">
        <f aca="false">MAX(ROUNDUP(I634,0),H634)</f>
        <v>40</v>
      </c>
      <c r="L634" s="34" t="n">
        <f aca="false">IF(J634="","",J634-K634)</f>
        <v>0</v>
      </c>
      <c r="M634" s="35" t="n">
        <v>7.55</v>
      </c>
      <c r="N634" s="35" t="n">
        <f aca="false">IF(C634="covered",10.4,7.55)</f>
        <v>7.55</v>
      </c>
      <c r="O634" s="35" t="n">
        <f aca="false">IF(M634="","",M634-N634)</f>
        <v>0</v>
      </c>
      <c r="P634" s="8" t="n">
        <v>1</v>
      </c>
      <c r="Q634" s="36" t="n">
        <v>302</v>
      </c>
      <c r="R634" s="36" t="n">
        <f aca="false">IF(OR(J634="",P634=""),"",K634*N634*P634)</f>
        <v>302</v>
      </c>
      <c r="S634" s="36" t="n">
        <f aca="false">IF(Q634="","",Q634-R634)</f>
        <v>0</v>
      </c>
      <c r="T634" s="36" t="n">
        <f aca="false">IF(S634="","",MAX(0,-S634))</f>
        <v>-0</v>
      </c>
      <c r="U634" s="36" t="n">
        <f aca="false">IF(S634="","",MAX(0,S634))</f>
        <v>0</v>
      </c>
      <c r="V634" s="8" t="str">
        <f aca="false">IF(J634="","NOT SCORED - NO JULY MONTHLY ROW",IF(OR(ABS(L634)&gt;0.005,ABS(O634)&gt;0.005,ABS(S634)&gt;0.005),"EXCEPTION","OK"))</f>
        <v>OK</v>
      </c>
      <c r="W634" s="8" t="s">
        <v>5304</v>
      </c>
      <c r="X634" s="8" t="s">
        <v>4099</v>
      </c>
      <c r="Y634" s="36" t="n">
        <f aca="false">K634*N634</f>
        <v>302</v>
      </c>
    </row>
    <row r="635" customFormat="false" ht="15" hidden="false" customHeight="false" outlineLevel="0" collapsed="false">
      <c r="A635" s="11" t="s">
        <v>5305</v>
      </c>
      <c r="B635" s="11" t="s">
        <v>211</v>
      </c>
      <c r="C635" s="11" t="s">
        <v>5306</v>
      </c>
      <c r="D635" s="11" t="s">
        <v>3391</v>
      </c>
      <c r="E635" s="11" t="s">
        <v>2486</v>
      </c>
      <c r="F635" s="11" t="s">
        <v>5307</v>
      </c>
      <c r="G635" s="11" t="s">
        <v>5308</v>
      </c>
      <c r="H635" s="11" t="n">
        <v>24</v>
      </c>
      <c r="I635" s="31" t="n">
        <v>51</v>
      </c>
      <c r="J635" s="31" t="n">
        <v>51</v>
      </c>
      <c r="K635" s="31" t="n">
        <f aca="false">MAX(ROUNDUP(I635,0),H635)</f>
        <v>51</v>
      </c>
      <c r="L635" s="31" t="n">
        <f aca="false">IF(J635="","",J635-K635)</f>
        <v>0</v>
      </c>
      <c r="M635" s="32" t="n">
        <v>10.4</v>
      </c>
      <c r="N635" s="32" t="n">
        <f aca="false">IF(C635="covered",10.4,7.55)</f>
        <v>10.4</v>
      </c>
      <c r="O635" s="32" t="n">
        <f aca="false">IF(M635="","",M635-N635)</f>
        <v>0</v>
      </c>
      <c r="P635" s="11" t="n">
        <v>1</v>
      </c>
      <c r="Q635" s="33" t="n">
        <v>530.4</v>
      </c>
      <c r="R635" s="33" t="n">
        <f aca="false">IF(OR(J635="",P635=""),"",K635*N635*P635)</f>
        <v>530.4</v>
      </c>
      <c r="S635" s="33" t="n">
        <f aca="false">IF(Q635="","",Q635-R635)</f>
        <v>0</v>
      </c>
      <c r="T635" s="33" t="n">
        <f aca="false">IF(S635="","",MAX(0,-S635))</f>
        <v>-0</v>
      </c>
      <c r="U635" s="33" t="n">
        <f aca="false">IF(S635="","",MAX(0,S635))</f>
        <v>0</v>
      </c>
      <c r="V635" s="11" t="str">
        <f aca="false">IF(J635="","NOT SCORED - NO JULY MONTHLY ROW",IF(OR(ABS(L635)&gt;0.005,ABS(O635)&gt;0.005,ABS(S635)&gt;0.005),"EXCEPTION","OK"))</f>
        <v>OK</v>
      </c>
      <c r="W635" s="11" t="s">
        <v>5309</v>
      </c>
      <c r="X635" s="11" t="s">
        <v>4099</v>
      </c>
      <c r="Y635" s="33" t="n">
        <f aca="false">K635*N635</f>
        <v>530.4</v>
      </c>
    </row>
    <row r="636" customFormat="false" ht="15" hidden="false" customHeight="false" outlineLevel="0" collapsed="false">
      <c r="A636" s="8" t="s">
        <v>1250</v>
      </c>
      <c r="B636" s="8" t="s">
        <v>211</v>
      </c>
      <c r="C636" s="8" t="s">
        <v>5306</v>
      </c>
      <c r="D636" s="8" t="s">
        <v>3395</v>
      </c>
      <c r="E636" s="8" t="s">
        <v>5310</v>
      </c>
      <c r="F636" s="8" t="s">
        <v>5311</v>
      </c>
      <c r="G636" s="8" t="s">
        <v>5312</v>
      </c>
      <c r="H636" s="8" t="n">
        <v>40</v>
      </c>
      <c r="I636" s="34" t="n">
        <v>21.9</v>
      </c>
      <c r="J636" s="34" t="n">
        <v>40</v>
      </c>
      <c r="K636" s="34" t="n">
        <f aca="false">MAX(ROUNDUP(I636,0),H636)</f>
        <v>40</v>
      </c>
      <c r="L636" s="34" t="n">
        <f aca="false">IF(J636="","",J636-K636)</f>
        <v>0</v>
      </c>
      <c r="M636" s="35" t="n">
        <v>10.4</v>
      </c>
      <c r="N636" s="35" t="n">
        <f aca="false">IF(C636="covered",10.4,7.55)</f>
        <v>10.4</v>
      </c>
      <c r="O636" s="35" t="n">
        <f aca="false">IF(M636="","",M636-N636)</f>
        <v>0</v>
      </c>
      <c r="P636" s="8" t="n">
        <v>1</v>
      </c>
      <c r="Q636" s="36" t="n">
        <v>416</v>
      </c>
      <c r="R636" s="36" t="n">
        <f aca="false">IF(OR(J636="",P636=""),"",K636*N636*P636)</f>
        <v>416</v>
      </c>
      <c r="S636" s="36" t="n">
        <f aca="false">IF(Q636="","",Q636-R636)</f>
        <v>0</v>
      </c>
      <c r="T636" s="36" t="n">
        <f aca="false">IF(S636="","",MAX(0,-S636))</f>
        <v>-0</v>
      </c>
      <c r="U636" s="36" t="n">
        <f aca="false">IF(S636="","",MAX(0,S636))</f>
        <v>0</v>
      </c>
      <c r="V636" s="8" t="str">
        <f aca="false">IF(J636="","NOT SCORED - NO JULY MONTHLY ROW",IF(OR(ABS(L636)&gt;0.005,ABS(O636)&gt;0.005,ABS(S636)&gt;0.005),"EXCEPTION","OK"))</f>
        <v>OK</v>
      </c>
      <c r="W636" s="8" t="s">
        <v>5313</v>
      </c>
      <c r="X636" s="8" t="s">
        <v>4099</v>
      </c>
      <c r="Y636" s="36" t="n">
        <f aca="false">K636*N636</f>
        <v>416</v>
      </c>
    </row>
    <row r="637" customFormat="false" ht="15" hidden="false" customHeight="false" outlineLevel="0" collapsed="false">
      <c r="A637" s="11" t="s">
        <v>5314</v>
      </c>
      <c r="B637" s="11" t="s">
        <v>211</v>
      </c>
      <c r="C637" s="11" t="s">
        <v>5306</v>
      </c>
      <c r="D637" s="11" t="s">
        <v>3400</v>
      </c>
      <c r="E637" s="11" t="s">
        <v>5315</v>
      </c>
      <c r="F637" s="11" t="s">
        <v>5316</v>
      </c>
      <c r="G637" s="11" t="s">
        <v>3766</v>
      </c>
      <c r="H637" s="11" t="n">
        <v>28</v>
      </c>
      <c r="I637" s="31" t="n">
        <v>32.7</v>
      </c>
      <c r="J637" s="31" t="n">
        <v>33</v>
      </c>
      <c r="K637" s="31" t="n">
        <f aca="false">MAX(ROUNDUP(I637,0),H637)</f>
        <v>33</v>
      </c>
      <c r="L637" s="31" t="n">
        <f aca="false">IF(J637="","",J637-K637)</f>
        <v>0</v>
      </c>
      <c r="M637" s="32" t="n">
        <v>10.4</v>
      </c>
      <c r="N637" s="32" t="n">
        <f aca="false">IF(C637="covered",10.4,7.55)</f>
        <v>10.4</v>
      </c>
      <c r="O637" s="32" t="n">
        <f aca="false">IF(M637="","",M637-N637)</f>
        <v>0</v>
      </c>
      <c r="P637" s="11" t="n">
        <v>1</v>
      </c>
      <c r="Q637" s="33" t="n">
        <v>343.2</v>
      </c>
      <c r="R637" s="33" t="n">
        <f aca="false">IF(OR(J637="",P637=""),"",K637*N637*P637)</f>
        <v>343.2</v>
      </c>
      <c r="S637" s="33" t="n">
        <f aca="false">IF(Q637="","",Q637-R637)</f>
        <v>0</v>
      </c>
      <c r="T637" s="33" t="n">
        <f aca="false">IF(S637="","",MAX(0,-S637))</f>
        <v>-0</v>
      </c>
      <c r="U637" s="33" t="n">
        <f aca="false">IF(S637="","",MAX(0,S637))</f>
        <v>0</v>
      </c>
      <c r="V637" s="11" t="str">
        <f aca="false">IF(J637="","NOT SCORED - NO JULY MONTHLY ROW",IF(OR(ABS(L637)&gt;0.005,ABS(O637)&gt;0.005,ABS(S637)&gt;0.005),"EXCEPTION","OK"))</f>
        <v>OK</v>
      </c>
      <c r="W637" s="11" t="s">
        <v>5317</v>
      </c>
      <c r="X637" s="11" t="s">
        <v>4099</v>
      </c>
      <c r="Y637" s="33" t="n">
        <f aca="false">K637*N637</f>
        <v>343.2</v>
      </c>
    </row>
    <row r="638" customFormat="false" ht="15" hidden="false" customHeight="false" outlineLevel="0" collapsed="false">
      <c r="A638" s="8" t="s">
        <v>632</v>
      </c>
      <c r="B638" s="8" t="s">
        <v>211</v>
      </c>
      <c r="C638" s="8" t="s">
        <v>5306</v>
      </c>
      <c r="D638" s="8" t="s">
        <v>3404</v>
      </c>
      <c r="E638" s="8" t="s">
        <v>5318</v>
      </c>
      <c r="F638" s="8" t="s">
        <v>5319</v>
      </c>
      <c r="G638" s="8" t="s">
        <v>5320</v>
      </c>
      <c r="H638" s="8" t="n">
        <v>24</v>
      </c>
      <c r="I638" s="34" t="n">
        <v>42.8</v>
      </c>
      <c r="J638" s="34" t="n">
        <v>43</v>
      </c>
      <c r="K638" s="34" t="n">
        <f aca="false">MAX(ROUNDUP(I638,0),H638)</f>
        <v>43</v>
      </c>
      <c r="L638" s="34" t="n">
        <f aca="false">IF(J638="","",J638-K638)</f>
        <v>0</v>
      </c>
      <c r="M638" s="35" t="n">
        <v>10.4</v>
      </c>
      <c r="N638" s="35" t="n">
        <f aca="false">IF(C638="covered",10.4,7.55)</f>
        <v>10.4</v>
      </c>
      <c r="O638" s="35" t="n">
        <f aca="false">IF(M638="","",M638-N638)</f>
        <v>0</v>
      </c>
      <c r="P638" s="8" t="n">
        <v>1</v>
      </c>
      <c r="Q638" s="36" t="n">
        <v>447.2</v>
      </c>
      <c r="R638" s="36" t="n">
        <f aca="false">IF(OR(J638="",P638=""),"",K638*N638*P638)</f>
        <v>447.2</v>
      </c>
      <c r="S638" s="36" t="n">
        <f aca="false">IF(Q638="","",Q638-R638)</f>
        <v>0</v>
      </c>
      <c r="T638" s="36" t="n">
        <f aca="false">IF(S638="","",MAX(0,-S638))</f>
        <v>-0</v>
      </c>
      <c r="U638" s="36" t="n">
        <f aca="false">IF(S638="","",MAX(0,S638))</f>
        <v>0</v>
      </c>
      <c r="V638" s="8" t="str">
        <f aca="false">IF(J638="","NOT SCORED - NO JULY MONTHLY ROW",IF(OR(ABS(L638)&gt;0.005,ABS(O638)&gt;0.005,ABS(S638)&gt;0.005),"EXCEPTION","OK"))</f>
        <v>OK</v>
      </c>
      <c r="W638" s="8" t="s">
        <v>5321</v>
      </c>
      <c r="X638" s="8" t="s">
        <v>4099</v>
      </c>
      <c r="Y638" s="36" t="n">
        <f aca="false">K638*N638</f>
        <v>447.2</v>
      </c>
    </row>
    <row r="639" customFormat="false" ht="15" hidden="false" customHeight="false" outlineLevel="0" collapsed="false">
      <c r="A639" s="11" t="s">
        <v>5322</v>
      </c>
      <c r="B639" s="11" t="s">
        <v>211</v>
      </c>
      <c r="C639" s="11" t="s">
        <v>5306</v>
      </c>
      <c r="D639" s="11" t="s">
        <v>4109</v>
      </c>
      <c r="E639" s="11" t="s">
        <v>5323</v>
      </c>
      <c r="F639" s="11" t="s">
        <v>5324</v>
      </c>
      <c r="G639" s="11" t="s">
        <v>4409</v>
      </c>
      <c r="H639" s="11" t="n">
        <v>36</v>
      </c>
      <c r="I639" s="31" t="n">
        <v>39</v>
      </c>
      <c r="J639" s="31" t="n">
        <v>39</v>
      </c>
      <c r="K639" s="31" t="n">
        <f aca="false">MAX(ROUNDUP(I639,0),H639)</f>
        <v>39</v>
      </c>
      <c r="L639" s="31" t="n">
        <f aca="false">IF(J639="","",J639-K639)</f>
        <v>0</v>
      </c>
      <c r="M639" s="32" t="n">
        <v>10.4</v>
      </c>
      <c r="N639" s="32" t="n">
        <f aca="false">IF(C639="covered",10.4,7.55)</f>
        <v>10.4</v>
      </c>
      <c r="O639" s="32" t="n">
        <f aca="false">IF(M639="","",M639-N639)</f>
        <v>0</v>
      </c>
      <c r="P639" s="11" t="n">
        <v>1</v>
      </c>
      <c r="Q639" s="33" t="n">
        <v>405.6</v>
      </c>
      <c r="R639" s="33" t="n">
        <f aca="false">IF(OR(J639="",P639=""),"",K639*N639*P639)</f>
        <v>405.6</v>
      </c>
      <c r="S639" s="33" t="n">
        <f aca="false">IF(Q639="","",Q639-R639)</f>
        <v>0</v>
      </c>
      <c r="T639" s="33" t="n">
        <f aca="false">IF(S639="","",MAX(0,-S639))</f>
        <v>-0</v>
      </c>
      <c r="U639" s="33" t="n">
        <f aca="false">IF(S639="","",MAX(0,S639))</f>
        <v>0</v>
      </c>
      <c r="V639" s="11" t="str">
        <f aca="false">IF(J639="","NOT SCORED - NO JULY MONTHLY ROW",IF(OR(ABS(L639)&gt;0.005,ABS(O639)&gt;0.005,ABS(S639)&gt;0.005),"EXCEPTION","OK"))</f>
        <v>OK</v>
      </c>
      <c r="W639" s="11" t="s">
        <v>5325</v>
      </c>
      <c r="X639" s="11" t="s">
        <v>4099</v>
      </c>
      <c r="Y639" s="33" t="n">
        <f aca="false">K639*N639</f>
        <v>405.6</v>
      </c>
    </row>
    <row r="640" customFormat="false" ht="15" hidden="false" customHeight="false" outlineLevel="0" collapsed="false">
      <c r="A640" s="8" t="s">
        <v>5326</v>
      </c>
      <c r="B640" s="8" t="s">
        <v>211</v>
      </c>
      <c r="C640" s="8" t="s">
        <v>5306</v>
      </c>
      <c r="D640" s="8" t="s">
        <v>3407</v>
      </c>
      <c r="E640" s="8" t="s">
        <v>5327</v>
      </c>
      <c r="F640" s="8" t="s">
        <v>5328</v>
      </c>
      <c r="G640" s="8" t="s">
        <v>5329</v>
      </c>
      <c r="H640" s="8" t="n">
        <v>24</v>
      </c>
      <c r="I640" s="34" t="n">
        <v>39</v>
      </c>
      <c r="J640" s="34" t="n">
        <v>39</v>
      </c>
      <c r="K640" s="34" t="n">
        <f aca="false">MAX(ROUNDUP(I640,0),H640)</f>
        <v>39</v>
      </c>
      <c r="L640" s="34" t="n">
        <f aca="false">IF(J640="","",J640-K640)</f>
        <v>0</v>
      </c>
      <c r="M640" s="35" t="n">
        <v>10.4</v>
      </c>
      <c r="N640" s="35" t="n">
        <f aca="false">IF(C640="covered",10.4,7.55)</f>
        <v>10.4</v>
      </c>
      <c r="O640" s="35" t="n">
        <f aca="false">IF(M640="","",M640-N640)</f>
        <v>0</v>
      </c>
      <c r="P640" s="8" t="n">
        <v>1</v>
      </c>
      <c r="Q640" s="36" t="n">
        <v>405.6</v>
      </c>
      <c r="R640" s="36" t="n">
        <f aca="false">IF(OR(J640="",P640=""),"",K640*N640*P640)</f>
        <v>405.6</v>
      </c>
      <c r="S640" s="36" t="n">
        <f aca="false">IF(Q640="","",Q640-R640)</f>
        <v>0</v>
      </c>
      <c r="T640" s="36" t="n">
        <f aca="false">IF(S640="","",MAX(0,-S640))</f>
        <v>-0</v>
      </c>
      <c r="U640" s="36" t="n">
        <f aca="false">IF(S640="","",MAX(0,S640))</f>
        <v>0</v>
      </c>
      <c r="V640" s="8" t="str">
        <f aca="false">IF(J640="","NOT SCORED - NO JULY MONTHLY ROW",IF(OR(ABS(L640)&gt;0.005,ABS(O640)&gt;0.005,ABS(S640)&gt;0.005),"EXCEPTION","OK"))</f>
        <v>OK</v>
      </c>
      <c r="W640" s="8" t="s">
        <v>5330</v>
      </c>
      <c r="X640" s="8" t="s">
        <v>4099</v>
      </c>
      <c r="Y640" s="36" t="n">
        <f aca="false">K640*N640</f>
        <v>405.6</v>
      </c>
    </row>
    <row r="641" customFormat="false" ht="15" hidden="false" customHeight="false" outlineLevel="0" collapsed="false">
      <c r="A641" s="11" t="s">
        <v>5331</v>
      </c>
      <c r="B641" s="11" t="s">
        <v>211</v>
      </c>
      <c r="C641" s="11" t="s">
        <v>5306</v>
      </c>
      <c r="D641" s="11" t="s">
        <v>3411</v>
      </c>
      <c r="E641" s="11" t="s">
        <v>1538</v>
      </c>
      <c r="F641" s="11" t="s">
        <v>1539</v>
      </c>
      <c r="G641" s="11" t="s">
        <v>5332</v>
      </c>
      <c r="H641" s="11" t="n">
        <v>24</v>
      </c>
      <c r="I641" s="31" t="n">
        <v>30.4</v>
      </c>
      <c r="J641" s="31" t="n">
        <v>31</v>
      </c>
      <c r="K641" s="31" t="n">
        <f aca="false">MAX(ROUNDUP(I641,0),H641)</f>
        <v>31</v>
      </c>
      <c r="L641" s="31" t="n">
        <f aca="false">IF(J641="","",J641-K641)</f>
        <v>0</v>
      </c>
      <c r="M641" s="32" t="n">
        <v>10.4</v>
      </c>
      <c r="N641" s="32" t="n">
        <f aca="false">IF(C641="covered",10.4,7.55)</f>
        <v>10.4</v>
      </c>
      <c r="O641" s="32" t="n">
        <f aca="false">IF(M641="","",M641-N641)</f>
        <v>0</v>
      </c>
      <c r="P641" s="11" t="n">
        <v>1</v>
      </c>
      <c r="Q641" s="33" t="n">
        <v>322.4</v>
      </c>
      <c r="R641" s="33" t="n">
        <f aca="false">IF(OR(J641="",P641=""),"",K641*N641*P641)</f>
        <v>322.4</v>
      </c>
      <c r="S641" s="33" t="n">
        <f aca="false">IF(Q641="","",Q641-R641)</f>
        <v>0</v>
      </c>
      <c r="T641" s="33" t="n">
        <f aca="false">IF(S641="","",MAX(0,-S641))</f>
        <v>-0</v>
      </c>
      <c r="U641" s="33" t="n">
        <f aca="false">IF(S641="","",MAX(0,S641))</f>
        <v>0</v>
      </c>
      <c r="V641" s="11" t="str">
        <f aca="false">IF(J641="","NOT SCORED - NO JULY MONTHLY ROW",IF(OR(ABS(L641)&gt;0.005,ABS(O641)&gt;0.005,ABS(S641)&gt;0.005),"EXCEPTION","OK"))</f>
        <v>OK</v>
      </c>
      <c r="W641" s="11" t="s">
        <v>5333</v>
      </c>
      <c r="X641" s="11" t="s">
        <v>4099</v>
      </c>
      <c r="Y641" s="33" t="n">
        <f aca="false">K641*N641</f>
        <v>322.4</v>
      </c>
    </row>
    <row r="642" customFormat="false" ht="15" hidden="false" customHeight="false" outlineLevel="0" collapsed="false">
      <c r="A642" s="8" t="s">
        <v>5334</v>
      </c>
      <c r="B642" s="8" t="s">
        <v>211</v>
      </c>
      <c r="C642" s="8" t="s">
        <v>5306</v>
      </c>
      <c r="D642" s="8" t="s">
        <v>3416</v>
      </c>
      <c r="E642" s="8" t="s">
        <v>5335</v>
      </c>
      <c r="F642" s="8" t="s">
        <v>5336</v>
      </c>
      <c r="G642" s="8" t="s">
        <v>4868</v>
      </c>
      <c r="H642" s="8" t="n">
        <v>32</v>
      </c>
      <c r="I642" s="34" t="n">
        <v>23.4</v>
      </c>
      <c r="J642" s="34" t="n">
        <v>32</v>
      </c>
      <c r="K642" s="34" t="n">
        <f aca="false">MAX(ROUNDUP(I642,0),H642)</f>
        <v>32</v>
      </c>
      <c r="L642" s="34" t="n">
        <f aca="false">IF(J642="","",J642-K642)</f>
        <v>0</v>
      </c>
      <c r="M642" s="35" t="n">
        <v>10.4</v>
      </c>
      <c r="N642" s="35" t="n">
        <f aca="false">IF(C642="covered",10.4,7.55)</f>
        <v>10.4</v>
      </c>
      <c r="O642" s="35" t="n">
        <f aca="false">IF(M642="","",M642-N642)</f>
        <v>0</v>
      </c>
      <c r="P642" s="8" t="n">
        <v>1</v>
      </c>
      <c r="Q642" s="36" t="n">
        <v>332.8</v>
      </c>
      <c r="R642" s="36" t="n">
        <f aca="false">IF(OR(J642="",P642=""),"",K642*N642*P642)</f>
        <v>332.8</v>
      </c>
      <c r="S642" s="36" t="n">
        <f aca="false">IF(Q642="","",Q642-R642)</f>
        <v>0</v>
      </c>
      <c r="T642" s="36" t="n">
        <f aca="false">IF(S642="","",MAX(0,-S642))</f>
        <v>-0</v>
      </c>
      <c r="U642" s="36" t="n">
        <f aca="false">IF(S642="","",MAX(0,S642))</f>
        <v>0</v>
      </c>
      <c r="V642" s="8" t="str">
        <f aca="false">IF(J642="","NOT SCORED - NO JULY MONTHLY ROW",IF(OR(ABS(L642)&gt;0.005,ABS(O642)&gt;0.005,ABS(S642)&gt;0.005),"EXCEPTION","OK"))</f>
        <v>OK</v>
      </c>
      <c r="W642" s="8" t="s">
        <v>5337</v>
      </c>
      <c r="X642" s="8" t="s">
        <v>4099</v>
      </c>
      <c r="Y642" s="36" t="n">
        <f aca="false">K642*N642</f>
        <v>332.8</v>
      </c>
    </row>
    <row r="643" customFormat="false" ht="15" hidden="false" customHeight="false" outlineLevel="0" collapsed="false">
      <c r="A643" s="11" t="s">
        <v>5338</v>
      </c>
      <c r="B643" s="11" t="s">
        <v>211</v>
      </c>
      <c r="C643" s="11" t="s">
        <v>5306</v>
      </c>
      <c r="D643" s="11" t="s">
        <v>3419</v>
      </c>
      <c r="E643" s="11" t="s">
        <v>5339</v>
      </c>
      <c r="F643" s="11" t="s">
        <v>5340</v>
      </c>
      <c r="G643" s="11" t="s">
        <v>3587</v>
      </c>
      <c r="H643" s="11" t="n">
        <v>32</v>
      </c>
      <c r="I643" s="31" t="n">
        <v>20.8</v>
      </c>
      <c r="J643" s="31" t="n">
        <v>32</v>
      </c>
      <c r="K643" s="31" t="n">
        <f aca="false">MAX(ROUNDUP(I643,0),H643)</f>
        <v>32</v>
      </c>
      <c r="L643" s="31" t="n">
        <f aca="false">IF(J643="","",J643-K643)</f>
        <v>0</v>
      </c>
      <c r="M643" s="32" t="n">
        <v>10.4</v>
      </c>
      <c r="N643" s="32" t="n">
        <f aca="false">IF(C643="covered",10.4,7.55)</f>
        <v>10.4</v>
      </c>
      <c r="O643" s="32" t="n">
        <f aca="false">IF(M643="","",M643-N643)</f>
        <v>0</v>
      </c>
      <c r="P643" s="11" t="n">
        <v>1</v>
      </c>
      <c r="Q643" s="33" t="n">
        <v>332.8</v>
      </c>
      <c r="R643" s="33" t="n">
        <f aca="false">IF(OR(J643="",P643=""),"",K643*N643*P643)</f>
        <v>332.8</v>
      </c>
      <c r="S643" s="33" t="n">
        <f aca="false">IF(Q643="","",Q643-R643)</f>
        <v>0</v>
      </c>
      <c r="T643" s="33" t="n">
        <f aca="false">IF(S643="","",MAX(0,-S643))</f>
        <v>-0</v>
      </c>
      <c r="U643" s="33" t="n">
        <f aca="false">IF(S643="","",MAX(0,S643))</f>
        <v>0</v>
      </c>
      <c r="V643" s="11" t="str">
        <f aca="false">IF(J643="","NOT SCORED - NO JULY MONTHLY ROW",IF(OR(ABS(L643)&gt;0.005,ABS(O643)&gt;0.005,ABS(S643)&gt;0.005),"EXCEPTION","OK"))</f>
        <v>OK</v>
      </c>
      <c r="W643" s="11" t="s">
        <v>5341</v>
      </c>
      <c r="X643" s="11" t="s">
        <v>4099</v>
      </c>
      <c r="Y643" s="33" t="n">
        <f aca="false">K643*N643</f>
        <v>332.8</v>
      </c>
    </row>
    <row r="644" customFormat="false" ht="15" hidden="false" customHeight="false" outlineLevel="0" collapsed="false">
      <c r="A644" s="8" t="s">
        <v>5342</v>
      </c>
      <c r="B644" s="8" t="s">
        <v>211</v>
      </c>
      <c r="C644" s="8" t="s">
        <v>5306</v>
      </c>
      <c r="D644" s="8" t="s">
        <v>3424</v>
      </c>
      <c r="E644" s="8" t="s">
        <v>5343</v>
      </c>
      <c r="F644" s="8" t="s">
        <v>5344</v>
      </c>
      <c r="G644" s="8" t="s">
        <v>5345</v>
      </c>
      <c r="H644" s="8" t="n">
        <v>28</v>
      </c>
      <c r="I644" s="34" t="n">
        <v>26</v>
      </c>
      <c r="J644" s="34" t="n">
        <v>28</v>
      </c>
      <c r="K644" s="34" t="n">
        <f aca="false">MAX(ROUNDUP(I644,0),H644)</f>
        <v>28</v>
      </c>
      <c r="L644" s="34" t="n">
        <f aca="false">IF(J644="","",J644-K644)</f>
        <v>0</v>
      </c>
      <c r="M644" s="35" t="n">
        <v>10.4</v>
      </c>
      <c r="N644" s="35" t="n">
        <f aca="false">IF(C644="covered",10.4,7.55)</f>
        <v>10.4</v>
      </c>
      <c r="O644" s="35" t="n">
        <f aca="false">IF(M644="","",M644-N644)</f>
        <v>0</v>
      </c>
      <c r="P644" s="8" t="n">
        <v>1</v>
      </c>
      <c r="Q644" s="36" t="n">
        <v>291.2</v>
      </c>
      <c r="R644" s="36" t="n">
        <f aca="false">IF(OR(J644="",P644=""),"",K644*N644*P644)</f>
        <v>291.2</v>
      </c>
      <c r="S644" s="36" t="n">
        <f aca="false">IF(Q644="","",Q644-R644)</f>
        <v>0</v>
      </c>
      <c r="T644" s="36" t="n">
        <f aca="false">IF(S644="","",MAX(0,-S644))</f>
        <v>-0</v>
      </c>
      <c r="U644" s="36" t="n">
        <f aca="false">IF(S644="","",MAX(0,S644))</f>
        <v>0</v>
      </c>
      <c r="V644" s="8" t="str">
        <f aca="false">IF(J644="","NOT SCORED - NO JULY MONTHLY ROW",IF(OR(ABS(L644)&gt;0.005,ABS(O644)&gt;0.005,ABS(S644)&gt;0.005),"EXCEPTION","OK"))</f>
        <v>OK</v>
      </c>
      <c r="W644" s="8" t="s">
        <v>5346</v>
      </c>
      <c r="X644" s="8" t="s">
        <v>4099</v>
      </c>
      <c r="Y644" s="36" t="n">
        <f aca="false">K644*N644</f>
        <v>291.2</v>
      </c>
    </row>
    <row r="645" customFormat="false" ht="15" hidden="false" customHeight="false" outlineLevel="0" collapsed="false">
      <c r="A645" s="11" t="s">
        <v>5347</v>
      </c>
      <c r="B645" s="11" t="s">
        <v>211</v>
      </c>
      <c r="C645" s="11" t="s">
        <v>5306</v>
      </c>
      <c r="D645" s="11" t="s">
        <v>3428</v>
      </c>
      <c r="E645" s="11" t="s">
        <v>964</v>
      </c>
      <c r="F645" s="11" t="s">
        <v>965</v>
      </c>
      <c r="G645" s="11" t="s">
        <v>5348</v>
      </c>
      <c r="H645" s="11" t="n">
        <v>40</v>
      </c>
      <c r="I645" s="31" t="n">
        <v>53.5</v>
      </c>
      <c r="J645" s="31" t="n">
        <v>54</v>
      </c>
      <c r="K645" s="31" t="n">
        <f aca="false">MAX(ROUNDUP(I645,0),H645)</f>
        <v>54</v>
      </c>
      <c r="L645" s="31" t="n">
        <f aca="false">IF(J645="","",J645-K645)</f>
        <v>0</v>
      </c>
      <c r="M645" s="32" t="n">
        <v>10.4</v>
      </c>
      <c r="N645" s="32" t="n">
        <f aca="false">IF(C645="covered",10.4,7.55)</f>
        <v>10.4</v>
      </c>
      <c r="O645" s="32" t="n">
        <f aca="false">IF(M645="","",M645-N645)</f>
        <v>0</v>
      </c>
      <c r="P645" s="11" t="n">
        <v>1</v>
      </c>
      <c r="Q645" s="33" t="n">
        <v>561.6</v>
      </c>
      <c r="R645" s="33" t="n">
        <f aca="false">IF(OR(J645="",P645=""),"",K645*N645*P645)</f>
        <v>561.6</v>
      </c>
      <c r="S645" s="33" t="n">
        <f aca="false">IF(Q645="","",Q645-R645)</f>
        <v>0</v>
      </c>
      <c r="T645" s="33" t="n">
        <f aca="false">IF(S645="","",MAX(0,-S645))</f>
        <v>-0</v>
      </c>
      <c r="U645" s="33" t="n">
        <f aca="false">IF(S645="","",MAX(0,S645))</f>
        <v>0</v>
      </c>
      <c r="V645" s="11" t="str">
        <f aca="false">IF(J645="","NOT SCORED - NO JULY MONTHLY ROW",IF(OR(ABS(L645)&gt;0.005,ABS(O645)&gt;0.005,ABS(S645)&gt;0.005),"EXCEPTION","OK"))</f>
        <v>OK</v>
      </c>
      <c r="W645" s="11" t="s">
        <v>5349</v>
      </c>
      <c r="X645" s="11" t="s">
        <v>4099</v>
      </c>
      <c r="Y645" s="33" t="n">
        <f aca="false">K645*N645</f>
        <v>561.6</v>
      </c>
    </row>
    <row r="646" customFormat="false" ht="15" hidden="false" customHeight="false" outlineLevel="0" collapsed="false">
      <c r="A646" s="8" t="s">
        <v>491</v>
      </c>
      <c r="B646" s="8" t="s">
        <v>211</v>
      </c>
      <c r="C646" s="8" t="s">
        <v>5306</v>
      </c>
      <c r="D646" s="8" t="s">
        <v>3437</v>
      </c>
      <c r="E646" s="8" t="s">
        <v>5350</v>
      </c>
      <c r="F646" s="8" t="s">
        <v>5351</v>
      </c>
      <c r="G646" s="8" t="s">
        <v>3054</v>
      </c>
      <c r="H646" s="8" t="n">
        <v>36</v>
      </c>
      <c r="I646" s="34" t="n">
        <v>26</v>
      </c>
      <c r="J646" s="34" t="n">
        <v>36</v>
      </c>
      <c r="K646" s="34" t="n">
        <f aca="false">MAX(ROUNDUP(I646,0),H646)</f>
        <v>36</v>
      </c>
      <c r="L646" s="34" t="n">
        <f aca="false">IF(J646="","",J646-K646)</f>
        <v>0</v>
      </c>
      <c r="M646" s="35" t="n">
        <v>10.4</v>
      </c>
      <c r="N646" s="35" t="n">
        <f aca="false">IF(C646="covered",10.4,7.55)</f>
        <v>10.4</v>
      </c>
      <c r="O646" s="35" t="n">
        <f aca="false">IF(M646="","",M646-N646)</f>
        <v>0</v>
      </c>
      <c r="P646" s="8" t="n">
        <v>1</v>
      </c>
      <c r="Q646" s="36" t="n">
        <v>374.4</v>
      </c>
      <c r="R646" s="36" t="n">
        <f aca="false">IF(OR(J646="",P646=""),"",K646*N646*P646)</f>
        <v>374.4</v>
      </c>
      <c r="S646" s="36" t="n">
        <f aca="false">IF(Q646="","",Q646-R646)</f>
        <v>0</v>
      </c>
      <c r="T646" s="36" t="n">
        <f aca="false">IF(S646="","",MAX(0,-S646))</f>
        <v>-0</v>
      </c>
      <c r="U646" s="36" t="n">
        <f aca="false">IF(S646="","",MAX(0,S646))</f>
        <v>0</v>
      </c>
      <c r="V646" s="8" t="str">
        <f aca="false">IF(J646="","NOT SCORED - NO JULY MONTHLY ROW",IF(OR(ABS(L646)&gt;0.005,ABS(O646)&gt;0.005,ABS(S646)&gt;0.005),"EXCEPTION","OK"))</f>
        <v>OK</v>
      </c>
      <c r="W646" s="8" t="s">
        <v>5352</v>
      </c>
      <c r="X646" s="8" t="s">
        <v>4099</v>
      </c>
      <c r="Y646" s="36" t="n">
        <f aca="false">K646*N646</f>
        <v>374.4</v>
      </c>
    </row>
    <row r="647" customFormat="false" ht="15" hidden="false" customHeight="false" outlineLevel="0" collapsed="false">
      <c r="A647" s="11" t="s">
        <v>815</v>
      </c>
      <c r="B647" s="11" t="s">
        <v>211</v>
      </c>
      <c r="C647" s="11" t="s">
        <v>5306</v>
      </c>
      <c r="D647" s="11" t="s">
        <v>3441</v>
      </c>
      <c r="E647" s="11" t="s">
        <v>5353</v>
      </c>
      <c r="F647" s="11" t="s">
        <v>5354</v>
      </c>
      <c r="G647" s="11" t="s">
        <v>3046</v>
      </c>
      <c r="H647" s="11" t="n">
        <v>24</v>
      </c>
      <c r="I647" s="31" t="n">
        <v>28.2</v>
      </c>
      <c r="J647" s="31" t="n">
        <v>29</v>
      </c>
      <c r="K647" s="31" t="n">
        <f aca="false">MAX(ROUNDUP(I647,0),H647)</f>
        <v>29</v>
      </c>
      <c r="L647" s="31" t="n">
        <f aca="false">IF(J647="","",J647-K647)</f>
        <v>0</v>
      </c>
      <c r="M647" s="32" t="n">
        <v>10.4</v>
      </c>
      <c r="N647" s="32" t="n">
        <f aca="false">IF(C647="covered",10.4,7.55)</f>
        <v>10.4</v>
      </c>
      <c r="O647" s="32" t="n">
        <f aca="false">IF(M647="","",M647-N647)</f>
        <v>0</v>
      </c>
      <c r="P647" s="11" t="n">
        <v>1</v>
      </c>
      <c r="Q647" s="33" t="n">
        <v>301.6</v>
      </c>
      <c r="R647" s="33" t="n">
        <f aca="false">IF(OR(J647="",P647=""),"",K647*N647*P647)</f>
        <v>301.6</v>
      </c>
      <c r="S647" s="33" t="n">
        <f aca="false">IF(Q647="","",Q647-R647)</f>
        <v>0</v>
      </c>
      <c r="T647" s="33" t="n">
        <f aca="false">IF(S647="","",MAX(0,-S647))</f>
        <v>-0</v>
      </c>
      <c r="U647" s="33" t="n">
        <f aca="false">IF(S647="","",MAX(0,S647))</f>
        <v>0</v>
      </c>
      <c r="V647" s="11" t="str">
        <f aca="false">IF(J647="","NOT SCORED - NO JULY MONTHLY ROW",IF(OR(ABS(L647)&gt;0.005,ABS(O647)&gt;0.005,ABS(S647)&gt;0.005),"EXCEPTION","OK"))</f>
        <v>OK</v>
      </c>
      <c r="W647" s="11" t="s">
        <v>5355</v>
      </c>
      <c r="X647" s="11" t="s">
        <v>4099</v>
      </c>
      <c r="Y647" s="33" t="n">
        <f aca="false">K647*N647</f>
        <v>301.6</v>
      </c>
    </row>
    <row r="648" customFormat="false" ht="15" hidden="false" customHeight="false" outlineLevel="0" collapsed="false">
      <c r="A648" s="8" t="s">
        <v>5356</v>
      </c>
      <c r="B648" s="8" t="s">
        <v>211</v>
      </c>
      <c r="C648" s="8" t="s">
        <v>5306</v>
      </c>
      <c r="D648" s="8" t="s">
        <v>3444</v>
      </c>
      <c r="E648" s="8" t="s">
        <v>5357</v>
      </c>
      <c r="F648" s="8" t="s">
        <v>5358</v>
      </c>
      <c r="G648" s="8" t="s">
        <v>4015</v>
      </c>
      <c r="H648" s="8" t="n">
        <v>28</v>
      </c>
      <c r="I648" s="34" t="n">
        <v>18.8</v>
      </c>
      <c r="J648" s="34" t="n">
        <v>28</v>
      </c>
      <c r="K648" s="34" t="n">
        <f aca="false">MAX(ROUNDUP(I648,0),H648)</f>
        <v>28</v>
      </c>
      <c r="L648" s="34" t="n">
        <f aca="false">IF(J648="","",J648-K648)</f>
        <v>0</v>
      </c>
      <c r="M648" s="35" t="n">
        <v>10.4</v>
      </c>
      <c r="N648" s="35" t="n">
        <f aca="false">IF(C648="covered",10.4,7.55)</f>
        <v>10.4</v>
      </c>
      <c r="O648" s="35" t="n">
        <f aca="false">IF(M648="","",M648-N648)</f>
        <v>0</v>
      </c>
      <c r="P648" s="8" t="n">
        <v>1</v>
      </c>
      <c r="Q648" s="36" t="n">
        <v>291.2</v>
      </c>
      <c r="R648" s="36" t="n">
        <f aca="false">IF(OR(J648="",P648=""),"",K648*N648*P648)</f>
        <v>291.2</v>
      </c>
      <c r="S648" s="36" t="n">
        <f aca="false">IF(Q648="","",Q648-R648)</f>
        <v>0</v>
      </c>
      <c r="T648" s="36" t="n">
        <f aca="false">IF(S648="","",MAX(0,-S648))</f>
        <v>-0</v>
      </c>
      <c r="U648" s="36" t="n">
        <f aca="false">IF(S648="","",MAX(0,S648))</f>
        <v>0</v>
      </c>
      <c r="V648" s="8" t="str">
        <f aca="false">IF(J648="","NOT SCORED - NO JULY MONTHLY ROW",IF(OR(ABS(L648)&gt;0.005,ABS(O648)&gt;0.005,ABS(S648)&gt;0.005),"EXCEPTION","OK"))</f>
        <v>OK</v>
      </c>
      <c r="W648" s="8" t="s">
        <v>5359</v>
      </c>
      <c r="X648" s="8" t="s">
        <v>4099</v>
      </c>
      <c r="Y648" s="36" t="n">
        <f aca="false">K648*N648</f>
        <v>291.2</v>
      </c>
    </row>
    <row r="649" customFormat="false" ht="15" hidden="false" customHeight="false" outlineLevel="0" collapsed="false">
      <c r="A649" s="11" t="s">
        <v>5360</v>
      </c>
      <c r="B649" s="11" t="s">
        <v>211</v>
      </c>
      <c r="C649" s="11" t="s">
        <v>5306</v>
      </c>
      <c r="D649" s="11" t="s">
        <v>3447</v>
      </c>
      <c r="E649" s="11" t="s">
        <v>2645</v>
      </c>
      <c r="F649" s="11" t="s">
        <v>5361</v>
      </c>
      <c r="G649" s="11" t="s">
        <v>5362</v>
      </c>
      <c r="H649" s="11" t="n">
        <v>28</v>
      </c>
      <c r="I649" s="31" t="n">
        <v>19.2</v>
      </c>
      <c r="J649" s="31" t="n">
        <v>28</v>
      </c>
      <c r="K649" s="31" t="n">
        <f aca="false">MAX(ROUNDUP(I649,0),H649)</f>
        <v>28</v>
      </c>
      <c r="L649" s="31" t="n">
        <f aca="false">IF(J649="","",J649-K649)</f>
        <v>0</v>
      </c>
      <c r="M649" s="32" t="n">
        <v>10.4</v>
      </c>
      <c r="N649" s="32" t="n">
        <f aca="false">IF(C649="covered",10.4,7.55)</f>
        <v>10.4</v>
      </c>
      <c r="O649" s="32" t="n">
        <f aca="false">IF(M649="","",M649-N649)</f>
        <v>0</v>
      </c>
      <c r="P649" s="11" t="n">
        <v>1</v>
      </c>
      <c r="Q649" s="33" t="n">
        <v>291.2</v>
      </c>
      <c r="R649" s="33" t="n">
        <f aca="false">IF(OR(J649="",P649=""),"",K649*N649*P649)</f>
        <v>291.2</v>
      </c>
      <c r="S649" s="33" t="n">
        <f aca="false">IF(Q649="","",Q649-R649)</f>
        <v>0</v>
      </c>
      <c r="T649" s="33" t="n">
        <f aca="false">IF(S649="","",MAX(0,-S649))</f>
        <v>-0</v>
      </c>
      <c r="U649" s="33" t="n">
        <f aca="false">IF(S649="","",MAX(0,S649))</f>
        <v>0</v>
      </c>
      <c r="V649" s="11" t="str">
        <f aca="false">IF(J649="","NOT SCORED - NO JULY MONTHLY ROW",IF(OR(ABS(L649)&gt;0.005,ABS(O649)&gt;0.005,ABS(S649)&gt;0.005),"EXCEPTION","OK"))</f>
        <v>OK</v>
      </c>
      <c r="W649" s="11" t="s">
        <v>5363</v>
      </c>
      <c r="X649" s="11" t="s">
        <v>4099</v>
      </c>
      <c r="Y649" s="33" t="n">
        <f aca="false">K649*N649</f>
        <v>291.2</v>
      </c>
    </row>
    <row r="650" customFormat="false" ht="15" hidden="false" customHeight="false" outlineLevel="0" collapsed="false">
      <c r="A650" s="8" t="s">
        <v>5364</v>
      </c>
      <c r="B650" s="8" t="s">
        <v>211</v>
      </c>
      <c r="C650" s="8" t="s">
        <v>5306</v>
      </c>
      <c r="D650" s="8" t="s">
        <v>3450</v>
      </c>
      <c r="E650" s="8" t="s">
        <v>2337</v>
      </c>
      <c r="F650" s="8" t="s">
        <v>5365</v>
      </c>
      <c r="G650" s="8" t="s">
        <v>5366</v>
      </c>
      <c r="H650" s="8" t="n">
        <v>32</v>
      </c>
      <c r="I650" s="34" t="n">
        <v>28.7</v>
      </c>
      <c r="J650" s="34" t="n">
        <v>32</v>
      </c>
      <c r="K650" s="34" t="n">
        <f aca="false">MAX(ROUNDUP(I650,0),H650)</f>
        <v>32</v>
      </c>
      <c r="L650" s="34" t="n">
        <f aca="false">IF(J650="","",J650-K650)</f>
        <v>0</v>
      </c>
      <c r="M650" s="35" t="n">
        <v>10.4</v>
      </c>
      <c r="N650" s="35" t="n">
        <f aca="false">IF(C650="covered",10.4,7.55)</f>
        <v>10.4</v>
      </c>
      <c r="O650" s="35" t="n">
        <f aca="false">IF(M650="","",M650-N650)</f>
        <v>0</v>
      </c>
      <c r="P650" s="8" t="n">
        <v>1</v>
      </c>
      <c r="Q650" s="36" t="n">
        <v>332.8</v>
      </c>
      <c r="R650" s="36" t="n">
        <f aca="false">IF(OR(J650="",P650=""),"",K650*N650*P650)</f>
        <v>332.8</v>
      </c>
      <c r="S650" s="36" t="n">
        <f aca="false">IF(Q650="","",Q650-R650)</f>
        <v>0</v>
      </c>
      <c r="T650" s="36" t="n">
        <f aca="false">IF(S650="","",MAX(0,-S650))</f>
        <v>-0</v>
      </c>
      <c r="U650" s="36" t="n">
        <f aca="false">IF(S650="","",MAX(0,S650))</f>
        <v>0</v>
      </c>
      <c r="V650" s="8" t="str">
        <f aca="false">IF(J650="","NOT SCORED - NO JULY MONTHLY ROW",IF(OR(ABS(L650)&gt;0.005,ABS(O650)&gt;0.005,ABS(S650)&gt;0.005),"EXCEPTION","OK"))</f>
        <v>OK</v>
      </c>
      <c r="W650" s="8" t="s">
        <v>5367</v>
      </c>
      <c r="X650" s="8" t="s">
        <v>4099</v>
      </c>
      <c r="Y650" s="36" t="n">
        <f aca="false">K650*N650</f>
        <v>332.8</v>
      </c>
    </row>
    <row r="651" customFormat="false" ht="15" hidden="false" customHeight="false" outlineLevel="0" collapsed="false">
      <c r="A651" s="11" t="s">
        <v>5368</v>
      </c>
      <c r="B651" s="11" t="s">
        <v>211</v>
      </c>
      <c r="C651" s="11" t="s">
        <v>5306</v>
      </c>
      <c r="D651" s="11" t="s">
        <v>3455</v>
      </c>
      <c r="E651" s="11" t="s">
        <v>2206</v>
      </c>
      <c r="F651" s="11" t="s">
        <v>5369</v>
      </c>
      <c r="G651" s="11" t="s">
        <v>4593</v>
      </c>
      <c r="H651" s="11" t="n">
        <v>24</v>
      </c>
      <c r="I651" s="31" t="n">
        <v>22.1</v>
      </c>
      <c r="J651" s="31" t="n">
        <v>24</v>
      </c>
      <c r="K651" s="31" t="n">
        <f aca="false">MAX(ROUNDUP(I651,0),H651)</f>
        <v>24</v>
      </c>
      <c r="L651" s="31" t="n">
        <f aca="false">IF(J651="","",J651-K651)</f>
        <v>0</v>
      </c>
      <c r="M651" s="32" t="n">
        <v>10.4</v>
      </c>
      <c r="N651" s="32" t="n">
        <f aca="false">IF(C651="covered",10.4,7.55)</f>
        <v>10.4</v>
      </c>
      <c r="O651" s="32" t="n">
        <f aca="false">IF(M651="","",M651-N651)</f>
        <v>0</v>
      </c>
      <c r="P651" s="11" t="n">
        <v>1</v>
      </c>
      <c r="Q651" s="33" t="n">
        <v>249.6</v>
      </c>
      <c r="R651" s="33" t="n">
        <f aca="false">IF(OR(J651="",P651=""),"",K651*N651*P651)</f>
        <v>249.6</v>
      </c>
      <c r="S651" s="33" t="n">
        <f aca="false">IF(Q651="","",Q651-R651)</f>
        <v>0</v>
      </c>
      <c r="T651" s="33" t="n">
        <f aca="false">IF(S651="","",MAX(0,-S651))</f>
        <v>-0</v>
      </c>
      <c r="U651" s="33" t="n">
        <f aca="false">IF(S651="","",MAX(0,S651))</f>
        <v>0</v>
      </c>
      <c r="V651" s="11" t="str">
        <f aca="false">IF(J651="","NOT SCORED - NO JULY MONTHLY ROW",IF(OR(ABS(L651)&gt;0.005,ABS(O651)&gt;0.005,ABS(S651)&gt;0.005),"EXCEPTION","OK"))</f>
        <v>OK</v>
      </c>
      <c r="W651" s="11" t="s">
        <v>5370</v>
      </c>
      <c r="X651" s="11" t="s">
        <v>4099</v>
      </c>
      <c r="Y651" s="33" t="n">
        <f aca="false">K651*N651</f>
        <v>249.6</v>
      </c>
    </row>
    <row r="652" customFormat="false" ht="15" hidden="false" customHeight="false" outlineLevel="0" collapsed="false">
      <c r="A652" s="8" t="s">
        <v>5371</v>
      </c>
      <c r="B652" s="8" t="s">
        <v>211</v>
      </c>
      <c r="C652" s="8" t="s">
        <v>5306</v>
      </c>
      <c r="D652" s="8" t="s">
        <v>3460</v>
      </c>
      <c r="E652" s="8" t="s">
        <v>5372</v>
      </c>
      <c r="F652" s="8" t="s">
        <v>5373</v>
      </c>
      <c r="G652" s="8" t="s">
        <v>3331</v>
      </c>
      <c r="H652" s="8" t="n">
        <v>24</v>
      </c>
      <c r="I652" s="34" t="n">
        <v>43.5</v>
      </c>
      <c r="J652" s="34" t="n">
        <v>44</v>
      </c>
      <c r="K652" s="34" t="n">
        <f aca="false">MAX(ROUNDUP(I652,0),H652)</f>
        <v>44</v>
      </c>
      <c r="L652" s="34" t="n">
        <f aca="false">IF(J652="","",J652-K652)</f>
        <v>0</v>
      </c>
      <c r="M652" s="35" t="n">
        <v>10.4</v>
      </c>
      <c r="N652" s="35" t="n">
        <f aca="false">IF(C652="covered",10.4,7.55)</f>
        <v>10.4</v>
      </c>
      <c r="O652" s="35" t="n">
        <f aca="false">IF(M652="","",M652-N652)</f>
        <v>0</v>
      </c>
      <c r="P652" s="8" t="n">
        <v>1</v>
      </c>
      <c r="Q652" s="36" t="n">
        <v>457.6</v>
      </c>
      <c r="R652" s="36" t="n">
        <f aca="false">IF(OR(J652="",P652=""),"",K652*N652*P652)</f>
        <v>457.6</v>
      </c>
      <c r="S652" s="36" t="n">
        <f aca="false">IF(Q652="","",Q652-R652)</f>
        <v>0</v>
      </c>
      <c r="T652" s="36" t="n">
        <f aca="false">IF(S652="","",MAX(0,-S652))</f>
        <v>-0</v>
      </c>
      <c r="U652" s="36" t="n">
        <f aca="false">IF(S652="","",MAX(0,S652))</f>
        <v>0</v>
      </c>
      <c r="V652" s="8" t="str">
        <f aca="false">IF(J652="","NOT SCORED - NO JULY MONTHLY ROW",IF(OR(ABS(L652)&gt;0.005,ABS(O652)&gt;0.005,ABS(S652)&gt;0.005),"EXCEPTION","OK"))</f>
        <v>OK</v>
      </c>
      <c r="W652" s="8" t="s">
        <v>5374</v>
      </c>
      <c r="X652" s="8" t="s">
        <v>4099</v>
      </c>
      <c r="Y652" s="36" t="n">
        <f aca="false">K652*N652</f>
        <v>457.6</v>
      </c>
    </row>
    <row r="653" customFormat="false" ht="15" hidden="false" customHeight="false" outlineLevel="0" collapsed="false">
      <c r="A653" s="11" t="s">
        <v>5375</v>
      </c>
      <c r="B653" s="11" t="s">
        <v>211</v>
      </c>
      <c r="C653" s="11" t="s">
        <v>5306</v>
      </c>
      <c r="D653" s="11" t="s">
        <v>3464</v>
      </c>
      <c r="E653" s="11" t="s">
        <v>5376</v>
      </c>
      <c r="F653" s="11" t="s">
        <v>5377</v>
      </c>
      <c r="G653" s="11" t="s">
        <v>5378</v>
      </c>
      <c r="H653" s="11" t="n">
        <v>32</v>
      </c>
      <c r="I653" s="31" t="n">
        <v>30.8</v>
      </c>
      <c r="J653" s="31" t="n">
        <v>32</v>
      </c>
      <c r="K653" s="31" t="n">
        <f aca="false">MAX(ROUNDUP(I653,0),H653)</f>
        <v>32</v>
      </c>
      <c r="L653" s="31" t="n">
        <f aca="false">IF(J653="","",J653-K653)</f>
        <v>0</v>
      </c>
      <c r="M653" s="32" t="n">
        <v>10.4</v>
      </c>
      <c r="N653" s="32" t="n">
        <f aca="false">IF(C653="covered",10.4,7.55)</f>
        <v>10.4</v>
      </c>
      <c r="O653" s="32" t="n">
        <f aca="false">IF(M653="","",M653-N653)</f>
        <v>0</v>
      </c>
      <c r="P653" s="11" t="n">
        <v>1</v>
      </c>
      <c r="Q653" s="33" t="n">
        <v>332.8</v>
      </c>
      <c r="R653" s="33" t="n">
        <f aca="false">IF(OR(J653="",P653=""),"",K653*N653*P653)</f>
        <v>332.8</v>
      </c>
      <c r="S653" s="33" t="n">
        <f aca="false">IF(Q653="","",Q653-R653)</f>
        <v>0</v>
      </c>
      <c r="T653" s="33" t="n">
        <f aca="false">IF(S653="","",MAX(0,-S653))</f>
        <v>-0</v>
      </c>
      <c r="U653" s="33" t="n">
        <f aca="false">IF(S653="","",MAX(0,S653))</f>
        <v>0</v>
      </c>
      <c r="V653" s="11" t="str">
        <f aca="false">IF(J653="","NOT SCORED - NO JULY MONTHLY ROW",IF(OR(ABS(L653)&gt;0.005,ABS(O653)&gt;0.005,ABS(S653)&gt;0.005),"EXCEPTION","OK"))</f>
        <v>OK</v>
      </c>
      <c r="W653" s="11" t="s">
        <v>5379</v>
      </c>
      <c r="X653" s="11" t="s">
        <v>4099</v>
      </c>
      <c r="Y653" s="33" t="n">
        <f aca="false">K653*N653</f>
        <v>332.8</v>
      </c>
    </row>
    <row r="654" customFormat="false" ht="15" hidden="false" customHeight="false" outlineLevel="0" collapsed="false">
      <c r="A654" s="8" t="s">
        <v>511</v>
      </c>
      <c r="B654" s="8" t="s">
        <v>211</v>
      </c>
      <c r="C654" s="8" t="s">
        <v>5306</v>
      </c>
      <c r="D654" s="8" t="s">
        <v>3469</v>
      </c>
      <c r="E654" s="8" t="s">
        <v>5380</v>
      </c>
      <c r="F654" s="8" t="s">
        <v>5381</v>
      </c>
      <c r="G654" s="8" t="s">
        <v>4064</v>
      </c>
      <c r="H654" s="8" t="n">
        <v>32</v>
      </c>
      <c r="I654" s="34" t="n">
        <v>51.3</v>
      </c>
      <c r="J654" s="34" t="n">
        <v>52</v>
      </c>
      <c r="K654" s="34" t="n">
        <f aca="false">MAX(ROUNDUP(I654,0),H654)</f>
        <v>52</v>
      </c>
      <c r="L654" s="34" t="n">
        <f aca="false">IF(J654="","",J654-K654)</f>
        <v>0</v>
      </c>
      <c r="M654" s="35" t="n">
        <v>10.4</v>
      </c>
      <c r="N654" s="35" t="n">
        <f aca="false">IF(C654="covered",10.4,7.55)</f>
        <v>10.4</v>
      </c>
      <c r="O654" s="35" t="n">
        <f aca="false">IF(M654="","",M654-N654)</f>
        <v>0</v>
      </c>
      <c r="P654" s="8" t="n">
        <v>1</v>
      </c>
      <c r="Q654" s="36" t="n">
        <v>540.8</v>
      </c>
      <c r="R654" s="36" t="n">
        <f aca="false">IF(OR(J654="",P654=""),"",K654*N654*P654)</f>
        <v>540.8</v>
      </c>
      <c r="S654" s="36" t="n">
        <f aca="false">IF(Q654="","",Q654-R654)</f>
        <v>0</v>
      </c>
      <c r="T654" s="36" t="n">
        <f aca="false">IF(S654="","",MAX(0,-S654))</f>
        <v>-0</v>
      </c>
      <c r="U654" s="36" t="n">
        <f aca="false">IF(S654="","",MAX(0,S654))</f>
        <v>0</v>
      </c>
      <c r="V654" s="8" t="str">
        <f aca="false">IF(J654="","NOT SCORED - NO JULY MONTHLY ROW",IF(OR(ABS(L654)&gt;0.005,ABS(O654)&gt;0.005,ABS(S654)&gt;0.005),"EXCEPTION","OK"))</f>
        <v>OK</v>
      </c>
      <c r="W654" s="8" t="s">
        <v>5382</v>
      </c>
      <c r="X654" s="8" t="s">
        <v>4099</v>
      </c>
      <c r="Y654" s="36" t="n">
        <f aca="false">K654*N654</f>
        <v>540.8</v>
      </c>
    </row>
    <row r="655" customFormat="false" ht="15" hidden="false" customHeight="false" outlineLevel="0" collapsed="false">
      <c r="A655" s="11" t="s">
        <v>5383</v>
      </c>
      <c r="B655" s="11" t="s">
        <v>211</v>
      </c>
      <c r="C655" s="11" t="s">
        <v>5306</v>
      </c>
      <c r="D655" s="11" t="s">
        <v>3474</v>
      </c>
      <c r="E655" s="11" t="s">
        <v>5384</v>
      </c>
      <c r="F655" s="11" t="s">
        <v>5385</v>
      </c>
      <c r="G655" s="11" t="s">
        <v>3664</v>
      </c>
      <c r="H655" s="11" t="n">
        <v>36</v>
      </c>
      <c r="I655" s="31" t="n">
        <v>48.2</v>
      </c>
      <c r="J655" s="31" t="n">
        <v>49</v>
      </c>
      <c r="K655" s="31" t="n">
        <f aca="false">MAX(ROUNDUP(I655,0),H655)</f>
        <v>49</v>
      </c>
      <c r="L655" s="31" t="n">
        <f aca="false">IF(J655="","",J655-K655)</f>
        <v>0</v>
      </c>
      <c r="M655" s="32" t="n">
        <v>10.4</v>
      </c>
      <c r="N655" s="32" t="n">
        <f aca="false">IF(C655="covered",10.4,7.55)</f>
        <v>10.4</v>
      </c>
      <c r="O655" s="32" t="n">
        <f aca="false">IF(M655="","",M655-N655)</f>
        <v>0</v>
      </c>
      <c r="P655" s="11" t="n">
        <v>1</v>
      </c>
      <c r="Q655" s="33" t="n">
        <v>509.6</v>
      </c>
      <c r="R655" s="33" t="n">
        <f aca="false">IF(OR(J655="",P655=""),"",K655*N655*P655)</f>
        <v>509.6</v>
      </c>
      <c r="S655" s="33" t="n">
        <f aca="false">IF(Q655="","",Q655-R655)</f>
        <v>0</v>
      </c>
      <c r="T655" s="33" t="n">
        <f aca="false">IF(S655="","",MAX(0,-S655))</f>
        <v>-0</v>
      </c>
      <c r="U655" s="33" t="n">
        <f aca="false">IF(S655="","",MAX(0,S655))</f>
        <v>0</v>
      </c>
      <c r="V655" s="11" t="str">
        <f aca="false">IF(J655="","NOT SCORED - NO JULY MONTHLY ROW",IF(OR(ABS(L655)&gt;0.005,ABS(O655)&gt;0.005,ABS(S655)&gt;0.005),"EXCEPTION","OK"))</f>
        <v>OK</v>
      </c>
      <c r="W655" s="11" t="s">
        <v>5386</v>
      </c>
      <c r="X655" s="11" t="s">
        <v>4099</v>
      </c>
      <c r="Y655" s="33" t="n">
        <f aca="false">K655*N655</f>
        <v>509.6</v>
      </c>
    </row>
    <row r="656" customFormat="false" ht="15" hidden="false" customHeight="false" outlineLevel="0" collapsed="false">
      <c r="A656" s="8" t="s">
        <v>5387</v>
      </c>
      <c r="B656" s="8" t="s">
        <v>211</v>
      </c>
      <c r="C656" s="8" t="s">
        <v>5306</v>
      </c>
      <c r="D656" s="8" t="s">
        <v>4172</v>
      </c>
      <c r="E656" s="8" t="s">
        <v>1160</v>
      </c>
      <c r="F656" s="8" t="s">
        <v>1161</v>
      </c>
      <c r="G656" s="8" t="s">
        <v>3791</v>
      </c>
      <c r="H656" s="8" t="n">
        <v>32</v>
      </c>
      <c r="I656" s="34" t="n">
        <v>25.3</v>
      </c>
      <c r="J656" s="34" t="n">
        <v>32</v>
      </c>
      <c r="K656" s="34" t="n">
        <f aca="false">MAX(ROUNDUP(I656,0),H656)</f>
        <v>32</v>
      </c>
      <c r="L656" s="34" t="n">
        <f aca="false">IF(J656="","",J656-K656)</f>
        <v>0</v>
      </c>
      <c r="M656" s="35" t="n">
        <v>10.4</v>
      </c>
      <c r="N656" s="35" t="n">
        <f aca="false">IF(C656="covered",10.4,7.55)</f>
        <v>10.4</v>
      </c>
      <c r="O656" s="35" t="n">
        <f aca="false">IF(M656="","",M656-N656)</f>
        <v>0</v>
      </c>
      <c r="P656" s="8" t="n">
        <v>1</v>
      </c>
      <c r="Q656" s="36" t="n">
        <v>332.8</v>
      </c>
      <c r="R656" s="36" t="n">
        <f aca="false">IF(OR(J656="",P656=""),"",K656*N656*P656)</f>
        <v>332.8</v>
      </c>
      <c r="S656" s="36" t="n">
        <f aca="false">IF(Q656="","",Q656-R656)</f>
        <v>0</v>
      </c>
      <c r="T656" s="36" t="n">
        <f aca="false">IF(S656="","",MAX(0,-S656))</f>
        <v>-0</v>
      </c>
      <c r="U656" s="36" t="n">
        <f aca="false">IF(S656="","",MAX(0,S656))</f>
        <v>0</v>
      </c>
      <c r="V656" s="8" t="str">
        <f aca="false">IF(J656="","NOT SCORED - NO JULY MONTHLY ROW",IF(OR(ABS(L656)&gt;0.005,ABS(O656)&gt;0.005,ABS(S656)&gt;0.005),"EXCEPTION","OK"))</f>
        <v>OK</v>
      </c>
      <c r="W656" s="8" t="s">
        <v>5388</v>
      </c>
      <c r="X656" s="8" t="s">
        <v>4099</v>
      </c>
      <c r="Y656" s="36" t="n">
        <f aca="false">K656*N656</f>
        <v>332.8</v>
      </c>
    </row>
    <row r="657" customFormat="false" ht="15" hidden="false" customHeight="false" outlineLevel="0" collapsed="false">
      <c r="A657" s="11" t="s">
        <v>1478</v>
      </c>
      <c r="B657" s="11" t="s">
        <v>211</v>
      </c>
      <c r="C657" s="11" t="s">
        <v>5306</v>
      </c>
      <c r="D657" s="11" t="s">
        <v>4176</v>
      </c>
      <c r="E657" s="11" t="s">
        <v>5389</v>
      </c>
      <c r="F657" s="11" t="s">
        <v>5390</v>
      </c>
      <c r="G657" s="11" t="s">
        <v>3561</v>
      </c>
      <c r="H657" s="11" t="n">
        <v>28</v>
      </c>
      <c r="I657" s="31" t="n">
        <v>38.8</v>
      </c>
      <c r="J657" s="31" t="n">
        <v>39</v>
      </c>
      <c r="K657" s="31" t="n">
        <f aca="false">MAX(ROUNDUP(I657,0),H657)</f>
        <v>39</v>
      </c>
      <c r="L657" s="31" t="n">
        <f aca="false">IF(J657="","",J657-K657)</f>
        <v>0</v>
      </c>
      <c r="M657" s="32" t="n">
        <v>10.4</v>
      </c>
      <c r="N657" s="32" t="n">
        <f aca="false">IF(C657="covered",10.4,7.55)</f>
        <v>10.4</v>
      </c>
      <c r="O657" s="32" t="n">
        <f aca="false">IF(M657="","",M657-N657)</f>
        <v>0</v>
      </c>
      <c r="P657" s="11" t="n">
        <v>1</v>
      </c>
      <c r="Q657" s="33" t="n">
        <v>405.6</v>
      </c>
      <c r="R657" s="33" t="n">
        <f aca="false">IF(OR(J657="",P657=""),"",K657*N657*P657)</f>
        <v>405.6</v>
      </c>
      <c r="S657" s="33" t="n">
        <f aca="false">IF(Q657="","",Q657-R657)</f>
        <v>0</v>
      </c>
      <c r="T657" s="33" t="n">
        <f aca="false">IF(S657="","",MAX(0,-S657))</f>
        <v>-0</v>
      </c>
      <c r="U657" s="33" t="n">
        <f aca="false">IF(S657="","",MAX(0,S657))</f>
        <v>0</v>
      </c>
      <c r="V657" s="11" t="str">
        <f aca="false">IF(J657="","NOT SCORED - NO JULY MONTHLY ROW",IF(OR(ABS(L657)&gt;0.005,ABS(O657)&gt;0.005,ABS(S657)&gt;0.005),"EXCEPTION","OK"))</f>
        <v>OK</v>
      </c>
      <c r="W657" s="11" t="s">
        <v>5391</v>
      </c>
      <c r="X657" s="11" t="s">
        <v>4099</v>
      </c>
      <c r="Y657" s="33" t="n">
        <f aca="false">K657*N657</f>
        <v>405.6</v>
      </c>
    </row>
    <row r="658" customFormat="false" ht="15" hidden="false" customHeight="false" outlineLevel="0" collapsed="false">
      <c r="A658" s="8" t="s">
        <v>5392</v>
      </c>
      <c r="B658" s="8" t="s">
        <v>211</v>
      </c>
      <c r="C658" s="8" t="s">
        <v>5306</v>
      </c>
      <c r="D658" s="8" t="s">
        <v>3478</v>
      </c>
      <c r="E658" s="8" t="s">
        <v>5393</v>
      </c>
      <c r="F658" s="8" t="s">
        <v>5394</v>
      </c>
      <c r="G658" s="8" t="s">
        <v>4766</v>
      </c>
      <c r="H658" s="8" t="n">
        <v>36</v>
      </c>
      <c r="I658" s="34" t="n">
        <v>51.3</v>
      </c>
      <c r="J658" s="34" t="n">
        <v>52</v>
      </c>
      <c r="K658" s="34" t="n">
        <f aca="false">MAX(ROUNDUP(I658,0),H658)</f>
        <v>52</v>
      </c>
      <c r="L658" s="34" t="n">
        <f aca="false">IF(J658="","",J658-K658)</f>
        <v>0</v>
      </c>
      <c r="M658" s="35" t="n">
        <v>10.4</v>
      </c>
      <c r="N658" s="35" t="n">
        <f aca="false">IF(C658="covered",10.4,7.55)</f>
        <v>10.4</v>
      </c>
      <c r="O658" s="35" t="n">
        <f aca="false">IF(M658="","",M658-N658)</f>
        <v>0</v>
      </c>
      <c r="P658" s="8" t="n">
        <v>1</v>
      </c>
      <c r="Q658" s="36" t="n">
        <v>540.8</v>
      </c>
      <c r="R658" s="36" t="n">
        <f aca="false">IF(OR(J658="",P658=""),"",K658*N658*P658)</f>
        <v>540.8</v>
      </c>
      <c r="S658" s="36" t="n">
        <f aca="false">IF(Q658="","",Q658-R658)</f>
        <v>0</v>
      </c>
      <c r="T658" s="36" t="n">
        <f aca="false">IF(S658="","",MAX(0,-S658))</f>
        <v>-0</v>
      </c>
      <c r="U658" s="36" t="n">
        <f aca="false">IF(S658="","",MAX(0,S658))</f>
        <v>0</v>
      </c>
      <c r="V658" s="8" t="str">
        <f aca="false">IF(J658="","NOT SCORED - NO JULY MONTHLY ROW",IF(OR(ABS(L658)&gt;0.005,ABS(O658)&gt;0.005,ABS(S658)&gt;0.005),"EXCEPTION","OK"))</f>
        <v>OK</v>
      </c>
      <c r="W658" s="8" t="s">
        <v>5395</v>
      </c>
      <c r="X658" s="8" t="s">
        <v>4099</v>
      </c>
      <c r="Y658" s="36" t="n">
        <f aca="false">K658*N658</f>
        <v>540.8</v>
      </c>
    </row>
    <row r="659" customFormat="false" ht="15" hidden="false" customHeight="false" outlineLevel="0" collapsed="false">
      <c r="A659" s="11" t="s">
        <v>5396</v>
      </c>
      <c r="B659" s="11" t="s">
        <v>211</v>
      </c>
      <c r="C659" s="11" t="s">
        <v>5306</v>
      </c>
      <c r="D659" s="11" t="s">
        <v>3482</v>
      </c>
      <c r="E659" s="11" t="s">
        <v>5397</v>
      </c>
      <c r="F659" s="11" t="s">
        <v>5398</v>
      </c>
      <c r="G659" s="11" t="s">
        <v>5399</v>
      </c>
      <c r="H659" s="11" t="n">
        <v>36</v>
      </c>
      <c r="I659" s="31" t="n">
        <v>37.5</v>
      </c>
      <c r="J659" s="31" t="n">
        <v>38</v>
      </c>
      <c r="K659" s="31" t="n">
        <f aca="false">MAX(ROUNDUP(I659,0),H659)</f>
        <v>38</v>
      </c>
      <c r="L659" s="31" t="n">
        <f aca="false">IF(J659="","",J659-K659)</f>
        <v>0</v>
      </c>
      <c r="M659" s="32" t="n">
        <v>10.4</v>
      </c>
      <c r="N659" s="32" t="n">
        <f aca="false">IF(C659="covered",10.4,7.55)</f>
        <v>10.4</v>
      </c>
      <c r="O659" s="32" t="n">
        <f aca="false">IF(M659="","",M659-N659)</f>
        <v>0</v>
      </c>
      <c r="P659" s="11" t="n">
        <v>1</v>
      </c>
      <c r="Q659" s="33" t="n">
        <v>395.2</v>
      </c>
      <c r="R659" s="33" t="n">
        <f aca="false">IF(OR(J659="",P659=""),"",K659*N659*P659)</f>
        <v>395.2</v>
      </c>
      <c r="S659" s="33" t="n">
        <f aca="false">IF(Q659="","",Q659-R659)</f>
        <v>0</v>
      </c>
      <c r="T659" s="33" t="n">
        <f aca="false">IF(S659="","",MAX(0,-S659))</f>
        <v>-0</v>
      </c>
      <c r="U659" s="33" t="n">
        <f aca="false">IF(S659="","",MAX(0,S659))</f>
        <v>0</v>
      </c>
      <c r="V659" s="11" t="str">
        <f aca="false">IF(J659="","NOT SCORED - NO JULY MONTHLY ROW",IF(OR(ABS(L659)&gt;0.005,ABS(O659)&gt;0.005,ABS(S659)&gt;0.005),"EXCEPTION","OK"))</f>
        <v>OK</v>
      </c>
      <c r="W659" s="11" t="s">
        <v>5400</v>
      </c>
      <c r="X659" s="11" t="s">
        <v>4099</v>
      </c>
      <c r="Y659" s="33" t="n">
        <f aca="false">K659*N659</f>
        <v>395.2</v>
      </c>
    </row>
    <row r="660" customFormat="false" ht="15" hidden="false" customHeight="false" outlineLevel="0" collapsed="false">
      <c r="A660" s="8" t="s">
        <v>906</v>
      </c>
      <c r="B660" s="8" t="s">
        <v>211</v>
      </c>
      <c r="C660" s="8" t="s">
        <v>5306</v>
      </c>
      <c r="D660" s="8" t="s">
        <v>4191</v>
      </c>
      <c r="E660" s="8" t="s">
        <v>5401</v>
      </c>
      <c r="F660" s="8" t="s">
        <v>5402</v>
      </c>
      <c r="G660" s="8" t="s">
        <v>3614</v>
      </c>
      <c r="H660" s="8" t="n">
        <v>28</v>
      </c>
      <c r="I660" s="34" t="n">
        <v>28.3</v>
      </c>
      <c r="J660" s="34" t="n">
        <v>29</v>
      </c>
      <c r="K660" s="34" t="n">
        <f aca="false">MAX(ROUNDUP(I660,0),H660)</f>
        <v>29</v>
      </c>
      <c r="L660" s="34" t="n">
        <f aca="false">IF(J660="","",J660-K660)</f>
        <v>0</v>
      </c>
      <c r="M660" s="35" t="n">
        <v>10.4</v>
      </c>
      <c r="N660" s="35" t="n">
        <f aca="false">IF(C660="covered",10.4,7.55)</f>
        <v>10.4</v>
      </c>
      <c r="O660" s="35" t="n">
        <f aca="false">IF(M660="","",M660-N660)</f>
        <v>0</v>
      </c>
      <c r="P660" s="8" t="n">
        <v>1</v>
      </c>
      <c r="Q660" s="36" t="n">
        <v>301.6</v>
      </c>
      <c r="R660" s="36" t="n">
        <f aca="false">IF(OR(J660="",P660=""),"",K660*N660*P660)</f>
        <v>301.6</v>
      </c>
      <c r="S660" s="36" t="n">
        <f aca="false">IF(Q660="","",Q660-R660)</f>
        <v>0</v>
      </c>
      <c r="T660" s="36" t="n">
        <f aca="false">IF(S660="","",MAX(0,-S660))</f>
        <v>-0</v>
      </c>
      <c r="U660" s="36" t="n">
        <f aca="false">IF(S660="","",MAX(0,S660))</f>
        <v>0</v>
      </c>
      <c r="V660" s="8" t="str">
        <f aca="false">IF(J660="","NOT SCORED - NO JULY MONTHLY ROW",IF(OR(ABS(L660)&gt;0.005,ABS(O660)&gt;0.005,ABS(S660)&gt;0.005),"EXCEPTION","OK"))</f>
        <v>OK</v>
      </c>
      <c r="W660" s="8" t="s">
        <v>5403</v>
      </c>
      <c r="X660" s="8" t="s">
        <v>4099</v>
      </c>
      <c r="Y660" s="36" t="n">
        <f aca="false">K660*N660</f>
        <v>301.6</v>
      </c>
    </row>
    <row r="661" customFormat="false" ht="15" hidden="false" customHeight="false" outlineLevel="0" collapsed="false">
      <c r="A661" s="11" t="s">
        <v>372</v>
      </c>
      <c r="B661" s="11" t="s">
        <v>211</v>
      </c>
      <c r="C661" s="11" t="s">
        <v>5306</v>
      </c>
      <c r="D661" s="11" t="s">
        <v>3487</v>
      </c>
      <c r="E661" s="11" t="s">
        <v>5404</v>
      </c>
      <c r="F661" s="11" t="s">
        <v>5405</v>
      </c>
      <c r="G661" s="11" t="s">
        <v>3204</v>
      </c>
      <c r="H661" s="11" t="n">
        <v>28</v>
      </c>
      <c r="I661" s="31" t="n">
        <v>35.6</v>
      </c>
      <c r="J661" s="31" t="n">
        <v>36</v>
      </c>
      <c r="K661" s="31" t="n">
        <f aca="false">MAX(ROUNDUP(I661,0),H661)</f>
        <v>36</v>
      </c>
      <c r="L661" s="31" t="n">
        <f aca="false">IF(J661="","",J661-K661)</f>
        <v>0</v>
      </c>
      <c r="M661" s="32" t="n">
        <v>10.4</v>
      </c>
      <c r="N661" s="32" t="n">
        <f aca="false">IF(C661="covered",10.4,7.55)</f>
        <v>10.4</v>
      </c>
      <c r="O661" s="32" t="n">
        <f aca="false">IF(M661="","",M661-N661)</f>
        <v>0</v>
      </c>
      <c r="P661" s="11" t="n">
        <v>1</v>
      </c>
      <c r="Q661" s="33" t="n">
        <v>374.4</v>
      </c>
      <c r="R661" s="33" t="n">
        <f aca="false">IF(OR(J661="",P661=""),"",K661*N661*P661)</f>
        <v>374.4</v>
      </c>
      <c r="S661" s="33" t="n">
        <f aca="false">IF(Q661="","",Q661-R661)</f>
        <v>0</v>
      </c>
      <c r="T661" s="33" t="n">
        <f aca="false">IF(S661="","",MAX(0,-S661))</f>
        <v>-0</v>
      </c>
      <c r="U661" s="33" t="n">
        <f aca="false">IF(S661="","",MAX(0,S661))</f>
        <v>0</v>
      </c>
      <c r="V661" s="11" t="str">
        <f aca="false">IF(J661="","NOT SCORED - NO JULY MONTHLY ROW",IF(OR(ABS(L661)&gt;0.005,ABS(O661)&gt;0.005,ABS(S661)&gt;0.005),"EXCEPTION","OK"))</f>
        <v>OK</v>
      </c>
      <c r="W661" s="11" t="s">
        <v>5406</v>
      </c>
      <c r="X661" s="11" t="s">
        <v>4099</v>
      </c>
      <c r="Y661" s="33" t="n">
        <f aca="false">K661*N661</f>
        <v>374.4</v>
      </c>
    </row>
    <row r="662" customFormat="false" ht="15" hidden="false" customHeight="false" outlineLevel="0" collapsed="false">
      <c r="A662" s="8" t="s">
        <v>5407</v>
      </c>
      <c r="B662" s="8" t="s">
        <v>211</v>
      </c>
      <c r="C662" s="8" t="s">
        <v>5306</v>
      </c>
      <c r="D662" s="8" t="s">
        <v>3489</v>
      </c>
      <c r="E662" s="8" t="s">
        <v>5408</v>
      </c>
      <c r="F662" s="8" t="s">
        <v>5409</v>
      </c>
      <c r="G662" s="8" t="s">
        <v>4078</v>
      </c>
      <c r="H662" s="8" t="n">
        <v>40</v>
      </c>
      <c r="I662" s="34" t="n">
        <v>23</v>
      </c>
      <c r="J662" s="34" t="n">
        <v>40</v>
      </c>
      <c r="K662" s="34" t="n">
        <f aca="false">MAX(ROUNDUP(I662,0),H662)</f>
        <v>40</v>
      </c>
      <c r="L662" s="34" t="n">
        <f aca="false">IF(J662="","",J662-K662)</f>
        <v>0</v>
      </c>
      <c r="M662" s="35" t="n">
        <v>10.4</v>
      </c>
      <c r="N662" s="35" t="n">
        <f aca="false">IF(C662="covered",10.4,7.55)</f>
        <v>10.4</v>
      </c>
      <c r="O662" s="35" t="n">
        <f aca="false">IF(M662="","",M662-N662)</f>
        <v>0</v>
      </c>
      <c r="P662" s="8" t="n">
        <v>1</v>
      </c>
      <c r="Q662" s="36" t="n">
        <v>416</v>
      </c>
      <c r="R662" s="36" t="n">
        <f aca="false">IF(OR(J662="",P662=""),"",K662*N662*P662)</f>
        <v>416</v>
      </c>
      <c r="S662" s="36" t="n">
        <f aca="false">IF(Q662="","",Q662-R662)</f>
        <v>0</v>
      </c>
      <c r="T662" s="36" t="n">
        <f aca="false">IF(S662="","",MAX(0,-S662))</f>
        <v>-0</v>
      </c>
      <c r="U662" s="36" t="n">
        <f aca="false">IF(S662="","",MAX(0,S662))</f>
        <v>0</v>
      </c>
      <c r="V662" s="8" t="str">
        <f aca="false">IF(J662="","NOT SCORED - NO JULY MONTHLY ROW",IF(OR(ABS(L662)&gt;0.005,ABS(O662)&gt;0.005,ABS(S662)&gt;0.005),"EXCEPTION","OK"))</f>
        <v>OK</v>
      </c>
      <c r="W662" s="8" t="s">
        <v>5410</v>
      </c>
      <c r="X662" s="8" t="s">
        <v>4099</v>
      </c>
      <c r="Y662" s="36" t="n">
        <f aca="false">K662*N662</f>
        <v>416</v>
      </c>
    </row>
    <row r="663" customFormat="false" ht="15" hidden="false" customHeight="false" outlineLevel="0" collapsed="false">
      <c r="A663" s="11" t="s">
        <v>5411</v>
      </c>
      <c r="B663" s="11" t="s">
        <v>211</v>
      </c>
      <c r="C663" s="11" t="s">
        <v>5306</v>
      </c>
      <c r="D663" s="11" t="s">
        <v>3494</v>
      </c>
      <c r="E663" s="11" t="s">
        <v>1271</v>
      </c>
      <c r="F663" s="11" t="s">
        <v>1272</v>
      </c>
      <c r="G663" s="11" t="s">
        <v>3819</v>
      </c>
      <c r="H663" s="11" t="n">
        <v>24</v>
      </c>
      <c r="I663" s="31" t="n">
        <v>41.4</v>
      </c>
      <c r="J663" s="31" t="n">
        <v>42</v>
      </c>
      <c r="K663" s="31" t="n">
        <f aca="false">MAX(ROUNDUP(I663,0),H663)</f>
        <v>42</v>
      </c>
      <c r="L663" s="31" t="n">
        <f aca="false">IF(J663="","",J663-K663)</f>
        <v>0</v>
      </c>
      <c r="M663" s="32" t="n">
        <v>10.4</v>
      </c>
      <c r="N663" s="32" t="n">
        <f aca="false">IF(C663="covered",10.4,7.55)</f>
        <v>10.4</v>
      </c>
      <c r="O663" s="32" t="n">
        <f aca="false">IF(M663="","",M663-N663)</f>
        <v>0</v>
      </c>
      <c r="P663" s="11" t="n">
        <v>1</v>
      </c>
      <c r="Q663" s="33" t="n">
        <v>436.8</v>
      </c>
      <c r="R663" s="33" t="n">
        <f aca="false">IF(OR(J663="",P663=""),"",K663*N663*P663)</f>
        <v>436.8</v>
      </c>
      <c r="S663" s="33" t="n">
        <f aca="false">IF(Q663="","",Q663-R663)</f>
        <v>0</v>
      </c>
      <c r="T663" s="33" t="n">
        <f aca="false">IF(S663="","",MAX(0,-S663))</f>
        <v>-0</v>
      </c>
      <c r="U663" s="33" t="n">
        <f aca="false">IF(S663="","",MAX(0,S663))</f>
        <v>0</v>
      </c>
      <c r="V663" s="11" t="str">
        <f aca="false">IF(J663="","NOT SCORED - NO JULY MONTHLY ROW",IF(OR(ABS(L663)&gt;0.005,ABS(O663)&gt;0.005,ABS(S663)&gt;0.005),"EXCEPTION","OK"))</f>
        <v>OK</v>
      </c>
      <c r="W663" s="11" t="s">
        <v>5412</v>
      </c>
      <c r="X663" s="11" t="s">
        <v>4099</v>
      </c>
      <c r="Y663" s="33" t="n">
        <f aca="false">K663*N663</f>
        <v>436.8</v>
      </c>
    </row>
    <row r="664" customFormat="false" ht="15" hidden="false" customHeight="false" outlineLevel="0" collapsed="false">
      <c r="A664" s="8" t="s">
        <v>1463</v>
      </c>
      <c r="B664" s="8" t="s">
        <v>211</v>
      </c>
      <c r="C664" s="8" t="s">
        <v>5306</v>
      </c>
      <c r="D664" s="8" t="s">
        <v>3502</v>
      </c>
      <c r="E664" s="8" t="s">
        <v>5413</v>
      </c>
      <c r="F664" s="8" t="s">
        <v>5414</v>
      </c>
      <c r="G664" s="8" t="s">
        <v>5415</v>
      </c>
      <c r="H664" s="8" t="n">
        <v>32</v>
      </c>
      <c r="I664" s="34" t="n">
        <v>35.9</v>
      </c>
      <c r="J664" s="34" t="n">
        <v>36</v>
      </c>
      <c r="K664" s="34" t="n">
        <f aca="false">MAX(ROUNDUP(I664,0),H664)</f>
        <v>36</v>
      </c>
      <c r="L664" s="34" t="n">
        <f aca="false">IF(J664="","",J664-K664)</f>
        <v>0</v>
      </c>
      <c r="M664" s="35" t="n">
        <v>10.4</v>
      </c>
      <c r="N664" s="35" t="n">
        <f aca="false">IF(C664="covered",10.4,7.55)</f>
        <v>10.4</v>
      </c>
      <c r="O664" s="35" t="n">
        <f aca="false">IF(M664="","",M664-N664)</f>
        <v>0</v>
      </c>
      <c r="P664" s="8" t="n">
        <v>1</v>
      </c>
      <c r="Q664" s="36" t="n">
        <v>374.4</v>
      </c>
      <c r="R664" s="36" t="n">
        <f aca="false">IF(OR(J664="",P664=""),"",K664*N664*P664)</f>
        <v>374.4</v>
      </c>
      <c r="S664" s="36" t="n">
        <f aca="false">IF(Q664="","",Q664-R664)</f>
        <v>0</v>
      </c>
      <c r="T664" s="36" t="n">
        <f aca="false">IF(S664="","",MAX(0,-S664))</f>
        <v>-0</v>
      </c>
      <c r="U664" s="36" t="n">
        <f aca="false">IF(S664="","",MAX(0,S664))</f>
        <v>0</v>
      </c>
      <c r="V664" s="8" t="str">
        <f aca="false">IF(J664="","NOT SCORED - NO JULY MONTHLY ROW",IF(OR(ABS(L664)&gt;0.005,ABS(O664)&gt;0.005,ABS(S664)&gt;0.005),"EXCEPTION","OK"))</f>
        <v>OK</v>
      </c>
      <c r="W664" s="8" t="s">
        <v>5416</v>
      </c>
      <c r="X664" s="8" t="s">
        <v>4099</v>
      </c>
      <c r="Y664" s="36" t="n">
        <f aca="false">K664*N664</f>
        <v>374.4</v>
      </c>
    </row>
    <row r="665" customFormat="false" ht="15" hidden="false" customHeight="false" outlineLevel="0" collapsed="false">
      <c r="A665" s="11" t="s">
        <v>5417</v>
      </c>
      <c r="B665" s="11" t="s">
        <v>211</v>
      </c>
      <c r="C665" s="11" t="s">
        <v>5306</v>
      </c>
      <c r="D665" s="11" t="s">
        <v>3505</v>
      </c>
      <c r="E665" s="11" t="s">
        <v>5418</v>
      </c>
      <c r="F665" s="11" t="s">
        <v>5419</v>
      </c>
      <c r="G665" s="11" t="s">
        <v>3348</v>
      </c>
      <c r="H665" s="11" t="n">
        <v>32</v>
      </c>
      <c r="I665" s="31" t="n">
        <v>19.8</v>
      </c>
      <c r="J665" s="31" t="n">
        <v>32</v>
      </c>
      <c r="K665" s="31" t="n">
        <f aca="false">MAX(ROUNDUP(I665,0),H665)</f>
        <v>32</v>
      </c>
      <c r="L665" s="31" t="n">
        <f aca="false">IF(J665="","",J665-K665)</f>
        <v>0</v>
      </c>
      <c r="M665" s="32" t="n">
        <v>10.4</v>
      </c>
      <c r="N665" s="32" t="n">
        <f aca="false">IF(C665="covered",10.4,7.55)</f>
        <v>10.4</v>
      </c>
      <c r="O665" s="32" t="n">
        <f aca="false">IF(M665="","",M665-N665)</f>
        <v>0</v>
      </c>
      <c r="P665" s="11" t="n">
        <v>1</v>
      </c>
      <c r="Q665" s="33" t="n">
        <v>332.8</v>
      </c>
      <c r="R665" s="33" t="n">
        <f aca="false">IF(OR(J665="",P665=""),"",K665*N665*P665)</f>
        <v>332.8</v>
      </c>
      <c r="S665" s="33" t="n">
        <f aca="false">IF(Q665="","",Q665-R665)</f>
        <v>0</v>
      </c>
      <c r="T665" s="33" t="n">
        <f aca="false">IF(S665="","",MAX(0,-S665))</f>
        <v>-0</v>
      </c>
      <c r="U665" s="33" t="n">
        <f aca="false">IF(S665="","",MAX(0,S665))</f>
        <v>0</v>
      </c>
      <c r="V665" s="11" t="str">
        <f aca="false">IF(J665="","NOT SCORED - NO JULY MONTHLY ROW",IF(OR(ABS(L665)&gt;0.005,ABS(O665)&gt;0.005,ABS(S665)&gt;0.005),"EXCEPTION","OK"))</f>
        <v>OK</v>
      </c>
      <c r="W665" s="11" t="s">
        <v>5420</v>
      </c>
      <c r="X665" s="11" t="s">
        <v>4099</v>
      </c>
      <c r="Y665" s="33" t="n">
        <f aca="false">K665*N665</f>
        <v>332.8</v>
      </c>
    </row>
    <row r="666" customFormat="false" ht="15" hidden="false" customHeight="false" outlineLevel="0" collapsed="false">
      <c r="A666" s="8" t="s">
        <v>5421</v>
      </c>
      <c r="B666" s="8" t="s">
        <v>211</v>
      </c>
      <c r="C666" s="8" t="s">
        <v>5306</v>
      </c>
      <c r="D666" s="8" t="s">
        <v>3508</v>
      </c>
      <c r="E666" s="8" t="s">
        <v>1346</v>
      </c>
      <c r="F666" s="8" t="s">
        <v>1347</v>
      </c>
      <c r="G666" s="8" t="s">
        <v>5422</v>
      </c>
      <c r="H666" s="8" t="n">
        <v>40</v>
      </c>
      <c r="I666" s="34" t="n">
        <v>24.8</v>
      </c>
      <c r="J666" s="34" t="n">
        <v>40</v>
      </c>
      <c r="K666" s="34" t="n">
        <f aca="false">MAX(ROUNDUP(I666,0),H666)</f>
        <v>40</v>
      </c>
      <c r="L666" s="34" t="n">
        <f aca="false">IF(J666="","",J666-K666)</f>
        <v>0</v>
      </c>
      <c r="M666" s="35" t="n">
        <v>10.4</v>
      </c>
      <c r="N666" s="35" t="n">
        <f aca="false">IF(C666="covered",10.4,7.55)</f>
        <v>10.4</v>
      </c>
      <c r="O666" s="35" t="n">
        <f aca="false">IF(M666="","",M666-N666)</f>
        <v>0</v>
      </c>
      <c r="P666" s="8" t="n">
        <v>1</v>
      </c>
      <c r="Q666" s="36" t="n">
        <v>416</v>
      </c>
      <c r="R666" s="36" t="n">
        <f aca="false">IF(OR(J666="",P666=""),"",K666*N666*P666)</f>
        <v>416</v>
      </c>
      <c r="S666" s="36" t="n">
        <f aca="false">IF(Q666="","",Q666-R666)</f>
        <v>0</v>
      </c>
      <c r="T666" s="36" t="n">
        <f aca="false">IF(S666="","",MAX(0,-S666))</f>
        <v>-0</v>
      </c>
      <c r="U666" s="36" t="n">
        <f aca="false">IF(S666="","",MAX(0,S666))</f>
        <v>0</v>
      </c>
      <c r="V666" s="8" t="str">
        <f aca="false">IF(J666="","NOT SCORED - NO JULY MONTHLY ROW",IF(OR(ABS(L666)&gt;0.005,ABS(O666)&gt;0.005,ABS(S666)&gt;0.005),"EXCEPTION","OK"))</f>
        <v>OK</v>
      </c>
      <c r="W666" s="8" t="s">
        <v>5423</v>
      </c>
      <c r="X666" s="8" t="s">
        <v>4099</v>
      </c>
      <c r="Y666" s="36" t="n">
        <f aca="false">K666*N666</f>
        <v>416</v>
      </c>
    </row>
    <row r="667" customFormat="false" ht="15" hidden="false" customHeight="false" outlineLevel="0" collapsed="false">
      <c r="A667" s="11" t="s">
        <v>5424</v>
      </c>
      <c r="B667" s="11" t="s">
        <v>211</v>
      </c>
      <c r="C667" s="11" t="s">
        <v>5306</v>
      </c>
      <c r="D667" s="11" t="s">
        <v>3518</v>
      </c>
      <c r="E667" s="11" t="s">
        <v>5425</v>
      </c>
      <c r="F667" s="11" t="s">
        <v>5426</v>
      </c>
      <c r="G667" s="11" t="s">
        <v>5427</v>
      </c>
      <c r="H667" s="11" t="n">
        <v>24</v>
      </c>
      <c r="I667" s="31" t="n">
        <v>57.4</v>
      </c>
      <c r="J667" s="31" t="n">
        <v>58</v>
      </c>
      <c r="K667" s="31" t="n">
        <f aca="false">MAX(ROUNDUP(I667,0),H667)</f>
        <v>58</v>
      </c>
      <c r="L667" s="31" t="n">
        <f aca="false">IF(J667="","",J667-K667)</f>
        <v>0</v>
      </c>
      <c r="M667" s="32" t="n">
        <v>10.4</v>
      </c>
      <c r="N667" s="32" t="n">
        <f aca="false">IF(C667="covered",10.4,7.55)</f>
        <v>10.4</v>
      </c>
      <c r="O667" s="32" t="n">
        <f aca="false">IF(M667="","",M667-N667)</f>
        <v>0</v>
      </c>
      <c r="P667" s="11" t="n">
        <v>1</v>
      </c>
      <c r="Q667" s="33" t="n">
        <v>603.2</v>
      </c>
      <c r="R667" s="33" t="n">
        <f aca="false">IF(OR(J667="",P667=""),"",K667*N667*P667)</f>
        <v>603.2</v>
      </c>
      <c r="S667" s="33" t="n">
        <f aca="false">IF(Q667="","",Q667-R667)</f>
        <v>0</v>
      </c>
      <c r="T667" s="33" t="n">
        <f aca="false">IF(S667="","",MAX(0,-S667))</f>
        <v>-0</v>
      </c>
      <c r="U667" s="33" t="n">
        <f aca="false">IF(S667="","",MAX(0,S667))</f>
        <v>0</v>
      </c>
      <c r="V667" s="11" t="str">
        <f aca="false">IF(J667="","NOT SCORED - NO JULY MONTHLY ROW",IF(OR(ABS(L667)&gt;0.005,ABS(O667)&gt;0.005,ABS(S667)&gt;0.005),"EXCEPTION","OK"))</f>
        <v>OK</v>
      </c>
      <c r="W667" s="11" t="s">
        <v>5428</v>
      </c>
      <c r="X667" s="11" t="s">
        <v>4099</v>
      </c>
      <c r="Y667" s="33" t="n">
        <f aca="false">K667*N667</f>
        <v>603.2</v>
      </c>
    </row>
    <row r="668" customFormat="false" ht="15" hidden="false" customHeight="false" outlineLevel="0" collapsed="false">
      <c r="A668" s="8" t="s">
        <v>5429</v>
      </c>
      <c r="B668" s="8" t="s">
        <v>211</v>
      </c>
      <c r="C668" s="8" t="s">
        <v>5306</v>
      </c>
      <c r="D668" s="8" t="s">
        <v>3521</v>
      </c>
      <c r="E668" s="8" t="s">
        <v>5430</v>
      </c>
      <c r="F668" s="8" t="s">
        <v>5431</v>
      </c>
      <c r="G668" s="8" t="s">
        <v>5016</v>
      </c>
      <c r="H668" s="8" t="n">
        <v>40</v>
      </c>
      <c r="I668" s="34" t="n">
        <v>49.7</v>
      </c>
      <c r="J668" s="34" t="n">
        <v>50</v>
      </c>
      <c r="K668" s="34" t="n">
        <f aca="false">MAX(ROUNDUP(I668,0),H668)</f>
        <v>50</v>
      </c>
      <c r="L668" s="34" t="n">
        <f aca="false">IF(J668="","",J668-K668)</f>
        <v>0</v>
      </c>
      <c r="M668" s="35" t="n">
        <v>10.4</v>
      </c>
      <c r="N668" s="35" t="n">
        <f aca="false">IF(C668="covered",10.4,7.55)</f>
        <v>10.4</v>
      </c>
      <c r="O668" s="35" t="n">
        <f aca="false">IF(M668="","",M668-N668)</f>
        <v>0</v>
      </c>
      <c r="P668" s="8" t="n">
        <v>1</v>
      </c>
      <c r="Q668" s="36" t="n">
        <v>520</v>
      </c>
      <c r="R668" s="36" t="n">
        <f aca="false">IF(OR(J668="",P668=""),"",K668*N668*P668)</f>
        <v>520</v>
      </c>
      <c r="S668" s="36" t="n">
        <f aca="false">IF(Q668="","",Q668-R668)</f>
        <v>0</v>
      </c>
      <c r="T668" s="36" t="n">
        <f aca="false">IF(S668="","",MAX(0,-S668))</f>
        <v>-0</v>
      </c>
      <c r="U668" s="36" t="n">
        <f aca="false">IF(S668="","",MAX(0,S668))</f>
        <v>0</v>
      </c>
      <c r="V668" s="8" t="str">
        <f aca="false">IF(J668="","NOT SCORED - NO JULY MONTHLY ROW",IF(OR(ABS(L668)&gt;0.005,ABS(O668)&gt;0.005,ABS(S668)&gt;0.005),"EXCEPTION","OK"))</f>
        <v>OK</v>
      </c>
      <c r="W668" s="8" t="s">
        <v>5432</v>
      </c>
      <c r="X668" s="8" t="s">
        <v>4099</v>
      </c>
      <c r="Y668" s="36" t="n">
        <f aca="false">K668*N668</f>
        <v>520</v>
      </c>
    </row>
    <row r="669" customFormat="false" ht="15" hidden="false" customHeight="false" outlineLevel="0" collapsed="false">
      <c r="A669" s="11" t="s">
        <v>5433</v>
      </c>
      <c r="B669" s="11" t="s">
        <v>211</v>
      </c>
      <c r="C669" s="11" t="s">
        <v>5306</v>
      </c>
      <c r="D669" s="11" t="s">
        <v>3523</v>
      </c>
      <c r="E669" s="11" t="s">
        <v>2396</v>
      </c>
      <c r="F669" s="11" t="s">
        <v>5434</v>
      </c>
      <c r="G669" s="11" t="s">
        <v>4018</v>
      </c>
      <c r="H669" s="11" t="n">
        <v>28</v>
      </c>
      <c r="I669" s="31" t="n">
        <v>31</v>
      </c>
      <c r="J669" s="31" t="n">
        <v>31</v>
      </c>
      <c r="K669" s="31" t="n">
        <f aca="false">MAX(ROUNDUP(I669,0),H669)</f>
        <v>31</v>
      </c>
      <c r="L669" s="31" t="n">
        <f aca="false">IF(J669="","",J669-K669)</f>
        <v>0</v>
      </c>
      <c r="M669" s="32" t="n">
        <v>10.4</v>
      </c>
      <c r="N669" s="32" t="n">
        <f aca="false">IF(C669="covered",10.4,7.55)</f>
        <v>10.4</v>
      </c>
      <c r="O669" s="32" t="n">
        <f aca="false">IF(M669="","",M669-N669)</f>
        <v>0</v>
      </c>
      <c r="P669" s="11" t="n">
        <v>1</v>
      </c>
      <c r="Q669" s="33" t="n">
        <v>322.4</v>
      </c>
      <c r="R669" s="33" t="n">
        <f aca="false">IF(OR(J669="",P669=""),"",K669*N669*P669)</f>
        <v>322.4</v>
      </c>
      <c r="S669" s="33" t="n">
        <f aca="false">IF(Q669="","",Q669-R669)</f>
        <v>0</v>
      </c>
      <c r="T669" s="33" t="n">
        <f aca="false">IF(S669="","",MAX(0,-S669))</f>
        <v>-0</v>
      </c>
      <c r="U669" s="33" t="n">
        <f aca="false">IF(S669="","",MAX(0,S669))</f>
        <v>0</v>
      </c>
      <c r="V669" s="11" t="str">
        <f aca="false">IF(J669="","NOT SCORED - NO JULY MONTHLY ROW",IF(OR(ABS(L669)&gt;0.005,ABS(O669)&gt;0.005,ABS(S669)&gt;0.005),"EXCEPTION","OK"))</f>
        <v>OK</v>
      </c>
      <c r="W669" s="11" t="s">
        <v>5435</v>
      </c>
      <c r="X669" s="11" t="s">
        <v>4099</v>
      </c>
      <c r="Y669" s="33" t="n">
        <f aca="false">K669*N669</f>
        <v>322.4</v>
      </c>
    </row>
    <row r="670" customFormat="false" ht="15" hidden="false" customHeight="false" outlineLevel="0" collapsed="false">
      <c r="A670" s="8" t="s">
        <v>1237</v>
      </c>
      <c r="B670" s="8" t="s">
        <v>211</v>
      </c>
      <c r="C670" s="8" t="s">
        <v>5306</v>
      </c>
      <c r="D670" s="8" t="s">
        <v>3528</v>
      </c>
      <c r="E670" s="8" t="s">
        <v>5436</v>
      </c>
      <c r="F670" s="8" t="s">
        <v>5437</v>
      </c>
      <c r="G670" s="8" t="s">
        <v>3087</v>
      </c>
      <c r="H670" s="8" t="n">
        <v>28</v>
      </c>
      <c r="I670" s="34" t="n">
        <v>26.3</v>
      </c>
      <c r="J670" s="34" t="n">
        <v>28</v>
      </c>
      <c r="K670" s="34" t="n">
        <f aca="false">MAX(ROUNDUP(I670,0),H670)</f>
        <v>28</v>
      </c>
      <c r="L670" s="34" t="n">
        <f aca="false">IF(J670="","",J670-K670)</f>
        <v>0</v>
      </c>
      <c r="M670" s="35" t="n">
        <v>10.4</v>
      </c>
      <c r="N670" s="35" t="n">
        <f aca="false">IF(C670="covered",10.4,7.55)</f>
        <v>10.4</v>
      </c>
      <c r="O670" s="35" t="n">
        <f aca="false">IF(M670="","",M670-N670)</f>
        <v>0</v>
      </c>
      <c r="P670" s="8" t="n">
        <v>1</v>
      </c>
      <c r="Q670" s="36" t="n">
        <v>291.2</v>
      </c>
      <c r="R670" s="36" t="n">
        <f aca="false">IF(OR(J670="",P670=""),"",K670*N670*P670)</f>
        <v>291.2</v>
      </c>
      <c r="S670" s="36" t="n">
        <f aca="false">IF(Q670="","",Q670-R670)</f>
        <v>0</v>
      </c>
      <c r="T670" s="36" t="n">
        <f aca="false">IF(S670="","",MAX(0,-S670))</f>
        <v>-0</v>
      </c>
      <c r="U670" s="36" t="n">
        <f aca="false">IF(S670="","",MAX(0,S670))</f>
        <v>0</v>
      </c>
      <c r="V670" s="8" t="str">
        <f aca="false">IF(J670="","NOT SCORED - NO JULY MONTHLY ROW",IF(OR(ABS(L670)&gt;0.005,ABS(O670)&gt;0.005,ABS(S670)&gt;0.005),"EXCEPTION","OK"))</f>
        <v>OK</v>
      </c>
      <c r="W670" s="8" t="s">
        <v>5438</v>
      </c>
      <c r="X670" s="8" t="s">
        <v>4099</v>
      </c>
      <c r="Y670" s="36" t="n">
        <f aca="false">K670*N670</f>
        <v>291.2</v>
      </c>
    </row>
    <row r="671" customFormat="false" ht="15" hidden="false" customHeight="false" outlineLevel="0" collapsed="false">
      <c r="A671" s="11" t="s">
        <v>134</v>
      </c>
      <c r="B671" s="11" t="s">
        <v>211</v>
      </c>
      <c r="C671" s="11" t="s">
        <v>5306</v>
      </c>
      <c r="D671" s="11" t="s">
        <v>3532</v>
      </c>
      <c r="E671" s="11" t="s">
        <v>5439</v>
      </c>
      <c r="F671" s="11" t="s">
        <v>5440</v>
      </c>
      <c r="G671" s="11" t="s">
        <v>5044</v>
      </c>
      <c r="H671" s="11" t="n">
        <v>32</v>
      </c>
      <c r="I671" s="31" t="n">
        <v>57</v>
      </c>
      <c r="J671" s="31" t="n">
        <v>57</v>
      </c>
      <c r="K671" s="31" t="n">
        <f aca="false">MAX(ROUNDUP(I671,0),H671)</f>
        <v>57</v>
      </c>
      <c r="L671" s="31" t="n">
        <f aca="false">IF(J671="","",J671-K671)</f>
        <v>0</v>
      </c>
      <c r="M671" s="32" t="n">
        <v>10.4</v>
      </c>
      <c r="N671" s="32" t="n">
        <f aca="false">IF(C671="covered",10.4,7.55)</f>
        <v>10.4</v>
      </c>
      <c r="O671" s="32" t="n">
        <f aca="false">IF(M671="","",M671-N671)</f>
        <v>0</v>
      </c>
      <c r="P671" s="11" t="n">
        <v>1</v>
      </c>
      <c r="Q671" s="33" t="n">
        <v>592.8</v>
      </c>
      <c r="R671" s="33" t="n">
        <f aca="false">IF(OR(J671="",P671=""),"",K671*N671*P671)</f>
        <v>592.8</v>
      </c>
      <c r="S671" s="33" t="n">
        <f aca="false">IF(Q671="","",Q671-R671)</f>
        <v>0</v>
      </c>
      <c r="T671" s="33" t="n">
        <f aca="false">IF(S671="","",MAX(0,-S671))</f>
        <v>-0</v>
      </c>
      <c r="U671" s="33" t="n">
        <f aca="false">IF(S671="","",MAX(0,S671))</f>
        <v>0</v>
      </c>
      <c r="V671" s="11" t="str">
        <f aca="false">IF(J671="","NOT SCORED - NO JULY MONTHLY ROW",IF(OR(ABS(L671)&gt;0.005,ABS(O671)&gt;0.005,ABS(S671)&gt;0.005),"EXCEPTION","OK"))</f>
        <v>OK</v>
      </c>
      <c r="W671" s="11" t="s">
        <v>5441</v>
      </c>
      <c r="X671" s="11" t="s">
        <v>4099</v>
      </c>
      <c r="Y671" s="33" t="n">
        <f aca="false">K671*N671</f>
        <v>592.8</v>
      </c>
    </row>
    <row r="672" customFormat="false" ht="15" hidden="false" customHeight="false" outlineLevel="0" collapsed="false">
      <c r="A672" s="8" t="s">
        <v>5442</v>
      </c>
      <c r="B672" s="8" t="s">
        <v>211</v>
      </c>
      <c r="C672" s="8" t="s">
        <v>5306</v>
      </c>
      <c r="D672" s="8" t="s">
        <v>3537</v>
      </c>
      <c r="E672" s="8" t="s">
        <v>5443</v>
      </c>
      <c r="F672" s="8" t="s">
        <v>5444</v>
      </c>
      <c r="G672" s="8" t="s">
        <v>5445</v>
      </c>
      <c r="H672" s="8" t="n">
        <v>40</v>
      </c>
      <c r="I672" s="34" t="n">
        <v>58.7</v>
      </c>
      <c r="J672" s="34" t="n">
        <v>59</v>
      </c>
      <c r="K672" s="34" t="n">
        <f aca="false">MAX(ROUNDUP(I672,0),H672)</f>
        <v>59</v>
      </c>
      <c r="L672" s="34" t="n">
        <f aca="false">IF(J672="","",J672-K672)</f>
        <v>0</v>
      </c>
      <c r="M672" s="35" t="n">
        <v>10.4</v>
      </c>
      <c r="N672" s="35" t="n">
        <f aca="false">IF(C672="covered",10.4,7.55)</f>
        <v>10.4</v>
      </c>
      <c r="O672" s="35" t="n">
        <f aca="false">IF(M672="","",M672-N672)</f>
        <v>0</v>
      </c>
      <c r="P672" s="8" t="n">
        <v>1</v>
      </c>
      <c r="Q672" s="36" t="n">
        <v>613.6</v>
      </c>
      <c r="R672" s="36" t="n">
        <f aca="false">IF(OR(J672="",P672=""),"",K672*N672*P672)</f>
        <v>613.6</v>
      </c>
      <c r="S672" s="36" t="n">
        <f aca="false">IF(Q672="","",Q672-R672)</f>
        <v>0</v>
      </c>
      <c r="T672" s="36" t="n">
        <f aca="false">IF(S672="","",MAX(0,-S672))</f>
        <v>-0</v>
      </c>
      <c r="U672" s="36" t="n">
        <f aca="false">IF(S672="","",MAX(0,S672))</f>
        <v>0</v>
      </c>
      <c r="V672" s="8" t="str">
        <f aca="false">IF(J672="","NOT SCORED - NO JULY MONTHLY ROW",IF(OR(ABS(L672)&gt;0.005,ABS(O672)&gt;0.005,ABS(S672)&gt;0.005),"EXCEPTION","OK"))</f>
        <v>OK</v>
      </c>
      <c r="W672" s="8" t="s">
        <v>5446</v>
      </c>
      <c r="X672" s="8" t="s">
        <v>4099</v>
      </c>
      <c r="Y672" s="36" t="n">
        <f aca="false">K672*N672</f>
        <v>613.6</v>
      </c>
    </row>
    <row r="673" customFormat="false" ht="15" hidden="false" customHeight="false" outlineLevel="0" collapsed="false">
      <c r="A673" s="11" t="s">
        <v>5447</v>
      </c>
      <c r="B673" s="11" t="s">
        <v>211</v>
      </c>
      <c r="C673" s="11" t="s">
        <v>5306</v>
      </c>
      <c r="D673" s="11" t="s">
        <v>3542</v>
      </c>
      <c r="E673" s="11" t="s">
        <v>5448</v>
      </c>
      <c r="F673" s="11" t="s">
        <v>5449</v>
      </c>
      <c r="G673" s="11" t="s">
        <v>3578</v>
      </c>
      <c r="H673" s="11" t="n">
        <v>24</v>
      </c>
      <c r="I673" s="31" t="n">
        <v>41.6</v>
      </c>
      <c r="J673" s="31" t="n">
        <v>42</v>
      </c>
      <c r="K673" s="31" t="n">
        <f aca="false">MAX(ROUNDUP(I673,0),H673)</f>
        <v>42</v>
      </c>
      <c r="L673" s="31" t="n">
        <f aca="false">IF(J673="","",J673-K673)</f>
        <v>0</v>
      </c>
      <c r="M673" s="32" t="n">
        <v>10.4</v>
      </c>
      <c r="N673" s="32" t="n">
        <f aca="false">IF(C673="covered",10.4,7.55)</f>
        <v>10.4</v>
      </c>
      <c r="O673" s="32" t="n">
        <f aca="false">IF(M673="","",M673-N673)</f>
        <v>0</v>
      </c>
      <c r="P673" s="11" t="n">
        <v>1</v>
      </c>
      <c r="Q673" s="33" t="n">
        <v>436.8</v>
      </c>
      <c r="R673" s="33" t="n">
        <f aca="false">IF(OR(J673="",P673=""),"",K673*N673*P673)</f>
        <v>436.8</v>
      </c>
      <c r="S673" s="33" t="n">
        <f aca="false">IF(Q673="","",Q673-R673)</f>
        <v>0</v>
      </c>
      <c r="T673" s="33" t="n">
        <f aca="false">IF(S673="","",MAX(0,-S673))</f>
        <v>-0</v>
      </c>
      <c r="U673" s="33" t="n">
        <f aca="false">IF(S673="","",MAX(0,S673))</f>
        <v>0</v>
      </c>
      <c r="V673" s="11" t="str">
        <f aca="false">IF(J673="","NOT SCORED - NO JULY MONTHLY ROW",IF(OR(ABS(L673)&gt;0.005,ABS(O673)&gt;0.005,ABS(S673)&gt;0.005),"EXCEPTION","OK"))</f>
        <v>OK</v>
      </c>
      <c r="W673" s="11" t="s">
        <v>5450</v>
      </c>
      <c r="X673" s="11" t="s">
        <v>4099</v>
      </c>
      <c r="Y673" s="33" t="n">
        <f aca="false">K673*N673</f>
        <v>436.8</v>
      </c>
    </row>
    <row r="674" customFormat="false" ht="15" hidden="false" customHeight="false" outlineLevel="0" collapsed="false">
      <c r="A674" s="8" t="s">
        <v>558</v>
      </c>
      <c r="B674" s="8" t="s">
        <v>211</v>
      </c>
      <c r="C674" s="8" t="s">
        <v>5306</v>
      </c>
      <c r="D674" s="8" t="s">
        <v>3546</v>
      </c>
      <c r="E674" s="8" t="s">
        <v>5451</v>
      </c>
      <c r="F674" s="8" t="s">
        <v>5452</v>
      </c>
      <c r="G674" s="8" t="s">
        <v>5453</v>
      </c>
      <c r="H674" s="8" t="n">
        <v>28</v>
      </c>
      <c r="I674" s="34" t="n">
        <v>46.9</v>
      </c>
      <c r="J674" s="34" t="n">
        <v>47</v>
      </c>
      <c r="K674" s="34" t="n">
        <f aca="false">MAX(ROUNDUP(I674,0),H674)</f>
        <v>47</v>
      </c>
      <c r="L674" s="34" t="n">
        <f aca="false">IF(J674="","",J674-K674)</f>
        <v>0</v>
      </c>
      <c r="M674" s="35" t="n">
        <v>10.4</v>
      </c>
      <c r="N674" s="35" t="n">
        <f aca="false">IF(C674="covered",10.4,7.55)</f>
        <v>10.4</v>
      </c>
      <c r="O674" s="35" t="n">
        <f aca="false">IF(M674="","",M674-N674)</f>
        <v>0</v>
      </c>
      <c r="P674" s="8" t="n">
        <v>1</v>
      </c>
      <c r="Q674" s="36" t="n">
        <v>488.8</v>
      </c>
      <c r="R674" s="36" t="n">
        <f aca="false">IF(OR(J674="",P674=""),"",K674*N674*P674)</f>
        <v>488.8</v>
      </c>
      <c r="S674" s="36" t="n">
        <f aca="false">IF(Q674="","",Q674-R674)</f>
        <v>0</v>
      </c>
      <c r="T674" s="36" t="n">
        <f aca="false">IF(S674="","",MAX(0,-S674))</f>
        <v>-0</v>
      </c>
      <c r="U674" s="36" t="n">
        <f aca="false">IF(S674="","",MAX(0,S674))</f>
        <v>0</v>
      </c>
      <c r="V674" s="8" t="str">
        <f aca="false">IF(J674="","NOT SCORED - NO JULY MONTHLY ROW",IF(OR(ABS(L674)&gt;0.005,ABS(O674)&gt;0.005,ABS(S674)&gt;0.005),"EXCEPTION","OK"))</f>
        <v>OK</v>
      </c>
      <c r="W674" s="8" t="s">
        <v>5454</v>
      </c>
      <c r="X674" s="8" t="s">
        <v>4099</v>
      </c>
      <c r="Y674" s="36" t="n">
        <f aca="false">K674*N674</f>
        <v>488.8</v>
      </c>
    </row>
    <row r="675" customFormat="false" ht="15" hidden="false" customHeight="false" outlineLevel="0" collapsed="false">
      <c r="A675" s="11" t="s">
        <v>113</v>
      </c>
      <c r="B675" s="11" t="s">
        <v>211</v>
      </c>
      <c r="C675" s="11" t="s">
        <v>5306</v>
      </c>
      <c r="D675" s="11" t="s">
        <v>3551</v>
      </c>
      <c r="E675" s="11" t="s">
        <v>5455</v>
      </c>
      <c r="F675" s="11" t="s">
        <v>5456</v>
      </c>
      <c r="G675" s="11" t="s">
        <v>5415</v>
      </c>
      <c r="H675" s="11" t="n">
        <v>28</v>
      </c>
      <c r="I675" s="31" t="n">
        <v>45.1</v>
      </c>
      <c r="J675" s="31" t="n">
        <v>46</v>
      </c>
      <c r="K675" s="31" t="n">
        <f aca="false">MAX(ROUNDUP(I675,0),H675)</f>
        <v>46</v>
      </c>
      <c r="L675" s="31" t="n">
        <f aca="false">IF(J675="","",J675-K675)</f>
        <v>0</v>
      </c>
      <c r="M675" s="32" t="n">
        <v>10.4</v>
      </c>
      <c r="N675" s="32" t="n">
        <f aca="false">IF(C675="covered",10.4,7.55)</f>
        <v>10.4</v>
      </c>
      <c r="O675" s="32" t="n">
        <f aca="false">IF(M675="","",M675-N675)</f>
        <v>0</v>
      </c>
      <c r="P675" s="11" t="n">
        <v>1</v>
      </c>
      <c r="Q675" s="33" t="n">
        <v>478.4</v>
      </c>
      <c r="R675" s="33" t="n">
        <f aca="false">IF(OR(J675="",P675=""),"",K675*N675*P675)</f>
        <v>478.4</v>
      </c>
      <c r="S675" s="33" t="n">
        <f aca="false">IF(Q675="","",Q675-R675)</f>
        <v>0</v>
      </c>
      <c r="T675" s="33" t="n">
        <f aca="false">IF(S675="","",MAX(0,-S675))</f>
        <v>-0</v>
      </c>
      <c r="U675" s="33" t="n">
        <f aca="false">IF(S675="","",MAX(0,S675))</f>
        <v>0</v>
      </c>
      <c r="V675" s="11" t="str">
        <f aca="false">IF(J675="","NOT SCORED - NO JULY MONTHLY ROW",IF(OR(ABS(L675)&gt;0.005,ABS(O675)&gt;0.005,ABS(S675)&gt;0.005),"EXCEPTION","OK"))</f>
        <v>OK</v>
      </c>
      <c r="W675" s="11" t="s">
        <v>5457</v>
      </c>
      <c r="X675" s="11" t="s">
        <v>4099</v>
      </c>
      <c r="Y675" s="33" t="n">
        <f aca="false">K675*N675</f>
        <v>478.4</v>
      </c>
    </row>
    <row r="676" customFormat="false" ht="15" hidden="false" customHeight="false" outlineLevel="0" collapsed="false">
      <c r="A676" s="8" t="s">
        <v>5458</v>
      </c>
      <c r="B676" s="8" t="s">
        <v>211</v>
      </c>
      <c r="C676" s="8" t="s">
        <v>5306</v>
      </c>
      <c r="D676" s="8" t="s">
        <v>4259</v>
      </c>
      <c r="E676" s="8" t="s">
        <v>5459</v>
      </c>
      <c r="F676" s="8" t="s">
        <v>5460</v>
      </c>
      <c r="G676" s="8" t="s">
        <v>5060</v>
      </c>
      <c r="H676" s="8" t="n">
        <v>24</v>
      </c>
      <c r="I676" s="34" t="n">
        <v>57.8</v>
      </c>
      <c r="J676" s="34" t="n">
        <v>58</v>
      </c>
      <c r="K676" s="34" t="n">
        <f aca="false">MAX(ROUNDUP(I676,0),H676)</f>
        <v>58</v>
      </c>
      <c r="L676" s="34" t="n">
        <f aca="false">IF(J676="","",J676-K676)</f>
        <v>0</v>
      </c>
      <c r="M676" s="35" t="n">
        <v>10.4</v>
      </c>
      <c r="N676" s="35" t="n">
        <f aca="false">IF(C676="covered",10.4,7.55)</f>
        <v>10.4</v>
      </c>
      <c r="O676" s="35" t="n">
        <f aca="false">IF(M676="","",M676-N676)</f>
        <v>0</v>
      </c>
      <c r="P676" s="8" t="n">
        <v>1</v>
      </c>
      <c r="Q676" s="36" t="n">
        <v>603.2</v>
      </c>
      <c r="R676" s="36" t="n">
        <f aca="false">IF(OR(J676="",P676=""),"",K676*N676*P676)</f>
        <v>603.2</v>
      </c>
      <c r="S676" s="36" t="n">
        <f aca="false">IF(Q676="","",Q676-R676)</f>
        <v>0</v>
      </c>
      <c r="T676" s="36" t="n">
        <f aca="false">IF(S676="","",MAX(0,-S676))</f>
        <v>-0</v>
      </c>
      <c r="U676" s="36" t="n">
        <f aca="false">IF(S676="","",MAX(0,S676))</f>
        <v>0</v>
      </c>
      <c r="V676" s="8" t="str">
        <f aca="false">IF(J676="","NOT SCORED - NO JULY MONTHLY ROW",IF(OR(ABS(L676)&gt;0.005,ABS(O676)&gt;0.005,ABS(S676)&gt;0.005),"EXCEPTION","OK"))</f>
        <v>OK</v>
      </c>
      <c r="W676" s="8" t="s">
        <v>5461</v>
      </c>
      <c r="X676" s="8" t="s">
        <v>4099</v>
      </c>
      <c r="Y676" s="36" t="n">
        <f aca="false">K676*N676</f>
        <v>603.2</v>
      </c>
    </row>
    <row r="677" customFormat="false" ht="15" hidden="false" customHeight="false" outlineLevel="0" collapsed="false">
      <c r="A677" s="11" t="s">
        <v>5462</v>
      </c>
      <c r="B677" s="11" t="s">
        <v>211</v>
      </c>
      <c r="C677" s="11" t="s">
        <v>5306</v>
      </c>
      <c r="D677" s="11" t="s">
        <v>3554</v>
      </c>
      <c r="E677" s="11" t="s">
        <v>5463</v>
      </c>
      <c r="F677" s="11" t="s">
        <v>5464</v>
      </c>
      <c r="G677" s="11" t="s">
        <v>3721</v>
      </c>
      <c r="H677" s="11" t="n">
        <v>36</v>
      </c>
      <c r="I677" s="31" t="n">
        <v>25.5</v>
      </c>
      <c r="J677" s="31" t="n">
        <v>36</v>
      </c>
      <c r="K677" s="31" t="n">
        <f aca="false">MAX(ROUNDUP(I677,0),H677)</f>
        <v>36</v>
      </c>
      <c r="L677" s="31" t="n">
        <f aca="false">IF(J677="","",J677-K677)</f>
        <v>0</v>
      </c>
      <c r="M677" s="32" t="n">
        <v>10.4</v>
      </c>
      <c r="N677" s="32" t="n">
        <f aca="false">IF(C677="covered",10.4,7.55)</f>
        <v>10.4</v>
      </c>
      <c r="O677" s="32" t="n">
        <f aca="false">IF(M677="","",M677-N677)</f>
        <v>0</v>
      </c>
      <c r="P677" s="11" t="n">
        <v>1</v>
      </c>
      <c r="Q677" s="33" t="n">
        <v>374.4</v>
      </c>
      <c r="R677" s="33" t="n">
        <f aca="false">IF(OR(J677="",P677=""),"",K677*N677*P677)</f>
        <v>374.4</v>
      </c>
      <c r="S677" s="33" t="n">
        <f aca="false">IF(Q677="","",Q677-R677)</f>
        <v>0</v>
      </c>
      <c r="T677" s="33" t="n">
        <f aca="false">IF(S677="","",MAX(0,-S677))</f>
        <v>-0</v>
      </c>
      <c r="U677" s="33" t="n">
        <f aca="false">IF(S677="","",MAX(0,S677))</f>
        <v>0</v>
      </c>
      <c r="V677" s="11" t="str">
        <f aca="false">IF(J677="","NOT SCORED - NO JULY MONTHLY ROW",IF(OR(ABS(L677)&gt;0.005,ABS(O677)&gt;0.005,ABS(S677)&gt;0.005),"EXCEPTION","OK"))</f>
        <v>OK</v>
      </c>
      <c r="W677" s="11" t="s">
        <v>5465</v>
      </c>
      <c r="X677" s="11" t="s">
        <v>4099</v>
      </c>
      <c r="Y677" s="33" t="n">
        <f aca="false">K677*N677</f>
        <v>374.4</v>
      </c>
    </row>
    <row r="678" customFormat="false" ht="15" hidden="false" customHeight="false" outlineLevel="0" collapsed="false">
      <c r="A678" s="8" t="s">
        <v>5466</v>
      </c>
      <c r="B678" s="8" t="s">
        <v>211</v>
      </c>
      <c r="C678" s="8" t="s">
        <v>5306</v>
      </c>
      <c r="D678" s="8" t="s">
        <v>3558</v>
      </c>
      <c r="E678" s="8" t="s">
        <v>5467</v>
      </c>
      <c r="F678" s="8" t="s">
        <v>5468</v>
      </c>
      <c r="G678" s="8" t="s">
        <v>3774</v>
      </c>
      <c r="H678" s="8" t="n">
        <v>24</v>
      </c>
      <c r="I678" s="34" t="n">
        <v>49.8</v>
      </c>
      <c r="J678" s="34" t="n">
        <v>50</v>
      </c>
      <c r="K678" s="34" t="n">
        <f aca="false">MAX(ROUNDUP(I678,0),H678)</f>
        <v>50</v>
      </c>
      <c r="L678" s="34" t="n">
        <f aca="false">IF(J678="","",J678-K678)</f>
        <v>0</v>
      </c>
      <c r="M678" s="35" t="n">
        <v>10.4</v>
      </c>
      <c r="N678" s="35" t="n">
        <f aca="false">IF(C678="covered",10.4,7.55)</f>
        <v>10.4</v>
      </c>
      <c r="O678" s="35" t="n">
        <f aca="false">IF(M678="","",M678-N678)</f>
        <v>0</v>
      </c>
      <c r="P678" s="8" t="n">
        <v>1</v>
      </c>
      <c r="Q678" s="36" t="n">
        <v>520</v>
      </c>
      <c r="R678" s="36" t="n">
        <f aca="false">IF(OR(J678="",P678=""),"",K678*N678*P678)</f>
        <v>520</v>
      </c>
      <c r="S678" s="36" t="n">
        <f aca="false">IF(Q678="","",Q678-R678)</f>
        <v>0</v>
      </c>
      <c r="T678" s="36" t="n">
        <f aca="false">IF(S678="","",MAX(0,-S678))</f>
        <v>-0</v>
      </c>
      <c r="U678" s="36" t="n">
        <f aca="false">IF(S678="","",MAX(0,S678))</f>
        <v>0</v>
      </c>
      <c r="V678" s="8" t="str">
        <f aca="false">IF(J678="","NOT SCORED - NO JULY MONTHLY ROW",IF(OR(ABS(L678)&gt;0.005,ABS(O678)&gt;0.005,ABS(S678)&gt;0.005),"EXCEPTION","OK"))</f>
        <v>OK</v>
      </c>
      <c r="W678" s="8" t="s">
        <v>5469</v>
      </c>
      <c r="X678" s="8" t="s">
        <v>4099</v>
      </c>
      <c r="Y678" s="36" t="n">
        <f aca="false">K678*N678</f>
        <v>520</v>
      </c>
    </row>
    <row r="679" customFormat="false" ht="15" hidden="false" customHeight="false" outlineLevel="0" collapsed="false">
      <c r="A679" s="11" t="s">
        <v>5470</v>
      </c>
      <c r="B679" s="11" t="s">
        <v>211</v>
      </c>
      <c r="C679" s="11" t="s">
        <v>5306</v>
      </c>
      <c r="D679" s="11" t="s">
        <v>3563</v>
      </c>
      <c r="E679" s="11" t="s">
        <v>5471</v>
      </c>
      <c r="F679" s="11" t="s">
        <v>5472</v>
      </c>
      <c r="G679" s="11" t="s">
        <v>5473</v>
      </c>
      <c r="H679" s="11" t="n">
        <v>40</v>
      </c>
      <c r="I679" s="31" t="n">
        <v>26.7</v>
      </c>
      <c r="J679" s="31" t="n">
        <v>40</v>
      </c>
      <c r="K679" s="31" t="n">
        <f aca="false">MAX(ROUNDUP(I679,0),H679)</f>
        <v>40</v>
      </c>
      <c r="L679" s="31" t="n">
        <f aca="false">IF(J679="","",J679-K679)</f>
        <v>0</v>
      </c>
      <c r="M679" s="32" t="n">
        <v>10.4</v>
      </c>
      <c r="N679" s="32" t="n">
        <f aca="false">IF(C679="covered",10.4,7.55)</f>
        <v>10.4</v>
      </c>
      <c r="O679" s="32" t="n">
        <f aca="false">IF(M679="","",M679-N679)</f>
        <v>0</v>
      </c>
      <c r="P679" s="11" t="n">
        <v>1</v>
      </c>
      <c r="Q679" s="33" t="n">
        <v>416</v>
      </c>
      <c r="R679" s="33" t="n">
        <f aca="false">IF(OR(J679="",P679=""),"",K679*N679*P679)</f>
        <v>416</v>
      </c>
      <c r="S679" s="33" t="n">
        <f aca="false">IF(Q679="","",Q679-R679)</f>
        <v>0</v>
      </c>
      <c r="T679" s="33" t="n">
        <f aca="false">IF(S679="","",MAX(0,-S679))</f>
        <v>-0</v>
      </c>
      <c r="U679" s="33" t="n">
        <f aca="false">IF(S679="","",MAX(0,S679))</f>
        <v>0</v>
      </c>
      <c r="V679" s="11" t="str">
        <f aca="false">IF(J679="","NOT SCORED - NO JULY MONTHLY ROW",IF(OR(ABS(L679)&gt;0.005,ABS(O679)&gt;0.005,ABS(S679)&gt;0.005),"EXCEPTION","OK"))</f>
        <v>OK</v>
      </c>
      <c r="W679" s="11" t="s">
        <v>5474</v>
      </c>
      <c r="X679" s="11" t="s">
        <v>4099</v>
      </c>
      <c r="Y679" s="33" t="n">
        <f aca="false">K679*N679</f>
        <v>416</v>
      </c>
    </row>
    <row r="680" customFormat="false" ht="15" hidden="false" customHeight="false" outlineLevel="0" collapsed="false">
      <c r="A680" s="8" t="s">
        <v>5475</v>
      </c>
      <c r="B680" s="8" t="s">
        <v>211</v>
      </c>
      <c r="C680" s="8" t="s">
        <v>5306</v>
      </c>
      <c r="D680" s="8" t="s">
        <v>3568</v>
      </c>
      <c r="E680" s="8" t="s">
        <v>5476</v>
      </c>
      <c r="F680" s="8" t="s">
        <v>5477</v>
      </c>
      <c r="G680" s="8" t="s">
        <v>3299</v>
      </c>
      <c r="H680" s="8" t="n">
        <v>28</v>
      </c>
      <c r="I680" s="34" t="n">
        <v>18.4</v>
      </c>
      <c r="J680" s="34" t="n">
        <v>28</v>
      </c>
      <c r="K680" s="34" t="n">
        <f aca="false">MAX(ROUNDUP(I680,0),H680)</f>
        <v>28</v>
      </c>
      <c r="L680" s="34" t="n">
        <f aca="false">IF(J680="","",J680-K680)</f>
        <v>0</v>
      </c>
      <c r="M680" s="35" t="n">
        <v>10.4</v>
      </c>
      <c r="N680" s="35" t="n">
        <f aca="false">IF(C680="covered",10.4,7.55)</f>
        <v>10.4</v>
      </c>
      <c r="O680" s="35" t="n">
        <f aca="false">IF(M680="","",M680-N680)</f>
        <v>0</v>
      </c>
      <c r="P680" s="8" t="n">
        <v>1</v>
      </c>
      <c r="Q680" s="36" t="n">
        <v>291.2</v>
      </c>
      <c r="R680" s="36" t="n">
        <f aca="false">IF(OR(J680="",P680=""),"",K680*N680*P680)</f>
        <v>291.2</v>
      </c>
      <c r="S680" s="36" t="n">
        <f aca="false">IF(Q680="","",Q680-R680)</f>
        <v>0</v>
      </c>
      <c r="T680" s="36" t="n">
        <f aca="false">IF(S680="","",MAX(0,-S680))</f>
        <v>-0</v>
      </c>
      <c r="U680" s="36" t="n">
        <f aca="false">IF(S680="","",MAX(0,S680))</f>
        <v>0</v>
      </c>
      <c r="V680" s="8" t="str">
        <f aca="false">IF(J680="","NOT SCORED - NO JULY MONTHLY ROW",IF(OR(ABS(L680)&gt;0.005,ABS(O680)&gt;0.005,ABS(S680)&gt;0.005),"EXCEPTION","OK"))</f>
        <v>OK</v>
      </c>
      <c r="W680" s="8" t="s">
        <v>5478</v>
      </c>
      <c r="X680" s="8" t="s">
        <v>4099</v>
      </c>
      <c r="Y680" s="36" t="n">
        <f aca="false">K680*N680</f>
        <v>291.2</v>
      </c>
    </row>
    <row r="681" customFormat="false" ht="15" hidden="false" customHeight="false" outlineLevel="0" collapsed="false">
      <c r="A681" s="11" t="s">
        <v>5479</v>
      </c>
      <c r="B681" s="11" t="s">
        <v>211</v>
      </c>
      <c r="C681" s="11" t="s">
        <v>5306</v>
      </c>
      <c r="D681" s="11" t="s">
        <v>3571</v>
      </c>
      <c r="E681" s="11" t="s">
        <v>2668</v>
      </c>
      <c r="F681" s="11" t="s">
        <v>5480</v>
      </c>
      <c r="G681" s="11" t="s">
        <v>3561</v>
      </c>
      <c r="H681" s="11" t="n">
        <v>32</v>
      </c>
      <c r="I681" s="31" t="n">
        <v>37.3</v>
      </c>
      <c r="J681" s="31" t="n">
        <v>38</v>
      </c>
      <c r="K681" s="31" t="n">
        <f aca="false">MAX(ROUNDUP(I681,0),H681)</f>
        <v>38</v>
      </c>
      <c r="L681" s="31" t="n">
        <f aca="false">IF(J681="","",J681-K681)</f>
        <v>0</v>
      </c>
      <c r="M681" s="32" t="n">
        <v>10.4</v>
      </c>
      <c r="N681" s="32" t="n">
        <f aca="false">IF(C681="covered",10.4,7.55)</f>
        <v>10.4</v>
      </c>
      <c r="O681" s="32" t="n">
        <f aca="false">IF(M681="","",M681-N681)</f>
        <v>0</v>
      </c>
      <c r="P681" s="11" t="n">
        <v>1</v>
      </c>
      <c r="Q681" s="33" t="n">
        <v>395.2</v>
      </c>
      <c r="R681" s="33" t="n">
        <f aca="false">IF(OR(J681="",P681=""),"",K681*N681*P681)</f>
        <v>395.2</v>
      </c>
      <c r="S681" s="33" t="n">
        <f aca="false">IF(Q681="","",Q681-R681)</f>
        <v>0</v>
      </c>
      <c r="T681" s="33" t="n">
        <f aca="false">IF(S681="","",MAX(0,-S681))</f>
        <v>-0</v>
      </c>
      <c r="U681" s="33" t="n">
        <f aca="false">IF(S681="","",MAX(0,S681))</f>
        <v>0</v>
      </c>
      <c r="V681" s="11" t="str">
        <f aca="false">IF(J681="","NOT SCORED - NO JULY MONTHLY ROW",IF(OR(ABS(L681)&gt;0.005,ABS(O681)&gt;0.005,ABS(S681)&gt;0.005),"EXCEPTION","OK"))</f>
        <v>OK</v>
      </c>
      <c r="W681" s="11" t="s">
        <v>5481</v>
      </c>
      <c r="X681" s="11" t="s">
        <v>4099</v>
      </c>
      <c r="Y681" s="33" t="n">
        <f aca="false">K681*N681</f>
        <v>395.2</v>
      </c>
    </row>
    <row r="682" customFormat="false" ht="15" hidden="false" customHeight="false" outlineLevel="0" collapsed="false">
      <c r="A682" s="8" t="s">
        <v>1170</v>
      </c>
      <c r="B682" s="8" t="s">
        <v>211</v>
      </c>
      <c r="C682" s="8" t="s">
        <v>5306</v>
      </c>
      <c r="D682" s="8" t="s">
        <v>3575</v>
      </c>
      <c r="E682" s="8" t="s">
        <v>5482</v>
      </c>
      <c r="F682" s="8" t="s">
        <v>5483</v>
      </c>
      <c r="G682" s="8" t="s">
        <v>5284</v>
      </c>
      <c r="H682" s="8" t="n">
        <v>32</v>
      </c>
      <c r="I682" s="34" t="n">
        <v>54</v>
      </c>
      <c r="J682" s="34" t="n">
        <v>54</v>
      </c>
      <c r="K682" s="34" t="n">
        <f aca="false">MAX(ROUNDUP(I682,0),H682)</f>
        <v>54</v>
      </c>
      <c r="L682" s="34" t="n">
        <f aca="false">IF(J682="","",J682-K682)</f>
        <v>0</v>
      </c>
      <c r="M682" s="35" t="n">
        <v>10.4</v>
      </c>
      <c r="N682" s="35" t="n">
        <f aca="false">IF(C682="covered",10.4,7.55)</f>
        <v>10.4</v>
      </c>
      <c r="O682" s="35" t="n">
        <f aca="false">IF(M682="","",M682-N682)</f>
        <v>0</v>
      </c>
      <c r="P682" s="8" t="n">
        <v>1</v>
      </c>
      <c r="Q682" s="36" t="n">
        <v>561.6</v>
      </c>
      <c r="R682" s="36" t="n">
        <f aca="false">IF(OR(J682="",P682=""),"",K682*N682*P682)</f>
        <v>561.6</v>
      </c>
      <c r="S682" s="36" t="n">
        <f aca="false">IF(Q682="","",Q682-R682)</f>
        <v>0</v>
      </c>
      <c r="T682" s="36" t="n">
        <f aca="false">IF(S682="","",MAX(0,-S682))</f>
        <v>-0</v>
      </c>
      <c r="U682" s="36" t="n">
        <f aca="false">IF(S682="","",MAX(0,S682))</f>
        <v>0</v>
      </c>
      <c r="V682" s="8" t="str">
        <f aca="false">IF(J682="","NOT SCORED - NO JULY MONTHLY ROW",IF(OR(ABS(L682)&gt;0.005,ABS(O682)&gt;0.005,ABS(S682)&gt;0.005),"EXCEPTION","OK"))</f>
        <v>OK</v>
      </c>
      <c r="W682" s="8" t="s">
        <v>5484</v>
      </c>
      <c r="X682" s="8" t="s">
        <v>4099</v>
      </c>
      <c r="Y682" s="36" t="n">
        <f aca="false">K682*N682</f>
        <v>561.6</v>
      </c>
    </row>
    <row r="683" customFormat="false" ht="15" hidden="false" customHeight="false" outlineLevel="0" collapsed="false">
      <c r="A683" s="11" t="s">
        <v>5485</v>
      </c>
      <c r="B683" s="11" t="s">
        <v>211</v>
      </c>
      <c r="C683" s="11" t="s">
        <v>5306</v>
      </c>
      <c r="D683" s="11" t="s">
        <v>3584</v>
      </c>
      <c r="E683" s="11" t="s">
        <v>2515</v>
      </c>
      <c r="F683" s="11" t="s">
        <v>5486</v>
      </c>
      <c r="G683" s="11" t="s">
        <v>3838</v>
      </c>
      <c r="H683" s="11" t="n">
        <v>32</v>
      </c>
      <c r="I683" s="31" t="n">
        <v>19.4</v>
      </c>
      <c r="J683" s="31" t="n">
        <v>32</v>
      </c>
      <c r="K683" s="31" t="n">
        <f aca="false">MAX(ROUNDUP(I683,0),H683)</f>
        <v>32</v>
      </c>
      <c r="L683" s="31" t="n">
        <f aca="false">IF(J683="","",J683-K683)</f>
        <v>0</v>
      </c>
      <c r="M683" s="32" t="n">
        <v>10.4</v>
      </c>
      <c r="N683" s="32" t="n">
        <f aca="false">IF(C683="covered",10.4,7.55)</f>
        <v>10.4</v>
      </c>
      <c r="O683" s="32" t="n">
        <f aca="false">IF(M683="","",M683-N683)</f>
        <v>0</v>
      </c>
      <c r="P683" s="11" t="n">
        <v>1</v>
      </c>
      <c r="Q683" s="33" t="n">
        <v>332.8</v>
      </c>
      <c r="R683" s="33" t="n">
        <f aca="false">IF(OR(J683="",P683=""),"",K683*N683*P683)</f>
        <v>332.8</v>
      </c>
      <c r="S683" s="33" t="n">
        <f aca="false">IF(Q683="","",Q683-R683)</f>
        <v>0</v>
      </c>
      <c r="T683" s="33" t="n">
        <f aca="false">IF(S683="","",MAX(0,-S683))</f>
        <v>-0</v>
      </c>
      <c r="U683" s="33" t="n">
        <f aca="false">IF(S683="","",MAX(0,S683))</f>
        <v>0</v>
      </c>
      <c r="V683" s="11" t="str">
        <f aca="false">IF(J683="","NOT SCORED - NO JULY MONTHLY ROW",IF(OR(ABS(L683)&gt;0.005,ABS(O683)&gt;0.005,ABS(S683)&gt;0.005),"EXCEPTION","OK"))</f>
        <v>OK</v>
      </c>
      <c r="W683" s="11" t="s">
        <v>5487</v>
      </c>
      <c r="X683" s="11" t="s">
        <v>4099</v>
      </c>
      <c r="Y683" s="33" t="n">
        <f aca="false">K683*N683</f>
        <v>332.8</v>
      </c>
    </row>
    <row r="684" customFormat="false" ht="15" hidden="false" customHeight="false" outlineLevel="0" collapsed="false">
      <c r="A684" s="8" t="s">
        <v>5488</v>
      </c>
      <c r="B684" s="8" t="s">
        <v>211</v>
      </c>
      <c r="C684" s="8" t="s">
        <v>5306</v>
      </c>
      <c r="D684" s="8" t="s">
        <v>3588</v>
      </c>
      <c r="E684" s="8" t="s">
        <v>5489</v>
      </c>
      <c r="F684" s="8" t="s">
        <v>5490</v>
      </c>
      <c r="G684" s="8" t="s">
        <v>3954</v>
      </c>
      <c r="H684" s="8" t="n">
        <v>32</v>
      </c>
      <c r="I684" s="34" t="n">
        <v>54.1</v>
      </c>
      <c r="J684" s="34" t="n">
        <v>55</v>
      </c>
      <c r="K684" s="34" t="n">
        <f aca="false">MAX(ROUNDUP(I684,0),H684)</f>
        <v>55</v>
      </c>
      <c r="L684" s="34" t="n">
        <f aca="false">IF(J684="","",J684-K684)</f>
        <v>0</v>
      </c>
      <c r="M684" s="35" t="n">
        <v>10.4</v>
      </c>
      <c r="N684" s="35" t="n">
        <f aca="false">IF(C684="covered",10.4,7.55)</f>
        <v>10.4</v>
      </c>
      <c r="O684" s="35" t="n">
        <f aca="false">IF(M684="","",M684-N684)</f>
        <v>0</v>
      </c>
      <c r="P684" s="8" t="n">
        <v>1</v>
      </c>
      <c r="Q684" s="36" t="n">
        <v>572</v>
      </c>
      <c r="R684" s="36" t="n">
        <f aca="false">IF(OR(J684="",P684=""),"",K684*N684*P684)</f>
        <v>572</v>
      </c>
      <c r="S684" s="36" t="n">
        <f aca="false">IF(Q684="","",Q684-R684)</f>
        <v>0</v>
      </c>
      <c r="T684" s="36" t="n">
        <f aca="false">IF(S684="","",MAX(0,-S684))</f>
        <v>-0</v>
      </c>
      <c r="U684" s="36" t="n">
        <f aca="false">IF(S684="","",MAX(0,S684))</f>
        <v>0</v>
      </c>
      <c r="V684" s="8" t="str">
        <f aca="false">IF(J684="","NOT SCORED - NO JULY MONTHLY ROW",IF(OR(ABS(L684)&gt;0.005,ABS(O684)&gt;0.005,ABS(S684)&gt;0.005),"EXCEPTION","OK"))</f>
        <v>OK</v>
      </c>
      <c r="W684" s="8" t="s">
        <v>5491</v>
      </c>
      <c r="X684" s="8" t="s">
        <v>4099</v>
      </c>
      <c r="Y684" s="36" t="n">
        <f aca="false">K684*N684</f>
        <v>572</v>
      </c>
    </row>
    <row r="685" customFormat="false" ht="15" hidden="false" customHeight="false" outlineLevel="0" collapsed="false">
      <c r="A685" s="11" t="s">
        <v>873</v>
      </c>
      <c r="B685" s="11" t="s">
        <v>211</v>
      </c>
      <c r="C685" s="11" t="s">
        <v>5306</v>
      </c>
      <c r="D685" s="11" t="s">
        <v>3591</v>
      </c>
      <c r="E685" s="11" t="s">
        <v>5492</v>
      </c>
      <c r="F685" s="11" t="s">
        <v>5493</v>
      </c>
      <c r="G685" s="11" t="s">
        <v>5494</v>
      </c>
      <c r="H685" s="11" t="n">
        <v>36</v>
      </c>
      <c r="I685" s="31" t="n">
        <v>60.7</v>
      </c>
      <c r="J685" s="31" t="n">
        <v>61</v>
      </c>
      <c r="K685" s="31" t="n">
        <f aca="false">MAX(ROUNDUP(I685,0),H685)</f>
        <v>61</v>
      </c>
      <c r="L685" s="31" t="n">
        <f aca="false">IF(J685="","",J685-K685)</f>
        <v>0</v>
      </c>
      <c r="M685" s="32" t="n">
        <v>10.4</v>
      </c>
      <c r="N685" s="32" t="n">
        <f aca="false">IF(C685="covered",10.4,7.55)</f>
        <v>10.4</v>
      </c>
      <c r="O685" s="32" t="n">
        <f aca="false">IF(M685="","",M685-N685)</f>
        <v>0</v>
      </c>
      <c r="P685" s="11" t="n">
        <v>1</v>
      </c>
      <c r="Q685" s="33" t="n">
        <v>634.4</v>
      </c>
      <c r="R685" s="33" t="n">
        <f aca="false">IF(OR(J685="",P685=""),"",K685*N685*P685)</f>
        <v>634.4</v>
      </c>
      <c r="S685" s="33" t="n">
        <f aca="false">IF(Q685="","",Q685-R685)</f>
        <v>0</v>
      </c>
      <c r="T685" s="33" t="n">
        <f aca="false">IF(S685="","",MAX(0,-S685))</f>
        <v>-0</v>
      </c>
      <c r="U685" s="33" t="n">
        <f aca="false">IF(S685="","",MAX(0,S685))</f>
        <v>0</v>
      </c>
      <c r="V685" s="11" t="str">
        <f aca="false">IF(J685="","NOT SCORED - NO JULY MONTHLY ROW",IF(OR(ABS(L685)&gt;0.005,ABS(O685)&gt;0.005,ABS(S685)&gt;0.005),"EXCEPTION","OK"))</f>
        <v>OK</v>
      </c>
      <c r="W685" s="11" t="s">
        <v>5495</v>
      </c>
      <c r="X685" s="11" t="s">
        <v>4099</v>
      </c>
      <c r="Y685" s="33" t="n">
        <f aca="false">K685*N685</f>
        <v>634.4</v>
      </c>
    </row>
    <row r="686" customFormat="false" ht="15" hidden="false" customHeight="false" outlineLevel="0" collapsed="false">
      <c r="A686" s="8" t="s">
        <v>5496</v>
      </c>
      <c r="B686" s="8" t="s">
        <v>211</v>
      </c>
      <c r="C686" s="8" t="s">
        <v>5306</v>
      </c>
      <c r="D686" s="8" t="s">
        <v>3601</v>
      </c>
      <c r="E686" s="8" t="s">
        <v>5497</v>
      </c>
      <c r="F686" s="8" t="s">
        <v>5498</v>
      </c>
      <c r="G686" s="8" t="s">
        <v>4023</v>
      </c>
      <c r="H686" s="8" t="n">
        <v>40</v>
      </c>
      <c r="I686" s="34" t="n">
        <v>42.3</v>
      </c>
      <c r="J686" s="34" t="n">
        <v>43</v>
      </c>
      <c r="K686" s="34" t="n">
        <f aca="false">MAX(ROUNDUP(I686,0),H686)</f>
        <v>43</v>
      </c>
      <c r="L686" s="34" t="n">
        <f aca="false">IF(J686="","",J686-K686)</f>
        <v>0</v>
      </c>
      <c r="M686" s="35" t="n">
        <v>10.4</v>
      </c>
      <c r="N686" s="35" t="n">
        <f aca="false">IF(C686="covered",10.4,7.55)</f>
        <v>10.4</v>
      </c>
      <c r="O686" s="35" t="n">
        <f aca="false">IF(M686="","",M686-N686)</f>
        <v>0</v>
      </c>
      <c r="P686" s="8" t="n">
        <v>1</v>
      </c>
      <c r="Q686" s="36" t="n">
        <v>447.2</v>
      </c>
      <c r="R686" s="36" t="n">
        <f aca="false">IF(OR(J686="",P686=""),"",K686*N686*P686)</f>
        <v>447.2</v>
      </c>
      <c r="S686" s="36" t="n">
        <f aca="false">IF(Q686="","",Q686-R686)</f>
        <v>0</v>
      </c>
      <c r="T686" s="36" t="n">
        <f aca="false">IF(S686="","",MAX(0,-S686))</f>
        <v>-0</v>
      </c>
      <c r="U686" s="36" t="n">
        <f aca="false">IF(S686="","",MAX(0,S686))</f>
        <v>0</v>
      </c>
      <c r="V686" s="8" t="str">
        <f aca="false">IF(J686="","NOT SCORED - NO JULY MONTHLY ROW",IF(OR(ABS(L686)&gt;0.005,ABS(O686)&gt;0.005,ABS(S686)&gt;0.005),"EXCEPTION","OK"))</f>
        <v>OK</v>
      </c>
      <c r="W686" s="8" t="s">
        <v>5499</v>
      </c>
      <c r="X686" s="8" t="s">
        <v>4099</v>
      </c>
      <c r="Y686" s="36" t="n">
        <f aca="false">K686*N686</f>
        <v>447.2</v>
      </c>
    </row>
    <row r="687" customFormat="false" ht="15" hidden="false" customHeight="false" outlineLevel="0" collapsed="false">
      <c r="A687" s="11" t="s">
        <v>5500</v>
      </c>
      <c r="B687" s="11" t="s">
        <v>211</v>
      </c>
      <c r="C687" s="11" t="s">
        <v>5306</v>
      </c>
      <c r="D687" s="11" t="s">
        <v>3606</v>
      </c>
      <c r="E687" s="11" t="s">
        <v>5501</v>
      </c>
      <c r="F687" s="11" t="s">
        <v>5502</v>
      </c>
      <c r="G687" s="11" t="s">
        <v>5503</v>
      </c>
      <c r="H687" s="11" t="n">
        <v>24</v>
      </c>
      <c r="I687" s="31" t="n">
        <v>23.9</v>
      </c>
      <c r="J687" s="31" t="n">
        <v>24</v>
      </c>
      <c r="K687" s="31" t="n">
        <f aca="false">MAX(ROUNDUP(I687,0),H687)</f>
        <v>24</v>
      </c>
      <c r="L687" s="31" t="n">
        <f aca="false">IF(J687="","",J687-K687)</f>
        <v>0</v>
      </c>
      <c r="M687" s="32" t="n">
        <v>10.4</v>
      </c>
      <c r="N687" s="32" t="n">
        <f aca="false">IF(C687="covered",10.4,7.55)</f>
        <v>10.4</v>
      </c>
      <c r="O687" s="32" t="n">
        <f aca="false">IF(M687="","",M687-N687)</f>
        <v>0</v>
      </c>
      <c r="P687" s="11" t="n">
        <v>1</v>
      </c>
      <c r="Q687" s="33" t="n">
        <v>249.6</v>
      </c>
      <c r="R687" s="33" t="n">
        <f aca="false">IF(OR(J687="",P687=""),"",K687*N687*P687)</f>
        <v>249.6</v>
      </c>
      <c r="S687" s="33" t="n">
        <f aca="false">IF(Q687="","",Q687-R687)</f>
        <v>0</v>
      </c>
      <c r="T687" s="33" t="n">
        <f aca="false">IF(S687="","",MAX(0,-S687))</f>
        <v>-0</v>
      </c>
      <c r="U687" s="33" t="n">
        <f aca="false">IF(S687="","",MAX(0,S687))</f>
        <v>0</v>
      </c>
      <c r="V687" s="11" t="str">
        <f aca="false">IF(J687="","NOT SCORED - NO JULY MONTHLY ROW",IF(OR(ABS(L687)&gt;0.005,ABS(O687)&gt;0.005,ABS(S687)&gt;0.005),"EXCEPTION","OK"))</f>
        <v>OK</v>
      </c>
      <c r="W687" s="11" t="s">
        <v>5504</v>
      </c>
      <c r="X687" s="11" t="s">
        <v>4099</v>
      </c>
      <c r="Y687" s="33" t="n">
        <f aca="false">K687*N687</f>
        <v>249.6</v>
      </c>
    </row>
    <row r="688" customFormat="false" ht="15" hidden="false" customHeight="false" outlineLevel="0" collapsed="false">
      <c r="A688" s="8" t="s">
        <v>1913</v>
      </c>
      <c r="B688" s="8" t="s">
        <v>211</v>
      </c>
      <c r="C688" s="8" t="s">
        <v>5306</v>
      </c>
      <c r="D688" s="8" t="s">
        <v>3611</v>
      </c>
      <c r="E688" s="8" t="s">
        <v>2280</v>
      </c>
      <c r="F688" s="8" t="s">
        <v>5505</v>
      </c>
      <c r="G688" s="8" t="s">
        <v>2919</v>
      </c>
      <c r="H688" s="8" t="n">
        <v>24</v>
      </c>
      <c r="I688" s="34" t="n">
        <v>31.1</v>
      </c>
      <c r="J688" s="34" t="n">
        <v>32</v>
      </c>
      <c r="K688" s="34" t="n">
        <f aca="false">MAX(ROUNDUP(I688,0),H688)</f>
        <v>32</v>
      </c>
      <c r="L688" s="34" t="n">
        <f aca="false">IF(J688="","",J688-K688)</f>
        <v>0</v>
      </c>
      <c r="M688" s="35" t="n">
        <v>10.4</v>
      </c>
      <c r="N688" s="35" t="n">
        <f aca="false">IF(C688="covered",10.4,7.55)</f>
        <v>10.4</v>
      </c>
      <c r="O688" s="35" t="n">
        <f aca="false">IF(M688="","",M688-N688)</f>
        <v>0</v>
      </c>
      <c r="P688" s="8" t="n">
        <v>1</v>
      </c>
      <c r="Q688" s="36" t="n">
        <v>332.8</v>
      </c>
      <c r="R688" s="36" t="n">
        <f aca="false">IF(OR(J688="",P688=""),"",K688*N688*P688)</f>
        <v>332.8</v>
      </c>
      <c r="S688" s="36" t="n">
        <f aca="false">IF(Q688="","",Q688-R688)</f>
        <v>0</v>
      </c>
      <c r="T688" s="36" t="n">
        <f aca="false">IF(S688="","",MAX(0,-S688))</f>
        <v>-0</v>
      </c>
      <c r="U688" s="36" t="n">
        <f aca="false">IF(S688="","",MAX(0,S688))</f>
        <v>0</v>
      </c>
      <c r="V688" s="8" t="str">
        <f aca="false">IF(J688="","NOT SCORED - NO JULY MONTHLY ROW",IF(OR(ABS(L688)&gt;0.005,ABS(O688)&gt;0.005,ABS(S688)&gt;0.005),"EXCEPTION","OK"))</f>
        <v>OK</v>
      </c>
      <c r="W688" s="8" t="s">
        <v>5506</v>
      </c>
      <c r="X688" s="8" t="s">
        <v>4099</v>
      </c>
      <c r="Y688" s="36" t="n">
        <f aca="false">K688*N688</f>
        <v>332.8</v>
      </c>
    </row>
    <row r="689" customFormat="false" ht="15" hidden="false" customHeight="false" outlineLevel="0" collapsed="false">
      <c r="A689" s="11" t="s">
        <v>5507</v>
      </c>
      <c r="B689" s="11" t="s">
        <v>211</v>
      </c>
      <c r="C689" s="11" t="s">
        <v>5306</v>
      </c>
      <c r="D689" s="11" t="s">
        <v>3615</v>
      </c>
      <c r="E689" s="11" t="s">
        <v>5508</v>
      </c>
      <c r="F689" s="11" t="s">
        <v>5509</v>
      </c>
      <c r="G689" s="11" t="s">
        <v>3791</v>
      </c>
      <c r="H689" s="11" t="n">
        <v>32</v>
      </c>
      <c r="I689" s="31" t="n">
        <v>24.8</v>
      </c>
      <c r="J689" s="31" t="n">
        <v>32</v>
      </c>
      <c r="K689" s="31" t="n">
        <f aca="false">MAX(ROUNDUP(I689,0),H689)</f>
        <v>32</v>
      </c>
      <c r="L689" s="31" t="n">
        <f aca="false">IF(J689="","",J689-K689)</f>
        <v>0</v>
      </c>
      <c r="M689" s="32" t="n">
        <v>10.4</v>
      </c>
      <c r="N689" s="32" t="n">
        <f aca="false">IF(C689="covered",10.4,7.55)</f>
        <v>10.4</v>
      </c>
      <c r="O689" s="32" t="n">
        <f aca="false">IF(M689="","",M689-N689)</f>
        <v>0</v>
      </c>
      <c r="P689" s="11" t="n">
        <v>1</v>
      </c>
      <c r="Q689" s="33" t="n">
        <v>332.8</v>
      </c>
      <c r="R689" s="33" t="n">
        <f aca="false">IF(OR(J689="",P689=""),"",K689*N689*P689)</f>
        <v>332.8</v>
      </c>
      <c r="S689" s="33" t="n">
        <f aca="false">IF(Q689="","",Q689-R689)</f>
        <v>0</v>
      </c>
      <c r="T689" s="33" t="n">
        <f aca="false">IF(S689="","",MAX(0,-S689))</f>
        <v>-0</v>
      </c>
      <c r="U689" s="33" t="n">
        <f aca="false">IF(S689="","",MAX(0,S689))</f>
        <v>0</v>
      </c>
      <c r="V689" s="11" t="str">
        <f aca="false">IF(J689="","NOT SCORED - NO JULY MONTHLY ROW",IF(OR(ABS(L689)&gt;0.005,ABS(O689)&gt;0.005,ABS(S689)&gt;0.005),"EXCEPTION","OK"))</f>
        <v>OK</v>
      </c>
      <c r="W689" s="11" t="s">
        <v>5510</v>
      </c>
      <c r="X689" s="11" t="s">
        <v>4099</v>
      </c>
      <c r="Y689" s="33" t="n">
        <f aca="false">K689*N689</f>
        <v>332.8</v>
      </c>
    </row>
    <row r="690" customFormat="false" ht="15" hidden="false" customHeight="false" outlineLevel="0" collapsed="false">
      <c r="A690" s="8" t="s">
        <v>5511</v>
      </c>
      <c r="B690" s="8" t="s">
        <v>211</v>
      </c>
      <c r="C690" s="8" t="s">
        <v>5306</v>
      </c>
      <c r="D690" s="8" t="s">
        <v>3619</v>
      </c>
      <c r="E690" s="8" t="s">
        <v>2217</v>
      </c>
      <c r="F690" s="8" t="s">
        <v>5512</v>
      </c>
      <c r="G690" s="8" t="s">
        <v>5297</v>
      </c>
      <c r="H690" s="8" t="n">
        <v>32</v>
      </c>
      <c r="I690" s="34" t="n">
        <v>26.3</v>
      </c>
      <c r="J690" s="34" t="n">
        <v>32</v>
      </c>
      <c r="K690" s="34" t="n">
        <f aca="false">MAX(ROUNDUP(I690,0),H690)</f>
        <v>32</v>
      </c>
      <c r="L690" s="34" t="n">
        <f aca="false">IF(J690="","",J690-K690)</f>
        <v>0</v>
      </c>
      <c r="M690" s="35" t="n">
        <v>10.4</v>
      </c>
      <c r="N690" s="35" t="n">
        <f aca="false">IF(C690="covered",10.4,7.55)</f>
        <v>10.4</v>
      </c>
      <c r="O690" s="35" t="n">
        <f aca="false">IF(M690="","",M690-N690)</f>
        <v>0</v>
      </c>
      <c r="P690" s="8" t="n">
        <v>1</v>
      </c>
      <c r="Q690" s="36" t="n">
        <v>332.8</v>
      </c>
      <c r="R690" s="36" t="n">
        <f aca="false">IF(OR(J690="",P690=""),"",K690*N690*P690)</f>
        <v>332.8</v>
      </c>
      <c r="S690" s="36" t="n">
        <f aca="false">IF(Q690="","",Q690-R690)</f>
        <v>0</v>
      </c>
      <c r="T690" s="36" t="n">
        <f aca="false">IF(S690="","",MAX(0,-S690))</f>
        <v>-0</v>
      </c>
      <c r="U690" s="36" t="n">
        <f aca="false">IF(S690="","",MAX(0,S690))</f>
        <v>0</v>
      </c>
      <c r="V690" s="8" t="str">
        <f aca="false">IF(J690="","NOT SCORED - NO JULY MONTHLY ROW",IF(OR(ABS(L690)&gt;0.005,ABS(O690)&gt;0.005,ABS(S690)&gt;0.005),"EXCEPTION","OK"))</f>
        <v>OK</v>
      </c>
      <c r="W690" s="8" t="s">
        <v>5513</v>
      </c>
      <c r="X690" s="8" t="s">
        <v>4099</v>
      </c>
      <c r="Y690" s="36" t="n">
        <f aca="false">K690*N690</f>
        <v>332.8</v>
      </c>
    </row>
    <row r="691" customFormat="false" ht="15" hidden="false" customHeight="false" outlineLevel="0" collapsed="false">
      <c r="A691" s="11" t="s">
        <v>5514</v>
      </c>
      <c r="B691" s="11" t="s">
        <v>211</v>
      </c>
      <c r="C691" s="11" t="s">
        <v>5306</v>
      </c>
      <c r="D691" s="11" t="s">
        <v>3624</v>
      </c>
      <c r="E691" s="11" t="s">
        <v>5515</v>
      </c>
      <c r="F691" s="11" t="s">
        <v>5516</v>
      </c>
      <c r="G691" s="11" t="s">
        <v>4149</v>
      </c>
      <c r="H691" s="11" t="n">
        <v>24</v>
      </c>
      <c r="I691" s="31" t="n">
        <v>31.6</v>
      </c>
      <c r="J691" s="31" t="n">
        <v>32</v>
      </c>
      <c r="K691" s="31" t="n">
        <f aca="false">MAX(ROUNDUP(I691,0),H691)</f>
        <v>32</v>
      </c>
      <c r="L691" s="31" t="n">
        <f aca="false">IF(J691="","",J691-K691)</f>
        <v>0</v>
      </c>
      <c r="M691" s="32" t="n">
        <v>10.4</v>
      </c>
      <c r="N691" s="32" t="n">
        <f aca="false">IF(C691="covered",10.4,7.55)</f>
        <v>10.4</v>
      </c>
      <c r="O691" s="32" t="n">
        <f aca="false">IF(M691="","",M691-N691)</f>
        <v>0</v>
      </c>
      <c r="P691" s="11" t="n">
        <v>1</v>
      </c>
      <c r="Q691" s="33" t="n">
        <v>332.8</v>
      </c>
      <c r="R691" s="33" t="n">
        <f aca="false">IF(OR(J691="",P691=""),"",K691*N691*P691)</f>
        <v>332.8</v>
      </c>
      <c r="S691" s="33" t="n">
        <f aca="false">IF(Q691="","",Q691-R691)</f>
        <v>0</v>
      </c>
      <c r="T691" s="33" t="n">
        <f aca="false">IF(S691="","",MAX(0,-S691))</f>
        <v>-0</v>
      </c>
      <c r="U691" s="33" t="n">
        <f aca="false">IF(S691="","",MAX(0,S691))</f>
        <v>0</v>
      </c>
      <c r="V691" s="11" t="str">
        <f aca="false">IF(J691="","NOT SCORED - NO JULY MONTHLY ROW",IF(OR(ABS(L691)&gt;0.005,ABS(O691)&gt;0.005,ABS(S691)&gt;0.005),"EXCEPTION","OK"))</f>
        <v>OK</v>
      </c>
      <c r="W691" s="11" t="s">
        <v>5517</v>
      </c>
      <c r="X691" s="11" t="s">
        <v>4099</v>
      </c>
      <c r="Y691" s="33" t="n">
        <f aca="false">K691*N691</f>
        <v>332.8</v>
      </c>
    </row>
    <row r="692" customFormat="false" ht="15" hidden="false" customHeight="false" outlineLevel="0" collapsed="false">
      <c r="A692" s="8" t="s">
        <v>1361</v>
      </c>
      <c r="B692" s="8" t="s">
        <v>211</v>
      </c>
      <c r="C692" s="8" t="s">
        <v>5306</v>
      </c>
      <c r="D692" s="8" t="s">
        <v>3629</v>
      </c>
      <c r="E692" s="8" t="s">
        <v>5518</v>
      </c>
      <c r="F692" s="8" t="s">
        <v>5519</v>
      </c>
      <c r="G692" s="8" t="s">
        <v>3231</v>
      </c>
      <c r="H692" s="8" t="n">
        <v>40</v>
      </c>
      <c r="I692" s="34" t="n">
        <v>53.5</v>
      </c>
      <c r="J692" s="34" t="n">
        <v>54</v>
      </c>
      <c r="K692" s="34" t="n">
        <f aca="false">MAX(ROUNDUP(I692,0),H692)</f>
        <v>54</v>
      </c>
      <c r="L692" s="34" t="n">
        <f aca="false">IF(J692="","",J692-K692)</f>
        <v>0</v>
      </c>
      <c r="M692" s="35" t="n">
        <v>10.4</v>
      </c>
      <c r="N692" s="35" t="n">
        <f aca="false">IF(C692="covered",10.4,7.55)</f>
        <v>10.4</v>
      </c>
      <c r="O692" s="35" t="n">
        <f aca="false">IF(M692="","",M692-N692)</f>
        <v>0</v>
      </c>
      <c r="P692" s="8" t="n">
        <v>1</v>
      </c>
      <c r="Q692" s="36" t="n">
        <v>561.6</v>
      </c>
      <c r="R692" s="36" t="n">
        <f aca="false">IF(OR(J692="",P692=""),"",K692*N692*P692)</f>
        <v>561.6</v>
      </c>
      <c r="S692" s="36" t="n">
        <f aca="false">IF(Q692="","",Q692-R692)</f>
        <v>0</v>
      </c>
      <c r="T692" s="36" t="n">
        <f aca="false">IF(S692="","",MAX(0,-S692))</f>
        <v>-0</v>
      </c>
      <c r="U692" s="36" t="n">
        <f aca="false">IF(S692="","",MAX(0,S692))</f>
        <v>0</v>
      </c>
      <c r="V692" s="8" t="str">
        <f aca="false">IF(J692="","NOT SCORED - NO JULY MONTHLY ROW",IF(OR(ABS(L692)&gt;0.005,ABS(O692)&gt;0.005,ABS(S692)&gt;0.005),"EXCEPTION","OK"))</f>
        <v>OK</v>
      </c>
      <c r="W692" s="8" t="s">
        <v>5520</v>
      </c>
      <c r="X692" s="8" t="s">
        <v>4099</v>
      </c>
      <c r="Y692" s="36" t="n">
        <f aca="false">K692*N692</f>
        <v>561.6</v>
      </c>
    </row>
    <row r="693" customFormat="false" ht="15" hidden="false" customHeight="false" outlineLevel="0" collapsed="false">
      <c r="A693" s="11" t="s">
        <v>291</v>
      </c>
      <c r="B693" s="11" t="s">
        <v>211</v>
      </c>
      <c r="C693" s="11" t="s">
        <v>5306</v>
      </c>
      <c r="D693" s="11" t="s">
        <v>3634</v>
      </c>
      <c r="E693" s="11" t="s">
        <v>1259</v>
      </c>
      <c r="F693" s="11" t="s">
        <v>1260</v>
      </c>
      <c r="G693" s="11" t="s">
        <v>3448</v>
      </c>
      <c r="H693" s="11" t="n">
        <v>40</v>
      </c>
      <c r="I693" s="31" t="n">
        <v>22.7</v>
      </c>
      <c r="J693" s="31" t="n">
        <v>40</v>
      </c>
      <c r="K693" s="31" t="n">
        <f aca="false">MAX(ROUNDUP(I693,0),H693)</f>
        <v>40</v>
      </c>
      <c r="L693" s="31" t="n">
        <f aca="false">IF(J693="","",J693-K693)</f>
        <v>0</v>
      </c>
      <c r="M693" s="32" t="n">
        <v>10.4</v>
      </c>
      <c r="N693" s="32" t="n">
        <f aca="false">IF(C693="covered",10.4,7.55)</f>
        <v>10.4</v>
      </c>
      <c r="O693" s="32" t="n">
        <f aca="false">IF(M693="","",M693-N693)</f>
        <v>0</v>
      </c>
      <c r="P693" s="11" t="n">
        <v>1</v>
      </c>
      <c r="Q693" s="33" t="n">
        <v>416</v>
      </c>
      <c r="R693" s="33" t="n">
        <f aca="false">IF(OR(J693="",P693=""),"",K693*N693*P693)</f>
        <v>416</v>
      </c>
      <c r="S693" s="33" t="n">
        <f aca="false">IF(Q693="","",Q693-R693)</f>
        <v>0</v>
      </c>
      <c r="T693" s="33" t="n">
        <f aca="false">IF(S693="","",MAX(0,-S693))</f>
        <v>-0</v>
      </c>
      <c r="U693" s="33" t="n">
        <f aca="false">IF(S693="","",MAX(0,S693))</f>
        <v>0</v>
      </c>
      <c r="V693" s="11" t="str">
        <f aca="false">IF(J693="","NOT SCORED - NO JULY MONTHLY ROW",IF(OR(ABS(L693)&gt;0.005,ABS(O693)&gt;0.005,ABS(S693)&gt;0.005),"EXCEPTION","OK"))</f>
        <v>OK</v>
      </c>
      <c r="W693" s="11" t="s">
        <v>5521</v>
      </c>
      <c r="X693" s="11" t="s">
        <v>4099</v>
      </c>
      <c r="Y693" s="33" t="n">
        <f aca="false">K693*N693</f>
        <v>416</v>
      </c>
    </row>
    <row r="694" customFormat="false" ht="15" hidden="false" customHeight="false" outlineLevel="0" collapsed="false">
      <c r="A694" s="8" t="s">
        <v>5522</v>
      </c>
      <c r="B694" s="8" t="s">
        <v>211</v>
      </c>
      <c r="C694" s="8" t="s">
        <v>5306</v>
      </c>
      <c r="D694" s="8" t="s">
        <v>3638</v>
      </c>
      <c r="E694" s="8" t="s">
        <v>5523</v>
      </c>
      <c r="F694" s="8" t="s">
        <v>5524</v>
      </c>
      <c r="G694" s="8" t="s">
        <v>4747</v>
      </c>
      <c r="H694" s="8" t="n">
        <v>32</v>
      </c>
      <c r="I694" s="34" t="n">
        <v>34.5</v>
      </c>
      <c r="J694" s="34" t="n">
        <v>35</v>
      </c>
      <c r="K694" s="34" t="n">
        <f aca="false">MAX(ROUNDUP(I694,0),H694)</f>
        <v>35</v>
      </c>
      <c r="L694" s="34" t="n">
        <f aca="false">IF(J694="","",J694-K694)</f>
        <v>0</v>
      </c>
      <c r="M694" s="35" t="n">
        <v>10.4</v>
      </c>
      <c r="N694" s="35" t="n">
        <f aca="false">IF(C694="covered",10.4,7.55)</f>
        <v>10.4</v>
      </c>
      <c r="O694" s="35" t="n">
        <f aca="false">IF(M694="","",M694-N694)</f>
        <v>0</v>
      </c>
      <c r="P694" s="8" t="n">
        <v>1</v>
      </c>
      <c r="Q694" s="36" t="n">
        <v>364</v>
      </c>
      <c r="R694" s="36" t="n">
        <f aca="false">IF(OR(J694="",P694=""),"",K694*N694*P694)</f>
        <v>364</v>
      </c>
      <c r="S694" s="36" t="n">
        <f aca="false">IF(Q694="","",Q694-R694)</f>
        <v>0</v>
      </c>
      <c r="T694" s="36" t="n">
        <f aca="false">IF(S694="","",MAX(0,-S694))</f>
        <v>-0</v>
      </c>
      <c r="U694" s="36" t="n">
        <f aca="false">IF(S694="","",MAX(0,S694))</f>
        <v>0</v>
      </c>
      <c r="V694" s="8" t="str">
        <f aca="false">IF(J694="","NOT SCORED - NO JULY MONTHLY ROW",IF(OR(ABS(L694)&gt;0.005,ABS(O694)&gt;0.005,ABS(S694)&gt;0.005),"EXCEPTION","OK"))</f>
        <v>OK</v>
      </c>
      <c r="W694" s="8" t="s">
        <v>5525</v>
      </c>
      <c r="X694" s="8" t="s">
        <v>4099</v>
      </c>
      <c r="Y694" s="36" t="n">
        <f aca="false">K694*N694</f>
        <v>364</v>
      </c>
    </row>
    <row r="695" customFormat="false" ht="15" hidden="false" customHeight="false" outlineLevel="0" collapsed="false">
      <c r="A695" s="11" t="s">
        <v>5526</v>
      </c>
      <c r="B695" s="11" t="s">
        <v>211</v>
      </c>
      <c r="C695" s="11" t="s">
        <v>5306</v>
      </c>
      <c r="D695" s="11" t="s">
        <v>3647</v>
      </c>
      <c r="E695" s="11" t="s">
        <v>1352</v>
      </c>
      <c r="F695" s="11" t="s">
        <v>1353</v>
      </c>
      <c r="G695" s="11" t="s">
        <v>3851</v>
      </c>
      <c r="H695" s="11" t="n">
        <v>24</v>
      </c>
      <c r="I695" s="31" t="n">
        <v>53.4</v>
      </c>
      <c r="J695" s="31" t="n">
        <v>54</v>
      </c>
      <c r="K695" s="31" t="n">
        <f aca="false">MAX(ROUNDUP(I695,0),H695)</f>
        <v>54</v>
      </c>
      <c r="L695" s="31" t="n">
        <f aca="false">IF(J695="","",J695-K695)</f>
        <v>0</v>
      </c>
      <c r="M695" s="32" t="n">
        <v>10.4</v>
      </c>
      <c r="N695" s="32" t="n">
        <f aca="false">IF(C695="covered",10.4,7.55)</f>
        <v>10.4</v>
      </c>
      <c r="O695" s="32" t="n">
        <f aca="false">IF(M695="","",M695-N695)</f>
        <v>0</v>
      </c>
      <c r="P695" s="11" t="n">
        <v>1</v>
      </c>
      <c r="Q695" s="33" t="n">
        <v>561.6</v>
      </c>
      <c r="R695" s="33" t="n">
        <f aca="false">IF(OR(J695="",P695=""),"",K695*N695*P695)</f>
        <v>561.6</v>
      </c>
      <c r="S695" s="33" t="n">
        <f aca="false">IF(Q695="","",Q695-R695)</f>
        <v>0</v>
      </c>
      <c r="T695" s="33" t="n">
        <f aca="false">IF(S695="","",MAX(0,-S695))</f>
        <v>-0</v>
      </c>
      <c r="U695" s="33" t="n">
        <f aca="false">IF(S695="","",MAX(0,S695))</f>
        <v>0</v>
      </c>
      <c r="V695" s="11" t="str">
        <f aca="false">IF(J695="","NOT SCORED - NO JULY MONTHLY ROW",IF(OR(ABS(L695)&gt;0.005,ABS(O695)&gt;0.005,ABS(S695)&gt;0.005),"EXCEPTION","OK"))</f>
        <v>OK</v>
      </c>
      <c r="W695" s="11" t="s">
        <v>5527</v>
      </c>
      <c r="X695" s="11" t="s">
        <v>4099</v>
      </c>
      <c r="Y695" s="33" t="n">
        <f aca="false">K695*N695</f>
        <v>561.6</v>
      </c>
    </row>
    <row r="696" customFormat="false" ht="15" hidden="false" customHeight="false" outlineLevel="0" collapsed="false">
      <c r="A696" s="8" t="s">
        <v>5528</v>
      </c>
      <c r="B696" s="8" t="s">
        <v>211</v>
      </c>
      <c r="C696" s="8" t="s">
        <v>5306</v>
      </c>
      <c r="D696" s="8" t="s">
        <v>3651</v>
      </c>
      <c r="E696" s="8" t="s">
        <v>5529</v>
      </c>
      <c r="F696" s="8" t="s">
        <v>5530</v>
      </c>
      <c r="G696" s="8" t="s">
        <v>5060</v>
      </c>
      <c r="H696" s="8" t="n">
        <v>28</v>
      </c>
      <c r="I696" s="34" t="n">
        <v>34.2</v>
      </c>
      <c r="J696" s="34" t="n">
        <v>35</v>
      </c>
      <c r="K696" s="34" t="n">
        <f aca="false">MAX(ROUNDUP(I696,0),H696)</f>
        <v>35</v>
      </c>
      <c r="L696" s="34" t="n">
        <f aca="false">IF(J696="","",J696-K696)</f>
        <v>0</v>
      </c>
      <c r="M696" s="35" t="n">
        <v>10.4</v>
      </c>
      <c r="N696" s="35" t="n">
        <f aca="false">IF(C696="covered",10.4,7.55)</f>
        <v>10.4</v>
      </c>
      <c r="O696" s="35" t="n">
        <f aca="false">IF(M696="","",M696-N696)</f>
        <v>0</v>
      </c>
      <c r="P696" s="8" t="n">
        <v>1</v>
      </c>
      <c r="Q696" s="36" t="n">
        <v>364</v>
      </c>
      <c r="R696" s="36" t="n">
        <f aca="false">IF(OR(J696="",P696=""),"",K696*N696*P696)</f>
        <v>364</v>
      </c>
      <c r="S696" s="36" t="n">
        <f aca="false">IF(Q696="","",Q696-R696)</f>
        <v>0</v>
      </c>
      <c r="T696" s="36" t="n">
        <f aca="false">IF(S696="","",MAX(0,-S696))</f>
        <v>-0</v>
      </c>
      <c r="U696" s="36" t="n">
        <f aca="false">IF(S696="","",MAX(0,S696))</f>
        <v>0</v>
      </c>
      <c r="V696" s="8" t="str">
        <f aca="false">IF(J696="","NOT SCORED - NO JULY MONTHLY ROW",IF(OR(ABS(L696)&gt;0.005,ABS(O696)&gt;0.005,ABS(S696)&gt;0.005),"EXCEPTION","OK"))</f>
        <v>OK</v>
      </c>
      <c r="W696" s="8" t="s">
        <v>5531</v>
      </c>
      <c r="X696" s="8" t="s">
        <v>4099</v>
      </c>
      <c r="Y696" s="36" t="n">
        <f aca="false">K696*N696</f>
        <v>364</v>
      </c>
    </row>
    <row r="697" customFormat="false" ht="15" hidden="false" customHeight="false" outlineLevel="0" collapsed="false">
      <c r="A697" s="11" t="s">
        <v>5532</v>
      </c>
      <c r="B697" s="11" t="s">
        <v>211</v>
      </c>
      <c r="C697" s="11" t="s">
        <v>5306</v>
      </c>
      <c r="D697" s="11" t="s">
        <v>3656</v>
      </c>
      <c r="E697" s="11" t="s">
        <v>5533</v>
      </c>
      <c r="F697" s="11" t="s">
        <v>5534</v>
      </c>
      <c r="G697" s="11" t="s">
        <v>4396</v>
      </c>
      <c r="H697" s="11" t="n">
        <v>24</v>
      </c>
      <c r="I697" s="31" t="n">
        <v>57.4</v>
      </c>
      <c r="J697" s="31" t="n">
        <v>58</v>
      </c>
      <c r="K697" s="31" t="n">
        <f aca="false">MAX(ROUNDUP(I697,0),H697)</f>
        <v>58</v>
      </c>
      <c r="L697" s="31" t="n">
        <f aca="false">IF(J697="","",J697-K697)</f>
        <v>0</v>
      </c>
      <c r="M697" s="32" t="n">
        <v>10.4</v>
      </c>
      <c r="N697" s="32" t="n">
        <f aca="false">IF(C697="covered",10.4,7.55)</f>
        <v>10.4</v>
      </c>
      <c r="O697" s="32" t="n">
        <f aca="false">IF(M697="","",M697-N697)</f>
        <v>0</v>
      </c>
      <c r="P697" s="11" t="n">
        <v>1</v>
      </c>
      <c r="Q697" s="33" t="n">
        <v>603.2</v>
      </c>
      <c r="R697" s="33" t="n">
        <f aca="false">IF(OR(J697="",P697=""),"",K697*N697*P697)</f>
        <v>603.2</v>
      </c>
      <c r="S697" s="33" t="n">
        <f aca="false">IF(Q697="","",Q697-R697)</f>
        <v>0</v>
      </c>
      <c r="T697" s="33" t="n">
        <f aca="false">IF(S697="","",MAX(0,-S697))</f>
        <v>-0</v>
      </c>
      <c r="U697" s="33" t="n">
        <f aca="false">IF(S697="","",MAX(0,S697))</f>
        <v>0</v>
      </c>
      <c r="V697" s="11" t="str">
        <f aca="false">IF(J697="","NOT SCORED - NO JULY MONTHLY ROW",IF(OR(ABS(L697)&gt;0.005,ABS(O697)&gt;0.005,ABS(S697)&gt;0.005),"EXCEPTION","OK"))</f>
        <v>OK</v>
      </c>
      <c r="W697" s="11" t="s">
        <v>5535</v>
      </c>
      <c r="X697" s="11" t="s">
        <v>4099</v>
      </c>
      <c r="Y697" s="33" t="n">
        <f aca="false">K697*N697</f>
        <v>603.2</v>
      </c>
    </row>
    <row r="698" customFormat="false" ht="15" hidden="false" customHeight="false" outlineLevel="0" collapsed="false">
      <c r="A698" s="8" t="s">
        <v>5536</v>
      </c>
      <c r="B698" s="8" t="s">
        <v>211</v>
      </c>
      <c r="C698" s="8" t="s">
        <v>5306</v>
      </c>
      <c r="D698" s="8" t="s">
        <v>3661</v>
      </c>
      <c r="E698" s="8" t="s">
        <v>5537</v>
      </c>
      <c r="F698" s="8" t="s">
        <v>5538</v>
      </c>
      <c r="G698" s="8" t="s">
        <v>4085</v>
      </c>
      <c r="H698" s="8" t="n">
        <v>24</v>
      </c>
      <c r="I698" s="34" t="n">
        <v>48.5</v>
      </c>
      <c r="J698" s="34" t="n">
        <v>49</v>
      </c>
      <c r="K698" s="34" t="n">
        <f aca="false">MAX(ROUNDUP(I698,0),H698)</f>
        <v>49</v>
      </c>
      <c r="L698" s="34" t="n">
        <f aca="false">IF(J698="","",J698-K698)</f>
        <v>0</v>
      </c>
      <c r="M698" s="35" t="n">
        <v>10.4</v>
      </c>
      <c r="N698" s="35" t="n">
        <f aca="false">IF(C698="covered",10.4,7.55)</f>
        <v>10.4</v>
      </c>
      <c r="O698" s="35" t="n">
        <f aca="false">IF(M698="","",M698-N698)</f>
        <v>0</v>
      </c>
      <c r="P698" s="8" t="n">
        <v>1</v>
      </c>
      <c r="Q698" s="36" t="n">
        <v>509.6</v>
      </c>
      <c r="R698" s="36" t="n">
        <f aca="false">IF(OR(J698="",P698=""),"",K698*N698*P698)</f>
        <v>509.6</v>
      </c>
      <c r="S698" s="36" t="n">
        <f aca="false">IF(Q698="","",Q698-R698)</f>
        <v>0</v>
      </c>
      <c r="T698" s="36" t="n">
        <f aca="false">IF(S698="","",MAX(0,-S698))</f>
        <v>-0</v>
      </c>
      <c r="U698" s="36" t="n">
        <f aca="false">IF(S698="","",MAX(0,S698))</f>
        <v>0</v>
      </c>
      <c r="V698" s="8" t="str">
        <f aca="false">IF(J698="","NOT SCORED - NO JULY MONTHLY ROW",IF(OR(ABS(L698)&gt;0.005,ABS(O698)&gt;0.005,ABS(S698)&gt;0.005),"EXCEPTION","OK"))</f>
        <v>OK</v>
      </c>
      <c r="W698" s="8" t="s">
        <v>5539</v>
      </c>
      <c r="X698" s="8" t="s">
        <v>4099</v>
      </c>
      <c r="Y698" s="36" t="n">
        <f aca="false">K698*N698</f>
        <v>509.6</v>
      </c>
    </row>
    <row r="699" customFormat="false" ht="15" hidden="false" customHeight="false" outlineLevel="0" collapsed="false">
      <c r="A699" s="11" t="s">
        <v>1044</v>
      </c>
      <c r="B699" s="11" t="s">
        <v>211</v>
      </c>
      <c r="C699" s="11" t="s">
        <v>5306</v>
      </c>
      <c r="D699" s="11" t="s">
        <v>3666</v>
      </c>
      <c r="E699" s="11" t="s">
        <v>5540</v>
      </c>
      <c r="F699" s="11" t="s">
        <v>5541</v>
      </c>
      <c r="G699" s="11" t="s">
        <v>4046</v>
      </c>
      <c r="H699" s="11" t="n">
        <v>32</v>
      </c>
      <c r="I699" s="31" t="n">
        <v>44.5</v>
      </c>
      <c r="J699" s="31" t="n">
        <v>45</v>
      </c>
      <c r="K699" s="31" t="n">
        <f aca="false">MAX(ROUNDUP(I699,0),H699)</f>
        <v>45</v>
      </c>
      <c r="L699" s="31" t="n">
        <f aca="false">IF(J699="","",J699-K699)</f>
        <v>0</v>
      </c>
      <c r="M699" s="32" t="n">
        <v>10.4</v>
      </c>
      <c r="N699" s="32" t="n">
        <f aca="false">IF(C699="covered",10.4,7.55)</f>
        <v>10.4</v>
      </c>
      <c r="O699" s="32" t="n">
        <f aca="false">IF(M699="","",M699-N699)</f>
        <v>0</v>
      </c>
      <c r="P699" s="11" t="n">
        <v>1</v>
      </c>
      <c r="Q699" s="33" t="n">
        <v>468</v>
      </c>
      <c r="R699" s="33" t="n">
        <f aca="false">IF(OR(J699="",P699=""),"",K699*N699*P699)</f>
        <v>468</v>
      </c>
      <c r="S699" s="33" t="n">
        <f aca="false">IF(Q699="","",Q699-R699)</f>
        <v>0</v>
      </c>
      <c r="T699" s="33" t="n">
        <f aca="false">IF(S699="","",MAX(0,-S699))</f>
        <v>-0</v>
      </c>
      <c r="U699" s="33" t="n">
        <f aca="false">IF(S699="","",MAX(0,S699))</f>
        <v>0</v>
      </c>
      <c r="V699" s="11" t="str">
        <f aca="false">IF(J699="","NOT SCORED - NO JULY MONTHLY ROW",IF(OR(ABS(L699)&gt;0.005,ABS(O699)&gt;0.005,ABS(S699)&gt;0.005),"EXCEPTION","OK"))</f>
        <v>OK</v>
      </c>
      <c r="W699" s="11" t="s">
        <v>5542</v>
      </c>
      <c r="X699" s="11" t="s">
        <v>4099</v>
      </c>
      <c r="Y699" s="33" t="n">
        <f aca="false">K699*N699</f>
        <v>468</v>
      </c>
    </row>
    <row r="700" customFormat="false" ht="15" hidden="false" customHeight="false" outlineLevel="0" collapsed="false">
      <c r="A700" s="8" t="s">
        <v>485</v>
      </c>
      <c r="B700" s="8" t="s">
        <v>211</v>
      </c>
      <c r="C700" s="8" t="s">
        <v>5306</v>
      </c>
      <c r="D700" s="8" t="s">
        <v>3674</v>
      </c>
      <c r="E700" s="8" t="s">
        <v>5543</v>
      </c>
      <c r="F700" s="8" t="s">
        <v>5544</v>
      </c>
      <c r="G700" s="8" t="s">
        <v>3692</v>
      </c>
      <c r="H700" s="8" t="n">
        <v>28</v>
      </c>
      <c r="I700" s="34" t="n">
        <v>36.5</v>
      </c>
      <c r="J700" s="34" t="n">
        <v>37</v>
      </c>
      <c r="K700" s="34" t="n">
        <f aca="false">MAX(ROUNDUP(I700,0),H700)</f>
        <v>37</v>
      </c>
      <c r="L700" s="34" t="n">
        <f aca="false">IF(J700="","",J700-K700)</f>
        <v>0</v>
      </c>
      <c r="M700" s="35" t="n">
        <v>10.4</v>
      </c>
      <c r="N700" s="35" t="n">
        <f aca="false">IF(C700="covered",10.4,7.55)</f>
        <v>10.4</v>
      </c>
      <c r="O700" s="35" t="n">
        <f aca="false">IF(M700="","",M700-N700)</f>
        <v>0</v>
      </c>
      <c r="P700" s="8" t="n">
        <v>1</v>
      </c>
      <c r="Q700" s="36" t="n">
        <v>384.8</v>
      </c>
      <c r="R700" s="36" t="n">
        <f aca="false">IF(OR(J700="",P700=""),"",K700*N700*P700)</f>
        <v>384.8</v>
      </c>
      <c r="S700" s="36" t="n">
        <f aca="false">IF(Q700="","",Q700-R700)</f>
        <v>0</v>
      </c>
      <c r="T700" s="36" t="n">
        <f aca="false">IF(S700="","",MAX(0,-S700))</f>
        <v>-0</v>
      </c>
      <c r="U700" s="36" t="n">
        <f aca="false">IF(S700="","",MAX(0,S700))</f>
        <v>0</v>
      </c>
      <c r="V700" s="8" t="str">
        <f aca="false">IF(J700="","NOT SCORED - NO JULY MONTHLY ROW",IF(OR(ABS(L700)&gt;0.005,ABS(O700)&gt;0.005,ABS(S700)&gt;0.005),"EXCEPTION","OK"))</f>
        <v>OK</v>
      </c>
      <c r="W700" s="8" t="s">
        <v>5545</v>
      </c>
      <c r="X700" s="8" t="s">
        <v>4099</v>
      </c>
      <c r="Y700" s="36" t="n">
        <f aca="false">K700*N700</f>
        <v>384.8</v>
      </c>
    </row>
    <row r="701" customFormat="false" ht="15" hidden="false" customHeight="false" outlineLevel="0" collapsed="false">
      <c r="A701" s="11" t="s">
        <v>5546</v>
      </c>
      <c r="B701" s="11" t="s">
        <v>211</v>
      </c>
      <c r="C701" s="11" t="s">
        <v>5306</v>
      </c>
      <c r="D701" s="11" t="s">
        <v>3678</v>
      </c>
      <c r="E701" s="11" t="s">
        <v>5547</v>
      </c>
      <c r="F701" s="11" t="s">
        <v>5548</v>
      </c>
      <c r="G701" s="11" t="s">
        <v>4790</v>
      </c>
      <c r="H701" s="11" t="n">
        <v>24</v>
      </c>
      <c r="I701" s="31" t="n">
        <v>46.9</v>
      </c>
      <c r="J701" s="31" t="n">
        <v>47</v>
      </c>
      <c r="K701" s="31" t="n">
        <f aca="false">MAX(ROUNDUP(I701,0),H701)</f>
        <v>47</v>
      </c>
      <c r="L701" s="31" t="n">
        <f aca="false">IF(J701="","",J701-K701)</f>
        <v>0</v>
      </c>
      <c r="M701" s="32" t="n">
        <v>10.4</v>
      </c>
      <c r="N701" s="32" t="n">
        <f aca="false">IF(C701="covered",10.4,7.55)</f>
        <v>10.4</v>
      </c>
      <c r="O701" s="32" t="n">
        <f aca="false">IF(M701="","",M701-N701)</f>
        <v>0</v>
      </c>
      <c r="P701" s="11" t="n">
        <v>1</v>
      </c>
      <c r="Q701" s="33" t="n">
        <v>488.8</v>
      </c>
      <c r="R701" s="33" t="n">
        <f aca="false">IF(OR(J701="",P701=""),"",K701*N701*P701)</f>
        <v>488.8</v>
      </c>
      <c r="S701" s="33" t="n">
        <f aca="false">IF(Q701="","",Q701-R701)</f>
        <v>0</v>
      </c>
      <c r="T701" s="33" t="n">
        <f aca="false">IF(S701="","",MAX(0,-S701))</f>
        <v>-0</v>
      </c>
      <c r="U701" s="33" t="n">
        <f aca="false">IF(S701="","",MAX(0,S701))</f>
        <v>0</v>
      </c>
      <c r="V701" s="11" t="str">
        <f aca="false">IF(J701="","NOT SCORED - NO JULY MONTHLY ROW",IF(OR(ABS(L701)&gt;0.005,ABS(O701)&gt;0.005,ABS(S701)&gt;0.005),"EXCEPTION","OK"))</f>
        <v>OK</v>
      </c>
      <c r="W701" s="11" t="s">
        <v>5549</v>
      </c>
      <c r="X701" s="11" t="s">
        <v>4099</v>
      </c>
      <c r="Y701" s="33" t="n">
        <f aca="false">K701*N701</f>
        <v>488.8</v>
      </c>
    </row>
    <row r="702" customFormat="false" ht="15" hidden="false" customHeight="false" outlineLevel="0" collapsed="false">
      <c r="A702" s="8" t="s">
        <v>5550</v>
      </c>
      <c r="B702" s="8" t="s">
        <v>211</v>
      </c>
      <c r="C702" s="8" t="s">
        <v>5306</v>
      </c>
      <c r="D702" s="8" t="s">
        <v>3683</v>
      </c>
      <c r="E702" s="8" t="s">
        <v>5551</v>
      </c>
      <c r="F702" s="8" t="s">
        <v>5552</v>
      </c>
      <c r="G702" s="8" t="s">
        <v>3410</v>
      </c>
      <c r="H702" s="8" t="n">
        <v>24</v>
      </c>
      <c r="I702" s="34" t="n">
        <v>27.2</v>
      </c>
      <c r="J702" s="34" t="n">
        <v>28</v>
      </c>
      <c r="K702" s="34" t="n">
        <f aca="false">MAX(ROUNDUP(I702,0),H702)</f>
        <v>28</v>
      </c>
      <c r="L702" s="34" t="n">
        <f aca="false">IF(J702="","",J702-K702)</f>
        <v>0</v>
      </c>
      <c r="M702" s="35" t="n">
        <v>10.4</v>
      </c>
      <c r="N702" s="35" t="n">
        <f aca="false">IF(C702="covered",10.4,7.55)</f>
        <v>10.4</v>
      </c>
      <c r="O702" s="35" t="n">
        <f aca="false">IF(M702="","",M702-N702)</f>
        <v>0</v>
      </c>
      <c r="P702" s="8" t="n">
        <v>1</v>
      </c>
      <c r="Q702" s="36" t="n">
        <v>291.2</v>
      </c>
      <c r="R702" s="36" t="n">
        <f aca="false">IF(OR(J702="",P702=""),"",K702*N702*P702)</f>
        <v>291.2</v>
      </c>
      <c r="S702" s="36" t="n">
        <f aca="false">IF(Q702="","",Q702-R702)</f>
        <v>0</v>
      </c>
      <c r="T702" s="36" t="n">
        <f aca="false">IF(S702="","",MAX(0,-S702))</f>
        <v>-0</v>
      </c>
      <c r="U702" s="36" t="n">
        <f aca="false">IF(S702="","",MAX(0,S702))</f>
        <v>0</v>
      </c>
      <c r="V702" s="8" t="str">
        <f aca="false">IF(J702="","NOT SCORED - NO JULY MONTHLY ROW",IF(OR(ABS(L702)&gt;0.005,ABS(O702)&gt;0.005,ABS(S702)&gt;0.005),"EXCEPTION","OK"))</f>
        <v>OK</v>
      </c>
      <c r="W702" s="8" t="s">
        <v>5553</v>
      </c>
      <c r="X702" s="8" t="s">
        <v>4099</v>
      </c>
      <c r="Y702" s="36" t="n">
        <f aca="false">K702*N702</f>
        <v>291.2</v>
      </c>
    </row>
    <row r="703" customFormat="false" ht="15" hidden="false" customHeight="false" outlineLevel="0" collapsed="false">
      <c r="A703" s="11" t="s">
        <v>5554</v>
      </c>
      <c r="B703" s="11" t="s">
        <v>211</v>
      </c>
      <c r="C703" s="11" t="s">
        <v>5306</v>
      </c>
      <c r="D703" s="11" t="s">
        <v>3685</v>
      </c>
      <c r="E703" s="11" t="s">
        <v>5555</v>
      </c>
      <c r="F703" s="11" t="s">
        <v>5059</v>
      </c>
      <c r="G703" s="11" t="s">
        <v>5556</v>
      </c>
      <c r="H703" s="11" t="n">
        <v>24</v>
      </c>
      <c r="I703" s="31" t="n">
        <v>34.5</v>
      </c>
      <c r="J703" s="31" t="n">
        <v>35</v>
      </c>
      <c r="K703" s="31" t="n">
        <f aca="false">MAX(ROUNDUP(I703,0),H703)</f>
        <v>35</v>
      </c>
      <c r="L703" s="31" t="n">
        <f aca="false">IF(J703="","",J703-K703)</f>
        <v>0</v>
      </c>
      <c r="M703" s="32" t="n">
        <v>10.4</v>
      </c>
      <c r="N703" s="32" t="n">
        <f aca="false">IF(C703="covered",10.4,7.55)</f>
        <v>10.4</v>
      </c>
      <c r="O703" s="32" t="n">
        <f aca="false">IF(M703="","",M703-N703)</f>
        <v>0</v>
      </c>
      <c r="P703" s="11" t="n">
        <v>1</v>
      </c>
      <c r="Q703" s="33" t="n">
        <v>364</v>
      </c>
      <c r="R703" s="33" t="n">
        <f aca="false">IF(OR(J703="",P703=""),"",K703*N703*P703)</f>
        <v>364</v>
      </c>
      <c r="S703" s="33" t="n">
        <f aca="false">IF(Q703="","",Q703-R703)</f>
        <v>0</v>
      </c>
      <c r="T703" s="33" t="n">
        <f aca="false">IF(S703="","",MAX(0,-S703))</f>
        <v>-0</v>
      </c>
      <c r="U703" s="33" t="n">
        <f aca="false">IF(S703="","",MAX(0,S703))</f>
        <v>0</v>
      </c>
      <c r="V703" s="11" t="str">
        <f aca="false">IF(J703="","NOT SCORED - NO JULY MONTHLY ROW",IF(OR(ABS(L703)&gt;0.005,ABS(O703)&gt;0.005,ABS(S703)&gt;0.005),"EXCEPTION","OK"))</f>
        <v>OK</v>
      </c>
      <c r="W703" s="11" t="s">
        <v>5557</v>
      </c>
      <c r="X703" s="11" t="s">
        <v>4099</v>
      </c>
      <c r="Y703" s="33" t="n">
        <f aca="false">K703*N703</f>
        <v>364</v>
      </c>
    </row>
    <row r="704" customFormat="false" ht="15" hidden="false" customHeight="false" outlineLevel="0" collapsed="false">
      <c r="A704" s="8" t="s">
        <v>5558</v>
      </c>
      <c r="B704" s="8" t="s">
        <v>211</v>
      </c>
      <c r="C704" s="8" t="s">
        <v>5306</v>
      </c>
      <c r="D704" s="8" t="s">
        <v>3689</v>
      </c>
      <c r="E704" s="8" t="s">
        <v>5559</v>
      </c>
      <c r="F704" s="8" t="s">
        <v>5560</v>
      </c>
      <c r="G704" s="8" t="s">
        <v>4530</v>
      </c>
      <c r="H704" s="8" t="n">
        <v>24</v>
      </c>
      <c r="I704" s="34" t="n">
        <v>59.6</v>
      </c>
      <c r="J704" s="34" t="n">
        <v>60</v>
      </c>
      <c r="K704" s="34" t="n">
        <f aca="false">MAX(ROUNDUP(I704,0),H704)</f>
        <v>60</v>
      </c>
      <c r="L704" s="34" t="n">
        <f aca="false">IF(J704="","",J704-K704)</f>
        <v>0</v>
      </c>
      <c r="M704" s="35" t="n">
        <v>10.4</v>
      </c>
      <c r="N704" s="35" t="n">
        <f aca="false">IF(C704="covered",10.4,7.55)</f>
        <v>10.4</v>
      </c>
      <c r="O704" s="35" t="n">
        <f aca="false">IF(M704="","",M704-N704)</f>
        <v>0</v>
      </c>
      <c r="P704" s="8" t="n">
        <v>1</v>
      </c>
      <c r="Q704" s="36" t="n">
        <v>624</v>
      </c>
      <c r="R704" s="36" t="n">
        <f aca="false">IF(OR(J704="",P704=""),"",K704*N704*P704)</f>
        <v>624</v>
      </c>
      <c r="S704" s="36" t="n">
        <f aca="false">IF(Q704="","",Q704-R704)</f>
        <v>0</v>
      </c>
      <c r="T704" s="36" t="n">
        <f aca="false">IF(S704="","",MAX(0,-S704))</f>
        <v>-0</v>
      </c>
      <c r="U704" s="36" t="n">
        <f aca="false">IF(S704="","",MAX(0,S704))</f>
        <v>0</v>
      </c>
      <c r="V704" s="8" t="str">
        <f aca="false">IF(J704="","NOT SCORED - NO JULY MONTHLY ROW",IF(OR(ABS(L704)&gt;0.005,ABS(O704)&gt;0.005,ABS(S704)&gt;0.005),"EXCEPTION","OK"))</f>
        <v>OK</v>
      </c>
      <c r="W704" s="8" t="s">
        <v>5561</v>
      </c>
      <c r="X704" s="8" t="s">
        <v>4099</v>
      </c>
      <c r="Y704" s="36" t="n">
        <f aca="false">K704*N704</f>
        <v>624</v>
      </c>
    </row>
    <row r="705" customFormat="false" ht="15" hidden="false" customHeight="false" outlineLevel="0" collapsed="false">
      <c r="A705" s="11" t="s">
        <v>5562</v>
      </c>
      <c r="B705" s="11" t="s">
        <v>211</v>
      </c>
      <c r="C705" s="11" t="s">
        <v>5306</v>
      </c>
      <c r="D705" s="11" t="s">
        <v>3693</v>
      </c>
      <c r="E705" s="11" t="s">
        <v>2763</v>
      </c>
      <c r="F705" s="11" t="s">
        <v>5563</v>
      </c>
      <c r="G705" s="11" t="s">
        <v>5564</v>
      </c>
      <c r="H705" s="11" t="n">
        <v>28</v>
      </c>
      <c r="I705" s="31" t="n">
        <v>38.4</v>
      </c>
      <c r="J705" s="31" t="n">
        <v>39</v>
      </c>
      <c r="K705" s="31" t="n">
        <f aca="false">MAX(ROUNDUP(I705,0),H705)</f>
        <v>39</v>
      </c>
      <c r="L705" s="31" t="n">
        <f aca="false">IF(J705="","",J705-K705)</f>
        <v>0</v>
      </c>
      <c r="M705" s="32" t="n">
        <v>10.4</v>
      </c>
      <c r="N705" s="32" t="n">
        <f aca="false">IF(C705="covered",10.4,7.55)</f>
        <v>10.4</v>
      </c>
      <c r="O705" s="32" t="n">
        <f aca="false">IF(M705="","",M705-N705)</f>
        <v>0</v>
      </c>
      <c r="P705" s="11" t="n">
        <v>1</v>
      </c>
      <c r="Q705" s="33" t="n">
        <v>405.6</v>
      </c>
      <c r="R705" s="33" t="n">
        <f aca="false">IF(OR(J705="",P705=""),"",K705*N705*P705)</f>
        <v>405.6</v>
      </c>
      <c r="S705" s="33" t="n">
        <f aca="false">IF(Q705="","",Q705-R705)</f>
        <v>0</v>
      </c>
      <c r="T705" s="33" t="n">
        <f aca="false">IF(S705="","",MAX(0,-S705))</f>
        <v>-0</v>
      </c>
      <c r="U705" s="33" t="n">
        <f aca="false">IF(S705="","",MAX(0,S705))</f>
        <v>0</v>
      </c>
      <c r="V705" s="11" t="str">
        <f aca="false">IF(J705="","NOT SCORED - NO JULY MONTHLY ROW",IF(OR(ABS(L705)&gt;0.005,ABS(O705)&gt;0.005,ABS(S705)&gt;0.005),"EXCEPTION","OK"))</f>
        <v>OK</v>
      </c>
      <c r="W705" s="11" t="s">
        <v>5565</v>
      </c>
      <c r="X705" s="11" t="s">
        <v>4099</v>
      </c>
      <c r="Y705" s="33" t="n">
        <f aca="false">K705*N705</f>
        <v>405.6</v>
      </c>
    </row>
    <row r="706" customFormat="false" ht="15" hidden="false" customHeight="false" outlineLevel="0" collapsed="false">
      <c r="A706" s="8" t="s">
        <v>5566</v>
      </c>
      <c r="B706" s="8" t="s">
        <v>211</v>
      </c>
      <c r="C706" s="8" t="s">
        <v>5306</v>
      </c>
      <c r="D706" s="8" t="s">
        <v>3697</v>
      </c>
      <c r="E706" s="8" t="s">
        <v>5567</v>
      </c>
      <c r="F706" s="8" t="s">
        <v>5568</v>
      </c>
      <c r="G706" s="8" t="s">
        <v>3410</v>
      </c>
      <c r="H706" s="8" t="n">
        <v>40</v>
      </c>
      <c r="I706" s="34" t="n">
        <v>23.9</v>
      </c>
      <c r="J706" s="34" t="n">
        <v>40</v>
      </c>
      <c r="K706" s="34" t="n">
        <f aca="false">MAX(ROUNDUP(I706,0),H706)</f>
        <v>40</v>
      </c>
      <c r="L706" s="34" t="n">
        <f aca="false">IF(J706="","",J706-K706)</f>
        <v>0</v>
      </c>
      <c r="M706" s="35" t="n">
        <v>10.4</v>
      </c>
      <c r="N706" s="35" t="n">
        <f aca="false">IF(C706="covered",10.4,7.55)</f>
        <v>10.4</v>
      </c>
      <c r="O706" s="35" t="n">
        <f aca="false">IF(M706="","",M706-N706)</f>
        <v>0</v>
      </c>
      <c r="P706" s="8" t="n">
        <v>1</v>
      </c>
      <c r="Q706" s="36" t="n">
        <v>416</v>
      </c>
      <c r="R706" s="36" t="n">
        <f aca="false">IF(OR(J706="",P706=""),"",K706*N706*P706)</f>
        <v>416</v>
      </c>
      <c r="S706" s="36" t="n">
        <f aca="false">IF(Q706="","",Q706-R706)</f>
        <v>0</v>
      </c>
      <c r="T706" s="36" t="n">
        <f aca="false">IF(S706="","",MAX(0,-S706))</f>
        <v>-0</v>
      </c>
      <c r="U706" s="36" t="n">
        <f aca="false">IF(S706="","",MAX(0,S706))</f>
        <v>0</v>
      </c>
      <c r="V706" s="8" t="str">
        <f aca="false">IF(J706="","NOT SCORED - NO JULY MONTHLY ROW",IF(OR(ABS(L706)&gt;0.005,ABS(O706)&gt;0.005,ABS(S706)&gt;0.005),"EXCEPTION","OK"))</f>
        <v>OK</v>
      </c>
      <c r="W706" s="8" t="s">
        <v>5569</v>
      </c>
      <c r="X706" s="8" t="s">
        <v>4099</v>
      </c>
      <c r="Y706" s="36" t="n">
        <f aca="false">K706*N706</f>
        <v>416</v>
      </c>
    </row>
    <row r="707" customFormat="false" ht="15" hidden="false" customHeight="false" outlineLevel="0" collapsed="false">
      <c r="A707" s="11" t="s">
        <v>5570</v>
      </c>
      <c r="B707" s="11" t="s">
        <v>211</v>
      </c>
      <c r="C707" s="11" t="s">
        <v>5306</v>
      </c>
      <c r="D707" s="11" t="s">
        <v>3702</v>
      </c>
      <c r="E707" s="11" t="s">
        <v>5571</v>
      </c>
      <c r="F707" s="11" t="s">
        <v>5572</v>
      </c>
      <c r="G707" s="11" t="s">
        <v>3782</v>
      </c>
      <c r="H707" s="11" t="n">
        <v>32</v>
      </c>
      <c r="I707" s="31" t="n">
        <v>48.1</v>
      </c>
      <c r="J707" s="31" t="n">
        <v>49</v>
      </c>
      <c r="K707" s="31" t="n">
        <f aca="false">MAX(ROUNDUP(I707,0),H707)</f>
        <v>49</v>
      </c>
      <c r="L707" s="31" t="n">
        <f aca="false">IF(J707="","",J707-K707)</f>
        <v>0</v>
      </c>
      <c r="M707" s="32" t="n">
        <v>10.4</v>
      </c>
      <c r="N707" s="32" t="n">
        <f aca="false">IF(C707="covered",10.4,7.55)</f>
        <v>10.4</v>
      </c>
      <c r="O707" s="32" t="n">
        <f aca="false">IF(M707="","",M707-N707)</f>
        <v>0</v>
      </c>
      <c r="P707" s="11" t="n">
        <v>1</v>
      </c>
      <c r="Q707" s="33" t="n">
        <v>509.6</v>
      </c>
      <c r="R707" s="33" t="n">
        <f aca="false">IF(OR(J707="",P707=""),"",K707*N707*P707)</f>
        <v>509.6</v>
      </c>
      <c r="S707" s="33" t="n">
        <f aca="false">IF(Q707="","",Q707-R707)</f>
        <v>0</v>
      </c>
      <c r="T707" s="33" t="n">
        <f aca="false">IF(S707="","",MAX(0,-S707))</f>
        <v>-0</v>
      </c>
      <c r="U707" s="33" t="n">
        <f aca="false">IF(S707="","",MAX(0,S707))</f>
        <v>0</v>
      </c>
      <c r="V707" s="11" t="str">
        <f aca="false">IF(J707="","NOT SCORED - NO JULY MONTHLY ROW",IF(OR(ABS(L707)&gt;0.005,ABS(O707)&gt;0.005,ABS(S707)&gt;0.005),"EXCEPTION","OK"))</f>
        <v>OK</v>
      </c>
      <c r="W707" s="11" t="s">
        <v>5573</v>
      </c>
      <c r="X707" s="11" t="s">
        <v>4099</v>
      </c>
      <c r="Y707" s="33" t="n">
        <f aca="false">K707*N707</f>
        <v>509.6</v>
      </c>
    </row>
    <row r="708" customFormat="false" ht="15" hidden="false" customHeight="false" outlineLevel="0" collapsed="false">
      <c r="A708" s="8" t="s">
        <v>5574</v>
      </c>
      <c r="B708" s="8" t="s">
        <v>211</v>
      </c>
      <c r="C708" s="8" t="s">
        <v>5306</v>
      </c>
      <c r="D708" s="8" t="s">
        <v>3705</v>
      </c>
      <c r="E708" s="8" t="s">
        <v>5575</v>
      </c>
      <c r="F708" s="8" t="s">
        <v>5576</v>
      </c>
      <c r="G708" s="8" t="s">
        <v>3213</v>
      </c>
      <c r="H708" s="8" t="n">
        <v>24</v>
      </c>
      <c r="I708" s="34" t="n">
        <v>39.7</v>
      </c>
      <c r="J708" s="34" t="n">
        <v>40</v>
      </c>
      <c r="K708" s="34" t="n">
        <f aca="false">MAX(ROUNDUP(I708,0),H708)</f>
        <v>40</v>
      </c>
      <c r="L708" s="34" t="n">
        <f aca="false">IF(J708="","",J708-K708)</f>
        <v>0</v>
      </c>
      <c r="M708" s="35" t="n">
        <v>10.4</v>
      </c>
      <c r="N708" s="35" t="n">
        <f aca="false">IF(C708="covered",10.4,7.55)</f>
        <v>10.4</v>
      </c>
      <c r="O708" s="35" t="n">
        <f aca="false">IF(M708="","",M708-N708)</f>
        <v>0</v>
      </c>
      <c r="P708" s="8" t="n">
        <v>1</v>
      </c>
      <c r="Q708" s="36" t="n">
        <v>416</v>
      </c>
      <c r="R708" s="36" t="n">
        <f aca="false">IF(OR(J708="",P708=""),"",K708*N708*P708)</f>
        <v>416</v>
      </c>
      <c r="S708" s="36" t="n">
        <f aca="false">IF(Q708="","",Q708-R708)</f>
        <v>0</v>
      </c>
      <c r="T708" s="36" t="n">
        <f aca="false">IF(S708="","",MAX(0,-S708))</f>
        <v>-0</v>
      </c>
      <c r="U708" s="36" t="n">
        <f aca="false">IF(S708="","",MAX(0,S708))</f>
        <v>0</v>
      </c>
      <c r="V708" s="8" t="str">
        <f aca="false">IF(J708="","NOT SCORED - NO JULY MONTHLY ROW",IF(OR(ABS(L708)&gt;0.005,ABS(O708)&gt;0.005,ABS(S708)&gt;0.005),"EXCEPTION","OK"))</f>
        <v>OK</v>
      </c>
      <c r="W708" s="8" t="s">
        <v>5577</v>
      </c>
      <c r="X708" s="8" t="s">
        <v>4099</v>
      </c>
      <c r="Y708" s="36" t="n">
        <f aca="false">K708*N708</f>
        <v>416</v>
      </c>
    </row>
    <row r="709" customFormat="false" ht="15" hidden="false" customHeight="false" outlineLevel="0" collapsed="false">
      <c r="A709" s="11" t="s">
        <v>5578</v>
      </c>
      <c r="B709" s="11" t="s">
        <v>211</v>
      </c>
      <c r="C709" s="11" t="s">
        <v>5306</v>
      </c>
      <c r="D709" s="11" t="s">
        <v>3708</v>
      </c>
      <c r="E709" s="11" t="s">
        <v>5579</v>
      </c>
      <c r="F709" s="11" t="s">
        <v>5580</v>
      </c>
      <c r="G709" s="11" t="s">
        <v>4396</v>
      </c>
      <c r="H709" s="11" t="n">
        <v>24</v>
      </c>
      <c r="I709" s="31" t="n">
        <v>24.6</v>
      </c>
      <c r="J709" s="31" t="n">
        <v>25</v>
      </c>
      <c r="K709" s="31" t="n">
        <f aca="false">MAX(ROUNDUP(I709,0),H709)</f>
        <v>25</v>
      </c>
      <c r="L709" s="31" t="n">
        <f aca="false">IF(J709="","",J709-K709)</f>
        <v>0</v>
      </c>
      <c r="M709" s="32" t="n">
        <v>10.4</v>
      </c>
      <c r="N709" s="32" t="n">
        <f aca="false">IF(C709="covered",10.4,7.55)</f>
        <v>10.4</v>
      </c>
      <c r="O709" s="32" t="n">
        <f aca="false">IF(M709="","",M709-N709)</f>
        <v>0</v>
      </c>
      <c r="P709" s="11" t="n">
        <v>1</v>
      </c>
      <c r="Q709" s="33" t="n">
        <v>260</v>
      </c>
      <c r="R709" s="33" t="n">
        <f aca="false">IF(OR(J709="",P709=""),"",K709*N709*P709)</f>
        <v>260</v>
      </c>
      <c r="S709" s="33" t="n">
        <f aca="false">IF(Q709="","",Q709-R709)</f>
        <v>0</v>
      </c>
      <c r="T709" s="33" t="n">
        <f aca="false">IF(S709="","",MAX(0,-S709))</f>
        <v>-0</v>
      </c>
      <c r="U709" s="33" t="n">
        <f aca="false">IF(S709="","",MAX(0,S709))</f>
        <v>0</v>
      </c>
      <c r="V709" s="11" t="str">
        <f aca="false">IF(J709="","NOT SCORED - NO JULY MONTHLY ROW",IF(OR(ABS(L709)&gt;0.005,ABS(O709)&gt;0.005,ABS(S709)&gt;0.005),"EXCEPTION","OK"))</f>
        <v>OK</v>
      </c>
      <c r="W709" s="11" t="s">
        <v>5581</v>
      </c>
      <c r="X709" s="11" t="s">
        <v>4099</v>
      </c>
      <c r="Y709" s="33" t="n">
        <f aca="false">K709*N709</f>
        <v>260</v>
      </c>
    </row>
    <row r="710" customFormat="false" ht="15" hidden="false" customHeight="false" outlineLevel="0" collapsed="false">
      <c r="A710" s="8" t="s">
        <v>714</v>
      </c>
      <c r="B710" s="8" t="s">
        <v>211</v>
      </c>
      <c r="C710" s="8" t="s">
        <v>5306</v>
      </c>
      <c r="D710" s="8" t="s">
        <v>3713</v>
      </c>
      <c r="E710" s="8" t="s">
        <v>5582</v>
      </c>
      <c r="F710" s="8" t="s">
        <v>5583</v>
      </c>
      <c r="G710" s="8" t="s">
        <v>3165</v>
      </c>
      <c r="H710" s="8" t="n">
        <v>32</v>
      </c>
      <c r="I710" s="34" t="n">
        <v>41.2</v>
      </c>
      <c r="J710" s="34" t="n">
        <v>42</v>
      </c>
      <c r="K710" s="34" t="n">
        <f aca="false">MAX(ROUNDUP(I710,0),H710)</f>
        <v>42</v>
      </c>
      <c r="L710" s="34" t="n">
        <f aca="false">IF(J710="","",J710-K710)</f>
        <v>0</v>
      </c>
      <c r="M710" s="35" t="n">
        <v>10.4</v>
      </c>
      <c r="N710" s="35" t="n">
        <f aca="false">IF(C710="covered",10.4,7.55)</f>
        <v>10.4</v>
      </c>
      <c r="O710" s="35" t="n">
        <f aca="false">IF(M710="","",M710-N710)</f>
        <v>0</v>
      </c>
      <c r="P710" s="8" t="n">
        <v>1</v>
      </c>
      <c r="Q710" s="36" t="n">
        <v>436.8</v>
      </c>
      <c r="R710" s="36" t="n">
        <f aca="false">IF(OR(J710="",P710=""),"",K710*N710*P710)</f>
        <v>436.8</v>
      </c>
      <c r="S710" s="36" t="n">
        <f aca="false">IF(Q710="","",Q710-R710)</f>
        <v>0</v>
      </c>
      <c r="T710" s="36" t="n">
        <f aca="false">IF(S710="","",MAX(0,-S710))</f>
        <v>-0</v>
      </c>
      <c r="U710" s="36" t="n">
        <f aca="false">IF(S710="","",MAX(0,S710))</f>
        <v>0</v>
      </c>
      <c r="V710" s="8" t="str">
        <f aca="false">IF(J710="","NOT SCORED - NO JULY MONTHLY ROW",IF(OR(ABS(L710)&gt;0.005,ABS(O710)&gt;0.005,ABS(S710)&gt;0.005),"EXCEPTION","OK"))</f>
        <v>OK</v>
      </c>
      <c r="W710" s="8" t="s">
        <v>5584</v>
      </c>
      <c r="X710" s="8" t="s">
        <v>4099</v>
      </c>
      <c r="Y710" s="36" t="n">
        <f aca="false">K710*N710</f>
        <v>436.8</v>
      </c>
    </row>
    <row r="711" customFormat="false" ht="15" hidden="false" customHeight="false" outlineLevel="0" collapsed="false">
      <c r="A711" s="11" t="s">
        <v>151</v>
      </c>
      <c r="B711" s="11" t="s">
        <v>211</v>
      </c>
      <c r="C711" s="11" t="s">
        <v>5306</v>
      </c>
      <c r="D711" s="11" t="s">
        <v>3718</v>
      </c>
      <c r="E711" s="11" t="s">
        <v>5585</v>
      </c>
      <c r="F711" s="11" t="s">
        <v>5586</v>
      </c>
      <c r="G711" s="11" t="s">
        <v>3261</v>
      </c>
      <c r="H711" s="11" t="n">
        <v>28</v>
      </c>
      <c r="I711" s="31" t="n">
        <v>23.7</v>
      </c>
      <c r="J711" s="31" t="n">
        <v>28</v>
      </c>
      <c r="K711" s="31" t="n">
        <f aca="false">MAX(ROUNDUP(I711,0),H711)</f>
        <v>28</v>
      </c>
      <c r="L711" s="31" t="n">
        <f aca="false">IF(J711="","",J711-K711)</f>
        <v>0</v>
      </c>
      <c r="M711" s="32" t="n">
        <v>10.4</v>
      </c>
      <c r="N711" s="32" t="n">
        <f aca="false">IF(C711="covered",10.4,7.55)</f>
        <v>10.4</v>
      </c>
      <c r="O711" s="32" t="n">
        <f aca="false">IF(M711="","",M711-N711)</f>
        <v>0</v>
      </c>
      <c r="P711" s="11" t="n">
        <v>1</v>
      </c>
      <c r="Q711" s="33" t="n">
        <v>291.2</v>
      </c>
      <c r="R711" s="33" t="n">
        <f aca="false">IF(OR(J711="",P711=""),"",K711*N711*P711)</f>
        <v>291.2</v>
      </c>
      <c r="S711" s="33" t="n">
        <f aca="false">IF(Q711="","",Q711-R711)</f>
        <v>0</v>
      </c>
      <c r="T711" s="33" t="n">
        <f aca="false">IF(S711="","",MAX(0,-S711))</f>
        <v>-0</v>
      </c>
      <c r="U711" s="33" t="n">
        <f aca="false">IF(S711="","",MAX(0,S711))</f>
        <v>0</v>
      </c>
      <c r="V711" s="11" t="str">
        <f aca="false">IF(J711="","NOT SCORED - NO JULY MONTHLY ROW",IF(OR(ABS(L711)&gt;0.005,ABS(O711)&gt;0.005,ABS(S711)&gt;0.005),"EXCEPTION","OK"))</f>
        <v>OK</v>
      </c>
      <c r="W711" s="11" t="s">
        <v>5587</v>
      </c>
      <c r="X711" s="11" t="s">
        <v>4099</v>
      </c>
      <c r="Y711" s="33" t="n">
        <f aca="false">K711*N711</f>
        <v>291.2</v>
      </c>
    </row>
    <row r="712" customFormat="false" ht="15" hidden="false" customHeight="false" outlineLevel="0" collapsed="false">
      <c r="A712" s="8" t="s">
        <v>5588</v>
      </c>
      <c r="B712" s="8" t="s">
        <v>211</v>
      </c>
      <c r="C712" s="8" t="s">
        <v>5306</v>
      </c>
      <c r="D712" s="8" t="s">
        <v>3728</v>
      </c>
      <c r="E712" s="8" t="s">
        <v>5589</v>
      </c>
      <c r="F712" s="8" t="s">
        <v>5590</v>
      </c>
      <c r="G712" s="8" t="s">
        <v>2896</v>
      </c>
      <c r="H712" s="8" t="n">
        <v>24</v>
      </c>
      <c r="I712" s="34" t="n">
        <v>35.9</v>
      </c>
      <c r="J712" s="34" t="n">
        <v>36</v>
      </c>
      <c r="K712" s="34" t="n">
        <f aca="false">MAX(ROUNDUP(I712,0),H712)</f>
        <v>36</v>
      </c>
      <c r="L712" s="34" t="n">
        <f aca="false">IF(J712="","",J712-K712)</f>
        <v>0</v>
      </c>
      <c r="M712" s="35" t="n">
        <v>10.4</v>
      </c>
      <c r="N712" s="35" t="n">
        <f aca="false">IF(C712="covered",10.4,7.55)</f>
        <v>10.4</v>
      </c>
      <c r="O712" s="35" t="n">
        <f aca="false">IF(M712="","",M712-N712)</f>
        <v>0</v>
      </c>
      <c r="P712" s="8" t="n">
        <v>1</v>
      </c>
      <c r="Q712" s="36" t="n">
        <v>374.4</v>
      </c>
      <c r="R712" s="36" t="n">
        <f aca="false">IF(OR(J712="",P712=""),"",K712*N712*P712)</f>
        <v>374.4</v>
      </c>
      <c r="S712" s="36" t="n">
        <f aca="false">IF(Q712="","",Q712-R712)</f>
        <v>0</v>
      </c>
      <c r="T712" s="36" t="n">
        <f aca="false">IF(S712="","",MAX(0,-S712))</f>
        <v>-0</v>
      </c>
      <c r="U712" s="36" t="n">
        <f aca="false">IF(S712="","",MAX(0,S712))</f>
        <v>0</v>
      </c>
      <c r="V712" s="8" t="str">
        <f aca="false">IF(J712="","NOT SCORED - NO JULY MONTHLY ROW",IF(OR(ABS(L712)&gt;0.005,ABS(O712)&gt;0.005,ABS(S712)&gt;0.005),"EXCEPTION","OK"))</f>
        <v>OK</v>
      </c>
      <c r="W712" s="8" t="s">
        <v>5591</v>
      </c>
      <c r="X712" s="8" t="s">
        <v>4099</v>
      </c>
      <c r="Y712" s="36" t="n">
        <f aca="false">K712*N712</f>
        <v>374.4</v>
      </c>
    </row>
    <row r="713" customFormat="false" ht="15" hidden="false" customHeight="false" outlineLevel="0" collapsed="false">
      <c r="A713" s="11" t="s">
        <v>826</v>
      </c>
      <c r="B713" s="11" t="s">
        <v>211</v>
      </c>
      <c r="C713" s="11" t="s">
        <v>5306</v>
      </c>
      <c r="D713" s="11" t="s">
        <v>3732</v>
      </c>
      <c r="E713" s="11" t="s">
        <v>5592</v>
      </c>
      <c r="F713" s="11" t="s">
        <v>5593</v>
      </c>
      <c r="G713" s="11" t="s">
        <v>3059</v>
      </c>
      <c r="H713" s="11" t="n">
        <v>24</v>
      </c>
      <c r="I713" s="31" t="n">
        <v>47.8</v>
      </c>
      <c r="J713" s="31" t="n">
        <v>48</v>
      </c>
      <c r="K713" s="31" t="n">
        <f aca="false">MAX(ROUNDUP(I713,0),H713)</f>
        <v>48</v>
      </c>
      <c r="L713" s="31" t="n">
        <f aca="false">IF(J713="","",J713-K713)</f>
        <v>0</v>
      </c>
      <c r="M713" s="32" t="n">
        <v>10.4</v>
      </c>
      <c r="N713" s="32" t="n">
        <f aca="false">IF(C713="covered",10.4,7.55)</f>
        <v>10.4</v>
      </c>
      <c r="O713" s="32" t="n">
        <f aca="false">IF(M713="","",M713-N713)</f>
        <v>0</v>
      </c>
      <c r="P713" s="11" t="n">
        <v>1</v>
      </c>
      <c r="Q713" s="33" t="n">
        <v>499.2</v>
      </c>
      <c r="R713" s="33" t="n">
        <f aca="false">IF(OR(J713="",P713=""),"",K713*N713*P713)</f>
        <v>499.2</v>
      </c>
      <c r="S713" s="33" t="n">
        <f aca="false">IF(Q713="","",Q713-R713)</f>
        <v>0</v>
      </c>
      <c r="T713" s="33" t="n">
        <f aca="false">IF(S713="","",MAX(0,-S713))</f>
        <v>-0</v>
      </c>
      <c r="U713" s="33" t="n">
        <f aca="false">IF(S713="","",MAX(0,S713))</f>
        <v>0</v>
      </c>
      <c r="V713" s="11" t="str">
        <f aca="false">IF(J713="","NOT SCORED - NO JULY MONTHLY ROW",IF(OR(ABS(L713)&gt;0.005,ABS(O713)&gt;0.005,ABS(S713)&gt;0.005),"EXCEPTION","OK"))</f>
        <v>OK</v>
      </c>
      <c r="W713" s="11" t="s">
        <v>5594</v>
      </c>
      <c r="X713" s="11" t="s">
        <v>4099</v>
      </c>
      <c r="Y713" s="33" t="n">
        <f aca="false">K713*N713</f>
        <v>499.2</v>
      </c>
    </row>
    <row r="714" customFormat="false" ht="15" hidden="false" customHeight="false" outlineLevel="0" collapsed="false">
      <c r="A714" s="8" t="s">
        <v>5595</v>
      </c>
      <c r="B714" s="8" t="s">
        <v>211</v>
      </c>
      <c r="C714" s="8" t="s">
        <v>5306</v>
      </c>
      <c r="D714" s="8" t="s">
        <v>4427</v>
      </c>
      <c r="E714" s="8" t="s">
        <v>5596</v>
      </c>
      <c r="F714" s="8" t="s">
        <v>5597</v>
      </c>
      <c r="G714" s="8" t="s">
        <v>5598</v>
      </c>
      <c r="H714" s="8" t="n">
        <v>40</v>
      </c>
      <c r="I714" s="34" t="n">
        <v>60.9</v>
      </c>
      <c r="J714" s="34" t="n">
        <v>61</v>
      </c>
      <c r="K714" s="34" t="n">
        <f aca="false">MAX(ROUNDUP(I714,0),H714)</f>
        <v>61</v>
      </c>
      <c r="L714" s="34" t="n">
        <f aca="false">IF(J714="","",J714-K714)</f>
        <v>0</v>
      </c>
      <c r="M714" s="35" t="n">
        <v>10.4</v>
      </c>
      <c r="N714" s="35" t="n">
        <f aca="false">IF(C714="covered",10.4,7.55)</f>
        <v>10.4</v>
      </c>
      <c r="O714" s="35" t="n">
        <f aca="false">IF(M714="","",M714-N714)</f>
        <v>0</v>
      </c>
      <c r="P714" s="8" t="n">
        <v>1</v>
      </c>
      <c r="Q714" s="36" t="n">
        <v>634.4</v>
      </c>
      <c r="R714" s="36" t="n">
        <f aca="false">IF(OR(J714="",P714=""),"",K714*N714*P714)</f>
        <v>634.4</v>
      </c>
      <c r="S714" s="36" t="n">
        <f aca="false">IF(Q714="","",Q714-R714)</f>
        <v>0</v>
      </c>
      <c r="T714" s="36" t="n">
        <f aca="false">IF(S714="","",MAX(0,-S714))</f>
        <v>-0</v>
      </c>
      <c r="U714" s="36" t="n">
        <f aca="false">IF(S714="","",MAX(0,S714))</f>
        <v>0</v>
      </c>
      <c r="V714" s="8" t="str">
        <f aca="false">IF(J714="","NOT SCORED - NO JULY MONTHLY ROW",IF(OR(ABS(L714)&gt;0.005,ABS(O714)&gt;0.005,ABS(S714)&gt;0.005),"EXCEPTION","OK"))</f>
        <v>OK</v>
      </c>
      <c r="W714" s="8" t="s">
        <v>5599</v>
      </c>
      <c r="X714" s="8" t="s">
        <v>4099</v>
      </c>
      <c r="Y714" s="36" t="n">
        <f aca="false">K714*N714</f>
        <v>634.4</v>
      </c>
    </row>
    <row r="715" customFormat="false" ht="15" hidden="false" customHeight="false" outlineLevel="0" collapsed="false">
      <c r="A715" s="11" t="s">
        <v>5600</v>
      </c>
      <c r="B715" s="11" t="s">
        <v>211</v>
      </c>
      <c r="C715" s="11" t="s">
        <v>5306</v>
      </c>
      <c r="D715" s="11" t="s">
        <v>3737</v>
      </c>
      <c r="E715" s="11" t="s">
        <v>5601</v>
      </c>
      <c r="F715" s="11" t="s">
        <v>5602</v>
      </c>
      <c r="G715" s="11" t="s">
        <v>4135</v>
      </c>
      <c r="H715" s="11" t="n">
        <v>24</v>
      </c>
      <c r="I715" s="31" t="n">
        <v>43.7</v>
      </c>
      <c r="J715" s="31" t="n">
        <v>44</v>
      </c>
      <c r="K715" s="31" t="n">
        <f aca="false">MAX(ROUNDUP(I715,0),H715)</f>
        <v>44</v>
      </c>
      <c r="L715" s="31" t="n">
        <f aca="false">IF(J715="","",J715-K715)</f>
        <v>0</v>
      </c>
      <c r="M715" s="32" t="n">
        <v>10.4</v>
      </c>
      <c r="N715" s="32" t="n">
        <f aca="false">IF(C715="covered",10.4,7.55)</f>
        <v>10.4</v>
      </c>
      <c r="O715" s="32" t="n">
        <f aca="false">IF(M715="","",M715-N715)</f>
        <v>0</v>
      </c>
      <c r="P715" s="11" t="n">
        <v>1</v>
      </c>
      <c r="Q715" s="33" t="n">
        <v>457.6</v>
      </c>
      <c r="R715" s="33" t="n">
        <f aca="false">IF(OR(J715="",P715=""),"",K715*N715*P715)</f>
        <v>457.6</v>
      </c>
      <c r="S715" s="33" t="n">
        <f aca="false">IF(Q715="","",Q715-R715)</f>
        <v>0</v>
      </c>
      <c r="T715" s="33" t="n">
        <f aca="false">IF(S715="","",MAX(0,-S715))</f>
        <v>-0</v>
      </c>
      <c r="U715" s="33" t="n">
        <f aca="false">IF(S715="","",MAX(0,S715))</f>
        <v>0</v>
      </c>
      <c r="V715" s="11" t="str">
        <f aca="false">IF(J715="","NOT SCORED - NO JULY MONTHLY ROW",IF(OR(ABS(L715)&gt;0.005,ABS(O715)&gt;0.005,ABS(S715)&gt;0.005),"EXCEPTION","OK"))</f>
        <v>OK</v>
      </c>
      <c r="W715" s="11" t="s">
        <v>5603</v>
      </c>
      <c r="X715" s="11" t="s">
        <v>4099</v>
      </c>
      <c r="Y715" s="33" t="n">
        <f aca="false">K715*N715</f>
        <v>457.6</v>
      </c>
    </row>
    <row r="716" customFormat="false" ht="15" hidden="false" customHeight="false" outlineLevel="0" collapsed="false">
      <c r="A716" s="8" t="s">
        <v>5604</v>
      </c>
      <c r="B716" s="8" t="s">
        <v>211</v>
      </c>
      <c r="C716" s="8" t="s">
        <v>5306</v>
      </c>
      <c r="D716" s="8" t="s">
        <v>3741</v>
      </c>
      <c r="E716" s="8" t="s">
        <v>5605</v>
      </c>
      <c r="F716" s="8" t="s">
        <v>5606</v>
      </c>
      <c r="G716" s="8" t="s">
        <v>3791</v>
      </c>
      <c r="H716" s="8" t="n">
        <v>24</v>
      </c>
      <c r="I716" s="34" t="n">
        <v>44.4</v>
      </c>
      <c r="J716" s="34" t="n">
        <v>45</v>
      </c>
      <c r="K716" s="34" t="n">
        <f aca="false">MAX(ROUNDUP(I716,0),H716)</f>
        <v>45</v>
      </c>
      <c r="L716" s="34" t="n">
        <f aca="false">IF(J716="","",J716-K716)</f>
        <v>0</v>
      </c>
      <c r="M716" s="35" t="n">
        <v>10.4</v>
      </c>
      <c r="N716" s="35" t="n">
        <f aca="false">IF(C716="covered",10.4,7.55)</f>
        <v>10.4</v>
      </c>
      <c r="O716" s="35" t="n">
        <f aca="false">IF(M716="","",M716-N716)</f>
        <v>0</v>
      </c>
      <c r="P716" s="8" t="n">
        <v>1</v>
      </c>
      <c r="Q716" s="36" t="n">
        <v>468</v>
      </c>
      <c r="R716" s="36" t="n">
        <f aca="false">IF(OR(J716="",P716=""),"",K716*N716*P716)</f>
        <v>468</v>
      </c>
      <c r="S716" s="36" t="n">
        <f aca="false">IF(Q716="","",Q716-R716)</f>
        <v>0</v>
      </c>
      <c r="T716" s="36" t="n">
        <f aca="false">IF(S716="","",MAX(0,-S716))</f>
        <v>-0</v>
      </c>
      <c r="U716" s="36" t="n">
        <f aca="false">IF(S716="","",MAX(0,S716))</f>
        <v>0</v>
      </c>
      <c r="V716" s="8" t="str">
        <f aca="false">IF(J716="","NOT SCORED - NO JULY MONTHLY ROW",IF(OR(ABS(L716)&gt;0.005,ABS(O716)&gt;0.005,ABS(S716)&gt;0.005),"EXCEPTION","OK"))</f>
        <v>OK</v>
      </c>
      <c r="W716" s="8" t="s">
        <v>5607</v>
      </c>
      <c r="X716" s="8" t="s">
        <v>4099</v>
      </c>
      <c r="Y716" s="36" t="n">
        <f aca="false">K716*N716</f>
        <v>468</v>
      </c>
    </row>
    <row r="717" customFormat="false" ht="15" hidden="false" customHeight="false" outlineLevel="0" collapsed="false">
      <c r="A717" s="11" t="s">
        <v>5608</v>
      </c>
      <c r="B717" s="11" t="s">
        <v>211</v>
      </c>
      <c r="C717" s="11" t="s">
        <v>5306</v>
      </c>
      <c r="D717" s="11" t="s">
        <v>3745</v>
      </c>
      <c r="E717" s="11" t="s">
        <v>1247</v>
      </c>
      <c r="F717" s="11" t="s">
        <v>1248</v>
      </c>
      <c r="G717" s="11" t="s">
        <v>5257</v>
      </c>
      <c r="H717" s="11" t="n">
        <v>36</v>
      </c>
      <c r="I717" s="31" t="n">
        <v>28.9</v>
      </c>
      <c r="J717" s="31" t="n">
        <v>36</v>
      </c>
      <c r="K717" s="31" t="n">
        <f aca="false">MAX(ROUNDUP(I717,0),H717)</f>
        <v>36</v>
      </c>
      <c r="L717" s="31" t="n">
        <f aca="false">IF(J717="","",J717-K717)</f>
        <v>0</v>
      </c>
      <c r="M717" s="32" t="n">
        <v>10.4</v>
      </c>
      <c r="N717" s="32" t="n">
        <f aca="false">IF(C717="covered",10.4,7.55)</f>
        <v>10.4</v>
      </c>
      <c r="O717" s="32" t="n">
        <f aca="false">IF(M717="","",M717-N717)</f>
        <v>0</v>
      </c>
      <c r="P717" s="11" t="n">
        <v>1</v>
      </c>
      <c r="Q717" s="33" t="n">
        <v>374.4</v>
      </c>
      <c r="R717" s="33" t="n">
        <f aca="false">IF(OR(J717="",P717=""),"",K717*N717*P717)</f>
        <v>374.4</v>
      </c>
      <c r="S717" s="33" t="n">
        <f aca="false">IF(Q717="","",Q717-R717)</f>
        <v>0</v>
      </c>
      <c r="T717" s="33" t="n">
        <f aca="false">IF(S717="","",MAX(0,-S717))</f>
        <v>-0</v>
      </c>
      <c r="U717" s="33" t="n">
        <f aca="false">IF(S717="","",MAX(0,S717))</f>
        <v>0</v>
      </c>
      <c r="V717" s="11" t="str">
        <f aca="false">IF(J717="","NOT SCORED - NO JULY MONTHLY ROW",IF(OR(ABS(L717)&gt;0.005,ABS(O717)&gt;0.005,ABS(S717)&gt;0.005),"EXCEPTION","OK"))</f>
        <v>OK</v>
      </c>
      <c r="W717" s="11" t="s">
        <v>5609</v>
      </c>
      <c r="X717" s="11" t="s">
        <v>4099</v>
      </c>
      <c r="Y717" s="33" t="n">
        <f aca="false">K717*N717</f>
        <v>374.4</v>
      </c>
    </row>
    <row r="718" customFormat="false" ht="15" hidden="false" customHeight="false" outlineLevel="0" collapsed="false">
      <c r="A718" s="8" t="s">
        <v>5610</v>
      </c>
      <c r="B718" s="8" t="s">
        <v>211</v>
      </c>
      <c r="C718" s="8" t="s">
        <v>5306</v>
      </c>
      <c r="D718" s="8" t="s">
        <v>3750</v>
      </c>
      <c r="E718" s="8" t="s">
        <v>5611</v>
      </c>
      <c r="F718" s="8" t="s">
        <v>5612</v>
      </c>
      <c r="G718" s="8" t="s">
        <v>3183</v>
      </c>
      <c r="H718" s="8" t="n">
        <v>28</v>
      </c>
      <c r="I718" s="34" t="n">
        <v>25.1</v>
      </c>
      <c r="J718" s="34" t="n">
        <v>28</v>
      </c>
      <c r="K718" s="34" t="n">
        <f aca="false">MAX(ROUNDUP(I718,0),H718)</f>
        <v>28</v>
      </c>
      <c r="L718" s="34" t="n">
        <f aca="false">IF(J718="","",J718-K718)</f>
        <v>0</v>
      </c>
      <c r="M718" s="35" t="n">
        <v>10.4</v>
      </c>
      <c r="N718" s="35" t="n">
        <f aca="false">IF(C718="covered",10.4,7.55)</f>
        <v>10.4</v>
      </c>
      <c r="O718" s="35" t="n">
        <f aca="false">IF(M718="","",M718-N718)</f>
        <v>0</v>
      </c>
      <c r="P718" s="8" t="n">
        <v>1</v>
      </c>
      <c r="Q718" s="36" t="n">
        <v>291.2</v>
      </c>
      <c r="R718" s="36" t="n">
        <f aca="false">IF(OR(J718="",P718=""),"",K718*N718*P718)</f>
        <v>291.2</v>
      </c>
      <c r="S718" s="36" t="n">
        <f aca="false">IF(Q718="","",Q718-R718)</f>
        <v>0</v>
      </c>
      <c r="T718" s="36" t="n">
        <f aca="false">IF(S718="","",MAX(0,-S718))</f>
        <v>-0</v>
      </c>
      <c r="U718" s="36" t="n">
        <f aca="false">IF(S718="","",MAX(0,S718))</f>
        <v>0</v>
      </c>
      <c r="V718" s="8" t="str">
        <f aca="false">IF(J718="","NOT SCORED - NO JULY MONTHLY ROW",IF(OR(ABS(L718)&gt;0.005,ABS(O718)&gt;0.005,ABS(S718)&gt;0.005),"EXCEPTION","OK"))</f>
        <v>OK</v>
      </c>
      <c r="W718" s="8" t="s">
        <v>5613</v>
      </c>
      <c r="X718" s="8" t="s">
        <v>4099</v>
      </c>
      <c r="Y718" s="36" t="n">
        <f aca="false">K718*N718</f>
        <v>291.2</v>
      </c>
    </row>
    <row r="719" customFormat="false" ht="15" hidden="false" customHeight="false" outlineLevel="0" collapsed="false">
      <c r="A719" s="11" t="s">
        <v>5614</v>
      </c>
      <c r="B719" s="11" t="s">
        <v>211</v>
      </c>
      <c r="C719" s="11" t="s">
        <v>5306</v>
      </c>
      <c r="D719" s="11" t="s">
        <v>3754</v>
      </c>
      <c r="E719" s="11" t="s">
        <v>5615</v>
      </c>
      <c r="F719" s="11" t="s">
        <v>5616</v>
      </c>
      <c r="G719" s="11" t="s">
        <v>3641</v>
      </c>
      <c r="H719" s="11" t="n">
        <v>32</v>
      </c>
      <c r="I719" s="31" t="n">
        <v>33.5</v>
      </c>
      <c r="J719" s="31" t="n">
        <v>34</v>
      </c>
      <c r="K719" s="31" t="n">
        <f aca="false">MAX(ROUNDUP(I719,0),H719)</f>
        <v>34</v>
      </c>
      <c r="L719" s="31" t="n">
        <f aca="false">IF(J719="","",J719-K719)</f>
        <v>0</v>
      </c>
      <c r="M719" s="32" t="n">
        <v>10.4</v>
      </c>
      <c r="N719" s="32" t="n">
        <f aca="false">IF(C719="covered",10.4,7.55)</f>
        <v>10.4</v>
      </c>
      <c r="O719" s="32" t="n">
        <f aca="false">IF(M719="","",M719-N719)</f>
        <v>0</v>
      </c>
      <c r="P719" s="11" t="n">
        <v>1</v>
      </c>
      <c r="Q719" s="33" t="n">
        <v>353.6</v>
      </c>
      <c r="R719" s="33" t="n">
        <f aca="false">IF(OR(J719="",P719=""),"",K719*N719*P719)</f>
        <v>353.6</v>
      </c>
      <c r="S719" s="33" t="n">
        <f aca="false">IF(Q719="","",Q719-R719)</f>
        <v>0</v>
      </c>
      <c r="T719" s="33" t="n">
        <f aca="false">IF(S719="","",MAX(0,-S719))</f>
        <v>-0</v>
      </c>
      <c r="U719" s="33" t="n">
        <f aca="false">IF(S719="","",MAX(0,S719))</f>
        <v>0</v>
      </c>
      <c r="V719" s="11" t="str">
        <f aca="false">IF(J719="","NOT SCORED - NO JULY MONTHLY ROW",IF(OR(ABS(L719)&gt;0.005,ABS(O719)&gt;0.005,ABS(S719)&gt;0.005),"EXCEPTION","OK"))</f>
        <v>OK</v>
      </c>
      <c r="W719" s="11" t="s">
        <v>5617</v>
      </c>
      <c r="X719" s="11" t="s">
        <v>4099</v>
      </c>
      <c r="Y719" s="33" t="n">
        <f aca="false">K719*N719</f>
        <v>353.6</v>
      </c>
    </row>
    <row r="720" customFormat="false" ht="15" hidden="false" customHeight="false" outlineLevel="0" collapsed="false">
      <c r="A720" s="8" t="s">
        <v>5618</v>
      </c>
      <c r="B720" s="8" t="s">
        <v>211</v>
      </c>
      <c r="C720" s="8" t="s">
        <v>5306</v>
      </c>
      <c r="D720" s="8" t="s">
        <v>3759</v>
      </c>
      <c r="E720" s="8" t="s">
        <v>5619</v>
      </c>
      <c r="F720" s="8" t="s">
        <v>5620</v>
      </c>
      <c r="G720" s="8" t="s">
        <v>3896</v>
      </c>
      <c r="H720" s="8" t="n">
        <v>40</v>
      </c>
      <c r="I720" s="34" t="n">
        <v>34.6</v>
      </c>
      <c r="J720" s="34" t="n">
        <v>40</v>
      </c>
      <c r="K720" s="34" t="n">
        <f aca="false">MAX(ROUNDUP(I720,0),H720)</f>
        <v>40</v>
      </c>
      <c r="L720" s="34" t="n">
        <f aca="false">IF(J720="","",J720-K720)</f>
        <v>0</v>
      </c>
      <c r="M720" s="35" t="n">
        <v>10.4</v>
      </c>
      <c r="N720" s="35" t="n">
        <f aca="false">IF(C720="covered",10.4,7.55)</f>
        <v>10.4</v>
      </c>
      <c r="O720" s="35" t="n">
        <f aca="false">IF(M720="","",M720-N720)</f>
        <v>0</v>
      </c>
      <c r="P720" s="8" t="n">
        <v>1</v>
      </c>
      <c r="Q720" s="36" t="n">
        <v>416</v>
      </c>
      <c r="R720" s="36" t="n">
        <f aca="false">IF(OR(J720="",P720=""),"",K720*N720*P720)</f>
        <v>416</v>
      </c>
      <c r="S720" s="36" t="n">
        <f aca="false">IF(Q720="","",Q720-R720)</f>
        <v>0</v>
      </c>
      <c r="T720" s="36" t="n">
        <f aca="false">IF(S720="","",MAX(0,-S720))</f>
        <v>-0</v>
      </c>
      <c r="U720" s="36" t="n">
        <f aca="false">IF(S720="","",MAX(0,S720))</f>
        <v>0</v>
      </c>
      <c r="V720" s="8" t="str">
        <f aca="false">IF(J720="","NOT SCORED - NO JULY MONTHLY ROW",IF(OR(ABS(L720)&gt;0.005,ABS(O720)&gt;0.005,ABS(S720)&gt;0.005),"EXCEPTION","OK"))</f>
        <v>OK</v>
      </c>
      <c r="W720" s="8" t="s">
        <v>5621</v>
      </c>
      <c r="X720" s="8" t="s">
        <v>4099</v>
      </c>
      <c r="Y720" s="36" t="n">
        <f aca="false">K720*N720</f>
        <v>416</v>
      </c>
    </row>
    <row r="721" customFormat="false" ht="15" hidden="false" customHeight="false" outlineLevel="0" collapsed="false">
      <c r="A721" s="11" t="s">
        <v>5622</v>
      </c>
      <c r="B721" s="11" t="s">
        <v>211</v>
      </c>
      <c r="C721" s="11" t="s">
        <v>5306</v>
      </c>
      <c r="D721" s="11" t="s">
        <v>3763</v>
      </c>
      <c r="E721" s="11" t="s">
        <v>5623</v>
      </c>
      <c r="F721" s="11" t="s">
        <v>5624</v>
      </c>
      <c r="G721" s="11" t="s">
        <v>3188</v>
      </c>
      <c r="H721" s="11" t="n">
        <v>28</v>
      </c>
      <c r="I721" s="31" t="n">
        <v>28.5</v>
      </c>
      <c r="J721" s="31" t="n">
        <v>29</v>
      </c>
      <c r="K721" s="31" t="n">
        <f aca="false">MAX(ROUNDUP(I721,0),H721)</f>
        <v>29</v>
      </c>
      <c r="L721" s="31" t="n">
        <f aca="false">IF(J721="","",J721-K721)</f>
        <v>0</v>
      </c>
      <c r="M721" s="32" t="n">
        <v>10.4</v>
      </c>
      <c r="N721" s="32" t="n">
        <f aca="false">IF(C721="covered",10.4,7.55)</f>
        <v>10.4</v>
      </c>
      <c r="O721" s="32" t="n">
        <f aca="false">IF(M721="","",M721-N721)</f>
        <v>0</v>
      </c>
      <c r="P721" s="11" t="n">
        <v>1</v>
      </c>
      <c r="Q721" s="33" t="n">
        <v>301.6</v>
      </c>
      <c r="R721" s="33" t="n">
        <f aca="false">IF(OR(J721="",P721=""),"",K721*N721*P721)</f>
        <v>301.6</v>
      </c>
      <c r="S721" s="33" t="n">
        <f aca="false">IF(Q721="","",Q721-R721)</f>
        <v>0</v>
      </c>
      <c r="T721" s="33" t="n">
        <f aca="false">IF(S721="","",MAX(0,-S721))</f>
        <v>-0</v>
      </c>
      <c r="U721" s="33" t="n">
        <f aca="false">IF(S721="","",MAX(0,S721))</f>
        <v>0</v>
      </c>
      <c r="V721" s="11" t="str">
        <f aca="false">IF(J721="","NOT SCORED - NO JULY MONTHLY ROW",IF(OR(ABS(L721)&gt;0.005,ABS(O721)&gt;0.005,ABS(S721)&gt;0.005),"EXCEPTION","OK"))</f>
        <v>OK</v>
      </c>
      <c r="W721" s="11" t="s">
        <v>5625</v>
      </c>
      <c r="X721" s="11" t="s">
        <v>4099</v>
      </c>
      <c r="Y721" s="33" t="n">
        <f aca="false">K721*N721</f>
        <v>301.6</v>
      </c>
    </row>
    <row r="722" customFormat="false" ht="15" hidden="false" customHeight="false" outlineLevel="0" collapsed="false">
      <c r="A722" s="8" t="s">
        <v>5626</v>
      </c>
      <c r="B722" s="8" t="s">
        <v>211</v>
      </c>
      <c r="C722" s="8" t="s">
        <v>5306</v>
      </c>
      <c r="D722" s="8" t="s">
        <v>2830</v>
      </c>
      <c r="E722" s="8" t="s">
        <v>5627</v>
      </c>
      <c r="F722" s="8" t="s">
        <v>5628</v>
      </c>
      <c r="G722" s="8" t="s">
        <v>5629</v>
      </c>
      <c r="H722" s="8" t="n">
        <v>32</v>
      </c>
      <c r="I722" s="34" t="n">
        <v>53.6</v>
      </c>
      <c r="J722" s="34" t="n">
        <v>54</v>
      </c>
      <c r="K722" s="34" t="n">
        <f aca="false">MAX(ROUNDUP(I722,0),H722)</f>
        <v>54</v>
      </c>
      <c r="L722" s="34" t="n">
        <f aca="false">IF(J722="","",J722-K722)</f>
        <v>0</v>
      </c>
      <c r="M722" s="35" t="n">
        <v>10.4</v>
      </c>
      <c r="N722" s="35" t="n">
        <f aca="false">IF(C722="covered",10.4,7.55)</f>
        <v>10.4</v>
      </c>
      <c r="O722" s="35" t="n">
        <f aca="false">IF(M722="","",M722-N722)</f>
        <v>0</v>
      </c>
      <c r="P722" s="8" t="n">
        <v>1</v>
      </c>
      <c r="Q722" s="36" t="n">
        <v>561.6</v>
      </c>
      <c r="R722" s="36" t="n">
        <f aca="false">IF(OR(J722="",P722=""),"",K722*N722*P722)</f>
        <v>561.6</v>
      </c>
      <c r="S722" s="36" t="n">
        <f aca="false">IF(Q722="","",Q722-R722)</f>
        <v>0</v>
      </c>
      <c r="T722" s="36" t="n">
        <f aca="false">IF(S722="","",MAX(0,-S722))</f>
        <v>-0</v>
      </c>
      <c r="U722" s="36" t="n">
        <f aca="false">IF(S722="","",MAX(0,S722))</f>
        <v>0</v>
      </c>
      <c r="V722" s="8" t="str">
        <f aca="false">IF(J722="","NOT SCORED - NO JULY MONTHLY ROW",IF(OR(ABS(L722)&gt;0.005,ABS(O722)&gt;0.005,ABS(S722)&gt;0.005),"EXCEPTION","OK"))</f>
        <v>OK</v>
      </c>
      <c r="W722" s="8" t="s">
        <v>5630</v>
      </c>
      <c r="X722" s="8" t="s">
        <v>4099</v>
      </c>
      <c r="Y722" s="36" t="n">
        <f aca="false">K722*N722</f>
        <v>561.6</v>
      </c>
    </row>
    <row r="723" customFormat="false" ht="15" hidden="false" customHeight="false" outlineLevel="0" collapsed="false">
      <c r="A723" s="11" t="s">
        <v>5631</v>
      </c>
      <c r="B723" s="11" t="s">
        <v>211</v>
      </c>
      <c r="C723" s="11" t="s">
        <v>5306</v>
      </c>
      <c r="D723" s="11" t="s">
        <v>2836</v>
      </c>
      <c r="E723" s="11" t="s">
        <v>5632</v>
      </c>
      <c r="F723" s="11" t="s">
        <v>5633</v>
      </c>
      <c r="G723" s="11" t="s">
        <v>5634</v>
      </c>
      <c r="H723" s="11" t="n">
        <v>24</v>
      </c>
      <c r="I723" s="31" t="n">
        <v>34</v>
      </c>
      <c r="J723" s="31" t="n">
        <v>34</v>
      </c>
      <c r="K723" s="31" t="n">
        <f aca="false">MAX(ROUNDUP(I723,0),H723)</f>
        <v>34</v>
      </c>
      <c r="L723" s="31" t="n">
        <f aca="false">IF(J723="","",J723-K723)</f>
        <v>0</v>
      </c>
      <c r="M723" s="32" t="n">
        <v>10.4</v>
      </c>
      <c r="N723" s="32" t="n">
        <f aca="false">IF(C723="covered",10.4,7.55)</f>
        <v>10.4</v>
      </c>
      <c r="O723" s="32" t="n">
        <f aca="false">IF(M723="","",M723-N723)</f>
        <v>0</v>
      </c>
      <c r="P723" s="11" t="n">
        <v>1</v>
      </c>
      <c r="Q723" s="33" t="n">
        <v>353.6</v>
      </c>
      <c r="R723" s="33" t="n">
        <f aca="false">IF(OR(J723="",P723=""),"",K723*N723*P723)</f>
        <v>353.6</v>
      </c>
      <c r="S723" s="33" t="n">
        <f aca="false">IF(Q723="","",Q723-R723)</f>
        <v>0</v>
      </c>
      <c r="T723" s="33" t="n">
        <f aca="false">IF(S723="","",MAX(0,-S723))</f>
        <v>-0</v>
      </c>
      <c r="U723" s="33" t="n">
        <f aca="false">IF(S723="","",MAX(0,S723))</f>
        <v>0</v>
      </c>
      <c r="V723" s="11" t="str">
        <f aca="false">IF(J723="","NOT SCORED - NO JULY MONTHLY ROW",IF(OR(ABS(L723)&gt;0.005,ABS(O723)&gt;0.005,ABS(S723)&gt;0.005),"EXCEPTION","OK"))</f>
        <v>OK</v>
      </c>
      <c r="W723" s="11" t="s">
        <v>5635</v>
      </c>
      <c r="X723" s="11" t="s">
        <v>4099</v>
      </c>
      <c r="Y723" s="33" t="n">
        <f aca="false">K723*N723</f>
        <v>353.6</v>
      </c>
    </row>
    <row r="724" customFormat="false" ht="15" hidden="false" customHeight="false" outlineLevel="0" collapsed="false">
      <c r="A724" s="8" t="s">
        <v>1693</v>
      </c>
      <c r="B724" s="8" t="s">
        <v>211</v>
      </c>
      <c r="C724" s="8" t="s">
        <v>5306</v>
      </c>
      <c r="D724" s="8" t="s">
        <v>2841</v>
      </c>
      <c r="E724" s="8" t="s">
        <v>5636</v>
      </c>
      <c r="F724" s="8" t="s">
        <v>5637</v>
      </c>
      <c r="G724" s="8" t="s">
        <v>4831</v>
      </c>
      <c r="H724" s="8" t="n">
        <v>28</v>
      </c>
      <c r="I724" s="34" t="n">
        <v>57.8</v>
      </c>
      <c r="J724" s="34" t="n">
        <v>58</v>
      </c>
      <c r="K724" s="34" t="n">
        <f aca="false">MAX(ROUNDUP(I724,0),H724)</f>
        <v>58</v>
      </c>
      <c r="L724" s="34" t="n">
        <f aca="false">IF(J724="","",J724-K724)</f>
        <v>0</v>
      </c>
      <c r="M724" s="35" t="n">
        <v>10.4</v>
      </c>
      <c r="N724" s="35" t="n">
        <f aca="false">IF(C724="covered",10.4,7.55)</f>
        <v>10.4</v>
      </c>
      <c r="O724" s="35" t="n">
        <f aca="false">IF(M724="","",M724-N724)</f>
        <v>0</v>
      </c>
      <c r="P724" s="8" t="n">
        <v>1</v>
      </c>
      <c r="Q724" s="36" t="n">
        <v>603.2</v>
      </c>
      <c r="R724" s="36" t="n">
        <f aca="false">IF(OR(J724="",P724=""),"",K724*N724*P724)</f>
        <v>603.2</v>
      </c>
      <c r="S724" s="36" t="n">
        <f aca="false">IF(Q724="","",Q724-R724)</f>
        <v>0</v>
      </c>
      <c r="T724" s="36" t="n">
        <f aca="false">IF(S724="","",MAX(0,-S724))</f>
        <v>-0</v>
      </c>
      <c r="U724" s="36" t="n">
        <f aca="false">IF(S724="","",MAX(0,S724))</f>
        <v>0</v>
      </c>
      <c r="V724" s="8" t="str">
        <f aca="false">IF(J724="","NOT SCORED - NO JULY MONTHLY ROW",IF(OR(ABS(L724)&gt;0.005,ABS(O724)&gt;0.005,ABS(S724)&gt;0.005),"EXCEPTION","OK"))</f>
        <v>OK</v>
      </c>
      <c r="W724" s="8" t="s">
        <v>5638</v>
      </c>
      <c r="X724" s="8" t="s">
        <v>4099</v>
      </c>
      <c r="Y724" s="36" t="n">
        <f aca="false">K724*N724</f>
        <v>603.2</v>
      </c>
    </row>
    <row r="725" customFormat="false" ht="15" hidden="false" customHeight="false" outlineLevel="0" collapsed="false">
      <c r="A725" s="11" t="s">
        <v>5639</v>
      </c>
      <c r="B725" s="11" t="s">
        <v>211</v>
      </c>
      <c r="C725" s="11" t="s">
        <v>5306</v>
      </c>
      <c r="D725" s="11" t="s">
        <v>2846</v>
      </c>
      <c r="E725" s="11" t="s">
        <v>5640</v>
      </c>
      <c r="F725" s="11" t="s">
        <v>5641</v>
      </c>
      <c r="G725" s="11" t="s">
        <v>5230</v>
      </c>
      <c r="H725" s="11" t="n">
        <v>28</v>
      </c>
      <c r="I725" s="31" t="n">
        <v>57.9</v>
      </c>
      <c r="J725" s="31" t="n">
        <v>58</v>
      </c>
      <c r="K725" s="31" t="n">
        <f aca="false">MAX(ROUNDUP(I725,0),H725)</f>
        <v>58</v>
      </c>
      <c r="L725" s="31" t="n">
        <f aca="false">IF(J725="","",J725-K725)</f>
        <v>0</v>
      </c>
      <c r="M725" s="32" t="n">
        <v>10.4</v>
      </c>
      <c r="N725" s="32" t="n">
        <f aca="false">IF(C725="covered",10.4,7.55)</f>
        <v>10.4</v>
      </c>
      <c r="O725" s="32" t="n">
        <f aca="false">IF(M725="","",M725-N725)</f>
        <v>0</v>
      </c>
      <c r="P725" s="11" t="n">
        <v>1</v>
      </c>
      <c r="Q725" s="33" t="n">
        <v>603.2</v>
      </c>
      <c r="R725" s="33" t="n">
        <f aca="false">IF(OR(J725="",P725=""),"",K725*N725*P725)</f>
        <v>603.2</v>
      </c>
      <c r="S725" s="33" t="n">
        <f aca="false">IF(Q725="","",Q725-R725)</f>
        <v>0</v>
      </c>
      <c r="T725" s="33" t="n">
        <f aca="false">IF(S725="","",MAX(0,-S725))</f>
        <v>-0</v>
      </c>
      <c r="U725" s="33" t="n">
        <f aca="false">IF(S725="","",MAX(0,S725))</f>
        <v>0</v>
      </c>
      <c r="V725" s="11" t="str">
        <f aca="false">IF(J725="","NOT SCORED - NO JULY MONTHLY ROW",IF(OR(ABS(L725)&gt;0.005,ABS(O725)&gt;0.005,ABS(S725)&gt;0.005),"EXCEPTION","OK"))</f>
        <v>OK</v>
      </c>
      <c r="W725" s="11" t="s">
        <v>5642</v>
      </c>
      <c r="X725" s="11" t="s">
        <v>4099</v>
      </c>
      <c r="Y725" s="33" t="n">
        <f aca="false">K725*N725</f>
        <v>603.2</v>
      </c>
    </row>
    <row r="726" customFormat="false" ht="15" hidden="false" customHeight="false" outlineLevel="0" collapsed="false">
      <c r="A726" s="8" t="s">
        <v>5643</v>
      </c>
      <c r="B726" s="8" t="s">
        <v>211</v>
      </c>
      <c r="C726" s="8" t="s">
        <v>5306</v>
      </c>
      <c r="D726" s="8" t="s">
        <v>2849</v>
      </c>
      <c r="E726" s="8" t="s">
        <v>5644</v>
      </c>
      <c r="F726" s="8" t="s">
        <v>5645</v>
      </c>
      <c r="G726" s="8" t="s">
        <v>5646</v>
      </c>
      <c r="H726" s="8" t="n">
        <v>24</v>
      </c>
      <c r="I726" s="34" t="n">
        <v>46.7</v>
      </c>
      <c r="J726" s="34" t="n">
        <v>47</v>
      </c>
      <c r="K726" s="34" t="n">
        <f aca="false">MAX(ROUNDUP(I726,0),H726)</f>
        <v>47</v>
      </c>
      <c r="L726" s="34" t="n">
        <f aca="false">IF(J726="","",J726-K726)</f>
        <v>0</v>
      </c>
      <c r="M726" s="35" t="n">
        <v>10.4</v>
      </c>
      <c r="N726" s="35" t="n">
        <f aca="false">IF(C726="covered",10.4,7.55)</f>
        <v>10.4</v>
      </c>
      <c r="O726" s="35" t="n">
        <f aca="false">IF(M726="","",M726-N726)</f>
        <v>0</v>
      </c>
      <c r="P726" s="8" t="n">
        <v>1</v>
      </c>
      <c r="Q726" s="36" t="n">
        <v>488.8</v>
      </c>
      <c r="R726" s="36" t="n">
        <f aca="false">IF(OR(J726="",P726=""),"",K726*N726*P726)</f>
        <v>488.8</v>
      </c>
      <c r="S726" s="36" t="n">
        <f aca="false">IF(Q726="","",Q726-R726)</f>
        <v>0</v>
      </c>
      <c r="T726" s="36" t="n">
        <f aca="false">IF(S726="","",MAX(0,-S726))</f>
        <v>-0</v>
      </c>
      <c r="U726" s="36" t="n">
        <f aca="false">IF(S726="","",MAX(0,S726))</f>
        <v>0</v>
      </c>
      <c r="V726" s="8" t="str">
        <f aca="false">IF(J726="","NOT SCORED - NO JULY MONTHLY ROW",IF(OR(ABS(L726)&gt;0.005,ABS(O726)&gt;0.005,ABS(S726)&gt;0.005),"EXCEPTION","OK"))</f>
        <v>OK</v>
      </c>
      <c r="W726" s="8" t="s">
        <v>5647</v>
      </c>
      <c r="X726" s="8" t="s">
        <v>4099</v>
      </c>
      <c r="Y726" s="36" t="n">
        <f aca="false">K726*N726</f>
        <v>488.8</v>
      </c>
    </row>
    <row r="727" customFormat="false" ht="15" hidden="false" customHeight="false" outlineLevel="0" collapsed="false">
      <c r="A727" s="11" t="s">
        <v>5648</v>
      </c>
      <c r="B727" s="11" t="s">
        <v>211</v>
      </c>
      <c r="C727" s="11" t="s">
        <v>5306</v>
      </c>
      <c r="D727" s="11" t="s">
        <v>2852</v>
      </c>
      <c r="E727" s="11" t="s">
        <v>1587</v>
      </c>
      <c r="F727" s="11" t="s">
        <v>1588</v>
      </c>
      <c r="G727" s="11" t="s">
        <v>3892</v>
      </c>
      <c r="H727" s="11" t="n">
        <v>32</v>
      </c>
      <c r="I727" s="31" t="n">
        <v>41</v>
      </c>
      <c r="J727" s="31" t="n">
        <v>41</v>
      </c>
      <c r="K727" s="31" t="n">
        <f aca="false">MAX(ROUNDUP(I727,0),H727)</f>
        <v>41</v>
      </c>
      <c r="L727" s="31" t="n">
        <f aca="false">IF(J727="","",J727-K727)</f>
        <v>0</v>
      </c>
      <c r="M727" s="32" t="n">
        <v>10.4</v>
      </c>
      <c r="N727" s="32" t="n">
        <f aca="false">IF(C727="covered",10.4,7.55)</f>
        <v>10.4</v>
      </c>
      <c r="O727" s="32" t="n">
        <f aca="false">IF(M727="","",M727-N727)</f>
        <v>0</v>
      </c>
      <c r="P727" s="11" t="n">
        <v>1</v>
      </c>
      <c r="Q727" s="33" t="n">
        <v>426.4</v>
      </c>
      <c r="R727" s="33" t="n">
        <f aca="false">IF(OR(J727="",P727=""),"",K727*N727*P727)</f>
        <v>426.4</v>
      </c>
      <c r="S727" s="33" t="n">
        <f aca="false">IF(Q727="","",Q727-R727)</f>
        <v>0</v>
      </c>
      <c r="T727" s="33" t="n">
        <f aca="false">IF(S727="","",MAX(0,-S727))</f>
        <v>-0</v>
      </c>
      <c r="U727" s="33" t="n">
        <f aca="false">IF(S727="","",MAX(0,S727))</f>
        <v>0</v>
      </c>
      <c r="V727" s="11" t="str">
        <f aca="false">IF(J727="","NOT SCORED - NO JULY MONTHLY ROW",IF(OR(ABS(L727)&gt;0.005,ABS(O727)&gt;0.005,ABS(S727)&gt;0.005),"EXCEPTION","OK"))</f>
        <v>OK</v>
      </c>
      <c r="W727" s="11" t="s">
        <v>5649</v>
      </c>
      <c r="X727" s="11" t="s">
        <v>4099</v>
      </c>
      <c r="Y727" s="33" t="n">
        <f aca="false">K727*N727</f>
        <v>426.4</v>
      </c>
    </row>
    <row r="728" customFormat="false" ht="15" hidden="false" customHeight="false" outlineLevel="0" collapsed="false">
      <c r="A728" s="8" t="s">
        <v>5650</v>
      </c>
      <c r="B728" s="8" t="s">
        <v>211</v>
      </c>
      <c r="C728" s="8" t="s">
        <v>5306</v>
      </c>
      <c r="D728" s="8" t="s">
        <v>2857</v>
      </c>
      <c r="E728" s="8" t="s">
        <v>2525</v>
      </c>
      <c r="F728" s="8" t="s">
        <v>5651</v>
      </c>
      <c r="G728" s="8" t="s">
        <v>4836</v>
      </c>
      <c r="H728" s="8" t="n">
        <v>24</v>
      </c>
      <c r="I728" s="34" t="n">
        <v>56.6</v>
      </c>
      <c r="J728" s="34" t="n">
        <v>57</v>
      </c>
      <c r="K728" s="34" t="n">
        <f aca="false">MAX(ROUNDUP(I728,0),H728)</f>
        <v>57</v>
      </c>
      <c r="L728" s="34" t="n">
        <f aca="false">IF(J728="","",J728-K728)</f>
        <v>0</v>
      </c>
      <c r="M728" s="35" t="n">
        <v>10.4</v>
      </c>
      <c r="N728" s="35" t="n">
        <f aca="false">IF(C728="covered",10.4,7.55)</f>
        <v>10.4</v>
      </c>
      <c r="O728" s="35" t="n">
        <f aca="false">IF(M728="","",M728-N728)</f>
        <v>0</v>
      </c>
      <c r="P728" s="8" t="n">
        <v>1</v>
      </c>
      <c r="Q728" s="36" t="n">
        <v>592.8</v>
      </c>
      <c r="R728" s="36" t="n">
        <f aca="false">IF(OR(J728="",P728=""),"",K728*N728*P728)</f>
        <v>592.8</v>
      </c>
      <c r="S728" s="36" t="n">
        <f aca="false">IF(Q728="","",Q728-R728)</f>
        <v>0</v>
      </c>
      <c r="T728" s="36" t="n">
        <f aca="false">IF(S728="","",MAX(0,-S728))</f>
        <v>-0</v>
      </c>
      <c r="U728" s="36" t="n">
        <f aca="false">IF(S728="","",MAX(0,S728))</f>
        <v>0</v>
      </c>
      <c r="V728" s="8" t="str">
        <f aca="false">IF(J728="","NOT SCORED - NO JULY MONTHLY ROW",IF(OR(ABS(L728)&gt;0.005,ABS(O728)&gt;0.005,ABS(S728)&gt;0.005),"EXCEPTION","OK"))</f>
        <v>OK</v>
      </c>
      <c r="W728" s="8" t="s">
        <v>5652</v>
      </c>
      <c r="X728" s="8" t="s">
        <v>4099</v>
      </c>
      <c r="Y728" s="36" t="n">
        <f aca="false">K728*N728</f>
        <v>592.8</v>
      </c>
    </row>
    <row r="729" customFormat="false" ht="15" hidden="false" customHeight="false" outlineLevel="0" collapsed="false">
      <c r="A729" s="11" t="s">
        <v>5653</v>
      </c>
      <c r="B729" s="11" t="s">
        <v>211</v>
      </c>
      <c r="C729" s="11" t="s">
        <v>5306</v>
      </c>
      <c r="D729" s="11" t="s">
        <v>2861</v>
      </c>
      <c r="E729" s="11" t="s">
        <v>5654</v>
      </c>
      <c r="F729" s="11" t="s">
        <v>5655</v>
      </c>
      <c r="G729" s="11" t="s">
        <v>4256</v>
      </c>
      <c r="H729" s="11" t="n">
        <v>32</v>
      </c>
      <c r="I729" s="31" t="n">
        <v>50</v>
      </c>
      <c r="J729" s="31" t="n">
        <v>50</v>
      </c>
      <c r="K729" s="31" t="n">
        <f aca="false">MAX(ROUNDUP(I729,0),H729)</f>
        <v>50</v>
      </c>
      <c r="L729" s="31" t="n">
        <f aca="false">IF(J729="","",J729-K729)</f>
        <v>0</v>
      </c>
      <c r="M729" s="32" t="n">
        <v>10.4</v>
      </c>
      <c r="N729" s="32" t="n">
        <f aca="false">IF(C729="covered",10.4,7.55)</f>
        <v>10.4</v>
      </c>
      <c r="O729" s="32" t="n">
        <f aca="false">IF(M729="","",M729-N729)</f>
        <v>0</v>
      </c>
      <c r="P729" s="11" t="n">
        <v>1</v>
      </c>
      <c r="Q729" s="33" t="n">
        <v>520</v>
      </c>
      <c r="R729" s="33" t="n">
        <f aca="false">IF(OR(J729="",P729=""),"",K729*N729*P729)</f>
        <v>520</v>
      </c>
      <c r="S729" s="33" t="n">
        <f aca="false">IF(Q729="","",Q729-R729)</f>
        <v>0</v>
      </c>
      <c r="T729" s="33" t="n">
        <f aca="false">IF(S729="","",MAX(0,-S729))</f>
        <v>-0</v>
      </c>
      <c r="U729" s="33" t="n">
        <f aca="false">IF(S729="","",MAX(0,S729))</f>
        <v>0</v>
      </c>
      <c r="V729" s="11" t="str">
        <f aca="false">IF(J729="","NOT SCORED - NO JULY MONTHLY ROW",IF(OR(ABS(L729)&gt;0.005,ABS(O729)&gt;0.005,ABS(S729)&gt;0.005),"EXCEPTION","OK"))</f>
        <v>OK</v>
      </c>
      <c r="W729" s="11" t="s">
        <v>5656</v>
      </c>
      <c r="X729" s="11" t="s">
        <v>4099</v>
      </c>
      <c r="Y729" s="33" t="n">
        <f aca="false">K729*N729</f>
        <v>520</v>
      </c>
    </row>
    <row r="730" customFormat="false" ht="15" hidden="false" customHeight="false" outlineLevel="0" collapsed="false">
      <c r="A730" s="8" t="s">
        <v>5657</v>
      </c>
      <c r="B730" s="8" t="s">
        <v>211</v>
      </c>
      <c r="C730" s="8" t="s">
        <v>5306</v>
      </c>
      <c r="D730" s="8" t="s">
        <v>3793</v>
      </c>
      <c r="E730" s="8" t="s">
        <v>5658</v>
      </c>
      <c r="F730" s="8" t="s">
        <v>5659</v>
      </c>
      <c r="G730" s="8" t="s">
        <v>3516</v>
      </c>
      <c r="H730" s="8" t="n">
        <v>36</v>
      </c>
      <c r="I730" s="34" t="n">
        <v>58.7</v>
      </c>
      <c r="J730" s="34" t="n">
        <v>59</v>
      </c>
      <c r="K730" s="34" t="n">
        <f aca="false">MAX(ROUNDUP(I730,0),H730)</f>
        <v>59</v>
      </c>
      <c r="L730" s="34" t="n">
        <f aca="false">IF(J730="","",J730-K730)</f>
        <v>0</v>
      </c>
      <c r="M730" s="35" t="n">
        <v>10.4</v>
      </c>
      <c r="N730" s="35" t="n">
        <f aca="false">IF(C730="covered",10.4,7.55)</f>
        <v>10.4</v>
      </c>
      <c r="O730" s="35" t="n">
        <f aca="false">IF(M730="","",M730-N730)</f>
        <v>0</v>
      </c>
      <c r="P730" s="8" t="n">
        <v>1</v>
      </c>
      <c r="Q730" s="36" t="n">
        <v>613.6</v>
      </c>
      <c r="R730" s="36" t="n">
        <f aca="false">IF(OR(J730="",P730=""),"",K730*N730*P730)</f>
        <v>613.6</v>
      </c>
      <c r="S730" s="36" t="n">
        <f aca="false">IF(Q730="","",Q730-R730)</f>
        <v>0</v>
      </c>
      <c r="T730" s="36" t="n">
        <f aca="false">IF(S730="","",MAX(0,-S730))</f>
        <v>-0</v>
      </c>
      <c r="U730" s="36" t="n">
        <f aca="false">IF(S730="","",MAX(0,S730))</f>
        <v>0</v>
      </c>
      <c r="V730" s="8" t="str">
        <f aca="false">IF(J730="","NOT SCORED - NO JULY MONTHLY ROW",IF(OR(ABS(L730)&gt;0.005,ABS(O730)&gt;0.005,ABS(S730)&gt;0.005),"EXCEPTION","OK"))</f>
        <v>OK</v>
      </c>
      <c r="W730" s="8" t="s">
        <v>5660</v>
      </c>
      <c r="X730" s="8" t="s">
        <v>4099</v>
      </c>
      <c r="Y730" s="36" t="n">
        <f aca="false">K730*N730</f>
        <v>613.6</v>
      </c>
    </row>
    <row r="731" customFormat="false" ht="15" hidden="false" customHeight="false" outlineLevel="0" collapsed="false">
      <c r="A731" s="11" t="s">
        <v>5661</v>
      </c>
      <c r="B731" s="11" t="s">
        <v>211</v>
      </c>
      <c r="C731" s="11" t="s">
        <v>5306</v>
      </c>
      <c r="D731" s="11" t="s">
        <v>2866</v>
      </c>
      <c r="E731" s="11" t="s">
        <v>5662</v>
      </c>
      <c r="F731" s="11" t="s">
        <v>5663</v>
      </c>
      <c r="G731" s="11" t="s">
        <v>4775</v>
      </c>
      <c r="H731" s="11" t="n">
        <v>40</v>
      </c>
      <c r="I731" s="31" t="n">
        <v>23.7</v>
      </c>
      <c r="J731" s="31" t="n">
        <v>40</v>
      </c>
      <c r="K731" s="31" t="n">
        <f aca="false">MAX(ROUNDUP(I731,0),H731)</f>
        <v>40</v>
      </c>
      <c r="L731" s="31" t="n">
        <f aca="false">IF(J731="","",J731-K731)</f>
        <v>0</v>
      </c>
      <c r="M731" s="32" t="n">
        <v>10.4</v>
      </c>
      <c r="N731" s="32" t="n">
        <f aca="false">IF(C731="covered",10.4,7.55)</f>
        <v>10.4</v>
      </c>
      <c r="O731" s="32" t="n">
        <f aca="false">IF(M731="","",M731-N731)</f>
        <v>0</v>
      </c>
      <c r="P731" s="11" t="n">
        <v>1</v>
      </c>
      <c r="Q731" s="33" t="n">
        <v>416</v>
      </c>
      <c r="R731" s="33" t="n">
        <f aca="false">IF(OR(J731="",P731=""),"",K731*N731*P731)</f>
        <v>416</v>
      </c>
      <c r="S731" s="33" t="n">
        <f aca="false">IF(Q731="","",Q731-R731)</f>
        <v>0</v>
      </c>
      <c r="T731" s="33" t="n">
        <f aca="false">IF(S731="","",MAX(0,-S731))</f>
        <v>-0</v>
      </c>
      <c r="U731" s="33" t="n">
        <f aca="false">IF(S731="","",MAX(0,S731))</f>
        <v>0</v>
      </c>
      <c r="V731" s="11" t="str">
        <f aca="false">IF(J731="","NOT SCORED - NO JULY MONTHLY ROW",IF(OR(ABS(L731)&gt;0.005,ABS(O731)&gt;0.005,ABS(S731)&gt;0.005),"EXCEPTION","OK"))</f>
        <v>OK</v>
      </c>
      <c r="W731" s="11" t="s">
        <v>5664</v>
      </c>
      <c r="X731" s="11" t="s">
        <v>4099</v>
      </c>
      <c r="Y731" s="33" t="n">
        <f aca="false">K731*N731</f>
        <v>416</v>
      </c>
    </row>
    <row r="732" customFormat="false" ht="15" hidden="false" customHeight="false" outlineLevel="0" collapsed="false">
      <c r="A732" s="8" t="s">
        <v>5665</v>
      </c>
      <c r="B732" s="8" t="s">
        <v>211</v>
      </c>
      <c r="C732" s="8" t="s">
        <v>5306</v>
      </c>
      <c r="D732" s="8" t="s">
        <v>2871</v>
      </c>
      <c r="E732" s="8" t="s">
        <v>5666</v>
      </c>
      <c r="F732" s="8" t="s">
        <v>5667</v>
      </c>
      <c r="G732" s="8" t="s">
        <v>3516</v>
      </c>
      <c r="H732" s="8" t="n">
        <v>40</v>
      </c>
      <c r="I732" s="34" t="n">
        <v>19</v>
      </c>
      <c r="J732" s="34" t="n">
        <v>40</v>
      </c>
      <c r="K732" s="34" t="n">
        <f aca="false">MAX(ROUNDUP(I732,0),H732)</f>
        <v>40</v>
      </c>
      <c r="L732" s="34" t="n">
        <f aca="false">IF(J732="","",J732-K732)</f>
        <v>0</v>
      </c>
      <c r="M732" s="35" t="n">
        <v>10.4</v>
      </c>
      <c r="N732" s="35" t="n">
        <f aca="false">IF(C732="covered",10.4,7.55)</f>
        <v>10.4</v>
      </c>
      <c r="O732" s="35" t="n">
        <f aca="false">IF(M732="","",M732-N732)</f>
        <v>0</v>
      </c>
      <c r="P732" s="8" t="n">
        <v>1</v>
      </c>
      <c r="Q732" s="36" t="n">
        <v>416</v>
      </c>
      <c r="R732" s="36" t="n">
        <f aca="false">IF(OR(J732="",P732=""),"",K732*N732*P732)</f>
        <v>416</v>
      </c>
      <c r="S732" s="36" t="n">
        <f aca="false">IF(Q732="","",Q732-R732)</f>
        <v>0</v>
      </c>
      <c r="T732" s="36" t="n">
        <f aca="false">IF(S732="","",MAX(0,-S732))</f>
        <v>-0</v>
      </c>
      <c r="U732" s="36" t="n">
        <f aca="false">IF(S732="","",MAX(0,S732))</f>
        <v>0</v>
      </c>
      <c r="V732" s="8" t="str">
        <f aca="false">IF(J732="","NOT SCORED - NO JULY MONTHLY ROW",IF(OR(ABS(L732)&gt;0.005,ABS(O732)&gt;0.005,ABS(S732)&gt;0.005),"EXCEPTION","OK"))</f>
        <v>OK</v>
      </c>
      <c r="W732" s="8" t="s">
        <v>5668</v>
      </c>
      <c r="X732" s="8" t="s">
        <v>4099</v>
      </c>
      <c r="Y732" s="36" t="n">
        <f aca="false">K732*N732</f>
        <v>416</v>
      </c>
    </row>
    <row r="733" customFormat="false" ht="15" hidden="false" customHeight="false" outlineLevel="0" collapsed="false">
      <c r="A733" s="11" t="s">
        <v>1114</v>
      </c>
      <c r="B733" s="11" t="s">
        <v>211</v>
      </c>
      <c r="C733" s="11" t="s">
        <v>5306</v>
      </c>
      <c r="D733" s="11" t="s">
        <v>2875</v>
      </c>
      <c r="E733" s="11" t="s">
        <v>5669</v>
      </c>
      <c r="F733" s="11" t="s">
        <v>5670</v>
      </c>
      <c r="G733" s="11" t="s">
        <v>5671</v>
      </c>
      <c r="H733" s="11" t="n">
        <v>24</v>
      </c>
      <c r="I733" s="31" t="n">
        <v>40.2</v>
      </c>
      <c r="J733" s="31" t="n">
        <v>41</v>
      </c>
      <c r="K733" s="31" t="n">
        <f aca="false">MAX(ROUNDUP(I733,0),H733)</f>
        <v>41</v>
      </c>
      <c r="L733" s="31" t="n">
        <f aca="false">IF(J733="","",J733-K733)</f>
        <v>0</v>
      </c>
      <c r="M733" s="32" t="n">
        <v>10.4</v>
      </c>
      <c r="N733" s="32" t="n">
        <f aca="false">IF(C733="covered",10.4,7.55)</f>
        <v>10.4</v>
      </c>
      <c r="O733" s="32" t="n">
        <f aca="false">IF(M733="","",M733-N733)</f>
        <v>0</v>
      </c>
      <c r="P733" s="11" t="n">
        <v>1</v>
      </c>
      <c r="Q733" s="33" t="n">
        <v>426.4</v>
      </c>
      <c r="R733" s="33" t="n">
        <f aca="false">IF(OR(J733="",P733=""),"",K733*N733*P733)</f>
        <v>426.4</v>
      </c>
      <c r="S733" s="33" t="n">
        <f aca="false">IF(Q733="","",Q733-R733)</f>
        <v>0</v>
      </c>
      <c r="T733" s="33" t="n">
        <f aca="false">IF(S733="","",MAX(0,-S733))</f>
        <v>-0</v>
      </c>
      <c r="U733" s="33" t="n">
        <f aca="false">IF(S733="","",MAX(0,S733))</f>
        <v>0</v>
      </c>
      <c r="V733" s="11" t="str">
        <f aca="false">IF(J733="","NOT SCORED - NO JULY MONTHLY ROW",IF(OR(ABS(L733)&gt;0.005,ABS(O733)&gt;0.005,ABS(S733)&gt;0.005),"EXCEPTION","OK"))</f>
        <v>OK</v>
      </c>
      <c r="W733" s="11" t="s">
        <v>5672</v>
      </c>
      <c r="X733" s="11" t="s">
        <v>4099</v>
      </c>
      <c r="Y733" s="33" t="n">
        <f aca="false">K733*N733</f>
        <v>426.4</v>
      </c>
    </row>
    <row r="734" customFormat="false" ht="15" hidden="false" customHeight="false" outlineLevel="0" collapsed="false">
      <c r="A734" s="8" t="s">
        <v>1602</v>
      </c>
      <c r="B734" s="8" t="s">
        <v>211</v>
      </c>
      <c r="C734" s="8" t="s">
        <v>5306</v>
      </c>
      <c r="D734" s="8" t="s">
        <v>2879</v>
      </c>
      <c r="E734" s="8" t="s">
        <v>5673</v>
      </c>
      <c r="F734" s="8" t="s">
        <v>5674</v>
      </c>
      <c r="G734" s="8" t="s">
        <v>5240</v>
      </c>
      <c r="H734" s="8" t="n">
        <v>28</v>
      </c>
      <c r="I734" s="34" t="n">
        <v>23.3</v>
      </c>
      <c r="J734" s="34" t="n">
        <v>28</v>
      </c>
      <c r="K734" s="34" t="n">
        <f aca="false">MAX(ROUNDUP(I734,0),H734)</f>
        <v>28</v>
      </c>
      <c r="L734" s="34" t="n">
        <f aca="false">IF(J734="","",J734-K734)</f>
        <v>0</v>
      </c>
      <c r="M734" s="35" t="n">
        <v>10.4</v>
      </c>
      <c r="N734" s="35" t="n">
        <f aca="false">IF(C734="covered",10.4,7.55)</f>
        <v>10.4</v>
      </c>
      <c r="O734" s="35" t="n">
        <f aca="false">IF(M734="","",M734-N734)</f>
        <v>0</v>
      </c>
      <c r="P734" s="8" t="n">
        <v>1</v>
      </c>
      <c r="Q734" s="36" t="n">
        <v>291.2</v>
      </c>
      <c r="R734" s="36" t="n">
        <f aca="false">IF(OR(J734="",P734=""),"",K734*N734*P734)</f>
        <v>291.2</v>
      </c>
      <c r="S734" s="36" t="n">
        <f aca="false">IF(Q734="","",Q734-R734)</f>
        <v>0</v>
      </c>
      <c r="T734" s="36" t="n">
        <f aca="false">IF(S734="","",MAX(0,-S734))</f>
        <v>-0</v>
      </c>
      <c r="U734" s="36" t="n">
        <f aca="false">IF(S734="","",MAX(0,S734))</f>
        <v>0</v>
      </c>
      <c r="V734" s="8" t="str">
        <f aca="false">IF(J734="","NOT SCORED - NO JULY MONTHLY ROW",IF(OR(ABS(L734)&gt;0.005,ABS(O734)&gt;0.005,ABS(S734)&gt;0.005),"EXCEPTION","OK"))</f>
        <v>OK</v>
      </c>
      <c r="W734" s="8" t="s">
        <v>5675</v>
      </c>
      <c r="X734" s="8" t="s">
        <v>4099</v>
      </c>
      <c r="Y734" s="36" t="n">
        <f aca="false">K734*N734</f>
        <v>291.2</v>
      </c>
    </row>
    <row r="735" customFormat="false" ht="15" hidden="false" customHeight="false" outlineLevel="0" collapsed="false">
      <c r="A735" s="11" t="s">
        <v>674</v>
      </c>
      <c r="B735" s="11" t="s">
        <v>211</v>
      </c>
      <c r="C735" s="11" t="s">
        <v>5306</v>
      </c>
      <c r="D735" s="11" t="s">
        <v>2889</v>
      </c>
      <c r="E735" s="11" t="s">
        <v>2585</v>
      </c>
      <c r="F735" s="11" t="s">
        <v>5676</v>
      </c>
      <c r="G735" s="11" t="s">
        <v>3800</v>
      </c>
      <c r="H735" s="11" t="n">
        <v>40</v>
      </c>
      <c r="I735" s="31" t="n">
        <v>18.9</v>
      </c>
      <c r="J735" s="31" t="n">
        <v>40</v>
      </c>
      <c r="K735" s="31" t="n">
        <f aca="false">MAX(ROUNDUP(I735,0),H735)</f>
        <v>40</v>
      </c>
      <c r="L735" s="31" t="n">
        <f aca="false">IF(J735="","",J735-K735)</f>
        <v>0</v>
      </c>
      <c r="M735" s="32" t="n">
        <v>10.4</v>
      </c>
      <c r="N735" s="32" t="n">
        <f aca="false">IF(C735="covered",10.4,7.55)</f>
        <v>10.4</v>
      </c>
      <c r="O735" s="32" t="n">
        <f aca="false">IF(M735="","",M735-N735)</f>
        <v>0</v>
      </c>
      <c r="P735" s="11" t="n">
        <v>1</v>
      </c>
      <c r="Q735" s="33" t="n">
        <v>416</v>
      </c>
      <c r="R735" s="33" t="n">
        <f aca="false">IF(OR(J735="",P735=""),"",K735*N735*P735)</f>
        <v>416</v>
      </c>
      <c r="S735" s="33" t="n">
        <f aca="false">IF(Q735="","",Q735-R735)</f>
        <v>0</v>
      </c>
      <c r="T735" s="33" t="n">
        <f aca="false">IF(S735="","",MAX(0,-S735))</f>
        <v>-0</v>
      </c>
      <c r="U735" s="33" t="n">
        <f aca="false">IF(S735="","",MAX(0,S735))</f>
        <v>0</v>
      </c>
      <c r="V735" s="11" t="str">
        <f aca="false">IF(J735="","NOT SCORED - NO JULY MONTHLY ROW",IF(OR(ABS(L735)&gt;0.005,ABS(O735)&gt;0.005,ABS(S735)&gt;0.005),"EXCEPTION","OK"))</f>
        <v>OK</v>
      </c>
      <c r="W735" s="11" t="s">
        <v>5677</v>
      </c>
      <c r="X735" s="11" t="s">
        <v>4099</v>
      </c>
      <c r="Y735" s="33" t="n">
        <f aca="false">K735*N735</f>
        <v>416</v>
      </c>
    </row>
    <row r="736" customFormat="false" ht="15" hidden="false" customHeight="false" outlineLevel="0" collapsed="false">
      <c r="A736" s="8" t="s">
        <v>5678</v>
      </c>
      <c r="B736" s="8" t="s">
        <v>211</v>
      </c>
      <c r="C736" s="8" t="s">
        <v>5306</v>
      </c>
      <c r="D736" s="8" t="s">
        <v>2893</v>
      </c>
      <c r="E736" s="8" t="s">
        <v>5679</v>
      </c>
      <c r="F736" s="8" t="s">
        <v>5680</v>
      </c>
      <c r="G736" s="8" t="s">
        <v>3334</v>
      </c>
      <c r="H736" s="8" t="n">
        <v>36</v>
      </c>
      <c r="I736" s="34" t="n">
        <v>55</v>
      </c>
      <c r="J736" s="34" t="n">
        <v>55</v>
      </c>
      <c r="K736" s="34" t="n">
        <f aca="false">MAX(ROUNDUP(I736,0),H736)</f>
        <v>55</v>
      </c>
      <c r="L736" s="34" t="n">
        <f aca="false">IF(J736="","",J736-K736)</f>
        <v>0</v>
      </c>
      <c r="M736" s="35" t="n">
        <v>10.4</v>
      </c>
      <c r="N736" s="35" t="n">
        <f aca="false">IF(C736="covered",10.4,7.55)</f>
        <v>10.4</v>
      </c>
      <c r="O736" s="35" t="n">
        <f aca="false">IF(M736="","",M736-N736)</f>
        <v>0</v>
      </c>
      <c r="P736" s="8" t="n">
        <v>1</v>
      </c>
      <c r="Q736" s="36" t="n">
        <v>572</v>
      </c>
      <c r="R736" s="36" t="n">
        <f aca="false">IF(OR(J736="",P736=""),"",K736*N736*P736)</f>
        <v>572</v>
      </c>
      <c r="S736" s="36" t="n">
        <f aca="false">IF(Q736="","",Q736-R736)</f>
        <v>0</v>
      </c>
      <c r="T736" s="36" t="n">
        <f aca="false">IF(S736="","",MAX(0,-S736))</f>
        <v>-0</v>
      </c>
      <c r="U736" s="36" t="n">
        <f aca="false">IF(S736="","",MAX(0,S736))</f>
        <v>0</v>
      </c>
      <c r="V736" s="8" t="str">
        <f aca="false">IF(J736="","NOT SCORED - NO JULY MONTHLY ROW",IF(OR(ABS(L736)&gt;0.005,ABS(O736)&gt;0.005,ABS(S736)&gt;0.005),"EXCEPTION","OK"))</f>
        <v>OK</v>
      </c>
      <c r="W736" s="8" t="s">
        <v>5681</v>
      </c>
      <c r="X736" s="8" t="s">
        <v>4099</v>
      </c>
      <c r="Y736" s="36" t="n">
        <f aca="false">K736*N736</f>
        <v>572</v>
      </c>
    </row>
    <row r="737" customFormat="false" ht="15" hidden="false" customHeight="false" outlineLevel="0" collapsed="false">
      <c r="A737" s="11" t="s">
        <v>5682</v>
      </c>
      <c r="B737" s="11" t="s">
        <v>211</v>
      </c>
      <c r="C737" s="11" t="s">
        <v>5306</v>
      </c>
      <c r="D737" s="11" t="s">
        <v>2898</v>
      </c>
      <c r="E737" s="11" t="s">
        <v>5683</v>
      </c>
      <c r="F737" s="11" t="s">
        <v>5684</v>
      </c>
      <c r="G737" s="11" t="s">
        <v>5685</v>
      </c>
      <c r="H737" s="11" t="n">
        <v>36</v>
      </c>
      <c r="I737" s="31" t="n">
        <v>34.6</v>
      </c>
      <c r="J737" s="31" t="n">
        <v>36</v>
      </c>
      <c r="K737" s="31" t="n">
        <f aca="false">MAX(ROUNDUP(I737,0),H737)</f>
        <v>36</v>
      </c>
      <c r="L737" s="31" t="n">
        <f aca="false">IF(J737="","",J737-K737)</f>
        <v>0</v>
      </c>
      <c r="M737" s="32" t="n">
        <v>10.4</v>
      </c>
      <c r="N737" s="32" t="n">
        <f aca="false">IF(C737="covered",10.4,7.55)</f>
        <v>10.4</v>
      </c>
      <c r="O737" s="32" t="n">
        <f aca="false">IF(M737="","",M737-N737)</f>
        <v>0</v>
      </c>
      <c r="P737" s="11" t="n">
        <v>1</v>
      </c>
      <c r="Q737" s="33" t="n">
        <v>374.4</v>
      </c>
      <c r="R737" s="33" t="n">
        <f aca="false">IF(OR(J737="",P737=""),"",K737*N737*P737)</f>
        <v>374.4</v>
      </c>
      <c r="S737" s="33" t="n">
        <f aca="false">IF(Q737="","",Q737-R737)</f>
        <v>0</v>
      </c>
      <c r="T737" s="33" t="n">
        <f aca="false">IF(S737="","",MAX(0,-S737))</f>
        <v>-0</v>
      </c>
      <c r="U737" s="33" t="n">
        <f aca="false">IF(S737="","",MAX(0,S737))</f>
        <v>0</v>
      </c>
      <c r="V737" s="11" t="str">
        <f aca="false">IF(J737="","NOT SCORED - NO JULY MONTHLY ROW",IF(OR(ABS(L737)&gt;0.005,ABS(O737)&gt;0.005,ABS(S737)&gt;0.005),"EXCEPTION","OK"))</f>
        <v>OK</v>
      </c>
      <c r="W737" s="11" t="s">
        <v>5686</v>
      </c>
      <c r="X737" s="11" t="s">
        <v>4099</v>
      </c>
      <c r="Y737" s="33" t="n">
        <f aca="false">K737*N737</f>
        <v>374.4</v>
      </c>
    </row>
    <row r="738" customFormat="false" ht="15" hidden="false" customHeight="false" outlineLevel="0" collapsed="false">
      <c r="A738" s="8" t="s">
        <v>5687</v>
      </c>
      <c r="B738" s="8" t="s">
        <v>211</v>
      </c>
      <c r="C738" s="8" t="s">
        <v>5306</v>
      </c>
      <c r="D738" s="8" t="s">
        <v>2903</v>
      </c>
      <c r="E738" s="8" t="s">
        <v>448</v>
      </c>
      <c r="F738" s="8" t="s">
        <v>449</v>
      </c>
      <c r="G738" s="8" t="s">
        <v>3700</v>
      </c>
      <c r="H738" s="8" t="n">
        <v>32</v>
      </c>
      <c r="I738" s="34" t="n">
        <v>36.5</v>
      </c>
      <c r="J738" s="34" t="n">
        <v>37</v>
      </c>
      <c r="K738" s="34" t="n">
        <f aca="false">MAX(ROUNDUP(I738,0),H738)</f>
        <v>37</v>
      </c>
      <c r="L738" s="34" t="n">
        <f aca="false">IF(J738="","",J738-K738)</f>
        <v>0</v>
      </c>
      <c r="M738" s="35" t="n">
        <v>10.4</v>
      </c>
      <c r="N738" s="35" t="n">
        <f aca="false">IF(C738="covered",10.4,7.55)</f>
        <v>10.4</v>
      </c>
      <c r="O738" s="35" t="n">
        <f aca="false">IF(M738="","",M738-N738)</f>
        <v>0</v>
      </c>
      <c r="P738" s="8" t="n">
        <v>1</v>
      </c>
      <c r="Q738" s="36" t="n">
        <v>384.8</v>
      </c>
      <c r="R738" s="36" t="n">
        <f aca="false">IF(OR(J738="",P738=""),"",K738*N738*P738)</f>
        <v>384.8</v>
      </c>
      <c r="S738" s="36" t="n">
        <f aca="false">IF(Q738="","",Q738-R738)</f>
        <v>0</v>
      </c>
      <c r="T738" s="36" t="n">
        <f aca="false">IF(S738="","",MAX(0,-S738))</f>
        <v>-0</v>
      </c>
      <c r="U738" s="36" t="n">
        <f aca="false">IF(S738="","",MAX(0,S738))</f>
        <v>0</v>
      </c>
      <c r="V738" s="8" t="str">
        <f aca="false">IF(J738="","NOT SCORED - NO JULY MONTHLY ROW",IF(OR(ABS(L738)&gt;0.005,ABS(O738)&gt;0.005,ABS(S738)&gt;0.005),"EXCEPTION","OK"))</f>
        <v>OK</v>
      </c>
      <c r="W738" s="8" t="s">
        <v>5688</v>
      </c>
      <c r="X738" s="8" t="s">
        <v>4099</v>
      </c>
      <c r="Y738" s="36" t="n">
        <f aca="false">K738*N738</f>
        <v>384.8</v>
      </c>
    </row>
    <row r="739" customFormat="false" ht="15" hidden="false" customHeight="false" outlineLevel="0" collapsed="false">
      <c r="A739" s="11" t="s">
        <v>584</v>
      </c>
      <c r="B739" s="11" t="s">
        <v>211</v>
      </c>
      <c r="C739" s="11" t="s">
        <v>5306</v>
      </c>
      <c r="D739" s="11" t="s">
        <v>2908</v>
      </c>
      <c r="E739" s="11" t="s">
        <v>5689</v>
      </c>
      <c r="F739" s="11" t="s">
        <v>5690</v>
      </c>
      <c r="G739" s="11" t="s">
        <v>3299</v>
      </c>
      <c r="H739" s="11" t="n">
        <v>32</v>
      </c>
      <c r="I739" s="31" t="n">
        <v>38.5</v>
      </c>
      <c r="J739" s="31" t="n">
        <v>39</v>
      </c>
      <c r="K739" s="31" t="n">
        <f aca="false">MAX(ROUNDUP(I739,0),H739)</f>
        <v>39</v>
      </c>
      <c r="L739" s="31" t="n">
        <f aca="false">IF(J739="","",J739-K739)</f>
        <v>0</v>
      </c>
      <c r="M739" s="32" t="n">
        <v>10.4</v>
      </c>
      <c r="N739" s="32" t="n">
        <f aca="false">IF(C739="covered",10.4,7.55)</f>
        <v>10.4</v>
      </c>
      <c r="O739" s="32" t="n">
        <f aca="false">IF(M739="","",M739-N739)</f>
        <v>0</v>
      </c>
      <c r="P739" s="11" t="n">
        <v>1</v>
      </c>
      <c r="Q739" s="33" t="n">
        <v>405.6</v>
      </c>
      <c r="R739" s="33" t="n">
        <f aca="false">IF(OR(J739="",P739=""),"",K739*N739*P739)</f>
        <v>405.6</v>
      </c>
      <c r="S739" s="33" t="n">
        <f aca="false">IF(Q739="","",Q739-R739)</f>
        <v>0</v>
      </c>
      <c r="T739" s="33" t="n">
        <f aca="false">IF(S739="","",MAX(0,-S739))</f>
        <v>-0</v>
      </c>
      <c r="U739" s="33" t="n">
        <f aca="false">IF(S739="","",MAX(0,S739))</f>
        <v>0</v>
      </c>
      <c r="V739" s="11" t="str">
        <f aca="false">IF(J739="","NOT SCORED - NO JULY MONTHLY ROW",IF(OR(ABS(L739)&gt;0.005,ABS(O739)&gt;0.005,ABS(S739)&gt;0.005),"EXCEPTION","OK"))</f>
        <v>OK</v>
      </c>
      <c r="W739" s="11" t="s">
        <v>5691</v>
      </c>
      <c r="X739" s="11" t="s">
        <v>4099</v>
      </c>
      <c r="Y739" s="33" t="n">
        <f aca="false">K739*N739</f>
        <v>405.6</v>
      </c>
    </row>
    <row r="740" customFormat="false" ht="15" hidden="false" customHeight="false" outlineLevel="0" collapsed="false">
      <c r="A740" s="8" t="s">
        <v>5692</v>
      </c>
      <c r="B740" s="8" t="s">
        <v>211</v>
      </c>
      <c r="C740" s="8" t="s">
        <v>5306</v>
      </c>
      <c r="D740" s="8" t="s">
        <v>2913</v>
      </c>
      <c r="E740" s="8" t="s">
        <v>5693</v>
      </c>
      <c r="F740" s="8" t="s">
        <v>5694</v>
      </c>
      <c r="G740" s="8" t="s">
        <v>5257</v>
      </c>
      <c r="H740" s="8" t="n">
        <v>40</v>
      </c>
      <c r="I740" s="34" t="n">
        <v>39.5</v>
      </c>
      <c r="J740" s="34" t="n">
        <v>40</v>
      </c>
      <c r="K740" s="34" t="n">
        <f aca="false">MAX(ROUNDUP(I740,0),H740)</f>
        <v>40</v>
      </c>
      <c r="L740" s="34" t="n">
        <f aca="false">IF(J740="","",J740-K740)</f>
        <v>0</v>
      </c>
      <c r="M740" s="35" t="n">
        <v>10.4</v>
      </c>
      <c r="N740" s="35" t="n">
        <f aca="false">IF(C740="covered",10.4,7.55)</f>
        <v>10.4</v>
      </c>
      <c r="O740" s="35" t="n">
        <f aca="false">IF(M740="","",M740-N740)</f>
        <v>0</v>
      </c>
      <c r="P740" s="8" t="n">
        <v>1</v>
      </c>
      <c r="Q740" s="36" t="n">
        <v>416</v>
      </c>
      <c r="R740" s="36" t="n">
        <f aca="false">IF(OR(J740="",P740=""),"",K740*N740*P740)</f>
        <v>416</v>
      </c>
      <c r="S740" s="36" t="n">
        <f aca="false">IF(Q740="","",Q740-R740)</f>
        <v>0</v>
      </c>
      <c r="T740" s="36" t="n">
        <f aca="false">IF(S740="","",MAX(0,-S740))</f>
        <v>-0</v>
      </c>
      <c r="U740" s="36" t="n">
        <f aca="false">IF(S740="","",MAX(0,S740))</f>
        <v>0</v>
      </c>
      <c r="V740" s="8" t="str">
        <f aca="false">IF(J740="","NOT SCORED - NO JULY MONTHLY ROW",IF(OR(ABS(L740)&gt;0.005,ABS(O740)&gt;0.005,ABS(S740)&gt;0.005),"EXCEPTION","OK"))</f>
        <v>OK</v>
      </c>
      <c r="W740" s="8" t="s">
        <v>5695</v>
      </c>
      <c r="X740" s="8" t="s">
        <v>4099</v>
      </c>
      <c r="Y740" s="36" t="n">
        <f aca="false">K740*N740</f>
        <v>416</v>
      </c>
    </row>
    <row r="741" customFormat="false" ht="15" hidden="false" customHeight="false" outlineLevel="0" collapsed="false">
      <c r="A741" s="11" t="s">
        <v>5696</v>
      </c>
      <c r="B741" s="11" t="s">
        <v>211</v>
      </c>
      <c r="C741" s="11" t="s">
        <v>5306</v>
      </c>
      <c r="D741" s="11" t="s">
        <v>2917</v>
      </c>
      <c r="E741" s="11" t="s">
        <v>5697</v>
      </c>
      <c r="F741" s="11" t="s">
        <v>5698</v>
      </c>
      <c r="G741" s="11" t="s">
        <v>5132</v>
      </c>
      <c r="H741" s="11" t="n">
        <v>40</v>
      </c>
      <c r="I741" s="31" t="n">
        <v>60.6</v>
      </c>
      <c r="J741" s="31" t="n">
        <v>61</v>
      </c>
      <c r="K741" s="31" t="n">
        <f aca="false">MAX(ROUNDUP(I741,0),H741)</f>
        <v>61</v>
      </c>
      <c r="L741" s="31" t="n">
        <f aca="false">IF(J741="","",J741-K741)</f>
        <v>0</v>
      </c>
      <c r="M741" s="32" t="n">
        <v>10.4</v>
      </c>
      <c r="N741" s="32" t="n">
        <f aca="false">IF(C741="covered",10.4,7.55)</f>
        <v>10.4</v>
      </c>
      <c r="O741" s="32" t="n">
        <f aca="false">IF(M741="","",M741-N741)</f>
        <v>0</v>
      </c>
      <c r="P741" s="11" t="n">
        <v>1</v>
      </c>
      <c r="Q741" s="33" t="n">
        <v>634.4</v>
      </c>
      <c r="R741" s="33" t="n">
        <f aca="false">IF(OR(J741="",P741=""),"",K741*N741*P741)</f>
        <v>634.4</v>
      </c>
      <c r="S741" s="33" t="n">
        <f aca="false">IF(Q741="","",Q741-R741)</f>
        <v>0</v>
      </c>
      <c r="T741" s="33" t="n">
        <f aca="false">IF(S741="","",MAX(0,-S741))</f>
        <v>-0</v>
      </c>
      <c r="U741" s="33" t="n">
        <f aca="false">IF(S741="","",MAX(0,S741))</f>
        <v>0</v>
      </c>
      <c r="V741" s="11" t="str">
        <f aca="false">IF(J741="","NOT SCORED - NO JULY MONTHLY ROW",IF(OR(ABS(L741)&gt;0.005,ABS(O741)&gt;0.005,ABS(S741)&gt;0.005),"EXCEPTION","OK"))</f>
        <v>OK</v>
      </c>
      <c r="W741" s="11" t="s">
        <v>5699</v>
      </c>
      <c r="X741" s="11" t="s">
        <v>4099</v>
      </c>
      <c r="Y741" s="33" t="n">
        <f aca="false">K741*N741</f>
        <v>634.4</v>
      </c>
    </row>
    <row r="742" customFormat="false" ht="15" hidden="false" customHeight="false" outlineLevel="0" collapsed="false">
      <c r="A742" s="8" t="s">
        <v>5700</v>
      </c>
      <c r="B742" s="8" t="s">
        <v>211</v>
      </c>
      <c r="C742" s="8" t="s">
        <v>5306</v>
      </c>
      <c r="D742" s="8" t="s">
        <v>2921</v>
      </c>
      <c r="E742" s="8" t="s">
        <v>5701</v>
      </c>
      <c r="F742" s="8" t="s">
        <v>5702</v>
      </c>
      <c r="G742" s="8" t="s">
        <v>5703</v>
      </c>
      <c r="H742" s="8" t="n">
        <v>24</v>
      </c>
      <c r="I742" s="34" t="n">
        <v>24.2</v>
      </c>
      <c r="J742" s="34" t="n">
        <v>25</v>
      </c>
      <c r="K742" s="34" t="n">
        <f aca="false">MAX(ROUNDUP(I742,0),H742)</f>
        <v>25</v>
      </c>
      <c r="L742" s="34" t="n">
        <f aca="false">IF(J742="","",J742-K742)</f>
        <v>0</v>
      </c>
      <c r="M742" s="35" t="n">
        <v>10.4</v>
      </c>
      <c r="N742" s="35" t="n">
        <f aca="false">IF(C742="covered",10.4,7.55)</f>
        <v>10.4</v>
      </c>
      <c r="O742" s="35" t="n">
        <f aca="false">IF(M742="","",M742-N742)</f>
        <v>0</v>
      </c>
      <c r="P742" s="8" t="n">
        <v>1</v>
      </c>
      <c r="Q742" s="36" t="n">
        <v>260</v>
      </c>
      <c r="R742" s="36" t="n">
        <f aca="false">IF(OR(J742="",P742=""),"",K742*N742*P742)</f>
        <v>260</v>
      </c>
      <c r="S742" s="36" t="n">
        <f aca="false">IF(Q742="","",Q742-R742)</f>
        <v>0</v>
      </c>
      <c r="T742" s="36" t="n">
        <f aca="false">IF(S742="","",MAX(0,-S742))</f>
        <v>-0</v>
      </c>
      <c r="U742" s="36" t="n">
        <f aca="false">IF(S742="","",MAX(0,S742))</f>
        <v>0</v>
      </c>
      <c r="V742" s="8" t="str">
        <f aca="false">IF(J742="","NOT SCORED - NO JULY MONTHLY ROW",IF(OR(ABS(L742)&gt;0.005,ABS(O742)&gt;0.005,ABS(S742)&gt;0.005),"EXCEPTION","OK"))</f>
        <v>OK</v>
      </c>
      <c r="W742" s="8" t="s">
        <v>5704</v>
      </c>
      <c r="X742" s="8" t="s">
        <v>4099</v>
      </c>
      <c r="Y742" s="36" t="n">
        <f aca="false">K742*N742</f>
        <v>260</v>
      </c>
    </row>
    <row r="743" customFormat="false" ht="15" hidden="false" customHeight="false" outlineLevel="0" collapsed="false">
      <c r="A743" s="11" t="s">
        <v>5705</v>
      </c>
      <c r="B743" s="11" t="s">
        <v>211</v>
      </c>
      <c r="C743" s="11" t="s">
        <v>5306</v>
      </c>
      <c r="D743" s="11" t="s">
        <v>3831</v>
      </c>
      <c r="E743" s="11" t="s">
        <v>2245</v>
      </c>
      <c r="F743" s="11" t="s">
        <v>5706</v>
      </c>
      <c r="G743" s="11" t="s">
        <v>5707</v>
      </c>
      <c r="H743" s="11" t="n">
        <v>28</v>
      </c>
      <c r="I743" s="31" t="n">
        <v>24.6</v>
      </c>
      <c r="J743" s="31" t="n">
        <v>28</v>
      </c>
      <c r="K743" s="31" t="n">
        <f aca="false">MAX(ROUNDUP(I743,0),H743)</f>
        <v>28</v>
      </c>
      <c r="L743" s="31" t="n">
        <f aca="false">IF(J743="","",J743-K743)</f>
        <v>0</v>
      </c>
      <c r="M743" s="32" t="n">
        <v>10.4</v>
      </c>
      <c r="N743" s="32" t="n">
        <f aca="false">IF(C743="covered",10.4,7.55)</f>
        <v>10.4</v>
      </c>
      <c r="O743" s="32" t="n">
        <f aca="false">IF(M743="","",M743-N743)</f>
        <v>0</v>
      </c>
      <c r="P743" s="11" t="n">
        <v>1</v>
      </c>
      <c r="Q743" s="33" t="n">
        <v>291.2</v>
      </c>
      <c r="R743" s="33" t="n">
        <f aca="false">IF(OR(J743="",P743=""),"",K743*N743*P743)</f>
        <v>291.2</v>
      </c>
      <c r="S743" s="33" t="n">
        <f aca="false">IF(Q743="","",Q743-R743)</f>
        <v>0</v>
      </c>
      <c r="T743" s="33" t="n">
        <f aca="false">IF(S743="","",MAX(0,-S743))</f>
        <v>-0</v>
      </c>
      <c r="U743" s="33" t="n">
        <f aca="false">IF(S743="","",MAX(0,S743))</f>
        <v>0</v>
      </c>
      <c r="V743" s="11" t="str">
        <f aca="false">IF(J743="","NOT SCORED - NO JULY MONTHLY ROW",IF(OR(ABS(L743)&gt;0.005,ABS(O743)&gt;0.005,ABS(S743)&gt;0.005),"EXCEPTION","OK"))</f>
        <v>OK</v>
      </c>
      <c r="W743" s="11" t="s">
        <v>5708</v>
      </c>
      <c r="X743" s="11" t="s">
        <v>4099</v>
      </c>
      <c r="Y743" s="33" t="n">
        <f aca="false">K743*N743</f>
        <v>291.2</v>
      </c>
    </row>
    <row r="744" customFormat="false" ht="15" hidden="false" customHeight="false" outlineLevel="0" collapsed="false">
      <c r="A744" s="8" t="s">
        <v>1892</v>
      </c>
      <c r="B744" s="8" t="s">
        <v>211</v>
      </c>
      <c r="C744" s="8" t="s">
        <v>5306</v>
      </c>
      <c r="D744" s="8" t="s">
        <v>2925</v>
      </c>
      <c r="E744" s="8" t="s">
        <v>1896</v>
      </c>
      <c r="F744" s="8" t="s">
        <v>1897</v>
      </c>
      <c r="G744" s="8" t="s">
        <v>3046</v>
      </c>
      <c r="H744" s="8" t="n">
        <v>24</v>
      </c>
      <c r="I744" s="34" t="n">
        <v>29.3</v>
      </c>
      <c r="J744" s="34" t="n">
        <v>30</v>
      </c>
      <c r="K744" s="34" t="n">
        <f aca="false">MAX(ROUNDUP(I744,0),H744)</f>
        <v>30</v>
      </c>
      <c r="L744" s="34" t="n">
        <f aca="false">IF(J744="","",J744-K744)</f>
        <v>0</v>
      </c>
      <c r="M744" s="35" t="n">
        <v>10.4</v>
      </c>
      <c r="N744" s="35" t="n">
        <f aca="false">IF(C744="covered",10.4,7.55)</f>
        <v>10.4</v>
      </c>
      <c r="O744" s="35" t="n">
        <f aca="false">IF(M744="","",M744-N744)</f>
        <v>0</v>
      </c>
      <c r="P744" s="8" t="n">
        <v>1</v>
      </c>
      <c r="Q744" s="36" t="n">
        <v>312</v>
      </c>
      <c r="R744" s="36" t="n">
        <f aca="false">IF(OR(J744="",P744=""),"",K744*N744*P744)</f>
        <v>312</v>
      </c>
      <c r="S744" s="36" t="n">
        <f aca="false">IF(Q744="","",Q744-R744)</f>
        <v>0</v>
      </c>
      <c r="T744" s="36" t="n">
        <f aca="false">IF(S744="","",MAX(0,-S744))</f>
        <v>-0</v>
      </c>
      <c r="U744" s="36" t="n">
        <f aca="false">IF(S744="","",MAX(0,S744))</f>
        <v>0</v>
      </c>
      <c r="V744" s="8" t="str">
        <f aca="false">IF(J744="","NOT SCORED - NO JULY MONTHLY ROW",IF(OR(ABS(L744)&gt;0.005,ABS(O744)&gt;0.005,ABS(S744)&gt;0.005),"EXCEPTION","OK"))</f>
        <v>OK</v>
      </c>
      <c r="W744" s="8" t="s">
        <v>5709</v>
      </c>
      <c r="X744" s="8" t="s">
        <v>4099</v>
      </c>
      <c r="Y744" s="36" t="n">
        <f aca="false">K744*N744</f>
        <v>312</v>
      </c>
    </row>
    <row r="745" customFormat="false" ht="15" hidden="false" customHeight="false" outlineLevel="0" collapsed="false">
      <c r="A745" s="11" t="s">
        <v>5710</v>
      </c>
      <c r="B745" s="11" t="s">
        <v>211</v>
      </c>
      <c r="C745" s="11" t="s">
        <v>5306</v>
      </c>
      <c r="D745" s="11" t="s">
        <v>3837</v>
      </c>
      <c r="E745" s="11" t="s">
        <v>2746</v>
      </c>
      <c r="F745" s="11" t="s">
        <v>5711</v>
      </c>
      <c r="G745" s="11" t="s">
        <v>5712</v>
      </c>
      <c r="H745" s="11" t="n">
        <v>36</v>
      </c>
      <c r="I745" s="31" t="n">
        <v>57.7</v>
      </c>
      <c r="J745" s="31" t="n">
        <v>58</v>
      </c>
      <c r="K745" s="31" t="n">
        <f aca="false">MAX(ROUNDUP(I745,0),H745)</f>
        <v>58</v>
      </c>
      <c r="L745" s="31" t="n">
        <f aca="false">IF(J745="","",J745-K745)</f>
        <v>0</v>
      </c>
      <c r="M745" s="32" t="n">
        <v>10.4</v>
      </c>
      <c r="N745" s="32" t="n">
        <f aca="false">IF(C745="covered",10.4,7.55)</f>
        <v>10.4</v>
      </c>
      <c r="O745" s="32" t="n">
        <f aca="false">IF(M745="","",M745-N745)</f>
        <v>0</v>
      </c>
      <c r="P745" s="11" t="n">
        <v>1</v>
      </c>
      <c r="Q745" s="33" t="n">
        <v>603.2</v>
      </c>
      <c r="R745" s="33" t="n">
        <f aca="false">IF(OR(J745="",P745=""),"",K745*N745*P745)</f>
        <v>603.2</v>
      </c>
      <c r="S745" s="33" t="n">
        <f aca="false">IF(Q745="","",Q745-R745)</f>
        <v>0</v>
      </c>
      <c r="T745" s="33" t="n">
        <f aca="false">IF(S745="","",MAX(0,-S745))</f>
        <v>-0</v>
      </c>
      <c r="U745" s="33" t="n">
        <f aca="false">IF(S745="","",MAX(0,S745))</f>
        <v>0</v>
      </c>
      <c r="V745" s="11" t="str">
        <f aca="false">IF(J745="","NOT SCORED - NO JULY MONTHLY ROW",IF(OR(ABS(L745)&gt;0.005,ABS(O745)&gt;0.005,ABS(S745)&gt;0.005),"EXCEPTION","OK"))</f>
        <v>OK</v>
      </c>
      <c r="W745" s="11" t="s">
        <v>5713</v>
      </c>
      <c r="X745" s="11" t="s">
        <v>4099</v>
      </c>
      <c r="Y745" s="33" t="n">
        <f aca="false">K745*N745</f>
        <v>603.2</v>
      </c>
    </row>
    <row r="746" customFormat="false" ht="15" hidden="false" customHeight="false" outlineLevel="0" collapsed="false">
      <c r="A746" s="8" t="s">
        <v>5714</v>
      </c>
      <c r="B746" s="8" t="s">
        <v>211</v>
      </c>
      <c r="C746" s="8" t="s">
        <v>5306</v>
      </c>
      <c r="D746" s="8" t="s">
        <v>2930</v>
      </c>
      <c r="E746" s="8" t="s">
        <v>5715</v>
      </c>
      <c r="F746" s="8" t="s">
        <v>5716</v>
      </c>
      <c r="G746" s="8" t="s">
        <v>5312</v>
      </c>
      <c r="H746" s="8" t="n">
        <v>28</v>
      </c>
      <c r="I746" s="34" t="n">
        <v>32.2</v>
      </c>
      <c r="J746" s="34" t="n">
        <v>33</v>
      </c>
      <c r="K746" s="34" t="n">
        <f aca="false">MAX(ROUNDUP(I746,0),H746)</f>
        <v>33</v>
      </c>
      <c r="L746" s="34" t="n">
        <f aca="false">IF(J746="","",J746-K746)</f>
        <v>0</v>
      </c>
      <c r="M746" s="35" t="n">
        <v>10.4</v>
      </c>
      <c r="N746" s="35" t="n">
        <f aca="false">IF(C746="covered",10.4,7.55)</f>
        <v>10.4</v>
      </c>
      <c r="O746" s="35" t="n">
        <f aca="false">IF(M746="","",M746-N746)</f>
        <v>0</v>
      </c>
      <c r="P746" s="8" t="n">
        <v>1</v>
      </c>
      <c r="Q746" s="36" t="n">
        <v>343.2</v>
      </c>
      <c r="R746" s="36" t="n">
        <f aca="false">IF(OR(J746="",P746=""),"",K746*N746*P746)</f>
        <v>343.2</v>
      </c>
      <c r="S746" s="36" t="n">
        <f aca="false">IF(Q746="","",Q746-R746)</f>
        <v>0</v>
      </c>
      <c r="T746" s="36" t="n">
        <f aca="false">IF(S746="","",MAX(0,-S746))</f>
        <v>-0</v>
      </c>
      <c r="U746" s="36" t="n">
        <f aca="false">IF(S746="","",MAX(0,S746))</f>
        <v>0</v>
      </c>
      <c r="V746" s="8" t="str">
        <f aca="false">IF(J746="","NOT SCORED - NO JULY MONTHLY ROW",IF(OR(ABS(L746)&gt;0.005,ABS(O746)&gt;0.005,ABS(S746)&gt;0.005),"EXCEPTION","OK"))</f>
        <v>OK</v>
      </c>
      <c r="W746" s="8" t="s">
        <v>5717</v>
      </c>
      <c r="X746" s="8" t="s">
        <v>4099</v>
      </c>
      <c r="Y746" s="36" t="n">
        <f aca="false">K746*N746</f>
        <v>343.2</v>
      </c>
    </row>
    <row r="747" customFormat="false" ht="15" hidden="false" customHeight="false" outlineLevel="0" collapsed="false">
      <c r="A747" s="11" t="s">
        <v>767</v>
      </c>
      <c r="B747" s="11" t="s">
        <v>211</v>
      </c>
      <c r="C747" s="11" t="s">
        <v>5306</v>
      </c>
      <c r="D747" s="11" t="s">
        <v>2935</v>
      </c>
      <c r="E747" s="11" t="s">
        <v>5718</v>
      </c>
      <c r="F747" s="11" t="s">
        <v>5719</v>
      </c>
      <c r="G747" s="11" t="s">
        <v>5634</v>
      </c>
      <c r="H747" s="11" t="n">
        <v>40</v>
      </c>
      <c r="I747" s="31" t="n">
        <v>51</v>
      </c>
      <c r="J747" s="31" t="n">
        <v>51</v>
      </c>
      <c r="K747" s="31" t="n">
        <f aca="false">MAX(ROUNDUP(I747,0),H747)</f>
        <v>51</v>
      </c>
      <c r="L747" s="31" t="n">
        <f aca="false">IF(J747="","",J747-K747)</f>
        <v>0</v>
      </c>
      <c r="M747" s="32" t="n">
        <v>10.4</v>
      </c>
      <c r="N747" s="32" t="n">
        <f aca="false">IF(C747="covered",10.4,7.55)</f>
        <v>10.4</v>
      </c>
      <c r="O747" s="32" t="n">
        <f aca="false">IF(M747="","",M747-N747)</f>
        <v>0</v>
      </c>
      <c r="P747" s="11" t="n">
        <v>1</v>
      </c>
      <c r="Q747" s="33" t="n">
        <v>530.4</v>
      </c>
      <c r="R747" s="33" t="n">
        <f aca="false">IF(OR(J747="",P747=""),"",K747*N747*P747)</f>
        <v>530.4</v>
      </c>
      <c r="S747" s="33" t="n">
        <f aca="false">IF(Q747="","",Q747-R747)</f>
        <v>0</v>
      </c>
      <c r="T747" s="33" t="n">
        <f aca="false">IF(S747="","",MAX(0,-S747))</f>
        <v>-0</v>
      </c>
      <c r="U747" s="33" t="n">
        <f aca="false">IF(S747="","",MAX(0,S747))</f>
        <v>0</v>
      </c>
      <c r="V747" s="11" t="str">
        <f aca="false">IF(J747="","NOT SCORED - NO JULY MONTHLY ROW",IF(OR(ABS(L747)&gt;0.005,ABS(O747)&gt;0.005,ABS(S747)&gt;0.005),"EXCEPTION","OK"))</f>
        <v>OK</v>
      </c>
      <c r="W747" s="11" t="s">
        <v>5720</v>
      </c>
      <c r="X747" s="11" t="s">
        <v>4099</v>
      </c>
      <c r="Y747" s="33" t="n">
        <f aca="false">K747*N747</f>
        <v>530.4</v>
      </c>
    </row>
    <row r="748" customFormat="false" ht="15" hidden="false" customHeight="false" outlineLevel="0" collapsed="false">
      <c r="A748" s="8" t="s">
        <v>5721</v>
      </c>
      <c r="B748" s="8" t="s">
        <v>211</v>
      </c>
      <c r="C748" s="8" t="s">
        <v>5306</v>
      </c>
      <c r="D748" s="8" t="s">
        <v>2940</v>
      </c>
      <c r="E748" s="8" t="s">
        <v>5722</v>
      </c>
      <c r="F748" s="8" t="s">
        <v>5723</v>
      </c>
      <c r="G748" s="8" t="s">
        <v>3079</v>
      </c>
      <c r="H748" s="8" t="n">
        <v>24</v>
      </c>
      <c r="I748" s="34" t="n">
        <v>50.9</v>
      </c>
      <c r="J748" s="34" t="n">
        <v>51</v>
      </c>
      <c r="K748" s="34" t="n">
        <f aca="false">MAX(ROUNDUP(I748,0),H748)</f>
        <v>51</v>
      </c>
      <c r="L748" s="34" t="n">
        <f aca="false">IF(J748="","",J748-K748)</f>
        <v>0</v>
      </c>
      <c r="M748" s="35" t="n">
        <v>10.4</v>
      </c>
      <c r="N748" s="35" t="n">
        <f aca="false">IF(C748="covered",10.4,7.55)</f>
        <v>10.4</v>
      </c>
      <c r="O748" s="35" t="n">
        <f aca="false">IF(M748="","",M748-N748)</f>
        <v>0</v>
      </c>
      <c r="P748" s="8" t="n">
        <v>1</v>
      </c>
      <c r="Q748" s="36" t="n">
        <v>530.4</v>
      </c>
      <c r="R748" s="36" t="n">
        <f aca="false">IF(OR(J748="",P748=""),"",K748*N748*P748)</f>
        <v>530.4</v>
      </c>
      <c r="S748" s="36" t="n">
        <f aca="false">IF(Q748="","",Q748-R748)</f>
        <v>0</v>
      </c>
      <c r="T748" s="36" t="n">
        <f aca="false">IF(S748="","",MAX(0,-S748))</f>
        <v>-0</v>
      </c>
      <c r="U748" s="36" t="n">
        <f aca="false">IF(S748="","",MAX(0,S748))</f>
        <v>0</v>
      </c>
      <c r="V748" s="8" t="str">
        <f aca="false">IF(J748="","NOT SCORED - NO JULY MONTHLY ROW",IF(OR(ABS(L748)&gt;0.005,ABS(O748)&gt;0.005,ABS(S748)&gt;0.005),"EXCEPTION","OK"))</f>
        <v>OK</v>
      </c>
      <c r="W748" s="8" t="s">
        <v>5724</v>
      </c>
      <c r="X748" s="8" t="s">
        <v>4099</v>
      </c>
      <c r="Y748" s="36" t="n">
        <f aca="false">K748*N748</f>
        <v>530.4</v>
      </c>
    </row>
    <row r="749" customFormat="false" ht="15" hidden="false" customHeight="false" outlineLevel="0" collapsed="false">
      <c r="A749" s="11" t="s">
        <v>5725</v>
      </c>
      <c r="B749" s="11" t="s">
        <v>211</v>
      </c>
      <c r="C749" s="11" t="s">
        <v>5306</v>
      </c>
      <c r="D749" s="11" t="s">
        <v>2944</v>
      </c>
      <c r="E749" s="11" t="s">
        <v>5726</v>
      </c>
      <c r="F749" s="11" t="s">
        <v>5727</v>
      </c>
      <c r="G749" s="11" t="s">
        <v>2882</v>
      </c>
      <c r="H749" s="11" t="n">
        <v>24</v>
      </c>
      <c r="I749" s="31" t="n">
        <v>61.2</v>
      </c>
      <c r="J749" s="31" t="n">
        <v>62</v>
      </c>
      <c r="K749" s="31" t="n">
        <f aca="false">MAX(ROUNDUP(I749,0),H749)</f>
        <v>62</v>
      </c>
      <c r="L749" s="31" t="n">
        <f aca="false">IF(J749="","",J749-K749)</f>
        <v>0</v>
      </c>
      <c r="M749" s="32" t="n">
        <v>10.4</v>
      </c>
      <c r="N749" s="32" t="n">
        <f aca="false">IF(C749="covered",10.4,7.55)</f>
        <v>10.4</v>
      </c>
      <c r="O749" s="32" t="n">
        <f aca="false">IF(M749="","",M749-N749)</f>
        <v>0</v>
      </c>
      <c r="P749" s="11" t="n">
        <v>1</v>
      </c>
      <c r="Q749" s="33" t="n">
        <v>644.8</v>
      </c>
      <c r="R749" s="33" t="n">
        <f aca="false">IF(OR(J749="",P749=""),"",K749*N749*P749)</f>
        <v>644.8</v>
      </c>
      <c r="S749" s="33" t="n">
        <f aca="false">IF(Q749="","",Q749-R749)</f>
        <v>0</v>
      </c>
      <c r="T749" s="33" t="n">
        <f aca="false">IF(S749="","",MAX(0,-S749))</f>
        <v>-0</v>
      </c>
      <c r="U749" s="33" t="n">
        <f aca="false">IF(S749="","",MAX(0,S749))</f>
        <v>0</v>
      </c>
      <c r="V749" s="11" t="str">
        <f aca="false">IF(J749="","NOT SCORED - NO JULY MONTHLY ROW",IF(OR(ABS(L749)&gt;0.005,ABS(O749)&gt;0.005,ABS(S749)&gt;0.005),"EXCEPTION","OK"))</f>
        <v>OK</v>
      </c>
      <c r="W749" s="11" t="s">
        <v>5728</v>
      </c>
      <c r="X749" s="11" t="s">
        <v>4099</v>
      </c>
      <c r="Y749" s="33" t="n">
        <f aca="false">K749*N749</f>
        <v>644.8</v>
      </c>
    </row>
    <row r="750" customFormat="false" ht="15" hidden="false" customHeight="false" outlineLevel="0" collapsed="false">
      <c r="A750" s="8" t="s">
        <v>5729</v>
      </c>
      <c r="B750" s="8" t="s">
        <v>211</v>
      </c>
      <c r="C750" s="8" t="s">
        <v>5306</v>
      </c>
      <c r="D750" s="8" t="s">
        <v>2949</v>
      </c>
      <c r="E750" s="8" t="s">
        <v>5730</v>
      </c>
      <c r="F750" s="8" t="s">
        <v>5731</v>
      </c>
      <c r="G750" s="8" t="s">
        <v>4140</v>
      </c>
      <c r="H750" s="8" t="n">
        <v>40</v>
      </c>
      <c r="I750" s="34" t="n">
        <v>30.7</v>
      </c>
      <c r="J750" s="34" t="n">
        <v>40</v>
      </c>
      <c r="K750" s="34" t="n">
        <f aca="false">MAX(ROUNDUP(I750,0),H750)</f>
        <v>40</v>
      </c>
      <c r="L750" s="34" t="n">
        <f aca="false">IF(J750="","",J750-K750)</f>
        <v>0</v>
      </c>
      <c r="M750" s="35" t="n">
        <v>10.4</v>
      </c>
      <c r="N750" s="35" t="n">
        <f aca="false">IF(C750="covered",10.4,7.55)</f>
        <v>10.4</v>
      </c>
      <c r="O750" s="35" t="n">
        <f aca="false">IF(M750="","",M750-N750)</f>
        <v>0</v>
      </c>
      <c r="P750" s="8" t="n">
        <v>1</v>
      </c>
      <c r="Q750" s="36" t="n">
        <v>416</v>
      </c>
      <c r="R750" s="36" t="n">
        <f aca="false">IF(OR(J750="",P750=""),"",K750*N750*P750)</f>
        <v>416</v>
      </c>
      <c r="S750" s="36" t="n">
        <f aca="false">IF(Q750="","",Q750-R750)</f>
        <v>0</v>
      </c>
      <c r="T750" s="36" t="n">
        <f aca="false">IF(S750="","",MAX(0,-S750))</f>
        <v>-0</v>
      </c>
      <c r="U750" s="36" t="n">
        <f aca="false">IF(S750="","",MAX(0,S750))</f>
        <v>0</v>
      </c>
      <c r="V750" s="8" t="str">
        <f aca="false">IF(J750="","NOT SCORED - NO JULY MONTHLY ROW",IF(OR(ABS(L750)&gt;0.005,ABS(O750)&gt;0.005,ABS(S750)&gt;0.005),"EXCEPTION","OK"))</f>
        <v>OK</v>
      </c>
      <c r="W750" s="8" t="s">
        <v>5732</v>
      </c>
      <c r="X750" s="8" t="s">
        <v>4099</v>
      </c>
      <c r="Y750" s="36" t="n">
        <f aca="false">K750*N750</f>
        <v>416</v>
      </c>
    </row>
    <row r="751" customFormat="false" ht="15" hidden="false" customHeight="false" outlineLevel="0" collapsed="false">
      <c r="A751" s="11" t="s">
        <v>5733</v>
      </c>
      <c r="B751" s="11" t="s">
        <v>211</v>
      </c>
      <c r="C751" s="11" t="s">
        <v>5306</v>
      </c>
      <c r="D751" s="11" t="s">
        <v>2954</v>
      </c>
      <c r="E751" s="11" t="s">
        <v>5734</v>
      </c>
      <c r="F751" s="11" t="s">
        <v>5735</v>
      </c>
      <c r="G751" s="11" t="s">
        <v>5494</v>
      </c>
      <c r="H751" s="11" t="n">
        <v>28</v>
      </c>
      <c r="I751" s="31" t="n">
        <v>22.6</v>
      </c>
      <c r="J751" s="31" t="n">
        <v>28</v>
      </c>
      <c r="K751" s="31" t="n">
        <f aca="false">MAX(ROUNDUP(I751,0),H751)</f>
        <v>28</v>
      </c>
      <c r="L751" s="31" t="n">
        <f aca="false">IF(J751="","",J751-K751)</f>
        <v>0</v>
      </c>
      <c r="M751" s="32" t="n">
        <v>10.4</v>
      </c>
      <c r="N751" s="32" t="n">
        <f aca="false">IF(C751="covered",10.4,7.55)</f>
        <v>10.4</v>
      </c>
      <c r="O751" s="32" t="n">
        <f aca="false">IF(M751="","",M751-N751)</f>
        <v>0</v>
      </c>
      <c r="P751" s="11" t="n">
        <v>1</v>
      </c>
      <c r="Q751" s="33" t="n">
        <v>291.2</v>
      </c>
      <c r="R751" s="33" t="n">
        <f aca="false">IF(OR(J751="",P751=""),"",K751*N751*P751)</f>
        <v>291.2</v>
      </c>
      <c r="S751" s="33" t="n">
        <f aca="false">IF(Q751="","",Q751-R751)</f>
        <v>0</v>
      </c>
      <c r="T751" s="33" t="n">
        <f aca="false">IF(S751="","",MAX(0,-S751))</f>
        <v>-0</v>
      </c>
      <c r="U751" s="33" t="n">
        <f aca="false">IF(S751="","",MAX(0,S751))</f>
        <v>0</v>
      </c>
      <c r="V751" s="11" t="str">
        <f aca="false">IF(J751="","NOT SCORED - NO JULY MONTHLY ROW",IF(OR(ABS(L751)&gt;0.005,ABS(O751)&gt;0.005,ABS(S751)&gt;0.005),"EXCEPTION","OK"))</f>
        <v>OK</v>
      </c>
      <c r="W751" s="11" t="s">
        <v>5736</v>
      </c>
      <c r="X751" s="11" t="s">
        <v>4099</v>
      </c>
      <c r="Y751" s="33" t="n">
        <f aca="false">K751*N751</f>
        <v>291.2</v>
      </c>
    </row>
    <row r="752" customFormat="false" ht="15" hidden="false" customHeight="false" outlineLevel="0" collapsed="false">
      <c r="A752" s="8" t="s">
        <v>2090</v>
      </c>
      <c r="B752" s="8" t="s">
        <v>211</v>
      </c>
      <c r="C752" s="8" t="s">
        <v>5306</v>
      </c>
      <c r="D752" s="8" t="s">
        <v>2959</v>
      </c>
      <c r="E752" s="8" t="s">
        <v>5737</v>
      </c>
      <c r="F752" s="8" t="s">
        <v>5738</v>
      </c>
      <c r="G752" s="8" t="s">
        <v>4677</v>
      </c>
      <c r="H752" s="8" t="n">
        <v>24</v>
      </c>
      <c r="I752" s="34" t="n">
        <v>37.3</v>
      </c>
      <c r="J752" s="34" t="n">
        <v>38</v>
      </c>
      <c r="K752" s="34" t="n">
        <f aca="false">MAX(ROUNDUP(I752,0),H752)</f>
        <v>38</v>
      </c>
      <c r="L752" s="34" t="n">
        <f aca="false">IF(J752="","",J752-K752)</f>
        <v>0</v>
      </c>
      <c r="M752" s="35" t="n">
        <v>10.4</v>
      </c>
      <c r="N752" s="35" t="n">
        <f aca="false">IF(C752="covered",10.4,7.55)</f>
        <v>10.4</v>
      </c>
      <c r="O752" s="35" t="n">
        <f aca="false">IF(M752="","",M752-N752)</f>
        <v>0</v>
      </c>
      <c r="P752" s="8" t="n">
        <v>1</v>
      </c>
      <c r="Q752" s="36" t="n">
        <v>395.2</v>
      </c>
      <c r="R752" s="36" t="n">
        <f aca="false">IF(OR(J752="",P752=""),"",K752*N752*P752)</f>
        <v>395.2</v>
      </c>
      <c r="S752" s="36" t="n">
        <f aca="false">IF(Q752="","",Q752-R752)</f>
        <v>0</v>
      </c>
      <c r="T752" s="36" t="n">
        <f aca="false">IF(S752="","",MAX(0,-S752))</f>
        <v>-0</v>
      </c>
      <c r="U752" s="36" t="n">
        <f aca="false">IF(S752="","",MAX(0,S752))</f>
        <v>0</v>
      </c>
      <c r="V752" s="8" t="str">
        <f aca="false">IF(J752="","NOT SCORED - NO JULY MONTHLY ROW",IF(OR(ABS(L752)&gt;0.005,ABS(O752)&gt;0.005,ABS(S752)&gt;0.005),"EXCEPTION","OK"))</f>
        <v>OK</v>
      </c>
      <c r="W752" s="8" t="s">
        <v>5739</v>
      </c>
      <c r="X752" s="8" t="s">
        <v>4099</v>
      </c>
      <c r="Y752" s="36" t="n">
        <f aca="false">K752*N752</f>
        <v>395.2</v>
      </c>
    </row>
    <row r="753" customFormat="false" ht="15" hidden="false" customHeight="false" outlineLevel="0" collapsed="false">
      <c r="A753" s="11" t="s">
        <v>5740</v>
      </c>
      <c r="B753" s="11" t="s">
        <v>211</v>
      </c>
      <c r="C753" s="11" t="s">
        <v>5306</v>
      </c>
      <c r="D753" s="11" t="s">
        <v>2963</v>
      </c>
      <c r="E753" s="11" t="s">
        <v>5741</v>
      </c>
      <c r="F753" s="11" t="s">
        <v>5742</v>
      </c>
      <c r="G753" s="11" t="s">
        <v>5743</v>
      </c>
      <c r="H753" s="11" t="n">
        <v>28</v>
      </c>
      <c r="I753" s="31" t="n">
        <v>34.5</v>
      </c>
      <c r="J753" s="31" t="n">
        <v>35</v>
      </c>
      <c r="K753" s="31" t="n">
        <f aca="false">MAX(ROUNDUP(I753,0),H753)</f>
        <v>35</v>
      </c>
      <c r="L753" s="31" t="n">
        <f aca="false">IF(J753="","",J753-K753)</f>
        <v>0</v>
      </c>
      <c r="M753" s="32" t="n">
        <v>10.4</v>
      </c>
      <c r="N753" s="32" t="n">
        <f aca="false">IF(C753="covered",10.4,7.55)</f>
        <v>10.4</v>
      </c>
      <c r="O753" s="32" t="n">
        <f aca="false">IF(M753="","",M753-N753)</f>
        <v>0</v>
      </c>
      <c r="P753" s="11" t="n">
        <v>1</v>
      </c>
      <c r="Q753" s="33" t="n">
        <v>364</v>
      </c>
      <c r="R753" s="33" t="n">
        <f aca="false">IF(OR(J753="",P753=""),"",K753*N753*P753)</f>
        <v>364</v>
      </c>
      <c r="S753" s="33" t="n">
        <f aca="false">IF(Q753="","",Q753-R753)</f>
        <v>0</v>
      </c>
      <c r="T753" s="33" t="n">
        <f aca="false">IF(S753="","",MAX(0,-S753))</f>
        <v>-0</v>
      </c>
      <c r="U753" s="33" t="n">
        <f aca="false">IF(S753="","",MAX(0,S753))</f>
        <v>0</v>
      </c>
      <c r="V753" s="11" t="str">
        <f aca="false">IF(J753="","NOT SCORED - NO JULY MONTHLY ROW",IF(OR(ABS(L753)&gt;0.005,ABS(O753)&gt;0.005,ABS(S753)&gt;0.005),"EXCEPTION","OK"))</f>
        <v>OK</v>
      </c>
      <c r="W753" s="11" t="s">
        <v>5744</v>
      </c>
      <c r="X753" s="11" t="s">
        <v>4099</v>
      </c>
      <c r="Y753" s="33" t="n">
        <f aca="false">K753*N753</f>
        <v>364</v>
      </c>
    </row>
    <row r="754" customFormat="false" ht="15" hidden="false" customHeight="false" outlineLevel="0" collapsed="false">
      <c r="A754" s="8" t="s">
        <v>5745</v>
      </c>
      <c r="B754" s="8" t="s">
        <v>211</v>
      </c>
      <c r="C754" s="8" t="s">
        <v>5306</v>
      </c>
      <c r="D754" s="8" t="s">
        <v>3859</v>
      </c>
      <c r="E754" s="8" t="s">
        <v>5746</v>
      </c>
      <c r="F754" s="8" t="s">
        <v>5747</v>
      </c>
      <c r="G754" s="8" t="s">
        <v>5453</v>
      </c>
      <c r="H754" s="8" t="n">
        <v>24</v>
      </c>
      <c r="I754" s="34" t="n">
        <v>60.7</v>
      </c>
      <c r="J754" s="34" t="n">
        <v>61</v>
      </c>
      <c r="K754" s="34" t="n">
        <f aca="false">MAX(ROUNDUP(I754,0),H754)</f>
        <v>61</v>
      </c>
      <c r="L754" s="34" t="n">
        <f aca="false">IF(J754="","",J754-K754)</f>
        <v>0</v>
      </c>
      <c r="M754" s="35" t="n">
        <v>10.4</v>
      </c>
      <c r="N754" s="35" t="n">
        <f aca="false">IF(C754="covered",10.4,7.55)</f>
        <v>10.4</v>
      </c>
      <c r="O754" s="35" t="n">
        <f aca="false">IF(M754="","",M754-N754)</f>
        <v>0</v>
      </c>
      <c r="P754" s="8" t="n">
        <v>1</v>
      </c>
      <c r="Q754" s="36" t="n">
        <v>634.4</v>
      </c>
      <c r="R754" s="36" t="n">
        <f aca="false">IF(OR(J754="",P754=""),"",K754*N754*P754)</f>
        <v>634.4</v>
      </c>
      <c r="S754" s="36" t="n">
        <f aca="false">IF(Q754="","",Q754-R754)</f>
        <v>0</v>
      </c>
      <c r="T754" s="36" t="n">
        <f aca="false">IF(S754="","",MAX(0,-S754))</f>
        <v>-0</v>
      </c>
      <c r="U754" s="36" t="n">
        <f aca="false">IF(S754="","",MAX(0,S754))</f>
        <v>0</v>
      </c>
      <c r="V754" s="8" t="str">
        <f aca="false">IF(J754="","NOT SCORED - NO JULY MONTHLY ROW",IF(OR(ABS(L754)&gt;0.005,ABS(O754)&gt;0.005,ABS(S754)&gt;0.005),"EXCEPTION","OK"))</f>
        <v>OK</v>
      </c>
      <c r="W754" s="8" t="s">
        <v>5748</v>
      </c>
      <c r="X754" s="8" t="s">
        <v>4099</v>
      </c>
      <c r="Y754" s="36" t="n">
        <f aca="false">K754*N754</f>
        <v>634.4</v>
      </c>
    </row>
    <row r="755" customFormat="false" ht="15" hidden="false" customHeight="false" outlineLevel="0" collapsed="false">
      <c r="A755" s="11" t="s">
        <v>5749</v>
      </c>
      <c r="B755" s="11" t="s">
        <v>211</v>
      </c>
      <c r="C755" s="11" t="s">
        <v>5306</v>
      </c>
      <c r="D755" s="11" t="s">
        <v>2968</v>
      </c>
      <c r="E755" s="11" t="s">
        <v>5750</v>
      </c>
      <c r="F755" s="11" t="s">
        <v>5751</v>
      </c>
      <c r="G755" s="11" t="s">
        <v>3193</v>
      </c>
      <c r="H755" s="11" t="n">
        <v>32</v>
      </c>
      <c r="I755" s="31" t="n">
        <v>18.6</v>
      </c>
      <c r="J755" s="31" t="n">
        <v>32</v>
      </c>
      <c r="K755" s="31" t="n">
        <f aca="false">MAX(ROUNDUP(I755,0),H755)</f>
        <v>32</v>
      </c>
      <c r="L755" s="31" t="n">
        <f aca="false">IF(J755="","",J755-K755)</f>
        <v>0</v>
      </c>
      <c r="M755" s="32" t="n">
        <v>10.4</v>
      </c>
      <c r="N755" s="32" t="n">
        <f aca="false">IF(C755="covered",10.4,7.55)</f>
        <v>10.4</v>
      </c>
      <c r="O755" s="32" t="n">
        <f aca="false">IF(M755="","",M755-N755)</f>
        <v>0</v>
      </c>
      <c r="P755" s="11" t="n">
        <v>1</v>
      </c>
      <c r="Q755" s="33" t="n">
        <v>332.8</v>
      </c>
      <c r="R755" s="33" t="n">
        <f aca="false">IF(OR(J755="",P755=""),"",K755*N755*P755)</f>
        <v>332.8</v>
      </c>
      <c r="S755" s="33" t="n">
        <f aca="false">IF(Q755="","",Q755-R755)</f>
        <v>0</v>
      </c>
      <c r="T755" s="33" t="n">
        <f aca="false">IF(S755="","",MAX(0,-S755))</f>
        <v>-0</v>
      </c>
      <c r="U755" s="33" t="n">
        <f aca="false">IF(S755="","",MAX(0,S755))</f>
        <v>0</v>
      </c>
      <c r="V755" s="11" t="str">
        <f aca="false">IF(J755="","NOT SCORED - NO JULY MONTHLY ROW",IF(OR(ABS(L755)&gt;0.005,ABS(O755)&gt;0.005,ABS(S755)&gt;0.005),"EXCEPTION","OK"))</f>
        <v>OK</v>
      </c>
      <c r="W755" s="11" t="s">
        <v>5752</v>
      </c>
      <c r="X755" s="11" t="s">
        <v>4099</v>
      </c>
      <c r="Y755" s="33" t="n">
        <f aca="false">K755*N755</f>
        <v>332.8</v>
      </c>
    </row>
    <row r="756" customFormat="false" ht="15" hidden="false" customHeight="false" outlineLevel="0" collapsed="false">
      <c r="A756" s="8" t="s">
        <v>5753</v>
      </c>
      <c r="B756" s="8" t="s">
        <v>211</v>
      </c>
      <c r="C756" s="8" t="s">
        <v>5306</v>
      </c>
      <c r="D756" s="8" t="s">
        <v>2973</v>
      </c>
      <c r="E756" s="8" t="s">
        <v>5754</v>
      </c>
      <c r="F756" s="8" t="s">
        <v>5755</v>
      </c>
      <c r="G756" s="8" t="s">
        <v>2833</v>
      </c>
      <c r="H756" s="8" t="n">
        <v>24</v>
      </c>
      <c r="I756" s="34" t="n">
        <v>52.8</v>
      </c>
      <c r="J756" s="34" t="n">
        <v>53</v>
      </c>
      <c r="K756" s="34" t="n">
        <f aca="false">MAX(ROUNDUP(I756,0),H756)</f>
        <v>53</v>
      </c>
      <c r="L756" s="34" t="n">
        <f aca="false">IF(J756="","",J756-K756)</f>
        <v>0</v>
      </c>
      <c r="M756" s="35" t="n">
        <v>10.4</v>
      </c>
      <c r="N756" s="35" t="n">
        <f aca="false">IF(C756="covered",10.4,7.55)</f>
        <v>10.4</v>
      </c>
      <c r="O756" s="35" t="n">
        <f aca="false">IF(M756="","",M756-N756)</f>
        <v>0</v>
      </c>
      <c r="P756" s="8" t="n">
        <v>1</v>
      </c>
      <c r="Q756" s="36" t="n">
        <v>551.2</v>
      </c>
      <c r="R756" s="36" t="n">
        <f aca="false">IF(OR(J756="",P756=""),"",K756*N756*P756)</f>
        <v>551.2</v>
      </c>
      <c r="S756" s="36" t="n">
        <f aca="false">IF(Q756="","",Q756-R756)</f>
        <v>0</v>
      </c>
      <c r="T756" s="36" t="n">
        <f aca="false">IF(S756="","",MAX(0,-S756))</f>
        <v>-0</v>
      </c>
      <c r="U756" s="36" t="n">
        <f aca="false">IF(S756="","",MAX(0,S756))</f>
        <v>0</v>
      </c>
      <c r="V756" s="8" t="str">
        <f aca="false">IF(J756="","NOT SCORED - NO JULY MONTHLY ROW",IF(OR(ABS(L756)&gt;0.005,ABS(O756)&gt;0.005,ABS(S756)&gt;0.005),"EXCEPTION","OK"))</f>
        <v>OK</v>
      </c>
      <c r="W756" s="8" t="s">
        <v>5756</v>
      </c>
      <c r="X756" s="8" t="s">
        <v>4099</v>
      </c>
      <c r="Y756" s="36" t="n">
        <f aca="false">K756*N756</f>
        <v>551.2</v>
      </c>
    </row>
    <row r="757" customFormat="false" ht="15" hidden="false" customHeight="false" outlineLevel="0" collapsed="false">
      <c r="A757" s="11" t="s">
        <v>1809</v>
      </c>
      <c r="B757" s="11" t="s">
        <v>211</v>
      </c>
      <c r="C757" s="11" t="s">
        <v>5306</v>
      </c>
      <c r="D757" s="11" t="s">
        <v>2978</v>
      </c>
      <c r="E757" s="11" t="s">
        <v>5757</v>
      </c>
      <c r="F757" s="11" t="s">
        <v>5758</v>
      </c>
      <c r="G757" s="11" t="s">
        <v>3240</v>
      </c>
      <c r="H757" s="11" t="n">
        <v>28</v>
      </c>
      <c r="I757" s="31" t="n">
        <v>18.7</v>
      </c>
      <c r="J757" s="31" t="n">
        <v>28</v>
      </c>
      <c r="K757" s="31" t="n">
        <f aca="false">MAX(ROUNDUP(I757,0),H757)</f>
        <v>28</v>
      </c>
      <c r="L757" s="31" t="n">
        <f aca="false">IF(J757="","",J757-K757)</f>
        <v>0</v>
      </c>
      <c r="M757" s="32" t="n">
        <v>10.4</v>
      </c>
      <c r="N757" s="32" t="n">
        <f aca="false">IF(C757="covered",10.4,7.55)</f>
        <v>10.4</v>
      </c>
      <c r="O757" s="32" t="n">
        <f aca="false">IF(M757="","",M757-N757)</f>
        <v>0</v>
      </c>
      <c r="P757" s="11" t="n">
        <v>1</v>
      </c>
      <c r="Q757" s="33" t="n">
        <v>291.2</v>
      </c>
      <c r="R757" s="33" t="n">
        <f aca="false">IF(OR(J757="",P757=""),"",K757*N757*P757)</f>
        <v>291.2</v>
      </c>
      <c r="S757" s="33" t="n">
        <f aca="false">IF(Q757="","",Q757-R757)</f>
        <v>0</v>
      </c>
      <c r="T757" s="33" t="n">
        <f aca="false">IF(S757="","",MAX(0,-S757))</f>
        <v>-0</v>
      </c>
      <c r="U757" s="33" t="n">
        <f aca="false">IF(S757="","",MAX(0,S757))</f>
        <v>0</v>
      </c>
      <c r="V757" s="11" t="str">
        <f aca="false">IF(J757="","NOT SCORED - NO JULY MONTHLY ROW",IF(OR(ABS(L757)&gt;0.005,ABS(O757)&gt;0.005,ABS(S757)&gt;0.005),"EXCEPTION","OK"))</f>
        <v>OK</v>
      </c>
      <c r="W757" s="11" t="s">
        <v>5759</v>
      </c>
      <c r="X757" s="11" t="s">
        <v>4099</v>
      </c>
      <c r="Y757" s="33" t="n">
        <f aca="false">K757*N757</f>
        <v>291.2</v>
      </c>
    </row>
    <row r="758" customFormat="false" ht="15" hidden="false" customHeight="false" outlineLevel="0" collapsed="false">
      <c r="A758" s="8" t="s">
        <v>5760</v>
      </c>
      <c r="B758" s="8" t="s">
        <v>211</v>
      </c>
      <c r="C758" s="8" t="s">
        <v>5306</v>
      </c>
      <c r="D758" s="8" t="s">
        <v>2981</v>
      </c>
      <c r="E758" s="8" t="s">
        <v>5761</v>
      </c>
      <c r="F758" s="8" t="s">
        <v>5762</v>
      </c>
      <c r="G758" s="8" t="s">
        <v>4184</v>
      </c>
      <c r="H758" s="8" t="n">
        <v>36</v>
      </c>
      <c r="I758" s="34" t="n">
        <v>37.5</v>
      </c>
      <c r="J758" s="34" t="n">
        <v>38</v>
      </c>
      <c r="K758" s="34" t="n">
        <f aca="false">MAX(ROUNDUP(I758,0),H758)</f>
        <v>38</v>
      </c>
      <c r="L758" s="34" t="n">
        <f aca="false">IF(J758="","",J758-K758)</f>
        <v>0</v>
      </c>
      <c r="M758" s="35" t="n">
        <v>10.4</v>
      </c>
      <c r="N758" s="35" t="n">
        <f aca="false">IF(C758="covered",10.4,7.55)</f>
        <v>10.4</v>
      </c>
      <c r="O758" s="35" t="n">
        <f aca="false">IF(M758="","",M758-N758)</f>
        <v>0</v>
      </c>
      <c r="P758" s="8" t="n">
        <v>1</v>
      </c>
      <c r="Q758" s="36" t="n">
        <v>395.2</v>
      </c>
      <c r="R758" s="36" t="n">
        <f aca="false">IF(OR(J758="",P758=""),"",K758*N758*P758)</f>
        <v>395.2</v>
      </c>
      <c r="S758" s="36" t="n">
        <f aca="false">IF(Q758="","",Q758-R758)</f>
        <v>0</v>
      </c>
      <c r="T758" s="36" t="n">
        <f aca="false">IF(S758="","",MAX(0,-S758))</f>
        <v>-0</v>
      </c>
      <c r="U758" s="36" t="n">
        <f aca="false">IF(S758="","",MAX(0,S758))</f>
        <v>0</v>
      </c>
      <c r="V758" s="8" t="str">
        <f aca="false">IF(J758="","NOT SCORED - NO JULY MONTHLY ROW",IF(OR(ABS(L758)&gt;0.005,ABS(O758)&gt;0.005,ABS(S758)&gt;0.005),"EXCEPTION","OK"))</f>
        <v>OK</v>
      </c>
      <c r="W758" s="8" t="s">
        <v>5763</v>
      </c>
      <c r="X758" s="8" t="s">
        <v>4099</v>
      </c>
      <c r="Y758" s="36" t="n">
        <f aca="false">K758*N758</f>
        <v>395.2</v>
      </c>
    </row>
    <row r="759" customFormat="false" ht="15" hidden="false" customHeight="false" outlineLevel="0" collapsed="false">
      <c r="A759" s="11" t="s">
        <v>1505</v>
      </c>
      <c r="B759" s="11" t="s">
        <v>211</v>
      </c>
      <c r="C759" s="11" t="s">
        <v>5306</v>
      </c>
      <c r="D759" s="11" t="s">
        <v>3877</v>
      </c>
      <c r="E759" s="11" t="s">
        <v>5764</v>
      </c>
      <c r="F759" s="11" t="s">
        <v>5765</v>
      </c>
      <c r="G759" s="11" t="s">
        <v>5712</v>
      </c>
      <c r="H759" s="11" t="n">
        <v>24</v>
      </c>
      <c r="I759" s="31" t="n">
        <v>51.4</v>
      </c>
      <c r="J759" s="31" t="n">
        <v>52</v>
      </c>
      <c r="K759" s="31" t="n">
        <f aca="false">MAX(ROUNDUP(I759,0),H759)</f>
        <v>52</v>
      </c>
      <c r="L759" s="31" t="n">
        <f aca="false">IF(J759="","",J759-K759)</f>
        <v>0</v>
      </c>
      <c r="M759" s="32" t="n">
        <v>10.4</v>
      </c>
      <c r="N759" s="32" t="n">
        <f aca="false">IF(C759="covered",10.4,7.55)</f>
        <v>10.4</v>
      </c>
      <c r="O759" s="32" t="n">
        <f aca="false">IF(M759="","",M759-N759)</f>
        <v>0</v>
      </c>
      <c r="P759" s="11" t="n">
        <v>1</v>
      </c>
      <c r="Q759" s="33" t="n">
        <v>540.8</v>
      </c>
      <c r="R759" s="33" t="n">
        <f aca="false">IF(OR(J759="",P759=""),"",K759*N759*P759)</f>
        <v>540.8</v>
      </c>
      <c r="S759" s="33" t="n">
        <f aca="false">IF(Q759="","",Q759-R759)</f>
        <v>0</v>
      </c>
      <c r="T759" s="33" t="n">
        <f aca="false">IF(S759="","",MAX(0,-S759))</f>
        <v>-0</v>
      </c>
      <c r="U759" s="33" t="n">
        <f aca="false">IF(S759="","",MAX(0,S759))</f>
        <v>0</v>
      </c>
      <c r="V759" s="11" t="str">
        <f aca="false">IF(J759="","NOT SCORED - NO JULY MONTHLY ROW",IF(OR(ABS(L759)&gt;0.005,ABS(O759)&gt;0.005,ABS(S759)&gt;0.005),"EXCEPTION","OK"))</f>
        <v>OK</v>
      </c>
      <c r="W759" s="11" t="s">
        <v>5766</v>
      </c>
      <c r="X759" s="11" t="s">
        <v>4099</v>
      </c>
      <c r="Y759" s="33" t="n">
        <f aca="false">K759*N759</f>
        <v>540.8</v>
      </c>
    </row>
    <row r="760" customFormat="false" ht="15" hidden="false" customHeight="false" outlineLevel="0" collapsed="false">
      <c r="A760" s="8" t="s">
        <v>5767</v>
      </c>
      <c r="B760" s="8" t="s">
        <v>211</v>
      </c>
      <c r="C760" s="8" t="s">
        <v>5306</v>
      </c>
      <c r="D760" s="8" t="s">
        <v>2984</v>
      </c>
      <c r="E760" s="8" t="s">
        <v>5768</v>
      </c>
      <c r="F760" s="8" t="s">
        <v>5769</v>
      </c>
      <c r="G760" s="8" t="s">
        <v>2839</v>
      </c>
      <c r="H760" s="8" t="n">
        <v>28</v>
      </c>
      <c r="I760" s="34" t="n">
        <v>35.6</v>
      </c>
      <c r="J760" s="34" t="n">
        <v>36</v>
      </c>
      <c r="K760" s="34" t="n">
        <f aca="false">MAX(ROUNDUP(I760,0),H760)</f>
        <v>36</v>
      </c>
      <c r="L760" s="34" t="n">
        <f aca="false">IF(J760="","",J760-K760)</f>
        <v>0</v>
      </c>
      <c r="M760" s="35" t="n">
        <v>10.4</v>
      </c>
      <c r="N760" s="35" t="n">
        <f aca="false">IF(C760="covered",10.4,7.55)</f>
        <v>10.4</v>
      </c>
      <c r="O760" s="35" t="n">
        <f aca="false">IF(M760="","",M760-N760)</f>
        <v>0</v>
      </c>
      <c r="P760" s="8" t="n">
        <v>1</v>
      </c>
      <c r="Q760" s="36" t="n">
        <v>374.4</v>
      </c>
      <c r="R760" s="36" t="n">
        <f aca="false">IF(OR(J760="",P760=""),"",K760*N760*P760)</f>
        <v>374.4</v>
      </c>
      <c r="S760" s="36" t="n">
        <f aca="false">IF(Q760="","",Q760-R760)</f>
        <v>0</v>
      </c>
      <c r="T760" s="36" t="n">
        <f aca="false">IF(S760="","",MAX(0,-S760))</f>
        <v>-0</v>
      </c>
      <c r="U760" s="36" t="n">
        <f aca="false">IF(S760="","",MAX(0,S760))</f>
        <v>0</v>
      </c>
      <c r="V760" s="8" t="str">
        <f aca="false">IF(J760="","NOT SCORED - NO JULY MONTHLY ROW",IF(OR(ABS(L760)&gt;0.005,ABS(O760)&gt;0.005,ABS(S760)&gt;0.005),"EXCEPTION","OK"))</f>
        <v>OK</v>
      </c>
      <c r="W760" s="8" t="s">
        <v>5770</v>
      </c>
      <c r="X760" s="8" t="s">
        <v>4099</v>
      </c>
      <c r="Y760" s="36" t="n">
        <f aca="false">K760*N760</f>
        <v>374.4</v>
      </c>
    </row>
    <row r="761" customFormat="false" ht="15" hidden="false" customHeight="false" outlineLevel="0" collapsed="false">
      <c r="A761" s="11" t="s">
        <v>5771</v>
      </c>
      <c r="B761" s="11" t="s">
        <v>211</v>
      </c>
      <c r="C761" s="11" t="s">
        <v>5306</v>
      </c>
      <c r="D761" s="11" t="s">
        <v>2989</v>
      </c>
      <c r="E761" s="11" t="s">
        <v>2158</v>
      </c>
      <c r="F761" s="11" t="s">
        <v>5772</v>
      </c>
      <c r="G761" s="11" t="s">
        <v>5773</v>
      </c>
      <c r="H761" s="11" t="n">
        <v>32</v>
      </c>
      <c r="I761" s="31" t="n">
        <v>30.1</v>
      </c>
      <c r="J761" s="31" t="n">
        <v>32</v>
      </c>
      <c r="K761" s="31" t="n">
        <f aca="false">MAX(ROUNDUP(I761,0),H761)</f>
        <v>32</v>
      </c>
      <c r="L761" s="31" t="n">
        <f aca="false">IF(J761="","",J761-K761)</f>
        <v>0</v>
      </c>
      <c r="M761" s="32" t="n">
        <v>10.4</v>
      </c>
      <c r="N761" s="32" t="n">
        <f aca="false">IF(C761="covered",10.4,7.55)</f>
        <v>10.4</v>
      </c>
      <c r="O761" s="32" t="n">
        <f aca="false">IF(M761="","",M761-N761)</f>
        <v>0</v>
      </c>
      <c r="P761" s="11" t="n">
        <v>1</v>
      </c>
      <c r="Q761" s="33" t="n">
        <v>332.8</v>
      </c>
      <c r="R761" s="33" t="n">
        <f aca="false">IF(OR(J761="",P761=""),"",K761*N761*P761)</f>
        <v>332.8</v>
      </c>
      <c r="S761" s="33" t="n">
        <f aca="false">IF(Q761="","",Q761-R761)</f>
        <v>0</v>
      </c>
      <c r="T761" s="33" t="n">
        <f aca="false">IF(S761="","",MAX(0,-S761))</f>
        <v>-0</v>
      </c>
      <c r="U761" s="33" t="n">
        <f aca="false">IF(S761="","",MAX(0,S761))</f>
        <v>0</v>
      </c>
      <c r="V761" s="11" t="str">
        <f aca="false">IF(J761="","NOT SCORED - NO JULY MONTHLY ROW",IF(OR(ABS(L761)&gt;0.005,ABS(O761)&gt;0.005,ABS(S761)&gt;0.005),"EXCEPTION","OK"))</f>
        <v>OK</v>
      </c>
      <c r="W761" s="11" t="s">
        <v>5774</v>
      </c>
      <c r="X761" s="11" t="s">
        <v>4099</v>
      </c>
      <c r="Y761" s="33" t="n">
        <f aca="false">K761*N761</f>
        <v>332.8</v>
      </c>
    </row>
    <row r="762" customFormat="false" ht="15" hidden="false" customHeight="false" outlineLevel="0" collapsed="false">
      <c r="A762" s="8" t="s">
        <v>5775</v>
      </c>
      <c r="B762" s="8" t="s">
        <v>211</v>
      </c>
      <c r="C762" s="8" t="s">
        <v>5306</v>
      </c>
      <c r="D762" s="8" t="s">
        <v>2998</v>
      </c>
      <c r="E762" s="8" t="s">
        <v>5776</v>
      </c>
      <c r="F762" s="8" t="s">
        <v>5777</v>
      </c>
      <c r="G762" s="8" t="s">
        <v>3535</v>
      </c>
      <c r="H762" s="8" t="n">
        <v>32</v>
      </c>
      <c r="I762" s="34" t="n">
        <v>40.5</v>
      </c>
      <c r="J762" s="34" t="n">
        <v>41</v>
      </c>
      <c r="K762" s="34" t="n">
        <f aca="false">MAX(ROUNDUP(I762,0),H762)</f>
        <v>41</v>
      </c>
      <c r="L762" s="34" t="n">
        <f aca="false">IF(J762="","",J762-K762)</f>
        <v>0</v>
      </c>
      <c r="M762" s="35" t="n">
        <v>10.4</v>
      </c>
      <c r="N762" s="35" t="n">
        <f aca="false">IF(C762="covered",10.4,7.55)</f>
        <v>10.4</v>
      </c>
      <c r="O762" s="35" t="n">
        <f aca="false">IF(M762="","",M762-N762)</f>
        <v>0</v>
      </c>
      <c r="P762" s="8" t="n">
        <v>1</v>
      </c>
      <c r="Q762" s="36" t="n">
        <v>426.4</v>
      </c>
      <c r="R762" s="36" t="n">
        <f aca="false">IF(OR(J762="",P762=""),"",K762*N762*P762)</f>
        <v>426.4</v>
      </c>
      <c r="S762" s="36" t="n">
        <f aca="false">IF(Q762="","",Q762-R762)</f>
        <v>0</v>
      </c>
      <c r="T762" s="36" t="n">
        <f aca="false">IF(S762="","",MAX(0,-S762))</f>
        <v>-0</v>
      </c>
      <c r="U762" s="36" t="n">
        <f aca="false">IF(S762="","",MAX(0,S762))</f>
        <v>0</v>
      </c>
      <c r="V762" s="8" t="str">
        <f aca="false">IF(J762="","NOT SCORED - NO JULY MONTHLY ROW",IF(OR(ABS(L762)&gt;0.005,ABS(O762)&gt;0.005,ABS(S762)&gt;0.005),"EXCEPTION","OK"))</f>
        <v>OK</v>
      </c>
      <c r="W762" s="8" t="s">
        <v>5778</v>
      </c>
      <c r="X762" s="8" t="s">
        <v>4099</v>
      </c>
      <c r="Y762" s="36" t="n">
        <f aca="false">K762*N762</f>
        <v>426.4</v>
      </c>
    </row>
    <row r="763" customFormat="false" ht="15" hidden="false" customHeight="false" outlineLevel="0" collapsed="false">
      <c r="A763" s="11" t="s">
        <v>5779</v>
      </c>
      <c r="B763" s="11" t="s">
        <v>211</v>
      </c>
      <c r="C763" s="11" t="s">
        <v>5306</v>
      </c>
      <c r="D763" s="11" t="s">
        <v>3002</v>
      </c>
      <c r="E763" s="11" t="s">
        <v>5780</v>
      </c>
      <c r="F763" s="11" t="s">
        <v>5781</v>
      </c>
      <c r="G763" s="11" t="s">
        <v>4690</v>
      </c>
      <c r="H763" s="11" t="n">
        <v>40</v>
      </c>
      <c r="I763" s="31" t="n">
        <v>22</v>
      </c>
      <c r="J763" s="31" t="n">
        <v>40</v>
      </c>
      <c r="K763" s="31" t="n">
        <f aca="false">MAX(ROUNDUP(I763,0),H763)</f>
        <v>40</v>
      </c>
      <c r="L763" s="31" t="n">
        <f aca="false">IF(J763="","",J763-K763)</f>
        <v>0</v>
      </c>
      <c r="M763" s="32" t="n">
        <v>10.4</v>
      </c>
      <c r="N763" s="32" t="n">
        <f aca="false">IF(C763="covered",10.4,7.55)</f>
        <v>10.4</v>
      </c>
      <c r="O763" s="32" t="n">
        <f aca="false">IF(M763="","",M763-N763)</f>
        <v>0</v>
      </c>
      <c r="P763" s="11" t="n">
        <v>1</v>
      </c>
      <c r="Q763" s="33" t="n">
        <v>416</v>
      </c>
      <c r="R763" s="33" t="n">
        <f aca="false">IF(OR(J763="",P763=""),"",K763*N763*P763)</f>
        <v>416</v>
      </c>
      <c r="S763" s="33" t="n">
        <f aca="false">IF(Q763="","",Q763-R763)</f>
        <v>0</v>
      </c>
      <c r="T763" s="33" t="n">
        <f aca="false">IF(S763="","",MAX(0,-S763))</f>
        <v>-0</v>
      </c>
      <c r="U763" s="33" t="n">
        <f aca="false">IF(S763="","",MAX(0,S763))</f>
        <v>0</v>
      </c>
      <c r="V763" s="11" t="str">
        <f aca="false">IF(J763="","NOT SCORED - NO JULY MONTHLY ROW",IF(OR(ABS(L763)&gt;0.005,ABS(O763)&gt;0.005,ABS(S763)&gt;0.005),"EXCEPTION","OK"))</f>
        <v>OK</v>
      </c>
      <c r="W763" s="11" t="s">
        <v>5782</v>
      </c>
      <c r="X763" s="11" t="s">
        <v>4099</v>
      </c>
      <c r="Y763" s="33" t="n">
        <f aca="false">K763*N763</f>
        <v>416</v>
      </c>
    </row>
    <row r="764" customFormat="false" ht="15" hidden="false" customHeight="false" outlineLevel="0" collapsed="false">
      <c r="A764" s="8" t="s">
        <v>5783</v>
      </c>
      <c r="B764" s="8" t="s">
        <v>211</v>
      </c>
      <c r="C764" s="8" t="s">
        <v>5306</v>
      </c>
      <c r="D764" s="8" t="s">
        <v>3006</v>
      </c>
      <c r="E764" s="8" t="s">
        <v>1977</v>
      </c>
      <c r="F764" s="8" t="s">
        <v>1978</v>
      </c>
      <c r="G764" s="8" t="s">
        <v>5784</v>
      </c>
      <c r="H764" s="8" t="n">
        <v>32</v>
      </c>
      <c r="I764" s="34" t="n">
        <v>39.4</v>
      </c>
      <c r="J764" s="34" t="n">
        <v>40</v>
      </c>
      <c r="K764" s="34" t="n">
        <f aca="false">MAX(ROUNDUP(I764,0),H764)</f>
        <v>40</v>
      </c>
      <c r="L764" s="34" t="n">
        <f aca="false">IF(J764="","",J764-K764)</f>
        <v>0</v>
      </c>
      <c r="M764" s="35" t="n">
        <v>10.4</v>
      </c>
      <c r="N764" s="35" t="n">
        <f aca="false">IF(C764="covered",10.4,7.55)</f>
        <v>10.4</v>
      </c>
      <c r="O764" s="35" t="n">
        <f aca="false">IF(M764="","",M764-N764)</f>
        <v>0</v>
      </c>
      <c r="P764" s="8" t="n">
        <v>1</v>
      </c>
      <c r="Q764" s="36" t="n">
        <v>416</v>
      </c>
      <c r="R764" s="36" t="n">
        <f aca="false">IF(OR(J764="",P764=""),"",K764*N764*P764)</f>
        <v>416</v>
      </c>
      <c r="S764" s="36" t="n">
        <f aca="false">IF(Q764="","",Q764-R764)</f>
        <v>0</v>
      </c>
      <c r="T764" s="36" t="n">
        <f aca="false">IF(S764="","",MAX(0,-S764))</f>
        <v>-0</v>
      </c>
      <c r="U764" s="36" t="n">
        <f aca="false">IF(S764="","",MAX(0,S764))</f>
        <v>0</v>
      </c>
      <c r="V764" s="8" t="str">
        <f aca="false">IF(J764="","NOT SCORED - NO JULY MONTHLY ROW",IF(OR(ABS(L764)&gt;0.005,ABS(O764)&gt;0.005,ABS(S764)&gt;0.005),"EXCEPTION","OK"))</f>
        <v>OK</v>
      </c>
      <c r="W764" s="8" t="s">
        <v>5785</v>
      </c>
      <c r="X764" s="8" t="s">
        <v>4099</v>
      </c>
      <c r="Y764" s="36" t="n">
        <f aca="false">K764*N764</f>
        <v>416</v>
      </c>
    </row>
    <row r="765" customFormat="false" ht="15" hidden="false" customHeight="false" outlineLevel="0" collapsed="false">
      <c r="A765" s="11" t="s">
        <v>5786</v>
      </c>
      <c r="B765" s="11" t="s">
        <v>211</v>
      </c>
      <c r="C765" s="11" t="s">
        <v>5306</v>
      </c>
      <c r="D765" s="11" t="s">
        <v>3011</v>
      </c>
      <c r="E765" s="11" t="s">
        <v>5787</v>
      </c>
      <c r="F765" s="11" t="s">
        <v>5788</v>
      </c>
      <c r="G765" s="11" t="s">
        <v>5789</v>
      </c>
      <c r="H765" s="11" t="n">
        <v>32</v>
      </c>
      <c r="I765" s="31" t="n">
        <v>53.9</v>
      </c>
      <c r="J765" s="31" t="n">
        <v>54</v>
      </c>
      <c r="K765" s="31" t="n">
        <f aca="false">MAX(ROUNDUP(I765,0),H765)</f>
        <v>54</v>
      </c>
      <c r="L765" s="31" t="n">
        <f aca="false">IF(J765="","",J765-K765)</f>
        <v>0</v>
      </c>
      <c r="M765" s="32" t="n">
        <v>10.4</v>
      </c>
      <c r="N765" s="32" t="n">
        <f aca="false">IF(C765="covered",10.4,7.55)</f>
        <v>10.4</v>
      </c>
      <c r="O765" s="32" t="n">
        <f aca="false">IF(M765="","",M765-N765)</f>
        <v>0</v>
      </c>
      <c r="P765" s="11" t="n">
        <v>1</v>
      </c>
      <c r="Q765" s="33" t="n">
        <v>561.6</v>
      </c>
      <c r="R765" s="33" t="n">
        <f aca="false">IF(OR(J765="",P765=""),"",K765*N765*P765)</f>
        <v>561.6</v>
      </c>
      <c r="S765" s="33" t="n">
        <f aca="false">IF(Q765="","",Q765-R765)</f>
        <v>0</v>
      </c>
      <c r="T765" s="33" t="n">
        <f aca="false">IF(S765="","",MAX(0,-S765))</f>
        <v>-0</v>
      </c>
      <c r="U765" s="33" t="n">
        <f aca="false">IF(S765="","",MAX(0,S765))</f>
        <v>0</v>
      </c>
      <c r="V765" s="11" t="str">
        <f aca="false">IF(J765="","NOT SCORED - NO JULY MONTHLY ROW",IF(OR(ABS(L765)&gt;0.005,ABS(O765)&gt;0.005,ABS(S765)&gt;0.005),"EXCEPTION","OK"))</f>
        <v>OK</v>
      </c>
      <c r="W765" s="11" t="s">
        <v>5790</v>
      </c>
      <c r="X765" s="11" t="s">
        <v>4099</v>
      </c>
      <c r="Y765" s="33" t="n">
        <f aca="false">K765*N765</f>
        <v>561.6</v>
      </c>
    </row>
    <row r="766" customFormat="false" ht="15" hidden="false" customHeight="false" outlineLevel="0" collapsed="false">
      <c r="A766" s="8" t="s">
        <v>5791</v>
      </c>
      <c r="B766" s="8" t="s">
        <v>211</v>
      </c>
      <c r="C766" s="8" t="s">
        <v>5306</v>
      </c>
      <c r="D766" s="8" t="s">
        <v>3900</v>
      </c>
      <c r="E766" s="8" t="s">
        <v>5792</v>
      </c>
      <c r="F766" s="8" t="s">
        <v>5793</v>
      </c>
      <c r="G766" s="8" t="s">
        <v>3304</v>
      </c>
      <c r="H766" s="8" t="n">
        <v>40</v>
      </c>
      <c r="I766" s="34" t="n">
        <v>49.8</v>
      </c>
      <c r="J766" s="34" t="n">
        <v>50</v>
      </c>
      <c r="K766" s="34" t="n">
        <f aca="false">MAX(ROUNDUP(I766,0),H766)</f>
        <v>50</v>
      </c>
      <c r="L766" s="34" t="n">
        <f aca="false">IF(J766="","",J766-K766)</f>
        <v>0</v>
      </c>
      <c r="M766" s="35" t="n">
        <v>10.4</v>
      </c>
      <c r="N766" s="35" t="n">
        <f aca="false">IF(C766="covered",10.4,7.55)</f>
        <v>10.4</v>
      </c>
      <c r="O766" s="35" t="n">
        <f aca="false">IF(M766="","",M766-N766)</f>
        <v>0</v>
      </c>
      <c r="P766" s="8" t="n">
        <v>1</v>
      </c>
      <c r="Q766" s="36" t="n">
        <v>520</v>
      </c>
      <c r="R766" s="36" t="n">
        <f aca="false">IF(OR(J766="",P766=""),"",K766*N766*P766)</f>
        <v>520</v>
      </c>
      <c r="S766" s="36" t="n">
        <f aca="false">IF(Q766="","",Q766-R766)</f>
        <v>0</v>
      </c>
      <c r="T766" s="36" t="n">
        <f aca="false">IF(S766="","",MAX(0,-S766))</f>
        <v>-0</v>
      </c>
      <c r="U766" s="36" t="n">
        <f aca="false">IF(S766="","",MAX(0,S766))</f>
        <v>0</v>
      </c>
      <c r="V766" s="8" t="str">
        <f aca="false">IF(J766="","NOT SCORED - NO JULY MONTHLY ROW",IF(OR(ABS(L766)&gt;0.005,ABS(O766)&gt;0.005,ABS(S766)&gt;0.005),"EXCEPTION","OK"))</f>
        <v>OK</v>
      </c>
      <c r="W766" s="8" t="s">
        <v>5794</v>
      </c>
      <c r="X766" s="8" t="s">
        <v>4099</v>
      </c>
      <c r="Y766" s="36" t="n">
        <f aca="false">K766*N766</f>
        <v>520</v>
      </c>
    </row>
    <row r="767" customFormat="false" ht="15" hidden="false" customHeight="false" outlineLevel="0" collapsed="false">
      <c r="A767" s="11" t="s">
        <v>5795</v>
      </c>
      <c r="B767" s="11" t="s">
        <v>211</v>
      </c>
      <c r="C767" s="11" t="s">
        <v>5306</v>
      </c>
      <c r="D767" s="11" t="s">
        <v>3905</v>
      </c>
      <c r="E767" s="11" t="s">
        <v>5796</v>
      </c>
      <c r="F767" s="11" t="s">
        <v>5797</v>
      </c>
      <c r="G767" s="11" t="s">
        <v>3654</v>
      </c>
      <c r="H767" s="11" t="n">
        <v>24</v>
      </c>
      <c r="I767" s="31" t="n">
        <v>43.4</v>
      </c>
      <c r="J767" s="31" t="n">
        <v>44</v>
      </c>
      <c r="K767" s="31" t="n">
        <f aca="false">MAX(ROUNDUP(I767,0),H767)</f>
        <v>44</v>
      </c>
      <c r="L767" s="31" t="n">
        <f aca="false">IF(J767="","",J767-K767)</f>
        <v>0</v>
      </c>
      <c r="M767" s="32" t="n">
        <v>10.4</v>
      </c>
      <c r="N767" s="32" t="n">
        <f aca="false">IF(C767="covered",10.4,7.55)</f>
        <v>10.4</v>
      </c>
      <c r="O767" s="32" t="n">
        <f aca="false">IF(M767="","",M767-N767)</f>
        <v>0</v>
      </c>
      <c r="P767" s="11" t="n">
        <v>1</v>
      </c>
      <c r="Q767" s="33" t="n">
        <v>457.6</v>
      </c>
      <c r="R767" s="33" t="n">
        <f aca="false">IF(OR(J767="",P767=""),"",K767*N767*P767)</f>
        <v>457.6</v>
      </c>
      <c r="S767" s="33" t="n">
        <f aca="false">IF(Q767="","",Q767-R767)</f>
        <v>0</v>
      </c>
      <c r="T767" s="33" t="n">
        <f aca="false">IF(S767="","",MAX(0,-S767))</f>
        <v>-0</v>
      </c>
      <c r="U767" s="33" t="n">
        <f aca="false">IF(S767="","",MAX(0,S767))</f>
        <v>0</v>
      </c>
      <c r="V767" s="11" t="str">
        <f aca="false">IF(J767="","NOT SCORED - NO JULY MONTHLY ROW",IF(OR(ABS(L767)&gt;0.005,ABS(O767)&gt;0.005,ABS(S767)&gt;0.005),"EXCEPTION","OK"))</f>
        <v>OK</v>
      </c>
      <c r="W767" s="11" t="s">
        <v>5798</v>
      </c>
      <c r="X767" s="11" t="s">
        <v>4099</v>
      </c>
      <c r="Y767" s="33" t="n">
        <f aca="false">K767*N767</f>
        <v>457.6</v>
      </c>
    </row>
    <row r="768" customFormat="false" ht="15" hidden="false" customHeight="false" outlineLevel="0" collapsed="false">
      <c r="A768" s="8" t="s">
        <v>5799</v>
      </c>
      <c r="B768" s="8" t="s">
        <v>211</v>
      </c>
      <c r="C768" s="8" t="s">
        <v>5306</v>
      </c>
      <c r="D768" s="8" t="s">
        <v>3014</v>
      </c>
      <c r="E768" s="8" t="s">
        <v>5800</v>
      </c>
      <c r="F768" s="8" t="s">
        <v>1227</v>
      </c>
      <c r="G768" s="8" t="s">
        <v>2952</v>
      </c>
      <c r="H768" s="8" t="n">
        <v>32</v>
      </c>
      <c r="I768" s="34" t="n">
        <v>51.4</v>
      </c>
      <c r="J768" s="34" t="n">
        <v>52</v>
      </c>
      <c r="K768" s="34" t="n">
        <f aca="false">MAX(ROUNDUP(I768,0),H768)</f>
        <v>52</v>
      </c>
      <c r="L768" s="34" t="n">
        <f aca="false">IF(J768="","",J768-K768)</f>
        <v>0</v>
      </c>
      <c r="M768" s="35" t="n">
        <v>10.4</v>
      </c>
      <c r="N768" s="35" t="n">
        <f aca="false">IF(C768="covered",10.4,7.55)</f>
        <v>10.4</v>
      </c>
      <c r="O768" s="35" t="n">
        <f aca="false">IF(M768="","",M768-N768)</f>
        <v>0</v>
      </c>
      <c r="P768" s="8" t="n">
        <v>1</v>
      </c>
      <c r="Q768" s="36" t="n">
        <v>540.8</v>
      </c>
      <c r="R768" s="36" t="n">
        <f aca="false">IF(OR(J768="",P768=""),"",K768*N768*P768)</f>
        <v>540.8</v>
      </c>
      <c r="S768" s="36" t="n">
        <f aca="false">IF(Q768="","",Q768-R768)</f>
        <v>0</v>
      </c>
      <c r="T768" s="36" t="n">
        <f aca="false">IF(S768="","",MAX(0,-S768))</f>
        <v>-0</v>
      </c>
      <c r="U768" s="36" t="n">
        <f aca="false">IF(S768="","",MAX(0,S768))</f>
        <v>0</v>
      </c>
      <c r="V768" s="8" t="str">
        <f aca="false">IF(J768="","NOT SCORED - NO JULY MONTHLY ROW",IF(OR(ABS(L768)&gt;0.005,ABS(O768)&gt;0.005,ABS(S768)&gt;0.005),"EXCEPTION","OK"))</f>
        <v>OK</v>
      </c>
      <c r="W768" s="8" t="s">
        <v>5801</v>
      </c>
      <c r="X768" s="8" t="s">
        <v>4099</v>
      </c>
      <c r="Y768" s="36" t="n">
        <f aca="false">K768*N768</f>
        <v>540.8</v>
      </c>
    </row>
    <row r="769" customFormat="false" ht="15" hidden="false" customHeight="false" outlineLevel="0" collapsed="false">
      <c r="A769" s="11" t="s">
        <v>5802</v>
      </c>
      <c r="B769" s="11" t="s">
        <v>211</v>
      </c>
      <c r="C769" s="11" t="s">
        <v>5306</v>
      </c>
      <c r="D769" s="11" t="s">
        <v>3018</v>
      </c>
      <c r="E769" s="11" t="s">
        <v>5803</v>
      </c>
      <c r="F769" s="11" t="s">
        <v>5804</v>
      </c>
      <c r="G769" s="11" t="s">
        <v>5805</v>
      </c>
      <c r="H769" s="11" t="n">
        <v>40</v>
      </c>
      <c r="I769" s="31" t="n">
        <v>58.9</v>
      </c>
      <c r="J769" s="31" t="n">
        <v>59</v>
      </c>
      <c r="K769" s="31" t="n">
        <f aca="false">MAX(ROUNDUP(I769,0),H769)</f>
        <v>59</v>
      </c>
      <c r="L769" s="31" t="n">
        <f aca="false">IF(J769="","",J769-K769)</f>
        <v>0</v>
      </c>
      <c r="M769" s="32" t="n">
        <v>10.4</v>
      </c>
      <c r="N769" s="32" t="n">
        <f aca="false">IF(C769="covered",10.4,7.55)</f>
        <v>10.4</v>
      </c>
      <c r="O769" s="32" t="n">
        <f aca="false">IF(M769="","",M769-N769)</f>
        <v>0</v>
      </c>
      <c r="P769" s="11" t="n">
        <v>1</v>
      </c>
      <c r="Q769" s="33" t="n">
        <v>613.6</v>
      </c>
      <c r="R769" s="33" t="n">
        <f aca="false">IF(OR(J769="",P769=""),"",K769*N769*P769)</f>
        <v>613.6</v>
      </c>
      <c r="S769" s="33" t="n">
        <f aca="false">IF(Q769="","",Q769-R769)</f>
        <v>0</v>
      </c>
      <c r="T769" s="33" t="n">
        <f aca="false">IF(S769="","",MAX(0,-S769))</f>
        <v>-0</v>
      </c>
      <c r="U769" s="33" t="n">
        <f aca="false">IF(S769="","",MAX(0,S769))</f>
        <v>0</v>
      </c>
      <c r="V769" s="11" t="str">
        <f aca="false">IF(J769="","NOT SCORED - NO JULY MONTHLY ROW",IF(OR(ABS(L769)&gt;0.005,ABS(O769)&gt;0.005,ABS(S769)&gt;0.005),"EXCEPTION","OK"))</f>
        <v>OK</v>
      </c>
      <c r="W769" s="11" t="s">
        <v>5806</v>
      </c>
      <c r="X769" s="11" t="s">
        <v>4099</v>
      </c>
      <c r="Y769" s="33" t="n">
        <f aca="false">K769*N769</f>
        <v>613.6</v>
      </c>
    </row>
    <row r="770" customFormat="false" ht="15" hidden="false" customHeight="false" outlineLevel="0" collapsed="false">
      <c r="A770" s="8" t="s">
        <v>5807</v>
      </c>
      <c r="B770" s="8" t="s">
        <v>211</v>
      </c>
      <c r="C770" s="8" t="s">
        <v>5306</v>
      </c>
      <c r="D770" s="8" t="s">
        <v>3023</v>
      </c>
      <c r="E770" s="8" t="s">
        <v>5808</v>
      </c>
      <c r="F770" s="8" t="s">
        <v>5809</v>
      </c>
      <c r="G770" s="8" t="s">
        <v>5810</v>
      </c>
      <c r="H770" s="8" t="n">
        <v>28</v>
      </c>
      <c r="I770" s="34" t="n">
        <v>52.4</v>
      </c>
      <c r="J770" s="34" t="n">
        <v>53</v>
      </c>
      <c r="K770" s="34" t="n">
        <f aca="false">MAX(ROUNDUP(I770,0),H770)</f>
        <v>53</v>
      </c>
      <c r="L770" s="34" t="n">
        <f aca="false">IF(J770="","",J770-K770)</f>
        <v>0</v>
      </c>
      <c r="M770" s="35" t="n">
        <v>10.4</v>
      </c>
      <c r="N770" s="35" t="n">
        <f aca="false">IF(C770="covered",10.4,7.55)</f>
        <v>10.4</v>
      </c>
      <c r="O770" s="35" t="n">
        <f aca="false">IF(M770="","",M770-N770)</f>
        <v>0</v>
      </c>
      <c r="P770" s="8" t="n">
        <v>1</v>
      </c>
      <c r="Q770" s="36" t="n">
        <v>551.2</v>
      </c>
      <c r="R770" s="36" t="n">
        <f aca="false">IF(OR(J770="",P770=""),"",K770*N770*P770)</f>
        <v>551.2</v>
      </c>
      <c r="S770" s="36" t="n">
        <f aca="false">IF(Q770="","",Q770-R770)</f>
        <v>0</v>
      </c>
      <c r="T770" s="36" t="n">
        <f aca="false">IF(S770="","",MAX(0,-S770))</f>
        <v>-0</v>
      </c>
      <c r="U770" s="36" t="n">
        <f aca="false">IF(S770="","",MAX(0,S770))</f>
        <v>0</v>
      </c>
      <c r="V770" s="8" t="str">
        <f aca="false">IF(J770="","NOT SCORED - NO JULY MONTHLY ROW",IF(OR(ABS(L770)&gt;0.005,ABS(O770)&gt;0.005,ABS(S770)&gt;0.005),"EXCEPTION","OK"))</f>
        <v>OK</v>
      </c>
      <c r="W770" s="8" t="s">
        <v>5811</v>
      </c>
      <c r="X770" s="8" t="s">
        <v>4099</v>
      </c>
      <c r="Y770" s="36" t="n">
        <f aca="false">K770*N770</f>
        <v>551.2</v>
      </c>
    </row>
    <row r="771" customFormat="false" ht="15" hidden="false" customHeight="false" outlineLevel="0" collapsed="false">
      <c r="A771" s="11" t="s">
        <v>1718</v>
      </c>
      <c r="B771" s="11" t="s">
        <v>211</v>
      </c>
      <c r="C771" s="11" t="s">
        <v>5306</v>
      </c>
      <c r="D771" s="11" t="s">
        <v>3025</v>
      </c>
      <c r="E771" s="11" t="s">
        <v>2521</v>
      </c>
      <c r="F771" s="11" t="s">
        <v>5812</v>
      </c>
      <c r="G771" s="11" t="s">
        <v>5813</v>
      </c>
      <c r="H771" s="11" t="n">
        <v>24</v>
      </c>
      <c r="I771" s="31" t="n">
        <v>43.6</v>
      </c>
      <c r="J771" s="31" t="n">
        <v>44</v>
      </c>
      <c r="K771" s="31" t="n">
        <f aca="false">MAX(ROUNDUP(I771,0),H771)</f>
        <v>44</v>
      </c>
      <c r="L771" s="31" t="n">
        <f aca="false">IF(J771="","",J771-K771)</f>
        <v>0</v>
      </c>
      <c r="M771" s="32" t="n">
        <v>10.4</v>
      </c>
      <c r="N771" s="32" t="n">
        <f aca="false">IF(C771="covered",10.4,7.55)</f>
        <v>10.4</v>
      </c>
      <c r="O771" s="32" t="n">
        <f aca="false">IF(M771="","",M771-N771)</f>
        <v>0</v>
      </c>
      <c r="P771" s="11" t="n">
        <v>1</v>
      </c>
      <c r="Q771" s="33" t="n">
        <v>457.6</v>
      </c>
      <c r="R771" s="33" t="n">
        <f aca="false">IF(OR(J771="",P771=""),"",K771*N771*P771)</f>
        <v>457.6</v>
      </c>
      <c r="S771" s="33" t="n">
        <f aca="false">IF(Q771="","",Q771-R771)</f>
        <v>0</v>
      </c>
      <c r="T771" s="33" t="n">
        <f aca="false">IF(S771="","",MAX(0,-S771))</f>
        <v>-0</v>
      </c>
      <c r="U771" s="33" t="n">
        <f aca="false">IF(S771="","",MAX(0,S771))</f>
        <v>0</v>
      </c>
      <c r="V771" s="11" t="str">
        <f aca="false">IF(J771="","NOT SCORED - NO JULY MONTHLY ROW",IF(OR(ABS(L771)&gt;0.005,ABS(O771)&gt;0.005,ABS(S771)&gt;0.005),"EXCEPTION","OK"))</f>
        <v>OK</v>
      </c>
      <c r="W771" s="11" t="s">
        <v>5814</v>
      </c>
      <c r="X771" s="11" t="s">
        <v>4099</v>
      </c>
      <c r="Y771" s="33" t="n">
        <f aca="false">K771*N771</f>
        <v>457.6</v>
      </c>
    </row>
    <row r="772" customFormat="false" ht="15" hidden="false" customHeight="false" outlineLevel="0" collapsed="false">
      <c r="A772" s="8" t="s">
        <v>774</v>
      </c>
      <c r="B772" s="8" t="s">
        <v>211</v>
      </c>
      <c r="C772" s="8" t="s">
        <v>5306</v>
      </c>
      <c r="D772" s="8" t="s">
        <v>3030</v>
      </c>
      <c r="E772" s="8" t="s">
        <v>5815</v>
      </c>
      <c r="F772" s="8" t="s">
        <v>5816</v>
      </c>
      <c r="G772" s="8" t="s">
        <v>3144</v>
      </c>
      <c r="H772" s="8" t="n">
        <v>28</v>
      </c>
      <c r="I772" s="34" t="n">
        <v>43.6</v>
      </c>
      <c r="J772" s="34" t="n">
        <v>44</v>
      </c>
      <c r="K772" s="34" t="n">
        <f aca="false">MAX(ROUNDUP(I772,0),H772)</f>
        <v>44</v>
      </c>
      <c r="L772" s="34" t="n">
        <f aca="false">IF(J772="","",J772-K772)</f>
        <v>0</v>
      </c>
      <c r="M772" s="35" t="n">
        <v>10.4</v>
      </c>
      <c r="N772" s="35" t="n">
        <f aca="false">IF(C772="covered",10.4,7.55)</f>
        <v>10.4</v>
      </c>
      <c r="O772" s="35" t="n">
        <f aca="false">IF(M772="","",M772-N772)</f>
        <v>0</v>
      </c>
      <c r="P772" s="8" t="n">
        <v>1</v>
      </c>
      <c r="Q772" s="36" t="n">
        <v>457.6</v>
      </c>
      <c r="R772" s="36" t="n">
        <f aca="false">IF(OR(J772="",P772=""),"",K772*N772*P772)</f>
        <v>457.6</v>
      </c>
      <c r="S772" s="36" t="n">
        <f aca="false">IF(Q772="","",Q772-R772)</f>
        <v>0</v>
      </c>
      <c r="T772" s="36" t="n">
        <f aca="false">IF(S772="","",MAX(0,-S772))</f>
        <v>-0</v>
      </c>
      <c r="U772" s="36" t="n">
        <f aca="false">IF(S772="","",MAX(0,S772))</f>
        <v>0</v>
      </c>
      <c r="V772" s="8" t="str">
        <f aca="false">IF(J772="","NOT SCORED - NO JULY MONTHLY ROW",IF(OR(ABS(L772)&gt;0.005,ABS(O772)&gt;0.005,ABS(S772)&gt;0.005),"EXCEPTION","OK"))</f>
        <v>OK</v>
      </c>
      <c r="W772" s="8" t="s">
        <v>5817</v>
      </c>
      <c r="X772" s="8" t="s">
        <v>4099</v>
      </c>
      <c r="Y772" s="36" t="n">
        <f aca="false">K772*N772</f>
        <v>457.6</v>
      </c>
    </row>
    <row r="773" customFormat="false" ht="15" hidden="false" customHeight="false" outlineLevel="0" collapsed="false">
      <c r="A773" s="11" t="s">
        <v>5818</v>
      </c>
      <c r="B773" s="11" t="s">
        <v>211</v>
      </c>
      <c r="C773" s="11" t="s">
        <v>5306</v>
      </c>
      <c r="D773" s="11" t="s">
        <v>3035</v>
      </c>
      <c r="E773" s="11" t="s">
        <v>5819</v>
      </c>
      <c r="F773" s="11" t="s">
        <v>5820</v>
      </c>
      <c r="G773" s="11" t="s">
        <v>3041</v>
      </c>
      <c r="H773" s="11" t="n">
        <v>28</v>
      </c>
      <c r="I773" s="31" t="n">
        <v>45.6</v>
      </c>
      <c r="J773" s="31" t="n">
        <v>46</v>
      </c>
      <c r="K773" s="31" t="n">
        <f aca="false">MAX(ROUNDUP(I773,0),H773)</f>
        <v>46</v>
      </c>
      <c r="L773" s="31" t="n">
        <f aca="false">IF(J773="","",J773-K773)</f>
        <v>0</v>
      </c>
      <c r="M773" s="32" t="n">
        <v>10.4</v>
      </c>
      <c r="N773" s="32" t="n">
        <f aca="false">IF(C773="covered",10.4,7.55)</f>
        <v>10.4</v>
      </c>
      <c r="O773" s="32" t="n">
        <f aca="false">IF(M773="","",M773-N773)</f>
        <v>0</v>
      </c>
      <c r="P773" s="11" t="n">
        <v>1</v>
      </c>
      <c r="Q773" s="33" t="n">
        <v>478.4</v>
      </c>
      <c r="R773" s="33" t="n">
        <f aca="false">IF(OR(J773="",P773=""),"",K773*N773*P773)</f>
        <v>478.4</v>
      </c>
      <c r="S773" s="33" t="n">
        <f aca="false">IF(Q773="","",Q773-R773)</f>
        <v>0</v>
      </c>
      <c r="T773" s="33" t="n">
        <f aca="false">IF(S773="","",MAX(0,-S773))</f>
        <v>-0</v>
      </c>
      <c r="U773" s="33" t="n">
        <f aca="false">IF(S773="","",MAX(0,S773))</f>
        <v>0</v>
      </c>
      <c r="V773" s="11" t="str">
        <f aca="false">IF(J773="","NOT SCORED - NO JULY MONTHLY ROW",IF(OR(ABS(L773)&gt;0.005,ABS(O773)&gt;0.005,ABS(S773)&gt;0.005),"EXCEPTION","OK"))</f>
        <v>OK</v>
      </c>
      <c r="W773" s="11" t="s">
        <v>5821</v>
      </c>
      <c r="X773" s="11" t="s">
        <v>4099</v>
      </c>
      <c r="Y773" s="33" t="n">
        <f aca="false">K773*N773</f>
        <v>478.4</v>
      </c>
    </row>
    <row r="774" customFormat="false" ht="15" hidden="false" customHeight="false" outlineLevel="0" collapsed="false">
      <c r="A774" s="8" t="s">
        <v>5822</v>
      </c>
      <c r="B774" s="8" t="s">
        <v>211</v>
      </c>
      <c r="C774" s="8" t="s">
        <v>5306</v>
      </c>
      <c r="D774" s="8" t="s">
        <v>3039</v>
      </c>
      <c r="E774" s="8" t="s">
        <v>5823</v>
      </c>
      <c r="F774" s="8" t="s">
        <v>5824</v>
      </c>
      <c r="G774" s="8" t="s">
        <v>3021</v>
      </c>
      <c r="H774" s="8" t="n">
        <v>32</v>
      </c>
      <c r="I774" s="34" t="n">
        <v>43.3</v>
      </c>
      <c r="J774" s="34" t="n">
        <v>44</v>
      </c>
      <c r="K774" s="34" t="n">
        <f aca="false">MAX(ROUNDUP(I774,0),H774)</f>
        <v>44</v>
      </c>
      <c r="L774" s="34" t="n">
        <f aca="false">IF(J774="","",J774-K774)</f>
        <v>0</v>
      </c>
      <c r="M774" s="35" t="n">
        <v>10.4</v>
      </c>
      <c r="N774" s="35" t="n">
        <f aca="false">IF(C774="covered",10.4,7.55)</f>
        <v>10.4</v>
      </c>
      <c r="O774" s="35" t="n">
        <f aca="false">IF(M774="","",M774-N774)</f>
        <v>0</v>
      </c>
      <c r="P774" s="8" t="n">
        <v>1</v>
      </c>
      <c r="Q774" s="36" t="n">
        <v>457.6</v>
      </c>
      <c r="R774" s="36" t="n">
        <f aca="false">IF(OR(J774="",P774=""),"",K774*N774*P774)</f>
        <v>457.6</v>
      </c>
      <c r="S774" s="36" t="n">
        <f aca="false">IF(Q774="","",Q774-R774)</f>
        <v>0</v>
      </c>
      <c r="T774" s="36" t="n">
        <f aca="false">IF(S774="","",MAX(0,-S774))</f>
        <v>-0</v>
      </c>
      <c r="U774" s="36" t="n">
        <f aca="false">IF(S774="","",MAX(0,S774))</f>
        <v>0</v>
      </c>
      <c r="V774" s="8" t="str">
        <f aca="false">IF(J774="","NOT SCORED - NO JULY MONTHLY ROW",IF(OR(ABS(L774)&gt;0.005,ABS(O774)&gt;0.005,ABS(S774)&gt;0.005),"EXCEPTION","OK"))</f>
        <v>OK</v>
      </c>
      <c r="W774" s="8" t="s">
        <v>5825</v>
      </c>
      <c r="X774" s="8" t="s">
        <v>4099</v>
      </c>
      <c r="Y774" s="36" t="n">
        <f aca="false">K774*N774</f>
        <v>457.6</v>
      </c>
    </row>
    <row r="775" customFormat="false" ht="15" hidden="false" customHeight="false" outlineLevel="0" collapsed="false">
      <c r="A775" s="11" t="s">
        <v>5826</v>
      </c>
      <c r="B775" s="11" t="s">
        <v>211</v>
      </c>
      <c r="C775" s="11" t="s">
        <v>5306</v>
      </c>
      <c r="D775" s="11" t="s">
        <v>3932</v>
      </c>
      <c r="E775" s="11" t="s">
        <v>1386</v>
      </c>
      <c r="F775" s="11" t="s">
        <v>1387</v>
      </c>
      <c r="G775" s="11" t="s">
        <v>5827</v>
      </c>
      <c r="H775" s="11" t="n">
        <v>28</v>
      </c>
      <c r="I775" s="31" t="n">
        <v>45.7</v>
      </c>
      <c r="J775" s="31" t="n">
        <v>46</v>
      </c>
      <c r="K775" s="31" t="n">
        <f aca="false">MAX(ROUNDUP(I775,0),H775)</f>
        <v>46</v>
      </c>
      <c r="L775" s="31" t="n">
        <f aca="false">IF(J775="","",J775-K775)</f>
        <v>0</v>
      </c>
      <c r="M775" s="32" t="n">
        <v>10.4</v>
      </c>
      <c r="N775" s="32" t="n">
        <f aca="false">IF(C775="covered",10.4,7.55)</f>
        <v>10.4</v>
      </c>
      <c r="O775" s="32" t="n">
        <f aca="false">IF(M775="","",M775-N775)</f>
        <v>0</v>
      </c>
      <c r="P775" s="11" t="n">
        <v>1</v>
      </c>
      <c r="Q775" s="33" t="n">
        <v>478.4</v>
      </c>
      <c r="R775" s="33" t="n">
        <f aca="false">IF(OR(J775="",P775=""),"",K775*N775*P775)</f>
        <v>478.4</v>
      </c>
      <c r="S775" s="33" t="n">
        <f aca="false">IF(Q775="","",Q775-R775)</f>
        <v>0</v>
      </c>
      <c r="T775" s="33" t="n">
        <f aca="false">IF(S775="","",MAX(0,-S775))</f>
        <v>-0</v>
      </c>
      <c r="U775" s="33" t="n">
        <f aca="false">IF(S775="","",MAX(0,S775))</f>
        <v>0</v>
      </c>
      <c r="V775" s="11" t="str">
        <f aca="false">IF(J775="","NOT SCORED - NO JULY MONTHLY ROW",IF(OR(ABS(L775)&gt;0.005,ABS(O775)&gt;0.005,ABS(S775)&gt;0.005),"EXCEPTION","OK"))</f>
        <v>OK</v>
      </c>
      <c r="W775" s="11" t="s">
        <v>5828</v>
      </c>
      <c r="X775" s="11" t="s">
        <v>4099</v>
      </c>
      <c r="Y775" s="33" t="n">
        <f aca="false">K775*N775</f>
        <v>478.4</v>
      </c>
    </row>
    <row r="776" customFormat="false" ht="15" hidden="false" customHeight="false" outlineLevel="0" collapsed="false">
      <c r="A776" s="8" t="s">
        <v>5829</v>
      </c>
      <c r="B776" s="8" t="s">
        <v>211</v>
      </c>
      <c r="C776" s="8" t="s">
        <v>5306</v>
      </c>
      <c r="D776" s="8" t="s">
        <v>3043</v>
      </c>
      <c r="E776" s="8" t="s">
        <v>5830</v>
      </c>
      <c r="F776" s="8" t="s">
        <v>5831</v>
      </c>
      <c r="G776" s="8" t="s">
        <v>5832</v>
      </c>
      <c r="H776" s="8" t="n">
        <v>28</v>
      </c>
      <c r="I776" s="34" t="n">
        <v>33.7</v>
      </c>
      <c r="J776" s="34" t="n">
        <v>34</v>
      </c>
      <c r="K776" s="34" t="n">
        <f aca="false">MAX(ROUNDUP(I776,0),H776)</f>
        <v>34</v>
      </c>
      <c r="L776" s="34" t="n">
        <f aca="false">IF(J776="","",J776-K776)</f>
        <v>0</v>
      </c>
      <c r="M776" s="35" t="n">
        <v>10.4</v>
      </c>
      <c r="N776" s="35" t="n">
        <f aca="false">IF(C776="covered",10.4,7.55)</f>
        <v>10.4</v>
      </c>
      <c r="O776" s="35" t="n">
        <f aca="false">IF(M776="","",M776-N776)</f>
        <v>0</v>
      </c>
      <c r="P776" s="8" t="n">
        <v>1</v>
      </c>
      <c r="Q776" s="36" t="n">
        <v>353.6</v>
      </c>
      <c r="R776" s="36" t="n">
        <f aca="false">IF(OR(J776="",P776=""),"",K776*N776*P776)</f>
        <v>353.6</v>
      </c>
      <c r="S776" s="36" t="n">
        <f aca="false">IF(Q776="","",Q776-R776)</f>
        <v>0</v>
      </c>
      <c r="T776" s="36" t="n">
        <f aca="false">IF(S776="","",MAX(0,-S776))</f>
        <v>-0</v>
      </c>
      <c r="U776" s="36" t="n">
        <f aca="false">IF(S776="","",MAX(0,S776))</f>
        <v>0</v>
      </c>
      <c r="V776" s="8" t="str">
        <f aca="false">IF(J776="","NOT SCORED - NO JULY MONTHLY ROW",IF(OR(ABS(L776)&gt;0.005,ABS(O776)&gt;0.005,ABS(S776)&gt;0.005),"EXCEPTION","OK"))</f>
        <v>OK</v>
      </c>
      <c r="W776" s="8" t="s">
        <v>5833</v>
      </c>
      <c r="X776" s="8" t="s">
        <v>4099</v>
      </c>
      <c r="Y776" s="36" t="n">
        <f aca="false">K776*N776</f>
        <v>353.6</v>
      </c>
    </row>
    <row r="777" customFormat="false" ht="15" hidden="false" customHeight="false" outlineLevel="0" collapsed="false">
      <c r="A777" s="11" t="s">
        <v>5834</v>
      </c>
      <c r="B777" s="11" t="s">
        <v>211</v>
      </c>
      <c r="C777" s="11" t="s">
        <v>5306</v>
      </c>
      <c r="D777" s="11" t="s">
        <v>3048</v>
      </c>
      <c r="E777" s="11" t="s">
        <v>5835</v>
      </c>
      <c r="F777" s="11" t="s">
        <v>5836</v>
      </c>
      <c r="G777" s="11" t="s">
        <v>5837</v>
      </c>
      <c r="H777" s="11" t="n">
        <v>36</v>
      </c>
      <c r="I777" s="31" t="n">
        <v>43.4</v>
      </c>
      <c r="J777" s="31" t="n">
        <v>44</v>
      </c>
      <c r="K777" s="31" t="n">
        <f aca="false">MAX(ROUNDUP(I777,0),H777)</f>
        <v>44</v>
      </c>
      <c r="L777" s="31" t="n">
        <f aca="false">IF(J777="","",J777-K777)</f>
        <v>0</v>
      </c>
      <c r="M777" s="32" t="n">
        <v>10.4</v>
      </c>
      <c r="N777" s="32" t="n">
        <f aca="false">IF(C777="covered",10.4,7.55)</f>
        <v>10.4</v>
      </c>
      <c r="O777" s="32" t="n">
        <f aca="false">IF(M777="","",M777-N777)</f>
        <v>0</v>
      </c>
      <c r="P777" s="11" t="n">
        <v>1</v>
      </c>
      <c r="Q777" s="33" t="n">
        <v>457.6</v>
      </c>
      <c r="R777" s="33" t="n">
        <f aca="false">IF(OR(J777="",P777=""),"",K777*N777*P777)</f>
        <v>457.6</v>
      </c>
      <c r="S777" s="33" t="n">
        <f aca="false">IF(Q777="","",Q777-R777)</f>
        <v>0</v>
      </c>
      <c r="T777" s="33" t="n">
        <f aca="false">IF(S777="","",MAX(0,-S777))</f>
        <v>-0</v>
      </c>
      <c r="U777" s="33" t="n">
        <f aca="false">IF(S777="","",MAX(0,S777))</f>
        <v>0</v>
      </c>
      <c r="V777" s="11" t="str">
        <f aca="false">IF(J777="","NOT SCORED - NO JULY MONTHLY ROW",IF(OR(ABS(L777)&gt;0.005,ABS(O777)&gt;0.005,ABS(S777)&gt;0.005),"EXCEPTION","OK"))</f>
        <v>OK</v>
      </c>
      <c r="W777" s="11" t="s">
        <v>5838</v>
      </c>
      <c r="X777" s="11" t="s">
        <v>4099</v>
      </c>
      <c r="Y777" s="33" t="n">
        <f aca="false">K777*N777</f>
        <v>457.6</v>
      </c>
    </row>
    <row r="778" customFormat="false" ht="15" hidden="false" customHeight="false" outlineLevel="0" collapsed="false">
      <c r="A778" s="8" t="s">
        <v>5839</v>
      </c>
      <c r="B778" s="8" t="s">
        <v>211</v>
      </c>
      <c r="C778" s="8" t="s">
        <v>5306</v>
      </c>
      <c r="D778" s="8" t="s">
        <v>3053</v>
      </c>
      <c r="E778" s="8" t="s">
        <v>5840</v>
      </c>
      <c r="F778" s="8" t="s">
        <v>5841</v>
      </c>
      <c r="G778" s="8" t="s">
        <v>5813</v>
      </c>
      <c r="H778" s="8" t="n">
        <v>36</v>
      </c>
      <c r="I778" s="34" t="n">
        <v>36.1</v>
      </c>
      <c r="J778" s="34" t="n">
        <v>37</v>
      </c>
      <c r="K778" s="34" t="n">
        <f aca="false">MAX(ROUNDUP(I778,0),H778)</f>
        <v>37</v>
      </c>
      <c r="L778" s="34" t="n">
        <f aca="false">IF(J778="","",J778-K778)</f>
        <v>0</v>
      </c>
      <c r="M778" s="35" t="n">
        <v>10.4</v>
      </c>
      <c r="N778" s="35" t="n">
        <f aca="false">IF(C778="covered",10.4,7.55)</f>
        <v>10.4</v>
      </c>
      <c r="O778" s="35" t="n">
        <f aca="false">IF(M778="","",M778-N778)</f>
        <v>0</v>
      </c>
      <c r="P778" s="8" t="n">
        <v>1</v>
      </c>
      <c r="Q778" s="36" t="n">
        <v>384.8</v>
      </c>
      <c r="R778" s="36" t="n">
        <f aca="false">IF(OR(J778="",P778=""),"",K778*N778*P778)</f>
        <v>384.8</v>
      </c>
      <c r="S778" s="36" t="n">
        <f aca="false">IF(Q778="","",Q778-R778)</f>
        <v>0</v>
      </c>
      <c r="T778" s="36" t="n">
        <f aca="false">IF(S778="","",MAX(0,-S778))</f>
        <v>-0</v>
      </c>
      <c r="U778" s="36" t="n">
        <f aca="false">IF(S778="","",MAX(0,S778))</f>
        <v>0</v>
      </c>
      <c r="V778" s="8" t="str">
        <f aca="false">IF(J778="","NOT SCORED - NO JULY MONTHLY ROW",IF(OR(ABS(L778)&gt;0.005,ABS(O778)&gt;0.005,ABS(S778)&gt;0.005),"EXCEPTION","OK"))</f>
        <v>OK</v>
      </c>
      <c r="W778" s="8" t="s">
        <v>5842</v>
      </c>
      <c r="X778" s="8" t="s">
        <v>4099</v>
      </c>
      <c r="Y778" s="36" t="n">
        <f aca="false">K778*N778</f>
        <v>384.8</v>
      </c>
    </row>
    <row r="779" customFormat="false" ht="15" hidden="false" customHeight="false" outlineLevel="0" collapsed="false">
      <c r="A779" s="11" t="s">
        <v>5843</v>
      </c>
      <c r="B779" s="11" t="s">
        <v>211</v>
      </c>
      <c r="C779" s="11" t="s">
        <v>5306</v>
      </c>
      <c r="D779" s="11" t="s">
        <v>3056</v>
      </c>
      <c r="E779" s="11" t="s">
        <v>5844</v>
      </c>
      <c r="F779" s="11" t="s">
        <v>5845</v>
      </c>
      <c r="G779" s="11" t="s">
        <v>3544</v>
      </c>
      <c r="H779" s="11" t="n">
        <v>40</v>
      </c>
      <c r="I779" s="31" t="n">
        <v>39.1</v>
      </c>
      <c r="J779" s="31" t="n">
        <v>40</v>
      </c>
      <c r="K779" s="31" t="n">
        <f aca="false">MAX(ROUNDUP(I779,0),H779)</f>
        <v>40</v>
      </c>
      <c r="L779" s="31" t="n">
        <f aca="false">IF(J779="","",J779-K779)</f>
        <v>0</v>
      </c>
      <c r="M779" s="32" t="n">
        <v>10.4</v>
      </c>
      <c r="N779" s="32" t="n">
        <f aca="false">IF(C779="covered",10.4,7.55)</f>
        <v>10.4</v>
      </c>
      <c r="O779" s="32" t="n">
        <f aca="false">IF(M779="","",M779-N779)</f>
        <v>0</v>
      </c>
      <c r="P779" s="11" t="n">
        <v>1</v>
      </c>
      <c r="Q779" s="33" t="n">
        <v>416</v>
      </c>
      <c r="R779" s="33" t="n">
        <f aca="false">IF(OR(J779="",P779=""),"",K779*N779*P779)</f>
        <v>416</v>
      </c>
      <c r="S779" s="33" t="n">
        <f aca="false">IF(Q779="","",Q779-R779)</f>
        <v>0</v>
      </c>
      <c r="T779" s="33" t="n">
        <f aca="false">IF(S779="","",MAX(0,-S779))</f>
        <v>-0</v>
      </c>
      <c r="U779" s="33" t="n">
        <f aca="false">IF(S779="","",MAX(0,S779))</f>
        <v>0</v>
      </c>
      <c r="V779" s="11" t="str">
        <f aca="false">IF(J779="","NOT SCORED - NO JULY MONTHLY ROW",IF(OR(ABS(L779)&gt;0.005,ABS(O779)&gt;0.005,ABS(S779)&gt;0.005),"EXCEPTION","OK"))</f>
        <v>OK</v>
      </c>
      <c r="W779" s="11" t="s">
        <v>5846</v>
      </c>
      <c r="X779" s="11" t="s">
        <v>4099</v>
      </c>
      <c r="Y779" s="33" t="n">
        <f aca="false">K779*N779</f>
        <v>416</v>
      </c>
    </row>
    <row r="780" customFormat="false" ht="15" hidden="false" customHeight="false" outlineLevel="0" collapsed="false">
      <c r="A780" s="8" t="s">
        <v>5847</v>
      </c>
      <c r="B780" s="8" t="s">
        <v>211</v>
      </c>
      <c r="C780" s="8" t="s">
        <v>5306</v>
      </c>
      <c r="D780" s="8" t="s">
        <v>3061</v>
      </c>
      <c r="E780" s="8" t="s">
        <v>5848</v>
      </c>
      <c r="F780" s="8" t="s">
        <v>5849</v>
      </c>
      <c r="G780" s="8" t="s">
        <v>3673</v>
      </c>
      <c r="H780" s="8" t="n">
        <v>24</v>
      </c>
      <c r="I780" s="34" t="n">
        <v>31.9</v>
      </c>
      <c r="J780" s="34" t="n">
        <v>32</v>
      </c>
      <c r="K780" s="34" t="n">
        <f aca="false">MAX(ROUNDUP(I780,0),H780)</f>
        <v>32</v>
      </c>
      <c r="L780" s="34" t="n">
        <f aca="false">IF(J780="","",J780-K780)</f>
        <v>0</v>
      </c>
      <c r="M780" s="35" t="n">
        <v>10.4</v>
      </c>
      <c r="N780" s="35" t="n">
        <f aca="false">IF(C780="covered",10.4,7.55)</f>
        <v>10.4</v>
      </c>
      <c r="O780" s="35" t="n">
        <f aca="false">IF(M780="","",M780-N780)</f>
        <v>0</v>
      </c>
      <c r="P780" s="8" t="n">
        <v>1</v>
      </c>
      <c r="Q780" s="36" t="n">
        <v>332.8</v>
      </c>
      <c r="R780" s="36" t="n">
        <f aca="false">IF(OR(J780="",P780=""),"",K780*N780*P780)</f>
        <v>332.8</v>
      </c>
      <c r="S780" s="36" t="n">
        <f aca="false">IF(Q780="","",Q780-R780)</f>
        <v>0</v>
      </c>
      <c r="T780" s="36" t="n">
        <f aca="false">IF(S780="","",MAX(0,-S780))</f>
        <v>-0</v>
      </c>
      <c r="U780" s="36" t="n">
        <f aca="false">IF(S780="","",MAX(0,S780))</f>
        <v>0</v>
      </c>
      <c r="V780" s="8" t="str">
        <f aca="false">IF(J780="","NOT SCORED - NO JULY MONTHLY ROW",IF(OR(ABS(L780)&gt;0.005,ABS(O780)&gt;0.005,ABS(S780)&gt;0.005),"EXCEPTION","OK"))</f>
        <v>OK</v>
      </c>
      <c r="W780" s="8" t="s">
        <v>5850</v>
      </c>
      <c r="X780" s="8" t="s">
        <v>4099</v>
      </c>
      <c r="Y780" s="36" t="n">
        <f aca="false">K780*N780</f>
        <v>332.8</v>
      </c>
    </row>
    <row r="781" customFormat="false" ht="15" hidden="false" customHeight="false" outlineLevel="0" collapsed="false">
      <c r="A781" s="11" t="s">
        <v>1293</v>
      </c>
      <c r="B781" s="11" t="s">
        <v>211</v>
      </c>
      <c r="C781" s="11" t="s">
        <v>5306</v>
      </c>
      <c r="D781" s="11" t="s">
        <v>3066</v>
      </c>
      <c r="E781" s="11" t="s">
        <v>5851</v>
      </c>
      <c r="F781" s="11" t="s">
        <v>5852</v>
      </c>
      <c r="G781" s="11" t="s">
        <v>5853</v>
      </c>
      <c r="H781" s="11" t="n">
        <v>32</v>
      </c>
      <c r="I781" s="31" t="n">
        <v>55.9</v>
      </c>
      <c r="J781" s="31" t="n">
        <v>56</v>
      </c>
      <c r="K781" s="31" t="n">
        <f aca="false">MAX(ROUNDUP(I781,0),H781)</f>
        <v>56</v>
      </c>
      <c r="L781" s="31" t="n">
        <f aca="false">IF(J781="","",J781-K781)</f>
        <v>0</v>
      </c>
      <c r="M781" s="32" t="n">
        <v>10.4</v>
      </c>
      <c r="N781" s="32" t="n">
        <f aca="false">IF(C781="covered",10.4,7.55)</f>
        <v>10.4</v>
      </c>
      <c r="O781" s="32" t="n">
        <f aca="false">IF(M781="","",M781-N781)</f>
        <v>0</v>
      </c>
      <c r="P781" s="11" t="n">
        <v>1</v>
      </c>
      <c r="Q781" s="33" t="n">
        <v>582.4</v>
      </c>
      <c r="R781" s="33" t="n">
        <f aca="false">IF(OR(J781="",P781=""),"",K781*N781*P781)</f>
        <v>582.4</v>
      </c>
      <c r="S781" s="33" t="n">
        <f aca="false">IF(Q781="","",Q781-R781)</f>
        <v>0</v>
      </c>
      <c r="T781" s="33" t="n">
        <f aca="false">IF(S781="","",MAX(0,-S781))</f>
        <v>-0</v>
      </c>
      <c r="U781" s="33" t="n">
        <f aca="false">IF(S781="","",MAX(0,S781))</f>
        <v>0</v>
      </c>
      <c r="V781" s="11" t="str">
        <f aca="false">IF(J781="","NOT SCORED - NO JULY MONTHLY ROW",IF(OR(ABS(L781)&gt;0.005,ABS(O781)&gt;0.005,ABS(S781)&gt;0.005),"EXCEPTION","OK"))</f>
        <v>OK</v>
      </c>
      <c r="W781" s="11" t="s">
        <v>5854</v>
      </c>
      <c r="X781" s="11" t="s">
        <v>4099</v>
      </c>
      <c r="Y781" s="33" t="n">
        <f aca="false">K781*N781</f>
        <v>582.4</v>
      </c>
    </row>
    <row r="782" customFormat="false" ht="15" hidden="false" customHeight="false" outlineLevel="0" collapsed="false">
      <c r="A782" s="8" t="s">
        <v>5855</v>
      </c>
      <c r="B782" s="8" t="s">
        <v>211</v>
      </c>
      <c r="C782" s="8" t="s">
        <v>5306</v>
      </c>
      <c r="D782" s="8" t="s">
        <v>3071</v>
      </c>
      <c r="E782" s="8" t="s">
        <v>5856</v>
      </c>
      <c r="F782" s="8" t="s">
        <v>5857</v>
      </c>
      <c r="G782" s="8" t="s">
        <v>5858</v>
      </c>
      <c r="H782" s="8" t="n">
        <v>24</v>
      </c>
      <c r="I782" s="34" t="n">
        <v>40.5</v>
      </c>
      <c r="J782" s="34" t="n">
        <v>41</v>
      </c>
      <c r="K782" s="34" t="n">
        <f aca="false">MAX(ROUNDUP(I782,0),H782)</f>
        <v>41</v>
      </c>
      <c r="L782" s="34" t="n">
        <f aca="false">IF(J782="","",J782-K782)</f>
        <v>0</v>
      </c>
      <c r="M782" s="35" t="n">
        <v>10.4</v>
      </c>
      <c r="N782" s="35" t="n">
        <f aca="false">IF(C782="covered",10.4,7.55)</f>
        <v>10.4</v>
      </c>
      <c r="O782" s="35" t="n">
        <f aca="false">IF(M782="","",M782-N782)</f>
        <v>0</v>
      </c>
      <c r="P782" s="8" t="n">
        <v>1</v>
      </c>
      <c r="Q782" s="36" t="n">
        <v>426.4</v>
      </c>
      <c r="R782" s="36" t="n">
        <f aca="false">IF(OR(J782="",P782=""),"",K782*N782*P782)</f>
        <v>426.4</v>
      </c>
      <c r="S782" s="36" t="n">
        <f aca="false">IF(Q782="","",Q782-R782)</f>
        <v>0</v>
      </c>
      <c r="T782" s="36" t="n">
        <f aca="false">IF(S782="","",MAX(0,-S782))</f>
        <v>-0</v>
      </c>
      <c r="U782" s="36" t="n">
        <f aca="false">IF(S782="","",MAX(0,S782))</f>
        <v>0</v>
      </c>
      <c r="V782" s="8" t="str">
        <f aca="false">IF(J782="","NOT SCORED - NO JULY MONTHLY ROW",IF(OR(ABS(L782)&gt;0.005,ABS(O782)&gt;0.005,ABS(S782)&gt;0.005),"EXCEPTION","OK"))</f>
        <v>OK</v>
      </c>
      <c r="W782" s="8" t="s">
        <v>5859</v>
      </c>
      <c r="X782" s="8" t="s">
        <v>4099</v>
      </c>
      <c r="Y782" s="36" t="n">
        <f aca="false">K782*N782</f>
        <v>426.4</v>
      </c>
    </row>
    <row r="783" customFormat="false" ht="15" hidden="false" customHeight="false" outlineLevel="0" collapsed="false">
      <c r="A783" s="11" t="s">
        <v>5860</v>
      </c>
      <c r="B783" s="11" t="s">
        <v>211</v>
      </c>
      <c r="C783" s="11" t="s">
        <v>5306</v>
      </c>
      <c r="D783" s="11" t="s">
        <v>3076</v>
      </c>
      <c r="E783" s="11" t="s">
        <v>5861</v>
      </c>
      <c r="F783" s="11" t="s">
        <v>5862</v>
      </c>
      <c r="G783" s="11" t="s">
        <v>5863</v>
      </c>
      <c r="H783" s="11" t="n">
        <v>24</v>
      </c>
      <c r="I783" s="31" t="n">
        <v>55.2</v>
      </c>
      <c r="J783" s="31" t="n">
        <v>56</v>
      </c>
      <c r="K783" s="31" t="n">
        <f aca="false">MAX(ROUNDUP(I783,0),H783)</f>
        <v>56</v>
      </c>
      <c r="L783" s="31" t="n">
        <f aca="false">IF(J783="","",J783-K783)</f>
        <v>0</v>
      </c>
      <c r="M783" s="32" t="n">
        <v>10.4</v>
      </c>
      <c r="N783" s="32" t="n">
        <f aca="false">IF(C783="covered",10.4,7.55)</f>
        <v>10.4</v>
      </c>
      <c r="O783" s="32" t="n">
        <f aca="false">IF(M783="","",M783-N783)</f>
        <v>0</v>
      </c>
      <c r="P783" s="11" t="n">
        <v>1</v>
      </c>
      <c r="Q783" s="33" t="n">
        <v>582.4</v>
      </c>
      <c r="R783" s="33" t="n">
        <f aca="false">IF(OR(J783="",P783=""),"",K783*N783*P783)</f>
        <v>582.4</v>
      </c>
      <c r="S783" s="33" t="n">
        <f aca="false">IF(Q783="","",Q783-R783)</f>
        <v>0</v>
      </c>
      <c r="T783" s="33" t="n">
        <f aca="false">IF(S783="","",MAX(0,-S783))</f>
        <v>-0</v>
      </c>
      <c r="U783" s="33" t="n">
        <f aca="false">IF(S783="","",MAX(0,S783))</f>
        <v>0</v>
      </c>
      <c r="V783" s="11" t="str">
        <f aca="false">IF(J783="","NOT SCORED - NO JULY MONTHLY ROW",IF(OR(ABS(L783)&gt;0.005,ABS(O783)&gt;0.005,ABS(S783)&gt;0.005),"EXCEPTION","OK"))</f>
        <v>OK</v>
      </c>
      <c r="W783" s="11" t="s">
        <v>5864</v>
      </c>
      <c r="X783" s="11" t="s">
        <v>4099</v>
      </c>
      <c r="Y783" s="33" t="n">
        <f aca="false">K783*N783</f>
        <v>582.4</v>
      </c>
    </row>
    <row r="784" customFormat="false" ht="15" hidden="false" customHeight="false" outlineLevel="0" collapsed="false">
      <c r="A784" s="8" t="s">
        <v>5865</v>
      </c>
      <c r="B784" s="8" t="s">
        <v>211</v>
      </c>
      <c r="C784" s="8" t="s">
        <v>5306</v>
      </c>
      <c r="D784" s="8" t="s">
        <v>3958</v>
      </c>
      <c r="E784" s="8" t="s">
        <v>5866</v>
      </c>
      <c r="F784" s="8" t="s">
        <v>5867</v>
      </c>
      <c r="G784" s="8" t="s">
        <v>5858</v>
      </c>
      <c r="H784" s="8" t="n">
        <v>32</v>
      </c>
      <c r="I784" s="34" t="n">
        <v>25.4</v>
      </c>
      <c r="J784" s="34" t="n">
        <v>32</v>
      </c>
      <c r="K784" s="34" t="n">
        <f aca="false">MAX(ROUNDUP(I784,0),H784)</f>
        <v>32</v>
      </c>
      <c r="L784" s="34" t="n">
        <f aca="false">IF(J784="","",J784-K784)</f>
        <v>0</v>
      </c>
      <c r="M784" s="35" t="n">
        <v>10.4</v>
      </c>
      <c r="N784" s="35" t="n">
        <f aca="false">IF(C784="covered",10.4,7.55)</f>
        <v>10.4</v>
      </c>
      <c r="O784" s="35" t="n">
        <f aca="false">IF(M784="","",M784-N784)</f>
        <v>0</v>
      </c>
      <c r="P784" s="8" t="n">
        <v>1</v>
      </c>
      <c r="Q784" s="36" t="n">
        <v>332.8</v>
      </c>
      <c r="R784" s="36" t="n">
        <f aca="false">IF(OR(J784="",P784=""),"",K784*N784*P784)</f>
        <v>332.8</v>
      </c>
      <c r="S784" s="36" t="n">
        <f aca="false">IF(Q784="","",Q784-R784)</f>
        <v>0</v>
      </c>
      <c r="T784" s="36" t="n">
        <f aca="false">IF(S784="","",MAX(0,-S784))</f>
        <v>-0</v>
      </c>
      <c r="U784" s="36" t="n">
        <f aca="false">IF(S784="","",MAX(0,S784))</f>
        <v>0</v>
      </c>
      <c r="V784" s="8" t="str">
        <f aca="false">IF(J784="","NOT SCORED - NO JULY MONTHLY ROW",IF(OR(ABS(L784)&gt;0.005,ABS(O784)&gt;0.005,ABS(S784)&gt;0.005),"EXCEPTION","OK"))</f>
        <v>OK</v>
      </c>
      <c r="W784" s="8" t="s">
        <v>5868</v>
      </c>
      <c r="X784" s="8" t="s">
        <v>4099</v>
      </c>
      <c r="Y784" s="36" t="n">
        <f aca="false">K784*N784</f>
        <v>332.8</v>
      </c>
    </row>
    <row r="785" customFormat="false" ht="15" hidden="false" customHeight="false" outlineLevel="0" collapsed="false">
      <c r="A785" s="11" t="s">
        <v>5869</v>
      </c>
      <c r="B785" s="11" t="s">
        <v>211</v>
      </c>
      <c r="C785" s="11" t="s">
        <v>5306</v>
      </c>
      <c r="D785" s="11" t="s">
        <v>3080</v>
      </c>
      <c r="E785" s="11" t="s">
        <v>2183</v>
      </c>
      <c r="F785" s="11" t="s">
        <v>5870</v>
      </c>
      <c r="G785" s="11" t="s">
        <v>3544</v>
      </c>
      <c r="H785" s="11" t="n">
        <v>32</v>
      </c>
      <c r="I785" s="31" t="n">
        <v>32.7</v>
      </c>
      <c r="J785" s="31" t="n">
        <v>33</v>
      </c>
      <c r="K785" s="31" t="n">
        <f aca="false">MAX(ROUNDUP(I785,0),H785)</f>
        <v>33</v>
      </c>
      <c r="L785" s="31" t="n">
        <f aca="false">IF(J785="","",J785-K785)</f>
        <v>0</v>
      </c>
      <c r="M785" s="32" t="n">
        <v>10.4</v>
      </c>
      <c r="N785" s="32" t="n">
        <f aca="false">IF(C785="covered",10.4,7.55)</f>
        <v>10.4</v>
      </c>
      <c r="O785" s="32" t="n">
        <f aca="false">IF(M785="","",M785-N785)</f>
        <v>0</v>
      </c>
      <c r="P785" s="11" t="n">
        <v>1</v>
      </c>
      <c r="Q785" s="33" t="n">
        <v>343.2</v>
      </c>
      <c r="R785" s="33" t="n">
        <f aca="false">IF(OR(J785="",P785=""),"",K785*N785*P785)</f>
        <v>343.2</v>
      </c>
      <c r="S785" s="33" t="n">
        <f aca="false">IF(Q785="","",Q785-R785)</f>
        <v>0</v>
      </c>
      <c r="T785" s="33" t="n">
        <f aca="false">IF(S785="","",MAX(0,-S785))</f>
        <v>-0</v>
      </c>
      <c r="U785" s="33" t="n">
        <f aca="false">IF(S785="","",MAX(0,S785))</f>
        <v>0</v>
      </c>
      <c r="V785" s="11" t="str">
        <f aca="false">IF(J785="","NOT SCORED - NO JULY MONTHLY ROW",IF(OR(ABS(L785)&gt;0.005,ABS(O785)&gt;0.005,ABS(S785)&gt;0.005),"EXCEPTION","OK"))</f>
        <v>OK</v>
      </c>
      <c r="W785" s="11" t="s">
        <v>5871</v>
      </c>
      <c r="X785" s="11" t="s">
        <v>4099</v>
      </c>
      <c r="Y785" s="33" t="n">
        <f aca="false">K785*N785</f>
        <v>343.2</v>
      </c>
    </row>
    <row r="786" customFormat="false" ht="15" hidden="false" customHeight="false" outlineLevel="0" collapsed="false">
      <c r="A786" s="8" t="s">
        <v>5872</v>
      </c>
      <c r="B786" s="8" t="s">
        <v>211</v>
      </c>
      <c r="C786" s="8" t="s">
        <v>5306</v>
      </c>
      <c r="D786" s="8" t="s">
        <v>3084</v>
      </c>
      <c r="E786" s="8" t="s">
        <v>5873</v>
      </c>
      <c r="F786" s="8" t="s">
        <v>5874</v>
      </c>
      <c r="G786" s="8" t="s">
        <v>5399</v>
      </c>
      <c r="H786" s="8" t="n">
        <v>32</v>
      </c>
      <c r="I786" s="34" t="n">
        <v>53.5</v>
      </c>
      <c r="J786" s="34" t="n">
        <v>54</v>
      </c>
      <c r="K786" s="34" t="n">
        <f aca="false">MAX(ROUNDUP(I786,0),H786)</f>
        <v>54</v>
      </c>
      <c r="L786" s="34" t="n">
        <f aca="false">IF(J786="","",J786-K786)</f>
        <v>0</v>
      </c>
      <c r="M786" s="35" t="n">
        <v>10.4</v>
      </c>
      <c r="N786" s="35" t="n">
        <f aca="false">IF(C786="covered",10.4,7.55)</f>
        <v>10.4</v>
      </c>
      <c r="O786" s="35" t="n">
        <f aca="false">IF(M786="","",M786-N786)</f>
        <v>0</v>
      </c>
      <c r="P786" s="8" t="n">
        <v>1</v>
      </c>
      <c r="Q786" s="36" t="n">
        <v>561.6</v>
      </c>
      <c r="R786" s="36" t="n">
        <f aca="false">IF(OR(J786="",P786=""),"",K786*N786*P786)</f>
        <v>561.6</v>
      </c>
      <c r="S786" s="36" t="n">
        <f aca="false">IF(Q786="","",Q786-R786)</f>
        <v>0</v>
      </c>
      <c r="T786" s="36" t="n">
        <f aca="false">IF(S786="","",MAX(0,-S786))</f>
        <v>-0</v>
      </c>
      <c r="U786" s="36" t="n">
        <f aca="false">IF(S786="","",MAX(0,S786))</f>
        <v>0</v>
      </c>
      <c r="V786" s="8" t="str">
        <f aca="false">IF(J786="","NOT SCORED - NO JULY MONTHLY ROW",IF(OR(ABS(L786)&gt;0.005,ABS(O786)&gt;0.005,ABS(S786)&gt;0.005),"EXCEPTION","OK"))</f>
        <v>OK</v>
      </c>
      <c r="W786" s="8" t="s">
        <v>5875</v>
      </c>
      <c r="X786" s="8" t="s">
        <v>4099</v>
      </c>
      <c r="Y786" s="36" t="n">
        <f aca="false">K786*N786</f>
        <v>561.6</v>
      </c>
    </row>
    <row r="787" customFormat="false" ht="15" hidden="false" customHeight="false" outlineLevel="0" collapsed="false">
      <c r="A787" s="11" t="s">
        <v>1005</v>
      </c>
      <c r="B787" s="11" t="s">
        <v>211</v>
      </c>
      <c r="C787" s="11" t="s">
        <v>5306</v>
      </c>
      <c r="D787" s="11" t="s">
        <v>3094</v>
      </c>
      <c r="E787" s="11" t="s">
        <v>5876</v>
      </c>
      <c r="F787" s="11" t="s">
        <v>5877</v>
      </c>
      <c r="G787" s="11" t="s">
        <v>3800</v>
      </c>
      <c r="H787" s="11" t="n">
        <v>24</v>
      </c>
      <c r="I787" s="31" t="n">
        <v>59.7</v>
      </c>
      <c r="J787" s="31" t="n">
        <v>60</v>
      </c>
      <c r="K787" s="31" t="n">
        <f aca="false">MAX(ROUNDUP(I787,0),H787)</f>
        <v>60</v>
      </c>
      <c r="L787" s="31" t="n">
        <f aca="false">IF(J787="","",J787-K787)</f>
        <v>0</v>
      </c>
      <c r="M787" s="32" t="n">
        <v>10.4</v>
      </c>
      <c r="N787" s="32" t="n">
        <f aca="false">IF(C787="covered",10.4,7.55)</f>
        <v>10.4</v>
      </c>
      <c r="O787" s="32" t="n">
        <f aca="false">IF(M787="","",M787-N787)</f>
        <v>0</v>
      </c>
      <c r="P787" s="11" t="n">
        <v>1</v>
      </c>
      <c r="Q787" s="33" t="n">
        <v>624</v>
      </c>
      <c r="R787" s="33" t="n">
        <f aca="false">IF(OR(J787="",P787=""),"",K787*N787*P787)</f>
        <v>624</v>
      </c>
      <c r="S787" s="33" t="n">
        <f aca="false">IF(Q787="","",Q787-R787)</f>
        <v>0</v>
      </c>
      <c r="T787" s="33" t="n">
        <f aca="false">IF(S787="","",MAX(0,-S787))</f>
        <v>-0</v>
      </c>
      <c r="U787" s="33" t="n">
        <f aca="false">IF(S787="","",MAX(0,S787))</f>
        <v>0</v>
      </c>
      <c r="V787" s="11" t="str">
        <f aca="false">IF(J787="","NOT SCORED - NO JULY MONTHLY ROW",IF(OR(ABS(L787)&gt;0.005,ABS(O787)&gt;0.005,ABS(S787)&gt;0.005),"EXCEPTION","OK"))</f>
        <v>OK</v>
      </c>
      <c r="W787" s="11" t="s">
        <v>5878</v>
      </c>
      <c r="X787" s="11" t="s">
        <v>4099</v>
      </c>
      <c r="Y787" s="33" t="n">
        <f aca="false">K787*N787</f>
        <v>624</v>
      </c>
    </row>
    <row r="788" customFormat="false" ht="15" hidden="false" customHeight="false" outlineLevel="0" collapsed="false">
      <c r="A788" s="8" t="s">
        <v>5879</v>
      </c>
      <c r="B788" s="8" t="s">
        <v>211</v>
      </c>
      <c r="C788" s="8" t="s">
        <v>5306</v>
      </c>
      <c r="D788" s="8" t="s">
        <v>3099</v>
      </c>
      <c r="E788" s="8" t="s">
        <v>5880</v>
      </c>
      <c r="F788" s="8" t="s">
        <v>5624</v>
      </c>
      <c r="G788" s="8" t="s">
        <v>5881</v>
      </c>
      <c r="H788" s="8" t="n">
        <v>28</v>
      </c>
      <c r="I788" s="34" t="n">
        <v>37.7</v>
      </c>
      <c r="J788" s="34" t="n">
        <v>38</v>
      </c>
      <c r="K788" s="34" t="n">
        <f aca="false">MAX(ROUNDUP(I788,0),H788)</f>
        <v>38</v>
      </c>
      <c r="L788" s="34" t="n">
        <f aca="false">IF(J788="","",J788-K788)</f>
        <v>0</v>
      </c>
      <c r="M788" s="35" t="n">
        <v>10.4</v>
      </c>
      <c r="N788" s="35" t="n">
        <f aca="false">IF(C788="covered",10.4,7.55)</f>
        <v>10.4</v>
      </c>
      <c r="O788" s="35" t="n">
        <f aca="false">IF(M788="","",M788-N788)</f>
        <v>0</v>
      </c>
      <c r="P788" s="8" t="n">
        <v>1</v>
      </c>
      <c r="Q788" s="36" t="n">
        <v>395.2</v>
      </c>
      <c r="R788" s="36" t="n">
        <f aca="false">IF(OR(J788="",P788=""),"",K788*N788*P788)</f>
        <v>395.2</v>
      </c>
      <c r="S788" s="36" t="n">
        <f aca="false">IF(Q788="","",Q788-R788)</f>
        <v>0</v>
      </c>
      <c r="T788" s="36" t="n">
        <f aca="false">IF(S788="","",MAX(0,-S788))</f>
        <v>-0</v>
      </c>
      <c r="U788" s="36" t="n">
        <f aca="false">IF(S788="","",MAX(0,S788))</f>
        <v>0</v>
      </c>
      <c r="V788" s="8" t="str">
        <f aca="false">IF(J788="","NOT SCORED - NO JULY MONTHLY ROW",IF(OR(ABS(L788)&gt;0.005,ABS(O788)&gt;0.005,ABS(S788)&gt;0.005),"EXCEPTION","OK"))</f>
        <v>OK</v>
      </c>
      <c r="W788" s="8" t="s">
        <v>5882</v>
      </c>
      <c r="X788" s="8" t="s">
        <v>4099</v>
      </c>
      <c r="Y788" s="36" t="n">
        <f aca="false">K788*N788</f>
        <v>395.2</v>
      </c>
    </row>
    <row r="789" customFormat="false" ht="15" hidden="false" customHeight="false" outlineLevel="0" collapsed="false">
      <c r="A789" s="11" t="s">
        <v>5883</v>
      </c>
      <c r="B789" s="11" t="s">
        <v>211</v>
      </c>
      <c r="C789" s="11" t="s">
        <v>5306</v>
      </c>
      <c r="D789" s="11" t="s">
        <v>3979</v>
      </c>
      <c r="E789" s="11" t="s">
        <v>5884</v>
      </c>
      <c r="F789" s="11" t="s">
        <v>5885</v>
      </c>
      <c r="G789" s="11" t="s">
        <v>3385</v>
      </c>
      <c r="H789" s="11" t="n">
        <v>28</v>
      </c>
      <c r="I789" s="31" t="n">
        <v>56.3</v>
      </c>
      <c r="J789" s="31" t="n">
        <v>57</v>
      </c>
      <c r="K789" s="31" t="n">
        <f aca="false">MAX(ROUNDUP(I789,0),H789)</f>
        <v>57</v>
      </c>
      <c r="L789" s="31" t="n">
        <f aca="false">IF(J789="","",J789-K789)</f>
        <v>0</v>
      </c>
      <c r="M789" s="32" t="n">
        <v>10.4</v>
      </c>
      <c r="N789" s="32" t="n">
        <f aca="false">IF(C789="covered",10.4,7.55)</f>
        <v>10.4</v>
      </c>
      <c r="O789" s="32" t="n">
        <f aca="false">IF(M789="","",M789-N789)</f>
        <v>0</v>
      </c>
      <c r="P789" s="11" t="n">
        <v>1</v>
      </c>
      <c r="Q789" s="33" t="n">
        <v>592.8</v>
      </c>
      <c r="R789" s="33" t="n">
        <f aca="false">IF(OR(J789="",P789=""),"",K789*N789*P789)</f>
        <v>592.8</v>
      </c>
      <c r="S789" s="33" t="n">
        <f aca="false">IF(Q789="","",Q789-R789)</f>
        <v>0</v>
      </c>
      <c r="T789" s="33" t="n">
        <f aca="false">IF(S789="","",MAX(0,-S789))</f>
        <v>-0</v>
      </c>
      <c r="U789" s="33" t="n">
        <f aca="false">IF(S789="","",MAX(0,S789))</f>
        <v>0</v>
      </c>
      <c r="V789" s="11" t="str">
        <f aca="false">IF(J789="","NOT SCORED - NO JULY MONTHLY ROW",IF(OR(ABS(L789)&gt;0.005,ABS(O789)&gt;0.005,ABS(S789)&gt;0.005),"EXCEPTION","OK"))</f>
        <v>OK</v>
      </c>
      <c r="W789" s="11" t="s">
        <v>5886</v>
      </c>
      <c r="X789" s="11" t="s">
        <v>4099</v>
      </c>
      <c r="Y789" s="33" t="n">
        <f aca="false">K789*N789</f>
        <v>592.8</v>
      </c>
    </row>
    <row r="790" customFormat="false" ht="15" hidden="false" customHeight="false" outlineLevel="0" collapsed="false">
      <c r="A790" s="8" t="s">
        <v>5887</v>
      </c>
      <c r="B790" s="8" t="s">
        <v>211</v>
      </c>
      <c r="C790" s="8" t="s">
        <v>5306</v>
      </c>
      <c r="D790" s="8" t="s">
        <v>3983</v>
      </c>
      <c r="E790" s="8" t="s">
        <v>5888</v>
      </c>
      <c r="F790" s="8" t="s">
        <v>5889</v>
      </c>
      <c r="G790" s="8" t="s">
        <v>4091</v>
      </c>
      <c r="H790" s="8" t="n">
        <v>36</v>
      </c>
      <c r="I790" s="34" t="n">
        <v>46.1</v>
      </c>
      <c r="J790" s="34" t="n">
        <v>47</v>
      </c>
      <c r="K790" s="34" t="n">
        <f aca="false">MAX(ROUNDUP(I790,0),H790)</f>
        <v>47</v>
      </c>
      <c r="L790" s="34" t="n">
        <f aca="false">IF(J790="","",J790-K790)</f>
        <v>0</v>
      </c>
      <c r="M790" s="35" t="n">
        <v>10.4</v>
      </c>
      <c r="N790" s="35" t="n">
        <f aca="false">IF(C790="covered",10.4,7.55)</f>
        <v>10.4</v>
      </c>
      <c r="O790" s="35" t="n">
        <f aca="false">IF(M790="","",M790-N790)</f>
        <v>0</v>
      </c>
      <c r="P790" s="8" t="n">
        <v>1</v>
      </c>
      <c r="Q790" s="36" t="n">
        <v>488.8</v>
      </c>
      <c r="R790" s="36" t="n">
        <f aca="false">IF(OR(J790="",P790=""),"",K790*N790*P790)</f>
        <v>488.8</v>
      </c>
      <c r="S790" s="36" t="n">
        <f aca="false">IF(Q790="","",Q790-R790)</f>
        <v>0</v>
      </c>
      <c r="T790" s="36" t="n">
        <f aca="false">IF(S790="","",MAX(0,-S790))</f>
        <v>-0</v>
      </c>
      <c r="U790" s="36" t="n">
        <f aca="false">IF(S790="","",MAX(0,S790))</f>
        <v>0</v>
      </c>
      <c r="V790" s="8" t="str">
        <f aca="false">IF(J790="","NOT SCORED - NO JULY MONTHLY ROW",IF(OR(ABS(L790)&gt;0.005,ABS(O790)&gt;0.005,ABS(S790)&gt;0.005),"EXCEPTION","OK"))</f>
        <v>OK</v>
      </c>
      <c r="W790" s="8" t="s">
        <v>5890</v>
      </c>
      <c r="X790" s="8" t="s">
        <v>4099</v>
      </c>
      <c r="Y790" s="36" t="n">
        <f aca="false">K790*N790</f>
        <v>488.8</v>
      </c>
    </row>
    <row r="791" customFormat="false" ht="15" hidden="false" customHeight="false" outlineLevel="0" collapsed="false">
      <c r="A791" s="11" t="s">
        <v>5891</v>
      </c>
      <c r="B791" s="11" t="s">
        <v>211</v>
      </c>
      <c r="C791" s="11" t="s">
        <v>5306</v>
      </c>
      <c r="D791" s="11" t="s">
        <v>3104</v>
      </c>
      <c r="E791" s="11" t="s">
        <v>1509</v>
      </c>
      <c r="F791" s="11" t="s">
        <v>1510</v>
      </c>
      <c r="G791" s="11" t="s">
        <v>2896</v>
      </c>
      <c r="H791" s="11" t="n">
        <v>40</v>
      </c>
      <c r="I791" s="31" t="n">
        <v>35.1</v>
      </c>
      <c r="J791" s="31" t="n">
        <v>40</v>
      </c>
      <c r="K791" s="31" t="n">
        <f aca="false">MAX(ROUNDUP(I791,0),H791)</f>
        <v>40</v>
      </c>
      <c r="L791" s="31" t="n">
        <f aca="false">IF(J791="","",J791-K791)</f>
        <v>0</v>
      </c>
      <c r="M791" s="32" t="n">
        <v>10.4</v>
      </c>
      <c r="N791" s="32" t="n">
        <f aca="false">IF(C791="covered",10.4,7.55)</f>
        <v>10.4</v>
      </c>
      <c r="O791" s="32" t="n">
        <f aca="false">IF(M791="","",M791-N791)</f>
        <v>0</v>
      </c>
      <c r="P791" s="11" t="n">
        <v>1</v>
      </c>
      <c r="Q791" s="33" t="n">
        <v>416</v>
      </c>
      <c r="R791" s="33" t="n">
        <f aca="false">IF(OR(J791="",P791=""),"",K791*N791*P791)</f>
        <v>416</v>
      </c>
      <c r="S791" s="33" t="n">
        <f aca="false">IF(Q791="","",Q791-R791)</f>
        <v>0</v>
      </c>
      <c r="T791" s="33" t="n">
        <f aca="false">IF(S791="","",MAX(0,-S791))</f>
        <v>-0</v>
      </c>
      <c r="U791" s="33" t="n">
        <f aca="false">IF(S791="","",MAX(0,S791))</f>
        <v>0</v>
      </c>
      <c r="V791" s="11" t="str">
        <f aca="false">IF(J791="","NOT SCORED - NO JULY MONTHLY ROW",IF(OR(ABS(L791)&gt;0.005,ABS(O791)&gt;0.005,ABS(S791)&gt;0.005),"EXCEPTION","OK"))</f>
        <v>OK</v>
      </c>
      <c r="W791" s="11" t="s">
        <v>5892</v>
      </c>
      <c r="X791" s="11" t="s">
        <v>4099</v>
      </c>
      <c r="Y791" s="33" t="n">
        <f aca="false">K791*N791</f>
        <v>416</v>
      </c>
    </row>
    <row r="792" customFormat="false" ht="15" hidden="false" customHeight="false" outlineLevel="0" collapsed="false">
      <c r="A792" s="8" t="s">
        <v>1299</v>
      </c>
      <c r="B792" s="8" t="s">
        <v>211</v>
      </c>
      <c r="C792" s="8" t="s">
        <v>5306</v>
      </c>
      <c r="D792" s="8" t="s">
        <v>3109</v>
      </c>
      <c r="E792" s="8" t="s">
        <v>5893</v>
      </c>
      <c r="F792" s="8" t="s">
        <v>5894</v>
      </c>
      <c r="G792" s="8" t="s">
        <v>5895</v>
      </c>
      <c r="H792" s="8" t="n">
        <v>28</v>
      </c>
      <c r="I792" s="34" t="n">
        <v>47.8</v>
      </c>
      <c r="J792" s="34" t="n">
        <v>48</v>
      </c>
      <c r="K792" s="34" t="n">
        <f aca="false">MAX(ROUNDUP(I792,0),H792)</f>
        <v>48</v>
      </c>
      <c r="L792" s="34" t="n">
        <f aca="false">IF(J792="","",J792-K792)</f>
        <v>0</v>
      </c>
      <c r="M792" s="35" t="n">
        <v>10.4</v>
      </c>
      <c r="N792" s="35" t="n">
        <f aca="false">IF(C792="covered",10.4,7.55)</f>
        <v>10.4</v>
      </c>
      <c r="O792" s="35" t="n">
        <f aca="false">IF(M792="","",M792-N792)</f>
        <v>0</v>
      </c>
      <c r="P792" s="8" t="n">
        <v>1</v>
      </c>
      <c r="Q792" s="36" t="n">
        <v>499.2</v>
      </c>
      <c r="R792" s="36" t="n">
        <f aca="false">IF(OR(J792="",P792=""),"",K792*N792*P792)</f>
        <v>499.2</v>
      </c>
      <c r="S792" s="36" t="n">
        <f aca="false">IF(Q792="","",Q792-R792)</f>
        <v>0</v>
      </c>
      <c r="T792" s="36" t="n">
        <f aca="false">IF(S792="","",MAX(0,-S792))</f>
        <v>-0</v>
      </c>
      <c r="U792" s="36" t="n">
        <f aca="false">IF(S792="","",MAX(0,S792))</f>
        <v>0</v>
      </c>
      <c r="V792" s="8" t="str">
        <f aca="false">IF(J792="","NOT SCORED - NO JULY MONTHLY ROW",IF(OR(ABS(L792)&gt;0.005,ABS(O792)&gt;0.005,ABS(S792)&gt;0.005),"EXCEPTION","OK"))</f>
        <v>OK</v>
      </c>
      <c r="W792" s="8" t="s">
        <v>5896</v>
      </c>
      <c r="X792" s="8" t="s">
        <v>4099</v>
      </c>
      <c r="Y792" s="36" t="n">
        <f aca="false">K792*N792</f>
        <v>499.2</v>
      </c>
    </row>
    <row r="793" customFormat="false" ht="15" hidden="false" customHeight="false" outlineLevel="0" collapsed="false">
      <c r="A793" s="11" t="s">
        <v>5897</v>
      </c>
      <c r="B793" s="11" t="s">
        <v>211</v>
      </c>
      <c r="C793" s="11" t="s">
        <v>5306</v>
      </c>
      <c r="D793" s="11" t="s">
        <v>3119</v>
      </c>
      <c r="E793" s="11" t="s">
        <v>5898</v>
      </c>
      <c r="F793" s="11" t="s">
        <v>5899</v>
      </c>
      <c r="G793" s="11" t="s">
        <v>5900</v>
      </c>
      <c r="H793" s="11" t="n">
        <v>36</v>
      </c>
      <c r="I793" s="31" t="n">
        <v>39.6</v>
      </c>
      <c r="J793" s="31" t="n">
        <v>40</v>
      </c>
      <c r="K793" s="31" t="n">
        <f aca="false">MAX(ROUNDUP(I793,0),H793)</f>
        <v>40</v>
      </c>
      <c r="L793" s="31" t="n">
        <f aca="false">IF(J793="","",J793-K793)</f>
        <v>0</v>
      </c>
      <c r="M793" s="32" t="n">
        <v>10.4</v>
      </c>
      <c r="N793" s="32" t="n">
        <f aca="false">IF(C793="covered",10.4,7.55)</f>
        <v>10.4</v>
      </c>
      <c r="O793" s="32" t="n">
        <f aca="false">IF(M793="","",M793-N793)</f>
        <v>0</v>
      </c>
      <c r="P793" s="11" t="n">
        <v>1</v>
      </c>
      <c r="Q793" s="33" t="n">
        <v>416</v>
      </c>
      <c r="R793" s="33" t="n">
        <f aca="false">IF(OR(J793="",P793=""),"",K793*N793*P793)</f>
        <v>416</v>
      </c>
      <c r="S793" s="33" t="n">
        <f aca="false">IF(Q793="","",Q793-R793)</f>
        <v>0</v>
      </c>
      <c r="T793" s="33" t="n">
        <f aca="false">IF(S793="","",MAX(0,-S793))</f>
        <v>-0</v>
      </c>
      <c r="U793" s="33" t="n">
        <f aca="false">IF(S793="","",MAX(0,S793))</f>
        <v>0</v>
      </c>
      <c r="V793" s="11" t="str">
        <f aca="false">IF(J793="","NOT SCORED - NO JULY MONTHLY ROW",IF(OR(ABS(L793)&gt;0.005,ABS(O793)&gt;0.005,ABS(S793)&gt;0.005),"EXCEPTION","OK"))</f>
        <v>OK</v>
      </c>
      <c r="W793" s="11" t="s">
        <v>5901</v>
      </c>
      <c r="X793" s="11" t="s">
        <v>4099</v>
      </c>
      <c r="Y793" s="33" t="n">
        <f aca="false">K793*N793</f>
        <v>416</v>
      </c>
    </row>
    <row r="794" customFormat="false" ht="15" hidden="false" customHeight="false" outlineLevel="0" collapsed="false">
      <c r="A794" s="8" t="s">
        <v>86</v>
      </c>
      <c r="B794" s="8" t="s">
        <v>211</v>
      </c>
      <c r="C794" s="8" t="s">
        <v>5306</v>
      </c>
      <c r="D794" s="8" t="s">
        <v>3124</v>
      </c>
      <c r="E794" s="8" t="s">
        <v>5902</v>
      </c>
      <c r="F794" s="8" t="s">
        <v>5903</v>
      </c>
      <c r="G794" s="8" t="s">
        <v>4449</v>
      </c>
      <c r="H794" s="8" t="n">
        <v>36</v>
      </c>
      <c r="I794" s="34" t="n">
        <v>55.1</v>
      </c>
      <c r="J794" s="34" t="n">
        <v>56</v>
      </c>
      <c r="K794" s="34" t="n">
        <f aca="false">MAX(ROUNDUP(I794,0),H794)</f>
        <v>56</v>
      </c>
      <c r="L794" s="34" t="n">
        <f aca="false">IF(J794="","",J794-K794)</f>
        <v>0</v>
      </c>
      <c r="M794" s="35" t="n">
        <v>10.4</v>
      </c>
      <c r="N794" s="35" t="n">
        <f aca="false">IF(C794="covered",10.4,7.55)</f>
        <v>10.4</v>
      </c>
      <c r="O794" s="35" t="n">
        <f aca="false">IF(M794="","",M794-N794)</f>
        <v>0</v>
      </c>
      <c r="P794" s="8" t="n">
        <v>1</v>
      </c>
      <c r="Q794" s="36" t="n">
        <v>582.4</v>
      </c>
      <c r="R794" s="36" t="n">
        <f aca="false">IF(OR(J794="",P794=""),"",K794*N794*P794)</f>
        <v>582.4</v>
      </c>
      <c r="S794" s="36" t="n">
        <f aca="false">IF(Q794="","",Q794-R794)</f>
        <v>0</v>
      </c>
      <c r="T794" s="36" t="n">
        <f aca="false">IF(S794="","",MAX(0,-S794))</f>
        <v>-0</v>
      </c>
      <c r="U794" s="36" t="n">
        <f aca="false">IF(S794="","",MAX(0,S794))</f>
        <v>0</v>
      </c>
      <c r="V794" s="8" t="str">
        <f aca="false">IF(J794="","NOT SCORED - NO JULY MONTHLY ROW",IF(OR(ABS(L794)&gt;0.005,ABS(O794)&gt;0.005,ABS(S794)&gt;0.005),"EXCEPTION","OK"))</f>
        <v>OK</v>
      </c>
      <c r="W794" s="8" t="s">
        <v>5904</v>
      </c>
      <c r="X794" s="8" t="s">
        <v>4099</v>
      </c>
      <c r="Y794" s="36" t="n">
        <f aca="false">K794*N794</f>
        <v>582.4</v>
      </c>
    </row>
    <row r="795" customFormat="false" ht="15" hidden="false" customHeight="false" outlineLevel="0" collapsed="false">
      <c r="A795" s="11" t="s">
        <v>5905</v>
      </c>
      <c r="B795" s="11" t="s">
        <v>211</v>
      </c>
      <c r="C795" s="11" t="s">
        <v>5306</v>
      </c>
      <c r="D795" s="11" t="s">
        <v>3129</v>
      </c>
      <c r="E795" s="11" t="s">
        <v>2389</v>
      </c>
      <c r="F795" s="11" t="s">
        <v>5906</v>
      </c>
      <c r="G795" s="11" t="s">
        <v>5907</v>
      </c>
      <c r="H795" s="11" t="n">
        <v>24</v>
      </c>
      <c r="I795" s="31" t="n">
        <v>40.6</v>
      </c>
      <c r="J795" s="31" t="n">
        <v>41</v>
      </c>
      <c r="K795" s="31" t="n">
        <f aca="false">MAX(ROUNDUP(I795,0),H795)</f>
        <v>41</v>
      </c>
      <c r="L795" s="31" t="n">
        <f aca="false">IF(J795="","",J795-K795)</f>
        <v>0</v>
      </c>
      <c r="M795" s="32" t="n">
        <v>10.4</v>
      </c>
      <c r="N795" s="32" t="n">
        <f aca="false">IF(C795="covered",10.4,7.55)</f>
        <v>10.4</v>
      </c>
      <c r="O795" s="32" t="n">
        <f aca="false">IF(M795="","",M795-N795)</f>
        <v>0</v>
      </c>
      <c r="P795" s="11" t="n">
        <v>1</v>
      </c>
      <c r="Q795" s="33" t="n">
        <v>426.4</v>
      </c>
      <c r="R795" s="33" t="n">
        <f aca="false">IF(OR(J795="",P795=""),"",K795*N795*P795)</f>
        <v>426.4</v>
      </c>
      <c r="S795" s="33" t="n">
        <f aca="false">IF(Q795="","",Q795-R795)</f>
        <v>0</v>
      </c>
      <c r="T795" s="33" t="n">
        <f aca="false">IF(S795="","",MAX(0,-S795))</f>
        <v>-0</v>
      </c>
      <c r="U795" s="33" t="n">
        <f aca="false">IF(S795="","",MAX(0,S795))</f>
        <v>0</v>
      </c>
      <c r="V795" s="11" t="str">
        <f aca="false">IF(J795="","NOT SCORED - NO JULY MONTHLY ROW",IF(OR(ABS(L795)&gt;0.005,ABS(O795)&gt;0.005,ABS(S795)&gt;0.005),"EXCEPTION","OK"))</f>
        <v>OK</v>
      </c>
      <c r="W795" s="11" t="s">
        <v>5908</v>
      </c>
      <c r="X795" s="11" t="s">
        <v>4099</v>
      </c>
      <c r="Y795" s="33" t="n">
        <f aca="false">K795*N795</f>
        <v>426.4</v>
      </c>
    </row>
    <row r="796" customFormat="false" ht="15" hidden="false" customHeight="false" outlineLevel="0" collapsed="false">
      <c r="A796" s="8" t="s">
        <v>5909</v>
      </c>
      <c r="B796" s="8" t="s">
        <v>211</v>
      </c>
      <c r="C796" s="8" t="s">
        <v>5306</v>
      </c>
      <c r="D796" s="8" t="s">
        <v>3134</v>
      </c>
      <c r="E796" s="8" t="s">
        <v>5910</v>
      </c>
      <c r="F796" s="8" t="s">
        <v>5911</v>
      </c>
      <c r="G796" s="8" t="s">
        <v>5473</v>
      </c>
      <c r="H796" s="8" t="n">
        <v>40</v>
      </c>
      <c r="I796" s="34" t="n">
        <v>42.3</v>
      </c>
      <c r="J796" s="34" t="n">
        <v>43</v>
      </c>
      <c r="K796" s="34" t="n">
        <f aca="false">MAX(ROUNDUP(I796,0),H796)</f>
        <v>43</v>
      </c>
      <c r="L796" s="34" t="n">
        <f aca="false">IF(J796="","",J796-K796)</f>
        <v>0</v>
      </c>
      <c r="M796" s="35" t="n">
        <v>10.4</v>
      </c>
      <c r="N796" s="35" t="n">
        <f aca="false">IF(C796="covered",10.4,7.55)</f>
        <v>10.4</v>
      </c>
      <c r="O796" s="35" t="n">
        <f aca="false">IF(M796="","",M796-N796)</f>
        <v>0</v>
      </c>
      <c r="P796" s="8" t="n">
        <v>1</v>
      </c>
      <c r="Q796" s="36" t="n">
        <v>447.2</v>
      </c>
      <c r="R796" s="36" t="n">
        <f aca="false">IF(OR(J796="",P796=""),"",K796*N796*P796)</f>
        <v>447.2</v>
      </c>
      <c r="S796" s="36" t="n">
        <f aca="false">IF(Q796="","",Q796-R796)</f>
        <v>0</v>
      </c>
      <c r="T796" s="36" t="n">
        <f aca="false">IF(S796="","",MAX(0,-S796))</f>
        <v>-0</v>
      </c>
      <c r="U796" s="36" t="n">
        <f aca="false">IF(S796="","",MAX(0,S796))</f>
        <v>0</v>
      </c>
      <c r="V796" s="8" t="str">
        <f aca="false">IF(J796="","NOT SCORED - NO JULY MONTHLY ROW",IF(OR(ABS(L796)&gt;0.005,ABS(O796)&gt;0.005,ABS(S796)&gt;0.005),"EXCEPTION","OK"))</f>
        <v>OK</v>
      </c>
      <c r="W796" s="8" t="s">
        <v>5912</v>
      </c>
      <c r="X796" s="8" t="s">
        <v>4099</v>
      </c>
      <c r="Y796" s="36" t="n">
        <f aca="false">K796*N796</f>
        <v>447.2</v>
      </c>
    </row>
    <row r="797" customFormat="false" ht="15" hidden="false" customHeight="false" outlineLevel="0" collapsed="false">
      <c r="A797" s="11" t="s">
        <v>5913</v>
      </c>
      <c r="B797" s="11" t="s">
        <v>211</v>
      </c>
      <c r="C797" s="11" t="s">
        <v>5306</v>
      </c>
      <c r="D797" s="11" t="s">
        <v>3139</v>
      </c>
      <c r="E797" s="11" t="s">
        <v>2288</v>
      </c>
      <c r="F797" s="11" t="s">
        <v>5914</v>
      </c>
      <c r="G797" s="11" t="s">
        <v>5837</v>
      </c>
      <c r="H797" s="11" t="n">
        <v>28</v>
      </c>
      <c r="I797" s="31" t="n">
        <v>34.3</v>
      </c>
      <c r="J797" s="31" t="n">
        <v>35</v>
      </c>
      <c r="K797" s="31" t="n">
        <f aca="false">MAX(ROUNDUP(I797,0),H797)</f>
        <v>35</v>
      </c>
      <c r="L797" s="31" t="n">
        <f aca="false">IF(J797="","",J797-K797)</f>
        <v>0</v>
      </c>
      <c r="M797" s="32" t="n">
        <v>10.4</v>
      </c>
      <c r="N797" s="32" t="n">
        <f aca="false">IF(C797="covered",10.4,7.55)</f>
        <v>10.4</v>
      </c>
      <c r="O797" s="32" t="n">
        <f aca="false">IF(M797="","",M797-N797)</f>
        <v>0</v>
      </c>
      <c r="P797" s="11" t="n">
        <v>1</v>
      </c>
      <c r="Q797" s="33" t="n">
        <v>364</v>
      </c>
      <c r="R797" s="33" t="n">
        <f aca="false">IF(OR(J797="",P797=""),"",K797*N797*P797)</f>
        <v>364</v>
      </c>
      <c r="S797" s="33" t="n">
        <f aca="false">IF(Q797="","",Q797-R797)</f>
        <v>0</v>
      </c>
      <c r="T797" s="33" t="n">
        <f aca="false">IF(S797="","",MAX(0,-S797))</f>
        <v>-0</v>
      </c>
      <c r="U797" s="33" t="n">
        <f aca="false">IF(S797="","",MAX(0,S797))</f>
        <v>0</v>
      </c>
      <c r="V797" s="11" t="str">
        <f aca="false">IF(J797="","NOT SCORED - NO JULY MONTHLY ROW",IF(OR(ABS(L797)&gt;0.005,ABS(O797)&gt;0.005,ABS(S797)&gt;0.005),"EXCEPTION","OK"))</f>
        <v>OK</v>
      </c>
      <c r="W797" s="11" t="s">
        <v>5915</v>
      </c>
      <c r="X797" s="11" t="s">
        <v>4099</v>
      </c>
      <c r="Y797" s="33" t="n">
        <f aca="false">K797*N797</f>
        <v>364</v>
      </c>
    </row>
    <row r="798" customFormat="false" ht="15" hidden="false" customHeight="false" outlineLevel="0" collapsed="false">
      <c r="A798" s="8" t="s">
        <v>5916</v>
      </c>
      <c r="B798" s="8" t="s">
        <v>211</v>
      </c>
      <c r="C798" s="8" t="s">
        <v>5306</v>
      </c>
      <c r="D798" s="8" t="s">
        <v>3146</v>
      </c>
      <c r="E798" s="8" t="s">
        <v>5917</v>
      </c>
      <c r="F798" s="8" t="s">
        <v>5918</v>
      </c>
      <c r="G798" s="8" t="s">
        <v>5919</v>
      </c>
      <c r="H798" s="8" t="n">
        <v>36</v>
      </c>
      <c r="I798" s="34" t="n">
        <v>51.3</v>
      </c>
      <c r="J798" s="34" t="n">
        <v>52</v>
      </c>
      <c r="K798" s="34" t="n">
        <f aca="false">MAX(ROUNDUP(I798,0),H798)</f>
        <v>52</v>
      </c>
      <c r="L798" s="34" t="n">
        <f aca="false">IF(J798="","",J798-K798)</f>
        <v>0</v>
      </c>
      <c r="M798" s="35" t="n">
        <v>10.4</v>
      </c>
      <c r="N798" s="35" t="n">
        <f aca="false">IF(C798="covered",10.4,7.55)</f>
        <v>10.4</v>
      </c>
      <c r="O798" s="35" t="n">
        <f aca="false">IF(M798="","",M798-N798)</f>
        <v>0</v>
      </c>
      <c r="P798" s="8" t="n">
        <v>1</v>
      </c>
      <c r="Q798" s="36" t="n">
        <v>540.8</v>
      </c>
      <c r="R798" s="36" t="n">
        <f aca="false">IF(OR(J798="",P798=""),"",K798*N798*P798)</f>
        <v>540.8</v>
      </c>
      <c r="S798" s="36" t="n">
        <f aca="false">IF(Q798="","",Q798-R798)</f>
        <v>0</v>
      </c>
      <c r="T798" s="36" t="n">
        <f aca="false">IF(S798="","",MAX(0,-S798))</f>
        <v>-0</v>
      </c>
      <c r="U798" s="36" t="n">
        <f aca="false">IF(S798="","",MAX(0,S798))</f>
        <v>0</v>
      </c>
      <c r="V798" s="8" t="str">
        <f aca="false">IF(J798="","NOT SCORED - NO JULY MONTHLY ROW",IF(OR(ABS(L798)&gt;0.005,ABS(O798)&gt;0.005,ABS(S798)&gt;0.005),"EXCEPTION","OK"))</f>
        <v>OK</v>
      </c>
      <c r="W798" s="8" t="s">
        <v>5920</v>
      </c>
      <c r="X798" s="8" t="s">
        <v>4099</v>
      </c>
      <c r="Y798" s="36" t="n">
        <f aca="false">K798*N798</f>
        <v>540.8</v>
      </c>
    </row>
    <row r="799" customFormat="false" ht="15" hidden="false" customHeight="false" outlineLevel="0" collapsed="false">
      <c r="A799" s="11" t="s">
        <v>5921</v>
      </c>
      <c r="B799" s="11" t="s">
        <v>211</v>
      </c>
      <c r="C799" s="11" t="s">
        <v>5306</v>
      </c>
      <c r="D799" s="11" t="s">
        <v>3151</v>
      </c>
      <c r="E799" s="11" t="s">
        <v>5922</v>
      </c>
      <c r="F799" s="11" t="s">
        <v>5923</v>
      </c>
      <c r="G799" s="11" t="s">
        <v>5924</v>
      </c>
      <c r="H799" s="11" t="n">
        <v>28</v>
      </c>
      <c r="I799" s="31" t="n">
        <v>25.6</v>
      </c>
      <c r="J799" s="31" t="n">
        <v>28</v>
      </c>
      <c r="K799" s="31" t="n">
        <f aca="false">MAX(ROUNDUP(I799,0),H799)</f>
        <v>28</v>
      </c>
      <c r="L799" s="31" t="n">
        <f aca="false">IF(J799="","",J799-K799)</f>
        <v>0</v>
      </c>
      <c r="M799" s="32" t="n">
        <v>10.4</v>
      </c>
      <c r="N799" s="32" t="n">
        <f aca="false">IF(C799="covered",10.4,7.55)</f>
        <v>10.4</v>
      </c>
      <c r="O799" s="32" t="n">
        <f aca="false">IF(M799="","",M799-N799)</f>
        <v>0</v>
      </c>
      <c r="P799" s="11" t="n">
        <v>1</v>
      </c>
      <c r="Q799" s="33" t="n">
        <v>291.2</v>
      </c>
      <c r="R799" s="33" t="n">
        <f aca="false">IF(OR(J799="",P799=""),"",K799*N799*P799)</f>
        <v>291.2</v>
      </c>
      <c r="S799" s="33" t="n">
        <f aca="false">IF(Q799="","",Q799-R799)</f>
        <v>0</v>
      </c>
      <c r="T799" s="33" t="n">
        <f aca="false">IF(S799="","",MAX(0,-S799))</f>
        <v>-0</v>
      </c>
      <c r="U799" s="33" t="n">
        <f aca="false">IF(S799="","",MAX(0,S799))</f>
        <v>0</v>
      </c>
      <c r="V799" s="11" t="str">
        <f aca="false">IF(J799="","NOT SCORED - NO JULY MONTHLY ROW",IF(OR(ABS(L799)&gt;0.005,ABS(O799)&gt;0.005,ABS(S799)&gt;0.005),"EXCEPTION","OK"))</f>
        <v>OK</v>
      </c>
      <c r="W799" s="11" t="s">
        <v>5925</v>
      </c>
      <c r="X799" s="11" t="s">
        <v>4099</v>
      </c>
      <c r="Y799" s="33" t="n">
        <f aca="false">K799*N799</f>
        <v>291.2</v>
      </c>
    </row>
    <row r="800" customFormat="false" ht="15" hidden="false" customHeight="false" outlineLevel="0" collapsed="false">
      <c r="A800" s="8" t="s">
        <v>5926</v>
      </c>
      <c r="B800" s="8" t="s">
        <v>211</v>
      </c>
      <c r="C800" s="8" t="s">
        <v>5306</v>
      </c>
      <c r="D800" s="8" t="s">
        <v>3153</v>
      </c>
      <c r="E800" s="8" t="s">
        <v>5927</v>
      </c>
      <c r="F800" s="8" t="s">
        <v>5928</v>
      </c>
      <c r="G800" s="8" t="s">
        <v>4499</v>
      </c>
      <c r="H800" s="8" t="n">
        <v>32</v>
      </c>
      <c r="I800" s="34" t="n">
        <v>37.5</v>
      </c>
      <c r="J800" s="34" t="n">
        <v>38</v>
      </c>
      <c r="K800" s="34" t="n">
        <f aca="false">MAX(ROUNDUP(I800,0),H800)</f>
        <v>38</v>
      </c>
      <c r="L800" s="34" t="n">
        <f aca="false">IF(J800="","",J800-K800)</f>
        <v>0</v>
      </c>
      <c r="M800" s="35" t="n">
        <v>10.4</v>
      </c>
      <c r="N800" s="35" t="n">
        <f aca="false">IF(C800="covered",10.4,7.55)</f>
        <v>10.4</v>
      </c>
      <c r="O800" s="35" t="n">
        <f aca="false">IF(M800="","",M800-N800)</f>
        <v>0</v>
      </c>
      <c r="P800" s="8" t="n">
        <v>1</v>
      </c>
      <c r="Q800" s="36" t="n">
        <v>395.2</v>
      </c>
      <c r="R800" s="36" t="n">
        <f aca="false">IF(OR(J800="",P800=""),"",K800*N800*P800)</f>
        <v>395.2</v>
      </c>
      <c r="S800" s="36" t="n">
        <f aca="false">IF(Q800="","",Q800-R800)</f>
        <v>0</v>
      </c>
      <c r="T800" s="36" t="n">
        <f aca="false">IF(S800="","",MAX(0,-S800))</f>
        <v>-0</v>
      </c>
      <c r="U800" s="36" t="n">
        <f aca="false">IF(S800="","",MAX(0,S800))</f>
        <v>0</v>
      </c>
      <c r="V800" s="8" t="str">
        <f aca="false">IF(J800="","NOT SCORED - NO JULY MONTHLY ROW",IF(OR(ABS(L800)&gt;0.005,ABS(O800)&gt;0.005,ABS(S800)&gt;0.005),"EXCEPTION","OK"))</f>
        <v>OK</v>
      </c>
      <c r="W800" s="8" t="s">
        <v>5929</v>
      </c>
      <c r="X800" s="8" t="s">
        <v>4099</v>
      </c>
      <c r="Y800" s="36" t="n">
        <f aca="false">K800*N800</f>
        <v>395.2</v>
      </c>
    </row>
    <row r="801" customFormat="false" ht="15" hidden="false" customHeight="false" outlineLevel="0" collapsed="false">
      <c r="A801" s="11" t="s">
        <v>5930</v>
      </c>
      <c r="B801" s="11" t="s">
        <v>211</v>
      </c>
      <c r="C801" s="11" t="s">
        <v>5306</v>
      </c>
      <c r="D801" s="11" t="s">
        <v>3157</v>
      </c>
      <c r="E801" s="11" t="s">
        <v>5931</v>
      </c>
      <c r="F801" s="11" t="s">
        <v>5932</v>
      </c>
      <c r="G801" s="11" t="s">
        <v>3304</v>
      </c>
      <c r="H801" s="11" t="n">
        <v>32</v>
      </c>
      <c r="I801" s="31" t="n">
        <v>34.5</v>
      </c>
      <c r="J801" s="31" t="n">
        <v>35</v>
      </c>
      <c r="K801" s="31" t="n">
        <f aca="false">MAX(ROUNDUP(I801,0),H801)</f>
        <v>35</v>
      </c>
      <c r="L801" s="31" t="n">
        <f aca="false">IF(J801="","",J801-K801)</f>
        <v>0</v>
      </c>
      <c r="M801" s="32" t="n">
        <v>10.4</v>
      </c>
      <c r="N801" s="32" t="n">
        <f aca="false">IF(C801="covered",10.4,7.55)</f>
        <v>10.4</v>
      </c>
      <c r="O801" s="32" t="n">
        <f aca="false">IF(M801="","",M801-N801)</f>
        <v>0</v>
      </c>
      <c r="P801" s="11" t="n">
        <v>1</v>
      </c>
      <c r="Q801" s="33" t="n">
        <v>364</v>
      </c>
      <c r="R801" s="33" t="n">
        <f aca="false">IF(OR(J801="",P801=""),"",K801*N801*P801)</f>
        <v>364</v>
      </c>
      <c r="S801" s="33" t="n">
        <f aca="false">IF(Q801="","",Q801-R801)</f>
        <v>0</v>
      </c>
      <c r="T801" s="33" t="n">
        <f aca="false">IF(S801="","",MAX(0,-S801))</f>
        <v>-0</v>
      </c>
      <c r="U801" s="33" t="n">
        <f aca="false">IF(S801="","",MAX(0,S801))</f>
        <v>0</v>
      </c>
      <c r="V801" s="11" t="str">
        <f aca="false">IF(J801="","NOT SCORED - NO JULY MONTHLY ROW",IF(OR(ABS(L801)&gt;0.005,ABS(O801)&gt;0.005,ABS(S801)&gt;0.005),"EXCEPTION","OK"))</f>
        <v>OK</v>
      </c>
      <c r="W801" s="11" t="s">
        <v>5933</v>
      </c>
      <c r="X801" s="11" t="s">
        <v>4099</v>
      </c>
      <c r="Y801" s="33" t="n">
        <f aca="false">K801*N801</f>
        <v>364</v>
      </c>
    </row>
    <row r="802" customFormat="false" ht="15" hidden="false" customHeight="false" outlineLevel="0" collapsed="false">
      <c r="A802" s="8" t="s">
        <v>5934</v>
      </c>
      <c r="B802" s="8" t="s">
        <v>211</v>
      </c>
      <c r="C802" s="8" t="s">
        <v>5306</v>
      </c>
      <c r="D802" s="8" t="s">
        <v>4020</v>
      </c>
      <c r="E802" s="8" t="s">
        <v>2692</v>
      </c>
      <c r="F802" s="8" t="s">
        <v>5935</v>
      </c>
      <c r="G802" s="8" t="s">
        <v>5936</v>
      </c>
      <c r="H802" s="8" t="n">
        <v>24</v>
      </c>
      <c r="I802" s="34" t="n">
        <v>49.8</v>
      </c>
      <c r="J802" s="34" t="n">
        <v>50</v>
      </c>
      <c r="K802" s="34" t="n">
        <f aca="false">MAX(ROUNDUP(I802,0),H802)</f>
        <v>50</v>
      </c>
      <c r="L802" s="34" t="n">
        <f aca="false">IF(J802="","",J802-K802)</f>
        <v>0</v>
      </c>
      <c r="M802" s="35" t="n">
        <v>10.4</v>
      </c>
      <c r="N802" s="35" t="n">
        <f aca="false">IF(C802="covered",10.4,7.55)</f>
        <v>10.4</v>
      </c>
      <c r="O802" s="35" t="n">
        <f aca="false">IF(M802="","",M802-N802)</f>
        <v>0</v>
      </c>
      <c r="P802" s="8" t="n">
        <v>1</v>
      </c>
      <c r="Q802" s="36" t="n">
        <v>520</v>
      </c>
      <c r="R802" s="36" t="n">
        <f aca="false">IF(OR(J802="",P802=""),"",K802*N802*P802)</f>
        <v>520</v>
      </c>
      <c r="S802" s="36" t="n">
        <f aca="false">IF(Q802="","",Q802-R802)</f>
        <v>0</v>
      </c>
      <c r="T802" s="36" t="n">
        <f aca="false">IF(S802="","",MAX(0,-S802))</f>
        <v>-0</v>
      </c>
      <c r="U802" s="36" t="n">
        <f aca="false">IF(S802="","",MAX(0,S802))</f>
        <v>0</v>
      </c>
      <c r="V802" s="8" t="str">
        <f aca="false">IF(J802="","NOT SCORED - NO JULY MONTHLY ROW",IF(OR(ABS(L802)&gt;0.005,ABS(O802)&gt;0.005,ABS(S802)&gt;0.005),"EXCEPTION","OK"))</f>
        <v>OK</v>
      </c>
      <c r="W802" s="8" t="s">
        <v>5937</v>
      </c>
      <c r="X802" s="8" t="s">
        <v>4099</v>
      </c>
      <c r="Y802" s="36" t="n">
        <f aca="false">K802*N802</f>
        <v>520</v>
      </c>
    </row>
    <row r="803" customFormat="false" ht="15" hidden="false" customHeight="false" outlineLevel="0" collapsed="false">
      <c r="A803" s="11" t="s">
        <v>1492</v>
      </c>
      <c r="B803" s="11" t="s">
        <v>211</v>
      </c>
      <c r="C803" s="11" t="s">
        <v>5306</v>
      </c>
      <c r="D803" s="11" t="s">
        <v>3162</v>
      </c>
      <c r="E803" s="11" t="s">
        <v>5938</v>
      </c>
      <c r="F803" s="11" t="s">
        <v>5939</v>
      </c>
      <c r="G803" s="11" t="s">
        <v>3222</v>
      </c>
      <c r="H803" s="11" t="n">
        <v>28</v>
      </c>
      <c r="I803" s="31" t="n">
        <v>47.4</v>
      </c>
      <c r="J803" s="31" t="n">
        <v>48</v>
      </c>
      <c r="K803" s="31" t="n">
        <f aca="false">MAX(ROUNDUP(I803,0),H803)</f>
        <v>48</v>
      </c>
      <c r="L803" s="31" t="n">
        <f aca="false">IF(J803="","",J803-K803)</f>
        <v>0</v>
      </c>
      <c r="M803" s="32" t="n">
        <v>10.4</v>
      </c>
      <c r="N803" s="32" t="n">
        <f aca="false">IF(C803="covered",10.4,7.55)</f>
        <v>10.4</v>
      </c>
      <c r="O803" s="32" t="n">
        <f aca="false">IF(M803="","",M803-N803)</f>
        <v>0</v>
      </c>
      <c r="P803" s="11" t="n">
        <v>1</v>
      </c>
      <c r="Q803" s="33" t="n">
        <v>499.2</v>
      </c>
      <c r="R803" s="33" t="n">
        <f aca="false">IF(OR(J803="",P803=""),"",K803*N803*P803)</f>
        <v>499.2</v>
      </c>
      <c r="S803" s="33" t="n">
        <f aca="false">IF(Q803="","",Q803-R803)</f>
        <v>0</v>
      </c>
      <c r="T803" s="33" t="n">
        <f aca="false">IF(S803="","",MAX(0,-S803))</f>
        <v>-0</v>
      </c>
      <c r="U803" s="33" t="n">
        <f aca="false">IF(S803="","",MAX(0,S803))</f>
        <v>0</v>
      </c>
      <c r="V803" s="11" t="str">
        <f aca="false">IF(J803="","NOT SCORED - NO JULY MONTHLY ROW",IF(OR(ABS(L803)&gt;0.005,ABS(O803)&gt;0.005,ABS(S803)&gt;0.005),"EXCEPTION","OK"))</f>
        <v>OK</v>
      </c>
      <c r="W803" s="11" t="s">
        <v>5940</v>
      </c>
      <c r="X803" s="11" t="s">
        <v>4099</v>
      </c>
      <c r="Y803" s="33" t="n">
        <f aca="false">K803*N803</f>
        <v>499.2</v>
      </c>
    </row>
    <row r="804" customFormat="false" ht="15" hidden="false" customHeight="false" outlineLevel="0" collapsed="false">
      <c r="A804" s="8" t="s">
        <v>1368</v>
      </c>
      <c r="B804" s="8" t="s">
        <v>211</v>
      </c>
      <c r="C804" s="8" t="s">
        <v>5306</v>
      </c>
      <c r="D804" s="8" t="s">
        <v>3167</v>
      </c>
      <c r="E804" s="8" t="s">
        <v>5941</v>
      </c>
      <c r="F804" s="8" t="s">
        <v>5942</v>
      </c>
      <c r="G804" s="8" t="s">
        <v>5943</v>
      </c>
      <c r="H804" s="8" t="n">
        <v>32</v>
      </c>
      <c r="I804" s="34" t="n">
        <v>22.2</v>
      </c>
      <c r="J804" s="34" t="n">
        <v>32</v>
      </c>
      <c r="K804" s="34" t="n">
        <f aca="false">MAX(ROUNDUP(I804,0),H804)</f>
        <v>32</v>
      </c>
      <c r="L804" s="34" t="n">
        <f aca="false">IF(J804="","",J804-K804)</f>
        <v>0</v>
      </c>
      <c r="M804" s="35" t="n">
        <v>10.4</v>
      </c>
      <c r="N804" s="35" t="n">
        <f aca="false">IF(C804="covered",10.4,7.55)</f>
        <v>10.4</v>
      </c>
      <c r="O804" s="35" t="n">
        <f aca="false">IF(M804="","",M804-N804)</f>
        <v>0</v>
      </c>
      <c r="P804" s="8" t="n">
        <v>1</v>
      </c>
      <c r="Q804" s="36" t="n">
        <v>332.8</v>
      </c>
      <c r="R804" s="36" t="n">
        <f aca="false">IF(OR(J804="",P804=""),"",K804*N804*P804)</f>
        <v>332.8</v>
      </c>
      <c r="S804" s="36" t="n">
        <f aca="false">IF(Q804="","",Q804-R804)</f>
        <v>0</v>
      </c>
      <c r="T804" s="36" t="n">
        <f aca="false">IF(S804="","",MAX(0,-S804))</f>
        <v>-0</v>
      </c>
      <c r="U804" s="36" t="n">
        <f aca="false">IF(S804="","",MAX(0,S804))</f>
        <v>0</v>
      </c>
      <c r="V804" s="8" t="str">
        <f aca="false">IF(J804="","NOT SCORED - NO JULY MONTHLY ROW",IF(OR(ABS(L804)&gt;0.005,ABS(O804)&gt;0.005,ABS(S804)&gt;0.005),"EXCEPTION","OK"))</f>
        <v>OK</v>
      </c>
      <c r="W804" s="8" t="s">
        <v>5944</v>
      </c>
      <c r="X804" s="8" t="s">
        <v>4099</v>
      </c>
      <c r="Y804" s="36" t="n">
        <f aca="false">K804*N804</f>
        <v>332.8</v>
      </c>
    </row>
    <row r="805" customFormat="false" ht="15" hidden="false" customHeight="false" outlineLevel="0" collapsed="false">
      <c r="A805" s="11" t="s">
        <v>5945</v>
      </c>
      <c r="B805" s="11" t="s">
        <v>211</v>
      </c>
      <c r="C805" s="11" t="s">
        <v>5306</v>
      </c>
      <c r="D805" s="11" t="s">
        <v>3171</v>
      </c>
      <c r="E805" s="11" t="s">
        <v>5946</v>
      </c>
      <c r="F805" s="11" t="s">
        <v>5947</v>
      </c>
      <c r="G805" s="11" t="s">
        <v>4409</v>
      </c>
      <c r="H805" s="11" t="n">
        <v>28</v>
      </c>
      <c r="I805" s="31" t="n">
        <v>60.9</v>
      </c>
      <c r="J805" s="31" t="n">
        <v>61</v>
      </c>
      <c r="K805" s="31" t="n">
        <f aca="false">MAX(ROUNDUP(I805,0),H805)</f>
        <v>61</v>
      </c>
      <c r="L805" s="31" t="n">
        <f aca="false">IF(J805="","",J805-K805)</f>
        <v>0</v>
      </c>
      <c r="M805" s="32" t="n">
        <v>10.4</v>
      </c>
      <c r="N805" s="32" t="n">
        <f aca="false">IF(C805="covered",10.4,7.55)</f>
        <v>10.4</v>
      </c>
      <c r="O805" s="32" t="n">
        <f aca="false">IF(M805="","",M805-N805)</f>
        <v>0</v>
      </c>
      <c r="P805" s="11" t="n">
        <v>1</v>
      </c>
      <c r="Q805" s="33" t="n">
        <v>634.4</v>
      </c>
      <c r="R805" s="33" t="n">
        <f aca="false">IF(OR(J805="",P805=""),"",K805*N805*P805)</f>
        <v>634.4</v>
      </c>
      <c r="S805" s="33" t="n">
        <f aca="false">IF(Q805="","",Q805-R805)</f>
        <v>0</v>
      </c>
      <c r="T805" s="33" t="n">
        <f aca="false">IF(S805="","",MAX(0,-S805))</f>
        <v>-0</v>
      </c>
      <c r="U805" s="33" t="n">
        <f aca="false">IF(S805="","",MAX(0,S805))</f>
        <v>0</v>
      </c>
      <c r="V805" s="11" t="str">
        <f aca="false">IF(J805="","NOT SCORED - NO JULY MONTHLY ROW",IF(OR(ABS(L805)&gt;0.005,ABS(O805)&gt;0.005,ABS(S805)&gt;0.005),"EXCEPTION","OK"))</f>
        <v>OK</v>
      </c>
      <c r="W805" s="11" t="s">
        <v>5948</v>
      </c>
      <c r="X805" s="11" t="s">
        <v>4099</v>
      </c>
      <c r="Y805" s="33" t="n">
        <f aca="false">K805*N805</f>
        <v>634.4</v>
      </c>
    </row>
    <row r="806" customFormat="false" ht="15" hidden="false" customHeight="false" outlineLevel="0" collapsed="false">
      <c r="A806" s="8" t="s">
        <v>5949</v>
      </c>
      <c r="B806" s="8" t="s">
        <v>211</v>
      </c>
      <c r="C806" s="8" t="s">
        <v>5306</v>
      </c>
      <c r="D806" s="8" t="s">
        <v>3176</v>
      </c>
      <c r="E806" s="8" t="s">
        <v>5950</v>
      </c>
      <c r="F806" s="8" t="s">
        <v>5951</v>
      </c>
      <c r="G806" s="8" t="s">
        <v>5230</v>
      </c>
      <c r="H806" s="8" t="n">
        <v>32</v>
      </c>
      <c r="I806" s="34" t="n">
        <v>19.1</v>
      </c>
      <c r="J806" s="34" t="n">
        <v>32</v>
      </c>
      <c r="K806" s="34" t="n">
        <f aca="false">MAX(ROUNDUP(I806,0),H806)</f>
        <v>32</v>
      </c>
      <c r="L806" s="34" t="n">
        <f aca="false">IF(J806="","",J806-K806)</f>
        <v>0</v>
      </c>
      <c r="M806" s="35" t="n">
        <v>10.4</v>
      </c>
      <c r="N806" s="35" t="n">
        <f aca="false">IF(C806="covered",10.4,7.55)</f>
        <v>10.4</v>
      </c>
      <c r="O806" s="35" t="n">
        <f aca="false">IF(M806="","",M806-N806)</f>
        <v>0</v>
      </c>
      <c r="P806" s="8" t="n">
        <v>1</v>
      </c>
      <c r="Q806" s="36" t="n">
        <v>332.8</v>
      </c>
      <c r="R806" s="36" t="n">
        <f aca="false">IF(OR(J806="",P806=""),"",K806*N806*P806)</f>
        <v>332.8</v>
      </c>
      <c r="S806" s="36" t="n">
        <f aca="false">IF(Q806="","",Q806-R806)</f>
        <v>0</v>
      </c>
      <c r="T806" s="36" t="n">
        <f aca="false">IF(S806="","",MAX(0,-S806))</f>
        <v>-0</v>
      </c>
      <c r="U806" s="36" t="n">
        <f aca="false">IF(S806="","",MAX(0,S806))</f>
        <v>0</v>
      </c>
      <c r="V806" s="8" t="str">
        <f aca="false">IF(J806="","NOT SCORED - NO JULY MONTHLY ROW",IF(OR(ABS(L806)&gt;0.005,ABS(O806)&gt;0.005,ABS(S806)&gt;0.005),"EXCEPTION","OK"))</f>
        <v>OK</v>
      </c>
      <c r="W806" s="8" t="s">
        <v>5952</v>
      </c>
      <c r="X806" s="8" t="s">
        <v>4099</v>
      </c>
      <c r="Y806" s="36" t="n">
        <f aca="false">K806*N806</f>
        <v>332.8</v>
      </c>
    </row>
    <row r="807" customFormat="false" ht="15" hidden="false" customHeight="false" outlineLevel="0" collapsed="false">
      <c r="A807" s="11" t="s">
        <v>1955</v>
      </c>
      <c r="B807" s="11" t="s">
        <v>211</v>
      </c>
      <c r="C807" s="11" t="s">
        <v>5306</v>
      </c>
      <c r="D807" s="11" t="s">
        <v>3180</v>
      </c>
      <c r="E807" s="11" t="s">
        <v>1952</v>
      </c>
      <c r="F807" s="11" t="s">
        <v>1953</v>
      </c>
      <c r="G807" s="11" t="s">
        <v>4189</v>
      </c>
      <c r="H807" s="11" t="n">
        <v>32</v>
      </c>
      <c r="I807" s="31" t="n">
        <v>43.9</v>
      </c>
      <c r="J807" s="31" t="n">
        <v>44</v>
      </c>
      <c r="K807" s="31" t="n">
        <f aca="false">MAX(ROUNDUP(I807,0),H807)</f>
        <v>44</v>
      </c>
      <c r="L807" s="31" t="n">
        <f aca="false">IF(J807="","",J807-K807)</f>
        <v>0</v>
      </c>
      <c r="M807" s="32" t="n">
        <v>10.4</v>
      </c>
      <c r="N807" s="32" t="n">
        <f aca="false">IF(C807="covered",10.4,7.55)</f>
        <v>10.4</v>
      </c>
      <c r="O807" s="32" t="n">
        <f aca="false">IF(M807="","",M807-N807)</f>
        <v>0</v>
      </c>
      <c r="P807" s="11" t="n">
        <v>1</v>
      </c>
      <c r="Q807" s="33" t="n">
        <v>457.6</v>
      </c>
      <c r="R807" s="33" t="n">
        <f aca="false">IF(OR(J807="",P807=""),"",K807*N807*P807)</f>
        <v>457.6</v>
      </c>
      <c r="S807" s="33" t="n">
        <f aca="false">IF(Q807="","",Q807-R807)</f>
        <v>0</v>
      </c>
      <c r="T807" s="33" t="n">
        <f aca="false">IF(S807="","",MAX(0,-S807))</f>
        <v>-0</v>
      </c>
      <c r="U807" s="33" t="n">
        <f aca="false">IF(S807="","",MAX(0,S807))</f>
        <v>0</v>
      </c>
      <c r="V807" s="11" t="str">
        <f aca="false">IF(J807="","NOT SCORED - NO JULY MONTHLY ROW",IF(OR(ABS(L807)&gt;0.005,ABS(O807)&gt;0.005,ABS(S807)&gt;0.005),"EXCEPTION","OK"))</f>
        <v>OK</v>
      </c>
      <c r="W807" s="11" t="s">
        <v>5953</v>
      </c>
      <c r="X807" s="11" t="s">
        <v>4099</v>
      </c>
      <c r="Y807" s="33" t="n">
        <f aca="false">K807*N807</f>
        <v>457.6</v>
      </c>
    </row>
    <row r="808" customFormat="false" ht="15" hidden="false" customHeight="false" outlineLevel="0" collapsed="false">
      <c r="A808" s="8" t="s">
        <v>5954</v>
      </c>
      <c r="B808" s="8" t="s">
        <v>211</v>
      </c>
      <c r="C808" s="8" t="s">
        <v>5306</v>
      </c>
      <c r="D808" s="8" t="s">
        <v>3185</v>
      </c>
      <c r="E808" s="8" t="s">
        <v>5955</v>
      </c>
      <c r="F808" s="8" t="s">
        <v>5956</v>
      </c>
      <c r="G808" s="8" t="s">
        <v>3700</v>
      </c>
      <c r="H808" s="8" t="n">
        <v>28</v>
      </c>
      <c r="I808" s="34" t="n">
        <v>53.2</v>
      </c>
      <c r="J808" s="34" t="n">
        <v>54</v>
      </c>
      <c r="K808" s="34" t="n">
        <f aca="false">MAX(ROUNDUP(I808,0),H808)</f>
        <v>54</v>
      </c>
      <c r="L808" s="34" t="n">
        <f aca="false">IF(J808="","",J808-K808)</f>
        <v>0</v>
      </c>
      <c r="M808" s="35" t="n">
        <v>10.4</v>
      </c>
      <c r="N808" s="35" t="n">
        <f aca="false">IF(C808="covered",10.4,7.55)</f>
        <v>10.4</v>
      </c>
      <c r="O808" s="35" t="n">
        <f aca="false">IF(M808="","",M808-N808)</f>
        <v>0</v>
      </c>
      <c r="P808" s="8" t="n">
        <v>1</v>
      </c>
      <c r="Q808" s="36" t="n">
        <v>561.6</v>
      </c>
      <c r="R808" s="36" t="n">
        <f aca="false">IF(OR(J808="",P808=""),"",K808*N808*P808)</f>
        <v>561.6</v>
      </c>
      <c r="S808" s="36" t="n">
        <f aca="false">IF(Q808="","",Q808-R808)</f>
        <v>0</v>
      </c>
      <c r="T808" s="36" t="n">
        <f aca="false">IF(S808="","",MAX(0,-S808))</f>
        <v>-0</v>
      </c>
      <c r="U808" s="36" t="n">
        <f aca="false">IF(S808="","",MAX(0,S808))</f>
        <v>0</v>
      </c>
      <c r="V808" s="8" t="str">
        <f aca="false">IF(J808="","NOT SCORED - NO JULY MONTHLY ROW",IF(OR(ABS(L808)&gt;0.005,ABS(O808)&gt;0.005,ABS(S808)&gt;0.005),"EXCEPTION","OK"))</f>
        <v>OK</v>
      </c>
      <c r="W808" s="8" t="s">
        <v>5957</v>
      </c>
      <c r="X808" s="8" t="s">
        <v>4099</v>
      </c>
      <c r="Y808" s="36" t="n">
        <f aca="false">K808*N808</f>
        <v>561.6</v>
      </c>
    </row>
    <row r="809" customFormat="false" ht="15" hidden="false" customHeight="false" outlineLevel="0" collapsed="false">
      <c r="A809" s="11" t="s">
        <v>1262</v>
      </c>
      <c r="B809" s="11" t="s">
        <v>211</v>
      </c>
      <c r="C809" s="11" t="s">
        <v>5306</v>
      </c>
      <c r="D809" s="11" t="s">
        <v>3190</v>
      </c>
      <c r="E809" s="11" t="s">
        <v>5958</v>
      </c>
      <c r="F809" s="11" t="s">
        <v>5959</v>
      </c>
      <c r="G809" s="11" t="s">
        <v>4780</v>
      </c>
      <c r="H809" s="11" t="n">
        <v>36</v>
      </c>
      <c r="I809" s="31" t="n">
        <v>60.7</v>
      </c>
      <c r="J809" s="31" t="n">
        <v>61</v>
      </c>
      <c r="K809" s="31" t="n">
        <f aca="false">MAX(ROUNDUP(I809,0),H809)</f>
        <v>61</v>
      </c>
      <c r="L809" s="31" t="n">
        <f aca="false">IF(J809="","",J809-K809)</f>
        <v>0</v>
      </c>
      <c r="M809" s="32" t="n">
        <v>10.4</v>
      </c>
      <c r="N809" s="32" t="n">
        <f aca="false">IF(C809="covered",10.4,7.55)</f>
        <v>10.4</v>
      </c>
      <c r="O809" s="32" t="n">
        <f aca="false">IF(M809="","",M809-N809)</f>
        <v>0</v>
      </c>
      <c r="P809" s="11" t="n">
        <v>1</v>
      </c>
      <c r="Q809" s="33" t="n">
        <v>634.4</v>
      </c>
      <c r="R809" s="33" t="n">
        <f aca="false">IF(OR(J809="",P809=""),"",K809*N809*P809)</f>
        <v>634.4</v>
      </c>
      <c r="S809" s="33" t="n">
        <f aca="false">IF(Q809="","",Q809-R809)</f>
        <v>0</v>
      </c>
      <c r="T809" s="33" t="n">
        <f aca="false">IF(S809="","",MAX(0,-S809))</f>
        <v>-0</v>
      </c>
      <c r="U809" s="33" t="n">
        <f aca="false">IF(S809="","",MAX(0,S809))</f>
        <v>0</v>
      </c>
      <c r="V809" s="11" t="str">
        <f aca="false">IF(J809="","NOT SCORED - NO JULY MONTHLY ROW",IF(OR(ABS(L809)&gt;0.005,ABS(O809)&gt;0.005,ABS(S809)&gt;0.005),"EXCEPTION","OK"))</f>
        <v>OK</v>
      </c>
      <c r="W809" s="11" t="s">
        <v>5960</v>
      </c>
      <c r="X809" s="11" t="s">
        <v>4099</v>
      </c>
      <c r="Y809" s="33" t="n">
        <f aca="false">K809*N809</f>
        <v>634.4</v>
      </c>
    </row>
    <row r="810" customFormat="false" ht="15" hidden="false" customHeight="false" outlineLevel="0" collapsed="false">
      <c r="A810" s="8" t="s">
        <v>5961</v>
      </c>
      <c r="B810" s="8" t="s">
        <v>211</v>
      </c>
      <c r="C810" s="8" t="s">
        <v>5306</v>
      </c>
      <c r="D810" s="8" t="s">
        <v>3194</v>
      </c>
      <c r="E810" s="8" t="s">
        <v>5962</v>
      </c>
      <c r="F810" s="8" t="s">
        <v>5963</v>
      </c>
      <c r="G810" s="8" t="s">
        <v>5964</v>
      </c>
      <c r="H810" s="8" t="n">
        <v>24</v>
      </c>
      <c r="I810" s="34" t="n">
        <v>42.5</v>
      </c>
      <c r="J810" s="34" t="n">
        <v>43</v>
      </c>
      <c r="K810" s="34" t="n">
        <f aca="false">MAX(ROUNDUP(I810,0),H810)</f>
        <v>43</v>
      </c>
      <c r="L810" s="34" t="n">
        <f aca="false">IF(J810="","",J810-K810)</f>
        <v>0</v>
      </c>
      <c r="M810" s="35" t="n">
        <v>10.4</v>
      </c>
      <c r="N810" s="35" t="n">
        <f aca="false">IF(C810="covered",10.4,7.55)</f>
        <v>10.4</v>
      </c>
      <c r="O810" s="35" t="n">
        <f aca="false">IF(M810="","",M810-N810)</f>
        <v>0</v>
      </c>
      <c r="P810" s="8" t="n">
        <v>1</v>
      </c>
      <c r="Q810" s="36" t="n">
        <v>447.2</v>
      </c>
      <c r="R810" s="36" t="n">
        <f aca="false">IF(OR(J810="",P810=""),"",K810*N810*P810)</f>
        <v>447.2</v>
      </c>
      <c r="S810" s="36" t="n">
        <f aca="false">IF(Q810="","",Q810-R810)</f>
        <v>0</v>
      </c>
      <c r="T810" s="36" t="n">
        <f aca="false">IF(S810="","",MAX(0,-S810))</f>
        <v>-0</v>
      </c>
      <c r="U810" s="36" t="n">
        <f aca="false">IF(S810="","",MAX(0,S810))</f>
        <v>0</v>
      </c>
      <c r="V810" s="8" t="str">
        <f aca="false">IF(J810="","NOT SCORED - NO JULY MONTHLY ROW",IF(OR(ABS(L810)&gt;0.005,ABS(O810)&gt;0.005,ABS(S810)&gt;0.005),"EXCEPTION","OK"))</f>
        <v>OK</v>
      </c>
      <c r="W810" s="8" t="s">
        <v>5965</v>
      </c>
      <c r="X810" s="8" t="s">
        <v>4099</v>
      </c>
      <c r="Y810" s="36" t="n">
        <f aca="false">K810*N810</f>
        <v>447.2</v>
      </c>
    </row>
    <row r="811" customFormat="false" ht="15" hidden="false" customHeight="false" outlineLevel="0" collapsed="false">
      <c r="A811" s="11" t="s">
        <v>5966</v>
      </c>
      <c r="B811" s="11" t="s">
        <v>211</v>
      </c>
      <c r="C811" s="11" t="s">
        <v>5306</v>
      </c>
      <c r="D811" s="11" t="s">
        <v>4043</v>
      </c>
      <c r="E811" s="11" t="s">
        <v>5967</v>
      </c>
      <c r="F811" s="11" t="s">
        <v>5968</v>
      </c>
      <c r="G811" s="11" t="s">
        <v>3188</v>
      </c>
      <c r="H811" s="11" t="n">
        <v>40</v>
      </c>
      <c r="I811" s="31" t="n">
        <v>48.1</v>
      </c>
      <c r="J811" s="31" t="n">
        <v>49</v>
      </c>
      <c r="K811" s="31" t="n">
        <f aca="false">MAX(ROUNDUP(I811,0),H811)</f>
        <v>49</v>
      </c>
      <c r="L811" s="31" t="n">
        <f aca="false">IF(J811="","",J811-K811)</f>
        <v>0</v>
      </c>
      <c r="M811" s="32" t="n">
        <v>10.4</v>
      </c>
      <c r="N811" s="32" t="n">
        <f aca="false">IF(C811="covered",10.4,7.55)</f>
        <v>10.4</v>
      </c>
      <c r="O811" s="32" t="n">
        <f aca="false">IF(M811="","",M811-N811)</f>
        <v>0</v>
      </c>
      <c r="P811" s="11" t="n">
        <v>1</v>
      </c>
      <c r="Q811" s="33" t="n">
        <v>509.6</v>
      </c>
      <c r="R811" s="33" t="n">
        <f aca="false">IF(OR(J811="",P811=""),"",K811*N811*P811)</f>
        <v>509.6</v>
      </c>
      <c r="S811" s="33" t="n">
        <f aca="false">IF(Q811="","",Q811-R811)</f>
        <v>0</v>
      </c>
      <c r="T811" s="33" t="n">
        <f aca="false">IF(S811="","",MAX(0,-S811))</f>
        <v>-0</v>
      </c>
      <c r="U811" s="33" t="n">
        <f aca="false">IF(S811="","",MAX(0,S811))</f>
        <v>0</v>
      </c>
      <c r="V811" s="11" t="str">
        <f aca="false">IF(J811="","NOT SCORED - NO JULY MONTHLY ROW",IF(OR(ABS(L811)&gt;0.005,ABS(O811)&gt;0.005,ABS(S811)&gt;0.005),"EXCEPTION","OK"))</f>
        <v>OK</v>
      </c>
      <c r="W811" s="11" t="s">
        <v>5969</v>
      </c>
      <c r="X811" s="11" t="s">
        <v>4099</v>
      </c>
      <c r="Y811" s="33" t="n">
        <f aca="false">K811*N811</f>
        <v>509.6</v>
      </c>
    </row>
    <row r="812" customFormat="false" ht="15" hidden="false" customHeight="false" outlineLevel="0" collapsed="false">
      <c r="A812" s="8" t="s">
        <v>1430</v>
      </c>
      <c r="B812" s="8" t="s">
        <v>211</v>
      </c>
      <c r="C812" s="8" t="s">
        <v>5306</v>
      </c>
      <c r="D812" s="8" t="s">
        <v>3198</v>
      </c>
      <c r="E812" s="8" t="s">
        <v>5970</v>
      </c>
      <c r="F812" s="8" t="s">
        <v>5971</v>
      </c>
      <c r="G812" s="8" t="s">
        <v>5972</v>
      </c>
      <c r="H812" s="8" t="n">
        <v>40</v>
      </c>
      <c r="I812" s="34" t="n">
        <v>24.3</v>
      </c>
      <c r="J812" s="34" t="n">
        <v>40</v>
      </c>
      <c r="K812" s="34" t="n">
        <f aca="false">MAX(ROUNDUP(I812,0),H812)</f>
        <v>40</v>
      </c>
      <c r="L812" s="34" t="n">
        <f aca="false">IF(J812="","",J812-K812)</f>
        <v>0</v>
      </c>
      <c r="M812" s="35" t="n">
        <v>10.4</v>
      </c>
      <c r="N812" s="35" t="n">
        <f aca="false">IF(C812="covered",10.4,7.55)</f>
        <v>10.4</v>
      </c>
      <c r="O812" s="35" t="n">
        <f aca="false">IF(M812="","",M812-N812)</f>
        <v>0</v>
      </c>
      <c r="P812" s="8" t="n">
        <v>1</v>
      </c>
      <c r="Q812" s="36" t="n">
        <v>416</v>
      </c>
      <c r="R812" s="36" t="n">
        <f aca="false">IF(OR(J812="",P812=""),"",K812*N812*P812)</f>
        <v>416</v>
      </c>
      <c r="S812" s="36" t="n">
        <f aca="false">IF(Q812="","",Q812-R812)</f>
        <v>0</v>
      </c>
      <c r="T812" s="36" t="n">
        <f aca="false">IF(S812="","",MAX(0,-S812))</f>
        <v>-0</v>
      </c>
      <c r="U812" s="36" t="n">
        <f aca="false">IF(S812="","",MAX(0,S812))</f>
        <v>0</v>
      </c>
      <c r="V812" s="8" t="str">
        <f aca="false">IF(J812="","NOT SCORED - NO JULY MONTHLY ROW",IF(OR(ABS(L812)&gt;0.005,ABS(O812)&gt;0.005,ABS(S812)&gt;0.005),"EXCEPTION","OK"))</f>
        <v>OK</v>
      </c>
      <c r="W812" s="8" t="s">
        <v>5973</v>
      </c>
      <c r="X812" s="8" t="s">
        <v>4099</v>
      </c>
      <c r="Y812" s="36" t="n">
        <f aca="false">K812*N812</f>
        <v>416</v>
      </c>
    </row>
    <row r="813" customFormat="false" ht="15" hidden="false" customHeight="false" outlineLevel="0" collapsed="false">
      <c r="A813" s="11" t="s">
        <v>5974</v>
      </c>
      <c r="B813" s="11" t="s">
        <v>211</v>
      </c>
      <c r="C813" s="11" t="s">
        <v>5306</v>
      </c>
      <c r="D813" s="11" t="s">
        <v>3201</v>
      </c>
      <c r="E813" s="11" t="s">
        <v>5975</v>
      </c>
      <c r="F813" s="11" t="s">
        <v>5976</v>
      </c>
      <c r="G813" s="11" t="s">
        <v>5240</v>
      </c>
      <c r="H813" s="11" t="n">
        <v>32</v>
      </c>
      <c r="I813" s="31" t="n">
        <v>57.6</v>
      </c>
      <c r="J813" s="31" t="n">
        <v>58</v>
      </c>
      <c r="K813" s="31" t="n">
        <f aca="false">MAX(ROUNDUP(I813,0),H813)</f>
        <v>58</v>
      </c>
      <c r="L813" s="31" t="n">
        <f aca="false">IF(J813="","",J813-K813)</f>
        <v>0</v>
      </c>
      <c r="M813" s="32" t="n">
        <v>10.4</v>
      </c>
      <c r="N813" s="32" t="n">
        <f aca="false">IF(C813="covered",10.4,7.55)</f>
        <v>10.4</v>
      </c>
      <c r="O813" s="32" t="n">
        <f aca="false">IF(M813="","",M813-N813)</f>
        <v>0</v>
      </c>
      <c r="P813" s="11" t="n">
        <v>1</v>
      </c>
      <c r="Q813" s="33" t="n">
        <v>603.2</v>
      </c>
      <c r="R813" s="33" t="n">
        <f aca="false">IF(OR(J813="",P813=""),"",K813*N813*P813)</f>
        <v>603.2</v>
      </c>
      <c r="S813" s="33" t="n">
        <f aca="false">IF(Q813="","",Q813-R813)</f>
        <v>0</v>
      </c>
      <c r="T813" s="33" t="n">
        <f aca="false">IF(S813="","",MAX(0,-S813))</f>
        <v>-0</v>
      </c>
      <c r="U813" s="33" t="n">
        <f aca="false">IF(S813="","",MAX(0,S813))</f>
        <v>0</v>
      </c>
      <c r="V813" s="11" t="str">
        <f aca="false">IF(J813="","NOT SCORED - NO JULY MONTHLY ROW",IF(OR(ABS(L813)&gt;0.005,ABS(O813)&gt;0.005,ABS(S813)&gt;0.005),"EXCEPTION","OK"))</f>
        <v>OK</v>
      </c>
      <c r="W813" s="11" t="s">
        <v>5977</v>
      </c>
      <c r="X813" s="11" t="s">
        <v>4099</v>
      </c>
      <c r="Y813" s="33" t="n">
        <f aca="false">K813*N813</f>
        <v>603.2</v>
      </c>
    </row>
    <row r="814" customFormat="false" ht="15" hidden="false" customHeight="false" outlineLevel="0" collapsed="false">
      <c r="A814" s="8" t="s">
        <v>5978</v>
      </c>
      <c r="B814" s="8" t="s">
        <v>211</v>
      </c>
      <c r="C814" s="8" t="s">
        <v>5306</v>
      </c>
      <c r="D814" s="8" t="s">
        <v>3206</v>
      </c>
      <c r="E814" s="8" t="s">
        <v>502</v>
      </c>
      <c r="F814" s="8" t="s">
        <v>503</v>
      </c>
      <c r="G814" s="8" t="s">
        <v>4368</v>
      </c>
      <c r="H814" s="8" t="n">
        <v>36</v>
      </c>
      <c r="I814" s="34" t="n">
        <v>20.2</v>
      </c>
      <c r="J814" s="34" t="n">
        <v>36</v>
      </c>
      <c r="K814" s="34" t="n">
        <f aca="false">MAX(ROUNDUP(I814,0),H814)</f>
        <v>36</v>
      </c>
      <c r="L814" s="34" t="n">
        <f aca="false">IF(J814="","",J814-K814)</f>
        <v>0</v>
      </c>
      <c r="M814" s="35" t="n">
        <v>10.4</v>
      </c>
      <c r="N814" s="35" t="n">
        <f aca="false">IF(C814="covered",10.4,7.55)</f>
        <v>10.4</v>
      </c>
      <c r="O814" s="35" t="n">
        <f aca="false">IF(M814="","",M814-N814)</f>
        <v>0</v>
      </c>
      <c r="P814" s="8" t="n">
        <v>1</v>
      </c>
      <c r="Q814" s="36" t="n">
        <v>374.4</v>
      </c>
      <c r="R814" s="36" t="n">
        <f aca="false">IF(OR(J814="",P814=""),"",K814*N814*P814)</f>
        <v>374.4</v>
      </c>
      <c r="S814" s="36" t="n">
        <f aca="false">IF(Q814="","",Q814-R814)</f>
        <v>0</v>
      </c>
      <c r="T814" s="36" t="n">
        <f aca="false">IF(S814="","",MAX(0,-S814))</f>
        <v>-0</v>
      </c>
      <c r="U814" s="36" t="n">
        <f aca="false">IF(S814="","",MAX(0,S814))</f>
        <v>0</v>
      </c>
      <c r="V814" s="8" t="str">
        <f aca="false">IF(J814="","NOT SCORED - NO JULY MONTHLY ROW",IF(OR(ABS(L814)&gt;0.005,ABS(O814)&gt;0.005,ABS(S814)&gt;0.005),"EXCEPTION","OK"))</f>
        <v>OK</v>
      </c>
      <c r="W814" s="8" t="s">
        <v>5979</v>
      </c>
      <c r="X814" s="8" t="s">
        <v>4099</v>
      </c>
      <c r="Y814" s="36" t="n">
        <f aca="false">K814*N814</f>
        <v>374.4</v>
      </c>
    </row>
    <row r="815" customFormat="false" ht="15" hidden="false" customHeight="false" outlineLevel="0" collapsed="false">
      <c r="A815" s="11" t="s">
        <v>5980</v>
      </c>
      <c r="B815" s="11" t="s">
        <v>211</v>
      </c>
      <c r="C815" s="11" t="s">
        <v>5306</v>
      </c>
      <c r="D815" s="11" t="s">
        <v>3210</v>
      </c>
      <c r="E815" s="11" t="s">
        <v>5981</v>
      </c>
      <c r="F815" s="11" t="s">
        <v>5982</v>
      </c>
      <c r="G815" s="11" t="s">
        <v>5983</v>
      </c>
      <c r="H815" s="11" t="n">
        <v>32</v>
      </c>
      <c r="I815" s="31" t="n">
        <v>61.6</v>
      </c>
      <c r="J815" s="31" t="n">
        <v>62</v>
      </c>
      <c r="K815" s="31" t="n">
        <f aca="false">MAX(ROUNDUP(I815,0),H815)</f>
        <v>62</v>
      </c>
      <c r="L815" s="31" t="n">
        <f aca="false">IF(J815="","",J815-K815)</f>
        <v>0</v>
      </c>
      <c r="M815" s="32" t="n">
        <v>10.4</v>
      </c>
      <c r="N815" s="32" t="n">
        <f aca="false">IF(C815="covered",10.4,7.55)</f>
        <v>10.4</v>
      </c>
      <c r="O815" s="32" t="n">
        <f aca="false">IF(M815="","",M815-N815)</f>
        <v>0</v>
      </c>
      <c r="P815" s="11" t="n">
        <v>1</v>
      </c>
      <c r="Q815" s="33" t="n">
        <v>644.8</v>
      </c>
      <c r="R815" s="33" t="n">
        <f aca="false">IF(OR(J815="",P815=""),"",K815*N815*P815)</f>
        <v>644.8</v>
      </c>
      <c r="S815" s="33" t="n">
        <f aca="false">IF(Q815="","",Q815-R815)</f>
        <v>0</v>
      </c>
      <c r="T815" s="33" t="n">
        <f aca="false">IF(S815="","",MAX(0,-S815))</f>
        <v>-0</v>
      </c>
      <c r="U815" s="33" t="n">
        <f aca="false">IF(S815="","",MAX(0,S815))</f>
        <v>0</v>
      </c>
      <c r="V815" s="11" t="str">
        <f aca="false">IF(J815="","NOT SCORED - NO JULY MONTHLY ROW",IF(OR(ABS(L815)&gt;0.005,ABS(O815)&gt;0.005,ABS(S815)&gt;0.005),"EXCEPTION","OK"))</f>
        <v>OK</v>
      </c>
      <c r="W815" s="11" t="s">
        <v>5984</v>
      </c>
      <c r="X815" s="11" t="s">
        <v>4099</v>
      </c>
      <c r="Y815" s="33" t="n">
        <f aca="false">K815*N815</f>
        <v>644.8</v>
      </c>
    </row>
    <row r="816" customFormat="false" ht="15" hidden="false" customHeight="false" outlineLevel="0" collapsed="false">
      <c r="A816" s="8" t="s">
        <v>5985</v>
      </c>
      <c r="B816" s="8" t="s">
        <v>211</v>
      </c>
      <c r="C816" s="8" t="s">
        <v>5306</v>
      </c>
      <c r="D816" s="8" t="s">
        <v>3214</v>
      </c>
      <c r="E816" s="8" t="s">
        <v>5986</v>
      </c>
      <c r="F816" s="8" t="s">
        <v>5987</v>
      </c>
      <c r="G816" s="8" t="s">
        <v>5473</v>
      </c>
      <c r="H816" s="8" t="n">
        <v>36</v>
      </c>
      <c r="I816" s="34" t="n">
        <v>53.6</v>
      </c>
      <c r="J816" s="34" t="n">
        <v>54</v>
      </c>
      <c r="K816" s="34" t="n">
        <f aca="false">MAX(ROUNDUP(I816,0),H816)</f>
        <v>54</v>
      </c>
      <c r="L816" s="34" t="n">
        <f aca="false">IF(J816="","",J816-K816)</f>
        <v>0</v>
      </c>
      <c r="M816" s="35" t="n">
        <v>10.4</v>
      </c>
      <c r="N816" s="35" t="n">
        <f aca="false">IF(C816="covered",10.4,7.55)</f>
        <v>10.4</v>
      </c>
      <c r="O816" s="35" t="n">
        <f aca="false">IF(M816="","",M816-N816)</f>
        <v>0</v>
      </c>
      <c r="P816" s="8" t="n">
        <v>1</v>
      </c>
      <c r="Q816" s="36" t="n">
        <v>561.6</v>
      </c>
      <c r="R816" s="36" t="n">
        <f aca="false">IF(OR(J816="",P816=""),"",K816*N816*P816)</f>
        <v>561.6</v>
      </c>
      <c r="S816" s="36" t="n">
        <f aca="false">IF(Q816="","",Q816-R816)</f>
        <v>0</v>
      </c>
      <c r="T816" s="36" t="n">
        <f aca="false">IF(S816="","",MAX(0,-S816))</f>
        <v>-0</v>
      </c>
      <c r="U816" s="36" t="n">
        <f aca="false">IF(S816="","",MAX(0,S816))</f>
        <v>0</v>
      </c>
      <c r="V816" s="8" t="str">
        <f aca="false">IF(J816="","NOT SCORED - NO JULY MONTHLY ROW",IF(OR(ABS(L816)&gt;0.005,ABS(O816)&gt;0.005,ABS(S816)&gt;0.005),"EXCEPTION","OK"))</f>
        <v>OK</v>
      </c>
      <c r="W816" s="8" t="s">
        <v>5988</v>
      </c>
      <c r="X816" s="8" t="s">
        <v>4099</v>
      </c>
      <c r="Y816" s="36" t="n">
        <f aca="false">K816*N816</f>
        <v>561.6</v>
      </c>
    </row>
    <row r="817" customFormat="false" ht="15" hidden="false" customHeight="false" outlineLevel="0" collapsed="false">
      <c r="A817" s="11" t="s">
        <v>285</v>
      </c>
      <c r="B817" s="11" t="s">
        <v>211</v>
      </c>
      <c r="C817" s="11" t="s">
        <v>5306</v>
      </c>
      <c r="D817" s="11" t="s">
        <v>3219</v>
      </c>
      <c r="E817" s="11" t="s">
        <v>5989</v>
      </c>
      <c r="F817" s="11" t="s">
        <v>5990</v>
      </c>
      <c r="G817" s="11" t="s">
        <v>5991</v>
      </c>
      <c r="H817" s="11" t="n">
        <v>28</v>
      </c>
      <c r="I817" s="31" t="n">
        <v>57.3</v>
      </c>
      <c r="J817" s="31" t="n">
        <v>58</v>
      </c>
      <c r="K817" s="31" t="n">
        <f aca="false">MAX(ROUNDUP(I817,0),H817)</f>
        <v>58</v>
      </c>
      <c r="L817" s="31" t="n">
        <f aca="false">IF(J817="","",J817-K817)</f>
        <v>0</v>
      </c>
      <c r="M817" s="32" t="n">
        <v>10.4</v>
      </c>
      <c r="N817" s="32" t="n">
        <f aca="false">IF(C817="covered",10.4,7.55)</f>
        <v>10.4</v>
      </c>
      <c r="O817" s="32" t="n">
        <f aca="false">IF(M817="","",M817-N817)</f>
        <v>0</v>
      </c>
      <c r="P817" s="11" t="n">
        <v>1</v>
      </c>
      <c r="Q817" s="33" t="n">
        <v>603.2</v>
      </c>
      <c r="R817" s="33" t="n">
        <f aca="false">IF(OR(J817="",P817=""),"",K817*N817*P817)</f>
        <v>603.2</v>
      </c>
      <c r="S817" s="33" t="n">
        <f aca="false">IF(Q817="","",Q817-R817)</f>
        <v>0</v>
      </c>
      <c r="T817" s="33" t="n">
        <f aca="false">IF(S817="","",MAX(0,-S817))</f>
        <v>-0</v>
      </c>
      <c r="U817" s="33" t="n">
        <f aca="false">IF(S817="","",MAX(0,S817))</f>
        <v>0</v>
      </c>
      <c r="V817" s="11" t="str">
        <f aca="false">IF(J817="","NOT SCORED - NO JULY MONTHLY ROW",IF(OR(ABS(L817)&gt;0.005,ABS(O817)&gt;0.005,ABS(S817)&gt;0.005),"EXCEPTION","OK"))</f>
        <v>OK</v>
      </c>
      <c r="W817" s="11" t="s">
        <v>5992</v>
      </c>
      <c r="X817" s="11" t="s">
        <v>4099</v>
      </c>
      <c r="Y817" s="33" t="n">
        <f aca="false">K817*N817</f>
        <v>603.2</v>
      </c>
    </row>
    <row r="818" customFormat="false" ht="15" hidden="false" customHeight="false" outlineLevel="0" collapsed="false">
      <c r="A818" s="8" t="s">
        <v>5993</v>
      </c>
      <c r="B818" s="8" t="s">
        <v>211</v>
      </c>
      <c r="C818" s="8" t="s">
        <v>5306</v>
      </c>
      <c r="D818" s="8" t="s">
        <v>3224</v>
      </c>
      <c r="E818" s="8" t="s">
        <v>5994</v>
      </c>
      <c r="F818" s="8" t="s">
        <v>5995</v>
      </c>
      <c r="G818" s="8" t="s">
        <v>4912</v>
      </c>
      <c r="H818" s="8" t="n">
        <v>24</v>
      </c>
      <c r="I818" s="34" t="n">
        <v>45.7</v>
      </c>
      <c r="J818" s="34" t="n">
        <v>46</v>
      </c>
      <c r="K818" s="34" t="n">
        <f aca="false">MAX(ROUNDUP(I818,0),H818)</f>
        <v>46</v>
      </c>
      <c r="L818" s="34" t="n">
        <f aca="false">IF(J818="","",J818-K818)</f>
        <v>0</v>
      </c>
      <c r="M818" s="35" t="n">
        <v>10.4</v>
      </c>
      <c r="N818" s="35" t="n">
        <f aca="false">IF(C818="covered",10.4,7.55)</f>
        <v>10.4</v>
      </c>
      <c r="O818" s="35" t="n">
        <f aca="false">IF(M818="","",M818-N818)</f>
        <v>0</v>
      </c>
      <c r="P818" s="8" t="n">
        <v>1</v>
      </c>
      <c r="Q818" s="36" t="n">
        <v>478.4</v>
      </c>
      <c r="R818" s="36" t="n">
        <f aca="false">IF(OR(J818="",P818=""),"",K818*N818*P818)</f>
        <v>478.4</v>
      </c>
      <c r="S818" s="36" t="n">
        <f aca="false">IF(Q818="","",Q818-R818)</f>
        <v>0</v>
      </c>
      <c r="T818" s="36" t="n">
        <f aca="false">IF(S818="","",MAX(0,-S818))</f>
        <v>-0</v>
      </c>
      <c r="U818" s="36" t="n">
        <f aca="false">IF(S818="","",MAX(0,S818))</f>
        <v>0</v>
      </c>
      <c r="V818" s="8" t="str">
        <f aca="false">IF(J818="","NOT SCORED - NO JULY MONTHLY ROW",IF(OR(ABS(L818)&gt;0.005,ABS(O818)&gt;0.005,ABS(S818)&gt;0.005),"EXCEPTION","OK"))</f>
        <v>OK</v>
      </c>
      <c r="W818" s="8" t="s">
        <v>5996</v>
      </c>
      <c r="X818" s="8" t="s">
        <v>4099</v>
      </c>
      <c r="Y818" s="36" t="n">
        <f aca="false">K818*N818</f>
        <v>478.4</v>
      </c>
    </row>
    <row r="819" customFormat="false" ht="15" hidden="false" customHeight="false" outlineLevel="0" collapsed="false">
      <c r="A819" s="11" t="s">
        <v>1699</v>
      </c>
      <c r="B819" s="11" t="s">
        <v>211</v>
      </c>
      <c r="C819" s="11" t="s">
        <v>5306</v>
      </c>
      <c r="D819" s="11" t="s">
        <v>3228</v>
      </c>
      <c r="E819" s="11" t="s">
        <v>5997</v>
      </c>
      <c r="F819" s="11" t="s">
        <v>5998</v>
      </c>
      <c r="G819" s="11" t="s">
        <v>5329</v>
      </c>
      <c r="H819" s="11" t="n">
        <v>28</v>
      </c>
      <c r="I819" s="31" t="n">
        <v>49.9</v>
      </c>
      <c r="J819" s="31" t="n">
        <v>50</v>
      </c>
      <c r="K819" s="31" t="n">
        <f aca="false">MAX(ROUNDUP(I819,0),H819)</f>
        <v>50</v>
      </c>
      <c r="L819" s="31" t="n">
        <f aca="false">IF(J819="","",J819-K819)</f>
        <v>0</v>
      </c>
      <c r="M819" s="32" t="n">
        <v>10.4</v>
      </c>
      <c r="N819" s="32" t="n">
        <f aca="false">IF(C819="covered",10.4,7.55)</f>
        <v>10.4</v>
      </c>
      <c r="O819" s="32" t="n">
        <f aca="false">IF(M819="","",M819-N819)</f>
        <v>0</v>
      </c>
      <c r="P819" s="11" t="n">
        <v>1</v>
      </c>
      <c r="Q819" s="33" t="n">
        <v>520</v>
      </c>
      <c r="R819" s="33" t="n">
        <f aca="false">IF(OR(J819="",P819=""),"",K819*N819*P819)</f>
        <v>520</v>
      </c>
      <c r="S819" s="33" t="n">
        <f aca="false">IF(Q819="","",Q819-R819)</f>
        <v>0</v>
      </c>
      <c r="T819" s="33" t="n">
        <f aca="false">IF(S819="","",MAX(0,-S819))</f>
        <v>-0</v>
      </c>
      <c r="U819" s="33" t="n">
        <f aca="false">IF(S819="","",MAX(0,S819))</f>
        <v>0</v>
      </c>
      <c r="V819" s="11" t="str">
        <f aca="false">IF(J819="","NOT SCORED - NO JULY MONTHLY ROW",IF(OR(ABS(L819)&gt;0.005,ABS(O819)&gt;0.005,ABS(S819)&gt;0.005),"EXCEPTION","OK"))</f>
        <v>OK</v>
      </c>
      <c r="W819" s="11" t="s">
        <v>5999</v>
      </c>
      <c r="X819" s="11" t="s">
        <v>4099</v>
      </c>
      <c r="Y819" s="33" t="n">
        <f aca="false">K819*N819</f>
        <v>520</v>
      </c>
    </row>
    <row r="820" customFormat="false" ht="15" hidden="false" customHeight="false" outlineLevel="0" collapsed="false">
      <c r="A820" s="8" t="s">
        <v>6000</v>
      </c>
      <c r="B820" s="8" t="s">
        <v>211</v>
      </c>
      <c r="C820" s="8" t="s">
        <v>5306</v>
      </c>
      <c r="D820" s="8" t="s">
        <v>3233</v>
      </c>
      <c r="E820" s="8" t="s">
        <v>1359</v>
      </c>
      <c r="F820" s="8" t="s">
        <v>1360</v>
      </c>
      <c r="G820" s="8" t="s">
        <v>3594</v>
      </c>
      <c r="H820" s="8" t="n">
        <v>24</v>
      </c>
      <c r="I820" s="34" t="n">
        <v>46.7</v>
      </c>
      <c r="J820" s="34" t="n">
        <v>47</v>
      </c>
      <c r="K820" s="34" t="n">
        <f aca="false">MAX(ROUNDUP(I820,0),H820)</f>
        <v>47</v>
      </c>
      <c r="L820" s="34" t="n">
        <f aca="false">IF(J820="","",J820-K820)</f>
        <v>0</v>
      </c>
      <c r="M820" s="35" t="n">
        <v>10.4</v>
      </c>
      <c r="N820" s="35" t="n">
        <f aca="false">IF(C820="covered",10.4,7.55)</f>
        <v>10.4</v>
      </c>
      <c r="O820" s="35" t="n">
        <f aca="false">IF(M820="","",M820-N820)</f>
        <v>0</v>
      </c>
      <c r="P820" s="8" t="n">
        <v>1</v>
      </c>
      <c r="Q820" s="36" t="n">
        <v>488.8</v>
      </c>
      <c r="R820" s="36" t="n">
        <f aca="false">IF(OR(J820="",P820=""),"",K820*N820*P820)</f>
        <v>488.8</v>
      </c>
      <c r="S820" s="36" t="n">
        <f aca="false">IF(Q820="","",Q820-R820)</f>
        <v>0</v>
      </c>
      <c r="T820" s="36" t="n">
        <f aca="false">IF(S820="","",MAX(0,-S820))</f>
        <v>-0</v>
      </c>
      <c r="U820" s="36" t="n">
        <f aca="false">IF(S820="","",MAX(0,S820))</f>
        <v>0</v>
      </c>
      <c r="V820" s="8" t="str">
        <f aca="false">IF(J820="","NOT SCORED - NO JULY MONTHLY ROW",IF(OR(ABS(L820)&gt;0.005,ABS(O820)&gt;0.005,ABS(S820)&gt;0.005),"EXCEPTION","OK"))</f>
        <v>OK</v>
      </c>
      <c r="W820" s="8" t="s">
        <v>6001</v>
      </c>
      <c r="X820" s="8" t="s">
        <v>4099</v>
      </c>
      <c r="Y820" s="36" t="n">
        <f aca="false">K820*N820</f>
        <v>488.8</v>
      </c>
    </row>
    <row r="821" customFormat="false" ht="15" hidden="false" customHeight="false" outlineLevel="0" collapsed="false">
      <c r="A821" s="11" t="s">
        <v>6002</v>
      </c>
      <c r="B821" s="11" t="s">
        <v>211</v>
      </c>
      <c r="C821" s="11" t="s">
        <v>5306</v>
      </c>
      <c r="D821" s="11" t="s">
        <v>3237</v>
      </c>
      <c r="E821" s="11" t="s">
        <v>6003</v>
      </c>
      <c r="F821" s="11" t="s">
        <v>6004</v>
      </c>
      <c r="G821" s="11" t="s">
        <v>4800</v>
      </c>
      <c r="H821" s="11" t="n">
        <v>28</v>
      </c>
      <c r="I821" s="31" t="n">
        <v>38</v>
      </c>
      <c r="J821" s="31" t="n">
        <v>38</v>
      </c>
      <c r="K821" s="31" t="n">
        <f aca="false">MAX(ROUNDUP(I821,0),H821)</f>
        <v>38</v>
      </c>
      <c r="L821" s="31" t="n">
        <f aca="false">IF(J821="","",J821-K821)</f>
        <v>0</v>
      </c>
      <c r="M821" s="32" t="n">
        <v>10.4</v>
      </c>
      <c r="N821" s="32" t="n">
        <f aca="false">IF(C821="covered",10.4,7.55)</f>
        <v>10.4</v>
      </c>
      <c r="O821" s="32" t="n">
        <f aca="false">IF(M821="","",M821-N821)</f>
        <v>0</v>
      </c>
      <c r="P821" s="11" t="n">
        <v>1</v>
      </c>
      <c r="Q821" s="33" t="n">
        <v>395.2</v>
      </c>
      <c r="R821" s="33" t="n">
        <f aca="false">IF(OR(J821="",P821=""),"",K821*N821*P821)</f>
        <v>395.2</v>
      </c>
      <c r="S821" s="33" t="n">
        <f aca="false">IF(Q821="","",Q821-R821)</f>
        <v>0</v>
      </c>
      <c r="T821" s="33" t="n">
        <f aca="false">IF(S821="","",MAX(0,-S821))</f>
        <v>-0</v>
      </c>
      <c r="U821" s="33" t="n">
        <f aca="false">IF(S821="","",MAX(0,S821))</f>
        <v>0</v>
      </c>
      <c r="V821" s="11" t="str">
        <f aca="false">IF(J821="","NOT SCORED - NO JULY MONTHLY ROW",IF(OR(ABS(L821)&gt;0.005,ABS(O821)&gt;0.005,ABS(S821)&gt;0.005),"EXCEPTION","OK"))</f>
        <v>OK</v>
      </c>
      <c r="W821" s="11" t="s">
        <v>6005</v>
      </c>
      <c r="X821" s="11" t="s">
        <v>4099</v>
      </c>
      <c r="Y821" s="33" t="n">
        <f aca="false">K821*N821</f>
        <v>395.2</v>
      </c>
    </row>
    <row r="822" customFormat="false" ht="15" hidden="false" customHeight="false" outlineLevel="0" collapsed="false">
      <c r="A822" s="8" t="s">
        <v>6006</v>
      </c>
      <c r="B822" s="8" t="s">
        <v>211</v>
      </c>
      <c r="C822" s="8" t="s">
        <v>5306</v>
      </c>
      <c r="D822" s="8" t="s">
        <v>3242</v>
      </c>
      <c r="E822" s="8" t="s">
        <v>1123</v>
      </c>
      <c r="F822" s="8" t="s">
        <v>1124</v>
      </c>
      <c r="G822" s="8" t="s">
        <v>6007</v>
      </c>
      <c r="H822" s="8" t="n">
        <v>24</v>
      </c>
      <c r="I822" s="34" t="n">
        <v>43.3</v>
      </c>
      <c r="J822" s="34" t="n">
        <v>44</v>
      </c>
      <c r="K822" s="34" t="n">
        <f aca="false">MAX(ROUNDUP(I822,0),H822)</f>
        <v>44</v>
      </c>
      <c r="L822" s="34" t="n">
        <f aca="false">IF(J822="","",J822-K822)</f>
        <v>0</v>
      </c>
      <c r="M822" s="35" t="n">
        <v>10.4</v>
      </c>
      <c r="N822" s="35" t="n">
        <f aca="false">IF(C822="covered",10.4,7.55)</f>
        <v>10.4</v>
      </c>
      <c r="O822" s="35" t="n">
        <f aca="false">IF(M822="","",M822-N822)</f>
        <v>0</v>
      </c>
      <c r="P822" s="8" t="n">
        <v>1</v>
      </c>
      <c r="Q822" s="36" t="n">
        <v>457.6</v>
      </c>
      <c r="R822" s="36" t="n">
        <f aca="false">IF(OR(J822="",P822=""),"",K822*N822*P822)</f>
        <v>457.6</v>
      </c>
      <c r="S822" s="36" t="n">
        <f aca="false">IF(Q822="","",Q822-R822)</f>
        <v>0</v>
      </c>
      <c r="T822" s="36" t="n">
        <f aca="false">IF(S822="","",MAX(0,-S822))</f>
        <v>-0</v>
      </c>
      <c r="U822" s="36" t="n">
        <f aca="false">IF(S822="","",MAX(0,S822))</f>
        <v>0</v>
      </c>
      <c r="V822" s="8" t="str">
        <f aca="false">IF(J822="","NOT SCORED - NO JULY MONTHLY ROW",IF(OR(ABS(L822)&gt;0.005,ABS(O822)&gt;0.005,ABS(S822)&gt;0.005),"EXCEPTION","OK"))</f>
        <v>OK</v>
      </c>
      <c r="W822" s="8" t="s">
        <v>6008</v>
      </c>
      <c r="X822" s="8" t="s">
        <v>4099</v>
      </c>
      <c r="Y822" s="36" t="n">
        <f aca="false">K822*N822</f>
        <v>457.6</v>
      </c>
    </row>
    <row r="823" customFormat="false" ht="15" hidden="false" customHeight="false" outlineLevel="0" collapsed="false">
      <c r="A823" s="11" t="s">
        <v>6009</v>
      </c>
      <c r="B823" s="11" t="s">
        <v>211</v>
      </c>
      <c r="C823" s="11" t="s">
        <v>5306</v>
      </c>
      <c r="D823" s="11" t="s">
        <v>3247</v>
      </c>
      <c r="E823" s="11" t="s">
        <v>6010</v>
      </c>
      <c r="F823" s="11" t="s">
        <v>6011</v>
      </c>
      <c r="G823" s="11" t="s">
        <v>5598</v>
      </c>
      <c r="H823" s="11" t="n">
        <v>32</v>
      </c>
      <c r="I823" s="31" t="n">
        <v>32.6</v>
      </c>
      <c r="J823" s="31" t="n">
        <v>33</v>
      </c>
      <c r="K823" s="31" t="n">
        <f aca="false">MAX(ROUNDUP(I823,0),H823)</f>
        <v>33</v>
      </c>
      <c r="L823" s="31" t="n">
        <f aca="false">IF(J823="","",J823-K823)</f>
        <v>0</v>
      </c>
      <c r="M823" s="32" t="n">
        <v>10.4</v>
      </c>
      <c r="N823" s="32" t="n">
        <f aca="false">IF(C823="covered",10.4,7.55)</f>
        <v>10.4</v>
      </c>
      <c r="O823" s="32" t="n">
        <f aca="false">IF(M823="","",M823-N823)</f>
        <v>0</v>
      </c>
      <c r="P823" s="11" t="n">
        <v>1</v>
      </c>
      <c r="Q823" s="33" t="n">
        <v>343.2</v>
      </c>
      <c r="R823" s="33" t="n">
        <f aca="false">IF(OR(J823="",P823=""),"",K823*N823*P823)</f>
        <v>343.2</v>
      </c>
      <c r="S823" s="33" t="n">
        <f aca="false">IF(Q823="","",Q823-R823)</f>
        <v>0</v>
      </c>
      <c r="T823" s="33" t="n">
        <f aca="false">IF(S823="","",MAX(0,-S823))</f>
        <v>-0</v>
      </c>
      <c r="U823" s="33" t="n">
        <f aca="false">IF(S823="","",MAX(0,S823))</f>
        <v>0</v>
      </c>
      <c r="V823" s="11" t="str">
        <f aca="false">IF(J823="","NOT SCORED - NO JULY MONTHLY ROW",IF(OR(ABS(L823)&gt;0.005,ABS(O823)&gt;0.005,ABS(S823)&gt;0.005),"EXCEPTION","OK"))</f>
        <v>OK</v>
      </c>
      <c r="W823" s="11" t="s">
        <v>6012</v>
      </c>
      <c r="X823" s="11" t="s">
        <v>4099</v>
      </c>
      <c r="Y823" s="33" t="n">
        <f aca="false">K823*N823</f>
        <v>343.2</v>
      </c>
    </row>
    <row r="824" customFormat="false" ht="15" hidden="false" customHeight="false" outlineLevel="0" collapsed="false">
      <c r="A824" s="8" t="s">
        <v>6013</v>
      </c>
      <c r="B824" s="8" t="s">
        <v>211</v>
      </c>
      <c r="C824" s="8" t="s">
        <v>5306</v>
      </c>
      <c r="D824" s="8" t="s">
        <v>3252</v>
      </c>
      <c r="E824" s="8" t="s">
        <v>6014</v>
      </c>
      <c r="F824" s="8" t="s">
        <v>6015</v>
      </c>
      <c r="G824" s="8" t="s">
        <v>4179</v>
      </c>
      <c r="H824" s="8" t="n">
        <v>32</v>
      </c>
      <c r="I824" s="34" t="n">
        <v>43.1</v>
      </c>
      <c r="J824" s="34" t="n">
        <v>44</v>
      </c>
      <c r="K824" s="34" t="n">
        <f aca="false">MAX(ROUNDUP(I824,0),H824)</f>
        <v>44</v>
      </c>
      <c r="L824" s="34" t="n">
        <f aca="false">IF(J824="","",J824-K824)</f>
        <v>0</v>
      </c>
      <c r="M824" s="35" t="n">
        <v>10.4</v>
      </c>
      <c r="N824" s="35" t="n">
        <f aca="false">IF(C824="covered",10.4,7.55)</f>
        <v>10.4</v>
      </c>
      <c r="O824" s="35" t="n">
        <f aca="false">IF(M824="","",M824-N824)</f>
        <v>0</v>
      </c>
      <c r="P824" s="8" t="n">
        <v>1</v>
      </c>
      <c r="Q824" s="36" t="n">
        <v>457.6</v>
      </c>
      <c r="R824" s="36" t="n">
        <f aca="false">IF(OR(J824="",P824=""),"",K824*N824*P824)</f>
        <v>457.6</v>
      </c>
      <c r="S824" s="36" t="n">
        <f aca="false">IF(Q824="","",Q824-R824)</f>
        <v>0</v>
      </c>
      <c r="T824" s="36" t="n">
        <f aca="false">IF(S824="","",MAX(0,-S824))</f>
        <v>-0</v>
      </c>
      <c r="U824" s="36" t="n">
        <f aca="false">IF(S824="","",MAX(0,S824))</f>
        <v>0</v>
      </c>
      <c r="V824" s="8" t="str">
        <f aca="false">IF(J824="","NOT SCORED - NO JULY MONTHLY ROW",IF(OR(ABS(L824)&gt;0.005,ABS(O824)&gt;0.005,ABS(S824)&gt;0.005),"EXCEPTION","OK"))</f>
        <v>OK</v>
      </c>
      <c r="W824" s="8" t="s">
        <v>6016</v>
      </c>
      <c r="X824" s="8" t="s">
        <v>4099</v>
      </c>
      <c r="Y824" s="36" t="n">
        <f aca="false">K824*N824</f>
        <v>457.6</v>
      </c>
    </row>
    <row r="825" customFormat="false" ht="15" hidden="false" customHeight="false" outlineLevel="0" collapsed="false">
      <c r="A825" s="11" t="s">
        <v>6017</v>
      </c>
      <c r="B825" s="11" t="s">
        <v>211</v>
      </c>
      <c r="C825" s="11" t="s">
        <v>5306</v>
      </c>
      <c r="D825" s="11" t="s">
        <v>3254</v>
      </c>
      <c r="E825" s="11" t="s">
        <v>6018</v>
      </c>
      <c r="F825" s="11" t="s">
        <v>6019</v>
      </c>
      <c r="G825" s="11" t="s">
        <v>4318</v>
      </c>
      <c r="H825" s="11" t="n">
        <v>40</v>
      </c>
      <c r="I825" s="31" t="n">
        <v>35.1</v>
      </c>
      <c r="J825" s="31" t="n">
        <v>40</v>
      </c>
      <c r="K825" s="31" t="n">
        <f aca="false">MAX(ROUNDUP(I825,0),H825)</f>
        <v>40</v>
      </c>
      <c r="L825" s="31" t="n">
        <f aca="false">IF(J825="","",J825-K825)</f>
        <v>0</v>
      </c>
      <c r="M825" s="32" t="n">
        <v>10.4</v>
      </c>
      <c r="N825" s="32" t="n">
        <f aca="false">IF(C825="covered",10.4,7.55)</f>
        <v>10.4</v>
      </c>
      <c r="O825" s="32" t="n">
        <f aca="false">IF(M825="","",M825-N825)</f>
        <v>0</v>
      </c>
      <c r="P825" s="11" t="n">
        <v>1</v>
      </c>
      <c r="Q825" s="33" t="n">
        <v>416</v>
      </c>
      <c r="R825" s="33" t="n">
        <f aca="false">IF(OR(J825="",P825=""),"",K825*N825*P825)</f>
        <v>416</v>
      </c>
      <c r="S825" s="33" t="n">
        <f aca="false">IF(Q825="","",Q825-R825)</f>
        <v>0</v>
      </c>
      <c r="T825" s="33" t="n">
        <f aca="false">IF(S825="","",MAX(0,-S825))</f>
        <v>-0</v>
      </c>
      <c r="U825" s="33" t="n">
        <f aca="false">IF(S825="","",MAX(0,S825))</f>
        <v>0</v>
      </c>
      <c r="V825" s="11" t="str">
        <f aca="false">IF(J825="","NOT SCORED - NO JULY MONTHLY ROW",IF(OR(ABS(L825)&gt;0.005,ABS(O825)&gt;0.005,ABS(S825)&gt;0.005),"EXCEPTION","OK"))</f>
        <v>OK</v>
      </c>
      <c r="W825" s="11" t="s">
        <v>6020</v>
      </c>
      <c r="X825" s="11" t="s">
        <v>4099</v>
      </c>
      <c r="Y825" s="33" t="n">
        <f aca="false">K825*N825</f>
        <v>416</v>
      </c>
    </row>
    <row r="826" customFormat="false" ht="15" hidden="false" customHeight="false" outlineLevel="0" collapsed="false">
      <c r="A826" s="8" t="s">
        <v>1798</v>
      </c>
      <c r="B826" s="8" t="s">
        <v>211</v>
      </c>
      <c r="C826" s="8" t="s">
        <v>5306</v>
      </c>
      <c r="D826" s="8" t="s">
        <v>3258</v>
      </c>
      <c r="E826" s="8" t="s">
        <v>6021</v>
      </c>
      <c r="F826" s="8" t="s">
        <v>6022</v>
      </c>
      <c r="G826" s="8" t="s">
        <v>6023</v>
      </c>
      <c r="H826" s="8" t="n">
        <v>32</v>
      </c>
      <c r="I826" s="34" t="n">
        <v>35.1</v>
      </c>
      <c r="J826" s="34" t="n">
        <v>36</v>
      </c>
      <c r="K826" s="34" t="n">
        <f aca="false">MAX(ROUNDUP(I826,0),H826)</f>
        <v>36</v>
      </c>
      <c r="L826" s="34" t="n">
        <f aca="false">IF(J826="","",J826-K826)</f>
        <v>0</v>
      </c>
      <c r="M826" s="35" t="n">
        <v>10.4</v>
      </c>
      <c r="N826" s="35" t="n">
        <f aca="false">IF(C826="covered",10.4,7.55)</f>
        <v>10.4</v>
      </c>
      <c r="O826" s="35" t="n">
        <f aca="false">IF(M826="","",M826-N826)</f>
        <v>0</v>
      </c>
      <c r="P826" s="8" t="n">
        <v>1</v>
      </c>
      <c r="Q826" s="36" t="n">
        <v>374.4</v>
      </c>
      <c r="R826" s="36" t="n">
        <f aca="false">IF(OR(J826="",P826=""),"",K826*N826*P826)</f>
        <v>374.4</v>
      </c>
      <c r="S826" s="36" t="n">
        <f aca="false">IF(Q826="","",Q826-R826)</f>
        <v>0</v>
      </c>
      <c r="T826" s="36" t="n">
        <f aca="false">IF(S826="","",MAX(0,-S826))</f>
        <v>-0</v>
      </c>
      <c r="U826" s="36" t="n">
        <f aca="false">IF(S826="","",MAX(0,S826))</f>
        <v>0</v>
      </c>
      <c r="V826" s="8" t="str">
        <f aca="false">IF(J826="","NOT SCORED - NO JULY MONTHLY ROW",IF(OR(ABS(L826)&gt;0.005,ABS(O826)&gt;0.005,ABS(S826)&gt;0.005),"EXCEPTION","OK"))</f>
        <v>OK</v>
      </c>
      <c r="W826" s="8" t="s">
        <v>6024</v>
      </c>
      <c r="X826" s="8" t="s">
        <v>4099</v>
      </c>
      <c r="Y826" s="36" t="n">
        <f aca="false">K826*N826</f>
        <v>374.4</v>
      </c>
    </row>
    <row r="827" customFormat="false" ht="15" hidden="false" customHeight="false" outlineLevel="0" collapsed="false">
      <c r="A827" s="11" t="s">
        <v>6025</v>
      </c>
      <c r="B827" s="11" t="s">
        <v>211</v>
      </c>
      <c r="C827" s="11" t="s">
        <v>5306</v>
      </c>
      <c r="D827" s="11" t="s">
        <v>3267</v>
      </c>
      <c r="E827" s="11" t="s">
        <v>6026</v>
      </c>
      <c r="F827" s="11" t="s">
        <v>6027</v>
      </c>
      <c r="G827" s="11" t="s">
        <v>6028</v>
      </c>
      <c r="H827" s="11" t="n">
        <v>36</v>
      </c>
      <c r="I827" s="31" t="n">
        <v>34.5</v>
      </c>
      <c r="J827" s="31" t="n">
        <v>36</v>
      </c>
      <c r="K827" s="31" t="n">
        <f aca="false">MAX(ROUNDUP(I827,0),H827)</f>
        <v>36</v>
      </c>
      <c r="L827" s="31" t="n">
        <f aca="false">IF(J827="","",J827-K827)</f>
        <v>0</v>
      </c>
      <c r="M827" s="32" t="n">
        <v>10.4</v>
      </c>
      <c r="N827" s="32" t="n">
        <f aca="false">IF(C827="covered",10.4,7.55)</f>
        <v>10.4</v>
      </c>
      <c r="O827" s="32" t="n">
        <f aca="false">IF(M827="","",M827-N827)</f>
        <v>0</v>
      </c>
      <c r="P827" s="11" t="n">
        <v>1</v>
      </c>
      <c r="Q827" s="33" t="n">
        <v>374.4</v>
      </c>
      <c r="R827" s="33" t="n">
        <f aca="false">IF(OR(J827="",P827=""),"",K827*N827*P827)</f>
        <v>374.4</v>
      </c>
      <c r="S827" s="33" t="n">
        <f aca="false">IF(Q827="","",Q827-R827)</f>
        <v>0</v>
      </c>
      <c r="T827" s="33" t="n">
        <f aca="false">IF(S827="","",MAX(0,-S827))</f>
        <v>-0</v>
      </c>
      <c r="U827" s="33" t="n">
        <f aca="false">IF(S827="","",MAX(0,S827))</f>
        <v>0</v>
      </c>
      <c r="V827" s="11" t="str">
        <f aca="false">IF(J827="","NOT SCORED - NO JULY MONTHLY ROW",IF(OR(ABS(L827)&gt;0.005,ABS(O827)&gt;0.005,ABS(S827)&gt;0.005),"EXCEPTION","OK"))</f>
        <v>OK</v>
      </c>
      <c r="W827" s="11" t="s">
        <v>6029</v>
      </c>
      <c r="X827" s="11" t="s">
        <v>4099</v>
      </c>
      <c r="Y827" s="33" t="n">
        <f aca="false">K827*N827</f>
        <v>374.4</v>
      </c>
    </row>
    <row r="828" customFormat="false" ht="15" hidden="false" customHeight="false" outlineLevel="0" collapsed="false">
      <c r="A828" s="8" t="s">
        <v>6030</v>
      </c>
      <c r="B828" s="8" t="s">
        <v>211</v>
      </c>
      <c r="C828" s="8" t="s">
        <v>5306</v>
      </c>
      <c r="D828" s="8" t="s">
        <v>3270</v>
      </c>
      <c r="E828" s="8" t="s">
        <v>6031</v>
      </c>
      <c r="F828" s="8" t="s">
        <v>6032</v>
      </c>
      <c r="G828" s="8" t="s">
        <v>6033</v>
      </c>
      <c r="H828" s="8" t="n">
        <v>36</v>
      </c>
      <c r="I828" s="34" t="n">
        <v>58.2</v>
      </c>
      <c r="J828" s="34" t="n">
        <v>59</v>
      </c>
      <c r="K828" s="34" t="n">
        <f aca="false">MAX(ROUNDUP(I828,0),H828)</f>
        <v>59</v>
      </c>
      <c r="L828" s="34" t="n">
        <f aca="false">IF(J828="","",J828-K828)</f>
        <v>0</v>
      </c>
      <c r="M828" s="35" t="n">
        <v>10.4</v>
      </c>
      <c r="N828" s="35" t="n">
        <f aca="false">IF(C828="covered",10.4,7.55)</f>
        <v>10.4</v>
      </c>
      <c r="O828" s="35" t="n">
        <f aca="false">IF(M828="","",M828-N828)</f>
        <v>0</v>
      </c>
      <c r="P828" s="8" t="n">
        <v>1</v>
      </c>
      <c r="Q828" s="36" t="n">
        <v>613.6</v>
      </c>
      <c r="R828" s="36" t="n">
        <f aca="false">IF(OR(J828="",P828=""),"",K828*N828*P828)</f>
        <v>613.6</v>
      </c>
      <c r="S828" s="36" t="n">
        <f aca="false">IF(Q828="","",Q828-R828)</f>
        <v>0</v>
      </c>
      <c r="T828" s="36" t="n">
        <f aca="false">IF(S828="","",MAX(0,-S828))</f>
        <v>-0</v>
      </c>
      <c r="U828" s="36" t="n">
        <f aca="false">IF(S828="","",MAX(0,S828))</f>
        <v>0</v>
      </c>
      <c r="V828" s="8" t="str">
        <f aca="false">IF(J828="","NOT SCORED - NO JULY MONTHLY ROW",IF(OR(ABS(L828)&gt;0.005,ABS(O828)&gt;0.005,ABS(S828)&gt;0.005),"EXCEPTION","OK"))</f>
        <v>OK</v>
      </c>
      <c r="W828" s="8" t="s">
        <v>6034</v>
      </c>
      <c r="X828" s="8" t="s">
        <v>4099</v>
      </c>
      <c r="Y828" s="36" t="n">
        <f aca="false">K828*N828</f>
        <v>613.6</v>
      </c>
    </row>
    <row r="829" customFormat="false" ht="15" hidden="false" customHeight="false" outlineLevel="0" collapsed="false">
      <c r="A829" s="11" t="s">
        <v>6035</v>
      </c>
      <c r="B829" s="11" t="s">
        <v>211</v>
      </c>
      <c r="C829" s="11" t="s">
        <v>5306</v>
      </c>
      <c r="D829" s="11" t="s">
        <v>3275</v>
      </c>
      <c r="E829" s="11" t="s">
        <v>6036</v>
      </c>
      <c r="F829" s="11" t="s">
        <v>6037</v>
      </c>
      <c r="G829" s="11" t="s">
        <v>2992</v>
      </c>
      <c r="H829" s="11" t="n">
        <v>32</v>
      </c>
      <c r="I829" s="31" t="n">
        <v>24.5</v>
      </c>
      <c r="J829" s="31" t="n">
        <v>32</v>
      </c>
      <c r="K829" s="31" t="n">
        <f aca="false">MAX(ROUNDUP(I829,0),H829)</f>
        <v>32</v>
      </c>
      <c r="L829" s="31" t="n">
        <f aca="false">IF(J829="","",J829-K829)</f>
        <v>0</v>
      </c>
      <c r="M829" s="32" t="n">
        <v>10.4</v>
      </c>
      <c r="N829" s="32" t="n">
        <f aca="false">IF(C829="covered",10.4,7.55)</f>
        <v>10.4</v>
      </c>
      <c r="O829" s="32" t="n">
        <f aca="false">IF(M829="","",M829-N829)</f>
        <v>0</v>
      </c>
      <c r="P829" s="11" t="n">
        <v>1</v>
      </c>
      <c r="Q829" s="33" t="n">
        <v>332.8</v>
      </c>
      <c r="R829" s="33" t="n">
        <f aca="false">IF(OR(J829="",P829=""),"",K829*N829*P829)</f>
        <v>332.8</v>
      </c>
      <c r="S829" s="33" t="n">
        <f aca="false">IF(Q829="","",Q829-R829)</f>
        <v>0</v>
      </c>
      <c r="T829" s="33" t="n">
        <f aca="false">IF(S829="","",MAX(0,-S829))</f>
        <v>-0</v>
      </c>
      <c r="U829" s="33" t="n">
        <f aca="false">IF(S829="","",MAX(0,S829))</f>
        <v>0</v>
      </c>
      <c r="V829" s="11" t="str">
        <f aca="false">IF(J829="","NOT SCORED - NO JULY MONTHLY ROW",IF(OR(ABS(L829)&gt;0.005,ABS(O829)&gt;0.005,ABS(S829)&gt;0.005),"EXCEPTION","OK"))</f>
        <v>OK</v>
      </c>
      <c r="W829" s="11" t="s">
        <v>6038</v>
      </c>
      <c r="X829" s="11" t="s">
        <v>4099</v>
      </c>
      <c r="Y829" s="33" t="n">
        <f aca="false">K829*N829</f>
        <v>332.8</v>
      </c>
    </row>
    <row r="830" customFormat="false" ht="15" hidden="false" customHeight="false" outlineLevel="0" collapsed="false">
      <c r="A830" s="8" t="s">
        <v>6039</v>
      </c>
      <c r="B830" s="8" t="s">
        <v>211</v>
      </c>
      <c r="C830" s="8" t="s">
        <v>5306</v>
      </c>
      <c r="D830" s="8" t="s">
        <v>3280</v>
      </c>
      <c r="E830" s="8" t="s">
        <v>6040</v>
      </c>
      <c r="F830" s="8" t="s">
        <v>6041</v>
      </c>
      <c r="G830" s="8" t="s">
        <v>3132</v>
      </c>
      <c r="H830" s="8" t="n">
        <v>28</v>
      </c>
      <c r="I830" s="34" t="n">
        <v>38.3</v>
      </c>
      <c r="J830" s="34" t="n">
        <v>39</v>
      </c>
      <c r="K830" s="34" t="n">
        <f aca="false">MAX(ROUNDUP(I830,0),H830)</f>
        <v>39</v>
      </c>
      <c r="L830" s="34" t="n">
        <f aca="false">IF(J830="","",J830-K830)</f>
        <v>0</v>
      </c>
      <c r="M830" s="35" t="n">
        <v>10.4</v>
      </c>
      <c r="N830" s="35" t="n">
        <f aca="false">IF(C830="covered",10.4,7.55)</f>
        <v>10.4</v>
      </c>
      <c r="O830" s="35" t="n">
        <f aca="false">IF(M830="","",M830-N830)</f>
        <v>0</v>
      </c>
      <c r="P830" s="8" t="n">
        <v>1</v>
      </c>
      <c r="Q830" s="36" t="n">
        <v>405.6</v>
      </c>
      <c r="R830" s="36" t="n">
        <f aca="false">IF(OR(J830="",P830=""),"",K830*N830*P830)</f>
        <v>405.6</v>
      </c>
      <c r="S830" s="36" t="n">
        <f aca="false">IF(Q830="","",Q830-R830)</f>
        <v>0</v>
      </c>
      <c r="T830" s="36" t="n">
        <f aca="false">IF(S830="","",MAX(0,-S830))</f>
        <v>-0</v>
      </c>
      <c r="U830" s="36" t="n">
        <f aca="false">IF(S830="","",MAX(0,S830))</f>
        <v>0</v>
      </c>
      <c r="V830" s="8" t="str">
        <f aca="false">IF(J830="","NOT SCORED - NO JULY MONTHLY ROW",IF(OR(ABS(L830)&gt;0.005,ABS(O830)&gt;0.005,ABS(S830)&gt;0.005),"EXCEPTION","OK"))</f>
        <v>OK</v>
      </c>
      <c r="W830" s="8" t="s">
        <v>6042</v>
      </c>
      <c r="X830" s="8" t="s">
        <v>4099</v>
      </c>
      <c r="Y830" s="36" t="n">
        <f aca="false">K830*N830</f>
        <v>405.6</v>
      </c>
    </row>
    <row r="831" customFormat="false" ht="15" hidden="false" customHeight="false" outlineLevel="0" collapsed="false">
      <c r="A831" s="11" t="s">
        <v>6043</v>
      </c>
      <c r="B831" s="11" t="s">
        <v>211</v>
      </c>
      <c r="C831" s="11" t="s">
        <v>5306</v>
      </c>
      <c r="D831" s="11" t="s">
        <v>3285</v>
      </c>
      <c r="E831" s="11" t="s">
        <v>6044</v>
      </c>
      <c r="F831" s="11" t="s">
        <v>6045</v>
      </c>
      <c r="G831" s="11" t="s">
        <v>6046</v>
      </c>
      <c r="H831" s="11" t="n">
        <v>28</v>
      </c>
      <c r="I831" s="31" t="n">
        <v>24.8</v>
      </c>
      <c r="J831" s="31" t="n">
        <v>28</v>
      </c>
      <c r="K831" s="31" t="n">
        <f aca="false">MAX(ROUNDUP(I831,0),H831)</f>
        <v>28</v>
      </c>
      <c r="L831" s="31" t="n">
        <f aca="false">IF(J831="","",J831-K831)</f>
        <v>0</v>
      </c>
      <c r="M831" s="32" t="n">
        <v>10.4</v>
      </c>
      <c r="N831" s="32" t="n">
        <f aca="false">IF(C831="covered",10.4,7.55)</f>
        <v>10.4</v>
      </c>
      <c r="O831" s="32" t="n">
        <f aca="false">IF(M831="","",M831-N831)</f>
        <v>0</v>
      </c>
      <c r="P831" s="11" t="n">
        <v>1</v>
      </c>
      <c r="Q831" s="33" t="n">
        <v>291.2</v>
      </c>
      <c r="R831" s="33" t="n">
        <f aca="false">IF(OR(J831="",P831=""),"",K831*N831*P831)</f>
        <v>291.2</v>
      </c>
      <c r="S831" s="33" t="n">
        <f aca="false">IF(Q831="","",Q831-R831)</f>
        <v>0</v>
      </c>
      <c r="T831" s="33" t="n">
        <f aca="false">IF(S831="","",MAX(0,-S831))</f>
        <v>-0</v>
      </c>
      <c r="U831" s="33" t="n">
        <f aca="false">IF(S831="","",MAX(0,S831))</f>
        <v>0</v>
      </c>
      <c r="V831" s="11" t="str">
        <f aca="false">IF(J831="","NOT SCORED - NO JULY MONTHLY ROW",IF(OR(ABS(L831)&gt;0.005,ABS(O831)&gt;0.005,ABS(S831)&gt;0.005),"EXCEPTION","OK"))</f>
        <v>OK</v>
      </c>
      <c r="W831" s="11" t="s">
        <v>6047</v>
      </c>
      <c r="X831" s="11" t="s">
        <v>4099</v>
      </c>
      <c r="Y831" s="33" t="n">
        <f aca="false">K831*N831</f>
        <v>291.2</v>
      </c>
    </row>
    <row r="832" customFormat="false" ht="15" hidden="false" customHeight="false" outlineLevel="0" collapsed="false">
      <c r="A832" s="8" t="s">
        <v>6048</v>
      </c>
      <c r="B832" s="8" t="s">
        <v>211</v>
      </c>
      <c r="C832" s="8" t="s">
        <v>5306</v>
      </c>
      <c r="D832" s="8" t="s">
        <v>3289</v>
      </c>
      <c r="E832" s="8" t="s">
        <v>2039</v>
      </c>
      <c r="F832" s="8" t="s">
        <v>2040</v>
      </c>
      <c r="G832" s="8" t="s">
        <v>3804</v>
      </c>
      <c r="H832" s="8" t="n">
        <v>24</v>
      </c>
      <c r="I832" s="34" t="n">
        <v>58</v>
      </c>
      <c r="J832" s="34" t="n">
        <v>58</v>
      </c>
      <c r="K832" s="34" t="n">
        <f aca="false">MAX(ROUNDUP(I832,0),H832)</f>
        <v>58</v>
      </c>
      <c r="L832" s="34" t="n">
        <f aca="false">IF(J832="","",J832-K832)</f>
        <v>0</v>
      </c>
      <c r="M832" s="35" t="n">
        <v>10.4</v>
      </c>
      <c r="N832" s="35" t="n">
        <f aca="false">IF(C832="covered",10.4,7.55)</f>
        <v>10.4</v>
      </c>
      <c r="O832" s="35" t="n">
        <f aca="false">IF(M832="","",M832-N832)</f>
        <v>0</v>
      </c>
      <c r="P832" s="8" t="n">
        <v>1</v>
      </c>
      <c r="Q832" s="36" t="n">
        <v>603.2</v>
      </c>
      <c r="R832" s="36" t="n">
        <f aca="false">IF(OR(J832="",P832=""),"",K832*N832*P832)</f>
        <v>603.2</v>
      </c>
      <c r="S832" s="36" t="n">
        <f aca="false">IF(Q832="","",Q832-R832)</f>
        <v>0</v>
      </c>
      <c r="T832" s="36" t="n">
        <f aca="false">IF(S832="","",MAX(0,-S832))</f>
        <v>-0</v>
      </c>
      <c r="U832" s="36" t="n">
        <f aca="false">IF(S832="","",MAX(0,S832))</f>
        <v>0</v>
      </c>
      <c r="V832" s="8" t="str">
        <f aca="false">IF(J832="","NOT SCORED - NO JULY MONTHLY ROW",IF(OR(ABS(L832)&gt;0.005,ABS(O832)&gt;0.005,ABS(S832)&gt;0.005),"EXCEPTION","OK"))</f>
        <v>OK</v>
      </c>
      <c r="W832" s="8" t="s">
        <v>6049</v>
      </c>
      <c r="X832" s="8" t="s">
        <v>4099</v>
      </c>
      <c r="Y832" s="36" t="n">
        <f aca="false">K832*N832</f>
        <v>603.2</v>
      </c>
    </row>
    <row r="833" customFormat="false" ht="15" hidden="false" customHeight="false" outlineLevel="0" collapsed="false">
      <c r="A833" s="11" t="s">
        <v>1948</v>
      </c>
      <c r="B833" s="11" t="s">
        <v>211</v>
      </c>
      <c r="C833" s="11" t="s">
        <v>5306</v>
      </c>
      <c r="D833" s="11" t="s">
        <v>3294</v>
      </c>
      <c r="E833" s="11" t="s">
        <v>6050</v>
      </c>
      <c r="F833" s="11" t="s">
        <v>6051</v>
      </c>
      <c r="G833" s="11" t="s">
        <v>3283</v>
      </c>
      <c r="H833" s="11" t="n">
        <v>24</v>
      </c>
      <c r="I833" s="31" t="n">
        <v>21</v>
      </c>
      <c r="J833" s="31" t="n">
        <v>24</v>
      </c>
      <c r="K833" s="31" t="n">
        <f aca="false">MAX(ROUNDUP(I833,0),H833)</f>
        <v>24</v>
      </c>
      <c r="L833" s="31" t="n">
        <f aca="false">IF(J833="","",J833-K833)</f>
        <v>0</v>
      </c>
      <c r="M833" s="32" t="n">
        <v>10.4</v>
      </c>
      <c r="N833" s="32" t="n">
        <f aca="false">IF(C833="covered",10.4,7.55)</f>
        <v>10.4</v>
      </c>
      <c r="O833" s="32" t="n">
        <f aca="false">IF(M833="","",M833-N833)</f>
        <v>0</v>
      </c>
      <c r="P833" s="11" t="n">
        <v>1</v>
      </c>
      <c r="Q833" s="33" t="n">
        <v>249.6</v>
      </c>
      <c r="R833" s="33" t="n">
        <f aca="false">IF(OR(J833="",P833=""),"",K833*N833*P833)</f>
        <v>249.6</v>
      </c>
      <c r="S833" s="33" t="n">
        <f aca="false">IF(Q833="","",Q833-R833)</f>
        <v>0</v>
      </c>
      <c r="T833" s="33" t="n">
        <f aca="false">IF(S833="","",MAX(0,-S833))</f>
        <v>-0</v>
      </c>
      <c r="U833" s="33" t="n">
        <f aca="false">IF(S833="","",MAX(0,S833))</f>
        <v>0</v>
      </c>
      <c r="V833" s="11" t="str">
        <f aca="false">IF(J833="","NOT SCORED - NO JULY MONTHLY ROW",IF(OR(ABS(L833)&gt;0.005,ABS(O833)&gt;0.005,ABS(S833)&gt;0.005),"EXCEPTION","OK"))</f>
        <v>OK</v>
      </c>
      <c r="W833" s="11" t="s">
        <v>6052</v>
      </c>
      <c r="X833" s="11" t="s">
        <v>4099</v>
      </c>
      <c r="Y833" s="33" t="n">
        <f aca="false">K833*N833</f>
        <v>249.6</v>
      </c>
    </row>
    <row r="834" customFormat="false" ht="15" hidden="false" customHeight="false" outlineLevel="0" collapsed="false">
      <c r="A834" s="8" t="s">
        <v>6053</v>
      </c>
      <c r="B834" s="8" t="s">
        <v>211</v>
      </c>
      <c r="C834" s="8" t="s">
        <v>5306</v>
      </c>
      <c r="D834" s="8" t="s">
        <v>6054</v>
      </c>
      <c r="E834" s="8" t="s">
        <v>6055</v>
      </c>
      <c r="F834" s="8" t="s">
        <v>6056</v>
      </c>
      <c r="G834" s="8" t="s">
        <v>5445</v>
      </c>
      <c r="H834" s="8" t="n">
        <v>28</v>
      </c>
      <c r="I834" s="34" t="n">
        <v>59.9</v>
      </c>
      <c r="J834" s="34" t="n">
        <v>60</v>
      </c>
      <c r="K834" s="34" t="n">
        <f aca="false">MAX(ROUNDUP(I834,0),H834)</f>
        <v>60</v>
      </c>
      <c r="L834" s="34" t="n">
        <f aca="false">IF(J834="","",J834-K834)</f>
        <v>0</v>
      </c>
      <c r="M834" s="35" t="n">
        <v>10.4</v>
      </c>
      <c r="N834" s="35" t="n">
        <f aca="false">IF(C834="covered",10.4,7.55)</f>
        <v>10.4</v>
      </c>
      <c r="O834" s="35" t="n">
        <f aca="false">IF(M834="","",M834-N834)</f>
        <v>0</v>
      </c>
      <c r="P834" s="8" t="n">
        <v>1</v>
      </c>
      <c r="Q834" s="36" t="n">
        <v>624</v>
      </c>
      <c r="R834" s="36" t="n">
        <f aca="false">IF(OR(J834="",P834=""),"",K834*N834*P834)</f>
        <v>624</v>
      </c>
      <c r="S834" s="36" t="n">
        <f aca="false">IF(Q834="","",Q834-R834)</f>
        <v>0</v>
      </c>
      <c r="T834" s="36" t="n">
        <f aca="false">IF(S834="","",MAX(0,-S834))</f>
        <v>-0</v>
      </c>
      <c r="U834" s="36" t="n">
        <f aca="false">IF(S834="","",MAX(0,S834))</f>
        <v>0</v>
      </c>
      <c r="V834" s="8" t="str">
        <f aca="false">IF(J834="","NOT SCORED - NO JULY MONTHLY ROW",IF(OR(ABS(L834)&gt;0.005,ABS(O834)&gt;0.005,ABS(S834)&gt;0.005),"EXCEPTION","OK"))</f>
        <v>OK</v>
      </c>
      <c r="W834" s="8" t="s">
        <v>6057</v>
      </c>
      <c r="X834" s="8" t="s">
        <v>4099</v>
      </c>
      <c r="Y834" s="36" t="n">
        <f aca="false">K834*N834</f>
        <v>624</v>
      </c>
    </row>
    <row r="835" customFormat="false" ht="15" hidden="false" customHeight="false" outlineLevel="0" collapsed="false">
      <c r="A835" s="11" t="s">
        <v>1058</v>
      </c>
      <c r="B835" s="11" t="s">
        <v>211</v>
      </c>
      <c r="C835" s="11" t="s">
        <v>5306</v>
      </c>
      <c r="D835" s="11" t="s">
        <v>3297</v>
      </c>
      <c r="E835" s="11" t="s">
        <v>6058</v>
      </c>
      <c r="F835" s="11" t="s">
        <v>6059</v>
      </c>
      <c r="G835" s="11" t="s">
        <v>3645</v>
      </c>
      <c r="H835" s="11" t="n">
        <v>40</v>
      </c>
      <c r="I835" s="31" t="n">
        <v>54.4</v>
      </c>
      <c r="J835" s="31" t="n">
        <v>55</v>
      </c>
      <c r="K835" s="31" t="n">
        <f aca="false">MAX(ROUNDUP(I835,0),H835)</f>
        <v>55</v>
      </c>
      <c r="L835" s="31" t="n">
        <f aca="false">IF(J835="","",J835-K835)</f>
        <v>0</v>
      </c>
      <c r="M835" s="32" t="n">
        <v>10.4</v>
      </c>
      <c r="N835" s="32" t="n">
        <f aca="false">IF(C835="covered",10.4,7.55)</f>
        <v>10.4</v>
      </c>
      <c r="O835" s="32" t="n">
        <f aca="false">IF(M835="","",M835-N835)</f>
        <v>0</v>
      </c>
      <c r="P835" s="11" t="n">
        <v>1</v>
      </c>
      <c r="Q835" s="33" t="n">
        <v>572</v>
      </c>
      <c r="R835" s="33" t="n">
        <f aca="false">IF(OR(J835="",P835=""),"",K835*N835*P835)</f>
        <v>572</v>
      </c>
      <c r="S835" s="33" t="n">
        <f aca="false">IF(Q835="","",Q835-R835)</f>
        <v>0</v>
      </c>
      <c r="T835" s="33" t="n">
        <f aca="false">IF(S835="","",MAX(0,-S835))</f>
        <v>-0</v>
      </c>
      <c r="U835" s="33" t="n">
        <f aca="false">IF(S835="","",MAX(0,S835))</f>
        <v>0</v>
      </c>
      <c r="V835" s="11" t="str">
        <f aca="false">IF(J835="","NOT SCORED - NO JULY MONTHLY ROW",IF(OR(ABS(L835)&gt;0.005,ABS(O835)&gt;0.005,ABS(S835)&gt;0.005),"EXCEPTION","OK"))</f>
        <v>OK</v>
      </c>
      <c r="W835" s="11" t="s">
        <v>6060</v>
      </c>
      <c r="X835" s="11" t="s">
        <v>4099</v>
      </c>
      <c r="Y835" s="33" t="n">
        <f aca="false">K835*N835</f>
        <v>572</v>
      </c>
    </row>
    <row r="836" customFormat="false" ht="15" hidden="false" customHeight="false" outlineLevel="0" collapsed="false">
      <c r="A836" s="8" t="s">
        <v>6061</v>
      </c>
      <c r="B836" s="8" t="s">
        <v>211</v>
      </c>
      <c r="C836" s="8" t="s">
        <v>5306</v>
      </c>
      <c r="D836" s="8" t="s">
        <v>3301</v>
      </c>
      <c r="E836" s="8" t="s">
        <v>6062</v>
      </c>
      <c r="F836" s="8" t="s">
        <v>6063</v>
      </c>
      <c r="G836" s="8" t="s">
        <v>6064</v>
      </c>
      <c r="H836" s="8" t="n">
        <v>32</v>
      </c>
      <c r="I836" s="34" t="n">
        <v>62</v>
      </c>
      <c r="J836" s="34" t="n">
        <v>62</v>
      </c>
      <c r="K836" s="34" t="n">
        <f aca="false">MAX(ROUNDUP(I836,0),H836)</f>
        <v>62</v>
      </c>
      <c r="L836" s="34" t="n">
        <f aca="false">IF(J836="","",J836-K836)</f>
        <v>0</v>
      </c>
      <c r="M836" s="35" t="n">
        <v>10.4</v>
      </c>
      <c r="N836" s="35" t="n">
        <f aca="false">IF(C836="covered",10.4,7.55)</f>
        <v>10.4</v>
      </c>
      <c r="O836" s="35" t="n">
        <f aca="false">IF(M836="","",M836-N836)</f>
        <v>0</v>
      </c>
      <c r="P836" s="8" t="n">
        <v>1</v>
      </c>
      <c r="Q836" s="36" t="n">
        <v>644.8</v>
      </c>
      <c r="R836" s="36" t="n">
        <f aca="false">IF(OR(J836="",P836=""),"",K836*N836*P836)</f>
        <v>644.8</v>
      </c>
      <c r="S836" s="36" t="n">
        <f aca="false">IF(Q836="","",Q836-R836)</f>
        <v>0</v>
      </c>
      <c r="T836" s="36" t="n">
        <f aca="false">IF(S836="","",MAX(0,-S836))</f>
        <v>-0</v>
      </c>
      <c r="U836" s="36" t="n">
        <f aca="false">IF(S836="","",MAX(0,S836))</f>
        <v>0</v>
      </c>
      <c r="V836" s="8" t="str">
        <f aca="false">IF(J836="","NOT SCORED - NO JULY MONTHLY ROW",IF(OR(ABS(L836)&gt;0.005,ABS(O836)&gt;0.005,ABS(S836)&gt;0.005),"EXCEPTION","OK"))</f>
        <v>OK</v>
      </c>
      <c r="W836" s="8" t="s">
        <v>6065</v>
      </c>
      <c r="X836" s="8" t="s">
        <v>4099</v>
      </c>
      <c r="Y836" s="36" t="n">
        <f aca="false">K836*N836</f>
        <v>644.8</v>
      </c>
    </row>
    <row r="837" customFormat="false" ht="15" hidden="false" customHeight="false" outlineLevel="0" collapsed="false">
      <c r="A837" s="11" t="s">
        <v>6066</v>
      </c>
      <c r="B837" s="11" t="s">
        <v>211</v>
      </c>
      <c r="C837" s="11" t="s">
        <v>5306</v>
      </c>
      <c r="D837" s="11" t="s">
        <v>3305</v>
      </c>
      <c r="E837" s="11" t="s">
        <v>6067</v>
      </c>
      <c r="F837" s="11" t="s">
        <v>6068</v>
      </c>
      <c r="G837" s="11" t="s">
        <v>4677</v>
      </c>
      <c r="H837" s="11" t="n">
        <v>28</v>
      </c>
      <c r="I837" s="31" t="n">
        <v>56.2</v>
      </c>
      <c r="J837" s="31" t="n">
        <v>57</v>
      </c>
      <c r="K837" s="31" t="n">
        <f aca="false">MAX(ROUNDUP(I837,0),H837)</f>
        <v>57</v>
      </c>
      <c r="L837" s="31" t="n">
        <f aca="false">IF(J837="","",J837-K837)</f>
        <v>0</v>
      </c>
      <c r="M837" s="32" t="n">
        <v>10.4</v>
      </c>
      <c r="N837" s="32" t="n">
        <f aca="false">IF(C837="covered",10.4,7.55)</f>
        <v>10.4</v>
      </c>
      <c r="O837" s="32" t="n">
        <f aca="false">IF(M837="","",M837-N837)</f>
        <v>0</v>
      </c>
      <c r="P837" s="11" t="n">
        <v>1</v>
      </c>
      <c r="Q837" s="33" t="n">
        <v>592.8</v>
      </c>
      <c r="R837" s="33" t="n">
        <f aca="false">IF(OR(J837="",P837=""),"",K837*N837*P837)</f>
        <v>592.8</v>
      </c>
      <c r="S837" s="33" t="n">
        <f aca="false">IF(Q837="","",Q837-R837)</f>
        <v>0</v>
      </c>
      <c r="T837" s="33" t="n">
        <f aca="false">IF(S837="","",MAX(0,-S837))</f>
        <v>-0</v>
      </c>
      <c r="U837" s="33" t="n">
        <f aca="false">IF(S837="","",MAX(0,S837))</f>
        <v>0</v>
      </c>
      <c r="V837" s="11" t="str">
        <f aca="false">IF(J837="","NOT SCORED - NO JULY MONTHLY ROW",IF(OR(ABS(L837)&gt;0.005,ABS(O837)&gt;0.005,ABS(S837)&gt;0.005),"EXCEPTION","OK"))</f>
        <v>OK</v>
      </c>
      <c r="W837" s="11" t="s">
        <v>6069</v>
      </c>
      <c r="X837" s="11" t="s">
        <v>4099</v>
      </c>
      <c r="Y837" s="33" t="n">
        <f aca="false">K837*N837</f>
        <v>592.8</v>
      </c>
    </row>
    <row r="838" customFormat="false" ht="15" hidden="false" customHeight="false" outlineLevel="0" collapsed="false">
      <c r="A838" s="8" t="s">
        <v>6070</v>
      </c>
      <c r="B838" s="8" t="s">
        <v>211</v>
      </c>
      <c r="C838" s="8" t="s">
        <v>5306</v>
      </c>
      <c r="D838" s="8" t="s">
        <v>3310</v>
      </c>
      <c r="E838" s="8" t="s">
        <v>6071</v>
      </c>
      <c r="F838" s="8" t="s">
        <v>6072</v>
      </c>
      <c r="G838" s="8" t="s">
        <v>6073</v>
      </c>
      <c r="H838" s="8" t="n">
        <v>24</v>
      </c>
      <c r="I838" s="34" t="n">
        <v>33.9</v>
      </c>
      <c r="J838" s="34" t="n">
        <v>34</v>
      </c>
      <c r="K838" s="34" t="n">
        <f aca="false">MAX(ROUNDUP(I838,0),H838)</f>
        <v>34</v>
      </c>
      <c r="L838" s="34" t="n">
        <f aca="false">IF(J838="","",J838-K838)</f>
        <v>0</v>
      </c>
      <c r="M838" s="35" t="n">
        <v>10.4</v>
      </c>
      <c r="N838" s="35" t="n">
        <f aca="false">IF(C838="covered",10.4,7.55)</f>
        <v>10.4</v>
      </c>
      <c r="O838" s="35" t="n">
        <f aca="false">IF(M838="","",M838-N838)</f>
        <v>0</v>
      </c>
      <c r="P838" s="8" t="n">
        <v>1</v>
      </c>
      <c r="Q838" s="36" t="n">
        <v>353.6</v>
      </c>
      <c r="R838" s="36" t="n">
        <f aca="false">IF(OR(J838="",P838=""),"",K838*N838*P838)</f>
        <v>353.6</v>
      </c>
      <c r="S838" s="36" t="n">
        <f aca="false">IF(Q838="","",Q838-R838)</f>
        <v>0</v>
      </c>
      <c r="T838" s="36" t="n">
        <f aca="false">IF(S838="","",MAX(0,-S838))</f>
        <v>-0</v>
      </c>
      <c r="U838" s="36" t="n">
        <f aca="false">IF(S838="","",MAX(0,S838))</f>
        <v>0</v>
      </c>
      <c r="V838" s="8" t="str">
        <f aca="false">IF(J838="","NOT SCORED - NO JULY MONTHLY ROW",IF(OR(ABS(L838)&gt;0.005,ABS(O838)&gt;0.005,ABS(S838)&gt;0.005),"EXCEPTION","OK"))</f>
        <v>OK</v>
      </c>
      <c r="W838" s="8" t="s">
        <v>6074</v>
      </c>
      <c r="X838" s="8" t="s">
        <v>4099</v>
      </c>
      <c r="Y838" s="36" t="n">
        <f aca="false">K838*N838</f>
        <v>353.6</v>
      </c>
    </row>
    <row r="839" customFormat="false" ht="15" hidden="false" customHeight="false" outlineLevel="0" collapsed="false">
      <c r="A839" s="11" t="s">
        <v>6075</v>
      </c>
      <c r="B839" s="11" t="s">
        <v>211</v>
      </c>
      <c r="C839" s="11" t="s">
        <v>5306</v>
      </c>
      <c r="D839" s="11" t="s">
        <v>3315</v>
      </c>
      <c r="E839" s="11" t="s">
        <v>6076</v>
      </c>
      <c r="F839" s="11" t="s">
        <v>6077</v>
      </c>
      <c r="G839" s="11" t="s">
        <v>3087</v>
      </c>
      <c r="H839" s="11" t="n">
        <v>28</v>
      </c>
      <c r="I839" s="31" t="n">
        <v>38</v>
      </c>
      <c r="J839" s="31" t="n">
        <v>38</v>
      </c>
      <c r="K839" s="31" t="n">
        <f aca="false">MAX(ROUNDUP(I839,0),H839)</f>
        <v>38</v>
      </c>
      <c r="L839" s="31" t="n">
        <f aca="false">IF(J839="","",J839-K839)</f>
        <v>0</v>
      </c>
      <c r="M839" s="32" t="n">
        <v>10.4</v>
      </c>
      <c r="N839" s="32" t="n">
        <f aca="false">IF(C839="covered",10.4,7.55)</f>
        <v>10.4</v>
      </c>
      <c r="O839" s="32" t="n">
        <f aca="false">IF(M839="","",M839-N839)</f>
        <v>0</v>
      </c>
      <c r="P839" s="11" t="n">
        <v>1</v>
      </c>
      <c r="Q839" s="33" t="n">
        <v>395.2</v>
      </c>
      <c r="R839" s="33" t="n">
        <f aca="false">IF(OR(J839="",P839=""),"",K839*N839*P839)</f>
        <v>395.2</v>
      </c>
      <c r="S839" s="33" t="n">
        <f aca="false">IF(Q839="","",Q839-R839)</f>
        <v>0</v>
      </c>
      <c r="T839" s="33" t="n">
        <f aca="false">IF(S839="","",MAX(0,-S839))</f>
        <v>-0</v>
      </c>
      <c r="U839" s="33" t="n">
        <f aca="false">IF(S839="","",MAX(0,S839))</f>
        <v>0</v>
      </c>
      <c r="V839" s="11" t="str">
        <f aca="false">IF(J839="","NOT SCORED - NO JULY MONTHLY ROW",IF(OR(ABS(L839)&gt;0.005,ABS(O839)&gt;0.005,ABS(S839)&gt;0.005),"EXCEPTION","OK"))</f>
        <v>OK</v>
      </c>
      <c r="W839" s="11" t="s">
        <v>6078</v>
      </c>
      <c r="X839" s="11" t="s">
        <v>4099</v>
      </c>
      <c r="Y839" s="33" t="n">
        <f aca="false">K839*N839</f>
        <v>395.2</v>
      </c>
    </row>
    <row r="840" customFormat="false" ht="15" hidden="false" customHeight="false" outlineLevel="0" collapsed="false">
      <c r="A840" s="8" t="s">
        <v>6079</v>
      </c>
      <c r="B840" s="8" t="s">
        <v>211</v>
      </c>
      <c r="C840" s="8" t="s">
        <v>5306</v>
      </c>
      <c r="D840" s="8" t="s">
        <v>3320</v>
      </c>
      <c r="E840" s="8" t="s">
        <v>6080</v>
      </c>
      <c r="F840" s="8" t="s">
        <v>6081</v>
      </c>
      <c r="G840" s="8" t="s">
        <v>6082</v>
      </c>
      <c r="H840" s="8" t="n">
        <v>36</v>
      </c>
      <c r="I840" s="34" t="n">
        <v>19.5</v>
      </c>
      <c r="J840" s="34" t="n">
        <v>36</v>
      </c>
      <c r="K840" s="34" t="n">
        <f aca="false">MAX(ROUNDUP(I840,0),H840)</f>
        <v>36</v>
      </c>
      <c r="L840" s="34" t="n">
        <f aca="false">IF(J840="","",J840-K840)</f>
        <v>0</v>
      </c>
      <c r="M840" s="35" t="n">
        <v>10.4</v>
      </c>
      <c r="N840" s="35" t="n">
        <f aca="false">IF(C840="covered",10.4,7.55)</f>
        <v>10.4</v>
      </c>
      <c r="O840" s="35" t="n">
        <f aca="false">IF(M840="","",M840-N840)</f>
        <v>0</v>
      </c>
      <c r="P840" s="8" t="n">
        <v>1</v>
      </c>
      <c r="Q840" s="36" t="n">
        <v>374.4</v>
      </c>
      <c r="R840" s="36" t="n">
        <f aca="false">IF(OR(J840="",P840=""),"",K840*N840*P840)</f>
        <v>374.4</v>
      </c>
      <c r="S840" s="36" t="n">
        <f aca="false">IF(Q840="","",Q840-R840)</f>
        <v>0</v>
      </c>
      <c r="T840" s="36" t="n">
        <f aca="false">IF(S840="","",MAX(0,-S840))</f>
        <v>-0</v>
      </c>
      <c r="U840" s="36" t="n">
        <f aca="false">IF(S840="","",MAX(0,S840))</f>
        <v>0</v>
      </c>
      <c r="V840" s="8" t="str">
        <f aca="false">IF(J840="","NOT SCORED - NO JULY MONTHLY ROW",IF(OR(ABS(L840)&gt;0.005,ABS(O840)&gt;0.005,ABS(S840)&gt;0.005),"EXCEPTION","OK"))</f>
        <v>OK</v>
      </c>
      <c r="W840" s="8" t="s">
        <v>6083</v>
      </c>
      <c r="X840" s="8" t="s">
        <v>4099</v>
      </c>
      <c r="Y840" s="36" t="n">
        <f aca="false">K840*N840</f>
        <v>374.4</v>
      </c>
    </row>
    <row r="841" customFormat="false" ht="15" hidden="false" customHeight="false" outlineLevel="0" collapsed="false">
      <c r="A841" s="11" t="s">
        <v>6084</v>
      </c>
      <c r="B841" s="11" t="s">
        <v>211</v>
      </c>
      <c r="C841" s="11" t="s">
        <v>5306</v>
      </c>
      <c r="D841" s="11" t="s">
        <v>3324</v>
      </c>
      <c r="E841" s="11" t="s">
        <v>6085</v>
      </c>
      <c r="F841" s="11" t="s">
        <v>6086</v>
      </c>
      <c r="G841" s="11" t="s">
        <v>5646</v>
      </c>
      <c r="H841" s="11" t="n">
        <v>32</v>
      </c>
      <c r="I841" s="31" t="n">
        <v>57.9</v>
      </c>
      <c r="J841" s="31" t="n">
        <v>58</v>
      </c>
      <c r="K841" s="31" t="n">
        <f aca="false">MAX(ROUNDUP(I841,0),H841)</f>
        <v>58</v>
      </c>
      <c r="L841" s="31" t="n">
        <f aca="false">IF(J841="","",J841-K841)</f>
        <v>0</v>
      </c>
      <c r="M841" s="32" t="n">
        <v>10.4</v>
      </c>
      <c r="N841" s="32" t="n">
        <f aca="false">IF(C841="covered",10.4,7.55)</f>
        <v>10.4</v>
      </c>
      <c r="O841" s="32" t="n">
        <f aca="false">IF(M841="","",M841-N841)</f>
        <v>0</v>
      </c>
      <c r="P841" s="11" t="n">
        <v>1</v>
      </c>
      <c r="Q841" s="33" t="n">
        <v>603.2</v>
      </c>
      <c r="R841" s="33" t="n">
        <f aca="false">IF(OR(J841="",P841=""),"",K841*N841*P841)</f>
        <v>603.2</v>
      </c>
      <c r="S841" s="33" t="n">
        <f aca="false">IF(Q841="","",Q841-R841)</f>
        <v>0</v>
      </c>
      <c r="T841" s="33" t="n">
        <f aca="false">IF(S841="","",MAX(0,-S841))</f>
        <v>-0</v>
      </c>
      <c r="U841" s="33" t="n">
        <f aca="false">IF(S841="","",MAX(0,S841))</f>
        <v>0</v>
      </c>
      <c r="V841" s="11" t="str">
        <f aca="false">IF(J841="","NOT SCORED - NO JULY MONTHLY ROW",IF(OR(ABS(L841)&gt;0.005,ABS(O841)&gt;0.005,ABS(S841)&gt;0.005),"EXCEPTION","OK"))</f>
        <v>OK</v>
      </c>
      <c r="W841" s="11" t="s">
        <v>6087</v>
      </c>
      <c r="X841" s="11" t="s">
        <v>4099</v>
      </c>
      <c r="Y841" s="33" t="n">
        <f aca="false">K841*N841</f>
        <v>603.2</v>
      </c>
    </row>
    <row r="842" customFormat="false" ht="15" hidden="false" customHeight="false" outlineLevel="0" collapsed="false">
      <c r="A842" s="8" t="s">
        <v>6088</v>
      </c>
      <c r="B842" s="8" t="s">
        <v>211</v>
      </c>
      <c r="C842" s="8" t="s">
        <v>5306</v>
      </c>
      <c r="D842" s="8" t="s">
        <v>3328</v>
      </c>
      <c r="E842" s="8" t="s">
        <v>6089</v>
      </c>
      <c r="F842" s="8" t="s">
        <v>6090</v>
      </c>
      <c r="G842" s="8" t="s">
        <v>5919</v>
      </c>
      <c r="H842" s="8" t="n">
        <v>32</v>
      </c>
      <c r="I842" s="34" t="n">
        <v>58.9</v>
      </c>
      <c r="J842" s="34" t="n">
        <v>59</v>
      </c>
      <c r="K842" s="34" t="n">
        <f aca="false">MAX(ROUNDUP(I842,0),H842)</f>
        <v>59</v>
      </c>
      <c r="L842" s="34" t="n">
        <f aca="false">IF(J842="","",J842-K842)</f>
        <v>0</v>
      </c>
      <c r="M842" s="35" t="n">
        <v>10.4</v>
      </c>
      <c r="N842" s="35" t="n">
        <f aca="false">IF(C842="covered",10.4,7.55)</f>
        <v>10.4</v>
      </c>
      <c r="O842" s="35" t="n">
        <f aca="false">IF(M842="","",M842-N842)</f>
        <v>0</v>
      </c>
      <c r="P842" s="8" t="n">
        <v>1</v>
      </c>
      <c r="Q842" s="36" t="n">
        <v>613.6</v>
      </c>
      <c r="R842" s="36" t="n">
        <f aca="false">IF(OR(J842="",P842=""),"",K842*N842*P842)</f>
        <v>613.6</v>
      </c>
      <c r="S842" s="36" t="n">
        <f aca="false">IF(Q842="","",Q842-R842)</f>
        <v>0</v>
      </c>
      <c r="T842" s="36" t="n">
        <f aca="false">IF(S842="","",MAX(0,-S842))</f>
        <v>-0</v>
      </c>
      <c r="U842" s="36" t="n">
        <f aca="false">IF(S842="","",MAX(0,S842))</f>
        <v>0</v>
      </c>
      <c r="V842" s="8" t="str">
        <f aca="false">IF(J842="","NOT SCORED - NO JULY MONTHLY ROW",IF(OR(ABS(L842)&gt;0.005,ABS(O842)&gt;0.005,ABS(S842)&gt;0.005),"EXCEPTION","OK"))</f>
        <v>OK</v>
      </c>
      <c r="W842" s="8" t="s">
        <v>6091</v>
      </c>
      <c r="X842" s="8" t="s">
        <v>4099</v>
      </c>
      <c r="Y842" s="36" t="n">
        <f aca="false">K842*N842</f>
        <v>613.6</v>
      </c>
    </row>
    <row r="843" customFormat="false" ht="15" hidden="false" customHeight="false" outlineLevel="0" collapsed="false">
      <c r="A843" s="11" t="s">
        <v>2067</v>
      </c>
      <c r="B843" s="11" t="s">
        <v>211</v>
      </c>
      <c r="C843" s="11" t="s">
        <v>5306</v>
      </c>
      <c r="D843" s="11" t="s">
        <v>3333</v>
      </c>
      <c r="E843" s="11" t="s">
        <v>6092</v>
      </c>
      <c r="F843" s="11" t="s">
        <v>6093</v>
      </c>
      <c r="G843" s="11" t="s">
        <v>5832</v>
      </c>
      <c r="H843" s="11" t="n">
        <v>32</v>
      </c>
      <c r="I843" s="31" t="n">
        <v>19.3</v>
      </c>
      <c r="J843" s="31" t="n">
        <v>32</v>
      </c>
      <c r="K843" s="31" t="n">
        <f aca="false">MAX(ROUNDUP(I843,0),H843)</f>
        <v>32</v>
      </c>
      <c r="L843" s="31" t="n">
        <f aca="false">IF(J843="","",J843-K843)</f>
        <v>0</v>
      </c>
      <c r="M843" s="32" t="n">
        <v>10.4</v>
      </c>
      <c r="N843" s="32" t="n">
        <f aca="false">IF(C843="covered",10.4,7.55)</f>
        <v>10.4</v>
      </c>
      <c r="O843" s="32" t="n">
        <f aca="false">IF(M843="","",M843-N843)</f>
        <v>0</v>
      </c>
      <c r="P843" s="11" t="n">
        <v>1</v>
      </c>
      <c r="Q843" s="33" t="n">
        <v>332.8</v>
      </c>
      <c r="R843" s="33" t="n">
        <f aca="false">IF(OR(J843="",P843=""),"",K843*N843*P843)</f>
        <v>332.8</v>
      </c>
      <c r="S843" s="33" t="n">
        <f aca="false">IF(Q843="","",Q843-R843)</f>
        <v>0</v>
      </c>
      <c r="T843" s="33" t="n">
        <f aca="false">IF(S843="","",MAX(0,-S843))</f>
        <v>-0</v>
      </c>
      <c r="U843" s="33" t="n">
        <f aca="false">IF(S843="","",MAX(0,S843))</f>
        <v>0</v>
      </c>
      <c r="V843" s="11" t="str">
        <f aca="false">IF(J843="","NOT SCORED - NO JULY MONTHLY ROW",IF(OR(ABS(L843)&gt;0.005,ABS(O843)&gt;0.005,ABS(S843)&gt;0.005),"EXCEPTION","OK"))</f>
        <v>OK</v>
      </c>
      <c r="W843" s="11" t="s">
        <v>6094</v>
      </c>
      <c r="X843" s="11" t="s">
        <v>4099</v>
      </c>
      <c r="Y843" s="33" t="n">
        <f aca="false">K843*N843</f>
        <v>332.8</v>
      </c>
    </row>
    <row r="844" customFormat="false" ht="15" hidden="false" customHeight="false" outlineLevel="0" collapsed="false">
      <c r="A844" s="8" t="s">
        <v>6095</v>
      </c>
      <c r="B844" s="8" t="s">
        <v>211</v>
      </c>
      <c r="C844" s="8" t="s">
        <v>5306</v>
      </c>
      <c r="D844" s="8" t="s">
        <v>3336</v>
      </c>
      <c r="E844" s="8" t="s">
        <v>6096</v>
      </c>
      <c r="F844" s="8" t="s">
        <v>6097</v>
      </c>
      <c r="G844" s="8" t="s">
        <v>4754</v>
      </c>
      <c r="H844" s="8" t="n">
        <v>32</v>
      </c>
      <c r="I844" s="34" t="n">
        <v>61.8</v>
      </c>
      <c r="J844" s="34" t="n">
        <v>62</v>
      </c>
      <c r="K844" s="34" t="n">
        <f aca="false">MAX(ROUNDUP(I844,0),H844)</f>
        <v>62</v>
      </c>
      <c r="L844" s="34" t="n">
        <f aca="false">IF(J844="","",J844-K844)</f>
        <v>0</v>
      </c>
      <c r="M844" s="35" t="n">
        <v>10.4</v>
      </c>
      <c r="N844" s="35" t="n">
        <f aca="false">IF(C844="covered",10.4,7.55)</f>
        <v>10.4</v>
      </c>
      <c r="O844" s="35" t="n">
        <f aca="false">IF(M844="","",M844-N844)</f>
        <v>0</v>
      </c>
      <c r="P844" s="8" t="n">
        <v>1</v>
      </c>
      <c r="Q844" s="36" t="n">
        <v>644.8</v>
      </c>
      <c r="R844" s="36" t="n">
        <f aca="false">IF(OR(J844="",P844=""),"",K844*N844*P844)</f>
        <v>644.8</v>
      </c>
      <c r="S844" s="36" t="n">
        <f aca="false">IF(Q844="","",Q844-R844)</f>
        <v>0</v>
      </c>
      <c r="T844" s="36" t="n">
        <f aca="false">IF(S844="","",MAX(0,-S844))</f>
        <v>-0</v>
      </c>
      <c r="U844" s="36" t="n">
        <f aca="false">IF(S844="","",MAX(0,S844))</f>
        <v>0</v>
      </c>
      <c r="V844" s="8" t="str">
        <f aca="false">IF(J844="","NOT SCORED - NO JULY MONTHLY ROW",IF(OR(ABS(L844)&gt;0.005,ABS(O844)&gt;0.005,ABS(S844)&gt;0.005),"EXCEPTION","OK"))</f>
        <v>OK</v>
      </c>
      <c r="W844" s="8" t="s">
        <v>6098</v>
      </c>
      <c r="X844" s="8" t="s">
        <v>4099</v>
      </c>
      <c r="Y844" s="36" t="n">
        <f aca="false">K844*N844</f>
        <v>644.8</v>
      </c>
    </row>
    <row r="845" customFormat="false" ht="15" hidden="false" customHeight="false" outlineLevel="0" collapsed="false">
      <c r="A845" s="11" t="s">
        <v>6099</v>
      </c>
      <c r="B845" s="11" t="s">
        <v>211</v>
      </c>
      <c r="C845" s="11" t="s">
        <v>5306</v>
      </c>
      <c r="D845" s="11" t="s">
        <v>3341</v>
      </c>
      <c r="E845" s="11" t="s">
        <v>1083</v>
      </c>
      <c r="F845" s="11" t="s">
        <v>1084</v>
      </c>
      <c r="G845" s="11" t="s">
        <v>3041</v>
      </c>
      <c r="H845" s="11" t="n">
        <v>24</v>
      </c>
      <c r="I845" s="31" t="n">
        <v>40.9</v>
      </c>
      <c r="J845" s="31" t="n">
        <v>41</v>
      </c>
      <c r="K845" s="31" t="n">
        <f aca="false">MAX(ROUNDUP(I845,0),H845)</f>
        <v>41</v>
      </c>
      <c r="L845" s="31" t="n">
        <f aca="false">IF(J845="","",J845-K845)</f>
        <v>0</v>
      </c>
      <c r="M845" s="32" t="n">
        <v>10.4</v>
      </c>
      <c r="N845" s="32" t="n">
        <f aca="false">IF(C845="covered",10.4,7.55)</f>
        <v>10.4</v>
      </c>
      <c r="O845" s="32" t="n">
        <f aca="false">IF(M845="","",M845-N845)</f>
        <v>0</v>
      </c>
      <c r="P845" s="11" t="n">
        <v>1</v>
      </c>
      <c r="Q845" s="33" t="n">
        <v>426.4</v>
      </c>
      <c r="R845" s="33" t="n">
        <f aca="false">IF(OR(J845="",P845=""),"",K845*N845*P845)</f>
        <v>426.4</v>
      </c>
      <c r="S845" s="33" t="n">
        <f aca="false">IF(Q845="","",Q845-R845)</f>
        <v>0</v>
      </c>
      <c r="T845" s="33" t="n">
        <f aca="false">IF(S845="","",MAX(0,-S845))</f>
        <v>-0</v>
      </c>
      <c r="U845" s="33" t="n">
        <f aca="false">IF(S845="","",MAX(0,S845))</f>
        <v>0</v>
      </c>
      <c r="V845" s="11" t="str">
        <f aca="false">IF(J845="","NOT SCORED - NO JULY MONTHLY ROW",IF(OR(ABS(L845)&gt;0.005,ABS(O845)&gt;0.005,ABS(S845)&gt;0.005),"EXCEPTION","OK"))</f>
        <v>OK</v>
      </c>
      <c r="W845" s="11" t="s">
        <v>6100</v>
      </c>
      <c r="X845" s="11" t="s">
        <v>4099</v>
      </c>
      <c r="Y845" s="33" t="n">
        <f aca="false">K845*N845</f>
        <v>426.4</v>
      </c>
    </row>
    <row r="846" customFormat="false" ht="15" hidden="false" customHeight="false" outlineLevel="0" collapsed="false">
      <c r="A846" s="8" t="s">
        <v>6101</v>
      </c>
      <c r="B846" s="8" t="s">
        <v>211</v>
      </c>
      <c r="C846" s="8" t="s">
        <v>5306</v>
      </c>
      <c r="D846" s="8" t="s">
        <v>3345</v>
      </c>
      <c r="E846" s="8" t="s">
        <v>6102</v>
      </c>
      <c r="F846" s="8" t="s">
        <v>6103</v>
      </c>
      <c r="G846" s="8" t="s">
        <v>3826</v>
      </c>
      <c r="H846" s="8" t="n">
        <v>28</v>
      </c>
      <c r="I846" s="34" t="n">
        <v>28.7</v>
      </c>
      <c r="J846" s="34" t="n">
        <v>29</v>
      </c>
      <c r="K846" s="34" t="n">
        <f aca="false">MAX(ROUNDUP(I846,0),H846)</f>
        <v>29</v>
      </c>
      <c r="L846" s="34" t="n">
        <f aca="false">IF(J846="","",J846-K846)</f>
        <v>0</v>
      </c>
      <c r="M846" s="35" t="n">
        <v>10.4</v>
      </c>
      <c r="N846" s="35" t="n">
        <f aca="false">IF(C846="covered",10.4,7.55)</f>
        <v>10.4</v>
      </c>
      <c r="O846" s="35" t="n">
        <f aca="false">IF(M846="","",M846-N846)</f>
        <v>0</v>
      </c>
      <c r="P846" s="8" t="n">
        <v>1</v>
      </c>
      <c r="Q846" s="36" t="n">
        <v>301.6</v>
      </c>
      <c r="R846" s="36" t="n">
        <f aca="false">IF(OR(J846="",P846=""),"",K846*N846*P846)</f>
        <v>301.6</v>
      </c>
      <c r="S846" s="36" t="n">
        <f aca="false">IF(Q846="","",Q846-R846)</f>
        <v>0</v>
      </c>
      <c r="T846" s="36" t="n">
        <f aca="false">IF(S846="","",MAX(0,-S846))</f>
        <v>-0</v>
      </c>
      <c r="U846" s="36" t="n">
        <f aca="false">IF(S846="","",MAX(0,S846))</f>
        <v>0</v>
      </c>
      <c r="V846" s="8" t="str">
        <f aca="false">IF(J846="","NOT SCORED - NO JULY MONTHLY ROW",IF(OR(ABS(L846)&gt;0.005,ABS(O846)&gt;0.005,ABS(S846)&gt;0.005),"EXCEPTION","OK"))</f>
        <v>OK</v>
      </c>
      <c r="W846" s="8" t="s">
        <v>6104</v>
      </c>
      <c r="X846" s="8" t="s">
        <v>4099</v>
      </c>
      <c r="Y846" s="36" t="n">
        <f aca="false">K846*N846</f>
        <v>301.6</v>
      </c>
    </row>
    <row r="847" customFormat="false" ht="15" hidden="false" customHeight="false" outlineLevel="0" collapsed="false">
      <c r="A847" s="11" t="s">
        <v>6105</v>
      </c>
      <c r="B847" s="11" t="s">
        <v>211</v>
      </c>
      <c r="C847" s="11" t="s">
        <v>5306</v>
      </c>
      <c r="D847" s="11" t="s">
        <v>3349</v>
      </c>
      <c r="E847" s="11" t="s">
        <v>588</v>
      </c>
      <c r="F847" s="11" t="s">
        <v>589</v>
      </c>
      <c r="G847" s="11" t="s">
        <v>3380</v>
      </c>
      <c r="H847" s="11" t="n">
        <v>28</v>
      </c>
      <c r="I847" s="31" t="n">
        <v>19.5</v>
      </c>
      <c r="J847" s="31" t="n">
        <v>28</v>
      </c>
      <c r="K847" s="31" t="n">
        <f aca="false">MAX(ROUNDUP(I847,0),H847)</f>
        <v>28</v>
      </c>
      <c r="L847" s="31" t="n">
        <f aca="false">IF(J847="","",J847-K847)</f>
        <v>0</v>
      </c>
      <c r="M847" s="32" t="n">
        <v>10.4</v>
      </c>
      <c r="N847" s="32" t="n">
        <f aca="false">IF(C847="covered",10.4,7.55)</f>
        <v>10.4</v>
      </c>
      <c r="O847" s="32" t="n">
        <f aca="false">IF(M847="","",M847-N847)</f>
        <v>0</v>
      </c>
      <c r="P847" s="11" t="n">
        <v>1</v>
      </c>
      <c r="Q847" s="33" t="n">
        <v>291.2</v>
      </c>
      <c r="R847" s="33" t="n">
        <f aca="false">IF(OR(J847="",P847=""),"",K847*N847*P847)</f>
        <v>291.2</v>
      </c>
      <c r="S847" s="33" t="n">
        <f aca="false">IF(Q847="","",Q847-R847)</f>
        <v>0</v>
      </c>
      <c r="T847" s="33" t="n">
        <f aca="false">IF(S847="","",MAX(0,-S847))</f>
        <v>-0</v>
      </c>
      <c r="U847" s="33" t="n">
        <f aca="false">IF(S847="","",MAX(0,S847))</f>
        <v>0</v>
      </c>
      <c r="V847" s="11" t="str">
        <f aca="false">IF(J847="","NOT SCORED - NO JULY MONTHLY ROW",IF(OR(ABS(L847)&gt;0.005,ABS(O847)&gt;0.005,ABS(S847)&gt;0.005),"EXCEPTION","OK"))</f>
        <v>OK</v>
      </c>
      <c r="W847" s="11" t="s">
        <v>6106</v>
      </c>
      <c r="X847" s="11" t="s">
        <v>4099</v>
      </c>
      <c r="Y847" s="33" t="n">
        <f aca="false">K847*N847</f>
        <v>291.2</v>
      </c>
    </row>
    <row r="848" customFormat="false" ht="15" hidden="false" customHeight="false" outlineLevel="0" collapsed="false">
      <c r="A848" s="8" t="s">
        <v>6107</v>
      </c>
      <c r="B848" s="8" t="s">
        <v>211</v>
      </c>
      <c r="C848" s="8" t="s">
        <v>5306</v>
      </c>
      <c r="D848" s="8" t="s">
        <v>3354</v>
      </c>
      <c r="E848" s="8" t="s">
        <v>495</v>
      </c>
      <c r="F848" s="8" t="s">
        <v>496</v>
      </c>
      <c r="G848" s="8" t="s">
        <v>5832</v>
      </c>
      <c r="H848" s="8" t="n">
        <v>24</v>
      </c>
      <c r="I848" s="34" t="n">
        <v>19.4</v>
      </c>
      <c r="J848" s="34" t="n">
        <v>24</v>
      </c>
      <c r="K848" s="34" t="n">
        <f aca="false">MAX(ROUNDUP(I848,0),H848)</f>
        <v>24</v>
      </c>
      <c r="L848" s="34" t="n">
        <f aca="false">IF(J848="","",J848-K848)</f>
        <v>0</v>
      </c>
      <c r="M848" s="35" t="n">
        <v>10.4</v>
      </c>
      <c r="N848" s="35" t="n">
        <f aca="false">IF(C848="covered",10.4,7.55)</f>
        <v>10.4</v>
      </c>
      <c r="O848" s="35" t="n">
        <f aca="false">IF(M848="","",M848-N848)</f>
        <v>0</v>
      </c>
      <c r="P848" s="8" t="n">
        <v>1</v>
      </c>
      <c r="Q848" s="36" t="n">
        <v>249.6</v>
      </c>
      <c r="R848" s="36" t="n">
        <f aca="false">IF(OR(J848="",P848=""),"",K848*N848*P848)</f>
        <v>249.6</v>
      </c>
      <c r="S848" s="36" t="n">
        <f aca="false">IF(Q848="","",Q848-R848)</f>
        <v>0</v>
      </c>
      <c r="T848" s="36" t="n">
        <f aca="false">IF(S848="","",MAX(0,-S848))</f>
        <v>-0</v>
      </c>
      <c r="U848" s="36" t="n">
        <f aca="false">IF(S848="","",MAX(0,S848))</f>
        <v>0</v>
      </c>
      <c r="V848" s="8" t="str">
        <f aca="false">IF(J848="","NOT SCORED - NO JULY MONTHLY ROW",IF(OR(ABS(L848)&gt;0.005,ABS(O848)&gt;0.005,ABS(S848)&gt;0.005),"EXCEPTION","OK"))</f>
        <v>OK</v>
      </c>
      <c r="W848" s="8" t="s">
        <v>6108</v>
      </c>
      <c r="X848" s="8" t="s">
        <v>4099</v>
      </c>
      <c r="Y848" s="36" t="n">
        <f aca="false">K848*N848</f>
        <v>249.6</v>
      </c>
    </row>
    <row r="849" customFormat="false" ht="15" hidden="false" customHeight="false" outlineLevel="0" collapsed="false">
      <c r="A849" s="11" t="s">
        <v>6109</v>
      </c>
      <c r="B849" s="11" t="s">
        <v>211</v>
      </c>
      <c r="C849" s="11" t="s">
        <v>5306</v>
      </c>
      <c r="D849" s="11" t="s">
        <v>3363</v>
      </c>
      <c r="E849" s="11" t="s">
        <v>6110</v>
      </c>
      <c r="F849" s="11" t="s">
        <v>6111</v>
      </c>
      <c r="G849" s="11" t="s">
        <v>4050</v>
      </c>
      <c r="H849" s="11" t="n">
        <v>28</v>
      </c>
      <c r="I849" s="31" t="n">
        <v>25.9</v>
      </c>
      <c r="J849" s="31" t="n">
        <v>28</v>
      </c>
      <c r="K849" s="31" t="n">
        <f aca="false">MAX(ROUNDUP(I849,0),H849)</f>
        <v>28</v>
      </c>
      <c r="L849" s="31" t="n">
        <f aca="false">IF(J849="","",J849-K849)</f>
        <v>0</v>
      </c>
      <c r="M849" s="32" t="n">
        <v>10.4</v>
      </c>
      <c r="N849" s="32" t="n">
        <f aca="false">IF(C849="covered",10.4,7.55)</f>
        <v>10.4</v>
      </c>
      <c r="O849" s="32" t="n">
        <f aca="false">IF(M849="","",M849-N849)</f>
        <v>0</v>
      </c>
      <c r="P849" s="11" t="n">
        <v>1</v>
      </c>
      <c r="Q849" s="33" t="n">
        <v>291.2</v>
      </c>
      <c r="R849" s="33" t="n">
        <f aca="false">IF(OR(J849="",P849=""),"",K849*N849*P849)</f>
        <v>291.2</v>
      </c>
      <c r="S849" s="33" t="n">
        <f aca="false">IF(Q849="","",Q849-R849)</f>
        <v>0</v>
      </c>
      <c r="T849" s="33" t="n">
        <f aca="false">IF(S849="","",MAX(0,-S849))</f>
        <v>-0</v>
      </c>
      <c r="U849" s="33" t="n">
        <f aca="false">IF(S849="","",MAX(0,S849))</f>
        <v>0</v>
      </c>
      <c r="V849" s="11" t="str">
        <f aca="false">IF(J849="","NOT SCORED - NO JULY MONTHLY ROW",IF(OR(ABS(L849)&gt;0.005,ABS(O849)&gt;0.005,ABS(S849)&gt;0.005),"EXCEPTION","OK"))</f>
        <v>OK</v>
      </c>
      <c r="W849" s="11" t="s">
        <v>6112</v>
      </c>
      <c r="X849" s="11" t="s">
        <v>4099</v>
      </c>
      <c r="Y849" s="33" t="n">
        <f aca="false">K849*N849</f>
        <v>291.2</v>
      </c>
    </row>
    <row r="850" customFormat="false" ht="15" hidden="false" customHeight="false" outlineLevel="0" collapsed="false">
      <c r="A850" s="8" t="s">
        <v>6113</v>
      </c>
      <c r="B850" s="8" t="s">
        <v>211</v>
      </c>
      <c r="C850" s="8" t="s">
        <v>5306</v>
      </c>
      <c r="D850" s="8" t="s">
        <v>3367</v>
      </c>
      <c r="E850" s="8" t="s">
        <v>6114</v>
      </c>
      <c r="F850" s="8" t="s">
        <v>6115</v>
      </c>
      <c r="G850" s="8" t="s">
        <v>5019</v>
      </c>
      <c r="H850" s="8" t="n">
        <v>32</v>
      </c>
      <c r="I850" s="34" t="n">
        <v>55.1</v>
      </c>
      <c r="J850" s="34" t="n">
        <v>56</v>
      </c>
      <c r="K850" s="34" t="n">
        <f aca="false">MAX(ROUNDUP(I850,0),H850)</f>
        <v>56</v>
      </c>
      <c r="L850" s="34" t="n">
        <f aca="false">IF(J850="","",J850-K850)</f>
        <v>0</v>
      </c>
      <c r="M850" s="35" t="n">
        <v>10.4</v>
      </c>
      <c r="N850" s="35" t="n">
        <f aca="false">IF(C850="covered",10.4,7.55)</f>
        <v>10.4</v>
      </c>
      <c r="O850" s="35" t="n">
        <f aca="false">IF(M850="","",M850-N850)</f>
        <v>0</v>
      </c>
      <c r="P850" s="8" t="n">
        <v>1</v>
      </c>
      <c r="Q850" s="36" t="n">
        <v>582.4</v>
      </c>
      <c r="R850" s="36" t="n">
        <f aca="false">IF(OR(J850="",P850=""),"",K850*N850*P850)</f>
        <v>582.4</v>
      </c>
      <c r="S850" s="36" t="n">
        <f aca="false">IF(Q850="","",Q850-R850)</f>
        <v>0</v>
      </c>
      <c r="T850" s="36" t="n">
        <f aca="false">IF(S850="","",MAX(0,-S850))</f>
        <v>-0</v>
      </c>
      <c r="U850" s="36" t="n">
        <f aca="false">IF(S850="","",MAX(0,S850))</f>
        <v>0</v>
      </c>
      <c r="V850" s="8" t="str">
        <f aca="false">IF(J850="","NOT SCORED - NO JULY MONTHLY ROW",IF(OR(ABS(L850)&gt;0.005,ABS(O850)&gt;0.005,ABS(S850)&gt;0.005),"EXCEPTION","OK"))</f>
        <v>OK</v>
      </c>
      <c r="W850" s="8" t="s">
        <v>6116</v>
      </c>
      <c r="X850" s="8" t="s">
        <v>4099</v>
      </c>
      <c r="Y850" s="36" t="n">
        <f aca="false">K850*N850</f>
        <v>582.4</v>
      </c>
    </row>
    <row r="851" customFormat="false" ht="15" hidden="false" customHeight="false" outlineLevel="0" collapsed="false">
      <c r="A851" s="11" t="s">
        <v>6117</v>
      </c>
      <c r="B851" s="11" t="s">
        <v>211</v>
      </c>
      <c r="C851" s="11" t="s">
        <v>5306</v>
      </c>
      <c r="D851" s="11" t="s">
        <v>3370</v>
      </c>
      <c r="E851" s="11" t="s">
        <v>6118</v>
      </c>
      <c r="F851" s="11" t="s">
        <v>6119</v>
      </c>
      <c r="G851" s="11" t="s">
        <v>4992</v>
      </c>
      <c r="H851" s="11" t="n">
        <v>32</v>
      </c>
      <c r="I851" s="31" t="n">
        <v>53.2</v>
      </c>
      <c r="J851" s="31" t="n">
        <v>54</v>
      </c>
      <c r="K851" s="31" t="n">
        <f aca="false">MAX(ROUNDUP(I851,0),H851)</f>
        <v>54</v>
      </c>
      <c r="L851" s="31" t="n">
        <f aca="false">IF(J851="","",J851-K851)</f>
        <v>0</v>
      </c>
      <c r="M851" s="32" t="n">
        <v>10.4</v>
      </c>
      <c r="N851" s="32" t="n">
        <f aca="false">IF(C851="covered",10.4,7.55)</f>
        <v>10.4</v>
      </c>
      <c r="O851" s="32" t="n">
        <f aca="false">IF(M851="","",M851-N851)</f>
        <v>0</v>
      </c>
      <c r="P851" s="11" t="n">
        <v>1</v>
      </c>
      <c r="Q851" s="33" t="n">
        <v>561.6</v>
      </c>
      <c r="R851" s="33" t="n">
        <f aca="false">IF(OR(J851="",P851=""),"",K851*N851*P851)</f>
        <v>561.6</v>
      </c>
      <c r="S851" s="33" t="n">
        <f aca="false">IF(Q851="","",Q851-R851)</f>
        <v>0</v>
      </c>
      <c r="T851" s="33" t="n">
        <f aca="false">IF(S851="","",MAX(0,-S851))</f>
        <v>-0</v>
      </c>
      <c r="U851" s="33" t="n">
        <f aca="false">IF(S851="","",MAX(0,S851))</f>
        <v>0</v>
      </c>
      <c r="V851" s="11" t="str">
        <f aca="false">IF(J851="","NOT SCORED - NO JULY MONTHLY ROW",IF(OR(ABS(L851)&gt;0.005,ABS(O851)&gt;0.005,ABS(S851)&gt;0.005),"EXCEPTION","OK"))</f>
        <v>OK</v>
      </c>
      <c r="W851" s="11" t="s">
        <v>6120</v>
      </c>
      <c r="X851" s="11" t="s">
        <v>4099</v>
      </c>
      <c r="Y851" s="33" t="n">
        <f aca="false">K851*N851</f>
        <v>561.6</v>
      </c>
    </row>
    <row r="852" customFormat="false" ht="15" hidden="false" customHeight="false" outlineLevel="0" collapsed="false">
      <c r="A852" s="8" t="s">
        <v>6121</v>
      </c>
      <c r="B852" s="8" t="s">
        <v>211</v>
      </c>
      <c r="C852" s="8" t="s">
        <v>5306</v>
      </c>
      <c r="D852" s="8" t="s">
        <v>3377</v>
      </c>
      <c r="E852" s="8" t="s">
        <v>6122</v>
      </c>
      <c r="F852" s="8" t="s">
        <v>6123</v>
      </c>
      <c r="G852" s="8" t="s">
        <v>4638</v>
      </c>
      <c r="H852" s="8" t="n">
        <v>32</v>
      </c>
      <c r="I852" s="34" t="n">
        <v>25.1</v>
      </c>
      <c r="J852" s="34" t="n">
        <v>32</v>
      </c>
      <c r="K852" s="34" t="n">
        <f aca="false">MAX(ROUNDUP(I852,0),H852)</f>
        <v>32</v>
      </c>
      <c r="L852" s="34" t="n">
        <f aca="false">IF(J852="","",J852-K852)</f>
        <v>0</v>
      </c>
      <c r="M852" s="35" t="n">
        <v>10.4</v>
      </c>
      <c r="N852" s="35" t="n">
        <f aca="false">IF(C852="covered",10.4,7.55)</f>
        <v>10.4</v>
      </c>
      <c r="O852" s="35" t="n">
        <f aca="false">IF(M852="","",M852-N852)</f>
        <v>0</v>
      </c>
      <c r="P852" s="8" t="n">
        <v>1</v>
      </c>
      <c r="Q852" s="36" t="n">
        <v>332.8</v>
      </c>
      <c r="R852" s="36" t="n">
        <f aca="false">IF(OR(J852="",P852=""),"",K852*N852*P852)</f>
        <v>332.8</v>
      </c>
      <c r="S852" s="36" t="n">
        <f aca="false">IF(Q852="","",Q852-R852)</f>
        <v>0</v>
      </c>
      <c r="T852" s="36" t="n">
        <f aca="false">IF(S852="","",MAX(0,-S852))</f>
        <v>-0</v>
      </c>
      <c r="U852" s="36" t="n">
        <f aca="false">IF(S852="","",MAX(0,S852))</f>
        <v>0</v>
      </c>
      <c r="V852" s="8" t="str">
        <f aca="false">IF(J852="","NOT SCORED - NO JULY MONTHLY ROW",IF(OR(ABS(L852)&gt;0.005,ABS(O852)&gt;0.005,ABS(S852)&gt;0.005),"EXCEPTION","OK"))</f>
        <v>OK</v>
      </c>
      <c r="W852" s="8" t="s">
        <v>6124</v>
      </c>
      <c r="X852" s="8" t="s">
        <v>4099</v>
      </c>
      <c r="Y852" s="36" t="n">
        <f aca="false">K852*N852</f>
        <v>332.8</v>
      </c>
    </row>
    <row r="853" customFormat="false" ht="15" hidden="false" customHeight="false" outlineLevel="0" collapsed="false">
      <c r="A853" s="11" t="s">
        <v>6125</v>
      </c>
      <c r="B853" s="11" t="s">
        <v>211</v>
      </c>
      <c r="C853" s="11" t="s">
        <v>5306</v>
      </c>
      <c r="D853" s="11" t="s">
        <v>3382</v>
      </c>
      <c r="E853" s="11" t="s">
        <v>6126</v>
      </c>
      <c r="F853" s="11" t="s">
        <v>6127</v>
      </c>
      <c r="G853" s="11" t="s">
        <v>3704</v>
      </c>
      <c r="H853" s="11" t="n">
        <v>24</v>
      </c>
      <c r="I853" s="31" t="n">
        <v>36.2</v>
      </c>
      <c r="J853" s="31" t="n">
        <v>37</v>
      </c>
      <c r="K853" s="31" t="n">
        <f aca="false">MAX(ROUNDUP(I853,0),H853)</f>
        <v>37</v>
      </c>
      <c r="L853" s="31" t="n">
        <f aca="false">IF(J853="","",J853-K853)</f>
        <v>0</v>
      </c>
      <c r="M853" s="32" t="n">
        <v>10.4</v>
      </c>
      <c r="N853" s="32" t="n">
        <f aca="false">IF(C853="covered",10.4,7.55)</f>
        <v>10.4</v>
      </c>
      <c r="O853" s="32" t="n">
        <f aca="false">IF(M853="","",M853-N853)</f>
        <v>0</v>
      </c>
      <c r="P853" s="11" t="n">
        <v>1</v>
      </c>
      <c r="Q853" s="33" t="n">
        <v>384.8</v>
      </c>
      <c r="R853" s="33" t="n">
        <f aca="false">IF(OR(J853="",P853=""),"",K853*N853*P853)</f>
        <v>384.8</v>
      </c>
      <c r="S853" s="33" t="n">
        <f aca="false">IF(Q853="","",Q853-R853)</f>
        <v>0</v>
      </c>
      <c r="T853" s="33" t="n">
        <f aca="false">IF(S853="","",MAX(0,-S853))</f>
        <v>-0</v>
      </c>
      <c r="U853" s="33" t="n">
        <f aca="false">IF(S853="","",MAX(0,S853))</f>
        <v>0</v>
      </c>
      <c r="V853" s="11" t="str">
        <f aca="false">IF(J853="","NOT SCORED - NO JULY MONTHLY ROW",IF(OR(ABS(L853)&gt;0.005,ABS(O853)&gt;0.005,ABS(S853)&gt;0.005),"EXCEPTION","OK"))</f>
        <v>OK</v>
      </c>
      <c r="W853" s="11" t="s">
        <v>6128</v>
      </c>
      <c r="X853" s="11" t="s">
        <v>4099</v>
      </c>
      <c r="Y853" s="33" t="n">
        <f aca="false">K853*N853</f>
        <v>384.8</v>
      </c>
    </row>
    <row r="854" customFormat="false" ht="15" hidden="false" customHeight="false" outlineLevel="0" collapsed="false">
      <c r="A854" s="8" t="s">
        <v>6129</v>
      </c>
      <c r="B854" s="8" t="s">
        <v>211</v>
      </c>
      <c r="C854" s="8" t="s">
        <v>5306</v>
      </c>
      <c r="D854" s="8" t="s">
        <v>4947</v>
      </c>
      <c r="E854" s="8" t="s">
        <v>6130</v>
      </c>
      <c r="F854" s="8" t="s">
        <v>6131</v>
      </c>
      <c r="G854" s="8" t="s">
        <v>4992</v>
      </c>
      <c r="H854" s="8" t="n">
        <v>24</v>
      </c>
      <c r="I854" s="34" t="n">
        <v>28.7</v>
      </c>
      <c r="J854" s="34" t="n">
        <v>29</v>
      </c>
      <c r="K854" s="34" t="n">
        <f aca="false">MAX(ROUNDUP(I854,0),H854)</f>
        <v>29</v>
      </c>
      <c r="L854" s="34" t="n">
        <f aca="false">IF(J854="","",J854-K854)</f>
        <v>0</v>
      </c>
      <c r="M854" s="35" t="n">
        <v>10.4</v>
      </c>
      <c r="N854" s="35" t="n">
        <f aca="false">IF(C854="covered",10.4,7.55)</f>
        <v>10.4</v>
      </c>
      <c r="O854" s="35" t="n">
        <f aca="false">IF(M854="","",M854-N854)</f>
        <v>0</v>
      </c>
      <c r="P854" s="8" t="n">
        <v>1</v>
      </c>
      <c r="Q854" s="36" t="n">
        <v>301.6</v>
      </c>
      <c r="R854" s="36" t="n">
        <f aca="false">IF(OR(J854="",P854=""),"",K854*N854*P854)</f>
        <v>301.6</v>
      </c>
      <c r="S854" s="36" t="n">
        <f aca="false">IF(Q854="","",Q854-R854)</f>
        <v>0</v>
      </c>
      <c r="T854" s="36" t="n">
        <f aca="false">IF(S854="","",MAX(0,-S854))</f>
        <v>-0</v>
      </c>
      <c r="U854" s="36" t="n">
        <f aca="false">IF(S854="","",MAX(0,S854))</f>
        <v>0</v>
      </c>
      <c r="V854" s="8" t="str">
        <f aca="false">IF(J854="","NOT SCORED - NO JULY MONTHLY ROW",IF(OR(ABS(L854)&gt;0.005,ABS(O854)&gt;0.005,ABS(S854)&gt;0.005),"EXCEPTION","OK"))</f>
        <v>OK</v>
      </c>
      <c r="W854" s="8" t="s">
        <v>6132</v>
      </c>
      <c r="X854" s="8" t="s">
        <v>4099</v>
      </c>
      <c r="Y854" s="36" t="n">
        <f aca="false">K854*N854</f>
        <v>301.6</v>
      </c>
    </row>
    <row r="855" customFormat="false" ht="15" hidden="false" customHeight="false" outlineLevel="0" collapsed="false">
      <c r="A855" s="11" t="s">
        <v>6133</v>
      </c>
      <c r="B855" s="11" t="s">
        <v>211</v>
      </c>
      <c r="C855" s="11" t="s">
        <v>5306</v>
      </c>
      <c r="D855" s="11" t="s">
        <v>3387</v>
      </c>
      <c r="E855" s="11" t="s">
        <v>6134</v>
      </c>
      <c r="F855" s="11" t="s">
        <v>6135</v>
      </c>
      <c r="G855" s="11" t="s">
        <v>3304</v>
      </c>
      <c r="H855" s="11" t="n">
        <v>24</v>
      </c>
      <c r="I855" s="31" t="n">
        <v>20</v>
      </c>
      <c r="J855" s="31" t="n">
        <v>24</v>
      </c>
      <c r="K855" s="31" t="n">
        <f aca="false">MAX(ROUNDUP(I855,0),H855)</f>
        <v>24</v>
      </c>
      <c r="L855" s="31" t="n">
        <f aca="false">IF(J855="","",J855-K855)</f>
        <v>0</v>
      </c>
      <c r="M855" s="32" t="n">
        <v>10.4</v>
      </c>
      <c r="N855" s="32" t="n">
        <f aca="false">IF(C855="covered",10.4,7.55)</f>
        <v>10.4</v>
      </c>
      <c r="O855" s="32" t="n">
        <f aca="false">IF(M855="","",M855-N855)</f>
        <v>0</v>
      </c>
      <c r="P855" s="11" t="n">
        <v>1</v>
      </c>
      <c r="Q855" s="33" t="n">
        <v>249.6</v>
      </c>
      <c r="R855" s="33" t="n">
        <f aca="false">IF(OR(J855="",P855=""),"",K855*N855*P855)</f>
        <v>249.6</v>
      </c>
      <c r="S855" s="33" t="n">
        <f aca="false">IF(Q855="","",Q855-R855)</f>
        <v>0</v>
      </c>
      <c r="T855" s="33" t="n">
        <f aca="false">IF(S855="","",MAX(0,-S855))</f>
        <v>-0</v>
      </c>
      <c r="U855" s="33" t="n">
        <f aca="false">IF(S855="","",MAX(0,S855))</f>
        <v>0</v>
      </c>
      <c r="V855" s="11" t="str">
        <f aca="false">IF(J855="","NOT SCORED - NO JULY MONTHLY ROW",IF(OR(ABS(L855)&gt;0.005,ABS(O855)&gt;0.005,ABS(S855)&gt;0.005),"EXCEPTION","OK"))</f>
        <v>OK</v>
      </c>
      <c r="W855" s="11" t="s">
        <v>6136</v>
      </c>
      <c r="X855" s="11" t="s">
        <v>4099</v>
      </c>
      <c r="Y855" s="33" t="n">
        <f aca="false">K855*N855</f>
        <v>249.6</v>
      </c>
    </row>
    <row r="856" customFormat="false" ht="15" hidden="false" customHeight="false" outlineLevel="0" collapsed="false">
      <c r="A856" s="8" t="s">
        <v>1065</v>
      </c>
      <c r="B856" s="8" t="s">
        <v>211</v>
      </c>
      <c r="C856" s="8" t="s">
        <v>5306</v>
      </c>
      <c r="D856" s="8" t="s">
        <v>4956</v>
      </c>
      <c r="E856" s="8" t="s">
        <v>6137</v>
      </c>
      <c r="F856" s="8" t="s">
        <v>6138</v>
      </c>
      <c r="G856" s="8" t="s">
        <v>3604</v>
      </c>
      <c r="H856" s="8" t="n">
        <v>32</v>
      </c>
      <c r="I856" s="34" t="n">
        <v>53.7</v>
      </c>
      <c r="J856" s="34" t="n">
        <v>54</v>
      </c>
      <c r="K856" s="34" t="n">
        <f aca="false">MAX(ROUNDUP(I856,0),H856)</f>
        <v>54</v>
      </c>
      <c r="L856" s="34" t="n">
        <f aca="false">IF(J856="","",J856-K856)</f>
        <v>0</v>
      </c>
      <c r="M856" s="35" t="n">
        <v>10.4</v>
      </c>
      <c r="N856" s="35" t="n">
        <f aca="false">IF(C856="covered",10.4,7.55)</f>
        <v>10.4</v>
      </c>
      <c r="O856" s="35" t="n">
        <f aca="false">IF(M856="","",M856-N856)</f>
        <v>0</v>
      </c>
      <c r="P856" s="8" t="n">
        <v>1</v>
      </c>
      <c r="Q856" s="36" t="n">
        <v>561.6</v>
      </c>
      <c r="R856" s="36" t="n">
        <f aca="false">IF(OR(J856="",P856=""),"",K856*N856*P856)</f>
        <v>561.6</v>
      </c>
      <c r="S856" s="36" t="n">
        <f aca="false">IF(Q856="","",Q856-R856)</f>
        <v>0</v>
      </c>
      <c r="T856" s="36" t="n">
        <f aca="false">IF(S856="","",MAX(0,-S856))</f>
        <v>-0</v>
      </c>
      <c r="U856" s="36" t="n">
        <f aca="false">IF(S856="","",MAX(0,S856))</f>
        <v>0</v>
      </c>
      <c r="V856" s="8" t="str">
        <f aca="false">IF(J856="","NOT SCORED - NO JULY MONTHLY ROW",IF(OR(ABS(L856)&gt;0.005,ABS(O856)&gt;0.005,ABS(S856)&gt;0.005),"EXCEPTION","OK"))</f>
        <v>OK</v>
      </c>
      <c r="W856" s="8" t="s">
        <v>6139</v>
      </c>
      <c r="X856" s="8" t="s">
        <v>4099</v>
      </c>
      <c r="Y856" s="36" t="n">
        <f aca="false">K856*N856</f>
        <v>561.6</v>
      </c>
    </row>
    <row r="857" customFormat="false" ht="15" hidden="false" customHeight="false" outlineLevel="0" collapsed="false">
      <c r="A857" s="11" t="s">
        <v>1899</v>
      </c>
      <c r="B857" s="11" t="s">
        <v>211</v>
      </c>
      <c r="C857" s="11" t="s">
        <v>5306</v>
      </c>
      <c r="D857" s="11" t="s">
        <v>6140</v>
      </c>
      <c r="E857" s="11" t="s">
        <v>6141</v>
      </c>
      <c r="F857" s="11" t="s">
        <v>6142</v>
      </c>
      <c r="G857" s="11" t="s">
        <v>4657</v>
      </c>
      <c r="H857" s="11" t="n">
        <v>28</v>
      </c>
      <c r="I857" s="31" t="n">
        <v>54.9</v>
      </c>
      <c r="J857" s="31" t="n">
        <v>55</v>
      </c>
      <c r="K857" s="31" t="n">
        <f aca="false">MAX(ROUNDUP(I857,0),H857)</f>
        <v>55</v>
      </c>
      <c r="L857" s="31" t="n">
        <f aca="false">IF(J857="","",J857-K857)</f>
        <v>0</v>
      </c>
      <c r="M857" s="32" t="n">
        <v>10.4</v>
      </c>
      <c r="N857" s="32" t="n">
        <f aca="false">IF(C857="covered",10.4,7.55)</f>
        <v>10.4</v>
      </c>
      <c r="O857" s="32" t="n">
        <f aca="false">IF(M857="","",M857-N857)</f>
        <v>0</v>
      </c>
      <c r="P857" s="11" t="n">
        <v>1</v>
      </c>
      <c r="Q857" s="33" t="n">
        <v>572</v>
      </c>
      <c r="R857" s="33" t="n">
        <f aca="false">IF(OR(J857="",P857=""),"",K857*N857*P857)</f>
        <v>572</v>
      </c>
      <c r="S857" s="33" t="n">
        <f aca="false">IF(Q857="","",Q857-R857)</f>
        <v>0</v>
      </c>
      <c r="T857" s="33" t="n">
        <f aca="false">IF(S857="","",MAX(0,-S857))</f>
        <v>-0</v>
      </c>
      <c r="U857" s="33" t="n">
        <f aca="false">IF(S857="","",MAX(0,S857))</f>
        <v>0</v>
      </c>
      <c r="V857" s="11" t="str">
        <f aca="false">IF(J857="","NOT SCORED - NO JULY MONTHLY ROW",IF(OR(ABS(L857)&gt;0.005,ABS(O857)&gt;0.005,ABS(S857)&gt;0.005),"EXCEPTION","OK"))</f>
        <v>OK</v>
      </c>
      <c r="W857" s="11" t="s">
        <v>6143</v>
      </c>
      <c r="X857" s="11" t="s">
        <v>4099</v>
      </c>
      <c r="Y857" s="33" t="n">
        <f aca="false">K857*N857</f>
        <v>572</v>
      </c>
    </row>
    <row r="858" customFormat="false" ht="15" hidden="false" customHeight="false" outlineLevel="0" collapsed="false">
      <c r="A858" s="8" t="s">
        <v>2013</v>
      </c>
      <c r="B858" s="8" t="s">
        <v>211</v>
      </c>
      <c r="C858" s="8" t="s">
        <v>5306</v>
      </c>
      <c r="D858" s="8" t="s">
        <v>6144</v>
      </c>
      <c r="E858" s="8" t="s">
        <v>6145</v>
      </c>
      <c r="F858" s="8" t="s">
        <v>6146</v>
      </c>
      <c r="G858" s="8" t="s">
        <v>3618</v>
      </c>
      <c r="H858" s="8" t="n">
        <v>32</v>
      </c>
      <c r="I858" s="34" t="n">
        <v>23.2</v>
      </c>
      <c r="J858" s="34" t="n">
        <v>32</v>
      </c>
      <c r="K858" s="34" t="n">
        <f aca="false">MAX(ROUNDUP(I858,0),H858)</f>
        <v>32</v>
      </c>
      <c r="L858" s="34" t="n">
        <f aca="false">IF(J858="","",J858-K858)</f>
        <v>0</v>
      </c>
      <c r="M858" s="35" t="n">
        <v>10.4</v>
      </c>
      <c r="N858" s="35" t="n">
        <f aca="false">IF(C858="covered",10.4,7.55)</f>
        <v>10.4</v>
      </c>
      <c r="O858" s="35" t="n">
        <f aca="false">IF(M858="","",M858-N858)</f>
        <v>0</v>
      </c>
      <c r="P858" s="8" t="n">
        <v>1</v>
      </c>
      <c r="Q858" s="36" t="n">
        <v>332.8</v>
      </c>
      <c r="R858" s="36" t="n">
        <f aca="false">IF(OR(J858="",P858=""),"",K858*N858*P858)</f>
        <v>332.8</v>
      </c>
      <c r="S858" s="36" t="n">
        <f aca="false">IF(Q858="","",Q858-R858)</f>
        <v>0</v>
      </c>
      <c r="T858" s="36" t="n">
        <f aca="false">IF(S858="","",MAX(0,-S858))</f>
        <v>-0</v>
      </c>
      <c r="U858" s="36" t="n">
        <f aca="false">IF(S858="","",MAX(0,S858))</f>
        <v>0</v>
      </c>
      <c r="V858" s="8" t="str">
        <f aca="false">IF(J858="","NOT SCORED - NO JULY MONTHLY ROW",IF(OR(ABS(L858)&gt;0.005,ABS(O858)&gt;0.005,ABS(S858)&gt;0.005),"EXCEPTION","OK"))</f>
        <v>OK</v>
      </c>
      <c r="W858" s="8" t="s">
        <v>6147</v>
      </c>
      <c r="X858" s="8" t="s">
        <v>4099</v>
      </c>
      <c r="Y858" s="36" t="n">
        <f aca="false">K858*N858</f>
        <v>332.8</v>
      </c>
    </row>
    <row r="859" customFormat="false" ht="15" hidden="false" customHeight="false" outlineLevel="0" collapsed="false">
      <c r="A859" s="11" t="s">
        <v>418</v>
      </c>
      <c r="B859" s="11" t="s">
        <v>211</v>
      </c>
      <c r="C859" s="11" t="s">
        <v>5306</v>
      </c>
      <c r="D859" s="11" t="s">
        <v>6148</v>
      </c>
      <c r="E859" s="11" t="s">
        <v>6149</v>
      </c>
      <c r="F859" s="11" t="s">
        <v>6150</v>
      </c>
      <c r="G859" s="11" t="s">
        <v>4563</v>
      </c>
      <c r="H859" s="11" t="n">
        <v>32</v>
      </c>
      <c r="I859" s="31" t="n">
        <v>53.6</v>
      </c>
      <c r="J859" s="31" t="n">
        <v>54</v>
      </c>
      <c r="K859" s="31" t="n">
        <f aca="false">MAX(ROUNDUP(I859,0),H859)</f>
        <v>54</v>
      </c>
      <c r="L859" s="31" t="n">
        <f aca="false">IF(J859="","",J859-K859)</f>
        <v>0</v>
      </c>
      <c r="M859" s="32" t="n">
        <v>10.4</v>
      </c>
      <c r="N859" s="32" t="n">
        <f aca="false">IF(C859="covered",10.4,7.55)</f>
        <v>10.4</v>
      </c>
      <c r="O859" s="32" t="n">
        <f aca="false">IF(M859="","",M859-N859)</f>
        <v>0</v>
      </c>
      <c r="P859" s="11" t="n">
        <v>1</v>
      </c>
      <c r="Q859" s="33" t="n">
        <v>561.6</v>
      </c>
      <c r="R859" s="33" t="n">
        <f aca="false">IF(OR(J859="",P859=""),"",K859*N859*P859)</f>
        <v>561.6</v>
      </c>
      <c r="S859" s="33" t="n">
        <f aca="false">IF(Q859="","",Q859-R859)</f>
        <v>0</v>
      </c>
      <c r="T859" s="33" t="n">
        <f aca="false">IF(S859="","",MAX(0,-S859))</f>
        <v>-0</v>
      </c>
      <c r="U859" s="33" t="n">
        <f aca="false">IF(S859="","",MAX(0,S859))</f>
        <v>0</v>
      </c>
      <c r="V859" s="11" t="str">
        <f aca="false">IF(J859="","NOT SCORED - NO JULY MONTHLY ROW",IF(OR(ABS(L859)&gt;0.005,ABS(O859)&gt;0.005,ABS(S859)&gt;0.005),"EXCEPTION","OK"))</f>
        <v>OK</v>
      </c>
      <c r="W859" s="11" t="s">
        <v>6151</v>
      </c>
      <c r="X859" s="11" t="s">
        <v>4099</v>
      </c>
      <c r="Y859" s="33" t="n">
        <f aca="false">K859*N859</f>
        <v>561.6</v>
      </c>
    </row>
    <row r="860" customFormat="false" ht="15" hidden="false" customHeight="false" outlineLevel="0" collapsed="false">
      <c r="A860" s="8" t="s">
        <v>1980</v>
      </c>
      <c r="B860" s="8" t="s">
        <v>211</v>
      </c>
      <c r="C860" s="8" t="s">
        <v>5306</v>
      </c>
      <c r="D860" s="8" t="s">
        <v>6152</v>
      </c>
      <c r="E860" s="8" t="s">
        <v>6153</v>
      </c>
      <c r="F860" s="8" t="s">
        <v>6154</v>
      </c>
      <c r="G860" s="8" t="s">
        <v>6155</v>
      </c>
      <c r="H860" s="8" t="n">
        <v>36</v>
      </c>
      <c r="I860" s="34" t="n">
        <v>48.9</v>
      </c>
      <c r="J860" s="34" t="n">
        <v>49</v>
      </c>
      <c r="K860" s="34" t="n">
        <f aca="false">MAX(ROUNDUP(I860,0),H860)</f>
        <v>49</v>
      </c>
      <c r="L860" s="34" t="n">
        <f aca="false">IF(J860="","",J860-K860)</f>
        <v>0</v>
      </c>
      <c r="M860" s="35" t="n">
        <v>10.4</v>
      </c>
      <c r="N860" s="35" t="n">
        <f aca="false">IF(C860="covered",10.4,7.55)</f>
        <v>10.4</v>
      </c>
      <c r="O860" s="35" t="n">
        <f aca="false">IF(M860="","",M860-N860)</f>
        <v>0</v>
      </c>
      <c r="P860" s="8" t="n">
        <v>1</v>
      </c>
      <c r="Q860" s="36" t="n">
        <v>509.6</v>
      </c>
      <c r="R860" s="36" t="n">
        <f aca="false">IF(OR(J860="",P860=""),"",K860*N860*P860)</f>
        <v>509.6</v>
      </c>
      <c r="S860" s="36" t="n">
        <f aca="false">IF(Q860="","",Q860-R860)</f>
        <v>0</v>
      </c>
      <c r="T860" s="36" t="n">
        <f aca="false">IF(S860="","",MAX(0,-S860))</f>
        <v>-0</v>
      </c>
      <c r="U860" s="36" t="n">
        <f aca="false">IF(S860="","",MAX(0,S860))</f>
        <v>0</v>
      </c>
      <c r="V860" s="8" t="str">
        <f aca="false">IF(J860="","NOT SCORED - NO JULY MONTHLY ROW",IF(OR(ABS(L860)&gt;0.005,ABS(O860)&gt;0.005,ABS(S860)&gt;0.005),"EXCEPTION","OK"))</f>
        <v>OK</v>
      </c>
      <c r="W860" s="8" t="s">
        <v>6156</v>
      </c>
      <c r="X860" s="8" t="s">
        <v>4099</v>
      </c>
      <c r="Y860" s="36" t="n">
        <f aca="false">K860*N860</f>
        <v>509.6</v>
      </c>
    </row>
    <row r="861" customFormat="false" ht="15" hidden="false" customHeight="false" outlineLevel="0" collapsed="false">
      <c r="A861" s="11" t="s">
        <v>6157</v>
      </c>
      <c r="B861" s="11" t="s">
        <v>211</v>
      </c>
      <c r="C861" s="11" t="s">
        <v>5306</v>
      </c>
      <c r="D861" s="11" t="s">
        <v>6158</v>
      </c>
      <c r="E861" s="11" t="s">
        <v>6159</v>
      </c>
      <c r="F861" s="11" t="s">
        <v>6160</v>
      </c>
      <c r="G861" s="11" t="s">
        <v>6161</v>
      </c>
      <c r="H861" s="11" t="n">
        <v>24</v>
      </c>
      <c r="I861" s="31" t="n">
        <v>18.6</v>
      </c>
      <c r="J861" s="31" t="n">
        <v>24</v>
      </c>
      <c r="K861" s="31" t="n">
        <f aca="false">MAX(ROUNDUP(I861,0),H861)</f>
        <v>24</v>
      </c>
      <c r="L861" s="31" t="n">
        <f aca="false">IF(J861="","",J861-K861)</f>
        <v>0</v>
      </c>
      <c r="M861" s="32" t="n">
        <v>10.4</v>
      </c>
      <c r="N861" s="32" t="n">
        <f aca="false">IF(C861="covered",10.4,7.55)</f>
        <v>10.4</v>
      </c>
      <c r="O861" s="32" t="n">
        <f aca="false">IF(M861="","",M861-N861)</f>
        <v>0</v>
      </c>
      <c r="P861" s="11" t="n">
        <v>1</v>
      </c>
      <c r="Q861" s="33" t="n">
        <v>249.6</v>
      </c>
      <c r="R861" s="33" t="n">
        <f aca="false">IF(OR(J861="",P861=""),"",K861*N861*P861)</f>
        <v>249.6</v>
      </c>
      <c r="S861" s="33" t="n">
        <f aca="false">IF(Q861="","",Q861-R861)</f>
        <v>0</v>
      </c>
      <c r="T861" s="33" t="n">
        <f aca="false">IF(S861="","",MAX(0,-S861))</f>
        <v>-0</v>
      </c>
      <c r="U861" s="33" t="n">
        <f aca="false">IF(S861="","",MAX(0,S861))</f>
        <v>0</v>
      </c>
      <c r="V861" s="11" t="str">
        <f aca="false">IF(J861="","NOT SCORED - NO JULY MONTHLY ROW",IF(OR(ABS(L861)&gt;0.005,ABS(O861)&gt;0.005,ABS(S861)&gt;0.005),"EXCEPTION","OK"))</f>
        <v>OK</v>
      </c>
      <c r="W861" s="11" t="s">
        <v>6162</v>
      </c>
      <c r="X861" s="11" t="s">
        <v>4099</v>
      </c>
      <c r="Y861" s="33" t="n">
        <f aca="false">K861*N861</f>
        <v>249.6</v>
      </c>
    </row>
    <row r="862" customFormat="false" ht="15" hidden="false" customHeight="false" outlineLevel="0" collapsed="false">
      <c r="A862" s="8" t="s">
        <v>1336</v>
      </c>
      <c r="B862" s="8" t="s">
        <v>211</v>
      </c>
      <c r="C862" s="8" t="s">
        <v>5306</v>
      </c>
      <c r="D862" s="8" t="s">
        <v>6163</v>
      </c>
      <c r="E862" s="8" t="s">
        <v>6164</v>
      </c>
      <c r="F862" s="8" t="s">
        <v>6165</v>
      </c>
      <c r="G862" s="8" t="s">
        <v>6166</v>
      </c>
      <c r="H862" s="8" t="n">
        <v>28</v>
      </c>
      <c r="I862" s="34" t="n">
        <v>47.6</v>
      </c>
      <c r="J862" s="34" t="n">
        <v>48</v>
      </c>
      <c r="K862" s="34" t="n">
        <f aca="false">MAX(ROUNDUP(I862,0),H862)</f>
        <v>48</v>
      </c>
      <c r="L862" s="34" t="n">
        <f aca="false">IF(J862="","",J862-K862)</f>
        <v>0</v>
      </c>
      <c r="M862" s="35" t="n">
        <v>10.4</v>
      </c>
      <c r="N862" s="35" t="n">
        <f aca="false">IF(C862="covered",10.4,7.55)</f>
        <v>10.4</v>
      </c>
      <c r="O862" s="35" t="n">
        <f aca="false">IF(M862="","",M862-N862)</f>
        <v>0</v>
      </c>
      <c r="P862" s="8" t="n">
        <v>1</v>
      </c>
      <c r="Q862" s="36" t="n">
        <v>499.2</v>
      </c>
      <c r="R862" s="36" t="n">
        <f aca="false">IF(OR(J862="",P862=""),"",K862*N862*P862)</f>
        <v>499.2</v>
      </c>
      <c r="S862" s="36" t="n">
        <f aca="false">IF(Q862="","",Q862-R862)</f>
        <v>0</v>
      </c>
      <c r="T862" s="36" t="n">
        <f aca="false">IF(S862="","",MAX(0,-S862))</f>
        <v>-0</v>
      </c>
      <c r="U862" s="36" t="n">
        <f aca="false">IF(S862="","",MAX(0,S862))</f>
        <v>0</v>
      </c>
      <c r="V862" s="8" t="str">
        <f aca="false">IF(J862="","NOT SCORED - NO JULY MONTHLY ROW",IF(OR(ABS(L862)&gt;0.005,ABS(O862)&gt;0.005,ABS(S862)&gt;0.005),"EXCEPTION","OK"))</f>
        <v>OK</v>
      </c>
      <c r="W862" s="8" t="s">
        <v>6167</v>
      </c>
      <c r="X862" s="8" t="s">
        <v>4099</v>
      </c>
      <c r="Y862" s="36" t="n">
        <f aca="false">K862*N862</f>
        <v>499.2</v>
      </c>
    </row>
    <row r="863" customFormat="false" ht="15" hidden="false" customHeight="false" outlineLevel="0" collapsed="false">
      <c r="A863" s="11" t="s">
        <v>1383</v>
      </c>
      <c r="B863" s="11" t="s">
        <v>211</v>
      </c>
      <c r="C863" s="11" t="s">
        <v>5306</v>
      </c>
      <c r="D863" s="11" t="s">
        <v>6168</v>
      </c>
      <c r="E863" s="11" t="s">
        <v>6169</v>
      </c>
      <c r="F863" s="11" t="s">
        <v>6170</v>
      </c>
      <c r="G863" s="11" t="s">
        <v>5494</v>
      </c>
      <c r="H863" s="11" t="n">
        <v>32</v>
      </c>
      <c r="I863" s="31" t="n">
        <v>30.9</v>
      </c>
      <c r="J863" s="31" t="n">
        <v>32</v>
      </c>
      <c r="K863" s="31" t="n">
        <f aca="false">MAX(ROUNDUP(I863,0),H863)</f>
        <v>32</v>
      </c>
      <c r="L863" s="31" t="n">
        <f aca="false">IF(J863="","",J863-K863)</f>
        <v>0</v>
      </c>
      <c r="M863" s="32" t="n">
        <v>10.4</v>
      </c>
      <c r="N863" s="32" t="n">
        <f aca="false">IF(C863="covered",10.4,7.55)</f>
        <v>10.4</v>
      </c>
      <c r="O863" s="32" t="n">
        <f aca="false">IF(M863="","",M863-N863)</f>
        <v>0</v>
      </c>
      <c r="P863" s="11" t="n">
        <v>1</v>
      </c>
      <c r="Q863" s="33" t="n">
        <v>332.8</v>
      </c>
      <c r="R863" s="33" t="n">
        <f aca="false">IF(OR(J863="",P863=""),"",K863*N863*P863)</f>
        <v>332.8</v>
      </c>
      <c r="S863" s="33" t="n">
        <f aca="false">IF(Q863="","",Q863-R863)</f>
        <v>0</v>
      </c>
      <c r="T863" s="33" t="n">
        <f aca="false">IF(S863="","",MAX(0,-S863))</f>
        <v>-0</v>
      </c>
      <c r="U863" s="33" t="n">
        <f aca="false">IF(S863="","",MAX(0,S863))</f>
        <v>0</v>
      </c>
      <c r="V863" s="11" t="str">
        <f aca="false">IF(J863="","NOT SCORED - NO JULY MONTHLY ROW",IF(OR(ABS(L863)&gt;0.005,ABS(O863)&gt;0.005,ABS(S863)&gt;0.005),"EXCEPTION","OK"))</f>
        <v>OK</v>
      </c>
      <c r="W863" s="11" t="s">
        <v>6171</v>
      </c>
      <c r="X863" s="11" t="s">
        <v>4099</v>
      </c>
      <c r="Y863" s="33" t="n">
        <f aca="false">K863*N863</f>
        <v>332.8</v>
      </c>
    </row>
    <row r="864" customFormat="false" ht="15" hidden="false" customHeight="false" outlineLevel="0" collapsed="false">
      <c r="A864" s="8" t="s">
        <v>1776</v>
      </c>
      <c r="B864" s="8" t="s">
        <v>211</v>
      </c>
      <c r="C864" s="8" t="s">
        <v>5306</v>
      </c>
      <c r="D864" s="8" t="s">
        <v>6172</v>
      </c>
      <c r="E864" s="8" t="s">
        <v>6173</v>
      </c>
      <c r="F864" s="8" t="s">
        <v>6174</v>
      </c>
      <c r="G864" s="8" t="s">
        <v>3561</v>
      </c>
      <c r="H864" s="8" t="n">
        <v>24</v>
      </c>
      <c r="I864" s="34" t="n">
        <v>29.2</v>
      </c>
      <c r="J864" s="34" t="n">
        <v>30</v>
      </c>
      <c r="K864" s="34" t="n">
        <f aca="false">MAX(ROUNDUP(I864,0),H864)</f>
        <v>30</v>
      </c>
      <c r="L864" s="34" t="n">
        <f aca="false">IF(J864="","",J864-K864)</f>
        <v>0</v>
      </c>
      <c r="M864" s="35" t="n">
        <v>10.4</v>
      </c>
      <c r="N864" s="35" t="n">
        <f aca="false">IF(C864="covered",10.4,7.55)</f>
        <v>10.4</v>
      </c>
      <c r="O864" s="35" t="n">
        <f aca="false">IF(M864="","",M864-N864)</f>
        <v>0</v>
      </c>
      <c r="P864" s="8" t="n">
        <v>1</v>
      </c>
      <c r="Q864" s="36" t="n">
        <v>312</v>
      </c>
      <c r="R864" s="36" t="n">
        <f aca="false">IF(OR(J864="",P864=""),"",K864*N864*P864)</f>
        <v>312</v>
      </c>
      <c r="S864" s="36" t="n">
        <f aca="false">IF(Q864="","",Q864-R864)</f>
        <v>0</v>
      </c>
      <c r="T864" s="36" t="n">
        <f aca="false">IF(S864="","",MAX(0,-S864))</f>
        <v>-0</v>
      </c>
      <c r="U864" s="36" t="n">
        <f aca="false">IF(S864="","",MAX(0,S864))</f>
        <v>0</v>
      </c>
      <c r="V864" s="8" t="str">
        <f aca="false">IF(J864="","NOT SCORED - NO JULY MONTHLY ROW",IF(OR(ABS(L864)&gt;0.005,ABS(O864)&gt;0.005,ABS(S864)&gt;0.005),"EXCEPTION","OK"))</f>
        <v>OK</v>
      </c>
      <c r="W864" s="8" t="s">
        <v>6175</v>
      </c>
      <c r="X864" s="8" t="s">
        <v>4099</v>
      </c>
      <c r="Y864" s="36" t="n">
        <f aca="false">K864*N864</f>
        <v>312</v>
      </c>
    </row>
    <row r="865" customFormat="false" ht="15" hidden="false" customHeight="false" outlineLevel="0" collapsed="false">
      <c r="A865" s="11" t="s">
        <v>6176</v>
      </c>
      <c r="B865" s="11" t="s">
        <v>211</v>
      </c>
      <c r="C865" s="11" t="s">
        <v>5306</v>
      </c>
      <c r="D865" s="11" t="s">
        <v>6177</v>
      </c>
      <c r="E865" s="11" t="s">
        <v>6178</v>
      </c>
      <c r="F865" s="11" t="s">
        <v>6179</v>
      </c>
      <c r="G865" s="11" t="s">
        <v>4770</v>
      </c>
      <c r="H865" s="11" t="n">
        <v>24</v>
      </c>
      <c r="I865" s="31" t="n">
        <v>34.1</v>
      </c>
      <c r="J865" s="31" t="n">
        <v>35</v>
      </c>
      <c r="K865" s="31" t="n">
        <f aca="false">MAX(ROUNDUP(I865,0),H865)</f>
        <v>35</v>
      </c>
      <c r="L865" s="31" t="n">
        <f aca="false">IF(J865="","",J865-K865)</f>
        <v>0</v>
      </c>
      <c r="M865" s="32" t="n">
        <v>10.4</v>
      </c>
      <c r="N865" s="32" t="n">
        <f aca="false">IF(C865="covered",10.4,7.55)</f>
        <v>10.4</v>
      </c>
      <c r="O865" s="32" t="n">
        <f aca="false">IF(M865="","",M865-N865)</f>
        <v>0</v>
      </c>
      <c r="P865" s="11" t="n">
        <v>1</v>
      </c>
      <c r="Q865" s="33" t="n">
        <v>364</v>
      </c>
      <c r="R865" s="33" t="n">
        <f aca="false">IF(OR(J865="",P865=""),"",K865*N865*P865)</f>
        <v>364</v>
      </c>
      <c r="S865" s="33" t="n">
        <f aca="false">IF(Q865="","",Q865-R865)</f>
        <v>0</v>
      </c>
      <c r="T865" s="33" t="n">
        <f aca="false">IF(S865="","",MAX(0,-S865))</f>
        <v>-0</v>
      </c>
      <c r="U865" s="33" t="n">
        <f aca="false">IF(S865="","",MAX(0,S865))</f>
        <v>0</v>
      </c>
      <c r="V865" s="11" t="str">
        <f aca="false">IF(J865="","NOT SCORED - NO JULY MONTHLY ROW",IF(OR(ABS(L865)&gt;0.005,ABS(O865)&gt;0.005,ABS(S865)&gt;0.005),"EXCEPTION","OK"))</f>
        <v>OK</v>
      </c>
      <c r="W865" s="11" t="s">
        <v>6180</v>
      </c>
      <c r="X865" s="11" t="s">
        <v>4099</v>
      </c>
      <c r="Y865" s="33" t="n">
        <f aca="false">K865*N865</f>
        <v>364</v>
      </c>
    </row>
    <row r="866" customFormat="false" ht="15" hidden="false" customHeight="false" outlineLevel="0" collapsed="false">
      <c r="A866" s="8" t="s">
        <v>6181</v>
      </c>
      <c r="B866" s="8" t="s">
        <v>211</v>
      </c>
      <c r="C866" s="8" t="s">
        <v>5306</v>
      </c>
      <c r="D866" s="8" t="s">
        <v>6182</v>
      </c>
      <c r="E866" s="8" t="s">
        <v>1857</v>
      </c>
      <c r="F866" s="8" t="s">
        <v>1858</v>
      </c>
      <c r="G866" s="8" t="s">
        <v>2839</v>
      </c>
      <c r="H866" s="8" t="n">
        <v>32</v>
      </c>
      <c r="I866" s="34" t="n">
        <v>54.5</v>
      </c>
      <c r="J866" s="34" t="n">
        <v>55</v>
      </c>
      <c r="K866" s="34" t="n">
        <f aca="false">MAX(ROUNDUP(I866,0),H866)</f>
        <v>55</v>
      </c>
      <c r="L866" s="34" t="n">
        <f aca="false">IF(J866="","",J866-K866)</f>
        <v>0</v>
      </c>
      <c r="M866" s="35" t="n">
        <v>10.4</v>
      </c>
      <c r="N866" s="35" t="n">
        <f aca="false">IF(C866="covered",10.4,7.55)</f>
        <v>10.4</v>
      </c>
      <c r="O866" s="35" t="n">
        <f aca="false">IF(M866="","",M866-N866)</f>
        <v>0</v>
      </c>
      <c r="P866" s="8" t="n">
        <v>1</v>
      </c>
      <c r="Q866" s="36" t="n">
        <v>572</v>
      </c>
      <c r="R866" s="36" t="n">
        <f aca="false">IF(OR(J866="",P866=""),"",K866*N866*P866)</f>
        <v>572</v>
      </c>
      <c r="S866" s="36" t="n">
        <f aca="false">IF(Q866="","",Q866-R866)</f>
        <v>0</v>
      </c>
      <c r="T866" s="36" t="n">
        <f aca="false">IF(S866="","",MAX(0,-S866))</f>
        <v>-0</v>
      </c>
      <c r="U866" s="36" t="n">
        <f aca="false">IF(S866="","",MAX(0,S866))</f>
        <v>0</v>
      </c>
      <c r="V866" s="8" t="str">
        <f aca="false">IF(J866="","NOT SCORED - NO JULY MONTHLY ROW",IF(OR(ABS(L866)&gt;0.005,ABS(O866)&gt;0.005,ABS(S866)&gt;0.005),"EXCEPTION","OK"))</f>
        <v>OK</v>
      </c>
      <c r="W866" s="8" t="s">
        <v>6183</v>
      </c>
      <c r="X866" s="8" t="s">
        <v>4099</v>
      </c>
      <c r="Y866" s="36" t="n">
        <f aca="false">K866*N866</f>
        <v>572</v>
      </c>
    </row>
    <row r="867" customFormat="false" ht="15" hidden="false" customHeight="false" outlineLevel="0" collapsed="false">
      <c r="A867" s="11" t="s">
        <v>6184</v>
      </c>
      <c r="B867" s="11" t="s">
        <v>211</v>
      </c>
      <c r="C867" s="11" t="s">
        <v>5306</v>
      </c>
      <c r="D867" s="11" t="s">
        <v>6185</v>
      </c>
      <c r="E867" s="11" t="s">
        <v>6186</v>
      </c>
      <c r="F867" s="11" t="s">
        <v>6187</v>
      </c>
      <c r="G867" s="11" t="s">
        <v>5805</v>
      </c>
      <c r="H867" s="11" t="n">
        <v>40</v>
      </c>
      <c r="I867" s="31" t="n">
        <v>34.5</v>
      </c>
      <c r="J867" s="31" t="n">
        <v>40</v>
      </c>
      <c r="K867" s="31" t="n">
        <f aca="false">MAX(ROUNDUP(I867,0),H867)</f>
        <v>40</v>
      </c>
      <c r="L867" s="31" t="n">
        <f aca="false">IF(J867="","",J867-K867)</f>
        <v>0</v>
      </c>
      <c r="M867" s="32" t="n">
        <v>10.4</v>
      </c>
      <c r="N867" s="32" t="n">
        <f aca="false">IF(C867="covered",10.4,7.55)</f>
        <v>10.4</v>
      </c>
      <c r="O867" s="32" t="n">
        <f aca="false">IF(M867="","",M867-N867)</f>
        <v>0</v>
      </c>
      <c r="P867" s="11" t="n">
        <v>1</v>
      </c>
      <c r="Q867" s="33" t="n">
        <v>416</v>
      </c>
      <c r="R867" s="33" t="n">
        <f aca="false">IF(OR(J867="",P867=""),"",K867*N867*P867)</f>
        <v>416</v>
      </c>
      <c r="S867" s="33" t="n">
        <f aca="false">IF(Q867="","",Q867-R867)</f>
        <v>0</v>
      </c>
      <c r="T867" s="33" t="n">
        <f aca="false">IF(S867="","",MAX(0,-S867))</f>
        <v>-0</v>
      </c>
      <c r="U867" s="33" t="n">
        <f aca="false">IF(S867="","",MAX(0,S867))</f>
        <v>0</v>
      </c>
      <c r="V867" s="11" t="str">
        <f aca="false">IF(J867="","NOT SCORED - NO JULY MONTHLY ROW",IF(OR(ABS(L867)&gt;0.005,ABS(O867)&gt;0.005,ABS(S867)&gt;0.005),"EXCEPTION","OK"))</f>
        <v>OK</v>
      </c>
      <c r="W867" s="11" t="s">
        <v>6188</v>
      </c>
      <c r="X867" s="11" t="s">
        <v>4099</v>
      </c>
      <c r="Y867" s="33" t="n">
        <f aca="false">K867*N867</f>
        <v>416</v>
      </c>
    </row>
    <row r="868" customFormat="false" ht="15" hidden="false" customHeight="false" outlineLevel="0" collapsed="false">
      <c r="A868" s="8" t="s">
        <v>6189</v>
      </c>
      <c r="B868" s="8" t="s">
        <v>211</v>
      </c>
      <c r="C868" s="8" t="s">
        <v>5306</v>
      </c>
      <c r="D868" s="8" t="s">
        <v>6190</v>
      </c>
      <c r="E868" s="8" t="s">
        <v>6191</v>
      </c>
      <c r="F868" s="8" t="s">
        <v>6192</v>
      </c>
      <c r="G868" s="8" t="s">
        <v>4010</v>
      </c>
      <c r="H868" s="8" t="n">
        <v>24</v>
      </c>
      <c r="I868" s="34" t="n">
        <v>18</v>
      </c>
      <c r="J868" s="34" t="n">
        <v>24</v>
      </c>
      <c r="K868" s="34" t="n">
        <f aca="false">MAX(ROUNDUP(I868,0),H868)</f>
        <v>24</v>
      </c>
      <c r="L868" s="34" t="n">
        <f aca="false">IF(J868="","",J868-K868)</f>
        <v>0</v>
      </c>
      <c r="M868" s="35" t="n">
        <v>10.4</v>
      </c>
      <c r="N868" s="35" t="n">
        <f aca="false">IF(C868="covered",10.4,7.55)</f>
        <v>10.4</v>
      </c>
      <c r="O868" s="35" t="n">
        <f aca="false">IF(M868="","",M868-N868)</f>
        <v>0</v>
      </c>
      <c r="P868" s="8" t="n">
        <v>1</v>
      </c>
      <c r="Q868" s="36" t="n">
        <v>249.6</v>
      </c>
      <c r="R868" s="36" t="n">
        <f aca="false">IF(OR(J868="",P868=""),"",K868*N868*P868)</f>
        <v>249.6</v>
      </c>
      <c r="S868" s="36" t="n">
        <f aca="false">IF(Q868="","",Q868-R868)</f>
        <v>0</v>
      </c>
      <c r="T868" s="36" t="n">
        <f aca="false">IF(S868="","",MAX(0,-S868))</f>
        <v>-0</v>
      </c>
      <c r="U868" s="36" t="n">
        <f aca="false">IF(S868="","",MAX(0,S868))</f>
        <v>0</v>
      </c>
      <c r="V868" s="8" t="str">
        <f aca="false">IF(J868="","NOT SCORED - NO JULY MONTHLY ROW",IF(OR(ABS(L868)&gt;0.005,ABS(O868)&gt;0.005,ABS(S868)&gt;0.005),"EXCEPTION","OK"))</f>
        <v>OK</v>
      </c>
      <c r="W868" s="8" t="s">
        <v>6193</v>
      </c>
      <c r="X868" s="8" t="s">
        <v>4099</v>
      </c>
      <c r="Y868" s="36" t="n">
        <f aca="false">K868*N868</f>
        <v>249.6</v>
      </c>
    </row>
    <row r="869" customFormat="false" ht="15" hidden="false" customHeight="false" outlineLevel="0" collapsed="false">
      <c r="A869" s="11" t="s">
        <v>6194</v>
      </c>
      <c r="B869" s="11" t="s">
        <v>211</v>
      </c>
      <c r="C869" s="11" t="s">
        <v>5306</v>
      </c>
      <c r="D869" s="11" t="s">
        <v>6195</v>
      </c>
      <c r="E869" s="11" t="s">
        <v>6196</v>
      </c>
      <c r="F869" s="11" t="s">
        <v>6197</v>
      </c>
      <c r="G869" s="11" t="s">
        <v>3453</v>
      </c>
      <c r="H869" s="11" t="n">
        <v>32</v>
      </c>
      <c r="I869" s="31" t="n">
        <v>21.4</v>
      </c>
      <c r="J869" s="31" t="n">
        <v>32</v>
      </c>
      <c r="K869" s="31" t="n">
        <f aca="false">MAX(ROUNDUP(I869,0),H869)</f>
        <v>32</v>
      </c>
      <c r="L869" s="31" t="n">
        <f aca="false">IF(J869="","",J869-K869)</f>
        <v>0</v>
      </c>
      <c r="M869" s="32" t="n">
        <v>10.4</v>
      </c>
      <c r="N869" s="32" t="n">
        <f aca="false">IF(C869="covered",10.4,7.55)</f>
        <v>10.4</v>
      </c>
      <c r="O869" s="32" t="n">
        <f aca="false">IF(M869="","",M869-N869)</f>
        <v>0</v>
      </c>
      <c r="P869" s="11" t="n">
        <v>1</v>
      </c>
      <c r="Q869" s="33" t="n">
        <v>332.8</v>
      </c>
      <c r="R869" s="33" t="n">
        <f aca="false">IF(OR(J869="",P869=""),"",K869*N869*P869)</f>
        <v>332.8</v>
      </c>
      <c r="S869" s="33" t="n">
        <f aca="false">IF(Q869="","",Q869-R869)</f>
        <v>0</v>
      </c>
      <c r="T869" s="33" t="n">
        <f aca="false">IF(S869="","",MAX(0,-S869))</f>
        <v>-0</v>
      </c>
      <c r="U869" s="33" t="n">
        <f aca="false">IF(S869="","",MAX(0,S869))</f>
        <v>0</v>
      </c>
      <c r="V869" s="11" t="str">
        <f aca="false">IF(J869="","NOT SCORED - NO JULY MONTHLY ROW",IF(OR(ABS(L869)&gt;0.005,ABS(O869)&gt;0.005,ABS(S869)&gt;0.005),"EXCEPTION","OK"))</f>
        <v>OK</v>
      </c>
      <c r="W869" s="11" t="s">
        <v>6198</v>
      </c>
      <c r="X869" s="11" t="s">
        <v>4099</v>
      </c>
      <c r="Y869" s="33" t="n">
        <f aca="false">K869*N869</f>
        <v>332.8</v>
      </c>
    </row>
    <row r="870" customFormat="false" ht="15" hidden="false" customHeight="false" outlineLevel="0" collapsed="false">
      <c r="A870" s="8" t="s">
        <v>6199</v>
      </c>
      <c r="B870" s="8" t="s">
        <v>211</v>
      </c>
      <c r="C870" s="8" t="s">
        <v>5306</v>
      </c>
      <c r="D870" s="8" t="s">
        <v>6200</v>
      </c>
      <c r="E870" s="8" t="s">
        <v>6201</v>
      </c>
      <c r="F870" s="8" t="s">
        <v>6202</v>
      </c>
      <c r="G870" s="8" t="s">
        <v>4917</v>
      </c>
      <c r="H870" s="8" t="n">
        <v>28</v>
      </c>
      <c r="I870" s="34" t="n">
        <v>58.7</v>
      </c>
      <c r="J870" s="34" t="n">
        <v>59</v>
      </c>
      <c r="K870" s="34" t="n">
        <f aca="false">MAX(ROUNDUP(I870,0),H870)</f>
        <v>59</v>
      </c>
      <c r="L870" s="34" t="n">
        <f aca="false">IF(J870="","",J870-K870)</f>
        <v>0</v>
      </c>
      <c r="M870" s="35" t="n">
        <v>10.4</v>
      </c>
      <c r="N870" s="35" t="n">
        <f aca="false">IF(C870="covered",10.4,7.55)</f>
        <v>10.4</v>
      </c>
      <c r="O870" s="35" t="n">
        <f aca="false">IF(M870="","",M870-N870)</f>
        <v>0</v>
      </c>
      <c r="P870" s="8" t="n">
        <v>1</v>
      </c>
      <c r="Q870" s="36" t="n">
        <v>613.6</v>
      </c>
      <c r="R870" s="36" t="n">
        <f aca="false">IF(OR(J870="",P870=""),"",K870*N870*P870)</f>
        <v>613.6</v>
      </c>
      <c r="S870" s="36" t="n">
        <f aca="false">IF(Q870="","",Q870-R870)</f>
        <v>0</v>
      </c>
      <c r="T870" s="36" t="n">
        <f aca="false">IF(S870="","",MAX(0,-S870))</f>
        <v>-0</v>
      </c>
      <c r="U870" s="36" t="n">
        <f aca="false">IF(S870="","",MAX(0,S870))</f>
        <v>0</v>
      </c>
      <c r="V870" s="8" t="str">
        <f aca="false">IF(J870="","NOT SCORED - NO JULY MONTHLY ROW",IF(OR(ABS(L870)&gt;0.005,ABS(O870)&gt;0.005,ABS(S870)&gt;0.005),"EXCEPTION","OK"))</f>
        <v>OK</v>
      </c>
      <c r="W870" s="8" t="s">
        <v>6203</v>
      </c>
      <c r="X870" s="8" t="s">
        <v>4099</v>
      </c>
      <c r="Y870" s="36" t="n">
        <f aca="false">K870*N870</f>
        <v>613.6</v>
      </c>
    </row>
    <row r="871" customFormat="false" ht="15" hidden="false" customHeight="false" outlineLevel="0" collapsed="false">
      <c r="A871" s="11" t="s">
        <v>312</v>
      </c>
      <c r="B871" s="11" t="s">
        <v>211</v>
      </c>
      <c r="C871" s="11" t="s">
        <v>5306</v>
      </c>
      <c r="D871" s="11" t="s">
        <v>6204</v>
      </c>
      <c r="E871" s="11" t="s">
        <v>6205</v>
      </c>
      <c r="F871" s="11" t="s">
        <v>6206</v>
      </c>
      <c r="G871" s="11" t="s">
        <v>3992</v>
      </c>
      <c r="H871" s="11" t="n">
        <v>28</v>
      </c>
      <c r="I871" s="31" t="n">
        <v>36.8</v>
      </c>
      <c r="J871" s="31" t="n">
        <v>37</v>
      </c>
      <c r="K871" s="31" t="n">
        <f aca="false">MAX(ROUNDUP(I871,0),H871)</f>
        <v>37</v>
      </c>
      <c r="L871" s="31" t="n">
        <f aca="false">IF(J871="","",J871-K871)</f>
        <v>0</v>
      </c>
      <c r="M871" s="32" t="n">
        <v>10.4</v>
      </c>
      <c r="N871" s="32" t="n">
        <f aca="false">IF(C871="covered",10.4,7.55)</f>
        <v>10.4</v>
      </c>
      <c r="O871" s="32" t="n">
        <f aca="false">IF(M871="","",M871-N871)</f>
        <v>0</v>
      </c>
      <c r="P871" s="11" t="n">
        <v>1</v>
      </c>
      <c r="Q871" s="33" t="n">
        <v>384.8</v>
      </c>
      <c r="R871" s="33" t="n">
        <f aca="false">IF(OR(J871="",P871=""),"",K871*N871*P871)</f>
        <v>384.8</v>
      </c>
      <c r="S871" s="33" t="n">
        <f aca="false">IF(Q871="","",Q871-R871)</f>
        <v>0</v>
      </c>
      <c r="T871" s="33" t="n">
        <f aca="false">IF(S871="","",MAX(0,-S871))</f>
        <v>-0</v>
      </c>
      <c r="U871" s="33" t="n">
        <f aca="false">IF(S871="","",MAX(0,S871))</f>
        <v>0</v>
      </c>
      <c r="V871" s="11" t="str">
        <f aca="false">IF(J871="","NOT SCORED - NO JULY MONTHLY ROW",IF(OR(ABS(L871)&gt;0.005,ABS(O871)&gt;0.005,ABS(S871)&gt;0.005),"EXCEPTION","OK"))</f>
        <v>OK</v>
      </c>
      <c r="W871" s="11" t="s">
        <v>6207</v>
      </c>
      <c r="X871" s="11" t="s">
        <v>4099</v>
      </c>
      <c r="Y871" s="33" t="n">
        <f aca="false">K871*N871</f>
        <v>384.8</v>
      </c>
    </row>
    <row r="872" customFormat="false" ht="15" hidden="false" customHeight="false" outlineLevel="0" collapsed="false">
      <c r="A872" s="8" t="s">
        <v>6208</v>
      </c>
      <c r="B872" s="8" t="s">
        <v>211</v>
      </c>
      <c r="C872" s="8" t="s">
        <v>5306</v>
      </c>
      <c r="D872" s="8" t="s">
        <v>6209</v>
      </c>
      <c r="E872" s="8" t="s">
        <v>6210</v>
      </c>
      <c r="F872" s="8" t="s">
        <v>6211</v>
      </c>
      <c r="G872" s="8" t="s">
        <v>3292</v>
      </c>
      <c r="H872" s="8" t="n">
        <v>24</v>
      </c>
      <c r="I872" s="34" t="n">
        <v>62</v>
      </c>
      <c r="J872" s="34" t="n">
        <v>62</v>
      </c>
      <c r="K872" s="34" t="n">
        <f aca="false">MAX(ROUNDUP(I872,0),H872)</f>
        <v>62</v>
      </c>
      <c r="L872" s="34" t="n">
        <f aca="false">IF(J872="","",J872-K872)</f>
        <v>0</v>
      </c>
      <c r="M872" s="35" t="n">
        <v>10.4</v>
      </c>
      <c r="N872" s="35" t="n">
        <f aca="false">IF(C872="covered",10.4,7.55)</f>
        <v>10.4</v>
      </c>
      <c r="O872" s="35" t="n">
        <f aca="false">IF(M872="","",M872-N872)</f>
        <v>0</v>
      </c>
      <c r="P872" s="8" t="n">
        <v>1</v>
      </c>
      <c r="Q872" s="36" t="n">
        <v>644.8</v>
      </c>
      <c r="R872" s="36" t="n">
        <f aca="false">IF(OR(J872="",P872=""),"",K872*N872*P872)</f>
        <v>644.8</v>
      </c>
      <c r="S872" s="36" t="n">
        <f aca="false">IF(Q872="","",Q872-R872)</f>
        <v>0</v>
      </c>
      <c r="T872" s="36" t="n">
        <f aca="false">IF(S872="","",MAX(0,-S872))</f>
        <v>-0</v>
      </c>
      <c r="U872" s="36" t="n">
        <f aca="false">IF(S872="","",MAX(0,S872))</f>
        <v>0</v>
      </c>
      <c r="V872" s="8" t="str">
        <f aca="false">IF(J872="","NOT SCORED - NO JULY MONTHLY ROW",IF(OR(ABS(L872)&gt;0.005,ABS(O872)&gt;0.005,ABS(S872)&gt;0.005),"EXCEPTION","OK"))</f>
        <v>OK</v>
      </c>
      <c r="W872" s="8" t="s">
        <v>6212</v>
      </c>
      <c r="X872" s="8" t="s">
        <v>4099</v>
      </c>
      <c r="Y872" s="36" t="n">
        <f aca="false">K872*N872</f>
        <v>644.8</v>
      </c>
    </row>
    <row r="873" customFormat="false" ht="15" hidden="false" customHeight="false" outlineLevel="0" collapsed="false">
      <c r="A873" s="11" t="s">
        <v>6213</v>
      </c>
      <c r="B873" s="11" t="s">
        <v>211</v>
      </c>
      <c r="C873" s="11" t="s">
        <v>5306</v>
      </c>
      <c r="D873" s="11" t="s">
        <v>6214</v>
      </c>
      <c r="E873" s="11" t="s">
        <v>6215</v>
      </c>
      <c r="F873" s="11" t="s">
        <v>6216</v>
      </c>
      <c r="G873" s="11" t="s">
        <v>5805</v>
      </c>
      <c r="H873" s="11" t="n">
        <v>24</v>
      </c>
      <c r="I873" s="31" t="n">
        <v>59.8</v>
      </c>
      <c r="J873" s="31" t="n">
        <v>60</v>
      </c>
      <c r="K873" s="31" t="n">
        <f aca="false">MAX(ROUNDUP(I873,0),H873)</f>
        <v>60</v>
      </c>
      <c r="L873" s="31" t="n">
        <f aca="false">IF(J873="","",J873-K873)</f>
        <v>0</v>
      </c>
      <c r="M873" s="32" t="n">
        <v>10.4</v>
      </c>
      <c r="N873" s="32" t="n">
        <f aca="false">IF(C873="covered",10.4,7.55)</f>
        <v>10.4</v>
      </c>
      <c r="O873" s="32" t="n">
        <f aca="false">IF(M873="","",M873-N873)</f>
        <v>0</v>
      </c>
      <c r="P873" s="11" t="n">
        <v>1</v>
      </c>
      <c r="Q873" s="33" t="n">
        <v>624</v>
      </c>
      <c r="R873" s="33" t="n">
        <f aca="false">IF(OR(J873="",P873=""),"",K873*N873*P873)</f>
        <v>624</v>
      </c>
      <c r="S873" s="33" t="n">
        <f aca="false">IF(Q873="","",Q873-R873)</f>
        <v>0</v>
      </c>
      <c r="T873" s="33" t="n">
        <f aca="false">IF(S873="","",MAX(0,-S873))</f>
        <v>-0</v>
      </c>
      <c r="U873" s="33" t="n">
        <f aca="false">IF(S873="","",MAX(0,S873))</f>
        <v>0</v>
      </c>
      <c r="V873" s="11" t="str">
        <f aca="false">IF(J873="","NOT SCORED - NO JULY MONTHLY ROW",IF(OR(ABS(L873)&gt;0.005,ABS(O873)&gt;0.005,ABS(S873)&gt;0.005),"EXCEPTION","OK"))</f>
        <v>OK</v>
      </c>
      <c r="W873" s="11" t="s">
        <v>6217</v>
      </c>
      <c r="X873" s="11" t="s">
        <v>4099</v>
      </c>
      <c r="Y873" s="33" t="n">
        <f aca="false">K873*N873</f>
        <v>624</v>
      </c>
    </row>
    <row r="874" customFormat="false" ht="15" hidden="false" customHeight="false" outlineLevel="0" collapsed="false">
      <c r="A874" s="8" t="s">
        <v>6218</v>
      </c>
      <c r="B874" s="8" t="s">
        <v>211</v>
      </c>
      <c r="C874" s="8" t="s">
        <v>5306</v>
      </c>
      <c r="D874" s="8" t="s">
        <v>6219</v>
      </c>
      <c r="E874" s="8" t="s">
        <v>6220</v>
      </c>
      <c r="F874" s="8" t="s">
        <v>6221</v>
      </c>
      <c r="G874" s="8" t="s">
        <v>6222</v>
      </c>
      <c r="H874" s="8" t="n">
        <v>32</v>
      </c>
      <c r="I874" s="34" t="n">
        <v>41.3</v>
      </c>
      <c r="J874" s="34" t="n">
        <v>42</v>
      </c>
      <c r="K874" s="34" t="n">
        <f aca="false">MAX(ROUNDUP(I874,0),H874)</f>
        <v>42</v>
      </c>
      <c r="L874" s="34" t="n">
        <f aca="false">IF(J874="","",J874-K874)</f>
        <v>0</v>
      </c>
      <c r="M874" s="35" t="n">
        <v>10.4</v>
      </c>
      <c r="N874" s="35" t="n">
        <f aca="false">IF(C874="covered",10.4,7.55)</f>
        <v>10.4</v>
      </c>
      <c r="O874" s="35" t="n">
        <f aca="false">IF(M874="","",M874-N874)</f>
        <v>0</v>
      </c>
      <c r="P874" s="8" t="n">
        <v>1</v>
      </c>
      <c r="Q874" s="36" t="n">
        <v>436.8</v>
      </c>
      <c r="R874" s="36" t="n">
        <f aca="false">IF(OR(J874="",P874=""),"",K874*N874*P874)</f>
        <v>436.8</v>
      </c>
      <c r="S874" s="36" t="n">
        <f aca="false">IF(Q874="","",Q874-R874)</f>
        <v>0</v>
      </c>
      <c r="T874" s="36" t="n">
        <f aca="false">IF(S874="","",MAX(0,-S874))</f>
        <v>-0</v>
      </c>
      <c r="U874" s="36" t="n">
        <f aca="false">IF(S874="","",MAX(0,S874))</f>
        <v>0</v>
      </c>
      <c r="V874" s="8" t="str">
        <f aca="false">IF(J874="","NOT SCORED - NO JULY MONTHLY ROW",IF(OR(ABS(L874)&gt;0.005,ABS(O874)&gt;0.005,ABS(S874)&gt;0.005),"EXCEPTION","OK"))</f>
        <v>OK</v>
      </c>
      <c r="W874" s="8" t="s">
        <v>6223</v>
      </c>
      <c r="X874" s="8" t="s">
        <v>4099</v>
      </c>
      <c r="Y874" s="36" t="n">
        <f aca="false">K874*N874</f>
        <v>436.8</v>
      </c>
    </row>
    <row r="875" customFormat="false" ht="15" hidden="false" customHeight="false" outlineLevel="0" collapsed="false">
      <c r="A875" s="11" t="s">
        <v>6224</v>
      </c>
      <c r="B875" s="11" t="s">
        <v>211</v>
      </c>
      <c r="C875" s="11" t="s">
        <v>5306</v>
      </c>
      <c r="D875" s="11" t="s">
        <v>6225</v>
      </c>
      <c r="E875" s="11" t="s">
        <v>6226</v>
      </c>
      <c r="F875" s="11" t="s">
        <v>6227</v>
      </c>
      <c r="G875" s="11" t="s">
        <v>3757</v>
      </c>
      <c r="H875" s="11" t="n">
        <v>32</v>
      </c>
      <c r="I875" s="31" t="n">
        <v>24.1</v>
      </c>
      <c r="J875" s="31" t="n">
        <v>32</v>
      </c>
      <c r="K875" s="31" t="n">
        <f aca="false">MAX(ROUNDUP(I875,0),H875)</f>
        <v>32</v>
      </c>
      <c r="L875" s="31" t="n">
        <f aca="false">IF(J875="","",J875-K875)</f>
        <v>0</v>
      </c>
      <c r="M875" s="32" t="n">
        <v>10.4</v>
      </c>
      <c r="N875" s="32" t="n">
        <f aca="false">IF(C875="covered",10.4,7.55)</f>
        <v>10.4</v>
      </c>
      <c r="O875" s="32" t="n">
        <f aca="false">IF(M875="","",M875-N875)</f>
        <v>0</v>
      </c>
      <c r="P875" s="11" t="n">
        <v>1</v>
      </c>
      <c r="Q875" s="33" t="n">
        <v>332.8</v>
      </c>
      <c r="R875" s="33" t="n">
        <f aca="false">IF(OR(J875="",P875=""),"",K875*N875*P875)</f>
        <v>332.8</v>
      </c>
      <c r="S875" s="33" t="n">
        <f aca="false">IF(Q875="","",Q875-R875)</f>
        <v>0</v>
      </c>
      <c r="T875" s="33" t="n">
        <f aca="false">IF(S875="","",MAX(0,-S875))</f>
        <v>-0</v>
      </c>
      <c r="U875" s="33" t="n">
        <f aca="false">IF(S875="","",MAX(0,S875))</f>
        <v>0</v>
      </c>
      <c r="V875" s="11" t="str">
        <f aca="false">IF(J875="","NOT SCORED - NO JULY MONTHLY ROW",IF(OR(ABS(L875)&gt;0.005,ABS(O875)&gt;0.005,ABS(S875)&gt;0.005),"EXCEPTION","OK"))</f>
        <v>OK</v>
      </c>
      <c r="W875" s="11" t="s">
        <v>6228</v>
      </c>
      <c r="X875" s="11" t="s">
        <v>4099</v>
      </c>
      <c r="Y875" s="33" t="n">
        <f aca="false">K875*N875</f>
        <v>332.8</v>
      </c>
    </row>
    <row r="876" customFormat="false" ht="15" hidden="false" customHeight="false" outlineLevel="0" collapsed="false">
      <c r="A876" s="8" t="s">
        <v>6229</v>
      </c>
      <c r="B876" s="8" t="s">
        <v>200</v>
      </c>
      <c r="C876" s="8" t="s">
        <v>5306</v>
      </c>
      <c r="D876" s="8" t="s">
        <v>3391</v>
      </c>
      <c r="E876" s="8" t="s">
        <v>6230</v>
      </c>
      <c r="F876" s="8" t="s">
        <v>6231</v>
      </c>
      <c r="G876" s="8" t="s">
        <v>3684</v>
      </c>
      <c r="H876" s="8" t="n">
        <v>36</v>
      </c>
      <c r="I876" s="34" t="n">
        <v>61</v>
      </c>
      <c r="J876" s="34" t="n">
        <v>61</v>
      </c>
      <c r="K876" s="34" t="n">
        <f aca="false">MAX(ROUNDUP(I876,0),H876)</f>
        <v>61</v>
      </c>
      <c r="L876" s="34" t="n">
        <f aca="false">IF(J876="","",J876-K876)</f>
        <v>0</v>
      </c>
      <c r="M876" s="35" t="n">
        <v>10.4</v>
      </c>
      <c r="N876" s="35" t="n">
        <f aca="false">IF(C876="covered",10.4,7.55)</f>
        <v>10.4</v>
      </c>
      <c r="O876" s="35" t="n">
        <f aca="false">IF(M876="","",M876-N876)</f>
        <v>0</v>
      </c>
      <c r="P876" s="8" t="n">
        <v>1</v>
      </c>
      <c r="Q876" s="36" t="n">
        <v>634.4</v>
      </c>
      <c r="R876" s="36" t="n">
        <f aca="false">IF(OR(J876="",P876=""),"",K876*N876*P876)</f>
        <v>634.4</v>
      </c>
      <c r="S876" s="36" t="n">
        <f aca="false">IF(Q876="","",Q876-R876)</f>
        <v>0</v>
      </c>
      <c r="T876" s="36" t="n">
        <f aca="false">IF(S876="","",MAX(0,-S876))</f>
        <v>-0</v>
      </c>
      <c r="U876" s="36" t="n">
        <f aca="false">IF(S876="","",MAX(0,S876))</f>
        <v>0</v>
      </c>
      <c r="V876" s="8" t="str">
        <f aca="false">IF(J876="","NOT SCORED - NO JULY MONTHLY ROW",IF(OR(ABS(L876)&gt;0.005,ABS(O876)&gt;0.005,ABS(S876)&gt;0.005),"EXCEPTION","OK"))</f>
        <v>OK</v>
      </c>
      <c r="W876" s="8" t="s">
        <v>6232</v>
      </c>
      <c r="X876" s="8" t="s">
        <v>4099</v>
      </c>
      <c r="Y876" s="36" t="n">
        <f aca="false">K876*N876</f>
        <v>634.4</v>
      </c>
    </row>
    <row r="877" customFormat="false" ht="15" hidden="false" customHeight="false" outlineLevel="0" collapsed="false">
      <c r="A877" s="11" t="s">
        <v>6233</v>
      </c>
      <c r="B877" s="11" t="s">
        <v>200</v>
      </c>
      <c r="C877" s="11" t="s">
        <v>5306</v>
      </c>
      <c r="D877" s="11" t="s">
        <v>3395</v>
      </c>
      <c r="E877" s="11" t="s">
        <v>6234</v>
      </c>
      <c r="F877" s="11" t="s">
        <v>6235</v>
      </c>
      <c r="G877" s="11" t="s">
        <v>5221</v>
      </c>
      <c r="H877" s="11" t="n">
        <v>24</v>
      </c>
      <c r="I877" s="31" t="n">
        <v>33.2</v>
      </c>
      <c r="J877" s="31" t="n">
        <v>34</v>
      </c>
      <c r="K877" s="31" t="n">
        <f aca="false">MAX(ROUNDUP(I877,0),H877)</f>
        <v>34</v>
      </c>
      <c r="L877" s="31" t="n">
        <f aca="false">IF(J877="","",J877-K877)</f>
        <v>0</v>
      </c>
      <c r="M877" s="32" t="n">
        <v>10.4</v>
      </c>
      <c r="N877" s="32" t="n">
        <f aca="false">IF(C877="covered",10.4,7.55)</f>
        <v>10.4</v>
      </c>
      <c r="O877" s="32" t="n">
        <f aca="false">IF(M877="","",M877-N877)</f>
        <v>0</v>
      </c>
      <c r="P877" s="11" t="n">
        <v>1</v>
      </c>
      <c r="Q877" s="33" t="n">
        <v>353.6</v>
      </c>
      <c r="R877" s="33" t="n">
        <f aca="false">IF(OR(J877="",P877=""),"",K877*N877*P877)</f>
        <v>353.6</v>
      </c>
      <c r="S877" s="33" t="n">
        <f aca="false">IF(Q877="","",Q877-R877)</f>
        <v>0</v>
      </c>
      <c r="T877" s="33" t="n">
        <f aca="false">IF(S877="","",MAX(0,-S877))</f>
        <v>-0</v>
      </c>
      <c r="U877" s="33" t="n">
        <f aca="false">IF(S877="","",MAX(0,S877))</f>
        <v>0</v>
      </c>
      <c r="V877" s="11" t="str">
        <f aca="false">IF(J877="","NOT SCORED - NO JULY MONTHLY ROW",IF(OR(ABS(L877)&gt;0.005,ABS(O877)&gt;0.005,ABS(S877)&gt;0.005),"EXCEPTION","OK"))</f>
        <v>OK</v>
      </c>
      <c r="W877" s="11" t="s">
        <v>6236</v>
      </c>
      <c r="X877" s="11" t="s">
        <v>4099</v>
      </c>
      <c r="Y877" s="33" t="n">
        <f aca="false">K877*N877</f>
        <v>353.6</v>
      </c>
    </row>
    <row r="878" customFormat="false" ht="15" hidden="false" customHeight="false" outlineLevel="0" collapsed="false">
      <c r="A878" s="8" t="s">
        <v>6237</v>
      </c>
      <c r="B878" s="8" t="s">
        <v>200</v>
      </c>
      <c r="C878" s="8" t="s">
        <v>5306</v>
      </c>
      <c r="D878" s="8" t="s">
        <v>3400</v>
      </c>
      <c r="E878" s="8" t="s">
        <v>1935</v>
      </c>
      <c r="F878" s="8" t="s">
        <v>1936</v>
      </c>
      <c r="G878" s="8" t="s">
        <v>5943</v>
      </c>
      <c r="H878" s="8" t="n">
        <v>24</v>
      </c>
      <c r="I878" s="34" t="n">
        <v>38.9</v>
      </c>
      <c r="J878" s="34" t="n">
        <v>39</v>
      </c>
      <c r="K878" s="34" t="n">
        <f aca="false">MAX(ROUNDUP(I878,0),H878)</f>
        <v>39</v>
      </c>
      <c r="L878" s="34" t="n">
        <f aca="false">IF(J878="","",J878-K878)</f>
        <v>0</v>
      </c>
      <c r="M878" s="35" t="n">
        <v>10.4</v>
      </c>
      <c r="N878" s="35" t="n">
        <f aca="false">IF(C878="covered",10.4,7.55)</f>
        <v>10.4</v>
      </c>
      <c r="O878" s="35" t="n">
        <f aca="false">IF(M878="","",M878-N878)</f>
        <v>0</v>
      </c>
      <c r="P878" s="8" t="n">
        <v>1</v>
      </c>
      <c r="Q878" s="36" t="n">
        <v>405.6</v>
      </c>
      <c r="R878" s="36" t="n">
        <f aca="false">IF(OR(J878="",P878=""),"",K878*N878*P878)</f>
        <v>405.6</v>
      </c>
      <c r="S878" s="36" t="n">
        <f aca="false">IF(Q878="","",Q878-R878)</f>
        <v>0</v>
      </c>
      <c r="T878" s="36" t="n">
        <f aca="false">IF(S878="","",MAX(0,-S878))</f>
        <v>-0</v>
      </c>
      <c r="U878" s="36" t="n">
        <f aca="false">IF(S878="","",MAX(0,S878))</f>
        <v>0</v>
      </c>
      <c r="V878" s="8" t="str">
        <f aca="false">IF(J878="","NOT SCORED - NO JULY MONTHLY ROW",IF(OR(ABS(L878)&gt;0.005,ABS(O878)&gt;0.005,ABS(S878)&gt;0.005),"EXCEPTION","OK"))</f>
        <v>OK</v>
      </c>
      <c r="W878" s="8" t="s">
        <v>6238</v>
      </c>
      <c r="X878" s="8" t="s">
        <v>4099</v>
      </c>
      <c r="Y878" s="36" t="n">
        <f aca="false">K878*N878</f>
        <v>405.6</v>
      </c>
    </row>
    <row r="879" customFormat="false" ht="15" hidden="false" customHeight="false" outlineLevel="0" collapsed="false">
      <c r="A879" s="11" t="s">
        <v>6239</v>
      </c>
      <c r="B879" s="11" t="s">
        <v>200</v>
      </c>
      <c r="C879" s="11" t="s">
        <v>5306</v>
      </c>
      <c r="D879" s="11" t="s">
        <v>4109</v>
      </c>
      <c r="E879" s="11" t="s">
        <v>6240</v>
      </c>
      <c r="F879" s="11" t="s">
        <v>6241</v>
      </c>
      <c r="G879" s="11" t="s">
        <v>2844</v>
      </c>
      <c r="H879" s="11" t="n">
        <v>40</v>
      </c>
      <c r="I879" s="31" t="n">
        <v>53.9</v>
      </c>
      <c r="J879" s="31" t="n">
        <v>54</v>
      </c>
      <c r="K879" s="31" t="n">
        <f aca="false">MAX(ROUNDUP(I879,0),H879)</f>
        <v>54</v>
      </c>
      <c r="L879" s="31" t="n">
        <f aca="false">IF(J879="","",J879-K879)</f>
        <v>0</v>
      </c>
      <c r="M879" s="32" t="n">
        <v>10.4</v>
      </c>
      <c r="N879" s="32" t="n">
        <f aca="false">IF(C879="covered",10.4,7.55)</f>
        <v>10.4</v>
      </c>
      <c r="O879" s="32" t="n">
        <f aca="false">IF(M879="","",M879-N879)</f>
        <v>0</v>
      </c>
      <c r="P879" s="11" t="n">
        <v>1</v>
      </c>
      <c r="Q879" s="33" t="n">
        <v>561.6</v>
      </c>
      <c r="R879" s="33" t="n">
        <f aca="false">IF(OR(J879="",P879=""),"",K879*N879*P879)</f>
        <v>561.6</v>
      </c>
      <c r="S879" s="33" t="n">
        <f aca="false">IF(Q879="","",Q879-R879)</f>
        <v>0</v>
      </c>
      <c r="T879" s="33" t="n">
        <f aca="false">IF(S879="","",MAX(0,-S879))</f>
        <v>-0</v>
      </c>
      <c r="U879" s="33" t="n">
        <f aca="false">IF(S879="","",MAX(0,S879))</f>
        <v>0</v>
      </c>
      <c r="V879" s="11" t="str">
        <f aca="false">IF(J879="","NOT SCORED - NO JULY MONTHLY ROW",IF(OR(ABS(L879)&gt;0.005,ABS(O879)&gt;0.005,ABS(S879)&gt;0.005),"EXCEPTION","OK"))</f>
        <v>OK</v>
      </c>
      <c r="W879" s="11" t="s">
        <v>6242</v>
      </c>
      <c r="X879" s="11" t="s">
        <v>4099</v>
      </c>
      <c r="Y879" s="33" t="n">
        <f aca="false">K879*N879</f>
        <v>561.6</v>
      </c>
    </row>
    <row r="880" customFormat="false" ht="15" hidden="false" customHeight="false" outlineLevel="0" collapsed="false">
      <c r="A880" s="8" t="s">
        <v>6243</v>
      </c>
      <c r="B880" s="8" t="s">
        <v>200</v>
      </c>
      <c r="C880" s="8" t="s">
        <v>5306</v>
      </c>
      <c r="D880" s="8" t="s">
        <v>3407</v>
      </c>
      <c r="E880" s="8" t="s">
        <v>6244</v>
      </c>
      <c r="F880" s="8" t="s">
        <v>6245</v>
      </c>
      <c r="G880" s="8" t="s">
        <v>3692</v>
      </c>
      <c r="H880" s="8" t="n">
        <v>24</v>
      </c>
      <c r="I880" s="34" t="n">
        <v>48.2</v>
      </c>
      <c r="J880" s="34" t="n">
        <v>49</v>
      </c>
      <c r="K880" s="34" t="n">
        <f aca="false">MAX(ROUNDUP(I880,0),H880)</f>
        <v>49</v>
      </c>
      <c r="L880" s="34" t="n">
        <f aca="false">IF(J880="","",J880-K880)</f>
        <v>0</v>
      </c>
      <c r="M880" s="35" t="n">
        <v>10.4</v>
      </c>
      <c r="N880" s="35" t="n">
        <f aca="false">IF(C880="covered",10.4,7.55)</f>
        <v>10.4</v>
      </c>
      <c r="O880" s="35" t="n">
        <f aca="false">IF(M880="","",M880-N880)</f>
        <v>0</v>
      </c>
      <c r="P880" s="8" t="n">
        <v>1</v>
      </c>
      <c r="Q880" s="36" t="n">
        <v>509.6</v>
      </c>
      <c r="R880" s="36" t="n">
        <f aca="false">IF(OR(J880="",P880=""),"",K880*N880*P880)</f>
        <v>509.6</v>
      </c>
      <c r="S880" s="36" t="n">
        <f aca="false">IF(Q880="","",Q880-R880)</f>
        <v>0</v>
      </c>
      <c r="T880" s="36" t="n">
        <f aca="false">IF(S880="","",MAX(0,-S880))</f>
        <v>-0</v>
      </c>
      <c r="U880" s="36" t="n">
        <f aca="false">IF(S880="","",MAX(0,S880))</f>
        <v>0</v>
      </c>
      <c r="V880" s="8" t="str">
        <f aca="false">IF(J880="","NOT SCORED - NO JULY MONTHLY ROW",IF(OR(ABS(L880)&gt;0.005,ABS(O880)&gt;0.005,ABS(S880)&gt;0.005),"EXCEPTION","OK"))</f>
        <v>OK</v>
      </c>
      <c r="W880" s="8" t="s">
        <v>6246</v>
      </c>
      <c r="X880" s="8" t="s">
        <v>4099</v>
      </c>
      <c r="Y880" s="36" t="n">
        <f aca="false">K880*N880</f>
        <v>509.6</v>
      </c>
    </row>
    <row r="881" customFormat="false" ht="15" hidden="false" customHeight="false" outlineLevel="0" collapsed="false">
      <c r="A881" s="11" t="s">
        <v>6247</v>
      </c>
      <c r="B881" s="11" t="s">
        <v>200</v>
      </c>
      <c r="C881" s="11" t="s">
        <v>5306</v>
      </c>
      <c r="D881" s="11" t="s">
        <v>3411</v>
      </c>
      <c r="E881" s="11" t="s">
        <v>1374</v>
      </c>
      <c r="F881" s="11" t="s">
        <v>1375</v>
      </c>
      <c r="G881" s="11" t="s">
        <v>5308</v>
      </c>
      <c r="H881" s="11" t="n">
        <v>24</v>
      </c>
      <c r="I881" s="31" t="n">
        <v>35.5</v>
      </c>
      <c r="J881" s="31" t="n">
        <v>36</v>
      </c>
      <c r="K881" s="31" t="n">
        <f aca="false">MAX(ROUNDUP(I881,0),H881)</f>
        <v>36</v>
      </c>
      <c r="L881" s="31" t="n">
        <f aca="false">IF(J881="","",J881-K881)</f>
        <v>0</v>
      </c>
      <c r="M881" s="32" t="n">
        <v>10.4</v>
      </c>
      <c r="N881" s="32" t="n">
        <f aca="false">IF(C881="covered",10.4,7.55)</f>
        <v>10.4</v>
      </c>
      <c r="O881" s="32" t="n">
        <f aca="false">IF(M881="","",M881-N881)</f>
        <v>0</v>
      </c>
      <c r="P881" s="11" t="n">
        <v>1</v>
      </c>
      <c r="Q881" s="33" t="n">
        <v>374.4</v>
      </c>
      <c r="R881" s="33" t="n">
        <f aca="false">IF(OR(J881="",P881=""),"",K881*N881*P881)</f>
        <v>374.4</v>
      </c>
      <c r="S881" s="33" t="n">
        <f aca="false">IF(Q881="","",Q881-R881)</f>
        <v>0</v>
      </c>
      <c r="T881" s="33" t="n">
        <f aca="false">IF(S881="","",MAX(0,-S881))</f>
        <v>-0</v>
      </c>
      <c r="U881" s="33" t="n">
        <f aca="false">IF(S881="","",MAX(0,S881))</f>
        <v>0</v>
      </c>
      <c r="V881" s="11" t="str">
        <f aca="false">IF(J881="","NOT SCORED - NO JULY MONTHLY ROW",IF(OR(ABS(L881)&gt;0.005,ABS(O881)&gt;0.005,ABS(S881)&gt;0.005),"EXCEPTION","OK"))</f>
        <v>OK</v>
      </c>
      <c r="W881" s="11" t="s">
        <v>6248</v>
      </c>
      <c r="X881" s="11" t="s">
        <v>4099</v>
      </c>
      <c r="Y881" s="33" t="n">
        <f aca="false">K881*N881</f>
        <v>374.4</v>
      </c>
    </row>
    <row r="882" customFormat="false" ht="15" hidden="false" customHeight="false" outlineLevel="0" collapsed="false">
      <c r="A882" s="8" t="s">
        <v>6249</v>
      </c>
      <c r="B882" s="8" t="s">
        <v>200</v>
      </c>
      <c r="C882" s="8" t="s">
        <v>5306</v>
      </c>
      <c r="D882" s="8" t="s">
        <v>3416</v>
      </c>
      <c r="E882" s="8" t="s">
        <v>6250</v>
      </c>
      <c r="F882" s="8" t="s">
        <v>6251</v>
      </c>
      <c r="G882" s="8" t="s">
        <v>3851</v>
      </c>
      <c r="H882" s="8" t="n">
        <v>32</v>
      </c>
      <c r="I882" s="34" t="n">
        <v>29.7</v>
      </c>
      <c r="J882" s="34" t="n">
        <v>32</v>
      </c>
      <c r="K882" s="34" t="n">
        <f aca="false">MAX(ROUNDUP(I882,0),H882)</f>
        <v>32</v>
      </c>
      <c r="L882" s="34" t="n">
        <f aca="false">IF(J882="","",J882-K882)</f>
        <v>0</v>
      </c>
      <c r="M882" s="35" t="n">
        <v>10.4</v>
      </c>
      <c r="N882" s="35" t="n">
        <f aca="false">IF(C882="covered",10.4,7.55)</f>
        <v>10.4</v>
      </c>
      <c r="O882" s="35" t="n">
        <f aca="false">IF(M882="","",M882-N882)</f>
        <v>0</v>
      </c>
      <c r="P882" s="8" t="n">
        <v>1</v>
      </c>
      <c r="Q882" s="36" t="n">
        <v>332.8</v>
      </c>
      <c r="R882" s="36" t="n">
        <f aca="false">IF(OR(J882="",P882=""),"",K882*N882*P882)</f>
        <v>332.8</v>
      </c>
      <c r="S882" s="36" t="n">
        <f aca="false">IF(Q882="","",Q882-R882)</f>
        <v>0</v>
      </c>
      <c r="T882" s="36" t="n">
        <f aca="false">IF(S882="","",MAX(0,-S882))</f>
        <v>-0</v>
      </c>
      <c r="U882" s="36" t="n">
        <f aca="false">IF(S882="","",MAX(0,S882))</f>
        <v>0</v>
      </c>
      <c r="V882" s="8" t="str">
        <f aca="false">IF(J882="","NOT SCORED - NO JULY MONTHLY ROW",IF(OR(ABS(L882)&gt;0.005,ABS(O882)&gt;0.005,ABS(S882)&gt;0.005),"EXCEPTION","OK"))</f>
        <v>OK</v>
      </c>
      <c r="W882" s="8" t="s">
        <v>6252</v>
      </c>
      <c r="X882" s="8" t="s">
        <v>4099</v>
      </c>
      <c r="Y882" s="36" t="n">
        <f aca="false">K882*N882</f>
        <v>332.8</v>
      </c>
    </row>
    <row r="883" customFormat="false" ht="15" hidden="false" customHeight="false" outlineLevel="0" collapsed="false">
      <c r="A883" s="11" t="s">
        <v>6253</v>
      </c>
      <c r="B883" s="11" t="s">
        <v>200</v>
      </c>
      <c r="C883" s="11" t="s">
        <v>5306</v>
      </c>
      <c r="D883" s="11" t="s">
        <v>3419</v>
      </c>
      <c r="E883" s="11" t="s">
        <v>6254</v>
      </c>
      <c r="F883" s="11" t="s">
        <v>6255</v>
      </c>
      <c r="G883" s="11" t="s">
        <v>4502</v>
      </c>
      <c r="H883" s="11" t="n">
        <v>28</v>
      </c>
      <c r="I883" s="31" t="n">
        <v>30.9</v>
      </c>
      <c r="J883" s="31" t="n">
        <v>31</v>
      </c>
      <c r="K883" s="31" t="n">
        <f aca="false">MAX(ROUNDUP(I883,0),H883)</f>
        <v>31</v>
      </c>
      <c r="L883" s="31" t="n">
        <f aca="false">IF(J883="","",J883-K883)</f>
        <v>0</v>
      </c>
      <c r="M883" s="32" t="n">
        <v>10.4</v>
      </c>
      <c r="N883" s="32" t="n">
        <f aca="false">IF(C883="covered",10.4,7.55)</f>
        <v>10.4</v>
      </c>
      <c r="O883" s="32" t="n">
        <f aca="false">IF(M883="","",M883-N883)</f>
        <v>0</v>
      </c>
      <c r="P883" s="11" t="n">
        <v>1</v>
      </c>
      <c r="Q883" s="33" t="n">
        <v>322.4</v>
      </c>
      <c r="R883" s="33" t="n">
        <f aca="false">IF(OR(J883="",P883=""),"",K883*N883*P883)</f>
        <v>322.4</v>
      </c>
      <c r="S883" s="33" t="n">
        <f aca="false">IF(Q883="","",Q883-R883)</f>
        <v>0</v>
      </c>
      <c r="T883" s="33" t="n">
        <f aca="false">IF(S883="","",MAX(0,-S883))</f>
        <v>-0</v>
      </c>
      <c r="U883" s="33" t="n">
        <f aca="false">IF(S883="","",MAX(0,S883))</f>
        <v>0</v>
      </c>
      <c r="V883" s="11" t="str">
        <f aca="false">IF(J883="","NOT SCORED - NO JULY MONTHLY ROW",IF(OR(ABS(L883)&gt;0.005,ABS(O883)&gt;0.005,ABS(S883)&gt;0.005),"EXCEPTION","OK"))</f>
        <v>OK</v>
      </c>
      <c r="W883" s="11" t="s">
        <v>6256</v>
      </c>
      <c r="X883" s="11" t="s">
        <v>4099</v>
      </c>
      <c r="Y883" s="33" t="n">
        <f aca="false">K883*N883</f>
        <v>322.4</v>
      </c>
    </row>
    <row r="884" customFormat="false" ht="15" hidden="false" customHeight="false" outlineLevel="0" collapsed="false">
      <c r="A884" s="8" t="s">
        <v>6257</v>
      </c>
      <c r="B884" s="8" t="s">
        <v>200</v>
      </c>
      <c r="C884" s="8" t="s">
        <v>5306</v>
      </c>
      <c r="D884" s="8" t="s">
        <v>3424</v>
      </c>
      <c r="E884" s="8" t="s">
        <v>6258</v>
      </c>
      <c r="F884" s="8" t="s">
        <v>3148</v>
      </c>
      <c r="G884" s="8" t="s">
        <v>3231</v>
      </c>
      <c r="H884" s="8" t="n">
        <v>24</v>
      </c>
      <c r="I884" s="34" t="n">
        <v>52</v>
      </c>
      <c r="J884" s="34" t="n">
        <v>52</v>
      </c>
      <c r="K884" s="34" t="n">
        <f aca="false">MAX(ROUNDUP(I884,0),H884)</f>
        <v>52</v>
      </c>
      <c r="L884" s="34" t="n">
        <f aca="false">IF(J884="","",J884-K884)</f>
        <v>0</v>
      </c>
      <c r="M884" s="35" t="n">
        <v>10.4</v>
      </c>
      <c r="N884" s="35" t="n">
        <f aca="false">IF(C884="covered",10.4,7.55)</f>
        <v>10.4</v>
      </c>
      <c r="O884" s="35" t="n">
        <f aca="false">IF(M884="","",M884-N884)</f>
        <v>0</v>
      </c>
      <c r="P884" s="8" t="n">
        <v>1</v>
      </c>
      <c r="Q884" s="36" t="n">
        <v>540.8</v>
      </c>
      <c r="R884" s="36" t="n">
        <f aca="false">IF(OR(J884="",P884=""),"",K884*N884*P884)</f>
        <v>540.8</v>
      </c>
      <c r="S884" s="36" t="n">
        <f aca="false">IF(Q884="","",Q884-R884)</f>
        <v>0</v>
      </c>
      <c r="T884" s="36" t="n">
        <f aca="false">IF(S884="","",MAX(0,-S884))</f>
        <v>-0</v>
      </c>
      <c r="U884" s="36" t="n">
        <f aca="false">IF(S884="","",MAX(0,S884))</f>
        <v>0</v>
      </c>
      <c r="V884" s="8" t="str">
        <f aca="false">IF(J884="","NOT SCORED - NO JULY MONTHLY ROW",IF(OR(ABS(L884)&gt;0.005,ABS(O884)&gt;0.005,ABS(S884)&gt;0.005),"EXCEPTION","OK"))</f>
        <v>OK</v>
      </c>
      <c r="W884" s="8" t="s">
        <v>6259</v>
      </c>
      <c r="X884" s="8" t="s">
        <v>4099</v>
      </c>
      <c r="Y884" s="36" t="n">
        <f aca="false">K884*N884</f>
        <v>540.8</v>
      </c>
    </row>
    <row r="885" customFormat="false" ht="15" hidden="false" customHeight="false" outlineLevel="0" collapsed="false">
      <c r="A885" s="11" t="s">
        <v>6260</v>
      </c>
      <c r="B885" s="11" t="s">
        <v>200</v>
      </c>
      <c r="C885" s="11" t="s">
        <v>5306</v>
      </c>
      <c r="D885" s="11" t="s">
        <v>3428</v>
      </c>
      <c r="E885" s="11" t="s">
        <v>6261</v>
      </c>
      <c r="F885" s="11" t="s">
        <v>6262</v>
      </c>
      <c r="G885" s="11" t="s">
        <v>5221</v>
      </c>
      <c r="H885" s="11" t="n">
        <v>32</v>
      </c>
      <c r="I885" s="31" t="n">
        <v>39</v>
      </c>
      <c r="J885" s="31" t="n">
        <v>39</v>
      </c>
      <c r="K885" s="31" t="n">
        <f aca="false">MAX(ROUNDUP(I885,0),H885)</f>
        <v>39</v>
      </c>
      <c r="L885" s="31" t="n">
        <f aca="false">IF(J885="","",J885-K885)</f>
        <v>0</v>
      </c>
      <c r="M885" s="32" t="n">
        <v>10.4</v>
      </c>
      <c r="N885" s="32" t="n">
        <f aca="false">IF(C885="covered",10.4,7.55)</f>
        <v>10.4</v>
      </c>
      <c r="O885" s="32" t="n">
        <f aca="false">IF(M885="","",M885-N885)</f>
        <v>0</v>
      </c>
      <c r="P885" s="11" t="n">
        <v>1</v>
      </c>
      <c r="Q885" s="33" t="n">
        <v>405.6</v>
      </c>
      <c r="R885" s="33" t="n">
        <f aca="false">IF(OR(J885="",P885=""),"",K885*N885*P885)</f>
        <v>405.6</v>
      </c>
      <c r="S885" s="33" t="n">
        <f aca="false">IF(Q885="","",Q885-R885)</f>
        <v>0</v>
      </c>
      <c r="T885" s="33" t="n">
        <f aca="false">IF(S885="","",MAX(0,-S885))</f>
        <v>-0</v>
      </c>
      <c r="U885" s="33" t="n">
        <f aca="false">IF(S885="","",MAX(0,S885))</f>
        <v>0</v>
      </c>
      <c r="V885" s="11" t="str">
        <f aca="false">IF(J885="","NOT SCORED - NO JULY MONTHLY ROW",IF(OR(ABS(L885)&gt;0.005,ABS(O885)&gt;0.005,ABS(S885)&gt;0.005),"EXCEPTION","OK"))</f>
        <v>OK</v>
      </c>
      <c r="W885" s="11" t="s">
        <v>6263</v>
      </c>
      <c r="X885" s="11" t="s">
        <v>4099</v>
      </c>
      <c r="Y885" s="33" t="n">
        <f aca="false">K885*N885</f>
        <v>405.6</v>
      </c>
    </row>
    <row r="886" customFormat="false" ht="15" hidden="false" customHeight="false" outlineLevel="0" collapsed="false">
      <c r="A886" s="8" t="s">
        <v>6264</v>
      </c>
      <c r="B886" s="8" t="s">
        <v>200</v>
      </c>
      <c r="C886" s="8" t="s">
        <v>5306</v>
      </c>
      <c r="D886" s="8" t="s">
        <v>3432</v>
      </c>
      <c r="E886" s="8" t="s">
        <v>6265</v>
      </c>
      <c r="F886" s="8" t="s">
        <v>6266</v>
      </c>
      <c r="G886" s="8" t="s">
        <v>3117</v>
      </c>
      <c r="H886" s="8" t="n">
        <v>36</v>
      </c>
      <c r="I886" s="34" t="n">
        <v>53</v>
      </c>
      <c r="J886" s="34" t="n">
        <v>53</v>
      </c>
      <c r="K886" s="34" t="n">
        <f aca="false">MAX(ROUNDUP(I886,0),H886)</f>
        <v>53</v>
      </c>
      <c r="L886" s="34" t="n">
        <f aca="false">IF(J886="","",J886-K886)</f>
        <v>0</v>
      </c>
      <c r="M886" s="35" t="n">
        <v>10.4</v>
      </c>
      <c r="N886" s="35" t="n">
        <f aca="false">IF(C886="covered",10.4,7.55)</f>
        <v>10.4</v>
      </c>
      <c r="O886" s="35" t="n">
        <f aca="false">IF(M886="","",M886-N886)</f>
        <v>0</v>
      </c>
      <c r="P886" s="8" t="n">
        <v>1</v>
      </c>
      <c r="Q886" s="36" t="n">
        <v>551.2</v>
      </c>
      <c r="R886" s="36" t="n">
        <f aca="false">IF(OR(J886="",P886=""),"",K886*N886*P886)</f>
        <v>551.2</v>
      </c>
      <c r="S886" s="36" t="n">
        <f aca="false">IF(Q886="","",Q886-R886)</f>
        <v>0</v>
      </c>
      <c r="T886" s="36" t="n">
        <f aca="false">IF(S886="","",MAX(0,-S886))</f>
        <v>-0</v>
      </c>
      <c r="U886" s="36" t="n">
        <f aca="false">IF(S886="","",MAX(0,S886))</f>
        <v>0</v>
      </c>
      <c r="V886" s="8" t="str">
        <f aca="false">IF(J886="","NOT SCORED - NO JULY MONTHLY ROW",IF(OR(ABS(L886)&gt;0.005,ABS(O886)&gt;0.005,ABS(S886)&gt;0.005),"EXCEPTION","OK"))</f>
        <v>OK</v>
      </c>
      <c r="W886" s="8" t="s">
        <v>6267</v>
      </c>
      <c r="X886" s="8" t="s">
        <v>4099</v>
      </c>
      <c r="Y886" s="36" t="n">
        <f aca="false">K886*N886</f>
        <v>551.2</v>
      </c>
    </row>
    <row r="887" customFormat="false" ht="15" hidden="false" customHeight="false" outlineLevel="0" collapsed="false">
      <c r="A887" s="11" t="s">
        <v>472</v>
      </c>
      <c r="B887" s="11" t="s">
        <v>200</v>
      </c>
      <c r="C887" s="11" t="s">
        <v>5306</v>
      </c>
      <c r="D887" s="11" t="s">
        <v>3437</v>
      </c>
      <c r="E887" s="11" t="s">
        <v>6268</v>
      </c>
      <c r="F887" s="11" t="s">
        <v>6269</v>
      </c>
      <c r="G887" s="11" t="s">
        <v>5703</v>
      </c>
      <c r="H887" s="11" t="n">
        <v>28</v>
      </c>
      <c r="I887" s="31" t="n">
        <v>24.8</v>
      </c>
      <c r="J887" s="31" t="n">
        <v>28</v>
      </c>
      <c r="K887" s="31" t="n">
        <f aca="false">MAX(ROUNDUP(I887,0),H887)</f>
        <v>28</v>
      </c>
      <c r="L887" s="31" t="n">
        <f aca="false">IF(J887="","",J887-K887)</f>
        <v>0</v>
      </c>
      <c r="M887" s="32" t="n">
        <v>10.4</v>
      </c>
      <c r="N887" s="32" t="n">
        <f aca="false">IF(C887="covered",10.4,7.55)</f>
        <v>10.4</v>
      </c>
      <c r="O887" s="32" t="n">
        <f aca="false">IF(M887="","",M887-N887)</f>
        <v>0</v>
      </c>
      <c r="P887" s="11" t="n">
        <v>1</v>
      </c>
      <c r="Q887" s="33" t="n">
        <v>291.2</v>
      </c>
      <c r="R887" s="33" t="n">
        <f aca="false">IF(OR(J887="",P887=""),"",K887*N887*P887)</f>
        <v>291.2</v>
      </c>
      <c r="S887" s="33" t="n">
        <f aca="false">IF(Q887="","",Q887-R887)</f>
        <v>0</v>
      </c>
      <c r="T887" s="33" t="n">
        <f aca="false">IF(S887="","",MAX(0,-S887))</f>
        <v>-0</v>
      </c>
      <c r="U887" s="33" t="n">
        <f aca="false">IF(S887="","",MAX(0,S887))</f>
        <v>0</v>
      </c>
      <c r="V887" s="11" t="str">
        <f aca="false">IF(J887="","NOT SCORED - NO JULY MONTHLY ROW",IF(OR(ABS(L887)&gt;0.005,ABS(O887)&gt;0.005,ABS(S887)&gt;0.005),"EXCEPTION","OK"))</f>
        <v>OK</v>
      </c>
      <c r="W887" s="11" t="s">
        <v>6270</v>
      </c>
      <c r="X887" s="11" t="s">
        <v>4099</v>
      </c>
      <c r="Y887" s="33" t="n">
        <f aca="false">K887*N887</f>
        <v>291.2</v>
      </c>
    </row>
    <row r="888" customFormat="false" ht="15" hidden="false" customHeight="false" outlineLevel="0" collapsed="false">
      <c r="A888" s="8" t="s">
        <v>6271</v>
      </c>
      <c r="B888" s="8" t="s">
        <v>200</v>
      </c>
      <c r="C888" s="8" t="s">
        <v>5306</v>
      </c>
      <c r="D888" s="8" t="s">
        <v>3441</v>
      </c>
      <c r="E888" s="8" t="s">
        <v>6272</v>
      </c>
      <c r="F888" s="8" t="s">
        <v>6273</v>
      </c>
      <c r="G888" s="8" t="s">
        <v>4937</v>
      </c>
      <c r="H888" s="8" t="n">
        <v>28</v>
      </c>
      <c r="I888" s="34" t="n">
        <v>40.2</v>
      </c>
      <c r="J888" s="34" t="n">
        <v>41</v>
      </c>
      <c r="K888" s="34" t="n">
        <f aca="false">MAX(ROUNDUP(I888,0),H888)</f>
        <v>41</v>
      </c>
      <c r="L888" s="34" t="n">
        <f aca="false">IF(J888="","",J888-K888)</f>
        <v>0</v>
      </c>
      <c r="M888" s="35" t="n">
        <v>10.4</v>
      </c>
      <c r="N888" s="35" t="n">
        <f aca="false">IF(C888="covered",10.4,7.55)</f>
        <v>10.4</v>
      </c>
      <c r="O888" s="35" t="n">
        <f aca="false">IF(M888="","",M888-N888)</f>
        <v>0</v>
      </c>
      <c r="P888" s="8" t="n">
        <v>1</v>
      </c>
      <c r="Q888" s="36" t="n">
        <v>426.4</v>
      </c>
      <c r="R888" s="36" t="n">
        <f aca="false">IF(OR(J888="",P888=""),"",K888*N888*P888)</f>
        <v>426.4</v>
      </c>
      <c r="S888" s="36" t="n">
        <f aca="false">IF(Q888="","",Q888-R888)</f>
        <v>0</v>
      </c>
      <c r="T888" s="36" t="n">
        <f aca="false">IF(S888="","",MAX(0,-S888))</f>
        <v>-0</v>
      </c>
      <c r="U888" s="36" t="n">
        <f aca="false">IF(S888="","",MAX(0,S888))</f>
        <v>0</v>
      </c>
      <c r="V888" s="8" t="str">
        <f aca="false">IF(J888="","NOT SCORED - NO JULY MONTHLY ROW",IF(OR(ABS(L888)&gt;0.005,ABS(O888)&gt;0.005,ABS(S888)&gt;0.005),"EXCEPTION","OK"))</f>
        <v>OK</v>
      </c>
      <c r="W888" s="8" t="s">
        <v>6274</v>
      </c>
      <c r="X888" s="8" t="s">
        <v>4099</v>
      </c>
      <c r="Y888" s="36" t="n">
        <f aca="false">K888*N888</f>
        <v>426.4</v>
      </c>
    </row>
    <row r="889" customFormat="false" ht="15" hidden="false" customHeight="false" outlineLevel="0" collapsed="false">
      <c r="A889" s="11" t="s">
        <v>6275</v>
      </c>
      <c r="B889" s="11" t="s">
        <v>200</v>
      </c>
      <c r="C889" s="11" t="s">
        <v>5306</v>
      </c>
      <c r="D889" s="11" t="s">
        <v>3444</v>
      </c>
      <c r="E889" s="11" t="s">
        <v>6276</v>
      </c>
      <c r="F889" s="11" t="s">
        <v>6277</v>
      </c>
      <c r="G889" s="11" t="s">
        <v>3122</v>
      </c>
      <c r="H889" s="11" t="n">
        <v>24</v>
      </c>
      <c r="I889" s="31" t="n">
        <v>32</v>
      </c>
      <c r="J889" s="31" t="n">
        <v>32</v>
      </c>
      <c r="K889" s="31" t="n">
        <f aca="false">MAX(ROUNDUP(I889,0),H889)</f>
        <v>32</v>
      </c>
      <c r="L889" s="31" t="n">
        <f aca="false">IF(J889="","",J889-K889)</f>
        <v>0</v>
      </c>
      <c r="M889" s="32" t="n">
        <v>10.4</v>
      </c>
      <c r="N889" s="32" t="n">
        <f aca="false">IF(C889="covered",10.4,7.55)</f>
        <v>10.4</v>
      </c>
      <c r="O889" s="32" t="n">
        <f aca="false">IF(M889="","",M889-N889)</f>
        <v>0</v>
      </c>
      <c r="P889" s="11" t="n">
        <v>1</v>
      </c>
      <c r="Q889" s="33" t="n">
        <v>332.8</v>
      </c>
      <c r="R889" s="33" t="n">
        <f aca="false">IF(OR(J889="",P889=""),"",K889*N889*P889)</f>
        <v>332.8</v>
      </c>
      <c r="S889" s="33" t="n">
        <f aca="false">IF(Q889="","",Q889-R889)</f>
        <v>0</v>
      </c>
      <c r="T889" s="33" t="n">
        <f aca="false">IF(S889="","",MAX(0,-S889))</f>
        <v>-0</v>
      </c>
      <c r="U889" s="33" t="n">
        <f aca="false">IF(S889="","",MAX(0,S889))</f>
        <v>0</v>
      </c>
      <c r="V889" s="11" t="str">
        <f aca="false">IF(J889="","NOT SCORED - NO JULY MONTHLY ROW",IF(OR(ABS(L889)&gt;0.005,ABS(O889)&gt;0.005,ABS(S889)&gt;0.005),"EXCEPTION","OK"))</f>
        <v>OK</v>
      </c>
      <c r="W889" s="11" t="s">
        <v>6278</v>
      </c>
      <c r="X889" s="11" t="s">
        <v>4099</v>
      </c>
      <c r="Y889" s="33" t="n">
        <f aca="false">K889*N889</f>
        <v>332.8</v>
      </c>
    </row>
    <row r="890" customFormat="false" ht="15" hidden="false" customHeight="false" outlineLevel="0" collapsed="false">
      <c r="A890" s="8" t="s">
        <v>6279</v>
      </c>
      <c r="B890" s="8" t="s">
        <v>200</v>
      </c>
      <c r="C890" s="8" t="s">
        <v>5306</v>
      </c>
      <c r="D890" s="8" t="s">
        <v>3447</v>
      </c>
      <c r="E890" s="8" t="s">
        <v>6280</v>
      </c>
      <c r="F890" s="8" t="s">
        <v>6281</v>
      </c>
      <c r="G890" s="8" t="s">
        <v>3994</v>
      </c>
      <c r="H890" s="8" t="n">
        <v>36</v>
      </c>
      <c r="I890" s="34" t="n">
        <v>54.6</v>
      </c>
      <c r="J890" s="34" t="n">
        <v>55</v>
      </c>
      <c r="K890" s="34" t="n">
        <f aca="false">MAX(ROUNDUP(I890,0),H890)</f>
        <v>55</v>
      </c>
      <c r="L890" s="34" t="n">
        <f aca="false">IF(J890="","",J890-K890)</f>
        <v>0</v>
      </c>
      <c r="M890" s="35" t="n">
        <v>10.4</v>
      </c>
      <c r="N890" s="35" t="n">
        <f aca="false">IF(C890="covered",10.4,7.55)</f>
        <v>10.4</v>
      </c>
      <c r="O890" s="35" t="n">
        <f aca="false">IF(M890="","",M890-N890)</f>
        <v>0</v>
      </c>
      <c r="P890" s="8" t="n">
        <v>1</v>
      </c>
      <c r="Q890" s="36" t="n">
        <v>572</v>
      </c>
      <c r="R890" s="36" t="n">
        <f aca="false">IF(OR(J890="",P890=""),"",K890*N890*P890)</f>
        <v>572</v>
      </c>
      <c r="S890" s="36" t="n">
        <f aca="false">IF(Q890="","",Q890-R890)</f>
        <v>0</v>
      </c>
      <c r="T890" s="36" t="n">
        <f aca="false">IF(S890="","",MAX(0,-S890))</f>
        <v>-0</v>
      </c>
      <c r="U890" s="36" t="n">
        <f aca="false">IF(S890="","",MAX(0,S890))</f>
        <v>0</v>
      </c>
      <c r="V890" s="8" t="str">
        <f aca="false">IF(J890="","NOT SCORED - NO JULY MONTHLY ROW",IF(OR(ABS(L890)&gt;0.005,ABS(O890)&gt;0.005,ABS(S890)&gt;0.005),"EXCEPTION","OK"))</f>
        <v>OK</v>
      </c>
      <c r="W890" s="8" t="s">
        <v>6282</v>
      </c>
      <c r="X890" s="8" t="s">
        <v>4099</v>
      </c>
      <c r="Y890" s="36" t="n">
        <f aca="false">K890*N890</f>
        <v>572</v>
      </c>
    </row>
    <row r="891" customFormat="false" ht="15" hidden="false" customHeight="false" outlineLevel="0" collapsed="false">
      <c r="A891" s="11" t="s">
        <v>6283</v>
      </c>
      <c r="B891" s="11" t="s">
        <v>200</v>
      </c>
      <c r="C891" s="11" t="s">
        <v>5306</v>
      </c>
      <c r="D891" s="11" t="s">
        <v>3450</v>
      </c>
      <c r="E891" s="11" t="s">
        <v>6284</v>
      </c>
      <c r="F891" s="11" t="s">
        <v>6285</v>
      </c>
      <c r="G891" s="11" t="s">
        <v>3313</v>
      </c>
      <c r="H891" s="11" t="n">
        <v>32</v>
      </c>
      <c r="I891" s="31" t="n">
        <v>53.2</v>
      </c>
      <c r="J891" s="31" t="n">
        <v>54</v>
      </c>
      <c r="K891" s="31" t="n">
        <f aca="false">MAX(ROUNDUP(I891,0),H891)</f>
        <v>54</v>
      </c>
      <c r="L891" s="31" t="n">
        <f aca="false">IF(J891="","",J891-K891)</f>
        <v>0</v>
      </c>
      <c r="M891" s="32" t="n">
        <v>10.4</v>
      </c>
      <c r="N891" s="32" t="n">
        <f aca="false">IF(C891="covered",10.4,7.55)</f>
        <v>10.4</v>
      </c>
      <c r="O891" s="32" t="n">
        <f aca="false">IF(M891="","",M891-N891)</f>
        <v>0</v>
      </c>
      <c r="P891" s="11" t="n">
        <v>1</v>
      </c>
      <c r="Q891" s="33" t="n">
        <v>561.6</v>
      </c>
      <c r="R891" s="33" t="n">
        <f aca="false">IF(OR(J891="",P891=""),"",K891*N891*P891)</f>
        <v>561.6</v>
      </c>
      <c r="S891" s="33" t="n">
        <f aca="false">IF(Q891="","",Q891-R891)</f>
        <v>0</v>
      </c>
      <c r="T891" s="33" t="n">
        <f aca="false">IF(S891="","",MAX(0,-S891))</f>
        <v>-0</v>
      </c>
      <c r="U891" s="33" t="n">
        <f aca="false">IF(S891="","",MAX(0,S891))</f>
        <v>0</v>
      </c>
      <c r="V891" s="11" t="str">
        <f aca="false">IF(J891="","NOT SCORED - NO JULY MONTHLY ROW",IF(OR(ABS(L891)&gt;0.005,ABS(O891)&gt;0.005,ABS(S891)&gt;0.005),"EXCEPTION","OK"))</f>
        <v>OK</v>
      </c>
      <c r="W891" s="11" t="s">
        <v>6286</v>
      </c>
      <c r="X891" s="11" t="s">
        <v>4099</v>
      </c>
      <c r="Y891" s="33" t="n">
        <f aca="false">K891*N891</f>
        <v>561.6</v>
      </c>
    </row>
    <row r="892" customFormat="false" ht="15" hidden="false" customHeight="false" outlineLevel="0" collapsed="false">
      <c r="A892" s="8" t="s">
        <v>801</v>
      </c>
      <c r="B892" s="8" t="s">
        <v>200</v>
      </c>
      <c r="C892" s="8" t="s">
        <v>5306</v>
      </c>
      <c r="D892" s="8" t="s">
        <v>3455</v>
      </c>
      <c r="E892" s="8" t="s">
        <v>664</v>
      </c>
      <c r="F892" s="8" t="s">
        <v>665</v>
      </c>
      <c r="G892" s="8" t="s">
        <v>4167</v>
      </c>
      <c r="H892" s="8" t="n">
        <v>24</v>
      </c>
      <c r="I892" s="34" t="n">
        <v>44</v>
      </c>
      <c r="J892" s="34" t="n">
        <v>44</v>
      </c>
      <c r="K892" s="34" t="n">
        <f aca="false">MAX(ROUNDUP(I892,0),H892)</f>
        <v>44</v>
      </c>
      <c r="L892" s="34" t="n">
        <f aca="false">IF(J892="","",J892-K892)</f>
        <v>0</v>
      </c>
      <c r="M892" s="35" t="n">
        <v>10.4</v>
      </c>
      <c r="N892" s="35" t="n">
        <f aca="false">IF(C892="covered",10.4,7.55)</f>
        <v>10.4</v>
      </c>
      <c r="O892" s="35" t="n">
        <f aca="false">IF(M892="","",M892-N892)</f>
        <v>0</v>
      </c>
      <c r="P892" s="8" t="n">
        <v>1</v>
      </c>
      <c r="Q892" s="36" t="n">
        <v>457.6</v>
      </c>
      <c r="R892" s="36" t="n">
        <f aca="false">IF(OR(J892="",P892=""),"",K892*N892*P892)</f>
        <v>457.6</v>
      </c>
      <c r="S892" s="36" t="n">
        <f aca="false">IF(Q892="","",Q892-R892)</f>
        <v>0</v>
      </c>
      <c r="T892" s="36" t="n">
        <f aca="false">IF(S892="","",MAX(0,-S892))</f>
        <v>-0</v>
      </c>
      <c r="U892" s="36" t="n">
        <f aca="false">IF(S892="","",MAX(0,S892))</f>
        <v>0</v>
      </c>
      <c r="V892" s="8" t="str">
        <f aca="false">IF(J892="","NOT SCORED - NO JULY MONTHLY ROW",IF(OR(ABS(L892)&gt;0.005,ABS(O892)&gt;0.005,ABS(S892)&gt;0.005),"EXCEPTION","OK"))</f>
        <v>OK</v>
      </c>
      <c r="W892" s="8" t="s">
        <v>6287</v>
      </c>
      <c r="X892" s="8" t="s">
        <v>4099</v>
      </c>
      <c r="Y892" s="36" t="n">
        <f aca="false">K892*N892</f>
        <v>457.6</v>
      </c>
    </row>
    <row r="893" customFormat="false" ht="15" hidden="false" customHeight="false" outlineLevel="0" collapsed="false">
      <c r="A893" s="11" t="s">
        <v>6288</v>
      </c>
      <c r="B893" s="11" t="s">
        <v>200</v>
      </c>
      <c r="C893" s="11" t="s">
        <v>5306</v>
      </c>
      <c r="D893" s="11" t="s">
        <v>3460</v>
      </c>
      <c r="E893" s="11" t="s">
        <v>6289</v>
      </c>
      <c r="F893" s="11" t="s">
        <v>6290</v>
      </c>
      <c r="G893" s="11" t="s">
        <v>3117</v>
      </c>
      <c r="H893" s="11" t="n">
        <v>32</v>
      </c>
      <c r="I893" s="31" t="n">
        <v>61.3</v>
      </c>
      <c r="J893" s="31" t="n">
        <v>62</v>
      </c>
      <c r="K893" s="31" t="n">
        <f aca="false">MAX(ROUNDUP(I893,0),H893)</f>
        <v>62</v>
      </c>
      <c r="L893" s="31" t="n">
        <f aca="false">IF(J893="","",J893-K893)</f>
        <v>0</v>
      </c>
      <c r="M893" s="32" t="n">
        <v>10.4</v>
      </c>
      <c r="N893" s="32" t="n">
        <f aca="false">IF(C893="covered",10.4,7.55)</f>
        <v>10.4</v>
      </c>
      <c r="O893" s="32" t="n">
        <f aca="false">IF(M893="","",M893-N893)</f>
        <v>0</v>
      </c>
      <c r="P893" s="11" t="n">
        <v>1</v>
      </c>
      <c r="Q893" s="33" t="n">
        <v>644.8</v>
      </c>
      <c r="R893" s="33" t="n">
        <f aca="false">IF(OR(J893="",P893=""),"",K893*N893*P893)</f>
        <v>644.8</v>
      </c>
      <c r="S893" s="33" t="n">
        <f aca="false">IF(Q893="","",Q893-R893)</f>
        <v>0</v>
      </c>
      <c r="T893" s="33" t="n">
        <f aca="false">IF(S893="","",MAX(0,-S893))</f>
        <v>-0</v>
      </c>
      <c r="U893" s="33" t="n">
        <f aca="false">IF(S893="","",MAX(0,S893))</f>
        <v>0</v>
      </c>
      <c r="V893" s="11" t="str">
        <f aca="false">IF(J893="","NOT SCORED - NO JULY MONTHLY ROW",IF(OR(ABS(L893)&gt;0.005,ABS(O893)&gt;0.005,ABS(S893)&gt;0.005),"EXCEPTION","OK"))</f>
        <v>OK</v>
      </c>
      <c r="W893" s="11" t="s">
        <v>6291</v>
      </c>
      <c r="X893" s="11" t="s">
        <v>4099</v>
      </c>
      <c r="Y893" s="33" t="n">
        <f aca="false">K893*N893</f>
        <v>644.8</v>
      </c>
    </row>
    <row r="894" customFormat="false" ht="15" hidden="false" customHeight="false" outlineLevel="0" collapsed="false">
      <c r="A894" s="8" t="s">
        <v>6292</v>
      </c>
      <c r="B894" s="8" t="s">
        <v>200</v>
      </c>
      <c r="C894" s="8" t="s">
        <v>5306</v>
      </c>
      <c r="D894" s="8" t="s">
        <v>3464</v>
      </c>
      <c r="E894" s="8" t="s">
        <v>6293</v>
      </c>
      <c r="F894" s="8" t="s">
        <v>6294</v>
      </c>
      <c r="G894" s="8" t="s">
        <v>3903</v>
      </c>
      <c r="H894" s="8" t="n">
        <v>28</v>
      </c>
      <c r="I894" s="34" t="n">
        <v>47.6</v>
      </c>
      <c r="J894" s="34" t="n">
        <v>48</v>
      </c>
      <c r="K894" s="34" t="n">
        <f aca="false">MAX(ROUNDUP(I894,0),H894)</f>
        <v>48</v>
      </c>
      <c r="L894" s="34" t="n">
        <f aca="false">IF(J894="","",J894-K894)</f>
        <v>0</v>
      </c>
      <c r="M894" s="35" t="n">
        <v>10.4</v>
      </c>
      <c r="N894" s="35" t="n">
        <f aca="false">IF(C894="covered",10.4,7.55)</f>
        <v>10.4</v>
      </c>
      <c r="O894" s="35" t="n">
        <f aca="false">IF(M894="","",M894-N894)</f>
        <v>0</v>
      </c>
      <c r="P894" s="8" t="n">
        <v>1</v>
      </c>
      <c r="Q894" s="36" t="n">
        <v>499.2</v>
      </c>
      <c r="R894" s="36" t="n">
        <f aca="false">IF(OR(J894="",P894=""),"",K894*N894*P894)</f>
        <v>499.2</v>
      </c>
      <c r="S894" s="36" t="n">
        <f aca="false">IF(Q894="","",Q894-R894)</f>
        <v>0</v>
      </c>
      <c r="T894" s="36" t="n">
        <f aca="false">IF(S894="","",MAX(0,-S894))</f>
        <v>-0</v>
      </c>
      <c r="U894" s="36" t="n">
        <f aca="false">IF(S894="","",MAX(0,S894))</f>
        <v>0</v>
      </c>
      <c r="V894" s="8" t="str">
        <f aca="false">IF(J894="","NOT SCORED - NO JULY MONTHLY ROW",IF(OR(ABS(L894)&gt;0.005,ABS(O894)&gt;0.005,ABS(S894)&gt;0.005),"EXCEPTION","OK"))</f>
        <v>OK</v>
      </c>
      <c r="W894" s="8" t="s">
        <v>6295</v>
      </c>
      <c r="X894" s="8" t="s">
        <v>4099</v>
      </c>
      <c r="Y894" s="36" t="n">
        <f aca="false">K894*N894</f>
        <v>499.2</v>
      </c>
    </row>
    <row r="895" customFormat="false" ht="15" hidden="false" customHeight="false" outlineLevel="0" collapsed="false">
      <c r="A895" s="11" t="s">
        <v>6296</v>
      </c>
      <c r="B895" s="11" t="s">
        <v>200</v>
      </c>
      <c r="C895" s="11" t="s">
        <v>5306</v>
      </c>
      <c r="D895" s="11" t="s">
        <v>3469</v>
      </c>
      <c r="E895" s="11" t="s">
        <v>6297</v>
      </c>
      <c r="F895" s="11" t="s">
        <v>6298</v>
      </c>
      <c r="G895" s="11" t="s">
        <v>6299</v>
      </c>
      <c r="H895" s="11" t="n">
        <v>32</v>
      </c>
      <c r="I895" s="31" t="n">
        <v>56.3</v>
      </c>
      <c r="J895" s="31" t="n">
        <v>57</v>
      </c>
      <c r="K895" s="31" t="n">
        <f aca="false">MAX(ROUNDUP(I895,0),H895)</f>
        <v>57</v>
      </c>
      <c r="L895" s="31" t="n">
        <f aca="false">IF(J895="","",J895-K895)</f>
        <v>0</v>
      </c>
      <c r="M895" s="32" t="n">
        <v>10.4</v>
      </c>
      <c r="N895" s="32" t="n">
        <f aca="false">IF(C895="covered",10.4,7.55)</f>
        <v>10.4</v>
      </c>
      <c r="O895" s="32" t="n">
        <f aca="false">IF(M895="","",M895-N895)</f>
        <v>0</v>
      </c>
      <c r="P895" s="11" t="n">
        <v>1</v>
      </c>
      <c r="Q895" s="33" t="n">
        <v>592.8</v>
      </c>
      <c r="R895" s="33" t="n">
        <f aca="false">IF(OR(J895="",P895=""),"",K895*N895*P895)</f>
        <v>592.8</v>
      </c>
      <c r="S895" s="33" t="n">
        <f aca="false">IF(Q895="","",Q895-R895)</f>
        <v>0</v>
      </c>
      <c r="T895" s="33" t="n">
        <f aca="false">IF(S895="","",MAX(0,-S895))</f>
        <v>-0</v>
      </c>
      <c r="U895" s="33" t="n">
        <f aca="false">IF(S895="","",MAX(0,S895))</f>
        <v>0</v>
      </c>
      <c r="V895" s="11" t="str">
        <f aca="false">IF(J895="","NOT SCORED - NO JULY MONTHLY ROW",IF(OR(ABS(L895)&gt;0.005,ABS(O895)&gt;0.005,ABS(S895)&gt;0.005),"EXCEPTION","OK"))</f>
        <v>OK</v>
      </c>
      <c r="W895" s="11" t="s">
        <v>6300</v>
      </c>
      <c r="X895" s="11" t="s">
        <v>4099</v>
      </c>
      <c r="Y895" s="33" t="n">
        <f aca="false">K895*N895</f>
        <v>592.8</v>
      </c>
    </row>
    <row r="896" customFormat="false" ht="15" hidden="false" customHeight="false" outlineLevel="0" collapsed="false">
      <c r="A896" s="8" t="s">
        <v>6301</v>
      </c>
      <c r="B896" s="8" t="s">
        <v>200</v>
      </c>
      <c r="C896" s="8" t="s">
        <v>5306</v>
      </c>
      <c r="D896" s="8" t="s">
        <v>3474</v>
      </c>
      <c r="E896" s="8" t="s">
        <v>6302</v>
      </c>
      <c r="F896" s="8" t="s">
        <v>6303</v>
      </c>
      <c r="G896" s="8" t="s">
        <v>6304</v>
      </c>
      <c r="H896" s="8" t="n">
        <v>40</v>
      </c>
      <c r="I896" s="34" t="n">
        <v>31.4</v>
      </c>
      <c r="J896" s="34" t="n">
        <v>40</v>
      </c>
      <c r="K896" s="34" t="n">
        <f aca="false">MAX(ROUNDUP(I896,0),H896)</f>
        <v>40</v>
      </c>
      <c r="L896" s="34" t="n">
        <f aca="false">IF(J896="","",J896-K896)</f>
        <v>0</v>
      </c>
      <c r="M896" s="35" t="n">
        <v>10.4</v>
      </c>
      <c r="N896" s="35" t="n">
        <f aca="false">IF(C896="covered",10.4,7.55)</f>
        <v>10.4</v>
      </c>
      <c r="O896" s="35" t="n">
        <f aca="false">IF(M896="","",M896-N896)</f>
        <v>0</v>
      </c>
      <c r="P896" s="8" t="n">
        <v>1</v>
      </c>
      <c r="Q896" s="36" t="n">
        <v>416</v>
      </c>
      <c r="R896" s="36" t="n">
        <f aca="false">IF(OR(J896="",P896=""),"",K896*N896*P896)</f>
        <v>416</v>
      </c>
      <c r="S896" s="36" t="n">
        <f aca="false">IF(Q896="","",Q896-R896)</f>
        <v>0</v>
      </c>
      <c r="T896" s="36" t="n">
        <f aca="false">IF(S896="","",MAX(0,-S896))</f>
        <v>-0</v>
      </c>
      <c r="U896" s="36" t="n">
        <f aca="false">IF(S896="","",MAX(0,S896))</f>
        <v>0</v>
      </c>
      <c r="V896" s="8" t="str">
        <f aca="false">IF(J896="","NOT SCORED - NO JULY MONTHLY ROW",IF(OR(ABS(L896)&gt;0.005,ABS(O896)&gt;0.005,ABS(S896)&gt;0.005),"EXCEPTION","OK"))</f>
        <v>OK</v>
      </c>
      <c r="W896" s="8" t="s">
        <v>6305</v>
      </c>
      <c r="X896" s="8" t="s">
        <v>4099</v>
      </c>
      <c r="Y896" s="36" t="n">
        <f aca="false">K896*N896</f>
        <v>416</v>
      </c>
    </row>
    <row r="897" customFormat="false" ht="15" hidden="false" customHeight="false" outlineLevel="0" collapsed="false">
      <c r="A897" s="11" t="s">
        <v>1658</v>
      </c>
      <c r="B897" s="11" t="s">
        <v>200</v>
      </c>
      <c r="C897" s="11" t="s">
        <v>5306</v>
      </c>
      <c r="D897" s="11" t="s">
        <v>4172</v>
      </c>
      <c r="E897" s="11" t="s">
        <v>6306</v>
      </c>
      <c r="F897" s="11" t="s">
        <v>6307</v>
      </c>
      <c r="G897" s="11" t="s">
        <v>3700</v>
      </c>
      <c r="H897" s="11" t="n">
        <v>36</v>
      </c>
      <c r="I897" s="31" t="n">
        <v>58.8</v>
      </c>
      <c r="J897" s="31" t="n">
        <v>59</v>
      </c>
      <c r="K897" s="31" t="n">
        <f aca="false">MAX(ROUNDUP(I897,0),H897)</f>
        <v>59</v>
      </c>
      <c r="L897" s="31" t="n">
        <f aca="false">IF(J897="","",J897-K897)</f>
        <v>0</v>
      </c>
      <c r="M897" s="32" t="n">
        <v>10.4</v>
      </c>
      <c r="N897" s="32" t="n">
        <f aca="false">IF(C897="covered",10.4,7.55)</f>
        <v>10.4</v>
      </c>
      <c r="O897" s="32" t="n">
        <f aca="false">IF(M897="","",M897-N897)</f>
        <v>0</v>
      </c>
      <c r="P897" s="11" t="n">
        <v>1</v>
      </c>
      <c r="Q897" s="33" t="n">
        <v>613.6</v>
      </c>
      <c r="R897" s="33" t="n">
        <f aca="false">IF(OR(J897="",P897=""),"",K897*N897*P897)</f>
        <v>613.6</v>
      </c>
      <c r="S897" s="33" t="n">
        <f aca="false">IF(Q897="","",Q897-R897)</f>
        <v>0</v>
      </c>
      <c r="T897" s="33" t="n">
        <f aca="false">IF(S897="","",MAX(0,-S897))</f>
        <v>-0</v>
      </c>
      <c r="U897" s="33" t="n">
        <f aca="false">IF(S897="","",MAX(0,S897))</f>
        <v>0</v>
      </c>
      <c r="V897" s="11" t="str">
        <f aca="false">IF(J897="","NOT SCORED - NO JULY MONTHLY ROW",IF(OR(ABS(L897)&gt;0.005,ABS(O897)&gt;0.005,ABS(S897)&gt;0.005),"EXCEPTION","OK"))</f>
        <v>OK</v>
      </c>
      <c r="W897" s="11" t="s">
        <v>6308</v>
      </c>
      <c r="X897" s="11" t="s">
        <v>4099</v>
      </c>
      <c r="Y897" s="33" t="n">
        <f aca="false">K897*N897</f>
        <v>613.6</v>
      </c>
    </row>
    <row r="898" customFormat="false" ht="15" hidden="false" customHeight="false" outlineLevel="0" collapsed="false">
      <c r="A898" s="8" t="s">
        <v>6309</v>
      </c>
      <c r="B898" s="8" t="s">
        <v>200</v>
      </c>
      <c r="C898" s="8" t="s">
        <v>5306</v>
      </c>
      <c r="D898" s="8" t="s">
        <v>4176</v>
      </c>
      <c r="E898" s="8" t="s">
        <v>6310</v>
      </c>
      <c r="F898" s="8" t="s">
        <v>6311</v>
      </c>
      <c r="G898" s="8" t="s">
        <v>6312</v>
      </c>
      <c r="H898" s="8" t="n">
        <v>32</v>
      </c>
      <c r="I898" s="34" t="n">
        <v>46.9</v>
      </c>
      <c r="J898" s="34" t="n">
        <v>47</v>
      </c>
      <c r="K898" s="34" t="n">
        <f aca="false">MAX(ROUNDUP(I898,0),H898)</f>
        <v>47</v>
      </c>
      <c r="L898" s="34" t="n">
        <f aca="false">IF(J898="","",J898-K898)</f>
        <v>0</v>
      </c>
      <c r="M898" s="35" t="n">
        <v>10.4</v>
      </c>
      <c r="N898" s="35" t="n">
        <f aca="false">IF(C898="covered",10.4,7.55)</f>
        <v>10.4</v>
      </c>
      <c r="O898" s="35" t="n">
        <f aca="false">IF(M898="","",M898-N898)</f>
        <v>0</v>
      </c>
      <c r="P898" s="8" t="n">
        <v>1</v>
      </c>
      <c r="Q898" s="36" t="n">
        <v>488.8</v>
      </c>
      <c r="R898" s="36" t="n">
        <f aca="false">IF(OR(J898="",P898=""),"",K898*N898*P898)</f>
        <v>488.8</v>
      </c>
      <c r="S898" s="36" t="n">
        <f aca="false">IF(Q898="","",Q898-R898)</f>
        <v>0</v>
      </c>
      <c r="T898" s="36" t="n">
        <f aca="false">IF(S898="","",MAX(0,-S898))</f>
        <v>-0</v>
      </c>
      <c r="U898" s="36" t="n">
        <f aca="false">IF(S898="","",MAX(0,S898))</f>
        <v>0</v>
      </c>
      <c r="V898" s="8" t="str">
        <f aca="false">IF(J898="","NOT SCORED - NO JULY MONTHLY ROW",IF(OR(ABS(L898)&gt;0.005,ABS(O898)&gt;0.005,ABS(S898)&gt;0.005),"EXCEPTION","OK"))</f>
        <v>OK</v>
      </c>
      <c r="W898" s="8" t="s">
        <v>6313</v>
      </c>
      <c r="X898" s="8" t="s">
        <v>4099</v>
      </c>
      <c r="Y898" s="36" t="n">
        <f aca="false">K898*N898</f>
        <v>488.8</v>
      </c>
    </row>
    <row r="899" customFormat="false" ht="15" hidden="false" customHeight="false" outlineLevel="0" collapsed="false">
      <c r="A899" s="11" t="s">
        <v>1730</v>
      </c>
      <c r="B899" s="11" t="s">
        <v>200</v>
      </c>
      <c r="C899" s="11" t="s">
        <v>5306</v>
      </c>
      <c r="D899" s="11" t="s">
        <v>3478</v>
      </c>
      <c r="E899" s="11" t="s">
        <v>6314</v>
      </c>
      <c r="F899" s="11" t="s">
        <v>6315</v>
      </c>
      <c r="G899" s="11" t="s">
        <v>3865</v>
      </c>
      <c r="H899" s="11" t="n">
        <v>32</v>
      </c>
      <c r="I899" s="31" t="n">
        <v>42.3</v>
      </c>
      <c r="J899" s="31" t="n">
        <v>43</v>
      </c>
      <c r="K899" s="31" t="n">
        <f aca="false">MAX(ROUNDUP(I899,0),H899)</f>
        <v>43</v>
      </c>
      <c r="L899" s="31" t="n">
        <f aca="false">IF(J899="","",J899-K899)</f>
        <v>0</v>
      </c>
      <c r="M899" s="32" t="n">
        <v>10.4</v>
      </c>
      <c r="N899" s="32" t="n">
        <f aca="false">IF(C899="covered",10.4,7.55)</f>
        <v>10.4</v>
      </c>
      <c r="O899" s="32" t="n">
        <f aca="false">IF(M899="","",M899-N899)</f>
        <v>0</v>
      </c>
      <c r="P899" s="11" t="n">
        <v>1</v>
      </c>
      <c r="Q899" s="33" t="n">
        <v>447.2</v>
      </c>
      <c r="R899" s="33" t="n">
        <f aca="false">IF(OR(J899="",P899=""),"",K899*N899*P899)</f>
        <v>447.2</v>
      </c>
      <c r="S899" s="33" t="n">
        <f aca="false">IF(Q899="","",Q899-R899)</f>
        <v>0</v>
      </c>
      <c r="T899" s="33" t="n">
        <f aca="false">IF(S899="","",MAX(0,-S899))</f>
        <v>-0</v>
      </c>
      <c r="U899" s="33" t="n">
        <f aca="false">IF(S899="","",MAX(0,S899))</f>
        <v>0</v>
      </c>
      <c r="V899" s="11" t="str">
        <f aca="false">IF(J899="","NOT SCORED - NO JULY MONTHLY ROW",IF(OR(ABS(L899)&gt;0.005,ABS(O899)&gt;0.005,ABS(S899)&gt;0.005),"EXCEPTION","OK"))</f>
        <v>OK</v>
      </c>
      <c r="W899" s="11" t="s">
        <v>6316</v>
      </c>
      <c r="X899" s="11" t="s">
        <v>4099</v>
      </c>
      <c r="Y899" s="33" t="n">
        <f aca="false">K899*N899</f>
        <v>447.2</v>
      </c>
    </row>
    <row r="900" customFormat="false" ht="15" hidden="false" customHeight="false" outlineLevel="0" collapsed="false">
      <c r="A900" s="8" t="s">
        <v>6317</v>
      </c>
      <c r="B900" s="8" t="s">
        <v>200</v>
      </c>
      <c r="C900" s="8" t="s">
        <v>5306</v>
      </c>
      <c r="D900" s="8" t="s">
        <v>3482</v>
      </c>
      <c r="E900" s="8" t="s">
        <v>6318</v>
      </c>
      <c r="F900" s="8" t="s">
        <v>6319</v>
      </c>
      <c r="G900" s="8" t="s">
        <v>3883</v>
      </c>
      <c r="H900" s="8" t="n">
        <v>40</v>
      </c>
      <c r="I900" s="34" t="n">
        <v>27.2</v>
      </c>
      <c r="J900" s="34" t="n">
        <v>40</v>
      </c>
      <c r="K900" s="34" t="n">
        <f aca="false">MAX(ROUNDUP(I900,0),H900)</f>
        <v>40</v>
      </c>
      <c r="L900" s="34" t="n">
        <f aca="false">IF(J900="","",J900-K900)</f>
        <v>0</v>
      </c>
      <c r="M900" s="35" t="n">
        <v>10.4</v>
      </c>
      <c r="N900" s="35" t="n">
        <f aca="false">IF(C900="covered",10.4,7.55)</f>
        <v>10.4</v>
      </c>
      <c r="O900" s="35" t="n">
        <f aca="false">IF(M900="","",M900-N900)</f>
        <v>0</v>
      </c>
      <c r="P900" s="8" t="n">
        <v>1</v>
      </c>
      <c r="Q900" s="36" t="n">
        <v>416</v>
      </c>
      <c r="R900" s="36" t="n">
        <f aca="false">IF(OR(J900="",P900=""),"",K900*N900*P900)</f>
        <v>416</v>
      </c>
      <c r="S900" s="36" t="n">
        <f aca="false">IF(Q900="","",Q900-R900)</f>
        <v>0</v>
      </c>
      <c r="T900" s="36" t="n">
        <f aca="false">IF(S900="","",MAX(0,-S900))</f>
        <v>-0</v>
      </c>
      <c r="U900" s="36" t="n">
        <f aca="false">IF(S900="","",MAX(0,S900))</f>
        <v>0</v>
      </c>
      <c r="V900" s="8" t="str">
        <f aca="false">IF(J900="","NOT SCORED - NO JULY MONTHLY ROW",IF(OR(ABS(L900)&gt;0.005,ABS(O900)&gt;0.005,ABS(S900)&gt;0.005),"EXCEPTION","OK"))</f>
        <v>OK</v>
      </c>
      <c r="W900" s="8" t="s">
        <v>6320</v>
      </c>
      <c r="X900" s="8" t="s">
        <v>4099</v>
      </c>
      <c r="Y900" s="36" t="n">
        <f aca="false">K900*N900</f>
        <v>416</v>
      </c>
    </row>
    <row r="901" customFormat="false" ht="15" hidden="false" customHeight="false" outlineLevel="0" collapsed="false">
      <c r="A901" s="11" t="s">
        <v>6321</v>
      </c>
      <c r="B901" s="11" t="s">
        <v>200</v>
      </c>
      <c r="C901" s="11" t="s">
        <v>5306</v>
      </c>
      <c r="D901" s="11" t="s">
        <v>4191</v>
      </c>
      <c r="E901" s="11" t="s">
        <v>6322</v>
      </c>
      <c r="F901" s="11" t="s">
        <v>6323</v>
      </c>
      <c r="G901" s="11" t="s">
        <v>3500</v>
      </c>
      <c r="H901" s="11" t="n">
        <v>32</v>
      </c>
      <c r="I901" s="31" t="n">
        <v>36</v>
      </c>
      <c r="J901" s="31" t="n">
        <v>36</v>
      </c>
      <c r="K901" s="31" t="n">
        <f aca="false">MAX(ROUNDUP(I901,0),H901)</f>
        <v>36</v>
      </c>
      <c r="L901" s="31" t="n">
        <f aca="false">IF(J901="","",J901-K901)</f>
        <v>0</v>
      </c>
      <c r="M901" s="32" t="n">
        <v>10.4</v>
      </c>
      <c r="N901" s="32" t="n">
        <f aca="false">IF(C901="covered",10.4,7.55)</f>
        <v>10.4</v>
      </c>
      <c r="O901" s="32" t="n">
        <f aca="false">IF(M901="","",M901-N901)</f>
        <v>0</v>
      </c>
      <c r="P901" s="11" t="n">
        <v>1</v>
      </c>
      <c r="Q901" s="33" t="n">
        <v>374.4</v>
      </c>
      <c r="R901" s="33" t="n">
        <f aca="false">IF(OR(J901="",P901=""),"",K901*N901*P901)</f>
        <v>374.4</v>
      </c>
      <c r="S901" s="33" t="n">
        <f aca="false">IF(Q901="","",Q901-R901)</f>
        <v>0</v>
      </c>
      <c r="T901" s="33" t="n">
        <f aca="false">IF(S901="","",MAX(0,-S901))</f>
        <v>-0</v>
      </c>
      <c r="U901" s="33" t="n">
        <f aca="false">IF(S901="","",MAX(0,S901))</f>
        <v>0</v>
      </c>
      <c r="V901" s="11" t="str">
        <f aca="false">IF(J901="","NOT SCORED - NO JULY MONTHLY ROW",IF(OR(ABS(L901)&gt;0.005,ABS(O901)&gt;0.005,ABS(S901)&gt;0.005),"EXCEPTION","OK"))</f>
        <v>OK</v>
      </c>
      <c r="W901" s="11" t="s">
        <v>6324</v>
      </c>
      <c r="X901" s="11" t="s">
        <v>4099</v>
      </c>
      <c r="Y901" s="33" t="n">
        <f aca="false">K901*N901</f>
        <v>374.4</v>
      </c>
    </row>
    <row r="902" customFormat="false" ht="15" hidden="false" customHeight="false" outlineLevel="0" collapsed="false">
      <c r="A902" s="8" t="s">
        <v>6325</v>
      </c>
      <c r="B902" s="8" t="s">
        <v>200</v>
      </c>
      <c r="C902" s="8" t="s">
        <v>5306</v>
      </c>
      <c r="D902" s="8" t="s">
        <v>3487</v>
      </c>
      <c r="E902" s="8" t="s">
        <v>6326</v>
      </c>
      <c r="F902" s="8" t="s">
        <v>6327</v>
      </c>
      <c r="G902" s="8" t="s">
        <v>5230</v>
      </c>
      <c r="H902" s="8" t="n">
        <v>40</v>
      </c>
      <c r="I902" s="34" t="n">
        <v>41.7</v>
      </c>
      <c r="J902" s="34" t="n">
        <v>42</v>
      </c>
      <c r="K902" s="34" t="n">
        <f aca="false">MAX(ROUNDUP(I902,0),H902)</f>
        <v>42</v>
      </c>
      <c r="L902" s="34" t="n">
        <f aca="false">IF(J902="","",J902-K902)</f>
        <v>0</v>
      </c>
      <c r="M902" s="35" t="n">
        <v>10.4</v>
      </c>
      <c r="N902" s="35" t="n">
        <f aca="false">IF(C902="covered",10.4,7.55)</f>
        <v>10.4</v>
      </c>
      <c r="O902" s="35" t="n">
        <f aca="false">IF(M902="","",M902-N902)</f>
        <v>0</v>
      </c>
      <c r="P902" s="8" t="n">
        <v>1</v>
      </c>
      <c r="Q902" s="36" t="n">
        <v>436.8</v>
      </c>
      <c r="R902" s="36" t="n">
        <f aca="false">IF(OR(J902="",P902=""),"",K902*N902*P902)</f>
        <v>436.8</v>
      </c>
      <c r="S902" s="36" t="n">
        <f aca="false">IF(Q902="","",Q902-R902)</f>
        <v>0</v>
      </c>
      <c r="T902" s="36" t="n">
        <f aca="false">IF(S902="","",MAX(0,-S902))</f>
        <v>-0</v>
      </c>
      <c r="U902" s="36" t="n">
        <f aca="false">IF(S902="","",MAX(0,S902))</f>
        <v>0</v>
      </c>
      <c r="V902" s="8" t="str">
        <f aca="false">IF(J902="","NOT SCORED - NO JULY MONTHLY ROW",IF(OR(ABS(L902)&gt;0.005,ABS(O902)&gt;0.005,ABS(S902)&gt;0.005),"EXCEPTION","OK"))</f>
        <v>OK</v>
      </c>
      <c r="W902" s="8" t="s">
        <v>6328</v>
      </c>
      <c r="X902" s="8" t="s">
        <v>4099</v>
      </c>
      <c r="Y902" s="36" t="n">
        <f aca="false">K902*N902</f>
        <v>436.8</v>
      </c>
    </row>
    <row r="903" customFormat="false" ht="15" hidden="false" customHeight="false" outlineLevel="0" collapsed="false">
      <c r="A903" s="11" t="s">
        <v>505</v>
      </c>
      <c r="B903" s="11" t="s">
        <v>200</v>
      </c>
      <c r="C903" s="11" t="s">
        <v>5306</v>
      </c>
      <c r="D903" s="11" t="s">
        <v>3489</v>
      </c>
      <c r="E903" s="11" t="s">
        <v>6329</v>
      </c>
      <c r="F903" s="11" t="s">
        <v>6330</v>
      </c>
      <c r="G903" s="11" t="s">
        <v>3604</v>
      </c>
      <c r="H903" s="11" t="n">
        <v>28</v>
      </c>
      <c r="I903" s="31" t="n">
        <v>34.3</v>
      </c>
      <c r="J903" s="31" t="n">
        <v>35</v>
      </c>
      <c r="K903" s="31" t="n">
        <f aca="false">MAX(ROUNDUP(I903,0),H903)</f>
        <v>35</v>
      </c>
      <c r="L903" s="31" t="n">
        <f aca="false">IF(J903="","",J903-K903)</f>
        <v>0</v>
      </c>
      <c r="M903" s="32" t="n">
        <v>10.4</v>
      </c>
      <c r="N903" s="32" t="n">
        <f aca="false">IF(C903="covered",10.4,7.55)</f>
        <v>10.4</v>
      </c>
      <c r="O903" s="32" t="n">
        <f aca="false">IF(M903="","",M903-N903)</f>
        <v>0</v>
      </c>
      <c r="P903" s="11" t="n">
        <v>1</v>
      </c>
      <c r="Q903" s="33" t="n">
        <v>364</v>
      </c>
      <c r="R903" s="33" t="n">
        <f aca="false">IF(OR(J903="",P903=""),"",K903*N903*P903)</f>
        <v>364</v>
      </c>
      <c r="S903" s="33" t="n">
        <f aca="false">IF(Q903="","",Q903-R903)</f>
        <v>0</v>
      </c>
      <c r="T903" s="33" t="n">
        <f aca="false">IF(S903="","",MAX(0,-S903))</f>
        <v>-0</v>
      </c>
      <c r="U903" s="33" t="n">
        <f aca="false">IF(S903="","",MAX(0,S903))</f>
        <v>0</v>
      </c>
      <c r="V903" s="11" t="str">
        <f aca="false">IF(J903="","NOT SCORED - NO JULY MONTHLY ROW",IF(OR(ABS(L903)&gt;0.005,ABS(O903)&gt;0.005,ABS(S903)&gt;0.005),"EXCEPTION","OK"))</f>
        <v>OK</v>
      </c>
      <c r="W903" s="11" t="s">
        <v>6331</v>
      </c>
      <c r="X903" s="11" t="s">
        <v>4099</v>
      </c>
      <c r="Y903" s="33" t="n">
        <f aca="false">K903*N903</f>
        <v>364</v>
      </c>
    </row>
    <row r="904" customFormat="false" ht="15" hidden="false" customHeight="false" outlineLevel="0" collapsed="false">
      <c r="A904" s="8" t="s">
        <v>6332</v>
      </c>
      <c r="B904" s="8" t="s">
        <v>200</v>
      </c>
      <c r="C904" s="8" t="s">
        <v>5306</v>
      </c>
      <c r="D904" s="8" t="s">
        <v>3494</v>
      </c>
      <c r="E904" s="8" t="s">
        <v>6333</v>
      </c>
      <c r="F904" s="8" t="s">
        <v>6334</v>
      </c>
      <c r="G904" s="8" t="s">
        <v>4027</v>
      </c>
      <c r="H904" s="8" t="n">
        <v>28</v>
      </c>
      <c r="I904" s="34" t="n">
        <v>22.5</v>
      </c>
      <c r="J904" s="34" t="n">
        <v>28</v>
      </c>
      <c r="K904" s="34" t="n">
        <f aca="false">MAX(ROUNDUP(I904,0),H904)</f>
        <v>28</v>
      </c>
      <c r="L904" s="34" t="n">
        <f aca="false">IF(J904="","",J904-K904)</f>
        <v>0</v>
      </c>
      <c r="M904" s="35" t="n">
        <v>10.4</v>
      </c>
      <c r="N904" s="35" t="n">
        <f aca="false">IF(C904="covered",10.4,7.55)</f>
        <v>10.4</v>
      </c>
      <c r="O904" s="35" t="n">
        <f aca="false">IF(M904="","",M904-N904)</f>
        <v>0</v>
      </c>
      <c r="P904" s="8" t="n">
        <v>1</v>
      </c>
      <c r="Q904" s="36" t="n">
        <v>291.2</v>
      </c>
      <c r="R904" s="36" t="n">
        <f aca="false">IF(OR(J904="",P904=""),"",K904*N904*P904)</f>
        <v>291.2</v>
      </c>
      <c r="S904" s="36" t="n">
        <f aca="false">IF(Q904="","",Q904-R904)</f>
        <v>0</v>
      </c>
      <c r="T904" s="36" t="n">
        <f aca="false">IF(S904="","",MAX(0,-S904))</f>
        <v>-0</v>
      </c>
      <c r="U904" s="36" t="n">
        <f aca="false">IF(S904="","",MAX(0,S904))</f>
        <v>0</v>
      </c>
      <c r="V904" s="8" t="str">
        <f aca="false">IF(J904="","NOT SCORED - NO JULY MONTHLY ROW",IF(OR(ABS(L904)&gt;0.005,ABS(O904)&gt;0.005,ABS(S904)&gt;0.005),"EXCEPTION","OK"))</f>
        <v>OK</v>
      </c>
      <c r="W904" s="8" t="s">
        <v>6335</v>
      </c>
      <c r="X904" s="8" t="s">
        <v>4099</v>
      </c>
      <c r="Y904" s="36" t="n">
        <f aca="false">K904*N904</f>
        <v>291.2</v>
      </c>
    </row>
    <row r="905" customFormat="false" ht="15" hidden="false" customHeight="false" outlineLevel="0" collapsed="false">
      <c r="A905" s="11" t="s">
        <v>6336</v>
      </c>
      <c r="B905" s="11" t="s">
        <v>200</v>
      </c>
      <c r="C905" s="11" t="s">
        <v>5306</v>
      </c>
      <c r="D905" s="11" t="s">
        <v>3499</v>
      </c>
      <c r="E905" s="11" t="s">
        <v>6337</v>
      </c>
      <c r="F905" s="11" t="s">
        <v>6338</v>
      </c>
      <c r="G905" s="11" t="s">
        <v>5881</v>
      </c>
      <c r="H905" s="11" t="n">
        <v>24</v>
      </c>
      <c r="I905" s="31" t="n">
        <v>49.1</v>
      </c>
      <c r="J905" s="31" t="n">
        <v>50</v>
      </c>
      <c r="K905" s="31" t="n">
        <f aca="false">MAX(ROUNDUP(I905,0),H905)</f>
        <v>50</v>
      </c>
      <c r="L905" s="31" t="n">
        <f aca="false">IF(J905="","",J905-K905)</f>
        <v>0</v>
      </c>
      <c r="M905" s="32" t="n">
        <v>10.4</v>
      </c>
      <c r="N905" s="32" t="n">
        <f aca="false">IF(C905="covered",10.4,7.55)</f>
        <v>10.4</v>
      </c>
      <c r="O905" s="32" t="n">
        <f aca="false">IF(M905="","",M905-N905)</f>
        <v>0</v>
      </c>
      <c r="P905" s="11" t="n">
        <v>1</v>
      </c>
      <c r="Q905" s="33" t="n">
        <v>520</v>
      </c>
      <c r="R905" s="33" t="n">
        <f aca="false">IF(OR(J905="",P905=""),"",K905*N905*P905)</f>
        <v>520</v>
      </c>
      <c r="S905" s="33" t="n">
        <f aca="false">IF(Q905="","",Q905-R905)</f>
        <v>0</v>
      </c>
      <c r="T905" s="33" t="n">
        <f aca="false">IF(S905="","",MAX(0,-S905))</f>
        <v>-0</v>
      </c>
      <c r="U905" s="33" t="n">
        <f aca="false">IF(S905="","",MAX(0,S905))</f>
        <v>0</v>
      </c>
      <c r="V905" s="11" t="str">
        <f aca="false">IF(J905="","NOT SCORED - NO JULY MONTHLY ROW",IF(OR(ABS(L905)&gt;0.005,ABS(O905)&gt;0.005,ABS(S905)&gt;0.005),"EXCEPTION","OK"))</f>
        <v>OK</v>
      </c>
      <c r="W905" s="11" t="s">
        <v>6339</v>
      </c>
      <c r="X905" s="11" t="s">
        <v>4099</v>
      </c>
      <c r="Y905" s="33" t="n">
        <f aca="false">K905*N905</f>
        <v>520</v>
      </c>
    </row>
    <row r="906" customFormat="false" ht="15" hidden="false" customHeight="false" outlineLevel="0" collapsed="false">
      <c r="A906" s="8" t="s">
        <v>6340</v>
      </c>
      <c r="B906" s="8" t="s">
        <v>200</v>
      </c>
      <c r="C906" s="8" t="s">
        <v>5306</v>
      </c>
      <c r="D906" s="8" t="s">
        <v>3502</v>
      </c>
      <c r="E906" s="8" t="s">
        <v>6341</v>
      </c>
      <c r="F906" s="8" t="s">
        <v>6342</v>
      </c>
      <c r="G906" s="8" t="s">
        <v>3117</v>
      </c>
      <c r="H906" s="8" t="n">
        <v>40</v>
      </c>
      <c r="I906" s="34" t="n">
        <v>21.8</v>
      </c>
      <c r="J906" s="34" t="n">
        <v>40</v>
      </c>
      <c r="K906" s="34" t="n">
        <f aca="false">MAX(ROUNDUP(I906,0),H906)</f>
        <v>40</v>
      </c>
      <c r="L906" s="34" t="n">
        <f aca="false">IF(J906="","",J906-K906)</f>
        <v>0</v>
      </c>
      <c r="M906" s="35" t="n">
        <v>10.4</v>
      </c>
      <c r="N906" s="35" t="n">
        <f aca="false">IF(C906="covered",10.4,7.55)</f>
        <v>10.4</v>
      </c>
      <c r="O906" s="35" t="n">
        <f aca="false">IF(M906="","",M906-N906)</f>
        <v>0</v>
      </c>
      <c r="P906" s="8" t="n">
        <v>1</v>
      </c>
      <c r="Q906" s="36" t="n">
        <v>416</v>
      </c>
      <c r="R906" s="36" t="n">
        <f aca="false">IF(OR(J906="",P906=""),"",K906*N906*P906)</f>
        <v>416</v>
      </c>
      <c r="S906" s="36" t="n">
        <f aca="false">IF(Q906="","",Q906-R906)</f>
        <v>0</v>
      </c>
      <c r="T906" s="36" t="n">
        <f aca="false">IF(S906="","",MAX(0,-S906))</f>
        <v>-0</v>
      </c>
      <c r="U906" s="36" t="n">
        <f aca="false">IF(S906="","",MAX(0,S906))</f>
        <v>0</v>
      </c>
      <c r="V906" s="8" t="str">
        <f aca="false">IF(J906="","NOT SCORED - NO JULY MONTHLY ROW",IF(OR(ABS(L906)&gt;0.005,ABS(O906)&gt;0.005,ABS(S906)&gt;0.005),"EXCEPTION","OK"))</f>
        <v>OK</v>
      </c>
      <c r="W906" s="8" t="s">
        <v>6343</v>
      </c>
      <c r="X906" s="8" t="s">
        <v>4099</v>
      </c>
      <c r="Y906" s="36" t="n">
        <f aca="false">K906*N906</f>
        <v>416</v>
      </c>
    </row>
    <row r="907" customFormat="false" ht="15" hidden="false" customHeight="false" outlineLevel="0" collapsed="false">
      <c r="A907" s="11" t="s">
        <v>1498</v>
      </c>
      <c r="B907" s="11" t="s">
        <v>200</v>
      </c>
      <c r="C907" s="11" t="s">
        <v>5306</v>
      </c>
      <c r="D907" s="11" t="s">
        <v>3505</v>
      </c>
      <c r="E907" s="11" t="s">
        <v>6344</v>
      </c>
      <c r="F907" s="11" t="s">
        <v>6345</v>
      </c>
      <c r="G907" s="11" t="s">
        <v>6346</v>
      </c>
      <c r="H907" s="11" t="n">
        <v>32</v>
      </c>
      <c r="I907" s="31" t="n">
        <v>38.1</v>
      </c>
      <c r="J907" s="31" t="n">
        <v>39</v>
      </c>
      <c r="K907" s="31" t="n">
        <f aca="false">MAX(ROUNDUP(I907,0),H907)</f>
        <v>39</v>
      </c>
      <c r="L907" s="31" t="n">
        <f aca="false">IF(J907="","",J907-K907)</f>
        <v>0</v>
      </c>
      <c r="M907" s="32" t="n">
        <v>10.4</v>
      </c>
      <c r="N907" s="32" t="n">
        <f aca="false">IF(C907="covered",10.4,7.55)</f>
        <v>10.4</v>
      </c>
      <c r="O907" s="32" t="n">
        <f aca="false">IF(M907="","",M907-N907)</f>
        <v>0</v>
      </c>
      <c r="P907" s="11" t="n">
        <v>1</v>
      </c>
      <c r="Q907" s="33" t="n">
        <v>405.6</v>
      </c>
      <c r="R907" s="33" t="n">
        <f aca="false">IF(OR(J907="",P907=""),"",K907*N907*P907)</f>
        <v>405.6</v>
      </c>
      <c r="S907" s="33" t="n">
        <f aca="false">IF(Q907="","",Q907-R907)</f>
        <v>0</v>
      </c>
      <c r="T907" s="33" t="n">
        <f aca="false">IF(S907="","",MAX(0,-S907))</f>
        <v>-0</v>
      </c>
      <c r="U907" s="33" t="n">
        <f aca="false">IF(S907="","",MAX(0,S907))</f>
        <v>0</v>
      </c>
      <c r="V907" s="11" t="str">
        <f aca="false">IF(J907="","NOT SCORED - NO JULY MONTHLY ROW",IF(OR(ABS(L907)&gt;0.005,ABS(O907)&gt;0.005,ABS(S907)&gt;0.005),"EXCEPTION","OK"))</f>
        <v>OK</v>
      </c>
      <c r="W907" s="11" t="s">
        <v>6347</v>
      </c>
      <c r="X907" s="11" t="s">
        <v>4099</v>
      </c>
      <c r="Y907" s="33" t="n">
        <f aca="false">K907*N907</f>
        <v>405.6</v>
      </c>
    </row>
    <row r="908" customFormat="false" ht="15" hidden="false" customHeight="false" outlineLevel="0" collapsed="false">
      <c r="A908" s="8" t="s">
        <v>6348</v>
      </c>
      <c r="B908" s="8" t="s">
        <v>200</v>
      </c>
      <c r="C908" s="8" t="s">
        <v>5306</v>
      </c>
      <c r="D908" s="8" t="s">
        <v>3508</v>
      </c>
      <c r="E908" s="8" t="s">
        <v>2760</v>
      </c>
      <c r="F908" s="8" t="s">
        <v>6349</v>
      </c>
      <c r="G908" s="8" t="s">
        <v>6350</v>
      </c>
      <c r="H908" s="8" t="n">
        <v>28</v>
      </c>
      <c r="I908" s="34" t="n">
        <v>20.9</v>
      </c>
      <c r="J908" s="34" t="n">
        <v>28</v>
      </c>
      <c r="K908" s="34" t="n">
        <f aca="false">MAX(ROUNDUP(I908,0),H908)</f>
        <v>28</v>
      </c>
      <c r="L908" s="34" t="n">
        <f aca="false">IF(J908="","",J908-K908)</f>
        <v>0</v>
      </c>
      <c r="M908" s="35" t="n">
        <v>10.4</v>
      </c>
      <c r="N908" s="35" t="n">
        <f aca="false">IF(C908="covered",10.4,7.55)</f>
        <v>10.4</v>
      </c>
      <c r="O908" s="35" t="n">
        <f aca="false">IF(M908="","",M908-N908)</f>
        <v>0</v>
      </c>
      <c r="P908" s="8" t="n">
        <v>1</v>
      </c>
      <c r="Q908" s="36" t="n">
        <v>291.2</v>
      </c>
      <c r="R908" s="36" t="n">
        <f aca="false">IF(OR(J908="",P908=""),"",K908*N908*P908)</f>
        <v>291.2</v>
      </c>
      <c r="S908" s="36" t="n">
        <f aca="false">IF(Q908="","",Q908-R908)</f>
        <v>0</v>
      </c>
      <c r="T908" s="36" t="n">
        <f aca="false">IF(S908="","",MAX(0,-S908))</f>
        <v>-0</v>
      </c>
      <c r="U908" s="36" t="n">
        <f aca="false">IF(S908="","",MAX(0,S908))</f>
        <v>0</v>
      </c>
      <c r="V908" s="8" t="str">
        <f aca="false">IF(J908="","NOT SCORED - NO JULY MONTHLY ROW",IF(OR(ABS(L908)&gt;0.005,ABS(O908)&gt;0.005,ABS(S908)&gt;0.005),"EXCEPTION","OK"))</f>
        <v>OK</v>
      </c>
      <c r="W908" s="8" t="s">
        <v>6351</v>
      </c>
      <c r="X908" s="8" t="s">
        <v>4099</v>
      </c>
      <c r="Y908" s="36" t="n">
        <f aca="false">K908*N908</f>
        <v>291.2</v>
      </c>
    </row>
    <row r="909" customFormat="false" ht="15" hidden="false" customHeight="false" outlineLevel="0" collapsed="false">
      <c r="A909" s="11" t="s">
        <v>6352</v>
      </c>
      <c r="B909" s="11" t="s">
        <v>200</v>
      </c>
      <c r="C909" s="11" t="s">
        <v>5306</v>
      </c>
      <c r="D909" s="11" t="s">
        <v>3513</v>
      </c>
      <c r="E909" s="11" t="s">
        <v>595</v>
      </c>
      <c r="F909" s="11" t="s">
        <v>596</v>
      </c>
      <c r="G909" s="11" t="s">
        <v>3826</v>
      </c>
      <c r="H909" s="11" t="n">
        <v>40</v>
      </c>
      <c r="I909" s="31" t="n">
        <v>38.3</v>
      </c>
      <c r="J909" s="31" t="n">
        <v>40</v>
      </c>
      <c r="K909" s="31" t="n">
        <f aca="false">MAX(ROUNDUP(I909,0),H909)</f>
        <v>40</v>
      </c>
      <c r="L909" s="31" t="n">
        <f aca="false">IF(J909="","",J909-K909)</f>
        <v>0</v>
      </c>
      <c r="M909" s="32" t="n">
        <v>10.4</v>
      </c>
      <c r="N909" s="32" t="n">
        <f aca="false">IF(C909="covered",10.4,7.55)</f>
        <v>10.4</v>
      </c>
      <c r="O909" s="32" t="n">
        <f aca="false">IF(M909="","",M909-N909)</f>
        <v>0</v>
      </c>
      <c r="P909" s="11" t="n">
        <v>1</v>
      </c>
      <c r="Q909" s="33" t="n">
        <v>416</v>
      </c>
      <c r="R909" s="33" t="n">
        <f aca="false">IF(OR(J909="",P909=""),"",K909*N909*P909)</f>
        <v>416</v>
      </c>
      <c r="S909" s="33" t="n">
        <f aca="false">IF(Q909="","",Q909-R909)</f>
        <v>0</v>
      </c>
      <c r="T909" s="33" t="n">
        <f aca="false">IF(S909="","",MAX(0,-S909))</f>
        <v>-0</v>
      </c>
      <c r="U909" s="33" t="n">
        <f aca="false">IF(S909="","",MAX(0,S909))</f>
        <v>0</v>
      </c>
      <c r="V909" s="11" t="str">
        <f aca="false">IF(J909="","NOT SCORED - NO JULY MONTHLY ROW",IF(OR(ABS(L909)&gt;0.005,ABS(O909)&gt;0.005,ABS(S909)&gt;0.005),"EXCEPTION","OK"))</f>
        <v>OK</v>
      </c>
      <c r="W909" s="11" t="s">
        <v>6353</v>
      </c>
      <c r="X909" s="11" t="s">
        <v>4099</v>
      </c>
      <c r="Y909" s="33" t="n">
        <f aca="false">K909*N909</f>
        <v>416</v>
      </c>
    </row>
    <row r="910" customFormat="false" ht="15" hidden="false" customHeight="false" outlineLevel="0" collapsed="false">
      <c r="A910" s="8" t="s">
        <v>6354</v>
      </c>
      <c r="B910" s="8" t="s">
        <v>200</v>
      </c>
      <c r="C910" s="8" t="s">
        <v>5306</v>
      </c>
      <c r="D910" s="8" t="s">
        <v>3518</v>
      </c>
      <c r="E910" s="8" t="s">
        <v>6355</v>
      </c>
      <c r="F910" s="8" t="s">
        <v>6356</v>
      </c>
      <c r="G910" s="8" t="s">
        <v>3422</v>
      </c>
      <c r="H910" s="8" t="n">
        <v>24</v>
      </c>
      <c r="I910" s="34" t="n">
        <v>57.3</v>
      </c>
      <c r="J910" s="34" t="n">
        <v>58</v>
      </c>
      <c r="K910" s="34" t="n">
        <f aca="false">MAX(ROUNDUP(I910,0),H910)</f>
        <v>58</v>
      </c>
      <c r="L910" s="34" t="n">
        <f aca="false">IF(J910="","",J910-K910)</f>
        <v>0</v>
      </c>
      <c r="M910" s="35" t="n">
        <v>10.4</v>
      </c>
      <c r="N910" s="35" t="n">
        <f aca="false">IF(C910="covered",10.4,7.55)</f>
        <v>10.4</v>
      </c>
      <c r="O910" s="35" t="n">
        <f aca="false">IF(M910="","",M910-N910)</f>
        <v>0</v>
      </c>
      <c r="P910" s="8" t="n">
        <v>1</v>
      </c>
      <c r="Q910" s="36" t="n">
        <v>603.2</v>
      </c>
      <c r="R910" s="36" t="n">
        <f aca="false">IF(OR(J910="",P910=""),"",K910*N910*P910)</f>
        <v>603.2</v>
      </c>
      <c r="S910" s="36" t="n">
        <f aca="false">IF(Q910="","",Q910-R910)</f>
        <v>0</v>
      </c>
      <c r="T910" s="36" t="n">
        <f aca="false">IF(S910="","",MAX(0,-S910))</f>
        <v>-0</v>
      </c>
      <c r="U910" s="36" t="n">
        <f aca="false">IF(S910="","",MAX(0,S910))</f>
        <v>0</v>
      </c>
      <c r="V910" s="8" t="str">
        <f aca="false">IF(J910="","NOT SCORED - NO JULY MONTHLY ROW",IF(OR(ABS(L910)&gt;0.005,ABS(O910)&gt;0.005,ABS(S910)&gt;0.005),"EXCEPTION","OK"))</f>
        <v>OK</v>
      </c>
      <c r="W910" s="8" t="s">
        <v>6357</v>
      </c>
      <c r="X910" s="8" t="s">
        <v>4099</v>
      </c>
      <c r="Y910" s="36" t="n">
        <f aca="false">K910*N910</f>
        <v>603.2</v>
      </c>
    </row>
    <row r="911" customFormat="false" ht="15" hidden="false" customHeight="false" outlineLevel="0" collapsed="false">
      <c r="A911" s="11" t="s">
        <v>6358</v>
      </c>
      <c r="B911" s="11" t="s">
        <v>200</v>
      </c>
      <c r="C911" s="11" t="s">
        <v>5306</v>
      </c>
      <c r="D911" s="11" t="s">
        <v>3521</v>
      </c>
      <c r="E911" s="11" t="s">
        <v>6359</v>
      </c>
      <c r="F911" s="11" t="s">
        <v>6360</v>
      </c>
      <c r="G911" s="11" t="s">
        <v>5863</v>
      </c>
      <c r="H911" s="11" t="n">
        <v>24</v>
      </c>
      <c r="I911" s="31" t="n">
        <v>38.2</v>
      </c>
      <c r="J911" s="31" t="n">
        <v>39</v>
      </c>
      <c r="K911" s="31" t="n">
        <f aca="false">MAX(ROUNDUP(I911,0),H911)</f>
        <v>39</v>
      </c>
      <c r="L911" s="31" t="n">
        <f aca="false">IF(J911="","",J911-K911)</f>
        <v>0</v>
      </c>
      <c r="M911" s="32" t="n">
        <v>10.4</v>
      </c>
      <c r="N911" s="32" t="n">
        <f aca="false">IF(C911="covered",10.4,7.55)</f>
        <v>10.4</v>
      </c>
      <c r="O911" s="32" t="n">
        <f aca="false">IF(M911="","",M911-N911)</f>
        <v>0</v>
      </c>
      <c r="P911" s="11" t="n">
        <v>1</v>
      </c>
      <c r="Q911" s="33" t="n">
        <v>405.6</v>
      </c>
      <c r="R911" s="33" t="n">
        <f aca="false">IF(OR(J911="",P911=""),"",K911*N911*P911)</f>
        <v>405.6</v>
      </c>
      <c r="S911" s="33" t="n">
        <f aca="false">IF(Q911="","",Q911-R911)</f>
        <v>0</v>
      </c>
      <c r="T911" s="33" t="n">
        <f aca="false">IF(S911="","",MAX(0,-S911))</f>
        <v>-0</v>
      </c>
      <c r="U911" s="33" t="n">
        <f aca="false">IF(S911="","",MAX(0,S911))</f>
        <v>0</v>
      </c>
      <c r="V911" s="11" t="str">
        <f aca="false">IF(J911="","NOT SCORED - NO JULY MONTHLY ROW",IF(OR(ABS(L911)&gt;0.005,ABS(O911)&gt;0.005,ABS(S911)&gt;0.005),"EXCEPTION","OK"))</f>
        <v>OK</v>
      </c>
      <c r="W911" s="11" t="s">
        <v>6361</v>
      </c>
      <c r="X911" s="11" t="s">
        <v>4099</v>
      </c>
      <c r="Y911" s="33" t="n">
        <f aca="false">K911*N911</f>
        <v>405.6</v>
      </c>
    </row>
    <row r="912" customFormat="false" ht="15" hidden="false" customHeight="false" outlineLevel="0" collapsed="false">
      <c r="A912" s="8" t="s">
        <v>6362</v>
      </c>
      <c r="B912" s="8" t="s">
        <v>200</v>
      </c>
      <c r="C912" s="8" t="s">
        <v>5306</v>
      </c>
      <c r="D912" s="8" t="s">
        <v>3523</v>
      </c>
      <c r="E912" s="8" t="s">
        <v>6363</v>
      </c>
      <c r="F912" s="8" t="s">
        <v>6364</v>
      </c>
      <c r="G912" s="8" t="s">
        <v>3766</v>
      </c>
      <c r="H912" s="8" t="n">
        <v>24</v>
      </c>
      <c r="I912" s="34" t="n">
        <v>60.4</v>
      </c>
      <c r="J912" s="34" t="n">
        <v>61</v>
      </c>
      <c r="K912" s="34" t="n">
        <f aca="false">MAX(ROUNDUP(I912,0),H912)</f>
        <v>61</v>
      </c>
      <c r="L912" s="34" t="n">
        <f aca="false">IF(J912="","",J912-K912)</f>
        <v>0</v>
      </c>
      <c r="M912" s="35" t="n">
        <v>10.4</v>
      </c>
      <c r="N912" s="35" t="n">
        <f aca="false">IF(C912="covered",10.4,7.55)</f>
        <v>10.4</v>
      </c>
      <c r="O912" s="35" t="n">
        <f aca="false">IF(M912="","",M912-N912)</f>
        <v>0</v>
      </c>
      <c r="P912" s="8" t="n">
        <v>1</v>
      </c>
      <c r="Q912" s="36" t="n">
        <v>634.4</v>
      </c>
      <c r="R912" s="36" t="n">
        <f aca="false">IF(OR(J912="",P912=""),"",K912*N912*P912)</f>
        <v>634.4</v>
      </c>
      <c r="S912" s="36" t="n">
        <f aca="false">IF(Q912="","",Q912-R912)</f>
        <v>0</v>
      </c>
      <c r="T912" s="36" t="n">
        <f aca="false">IF(S912="","",MAX(0,-S912))</f>
        <v>-0</v>
      </c>
      <c r="U912" s="36" t="n">
        <f aca="false">IF(S912="","",MAX(0,S912))</f>
        <v>0</v>
      </c>
      <c r="V912" s="8" t="str">
        <f aca="false">IF(J912="","NOT SCORED - NO JULY MONTHLY ROW",IF(OR(ABS(L912)&gt;0.005,ABS(O912)&gt;0.005,ABS(S912)&gt;0.005),"EXCEPTION","OK"))</f>
        <v>OK</v>
      </c>
      <c r="W912" s="8" t="s">
        <v>6365</v>
      </c>
      <c r="X912" s="8" t="s">
        <v>4099</v>
      </c>
      <c r="Y912" s="36" t="n">
        <f aca="false">K912*N912</f>
        <v>634.4</v>
      </c>
    </row>
    <row r="913" customFormat="false" ht="15" hidden="false" customHeight="false" outlineLevel="0" collapsed="false">
      <c r="A913" s="11" t="s">
        <v>6366</v>
      </c>
      <c r="B913" s="11" t="s">
        <v>200</v>
      </c>
      <c r="C913" s="11" t="s">
        <v>5306</v>
      </c>
      <c r="D913" s="11" t="s">
        <v>3528</v>
      </c>
      <c r="E913" s="11" t="s">
        <v>6367</v>
      </c>
      <c r="F913" s="11" t="s">
        <v>6368</v>
      </c>
      <c r="G913" s="11" t="s">
        <v>3156</v>
      </c>
      <c r="H913" s="11" t="n">
        <v>28</v>
      </c>
      <c r="I913" s="31" t="n">
        <v>18.3</v>
      </c>
      <c r="J913" s="31" t="n">
        <v>28</v>
      </c>
      <c r="K913" s="31" t="n">
        <f aca="false">MAX(ROUNDUP(I913,0),H913)</f>
        <v>28</v>
      </c>
      <c r="L913" s="31" t="n">
        <f aca="false">IF(J913="","",J913-K913)</f>
        <v>0</v>
      </c>
      <c r="M913" s="32" t="n">
        <v>10.4</v>
      </c>
      <c r="N913" s="32" t="n">
        <f aca="false">IF(C913="covered",10.4,7.55)</f>
        <v>10.4</v>
      </c>
      <c r="O913" s="32" t="n">
        <f aca="false">IF(M913="","",M913-N913)</f>
        <v>0</v>
      </c>
      <c r="P913" s="11" t="n">
        <v>1</v>
      </c>
      <c r="Q913" s="33" t="n">
        <v>291.2</v>
      </c>
      <c r="R913" s="33" t="n">
        <f aca="false">IF(OR(J913="",P913=""),"",K913*N913*P913)</f>
        <v>291.2</v>
      </c>
      <c r="S913" s="33" t="n">
        <f aca="false">IF(Q913="","",Q913-R913)</f>
        <v>0</v>
      </c>
      <c r="T913" s="33" t="n">
        <f aca="false">IF(S913="","",MAX(0,-S913))</f>
        <v>-0</v>
      </c>
      <c r="U913" s="33" t="n">
        <f aca="false">IF(S913="","",MAX(0,S913))</f>
        <v>0</v>
      </c>
      <c r="V913" s="11" t="str">
        <f aca="false">IF(J913="","NOT SCORED - NO JULY MONTHLY ROW",IF(OR(ABS(L913)&gt;0.005,ABS(O913)&gt;0.005,ABS(S913)&gt;0.005),"EXCEPTION","OK"))</f>
        <v>OK</v>
      </c>
      <c r="W913" s="11" t="s">
        <v>6369</v>
      </c>
      <c r="X913" s="11" t="s">
        <v>4099</v>
      </c>
      <c r="Y913" s="33" t="n">
        <f aca="false">K913*N913</f>
        <v>291.2</v>
      </c>
    </row>
    <row r="914" customFormat="false" ht="15" hidden="false" customHeight="false" outlineLevel="0" collapsed="false">
      <c r="A914" s="8" t="s">
        <v>6370</v>
      </c>
      <c r="B914" s="8" t="s">
        <v>200</v>
      </c>
      <c r="C914" s="8" t="s">
        <v>5306</v>
      </c>
      <c r="D914" s="8" t="s">
        <v>3532</v>
      </c>
      <c r="E914" s="8" t="s">
        <v>6371</v>
      </c>
      <c r="F914" s="8" t="s">
        <v>6372</v>
      </c>
      <c r="G914" s="8" t="s">
        <v>3371</v>
      </c>
      <c r="H914" s="8" t="n">
        <v>40</v>
      </c>
      <c r="I914" s="34" t="n">
        <v>30.8</v>
      </c>
      <c r="J914" s="34" t="n">
        <v>40</v>
      </c>
      <c r="K914" s="34" t="n">
        <f aca="false">MAX(ROUNDUP(I914,0),H914)</f>
        <v>40</v>
      </c>
      <c r="L914" s="34" t="n">
        <f aca="false">IF(J914="","",J914-K914)</f>
        <v>0</v>
      </c>
      <c r="M914" s="35" t="n">
        <v>10.4</v>
      </c>
      <c r="N914" s="35" t="n">
        <f aca="false">IF(C914="covered",10.4,7.55)</f>
        <v>10.4</v>
      </c>
      <c r="O914" s="35" t="n">
        <f aca="false">IF(M914="","",M914-N914)</f>
        <v>0</v>
      </c>
      <c r="P914" s="8" t="n">
        <v>1</v>
      </c>
      <c r="Q914" s="36" t="n">
        <v>416</v>
      </c>
      <c r="R914" s="36" t="n">
        <f aca="false">IF(OR(J914="",P914=""),"",K914*N914*P914)</f>
        <v>416</v>
      </c>
      <c r="S914" s="36" t="n">
        <f aca="false">IF(Q914="","",Q914-R914)</f>
        <v>0</v>
      </c>
      <c r="T914" s="36" t="n">
        <f aca="false">IF(S914="","",MAX(0,-S914))</f>
        <v>-0</v>
      </c>
      <c r="U914" s="36" t="n">
        <f aca="false">IF(S914="","",MAX(0,S914))</f>
        <v>0</v>
      </c>
      <c r="V914" s="8" t="str">
        <f aca="false">IF(J914="","NOT SCORED - NO JULY MONTHLY ROW",IF(OR(ABS(L914)&gt;0.005,ABS(O914)&gt;0.005,ABS(S914)&gt;0.005),"EXCEPTION","OK"))</f>
        <v>OK</v>
      </c>
      <c r="W914" s="8" t="s">
        <v>6373</v>
      </c>
      <c r="X914" s="8" t="s">
        <v>4099</v>
      </c>
      <c r="Y914" s="36" t="n">
        <f aca="false">K914*N914</f>
        <v>416</v>
      </c>
    </row>
    <row r="915" customFormat="false" ht="15" hidden="false" customHeight="false" outlineLevel="0" collapsed="false">
      <c r="A915" s="11" t="s">
        <v>6374</v>
      </c>
      <c r="B915" s="11" t="s">
        <v>200</v>
      </c>
      <c r="C915" s="11" t="s">
        <v>5306</v>
      </c>
      <c r="D915" s="11" t="s">
        <v>3537</v>
      </c>
      <c r="E915" s="11" t="s">
        <v>6375</v>
      </c>
      <c r="F915" s="11" t="s">
        <v>6376</v>
      </c>
      <c r="G915" s="11" t="s">
        <v>6377</v>
      </c>
      <c r="H915" s="11" t="n">
        <v>24</v>
      </c>
      <c r="I915" s="31" t="n">
        <v>38.5</v>
      </c>
      <c r="J915" s="31" t="n">
        <v>39</v>
      </c>
      <c r="K915" s="31" t="n">
        <f aca="false">MAX(ROUNDUP(I915,0),H915)</f>
        <v>39</v>
      </c>
      <c r="L915" s="31" t="n">
        <f aca="false">IF(J915="","",J915-K915)</f>
        <v>0</v>
      </c>
      <c r="M915" s="32" t="n">
        <v>10.4</v>
      </c>
      <c r="N915" s="32" t="n">
        <f aca="false">IF(C915="covered",10.4,7.55)</f>
        <v>10.4</v>
      </c>
      <c r="O915" s="32" t="n">
        <f aca="false">IF(M915="","",M915-N915)</f>
        <v>0</v>
      </c>
      <c r="P915" s="11" t="n">
        <v>1</v>
      </c>
      <c r="Q915" s="33" t="n">
        <v>405.6</v>
      </c>
      <c r="R915" s="33" t="n">
        <f aca="false">IF(OR(J915="",P915=""),"",K915*N915*P915)</f>
        <v>405.6</v>
      </c>
      <c r="S915" s="33" t="n">
        <f aca="false">IF(Q915="","",Q915-R915)</f>
        <v>0</v>
      </c>
      <c r="T915" s="33" t="n">
        <f aca="false">IF(S915="","",MAX(0,-S915))</f>
        <v>-0</v>
      </c>
      <c r="U915" s="33" t="n">
        <f aca="false">IF(S915="","",MAX(0,S915))</f>
        <v>0</v>
      </c>
      <c r="V915" s="11" t="str">
        <f aca="false">IF(J915="","NOT SCORED - NO JULY MONTHLY ROW",IF(OR(ABS(L915)&gt;0.005,ABS(O915)&gt;0.005,ABS(S915)&gt;0.005),"EXCEPTION","OK"))</f>
        <v>OK</v>
      </c>
      <c r="W915" s="11" t="s">
        <v>6378</v>
      </c>
      <c r="X915" s="11" t="s">
        <v>4099</v>
      </c>
      <c r="Y915" s="33" t="n">
        <f aca="false">K915*N915</f>
        <v>405.6</v>
      </c>
    </row>
    <row r="916" customFormat="false" ht="15" hidden="false" customHeight="false" outlineLevel="0" collapsed="false">
      <c r="A916" s="8" t="s">
        <v>6379</v>
      </c>
      <c r="B916" s="8" t="s">
        <v>200</v>
      </c>
      <c r="C916" s="8" t="s">
        <v>5306</v>
      </c>
      <c r="D916" s="8" t="s">
        <v>3542</v>
      </c>
      <c r="E916" s="8" t="s">
        <v>6380</v>
      </c>
      <c r="F916" s="8" t="s">
        <v>6381</v>
      </c>
      <c r="G916" s="8" t="s">
        <v>3414</v>
      </c>
      <c r="H916" s="8" t="n">
        <v>24</v>
      </c>
      <c r="I916" s="34" t="n">
        <v>27</v>
      </c>
      <c r="J916" s="34" t="n">
        <v>27</v>
      </c>
      <c r="K916" s="34" t="n">
        <f aca="false">MAX(ROUNDUP(I916,0),H916)</f>
        <v>27</v>
      </c>
      <c r="L916" s="34" t="n">
        <f aca="false">IF(J916="","",J916-K916)</f>
        <v>0</v>
      </c>
      <c r="M916" s="35" t="n">
        <v>10.4</v>
      </c>
      <c r="N916" s="35" t="n">
        <f aca="false">IF(C916="covered",10.4,7.55)</f>
        <v>10.4</v>
      </c>
      <c r="O916" s="35" t="n">
        <f aca="false">IF(M916="","",M916-N916)</f>
        <v>0</v>
      </c>
      <c r="P916" s="8" t="n">
        <v>1</v>
      </c>
      <c r="Q916" s="36" t="n">
        <v>280.8</v>
      </c>
      <c r="R916" s="36" t="n">
        <f aca="false">IF(OR(J916="",P916=""),"",K916*N916*P916)</f>
        <v>280.8</v>
      </c>
      <c r="S916" s="36" t="n">
        <f aca="false">IF(Q916="","",Q916-R916)</f>
        <v>0</v>
      </c>
      <c r="T916" s="36" t="n">
        <f aca="false">IF(S916="","",MAX(0,-S916))</f>
        <v>-0</v>
      </c>
      <c r="U916" s="36" t="n">
        <f aca="false">IF(S916="","",MAX(0,S916))</f>
        <v>0</v>
      </c>
      <c r="V916" s="8" t="str">
        <f aca="false">IF(J916="","NOT SCORED - NO JULY MONTHLY ROW",IF(OR(ABS(L916)&gt;0.005,ABS(O916)&gt;0.005,ABS(S916)&gt;0.005),"EXCEPTION","OK"))</f>
        <v>OK</v>
      </c>
      <c r="W916" s="8" t="s">
        <v>6382</v>
      </c>
      <c r="X916" s="8" t="s">
        <v>4099</v>
      </c>
      <c r="Y916" s="36" t="n">
        <f aca="false">K916*N916</f>
        <v>280.8</v>
      </c>
    </row>
    <row r="917" customFormat="false" ht="15" hidden="false" customHeight="false" outlineLevel="0" collapsed="false">
      <c r="A917" s="11" t="s">
        <v>6383</v>
      </c>
      <c r="B917" s="11" t="s">
        <v>200</v>
      </c>
      <c r="C917" s="11" t="s">
        <v>5306</v>
      </c>
      <c r="D917" s="11" t="s">
        <v>3546</v>
      </c>
      <c r="E917" s="11" t="s">
        <v>6384</v>
      </c>
      <c r="F917" s="11" t="s">
        <v>6385</v>
      </c>
      <c r="G917" s="11" t="s">
        <v>4179</v>
      </c>
      <c r="H917" s="11" t="n">
        <v>28</v>
      </c>
      <c r="I917" s="31" t="n">
        <v>47.7</v>
      </c>
      <c r="J917" s="31" t="n">
        <v>48</v>
      </c>
      <c r="K917" s="31" t="n">
        <f aca="false">MAX(ROUNDUP(I917,0),H917)</f>
        <v>48</v>
      </c>
      <c r="L917" s="31" t="n">
        <f aca="false">IF(J917="","",J917-K917)</f>
        <v>0</v>
      </c>
      <c r="M917" s="32" t="n">
        <v>10.4</v>
      </c>
      <c r="N917" s="32" t="n">
        <f aca="false">IF(C917="covered",10.4,7.55)</f>
        <v>10.4</v>
      </c>
      <c r="O917" s="32" t="n">
        <f aca="false">IF(M917="","",M917-N917)</f>
        <v>0</v>
      </c>
      <c r="P917" s="11" t="n">
        <v>1</v>
      </c>
      <c r="Q917" s="33" t="n">
        <v>499.2</v>
      </c>
      <c r="R917" s="33" t="n">
        <f aca="false">IF(OR(J917="",P917=""),"",K917*N917*P917)</f>
        <v>499.2</v>
      </c>
      <c r="S917" s="33" t="n">
        <f aca="false">IF(Q917="","",Q917-R917)</f>
        <v>0</v>
      </c>
      <c r="T917" s="33" t="n">
        <f aca="false">IF(S917="","",MAX(0,-S917))</f>
        <v>-0</v>
      </c>
      <c r="U917" s="33" t="n">
        <f aca="false">IF(S917="","",MAX(0,S917))</f>
        <v>0</v>
      </c>
      <c r="V917" s="11" t="str">
        <f aca="false">IF(J917="","NOT SCORED - NO JULY MONTHLY ROW",IF(OR(ABS(L917)&gt;0.005,ABS(O917)&gt;0.005,ABS(S917)&gt;0.005),"EXCEPTION","OK"))</f>
        <v>OK</v>
      </c>
      <c r="W917" s="11" t="s">
        <v>6386</v>
      </c>
      <c r="X917" s="11" t="s">
        <v>4099</v>
      </c>
      <c r="Y917" s="33" t="n">
        <f aca="false">K917*N917</f>
        <v>499.2</v>
      </c>
    </row>
    <row r="918" customFormat="false" ht="15" hidden="false" customHeight="false" outlineLevel="0" collapsed="false">
      <c r="A918" s="8" t="s">
        <v>437</v>
      </c>
      <c r="B918" s="8" t="s">
        <v>200</v>
      </c>
      <c r="C918" s="8" t="s">
        <v>5306</v>
      </c>
      <c r="D918" s="8" t="s">
        <v>3551</v>
      </c>
      <c r="E918" s="8" t="s">
        <v>6387</v>
      </c>
      <c r="F918" s="8" t="s">
        <v>6388</v>
      </c>
      <c r="G918" s="8" t="s">
        <v>6389</v>
      </c>
      <c r="H918" s="8" t="n">
        <v>28</v>
      </c>
      <c r="I918" s="34" t="n">
        <v>24.4</v>
      </c>
      <c r="J918" s="34" t="n">
        <v>28</v>
      </c>
      <c r="K918" s="34" t="n">
        <f aca="false">MAX(ROUNDUP(I918,0),H918)</f>
        <v>28</v>
      </c>
      <c r="L918" s="34" t="n">
        <f aca="false">IF(J918="","",J918-K918)</f>
        <v>0</v>
      </c>
      <c r="M918" s="35" t="n">
        <v>10.4</v>
      </c>
      <c r="N918" s="35" t="n">
        <f aca="false">IF(C918="covered",10.4,7.55)</f>
        <v>10.4</v>
      </c>
      <c r="O918" s="35" t="n">
        <f aca="false">IF(M918="","",M918-N918)</f>
        <v>0</v>
      </c>
      <c r="P918" s="8" t="n">
        <v>1</v>
      </c>
      <c r="Q918" s="36" t="n">
        <v>291.2</v>
      </c>
      <c r="R918" s="36" t="n">
        <f aca="false">IF(OR(J918="",P918=""),"",K918*N918*P918)</f>
        <v>291.2</v>
      </c>
      <c r="S918" s="36" t="n">
        <f aca="false">IF(Q918="","",Q918-R918)</f>
        <v>0</v>
      </c>
      <c r="T918" s="36" t="n">
        <f aca="false">IF(S918="","",MAX(0,-S918))</f>
        <v>-0</v>
      </c>
      <c r="U918" s="36" t="n">
        <f aca="false">IF(S918="","",MAX(0,S918))</f>
        <v>0</v>
      </c>
      <c r="V918" s="8" t="str">
        <f aca="false">IF(J918="","NOT SCORED - NO JULY MONTHLY ROW",IF(OR(ABS(L918)&gt;0.005,ABS(O918)&gt;0.005,ABS(S918)&gt;0.005),"EXCEPTION","OK"))</f>
        <v>OK</v>
      </c>
      <c r="W918" s="8" t="s">
        <v>6390</v>
      </c>
      <c r="X918" s="8" t="s">
        <v>4099</v>
      </c>
      <c r="Y918" s="36" t="n">
        <f aca="false">K918*N918</f>
        <v>291.2</v>
      </c>
    </row>
    <row r="919" customFormat="false" ht="15" hidden="false" customHeight="false" outlineLevel="0" collapsed="false">
      <c r="A919" s="11" t="s">
        <v>6391</v>
      </c>
      <c r="B919" s="11" t="s">
        <v>200</v>
      </c>
      <c r="C919" s="11" t="s">
        <v>5306</v>
      </c>
      <c r="D919" s="11" t="s">
        <v>4259</v>
      </c>
      <c r="E919" s="11" t="s">
        <v>6392</v>
      </c>
      <c r="F919" s="11" t="s">
        <v>6393</v>
      </c>
      <c r="G919" s="11" t="s">
        <v>4409</v>
      </c>
      <c r="H919" s="11" t="n">
        <v>24</v>
      </c>
      <c r="I919" s="31" t="n">
        <v>31.2</v>
      </c>
      <c r="J919" s="31" t="n">
        <v>32</v>
      </c>
      <c r="K919" s="31" t="n">
        <f aca="false">MAX(ROUNDUP(I919,0),H919)</f>
        <v>32</v>
      </c>
      <c r="L919" s="31" t="n">
        <f aca="false">IF(J919="","",J919-K919)</f>
        <v>0</v>
      </c>
      <c r="M919" s="32" t="n">
        <v>10.4</v>
      </c>
      <c r="N919" s="32" t="n">
        <f aca="false">IF(C919="covered",10.4,7.55)</f>
        <v>10.4</v>
      </c>
      <c r="O919" s="32" t="n">
        <f aca="false">IF(M919="","",M919-N919)</f>
        <v>0</v>
      </c>
      <c r="P919" s="11" t="n">
        <v>1</v>
      </c>
      <c r="Q919" s="33" t="n">
        <v>332.8</v>
      </c>
      <c r="R919" s="33" t="n">
        <f aca="false">IF(OR(J919="",P919=""),"",K919*N919*P919)</f>
        <v>332.8</v>
      </c>
      <c r="S919" s="33" t="n">
        <f aca="false">IF(Q919="","",Q919-R919)</f>
        <v>0</v>
      </c>
      <c r="T919" s="33" t="n">
        <f aca="false">IF(S919="","",MAX(0,-S919))</f>
        <v>-0</v>
      </c>
      <c r="U919" s="33" t="n">
        <f aca="false">IF(S919="","",MAX(0,S919))</f>
        <v>0</v>
      </c>
      <c r="V919" s="11" t="str">
        <f aca="false">IF(J919="","NOT SCORED - NO JULY MONTHLY ROW",IF(OR(ABS(L919)&gt;0.005,ABS(O919)&gt;0.005,ABS(S919)&gt;0.005),"EXCEPTION","OK"))</f>
        <v>OK</v>
      </c>
      <c r="W919" s="11" t="s">
        <v>6394</v>
      </c>
      <c r="X919" s="11" t="s">
        <v>4099</v>
      </c>
      <c r="Y919" s="33" t="n">
        <f aca="false">K919*N919</f>
        <v>332.8</v>
      </c>
    </row>
    <row r="920" customFormat="false" ht="15" hidden="false" customHeight="false" outlineLevel="0" collapsed="false">
      <c r="A920" s="8" t="s">
        <v>1243</v>
      </c>
      <c r="B920" s="8" t="s">
        <v>200</v>
      </c>
      <c r="C920" s="8" t="s">
        <v>5306</v>
      </c>
      <c r="D920" s="8" t="s">
        <v>3554</v>
      </c>
      <c r="E920" s="8" t="s">
        <v>6395</v>
      </c>
      <c r="F920" s="8" t="s">
        <v>6396</v>
      </c>
      <c r="G920" s="8" t="s">
        <v>5332</v>
      </c>
      <c r="H920" s="8" t="n">
        <v>28</v>
      </c>
      <c r="I920" s="34" t="n">
        <v>61.3</v>
      </c>
      <c r="J920" s="34" t="n">
        <v>62</v>
      </c>
      <c r="K920" s="34" t="n">
        <f aca="false">MAX(ROUNDUP(I920,0),H920)</f>
        <v>62</v>
      </c>
      <c r="L920" s="34" t="n">
        <f aca="false">IF(J920="","",J920-K920)</f>
        <v>0</v>
      </c>
      <c r="M920" s="35" t="n">
        <v>10.4</v>
      </c>
      <c r="N920" s="35" t="n">
        <f aca="false">IF(C920="covered",10.4,7.55)</f>
        <v>10.4</v>
      </c>
      <c r="O920" s="35" t="n">
        <f aca="false">IF(M920="","",M920-N920)</f>
        <v>0</v>
      </c>
      <c r="P920" s="8" t="n">
        <v>1</v>
      </c>
      <c r="Q920" s="36" t="n">
        <v>644.8</v>
      </c>
      <c r="R920" s="36" t="n">
        <f aca="false">IF(OR(J920="",P920=""),"",K920*N920*P920)</f>
        <v>644.8</v>
      </c>
      <c r="S920" s="36" t="n">
        <f aca="false">IF(Q920="","",Q920-R920)</f>
        <v>0</v>
      </c>
      <c r="T920" s="36" t="n">
        <f aca="false">IF(S920="","",MAX(0,-S920))</f>
        <v>-0</v>
      </c>
      <c r="U920" s="36" t="n">
        <f aca="false">IF(S920="","",MAX(0,S920))</f>
        <v>0</v>
      </c>
      <c r="V920" s="8" t="str">
        <f aca="false">IF(J920="","NOT SCORED - NO JULY MONTHLY ROW",IF(OR(ABS(L920)&gt;0.005,ABS(O920)&gt;0.005,ABS(S920)&gt;0.005),"EXCEPTION","OK"))</f>
        <v>OK</v>
      </c>
      <c r="W920" s="8" t="s">
        <v>6397</v>
      </c>
      <c r="X920" s="8" t="s">
        <v>4099</v>
      </c>
      <c r="Y920" s="36" t="n">
        <f aca="false">K920*N920</f>
        <v>644.8</v>
      </c>
    </row>
    <row r="921" customFormat="false" ht="15" hidden="false" customHeight="false" outlineLevel="0" collapsed="false">
      <c r="A921" s="11" t="s">
        <v>1144</v>
      </c>
      <c r="B921" s="11" t="s">
        <v>200</v>
      </c>
      <c r="C921" s="11" t="s">
        <v>5306</v>
      </c>
      <c r="D921" s="11" t="s">
        <v>3558</v>
      </c>
      <c r="E921" s="11" t="s">
        <v>6398</v>
      </c>
      <c r="F921" s="11" t="s">
        <v>6399</v>
      </c>
      <c r="G921" s="11" t="s">
        <v>6400</v>
      </c>
      <c r="H921" s="11" t="n">
        <v>32</v>
      </c>
      <c r="I921" s="31" t="n">
        <v>31.4</v>
      </c>
      <c r="J921" s="31" t="n">
        <v>32</v>
      </c>
      <c r="K921" s="31" t="n">
        <f aca="false">MAX(ROUNDUP(I921,0),H921)</f>
        <v>32</v>
      </c>
      <c r="L921" s="31" t="n">
        <f aca="false">IF(J921="","",J921-K921)</f>
        <v>0</v>
      </c>
      <c r="M921" s="32" t="n">
        <v>10.4</v>
      </c>
      <c r="N921" s="32" t="n">
        <f aca="false">IF(C921="covered",10.4,7.55)</f>
        <v>10.4</v>
      </c>
      <c r="O921" s="32" t="n">
        <f aca="false">IF(M921="","",M921-N921)</f>
        <v>0</v>
      </c>
      <c r="P921" s="11" t="n">
        <v>1</v>
      </c>
      <c r="Q921" s="33" t="n">
        <v>332.8</v>
      </c>
      <c r="R921" s="33" t="n">
        <f aca="false">IF(OR(J921="",P921=""),"",K921*N921*P921)</f>
        <v>332.8</v>
      </c>
      <c r="S921" s="33" t="n">
        <f aca="false">IF(Q921="","",Q921-R921)</f>
        <v>0</v>
      </c>
      <c r="T921" s="33" t="n">
        <f aca="false">IF(S921="","",MAX(0,-S921))</f>
        <v>-0</v>
      </c>
      <c r="U921" s="33" t="n">
        <f aca="false">IF(S921="","",MAX(0,S921))</f>
        <v>0</v>
      </c>
      <c r="V921" s="11" t="str">
        <f aca="false">IF(J921="","NOT SCORED - NO JULY MONTHLY ROW",IF(OR(ABS(L921)&gt;0.005,ABS(O921)&gt;0.005,ABS(S921)&gt;0.005),"EXCEPTION","OK"))</f>
        <v>OK</v>
      </c>
      <c r="W921" s="11" t="s">
        <v>6401</v>
      </c>
      <c r="X921" s="11" t="s">
        <v>4099</v>
      </c>
      <c r="Y921" s="33" t="n">
        <f aca="false">K921*N921</f>
        <v>332.8</v>
      </c>
    </row>
    <row r="922" customFormat="false" ht="15" hidden="false" customHeight="false" outlineLevel="0" collapsed="false">
      <c r="A922" s="8" t="s">
        <v>159</v>
      </c>
      <c r="B922" s="8" t="s">
        <v>200</v>
      </c>
      <c r="C922" s="8" t="s">
        <v>5306</v>
      </c>
      <c r="D922" s="8" t="s">
        <v>3563</v>
      </c>
      <c r="E922" s="8" t="s">
        <v>6402</v>
      </c>
      <c r="F922" s="8" t="s">
        <v>6403</v>
      </c>
      <c r="G922" s="8" t="s">
        <v>3880</v>
      </c>
      <c r="H922" s="8" t="n">
        <v>28</v>
      </c>
      <c r="I922" s="34" t="n">
        <v>27</v>
      </c>
      <c r="J922" s="34" t="n">
        <v>28</v>
      </c>
      <c r="K922" s="34" t="n">
        <f aca="false">MAX(ROUNDUP(I922,0),H922)</f>
        <v>28</v>
      </c>
      <c r="L922" s="34" t="n">
        <f aca="false">IF(J922="","",J922-K922)</f>
        <v>0</v>
      </c>
      <c r="M922" s="35" t="n">
        <v>10.4</v>
      </c>
      <c r="N922" s="35" t="n">
        <f aca="false">IF(C922="covered",10.4,7.55)</f>
        <v>10.4</v>
      </c>
      <c r="O922" s="35" t="n">
        <f aca="false">IF(M922="","",M922-N922)</f>
        <v>0</v>
      </c>
      <c r="P922" s="8" t="n">
        <v>1</v>
      </c>
      <c r="Q922" s="36" t="n">
        <v>291.2</v>
      </c>
      <c r="R922" s="36" t="n">
        <f aca="false">IF(OR(J922="",P922=""),"",K922*N922*P922)</f>
        <v>291.2</v>
      </c>
      <c r="S922" s="36" t="n">
        <f aca="false">IF(Q922="","",Q922-R922)</f>
        <v>0</v>
      </c>
      <c r="T922" s="36" t="n">
        <f aca="false">IF(S922="","",MAX(0,-S922))</f>
        <v>-0</v>
      </c>
      <c r="U922" s="36" t="n">
        <f aca="false">IF(S922="","",MAX(0,S922))</f>
        <v>0</v>
      </c>
      <c r="V922" s="8" t="str">
        <f aca="false">IF(J922="","NOT SCORED - NO JULY MONTHLY ROW",IF(OR(ABS(L922)&gt;0.005,ABS(O922)&gt;0.005,ABS(S922)&gt;0.005),"EXCEPTION","OK"))</f>
        <v>OK</v>
      </c>
      <c r="W922" s="8" t="s">
        <v>6404</v>
      </c>
      <c r="X922" s="8" t="s">
        <v>4099</v>
      </c>
      <c r="Y922" s="36" t="n">
        <f aca="false">K922*N922</f>
        <v>291.2</v>
      </c>
    </row>
    <row r="923" customFormat="false" ht="15" hidden="false" customHeight="false" outlineLevel="0" collapsed="false">
      <c r="A923" s="11" t="s">
        <v>6405</v>
      </c>
      <c r="B923" s="11" t="s">
        <v>200</v>
      </c>
      <c r="C923" s="11" t="s">
        <v>5306</v>
      </c>
      <c r="D923" s="11" t="s">
        <v>3571</v>
      </c>
      <c r="E923" s="11" t="s">
        <v>6406</v>
      </c>
      <c r="F923" s="11" t="s">
        <v>6407</v>
      </c>
      <c r="G923" s="11" t="s">
        <v>3994</v>
      </c>
      <c r="H923" s="11" t="n">
        <v>28</v>
      </c>
      <c r="I923" s="31" t="n">
        <v>41.3</v>
      </c>
      <c r="J923" s="31" t="n">
        <v>42</v>
      </c>
      <c r="K923" s="31" t="n">
        <f aca="false">MAX(ROUNDUP(I923,0),H923)</f>
        <v>42</v>
      </c>
      <c r="L923" s="31" t="n">
        <f aca="false">IF(J923="","",J923-K923)</f>
        <v>0</v>
      </c>
      <c r="M923" s="32" t="n">
        <v>10.4</v>
      </c>
      <c r="N923" s="32" t="n">
        <f aca="false">IF(C923="covered",10.4,7.55)</f>
        <v>10.4</v>
      </c>
      <c r="O923" s="32" t="n">
        <f aca="false">IF(M923="","",M923-N923)</f>
        <v>0</v>
      </c>
      <c r="P923" s="11" t="n">
        <v>1</v>
      </c>
      <c r="Q923" s="33" t="n">
        <v>436.8</v>
      </c>
      <c r="R923" s="33" t="n">
        <f aca="false">IF(OR(J923="",P923=""),"",K923*N923*P923)</f>
        <v>436.8</v>
      </c>
      <c r="S923" s="33" t="n">
        <f aca="false">IF(Q923="","",Q923-R923)</f>
        <v>0</v>
      </c>
      <c r="T923" s="33" t="n">
        <f aca="false">IF(S923="","",MAX(0,-S923))</f>
        <v>-0</v>
      </c>
      <c r="U923" s="33" t="n">
        <f aca="false">IF(S923="","",MAX(0,S923))</f>
        <v>0</v>
      </c>
      <c r="V923" s="11" t="str">
        <f aca="false">IF(J923="","NOT SCORED - NO JULY MONTHLY ROW",IF(OR(ABS(L923)&gt;0.005,ABS(O923)&gt;0.005,ABS(S923)&gt;0.005),"EXCEPTION","OK"))</f>
        <v>OK</v>
      </c>
      <c r="W923" s="11" t="s">
        <v>6408</v>
      </c>
      <c r="X923" s="11" t="s">
        <v>4099</v>
      </c>
      <c r="Y923" s="33" t="n">
        <f aca="false">K923*N923</f>
        <v>436.8</v>
      </c>
    </row>
    <row r="924" customFormat="false" ht="15" hidden="false" customHeight="false" outlineLevel="0" collapsed="false">
      <c r="A924" s="8" t="s">
        <v>6409</v>
      </c>
      <c r="B924" s="8" t="s">
        <v>200</v>
      </c>
      <c r="C924" s="8" t="s">
        <v>5306</v>
      </c>
      <c r="D924" s="8" t="s">
        <v>3575</v>
      </c>
      <c r="E924" s="8" t="s">
        <v>6410</v>
      </c>
      <c r="F924" s="8" t="s">
        <v>6411</v>
      </c>
      <c r="G924" s="8" t="s">
        <v>5208</v>
      </c>
      <c r="H924" s="8" t="n">
        <v>32</v>
      </c>
      <c r="I924" s="34" t="n">
        <v>30.5</v>
      </c>
      <c r="J924" s="34" t="n">
        <v>32</v>
      </c>
      <c r="K924" s="34" t="n">
        <f aca="false">MAX(ROUNDUP(I924,0),H924)</f>
        <v>32</v>
      </c>
      <c r="L924" s="34" t="n">
        <f aca="false">IF(J924="","",J924-K924)</f>
        <v>0</v>
      </c>
      <c r="M924" s="35" t="n">
        <v>10.4</v>
      </c>
      <c r="N924" s="35" t="n">
        <f aca="false">IF(C924="covered",10.4,7.55)</f>
        <v>10.4</v>
      </c>
      <c r="O924" s="35" t="n">
        <f aca="false">IF(M924="","",M924-N924)</f>
        <v>0</v>
      </c>
      <c r="P924" s="8" t="n">
        <v>1</v>
      </c>
      <c r="Q924" s="36" t="n">
        <v>332.8</v>
      </c>
      <c r="R924" s="36" t="n">
        <f aca="false">IF(OR(J924="",P924=""),"",K924*N924*P924)</f>
        <v>332.8</v>
      </c>
      <c r="S924" s="36" t="n">
        <f aca="false">IF(Q924="","",Q924-R924)</f>
        <v>0</v>
      </c>
      <c r="T924" s="36" t="n">
        <f aca="false">IF(S924="","",MAX(0,-S924))</f>
        <v>-0</v>
      </c>
      <c r="U924" s="36" t="n">
        <f aca="false">IF(S924="","",MAX(0,S924))</f>
        <v>0</v>
      </c>
      <c r="V924" s="8" t="str">
        <f aca="false">IF(J924="","NOT SCORED - NO JULY MONTHLY ROW",IF(OR(ABS(L924)&gt;0.005,ABS(O924)&gt;0.005,ABS(S924)&gt;0.005),"EXCEPTION","OK"))</f>
        <v>OK</v>
      </c>
      <c r="W924" s="8" t="s">
        <v>6412</v>
      </c>
      <c r="X924" s="8" t="s">
        <v>4099</v>
      </c>
      <c r="Y924" s="36" t="n">
        <f aca="false">K924*N924</f>
        <v>332.8</v>
      </c>
    </row>
    <row r="925" customFormat="false" ht="15" hidden="false" customHeight="false" outlineLevel="0" collapsed="false">
      <c r="A925" s="11" t="s">
        <v>1613</v>
      </c>
      <c r="B925" s="11" t="s">
        <v>200</v>
      </c>
      <c r="C925" s="11" t="s">
        <v>5306</v>
      </c>
      <c r="D925" s="11" t="s">
        <v>3580</v>
      </c>
      <c r="E925" s="11" t="s">
        <v>6413</v>
      </c>
      <c r="F925" s="11" t="s">
        <v>6414</v>
      </c>
      <c r="G925" s="11" t="s">
        <v>5943</v>
      </c>
      <c r="H925" s="11" t="n">
        <v>32</v>
      </c>
      <c r="I925" s="31" t="n">
        <v>32.2</v>
      </c>
      <c r="J925" s="31" t="n">
        <v>33</v>
      </c>
      <c r="K925" s="31" t="n">
        <f aca="false">MAX(ROUNDUP(I925,0),H925)</f>
        <v>33</v>
      </c>
      <c r="L925" s="31" t="n">
        <f aca="false">IF(J925="","",J925-K925)</f>
        <v>0</v>
      </c>
      <c r="M925" s="32" t="n">
        <v>10.4</v>
      </c>
      <c r="N925" s="32" t="n">
        <f aca="false">IF(C925="covered",10.4,7.55)</f>
        <v>10.4</v>
      </c>
      <c r="O925" s="32" t="n">
        <f aca="false">IF(M925="","",M925-N925)</f>
        <v>0</v>
      </c>
      <c r="P925" s="11" t="n">
        <v>1</v>
      </c>
      <c r="Q925" s="33" t="n">
        <v>343.2</v>
      </c>
      <c r="R925" s="33" t="n">
        <f aca="false">IF(OR(J925="",P925=""),"",K925*N925*P925)</f>
        <v>343.2</v>
      </c>
      <c r="S925" s="33" t="n">
        <f aca="false">IF(Q925="","",Q925-R925)</f>
        <v>0</v>
      </c>
      <c r="T925" s="33" t="n">
        <f aca="false">IF(S925="","",MAX(0,-S925))</f>
        <v>-0</v>
      </c>
      <c r="U925" s="33" t="n">
        <f aca="false">IF(S925="","",MAX(0,S925))</f>
        <v>0</v>
      </c>
      <c r="V925" s="11" t="str">
        <f aca="false">IF(J925="","NOT SCORED - NO JULY MONTHLY ROW",IF(OR(ABS(L925)&gt;0.005,ABS(O925)&gt;0.005,ABS(S925)&gt;0.005),"EXCEPTION","OK"))</f>
        <v>OK</v>
      </c>
      <c r="W925" s="11" t="s">
        <v>6415</v>
      </c>
      <c r="X925" s="11" t="s">
        <v>4099</v>
      </c>
      <c r="Y925" s="33" t="n">
        <f aca="false">K925*N925</f>
        <v>343.2</v>
      </c>
    </row>
    <row r="926" customFormat="false" ht="15" hidden="false" customHeight="false" outlineLevel="0" collapsed="false">
      <c r="A926" s="8" t="s">
        <v>6416</v>
      </c>
      <c r="B926" s="8" t="s">
        <v>200</v>
      </c>
      <c r="C926" s="8" t="s">
        <v>5306</v>
      </c>
      <c r="D926" s="8" t="s">
        <v>3584</v>
      </c>
      <c r="E926" s="8" t="s">
        <v>6417</v>
      </c>
      <c r="F926" s="8" t="s">
        <v>6418</v>
      </c>
      <c r="G926" s="8" t="s">
        <v>3594</v>
      </c>
      <c r="H926" s="8" t="n">
        <v>24</v>
      </c>
      <c r="I926" s="34" t="n">
        <v>45.8</v>
      </c>
      <c r="J926" s="34" t="n">
        <v>46</v>
      </c>
      <c r="K926" s="34" t="n">
        <f aca="false">MAX(ROUNDUP(I926,0),H926)</f>
        <v>46</v>
      </c>
      <c r="L926" s="34" t="n">
        <f aca="false">IF(J926="","",J926-K926)</f>
        <v>0</v>
      </c>
      <c r="M926" s="35" t="n">
        <v>10.4</v>
      </c>
      <c r="N926" s="35" t="n">
        <f aca="false">IF(C926="covered",10.4,7.55)</f>
        <v>10.4</v>
      </c>
      <c r="O926" s="35" t="n">
        <f aca="false">IF(M926="","",M926-N926)</f>
        <v>0</v>
      </c>
      <c r="P926" s="8" t="n">
        <v>1</v>
      </c>
      <c r="Q926" s="36" t="n">
        <v>478.4</v>
      </c>
      <c r="R926" s="36" t="n">
        <f aca="false">IF(OR(J926="",P926=""),"",K926*N926*P926)</f>
        <v>478.4</v>
      </c>
      <c r="S926" s="36" t="n">
        <f aca="false">IF(Q926="","",Q926-R926)</f>
        <v>0</v>
      </c>
      <c r="T926" s="36" t="n">
        <f aca="false">IF(S926="","",MAX(0,-S926))</f>
        <v>-0</v>
      </c>
      <c r="U926" s="36" t="n">
        <f aca="false">IF(S926="","",MAX(0,S926))</f>
        <v>0</v>
      </c>
      <c r="V926" s="8" t="str">
        <f aca="false">IF(J926="","NOT SCORED - NO JULY MONTHLY ROW",IF(OR(ABS(L926)&gt;0.005,ABS(O926)&gt;0.005,ABS(S926)&gt;0.005),"EXCEPTION","OK"))</f>
        <v>OK</v>
      </c>
      <c r="W926" s="8" t="s">
        <v>6419</v>
      </c>
      <c r="X926" s="8" t="s">
        <v>4099</v>
      </c>
      <c r="Y926" s="36" t="n">
        <f aca="false">K926*N926</f>
        <v>478.4</v>
      </c>
    </row>
    <row r="927" customFormat="false" ht="15" hidden="false" customHeight="false" outlineLevel="0" collapsed="false">
      <c r="A927" s="11" t="s">
        <v>1190</v>
      </c>
      <c r="B927" s="11" t="s">
        <v>200</v>
      </c>
      <c r="C927" s="11" t="s">
        <v>5306</v>
      </c>
      <c r="D927" s="11" t="s">
        <v>3588</v>
      </c>
      <c r="E927" s="11" t="s">
        <v>2046</v>
      </c>
      <c r="F927" s="11" t="s">
        <v>2047</v>
      </c>
      <c r="G927" s="11" t="s">
        <v>3544</v>
      </c>
      <c r="H927" s="11" t="n">
        <v>28</v>
      </c>
      <c r="I927" s="31" t="n">
        <v>18.3</v>
      </c>
      <c r="J927" s="31" t="n">
        <v>28</v>
      </c>
      <c r="K927" s="31" t="n">
        <f aca="false">MAX(ROUNDUP(I927,0),H927)</f>
        <v>28</v>
      </c>
      <c r="L927" s="31" t="n">
        <f aca="false">IF(J927="","",J927-K927)</f>
        <v>0</v>
      </c>
      <c r="M927" s="32" t="n">
        <v>10.4</v>
      </c>
      <c r="N927" s="32" t="n">
        <f aca="false">IF(C927="covered",10.4,7.55)</f>
        <v>10.4</v>
      </c>
      <c r="O927" s="32" t="n">
        <f aca="false">IF(M927="","",M927-N927)</f>
        <v>0</v>
      </c>
      <c r="P927" s="11" t="n">
        <v>1</v>
      </c>
      <c r="Q927" s="33" t="n">
        <v>291.2</v>
      </c>
      <c r="R927" s="33" t="n">
        <f aca="false">IF(OR(J927="",P927=""),"",K927*N927*P927)</f>
        <v>291.2</v>
      </c>
      <c r="S927" s="33" t="n">
        <f aca="false">IF(Q927="","",Q927-R927)</f>
        <v>0</v>
      </c>
      <c r="T927" s="33" t="n">
        <f aca="false">IF(S927="","",MAX(0,-S927))</f>
        <v>-0</v>
      </c>
      <c r="U927" s="33" t="n">
        <f aca="false">IF(S927="","",MAX(0,S927))</f>
        <v>0</v>
      </c>
      <c r="V927" s="11" t="str">
        <f aca="false">IF(J927="","NOT SCORED - NO JULY MONTHLY ROW",IF(OR(ABS(L927)&gt;0.005,ABS(O927)&gt;0.005,ABS(S927)&gt;0.005),"EXCEPTION","OK"))</f>
        <v>OK</v>
      </c>
      <c r="W927" s="11" t="s">
        <v>6420</v>
      </c>
      <c r="X927" s="11" t="s">
        <v>4099</v>
      </c>
      <c r="Y927" s="33" t="n">
        <f aca="false">K927*N927</f>
        <v>291.2</v>
      </c>
    </row>
    <row r="928" customFormat="false" ht="15" hidden="false" customHeight="false" outlineLevel="0" collapsed="false">
      <c r="A928" s="8" t="s">
        <v>6421</v>
      </c>
      <c r="B928" s="8" t="s">
        <v>200</v>
      </c>
      <c r="C928" s="8" t="s">
        <v>5306</v>
      </c>
      <c r="D928" s="8" t="s">
        <v>3591</v>
      </c>
      <c r="E928" s="8" t="s">
        <v>6422</v>
      </c>
      <c r="F928" s="8" t="s">
        <v>6423</v>
      </c>
      <c r="G928" s="8" t="s">
        <v>5308</v>
      </c>
      <c r="H928" s="8" t="n">
        <v>24</v>
      </c>
      <c r="I928" s="34" t="n">
        <v>32</v>
      </c>
      <c r="J928" s="34" t="n">
        <v>32</v>
      </c>
      <c r="K928" s="34" t="n">
        <f aca="false">MAX(ROUNDUP(I928,0),H928)</f>
        <v>32</v>
      </c>
      <c r="L928" s="34" t="n">
        <f aca="false">IF(J928="","",J928-K928)</f>
        <v>0</v>
      </c>
      <c r="M928" s="35" t="n">
        <v>10.4</v>
      </c>
      <c r="N928" s="35" t="n">
        <f aca="false">IF(C928="covered",10.4,7.55)</f>
        <v>10.4</v>
      </c>
      <c r="O928" s="35" t="n">
        <f aca="false">IF(M928="","",M928-N928)</f>
        <v>0</v>
      </c>
      <c r="P928" s="8" t="n">
        <v>1</v>
      </c>
      <c r="Q928" s="36" t="n">
        <v>332.8</v>
      </c>
      <c r="R928" s="36" t="n">
        <f aca="false">IF(OR(J928="",P928=""),"",K928*N928*P928)</f>
        <v>332.8</v>
      </c>
      <c r="S928" s="36" t="n">
        <f aca="false">IF(Q928="","",Q928-R928)</f>
        <v>0</v>
      </c>
      <c r="T928" s="36" t="n">
        <f aca="false">IF(S928="","",MAX(0,-S928))</f>
        <v>-0</v>
      </c>
      <c r="U928" s="36" t="n">
        <f aca="false">IF(S928="","",MAX(0,S928))</f>
        <v>0</v>
      </c>
      <c r="V928" s="8" t="str">
        <f aca="false">IF(J928="","NOT SCORED - NO JULY MONTHLY ROW",IF(OR(ABS(L928)&gt;0.005,ABS(O928)&gt;0.005,ABS(S928)&gt;0.005),"EXCEPTION","OK"))</f>
        <v>OK</v>
      </c>
      <c r="W928" s="8" t="s">
        <v>6424</v>
      </c>
      <c r="X928" s="8" t="s">
        <v>4099</v>
      </c>
      <c r="Y928" s="36" t="n">
        <f aca="false">K928*N928</f>
        <v>332.8</v>
      </c>
    </row>
    <row r="929" customFormat="false" ht="15" hidden="false" customHeight="false" outlineLevel="0" collapsed="false">
      <c r="A929" s="11" t="s">
        <v>6425</v>
      </c>
      <c r="B929" s="11" t="s">
        <v>200</v>
      </c>
      <c r="C929" s="11" t="s">
        <v>5306</v>
      </c>
      <c r="D929" s="11" t="s">
        <v>3596</v>
      </c>
      <c r="E929" s="11" t="s">
        <v>6426</v>
      </c>
      <c r="F929" s="11" t="s">
        <v>6427</v>
      </c>
      <c r="G929" s="11" t="s">
        <v>2906</v>
      </c>
      <c r="H929" s="11" t="n">
        <v>24</v>
      </c>
      <c r="I929" s="31" t="n">
        <v>41.8</v>
      </c>
      <c r="J929" s="31" t="n">
        <v>42</v>
      </c>
      <c r="K929" s="31" t="n">
        <f aca="false">MAX(ROUNDUP(I929,0),H929)</f>
        <v>42</v>
      </c>
      <c r="L929" s="31" t="n">
        <f aca="false">IF(J929="","",J929-K929)</f>
        <v>0</v>
      </c>
      <c r="M929" s="32" t="n">
        <v>10.4</v>
      </c>
      <c r="N929" s="32" t="n">
        <f aca="false">IF(C929="covered",10.4,7.55)</f>
        <v>10.4</v>
      </c>
      <c r="O929" s="32" t="n">
        <f aca="false">IF(M929="","",M929-N929)</f>
        <v>0</v>
      </c>
      <c r="P929" s="11" t="n">
        <v>1</v>
      </c>
      <c r="Q929" s="33" t="n">
        <v>436.8</v>
      </c>
      <c r="R929" s="33" t="n">
        <f aca="false">IF(OR(J929="",P929=""),"",K929*N929*P929)</f>
        <v>436.8</v>
      </c>
      <c r="S929" s="33" t="n">
        <f aca="false">IF(Q929="","",Q929-R929)</f>
        <v>0</v>
      </c>
      <c r="T929" s="33" t="n">
        <f aca="false">IF(S929="","",MAX(0,-S929))</f>
        <v>-0</v>
      </c>
      <c r="U929" s="33" t="n">
        <f aca="false">IF(S929="","",MAX(0,S929))</f>
        <v>0</v>
      </c>
      <c r="V929" s="11" t="str">
        <f aca="false">IF(J929="","NOT SCORED - NO JULY MONTHLY ROW",IF(OR(ABS(L929)&gt;0.005,ABS(O929)&gt;0.005,ABS(S929)&gt;0.005),"EXCEPTION","OK"))</f>
        <v>OK</v>
      </c>
      <c r="W929" s="11" t="s">
        <v>6428</v>
      </c>
      <c r="X929" s="11" t="s">
        <v>4099</v>
      </c>
      <c r="Y929" s="33" t="n">
        <f aca="false">K929*N929</f>
        <v>436.8</v>
      </c>
    </row>
    <row r="930" customFormat="false" ht="15" hidden="false" customHeight="false" outlineLevel="0" collapsed="false">
      <c r="A930" s="8" t="s">
        <v>6429</v>
      </c>
      <c r="B930" s="8" t="s">
        <v>200</v>
      </c>
      <c r="C930" s="8" t="s">
        <v>5306</v>
      </c>
      <c r="D930" s="8" t="s">
        <v>3601</v>
      </c>
      <c r="E930" s="8" t="s">
        <v>6430</v>
      </c>
      <c r="F930" s="8" t="s">
        <v>6431</v>
      </c>
      <c r="G930" s="8" t="s">
        <v>3160</v>
      </c>
      <c r="H930" s="8" t="n">
        <v>36</v>
      </c>
      <c r="I930" s="34" t="n">
        <v>20.6</v>
      </c>
      <c r="J930" s="34" t="n">
        <v>36</v>
      </c>
      <c r="K930" s="34" t="n">
        <f aca="false">MAX(ROUNDUP(I930,0),H930)</f>
        <v>36</v>
      </c>
      <c r="L930" s="34" t="n">
        <f aca="false">IF(J930="","",J930-K930)</f>
        <v>0</v>
      </c>
      <c r="M930" s="35" t="n">
        <v>10.4</v>
      </c>
      <c r="N930" s="35" t="n">
        <f aca="false">IF(C930="covered",10.4,7.55)</f>
        <v>10.4</v>
      </c>
      <c r="O930" s="35" t="n">
        <f aca="false">IF(M930="","",M930-N930)</f>
        <v>0</v>
      </c>
      <c r="P930" s="8" t="n">
        <v>1</v>
      </c>
      <c r="Q930" s="36" t="n">
        <v>374.4</v>
      </c>
      <c r="R930" s="36" t="n">
        <f aca="false">IF(OR(J930="",P930=""),"",K930*N930*P930)</f>
        <v>374.4</v>
      </c>
      <c r="S930" s="36" t="n">
        <f aca="false">IF(Q930="","",Q930-R930)</f>
        <v>0</v>
      </c>
      <c r="T930" s="36" t="n">
        <f aca="false">IF(S930="","",MAX(0,-S930))</f>
        <v>-0</v>
      </c>
      <c r="U930" s="36" t="n">
        <f aca="false">IF(S930="","",MAX(0,S930))</f>
        <v>0</v>
      </c>
      <c r="V930" s="8" t="str">
        <f aca="false">IF(J930="","NOT SCORED - NO JULY MONTHLY ROW",IF(OR(ABS(L930)&gt;0.005,ABS(O930)&gt;0.005,ABS(S930)&gt;0.005),"EXCEPTION","OK"))</f>
        <v>OK</v>
      </c>
      <c r="W930" s="8" t="s">
        <v>6432</v>
      </c>
      <c r="X930" s="8" t="s">
        <v>4099</v>
      </c>
      <c r="Y930" s="36" t="n">
        <f aca="false">K930*N930</f>
        <v>374.4</v>
      </c>
    </row>
    <row r="931" customFormat="false" ht="15" hidden="false" customHeight="false" outlineLevel="0" collapsed="false">
      <c r="A931" s="11" t="s">
        <v>6433</v>
      </c>
      <c r="B931" s="11" t="s">
        <v>200</v>
      </c>
      <c r="C931" s="11" t="s">
        <v>5306</v>
      </c>
      <c r="D931" s="11" t="s">
        <v>5160</v>
      </c>
      <c r="E931" s="11" t="s">
        <v>6434</v>
      </c>
      <c r="F931" s="11" t="s">
        <v>6435</v>
      </c>
      <c r="G931" s="11" t="s">
        <v>3770</v>
      </c>
      <c r="H931" s="11" t="n">
        <v>28</v>
      </c>
      <c r="I931" s="31" t="n">
        <v>38.6</v>
      </c>
      <c r="J931" s="31" t="n">
        <v>39</v>
      </c>
      <c r="K931" s="31" t="n">
        <f aca="false">MAX(ROUNDUP(I931,0),H931)</f>
        <v>39</v>
      </c>
      <c r="L931" s="31" t="n">
        <f aca="false">IF(J931="","",J931-K931)</f>
        <v>0</v>
      </c>
      <c r="M931" s="32" t="n">
        <v>10.4</v>
      </c>
      <c r="N931" s="32" t="n">
        <f aca="false">IF(C931="covered",10.4,7.55)</f>
        <v>10.4</v>
      </c>
      <c r="O931" s="32" t="n">
        <f aca="false">IF(M931="","",M931-N931)</f>
        <v>0</v>
      </c>
      <c r="P931" s="11" t="n">
        <v>1</v>
      </c>
      <c r="Q931" s="33" t="n">
        <v>405.6</v>
      </c>
      <c r="R931" s="33" t="n">
        <f aca="false">IF(OR(J931="",P931=""),"",K931*N931*P931)</f>
        <v>405.6</v>
      </c>
      <c r="S931" s="33" t="n">
        <f aca="false">IF(Q931="","",Q931-R931)</f>
        <v>0</v>
      </c>
      <c r="T931" s="33" t="n">
        <f aca="false">IF(S931="","",MAX(0,-S931))</f>
        <v>-0</v>
      </c>
      <c r="U931" s="33" t="n">
        <f aca="false">IF(S931="","",MAX(0,S931))</f>
        <v>0</v>
      </c>
      <c r="V931" s="11" t="str">
        <f aca="false">IF(J931="","NOT SCORED - NO JULY MONTHLY ROW",IF(OR(ABS(L931)&gt;0.005,ABS(O931)&gt;0.005,ABS(S931)&gt;0.005),"EXCEPTION","OK"))</f>
        <v>OK</v>
      </c>
      <c r="W931" s="11" t="s">
        <v>6436</v>
      </c>
      <c r="X931" s="11" t="s">
        <v>4099</v>
      </c>
      <c r="Y931" s="33" t="n">
        <f aca="false">K931*N931</f>
        <v>405.6</v>
      </c>
    </row>
    <row r="932" customFormat="false" ht="15" hidden="false" customHeight="false" outlineLevel="0" collapsed="false">
      <c r="A932" s="8" t="s">
        <v>853</v>
      </c>
      <c r="B932" s="8" t="s">
        <v>200</v>
      </c>
      <c r="C932" s="8" t="s">
        <v>5306</v>
      </c>
      <c r="D932" s="8" t="s">
        <v>3606</v>
      </c>
      <c r="E932" s="8" t="s">
        <v>6437</v>
      </c>
      <c r="F932" s="8" t="s">
        <v>6438</v>
      </c>
      <c r="G932" s="8" t="s">
        <v>4309</v>
      </c>
      <c r="H932" s="8" t="n">
        <v>32</v>
      </c>
      <c r="I932" s="34" t="n">
        <v>46.6</v>
      </c>
      <c r="J932" s="34" t="n">
        <v>47</v>
      </c>
      <c r="K932" s="34" t="n">
        <f aca="false">MAX(ROUNDUP(I932,0),H932)</f>
        <v>47</v>
      </c>
      <c r="L932" s="34" t="n">
        <f aca="false">IF(J932="","",J932-K932)</f>
        <v>0</v>
      </c>
      <c r="M932" s="35" t="n">
        <v>10.4</v>
      </c>
      <c r="N932" s="35" t="n">
        <f aca="false">IF(C932="covered",10.4,7.55)</f>
        <v>10.4</v>
      </c>
      <c r="O932" s="35" t="n">
        <f aca="false">IF(M932="","",M932-N932)</f>
        <v>0</v>
      </c>
      <c r="P932" s="8" t="n">
        <v>1</v>
      </c>
      <c r="Q932" s="36" t="n">
        <v>488.8</v>
      </c>
      <c r="R932" s="36" t="n">
        <f aca="false">IF(OR(J932="",P932=""),"",K932*N932*P932)</f>
        <v>488.8</v>
      </c>
      <c r="S932" s="36" t="n">
        <f aca="false">IF(Q932="","",Q932-R932)</f>
        <v>0</v>
      </c>
      <c r="T932" s="36" t="n">
        <f aca="false">IF(S932="","",MAX(0,-S932))</f>
        <v>-0</v>
      </c>
      <c r="U932" s="36" t="n">
        <f aca="false">IF(S932="","",MAX(0,S932))</f>
        <v>0</v>
      </c>
      <c r="V932" s="8" t="str">
        <f aca="false">IF(J932="","NOT SCORED - NO JULY MONTHLY ROW",IF(OR(ABS(L932)&gt;0.005,ABS(O932)&gt;0.005,ABS(S932)&gt;0.005),"EXCEPTION","OK"))</f>
        <v>OK</v>
      </c>
      <c r="W932" s="8" t="s">
        <v>6439</v>
      </c>
      <c r="X932" s="8" t="s">
        <v>4099</v>
      </c>
      <c r="Y932" s="36" t="n">
        <f aca="false">K932*N932</f>
        <v>488.8</v>
      </c>
    </row>
    <row r="933" customFormat="false" ht="15" hidden="false" customHeight="false" outlineLevel="0" collapsed="false">
      <c r="A933" s="11" t="s">
        <v>2028</v>
      </c>
      <c r="B933" s="11" t="s">
        <v>200</v>
      </c>
      <c r="C933" s="11" t="s">
        <v>5306</v>
      </c>
      <c r="D933" s="11" t="s">
        <v>3611</v>
      </c>
      <c r="E933" s="11" t="s">
        <v>6440</v>
      </c>
      <c r="F933" s="11" t="s">
        <v>6441</v>
      </c>
      <c r="G933" s="11" t="s">
        <v>3977</v>
      </c>
      <c r="H933" s="11" t="n">
        <v>24</v>
      </c>
      <c r="I933" s="31" t="n">
        <v>56.6</v>
      </c>
      <c r="J933" s="31" t="n">
        <v>57</v>
      </c>
      <c r="K933" s="31" t="n">
        <f aca="false">MAX(ROUNDUP(I933,0),H933)</f>
        <v>57</v>
      </c>
      <c r="L933" s="31" t="n">
        <f aca="false">IF(J933="","",J933-K933)</f>
        <v>0</v>
      </c>
      <c r="M933" s="32" t="n">
        <v>10.4</v>
      </c>
      <c r="N933" s="32" t="n">
        <f aca="false">IF(C933="covered",10.4,7.55)</f>
        <v>10.4</v>
      </c>
      <c r="O933" s="32" t="n">
        <f aca="false">IF(M933="","",M933-N933)</f>
        <v>0</v>
      </c>
      <c r="P933" s="11" t="n">
        <v>1</v>
      </c>
      <c r="Q933" s="33" t="n">
        <v>592.8</v>
      </c>
      <c r="R933" s="33" t="n">
        <f aca="false">IF(OR(J933="",P933=""),"",K933*N933*P933)</f>
        <v>592.8</v>
      </c>
      <c r="S933" s="33" t="n">
        <f aca="false">IF(Q933="","",Q933-R933)</f>
        <v>0</v>
      </c>
      <c r="T933" s="33" t="n">
        <f aca="false">IF(S933="","",MAX(0,-S933))</f>
        <v>-0</v>
      </c>
      <c r="U933" s="33" t="n">
        <f aca="false">IF(S933="","",MAX(0,S933))</f>
        <v>0</v>
      </c>
      <c r="V933" s="11" t="str">
        <f aca="false">IF(J933="","NOT SCORED - NO JULY MONTHLY ROW",IF(OR(ABS(L933)&gt;0.005,ABS(O933)&gt;0.005,ABS(S933)&gt;0.005),"EXCEPTION","OK"))</f>
        <v>OK</v>
      </c>
      <c r="W933" s="11" t="s">
        <v>6442</v>
      </c>
      <c r="X933" s="11" t="s">
        <v>4099</v>
      </c>
      <c r="Y933" s="33" t="n">
        <f aca="false">K933*N933</f>
        <v>592.8</v>
      </c>
    </row>
    <row r="934" customFormat="false" ht="15" hidden="false" customHeight="false" outlineLevel="0" collapsed="false">
      <c r="A934" s="8" t="s">
        <v>6443</v>
      </c>
      <c r="B934" s="8" t="s">
        <v>200</v>
      </c>
      <c r="C934" s="8" t="s">
        <v>5306</v>
      </c>
      <c r="D934" s="8" t="s">
        <v>3619</v>
      </c>
      <c r="E934" s="8" t="s">
        <v>1988</v>
      </c>
      <c r="F934" s="8" t="s">
        <v>1989</v>
      </c>
      <c r="G934" s="8" t="s">
        <v>5399</v>
      </c>
      <c r="H934" s="8" t="n">
        <v>24</v>
      </c>
      <c r="I934" s="34" t="n">
        <v>61.1</v>
      </c>
      <c r="J934" s="34" t="n">
        <v>62</v>
      </c>
      <c r="K934" s="34" t="n">
        <f aca="false">MAX(ROUNDUP(I934,0),H934)</f>
        <v>62</v>
      </c>
      <c r="L934" s="34" t="n">
        <f aca="false">IF(J934="","",J934-K934)</f>
        <v>0</v>
      </c>
      <c r="M934" s="35" t="n">
        <v>10.4</v>
      </c>
      <c r="N934" s="35" t="n">
        <f aca="false">IF(C934="covered",10.4,7.55)</f>
        <v>10.4</v>
      </c>
      <c r="O934" s="35" t="n">
        <f aca="false">IF(M934="","",M934-N934)</f>
        <v>0</v>
      </c>
      <c r="P934" s="8" t="n">
        <v>1</v>
      </c>
      <c r="Q934" s="36" t="n">
        <v>644.8</v>
      </c>
      <c r="R934" s="36" t="n">
        <f aca="false">IF(OR(J934="",P934=""),"",K934*N934*P934)</f>
        <v>644.8</v>
      </c>
      <c r="S934" s="36" t="n">
        <f aca="false">IF(Q934="","",Q934-R934)</f>
        <v>0</v>
      </c>
      <c r="T934" s="36" t="n">
        <f aca="false">IF(S934="","",MAX(0,-S934))</f>
        <v>-0</v>
      </c>
      <c r="U934" s="36" t="n">
        <f aca="false">IF(S934="","",MAX(0,S934))</f>
        <v>0</v>
      </c>
      <c r="V934" s="8" t="str">
        <f aca="false">IF(J934="","NOT SCORED - NO JULY MONTHLY ROW",IF(OR(ABS(L934)&gt;0.005,ABS(O934)&gt;0.005,ABS(S934)&gt;0.005),"EXCEPTION","OK"))</f>
        <v>OK</v>
      </c>
      <c r="W934" s="8" t="s">
        <v>6444</v>
      </c>
      <c r="X934" s="8" t="s">
        <v>4099</v>
      </c>
      <c r="Y934" s="36" t="n">
        <f aca="false">K934*N934</f>
        <v>644.8</v>
      </c>
    </row>
    <row r="935" customFormat="false" ht="15" hidden="false" customHeight="false" outlineLevel="0" collapsed="false">
      <c r="A935" s="11" t="s">
        <v>6445</v>
      </c>
      <c r="B935" s="11" t="s">
        <v>200</v>
      </c>
      <c r="C935" s="11" t="s">
        <v>5306</v>
      </c>
      <c r="D935" s="11" t="s">
        <v>3624</v>
      </c>
      <c r="E935" s="11" t="s">
        <v>6446</v>
      </c>
      <c r="F935" s="11" t="s">
        <v>6447</v>
      </c>
      <c r="G935" s="11" t="s">
        <v>6448</v>
      </c>
      <c r="H935" s="11" t="n">
        <v>28</v>
      </c>
      <c r="I935" s="31" t="n">
        <v>40</v>
      </c>
      <c r="J935" s="31" t="n">
        <v>40</v>
      </c>
      <c r="K935" s="31" t="n">
        <f aca="false">MAX(ROUNDUP(I935,0),H935)</f>
        <v>40</v>
      </c>
      <c r="L935" s="31" t="n">
        <f aca="false">IF(J935="","",J935-K935)</f>
        <v>0</v>
      </c>
      <c r="M935" s="32" t="n">
        <v>10.4</v>
      </c>
      <c r="N935" s="32" t="n">
        <f aca="false">IF(C935="covered",10.4,7.55)</f>
        <v>10.4</v>
      </c>
      <c r="O935" s="32" t="n">
        <f aca="false">IF(M935="","",M935-N935)</f>
        <v>0</v>
      </c>
      <c r="P935" s="11" t="n">
        <v>1</v>
      </c>
      <c r="Q935" s="33" t="n">
        <v>416</v>
      </c>
      <c r="R935" s="33" t="n">
        <f aca="false">IF(OR(J935="",P935=""),"",K935*N935*P935)</f>
        <v>416</v>
      </c>
      <c r="S935" s="33" t="n">
        <f aca="false">IF(Q935="","",Q935-R935)</f>
        <v>0</v>
      </c>
      <c r="T935" s="33" t="n">
        <f aca="false">IF(S935="","",MAX(0,-S935))</f>
        <v>-0</v>
      </c>
      <c r="U935" s="33" t="n">
        <f aca="false">IF(S935="","",MAX(0,S935))</f>
        <v>0</v>
      </c>
      <c r="V935" s="11" t="str">
        <f aca="false">IF(J935="","NOT SCORED - NO JULY MONTHLY ROW",IF(OR(ABS(L935)&gt;0.005,ABS(O935)&gt;0.005,ABS(S935)&gt;0.005),"EXCEPTION","OK"))</f>
        <v>OK</v>
      </c>
      <c r="W935" s="11" t="s">
        <v>6449</v>
      </c>
      <c r="X935" s="11" t="s">
        <v>4099</v>
      </c>
      <c r="Y935" s="33" t="n">
        <f aca="false">K935*N935</f>
        <v>416</v>
      </c>
    </row>
    <row r="936" customFormat="false" ht="15" hidden="false" customHeight="false" outlineLevel="0" collapsed="false">
      <c r="A936" s="8" t="s">
        <v>6450</v>
      </c>
      <c r="B936" s="8" t="s">
        <v>200</v>
      </c>
      <c r="C936" s="8" t="s">
        <v>5306</v>
      </c>
      <c r="D936" s="8" t="s">
        <v>3629</v>
      </c>
      <c r="E936" s="8" t="s">
        <v>6451</v>
      </c>
      <c r="F936" s="8" t="s">
        <v>6452</v>
      </c>
      <c r="G936" s="8" t="s">
        <v>5881</v>
      </c>
      <c r="H936" s="8" t="n">
        <v>36</v>
      </c>
      <c r="I936" s="34" t="n">
        <v>32.7</v>
      </c>
      <c r="J936" s="34" t="n">
        <v>36</v>
      </c>
      <c r="K936" s="34" t="n">
        <f aca="false">MAX(ROUNDUP(I936,0),H936)</f>
        <v>36</v>
      </c>
      <c r="L936" s="34" t="n">
        <f aca="false">IF(J936="","",J936-K936)</f>
        <v>0</v>
      </c>
      <c r="M936" s="35" t="n">
        <v>10.4</v>
      </c>
      <c r="N936" s="35" t="n">
        <f aca="false">IF(C936="covered",10.4,7.55)</f>
        <v>10.4</v>
      </c>
      <c r="O936" s="35" t="n">
        <f aca="false">IF(M936="","",M936-N936)</f>
        <v>0</v>
      </c>
      <c r="P936" s="8" t="n">
        <v>1</v>
      </c>
      <c r="Q936" s="36" t="n">
        <v>374.4</v>
      </c>
      <c r="R936" s="36" t="n">
        <f aca="false">IF(OR(J936="",P936=""),"",K936*N936*P936)</f>
        <v>374.4</v>
      </c>
      <c r="S936" s="36" t="n">
        <f aca="false">IF(Q936="","",Q936-R936)</f>
        <v>0</v>
      </c>
      <c r="T936" s="36" t="n">
        <f aca="false">IF(S936="","",MAX(0,-S936))</f>
        <v>-0</v>
      </c>
      <c r="U936" s="36" t="n">
        <f aca="false">IF(S936="","",MAX(0,S936))</f>
        <v>0</v>
      </c>
      <c r="V936" s="8" t="str">
        <f aca="false">IF(J936="","NOT SCORED - NO JULY MONTHLY ROW",IF(OR(ABS(L936)&gt;0.005,ABS(O936)&gt;0.005,ABS(S936)&gt;0.005),"EXCEPTION","OK"))</f>
        <v>OK</v>
      </c>
      <c r="W936" s="8" t="s">
        <v>6453</v>
      </c>
      <c r="X936" s="8" t="s">
        <v>4099</v>
      </c>
      <c r="Y936" s="36" t="n">
        <f aca="false">K936*N936</f>
        <v>374.4</v>
      </c>
    </row>
    <row r="937" customFormat="false" ht="15" hidden="false" customHeight="false" outlineLevel="0" collapsed="false">
      <c r="A937" s="11" t="s">
        <v>6454</v>
      </c>
      <c r="B937" s="11" t="s">
        <v>200</v>
      </c>
      <c r="C937" s="11" t="s">
        <v>5306</v>
      </c>
      <c r="D937" s="11" t="s">
        <v>3634</v>
      </c>
      <c r="E937" s="11" t="s">
        <v>548</v>
      </c>
      <c r="F937" s="11" t="s">
        <v>549</v>
      </c>
      <c r="G937" s="11" t="s">
        <v>4162</v>
      </c>
      <c r="H937" s="11" t="n">
        <v>24</v>
      </c>
      <c r="I937" s="31" t="n">
        <v>38.4</v>
      </c>
      <c r="J937" s="31" t="n">
        <v>39</v>
      </c>
      <c r="K937" s="31" t="n">
        <f aca="false">MAX(ROUNDUP(I937,0),H937)</f>
        <v>39</v>
      </c>
      <c r="L937" s="31" t="n">
        <f aca="false">IF(J937="","",J937-K937)</f>
        <v>0</v>
      </c>
      <c r="M937" s="32" t="n">
        <v>10.4</v>
      </c>
      <c r="N937" s="32" t="n">
        <f aca="false">IF(C937="covered",10.4,7.55)</f>
        <v>10.4</v>
      </c>
      <c r="O937" s="32" t="n">
        <f aca="false">IF(M937="","",M937-N937)</f>
        <v>0</v>
      </c>
      <c r="P937" s="11" t="n">
        <v>1</v>
      </c>
      <c r="Q937" s="33" t="n">
        <v>405.6</v>
      </c>
      <c r="R937" s="33" t="n">
        <f aca="false">IF(OR(J937="",P937=""),"",K937*N937*P937)</f>
        <v>405.6</v>
      </c>
      <c r="S937" s="33" t="n">
        <f aca="false">IF(Q937="","",Q937-R937)</f>
        <v>0</v>
      </c>
      <c r="T937" s="33" t="n">
        <f aca="false">IF(S937="","",MAX(0,-S937))</f>
        <v>-0</v>
      </c>
      <c r="U937" s="33" t="n">
        <f aca="false">IF(S937="","",MAX(0,S937))</f>
        <v>0</v>
      </c>
      <c r="V937" s="11" t="str">
        <f aca="false">IF(J937="","NOT SCORED - NO JULY MONTHLY ROW",IF(OR(ABS(L937)&gt;0.005,ABS(O937)&gt;0.005,ABS(S937)&gt;0.005),"EXCEPTION","OK"))</f>
        <v>OK</v>
      </c>
      <c r="W937" s="11" t="s">
        <v>6455</v>
      </c>
      <c r="X937" s="11" t="s">
        <v>4099</v>
      </c>
      <c r="Y937" s="33" t="n">
        <f aca="false">K937*N937</f>
        <v>405.6</v>
      </c>
    </row>
    <row r="938" customFormat="false" ht="15" hidden="false" customHeight="false" outlineLevel="0" collapsed="false">
      <c r="A938" s="8" t="s">
        <v>6456</v>
      </c>
      <c r="B938" s="8" t="s">
        <v>200</v>
      </c>
      <c r="C938" s="8" t="s">
        <v>5306</v>
      </c>
      <c r="D938" s="8" t="s">
        <v>3638</v>
      </c>
      <c r="E938" s="8" t="s">
        <v>6457</v>
      </c>
      <c r="F938" s="8" t="s">
        <v>6458</v>
      </c>
      <c r="G938" s="8" t="s">
        <v>3009</v>
      </c>
      <c r="H938" s="8" t="n">
        <v>32</v>
      </c>
      <c r="I938" s="34" t="n">
        <v>27.2</v>
      </c>
      <c r="J938" s="34" t="n">
        <v>32</v>
      </c>
      <c r="K938" s="34" t="n">
        <f aca="false">MAX(ROUNDUP(I938,0),H938)</f>
        <v>32</v>
      </c>
      <c r="L938" s="34" t="n">
        <f aca="false">IF(J938="","",J938-K938)</f>
        <v>0</v>
      </c>
      <c r="M938" s="35" t="n">
        <v>10.4</v>
      </c>
      <c r="N938" s="35" t="n">
        <f aca="false">IF(C938="covered",10.4,7.55)</f>
        <v>10.4</v>
      </c>
      <c r="O938" s="35" t="n">
        <f aca="false">IF(M938="","",M938-N938)</f>
        <v>0</v>
      </c>
      <c r="P938" s="8" t="n">
        <v>1</v>
      </c>
      <c r="Q938" s="36" t="n">
        <v>332.8</v>
      </c>
      <c r="R938" s="36" t="n">
        <f aca="false">IF(OR(J938="",P938=""),"",K938*N938*P938)</f>
        <v>332.8</v>
      </c>
      <c r="S938" s="36" t="n">
        <f aca="false">IF(Q938="","",Q938-R938)</f>
        <v>0</v>
      </c>
      <c r="T938" s="36" t="n">
        <f aca="false">IF(S938="","",MAX(0,-S938))</f>
        <v>-0</v>
      </c>
      <c r="U938" s="36" t="n">
        <f aca="false">IF(S938="","",MAX(0,S938))</f>
        <v>0</v>
      </c>
      <c r="V938" s="8" t="str">
        <f aca="false">IF(J938="","NOT SCORED - NO JULY MONTHLY ROW",IF(OR(ABS(L938)&gt;0.005,ABS(O938)&gt;0.005,ABS(S938)&gt;0.005),"EXCEPTION","OK"))</f>
        <v>OK</v>
      </c>
      <c r="W938" s="8" t="s">
        <v>6459</v>
      </c>
      <c r="X938" s="8" t="s">
        <v>4099</v>
      </c>
      <c r="Y938" s="36" t="n">
        <f aca="false">K938*N938</f>
        <v>332.8</v>
      </c>
    </row>
    <row r="939" customFormat="false" ht="15" hidden="false" customHeight="false" outlineLevel="0" collapsed="false">
      <c r="A939" s="11" t="s">
        <v>6460</v>
      </c>
      <c r="B939" s="11" t="s">
        <v>200</v>
      </c>
      <c r="C939" s="11" t="s">
        <v>5306</v>
      </c>
      <c r="D939" s="11" t="s">
        <v>3642</v>
      </c>
      <c r="E939" s="11" t="s">
        <v>6461</v>
      </c>
      <c r="F939" s="11" t="s">
        <v>6462</v>
      </c>
      <c r="G939" s="11" t="s">
        <v>2869</v>
      </c>
      <c r="H939" s="11" t="n">
        <v>28</v>
      </c>
      <c r="I939" s="31" t="n">
        <v>25.8</v>
      </c>
      <c r="J939" s="31" t="n">
        <v>28</v>
      </c>
      <c r="K939" s="31" t="n">
        <f aca="false">MAX(ROUNDUP(I939,0),H939)</f>
        <v>28</v>
      </c>
      <c r="L939" s="31" t="n">
        <f aca="false">IF(J939="","",J939-K939)</f>
        <v>0</v>
      </c>
      <c r="M939" s="32" t="n">
        <v>10.4</v>
      </c>
      <c r="N939" s="32" t="n">
        <f aca="false">IF(C939="covered",10.4,7.55)</f>
        <v>10.4</v>
      </c>
      <c r="O939" s="32" t="n">
        <f aca="false">IF(M939="","",M939-N939)</f>
        <v>0</v>
      </c>
      <c r="P939" s="11" t="n">
        <v>1</v>
      </c>
      <c r="Q939" s="33" t="n">
        <v>291.2</v>
      </c>
      <c r="R939" s="33" t="n">
        <f aca="false">IF(OR(J939="",P939=""),"",K939*N939*P939)</f>
        <v>291.2</v>
      </c>
      <c r="S939" s="33" t="n">
        <f aca="false">IF(Q939="","",Q939-R939)</f>
        <v>0</v>
      </c>
      <c r="T939" s="33" t="n">
        <f aca="false">IF(S939="","",MAX(0,-S939))</f>
        <v>-0</v>
      </c>
      <c r="U939" s="33" t="n">
        <f aca="false">IF(S939="","",MAX(0,S939))</f>
        <v>0</v>
      </c>
      <c r="V939" s="11" t="str">
        <f aca="false">IF(J939="","NOT SCORED - NO JULY MONTHLY ROW",IF(OR(ABS(L939)&gt;0.005,ABS(O939)&gt;0.005,ABS(S939)&gt;0.005),"EXCEPTION","OK"))</f>
        <v>OK</v>
      </c>
      <c r="W939" s="11" t="s">
        <v>6463</v>
      </c>
      <c r="X939" s="11" t="s">
        <v>4099</v>
      </c>
      <c r="Y939" s="33" t="n">
        <f aca="false">K939*N939</f>
        <v>291.2</v>
      </c>
    </row>
    <row r="940" customFormat="false" ht="15" hidden="false" customHeight="false" outlineLevel="0" collapsed="false">
      <c r="A940" s="8" t="s">
        <v>6464</v>
      </c>
      <c r="B940" s="8" t="s">
        <v>200</v>
      </c>
      <c r="C940" s="8" t="s">
        <v>5306</v>
      </c>
      <c r="D940" s="8" t="s">
        <v>3647</v>
      </c>
      <c r="E940" s="8" t="s">
        <v>6465</v>
      </c>
      <c r="F940" s="8" t="s">
        <v>6466</v>
      </c>
      <c r="G940" s="8" t="s">
        <v>6467</v>
      </c>
      <c r="H940" s="8" t="n">
        <v>32</v>
      </c>
      <c r="I940" s="34" t="n">
        <v>50</v>
      </c>
      <c r="J940" s="34" t="n">
        <v>50</v>
      </c>
      <c r="K940" s="34" t="n">
        <f aca="false">MAX(ROUNDUP(I940,0),H940)</f>
        <v>50</v>
      </c>
      <c r="L940" s="34" t="n">
        <f aca="false">IF(J940="","",J940-K940)</f>
        <v>0</v>
      </c>
      <c r="M940" s="35" t="n">
        <v>10.4</v>
      </c>
      <c r="N940" s="35" t="n">
        <f aca="false">IF(C940="covered",10.4,7.55)</f>
        <v>10.4</v>
      </c>
      <c r="O940" s="35" t="n">
        <f aca="false">IF(M940="","",M940-N940)</f>
        <v>0</v>
      </c>
      <c r="P940" s="8" t="n">
        <v>1</v>
      </c>
      <c r="Q940" s="36" t="n">
        <v>520</v>
      </c>
      <c r="R940" s="36" t="n">
        <f aca="false">IF(OR(J940="",P940=""),"",K940*N940*P940)</f>
        <v>520</v>
      </c>
      <c r="S940" s="36" t="n">
        <f aca="false">IF(Q940="","",Q940-R940)</f>
        <v>0</v>
      </c>
      <c r="T940" s="36" t="n">
        <f aca="false">IF(S940="","",MAX(0,-S940))</f>
        <v>-0</v>
      </c>
      <c r="U940" s="36" t="n">
        <f aca="false">IF(S940="","",MAX(0,S940))</f>
        <v>0</v>
      </c>
      <c r="V940" s="8" t="str">
        <f aca="false">IF(J940="","NOT SCORED - NO JULY MONTHLY ROW",IF(OR(ABS(L940)&gt;0.005,ABS(O940)&gt;0.005,ABS(S940)&gt;0.005),"EXCEPTION","OK"))</f>
        <v>OK</v>
      </c>
      <c r="W940" s="8" t="s">
        <v>6468</v>
      </c>
      <c r="X940" s="8" t="s">
        <v>4099</v>
      </c>
      <c r="Y940" s="36" t="n">
        <f aca="false">K940*N940</f>
        <v>520</v>
      </c>
    </row>
    <row r="941" customFormat="false" ht="15" hidden="false" customHeight="false" outlineLevel="0" collapsed="false">
      <c r="A941" s="11" t="s">
        <v>6469</v>
      </c>
      <c r="B941" s="11" t="s">
        <v>200</v>
      </c>
      <c r="C941" s="11" t="s">
        <v>5306</v>
      </c>
      <c r="D941" s="11" t="s">
        <v>3651</v>
      </c>
      <c r="E941" s="11" t="s">
        <v>143</v>
      </c>
      <c r="F941" s="11" t="s">
        <v>144</v>
      </c>
      <c r="G941" s="11" t="s">
        <v>5221</v>
      </c>
      <c r="H941" s="11" t="n">
        <v>28</v>
      </c>
      <c r="I941" s="31" t="n">
        <v>26.2</v>
      </c>
      <c r="J941" s="31" t="n">
        <v>28</v>
      </c>
      <c r="K941" s="31" t="n">
        <f aca="false">MAX(ROUNDUP(I941,0),H941)</f>
        <v>28</v>
      </c>
      <c r="L941" s="31" t="n">
        <f aca="false">IF(J941="","",J941-K941)</f>
        <v>0</v>
      </c>
      <c r="M941" s="32" t="n">
        <v>10.4</v>
      </c>
      <c r="N941" s="32" t="n">
        <f aca="false">IF(C941="covered",10.4,7.55)</f>
        <v>10.4</v>
      </c>
      <c r="O941" s="32" t="n">
        <f aca="false">IF(M941="","",M941-N941)</f>
        <v>0</v>
      </c>
      <c r="P941" s="11" t="n">
        <v>1</v>
      </c>
      <c r="Q941" s="33" t="n">
        <v>291.2</v>
      </c>
      <c r="R941" s="33" t="n">
        <f aca="false">IF(OR(J941="",P941=""),"",K941*N941*P941)</f>
        <v>291.2</v>
      </c>
      <c r="S941" s="33" t="n">
        <f aca="false">IF(Q941="","",Q941-R941)</f>
        <v>0</v>
      </c>
      <c r="T941" s="33" t="n">
        <f aca="false">IF(S941="","",MAX(0,-S941))</f>
        <v>-0</v>
      </c>
      <c r="U941" s="33" t="n">
        <f aca="false">IF(S941="","",MAX(0,S941))</f>
        <v>0</v>
      </c>
      <c r="V941" s="11" t="str">
        <f aca="false">IF(J941="","NOT SCORED - NO JULY MONTHLY ROW",IF(OR(ABS(L941)&gt;0.005,ABS(O941)&gt;0.005,ABS(S941)&gt;0.005),"EXCEPTION","OK"))</f>
        <v>OK</v>
      </c>
      <c r="W941" s="11" t="s">
        <v>6470</v>
      </c>
      <c r="X941" s="11" t="s">
        <v>4099</v>
      </c>
      <c r="Y941" s="33" t="n">
        <f aca="false">K941*N941</f>
        <v>291.2</v>
      </c>
    </row>
    <row r="942" customFormat="false" ht="15" hidden="false" customHeight="false" outlineLevel="0" collapsed="false">
      <c r="A942" s="8" t="s">
        <v>6471</v>
      </c>
      <c r="B942" s="8" t="s">
        <v>200</v>
      </c>
      <c r="C942" s="8" t="s">
        <v>5306</v>
      </c>
      <c r="D942" s="8" t="s">
        <v>3656</v>
      </c>
      <c r="E942" s="8" t="s">
        <v>6472</v>
      </c>
      <c r="F942" s="8" t="s">
        <v>6473</v>
      </c>
      <c r="G942" s="8" t="s">
        <v>2850</v>
      </c>
      <c r="H942" s="8" t="n">
        <v>40</v>
      </c>
      <c r="I942" s="34" t="n">
        <v>22.7</v>
      </c>
      <c r="J942" s="34" t="n">
        <v>40</v>
      </c>
      <c r="K942" s="34" t="n">
        <f aca="false">MAX(ROUNDUP(I942,0),H942)</f>
        <v>40</v>
      </c>
      <c r="L942" s="34" t="n">
        <f aca="false">IF(J942="","",J942-K942)</f>
        <v>0</v>
      </c>
      <c r="M942" s="35" t="n">
        <v>10.4</v>
      </c>
      <c r="N942" s="35" t="n">
        <f aca="false">IF(C942="covered",10.4,7.55)</f>
        <v>10.4</v>
      </c>
      <c r="O942" s="35" t="n">
        <f aca="false">IF(M942="","",M942-N942)</f>
        <v>0</v>
      </c>
      <c r="P942" s="8" t="n">
        <v>1</v>
      </c>
      <c r="Q942" s="36" t="n">
        <v>416</v>
      </c>
      <c r="R942" s="36" t="n">
        <f aca="false">IF(OR(J942="",P942=""),"",K942*N942*P942)</f>
        <v>416</v>
      </c>
      <c r="S942" s="36" t="n">
        <f aca="false">IF(Q942="","",Q942-R942)</f>
        <v>0</v>
      </c>
      <c r="T942" s="36" t="n">
        <f aca="false">IF(S942="","",MAX(0,-S942))</f>
        <v>-0</v>
      </c>
      <c r="U942" s="36" t="n">
        <f aca="false">IF(S942="","",MAX(0,S942))</f>
        <v>0</v>
      </c>
      <c r="V942" s="8" t="str">
        <f aca="false">IF(J942="","NOT SCORED - NO JULY MONTHLY ROW",IF(OR(ABS(L942)&gt;0.005,ABS(O942)&gt;0.005,ABS(S942)&gt;0.005),"EXCEPTION","OK"))</f>
        <v>OK</v>
      </c>
      <c r="W942" s="8" t="s">
        <v>6474</v>
      </c>
      <c r="X942" s="8" t="s">
        <v>4099</v>
      </c>
      <c r="Y942" s="36" t="n">
        <f aca="false">K942*N942</f>
        <v>416</v>
      </c>
    </row>
    <row r="943" customFormat="false" ht="15" hidden="false" customHeight="false" outlineLevel="0" collapsed="false">
      <c r="A943" s="11" t="s">
        <v>6475</v>
      </c>
      <c r="B943" s="11" t="s">
        <v>200</v>
      </c>
      <c r="C943" s="11" t="s">
        <v>5306</v>
      </c>
      <c r="D943" s="11" t="s">
        <v>3661</v>
      </c>
      <c r="E943" s="11" t="s">
        <v>6476</v>
      </c>
      <c r="F943" s="11" t="s">
        <v>6477</v>
      </c>
      <c r="G943" s="11" t="s">
        <v>2943</v>
      </c>
      <c r="H943" s="11" t="n">
        <v>40</v>
      </c>
      <c r="I943" s="31" t="n">
        <v>43.8</v>
      </c>
      <c r="J943" s="31" t="n">
        <v>44</v>
      </c>
      <c r="K943" s="31" t="n">
        <f aca="false">MAX(ROUNDUP(I943,0),H943)</f>
        <v>44</v>
      </c>
      <c r="L943" s="31" t="n">
        <f aca="false">IF(J943="","",J943-K943)</f>
        <v>0</v>
      </c>
      <c r="M943" s="32" t="n">
        <v>10.4</v>
      </c>
      <c r="N943" s="32" t="n">
        <f aca="false">IF(C943="covered",10.4,7.55)</f>
        <v>10.4</v>
      </c>
      <c r="O943" s="32" t="n">
        <f aca="false">IF(M943="","",M943-N943)</f>
        <v>0</v>
      </c>
      <c r="P943" s="11" t="n">
        <v>1</v>
      </c>
      <c r="Q943" s="33" t="n">
        <v>457.6</v>
      </c>
      <c r="R943" s="33" t="n">
        <f aca="false">IF(OR(J943="",P943=""),"",K943*N943*P943)</f>
        <v>457.6</v>
      </c>
      <c r="S943" s="33" t="n">
        <f aca="false">IF(Q943="","",Q943-R943)</f>
        <v>0</v>
      </c>
      <c r="T943" s="33" t="n">
        <f aca="false">IF(S943="","",MAX(0,-S943))</f>
        <v>-0</v>
      </c>
      <c r="U943" s="33" t="n">
        <f aca="false">IF(S943="","",MAX(0,S943))</f>
        <v>0</v>
      </c>
      <c r="V943" s="11" t="str">
        <f aca="false">IF(J943="","NOT SCORED - NO JULY MONTHLY ROW",IF(OR(ABS(L943)&gt;0.005,ABS(O943)&gt;0.005,ABS(S943)&gt;0.005),"EXCEPTION","OK"))</f>
        <v>OK</v>
      </c>
      <c r="W943" s="11" t="s">
        <v>6478</v>
      </c>
      <c r="X943" s="11" t="s">
        <v>4099</v>
      </c>
      <c r="Y943" s="33" t="n">
        <f aca="false">K943*N943</f>
        <v>457.6</v>
      </c>
    </row>
    <row r="944" customFormat="false" ht="15" hidden="false" customHeight="false" outlineLevel="0" collapsed="false">
      <c r="A944" s="8" t="s">
        <v>6479</v>
      </c>
      <c r="B944" s="8" t="s">
        <v>200</v>
      </c>
      <c r="C944" s="8" t="s">
        <v>5306</v>
      </c>
      <c r="D944" s="8" t="s">
        <v>3666</v>
      </c>
      <c r="E944" s="8" t="s">
        <v>6480</v>
      </c>
      <c r="F944" s="8" t="s">
        <v>6481</v>
      </c>
      <c r="G944" s="8" t="s">
        <v>4780</v>
      </c>
      <c r="H944" s="8" t="n">
        <v>36</v>
      </c>
      <c r="I944" s="34" t="n">
        <v>36.7</v>
      </c>
      <c r="J944" s="34" t="n">
        <v>37</v>
      </c>
      <c r="K944" s="34" t="n">
        <f aca="false">MAX(ROUNDUP(I944,0),H944)</f>
        <v>37</v>
      </c>
      <c r="L944" s="34" t="n">
        <f aca="false">IF(J944="","",J944-K944)</f>
        <v>0</v>
      </c>
      <c r="M944" s="35" t="n">
        <v>10.4</v>
      </c>
      <c r="N944" s="35" t="n">
        <f aca="false">IF(C944="covered",10.4,7.55)</f>
        <v>10.4</v>
      </c>
      <c r="O944" s="35" t="n">
        <f aca="false">IF(M944="","",M944-N944)</f>
        <v>0</v>
      </c>
      <c r="P944" s="8" t="n">
        <v>1</v>
      </c>
      <c r="Q944" s="36" t="n">
        <v>384.8</v>
      </c>
      <c r="R944" s="36" t="n">
        <f aca="false">IF(OR(J944="",P944=""),"",K944*N944*P944)</f>
        <v>384.8</v>
      </c>
      <c r="S944" s="36" t="n">
        <f aca="false">IF(Q944="","",Q944-R944)</f>
        <v>0</v>
      </c>
      <c r="T944" s="36" t="n">
        <f aca="false">IF(S944="","",MAX(0,-S944))</f>
        <v>-0</v>
      </c>
      <c r="U944" s="36" t="n">
        <f aca="false">IF(S944="","",MAX(0,S944))</f>
        <v>0</v>
      </c>
      <c r="V944" s="8" t="str">
        <f aca="false">IF(J944="","NOT SCORED - NO JULY MONTHLY ROW",IF(OR(ABS(L944)&gt;0.005,ABS(O944)&gt;0.005,ABS(S944)&gt;0.005),"EXCEPTION","OK"))</f>
        <v>OK</v>
      </c>
      <c r="W944" s="8" t="s">
        <v>6482</v>
      </c>
      <c r="X944" s="8" t="s">
        <v>4099</v>
      </c>
      <c r="Y944" s="36" t="n">
        <f aca="false">K944*N944</f>
        <v>384.8</v>
      </c>
    </row>
    <row r="945" customFormat="false" ht="15" hidden="false" customHeight="false" outlineLevel="0" collapsed="false">
      <c r="A945" s="11" t="s">
        <v>6483</v>
      </c>
      <c r="B945" s="11" t="s">
        <v>200</v>
      </c>
      <c r="C945" s="11" t="s">
        <v>5306</v>
      </c>
      <c r="D945" s="11" t="s">
        <v>3670</v>
      </c>
      <c r="E945" s="11" t="s">
        <v>6484</v>
      </c>
      <c r="F945" s="11" t="s">
        <v>6485</v>
      </c>
      <c r="G945" s="11" t="s">
        <v>3578</v>
      </c>
      <c r="H945" s="11" t="n">
        <v>24</v>
      </c>
      <c r="I945" s="31" t="n">
        <v>41.1</v>
      </c>
      <c r="J945" s="31" t="n">
        <v>42</v>
      </c>
      <c r="K945" s="31" t="n">
        <f aca="false">MAX(ROUNDUP(I945,0),H945)</f>
        <v>42</v>
      </c>
      <c r="L945" s="31" t="n">
        <f aca="false">IF(J945="","",J945-K945)</f>
        <v>0</v>
      </c>
      <c r="M945" s="32" t="n">
        <v>10.4</v>
      </c>
      <c r="N945" s="32" t="n">
        <f aca="false">IF(C945="covered",10.4,7.55)</f>
        <v>10.4</v>
      </c>
      <c r="O945" s="32" t="n">
        <f aca="false">IF(M945="","",M945-N945)</f>
        <v>0</v>
      </c>
      <c r="P945" s="11" t="n">
        <v>1</v>
      </c>
      <c r="Q945" s="33" t="n">
        <v>436.8</v>
      </c>
      <c r="R945" s="33" t="n">
        <f aca="false">IF(OR(J945="",P945=""),"",K945*N945*P945)</f>
        <v>436.8</v>
      </c>
      <c r="S945" s="33" t="n">
        <f aca="false">IF(Q945="","",Q945-R945)</f>
        <v>0</v>
      </c>
      <c r="T945" s="33" t="n">
        <f aca="false">IF(S945="","",MAX(0,-S945))</f>
        <v>-0</v>
      </c>
      <c r="U945" s="33" t="n">
        <f aca="false">IF(S945="","",MAX(0,S945))</f>
        <v>0</v>
      </c>
      <c r="V945" s="11" t="str">
        <f aca="false">IF(J945="","NOT SCORED - NO JULY MONTHLY ROW",IF(OR(ABS(L945)&gt;0.005,ABS(O945)&gt;0.005,ABS(S945)&gt;0.005),"EXCEPTION","OK"))</f>
        <v>OK</v>
      </c>
      <c r="W945" s="11" t="s">
        <v>6486</v>
      </c>
      <c r="X945" s="11" t="s">
        <v>4099</v>
      </c>
      <c r="Y945" s="33" t="n">
        <f aca="false">K945*N945</f>
        <v>436.8</v>
      </c>
    </row>
    <row r="946" customFormat="false" ht="15" hidden="false" customHeight="false" outlineLevel="0" collapsed="false">
      <c r="A946" s="8" t="s">
        <v>2023</v>
      </c>
      <c r="B946" s="8" t="s">
        <v>200</v>
      </c>
      <c r="C946" s="8" t="s">
        <v>5306</v>
      </c>
      <c r="D946" s="8" t="s">
        <v>3674</v>
      </c>
      <c r="E946" s="8" t="s">
        <v>275</v>
      </c>
      <c r="F946" s="8" t="s">
        <v>276</v>
      </c>
      <c r="G946" s="8" t="s">
        <v>4023</v>
      </c>
      <c r="H946" s="8" t="n">
        <v>36</v>
      </c>
      <c r="I946" s="34" t="n">
        <v>46.8</v>
      </c>
      <c r="J946" s="34" t="n">
        <v>47</v>
      </c>
      <c r="K946" s="34" t="n">
        <f aca="false">MAX(ROUNDUP(I946,0),H946)</f>
        <v>47</v>
      </c>
      <c r="L946" s="34" t="n">
        <f aca="false">IF(J946="","",J946-K946)</f>
        <v>0</v>
      </c>
      <c r="M946" s="35" t="n">
        <v>10.4</v>
      </c>
      <c r="N946" s="35" t="n">
        <f aca="false">IF(C946="covered",10.4,7.55)</f>
        <v>10.4</v>
      </c>
      <c r="O946" s="35" t="n">
        <f aca="false">IF(M946="","",M946-N946)</f>
        <v>0</v>
      </c>
      <c r="P946" s="8" t="n">
        <v>1</v>
      </c>
      <c r="Q946" s="36" t="n">
        <v>488.8</v>
      </c>
      <c r="R946" s="36" t="n">
        <f aca="false">IF(OR(J946="",P946=""),"",K946*N946*P946)</f>
        <v>488.8</v>
      </c>
      <c r="S946" s="36" t="n">
        <f aca="false">IF(Q946="","",Q946-R946)</f>
        <v>0</v>
      </c>
      <c r="T946" s="36" t="n">
        <f aca="false">IF(S946="","",MAX(0,-S946))</f>
        <v>-0</v>
      </c>
      <c r="U946" s="36" t="n">
        <f aca="false">IF(S946="","",MAX(0,S946))</f>
        <v>0</v>
      </c>
      <c r="V946" s="8" t="str">
        <f aca="false">IF(J946="","NOT SCORED - NO JULY MONTHLY ROW",IF(OR(ABS(L946)&gt;0.005,ABS(O946)&gt;0.005,ABS(S946)&gt;0.005),"EXCEPTION","OK"))</f>
        <v>OK</v>
      </c>
      <c r="W946" s="8" t="s">
        <v>6487</v>
      </c>
      <c r="X946" s="8" t="s">
        <v>4099</v>
      </c>
      <c r="Y946" s="36" t="n">
        <f aca="false">K946*N946</f>
        <v>488.8</v>
      </c>
    </row>
    <row r="947" customFormat="false" ht="15" hidden="false" customHeight="false" outlineLevel="0" collapsed="false">
      <c r="A947" s="11" t="s">
        <v>6488</v>
      </c>
      <c r="B947" s="11" t="s">
        <v>200</v>
      </c>
      <c r="C947" s="11" t="s">
        <v>5306</v>
      </c>
      <c r="D947" s="11" t="s">
        <v>3678</v>
      </c>
      <c r="E947" s="11" t="s">
        <v>6489</v>
      </c>
      <c r="F947" s="11" t="s">
        <v>6490</v>
      </c>
      <c r="G947" s="11" t="s">
        <v>6161</v>
      </c>
      <c r="H947" s="11" t="n">
        <v>28</v>
      </c>
      <c r="I947" s="31" t="n">
        <v>37.4</v>
      </c>
      <c r="J947" s="31" t="n">
        <v>38</v>
      </c>
      <c r="K947" s="31" t="n">
        <f aca="false">MAX(ROUNDUP(I947,0),H947)</f>
        <v>38</v>
      </c>
      <c r="L947" s="31" t="n">
        <f aca="false">IF(J947="","",J947-K947)</f>
        <v>0</v>
      </c>
      <c r="M947" s="32" t="n">
        <v>10.4</v>
      </c>
      <c r="N947" s="32" t="n">
        <f aca="false">IF(C947="covered",10.4,7.55)</f>
        <v>10.4</v>
      </c>
      <c r="O947" s="32" t="n">
        <f aca="false">IF(M947="","",M947-N947)</f>
        <v>0</v>
      </c>
      <c r="P947" s="11" t="n">
        <v>1</v>
      </c>
      <c r="Q947" s="33" t="n">
        <v>395.2</v>
      </c>
      <c r="R947" s="33" t="n">
        <f aca="false">IF(OR(J947="",P947=""),"",K947*N947*P947)</f>
        <v>395.2</v>
      </c>
      <c r="S947" s="33" t="n">
        <f aca="false">IF(Q947="","",Q947-R947)</f>
        <v>0</v>
      </c>
      <c r="T947" s="33" t="n">
        <f aca="false">IF(S947="","",MAX(0,-S947))</f>
        <v>-0</v>
      </c>
      <c r="U947" s="33" t="n">
        <f aca="false">IF(S947="","",MAX(0,S947))</f>
        <v>0</v>
      </c>
      <c r="V947" s="11" t="str">
        <f aca="false">IF(J947="","NOT SCORED - NO JULY MONTHLY ROW",IF(OR(ABS(L947)&gt;0.005,ABS(O947)&gt;0.005,ABS(S947)&gt;0.005),"EXCEPTION","OK"))</f>
        <v>OK</v>
      </c>
      <c r="W947" s="11" t="s">
        <v>6491</v>
      </c>
      <c r="X947" s="11" t="s">
        <v>4099</v>
      </c>
      <c r="Y947" s="33" t="n">
        <f aca="false">K947*N947</f>
        <v>395.2</v>
      </c>
    </row>
    <row r="948" customFormat="false" ht="15" hidden="false" customHeight="false" outlineLevel="0" collapsed="false">
      <c r="A948" s="8" t="s">
        <v>6492</v>
      </c>
      <c r="B948" s="8" t="s">
        <v>200</v>
      </c>
      <c r="C948" s="8" t="s">
        <v>5306</v>
      </c>
      <c r="D948" s="8" t="s">
        <v>3685</v>
      </c>
      <c r="E948" s="8" t="s">
        <v>2783</v>
      </c>
      <c r="F948" s="8" t="s">
        <v>6493</v>
      </c>
      <c r="G948" s="8" t="s">
        <v>6494</v>
      </c>
      <c r="H948" s="8" t="n">
        <v>36</v>
      </c>
      <c r="I948" s="34" t="n">
        <v>55.4</v>
      </c>
      <c r="J948" s="34" t="n">
        <v>56</v>
      </c>
      <c r="K948" s="34" t="n">
        <f aca="false">MAX(ROUNDUP(I948,0),H948)</f>
        <v>56</v>
      </c>
      <c r="L948" s="34" t="n">
        <f aca="false">IF(J948="","",J948-K948)</f>
        <v>0</v>
      </c>
      <c r="M948" s="35" t="n">
        <v>10.4</v>
      </c>
      <c r="N948" s="35" t="n">
        <f aca="false">IF(C948="covered",10.4,7.55)</f>
        <v>10.4</v>
      </c>
      <c r="O948" s="35" t="n">
        <f aca="false">IF(M948="","",M948-N948)</f>
        <v>0</v>
      </c>
      <c r="P948" s="8" t="n">
        <v>1</v>
      </c>
      <c r="Q948" s="36" t="n">
        <v>582.4</v>
      </c>
      <c r="R948" s="36" t="n">
        <f aca="false">IF(OR(J948="",P948=""),"",K948*N948*P948)</f>
        <v>582.4</v>
      </c>
      <c r="S948" s="36" t="n">
        <f aca="false">IF(Q948="","",Q948-R948)</f>
        <v>0</v>
      </c>
      <c r="T948" s="36" t="n">
        <f aca="false">IF(S948="","",MAX(0,-S948))</f>
        <v>-0</v>
      </c>
      <c r="U948" s="36" t="n">
        <f aca="false">IF(S948="","",MAX(0,S948))</f>
        <v>0</v>
      </c>
      <c r="V948" s="8" t="str">
        <f aca="false">IF(J948="","NOT SCORED - NO JULY MONTHLY ROW",IF(OR(ABS(L948)&gt;0.005,ABS(O948)&gt;0.005,ABS(S948)&gt;0.005),"EXCEPTION","OK"))</f>
        <v>OK</v>
      </c>
      <c r="W948" s="8" t="s">
        <v>6495</v>
      </c>
      <c r="X948" s="8" t="s">
        <v>4099</v>
      </c>
      <c r="Y948" s="36" t="n">
        <f aca="false">K948*N948</f>
        <v>582.4</v>
      </c>
    </row>
    <row r="949" customFormat="false" ht="15" hidden="false" customHeight="false" outlineLevel="0" collapsed="false">
      <c r="A949" s="11" t="s">
        <v>6496</v>
      </c>
      <c r="B949" s="11" t="s">
        <v>200</v>
      </c>
      <c r="C949" s="11" t="s">
        <v>5306</v>
      </c>
      <c r="D949" s="11" t="s">
        <v>3689</v>
      </c>
      <c r="E949" s="11" t="s">
        <v>6497</v>
      </c>
      <c r="F949" s="11" t="s">
        <v>6498</v>
      </c>
      <c r="G949" s="11" t="s">
        <v>3740</v>
      </c>
      <c r="H949" s="11" t="n">
        <v>40</v>
      </c>
      <c r="I949" s="31" t="n">
        <v>56.4</v>
      </c>
      <c r="J949" s="31" t="n">
        <v>57</v>
      </c>
      <c r="K949" s="31" t="n">
        <f aca="false">MAX(ROUNDUP(I949,0),H949)</f>
        <v>57</v>
      </c>
      <c r="L949" s="31" t="n">
        <f aca="false">IF(J949="","",J949-K949)</f>
        <v>0</v>
      </c>
      <c r="M949" s="32" t="n">
        <v>10.4</v>
      </c>
      <c r="N949" s="32" t="n">
        <f aca="false">IF(C949="covered",10.4,7.55)</f>
        <v>10.4</v>
      </c>
      <c r="O949" s="32" t="n">
        <f aca="false">IF(M949="","",M949-N949)</f>
        <v>0</v>
      </c>
      <c r="P949" s="11" t="n">
        <v>1</v>
      </c>
      <c r="Q949" s="33" t="n">
        <v>592.8</v>
      </c>
      <c r="R949" s="33" t="n">
        <f aca="false">IF(OR(J949="",P949=""),"",K949*N949*P949)</f>
        <v>592.8</v>
      </c>
      <c r="S949" s="33" t="n">
        <f aca="false">IF(Q949="","",Q949-R949)</f>
        <v>0</v>
      </c>
      <c r="T949" s="33" t="n">
        <f aca="false">IF(S949="","",MAX(0,-S949))</f>
        <v>-0</v>
      </c>
      <c r="U949" s="33" t="n">
        <f aca="false">IF(S949="","",MAX(0,S949))</f>
        <v>0</v>
      </c>
      <c r="V949" s="11" t="str">
        <f aca="false">IF(J949="","NOT SCORED - NO JULY MONTHLY ROW",IF(OR(ABS(L949)&gt;0.005,ABS(O949)&gt;0.005,ABS(S949)&gt;0.005),"EXCEPTION","OK"))</f>
        <v>OK</v>
      </c>
      <c r="W949" s="11" t="s">
        <v>6499</v>
      </c>
      <c r="X949" s="11" t="s">
        <v>4099</v>
      </c>
      <c r="Y949" s="33" t="n">
        <f aca="false">K949*N949</f>
        <v>592.8</v>
      </c>
    </row>
    <row r="950" customFormat="false" ht="15" hidden="false" customHeight="false" outlineLevel="0" collapsed="false">
      <c r="A950" s="8" t="s">
        <v>6500</v>
      </c>
      <c r="B950" s="8" t="s">
        <v>200</v>
      </c>
      <c r="C950" s="8" t="s">
        <v>5306</v>
      </c>
      <c r="D950" s="8" t="s">
        <v>3693</v>
      </c>
      <c r="E950" s="8" t="s">
        <v>6501</v>
      </c>
      <c r="F950" s="8" t="s">
        <v>6502</v>
      </c>
      <c r="G950" s="8" t="s">
        <v>5743</v>
      </c>
      <c r="H950" s="8" t="n">
        <v>24</v>
      </c>
      <c r="I950" s="34" t="n">
        <v>30.6</v>
      </c>
      <c r="J950" s="34" t="n">
        <v>31</v>
      </c>
      <c r="K950" s="34" t="n">
        <f aca="false">MAX(ROUNDUP(I950,0),H950)</f>
        <v>31</v>
      </c>
      <c r="L950" s="34" t="n">
        <f aca="false">IF(J950="","",J950-K950)</f>
        <v>0</v>
      </c>
      <c r="M950" s="35" t="n">
        <v>10.4</v>
      </c>
      <c r="N950" s="35" t="n">
        <f aca="false">IF(C950="covered",10.4,7.55)</f>
        <v>10.4</v>
      </c>
      <c r="O950" s="35" t="n">
        <f aca="false">IF(M950="","",M950-N950)</f>
        <v>0</v>
      </c>
      <c r="P950" s="8" t="n">
        <v>1</v>
      </c>
      <c r="Q950" s="36" t="n">
        <v>322.4</v>
      </c>
      <c r="R950" s="36" t="n">
        <f aca="false">IF(OR(J950="",P950=""),"",K950*N950*P950)</f>
        <v>322.4</v>
      </c>
      <c r="S950" s="36" t="n">
        <f aca="false">IF(Q950="","",Q950-R950)</f>
        <v>0</v>
      </c>
      <c r="T950" s="36" t="n">
        <f aca="false">IF(S950="","",MAX(0,-S950))</f>
        <v>-0</v>
      </c>
      <c r="U950" s="36" t="n">
        <f aca="false">IF(S950="","",MAX(0,S950))</f>
        <v>0</v>
      </c>
      <c r="V950" s="8" t="str">
        <f aca="false">IF(J950="","NOT SCORED - NO JULY MONTHLY ROW",IF(OR(ABS(L950)&gt;0.005,ABS(O950)&gt;0.005,ABS(S950)&gt;0.005),"EXCEPTION","OK"))</f>
        <v>OK</v>
      </c>
      <c r="W950" s="8" t="s">
        <v>6503</v>
      </c>
      <c r="X950" s="8" t="s">
        <v>4099</v>
      </c>
      <c r="Y950" s="36" t="n">
        <f aca="false">K950*N950</f>
        <v>322.4</v>
      </c>
    </row>
    <row r="951" customFormat="false" ht="15" hidden="false" customHeight="false" outlineLevel="0" collapsed="false">
      <c r="A951" s="11" t="s">
        <v>6504</v>
      </c>
      <c r="B951" s="11" t="s">
        <v>200</v>
      </c>
      <c r="C951" s="11" t="s">
        <v>5306</v>
      </c>
      <c r="D951" s="11" t="s">
        <v>3697</v>
      </c>
      <c r="E951" s="11" t="s">
        <v>6505</v>
      </c>
      <c r="F951" s="11" t="s">
        <v>6506</v>
      </c>
      <c r="G951" s="11" t="s">
        <v>3165</v>
      </c>
      <c r="H951" s="11" t="n">
        <v>36</v>
      </c>
      <c r="I951" s="31" t="n">
        <v>52.4</v>
      </c>
      <c r="J951" s="31" t="n">
        <v>53</v>
      </c>
      <c r="K951" s="31" t="n">
        <f aca="false">MAX(ROUNDUP(I951,0),H951)</f>
        <v>53</v>
      </c>
      <c r="L951" s="31" t="n">
        <f aca="false">IF(J951="","",J951-K951)</f>
        <v>0</v>
      </c>
      <c r="M951" s="32" t="n">
        <v>10.4</v>
      </c>
      <c r="N951" s="32" t="n">
        <f aca="false">IF(C951="covered",10.4,7.55)</f>
        <v>10.4</v>
      </c>
      <c r="O951" s="32" t="n">
        <f aca="false">IF(M951="","",M951-N951)</f>
        <v>0</v>
      </c>
      <c r="P951" s="11" t="n">
        <v>1</v>
      </c>
      <c r="Q951" s="33" t="n">
        <v>551.2</v>
      </c>
      <c r="R951" s="33" t="n">
        <f aca="false">IF(OR(J951="",P951=""),"",K951*N951*P951)</f>
        <v>551.2</v>
      </c>
      <c r="S951" s="33" t="n">
        <f aca="false">IF(Q951="","",Q951-R951)</f>
        <v>0</v>
      </c>
      <c r="T951" s="33" t="n">
        <f aca="false">IF(S951="","",MAX(0,-S951))</f>
        <v>-0</v>
      </c>
      <c r="U951" s="33" t="n">
        <f aca="false">IF(S951="","",MAX(0,S951))</f>
        <v>0</v>
      </c>
      <c r="V951" s="11" t="str">
        <f aca="false">IF(J951="","NOT SCORED - NO JULY MONTHLY ROW",IF(OR(ABS(L951)&gt;0.005,ABS(O951)&gt;0.005,ABS(S951)&gt;0.005),"EXCEPTION","OK"))</f>
        <v>OK</v>
      </c>
      <c r="W951" s="11" t="s">
        <v>6507</v>
      </c>
      <c r="X951" s="11" t="s">
        <v>4099</v>
      </c>
      <c r="Y951" s="33" t="n">
        <f aca="false">K951*N951</f>
        <v>551.2</v>
      </c>
    </row>
    <row r="952" customFormat="false" ht="15" hidden="false" customHeight="false" outlineLevel="0" collapsed="false">
      <c r="A952" s="8" t="s">
        <v>1456</v>
      </c>
      <c r="B952" s="8" t="s">
        <v>200</v>
      </c>
      <c r="C952" s="8" t="s">
        <v>5306</v>
      </c>
      <c r="D952" s="8" t="s">
        <v>3702</v>
      </c>
      <c r="E952" s="8" t="s">
        <v>1241</v>
      </c>
      <c r="F952" s="8" t="s">
        <v>1242</v>
      </c>
      <c r="G952" s="8" t="s">
        <v>4189</v>
      </c>
      <c r="H952" s="8" t="n">
        <v>32</v>
      </c>
      <c r="I952" s="34" t="n">
        <v>57</v>
      </c>
      <c r="J952" s="34" t="n">
        <v>57</v>
      </c>
      <c r="K952" s="34" t="n">
        <f aca="false">MAX(ROUNDUP(I952,0),H952)</f>
        <v>57</v>
      </c>
      <c r="L952" s="34" t="n">
        <f aca="false">IF(J952="","",J952-K952)</f>
        <v>0</v>
      </c>
      <c r="M952" s="35" t="n">
        <v>10.4</v>
      </c>
      <c r="N952" s="35" t="n">
        <f aca="false">IF(C952="covered",10.4,7.55)</f>
        <v>10.4</v>
      </c>
      <c r="O952" s="35" t="n">
        <f aca="false">IF(M952="","",M952-N952)</f>
        <v>0</v>
      </c>
      <c r="P952" s="8" t="n">
        <v>1</v>
      </c>
      <c r="Q952" s="36" t="n">
        <v>592.8</v>
      </c>
      <c r="R952" s="36" t="n">
        <f aca="false">IF(OR(J952="",P952=""),"",K952*N952*P952)</f>
        <v>592.8</v>
      </c>
      <c r="S952" s="36" t="n">
        <f aca="false">IF(Q952="","",Q952-R952)</f>
        <v>0</v>
      </c>
      <c r="T952" s="36" t="n">
        <f aca="false">IF(S952="","",MAX(0,-S952))</f>
        <v>-0</v>
      </c>
      <c r="U952" s="36" t="n">
        <f aca="false">IF(S952="","",MAX(0,S952))</f>
        <v>0</v>
      </c>
      <c r="V952" s="8" t="str">
        <f aca="false">IF(J952="","NOT SCORED - NO JULY MONTHLY ROW",IF(OR(ABS(L952)&gt;0.005,ABS(O952)&gt;0.005,ABS(S952)&gt;0.005),"EXCEPTION","OK"))</f>
        <v>OK</v>
      </c>
      <c r="W952" s="8" t="s">
        <v>6508</v>
      </c>
      <c r="X952" s="8" t="s">
        <v>4099</v>
      </c>
      <c r="Y952" s="36" t="n">
        <f aca="false">K952*N952</f>
        <v>592.8</v>
      </c>
    </row>
    <row r="953" customFormat="false" ht="15" hidden="false" customHeight="false" outlineLevel="0" collapsed="false">
      <c r="A953" s="11" t="s">
        <v>6509</v>
      </c>
      <c r="B953" s="11" t="s">
        <v>200</v>
      </c>
      <c r="C953" s="11" t="s">
        <v>5306</v>
      </c>
      <c r="D953" s="11" t="s">
        <v>3705</v>
      </c>
      <c r="E953" s="11" t="s">
        <v>6510</v>
      </c>
      <c r="F953" s="11" t="s">
        <v>6511</v>
      </c>
      <c r="G953" s="11" t="s">
        <v>3865</v>
      </c>
      <c r="H953" s="11" t="n">
        <v>32</v>
      </c>
      <c r="I953" s="31" t="n">
        <v>20.6</v>
      </c>
      <c r="J953" s="31" t="n">
        <v>32</v>
      </c>
      <c r="K953" s="31" t="n">
        <f aca="false">MAX(ROUNDUP(I953,0),H953)</f>
        <v>32</v>
      </c>
      <c r="L953" s="31" t="n">
        <f aca="false">IF(J953="","",J953-K953)</f>
        <v>0</v>
      </c>
      <c r="M953" s="32" t="n">
        <v>10.4</v>
      </c>
      <c r="N953" s="32" t="n">
        <f aca="false">IF(C953="covered",10.4,7.55)</f>
        <v>10.4</v>
      </c>
      <c r="O953" s="32" t="n">
        <f aca="false">IF(M953="","",M953-N953)</f>
        <v>0</v>
      </c>
      <c r="P953" s="11" t="n">
        <v>1</v>
      </c>
      <c r="Q953" s="33" t="n">
        <v>332.8</v>
      </c>
      <c r="R953" s="33" t="n">
        <f aca="false">IF(OR(J953="",P953=""),"",K953*N953*P953)</f>
        <v>332.8</v>
      </c>
      <c r="S953" s="33" t="n">
        <f aca="false">IF(Q953="","",Q953-R953)</f>
        <v>0</v>
      </c>
      <c r="T953" s="33" t="n">
        <f aca="false">IF(S953="","",MAX(0,-S953))</f>
        <v>-0</v>
      </c>
      <c r="U953" s="33" t="n">
        <f aca="false">IF(S953="","",MAX(0,S953))</f>
        <v>0</v>
      </c>
      <c r="V953" s="11" t="str">
        <f aca="false">IF(J953="","NOT SCORED - NO JULY MONTHLY ROW",IF(OR(ABS(L953)&gt;0.005,ABS(O953)&gt;0.005,ABS(S953)&gt;0.005),"EXCEPTION","OK"))</f>
        <v>OK</v>
      </c>
      <c r="W953" s="11" t="s">
        <v>6512</v>
      </c>
      <c r="X953" s="11" t="s">
        <v>4099</v>
      </c>
      <c r="Y953" s="33" t="n">
        <f aca="false">K953*N953</f>
        <v>332.8</v>
      </c>
    </row>
    <row r="954" customFormat="false" ht="15" hidden="false" customHeight="false" outlineLevel="0" collapsed="false">
      <c r="A954" s="8" t="s">
        <v>6513</v>
      </c>
      <c r="B954" s="8" t="s">
        <v>200</v>
      </c>
      <c r="C954" s="8" t="s">
        <v>5306</v>
      </c>
      <c r="D954" s="8" t="s">
        <v>3708</v>
      </c>
      <c r="E954" s="8" t="s">
        <v>6514</v>
      </c>
      <c r="F954" s="8" t="s">
        <v>6515</v>
      </c>
      <c r="G954" s="8" t="s">
        <v>5712</v>
      </c>
      <c r="H954" s="8" t="n">
        <v>24</v>
      </c>
      <c r="I954" s="34" t="n">
        <v>37</v>
      </c>
      <c r="J954" s="34" t="n">
        <v>37</v>
      </c>
      <c r="K954" s="34" t="n">
        <f aca="false">MAX(ROUNDUP(I954,0),H954)</f>
        <v>37</v>
      </c>
      <c r="L954" s="34" t="n">
        <f aca="false">IF(J954="","",J954-K954)</f>
        <v>0</v>
      </c>
      <c r="M954" s="35" t="n">
        <v>10.4</v>
      </c>
      <c r="N954" s="35" t="n">
        <f aca="false">IF(C954="covered",10.4,7.55)</f>
        <v>10.4</v>
      </c>
      <c r="O954" s="35" t="n">
        <f aca="false">IF(M954="","",M954-N954)</f>
        <v>0</v>
      </c>
      <c r="P954" s="8" t="n">
        <v>1</v>
      </c>
      <c r="Q954" s="36" t="n">
        <v>384.8</v>
      </c>
      <c r="R954" s="36" t="n">
        <f aca="false">IF(OR(J954="",P954=""),"",K954*N954*P954)</f>
        <v>384.8</v>
      </c>
      <c r="S954" s="36" t="n">
        <f aca="false">IF(Q954="","",Q954-R954)</f>
        <v>0</v>
      </c>
      <c r="T954" s="36" t="n">
        <f aca="false">IF(S954="","",MAX(0,-S954))</f>
        <v>-0</v>
      </c>
      <c r="U954" s="36" t="n">
        <f aca="false">IF(S954="","",MAX(0,S954))</f>
        <v>0</v>
      </c>
      <c r="V954" s="8" t="str">
        <f aca="false">IF(J954="","NOT SCORED - NO JULY MONTHLY ROW",IF(OR(ABS(L954)&gt;0.005,ABS(O954)&gt;0.005,ABS(S954)&gt;0.005),"EXCEPTION","OK"))</f>
        <v>OK</v>
      </c>
      <c r="W954" s="8" t="s">
        <v>6516</v>
      </c>
      <c r="X954" s="8" t="s">
        <v>4099</v>
      </c>
      <c r="Y954" s="36" t="n">
        <f aca="false">K954*N954</f>
        <v>384.8</v>
      </c>
    </row>
    <row r="955" customFormat="false" ht="15" hidden="false" customHeight="false" outlineLevel="0" collapsed="false">
      <c r="A955" s="11" t="s">
        <v>6517</v>
      </c>
      <c r="B955" s="11" t="s">
        <v>200</v>
      </c>
      <c r="C955" s="11" t="s">
        <v>5306</v>
      </c>
      <c r="D955" s="11" t="s">
        <v>3713</v>
      </c>
      <c r="E955" s="11" t="s">
        <v>6518</v>
      </c>
      <c r="F955" s="11" t="s">
        <v>6519</v>
      </c>
      <c r="G955" s="11" t="s">
        <v>5810</v>
      </c>
      <c r="H955" s="11" t="n">
        <v>36</v>
      </c>
      <c r="I955" s="31" t="n">
        <v>55.9</v>
      </c>
      <c r="J955" s="31" t="n">
        <v>56</v>
      </c>
      <c r="K955" s="31" t="n">
        <f aca="false">MAX(ROUNDUP(I955,0),H955)</f>
        <v>56</v>
      </c>
      <c r="L955" s="31" t="n">
        <f aca="false">IF(J955="","",J955-K955)</f>
        <v>0</v>
      </c>
      <c r="M955" s="32" t="n">
        <v>10.4</v>
      </c>
      <c r="N955" s="32" t="n">
        <f aca="false">IF(C955="covered",10.4,7.55)</f>
        <v>10.4</v>
      </c>
      <c r="O955" s="32" t="n">
        <f aca="false">IF(M955="","",M955-N955)</f>
        <v>0</v>
      </c>
      <c r="P955" s="11" t="n">
        <v>1</v>
      </c>
      <c r="Q955" s="33" t="n">
        <v>582.4</v>
      </c>
      <c r="R955" s="33" t="n">
        <f aca="false">IF(OR(J955="",P955=""),"",K955*N955*P955)</f>
        <v>582.4</v>
      </c>
      <c r="S955" s="33" t="n">
        <f aca="false">IF(Q955="","",Q955-R955)</f>
        <v>0</v>
      </c>
      <c r="T955" s="33" t="n">
        <f aca="false">IF(S955="","",MAX(0,-S955))</f>
        <v>-0</v>
      </c>
      <c r="U955" s="33" t="n">
        <f aca="false">IF(S955="","",MAX(0,S955))</f>
        <v>0</v>
      </c>
      <c r="V955" s="11" t="str">
        <f aca="false">IF(J955="","NOT SCORED - NO JULY MONTHLY ROW",IF(OR(ABS(L955)&gt;0.005,ABS(O955)&gt;0.005,ABS(S955)&gt;0.005),"EXCEPTION","OK"))</f>
        <v>OK</v>
      </c>
      <c r="W955" s="11" t="s">
        <v>6520</v>
      </c>
      <c r="X955" s="11" t="s">
        <v>4099</v>
      </c>
      <c r="Y955" s="33" t="n">
        <f aca="false">K955*N955</f>
        <v>582.4</v>
      </c>
    </row>
    <row r="956" customFormat="false" ht="15" hidden="false" customHeight="false" outlineLevel="0" collapsed="false">
      <c r="A956" s="8" t="s">
        <v>6521</v>
      </c>
      <c r="B956" s="8" t="s">
        <v>200</v>
      </c>
      <c r="C956" s="8" t="s">
        <v>5306</v>
      </c>
      <c r="D956" s="8" t="s">
        <v>3718</v>
      </c>
      <c r="E956" s="8" t="s">
        <v>6522</v>
      </c>
      <c r="F956" s="8" t="s">
        <v>6523</v>
      </c>
      <c r="G956" s="8" t="s">
        <v>4167</v>
      </c>
      <c r="H956" s="8" t="n">
        <v>32</v>
      </c>
      <c r="I956" s="34" t="n">
        <v>43.6</v>
      </c>
      <c r="J956" s="34" t="n">
        <v>44</v>
      </c>
      <c r="K956" s="34" t="n">
        <f aca="false">MAX(ROUNDUP(I956,0),H956)</f>
        <v>44</v>
      </c>
      <c r="L956" s="34" t="n">
        <f aca="false">IF(J956="","",J956-K956)</f>
        <v>0</v>
      </c>
      <c r="M956" s="35" t="n">
        <v>10.4</v>
      </c>
      <c r="N956" s="35" t="n">
        <f aca="false">IF(C956="covered",10.4,7.55)</f>
        <v>10.4</v>
      </c>
      <c r="O956" s="35" t="n">
        <f aca="false">IF(M956="","",M956-N956)</f>
        <v>0</v>
      </c>
      <c r="P956" s="8" t="n">
        <v>1</v>
      </c>
      <c r="Q956" s="36" t="n">
        <v>457.6</v>
      </c>
      <c r="R956" s="36" t="n">
        <f aca="false">IF(OR(J956="",P956=""),"",K956*N956*P956)</f>
        <v>457.6</v>
      </c>
      <c r="S956" s="36" t="n">
        <f aca="false">IF(Q956="","",Q956-R956)</f>
        <v>0</v>
      </c>
      <c r="T956" s="36" t="n">
        <f aca="false">IF(S956="","",MAX(0,-S956))</f>
        <v>-0</v>
      </c>
      <c r="U956" s="36" t="n">
        <f aca="false">IF(S956="","",MAX(0,S956))</f>
        <v>0</v>
      </c>
      <c r="V956" s="8" t="str">
        <f aca="false">IF(J956="","NOT SCORED - NO JULY MONTHLY ROW",IF(OR(ABS(L956)&gt;0.005,ABS(O956)&gt;0.005,ABS(S956)&gt;0.005),"EXCEPTION","OK"))</f>
        <v>OK</v>
      </c>
      <c r="W956" s="8" t="s">
        <v>6524</v>
      </c>
      <c r="X956" s="8" t="s">
        <v>4099</v>
      </c>
      <c r="Y956" s="36" t="n">
        <f aca="false">K956*N956</f>
        <v>457.6</v>
      </c>
    </row>
    <row r="957" customFormat="false" ht="15" hidden="false" customHeight="false" outlineLevel="0" collapsed="false">
      <c r="A957" s="11" t="s">
        <v>6525</v>
      </c>
      <c r="B957" s="11" t="s">
        <v>200</v>
      </c>
      <c r="C957" s="11" t="s">
        <v>5306</v>
      </c>
      <c r="D957" s="11" t="s">
        <v>3723</v>
      </c>
      <c r="E957" s="11" t="s">
        <v>6526</v>
      </c>
      <c r="F957" s="11" t="s">
        <v>6527</v>
      </c>
      <c r="G957" s="11" t="s">
        <v>4179</v>
      </c>
      <c r="H957" s="11" t="n">
        <v>32</v>
      </c>
      <c r="I957" s="31" t="n">
        <v>55.4</v>
      </c>
      <c r="J957" s="31" t="n">
        <v>56</v>
      </c>
      <c r="K957" s="31" t="n">
        <f aca="false">MAX(ROUNDUP(I957,0),H957)</f>
        <v>56</v>
      </c>
      <c r="L957" s="31" t="n">
        <f aca="false">IF(J957="","",J957-K957)</f>
        <v>0</v>
      </c>
      <c r="M957" s="32" t="n">
        <v>10.4</v>
      </c>
      <c r="N957" s="32" t="n">
        <f aca="false">IF(C957="covered",10.4,7.55)</f>
        <v>10.4</v>
      </c>
      <c r="O957" s="32" t="n">
        <f aca="false">IF(M957="","",M957-N957)</f>
        <v>0</v>
      </c>
      <c r="P957" s="11" t="n">
        <v>1</v>
      </c>
      <c r="Q957" s="33" t="n">
        <v>582.4</v>
      </c>
      <c r="R957" s="33" t="n">
        <f aca="false">IF(OR(J957="",P957=""),"",K957*N957*P957)</f>
        <v>582.4</v>
      </c>
      <c r="S957" s="33" t="n">
        <f aca="false">IF(Q957="","",Q957-R957)</f>
        <v>0</v>
      </c>
      <c r="T957" s="33" t="n">
        <f aca="false">IF(S957="","",MAX(0,-S957))</f>
        <v>-0</v>
      </c>
      <c r="U957" s="33" t="n">
        <f aca="false">IF(S957="","",MAX(0,S957))</f>
        <v>0</v>
      </c>
      <c r="V957" s="11" t="str">
        <f aca="false">IF(J957="","NOT SCORED - NO JULY MONTHLY ROW",IF(OR(ABS(L957)&gt;0.005,ABS(O957)&gt;0.005,ABS(S957)&gt;0.005),"EXCEPTION","OK"))</f>
        <v>OK</v>
      </c>
      <c r="W957" s="11" t="s">
        <v>6528</v>
      </c>
      <c r="X957" s="11" t="s">
        <v>4099</v>
      </c>
      <c r="Y957" s="33" t="n">
        <f aca="false">K957*N957</f>
        <v>582.4</v>
      </c>
    </row>
    <row r="958" customFormat="false" ht="15" hidden="false" customHeight="false" outlineLevel="0" collapsed="false">
      <c r="A958" s="8" t="s">
        <v>2019</v>
      </c>
      <c r="B958" s="8" t="s">
        <v>200</v>
      </c>
      <c r="C958" s="8" t="s">
        <v>5306</v>
      </c>
      <c r="D958" s="8" t="s">
        <v>3728</v>
      </c>
      <c r="E958" s="8" t="s">
        <v>6529</v>
      </c>
      <c r="F958" s="8" t="s">
        <v>6530</v>
      </c>
      <c r="G958" s="8" t="s">
        <v>3038</v>
      </c>
      <c r="H958" s="8" t="n">
        <v>24</v>
      </c>
      <c r="I958" s="34" t="n">
        <v>23.3</v>
      </c>
      <c r="J958" s="34" t="n">
        <v>24</v>
      </c>
      <c r="K958" s="34" t="n">
        <f aca="false">MAX(ROUNDUP(I958,0),H958)</f>
        <v>24</v>
      </c>
      <c r="L958" s="34" t="n">
        <f aca="false">IF(J958="","",J958-K958)</f>
        <v>0</v>
      </c>
      <c r="M958" s="35" t="n">
        <v>10.4</v>
      </c>
      <c r="N958" s="35" t="n">
        <f aca="false">IF(C958="covered",10.4,7.55)</f>
        <v>10.4</v>
      </c>
      <c r="O958" s="35" t="n">
        <f aca="false">IF(M958="","",M958-N958)</f>
        <v>0</v>
      </c>
      <c r="P958" s="8" t="n">
        <v>1</v>
      </c>
      <c r="Q958" s="36" t="n">
        <v>249.6</v>
      </c>
      <c r="R958" s="36" t="n">
        <f aca="false">IF(OR(J958="",P958=""),"",K958*N958*P958)</f>
        <v>249.6</v>
      </c>
      <c r="S958" s="36" t="n">
        <f aca="false">IF(Q958="","",Q958-R958)</f>
        <v>0</v>
      </c>
      <c r="T958" s="36" t="n">
        <f aca="false">IF(S958="","",MAX(0,-S958))</f>
        <v>-0</v>
      </c>
      <c r="U958" s="36" t="n">
        <f aca="false">IF(S958="","",MAX(0,S958))</f>
        <v>0</v>
      </c>
      <c r="V958" s="8" t="str">
        <f aca="false">IF(J958="","NOT SCORED - NO JULY MONTHLY ROW",IF(OR(ABS(L958)&gt;0.005,ABS(O958)&gt;0.005,ABS(S958)&gt;0.005),"EXCEPTION","OK"))</f>
        <v>OK</v>
      </c>
      <c r="W958" s="8" t="s">
        <v>6531</v>
      </c>
      <c r="X958" s="8" t="s">
        <v>4099</v>
      </c>
      <c r="Y958" s="36" t="n">
        <f aca="false">K958*N958</f>
        <v>249.6</v>
      </c>
    </row>
    <row r="959" customFormat="false" ht="15" hidden="false" customHeight="false" outlineLevel="0" collapsed="false">
      <c r="A959" s="11" t="s">
        <v>6532</v>
      </c>
      <c r="B959" s="11" t="s">
        <v>200</v>
      </c>
      <c r="C959" s="11" t="s">
        <v>5306</v>
      </c>
      <c r="D959" s="11" t="s">
        <v>3732</v>
      </c>
      <c r="E959" s="11" t="s">
        <v>6533</v>
      </c>
      <c r="F959" s="11" t="s">
        <v>6534</v>
      </c>
      <c r="G959" s="11" t="s">
        <v>6535</v>
      </c>
      <c r="H959" s="11" t="n">
        <v>36</v>
      </c>
      <c r="I959" s="31" t="n">
        <v>19</v>
      </c>
      <c r="J959" s="31" t="n">
        <v>36</v>
      </c>
      <c r="K959" s="31" t="n">
        <f aca="false">MAX(ROUNDUP(I959,0),H959)</f>
        <v>36</v>
      </c>
      <c r="L959" s="31" t="n">
        <f aca="false">IF(J959="","",J959-K959)</f>
        <v>0</v>
      </c>
      <c r="M959" s="32" t="n">
        <v>10.4</v>
      </c>
      <c r="N959" s="32" t="n">
        <f aca="false">IF(C959="covered",10.4,7.55)</f>
        <v>10.4</v>
      </c>
      <c r="O959" s="32" t="n">
        <f aca="false">IF(M959="","",M959-N959)</f>
        <v>0</v>
      </c>
      <c r="P959" s="11" t="n">
        <v>1</v>
      </c>
      <c r="Q959" s="33" t="n">
        <v>374.4</v>
      </c>
      <c r="R959" s="33" t="n">
        <f aca="false">IF(OR(J959="",P959=""),"",K959*N959*P959)</f>
        <v>374.4</v>
      </c>
      <c r="S959" s="33" t="n">
        <f aca="false">IF(Q959="","",Q959-R959)</f>
        <v>0</v>
      </c>
      <c r="T959" s="33" t="n">
        <f aca="false">IF(S959="","",MAX(0,-S959))</f>
        <v>-0</v>
      </c>
      <c r="U959" s="33" t="n">
        <f aca="false">IF(S959="","",MAX(0,S959))</f>
        <v>0</v>
      </c>
      <c r="V959" s="11" t="str">
        <f aca="false">IF(J959="","NOT SCORED - NO JULY MONTHLY ROW",IF(OR(ABS(L959)&gt;0.005,ABS(O959)&gt;0.005,ABS(S959)&gt;0.005),"EXCEPTION","OK"))</f>
        <v>OK</v>
      </c>
      <c r="W959" s="11" t="s">
        <v>6536</v>
      </c>
      <c r="X959" s="11" t="s">
        <v>4099</v>
      </c>
      <c r="Y959" s="33" t="n">
        <f aca="false">K959*N959</f>
        <v>374.4</v>
      </c>
    </row>
    <row r="960" customFormat="false" ht="15" hidden="false" customHeight="false" outlineLevel="0" collapsed="false">
      <c r="A960" s="8" t="s">
        <v>6537</v>
      </c>
      <c r="B960" s="8" t="s">
        <v>200</v>
      </c>
      <c r="C960" s="8" t="s">
        <v>5306</v>
      </c>
      <c r="D960" s="8" t="s">
        <v>4427</v>
      </c>
      <c r="E960" s="8" t="s">
        <v>6538</v>
      </c>
      <c r="F960" s="8" t="s">
        <v>6539</v>
      </c>
      <c r="G960" s="8" t="s">
        <v>4071</v>
      </c>
      <c r="H960" s="8" t="n">
        <v>32</v>
      </c>
      <c r="I960" s="34" t="n">
        <v>25.7</v>
      </c>
      <c r="J960" s="34" t="n">
        <v>32</v>
      </c>
      <c r="K960" s="34" t="n">
        <f aca="false">MAX(ROUNDUP(I960,0),H960)</f>
        <v>32</v>
      </c>
      <c r="L960" s="34" t="n">
        <f aca="false">IF(J960="","",J960-K960)</f>
        <v>0</v>
      </c>
      <c r="M960" s="35" t="n">
        <v>10.4</v>
      </c>
      <c r="N960" s="35" t="n">
        <f aca="false">IF(C960="covered",10.4,7.55)</f>
        <v>10.4</v>
      </c>
      <c r="O960" s="35" t="n">
        <f aca="false">IF(M960="","",M960-N960)</f>
        <v>0</v>
      </c>
      <c r="P960" s="8" t="n">
        <v>1</v>
      </c>
      <c r="Q960" s="36" t="n">
        <v>332.8</v>
      </c>
      <c r="R960" s="36" t="n">
        <f aca="false">IF(OR(J960="",P960=""),"",K960*N960*P960)</f>
        <v>332.8</v>
      </c>
      <c r="S960" s="36" t="n">
        <f aca="false">IF(Q960="","",Q960-R960)</f>
        <v>0</v>
      </c>
      <c r="T960" s="36" t="n">
        <f aca="false">IF(S960="","",MAX(0,-S960))</f>
        <v>-0</v>
      </c>
      <c r="U960" s="36" t="n">
        <f aca="false">IF(S960="","",MAX(0,S960))</f>
        <v>0</v>
      </c>
      <c r="V960" s="8" t="str">
        <f aca="false">IF(J960="","NOT SCORED - NO JULY MONTHLY ROW",IF(OR(ABS(L960)&gt;0.005,ABS(O960)&gt;0.005,ABS(S960)&gt;0.005),"EXCEPTION","OK"))</f>
        <v>OK</v>
      </c>
      <c r="W960" s="8" t="s">
        <v>6540</v>
      </c>
      <c r="X960" s="8" t="s">
        <v>4099</v>
      </c>
      <c r="Y960" s="36" t="n">
        <f aca="false">K960*N960</f>
        <v>332.8</v>
      </c>
    </row>
    <row r="961" customFormat="false" ht="15" hidden="false" customHeight="false" outlineLevel="0" collapsed="false">
      <c r="A961" s="11" t="s">
        <v>6541</v>
      </c>
      <c r="B961" s="11" t="s">
        <v>200</v>
      </c>
      <c r="C961" s="11" t="s">
        <v>5306</v>
      </c>
      <c r="D961" s="11" t="s">
        <v>3737</v>
      </c>
      <c r="E961" s="11" t="s">
        <v>6542</v>
      </c>
      <c r="F961" s="11" t="s">
        <v>6543</v>
      </c>
      <c r="G961" s="11" t="s">
        <v>5837</v>
      </c>
      <c r="H961" s="11" t="n">
        <v>32</v>
      </c>
      <c r="I961" s="31" t="n">
        <v>33.8</v>
      </c>
      <c r="J961" s="31" t="n">
        <v>34</v>
      </c>
      <c r="K961" s="31" t="n">
        <f aca="false">MAX(ROUNDUP(I961,0),H961)</f>
        <v>34</v>
      </c>
      <c r="L961" s="31" t="n">
        <f aca="false">IF(J961="","",J961-K961)</f>
        <v>0</v>
      </c>
      <c r="M961" s="32" t="n">
        <v>10.4</v>
      </c>
      <c r="N961" s="32" t="n">
        <f aca="false">IF(C961="covered",10.4,7.55)</f>
        <v>10.4</v>
      </c>
      <c r="O961" s="32" t="n">
        <f aca="false">IF(M961="","",M961-N961)</f>
        <v>0</v>
      </c>
      <c r="P961" s="11" t="n">
        <v>1</v>
      </c>
      <c r="Q961" s="33" t="n">
        <v>353.6</v>
      </c>
      <c r="R961" s="33" t="n">
        <f aca="false">IF(OR(J961="",P961=""),"",K961*N961*P961)</f>
        <v>353.6</v>
      </c>
      <c r="S961" s="33" t="n">
        <f aca="false">IF(Q961="","",Q961-R961)</f>
        <v>0</v>
      </c>
      <c r="T961" s="33" t="n">
        <f aca="false">IF(S961="","",MAX(0,-S961))</f>
        <v>-0</v>
      </c>
      <c r="U961" s="33" t="n">
        <f aca="false">IF(S961="","",MAX(0,S961))</f>
        <v>0</v>
      </c>
      <c r="V961" s="11" t="str">
        <f aca="false">IF(J961="","NOT SCORED - NO JULY MONTHLY ROW",IF(OR(ABS(L961)&gt;0.005,ABS(O961)&gt;0.005,ABS(S961)&gt;0.005),"EXCEPTION","OK"))</f>
        <v>OK</v>
      </c>
      <c r="W961" s="11" t="s">
        <v>6544</v>
      </c>
      <c r="X961" s="11" t="s">
        <v>4099</v>
      </c>
      <c r="Y961" s="33" t="n">
        <f aca="false">K961*N961</f>
        <v>353.6</v>
      </c>
    </row>
    <row r="962" customFormat="false" ht="15" hidden="false" customHeight="false" outlineLevel="0" collapsed="false">
      <c r="A962" s="8" t="s">
        <v>6545</v>
      </c>
      <c r="B962" s="8" t="s">
        <v>200</v>
      </c>
      <c r="C962" s="8" t="s">
        <v>5306</v>
      </c>
      <c r="D962" s="8" t="s">
        <v>3741</v>
      </c>
      <c r="E962" s="8" t="s">
        <v>6546</v>
      </c>
      <c r="F962" s="8" t="s">
        <v>6547</v>
      </c>
      <c r="G962" s="8" t="s">
        <v>4766</v>
      </c>
      <c r="H962" s="8" t="n">
        <v>32</v>
      </c>
      <c r="I962" s="34" t="n">
        <v>32.3</v>
      </c>
      <c r="J962" s="34" t="n">
        <v>33</v>
      </c>
      <c r="K962" s="34" t="n">
        <f aca="false">MAX(ROUNDUP(I962,0),H962)</f>
        <v>33</v>
      </c>
      <c r="L962" s="34" t="n">
        <f aca="false">IF(J962="","",J962-K962)</f>
        <v>0</v>
      </c>
      <c r="M962" s="35" t="n">
        <v>10.4</v>
      </c>
      <c r="N962" s="35" t="n">
        <f aca="false">IF(C962="covered",10.4,7.55)</f>
        <v>10.4</v>
      </c>
      <c r="O962" s="35" t="n">
        <f aca="false">IF(M962="","",M962-N962)</f>
        <v>0</v>
      </c>
      <c r="P962" s="8" t="n">
        <v>1</v>
      </c>
      <c r="Q962" s="36" t="n">
        <v>343.2</v>
      </c>
      <c r="R962" s="36" t="n">
        <f aca="false">IF(OR(J962="",P962=""),"",K962*N962*P962)</f>
        <v>343.2</v>
      </c>
      <c r="S962" s="36" t="n">
        <f aca="false">IF(Q962="","",Q962-R962)</f>
        <v>0</v>
      </c>
      <c r="T962" s="36" t="n">
        <f aca="false">IF(S962="","",MAX(0,-S962))</f>
        <v>-0</v>
      </c>
      <c r="U962" s="36" t="n">
        <f aca="false">IF(S962="","",MAX(0,S962))</f>
        <v>0</v>
      </c>
      <c r="V962" s="8" t="str">
        <f aca="false">IF(J962="","NOT SCORED - NO JULY MONTHLY ROW",IF(OR(ABS(L962)&gt;0.005,ABS(O962)&gt;0.005,ABS(S962)&gt;0.005),"EXCEPTION","OK"))</f>
        <v>OK</v>
      </c>
      <c r="W962" s="8" t="s">
        <v>6548</v>
      </c>
      <c r="X962" s="8" t="s">
        <v>4099</v>
      </c>
      <c r="Y962" s="36" t="n">
        <f aca="false">K962*N962</f>
        <v>343.2</v>
      </c>
    </row>
    <row r="963" customFormat="false" ht="15" hidden="false" customHeight="false" outlineLevel="0" collapsed="false">
      <c r="A963" s="11" t="s">
        <v>6549</v>
      </c>
      <c r="B963" s="11" t="s">
        <v>200</v>
      </c>
      <c r="C963" s="11" t="s">
        <v>5306</v>
      </c>
      <c r="D963" s="11" t="s">
        <v>3745</v>
      </c>
      <c r="E963" s="11" t="s">
        <v>6550</v>
      </c>
      <c r="F963" s="11" t="s">
        <v>6551</v>
      </c>
      <c r="G963" s="11" t="s">
        <v>3977</v>
      </c>
      <c r="H963" s="11" t="n">
        <v>24</v>
      </c>
      <c r="I963" s="31" t="n">
        <v>27.2</v>
      </c>
      <c r="J963" s="31" t="n">
        <v>28</v>
      </c>
      <c r="K963" s="31" t="n">
        <f aca="false">MAX(ROUNDUP(I963,0),H963)</f>
        <v>28</v>
      </c>
      <c r="L963" s="31" t="n">
        <f aca="false">IF(J963="","",J963-K963)</f>
        <v>0</v>
      </c>
      <c r="M963" s="32" t="n">
        <v>10.4</v>
      </c>
      <c r="N963" s="32" t="n">
        <f aca="false">IF(C963="covered",10.4,7.55)</f>
        <v>10.4</v>
      </c>
      <c r="O963" s="32" t="n">
        <f aca="false">IF(M963="","",M963-N963)</f>
        <v>0</v>
      </c>
      <c r="P963" s="11" t="n">
        <v>1</v>
      </c>
      <c r="Q963" s="33" t="n">
        <v>291.2</v>
      </c>
      <c r="R963" s="33" t="n">
        <f aca="false">IF(OR(J963="",P963=""),"",K963*N963*P963)</f>
        <v>291.2</v>
      </c>
      <c r="S963" s="33" t="n">
        <f aca="false">IF(Q963="","",Q963-R963)</f>
        <v>0</v>
      </c>
      <c r="T963" s="33" t="n">
        <f aca="false">IF(S963="","",MAX(0,-S963))</f>
        <v>-0</v>
      </c>
      <c r="U963" s="33" t="n">
        <f aca="false">IF(S963="","",MAX(0,S963))</f>
        <v>0</v>
      </c>
      <c r="V963" s="11" t="str">
        <f aca="false">IF(J963="","NOT SCORED - NO JULY MONTHLY ROW",IF(OR(ABS(L963)&gt;0.005,ABS(O963)&gt;0.005,ABS(S963)&gt;0.005),"EXCEPTION","OK"))</f>
        <v>OK</v>
      </c>
      <c r="W963" s="11" t="s">
        <v>6552</v>
      </c>
      <c r="X963" s="11" t="s">
        <v>4099</v>
      </c>
      <c r="Y963" s="33" t="n">
        <f aca="false">K963*N963</f>
        <v>291.2</v>
      </c>
    </row>
    <row r="964" customFormat="false" ht="15" hidden="false" customHeight="false" outlineLevel="0" collapsed="false">
      <c r="A964" s="8" t="s">
        <v>6553</v>
      </c>
      <c r="B964" s="8" t="s">
        <v>200</v>
      </c>
      <c r="C964" s="8" t="s">
        <v>5306</v>
      </c>
      <c r="D964" s="8" t="s">
        <v>3754</v>
      </c>
      <c r="E964" s="8" t="s">
        <v>6554</v>
      </c>
      <c r="F964" s="8" t="s">
        <v>6555</v>
      </c>
      <c r="G964" s="8" t="s">
        <v>6556</v>
      </c>
      <c r="H964" s="8" t="n">
        <v>36</v>
      </c>
      <c r="I964" s="34" t="n">
        <v>31.6</v>
      </c>
      <c r="J964" s="34" t="n">
        <v>36</v>
      </c>
      <c r="K964" s="34" t="n">
        <f aca="false">MAX(ROUNDUP(I964,0),H964)</f>
        <v>36</v>
      </c>
      <c r="L964" s="34" t="n">
        <f aca="false">IF(J964="","",J964-K964)</f>
        <v>0</v>
      </c>
      <c r="M964" s="35" t="n">
        <v>10.4</v>
      </c>
      <c r="N964" s="35" t="n">
        <f aca="false">IF(C964="covered",10.4,7.55)</f>
        <v>10.4</v>
      </c>
      <c r="O964" s="35" t="n">
        <f aca="false">IF(M964="","",M964-N964)</f>
        <v>0</v>
      </c>
      <c r="P964" s="8" t="n">
        <v>1</v>
      </c>
      <c r="Q964" s="36" t="n">
        <v>374.4</v>
      </c>
      <c r="R964" s="36" t="n">
        <f aca="false">IF(OR(J964="",P964=""),"",K964*N964*P964)</f>
        <v>374.4</v>
      </c>
      <c r="S964" s="36" t="n">
        <f aca="false">IF(Q964="","",Q964-R964)</f>
        <v>0</v>
      </c>
      <c r="T964" s="36" t="n">
        <f aca="false">IF(S964="","",MAX(0,-S964))</f>
        <v>-0</v>
      </c>
      <c r="U964" s="36" t="n">
        <f aca="false">IF(S964="","",MAX(0,S964))</f>
        <v>0</v>
      </c>
      <c r="V964" s="8" t="str">
        <f aca="false">IF(J964="","NOT SCORED - NO JULY MONTHLY ROW",IF(OR(ABS(L964)&gt;0.005,ABS(O964)&gt;0.005,ABS(S964)&gt;0.005),"EXCEPTION","OK"))</f>
        <v>OK</v>
      </c>
      <c r="W964" s="8" t="s">
        <v>6557</v>
      </c>
      <c r="X964" s="8" t="s">
        <v>4099</v>
      </c>
      <c r="Y964" s="36" t="n">
        <f aca="false">K964*N964</f>
        <v>374.4</v>
      </c>
    </row>
    <row r="965" customFormat="false" ht="15" hidden="false" customHeight="false" outlineLevel="0" collapsed="false">
      <c r="A965" s="11" t="s">
        <v>6558</v>
      </c>
      <c r="B965" s="11" t="s">
        <v>200</v>
      </c>
      <c r="C965" s="11" t="s">
        <v>5306</v>
      </c>
      <c r="D965" s="11" t="s">
        <v>3759</v>
      </c>
      <c r="E965" s="11" t="s">
        <v>156</v>
      </c>
      <c r="F965" s="11" t="s">
        <v>157</v>
      </c>
      <c r="G965" s="11" t="s">
        <v>3334</v>
      </c>
      <c r="H965" s="11" t="n">
        <v>24</v>
      </c>
      <c r="I965" s="31" t="n">
        <v>30.1</v>
      </c>
      <c r="J965" s="31" t="n">
        <v>31</v>
      </c>
      <c r="K965" s="31" t="n">
        <f aca="false">MAX(ROUNDUP(I965,0),H965)</f>
        <v>31</v>
      </c>
      <c r="L965" s="31" t="n">
        <f aca="false">IF(J965="","",J965-K965)</f>
        <v>0</v>
      </c>
      <c r="M965" s="32" t="n">
        <v>10.4</v>
      </c>
      <c r="N965" s="32" t="n">
        <f aca="false">IF(C965="covered",10.4,7.55)</f>
        <v>10.4</v>
      </c>
      <c r="O965" s="32" t="n">
        <f aca="false">IF(M965="","",M965-N965)</f>
        <v>0</v>
      </c>
      <c r="P965" s="11" t="n">
        <v>1</v>
      </c>
      <c r="Q965" s="33" t="n">
        <v>322.4</v>
      </c>
      <c r="R965" s="33" t="n">
        <f aca="false">IF(OR(J965="",P965=""),"",K965*N965*P965)</f>
        <v>322.4</v>
      </c>
      <c r="S965" s="33" t="n">
        <f aca="false">IF(Q965="","",Q965-R965)</f>
        <v>0</v>
      </c>
      <c r="T965" s="33" t="n">
        <f aca="false">IF(S965="","",MAX(0,-S965))</f>
        <v>-0</v>
      </c>
      <c r="U965" s="33" t="n">
        <f aca="false">IF(S965="","",MAX(0,S965))</f>
        <v>0</v>
      </c>
      <c r="V965" s="11" t="str">
        <f aca="false">IF(J965="","NOT SCORED - NO JULY MONTHLY ROW",IF(OR(ABS(L965)&gt;0.005,ABS(O965)&gt;0.005,ABS(S965)&gt;0.005),"EXCEPTION","OK"))</f>
        <v>OK</v>
      </c>
      <c r="W965" s="11" t="s">
        <v>6559</v>
      </c>
      <c r="X965" s="11" t="s">
        <v>4099</v>
      </c>
      <c r="Y965" s="33" t="n">
        <f aca="false">K965*N965</f>
        <v>322.4</v>
      </c>
    </row>
    <row r="966" customFormat="false" ht="15" hidden="false" customHeight="false" outlineLevel="0" collapsed="false">
      <c r="A966" s="8" t="s">
        <v>6560</v>
      </c>
      <c r="B966" s="8" t="s">
        <v>200</v>
      </c>
      <c r="C966" s="8" t="s">
        <v>5306</v>
      </c>
      <c r="D966" s="8" t="s">
        <v>3763</v>
      </c>
      <c r="E966" s="8" t="s">
        <v>2593</v>
      </c>
      <c r="F966" s="8" t="s">
        <v>6561</v>
      </c>
      <c r="G966" s="8" t="s">
        <v>6562</v>
      </c>
      <c r="H966" s="8" t="n">
        <v>40</v>
      </c>
      <c r="I966" s="34" t="n">
        <v>48.8</v>
      </c>
      <c r="J966" s="34" t="n">
        <v>49</v>
      </c>
      <c r="K966" s="34" t="n">
        <f aca="false">MAX(ROUNDUP(I966,0),H966)</f>
        <v>49</v>
      </c>
      <c r="L966" s="34" t="n">
        <f aca="false">IF(J966="","",J966-K966)</f>
        <v>0</v>
      </c>
      <c r="M966" s="35" t="n">
        <v>10.4</v>
      </c>
      <c r="N966" s="35" t="n">
        <f aca="false">IF(C966="covered",10.4,7.55)</f>
        <v>10.4</v>
      </c>
      <c r="O966" s="35" t="n">
        <f aca="false">IF(M966="","",M966-N966)</f>
        <v>0</v>
      </c>
      <c r="P966" s="8" t="n">
        <v>1</v>
      </c>
      <c r="Q966" s="36" t="n">
        <v>509.6</v>
      </c>
      <c r="R966" s="36" t="n">
        <f aca="false">IF(OR(J966="",P966=""),"",K966*N966*P966)</f>
        <v>509.6</v>
      </c>
      <c r="S966" s="36" t="n">
        <f aca="false">IF(Q966="","",Q966-R966)</f>
        <v>0</v>
      </c>
      <c r="T966" s="36" t="n">
        <f aca="false">IF(S966="","",MAX(0,-S966))</f>
        <v>-0</v>
      </c>
      <c r="U966" s="36" t="n">
        <f aca="false">IF(S966="","",MAX(0,S966))</f>
        <v>0</v>
      </c>
      <c r="V966" s="8" t="str">
        <f aca="false">IF(J966="","NOT SCORED - NO JULY MONTHLY ROW",IF(OR(ABS(L966)&gt;0.005,ABS(O966)&gt;0.005,ABS(S966)&gt;0.005),"EXCEPTION","OK"))</f>
        <v>OK</v>
      </c>
      <c r="W966" s="8" t="s">
        <v>6563</v>
      </c>
      <c r="X966" s="8" t="s">
        <v>4099</v>
      </c>
      <c r="Y966" s="36" t="n">
        <f aca="false">K966*N966</f>
        <v>509.6</v>
      </c>
    </row>
    <row r="967" customFormat="false" ht="15" hidden="false" customHeight="false" outlineLevel="0" collapsed="false">
      <c r="A967" s="11" t="s">
        <v>6564</v>
      </c>
      <c r="B967" s="11" t="s">
        <v>200</v>
      </c>
      <c r="C967" s="11" t="s">
        <v>5306</v>
      </c>
      <c r="D967" s="11" t="s">
        <v>5300</v>
      </c>
      <c r="E967" s="11" t="s">
        <v>6565</v>
      </c>
      <c r="F967" s="11" t="s">
        <v>6566</v>
      </c>
      <c r="G967" s="11" t="s">
        <v>6082</v>
      </c>
      <c r="H967" s="11" t="n">
        <v>28</v>
      </c>
      <c r="I967" s="31" t="n">
        <v>36.2</v>
      </c>
      <c r="J967" s="31" t="n">
        <v>37</v>
      </c>
      <c r="K967" s="31" t="n">
        <f aca="false">MAX(ROUNDUP(I967,0),H967)</f>
        <v>37</v>
      </c>
      <c r="L967" s="31" t="n">
        <f aca="false">IF(J967="","",J967-K967)</f>
        <v>0</v>
      </c>
      <c r="M967" s="32" t="n">
        <v>10.4</v>
      </c>
      <c r="N967" s="32" t="n">
        <f aca="false">IF(C967="covered",10.4,7.55)</f>
        <v>10.4</v>
      </c>
      <c r="O967" s="32" t="n">
        <f aca="false">IF(M967="","",M967-N967)</f>
        <v>0</v>
      </c>
      <c r="P967" s="11" t="n">
        <v>1</v>
      </c>
      <c r="Q967" s="33" t="n">
        <v>384.8</v>
      </c>
      <c r="R967" s="33" t="n">
        <f aca="false">IF(OR(J967="",P967=""),"",K967*N967*P967)</f>
        <v>384.8</v>
      </c>
      <c r="S967" s="33" t="n">
        <f aca="false">IF(Q967="","",Q967-R967)</f>
        <v>0</v>
      </c>
      <c r="T967" s="33" t="n">
        <f aca="false">IF(S967="","",MAX(0,-S967))</f>
        <v>-0</v>
      </c>
      <c r="U967" s="33" t="n">
        <f aca="false">IF(S967="","",MAX(0,S967))</f>
        <v>0</v>
      </c>
      <c r="V967" s="11" t="str">
        <f aca="false">IF(J967="","NOT SCORED - NO JULY MONTHLY ROW",IF(OR(ABS(L967)&gt;0.005,ABS(O967)&gt;0.005,ABS(S967)&gt;0.005),"EXCEPTION","OK"))</f>
        <v>OK</v>
      </c>
      <c r="W967" s="11" t="s">
        <v>6567</v>
      </c>
      <c r="X967" s="11" t="s">
        <v>4099</v>
      </c>
      <c r="Y967" s="33" t="n">
        <f aca="false">K967*N967</f>
        <v>384.8</v>
      </c>
    </row>
    <row r="968" customFormat="false" ht="15" hidden="false" customHeight="false" outlineLevel="0" collapsed="false">
      <c r="A968" s="8" t="s">
        <v>6568</v>
      </c>
      <c r="B968" s="8" t="s">
        <v>200</v>
      </c>
      <c r="C968" s="8" t="s">
        <v>5306</v>
      </c>
      <c r="D968" s="8" t="s">
        <v>2830</v>
      </c>
      <c r="E968" s="8" t="s">
        <v>6569</v>
      </c>
      <c r="F968" s="8" t="s">
        <v>6570</v>
      </c>
      <c r="G968" s="8" t="s">
        <v>4754</v>
      </c>
      <c r="H968" s="8" t="n">
        <v>32</v>
      </c>
      <c r="I968" s="34" t="n">
        <v>40.1</v>
      </c>
      <c r="J968" s="34" t="n">
        <v>41</v>
      </c>
      <c r="K968" s="34" t="n">
        <f aca="false">MAX(ROUNDUP(I968,0),H968)</f>
        <v>41</v>
      </c>
      <c r="L968" s="34" t="n">
        <f aca="false">IF(J968="","",J968-K968)</f>
        <v>0</v>
      </c>
      <c r="M968" s="35" t="n">
        <v>10.4</v>
      </c>
      <c r="N968" s="35" t="n">
        <f aca="false">IF(C968="covered",10.4,7.55)</f>
        <v>10.4</v>
      </c>
      <c r="O968" s="35" t="n">
        <f aca="false">IF(M968="","",M968-N968)</f>
        <v>0</v>
      </c>
      <c r="P968" s="8" t="n">
        <v>1</v>
      </c>
      <c r="Q968" s="36" t="n">
        <v>426.4</v>
      </c>
      <c r="R968" s="36" t="n">
        <f aca="false">IF(OR(J968="",P968=""),"",K968*N968*P968)</f>
        <v>426.4</v>
      </c>
      <c r="S968" s="36" t="n">
        <f aca="false">IF(Q968="","",Q968-R968)</f>
        <v>0</v>
      </c>
      <c r="T968" s="36" t="n">
        <f aca="false">IF(S968="","",MAX(0,-S968))</f>
        <v>-0</v>
      </c>
      <c r="U968" s="36" t="n">
        <f aca="false">IF(S968="","",MAX(0,S968))</f>
        <v>0</v>
      </c>
      <c r="V968" s="8" t="str">
        <f aca="false">IF(J968="","NOT SCORED - NO JULY MONTHLY ROW",IF(OR(ABS(L968)&gt;0.005,ABS(O968)&gt;0.005,ABS(S968)&gt;0.005),"EXCEPTION","OK"))</f>
        <v>OK</v>
      </c>
      <c r="W968" s="8" t="s">
        <v>6571</v>
      </c>
      <c r="X968" s="8" t="s">
        <v>4099</v>
      </c>
      <c r="Y968" s="36" t="n">
        <f aca="false">K968*N968</f>
        <v>426.4</v>
      </c>
    </row>
    <row r="969" customFormat="false" ht="15" hidden="false" customHeight="false" outlineLevel="0" collapsed="false">
      <c r="A969" s="11" t="s">
        <v>465</v>
      </c>
      <c r="B969" s="11" t="s">
        <v>200</v>
      </c>
      <c r="C969" s="11" t="s">
        <v>5306</v>
      </c>
      <c r="D969" s="11" t="s">
        <v>2841</v>
      </c>
      <c r="E969" s="11" t="s">
        <v>6572</v>
      </c>
      <c r="F969" s="11" t="s">
        <v>6573</v>
      </c>
      <c r="G969" s="11" t="s">
        <v>4154</v>
      </c>
      <c r="H969" s="11" t="n">
        <v>36</v>
      </c>
      <c r="I969" s="31" t="n">
        <v>51.6</v>
      </c>
      <c r="J969" s="31" t="n">
        <v>52</v>
      </c>
      <c r="K969" s="31" t="n">
        <f aca="false">MAX(ROUNDUP(I969,0),H969)</f>
        <v>52</v>
      </c>
      <c r="L969" s="31" t="n">
        <f aca="false">IF(J969="","",J969-K969)</f>
        <v>0</v>
      </c>
      <c r="M969" s="32" t="n">
        <v>10.4</v>
      </c>
      <c r="N969" s="32" t="n">
        <f aca="false">IF(C969="covered",10.4,7.55)</f>
        <v>10.4</v>
      </c>
      <c r="O969" s="32" t="n">
        <f aca="false">IF(M969="","",M969-N969)</f>
        <v>0</v>
      </c>
      <c r="P969" s="11" t="n">
        <v>1</v>
      </c>
      <c r="Q969" s="33" t="n">
        <v>540.8</v>
      </c>
      <c r="R969" s="33" t="n">
        <f aca="false">IF(OR(J969="",P969=""),"",K969*N969*P969)</f>
        <v>540.8</v>
      </c>
      <c r="S969" s="33" t="n">
        <f aca="false">IF(Q969="","",Q969-R969)</f>
        <v>0</v>
      </c>
      <c r="T969" s="33" t="n">
        <f aca="false">IF(S969="","",MAX(0,-S969))</f>
        <v>-0</v>
      </c>
      <c r="U969" s="33" t="n">
        <f aca="false">IF(S969="","",MAX(0,S969))</f>
        <v>0</v>
      </c>
      <c r="V969" s="11" t="str">
        <f aca="false">IF(J969="","NOT SCORED - NO JULY MONTHLY ROW",IF(OR(ABS(L969)&gt;0.005,ABS(O969)&gt;0.005,ABS(S969)&gt;0.005),"EXCEPTION","OK"))</f>
        <v>OK</v>
      </c>
      <c r="W969" s="11" t="s">
        <v>6574</v>
      </c>
      <c r="X969" s="11" t="s">
        <v>4099</v>
      </c>
      <c r="Y969" s="33" t="n">
        <f aca="false">K969*N969</f>
        <v>540.8</v>
      </c>
    </row>
    <row r="970" customFormat="false" ht="15" hidden="false" customHeight="false" outlineLevel="0" collapsed="false">
      <c r="A970" s="8" t="s">
        <v>6575</v>
      </c>
      <c r="B970" s="8" t="s">
        <v>200</v>
      </c>
      <c r="C970" s="8" t="s">
        <v>5306</v>
      </c>
      <c r="D970" s="8" t="s">
        <v>2846</v>
      </c>
      <c r="E970" s="8" t="s">
        <v>6576</v>
      </c>
      <c r="F970" s="8" t="s">
        <v>6577</v>
      </c>
      <c r="G970" s="8" t="s">
        <v>5556</v>
      </c>
      <c r="H970" s="8" t="n">
        <v>36</v>
      </c>
      <c r="I970" s="34" t="n">
        <v>54.4</v>
      </c>
      <c r="J970" s="34" t="n">
        <v>55</v>
      </c>
      <c r="K970" s="34" t="n">
        <f aca="false">MAX(ROUNDUP(I970,0),H970)</f>
        <v>55</v>
      </c>
      <c r="L970" s="34" t="n">
        <f aca="false">IF(J970="","",J970-K970)</f>
        <v>0</v>
      </c>
      <c r="M970" s="35" t="n">
        <v>10.4</v>
      </c>
      <c r="N970" s="35" t="n">
        <f aca="false">IF(C970="covered",10.4,7.55)</f>
        <v>10.4</v>
      </c>
      <c r="O970" s="35" t="n">
        <f aca="false">IF(M970="","",M970-N970)</f>
        <v>0</v>
      </c>
      <c r="P970" s="8" t="n">
        <v>1</v>
      </c>
      <c r="Q970" s="36" t="n">
        <v>572</v>
      </c>
      <c r="R970" s="36" t="n">
        <f aca="false">IF(OR(J970="",P970=""),"",K970*N970*P970)</f>
        <v>572</v>
      </c>
      <c r="S970" s="36" t="n">
        <f aca="false">IF(Q970="","",Q970-R970)</f>
        <v>0</v>
      </c>
      <c r="T970" s="36" t="n">
        <f aca="false">IF(S970="","",MAX(0,-S970))</f>
        <v>-0</v>
      </c>
      <c r="U970" s="36" t="n">
        <f aca="false">IF(S970="","",MAX(0,S970))</f>
        <v>0</v>
      </c>
      <c r="V970" s="8" t="str">
        <f aca="false">IF(J970="","NOT SCORED - NO JULY MONTHLY ROW",IF(OR(ABS(L970)&gt;0.005,ABS(O970)&gt;0.005,ABS(S970)&gt;0.005),"EXCEPTION","OK"))</f>
        <v>OK</v>
      </c>
      <c r="W970" s="8" t="s">
        <v>6578</v>
      </c>
      <c r="X970" s="8" t="s">
        <v>4099</v>
      </c>
      <c r="Y970" s="36" t="n">
        <f aca="false">K970*N970</f>
        <v>572</v>
      </c>
    </row>
    <row r="971" customFormat="false" ht="15" hidden="false" customHeight="false" outlineLevel="0" collapsed="false">
      <c r="A971" s="11" t="s">
        <v>6579</v>
      </c>
      <c r="B971" s="11" t="s">
        <v>200</v>
      </c>
      <c r="C971" s="11" t="s">
        <v>5306</v>
      </c>
      <c r="D971" s="11" t="s">
        <v>2849</v>
      </c>
      <c r="E971" s="11" t="s">
        <v>6580</v>
      </c>
      <c r="F971" s="11" t="s">
        <v>6581</v>
      </c>
      <c r="G971" s="11" t="s">
        <v>3516</v>
      </c>
      <c r="H971" s="11" t="n">
        <v>28</v>
      </c>
      <c r="I971" s="31" t="n">
        <v>39.5</v>
      </c>
      <c r="J971" s="31" t="n">
        <v>40</v>
      </c>
      <c r="K971" s="31" t="n">
        <f aca="false">MAX(ROUNDUP(I971,0),H971)</f>
        <v>40</v>
      </c>
      <c r="L971" s="31" t="n">
        <f aca="false">IF(J971="","",J971-K971)</f>
        <v>0</v>
      </c>
      <c r="M971" s="32" t="n">
        <v>10.4</v>
      </c>
      <c r="N971" s="32" t="n">
        <f aca="false">IF(C971="covered",10.4,7.55)</f>
        <v>10.4</v>
      </c>
      <c r="O971" s="32" t="n">
        <f aca="false">IF(M971="","",M971-N971)</f>
        <v>0</v>
      </c>
      <c r="P971" s="11" t="n">
        <v>1</v>
      </c>
      <c r="Q971" s="33" t="n">
        <v>416</v>
      </c>
      <c r="R971" s="33" t="n">
        <f aca="false">IF(OR(J971="",P971=""),"",K971*N971*P971)</f>
        <v>416</v>
      </c>
      <c r="S971" s="33" t="n">
        <f aca="false">IF(Q971="","",Q971-R971)</f>
        <v>0</v>
      </c>
      <c r="T971" s="33" t="n">
        <f aca="false">IF(S971="","",MAX(0,-S971))</f>
        <v>-0</v>
      </c>
      <c r="U971" s="33" t="n">
        <f aca="false">IF(S971="","",MAX(0,S971))</f>
        <v>0</v>
      </c>
      <c r="V971" s="11" t="str">
        <f aca="false">IF(J971="","NOT SCORED - NO JULY MONTHLY ROW",IF(OR(ABS(L971)&gt;0.005,ABS(O971)&gt;0.005,ABS(S971)&gt;0.005),"EXCEPTION","OK"))</f>
        <v>OK</v>
      </c>
      <c r="W971" s="11" t="s">
        <v>6582</v>
      </c>
      <c r="X971" s="11" t="s">
        <v>4099</v>
      </c>
      <c r="Y971" s="33" t="n">
        <f aca="false">K971*N971</f>
        <v>416</v>
      </c>
    </row>
    <row r="972" customFormat="false" ht="15" hidden="false" customHeight="false" outlineLevel="0" collapsed="false">
      <c r="A972" s="8" t="s">
        <v>166</v>
      </c>
      <c r="B972" s="8" t="s">
        <v>200</v>
      </c>
      <c r="C972" s="8" t="s">
        <v>5306</v>
      </c>
      <c r="D972" s="8" t="s">
        <v>2852</v>
      </c>
      <c r="E972" s="8" t="s">
        <v>6583</v>
      </c>
      <c r="F972" s="8" t="s">
        <v>6584</v>
      </c>
      <c r="G972" s="8" t="s">
        <v>4912</v>
      </c>
      <c r="H972" s="8" t="n">
        <v>40</v>
      </c>
      <c r="I972" s="34" t="n">
        <v>29.8</v>
      </c>
      <c r="J972" s="34" t="n">
        <v>40</v>
      </c>
      <c r="K972" s="34" t="n">
        <f aca="false">MAX(ROUNDUP(I972,0),H972)</f>
        <v>40</v>
      </c>
      <c r="L972" s="34" t="n">
        <f aca="false">IF(J972="","",J972-K972)</f>
        <v>0</v>
      </c>
      <c r="M972" s="35" t="n">
        <v>10.4</v>
      </c>
      <c r="N972" s="35" t="n">
        <f aca="false">IF(C972="covered",10.4,7.55)</f>
        <v>10.4</v>
      </c>
      <c r="O972" s="35" t="n">
        <f aca="false">IF(M972="","",M972-N972)</f>
        <v>0</v>
      </c>
      <c r="P972" s="8" t="n">
        <v>1</v>
      </c>
      <c r="Q972" s="36" t="n">
        <v>416</v>
      </c>
      <c r="R972" s="36" t="n">
        <f aca="false">IF(OR(J972="",P972=""),"",K972*N972*P972)</f>
        <v>416</v>
      </c>
      <c r="S972" s="36" t="n">
        <f aca="false">IF(Q972="","",Q972-R972)</f>
        <v>0</v>
      </c>
      <c r="T972" s="36" t="n">
        <f aca="false">IF(S972="","",MAX(0,-S972))</f>
        <v>-0</v>
      </c>
      <c r="U972" s="36" t="n">
        <f aca="false">IF(S972="","",MAX(0,S972))</f>
        <v>0</v>
      </c>
      <c r="V972" s="8" t="str">
        <f aca="false">IF(J972="","NOT SCORED - NO JULY MONTHLY ROW",IF(OR(ABS(L972)&gt;0.005,ABS(O972)&gt;0.005,ABS(S972)&gt;0.005),"EXCEPTION","OK"))</f>
        <v>OK</v>
      </c>
      <c r="W972" s="8" t="s">
        <v>6585</v>
      </c>
      <c r="X972" s="8" t="s">
        <v>4099</v>
      </c>
      <c r="Y972" s="36" t="n">
        <f aca="false">K972*N972</f>
        <v>416</v>
      </c>
    </row>
    <row r="973" customFormat="false" ht="15" hidden="false" customHeight="false" outlineLevel="0" collapsed="false">
      <c r="A973" s="11" t="s">
        <v>6586</v>
      </c>
      <c r="B973" s="11" t="s">
        <v>200</v>
      </c>
      <c r="C973" s="11" t="s">
        <v>5306</v>
      </c>
      <c r="D973" s="11" t="s">
        <v>2857</v>
      </c>
      <c r="E973" s="11" t="s">
        <v>6587</v>
      </c>
      <c r="F973" s="11" t="s">
        <v>6588</v>
      </c>
      <c r="G973" s="11" t="s">
        <v>6589</v>
      </c>
      <c r="H973" s="11" t="n">
        <v>24</v>
      </c>
      <c r="I973" s="31" t="n">
        <v>53.2</v>
      </c>
      <c r="J973" s="31" t="n">
        <v>54</v>
      </c>
      <c r="K973" s="31" t="n">
        <f aca="false">MAX(ROUNDUP(I973,0),H973)</f>
        <v>54</v>
      </c>
      <c r="L973" s="31" t="n">
        <f aca="false">IF(J973="","",J973-K973)</f>
        <v>0</v>
      </c>
      <c r="M973" s="32" t="n">
        <v>10.4</v>
      </c>
      <c r="N973" s="32" t="n">
        <f aca="false">IF(C973="covered",10.4,7.55)</f>
        <v>10.4</v>
      </c>
      <c r="O973" s="32" t="n">
        <f aca="false">IF(M973="","",M973-N973)</f>
        <v>0</v>
      </c>
      <c r="P973" s="11" t="n">
        <v>1</v>
      </c>
      <c r="Q973" s="33" t="n">
        <v>561.6</v>
      </c>
      <c r="R973" s="33" t="n">
        <f aca="false">IF(OR(J973="",P973=""),"",K973*N973*P973)</f>
        <v>561.6</v>
      </c>
      <c r="S973" s="33" t="n">
        <f aca="false">IF(Q973="","",Q973-R973)</f>
        <v>0</v>
      </c>
      <c r="T973" s="33" t="n">
        <f aca="false">IF(S973="","",MAX(0,-S973))</f>
        <v>-0</v>
      </c>
      <c r="U973" s="33" t="n">
        <f aca="false">IF(S973="","",MAX(0,S973))</f>
        <v>0</v>
      </c>
      <c r="V973" s="11" t="str">
        <f aca="false">IF(J973="","NOT SCORED - NO JULY MONTHLY ROW",IF(OR(ABS(L973)&gt;0.005,ABS(O973)&gt;0.005,ABS(S973)&gt;0.005),"EXCEPTION","OK"))</f>
        <v>OK</v>
      </c>
      <c r="W973" s="11" t="s">
        <v>6590</v>
      </c>
      <c r="X973" s="11" t="s">
        <v>4099</v>
      </c>
      <c r="Y973" s="33" t="n">
        <f aca="false">K973*N973</f>
        <v>561.6</v>
      </c>
    </row>
    <row r="974" customFormat="false" ht="15" hidden="false" customHeight="false" outlineLevel="0" collapsed="false">
      <c r="A974" s="8" t="s">
        <v>6591</v>
      </c>
      <c r="B974" s="8" t="s">
        <v>200</v>
      </c>
      <c r="C974" s="8" t="s">
        <v>5306</v>
      </c>
      <c r="D974" s="8" t="s">
        <v>2861</v>
      </c>
      <c r="E974" s="8" t="s">
        <v>6592</v>
      </c>
      <c r="F974" s="8" t="s">
        <v>6593</v>
      </c>
      <c r="G974" s="8" t="s">
        <v>4389</v>
      </c>
      <c r="H974" s="8" t="n">
        <v>28</v>
      </c>
      <c r="I974" s="34" t="n">
        <v>33</v>
      </c>
      <c r="J974" s="34" t="n">
        <v>33</v>
      </c>
      <c r="K974" s="34" t="n">
        <f aca="false">MAX(ROUNDUP(I974,0),H974)</f>
        <v>33</v>
      </c>
      <c r="L974" s="34" t="n">
        <f aca="false">IF(J974="","",J974-K974)</f>
        <v>0</v>
      </c>
      <c r="M974" s="35" t="n">
        <v>10.4</v>
      </c>
      <c r="N974" s="35" t="n">
        <f aca="false">IF(C974="covered",10.4,7.55)</f>
        <v>10.4</v>
      </c>
      <c r="O974" s="35" t="n">
        <f aca="false">IF(M974="","",M974-N974)</f>
        <v>0</v>
      </c>
      <c r="P974" s="8" t="n">
        <v>1</v>
      </c>
      <c r="Q974" s="36" t="n">
        <v>343.2</v>
      </c>
      <c r="R974" s="36" t="n">
        <f aca="false">IF(OR(J974="",P974=""),"",K974*N974*P974)</f>
        <v>343.2</v>
      </c>
      <c r="S974" s="36" t="n">
        <f aca="false">IF(Q974="","",Q974-R974)</f>
        <v>0</v>
      </c>
      <c r="T974" s="36" t="n">
        <f aca="false">IF(S974="","",MAX(0,-S974))</f>
        <v>-0</v>
      </c>
      <c r="U974" s="36" t="n">
        <f aca="false">IF(S974="","",MAX(0,S974))</f>
        <v>0</v>
      </c>
      <c r="V974" s="8" t="str">
        <f aca="false">IF(J974="","NOT SCORED - NO JULY MONTHLY ROW",IF(OR(ABS(L974)&gt;0.005,ABS(O974)&gt;0.005,ABS(S974)&gt;0.005),"EXCEPTION","OK"))</f>
        <v>OK</v>
      </c>
      <c r="W974" s="8" t="s">
        <v>6594</v>
      </c>
      <c r="X974" s="8" t="s">
        <v>4099</v>
      </c>
      <c r="Y974" s="36" t="n">
        <f aca="false">K974*N974</f>
        <v>343.2</v>
      </c>
    </row>
    <row r="975" customFormat="false" ht="15" hidden="false" customHeight="false" outlineLevel="0" collapsed="false">
      <c r="A975" s="11" t="s">
        <v>6595</v>
      </c>
      <c r="B975" s="11" t="s">
        <v>200</v>
      </c>
      <c r="C975" s="11" t="s">
        <v>5306</v>
      </c>
      <c r="D975" s="11" t="s">
        <v>3793</v>
      </c>
      <c r="E975" s="11" t="s">
        <v>1207</v>
      </c>
      <c r="F975" s="11" t="s">
        <v>1208</v>
      </c>
      <c r="G975" s="11" t="s">
        <v>3273</v>
      </c>
      <c r="H975" s="11" t="n">
        <v>40</v>
      </c>
      <c r="I975" s="31" t="n">
        <v>21</v>
      </c>
      <c r="J975" s="31" t="n">
        <v>40</v>
      </c>
      <c r="K975" s="31" t="n">
        <f aca="false">MAX(ROUNDUP(I975,0),H975)</f>
        <v>40</v>
      </c>
      <c r="L975" s="31" t="n">
        <f aca="false">IF(J975="","",J975-K975)</f>
        <v>0</v>
      </c>
      <c r="M975" s="32" t="n">
        <v>10.4</v>
      </c>
      <c r="N975" s="32" t="n">
        <f aca="false">IF(C975="covered",10.4,7.55)</f>
        <v>10.4</v>
      </c>
      <c r="O975" s="32" t="n">
        <f aca="false">IF(M975="","",M975-N975)</f>
        <v>0</v>
      </c>
      <c r="P975" s="11" t="n">
        <v>1</v>
      </c>
      <c r="Q975" s="33" t="n">
        <v>416</v>
      </c>
      <c r="R975" s="33" t="n">
        <f aca="false">IF(OR(J975="",P975=""),"",K975*N975*P975)</f>
        <v>416</v>
      </c>
      <c r="S975" s="33" t="n">
        <f aca="false">IF(Q975="","",Q975-R975)</f>
        <v>0</v>
      </c>
      <c r="T975" s="33" t="n">
        <f aca="false">IF(S975="","",MAX(0,-S975))</f>
        <v>-0</v>
      </c>
      <c r="U975" s="33" t="n">
        <f aca="false">IF(S975="","",MAX(0,S975))</f>
        <v>0</v>
      </c>
      <c r="V975" s="11" t="str">
        <f aca="false">IF(J975="","NOT SCORED - NO JULY MONTHLY ROW",IF(OR(ABS(L975)&gt;0.005,ABS(O975)&gt;0.005,ABS(S975)&gt;0.005),"EXCEPTION","OK"))</f>
        <v>OK</v>
      </c>
      <c r="W975" s="11" t="s">
        <v>6596</v>
      </c>
      <c r="X975" s="11" t="s">
        <v>4099</v>
      </c>
      <c r="Y975" s="33" t="n">
        <f aca="false">K975*N975</f>
        <v>416</v>
      </c>
    </row>
    <row r="976" customFormat="false" ht="15" hidden="false" customHeight="false" outlineLevel="0" collapsed="false">
      <c r="A976" s="8" t="s">
        <v>6597</v>
      </c>
      <c r="B976" s="8" t="s">
        <v>200</v>
      </c>
      <c r="C976" s="8" t="s">
        <v>5306</v>
      </c>
      <c r="D976" s="8" t="s">
        <v>2866</v>
      </c>
      <c r="E976" s="8" t="s">
        <v>2202</v>
      </c>
      <c r="F976" s="8" t="s">
        <v>6598</v>
      </c>
      <c r="G976" s="8" t="s">
        <v>3492</v>
      </c>
      <c r="H976" s="8" t="n">
        <v>28</v>
      </c>
      <c r="I976" s="34" t="n">
        <v>46.2</v>
      </c>
      <c r="J976" s="34" t="n">
        <v>47</v>
      </c>
      <c r="K976" s="34" t="n">
        <f aca="false">MAX(ROUNDUP(I976,0),H976)</f>
        <v>47</v>
      </c>
      <c r="L976" s="34" t="n">
        <f aca="false">IF(J976="","",J976-K976)</f>
        <v>0</v>
      </c>
      <c r="M976" s="35" t="n">
        <v>10.4</v>
      </c>
      <c r="N976" s="35" t="n">
        <f aca="false">IF(C976="covered",10.4,7.55)</f>
        <v>10.4</v>
      </c>
      <c r="O976" s="35" t="n">
        <f aca="false">IF(M976="","",M976-N976)</f>
        <v>0</v>
      </c>
      <c r="P976" s="8" t="n">
        <v>1</v>
      </c>
      <c r="Q976" s="36" t="n">
        <v>488.8</v>
      </c>
      <c r="R976" s="36" t="n">
        <f aca="false">IF(OR(J976="",P976=""),"",K976*N976*P976)</f>
        <v>488.8</v>
      </c>
      <c r="S976" s="36" t="n">
        <f aca="false">IF(Q976="","",Q976-R976)</f>
        <v>0</v>
      </c>
      <c r="T976" s="36" t="n">
        <f aca="false">IF(S976="","",MAX(0,-S976))</f>
        <v>-0</v>
      </c>
      <c r="U976" s="36" t="n">
        <f aca="false">IF(S976="","",MAX(0,S976))</f>
        <v>0</v>
      </c>
      <c r="V976" s="8" t="str">
        <f aca="false">IF(J976="","NOT SCORED - NO JULY MONTHLY ROW",IF(OR(ABS(L976)&gt;0.005,ABS(O976)&gt;0.005,ABS(S976)&gt;0.005),"EXCEPTION","OK"))</f>
        <v>OK</v>
      </c>
      <c r="W976" s="8" t="s">
        <v>6599</v>
      </c>
      <c r="X976" s="8" t="s">
        <v>4099</v>
      </c>
      <c r="Y976" s="36" t="n">
        <f aca="false">K976*N976</f>
        <v>488.8</v>
      </c>
    </row>
    <row r="977" customFormat="false" ht="15" hidden="false" customHeight="false" outlineLevel="0" collapsed="false">
      <c r="A977" s="11" t="s">
        <v>667</v>
      </c>
      <c r="B977" s="11" t="s">
        <v>200</v>
      </c>
      <c r="C977" s="11" t="s">
        <v>5306</v>
      </c>
      <c r="D977" s="11" t="s">
        <v>2871</v>
      </c>
      <c r="E977" s="11" t="s">
        <v>2385</v>
      </c>
      <c r="F977" s="11" t="s">
        <v>6600</v>
      </c>
      <c r="G977" s="11" t="s">
        <v>3916</v>
      </c>
      <c r="H977" s="11" t="n">
        <v>28</v>
      </c>
      <c r="I977" s="31" t="n">
        <v>21.8</v>
      </c>
      <c r="J977" s="31" t="n">
        <v>28</v>
      </c>
      <c r="K977" s="31" t="n">
        <f aca="false">MAX(ROUNDUP(I977,0),H977)</f>
        <v>28</v>
      </c>
      <c r="L977" s="31" t="n">
        <f aca="false">IF(J977="","",J977-K977)</f>
        <v>0</v>
      </c>
      <c r="M977" s="32" t="n">
        <v>10.4</v>
      </c>
      <c r="N977" s="32" t="n">
        <f aca="false">IF(C977="covered",10.4,7.55)</f>
        <v>10.4</v>
      </c>
      <c r="O977" s="32" t="n">
        <f aca="false">IF(M977="","",M977-N977)</f>
        <v>0</v>
      </c>
      <c r="P977" s="11" t="n">
        <v>1</v>
      </c>
      <c r="Q977" s="33" t="n">
        <v>291.2</v>
      </c>
      <c r="R977" s="33" t="n">
        <f aca="false">IF(OR(J977="",P977=""),"",K977*N977*P977)</f>
        <v>291.2</v>
      </c>
      <c r="S977" s="33" t="n">
        <f aca="false">IF(Q977="","",Q977-R977)</f>
        <v>0</v>
      </c>
      <c r="T977" s="33" t="n">
        <f aca="false">IF(S977="","",MAX(0,-S977))</f>
        <v>-0</v>
      </c>
      <c r="U977" s="33" t="n">
        <f aca="false">IF(S977="","",MAX(0,S977))</f>
        <v>0</v>
      </c>
      <c r="V977" s="11" t="str">
        <f aca="false">IF(J977="","NOT SCORED - NO JULY MONTHLY ROW",IF(OR(ABS(L977)&gt;0.005,ABS(O977)&gt;0.005,ABS(S977)&gt;0.005),"EXCEPTION","OK"))</f>
        <v>OK</v>
      </c>
      <c r="W977" s="11" t="s">
        <v>6601</v>
      </c>
      <c r="X977" s="11" t="s">
        <v>4099</v>
      </c>
      <c r="Y977" s="33" t="n">
        <f aca="false">K977*N977</f>
        <v>291.2</v>
      </c>
    </row>
    <row r="978" customFormat="false" ht="15" hidden="false" customHeight="false" outlineLevel="0" collapsed="false">
      <c r="A978" s="8" t="s">
        <v>6602</v>
      </c>
      <c r="B978" s="8" t="s">
        <v>200</v>
      </c>
      <c r="C978" s="8" t="s">
        <v>5306</v>
      </c>
      <c r="D978" s="8" t="s">
        <v>2875</v>
      </c>
      <c r="E978" s="8" t="s">
        <v>6603</v>
      </c>
      <c r="F978" s="8" t="s">
        <v>6604</v>
      </c>
      <c r="G978" s="8" t="s">
        <v>3946</v>
      </c>
      <c r="H978" s="8" t="n">
        <v>32</v>
      </c>
      <c r="I978" s="34" t="n">
        <v>57.9</v>
      </c>
      <c r="J978" s="34" t="n">
        <v>58</v>
      </c>
      <c r="K978" s="34" t="n">
        <f aca="false">MAX(ROUNDUP(I978,0),H978)</f>
        <v>58</v>
      </c>
      <c r="L978" s="34" t="n">
        <f aca="false">IF(J978="","",J978-K978)</f>
        <v>0</v>
      </c>
      <c r="M978" s="35" t="n">
        <v>10.4</v>
      </c>
      <c r="N978" s="35" t="n">
        <f aca="false">IF(C978="covered",10.4,7.55)</f>
        <v>10.4</v>
      </c>
      <c r="O978" s="35" t="n">
        <f aca="false">IF(M978="","",M978-N978)</f>
        <v>0</v>
      </c>
      <c r="P978" s="8" t="n">
        <v>1</v>
      </c>
      <c r="Q978" s="36" t="n">
        <v>603.2</v>
      </c>
      <c r="R978" s="36" t="n">
        <f aca="false">IF(OR(J978="",P978=""),"",K978*N978*P978)</f>
        <v>603.2</v>
      </c>
      <c r="S978" s="36" t="n">
        <f aca="false">IF(Q978="","",Q978-R978)</f>
        <v>0</v>
      </c>
      <c r="T978" s="36" t="n">
        <f aca="false">IF(S978="","",MAX(0,-S978))</f>
        <v>-0</v>
      </c>
      <c r="U978" s="36" t="n">
        <f aca="false">IF(S978="","",MAX(0,S978))</f>
        <v>0</v>
      </c>
      <c r="V978" s="8" t="str">
        <f aca="false">IF(J978="","NOT SCORED - NO JULY MONTHLY ROW",IF(OR(ABS(L978)&gt;0.005,ABS(O978)&gt;0.005,ABS(S978)&gt;0.005),"EXCEPTION","OK"))</f>
        <v>OK</v>
      </c>
      <c r="W978" s="8" t="s">
        <v>6605</v>
      </c>
      <c r="X978" s="8" t="s">
        <v>4099</v>
      </c>
      <c r="Y978" s="36" t="n">
        <f aca="false">K978*N978</f>
        <v>603.2</v>
      </c>
    </row>
    <row r="979" customFormat="false" ht="15" hidden="false" customHeight="false" outlineLevel="0" collapsed="false">
      <c r="A979" s="11" t="s">
        <v>6606</v>
      </c>
      <c r="B979" s="11" t="s">
        <v>200</v>
      </c>
      <c r="C979" s="11" t="s">
        <v>5306</v>
      </c>
      <c r="D979" s="11" t="s">
        <v>2879</v>
      </c>
      <c r="E979" s="11" t="s">
        <v>6607</v>
      </c>
      <c r="F979" s="11" t="s">
        <v>6608</v>
      </c>
      <c r="G979" s="11" t="s">
        <v>3352</v>
      </c>
      <c r="H979" s="11" t="n">
        <v>24</v>
      </c>
      <c r="I979" s="31" t="n">
        <v>26</v>
      </c>
      <c r="J979" s="31" t="n">
        <v>26</v>
      </c>
      <c r="K979" s="31" t="n">
        <f aca="false">MAX(ROUNDUP(I979,0),H979)</f>
        <v>26</v>
      </c>
      <c r="L979" s="31" t="n">
        <f aca="false">IF(J979="","",J979-K979)</f>
        <v>0</v>
      </c>
      <c r="M979" s="32" t="n">
        <v>10.4</v>
      </c>
      <c r="N979" s="32" t="n">
        <f aca="false">IF(C979="covered",10.4,7.55)</f>
        <v>10.4</v>
      </c>
      <c r="O979" s="32" t="n">
        <f aca="false">IF(M979="","",M979-N979)</f>
        <v>0</v>
      </c>
      <c r="P979" s="11" t="n">
        <v>1</v>
      </c>
      <c r="Q979" s="33" t="n">
        <v>270.4</v>
      </c>
      <c r="R979" s="33" t="n">
        <f aca="false">IF(OR(J979="",P979=""),"",K979*N979*P979)</f>
        <v>270.4</v>
      </c>
      <c r="S979" s="33" t="n">
        <f aca="false">IF(Q979="","",Q979-R979)</f>
        <v>0</v>
      </c>
      <c r="T979" s="33" t="n">
        <f aca="false">IF(S979="","",MAX(0,-S979))</f>
        <v>-0</v>
      </c>
      <c r="U979" s="33" t="n">
        <f aca="false">IF(S979="","",MAX(0,S979))</f>
        <v>0</v>
      </c>
      <c r="V979" s="11" t="str">
        <f aca="false">IF(J979="","NOT SCORED - NO JULY MONTHLY ROW",IF(OR(ABS(L979)&gt;0.005,ABS(O979)&gt;0.005,ABS(S979)&gt;0.005),"EXCEPTION","OK"))</f>
        <v>OK</v>
      </c>
      <c r="W979" s="11" t="s">
        <v>6609</v>
      </c>
      <c r="X979" s="11" t="s">
        <v>4099</v>
      </c>
      <c r="Y979" s="33" t="n">
        <f aca="false">K979*N979</f>
        <v>270.4</v>
      </c>
    </row>
    <row r="980" customFormat="false" ht="15" hidden="false" customHeight="false" outlineLevel="0" collapsed="false">
      <c r="A980" s="8" t="s">
        <v>6610</v>
      </c>
      <c r="B980" s="8" t="s">
        <v>200</v>
      </c>
      <c r="C980" s="8" t="s">
        <v>5306</v>
      </c>
      <c r="D980" s="8" t="s">
        <v>2884</v>
      </c>
      <c r="E980" s="8" t="s">
        <v>6611</v>
      </c>
      <c r="F980" s="8" t="s">
        <v>6612</v>
      </c>
      <c r="G980" s="8" t="s">
        <v>2839</v>
      </c>
      <c r="H980" s="8" t="n">
        <v>24</v>
      </c>
      <c r="I980" s="34" t="n">
        <v>41.5</v>
      </c>
      <c r="J980" s="34" t="n">
        <v>42</v>
      </c>
      <c r="K980" s="34" t="n">
        <f aca="false">MAX(ROUNDUP(I980,0),H980)</f>
        <v>42</v>
      </c>
      <c r="L980" s="34" t="n">
        <f aca="false">IF(J980="","",J980-K980)</f>
        <v>0</v>
      </c>
      <c r="M980" s="35" t="n">
        <v>10.4</v>
      </c>
      <c r="N980" s="35" t="n">
        <f aca="false">IF(C980="covered",10.4,7.55)</f>
        <v>10.4</v>
      </c>
      <c r="O980" s="35" t="n">
        <f aca="false">IF(M980="","",M980-N980)</f>
        <v>0</v>
      </c>
      <c r="P980" s="8" t="n">
        <v>1</v>
      </c>
      <c r="Q980" s="36" t="n">
        <v>436.8</v>
      </c>
      <c r="R980" s="36" t="n">
        <f aca="false">IF(OR(J980="",P980=""),"",K980*N980*P980)</f>
        <v>436.8</v>
      </c>
      <c r="S980" s="36" t="n">
        <f aca="false">IF(Q980="","",Q980-R980)</f>
        <v>0</v>
      </c>
      <c r="T980" s="36" t="n">
        <f aca="false">IF(S980="","",MAX(0,-S980))</f>
        <v>-0</v>
      </c>
      <c r="U980" s="36" t="n">
        <f aca="false">IF(S980="","",MAX(0,S980))</f>
        <v>0</v>
      </c>
      <c r="V980" s="8" t="str">
        <f aca="false">IF(J980="","NOT SCORED - NO JULY MONTHLY ROW",IF(OR(ABS(L980)&gt;0.005,ABS(O980)&gt;0.005,ABS(S980)&gt;0.005),"EXCEPTION","OK"))</f>
        <v>OK</v>
      </c>
      <c r="W980" s="8" t="s">
        <v>6613</v>
      </c>
      <c r="X980" s="8" t="s">
        <v>4099</v>
      </c>
      <c r="Y980" s="36" t="n">
        <f aca="false">K980*N980</f>
        <v>436.8</v>
      </c>
    </row>
    <row r="981" customFormat="false" ht="15" hidden="false" customHeight="false" outlineLevel="0" collapsed="false">
      <c r="A981" s="11" t="s">
        <v>1157</v>
      </c>
      <c r="B981" s="11" t="s">
        <v>200</v>
      </c>
      <c r="C981" s="11" t="s">
        <v>5306</v>
      </c>
      <c r="D981" s="11" t="s">
        <v>2893</v>
      </c>
      <c r="E981" s="11" t="s">
        <v>6614</v>
      </c>
      <c r="F981" s="11" t="s">
        <v>6615</v>
      </c>
      <c r="G981" s="11" t="s">
        <v>6616</v>
      </c>
      <c r="H981" s="11" t="n">
        <v>28</v>
      </c>
      <c r="I981" s="31" t="n">
        <v>59.8</v>
      </c>
      <c r="J981" s="31" t="n">
        <v>60</v>
      </c>
      <c r="K981" s="31" t="n">
        <f aca="false">MAX(ROUNDUP(I981,0),H981)</f>
        <v>60</v>
      </c>
      <c r="L981" s="31" t="n">
        <f aca="false">IF(J981="","",J981-K981)</f>
        <v>0</v>
      </c>
      <c r="M981" s="32" t="n">
        <v>10.4</v>
      </c>
      <c r="N981" s="32" t="n">
        <f aca="false">IF(C981="covered",10.4,7.55)</f>
        <v>10.4</v>
      </c>
      <c r="O981" s="32" t="n">
        <f aca="false">IF(M981="","",M981-N981)</f>
        <v>0</v>
      </c>
      <c r="P981" s="11" t="n">
        <v>1</v>
      </c>
      <c r="Q981" s="33" t="n">
        <v>624</v>
      </c>
      <c r="R981" s="33" t="n">
        <f aca="false">IF(OR(J981="",P981=""),"",K981*N981*P981)</f>
        <v>624</v>
      </c>
      <c r="S981" s="33" t="n">
        <f aca="false">IF(Q981="","",Q981-R981)</f>
        <v>0</v>
      </c>
      <c r="T981" s="33" t="n">
        <f aca="false">IF(S981="","",MAX(0,-S981))</f>
        <v>-0</v>
      </c>
      <c r="U981" s="33" t="n">
        <f aca="false">IF(S981="","",MAX(0,S981))</f>
        <v>0</v>
      </c>
      <c r="V981" s="11" t="str">
        <f aca="false">IF(J981="","NOT SCORED - NO JULY MONTHLY ROW",IF(OR(ABS(L981)&gt;0.005,ABS(O981)&gt;0.005,ABS(S981)&gt;0.005),"EXCEPTION","OK"))</f>
        <v>OK</v>
      </c>
      <c r="W981" s="11" t="s">
        <v>6617</v>
      </c>
      <c r="X981" s="11" t="s">
        <v>4099</v>
      </c>
      <c r="Y981" s="33" t="n">
        <f aca="false">K981*N981</f>
        <v>624</v>
      </c>
    </row>
    <row r="982" customFormat="false" ht="15" hidden="false" customHeight="false" outlineLevel="0" collapsed="false">
      <c r="A982" s="8" t="s">
        <v>1138</v>
      </c>
      <c r="B982" s="8" t="s">
        <v>200</v>
      </c>
      <c r="C982" s="8" t="s">
        <v>5306</v>
      </c>
      <c r="D982" s="8" t="s">
        <v>2898</v>
      </c>
      <c r="E982" s="8" t="s">
        <v>6618</v>
      </c>
      <c r="F982" s="8" t="s">
        <v>6619</v>
      </c>
      <c r="G982" s="8" t="s">
        <v>4563</v>
      </c>
      <c r="H982" s="8" t="n">
        <v>28</v>
      </c>
      <c r="I982" s="34" t="n">
        <v>56.9</v>
      </c>
      <c r="J982" s="34" t="n">
        <v>57</v>
      </c>
      <c r="K982" s="34" t="n">
        <f aca="false">MAX(ROUNDUP(I982,0),H982)</f>
        <v>57</v>
      </c>
      <c r="L982" s="34" t="n">
        <f aca="false">IF(J982="","",J982-K982)</f>
        <v>0</v>
      </c>
      <c r="M982" s="35" t="n">
        <v>10.4</v>
      </c>
      <c r="N982" s="35" t="n">
        <f aca="false">IF(C982="covered",10.4,7.55)</f>
        <v>10.4</v>
      </c>
      <c r="O982" s="35" t="n">
        <f aca="false">IF(M982="","",M982-N982)</f>
        <v>0</v>
      </c>
      <c r="P982" s="8" t="n">
        <v>1</v>
      </c>
      <c r="Q982" s="36" t="n">
        <v>592.8</v>
      </c>
      <c r="R982" s="36" t="n">
        <f aca="false">IF(OR(J982="",P982=""),"",K982*N982*P982)</f>
        <v>592.8</v>
      </c>
      <c r="S982" s="36" t="n">
        <f aca="false">IF(Q982="","",Q982-R982)</f>
        <v>0</v>
      </c>
      <c r="T982" s="36" t="n">
        <f aca="false">IF(S982="","",MAX(0,-S982))</f>
        <v>-0</v>
      </c>
      <c r="U982" s="36" t="n">
        <f aca="false">IF(S982="","",MAX(0,S982))</f>
        <v>0</v>
      </c>
      <c r="V982" s="8" t="str">
        <f aca="false">IF(J982="","NOT SCORED - NO JULY MONTHLY ROW",IF(OR(ABS(L982)&gt;0.005,ABS(O982)&gt;0.005,ABS(S982)&gt;0.005),"EXCEPTION","OK"))</f>
        <v>OK</v>
      </c>
      <c r="W982" s="8" t="s">
        <v>6620</v>
      </c>
      <c r="X982" s="8" t="s">
        <v>4099</v>
      </c>
      <c r="Y982" s="36" t="n">
        <f aca="false">K982*N982</f>
        <v>592.8</v>
      </c>
    </row>
    <row r="983" customFormat="false" ht="15" hidden="false" customHeight="false" outlineLevel="0" collapsed="false">
      <c r="A983" s="11" t="s">
        <v>6621</v>
      </c>
      <c r="B983" s="11" t="s">
        <v>200</v>
      </c>
      <c r="C983" s="11" t="s">
        <v>5306</v>
      </c>
      <c r="D983" s="11" t="s">
        <v>2903</v>
      </c>
      <c r="E983" s="11" t="s">
        <v>6622</v>
      </c>
      <c r="F983" s="11" t="s">
        <v>6623</v>
      </c>
      <c r="G983" s="11" t="s">
        <v>5685</v>
      </c>
      <c r="H983" s="11" t="n">
        <v>24</v>
      </c>
      <c r="I983" s="31" t="n">
        <v>48.2</v>
      </c>
      <c r="J983" s="31" t="n">
        <v>49</v>
      </c>
      <c r="K983" s="31" t="n">
        <f aca="false">MAX(ROUNDUP(I983,0),H983)</f>
        <v>49</v>
      </c>
      <c r="L983" s="31" t="n">
        <f aca="false">IF(J983="","",J983-K983)</f>
        <v>0</v>
      </c>
      <c r="M983" s="32" t="n">
        <v>10.4</v>
      </c>
      <c r="N983" s="32" t="n">
        <f aca="false">IF(C983="covered",10.4,7.55)</f>
        <v>10.4</v>
      </c>
      <c r="O983" s="32" t="n">
        <f aca="false">IF(M983="","",M983-N983)</f>
        <v>0</v>
      </c>
      <c r="P983" s="11" t="n">
        <v>1</v>
      </c>
      <c r="Q983" s="33" t="n">
        <v>509.6</v>
      </c>
      <c r="R983" s="33" t="n">
        <f aca="false">IF(OR(J983="",P983=""),"",K983*N983*P983)</f>
        <v>509.6</v>
      </c>
      <c r="S983" s="33" t="n">
        <f aca="false">IF(Q983="","",Q983-R983)</f>
        <v>0</v>
      </c>
      <c r="T983" s="33" t="n">
        <f aca="false">IF(S983="","",MAX(0,-S983))</f>
        <v>-0</v>
      </c>
      <c r="U983" s="33" t="n">
        <f aca="false">IF(S983="","",MAX(0,S983))</f>
        <v>0</v>
      </c>
      <c r="V983" s="11" t="str">
        <f aca="false">IF(J983="","NOT SCORED - NO JULY MONTHLY ROW",IF(OR(ABS(L983)&gt;0.005,ABS(O983)&gt;0.005,ABS(S983)&gt;0.005),"EXCEPTION","OK"))</f>
        <v>OK</v>
      </c>
      <c r="W983" s="11" t="s">
        <v>6624</v>
      </c>
      <c r="X983" s="11" t="s">
        <v>4099</v>
      </c>
      <c r="Y983" s="33" t="n">
        <f aca="false">K983*N983</f>
        <v>509.6</v>
      </c>
    </row>
    <row r="984" customFormat="false" ht="15" hidden="false" customHeight="false" outlineLevel="0" collapsed="false">
      <c r="A984" s="8" t="s">
        <v>6625</v>
      </c>
      <c r="B984" s="8" t="s">
        <v>200</v>
      </c>
      <c r="C984" s="8" t="s">
        <v>5306</v>
      </c>
      <c r="D984" s="8" t="s">
        <v>2908</v>
      </c>
      <c r="E984" s="8" t="s">
        <v>6626</v>
      </c>
      <c r="F984" s="8" t="s">
        <v>6627</v>
      </c>
      <c r="G984" s="8" t="s">
        <v>5703</v>
      </c>
      <c r="H984" s="8" t="n">
        <v>28</v>
      </c>
      <c r="I984" s="34" t="n">
        <v>36</v>
      </c>
      <c r="J984" s="34" t="n">
        <v>36</v>
      </c>
      <c r="K984" s="34" t="n">
        <f aca="false">MAX(ROUNDUP(I984,0),H984)</f>
        <v>36</v>
      </c>
      <c r="L984" s="34" t="n">
        <f aca="false">IF(J984="","",J984-K984)</f>
        <v>0</v>
      </c>
      <c r="M984" s="35" t="n">
        <v>10.4</v>
      </c>
      <c r="N984" s="35" t="n">
        <f aca="false">IF(C984="covered",10.4,7.55)</f>
        <v>10.4</v>
      </c>
      <c r="O984" s="35" t="n">
        <f aca="false">IF(M984="","",M984-N984)</f>
        <v>0</v>
      </c>
      <c r="P984" s="8" t="n">
        <v>1</v>
      </c>
      <c r="Q984" s="36" t="n">
        <v>374.4</v>
      </c>
      <c r="R984" s="36" t="n">
        <f aca="false">IF(OR(J984="",P984=""),"",K984*N984*P984)</f>
        <v>374.4</v>
      </c>
      <c r="S984" s="36" t="n">
        <f aca="false">IF(Q984="","",Q984-R984)</f>
        <v>0</v>
      </c>
      <c r="T984" s="36" t="n">
        <f aca="false">IF(S984="","",MAX(0,-S984))</f>
        <v>-0</v>
      </c>
      <c r="U984" s="36" t="n">
        <f aca="false">IF(S984="","",MAX(0,S984))</f>
        <v>0</v>
      </c>
      <c r="V984" s="8" t="str">
        <f aca="false">IF(J984="","NOT SCORED - NO JULY MONTHLY ROW",IF(OR(ABS(L984)&gt;0.005,ABS(O984)&gt;0.005,ABS(S984)&gt;0.005),"EXCEPTION","OK"))</f>
        <v>OK</v>
      </c>
      <c r="W984" s="8" t="s">
        <v>6628</v>
      </c>
      <c r="X984" s="8" t="s">
        <v>4099</v>
      </c>
      <c r="Y984" s="36" t="n">
        <f aca="false">K984*N984</f>
        <v>374.4</v>
      </c>
    </row>
    <row r="985" customFormat="false" ht="15" hidden="false" customHeight="false" outlineLevel="0" collapsed="false">
      <c r="A985" s="11" t="s">
        <v>458</v>
      </c>
      <c r="B985" s="11" t="s">
        <v>200</v>
      </c>
      <c r="C985" s="11" t="s">
        <v>5306</v>
      </c>
      <c r="D985" s="11" t="s">
        <v>2913</v>
      </c>
      <c r="E985" s="11" t="s">
        <v>69</v>
      </c>
      <c r="F985" s="11" t="s">
        <v>70</v>
      </c>
      <c r="G985" s="11" t="s">
        <v>6629</v>
      </c>
      <c r="H985" s="11" t="n">
        <v>32</v>
      </c>
      <c r="I985" s="31" t="n">
        <v>33.2</v>
      </c>
      <c r="J985" s="31" t="n">
        <v>34</v>
      </c>
      <c r="K985" s="31" t="n">
        <f aca="false">MAX(ROUNDUP(I985,0),H985)</f>
        <v>34</v>
      </c>
      <c r="L985" s="31" t="n">
        <f aca="false">IF(J985="","",J985-K985)</f>
        <v>0</v>
      </c>
      <c r="M985" s="32" t="n">
        <v>10.4</v>
      </c>
      <c r="N985" s="32" t="n">
        <f aca="false">IF(C985="covered",10.4,7.55)</f>
        <v>10.4</v>
      </c>
      <c r="O985" s="32" t="n">
        <f aca="false">IF(M985="","",M985-N985)</f>
        <v>0</v>
      </c>
      <c r="P985" s="11" t="n">
        <v>1</v>
      </c>
      <c r="Q985" s="33" t="n">
        <v>353.6</v>
      </c>
      <c r="R985" s="33" t="n">
        <f aca="false">IF(OR(J985="",P985=""),"",K985*N985*P985)</f>
        <v>353.6</v>
      </c>
      <c r="S985" s="33" t="n">
        <f aca="false">IF(Q985="","",Q985-R985)</f>
        <v>0</v>
      </c>
      <c r="T985" s="33" t="n">
        <f aca="false">IF(S985="","",MAX(0,-S985))</f>
        <v>-0</v>
      </c>
      <c r="U985" s="33" t="n">
        <f aca="false">IF(S985="","",MAX(0,S985))</f>
        <v>0</v>
      </c>
      <c r="V985" s="11" t="str">
        <f aca="false">IF(J985="","NOT SCORED - NO JULY MONTHLY ROW",IF(OR(ABS(L985)&gt;0.005,ABS(O985)&gt;0.005,ABS(S985)&gt;0.005),"EXCEPTION","OK"))</f>
        <v>OK</v>
      </c>
      <c r="W985" s="11" t="s">
        <v>6630</v>
      </c>
      <c r="X985" s="11" t="s">
        <v>4099</v>
      </c>
      <c r="Y985" s="33" t="n">
        <f aca="false">K985*N985</f>
        <v>353.6</v>
      </c>
    </row>
    <row r="986" customFormat="false" ht="15" hidden="false" customHeight="false" outlineLevel="0" collapsed="false">
      <c r="A986" s="8" t="s">
        <v>6631</v>
      </c>
      <c r="B986" s="8" t="s">
        <v>200</v>
      </c>
      <c r="C986" s="8" t="s">
        <v>5306</v>
      </c>
      <c r="D986" s="8" t="s">
        <v>2917</v>
      </c>
      <c r="E986" s="8" t="s">
        <v>6632</v>
      </c>
      <c r="F986" s="8" t="s">
        <v>6633</v>
      </c>
      <c r="G986" s="8" t="s">
        <v>3540</v>
      </c>
      <c r="H986" s="8" t="n">
        <v>32</v>
      </c>
      <c r="I986" s="34" t="n">
        <v>42.5</v>
      </c>
      <c r="J986" s="34" t="n">
        <v>43</v>
      </c>
      <c r="K986" s="34" t="n">
        <f aca="false">MAX(ROUNDUP(I986,0),H986)</f>
        <v>43</v>
      </c>
      <c r="L986" s="34" t="n">
        <f aca="false">IF(J986="","",J986-K986)</f>
        <v>0</v>
      </c>
      <c r="M986" s="35" t="n">
        <v>10.4</v>
      </c>
      <c r="N986" s="35" t="n">
        <f aca="false">IF(C986="covered",10.4,7.55)</f>
        <v>10.4</v>
      </c>
      <c r="O986" s="35" t="n">
        <f aca="false">IF(M986="","",M986-N986)</f>
        <v>0</v>
      </c>
      <c r="P986" s="8" t="n">
        <v>1</v>
      </c>
      <c r="Q986" s="36" t="n">
        <v>447.2</v>
      </c>
      <c r="R986" s="36" t="n">
        <f aca="false">IF(OR(J986="",P986=""),"",K986*N986*P986)</f>
        <v>447.2</v>
      </c>
      <c r="S986" s="36" t="n">
        <f aca="false">IF(Q986="","",Q986-R986)</f>
        <v>0</v>
      </c>
      <c r="T986" s="36" t="n">
        <f aca="false">IF(S986="","",MAX(0,-S986))</f>
        <v>-0</v>
      </c>
      <c r="U986" s="36" t="n">
        <f aca="false">IF(S986="","",MAX(0,S986))</f>
        <v>0</v>
      </c>
      <c r="V986" s="8" t="str">
        <f aca="false">IF(J986="","NOT SCORED - NO JULY MONTHLY ROW",IF(OR(ABS(L986)&gt;0.005,ABS(O986)&gt;0.005,ABS(S986)&gt;0.005),"EXCEPTION","OK"))</f>
        <v>OK</v>
      </c>
      <c r="W986" s="8" t="s">
        <v>6634</v>
      </c>
      <c r="X986" s="8" t="s">
        <v>4099</v>
      </c>
      <c r="Y986" s="36" t="n">
        <f aca="false">K986*N986</f>
        <v>447.2</v>
      </c>
    </row>
    <row r="987" customFormat="false" ht="15" hidden="false" customHeight="false" outlineLevel="0" collapsed="false">
      <c r="A987" s="11" t="s">
        <v>6635</v>
      </c>
      <c r="B987" s="11" t="s">
        <v>200</v>
      </c>
      <c r="C987" s="11" t="s">
        <v>5306</v>
      </c>
      <c r="D987" s="11" t="s">
        <v>2921</v>
      </c>
      <c r="E987" s="11" t="s">
        <v>6636</v>
      </c>
      <c r="F987" s="11" t="s">
        <v>6637</v>
      </c>
      <c r="G987" s="11" t="s">
        <v>5936</v>
      </c>
      <c r="H987" s="11" t="n">
        <v>32</v>
      </c>
      <c r="I987" s="31" t="n">
        <v>38.7</v>
      </c>
      <c r="J987" s="31" t="n">
        <v>39</v>
      </c>
      <c r="K987" s="31" t="n">
        <f aca="false">MAX(ROUNDUP(I987,0),H987)</f>
        <v>39</v>
      </c>
      <c r="L987" s="31" t="n">
        <f aca="false">IF(J987="","",J987-K987)</f>
        <v>0</v>
      </c>
      <c r="M987" s="32" t="n">
        <v>10.4</v>
      </c>
      <c r="N987" s="32" t="n">
        <f aca="false">IF(C987="covered",10.4,7.55)</f>
        <v>10.4</v>
      </c>
      <c r="O987" s="32" t="n">
        <f aca="false">IF(M987="","",M987-N987)</f>
        <v>0</v>
      </c>
      <c r="P987" s="11" t="n">
        <v>1</v>
      </c>
      <c r="Q987" s="33" t="n">
        <v>405.6</v>
      </c>
      <c r="R987" s="33" t="n">
        <f aca="false">IF(OR(J987="",P987=""),"",K987*N987*P987)</f>
        <v>405.6</v>
      </c>
      <c r="S987" s="33" t="n">
        <f aca="false">IF(Q987="","",Q987-R987)</f>
        <v>0</v>
      </c>
      <c r="T987" s="33" t="n">
        <f aca="false">IF(S987="","",MAX(0,-S987))</f>
        <v>-0</v>
      </c>
      <c r="U987" s="33" t="n">
        <f aca="false">IF(S987="","",MAX(0,S987))</f>
        <v>0</v>
      </c>
      <c r="V987" s="11" t="str">
        <f aca="false">IF(J987="","NOT SCORED - NO JULY MONTHLY ROW",IF(OR(ABS(L987)&gt;0.005,ABS(O987)&gt;0.005,ABS(S987)&gt;0.005),"EXCEPTION","OK"))</f>
        <v>OK</v>
      </c>
      <c r="W987" s="11" t="s">
        <v>6638</v>
      </c>
      <c r="X987" s="11" t="s">
        <v>4099</v>
      </c>
      <c r="Y987" s="33" t="n">
        <f aca="false">K987*N987</f>
        <v>405.6</v>
      </c>
    </row>
    <row r="988" customFormat="false" ht="15" hidden="false" customHeight="false" outlineLevel="0" collapsed="false">
      <c r="A988" s="8" t="s">
        <v>6639</v>
      </c>
      <c r="B988" s="8" t="s">
        <v>200</v>
      </c>
      <c r="C988" s="8" t="s">
        <v>5306</v>
      </c>
      <c r="D988" s="8" t="s">
        <v>3831</v>
      </c>
      <c r="E988" s="8" t="s">
        <v>6640</v>
      </c>
      <c r="F988" s="8" t="s">
        <v>6641</v>
      </c>
      <c r="G988" s="8" t="s">
        <v>4010</v>
      </c>
      <c r="H988" s="8" t="n">
        <v>28</v>
      </c>
      <c r="I988" s="34" t="n">
        <v>22.5</v>
      </c>
      <c r="J988" s="34" t="n">
        <v>28</v>
      </c>
      <c r="K988" s="34" t="n">
        <f aca="false">MAX(ROUNDUP(I988,0),H988)</f>
        <v>28</v>
      </c>
      <c r="L988" s="34" t="n">
        <f aca="false">IF(J988="","",J988-K988)</f>
        <v>0</v>
      </c>
      <c r="M988" s="35" t="n">
        <v>10.4</v>
      </c>
      <c r="N988" s="35" t="n">
        <f aca="false">IF(C988="covered",10.4,7.55)</f>
        <v>10.4</v>
      </c>
      <c r="O988" s="35" t="n">
        <f aca="false">IF(M988="","",M988-N988)</f>
        <v>0</v>
      </c>
      <c r="P988" s="8" t="n">
        <v>1</v>
      </c>
      <c r="Q988" s="36" t="n">
        <v>291.2</v>
      </c>
      <c r="R988" s="36" t="n">
        <f aca="false">IF(OR(J988="",P988=""),"",K988*N988*P988)</f>
        <v>291.2</v>
      </c>
      <c r="S988" s="36" t="n">
        <f aca="false">IF(Q988="","",Q988-R988)</f>
        <v>0</v>
      </c>
      <c r="T988" s="36" t="n">
        <f aca="false">IF(S988="","",MAX(0,-S988))</f>
        <v>-0</v>
      </c>
      <c r="U988" s="36" t="n">
        <f aca="false">IF(S988="","",MAX(0,S988))</f>
        <v>0</v>
      </c>
      <c r="V988" s="8" t="str">
        <f aca="false">IF(J988="","NOT SCORED - NO JULY MONTHLY ROW",IF(OR(ABS(L988)&gt;0.005,ABS(O988)&gt;0.005,ABS(S988)&gt;0.005),"EXCEPTION","OK"))</f>
        <v>OK</v>
      </c>
      <c r="W988" s="8" t="s">
        <v>6642</v>
      </c>
      <c r="X988" s="8" t="s">
        <v>4099</v>
      </c>
      <c r="Y988" s="36" t="n">
        <f aca="false">K988*N988</f>
        <v>291.2</v>
      </c>
    </row>
    <row r="989" customFormat="false" ht="15" hidden="false" customHeight="false" outlineLevel="0" collapsed="false">
      <c r="A989" s="11" t="s">
        <v>1229</v>
      </c>
      <c r="B989" s="11" t="s">
        <v>200</v>
      </c>
      <c r="C989" s="11" t="s">
        <v>5306</v>
      </c>
      <c r="D989" s="11" t="s">
        <v>2925</v>
      </c>
      <c r="E989" s="11" t="s">
        <v>6643</v>
      </c>
      <c r="F989" s="11" t="s">
        <v>6644</v>
      </c>
      <c r="G989" s="11" t="s">
        <v>6645</v>
      </c>
      <c r="H989" s="11" t="n">
        <v>24</v>
      </c>
      <c r="I989" s="31" t="n">
        <v>45.6</v>
      </c>
      <c r="J989" s="31" t="n">
        <v>46</v>
      </c>
      <c r="K989" s="31" t="n">
        <f aca="false">MAX(ROUNDUP(I989,0),H989)</f>
        <v>46</v>
      </c>
      <c r="L989" s="31" t="n">
        <f aca="false">IF(J989="","",J989-K989)</f>
        <v>0</v>
      </c>
      <c r="M989" s="32" t="n">
        <v>10.4</v>
      </c>
      <c r="N989" s="32" t="n">
        <f aca="false">IF(C989="covered",10.4,7.55)</f>
        <v>10.4</v>
      </c>
      <c r="O989" s="32" t="n">
        <f aca="false">IF(M989="","",M989-N989)</f>
        <v>0</v>
      </c>
      <c r="P989" s="11" t="n">
        <v>1</v>
      </c>
      <c r="Q989" s="33" t="n">
        <v>478.4</v>
      </c>
      <c r="R989" s="33" t="n">
        <f aca="false">IF(OR(J989="",P989=""),"",K989*N989*P989)</f>
        <v>478.4</v>
      </c>
      <c r="S989" s="33" t="n">
        <f aca="false">IF(Q989="","",Q989-R989)</f>
        <v>0</v>
      </c>
      <c r="T989" s="33" t="n">
        <f aca="false">IF(S989="","",MAX(0,-S989))</f>
        <v>-0</v>
      </c>
      <c r="U989" s="33" t="n">
        <f aca="false">IF(S989="","",MAX(0,S989))</f>
        <v>0</v>
      </c>
      <c r="V989" s="11" t="str">
        <f aca="false">IF(J989="","NOT SCORED - NO JULY MONTHLY ROW",IF(OR(ABS(L989)&gt;0.005,ABS(O989)&gt;0.005,ABS(S989)&gt;0.005),"EXCEPTION","OK"))</f>
        <v>OK</v>
      </c>
      <c r="W989" s="11" t="s">
        <v>6646</v>
      </c>
      <c r="X989" s="11" t="s">
        <v>4099</v>
      </c>
      <c r="Y989" s="33" t="n">
        <f aca="false">K989*N989</f>
        <v>478.4</v>
      </c>
    </row>
    <row r="990" customFormat="false" ht="15" hidden="false" customHeight="false" outlineLevel="0" collapsed="false">
      <c r="A990" s="8" t="s">
        <v>1024</v>
      </c>
      <c r="B990" s="8" t="s">
        <v>200</v>
      </c>
      <c r="C990" s="8" t="s">
        <v>5306</v>
      </c>
      <c r="D990" s="8" t="s">
        <v>3837</v>
      </c>
      <c r="E990" s="8" t="s">
        <v>2166</v>
      </c>
      <c r="F990" s="8" t="s">
        <v>6647</v>
      </c>
      <c r="G990" s="8" t="s">
        <v>4567</v>
      </c>
      <c r="H990" s="8" t="n">
        <v>24</v>
      </c>
      <c r="I990" s="34" t="n">
        <v>39.8</v>
      </c>
      <c r="J990" s="34" t="n">
        <v>40</v>
      </c>
      <c r="K990" s="34" t="n">
        <f aca="false">MAX(ROUNDUP(I990,0),H990)</f>
        <v>40</v>
      </c>
      <c r="L990" s="34" t="n">
        <f aca="false">IF(J990="","",J990-K990)</f>
        <v>0</v>
      </c>
      <c r="M990" s="35" t="n">
        <v>10.4</v>
      </c>
      <c r="N990" s="35" t="n">
        <f aca="false">IF(C990="covered",10.4,7.55)</f>
        <v>10.4</v>
      </c>
      <c r="O990" s="35" t="n">
        <f aca="false">IF(M990="","",M990-N990)</f>
        <v>0</v>
      </c>
      <c r="P990" s="8" t="n">
        <v>1</v>
      </c>
      <c r="Q990" s="36" t="n">
        <v>416</v>
      </c>
      <c r="R990" s="36" t="n">
        <f aca="false">IF(OR(J990="",P990=""),"",K990*N990*P990)</f>
        <v>416</v>
      </c>
      <c r="S990" s="36" t="n">
        <f aca="false">IF(Q990="","",Q990-R990)</f>
        <v>0</v>
      </c>
      <c r="T990" s="36" t="n">
        <f aca="false">IF(S990="","",MAX(0,-S990))</f>
        <v>-0</v>
      </c>
      <c r="U990" s="36" t="n">
        <f aca="false">IF(S990="","",MAX(0,S990))</f>
        <v>0</v>
      </c>
      <c r="V990" s="8" t="str">
        <f aca="false">IF(J990="","NOT SCORED - NO JULY MONTHLY ROW",IF(OR(ABS(L990)&gt;0.005,ABS(O990)&gt;0.005,ABS(S990)&gt;0.005),"EXCEPTION","OK"))</f>
        <v>OK</v>
      </c>
      <c r="W990" s="8" t="s">
        <v>6648</v>
      </c>
      <c r="X990" s="8" t="s">
        <v>4099</v>
      </c>
      <c r="Y990" s="36" t="n">
        <f aca="false">K990*N990</f>
        <v>416</v>
      </c>
    </row>
    <row r="991" customFormat="false" ht="15" hidden="false" customHeight="false" outlineLevel="0" collapsed="false">
      <c r="A991" s="11" t="s">
        <v>6649</v>
      </c>
      <c r="B991" s="11" t="s">
        <v>200</v>
      </c>
      <c r="C991" s="11" t="s">
        <v>5306</v>
      </c>
      <c r="D991" s="11" t="s">
        <v>2930</v>
      </c>
      <c r="E991" s="11" t="s">
        <v>516</v>
      </c>
      <c r="F991" s="11" t="s">
        <v>517</v>
      </c>
      <c r="G991" s="11" t="s">
        <v>3511</v>
      </c>
      <c r="H991" s="11" t="n">
        <v>28</v>
      </c>
      <c r="I991" s="31" t="n">
        <v>27.8</v>
      </c>
      <c r="J991" s="31" t="n">
        <v>28</v>
      </c>
      <c r="K991" s="31" t="n">
        <f aca="false">MAX(ROUNDUP(I991,0),H991)</f>
        <v>28</v>
      </c>
      <c r="L991" s="31" t="n">
        <f aca="false">IF(J991="","",J991-K991)</f>
        <v>0</v>
      </c>
      <c r="M991" s="32" t="n">
        <v>10.4</v>
      </c>
      <c r="N991" s="32" t="n">
        <f aca="false">IF(C991="covered",10.4,7.55)</f>
        <v>10.4</v>
      </c>
      <c r="O991" s="32" t="n">
        <f aca="false">IF(M991="","",M991-N991)</f>
        <v>0</v>
      </c>
      <c r="P991" s="11" t="n">
        <v>1</v>
      </c>
      <c r="Q991" s="33" t="n">
        <v>291.2</v>
      </c>
      <c r="R991" s="33" t="n">
        <f aca="false">IF(OR(J991="",P991=""),"",K991*N991*P991)</f>
        <v>291.2</v>
      </c>
      <c r="S991" s="33" t="n">
        <f aca="false">IF(Q991="","",Q991-R991)</f>
        <v>0</v>
      </c>
      <c r="T991" s="33" t="n">
        <f aca="false">IF(S991="","",MAX(0,-S991))</f>
        <v>-0</v>
      </c>
      <c r="U991" s="33" t="n">
        <f aca="false">IF(S991="","",MAX(0,S991))</f>
        <v>0</v>
      </c>
      <c r="V991" s="11" t="str">
        <f aca="false">IF(J991="","NOT SCORED - NO JULY MONTHLY ROW",IF(OR(ABS(L991)&gt;0.005,ABS(O991)&gt;0.005,ABS(S991)&gt;0.005),"EXCEPTION","OK"))</f>
        <v>OK</v>
      </c>
      <c r="W991" s="11" t="s">
        <v>6650</v>
      </c>
      <c r="X991" s="11" t="s">
        <v>4099</v>
      </c>
      <c r="Y991" s="33" t="n">
        <f aca="false">K991*N991</f>
        <v>291.2</v>
      </c>
    </row>
    <row r="992" customFormat="false" ht="15" hidden="false" customHeight="false" outlineLevel="0" collapsed="false">
      <c r="A992" s="8" t="s">
        <v>1403</v>
      </c>
      <c r="B992" s="8" t="s">
        <v>200</v>
      </c>
      <c r="C992" s="8" t="s">
        <v>5306</v>
      </c>
      <c r="D992" s="8" t="s">
        <v>2935</v>
      </c>
      <c r="E992" s="8" t="s">
        <v>2116</v>
      </c>
      <c r="F992" s="8" t="s">
        <v>6651</v>
      </c>
      <c r="G992" s="8" t="s">
        <v>2911</v>
      </c>
      <c r="H992" s="8" t="n">
        <v>28</v>
      </c>
      <c r="I992" s="34" t="n">
        <v>19.5</v>
      </c>
      <c r="J992" s="34" t="n">
        <v>28</v>
      </c>
      <c r="K992" s="34" t="n">
        <f aca="false">MAX(ROUNDUP(I992,0),H992)</f>
        <v>28</v>
      </c>
      <c r="L992" s="34" t="n">
        <f aca="false">IF(J992="","",J992-K992)</f>
        <v>0</v>
      </c>
      <c r="M992" s="35" t="n">
        <v>10.4</v>
      </c>
      <c r="N992" s="35" t="n">
        <f aca="false">IF(C992="covered",10.4,7.55)</f>
        <v>10.4</v>
      </c>
      <c r="O992" s="35" t="n">
        <f aca="false">IF(M992="","",M992-N992)</f>
        <v>0</v>
      </c>
      <c r="P992" s="8" t="n">
        <v>1</v>
      </c>
      <c r="Q992" s="36" t="n">
        <v>291.2</v>
      </c>
      <c r="R992" s="36" t="n">
        <f aca="false">IF(OR(J992="",P992=""),"",K992*N992*P992)</f>
        <v>291.2</v>
      </c>
      <c r="S992" s="36" t="n">
        <f aca="false">IF(Q992="","",Q992-R992)</f>
        <v>0</v>
      </c>
      <c r="T992" s="36" t="n">
        <f aca="false">IF(S992="","",MAX(0,-S992))</f>
        <v>-0</v>
      </c>
      <c r="U992" s="36" t="n">
        <f aca="false">IF(S992="","",MAX(0,S992))</f>
        <v>0</v>
      </c>
      <c r="V992" s="8" t="str">
        <f aca="false">IF(J992="","NOT SCORED - NO JULY MONTHLY ROW",IF(OR(ABS(L992)&gt;0.005,ABS(O992)&gt;0.005,ABS(S992)&gt;0.005),"EXCEPTION","OK"))</f>
        <v>OK</v>
      </c>
      <c r="W992" s="8" t="s">
        <v>6652</v>
      </c>
      <c r="X992" s="8" t="s">
        <v>4099</v>
      </c>
      <c r="Y992" s="36" t="n">
        <f aca="false">K992*N992</f>
        <v>291.2</v>
      </c>
    </row>
    <row r="993" customFormat="false" ht="15" hidden="false" customHeight="false" outlineLevel="0" collapsed="false">
      <c r="A993" s="11" t="s">
        <v>6653</v>
      </c>
      <c r="B993" s="11" t="s">
        <v>200</v>
      </c>
      <c r="C993" s="11" t="s">
        <v>5306</v>
      </c>
      <c r="D993" s="11" t="s">
        <v>2940</v>
      </c>
      <c r="E993" s="11" t="s">
        <v>1636</v>
      </c>
      <c r="F993" s="11" t="s">
        <v>1637</v>
      </c>
      <c r="G993" s="11" t="s">
        <v>6654</v>
      </c>
      <c r="H993" s="11" t="n">
        <v>24</v>
      </c>
      <c r="I993" s="31" t="n">
        <v>35.2</v>
      </c>
      <c r="J993" s="31" t="n">
        <v>36</v>
      </c>
      <c r="K993" s="31" t="n">
        <f aca="false">MAX(ROUNDUP(I993,0),H993)</f>
        <v>36</v>
      </c>
      <c r="L993" s="31" t="n">
        <f aca="false">IF(J993="","",J993-K993)</f>
        <v>0</v>
      </c>
      <c r="M993" s="32" t="n">
        <v>10.4</v>
      </c>
      <c r="N993" s="32" t="n">
        <f aca="false">IF(C993="covered",10.4,7.55)</f>
        <v>10.4</v>
      </c>
      <c r="O993" s="32" t="n">
        <f aca="false">IF(M993="","",M993-N993)</f>
        <v>0</v>
      </c>
      <c r="P993" s="11" t="n">
        <v>1</v>
      </c>
      <c r="Q993" s="33" t="n">
        <v>374.4</v>
      </c>
      <c r="R993" s="33" t="n">
        <f aca="false">IF(OR(J993="",P993=""),"",K993*N993*P993)</f>
        <v>374.4</v>
      </c>
      <c r="S993" s="33" t="n">
        <f aca="false">IF(Q993="","",Q993-R993)</f>
        <v>0</v>
      </c>
      <c r="T993" s="33" t="n">
        <f aca="false">IF(S993="","",MAX(0,-S993))</f>
        <v>-0</v>
      </c>
      <c r="U993" s="33" t="n">
        <f aca="false">IF(S993="","",MAX(0,S993))</f>
        <v>0</v>
      </c>
      <c r="V993" s="11" t="str">
        <f aca="false">IF(J993="","NOT SCORED - NO JULY MONTHLY ROW",IF(OR(ABS(L993)&gt;0.005,ABS(O993)&gt;0.005,ABS(S993)&gt;0.005),"EXCEPTION","OK"))</f>
        <v>OK</v>
      </c>
      <c r="W993" s="11" t="s">
        <v>6655</v>
      </c>
      <c r="X993" s="11" t="s">
        <v>4099</v>
      </c>
      <c r="Y993" s="33" t="n">
        <f aca="false">K993*N993</f>
        <v>374.4</v>
      </c>
    </row>
    <row r="994" customFormat="false" ht="15" hidden="false" customHeight="false" outlineLevel="0" collapsed="false">
      <c r="A994" s="8" t="s">
        <v>6656</v>
      </c>
      <c r="B994" s="8" t="s">
        <v>200</v>
      </c>
      <c r="C994" s="8" t="s">
        <v>5306</v>
      </c>
      <c r="D994" s="8" t="s">
        <v>2944</v>
      </c>
      <c r="E994" s="8" t="s">
        <v>1728</v>
      </c>
      <c r="F994" s="8" t="s">
        <v>1729</v>
      </c>
      <c r="G994" s="8" t="s">
        <v>5024</v>
      </c>
      <c r="H994" s="8" t="n">
        <v>28</v>
      </c>
      <c r="I994" s="34" t="n">
        <v>44.8</v>
      </c>
      <c r="J994" s="34" t="n">
        <v>45</v>
      </c>
      <c r="K994" s="34" t="n">
        <f aca="false">MAX(ROUNDUP(I994,0),H994)</f>
        <v>45</v>
      </c>
      <c r="L994" s="34" t="n">
        <f aca="false">IF(J994="","",J994-K994)</f>
        <v>0</v>
      </c>
      <c r="M994" s="35" t="n">
        <v>10.4</v>
      </c>
      <c r="N994" s="35" t="n">
        <f aca="false">IF(C994="covered",10.4,7.55)</f>
        <v>10.4</v>
      </c>
      <c r="O994" s="35" t="n">
        <f aca="false">IF(M994="","",M994-N994)</f>
        <v>0</v>
      </c>
      <c r="P994" s="8" t="n">
        <v>1</v>
      </c>
      <c r="Q994" s="36" t="n">
        <v>468</v>
      </c>
      <c r="R994" s="36" t="n">
        <f aca="false">IF(OR(J994="",P994=""),"",K994*N994*P994)</f>
        <v>468</v>
      </c>
      <c r="S994" s="36" t="n">
        <f aca="false">IF(Q994="","",Q994-R994)</f>
        <v>0</v>
      </c>
      <c r="T994" s="36" t="n">
        <f aca="false">IF(S994="","",MAX(0,-S994))</f>
        <v>-0</v>
      </c>
      <c r="U994" s="36" t="n">
        <f aca="false">IF(S994="","",MAX(0,S994))</f>
        <v>0</v>
      </c>
      <c r="V994" s="8" t="str">
        <f aca="false">IF(J994="","NOT SCORED - NO JULY MONTHLY ROW",IF(OR(ABS(L994)&gt;0.005,ABS(O994)&gt;0.005,ABS(S994)&gt;0.005),"EXCEPTION","OK"))</f>
        <v>OK</v>
      </c>
      <c r="W994" s="8" t="s">
        <v>6657</v>
      </c>
      <c r="X994" s="8" t="s">
        <v>4099</v>
      </c>
      <c r="Y994" s="36" t="n">
        <f aca="false">K994*N994</f>
        <v>468</v>
      </c>
    </row>
    <row r="995" customFormat="false" ht="15" hidden="false" customHeight="false" outlineLevel="0" collapsed="false">
      <c r="A995" s="11" t="s">
        <v>6658</v>
      </c>
      <c r="B995" s="11" t="s">
        <v>200</v>
      </c>
      <c r="C995" s="11" t="s">
        <v>5306</v>
      </c>
      <c r="D995" s="11" t="s">
        <v>2949</v>
      </c>
      <c r="E995" s="11" t="s">
        <v>6659</v>
      </c>
      <c r="F995" s="11" t="s">
        <v>6660</v>
      </c>
      <c r="G995" s="11" t="s">
        <v>6166</v>
      </c>
      <c r="H995" s="11" t="n">
        <v>36</v>
      </c>
      <c r="I995" s="31" t="n">
        <v>29.2</v>
      </c>
      <c r="J995" s="31" t="n">
        <v>36</v>
      </c>
      <c r="K995" s="31" t="n">
        <f aca="false">MAX(ROUNDUP(I995,0),H995)</f>
        <v>36</v>
      </c>
      <c r="L995" s="31" t="n">
        <f aca="false">IF(J995="","",J995-K995)</f>
        <v>0</v>
      </c>
      <c r="M995" s="32" t="n">
        <v>10.4</v>
      </c>
      <c r="N995" s="32" t="n">
        <f aca="false">IF(C995="covered",10.4,7.55)</f>
        <v>10.4</v>
      </c>
      <c r="O995" s="32" t="n">
        <f aca="false">IF(M995="","",M995-N995)</f>
        <v>0</v>
      </c>
      <c r="P995" s="11" t="n">
        <v>1</v>
      </c>
      <c r="Q995" s="33" t="n">
        <v>374.4</v>
      </c>
      <c r="R995" s="33" t="n">
        <f aca="false">IF(OR(J995="",P995=""),"",K995*N995*P995)</f>
        <v>374.4</v>
      </c>
      <c r="S995" s="33" t="n">
        <f aca="false">IF(Q995="","",Q995-R995)</f>
        <v>0</v>
      </c>
      <c r="T995" s="33" t="n">
        <f aca="false">IF(S995="","",MAX(0,-S995))</f>
        <v>-0</v>
      </c>
      <c r="U995" s="33" t="n">
        <f aca="false">IF(S995="","",MAX(0,S995))</f>
        <v>0</v>
      </c>
      <c r="V995" s="11" t="str">
        <f aca="false">IF(J995="","NOT SCORED - NO JULY MONTHLY ROW",IF(OR(ABS(L995)&gt;0.005,ABS(O995)&gt;0.005,ABS(S995)&gt;0.005),"EXCEPTION","OK"))</f>
        <v>OK</v>
      </c>
      <c r="W995" s="11" t="s">
        <v>6661</v>
      </c>
      <c r="X995" s="11" t="s">
        <v>4099</v>
      </c>
      <c r="Y995" s="33" t="n">
        <f aca="false">K995*N995</f>
        <v>374.4</v>
      </c>
    </row>
    <row r="996" customFormat="false" ht="15" hidden="false" customHeight="false" outlineLevel="0" collapsed="false">
      <c r="A996" s="8" t="s">
        <v>6662</v>
      </c>
      <c r="B996" s="8" t="s">
        <v>200</v>
      </c>
      <c r="C996" s="8" t="s">
        <v>5306</v>
      </c>
      <c r="D996" s="8" t="s">
        <v>2959</v>
      </c>
      <c r="E996" s="8" t="s">
        <v>6663</v>
      </c>
      <c r="F996" s="8" t="s">
        <v>6664</v>
      </c>
      <c r="G996" s="8" t="s">
        <v>3511</v>
      </c>
      <c r="H996" s="8" t="n">
        <v>36</v>
      </c>
      <c r="I996" s="34" t="n">
        <v>34.2</v>
      </c>
      <c r="J996" s="34" t="n">
        <v>36</v>
      </c>
      <c r="K996" s="34" t="n">
        <f aca="false">MAX(ROUNDUP(I996,0),H996)</f>
        <v>36</v>
      </c>
      <c r="L996" s="34" t="n">
        <f aca="false">IF(J996="","",J996-K996)</f>
        <v>0</v>
      </c>
      <c r="M996" s="35" t="n">
        <v>10.4</v>
      </c>
      <c r="N996" s="35" t="n">
        <f aca="false">IF(C996="covered",10.4,7.55)</f>
        <v>10.4</v>
      </c>
      <c r="O996" s="35" t="n">
        <f aca="false">IF(M996="","",M996-N996)</f>
        <v>0</v>
      </c>
      <c r="P996" s="8" t="n">
        <v>1</v>
      </c>
      <c r="Q996" s="36" t="n">
        <v>374.4</v>
      </c>
      <c r="R996" s="36" t="n">
        <f aca="false">IF(OR(J996="",P996=""),"",K996*N996*P996)</f>
        <v>374.4</v>
      </c>
      <c r="S996" s="36" t="n">
        <f aca="false">IF(Q996="","",Q996-R996)</f>
        <v>0</v>
      </c>
      <c r="T996" s="36" t="n">
        <f aca="false">IF(S996="","",MAX(0,-S996))</f>
        <v>-0</v>
      </c>
      <c r="U996" s="36" t="n">
        <f aca="false">IF(S996="","",MAX(0,S996))</f>
        <v>0</v>
      </c>
      <c r="V996" s="8" t="str">
        <f aca="false">IF(J996="","NOT SCORED - NO JULY MONTHLY ROW",IF(OR(ABS(L996)&gt;0.005,ABS(O996)&gt;0.005,ABS(S996)&gt;0.005),"EXCEPTION","OK"))</f>
        <v>OK</v>
      </c>
      <c r="W996" s="8" t="s">
        <v>6665</v>
      </c>
      <c r="X996" s="8" t="s">
        <v>4099</v>
      </c>
      <c r="Y996" s="36" t="n">
        <f aca="false">K996*N996</f>
        <v>374.4</v>
      </c>
    </row>
    <row r="997" customFormat="false" ht="15" hidden="false" customHeight="false" outlineLevel="0" collapsed="false">
      <c r="A997" s="11" t="s">
        <v>6666</v>
      </c>
      <c r="B997" s="11" t="s">
        <v>200</v>
      </c>
      <c r="C997" s="11" t="s">
        <v>5306</v>
      </c>
      <c r="D997" s="11" t="s">
        <v>2963</v>
      </c>
      <c r="E997" s="11" t="s">
        <v>6667</v>
      </c>
      <c r="F997" s="11" t="s">
        <v>6668</v>
      </c>
      <c r="G997" s="11" t="s">
        <v>5503</v>
      </c>
      <c r="H997" s="11" t="n">
        <v>32</v>
      </c>
      <c r="I997" s="31" t="n">
        <v>59.6</v>
      </c>
      <c r="J997" s="31" t="n">
        <v>60</v>
      </c>
      <c r="K997" s="31" t="n">
        <f aca="false">MAX(ROUNDUP(I997,0),H997)</f>
        <v>60</v>
      </c>
      <c r="L997" s="31" t="n">
        <f aca="false">IF(J997="","",J997-K997)</f>
        <v>0</v>
      </c>
      <c r="M997" s="32" t="n">
        <v>10.4</v>
      </c>
      <c r="N997" s="32" t="n">
        <f aca="false">IF(C997="covered",10.4,7.55)</f>
        <v>10.4</v>
      </c>
      <c r="O997" s="32" t="n">
        <f aca="false">IF(M997="","",M997-N997)</f>
        <v>0</v>
      </c>
      <c r="P997" s="11" t="n">
        <v>1</v>
      </c>
      <c r="Q997" s="33" t="n">
        <v>624</v>
      </c>
      <c r="R997" s="33" t="n">
        <f aca="false">IF(OR(J997="",P997=""),"",K997*N997*P997)</f>
        <v>624</v>
      </c>
      <c r="S997" s="33" t="n">
        <f aca="false">IF(Q997="","",Q997-R997)</f>
        <v>0</v>
      </c>
      <c r="T997" s="33" t="n">
        <f aca="false">IF(S997="","",MAX(0,-S997))</f>
        <v>-0</v>
      </c>
      <c r="U997" s="33" t="n">
        <f aca="false">IF(S997="","",MAX(0,S997))</f>
        <v>0</v>
      </c>
      <c r="V997" s="11" t="str">
        <f aca="false">IF(J997="","NOT SCORED - NO JULY MONTHLY ROW",IF(OR(ABS(L997)&gt;0.005,ABS(O997)&gt;0.005,ABS(S997)&gt;0.005),"EXCEPTION","OK"))</f>
        <v>OK</v>
      </c>
      <c r="W997" s="11" t="s">
        <v>6669</v>
      </c>
      <c r="X997" s="11" t="s">
        <v>4099</v>
      </c>
      <c r="Y997" s="33" t="n">
        <f aca="false">K997*N997</f>
        <v>624</v>
      </c>
    </row>
    <row r="998" customFormat="false" ht="15" hidden="false" customHeight="false" outlineLevel="0" collapsed="false">
      <c r="A998" s="8" t="s">
        <v>6670</v>
      </c>
      <c r="B998" s="8" t="s">
        <v>200</v>
      </c>
      <c r="C998" s="8" t="s">
        <v>5306</v>
      </c>
      <c r="D998" s="8" t="s">
        <v>3859</v>
      </c>
      <c r="E998" s="8" t="s">
        <v>6671</v>
      </c>
      <c r="F998" s="8" t="s">
        <v>6672</v>
      </c>
      <c r="G998" s="8" t="s">
        <v>6673</v>
      </c>
      <c r="H998" s="8" t="n">
        <v>32</v>
      </c>
      <c r="I998" s="34" t="n">
        <v>18.3</v>
      </c>
      <c r="J998" s="34" t="n">
        <v>32</v>
      </c>
      <c r="K998" s="34" t="n">
        <f aca="false">MAX(ROUNDUP(I998,0),H998)</f>
        <v>32</v>
      </c>
      <c r="L998" s="34" t="n">
        <f aca="false">IF(J998="","",J998-K998)</f>
        <v>0</v>
      </c>
      <c r="M998" s="35" t="n">
        <v>10.4</v>
      </c>
      <c r="N998" s="35" t="n">
        <f aca="false">IF(C998="covered",10.4,7.55)</f>
        <v>10.4</v>
      </c>
      <c r="O998" s="35" t="n">
        <f aca="false">IF(M998="","",M998-N998)</f>
        <v>0</v>
      </c>
      <c r="P998" s="8" t="n">
        <v>1</v>
      </c>
      <c r="Q998" s="36" t="n">
        <v>332.8</v>
      </c>
      <c r="R998" s="36" t="n">
        <f aca="false">IF(OR(J998="",P998=""),"",K998*N998*P998)</f>
        <v>332.8</v>
      </c>
      <c r="S998" s="36" t="n">
        <f aca="false">IF(Q998="","",Q998-R998)</f>
        <v>0</v>
      </c>
      <c r="T998" s="36" t="n">
        <f aca="false">IF(S998="","",MAX(0,-S998))</f>
        <v>-0</v>
      </c>
      <c r="U998" s="36" t="n">
        <f aca="false">IF(S998="","",MAX(0,S998))</f>
        <v>0</v>
      </c>
      <c r="V998" s="8" t="str">
        <f aca="false">IF(J998="","NOT SCORED - NO JULY MONTHLY ROW",IF(OR(ABS(L998)&gt;0.005,ABS(O998)&gt;0.005,ABS(S998)&gt;0.005),"EXCEPTION","OK"))</f>
        <v>OK</v>
      </c>
      <c r="W998" s="8" t="s">
        <v>6674</v>
      </c>
      <c r="X998" s="8" t="s">
        <v>4099</v>
      </c>
      <c r="Y998" s="36" t="n">
        <f aca="false">K998*N998</f>
        <v>332.8</v>
      </c>
    </row>
    <row r="999" customFormat="false" ht="15" hidden="false" customHeight="false" outlineLevel="0" collapsed="false">
      <c r="A999" s="11" t="s">
        <v>6675</v>
      </c>
      <c r="B999" s="11" t="s">
        <v>200</v>
      </c>
      <c r="C999" s="11" t="s">
        <v>5306</v>
      </c>
      <c r="D999" s="11" t="s">
        <v>2968</v>
      </c>
      <c r="E999" s="11" t="s">
        <v>6676</v>
      </c>
      <c r="F999" s="11" t="s">
        <v>6677</v>
      </c>
      <c r="G999" s="11" t="s">
        <v>3977</v>
      </c>
      <c r="H999" s="11" t="n">
        <v>24</v>
      </c>
      <c r="I999" s="31" t="n">
        <v>57</v>
      </c>
      <c r="J999" s="31" t="n">
        <v>57</v>
      </c>
      <c r="K999" s="31" t="n">
        <f aca="false">MAX(ROUNDUP(I999,0),H999)</f>
        <v>57</v>
      </c>
      <c r="L999" s="31" t="n">
        <f aca="false">IF(J999="","",J999-K999)</f>
        <v>0</v>
      </c>
      <c r="M999" s="32" t="n">
        <v>10.4</v>
      </c>
      <c r="N999" s="32" t="n">
        <f aca="false">IF(C999="covered",10.4,7.55)</f>
        <v>10.4</v>
      </c>
      <c r="O999" s="32" t="n">
        <f aca="false">IF(M999="","",M999-N999)</f>
        <v>0</v>
      </c>
      <c r="P999" s="11" t="n">
        <v>1</v>
      </c>
      <c r="Q999" s="33" t="n">
        <v>592.8</v>
      </c>
      <c r="R999" s="33" t="n">
        <f aca="false">IF(OR(J999="",P999=""),"",K999*N999*P999)</f>
        <v>592.8</v>
      </c>
      <c r="S999" s="33" t="n">
        <f aca="false">IF(Q999="","",Q999-R999)</f>
        <v>0</v>
      </c>
      <c r="T999" s="33" t="n">
        <f aca="false">IF(S999="","",MAX(0,-S999))</f>
        <v>-0</v>
      </c>
      <c r="U999" s="33" t="n">
        <f aca="false">IF(S999="","",MAX(0,S999))</f>
        <v>0</v>
      </c>
      <c r="V999" s="11" t="str">
        <f aca="false">IF(J999="","NOT SCORED - NO JULY MONTHLY ROW",IF(OR(ABS(L999)&gt;0.005,ABS(O999)&gt;0.005,ABS(S999)&gt;0.005),"EXCEPTION","OK"))</f>
        <v>OK</v>
      </c>
      <c r="W999" s="11" t="s">
        <v>6678</v>
      </c>
      <c r="X999" s="11" t="s">
        <v>4099</v>
      </c>
      <c r="Y999" s="33" t="n">
        <f aca="false">K999*N999</f>
        <v>592.8</v>
      </c>
    </row>
    <row r="1000" customFormat="false" ht="15" hidden="false" customHeight="false" outlineLevel="0" collapsed="false">
      <c r="A1000" s="8" t="s">
        <v>6679</v>
      </c>
      <c r="B1000" s="8" t="s">
        <v>200</v>
      </c>
      <c r="C1000" s="8" t="s">
        <v>5306</v>
      </c>
      <c r="D1000" s="8" t="s">
        <v>2973</v>
      </c>
      <c r="E1000" s="8" t="s">
        <v>6680</v>
      </c>
      <c r="F1000" s="8" t="s">
        <v>6681</v>
      </c>
      <c r="G1000" s="8" t="s">
        <v>6682</v>
      </c>
      <c r="H1000" s="8" t="n">
        <v>24</v>
      </c>
      <c r="I1000" s="34" t="n">
        <v>54.3</v>
      </c>
      <c r="J1000" s="34" t="n">
        <v>55</v>
      </c>
      <c r="K1000" s="34" t="n">
        <f aca="false">MAX(ROUNDUP(I1000,0),H1000)</f>
        <v>55</v>
      </c>
      <c r="L1000" s="34" t="n">
        <f aca="false">IF(J1000="","",J1000-K1000)</f>
        <v>0</v>
      </c>
      <c r="M1000" s="35" t="n">
        <v>10.4</v>
      </c>
      <c r="N1000" s="35" t="n">
        <f aca="false">IF(C1000="covered",10.4,7.55)</f>
        <v>10.4</v>
      </c>
      <c r="O1000" s="35" t="n">
        <f aca="false">IF(M1000="","",M1000-N1000)</f>
        <v>0</v>
      </c>
      <c r="P1000" s="8" t="n">
        <v>1</v>
      </c>
      <c r="Q1000" s="36" t="n">
        <v>572</v>
      </c>
      <c r="R1000" s="36" t="n">
        <f aca="false">IF(OR(J1000="",P1000=""),"",K1000*N1000*P1000)</f>
        <v>572</v>
      </c>
      <c r="S1000" s="36" t="n">
        <f aca="false">IF(Q1000="","",Q1000-R1000)</f>
        <v>0</v>
      </c>
      <c r="T1000" s="36" t="n">
        <f aca="false">IF(S1000="","",MAX(0,-S1000))</f>
        <v>-0</v>
      </c>
      <c r="U1000" s="36" t="n">
        <f aca="false">IF(S1000="","",MAX(0,S1000))</f>
        <v>0</v>
      </c>
      <c r="V1000" s="8" t="str">
        <f aca="false">IF(J1000="","NOT SCORED - NO JULY MONTHLY ROW",IF(OR(ABS(L1000)&gt;0.005,ABS(O1000)&gt;0.005,ABS(S1000)&gt;0.005),"EXCEPTION","OK"))</f>
        <v>OK</v>
      </c>
      <c r="W1000" s="8" t="s">
        <v>6683</v>
      </c>
      <c r="X1000" s="8" t="s">
        <v>4099</v>
      </c>
      <c r="Y1000" s="36" t="n">
        <f aca="false">K1000*N1000</f>
        <v>572</v>
      </c>
    </row>
    <row r="1001" customFormat="false" ht="15" hidden="false" customHeight="false" outlineLevel="0" collapsed="false">
      <c r="A1001" s="11" t="s">
        <v>6684</v>
      </c>
      <c r="B1001" s="11" t="s">
        <v>200</v>
      </c>
      <c r="C1001" s="11" t="s">
        <v>5306</v>
      </c>
      <c r="D1001" s="11" t="s">
        <v>2978</v>
      </c>
      <c r="E1001" s="11" t="s">
        <v>1565</v>
      </c>
      <c r="F1001" s="11" t="s">
        <v>1566</v>
      </c>
      <c r="G1001" s="11" t="s">
        <v>4507</v>
      </c>
      <c r="H1001" s="11" t="n">
        <v>32</v>
      </c>
      <c r="I1001" s="31" t="n">
        <v>44.8</v>
      </c>
      <c r="J1001" s="31" t="n">
        <v>45</v>
      </c>
      <c r="K1001" s="31" t="n">
        <f aca="false">MAX(ROUNDUP(I1001,0),H1001)</f>
        <v>45</v>
      </c>
      <c r="L1001" s="31" t="n">
        <f aca="false">IF(J1001="","",J1001-K1001)</f>
        <v>0</v>
      </c>
      <c r="M1001" s="32" t="n">
        <v>10.4</v>
      </c>
      <c r="N1001" s="32" t="n">
        <f aca="false">IF(C1001="covered",10.4,7.55)</f>
        <v>10.4</v>
      </c>
      <c r="O1001" s="32" t="n">
        <f aca="false">IF(M1001="","",M1001-N1001)</f>
        <v>0</v>
      </c>
      <c r="P1001" s="11" t="n">
        <v>1</v>
      </c>
      <c r="Q1001" s="33" t="n">
        <v>468</v>
      </c>
      <c r="R1001" s="33" t="n">
        <f aca="false">IF(OR(J1001="",P1001=""),"",K1001*N1001*P1001)</f>
        <v>468</v>
      </c>
      <c r="S1001" s="33" t="n">
        <f aca="false">IF(Q1001="","",Q1001-R1001)</f>
        <v>0</v>
      </c>
      <c r="T1001" s="33" t="n">
        <f aca="false">IF(S1001="","",MAX(0,-S1001))</f>
        <v>-0</v>
      </c>
      <c r="U1001" s="33" t="n">
        <f aca="false">IF(S1001="","",MAX(0,S1001))</f>
        <v>0</v>
      </c>
      <c r="V1001" s="11" t="str">
        <f aca="false">IF(J1001="","NOT SCORED - NO JULY MONTHLY ROW",IF(OR(ABS(L1001)&gt;0.005,ABS(O1001)&gt;0.005,ABS(S1001)&gt;0.005),"EXCEPTION","OK"))</f>
        <v>OK</v>
      </c>
      <c r="W1001" s="11" t="s">
        <v>6685</v>
      </c>
      <c r="X1001" s="11" t="s">
        <v>4099</v>
      </c>
      <c r="Y1001" s="33" t="n">
        <f aca="false">K1001*N1001</f>
        <v>468</v>
      </c>
    </row>
    <row r="1002" customFormat="false" ht="15" hidden="false" customHeight="false" outlineLevel="0" collapsed="false">
      <c r="A1002" s="8" t="s">
        <v>6686</v>
      </c>
      <c r="B1002" s="8" t="s">
        <v>200</v>
      </c>
      <c r="C1002" s="8" t="s">
        <v>5306</v>
      </c>
      <c r="D1002" s="8" t="s">
        <v>2981</v>
      </c>
      <c r="E1002" s="8" t="s">
        <v>2728</v>
      </c>
      <c r="F1002" s="8" t="s">
        <v>6687</v>
      </c>
      <c r="G1002" s="8" t="s">
        <v>3782</v>
      </c>
      <c r="H1002" s="8" t="n">
        <v>40</v>
      </c>
      <c r="I1002" s="34" t="n">
        <v>49.6</v>
      </c>
      <c r="J1002" s="34" t="n">
        <v>50</v>
      </c>
      <c r="K1002" s="34" t="n">
        <f aca="false">MAX(ROUNDUP(I1002,0),H1002)</f>
        <v>50</v>
      </c>
      <c r="L1002" s="34" t="n">
        <f aca="false">IF(J1002="","",J1002-K1002)</f>
        <v>0</v>
      </c>
      <c r="M1002" s="35" t="n">
        <v>10.4</v>
      </c>
      <c r="N1002" s="35" t="n">
        <f aca="false">IF(C1002="covered",10.4,7.55)</f>
        <v>10.4</v>
      </c>
      <c r="O1002" s="35" t="n">
        <f aca="false">IF(M1002="","",M1002-N1002)</f>
        <v>0</v>
      </c>
      <c r="P1002" s="8" t="n">
        <v>1</v>
      </c>
      <c r="Q1002" s="36" t="n">
        <v>520</v>
      </c>
      <c r="R1002" s="36" t="n">
        <f aca="false">IF(OR(J1002="",P1002=""),"",K1002*N1002*P1002)</f>
        <v>520</v>
      </c>
      <c r="S1002" s="36" t="n">
        <f aca="false">IF(Q1002="","",Q1002-R1002)</f>
        <v>0</v>
      </c>
      <c r="T1002" s="36" t="n">
        <f aca="false">IF(S1002="","",MAX(0,-S1002))</f>
        <v>-0</v>
      </c>
      <c r="U1002" s="36" t="n">
        <f aca="false">IF(S1002="","",MAX(0,S1002))</f>
        <v>0</v>
      </c>
      <c r="V1002" s="8" t="str">
        <f aca="false">IF(J1002="","NOT SCORED - NO JULY MONTHLY ROW",IF(OR(ABS(L1002)&gt;0.005,ABS(O1002)&gt;0.005,ABS(S1002)&gt;0.005),"EXCEPTION","OK"))</f>
        <v>OK</v>
      </c>
      <c r="W1002" s="8" t="s">
        <v>6688</v>
      </c>
      <c r="X1002" s="8" t="s">
        <v>4099</v>
      </c>
      <c r="Y1002" s="36" t="n">
        <f aca="false">K1002*N1002</f>
        <v>520</v>
      </c>
    </row>
    <row r="1003" customFormat="false" ht="15" hidden="false" customHeight="false" outlineLevel="0" collapsed="false">
      <c r="A1003" s="11" t="s">
        <v>6689</v>
      </c>
      <c r="B1003" s="11" t="s">
        <v>200</v>
      </c>
      <c r="C1003" s="11" t="s">
        <v>5306</v>
      </c>
      <c r="D1003" s="11" t="s">
        <v>3877</v>
      </c>
      <c r="E1003" s="11" t="s">
        <v>6690</v>
      </c>
      <c r="F1003" s="11" t="s">
        <v>6691</v>
      </c>
      <c r="G1003" s="11" t="s">
        <v>4053</v>
      </c>
      <c r="H1003" s="11" t="n">
        <v>24</v>
      </c>
      <c r="I1003" s="31" t="n">
        <v>32.5</v>
      </c>
      <c r="J1003" s="31" t="n">
        <v>33</v>
      </c>
      <c r="K1003" s="31" t="n">
        <f aca="false">MAX(ROUNDUP(I1003,0),H1003)</f>
        <v>33</v>
      </c>
      <c r="L1003" s="31" t="n">
        <f aca="false">IF(J1003="","",J1003-K1003)</f>
        <v>0</v>
      </c>
      <c r="M1003" s="32" t="n">
        <v>10.4</v>
      </c>
      <c r="N1003" s="32" t="n">
        <f aca="false">IF(C1003="covered",10.4,7.55)</f>
        <v>10.4</v>
      </c>
      <c r="O1003" s="32" t="n">
        <f aca="false">IF(M1003="","",M1003-N1003)</f>
        <v>0</v>
      </c>
      <c r="P1003" s="11" t="n">
        <v>1</v>
      </c>
      <c r="Q1003" s="33" t="n">
        <v>343.2</v>
      </c>
      <c r="R1003" s="33" t="n">
        <f aca="false">IF(OR(J1003="",P1003=""),"",K1003*N1003*P1003)</f>
        <v>343.2</v>
      </c>
      <c r="S1003" s="33" t="n">
        <f aca="false">IF(Q1003="","",Q1003-R1003)</f>
        <v>0</v>
      </c>
      <c r="T1003" s="33" t="n">
        <f aca="false">IF(S1003="","",MAX(0,-S1003))</f>
        <v>-0</v>
      </c>
      <c r="U1003" s="33" t="n">
        <f aca="false">IF(S1003="","",MAX(0,S1003))</f>
        <v>0</v>
      </c>
      <c r="V1003" s="11" t="str">
        <f aca="false">IF(J1003="","NOT SCORED - NO JULY MONTHLY ROW",IF(OR(ABS(L1003)&gt;0.005,ABS(O1003)&gt;0.005,ABS(S1003)&gt;0.005),"EXCEPTION","OK"))</f>
        <v>OK</v>
      </c>
      <c r="W1003" s="11" t="s">
        <v>6692</v>
      </c>
      <c r="X1003" s="11" t="s">
        <v>4099</v>
      </c>
      <c r="Y1003" s="33" t="n">
        <f aca="false">K1003*N1003</f>
        <v>343.2</v>
      </c>
    </row>
    <row r="1004" customFormat="false" ht="15" hidden="false" customHeight="false" outlineLevel="0" collapsed="false">
      <c r="A1004" s="8" t="s">
        <v>974</v>
      </c>
      <c r="B1004" s="8" t="s">
        <v>200</v>
      </c>
      <c r="C1004" s="8" t="s">
        <v>5306</v>
      </c>
      <c r="D1004" s="8" t="s">
        <v>2984</v>
      </c>
      <c r="E1004" s="8" t="s">
        <v>6693</v>
      </c>
      <c r="F1004" s="8" t="s">
        <v>6694</v>
      </c>
      <c r="G1004" s="8" t="s">
        <v>3731</v>
      </c>
      <c r="H1004" s="8" t="n">
        <v>40</v>
      </c>
      <c r="I1004" s="34" t="n">
        <v>48.2</v>
      </c>
      <c r="J1004" s="34" t="n">
        <v>49</v>
      </c>
      <c r="K1004" s="34" t="n">
        <f aca="false">MAX(ROUNDUP(I1004,0),H1004)</f>
        <v>49</v>
      </c>
      <c r="L1004" s="34" t="n">
        <f aca="false">IF(J1004="","",J1004-K1004)</f>
        <v>0</v>
      </c>
      <c r="M1004" s="35" t="n">
        <v>10.4</v>
      </c>
      <c r="N1004" s="35" t="n">
        <f aca="false">IF(C1004="covered",10.4,7.55)</f>
        <v>10.4</v>
      </c>
      <c r="O1004" s="35" t="n">
        <f aca="false">IF(M1004="","",M1004-N1004)</f>
        <v>0</v>
      </c>
      <c r="P1004" s="8" t="n">
        <v>1</v>
      </c>
      <c r="Q1004" s="36" t="n">
        <v>509.6</v>
      </c>
      <c r="R1004" s="36" t="n">
        <f aca="false">IF(OR(J1004="",P1004=""),"",K1004*N1004*P1004)</f>
        <v>509.6</v>
      </c>
      <c r="S1004" s="36" t="n">
        <f aca="false">IF(Q1004="","",Q1004-R1004)</f>
        <v>0</v>
      </c>
      <c r="T1004" s="36" t="n">
        <f aca="false">IF(S1004="","",MAX(0,-S1004))</f>
        <v>-0</v>
      </c>
      <c r="U1004" s="36" t="n">
        <f aca="false">IF(S1004="","",MAX(0,S1004))</f>
        <v>0</v>
      </c>
      <c r="V1004" s="8" t="str">
        <f aca="false">IF(J1004="","NOT SCORED - NO JULY MONTHLY ROW",IF(OR(ABS(L1004)&gt;0.005,ABS(O1004)&gt;0.005,ABS(S1004)&gt;0.005),"EXCEPTION","OK"))</f>
        <v>OK</v>
      </c>
      <c r="W1004" s="8" t="s">
        <v>6695</v>
      </c>
      <c r="X1004" s="8" t="s">
        <v>4099</v>
      </c>
      <c r="Y1004" s="36" t="n">
        <f aca="false">K1004*N1004</f>
        <v>509.6</v>
      </c>
    </row>
    <row r="1005" customFormat="false" ht="15" hidden="false" customHeight="false" outlineLevel="0" collapsed="false">
      <c r="A1005" s="11" t="s">
        <v>6696</v>
      </c>
      <c r="B1005" s="11" t="s">
        <v>200</v>
      </c>
      <c r="C1005" s="11" t="s">
        <v>5306</v>
      </c>
      <c r="D1005" s="11" t="s">
        <v>2989</v>
      </c>
      <c r="E1005" s="11" t="s">
        <v>6697</v>
      </c>
      <c r="F1005" s="11" t="s">
        <v>6698</v>
      </c>
      <c r="G1005" s="11" t="s">
        <v>6699</v>
      </c>
      <c r="H1005" s="11" t="n">
        <v>24</v>
      </c>
      <c r="I1005" s="31" t="n">
        <v>59.7</v>
      </c>
      <c r="J1005" s="31" t="n">
        <v>60</v>
      </c>
      <c r="K1005" s="31" t="n">
        <f aca="false">MAX(ROUNDUP(I1005,0),H1005)</f>
        <v>60</v>
      </c>
      <c r="L1005" s="31" t="n">
        <f aca="false">IF(J1005="","",J1005-K1005)</f>
        <v>0</v>
      </c>
      <c r="M1005" s="32" t="n">
        <v>10.4</v>
      </c>
      <c r="N1005" s="32" t="n">
        <f aca="false">IF(C1005="covered",10.4,7.55)</f>
        <v>10.4</v>
      </c>
      <c r="O1005" s="32" t="n">
        <f aca="false">IF(M1005="","",M1005-N1005)</f>
        <v>0</v>
      </c>
      <c r="P1005" s="11" t="n">
        <v>1</v>
      </c>
      <c r="Q1005" s="33" t="n">
        <v>624</v>
      </c>
      <c r="R1005" s="33" t="n">
        <f aca="false">IF(OR(J1005="",P1005=""),"",K1005*N1005*P1005)</f>
        <v>624</v>
      </c>
      <c r="S1005" s="33" t="n">
        <f aca="false">IF(Q1005="","",Q1005-R1005)</f>
        <v>0</v>
      </c>
      <c r="T1005" s="33" t="n">
        <f aca="false">IF(S1005="","",MAX(0,-S1005))</f>
        <v>-0</v>
      </c>
      <c r="U1005" s="33" t="n">
        <f aca="false">IF(S1005="","",MAX(0,S1005))</f>
        <v>0</v>
      </c>
      <c r="V1005" s="11" t="str">
        <f aca="false">IF(J1005="","NOT SCORED - NO JULY MONTHLY ROW",IF(OR(ABS(L1005)&gt;0.005,ABS(O1005)&gt;0.005,ABS(S1005)&gt;0.005),"EXCEPTION","OK"))</f>
        <v>OK</v>
      </c>
      <c r="W1005" s="11" t="s">
        <v>6700</v>
      </c>
      <c r="X1005" s="11" t="s">
        <v>4099</v>
      </c>
      <c r="Y1005" s="33" t="n">
        <f aca="false">K1005*N1005</f>
        <v>624</v>
      </c>
    </row>
    <row r="1006" customFormat="false" ht="15" hidden="false" customHeight="false" outlineLevel="0" collapsed="false">
      <c r="A1006" s="8" t="s">
        <v>1962</v>
      </c>
      <c r="B1006" s="8" t="s">
        <v>200</v>
      </c>
      <c r="C1006" s="8" t="s">
        <v>5306</v>
      </c>
      <c r="D1006" s="8" t="s">
        <v>2994</v>
      </c>
      <c r="E1006" s="8" t="s">
        <v>6701</v>
      </c>
      <c r="F1006" s="8" t="s">
        <v>6702</v>
      </c>
      <c r="G1006" s="8" t="s">
        <v>5257</v>
      </c>
      <c r="H1006" s="8" t="n">
        <v>24</v>
      </c>
      <c r="I1006" s="34" t="n">
        <v>61.4</v>
      </c>
      <c r="J1006" s="34" t="n">
        <v>62</v>
      </c>
      <c r="K1006" s="34" t="n">
        <f aca="false">MAX(ROUNDUP(I1006,0),H1006)</f>
        <v>62</v>
      </c>
      <c r="L1006" s="34" t="n">
        <f aca="false">IF(J1006="","",J1006-K1006)</f>
        <v>0</v>
      </c>
      <c r="M1006" s="35" t="n">
        <v>10.4</v>
      </c>
      <c r="N1006" s="35" t="n">
        <f aca="false">IF(C1006="covered",10.4,7.55)</f>
        <v>10.4</v>
      </c>
      <c r="O1006" s="35" t="n">
        <f aca="false">IF(M1006="","",M1006-N1006)</f>
        <v>0</v>
      </c>
      <c r="P1006" s="8" t="n">
        <v>1</v>
      </c>
      <c r="Q1006" s="36" t="n">
        <v>644.8</v>
      </c>
      <c r="R1006" s="36" t="n">
        <f aca="false">IF(OR(J1006="",P1006=""),"",K1006*N1006*P1006)</f>
        <v>644.8</v>
      </c>
      <c r="S1006" s="36" t="n">
        <f aca="false">IF(Q1006="","",Q1006-R1006)</f>
        <v>0</v>
      </c>
      <c r="T1006" s="36" t="n">
        <f aca="false">IF(S1006="","",MAX(0,-S1006))</f>
        <v>-0</v>
      </c>
      <c r="U1006" s="36" t="n">
        <f aca="false">IF(S1006="","",MAX(0,S1006))</f>
        <v>0</v>
      </c>
      <c r="V1006" s="8" t="str">
        <f aca="false">IF(J1006="","NOT SCORED - NO JULY MONTHLY ROW",IF(OR(ABS(L1006)&gt;0.005,ABS(O1006)&gt;0.005,ABS(S1006)&gt;0.005),"EXCEPTION","OK"))</f>
        <v>OK</v>
      </c>
      <c r="W1006" s="8" t="s">
        <v>6703</v>
      </c>
      <c r="X1006" s="8" t="s">
        <v>4099</v>
      </c>
      <c r="Y1006" s="36" t="n">
        <f aca="false">K1006*N1006</f>
        <v>644.8</v>
      </c>
    </row>
    <row r="1007" customFormat="false" ht="15" hidden="false" customHeight="false" outlineLevel="0" collapsed="false">
      <c r="A1007" s="11" t="s">
        <v>605</v>
      </c>
      <c r="B1007" s="11" t="s">
        <v>200</v>
      </c>
      <c r="C1007" s="11" t="s">
        <v>5306</v>
      </c>
      <c r="D1007" s="11" t="s">
        <v>2998</v>
      </c>
      <c r="E1007" s="11" t="s">
        <v>6704</v>
      </c>
      <c r="F1007" s="11" t="s">
        <v>6705</v>
      </c>
      <c r="G1007" s="11" t="s">
        <v>5019</v>
      </c>
      <c r="H1007" s="11" t="n">
        <v>40</v>
      </c>
      <c r="I1007" s="31" t="n">
        <v>48</v>
      </c>
      <c r="J1007" s="31" t="n">
        <v>48</v>
      </c>
      <c r="K1007" s="31" t="n">
        <f aca="false">MAX(ROUNDUP(I1007,0),H1007)</f>
        <v>48</v>
      </c>
      <c r="L1007" s="31" t="n">
        <f aca="false">IF(J1007="","",J1007-K1007)</f>
        <v>0</v>
      </c>
      <c r="M1007" s="32" t="n">
        <v>10.4</v>
      </c>
      <c r="N1007" s="32" t="n">
        <f aca="false">IF(C1007="covered",10.4,7.55)</f>
        <v>10.4</v>
      </c>
      <c r="O1007" s="32" t="n">
        <f aca="false">IF(M1007="","",M1007-N1007)</f>
        <v>0</v>
      </c>
      <c r="P1007" s="11" t="n">
        <v>1</v>
      </c>
      <c r="Q1007" s="33" t="n">
        <v>499.2</v>
      </c>
      <c r="R1007" s="33" t="n">
        <f aca="false">IF(OR(J1007="",P1007=""),"",K1007*N1007*P1007)</f>
        <v>499.2</v>
      </c>
      <c r="S1007" s="33" t="n">
        <f aca="false">IF(Q1007="","",Q1007-R1007)</f>
        <v>0</v>
      </c>
      <c r="T1007" s="33" t="n">
        <f aca="false">IF(S1007="","",MAX(0,-S1007))</f>
        <v>-0</v>
      </c>
      <c r="U1007" s="33" t="n">
        <f aca="false">IF(S1007="","",MAX(0,S1007))</f>
        <v>0</v>
      </c>
      <c r="V1007" s="11" t="str">
        <f aca="false">IF(J1007="","NOT SCORED - NO JULY MONTHLY ROW",IF(OR(ABS(L1007)&gt;0.005,ABS(O1007)&gt;0.005,ABS(S1007)&gt;0.005),"EXCEPTION","OK"))</f>
        <v>OK</v>
      </c>
      <c r="W1007" s="11" t="s">
        <v>6706</v>
      </c>
      <c r="X1007" s="11" t="s">
        <v>4099</v>
      </c>
      <c r="Y1007" s="33" t="n">
        <f aca="false">K1007*N1007</f>
        <v>499.2</v>
      </c>
    </row>
    <row r="1008" customFormat="false" ht="15" hidden="false" customHeight="false" outlineLevel="0" collapsed="false">
      <c r="A1008" s="8" t="s">
        <v>6707</v>
      </c>
      <c r="B1008" s="8" t="s">
        <v>200</v>
      </c>
      <c r="C1008" s="8" t="s">
        <v>5306</v>
      </c>
      <c r="D1008" s="8" t="s">
        <v>3002</v>
      </c>
      <c r="E1008" s="8" t="s">
        <v>2655</v>
      </c>
      <c r="F1008" s="8" t="s">
        <v>6708</v>
      </c>
      <c r="G1008" s="8" t="s">
        <v>5863</v>
      </c>
      <c r="H1008" s="8" t="n">
        <v>24</v>
      </c>
      <c r="I1008" s="34" t="n">
        <v>19.9</v>
      </c>
      <c r="J1008" s="34" t="n">
        <v>24</v>
      </c>
      <c r="K1008" s="34" t="n">
        <f aca="false">MAX(ROUNDUP(I1008,0),H1008)</f>
        <v>24</v>
      </c>
      <c r="L1008" s="34" t="n">
        <f aca="false">IF(J1008="","",J1008-K1008)</f>
        <v>0</v>
      </c>
      <c r="M1008" s="35" t="n">
        <v>10.4</v>
      </c>
      <c r="N1008" s="35" t="n">
        <f aca="false">IF(C1008="covered",10.4,7.55)</f>
        <v>10.4</v>
      </c>
      <c r="O1008" s="35" t="n">
        <f aca="false">IF(M1008="","",M1008-N1008)</f>
        <v>0</v>
      </c>
      <c r="P1008" s="8" t="n">
        <v>1</v>
      </c>
      <c r="Q1008" s="36" t="n">
        <v>249.6</v>
      </c>
      <c r="R1008" s="36" t="n">
        <f aca="false">IF(OR(J1008="",P1008=""),"",K1008*N1008*P1008)</f>
        <v>249.6</v>
      </c>
      <c r="S1008" s="36" t="n">
        <f aca="false">IF(Q1008="","",Q1008-R1008)</f>
        <v>0</v>
      </c>
      <c r="T1008" s="36" t="n">
        <f aca="false">IF(S1008="","",MAX(0,-S1008))</f>
        <v>-0</v>
      </c>
      <c r="U1008" s="36" t="n">
        <f aca="false">IF(S1008="","",MAX(0,S1008))</f>
        <v>0</v>
      </c>
      <c r="V1008" s="8" t="str">
        <f aca="false">IF(J1008="","NOT SCORED - NO JULY MONTHLY ROW",IF(OR(ABS(L1008)&gt;0.005,ABS(O1008)&gt;0.005,ABS(S1008)&gt;0.005),"EXCEPTION","OK"))</f>
        <v>OK</v>
      </c>
      <c r="W1008" s="8" t="s">
        <v>6709</v>
      </c>
      <c r="X1008" s="8" t="s">
        <v>4099</v>
      </c>
      <c r="Y1008" s="36" t="n">
        <f aca="false">K1008*N1008</f>
        <v>249.6</v>
      </c>
    </row>
    <row r="1009" customFormat="false" ht="15" hidden="false" customHeight="false" outlineLevel="0" collapsed="false">
      <c r="A1009" s="11" t="s">
        <v>6710</v>
      </c>
      <c r="B1009" s="11" t="s">
        <v>200</v>
      </c>
      <c r="C1009" s="11" t="s">
        <v>5306</v>
      </c>
      <c r="D1009" s="11" t="s">
        <v>3006</v>
      </c>
      <c r="E1009" s="11" t="s">
        <v>6711</v>
      </c>
      <c r="F1009" s="11" t="s">
        <v>6712</v>
      </c>
      <c r="G1009" s="11" t="s">
        <v>6713</v>
      </c>
      <c r="H1009" s="11" t="n">
        <v>32</v>
      </c>
      <c r="I1009" s="31" t="n">
        <v>19.6</v>
      </c>
      <c r="J1009" s="31" t="n">
        <v>32</v>
      </c>
      <c r="K1009" s="31" t="n">
        <f aca="false">MAX(ROUNDUP(I1009,0),H1009)</f>
        <v>32</v>
      </c>
      <c r="L1009" s="31" t="n">
        <f aca="false">IF(J1009="","",J1009-K1009)</f>
        <v>0</v>
      </c>
      <c r="M1009" s="32" t="n">
        <v>10.4</v>
      </c>
      <c r="N1009" s="32" t="n">
        <f aca="false">IF(C1009="covered",10.4,7.55)</f>
        <v>10.4</v>
      </c>
      <c r="O1009" s="32" t="n">
        <f aca="false">IF(M1009="","",M1009-N1009)</f>
        <v>0</v>
      </c>
      <c r="P1009" s="11" t="n">
        <v>1</v>
      </c>
      <c r="Q1009" s="33" t="n">
        <v>332.8</v>
      </c>
      <c r="R1009" s="33" t="n">
        <f aca="false">IF(OR(J1009="",P1009=""),"",K1009*N1009*P1009)</f>
        <v>332.8</v>
      </c>
      <c r="S1009" s="33" t="n">
        <f aca="false">IF(Q1009="","",Q1009-R1009)</f>
        <v>0</v>
      </c>
      <c r="T1009" s="33" t="n">
        <f aca="false">IF(S1009="","",MAX(0,-S1009))</f>
        <v>-0</v>
      </c>
      <c r="U1009" s="33" t="n">
        <f aca="false">IF(S1009="","",MAX(0,S1009))</f>
        <v>0</v>
      </c>
      <c r="V1009" s="11" t="str">
        <f aca="false">IF(J1009="","NOT SCORED - NO JULY MONTHLY ROW",IF(OR(ABS(L1009)&gt;0.005,ABS(O1009)&gt;0.005,ABS(S1009)&gt;0.005),"EXCEPTION","OK"))</f>
        <v>OK</v>
      </c>
      <c r="W1009" s="11" t="s">
        <v>6714</v>
      </c>
      <c r="X1009" s="11" t="s">
        <v>4099</v>
      </c>
      <c r="Y1009" s="33" t="n">
        <f aca="false">K1009*N1009</f>
        <v>332.8</v>
      </c>
    </row>
    <row r="1010" customFormat="false" ht="15" hidden="false" customHeight="false" outlineLevel="0" collapsed="false">
      <c r="A1010" s="8" t="s">
        <v>6715</v>
      </c>
      <c r="B1010" s="8" t="s">
        <v>200</v>
      </c>
      <c r="C1010" s="8" t="s">
        <v>5306</v>
      </c>
      <c r="D1010" s="8" t="s">
        <v>3011</v>
      </c>
      <c r="E1010" s="8" t="s">
        <v>6716</v>
      </c>
      <c r="F1010" s="8" t="s">
        <v>6717</v>
      </c>
      <c r="G1010" s="8" t="s">
        <v>5707</v>
      </c>
      <c r="H1010" s="8" t="n">
        <v>24</v>
      </c>
      <c r="I1010" s="34" t="n">
        <v>42.6</v>
      </c>
      <c r="J1010" s="34" t="n">
        <v>43</v>
      </c>
      <c r="K1010" s="34" t="n">
        <f aca="false">MAX(ROUNDUP(I1010,0),H1010)</f>
        <v>43</v>
      </c>
      <c r="L1010" s="34" t="n">
        <f aca="false">IF(J1010="","",J1010-K1010)</f>
        <v>0</v>
      </c>
      <c r="M1010" s="35" t="n">
        <v>10.4</v>
      </c>
      <c r="N1010" s="35" t="n">
        <f aca="false">IF(C1010="covered",10.4,7.55)</f>
        <v>10.4</v>
      </c>
      <c r="O1010" s="35" t="n">
        <f aca="false">IF(M1010="","",M1010-N1010)</f>
        <v>0</v>
      </c>
      <c r="P1010" s="8" t="n">
        <v>1</v>
      </c>
      <c r="Q1010" s="36" t="n">
        <v>447.2</v>
      </c>
      <c r="R1010" s="36" t="n">
        <f aca="false">IF(OR(J1010="",P1010=""),"",K1010*N1010*P1010)</f>
        <v>447.2</v>
      </c>
      <c r="S1010" s="36" t="n">
        <f aca="false">IF(Q1010="","",Q1010-R1010)</f>
        <v>0</v>
      </c>
      <c r="T1010" s="36" t="n">
        <f aca="false">IF(S1010="","",MAX(0,-S1010))</f>
        <v>-0</v>
      </c>
      <c r="U1010" s="36" t="n">
        <f aca="false">IF(S1010="","",MAX(0,S1010))</f>
        <v>0</v>
      </c>
      <c r="V1010" s="8" t="str">
        <f aca="false">IF(J1010="","NOT SCORED - NO JULY MONTHLY ROW",IF(OR(ABS(L1010)&gt;0.005,ABS(O1010)&gt;0.005,ABS(S1010)&gt;0.005),"EXCEPTION","OK"))</f>
        <v>OK</v>
      </c>
      <c r="W1010" s="8" t="s">
        <v>6718</v>
      </c>
      <c r="X1010" s="8" t="s">
        <v>4099</v>
      </c>
      <c r="Y1010" s="36" t="n">
        <f aca="false">K1010*N1010</f>
        <v>447.2</v>
      </c>
    </row>
    <row r="1011" customFormat="false" ht="15" hidden="false" customHeight="false" outlineLevel="0" collapsed="false">
      <c r="A1011" s="11" t="s">
        <v>6719</v>
      </c>
      <c r="B1011" s="11" t="s">
        <v>200</v>
      </c>
      <c r="C1011" s="11" t="s">
        <v>5306</v>
      </c>
      <c r="D1011" s="11" t="s">
        <v>3900</v>
      </c>
      <c r="E1011" s="11" t="s">
        <v>6720</v>
      </c>
      <c r="F1011" s="11" t="s">
        <v>6721</v>
      </c>
      <c r="G1011" s="11" t="s">
        <v>4704</v>
      </c>
      <c r="H1011" s="11" t="n">
        <v>40</v>
      </c>
      <c r="I1011" s="31" t="n">
        <v>19.5</v>
      </c>
      <c r="J1011" s="31" t="n">
        <v>40</v>
      </c>
      <c r="K1011" s="31" t="n">
        <f aca="false">MAX(ROUNDUP(I1011,0),H1011)</f>
        <v>40</v>
      </c>
      <c r="L1011" s="31" t="n">
        <f aca="false">IF(J1011="","",J1011-K1011)</f>
        <v>0</v>
      </c>
      <c r="M1011" s="32" t="n">
        <v>10.4</v>
      </c>
      <c r="N1011" s="32" t="n">
        <f aca="false">IF(C1011="covered",10.4,7.55)</f>
        <v>10.4</v>
      </c>
      <c r="O1011" s="32" t="n">
        <f aca="false">IF(M1011="","",M1011-N1011)</f>
        <v>0</v>
      </c>
      <c r="P1011" s="11" t="n">
        <v>1</v>
      </c>
      <c r="Q1011" s="33" t="n">
        <v>416</v>
      </c>
      <c r="R1011" s="33" t="n">
        <f aca="false">IF(OR(J1011="",P1011=""),"",K1011*N1011*P1011)</f>
        <v>416</v>
      </c>
      <c r="S1011" s="33" t="n">
        <f aca="false">IF(Q1011="","",Q1011-R1011)</f>
        <v>0</v>
      </c>
      <c r="T1011" s="33" t="n">
        <f aca="false">IF(S1011="","",MAX(0,-S1011))</f>
        <v>-0</v>
      </c>
      <c r="U1011" s="33" t="n">
        <f aca="false">IF(S1011="","",MAX(0,S1011))</f>
        <v>0</v>
      </c>
      <c r="V1011" s="11" t="str">
        <f aca="false">IF(J1011="","NOT SCORED - NO JULY MONTHLY ROW",IF(OR(ABS(L1011)&gt;0.005,ABS(O1011)&gt;0.005,ABS(S1011)&gt;0.005),"EXCEPTION","OK"))</f>
        <v>OK</v>
      </c>
      <c r="W1011" s="11" t="s">
        <v>6722</v>
      </c>
      <c r="X1011" s="11" t="s">
        <v>4099</v>
      </c>
      <c r="Y1011" s="33" t="n">
        <f aca="false">K1011*N1011</f>
        <v>416</v>
      </c>
    </row>
    <row r="1012" customFormat="false" ht="15" hidden="false" customHeight="false" outlineLevel="0" collapsed="false">
      <c r="A1012" s="8" t="s">
        <v>6723</v>
      </c>
      <c r="B1012" s="8" t="s">
        <v>200</v>
      </c>
      <c r="C1012" s="8" t="s">
        <v>5306</v>
      </c>
      <c r="D1012" s="8" t="s">
        <v>3905</v>
      </c>
      <c r="E1012" s="8" t="s">
        <v>6724</v>
      </c>
      <c r="F1012" s="8" t="s">
        <v>6725</v>
      </c>
      <c r="G1012" s="8" t="s">
        <v>6726</v>
      </c>
      <c r="H1012" s="8" t="n">
        <v>32</v>
      </c>
      <c r="I1012" s="34" t="n">
        <v>38</v>
      </c>
      <c r="J1012" s="34" t="n">
        <v>38</v>
      </c>
      <c r="K1012" s="34" t="n">
        <f aca="false">MAX(ROUNDUP(I1012,0),H1012)</f>
        <v>38</v>
      </c>
      <c r="L1012" s="34" t="n">
        <f aca="false">IF(J1012="","",J1012-K1012)</f>
        <v>0</v>
      </c>
      <c r="M1012" s="35" t="n">
        <v>10.4</v>
      </c>
      <c r="N1012" s="35" t="n">
        <f aca="false">IF(C1012="covered",10.4,7.55)</f>
        <v>10.4</v>
      </c>
      <c r="O1012" s="35" t="n">
        <f aca="false">IF(M1012="","",M1012-N1012)</f>
        <v>0</v>
      </c>
      <c r="P1012" s="8" t="n">
        <v>1</v>
      </c>
      <c r="Q1012" s="36" t="n">
        <v>395.2</v>
      </c>
      <c r="R1012" s="36" t="n">
        <f aca="false">IF(OR(J1012="",P1012=""),"",K1012*N1012*P1012)</f>
        <v>395.2</v>
      </c>
      <c r="S1012" s="36" t="n">
        <f aca="false">IF(Q1012="","",Q1012-R1012)</f>
        <v>0</v>
      </c>
      <c r="T1012" s="36" t="n">
        <f aca="false">IF(S1012="","",MAX(0,-S1012))</f>
        <v>-0</v>
      </c>
      <c r="U1012" s="36" t="n">
        <f aca="false">IF(S1012="","",MAX(0,S1012))</f>
        <v>0</v>
      </c>
      <c r="V1012" s="8" t="str">
        <f aca="false">IF(J1012="","NOT SCORED - NO JULY MONTHLY ROW",IF(OR(ABS(L1012)&gt;0.005,ABS(O1012)&gt;0.005,ABS(S1012)&gt;0.005),"EXCEPTION","OK"))</f>
        <v>OK</v>
      </c>
      <c r="W1012" s="8" t="s">
        <v>6727</v>
      </c>
      <c r="X1012" s="8" t="s">
        <v>4099</v>
      </c>
      <c r="Y1012" s="36" t="n">
        <f aca="false">K1012*N1012</f>
        <v>395.2</v>
      </c>
    </row>
    <row r="1013" customFormat="false" ht="15" hidden="false" customHeight="false" outlineLevel="0" collapsed="false">
      <c r="A1013" s="11" t="s">
        <v>6728</v>
      </c>
      <c r="B1013" s="11" t="s">
        <v>200</v>
      </c>
      <c r="C1013" s="11" t="s">
        <v>5306</v>
      </c>
      <c r="D1013" s="11" t="s">
        <v>3018</v>
      </c>
      <c r="E1013" s="11" t="s">
        <v>6729</v>
      </c>
      <c r="F1013" s="11" t="s">
        <v>6730</v>
      </c>
      <c r="G1013" s="11" t="s">
        <v>3740</v>
      </c>
      <c r="H1013" s="11" t="n">
        <v>28</v>
      </c>
      <c r="I1013" s="31" t="n">
        <v>60.8</v>
      </c>
      <c r="J1013" s="31" t="n">
        <v>61</v>
      </c>
      <c r="K1013" s="31" t="n">
        <f aca="false">MAX(ROUNDUP(I1013,0),H1013)</f>
        <v>61</v>
      </c>
      <c r="L1013" s="31" t="n">
        <f aca="false">IF(J1013="","",J1013-K1013)</f>
        <v>0</v>
      </c>
      <c r="M1013" s="32" t="n">
        <v>10.4</v>
      </c>
      <c r="N1013" s="32" t="n">
        <f aca="false">IF(C1013="covered",10.4,7.55)</f>
        <v>10.4</v>
      </c>
      <c r="O1013" s="32" t="n">
        <f aca="false">IF(M1013="","",M1013-N1013)</f>
        <v>0</v>
      </c>
      <c r="P1013" s="11" t="n">
        <v>1</v>
      </c>
      <c r="Q1013" s="33" t="n">
        <v>634.4</v>
      </c>
      <c r="R1013" s="33" t="n">
        <f aca="false">IF(OR(J1013="",P1013=""),"",K1013*N1013*P1013)</f>
        <v>634.4</v>
      </c>
      <c r="S1013" s="33" t="n">
        <f aca="false">IF(Q1013="","",Q1013-R1013)</f>
        <v>0</v>
      </c>
      <c r="T1013" s="33" t="n">
        <f aca="false">IF(S1013="","",MAX(0,-S1013))</f>
        <v>-0</v>
      </c>
      <c r="U1013" s="33" t="n">
        <f aca="false">IF(S1013="","",MAX(0,S1013))</f>
        <v>0</v>
      </c>
      <c r="V1013" s="11" t="str">
        <f aca="false">IF(J1013="","NOT SCORED - NO JULY MONTHLY ROW",IF(OR(ABS(L1013)&gt;0.005,ABS(O1013)&gt;0.005,ABS(S1013)&gt;0.005),"EXCEPTION","OK"))</f>
        <v>OK</v>
      </c>
      <c r="W1013" s="11" t="s">
        <v>6731</v>
      </c>
      <c r="X1013" s="11" t="s">
        <v>4099</v>
      </c>
      <c r="Y1013" s="33" t="n">
        <f aca="false">K1013*N1013</f>
        <v>634.4</v>
      </c>
    </row>
    <row r="1014" customFormat="false" ht="15" hidden="false" customHeight="false" outlineLevel="0" collapsed="false">
      <c r="A1014" s="8" t="s">
        <v>6732</v>
      </c>
      <c r="B1014" s="8" t="s">
        <v>200</v>
      </c>
      <c r="C1014" s="8" t="s">
        <v>5306</v>
      </c>
      <c r="D1014" s="8" t="s">
        <v>3023</v>
      </c>
      <c r="E1014" s="8" t="s">
        <v>6733</v>
      </c>
      <c r="F1014" s="8" t="s">
        <v>6734</v>
      </c>
      <c r="G1014" s="8" t="s">
        <v>6735</v>
      </c>
      <c r="H1014" s="8" t="n">
        <v>40</v>
      </c>
      <c r="I1014" s="34" t="n">
        <v>43.1</v>
      </c>
      <c r="J1014" s="34" t="n">
        <v>44</v>
      </c>
      <c r="K1014" s="34" t="n">
        <f aca="false">MAX(ROUNDUP(I1014,0),H1014)</f>
        <v>44</v>
      </c>
      <c r="L1014" s="34" t="n">
        <f aca="false">IF(J1014="","",J1014-K1014)</f>
        <v>0</v>
      </c>
      <c r="M1014" s="35" t="n">
        <v>10.4</v>
      </c>
      <c r="N1014" s="35" t="n">
        <f aca="false">IF(C1014="covered",10.4,7.55)</f>
        <v>10.4</v>
      </c>
      <c r="O1014" s="35" t="n">
        <f aca="false">IF(M1014="","",M1014-N1014)</f>
        <v>0</v>
      </c>
      <c r="P1014" s="8" t="n">
        <v>1</v>
      </c>
      <c r="Q1014" s="36" t="n">
        <v>457.6</v>
      </c>
      <c r="R1014" s="36" t="n">
        <f aca="false">IF(OR(J1014="",P1014=""),"",K1014*N1014*P1014)</f>
        <v>457.6</v>
      </c>
      <c r="S1014" s="36" t="n">
        <f aca="false">IF(Q1014="","",Q1014-R1014)</f>
        <v>0</v>
      </c>
      <c r="T1014" s="36" t="n">
        <f aca="false">IF(S1014="","",MAX(0,-S1014))</f>
        <v>-0</v>
      </c>
      <c r="U1014" s="36" t="n">
        <f aca="false">IF(S1014="","",MAX(0,S1014))</f>
        <v>0</v>
      </c>
      <c r="V1014" s="8" t="str">
        <f aca="false">IF(J1014="","NOT SCORED - NO JULY MONTHLY ROW",IF(OR(ABS(L1014)&gt;0.005,ABS(O1014)&gt;0.005,ABS(S1014)&gt;0.005),"EXCEPTION","OK"))</f>
        <v>OK</v>
      </c>
      <c r="W1014" s="8" t="s">
        <v>6736</v>
      </c>
      <c r="X1014" s="8" t="s">
        <v>4099</v>
      </c>
      <c r="Y1014" s="36" t="n">
        <f aca="false">K1014*N1014</f>
        <v>457.6</v>
      </c>
    </row>
    <row r="1015" customFormat="false" ht="15" hidden="false" customHeight="false" outlineLevel="0" collapsed="false">
      <c r="A1015" s="11" t="s">
        <v>707</v>
      </c>
      <c r="B1015" s="11" t="s">
        <v>200</v>
      </c>
      <c r="C1015" s="11" t="s">
        <v>5306</v>
      </c>
      <c r="D1015" s="11" t="s">
        <v>3025</v>
      </c>
      <c r="E1015" s="11" t="s">
        <v>6737</v>
      </c>
      <c r="F1015" s="11" t="s">
        <v>6738</v>
      </c>
      <c r="G1015" s="11" t="s">
        <v>4346</v>
      </c>
      <c r="H1015" s="11" t="n">
        <v>28</v>
      </c>
      <c r="I1015" s="31" t="n">
        <v>45.4</v>
      </c>
      <c r="J1015" s="31" t="n">
        <v>46</v>
      </c>
      <c r="K1015" s="31" t="n">
        <f aca="false">MAX(ROUNDUP(I1015,0),H1015)</f>
        <v>46</v>
      </c>
      <c r="L1015" s="31" t="n">
        <f aca="false">IF(J1015="","",J1015-K1015)</f>
        <v>0</v>
      </c>
      <c r="M1015" s="32" t="n">
        <v>10.4</v>
      </c>
      <c r="N1015" s="32" t="n">
        <f aca="false">IF(C1015="covered",10.4,7.55)</f>
        <v>10.4</v>
      </c>
      <c r="O1015" s="32" t="n">
        <f aca="false">IF(M1015="","",M1015-N1015)</f>
        <v>0</v>
      </c>
      <c r="P1015" s="11" t="n">
        <v>1</v>
      </c>
      <c r="Q1015" s="33" t="n">
        <v>478.4</v>
      </c>
      <c r="R1015" s="33" t="n">
        <f aca="false">IF(OR(J1015="",P1015=""),"",K1015*N1015*P1015)</f>
        <v>478.4</v>
      </c>
      <c r="S1015" s="33" t="n">
        <f aca="false">IF(Q1015="","",Q1015-R1015)</f>
        <v>0</v>
      </c>
      <c r="T1015" s="33" t="n">
        <f aca="false">IF(S1015="","",MAX(0,-S1015))</f>
        <v>-0</v>
      </c>
      <c r="U1015" s="33" t="n">
        <f aca="false">IF(S1015="","",MAX(0,S1015))</f>
        <v>0</v>
      </c>
      <c r="V1015" s="11" t="str">
        <f aca="false">IF(J1015="","NOT SCORED - NO JULY MONTHLY ROW",IF(OR(ABS(L1015)&gt;0.005,ABS(O1015)&gt;0.005,ABS(S1015)&gt;0.005),"EXCEPTION","OK"))</f>
        <v>OK</v>
      </c>
      <c r="W1015" s="11" t="s">
        <v>6739</v>
      </c>
      <c r="X1015" s="11" t="s">
        <v>4099</v>
      </c>
      <c r="Y1015" s="33" t="n">
        <f aca="false">K1015*N1015</f>
        <v>478.4</v>
      </c>
    </row>
    <row r="1016" customFormat="false" ht="15" hidden="false" customHeight="false" outlineLevel="0" collapsed="false">
      <c r="A1016" s="8" t="s">
        <v>6740</v>
      </c>
      <c r="B1016" s="8" t="s">
        <v>200</v>
      </c>
      <c r="C1016" s="8" t="s">
        <v>5306</v>
      </c>
      <c r="D1016" s="8" t="s">
        <v>3030</v>
      </c>
      <c r="E1016" s="8" t="s">
        <v>6741</v>
      </c>
      <c r="F1016" s="8" t="s">
        <v>6742</v>
      </c>
      <c r="G1016" s="8" t="s">
        <v>3931</v>
      </c>
      <c r="H1016" s="8" t="n">
        <v>32</v>
      </c>
      <c r="I1016" s="34" t="n">
        <v>33.5</v>
      </c>
      <c r="J1016" s="34" t="n">
        <v>34</v>
      </c>
      <c r="K1016" s="34" t="n">
        <f aca="false">MAX(ROUNDUP(I1016,0),H1016)</f>
        <v>34</v>
      </c>
      <c r="L1016" s="34" t="n">
        <f aca="false">IF(J1016="","",J1016-K1016)</f>
        <v>0</v>
      </c>
      <c r="M1016" s="35" t="n">
        <v>10.4</v>
      </c>
      <c r="N1016" s="35" t="n">
        <f aca="false">IF(C1016="covered",10.4,7.55)</f>
        <v>10.4</v>
      </c>
      <c r="O1016" s="35" t="n">
        <f aca="false">IF(M1016="","",M1016-N1016)</f>
        <v>0</v>
      </c>
      <c r="P1016" s="8" t="n">
        <v>1</v>
      </c>
      <c r="Q1016" s="36" t="n">
        <v>353.6</v>
      </c>
      <c r="R1016" s="36" t="n">
        <f aca="false">IF(OR(J1016="",P1016=""),"",K1016*N1016*P1016)</f>
        <v>353.6</v>
      </c>
      <c r="S1016" s="36" t="n">
        <f aca="false">IF(Q1016="","",Q1016-R1016)</f>
        <v>0</v>
      </c>
      <c r="T1016" s="36" t="n">
        <f aca="false">IF(S1016="","",MAX(0,-S1016))</f>
        <v>-0</v>
      </c>
      <c r="U1016" s="36" t="n">
        <f aca="false">IF(S1016="","",MAX(0,S1016))</f>
        <v>0</v>
      </c>
      <c r="V1016" s="8" t="str">
        <f aca="false">IF(J1016="","NOT SCORED - NO JULY MONTHLY ROW",IF(OR(ABS(L1016)&gt;0.005,ABS(O1016)&gt;0.005,ABS(S1016)&gt;0.005),"EXCEPTION","OK"))</f>
        <v>OK</v>
      </c>
      <c r="W1016" s="8" t="s">
        <v>6743</v>
      </c>
      <c r="X1016" s="8" t="s">
        <v>4099</v>
      </c>
      <c r="Y1016" s="36" t="n">
        <f aca="false">K1016*N1016</f>
        <v>353.6</v>
      </c>
    </row>
    <row r="1017" customFormat="false" ht="15" hidden="false" customHeight="false" outlineLevel="0" collapsed="false">
      <c r="A1017" s="11" t="s">
        <v>2035</v>
      </c>
      <c r="B1017" s="11" t="s">
        <v>200</v>
      </c>
      <c r="C1017" s="11" t="s">
        <v>5306</v>
      </c>
      <c r="D1017" s="11" t="s">
        <v>3035</v>
      </c>
      <c r="E1017" s="11" t="s">
        <v>131</v>
      </c>
      <c r="F1017" s="11" t="s">
        <v>132</v>
      </c>
      <c r="G1017" s="11" t="s">
        <v>3268</v>
      </c>
      <c r="H1017" s="11" t="n">
        <v>28</v>
      </c>
      <c r="I1017" s="31" t="n">
        <v>19.6</v>
      </c>
      <c r="J1017" s="31" t="n">
        <v>28</v>
      </c>
      <c r="K1017" s="31" t="n">
        <f aca="false">MAX(ROUNDUP(I1017,0),H1017)</f>
        <v>28</v>
      </c>
      <c r="L1017" s="31" t="n">
        <f aca="false">IF(J1017="","",J1017-K1017)</f>
        <v>0</v>
      </c>
      <c r="M1017" s="32" t="n">
        <v>10.4</v>
      </c>
      <c r="N1017" s="32" t="n">
        <f aca="false">IF(C1017="covered",10.4,7.55)</f>
        <v>10.4</v>
      </c>
      <c r="O1017" s="32" t="n">
        <f aca="false">IF(M1017="","",M1017-N1017)</f>
        <v>0</v>
      </c>
      <c r="P1017" s="11" t="n">
        <v>1</v>
      </c>
      <c r="Q1017" s="33" t="n">
        <v>291.2</v>
      </c>
      <c r="R1017" s="33" t="n">
        <f aca="false">IF(OR(J1017="",P1017=""),"",K1017*N1017*P1017)</f>
        <v>291.2</v>
      </c>
      <c r="S1017" s="33" t="n">
        <f aca="false">IF(Q1017="","",Q1017-R1017)</f>
        <v>0</v>
      </c>
      <c r="T1017" s="33" t="n">
        <f aca="false">IF(S1017="","",MAX(0,-S1017))</f>
        <v>-0</v>
      </c>
      <c r="U1017" s="33" t="n">
        <f aca="false">IF(S1017="","",MAX(0,S1017))</f>
        <v>0</v>
      </c>
      <c r="V1017" s="11" t="str">
        <f aca="false">IF(J1017="","NOT SCORED - NO JULY MONTHLY ROW",IF(OR(ABS(L1017)&gt;0.005,ABS(O1017)&gt;0.005,ABS(S1017)&gt;0.005),"EXCEPTION","OK"))</f>
        <v>OK</v>
      </c>
      <c r="W1017" s="11" t="s">
        <v>6744</v>
      </c>
      <c r="X1017" s="11" t="s">
        <v>4099</v>
      </c>
      <c r="Y1017" s="33" t="n">
        <f aca="false">K1017*N1017</f>
        <v>291.2</v>
      </c>
    </row>
    <row r="1018" customFormat="false" ht="15" hidden="false" customHeight="false" outlineLevel="0" collapsed="false">
      <c r="A1018" s="8" t="s">
        <v>6745</v>
      </c>
      <c r="B1018" s="8" t="s">
        <v>200</v>
      </c>
      <c r="C1018" s="8" t="s">
        <v>5306</v>
      </c>
      <c r="D1018" s="8" t="s">
        <v>3039</v>
      </c>
      <c r="E1018" s="8" t="s">
        <v>6746</v>
      </c>
      <c r="F1018" s="8" t="s">
        <v>6747</v>
      </c>
      <c r="G1018" s="8" t="s">
        <v>6748</v>
      </c>
      <c r="H1018" s="8" t="n">
        <v>36</v>
      </c>
      <c r="I1018" s="34" t="n">
        <v>21.4</v>
      </c>
      <c r="J1018" s="34" t="n">
        <v>36</v>
      </c>
      <c r="K1018" s="34" t="n">
        <f aca="false">MAX(ROUNDUP(I1018,0),H1018)</f>
        <v>36</v>
      </c>
      <c r="L1018" s="34" t="n">
        <f aca="false">IF(J1018="","",J1018-K1018)</f>
        <v>0</v>
      </c>
      <c r="M1018" s="35" t="n">
        <v>10.4</v>
      </c>
      <c r="N1018" s="35" t="n">
        <f aca="false">IF(C1018="covered",10.4,7.55)</f>
        <v>10.4</v>
      </c>
      <c r="O1018" s="35" t="n">
        <f aca="false">IF(M1018="","",M1018-N1018)</f>
        <v>0</v>
      </c>
      <c r="P1018" s="8" t="n">
        <v>1</v>
      </c>
      <c r="Q1018" s="36" t="n">
        <v>374.4</v>
      </c>
      <c r="R1018" s="36" t="n">
        <f aca="false">IF(OR(J1018="",P1018=""),"",K1018*N1018*P1018)</f>
        <v>374.4</v>
      </c>
      <c r="S1018" s="36" t="n">
        <f aca="false">IF(Q1018="","",Q1018-R1018)</f>
        <v>0</v>
      </c>
      <c r="T1018" s="36" t="n">
        <f aca="false">IF(S1018="","",MAX(0,-S1018))</f>
        <v>-0</v>
      </c>
      <c r="U1018" s="36" t="n">
        <f aca="false">IF(S1018="","",MAX(0,S1018))</f>
        <v>0</v>
      </c>
      <c r="V1018" s="8" t="str">
        <f aca="false">IF(J1018="","NOT SCORED - NO JULY MONTHLY ROW",IF(OR(ABS(L1018)&gt;0.005,ABS(O1018)&gt;0.005,ABS(S1018)&gt;0.005),"EXCEPTION","OK"))</f>
        <v>OK</v>
      </c>
      <c r="W1018" s="8" t="s">
        <v>6749</v>
      </c>
      <c r="X1018" s="8" t="s">
        <v>4099</v>
      </c>
      <c r="Y1018" s="36" t="n">
        <f aca="false">K1018*N1018</f>
        <v>374.4</v>
      </c>
    </row>
    <row r="1019" customFormat="false" ht="15" hidden="false" customHeight="false" outlineLevel="0" collapsed="false">
      <c r="A1019" s="11" t="s">
        <v>6750</v>
      </c>
      <c r="B1019" s="11" t="s">
        <v>200</v>
      </c>
      <c r="C1019" s="11" t="s">
        <v>5306</v>
      </c>
      <c r="D1019" s="11" t="s">
        <v>3932</v>
      </c>
      <c r="E1019" s="11" t="s">
        <v>6751</v>
      </c>
      <c r="F1019" s="11" t="s">
        <v>6752</v>
      </c>
      <c r="G1019" s="11" t="s">
        <v>3964</v>
      </c>
      <c r="H1019" s="11" t="n">
        <v>40</v>
      </c>
      <c r="I1019" s="31" t="n">
        <v>43.5</v>
      </c>
      <c r="J1019" s="31" t="n">
        <v>44</v>
      </c>
      <c r="K1019" s="31" t="n">
        <f aca="false">MAX(ROUNDUP(I1019,0),H1019)</f>
        <v>44</v>
      </c>
      <c r="L1019" s="31" t="n">
        <f aca="false">IF(J1019="","",J1019-K1019)</f>
        <v>0</v>
      </c>
      <c r="M1019" s="32" t="n">
        <v>10.4</v>
      </c>
      <c r="N1019" s="32" t="n">
        <f aca="false">IF(C1019="covered",10.4,7.55)</f>
        <v>10.4</v>
      </c>
      <c r="O1019" s="32" t="n">
        <f aca="false">IF(M1019="","",M1019-N1019)</f>
        <v>0</v>
      </c>
      <c r="P1019" s="11" t="n">
        <v>1</v>
      </c>
      <c r="Q1019" s="33" t="n">
        <v>457.6</v>
      </c>
      <c r="R1019" s="33" t="n">
        <f aca="false">IF(OR(J1019="",P1019=""),"",K1019*N1019*P1019)</f>
        <v>457.6</v>
      </c>
      <c r="S1019" s="33" t="n">
        <f aca="false">IF(Q1019="","",Q1019-R1019)</f>
        <v>0</v>
      </c>
      <c r="T1019" s="33" t="n">
        <f aca="false">IF(S1019="","",MAX(0,-S1019))</f>
        <v>-0</v>
      </c>
      <c r="U1019" s="33" t="n">
        <f aca="false">IF(S1019="","",MAX(0,S1019))</f>
        <v>0</v>
      </c>
      <c r="V1019" s="11" t="str">
        <f aca="false">IF(J1019="","NOT SCORED - NO JULY MONTHLY ROW",IF(OR(ABS(L1019)&gt;0.005,ABS(O1019)&gt;0.005,ABS(S1019)&gt;0.005),"EXCEPTION","OK"))</f>
        <v>OK</v>
      </c>
      <c r="W1019" s="11" t="s">
        <v>6753</v>
      </c>
      <c r="X1019" s="11" t="s">
        <v>4099</v>
      </c>
      <c r="Y1019" s="33" t="n">
        <f aca="false">K1019*N1019</f>
        <v>457.6</v>
      </c>
    </row>
    <row r="1020" customFormat="false" ht="15" hidden="false" customHeight="false" outlineLevel="0" collapsed="false">
      <c r="A1020" s="8" t="s">
        <v>6754</v>
      </c>
      <c r="B1020" s="8" t="s">
        <v>200</v>
      </c>
      <c r="C1020" s="8" t="s">
        <v>5306</v>
      </c>
      <c r="D1020" s="8" t="s">
        <v>3043</v>
      </c>
      <c r="E1020" s="8" t="s">
        <v>6755</v>
      </c>
      <c r="F1020" s="8" t="s">
        <v>6756</v>
      </c>
      <c r="G1020" s="8" t="s">
        <v>3385</v>
      </c>
      <c r="H1020" s="8" t="n">
        <v>36</v>
      </c>
      <c r="I1020" s="34" t="n">
        <v>36.7</v>
      </c>
      <c r="J1020" s="34" t="n">
        <v>37</v>
      </c>
      <c r="K1020" s="34" t="n">
        <f aca="false">MAX(ROUNDUP(I1020,0),H1020)</f>
        <v>37</v>
      </c>
      <c r="L1020" s="34" t="n">
        <f aca="false">IF(J1020="","",J1020-K1020)</f>
        <v>0</v>
      </c>
      <c r="M1020" s="35" t="n">
        <v>10.4</v>
      </c>
      <c r="N1020" s="35" t="n">
        <f aca="false">IF(C1020="covered",10.4,7.55)</f>
        <v>10.4</v>
      </c>
      <c r="O1020" s="35" t="n">
        <f aca="false">IF(M1020="","",M1020-N1020)</f>
        <v>0</v>
      </c>
      <c r="P1020" s="8" t="n">
        <v>1</v>
      </c>
      <c r="Q1020" s="36" t="n">
        <v>384.8</v>
      </c>
      <c r="R1020" s="36" t="n">
        <f aca="false">IF(OR(J1020="",P1020=""),"",K1020*N1020*P1020)</f>
        <v>384.8</v>
      </c>
      <c r="S1020" s="36" t="n">
        <f aca="false">IF(Q1020="","",Q1020-R1020)</f>
        <v>0</v>
      </c>
      <c r="T1020" s="36" t="n">
        <f aca="false">IF(S1020="","",MAX(0,-S1020))</f>
        <v>-0</v>
      </c>
      <c r="U1020" s="36" t="n">
        <f aca="false">IF(S1020="","",MAX(0,S1020))</f>
        <v>0</v>
      </c>
      <c r="V1020" s="8" t="str">
        <f aca="false">IF(J1020="","NOT SCORED - NO JULY MONTHLY ROW",IF(OR(ABS(L1020)&gt;0.005,ABS(O1020)&gt;0.005,ABS(S1020)&gt;0.005),"EXCEPTION","OK"))</f>
        <v>OK</v>
      </c>
      <c r="W1020" s="8" t="s">
        <v>6757</v>
      </c>
      <c r="X1020" s="8" t="s">
        <v>4099</v>
      </c>
      <c r="Y1020" s="36" t="n">
        <f aca="false">K1020*N1020</f>
        <v>384.8</v>
      </c>
    </row>
    <row r="1021" customFormat="false" ht="15" hidden="false" customHeight="false" outlineLevel="0" collapsed="false">
      <c r="A1021" s="11" t="s">
        <v>6758</v>
      </c>
      <c r="B1021" s="11" t="s">
        <v>200</v>
      </c>
      <c r="C1021" s="11" t="s">
        <v>5306</v>
      </c>
      <c r="D1021" s="11" t="s">
        <v>3048</v>
      </c>
      <c r="E1021" s="11" t="s">
        <v>6759</v>
      </c>
      <c r="F1021" s="11" t="s">
        <v>6760</v>
      </c>
      <c r="G1021" s="11" t="s">
        <v>6645</v>
      </c>
      <c r="H1021" s="11" t="n">
        <v>36</v>
      </c>
      <c r="I1021" s="31" t="n">
        <v>37.2</v>
      </c>
      <c r="J1021" s="31" t="n">
        <v>38</v>
      </c>
      <c r="K1021" s="31" t="n">
        <f aca="false">MAX(ROUNDUP(I1021,0),H1021)</f>
        <v>38</v>
      </c>
      <c r="L1021" s="31" t="n">
        <f aca="false">IF(J1021="","",J1021-K1021)</f>
        <v>0</v>
      </c>
      <c r="M1021" s="32" t="n">
        <v>10.4</v>
      </c>
      <c r="N1021" s="32" t="n">
        <f aca="false">IF(C1021="covered",10.4,7.55)</f>
        <v>10.4</v>
      </c>
      <c r="O1021" s="32" t="n">
        <f aca="false">IF(M1021="","",M1021-N1021)</f>
        <v>0</v>
      </c>
      <c r="P1021" s="11" t="n">
        <v>1</v>
      </c>
      <c r="Q1021" s="33" t="n">
        <v>395.2</v>
      </c>
      <c r="R1021" s="33" t="n">
        <f aca="false">IF(OR(J1021="",P1021=""),"",K1021*N1021*P1021)</f>
        <v>395.2</v>
      </c>
      <c r="S1021" s="33" t="n">
        <f aca="false">IF(Q1021="","",Q1021-R1021)</f>
        <v>0</v>
      </c>
      <c r="T1021" s="33" t="n">
        <f aca="false">IF(S1021="","",MAX(0,-S1021))</f>
        <v>-0</v>
      </c>
      <c r="U1021" s="33" t="n">
        <f aca="false">IF(S1021="","",MAX(0,S1021))</f>
        <v>0</v>
      </c>
      <c r="V1021" s="11" t="str">
        <f aca="false">IF(J1021="","NOT SCORED - NO JULY MONTHLY ROW",IF(OR(ABS(L1021)&gt;0.005,ABS(O1021)&gt;0.005,ABS(S1021)&gt;0.005),"EXCEPTION","OK"))</f>
        <v>OK</v>
      </c>
      <c r="W1021" s="11" t="s">
        <v>6761</v>
      </c>
      <c r="X1021" s="11" t="s">
        <v>4099</v>
      </c>
      <c r="Y1021" s="33" t="n">
        <f aca="false">K1021*N1021</f>
        <v>395.2</v>
      </c>
    </row>
    <row r="1022" customFormat="false" ht="15" hidden="false" customHeight="false" outlineLevel="0" collapsed="false">
      <c r="A1022" s="8" t="s">
        <v>6762</v>
      </c>
      <c r="B1022" s="8" t="s">
        <v>200</v>
      </c>
      <c r="C1022" s="8" t="s">
        <v>5306</v>
      </c>
      <c r="D1022" s="8" t="s">
        <v>3053</v>
      </c>
      <c r="E1022" s="8" t="s">
        <v>6763</v>
      </c>
      <c r="F1022" s="8" t="s">
        <v>6764</v>
      </c>
      <c r="G1022" s="8" t="s">
        <v>3334</v>
      </c>
      <c r="H1022" s="8" t="n">
        <v>28</v>
      </c>
      <c r="I1022" s="34" t="n">
        <v>40.6</v>
      </c>
      <c r="J1022" s="34" t="n">
        <v>41</v>
      </c>
      <c r="K1022" s="34" t="n">
        <f aca="false">MAX(ROUNDUP(I1022,0),H1022)</f>
        <v>41</v>
      </c>
      <c r="L1022" s="34" t="n">
        <f aca="false">IF(J1022="","",J1022-K1022)</f>
        <v>0</v>
      </c>
      <c r="M1022" s="35" t="n">
        <v>10.4</v>
      </c>
      <c r="N1022" s="35" t="n">
        <f aca="false">IF(C1022="covered",10.4,7.55)</f>
        <v>10.4</v>
      </c>
      <c r="O1022" s="35" t="n">
        <f aca="false">IF(M1022="","",M1022-N1022)</f>
        <v>0</v>
      </c>
      <c r="P1022" s="8" t="n">
        <v>1</v>
      </c>
      <c r="Q1022" s="36" t="n">
        <v>426.4</v>
      </c>
      <c r="R1022" s="36" t="n">
        <f aca="false">IF(OR(J1022="",P1022=""),"",K1022*N1022*P1022)</f>
        <v>426.4</v>
      </c>
      <c r="S1022" s="36" t="n">
        <f aca="false">IF(Q1022="","",Q1022-R1022)</f>
        <v>0</v>
      </c>
      <c r="T1022" s="36" t="n">
        <f aca="false">IF(S1022="","",MAX(0,-S1022))</f>
        <v>-0</v>
      </c>
      <c r="U1022" s="36" t="n">
        <f aca="false">IF(S1022="","",MAX(0,S1022))</f>
        <v>0</v>
      </c>
      <c r="V1022" s="8" t="str">
        <f aca="false">IF(J1022="","NOT SCORED - NO JULY MONTHLY ROW",IF(OR(ABS(L1022)&gt;0.005,ABS(O1022)&gt;0.005,ABS(S1022)&gt;0.005),"EXCEPTION","OK"))</f>
        <v>OK</v>
      </c>
      <c r="W1022" s="8" t="s">
        <v>6765</v>
      </c>
      <c r="X1022" s="8" t="s">
        <v>4099</v>
      </c>
      <c r="Y1022" s="36" t="n">
        <f aca="false">K1022*N1022</f>
        <v>426.4</v>
      </c>
    </row>
    <row r="1023" customFormat="false" ht="15" hidden="false" customHeight="false" outlineLevel="0" collapsed="false">
      <c r="A1023" s="11" t="s">
        <v>6766</v>
      </c>
      <c r="B1023" s="11" t="s">
        <v>200</v>
      </c>
      <c r="C1023" s="11" t="s">
        <v>5306</v>
      </c>
      <c r="D1023" s="11" t="s">
        <v>3056</v>
      </c>
      <c r="E1023" s="11" t="s">
        <v>6767</v>
      </c>
      <c r="F1023" s="11" t="s">
        <v>6768</v>
      </c>
      <c r="G1023" s="11" t="s">
        <v>3344</v>
      </c>
      <c r="H1023" s="11" t="n">
        <v>32</v>
      </c>
      <c r="I1023" s="31" t="n">
        <v>33.8</v>
      </c>
      <c r="J1023" s="31" t="n">
        <v>34</v>
      </c>
      <c r="K1023" s="31" t="n">
        <f aca="false">MAX(ROUNDUP(I1023,0),H1023)</f>
        <v>34</v>
      </c>
      <c r="L1023" s="31" t="n">
        <f aca="false">IF(J1023="","",J1023-K1023)</f>
        <v>0</v>
      </c>
      <c r="M1023" s="32" t="n">
        <v>10.4</v>
      </c>
      <c r="N1023" s="32" t="n">
        <f aca="false">IF(C1023="covered",10.4,7.55)</f>
        <v>10.4</v>
      </c>
      <c r="O1023" s="32" t="n">
        <f aca="false">IF(M1023="","",M1023-N1023)</f>
        <v>0</v>
      </c>
      <c r="P1023" s="11" t="n">
        <v>1</v>
      </c>
      <c r="Q1023" s="33" t="n">
        <v>353.6</v>
      </c>
      <c r="R1023" s="33" t="n">
        <f aca="false">IF(OR(J1023="",P1023=""),"",K1023*N1023*P1023)</f>
        <v>353.6</v>
      </c>
      <c r="S1023" s="33" t="n">
        <f aca="false">IF(Q1023="","",Q1023-R1023)</f>
        <v>0</v>
      </c>
      <c r="T1023" s="33" t="n">
        <f aca="false">IF(S1023="","",MAX(0,-S1023))</f>
        <v>-0</v>
      </c>
      <c r="U1023" s="33" t="n">
        <f aca="false">IF(S1023="","",MAX(0,S1023))</f>
        <v>0</v>
      </c>
      <c r="V1023" s="11" t="str">
        <f aca="false">IF(J1023="","NOT SCORED - NO JULY MONTHLY ROW",IF(OR(ABS(L1023)&gt;0.005,ABS(O1023)&gt;0.005,ABS(S1023)&gt;0.005),"EXCEPTION","OK"))</f>
        <v>OK</v>
      </c>
      <c r="W1023" s="11" t="s">
        <v>6769</v>
      </c>
      <c r="X1023" s="11" t="s">
        <v>4099</v>
      </c>
      <c r="Y1023" s="33" t="n">
        <f aca="false">K1023*N1023</f>
        <v>353.6</v>
      </c>
    </row>
    <row r="1024" customFormat="false" ht="15" hidden="false" customHeight="false" outlineLevel="0" collapsed="false">
      <c r="A1024" s="8" t="s">
        <v>6770</v>
      </c>
      <c r="B1024" s="8" t="s">
        <v>200</v>
      </c>
      <c r="C1024" s="8" t="s">
        <v>5306</v>
      </c>
      <c r="D1024" s="8" t="s">
        <v>3061</v>
      </c>
      <c r="E1024" s="8" t="s">
        <v>6771</v>
      </c>
      <c r="F1024" s="8" t="s">
        <v>6772</v>
      </c>
      <c r="G1024" s="8" t="s">
        <v>6773</v>
      </c>
      <c r="H1024" s="8" t="n">
        <v>32</v>
      </c>
      <c r="I1024" s="34" t="n">
        <v>61.3</v>
      </c>
      <c r="J1024" s="34" t="n">
        <v>62</v>
      </c>
      <c r="K1024" s="34" t="n">
        <f aca="false">MAX(ROUNDUP(I1024,0),H1024)</f>
        <v>62</v>
      </c>
      <c r="L1024" s="34" t="n">
        <f aca="false">IF(J1024="","",J1024-K1024)</f>
        <v>0</v>
      </c>
      <c r="M1024" s="35" t="n">
        <v>10.4</v>
      </c>
      <c r="N1024" s="35" t="n">
        <f aca="false">IF(C1024="covered",10.4,7.55)</f>
        <v>10.4</v>
      </c>
      <c r="O1024" s="35" t="n">
        <f aca="false">IF(M1024="","",M1024-N1024)</f>
        <v>0</v>
      </c>
      <c r="P1024" s="8" t="n">
        <v>1</v>
      </c>
      <c r="Q1024" s="36" t="n">
        <v>644.8</v>
      </c>
      <c r="R1024" s="36" t="n">
        <f aca="false">IF(OR(J1024="",P1024=""),"",K1024*N1024*P1024)</f>
        <v>644.8</v>
      </c>
      <c r="S1024" s="36" t="n">
        <f aca="false">IF(Q1024="","",Q1024-R1024)</f>
        <v>0</v>
      </c>
      <c r="T1024" s="36" t="n">
        <f aca="false">IF(S1024="","",MAX(0,-S1024))</f>
        <v>-0</v>
      </c>
      <c r="U1024" s="36" t="n">
        <f aca="false">IF(S1024="","",MAX(0,S1024))</f>
        <v>0</v>
      </c>
      <c r="V1024" s="8" t="str">
        <f aca="false">IF(J1024="","NOT SCORED - NO JULY MONTHLY ROW",IF(OR(ABS(L1024)&gt;0.005,ABS(O1024)&gt;0.005,ABS(S1024)&gt;0.005),"EXCEPTION","OK"))</f>
        <v>OK</v>
      </c>
      <c r="W1024" s="8" t="s">
        <v>6774</v>
      </c>
      <c r="X1024" s="8" t="s">
        <v>4099</v>
      </c>
      <c r="Y1024" s="36" t="n">
        <f aca="false">K1024*N1024</f>
        <v>644.8</v>
      </c>
    </row>
    <row r="1025" customFormat="false" ht="15" hidden="false" customHeight="false" outlineLevel="0" collapsed="false">
      <c r="A1025" s="11" t="s">
        <v>6775</v>
      </c>
      <c r="B1025" s="11" t="s">
        <v>200</v>
      </c>
      <c r="C1025" s="11" t="s">
        <v>5306</v>
      </c>
      <c r="D1025" s="11" t="s">
        <v>3066</v>
      </c>
      <c r="E1025" s="11" t="s">
        <v>1069</v>
      </c>
      <c r="F1025" s="11" t="s">
        <v>1070</v>
      </c>
      <c r="G1025" s="11" t="s">
        <v>6776</v>
      </c>
      <c r="H1025" s="11" t="n">
        <v>24</v>
      </c>
      <c r="I1025" s="31" t="n">
        <v>48.7</v>
      </c>
      <c r="J1025" s="31" t="n">
        <v>49</v>
      </c>
      <c r="K1025" s="31" t="n">
        <f aca="false">MAX(ROUNDUP(I1025,0),H1025)</f>
        <v>49</v>
      </c>
      <c r="L1025" s="31" t="n">
        <f aca="false">IF(J1025="","",J1025-K1025)</f>
        <v>0</v>
      </c>
      <c r="M1025" s="32" t="n">
        <v>10.4</v>
      </c>
      <c r="N1025" s="32" t="n">
        <f aca="false">IF(C1025="covered",10.4,7.55)</f>
        <v>10.4</v>
      </c>
      <c r="O1025" s="32" t="n">
        <f aca="false">IF(M1025="","",M1025-N1025)</f>
        <v>0</v>
      </c>
      <c r="P1025" s="11" t="n">
        <v>1</v>
      </c>
      <c r="Q1025" s="33" t="n">
        <v>509.6</v>
      </c>
      <c r="R1025" s="33" t="n">
        <f aca="false">IF(OR(J1025="",P1025=""),"",K1025*N1025*P1025)</f>
        <v>509.6</v>
      </c>
      <c r="S1025" s="33" t="n">
        <f aca="false">IF(Q1025="","",Q1025-R1025)</f>
        <v>0</v>
      </c>
      <c r="T1025" s="33" t="n">
        <f aca="false">IF(S1025="","",MAX(0,-S1025))</f>
        <v>-0</v>
      </c>
      <c r="U1025" s="33" t="n">
        <f aca="false">IF(S1025="","",MAX(0,S1025))</f>
        <v>0</v>
      </c>
      <c r="V1025" s="11" t="str">
        <f aca="false">IF(J1025="","NOT SCORED - NO JULY MONTHLY ROW",IF(OR(ABS(L1025)&gt;0.005,ABS(O1025)&gt;0.005,ABS(S1025)&gt;0.005),"EXCEPTION","OK"))</f>
        <v>OK</v>
      </c>
      <c r="W1025" s="11" t="s">
        <v>6777</v>
      </c>
      <c r="X1025" s="11" t="s">
        <v>4099</v>
      </c>
      <c r="Y1025" s="33" t="n">
        <f aca="false">K1025*N1025</f>
        <v>509.6</v>
      </c>
    </row>
    <row r="1026" customFormat="false" ht="15" hidden="false" customHeight="false" outlineLevel="0" collapsed="false">
      <c r="A1026" s="8" t="s">
        <v>6778</v>
      </c>
      <c r="B1026" s="8" t="s">
        <v>200</v>
      </c>
      <c r="C1026" s="8" t="s">
        <v>5306</v>
      </c>
      <c r="D1026" s="8" t="s">
        <v>3071</v>
      </c>
      <c r="E1026" s="8" t="s">
        <v>6779</v>
      </c>
      <c r="F1026" s="8" t="s">
        <v>6780</v>
      </c>
      <c r="G1026" s="8" t="s">
        <v>4118</v>
      </c>
      <c r="H1026" s="8" t="n">
        <v>32</v>
      </c>
      <c r="I1026" s="34" t="n">
        <v>57.3</v>
      </c>
      <c r="J1026" s="34" t="n">
        <v>58</v>
      </c>
      <c r="K1026" s="34" t="n">
        <f aca="false">MAX(ROUNDUP(I1026,0),H1026)</f>
        <v>58</v>
      </c>
      <c r="L1026" s="34" t="n">
        <f aca="false">IF(J1026="","",J1026-K1026)</f>
        <v>0</v>
      </c>
      <c r="M1026" s="35" t="n">
        <v>10.4</v>
      </c>
      <c r="N1026" s="35" t="n">
        <f aca="false">IF(C1026="covered",10.4,7.55)</f>
        <v>10.4</v>
      </c>
      <c r="O1026" s="35" t="n">
        <f aca="false">IF(M1026="","",M1026-N1026)</f>
        <v>0</v>
      </c>
      <c r="P1026" s="8" t="n">
        <v>1</v>
      </c>
      <c r="Q1026" s="36" t="n">
        <v>603.2</v>
      </c>
      <c r="R1026" s="36" t="n">
        <f aca="false">IF(OR(J1026="",P1026=""),"",K1026*N1026*P1026)</f>
        <v>603.2</v>
      </c>
      <c r="S1026" s="36" t="n">
        <f aca="false">IF(Q1026="","",Q1026-R1026)</f>
        <v>0</v>
      </c>
      <c r="T1026" s="36" t="n">
        <f aca="false">IF(S1026="","",MAX(0,-S1026))</f>
        <v>-0</v>
      </c>
      <c r="U1026" s="36" t="n">
        <f aca="false">IF(S1026="","",MAX(0,S1026))</f>
        <v>0</v>
      </c>
      <c r="V1026" s="8" t="str">
        <f aca="false">IF(J1026="","NOT SCORED - NO JULY MONTHLY ROW",IF(OR(ABS(L1026)&gt;0.005,ABS(O1026)&gt;0.005,ABS(S1026)&gt;0.005),"EXCEPTION","OK"))</f>
        <v>OK</v>
      </c>
      <c r="W1026" s="8" t="s">
        <v>6781</v>
      </c>
      <c r="X1026" s="8" t="s">
        <v>4099</v>
      </c>
      <c r="Y1026" s="36" t="n">
        <f aca="false">K1026*N1026</f>
        <v>603.2</v>
      </c>
    </row>
    <row r="1027" customFormat="false" ht="15" hidden="false" customHeight="false" outlineLevel="0" collapsed="false">
      <c r="A1027" s="11" t="s">
        <v>347</v>
      </c>
      <c r="B1027" s="11" t="s">
        <v>200</v>
      </c>
      <c r="C1027" s="11" t="s">
        <v>5306</v>
      </c>
      <c r="D1027" s="11" t="s">
        <v>3076</v>
      </c>
      <c r="E1027" s="11" t="s">
        <v>6782</v>
      </c>
      <c r="F1027" s="11" t="s">
        <v>6783</v>
      </c>
      <c r="G1027" s="11" t="s">
        <v>6784</v>
      </c>
      <c r="H1027" s="11" t="n">
        <v>32</v>
      </c>
      <c r="I1027" s="31" t="n">
        <v>50.3</v>
      </c>
      <c r="J1027" s="31" t="n">
        <v>51</v>
      </c>
      <c r="K1027" s="31" t="n">
        <f aca="false">MAX(ROUNDUP(I1027,0),H1027)</f>
        <v>51</v>
      </c>
      <c r="L1027" s="31" t="n">
        <f aca="false">IF(J1027="","",J1027-K1027)</f>
        <v>0</v>
      </c>
      <c r="M1027" s="32" t="n">
        <v>10.4</v>
      </c>
      <c r="N1027" s="32" t="n">
        <f aca="false">IF(C1027="covered",10.4,7.55)</f>
        <v>10.4</v>
      </c>
      <c r="O1027" s="32" t="n">
        <f aca="false">IF(M1027="","",M1027-N1027)</f>
        <v>0</v>
      </c>
      <c r="P1027" s="11" t="n">
        <v>1</v>
      </c>
      <c r="Q1027" s="33" t="n">
        <v>530.4</v>
      </c>
      <c r="R1027" s="33" t="n">
        <f aca="false">IF(OR(J1027="",P1027=""),"",K1027*N1027*P1027)</f>
        <v>530.4</v>
      </c>
      <c r="S1027" s="33" t="n">
        <f aca="false">IF(Q1027="","",Q1027-R1027)</f>
        <v>0</v>
      </c>
      <c r="T1027" s="33" t="n">
        <f aca="false">IF(S1027="","",MAX(0,-S1027))</f>
        <v>-0</v>
      </c>
      <c r="U1027" s="33" t="n">
        <f aca="false">IF(S1027="","",MAX(0,S1027))</f>
        <v>0</v>
      </c>
      <c r="V1027" s="11" t="str">
        <f aca="false">IF(J1027="","NOT SCORED - NO JULY MONTHLY ROW",IF(OR(ABS(L1027)&gt;0.005,ABS(O1027)&gt;0.005,ABS(S1027)&gt;0.005),"EXCEPTION","OK"))</f>
        <v>OK</v>
      </c>
      <c r="W1027" s="11" t="s">
        <v>6785</v>
      </c>
      <c r="X1027" s="11" t="s">
        <v>4099</v>
      </c>
      <c r="Y1027" s="33" t="n">
        <f aca="false">K1027*N1027</f>
        <v>530.4</v>
      </c>
    </row>
    <row r="1028" customFormat="false" ht="15" hidden="false" customHeight="false" outlineLevel="0" collapsed="false">
      <c r="A1028" s="8" t="s">
        <v>6786</v>
      </c>
      <c r="B1028" s="8" t="s">
        <v>200</v>
      </c>
      <c r="C1028" s="8" t="s">
        <v>5306</v>
      </c>
      <c r="D1028" s="8" t="s">
        <v>3958</v>
      </c>
      <c r="E1028" s="8" t="s">
        <v>6787</v>
      </c>
      <c r="F1028" s="8" t="s">
        <v>6788</v>
      </c>
      <c r="G1028" s="8" t="s">
        <v>3622</v>
      </c>
      <c r="H1028" s="8" t="n">
        <v>28</v>
      </c>
      <c r="I1028" s="34" t="n">
        <v>35.6</v>
      </c>
      <c r="J1028" s="34" t="n">
        <v>36</v>
      </c>
      <c r="K1028" s="34" t="n">
        <f aca="false">MAX(ROUNDUP(I1028,0),H1028)</f>
        <v>36</v>
      </c>
      <c r="L1028" s="34" t="n">
        <f aca="false">IF(J1028="","",J1028-K1028)</f>
        <v>0</v>
      </c>
      <c r="M1028" s="35" t="n">
        <v>10.4</v>
      </c>
      <c r="N1028" s="35" t="n">
        <f aca="false">IF(C1028="covered",10.4,7.55)</f>
        <v>10.4</v>
      </c>
      <c r="O1028" s="35" t="n">
        <f aca="false">IF(M1028="","",M1028-N1028)</f>
        <v>0</v>
      </c>
      <c r="P1028" s="8" t="n">
        <v>1</v>
      </c>
      <c r="Q1028" s="36" t="n">
        <v>374.4</v>
      </c>
      <c r="R1028" s="36" t="n">
        <f aca="false">IF(OR(J1028="",P1028=""),"",K1028*N1028*P1028)</f>
        <v>374.4</v>
      </c>
      <c r="S1028" s="36" t="n">
        <f aca="false">IF(Q1028="","",Q1028-R1028)</f>
        <v>0</v>
      </c>
      <c r="T1028" s="36" t="n">
        <f aca="false">IF(S1028="","",MAX(0,-S1028))</f>
        <v>-0</v>
      </c>
      <c r="U1028" s="36" t="n">
        <f aca="false">IF(S1028="","",MAX(0,S1028))</f>
        <v>0</v>
      </c>
      <c r="V1028" s="8" t="str">
        <f aca="false">IF(J1028="","NOT SCORED - NO JULY MONTHLY ROW",IF(OR(ABS(L1028)&gt;0.005,ABS(O1028)&gt;0.005,ABS(S1028)&gt;0.005),"EXCEPTION","OK"))</f>
        <v>OK</v>
      </c>
      <c r="W1028" s="8" t="s">
        <v>6789</v>
      </c>
      <c r="X1028" s="8" t="s">
        <v>4099</v>
      </c>
      <c r="Y1028" s="36" t="n">
        <f aca="false">K1028*N1028</f>
        <v>374.4</v>
      </c>
    </row>
    <row r="1029" customFormat="false" ht="15" hidden="false" customHeight="false" outlineLevel="0" collapsed="false">
      <c r="A1029" s="11" t="s">
        <v>612</v>
      </c>
      <c r="B1029" s="11" t="s">
        <v>200</v>
      </c>
      <c r="C1029" s="11" t="s">
        <v>5306</v>
      </c>
      <c r="D1029" s="11" t="s">
        <v>3080</v>
      </c>
      <c r="E1029" s="11" t="s">
        <v>6790</v>
      </c>
      <c r="F1029" s="11" t="s">
        <v>6791</v>
      </c>
      <c r="G1029" s="11" t="s">
        <v>6792</v>
      </c>
      <c r="H1029" s="11" t="n">
        <v>32</v>
      </c>
      <c r="I1029" s="31" t="n">
        <v>22.5</v>
      </c>
      <c r="J1029" s="31" t="n">
        <v>32</v>
      </c>
      <c r="K1029" s="31" t="n">
        <f aca="false">MAX(ROUNDUP(I1029,0),H1029)</f>
        <v>32</v>
      </c>
      <c r="L1029" s="31" t="n">
        <f aca="false">IF(J1029="","",J1029-K1029)</f>
        <v>0</v>
      </c>
      <c r="M1029" s="32" t="n">
        <v>10.4</v>
      </c>
      <c r="N1029" s="32" t="n">
        <f aca="false">IF(C1029="covered",10.4,7.55)</f>
        <v>10.4</v>
      </c>
      <c r="O1029" s="32" t="n">
        <f aca="false">IF(M1029="","",M1029-N1029)</f>
        <v>0</v>
      </c>
      <c r="P1029" s="11" t="n">
        <v>1</v>
      </c>
      <c r="Q1029" s="33" t="n">
        <v>332.8</v>
      </c>
      <c r="R1029" s="33" t="n">
        <f aca="false">IF(OR(J1029="",P1029=""),"",K1029*N1029*P1029)</f>
        <v>332.8</v>
      </c>
      <c r="S1029" s="33" t="n">
        <f aca="false">IF(Q1029="","",Q1029-R1029)</f>
        <v>0</v>
      </c>
      <c r="T1029" s="33" t="n">
        <f aca="false">IF(S1029="","",MAX(0,-S1029))</f>
        <v>-0</v>
      </c>
      <c r="U1029" s="33" t="n">
        <f aca="false">IF(S1029="","",MAX(0,S1029))</f>
        <v>0</v>
      </c>
      <c r="V1029" s="11" t="str">
        <f aca="false">IF(J1029="","NOT SCORED - NO JULY MONTHLY ROW",IF(OR(ABS(L1029)&gt;0.005,ABS(O1029)&gt;0.005,ABS(S1029)&gt;0.005),"EXCEPTION","OK"))</f>
        <v>OK</v>
      </c>
      <c r="W1029" s="11" t="s">
        <v>6793</v>
      </c>
      <c r="X1029" s="11" t="s">
        <v>4099</v>
      </c>
      <c r="Y1029" s="33" t="n">
        <f aca="false">K1029*N1029</f>
        <v>332.8</v>
      </c>
    </row>
    <row r="1030" customFormat="false" ht="15" hidden="false" customHeight="false" outlineLevel="0" collapsed="false">
      <c r="A1030" s="8" t="s">
        <v>533</v>
      </c>
      <c r="B1030" s="8" t="s">
        <v>200</v>
      </c>
      <c r="C1030" s="8" t="s">
        <v>5306</v>
      </c>
      <c r="D1030" s="8" t="s">
        <v>3084</v>
      </c>
      <c r="E1030" s="8" t="s">
        <v>6794</v>
      </c>
      <c r="F1030" s="8" t="s">
        <v>6795</v>
      </c>
      <c r="G1030" s="8" t="s">
        <v>6796</v>
      </c>
      <c r="H1030" s="8" t="n">
        <v>40</v>
      </c>
      <c r="I1030" s="34" t="n">
        <v>61.5</v>
      </c>
      <c r="J1030" s="34" t="n">
        <v>62</v>
      </c>
      <c r="K1030" s="34" t="n">
        <f aca="false">MAX(ROUNDUP(I1030,0),H1030)</f>
        <v>62</v>
      </c>
      <c r="L1030" s="34" t="n">
        <f aca="false">IF(J1030="","",J1030-K1030)</f>
        <v>0</v>
      </c>
      <c r="M1030" s="35" t="n">
        <v>10.4</v>
      </c>
      <c r="N1030" s="35" t="n">
        <f aca="false">IF(C1030="covered",10.4,7.55)</f>
        <v>10.4</v>
      </c>
      <c r="O1030" s="35" t="n">
        <f aca="false">IF(M1030="","",M1030-N1030)</f>
        <v>0</v>
      </c>
      <c r="P1030" s="8" t="n">
        <v>1</v>
      </c>
      <c r="Q1030" s="36" t="n">
        <v>644.8</v>
      </c>
      <c r="R1030" s="36" t="n">
        <f aca="false">IF(OR(J1030="",P1030=""),"",K1030*N1030*P1030)</f>
        <v>644.8</v>
      </c>
      <c r="S1030" s="36" t="n">
        <f aca="false">IF(Q1030="","",Q1030-R1030)</f>
        <v>0</v>
      </c>
      <c r="T1030" s="36" t="n">
        <f aca="false">IF(S1030="","",MAX(0,-S1030))</f>
        <v>-0</v>
      </c>
      <c r="U1030" s="36" t="n">
        <f aca="false">IF(S1030="","",MAX(0,S1030))</f>
        <v>0</v>
      </c>
      <c r="V1030" s="8" t="str">
        <f aca="false">IF(J1030="","NOT SCORED - NO JULY MONTHLY ROW",IF(OR(ABS(L1030)&gt;0.005,ABS(O1030)&gt;0.005,ABS(S1030)&gt;0.005),"EXCEPTION","OK"))</f>
        <v>OK</v>
      </c>
      <c r="W1030" s="8" t="s">
        <v>6797</v>
      </c>
      <c r="X1030" s="8" t="s">
        <v>4099</v>
      </c>
      <c r="Y1030" s="36" t="n">
        <f aca="false">K1030*N1030</f>
        <v>644.8</v>
      </c>
    </row>
    <row r="1031" customFormat="false" ht="15" hidden="false" customHeight="false" outlineLevel="0" collapsed="false">
      <c r="A1031" s="11" t="s">
        <v>953</v>
      </c>
      <c r="B1031" s="11" t="s">
        <v>200</v>
      </c>
      <c r="C1031" s="11" t="s">
        <v>5306</v>
      </c>
      <c r="D1031" s="11" t="s">
        <v>3089</v>
      </c>
      <c r="E1031" s="11" t="s">
        <v>6798</v>
      </c>
      <c r="F1031" s="11" t="s">
        <v>6799</v>
      </c>
      <c r="G1031" s="11" t="s">
        <v>6800</v>
      </c>
      <c r="H1031" s="11" t="n">
        <v>28</v>
      </c>
      <c r="I1031" s="31" t="n">
        <v>20.5</v>
      </c>
      <c r="J1031" s="31" t="n">
        <v>28</v>
      </c>
      <c r="K1031" s="31" t="n">
        <f aca="false">MAX(ROUNDUP(I1031,0),H1031)</f>
        <v>28</v>
      </c>
      <c r="L1031" s="31" t="n">
        <f aca="false">IF(J1031="","",J1031-K1031)</f>
        <v>0</v>
      </c>
      <c r="M1031" s="32" t="n">
        <v>10.4</v>
      </c>
      <c r="N1031" s="32" t="n">
        <f aca="false">IF(C1031="covered",10.4,7.55)</f>
        <v>10.4</v>
      </c>
      <c r="O1031" s="32" t="n">
        <f aca="false">IF(M1031="","",M1031-N1031)</f>
        <v>0</v>
      </c>
      <c r="P1031" s="11" t="n">
        <v>1</v>
      </c>
      <c r="Q1031" s="33" t="n">
        <v>291.2</v>
      </c>
      <c r="R1031" s="33" t="n">
        <f aca="false">IF(OR(J1031="",P1031=""),"",K1031*N1031*P1031)</f>
        <v>291.2</v>
      </c>
      <c r="S1031" s="33" t="n">
        <f aca="false">IF(Q1031="","",Q1031-R1031)</f>
        <v>0</v>
      </c>
      <c r="T1031" s="33" t="n">
        <f aca="false">IF(S1031="","",MAX(0,-S1031))</f>
        <v>-0</v>
      </c>
      <c r="U1031" s="33" t="n">
        <f aca="false">IF(S1031="","",MAX(0,S1031))</f>
        <v>0</v>
      </c>
      <c r="V1031" s="11" t="str">
        <f aca="false">IF(J1031="","NOT SCORED - NO JULY MONTHLY ROW",IF(OR(ABS(L1031)&gt;0.005,ABS(O1031)&gt;0.005,ABS(S1031)&gt;0.005),"EXCEPTION","OK"))</f>
        <v>OK</v>
      </c>
      <c r="W1031" s="11" t="s">
        <v>6801</v>
      </c>
      <c r="X1031" s="11" t="s">
        <v>4099</v>
      </c>
      <c r="Y1031" s="33" t="n">
        <f aca="false">K1031*N1031</f>
        <v>291.2</v>
      </c>
    </row>
    <row r="1032" customFormat="false" ht="15" hidden="false" customHeight="false" outlineLevel="0" collapsed="false">
      <c r="A1032" s="8" t="s">
        <v>6802</v>
      </c>
      <c r="B1032" s="8" t="s">
        <v>200</v>
      </c>
      <c r="C1032" s="8" t="s">
        <v>5306</v>
      </c>
      <c r="D1032" s="8" t="s">
        <v>3094</v>
      </c>
      <c r="E1032" s="8" t="s">
        <v>6803</v>
      </c>
      <c r="F1032" s="8" t="s">
        <v>6804</v>
      </c>
      <c r="G1032" s="8" t="s">
        <v>3842</v>
      </c>
      <c r="H1032" s="8" t="n">
        <v>32</v>
      </c>
      <c r="I1032" s="34" t="n">
        <v>53.8</v>
      </c>
      <c r="J1032" s="34" t="n">
        <v>54</v>
      </c>
      <c r="K1032" s="34" t="n">
        <f aca="false">MAX(ROUNDUP(I1032,0),H1032)</f>
        <v>54</v>
      </c>
      <c r="L1032" s="34" t="n">
        <f aca="false">IF(J1032="","",J1032-K1032)</f>
        <v>0</v>
      </c>
      <c r="M1032" s="35" t="n">
        <v>10.4</v>
      </c>
      <c r="N1032" s="35" t="n">
        <f aca="false">IF(C1032="covered",10.4,7.55)</f>
        <v>10.4</v>
      </c>
      <c r="O1032" s="35" t="n">
        <f aca="false">IF(M1032="","",M1032-N1032)</f>
        <v>0</v>
      </c>
      <c r="P1032" s="8" t="n">
        <v>1</v>
      </c>
      <c r="Q1032" s="36" t="n">
        <v>561.6</v>
      </c>
      <c r="R1032" s="36" t="n">
        <f aca="false">IF(OR(J1032="",P1032=""),"",K1032*N1032*P1032)</f>
        <v>561.6</v>
      </c>
      <c r="S1032" s="36" t="n">
        <f aca="false">IF(Q1032="","",Q1032-R1032)</f>
        <v>0</v>
      </c>
      <c r="T1032" s="36" t="n">
        <f aca="false">IF(S1032="","",MAX(0,-S1032))</f>
        <v>-0</v>
      </c>
      <c r="U1032" s="36" t="n">
        <f aca="false">IF(S1032="","",MAX(0,S1032))</f>
        <v>0</v>
      </c>
      <c r="V1032" s="8" t="str">
        <f aca="false">IF(J1032="","NOT SCORED - NO JULY MONTHLY ROW",IF(OR(ABS(L1032)&gt;0.005,ABS(O1032)&gt;0.005,ABS(S1032)&gt;0.005),"EXCEPTION","OK"))</f>
        <v>OK</v>
      </c>
      <c r="W1032" s="8" t="s">
        <v>6805</v>
      </c>
      <c r="X1032" s="8" t="s">
        <v>4099</v>
      </c>
      <c r="Y1032" s="36" t="n">
        <f aca="false">K1032*N1032</f>
        <v>561.6</v>
      </c>
    </row>
    <row r="1033" customFormat="false" ht="15" hidden="false" customHeight="false" outlineLevel="0" collapsed="false">
      <c r="A1033" s="11" t="s">
        <v>6806</v>
      </c>
      <c r="B1033" s="11" t="s">
        <v>200</v>
      </c>
      <c r="C1033" s="11" t="s">
        <v>5306</v>
      </c>
      <c r="D1033" s="11" t="s">
        <v>3099</v>
      </c>
      <c r="E1033" s="11" t="s">
        <v>6807</v>
      </c>
      <c r="F1033" s="11" t="s">
        <v>6808</v>
      </c>
      <c r="G1033" s="11" t="s">
        <v>6809</v>
      </c>
      <c r="H1033" s="11" t="n">
        <v>24</v>
      </c>
      <c r="I1033" s="31" t="n">
        <v>55.2</v>
      </c>
      <c r="J1033" s="31" t="n">
        <v>56</v>
      </c>
      <c r="K1033" s="31" t="n">
        <f aca="false">MAX(ROUNDUP(I1033,0),H1033)</f>
        <v>56</v>
      </c>
      <c r="L1033" s="31" t="n">
        <f aca="false">IF(J1033="","",J1033-K1033)</f>
        <v>0</v>
      </c>
      <c r="M1033" s="32" t="n">
        <v>10.4</v>
      </c>
      <c r="N1033" s="32" t="n">
        <f aca="false">IF(C1033="covered",10.4,7.55)</f>
        <v>10.4</v>
      </c>
      <c r="O1033" s="32" t="n">
        <f aca="false">IF(M1033="","",M1033-N1033)</f>
        <v>0</v>
      </c>
      <c r="P1033" s="11" t="n">
        <v>1</v>
      </c>
      <c r="Q1033" s="33" t="n">
        <v>582.4</v>
      </c>
      <c r="R1033" s="33" t="n">
        <f aca="false">IF(OR(J1033="",P1033=""),"",K1033*N1033*P1033)</f>
        <v>582.4</v>
      </c>
      <c r="S1033" s="33" t="n">
        <f aca="false">IF(Q1033="","",Q1033-R1033)</f>
        <v>0</v>
      </c>
      <c r="T1033" s="33" t="n">
        <f aca="false">IF(S1033="","",MAX(0,-S1033))</f>
        <v>-0</v>
      </c>
      <c r="U1033" s="33" t="n">
        <f aca="false">IF(S1033="","",MAX(0,S1033))</f>
        <v>0</v>
      </c>
      <c r="V1033" s="11" t="str">
        <f aca="false">IF(J1033="","NOT SCORED - NO JULY MONTHLY ROW",IF(OR(ABS(L1033)&gt;0.005,ABS(O1033)&gt;0.005,ABS(S1033)&gt;0.005),"EXCEPTION","OK"))</f>
        <v>OK</v>
      </c>
      <c r="W1033" s="11" t="s">
        <v>6810</v>
      </c>
      <c r="X1033" s="11" t="s">
        <v>4099</v>
      </c>
      <c r="Y1033" s="33" t="n">
        <f aca="false">K1033*N1033</f>
        <v>582.4</v>
      </c>
    </row>
    <row r="1034" customFormat="false" ht="15" hidden="false" customHeight="false" outlineLevel="0" collapsed="false">
      <c r="A1034" s="8" t="s">
        <v>6811</v>
      </c>
      <c r="B1034" s="8" t="s">
        <v>200</v>
      </c>
      <c r="C1034" s="8" t="s">
        <v>5306</v>
      </c>
      <c r="D1034" s="8" t="s">
        <v>3979</v>
      </c>
      <c r="E1034" s="8" t="s">
        <v>6812</v>
      </c>
      <c r="F1034" s="8" t="s">
        <v>6813</v>
      </c>
      <c r="G1034" s="8" t="s">
        <v>3721</v>
      </c>
      <c r="H1034" s="8" t="n">
        <v>24</v>
      </c>
      <c r="I1034" s="34" t="n">
        <v>54.7</v>
      </c>
      <c r="J1034" s="34" t="n">
        <v>55</v>
      </c>
      <c r="K1034" s="34" t="n">
        <f aca="false">MAX(ROUNDUP(I1034,0),H1034)</f>
        <v>55</v>
      </c>
      <c r="L1034" s="34" t="n">
        <f aca="false">IF(J1034="","",J1034-K1034)</f>
        <v>0</v>
      </c>
      <c r="M1034" s="35" t="n">
        <v>10.4</v>
      </c>
      <c r="N1034" s="35" t="n">
        <f aca="false">IF(C1034="covered",10.4,7.55)</f>
        <v>10.4</v>
      </c>
      <c r="O1034" s="35" t="n">
        <f aca="false">IF(M1034="","",M1034-N1034)</f>
        <v>0</v>
      </c>
      <c r="P1034" s="8" t="n">
        <v>1</v>
      </c>
      <c r="Q1034" s="36" t="n">
        <v>572</v>
      </c>
      <c r="R1034" s="36" t="n">
        <f aca="false">IF(OR(J1034="",P1034=""),"",K1034*N1034*P1034)</f>
        <v>572</v>
      </c>
      <c r="S1034" s="36" t="n">
        <f aca="false">IF(Q1034="","",Q1034-R1034)</f>
        <v>0</v>
      </c>
      <c r="T1034" s="36" t="n">
        <f aca="false">IF(S1034="","",MAX(0,-S1034))</f>
        <v>-0</v>
      </c>
      <c r="U1034" s="36" t="n">
        <f aca="false">IF(S1034="","",MAX(0,S1034))</f>
        <v>0</v>
      </c>
      <c r="V1034" s="8" t="str">
        <f aca="false">IF(J1034="","NOT SCORED - NO JULY MONTHLY ROW",IF(OR(ABS(L1034)&gt;0.005,ABS(O1034)&gt;0.005,ABS(S1034)&gt;0.005),"EXCEPTION","OK"))</f>
        <v>OK</v>
      </c>
      <c r="W1034" s="8" t="s">
        <v>6814</v>
      </c>
      <c r="X1034" s="8" t="s">
        <v>4099</v>
      </c>
      <c r="Y1034" s="36" t="n">
        <f aca="false">K1034*N1034</f>
        <v>572</v>
      </c>
    </row>
    <row r="1035" customFormat="false" ht="15" hidden="false" customHeight="false" outlineLevel="0" collapsed="false">
      <c r="A1035" s="11" t="s">
        <v>6815</v>
      </c>
      <c r="B1035" s="11" t="s">
        <v>200</v>
      </c>
      <c r="C1035" s="11" t="s">
        <v>5306</v>
      </c>
      <c r="D1035" s="11" t="s">
        <v>3983</v>
      </c>
      <c r="E1035" s="11" t="s">
        <v>6816</v>
      </c>
      <c r="F1035" s="11" t="s">
        <v>6817</v>
      </c>
      <c r="G1035" s="11" t="s">
        <v>5810</v>
      </c>
      <c r="H1035" s="11" t="n">
        <v>40</v>
      </c>
      <c r="I1035" s="31" t="n">
        <v>37.8</v>
      </c>
      <c r="J1035" s="31" t="n">
        <v>40</v>
      </c>
      <c r="K1035" s="31" t="n">
        <f aca="false">MAX(ROUNDUP(I1035,0),H1035)</f>
        <v>40</v>
      </c>
      <c r="L1035" s="31" t="n">
        <f aca="false">IF(J1035="","",J1035-K1035)</f>
        <v>0</v>
      </c>
      <c r="M1035" s="32" t="n">
        <v>10.4</v>
      </c>
      <c r="N1035" s="32" t="n">
        <f aca="false">IF(C1035="covered",10.4,7.55)</f>
        <v>10.4</v>
      </c>
      <c r="O1035" s="32" t="n">
        <f aca="false">IF(M1035="","",M1035-N1035)</f>
        <v>0</v>
      </c>
      <c r="P1035" s="11" t="n">
        <v>1</v>
      </c>
      <c r="Q1035" s="33" t="n">
        <v>416</v>
      </c>
      <c r="R1035" s="33" t="n">
        <f aca="false">IF(OR(J1035="",P1035=""),"",K1035*N1035*P1035)</f>
        <v>416</v>
      </c>
      <c r="S1035" s="33" t="n">
        <f aca="false">IF(Q1035="","",Q1035-R1035)</f>
        <v>0</v>
      </c>
      <c r="T1035" s="33" t="n">
        <f aca="false">IF(S1035="","",MAX(0,-S1035))</f>
        <v>-0</v>
      </c>
      <c r="U1035" s="33" t="n">
        <f aca="false">IF(S1035="","",MAX(0,S1035))</f>
        <v>0</v>
      </c>
      <c r="V1035" s="11" t="str">
        <f aca="false">IF(J1035="","NOT SCORED - NO JULY MONTHLY ROW",IF(OR(ABS(L1035)&gt;0.005,ABS(O1035)&gt;0.005,ABS(S1035)&gt;0.005),"EXCEPTION","OK"))</f>
        <v>OK</v>
      </c>
      <c r="W1035" s="11" t="s">
        <v>6818</v>
      </c>
      <c r="X1035" s="11" t="s">
        <v>4099</v>
      </c>
      <c r="Y1035" s="33" t="n">
        <f aca="false">K1035*N1035</f>
        <v>416</v>
      </c>
    </row>
    <row r="1036" customFormat="false" ht="15" hidden="false" customHeight="false" outlineLevel="0" collapsed="false">
      <c r="A1036" s="8" t="s">
        <v>6819</v>
      </c>
      <c r="B1036" s="8" t="s">
        <v>200</v>
      </c>
      <c r="C1036" s="8" t="s">
        <v>5306</v>
      </c>
      <c r="D1036" s="8" t="s">
        <v>3104</v>
      </c>
      <c r="E1036" s="8" t="s">
        <v>6820</v>
      </c>
      <c r="F1036" s="8" t="s">
        <v>6821</v>
      </c>
      <c r="G1036" s="8" t="s">
        <v>3142</v>
      </c>
      <c r="H1036" s="8" t="n">
        <v>40</v>
      </c>
      <c r="I1036" s="34" t="n">
        <v>49.8</v>
      </c>
      <c r="J1036" s="34" t="n">
        <v>50</v>
      </c>
      <c r="K1036" s="34" t="n">
        <f aca="false">MAX(ROUNDUP(I1036,0),H1036)</f>
        <v>50</v>
      </c>
      <c r="L1036" s="34" t="n">
        <f aca="false">IF(J1036="","",J1036-K1036)</f>
        <v>0</v>
      </c>
      <c r="M1036" s="35" t="n">
        <v>10.4</v>
      </c>
      <c r="N1036" s="35" t="n">
        <f aca="false">IF(C1036="covered",10.4,7.55)</f>
        <v>10.4</v>
      </c>
      <c r="O1036" s="35" t="n">
        <f aca="false">IF(M1036="","",M1036-N1036)</f>
        <v>0</v>
      </c>
      <c r="P1036" s="8" t="n">
        <v>1</v>
      </c>
      <c r="Q1036" s="36" t="n">
        <v>520</v>
      </c>
      <c r="R1036" s="36" t="n">
        <f aca="false">IF(OR(J1036="",P1036=""),"",K1036*N1036*P1036)</f>
        <v>520</v>
      </c>
      <c r="S1036" s="36" t="n">
        <f aca="false">IF(Q1036="","",Q1036-R1036)</f>
        <v>0</v>
      </c>
      <c r="T1036" s="36" t="n">
        <f aca="false">IF(S1036="","",MAX(0,-S1036))</f>
        <v>-0</v>
      </c>
      <c r="U1036" s="36" t="n">
        <f aca="false">IF(S1036="","",MAX(0,S1036))</f>
        <v>0</v>
      </c>
      <c r="V1036" s="8" t="str">
        <f aca="false">IF(J1036="","NOT SCORED - NO JULY MONTHLY ROW",IF(OR(ABS(L1036)&gt;0.005,ABS(O1036)&gt;0.005,ABS(S1036)&gt;0.005),"EXCEPTION","OK"))</f>
        <v>OK</v>
      </c>
      <c r="W1036" s="8" t="s">
        <v>6822</v>
      </c>
      <c r="X1036" s="8" t="s">
        <v>4099</v>
      </c>
      <c r="Y1036" s="36" t="n">
        <f aca="false">K1036*N1036</f>
        <v>520</v>
      </c>
    </row>
    <row r="1037" customFormat="false" ht="15" hidden="false" customHeight="false" outlineLevel="0" collapsed="false">
      <c r="A1037" s="11" t="s">
        <v>6823</v>
      </c>
      <c r="B1037" s="11" t="s">
        <v>200</v>
      </c>
      <c r="C1037" s="11" t="s">
        <v>5306</v>
      </c>
      <c r="D1037" s="11" t="s">
        <v>3109</v>
      </c>
      <c r="E1037" s="11" t="s">
        <v>1076</v>
      </c>
      <c r="F1037" s="11" t="s">
        <v>1077</v>
      </c>
      <c r="G1037" s="11" t="s">
        <v>3731</v>
      </c>
      <c r="H1037" s="11" t="n">
        <v>28</v>
      </c>
      <c r="I1037" s="31" t="n">
        <v>27.9</v>
      </c>
      <c r="J1037" s="31" t="n">
        <v>28</v>
      </c>
      <c r="K1037" s="31" t="n">
        <f aca="false">MAX(ROUNDUP(I1037,0),H1037)</f>
        <v>28</v>
      </c>
      <c r="L1037" s="31" t="n">
        <f aca="false">IF(J1037="","",J1037-K1037)</f>
        <v>0</v>
      </c>
      <c r="M1037" s="32" t="n">
        <v>10.4</v>
      </c>
      <c r="N1037" s="32" t="n">
        <f aca="false">IF(C1037="covered",10.4,7.55)</f>
        <v>10.4</v>
      </c>
      <c r="O1037" s="32" t="n">
        <f aca="false">IF(M1037="","",M1037-N1037)</f>
        <v>0</v>
      </c>
      <c r="P1037" s="11" t="n">
        <v>1</v>
      </c>
      <c r="Q1037" s="33" t="n">
        <v>291.2</v>
      </c>
      <c r="R1037" s="33" t="n">
        <f aca="false">IF(OR(J1037="",P1037=""),"",K1037*N1037*P1037)</f>
        <v>291.2</v>
      </c>
      <c r="S1037" s="33" t="n">
        <f aca="false">IF(Q1037="","",Q1037-R1037)</f>
        <v>0</v>
      </c>
      <c r="T1037" s="33" t="n">
        <f aca="false">IF(S1037="","",MAX(0,-S1037))</f>
        <v>-0</v>
      </c>
      <c r="U1037" s="33" t="n">
        <f aca="false">IF(S1037="","",MAX(0,S1037))</f>
        <v>0</v>
      </c>
      <c r="V1037" s="11" t="str">
        <f aca="false">IF(J1037="","NOT SCORED - NO JULY MONTHLY ROW",IF(OR(ABS(L1037)&gt;0.005,ABS(O1037)&gt;0.005,ABS(S1037)&gt;0.005),"EXCEPTION","OK"))</f>
        <v>OK</v>
      </c>
      <c r="W1037" s="11" t="s">
        <v>6824</v>
      </c>
      <c r="X1037" s="11" t="s">
        <v>4099</v>
      </c>
      <c r="Y1037" s="33" t="n">
        <f aca="false">K1037*N1037</f>
        <v>291.2</v>
      </c>
    </row>
    <row r="1038" customFormat="false" ht="15" hidden="false" customHeight="false" outlineLevel="0" collapsed="false">
      <c r="A1038" s="8" t="s">
        <v>847</v>
      </c>
      <c r="B1038" s="8" t="s">
        <v>200</v>
      </c>
      <c r="C1038" s="8" t="s">
        <v>5306</v>
      </c>
      <c r="D1038" s="8" t="s">
        <v>3114</v>
      </c>
      <c r="E1038" s="8" t="s">
        <v>6825</v>
      </c>
      <c r="F1038" s="8" t="s">
        <v>6826</v>
      </c>
      <c r="G1038" s="8" t="s">
        <v>3137</v>
      </c>
      <c r="H1038" s="8" t="n">
        <v>24</v>
      </c>
      <c r="I1038" s="34" t="n">
        <v>21.2</v>
      </c>
      <c r="J1038" s="34" t="n">
        <v>24</v>
      </c>
      <c r="K1038" s="34" t="n">
        <f aca="false">MAX(ROUNDUP(I1038,0),H1038)</f>
        <v>24</v>
      </c>
      <c r="L1038" s="34" t="n">
        <f aca="false">IF(J1038="","",J1038-K1038)</f>
        <v>0</v>
      </c>
      <c r="M1038" s="35" t="n">
        <v>10.4</v>
      </c>
      <c r="N1038" s="35" t="n">
        <f aca="false">IF(C1038="covered",10.4,7.55)</f>
        <v>10.4</v>
      </c>
      <c r="O1038" s="35" t="n">
        <f aca="false">IF(M1038="","",M1038-N1038)</f>
        <v>0</v>
      </c>
      <c r="P1038" s="8" t="n">
        <v>1</v>
      </c>
      <c r="Q1038" s="36" t="n">
        <v>249.6</v>
      </c>
      <c r="R1038" s="36" t="n">
        <f aca="false">IF(OR(J1038="",P1038=""),"",K1038*N1038*P1038)</f>
        <v>249.6</v>
      </c>
      <c r="S1038" s="36" t="n">
        <f aca="false">IF(Q1038="","",Q1038-R1038)</f>
        <v>0</v>
      </c>
      <c r="T1038" s="36" t="n">
        <f aca="false">IF(S1038="","",MAX(0,-S1038))</f>
        <v>-0</v>
      </c>
      <c r="U1038" s="36" t="n">
        <f aca="false">IF(S1038="","",MAX(0,S1038))</f>
        <v>0</v>
      </c>
      <c r="V1038" s="8" t="str">
        <f aca="false">IF(J1038="","NOT SCORED - NO JULY MONTHLY ROW",IF(OR(ABS(L1038)&gt;0.005,ABS(O1038)&gt;0.005,ABS(S1038)&gt;0.005),"EXCEPTION","OK"))</f>
        <v>OK</v>
      </c>
      <c r="W1038" s="8" t="s">
        <v>6827</v>
      </c>
      <c r="X1038" s="8" t="s">
        <v>4099</v>
      </c>
      <c r="Y1038" s="36" t="n">
        <f aca="false">K1038*N1038</f>
        <v>249.6</v>
      </c>
    </row>
    <row r="1039" customFormat="false" ht="15" hidden="false" customHeight="false" outlineLevel="0" collapsed="false">
      <c r="A1039" s="11" t="s">
        <v>498</v>
      </c>
      <c r="B1039" s="11" t="s">
        <v>200</v>
      </c>
      <c r="C1039" s="11" t="s">
        <v>5306</v>
      </c>
      <c r="D1039" s="11" t="s">
        <v>3119</v>
      </c>
      <c r="E1039" s="11" t="s">
        <v>2303</v>
      </c>
      <c r="F1039" s="11" t="s">
        <v>6828</v>
      </c>
      <c r="G1039" s="11" t="s">
        <v>6829</v>
      </c>
      <c r="H1039" s="11" t="n">
        <v>32</v>
      </c>
      <c r="I1039" s="31" t="n">
        <v>23.2</v>
      </c>
      <c r="J1039" s="31" t="n">
        <v>32</v>
      </c>
      <c r="K1039" s="31" t="n">
        <f aca="false">MAX(ROUNDUP(I1039,0),H1039)</f>
        <v>32</v>
      </c>
      <c r="L1039" s="31" t="n">
        <f aca="false">IF(J1039="","",J1039-K1039)</f>
        <v>0</v>
      </c>
      <c r="M1039" s="32" t="n">
        <v>10.4</v>
      </c>
      <c r="N1039" s="32" t="n">
        <f aca="false">IF(C1039="covered",10.4,7.55)</f>
        <v>10.4</v>
      </c>
      <c r="O1039" s="32" t="n">
        <f aca="false">IF(M1039="","",M1039-N1039)</f>
        <v>0</v>
      </c>
      <c r="P1039" s="11" t="n">
        <v>1</v>
      </c>
      <c r="Q1039" s="33" t="n">
        <v>332.8</v>
      </c>
      <c r="R1039" s="33" t="n">
        <f aca="false">IF(OR(J1039="",P1039=""),"",K1039*N1039*P1039)</f>
        <v>332.8</v>
      </c>
      <c r="S1039" s="33" t="n">
        <f aca="false">IF(Q1039="","",Q1039-R1039)</f>
        <v>0</v>
      </c>
      <c r="T1039" s="33" t="n">
        <f aca="false">IF(S1039="","",MAX(0,-S1039))</f>
        <v>-0</v>
      </c>
      <c r="U1039" s="33" t="n">
        <f aca="false">IF(S1039="","",MAX(0,S1039))</f>
        <v>0</v>
      </c>
      <c r="V1039" s="11" t="str">
        <f aca="false">IF(J1039="","NOT SCORED - NO JULY MONTHLY ROW",IF(OR(ABS(L1039)&gt;0.005,ABS(O1039)&gt;0.005,ABS(S1039)&gt;0.005),"EXCEPTION","OK"))</f>
        <v>OK</v>
      </c>
      <c r="W1039" s="11" t="s">
        <v>6830</v>
      </c>
      <c r="X1039" s="11" t="s">
        <v>4099</v>
      </c>
      <c r="Y1039" s="33" t="n">
        <f aca="false">K1039*N1039</f>
        <v>332.8</v>
      </c>
    </row>
    <row r="1040" customFormat="false" ht="15" hidden="false" customHeight="false" outlineLevel="0" collapsed="false">
      <c r="A1040" s="8" t="s">
        <v>6831</v>
      </c>
      <c r="B1040" s="8" t="s">
        <v>200</v>
      </c>
      <c r="C1040" s="8" t="s">
        <v>5306</v>
      </c>
      <c r="D1040" s="8" t="s">
        <v>3124</v>
      </c>
      <c r="E1040" s="8" t="s">
        <v>6832</v>
      </c>
      <c r="F1040" s="8" t="s">
        <v>6833</v>
      </c>
      <c r="G1040" s="8" t="s">
        <v>6834</v>
      </c>
      <c r="H1040" s="8" t="n">
        <v>32</v>
      </c>
      <c r="I1040" s="34" t="n">
        <v>18.4</v>
      </c>
      <c r="J1040" s="34" t="n">
        <v>32</v>
      </c>
      <c r="K1040" s="34" t="n">
        <f aca="false">MAX(ROUNDUP(I1040,0),H1040)</f>
        <v>32</v>
      </c>
      <c r="L1040" s="34" t="n">
        <f aca="false">IF(J1040="","",J1040-K1040)</f>
        <v>0</v>
      </c>
      <c r="M1040" s="35" t="n">
        <v>10.4</v>
      </c>
      <c r="N1040" s="35" t="n">
        <f aca="false">IF(C1040="covered",10.4,7.55)</f>
        <v>10.4</v>
      </c>
      <c r="O1040" s="35" t="n">
        <f aca="false">IF(M1040="","",M1040-N1040)</f>
        <v>0</v>
      </c>
      <c r="P1040" s="8" t="n">
        <v>1</v>
      </c>
      <c r="Q1040" s="36" t="n">
        <v>332.8</v>
      </c>
      <c r="R1040" s="36" t="n">
        <f aca="false">IF(OR(J1040="",P1040=""),"",K1040*N1040*P1040)</f>
        <v>332.8</v>
      </c>
      <c r="S1040" s="36" t="n">
        <f aca="false">IF(Q1040="","",Q1040-R1040)</f>
        <v>0</v>
      </c>
      <c r="T1040" s="36" t="n">
        <f aca="false">IF(S1040="","",MAX(0,-S1040))</f>
        <v>-0</v>
      </c>
      <c r="U1040" s="36" t="n">
        <f aca="false">IF(S1040="","",MAX(0,S1040))</f>
        <v>0</v>
      </c>
      <c r="V1040" s="8" t="str">
        <f aca="false">IF(J1040="","NOT SCORED - NO JULY MONTHLY ROW",IF(OR(ABS(L1040)&gt;0.005,ABS(O1040)&gt;0.005,ABS(S1040)&gt;0.005),"EXCEPTION","OK"))</f>
        <v>OK</v>
      </c>
      <c r="W1040" s="8" t="s">
        <v>6835</v>
      </c>
      <c r="X1040" s="8" t="s">
        <v>4099</v>
      </c>
      <c r="Y1040" s="36" t="n">
        <f aca="false">K1040*N1040</f>
        <v>332.8</v>
      </c>
    </row>
    <row r="1041" customFormat="false" ht="15" hidden="false" customHeight="false" outlineLevel="0" collapsed="false">
      <c r="A1041" s="11" t="s">
        <v>6836</v>
      </c>
      <c r="B1041" s="11" t="s">
        <v>200</v>
      </c>
      <c r="C1041" s="11" t="s">
        <v>5306</v>
      </c>
      <c r="D1041" s="11" t="s">
        <v>3129</v>
      </c>
      <c r="E1041" s="11" t="s">
        <v>2427</v>
      </c>
      <c r="F1041" s="11" t="s">
        <v>5351</v>
      </c>
      <c r="G1041" s="11" t="s">
        <v>3222</v>
      </c>
      <c r="H1041" s="11" t="n">
        <v>36</v>
      </c>
      <c r="I1041" s="31" t="n">
        <v>58.2</v>
      </c>
      <c r="J1041" s="31" t="n">
        <v>59</v>
      </c>
      <c r="K1041" s="31" t="n">
        <f aca="false">MAX(ROUNDUP(I1041,0),H1041)</f>
        <v>59</v>
      </c>
      <c r="L1041" s="31" t="n">
        <f aca="false">IF(J1041="","",J1041-K1041)</f>
        <v>0</v>
      </c>
      <c r="M1041" s="32" t="n">
        <v>10.4</v>
      </c>
      <c r="N1041" s="32" t="n">
        <f aca="false">IF(C1041="covered",10.4,7.55)</f>
        <v>10.4</v>
      </c>
      <c r="O1041" s="32" t="n">
        <f aca="false">IF(M1041="","",M1041-N1041)</f>
        <v>0</v>
      </c>
      <c r="P1041" s="11" t="n">
        <v>1</v>
      </c>
      <c r="Q1041" s="33" t="n">
        <v>613.6</v>
      </c>
      <c r="R1041" s="33" t="n">
        <f aca="false">IF(OR(J1041="",P1041=""),"",K1041*N1041*P1041)</f>
        <v>613.6</v>
      </c>
      <c r="S1041" s="33" t="n">
        <f aca="false">IF(Q1041="","",Q1041-R1041)</f>
        <v>0</v>
      </c>
      <c r="T1041" s="33" t="n">
        <f aca="false">IF(S1041="","",MAX(0,-S1041))</f>
        <v>-0</v>
      </c>
      <c r="U1041" s="33" t="n">
        <f aca="false">IF(S1041="","",MAX(0,S1041))</f>
        <v>0</v>
      </c>
      <c r="V1041" s="11" t="str">
        <f aca="false">IF(J1041="","NOT SCORED - NO JULY MONTHLY ROW",IF(OR(ABS(L1041)&gt;0.005,ABS(O1041)&gt;0.005,ABS(S1041)&gt;0.005),"EXCEPTION","OK"))</f>
        <v>OK</v>
      </c>
      <c r="W1041" s="11" t="s">
        <v>6837</v>
      </c>
      <c r="X1041" s="11" t="s">
        <v>4099</v>
      </c>
      <c r="Y1041" s="33" t="n">
        <f aca="false">K1041*N1041</f>
        <v>613.6</v>
      </c>
    </row>
    <row r="1042" customFormat="false" ht="15" hidden="false" customHeight="false" outlineLevel="0" collapsed="false">
      <c r="A1042" s="8" t="s">
        <v>998</v>
      </c>
      <c r="B1042" s="8" t="s">
        <v>200</v>
      </c>
      <c r="C1042" s="8" t="s">
        <v>5306</v>
      </c>
      <c r="D1042" s="8" t="s">
        <v>3134</v>
      </c>
      <c r="E1042" s="8" t="s">
        <v>6838</v>
      </c>
      <c r="F1042" s="8" t="s">
        <v>6839</v>
      </c>
      <c r="G1042" s="8" t="s">
        <v>5279</v>
      </c>
      <c r="H1042" s="8" t="n">
        <v>24</v>
      </c>
      <c r="I1042" s="34" t="n">
        <v>18.2</v>
      </c>
      <c r="J1042" s="34" t="n">
        <v>24</v>
      </c>
      <c r="K1042" s="34" t="n">
        <f aca="false">MAX(ROUNDUP(I1042,0),H1042)</f>
        <v>24</v>
      </c>
      <c r="L1042" s="34" t="n">
        <f aca="false">IF(J1042="","",J1042-K1042)</f>
        <v>0</v>
      </c>
      <c r="M1042" s="35" t="n">
        <v>10.4</v>
      </c>
      <c r="N1042" s="35" t="n">
        <f aca="false">IF(C1042="covered",10.4,7.55)</f>
        <v>10.4</v>
      </c>
      <c r="O1042" s="35" t="n">
        <f aca="false">IF(M1042="","",M1042-N1042)</f>
        <v>0</v>
      </c>
      <c r="P1042" s="8" t="n">
        <v>1</v>
      </c>
      <c r="Q1042" s="36" t="n">
        <v>249.6</v>
      </c>
      <c r="R1042" s="36" t="n">
        <f aca="false">IF(OR(J1042="",P1042=""),"",K1042*N1042*P1042)</f>
        <v>249.6</v>
      </c>
      <c r="S1042" s="36" t="n">
        <f aca="false">IF(Q1042="","",Q1042-R1042)</f>
        <v>0</v>
      </c>
      <c r="T1042" s="36" t="n">
        <f aca="false">IF(S1042="","",MAX(0,-S1042))</f>
        <v>-0</v>
      </c>
      <c r="U1042" s="36" t="n">
        <f aca="false">IF(S1042="","",MAX(0,S1042))</f>
        <v>0</v>
      </c>
      <c r="V1042" s="8" t="str">
        <f aca="false">IF(J1042="","NOT SCORED - NO JULY MONTHLY ROW",IF(OR(ABS(L1042)&gt;0.005,ABS(O1042)&gt;0.005,ABS(S1042)&gt;0.005),"EXCEPTION","OK"))</f>
        <v>OK</v>
      </c>
      <c r="W1042" s="8" t="s">
        <v>6840</v>
      </c>
      <c r="X1042" s="8" t="s">
        <v>4099</v>
      </c>
      <c r="Y1042" s="36" t="n">
        <f aca="false">K1042*N1042</f>
        <v>249.6</v>
      </c>
    </row>
    <row r="1043" customFormat="false" ht="15" hidden="false" customHeight="false" outlineLevel="0" collapsed="false">
      <c r="A1043" s="11" t="s">
        <v>424</v>
      </c>
      <c r="B1043" s="11" t="s">
        <v>200</v>
      </c>
      <c r="C1043" s="11" t="s">
        <v>5306</v>
      </c>
      <c r="D1043" s="11" t="s">
        <v>3143</v>
      </c>
      <c r="E1043" s="11" t="s">
        <v>6841</v>
      </c>
      <c r="F1043" s="11" t="s">
        <v>6842</v>
      </c>
      <c r="G1043" s="11" t="s">
        <v>3472</v>
      </c>
      <c r="H1043" s="11" t="n">
        <v>32</v>
      </c>
      <c r="I1043" s="31" t="n">
        <v>21.3</v>
      </c>
      <c r="J1043" s="31" t="n">
        <v>32</v>
      </c>
      <c r="K1043" s="31" t="n">
        <f aca="false">MAX(ROUNDUP(I1043,0),H1043)</f>
        <v>32</v>
      </c>
      <c r="L1043" s="31" t="n">
        <f aca="false">IF(J1043="","",J1043-K1043)</f>
        <v>0</v>
      </c>
      <c r="M1043" s="32" t="n">
        <v>10.4</v>
      </c>
      <c r="N1043" s="32" t="n">
        <f aca="false">IF(C1043="covered",10.4,7.55)</f>
        <v>10.4</v>
      </c>
      <c r="O1043" s="32" t="n">
        <f aca="false">IF(M1043="","",M1043-N1043)</f>
        <v>0</v>
      </c>
      <c r="P1043" s="11" t="n">
        <v>1</v>
      </c>
      <c r="Q1043" s="33" t="n">
        <v>332.8</v>
      </c>
      <c r="R1043" s="33" t="n">
        <f aca="false">IF(OR(J1043="",P1043=""),"",K1043*N1043*P1043)</f>
        <v>332.8</v>
      </c>
      <c r="S1043" s="33" t="n">
        <f aca="false">IF(Q1043="","",Q1043-R1043)</f>
        <v>0</v>
      </c>
      <c r="T1043" s="33" t="n">
        <f aca="false">IF(S1043="","",MAX(0,-S1043))</f>
        <v>-0</v>
      </c>
      <c r="U1043" s="33" t="n">
        <f aca="false">IF(S1043="","",MAX(0,S1043))</f>
        <v>0</v>
      </c>
      <c r="V1043" s="11" t="str">
        <f aca="false">IF(J1043="","NOT SCORED - NO JULY MONTHLY ROW",IF(OR(ABS(L1043)&gt;0.005,ABS(O1043)&gt;0.005,ABS(S1043)&gt;0.005),"EXCEPTION","OK"))</f>
        <v>OK</v>
      </c>
      <c r="W1043" s="11" t="s">
        <v>6843</v>
      </c>
      <c r="X1043" s="11" t="s">
        <v>4099</v>
      </c>
      <c r="Y1043" s="33" t="n">
        <f aca="false">K1043*N1043</f>
        <v>332.8</v>
      </c>
    </row>
    <row r="1044" customFormat="false" ht="15" hidden="false" customHeight="false" outlineLevel="0" collapsed="false">
      <c r="A1044" s="8" t="s">
        <v>6844</v>
      </c>
      <c r="B1044" s="8" t="s">
        <v>200</v>
      </c>
      <c r="C1044" s="8" t="s">
        <v>5306</v>
      </c>
      <c r="D1044" s="8" t="s">
        <v>3146</v>
      </c>
      <c r="E1044" s="8" t="s">
        <v>6845</v>
      </c>
      <c r="F1044" s="8" t="s">
        <v>6846</v>
      </c>
      <c r="G1044" s="8" t="s">
        <v>4230</v>
      </c>
      <c r="H1044" s="8" t="n">
        <v>40</v>
      </c>
      <c r="I1044" s="34" t="n">
        <v>52.9</v>
      </c>
      <c r="J1044" s="34" t="n">
        <v>53</v>
      </c>
      <c r="K1044" s="34" t="n">
        <f aca="false">MAX(ROUNDUP(I1044,0),H1044)</f>
        <v>53</v>
      </c>
      <c r="L1044" s="34" t="n">
        <f aca="false">IF(J1044="","",J1044-K1044)</f>
        <v>0</v>
      </c>
      <c r="M1044" s="35" t="n">
        <v>10.4</v>
      </c>
      <c r="N1044" s="35" t="n">
        <f aca="false">IF(C1044="covered",10.4,7.55)</f>
        <v>10.4</v>
      </c>
      <c r="O1044" s="35" t="n">
        <f aca="false">IF(M1044="","",M1044-N1044)</f>
        <v>0</v>
      </c>
      <c r="P1044" s="8" t="n">
        <v>1</v>
      </c>
      <c r="Q1044" s="36" t="n">
        <v>551.2</v>
      </c>
      <c r="R1044" s="36" t="n">
        <f aca="false">IF(OR(J1044="",P1044=""),"",K1044*N1044*P1044)</f>
        <v>551.2</v>
      </c>
      <c r="S1044" s="36" t="n">
        <f aca="false">IF(Q1044="","",Q1044-R1044)</f>
        <v>0</v>
      </c>
      <c r="T1044" s="36" t="n">
        <f aca="false">IF(S1044="","",MAX(0,-S1044))</f>
        <v>-0</v>
      </c>
      <c r="U1044" s="36" t="n">
        <f aca="false">IF(S1044="","",MAX(0,S1044))</f>
        <v>0</v>
      </c>
      <c r="V1044" s="8" t="str">
        <f aca="false">IF(J1044="","NOT SCORED - NO JULY MONTHLY ROW",IF(OR(ABS(L1044)&gt;0.005,ABS(O1044)&gt;0.005,ABS(S1044)&gt;0.005),"EXCEPTION","OK"))</f>
        <v>OK</v>
      </c>
      <c r="W1044" s="8" t="s">
        <v>6847</v>
      </c>
      <c r="X1044" s="8" t="s">
        <v>4099</v>
      </c>
      <c r="Y1044" s="36" t="n">
        <f aca="false">K1044*N1044</f>
        <v>551.2</v>
      </c>
    </row>
    <row r="1045" customFormat="false" ht="15" hidden="false" customHeight="false" outlineLevel="0" collapsed="false">
      <c r="A1045" s="11" t="s">
        <v>6848</v>
      </c>
      <c r="B1045" s="11" t="s">
        <v>200</v>
      </c>
      <c r="C1045" s="11" t="s">
        <v>5306</v>
      </c>
      <c r="D1045" s="11" t="s">
        <v>3151</v>
      </c>
      <c r="E1045" s="11" t="s">
        <v>6849</v>
      </c>
      <c r="F1045" s="11" t="s">
        <v>6850</v>
      </c>
      <c r="G1045" s="11" t="s">
        <v>3236</v>
      </c>
      <c r="H1045" s="11" t="n">
        <v>32</v>
      </c>
      <c r="I1045" s="31" t="n">
        <v>33.4</v>
      </c>
      <c r="J1045" s="31" t="n">
        <v>34</v>
      </c>
      <c r="K1045" s="31" t="n">
        <f aca="false">MAX(ROUNDUP(I1045,0),H1045)</f>
        <v>34</v>
      </c>
      <c r="L1045" s="31" t="n">
        <f aca="false">IF(J1045="","",J1045-K1045)</f>
        <v>0</v>
      </c>
      <c r="M1045" s="32" t="n">
        <v>10.4</v>
      </c>
      <c r="N1045" s="32" t="n">
        <f aca="false">IF(C1045="covered",10.4,7.55)</f>
        <v>10.4</v>
      </c>
      <c r="O1045" s="32" t="n">
        <f aca="false">IF(M1045="","",M1045-N1045)</f>
        <v>0</v>
      </c>
      <c r="P1045" s="11" t="n">
        <v>1</v>
      </c>
      <c r="Q1045" s="33" t="n">
        <v>353.6</v>
      </c>
      <c r="R1045" s="33" t="n">
        <f aca="false">IF(OR(J1045="",P1045=""),"",K1045*N1045*P1045)</f>
        <v>353.6</v>
      </c>
      <c r="S1045" s="33" t="n">
        <f aca="false">IF(Q1045="","",Q1045-R1045)</f>
        <v>0</v>
      </c>
      <c r="T1045" s="33" t="n">
        <f aca="false">IF(S1045="","",MAX(0,-S1045))</f>
        <v>-0</v>
      </c>
      <c r="U1045" s="33" t="n">
        <f aca="false">IF(S1045="","",MAX(0,S1045))</f>
        <v>0</v>
      </c>
      <c r="V1045" s="11" t="str">
        <f aca="false">IF(J1045="","NOT SCORED - NO JULY MONTHLY ROW",IF(OR(ABS(L1045)&gt;0.005,ABS(O1045)&gt;0.005,ABS(S1045)&gt;0.005),"EXCEPTION","OK"))</f>
        <v>OK</v>
      </c>
      <c r="W1045" s="11" t="s">
        <v>6851</v>
      </c>
      <c r="X1045" s="11" t="s">
        <v>4099</v>
      </c>
      <c r="Y1045" s="33" t="n">
        <f aca="false">K1045*N1045</f>
        <v>353.6</v>
      </c>
    </row>
    <row r="1046" customFormat="false" ht="15" hidden="false" customHeight="false" outlineLevel="0" collapsed="false">
      <c r="A1046" s="8" t="s">
        <v>1595</v>
      </c>
      <c r="B1046" s="8" t="s">
        <v>200</v>
      </c>
      <c r="C1046" s="8" t="s">
        <v>5306</v>
      </c>
      <c r="D1046" s="8" t="s">
        <v>3153</v>
      </c>
      <c r="E1046" s="8" t="s">
        <v>6852</v>
      </c>
      <c r="F1046" s="8" t="s">
        <v>6853</v>
      </c>
      <c r="G1046" s="8" t="s">
        <v>3540</v>
      </c>
      <c r="H1046" s="8" t="n">
        <v>28</v>
      </c>
      <c r="I1046" s="34" t="n">
        <v>56.2</v>
      </c>
      <c r="J1046" s="34" t="n">
        <v>57</v>
      </c>
      <c r="K1046" s="34" t="n">
        <f aca="false">MAX(ROUNDUP(I1046,0),H1046)</f>
        <v>57</v>
      </c>
      <c r="L1046" s="34" t="n">
        <f aca="false">IF(J1046="","",J1046-K1046)</f>
        <v>0</v>
      </c>
      <c r="M1046" s="35" t="n">
        <v>10.4</v>
      </c>
      <c r="N1046" s="35" t="n">
        <f aca="false">IF(C1046="covered",10.4,7.55)</f>
        <v>10.4</v>
      </c>
      <c r="O1046" s="35" t="n">
        <f aca="false">IF(M1046="","",M1046-N1046)</f>
        <v>0</v>
      </c>
      <c r="P1046" s="8" t="n">
        <v>1</v>
      </c>
      <c r="Q1046" s="36" t="n">
        <v>592.8</v>
      </c>
      <c r="R1046" s="36" t="n">
        <f aca="false">IF(OR(J1046="",P1046=""),"",K1046*N1046*P1046)</f>
        <v>592.8</v>
      </c>
      <c r="S1046" s="36" t="n">
        <f aca="false">IF(Q1046="","",Q1046-R1046)</f>
        <v>0</v>
      </c>
      <c r="T1046" s="36" t="n">
        <f aca="false">IF(S1046="","",MAX(0,-S1046))</f>
        <v>-0</v>
      </c>
      <c r="U1046" s="36" t="n">
        <f aca="false">IF(S1046="","",MAX(0,S1046))</f>
        <v>0</v>
      </c>
      <c r="V1046" s="8" t="str">
        <f aca="false">IF(J1046="","NOT SCORED - NO JULY MONTHLY ROW",IF(OR(ABS(L1046)&gt;0.005,ABS(O1046)&gt;0.005,ABS(S1046)&gt;0.005),"EXCEPTION","OK"))</f>
        <v>OK</v>
      </c>
      <c r="W1046" s="8" t="s">
        <v>6854</v>
      </c>
      <c r="X1046" s="8" t="s">
        <v>4099</v>
      </c>
      <c r="Y1046" s="36" t="n">
        <f aca="false">K1046*N1046</f>
        <v>592.8</v>
      </c>
    </row>
    <row r="1047" customFormat="false" ht="15" hidden="false" customHeight="false" outlineLevel="0" collapsed="false">
      <c r="A1047" s="11" t="s">
        <v>6855</v>
      </c>
      <c r="B1047" s="11" t="s">
        <v>200</v>
      </c>
      <c r="C1047" s="11" t="s">
        <v>5306</v>
      </c>
      <c r="D1047" s="11" t="s">
        <v>3157</v>
      </c>
      <c r="E1047" s="11" t="s">
        <v>6856</v>
      </c>
      <c r="F1047" s="11" t="s">
        <v>6857</v>
      </c>
      <c r="G1047" s="11" t="s">
        <v>6023</v>
      </c>
      <c r="H1047" s="11" t="n">
        <v>28</v>
      </c>
      <c r="I1047" s="31" t="n">
        <v>59.7</v>
      </c>
      <c r="J1047" s="31" t="n">
        <v>60</v>
      </c>
      <c r="K1047" s="31" t="n">
        <f aca="false">MAX(ROUNDUP(I1047,0),H1047)</f>
        <v>60</v>
      </c>
      <c r="L1047" s="31" t="n">
        <f aca="false">IF(J1047="","",J1047-K1047)</f>
        <v>0</v>
      </c>
      <c r="M1047" s="32" t="n">
        <v>10.4</v>
      </c>
      <c r="N1047" s="32" t="n">
        <f aca="false">IF(C1047="covered",10.4,7.55)</f>
        <v>10.4</v>
      </c>
      <c r="O1047" s="32" t="n">
        <f aca="false">IF(M1047="","",M1047-N1047)</f>
        <v>0</v>
      </c>
      <c r="P1047" s="11" t="n">
        <v>1</v>
      </c>
      <c r="Q1047" s="33" t="n">
        <v>624</v>
      </c>
      <c r="R1047" s="33" t="n">
        <f aca="false">IF(OR(J1047="",P1047=""),"",K1047*N1047*P1047)</f>
        <v>624</v>
      </c>
      <c r="S1047" s="33" t="n">
        <f aca="false">IF(Q1047="","",Q1047-R1047)</f>
        <v>0</v>
      </c>
      <c r="T1047" s="33" t="n">
        <f aca="false">IF(S1047="","",MAX(0,-S1047))</f>
        <v>-0</v>
      </c>
      <c r="U1047" s="33" t="n">
        <f aca="false">IF(S1047="","",MAX(0,S1047))</f>
        <v>0</v>
      </c>
      <c r="V1047" s="11" t="str">
        <f aca="false">IF(J1047="","NOT SCORED - NO JULY MONTHLY ROW",IF(OR(ABS(L1047)&gt;0.005,ABS(O1047)&gt;0.005,ABS(S1047)&gt;0.005),"EXCEPTION","OK"))</f>
        <v>OK</v>
      </c>
      <c r="W1047" s="11" t="s">
        <v>6858</v>
      </c>
      <c r="X1047" s="11" t="s">
        <v>4099</v>
      </c>
      <c r="Y1047" s="33" t="n">
        <f aca="false">K1047*N1047</f>
        <v>624</v>
      </c>
    </row>
    <row r="1048" customFormat="false" ht="15" hidden="false" customHeight="false" outlineLevel="0" collapsed="false">
      <c r="A1048" s="8" t="s">
        <v>6859</v>
      </c>
      <c r="B1048" s="8" t="s">
        <v>200</v>
      </c>
      <c r="C1048" s="8" t="s">
        <v>5306</v>
      </c>
      <c r="D1048" s="8" t="s">
        <v>4020</v>
      </c>
      <c r="E1048" s="8" t="s">
        <v>6860</v>
      </c>
      <c r="F1048" s="8" t="s">
        <v>6861</v>
      </c>
      <c r="G1048" s="8" t="s">
        <v>3038</v>
      </c>
      <c r="H1048" s="8" t="n">
        <v>36</v>
      </c>
      <c r="I1048" s="34" t="n">
        <v>22.4</v>
      </c>
      <c r="J1048" s="34" t="n">
        <v>36</v>
      </c>
      <c r="K1048" s="34" t="n">
        <f aca="false">MAX(ROUNDUP(I1048,0),H1048)</f>
        <v>36</v>
      </c>
      <c r="L1048" s="34" t="n">
        <f aca="false">IF(J1048="","",J1048-K1048)</f>
        <v>0</v>
      </c>
      <c r="M1048" s="35" t="n">
        <v>10.4</v>
      </c>
      <c r="N1048" s="35" t="n">
        <f aca="false">IF(C1048="covered",10.4,7.55)</f>
        <v>10.4</v>
      </c>
      <c r="O1048" s="35" t="n">
        <f aca="false">IF(M1048="","",M1048-N1048)</f>
        <v>0</v>
      </c>
      <c r="P1048" s="8" t="n">
        <v>1</v>
      </c>
      <c r="Q1048" s="36" t="n">
        <v>374.4</v>
      </c>
      <c r="R1048" s="36" t="n">
        <f aca="false">IF(OR(J1048="",P1048=""),"",K1048*N1048*P1048)</f>
        <v>374.4</v>
      </c>
      <c r="S1048" s="36" t="n">
        <f aca="false">IF(Q1048="","",Q1048-R1048)</f>
        <v>0</v>
      </c>
      <c r="T1048" s="36" t="n">
        <f aca="false">IF(S1048="","",MAX(0,-S1048))</f>
        <v>-0</v>
      </c>
      <c r="U1048" s="36" t="n">
        <f aca="false">IF(S1048="","",MAX(0,S1048))</f>
        <v>0</v>
      </c>
      <c r="V1048" s="8" t="str">
        <f aca="false">IF(J1048="","NOT SCORED - NO JULY MONTHLY ROW",IF(OR(ABS(L1048)&gt;0.005,ABS(O1048)&gt;0.005,ABS(S1048)&gt;0.005),"EXCEPTION","OK"))</f>
        <v>OK</v>
      </c>
      <c r="W1048" s="8" t="s">
        <v>6862</v>
      </c>
      <c r="X1048" s="8" t="s">
        <v>4099</v>
      </c>
      <c r="Y1048" s="36" t="n">
        <f aca="false">K1048*N1048</f>
        <v>374.4</v>
      </c>
    </row>
    <row r="1049" customFormat="false" ht="15" hidden="false" customHeight="false" outlineLevel="0" collapsed="false">
      <c r="A1049" s="11" t="s">
        <v>6863</v>
      </c>
      <c r="B1049" s="11" t="s">
        <v>200</v>
      </c>
      <c r="C1049" s="11" t="s">
        <v>5306</v>
      </c>
      <c r="D1049" s="11" t="s">
        <v>3162</v>
      </c>
      <c r="E1049" s="11" t="s">
        <v>6864</v>
      </c>
      <c r="F1049" s="11" t="s">
        <v>6865</v>
      </c>
      <c r="G1049" s="11" t="s">
        <v>6866</v>
      </c>
      <c r="H1049" s="11" t="n">
        <v>32</v>
      </c>
      <c r="I1049" s="31" t="n">
        <v>58.6</v>
      </c>
      <c r="J1049" s="31" t="n">
        <v>59</v>
      </c>
      <c r="K1049" s="31" t="n">
        <f aca="false">MAX(ROUNDUP(I1049,0),H1049)</f>
        <v>59</v>
      </c>
      <c r="L1049" s="31" t="n">
        <f aca="false">IF(J1049="","",J1049-K1049)</f>
        <v>0</v>
      </c>
      <c r="M1049" s="32" t="n">
        <v>10.4</v>
      </c>
      <c r="N1049" s="32" t="n">
        <f aca="false">IF(C1049="covered",10.4,7.55)</f>
        <v>10.4</v>
      </c>
      <c r="O1049" s="32" t="n">
        <f aca="false">IF(M1049="","",M1049-N1049)</f>
        <v>0</v>
      </c>
      <c r="P1049" s="11" t="n">
        <v>1</v>
      </c>
      <c r="Q1049" s="33" t="n">
        <v>613.6</v>
      </c>
      <c r="R1049" s="33" t="n">
        <f aca="false">IF(OR(J1049="",P1049=""),"",K1049*N1049*P1049)</f>
        <v>613.6</v>
      </c>
      <c r="S1049" s="33" t="n">
        <f aca="false">IF(Q1049="","",Q1049-R1049)</f>
        <v>0</v>
      </c>
      <c r="T1049" s="33" t="n">
        <f aca="false">IF(S1049="","",MAX(0,-S1049))</f>
        <v>-0</v>
      </c>
      <c r="U1049" s="33" t="n">
        <f aca="false">IF(S1049="","",MAX(0,S1049))</f>
        <v>0</v>
      </c>
      <c r="V1049" s="11" t="str">
        <f aca="false">IF(J1049="","NOT SCORED - NO JULY MONTHLY ROW",IF(OR(ABS(L1049)&gt;0.005,ABS(O1049)&gt;0.005,ABS(S1049)&gt;0.005),"EXCEPTION","OK"))</f>
        <v>OK</v>
      </c>
      <c r="W1049" s="11" t="s">
        <v>6867</v>
      </c>
      <c r="X1049" s="11" t="s">
        <v>4099</v>
      </c>
      <c r="Y1049" s="33" t="n">
        <f aca="false">K1049*N1049</f>
        <v>613.6</v>
      </c>
    </row>
    <row r="1050" customFormat="false" ht="15" hidden="false" customHeight="false" outlineLevel="0" collapsed="false">
      <c r="A1050" s="8" t="s">
        <v>6868</v>
      </c>
      <c r="B1050" s="8" t="s">
        <v>200</v>
      </c>
      <c r="C1050" s="8" t="s">
        <v>5306</v>
      </c>
      <c r="D1050" s="8" t="s">
        <v>3167</v>
      </c>
      <c r="E1050" s="8" t="s">
        <v>6869</v>
      </c>
      <c r="F1050" s="8" t="s">
        <v>6870</v>
      </c>
      <c r="G1050" s="8" t="s">
        <v>4677</v>
      </c>
      <c r="H1050" s="8" t="n">
        <v>28</v>
      </c>
      <c r="I1050" s="34" t="n">
        <v>54.9</v>
      </c>
      <c r="J1050" s="34" t="n">
        <v>55</v>
      </c>
      <c r="K1050" s="34" t="n">
        <f aca="false">MAX(ROUNDUP(I1050,0),H1050)</f>
        <v>55</v>
      </c>
      <c r="L1050" s="34" t="n">
        <f aca="false">IF(J1050="","",J1050-K1050)</f>
        <v>0</v>
      </c>
      <c r="M1050" s="35" t="n">
        <v>10.4</v>
      </c>
      <c r="N1050" s="35" t="n">
        <f aca="false">IF(C1050="covered",10.4,7.55)</f>
        <v>10.4</v>
      </c>
      <c r="O1050" s="35" t="n">
        <f aca="false">IF(M1050="","",M1050-N1050)</f>
        <v>0</v>
      </c>
      <c r="P1050" s="8" t="n">
        <v>1</v>
      </c>
      <c r="Q1050" s="36" t="n">
        <v>572</v>
      </c>
      <c r="R1050" s="36" t="n">
        <f aca="false">IF(OR(J1050="",P1050=""),"",K1050*N1050*P1050)</f>
        <v>572</v>
      </c>
      <c r="S1050" s="36" t="n">
        <f aca="false">IF(Q1050="","",Q1050-R1050)</f>
        <v>0</v>
      </c>
      <c r="T1050" s="36" t="n">
        <f aca="false">IF(S1050="","",MAX(0,-S1050))</f>
        <v>-0</v>
      </c>
      <c r="U1050" s="36" t="n">
        <f aca="false">IF(S1050="","",MAX(0,S1050))</f>
        <v>0</v>
      </c>
      <c r="V1050" s="8" t="str">
        <f aca="false">IF(J1050="","NOT SCORED - NO JULY MONTHLY ROW",IF(OR(ABS(L1050)&gt;0.005,ABS(O1050)&gt;0.005,ABS(S1050)&gt;0.005),"EXCEPTION","OK"))</f>
        <v>OK</v>
      </c>
      <c r="W1050" s="8" t="s">
        <v>6871</v>
      </c>
      <c r="X1050" s="8" t="s">
        <v>4099</v>
      </c>
      <c r="Y1050" s="36" t="n">
        <f aca="false">K1050*N1050</f>
        <v>572</v>
      </c>
    </row>
    <row r="1051" customFormat="false" ht="15" hidden="false" customHeight="false" outlineLevel="0" collapsed="false">
      <c r="A1051" s="11" t="s">
        <v>6872</v>
      </c>
      <c r="B1051" s="11" t="s">
        <v>200</v>
      </c>
      <c r="C1051" s="11" t="s">
        <v>5306</v>
      </c>
      <c r="D1051" s="11" t="s">
        <v>3171</v>
      </c>
      <c r="E1051" s="11" t="s">
        <v>6873</v>
      </c>
      <c r="F1051" s="11" t="s">
        <v>6874</v>
      </c>
      <c r="G1051" s="11" t="s">
        <v>6682</v>
      </c>
      <c r="H1051" s="11" t="n">
        <v>24</v>
      </c>
      <c r="I1051" s="31" t="n">
        <v>47</v>
      </c>
      <c r="J1051" s="31" t="n">
        <v>47</v>
      </c>
      <c r="K1051" s="31" t="n">
        <f aca="false">MAX(ROUNDUP(I1051,0),H1051)</f>
        <v>47</v>
      </c>
      <c r="L1051" s="31" t="n">
        <f aca="false">IF(J1051="","",J1051-K1051)</f>
        <v>0</v>
      </c>
      <c r="M1051" s="32" t="n">
        <v>10.4</v>
      </c>
      <c r="N1051" s="32" t="n">
        <f aca="false">IF(C1051="covered",10.4,7.55)</f>
        <v>10.4</v>
      </c>
      <c r="O1051" s="32" t="n">
        <f aca="false">IF(M1051="","",M1051-N1051)</f>
        <v>0</v>
      </c>
      <c r="P1051" s="11" t="n">
        <v>1</v>
      </c>
      <c r="Q1051" s="33" t="n">
        <v>488.8</v>
      </c>
      <c r="R1051" s="33" t="n">
        <f aca="false">IF(OR(J1051="",P1051=""),"",K1051*N1051*P1051)</f>
        <v>488.8</v>
      </c>
      <c r="S1051" s="33" t="n">
        <f aca="false">IF(Q1051="","",Q1051-R1051)</f>
        <v>0</v>
      </c>
      <c r="T1051" s="33" t="n">
        <f aca="false">IF(S1051="","",MAX(0,-S1051))</f>
        <v>-0</v>
      </c>
      <c r="U1051" s="33" t="n">
        <f aca="false">IF(S1051="","",MAX(0,S1051))</f>
        <v>0</v>
      </c>
      <c r="V1051" s="11" t="str">
        <f aca="false">IF(J1051="","NOT SCORED - NO JULY MONTHLY ROW",IF(OR(ABS(L1051)&gt;0.005,ABS(O1051)&gt;0.005,ABS(S1051)&gt;0.005),"EXCEPTION","OK"))</f>
        <v>OK</v>
      </c>
      <c r="W1051" s="11" t="s">
        <v>6875</v>
      </c>
      <c r="X1051" s="11" t="s">
        <v>4099</v>
      </c>
      <c r="Y1051" s="33" t="n">
        <f aca="false">K1051*N1051</f>
        <v>488.8</v>
      </c>
    </row>
    <row r="1052" customFormat="false" ht="15" hidden="false" customHeight="false" outlineLevel="0" collapsed="false">
      <c r="A1052" s="8" t="s">
        <v>6876</v>
      </c>
      <c r="B1052" s="8" t="s">
        <v>200</v>
      </c>
      <c r="C1052" s="8" t="s">
        <v>5306</v>
      </c>
      <c r="D1052" s="8" t="s">
        <v>3176</v>
      </c>
      <c r="E1052" s="8" t="s">
        <v>6877</v>
      </c>
      <c r="F1052" s="8" t="s">
        <v>116</v>
      </c>
      <c r="G1052" s="8" t="s">
        <v>6562</v>
      </c>
      <c r="H1052" s="8" t="n">
        <v>24</v>
      </c>
      <c r="I1052" s="34" t="n">
        <v>56.9</v>
      </c>
      <c r="J1052" s="34" t="n">
        <v>57</v>
      </c>
      <c r="K1052" s="34" t="n">
        <f aca="false">MAX(ROUNDUP(I1052,0),H1052)</f>
        <v>57</v>
      </c>
      <c r="L1052" s="34" t="n">
        <f aca="false">IF(J1052="","",J1052-K1052)</f>
        <v>0</v>
      </c>
      <c r="M1052" s="35" t="n">
        <v>10.4</v>
      </c>
      <c r="N1052" s="35" t="n">
        <f aca="false">IF(C1052="covered",10.4,7.55)</f>
        <v>10.4</v>
      </c>
      <c r="O1052" s="35" t="n">
        <f aca="false">IF(M1052="","",M1052-N1052)</f>
        <v>0</v>
      </c>
      <c r="P1052" s="8" t="n">
        <v>1</v>
      </c>
      <c r="Q1052" s="36" t="n">
        <v>592.8</v>
      </c>
      <c r="R1052" s="36" t="n">
        <f aca="false">IF(OR(J1052="",P1052=""),"",K1052*N1052*P1052)</f>
        <v>592.8</v>
      </c>
      <c r="S1052" s="36" t="n">
        <f aca="false">IF(Q1052="","",Q1052-R1052)</f>
        <v>0</v>
      </c>
      <c r="T1052" s="36" t="n">
        <f aca="false">IF(S1052="","",MAX(0,-S1052))</f>
        <v>-0</v>
      </c>
      <c r="U1052" s="36" t="n">
        <f aca="false">IF(S1052="","",MAX(0,S1052))</f>
        <v>0</v>
      </c>
      <c r="V1052" s="8" t="str">
        <f aca="false">IF(J1052="","NOT SCORED - NO JULY MONTHLY ROW",IF(OR(ABS(L1052)&gt;0.005,ABS(O1052)&gt;0.005,ABS(S1052)&gt;0.005),"EXCEPTION","OK"))</f>
        <v>OK</v>
      </c>
      <c r="W1052" s="8" t="s">
        <v>6878</v>
      </c>
      <c r="X1052" s="8" t="s">
        <v>4099</v>
      </c>
      <c r="Y1052" s="36" t="n">
        <f aca="false">K1052*N1052</f>
        <v>592.8</v>
      </c>
    </row>
    <row r="1053" customFormat="false" ht="15" hidden="false" customHeight="false" outlineLevel="0" collapsed="false">
      <c r="A1053" s="11" t="s">
        <v>746</v>
      </c>
      <c r="B1053" s="11" t="s">
        <v>200</v>
      </c>
      <c r="C1053" s="11" t="s">
        <v>5306</v>
      </c>
      <c r="D1053" s="11" t="s">
        <v>3180</v>
      </c>
      <c r="E1053" s="11" t="s">
        <v>6879</v>
      </c>
      <c r="F1053" s="11" t="s">
        <v>6880</v>
      </c>
      <c r="G1053" s="11" t="s">
        <v>4184</v>
      </c>
      <c r="H1053" s="11" t="n">
        <v>36</v>
      </c>
      <c r="I1053" s="31" t="n">
        <v>39.8</v>
      </c>
      <c r="J1053" s="31" t="n">
        <v>40</v>
      </c>
      <c r="K1053" s="31" t="n">
        <f aca="false">MAX(ROUNDUP(I1053,0),H1053)</f>
        <v>40</v>
      </c>
      <c r="L1053" s="31" t="n">
        <f aca="false">IF(J1053="","",J1053-K1053)</f>
        <v>0</v>
      </c>
      <c r="M1053" s="32" t="n">
        <v>10.4</v>
      </c>
      <c r="N1053" s="32" t="n">
        <f aca="false">IF(C1053="covered",10.4,7.55)</f>
        <v>10.4</v>
      </c>
      <c r="O1053" s="32" t="n">
        <f aca="false">IF(M1053="","",M1053-N1053)</f>
        <v>0</v>
      </c>
      <c r="P1053" s="11" t="n">
        <v>1</v>
      </c>
      <c r="Q1053" s="33" t="n">
        <v>416</v>
      </c>
      <c r="R1053" s="33" t="n">
        <f aca="false">IF(OR(J1053="",P1053=""),"",K1053*N1053*P1053)</f>
        <v>416</v>
      </c>
      <c r="S1053" s="33" t="n">
        <f aca="false">IF(Q1053="","",Q1053-R1053)</f>
        <v>0</v>
      </c>
      <c r="T1053" s="33" t="n">
        <f aca="false">IF(S1053="","",MAX(0,-S1053))</f>
        <v>-0</v>
      </c>
      <c r="U1053" s="33" t="n">
        <f aca="false">IF(S1053="","",MAX(0,S1053))</f>
        <v>0</v>
      </c>
      <c r="V1053" s="11" t="str">
        <f aca="false">IF(J1053="","NOT SCORED - NO JULY MONTHLY ROW",IF(OR(ABS(L1053)&gt;0.005,ABS(O1053)&gt;0.005,ABS(S1053)&gt;0.005),"EXCEPTION","OK"))</f>
        <v>OK</v>
      </c>
      <c r="W1053" s="11" t="s">
        <v>6881</v>
      </c>
      <c r="X1053" s="11" t="s">
        <v>4099</v>
      </c>
      <c r="Y1053" s="33" t="n">
        <f aca="false">K1053*N1053</f>
        <v>416</v>
      </c>
    </row>
    <row r="1054" customFormat="false" ht="15" hidden="false" customHeight="false" outlineLevel="0" collapsed="false">
      <c r="A1054" s="8" t="s">
        <v>6882</v>
      </c>
      <c r="B1054" s="8" t="s">
        <v>200</v>
      </c>
      <c r="C1054" s="8" t="s">
        <v>5306</v>
      </c>
      <c r="D1054" s="8" t="s">
        <v>3185</v>
      </c>
      <c r="E1054" s="8" t="s">
        <v>1713</v>
      </c>
      <c r="F1054" s="8" t="s">
        <v>1714</v>
      </c>
      <c r="G1054" s="8" t="s">
        <v>2874</v>
      </c>
      <c r="H1054" s="8" t="n">
        <v>40</v>
      </c>
      <c r="I1054" s="34" t="n">
        <v>57.6</v>
      </c>
      <c r="J1054" s="34" t="n">
        <v>58</v>
      </c>
      <c r="K1054" s="34" t="n">
        <f aca="false">MAX(ROUNDUP(I1054,0),H1054)</f>
        <v>58</v>
      </c>
      <c r="L1054" s="34" t="n">
        <f aca="false">IF(J1054="","",J1054-K1054)</f>
        <v>0</v>
      </c>
      <c r="M1054" s="35" t="n">
        <v>10.4</v>
      </c>
      <c r="N1054" s="35" t="n">
        <f aca="false">IF(C1054="covered",10.4,7.55)</f>
        <v>10.4</v>
      </c>
      <c r="O1054" s="35" t="n">
        <f aca="false">IF(M1054="","",M1054-N1054)</f>
        <v>0</v>
      </c>
      <c r="P1054" s="8" t="n">
        <v>1</v>
      </c>
      <c r="Q1054" s="36" t="n">
        <v>603.2</v>
      </c>
      <c r="R1054" s="36" t="n">
        <f aca="false">IF(OR(J1054="",P1054=""),"",K1054*N1054*P1054)</f>
        <v>603.2</v>
      </c>
      <c r="S1054" s="36" t="n">
        <f aca="false">IF(Q1054="","",Q1054-R1054)</f>
        <v>0</v>
      </c>
      <c r="T1054" s="36" t="n">
        <f aca="false">IF(S1054="","",MAX(0,-S1054))</f>
        <v>-0</v>
      </c>
      <c r="U1054" s="36" t="n">
        <f aca="false">IF(S1054="","",MAX(0,S1054))</f>
        <v>0</v>
      </c>
      <c r="V1054" s="8" t="str">
        <f aca="false">IF(J1054="","NOT SCORED - NO JULY MONTHLY ROW",IF(OR(ABS(L1054)&gt;0.005,ABS(O1054)&gt;0.005,ABS(S1054)&gt;0.005),"EXCEPTION","OK"))</f>
        <v>OK</v>
      </c>
      <c r="W1054" s="8" t="s">
        <v>6883</v>
      </c>
      <c r="X1054" s="8" t="s">
        <v>4099</v>
      </c>
      <c r="Y1054" s="36" t="n">
        <f aca="false">K1054*N1054</f>
        <v>603.2</v>
      </c>
    </row>
    <row r="1055" customFormat="false" ht="15" hidden="false" customHeight="false" outlineLevel="0" collapsed="false">
      <c r="A1055" s="11" t="s">
        <v>6884</v>
      </c>
      <c r="B1055" s="11" t="s">
        <v>200</v>
      </c>
      <c r="C1055" s="11" t="s">
        <v>5306</v>
      </c>
      <c r="D1055" s="11" t="s">
        <v>3190</v>
      </c>
      <c r="E1055" s="11" t="s">
        <v>6885</v>
      </c>
      <c r="F1055" s="11" t="s">
        <v>6886</v>
      </c>
      <c r="G1055" s="11" t="s">
        <v>4854</v>
      </c>
      <c r="H1055" s="11" t="n">
        <v>36</v>
      </c>
      <c r="I1055" s="31" t="n">
        <v>50.8</v>
      </c>
      <c r="J1055" s="31" t="n">
        <v>51</v>
      </c>
      <c r="K1055" s="31" t="n">
        <f aca="false">MAX(ROUNDUP(I1055,0),H1055)</f>
        <v>51</v>
      </c>
      <c r="L1055" s="31" t="n">
        <f aca="false">IF(J1055="","",J1055-K1055)</f>
        <v>0</v>
      </c>
      <c r="M1055" s="32" t="n">
        <v>10.4</v>
      </c>
      <c r="N1055" s="32" t="n">
        <f aca="false">IF(C1055="covered",10.4,7.55)</f>
        <v>10.4</v>
      </c>
      <c r="O1055" s="32" t="n">
        <f aca="false">IF(M1055="","",M1055-N1055)</f>
        <v>0</v>
      </c>
      <c r="P1055" s="11" t="n">
        <v>1</v>
      </c>
      <c r="Q1055" s="33" t="n">
        <v>530.4</v>
      </c>
      <c r="R1055" s="33" t="n">
        <f aca="false">IF(OR(J1055="",P1055=""),"",K1055*N1055*P1055)</f>
        <v>530.4</v>
      </c>
      <c r="S1055" s="33" t="n">
        <f aca="false">IF(Q1055="","",Q1055-R1055)</f>
        <v>0</v>
      </c>
      <c r="T1055" s="33" t="n">
        <f aca="false">IF(S1055="","",MAX(0,-S1055))</f>
        <v>-0</v>
      </c>
      <c r="U1055" s="33" t="n">
        <f aca="false">IF(S1055="","",MAX(0,S1055))</f>
        <v>0</v>
      </c>
      <c r="V1055" s="11" t="str">
        <f aca="false">IF(J1055="","NOT SCORED - NO JULY MONTHLY ROW",IF(OR(ABS(L1055)&gt;0.005,ABS(O1055)&gt;0.005,ABS(S1055)&gt;0.005),"EXCEPTION","OK"))</f>
        <v>OK</v>
      </c>
      <c r="W1055" s="11" t="s">
        <v>6887</v>
      </c>
      <c r="X1055" s="11" t="s">
        <v>4099</v>
      </c>
      <c r="Y1055" s="33" t="n">
        <f aca="false">K1055*N1055</f>
        <v>530.4</v>
      </c>
    </row>
    <row r="1056" customFormat="false" ht="15" hidden="false" customHeight="false" outlineLevel="0" collapsed="false">
      <c r="A1056" s="8" t="s">
        <v>6888</v>
      </c>
      <c r="B1056" s="8" t="s">
        <v>200</v>
      </c>
      <c r="C1056" s="8" t="s">
        <v>5306</v>
      </c>
      <c r="D1056" s="8" t="s">
        <v>3194</v>
      </c>
      <c r="E1056" s="8" t="s">
        <v>6889</v>
      </c>
      <c r="F1056" s="8" t="s">
        <v>6890</v>
      </c>
      <c r="G1056" s="8" t="s">
        <v>2980</v>
      </c>
      <c r="H1056" s="8" t="n">
        <v>40</v>
      </c>
      <c r="I1056" s="34" t="n">
        <v>58.3</v>
      </c>
      <c r="J1056" s="34" t="n">
        <v>59</v>
      </c>
      <c r="K1056" s="34" t="n">
        <f aca="false">MAX(ROUNDUP(I1056,0),H1056)</f>
        <v>59</v>
      </c>
      <c r="L1056" s="34" t="n">
        <f aca="false">IF(J1056="","",J1056-K1056)</f>
        <v>0</v>
      </c>
      <c r="M1056" s="35" t="n">
        <v>10.4</v>
      </c>
      <c r="N1056" s="35" t="n">
        <f aca="false">IF(C1056="covered",10.4,7.55)</f>
        <v>10.4</v>
      </c>
      <c r="O1056" s="35" t="n">
        <f aca="false">IF(M1056="","",M1056-N1056)</f>
        <v>0</v>
      </c>
      <c r="P1056" s="8" t="n">
        <v>1</v>
      </c>
      <c r="Q1056" s="36" t="n">
        <v>613.6</v>
      </c>
      <c r="R1056" s="36" t="n">
        <f aca="false">IF(OR(J1056="",P1056=""),"",K1056*N1056*P1056)</f>
        <v>613.6</v>
      </c>
      <c r="S1056" s="36" t="n">
        <f aca="false">IF(Q1056="","",Q1056-R1056)</f>
        <v>0</v>
      </c>
      <c r="T1056" s="36" t="n">
        <f aca="false">IF(S1056="","",MAX(0,-S1056))</f>
        <v>-0</v>
      </c>
      <c r="U1056" s="36" t="n">
        <f aca="false">IF(S1056="","",MAX(0,S1056))</f>
        <v>0</v>
      </c>
      <c r="V1056" s="8" t="str">
        <f aca="false">IF(J1056="","NOT SCORED - NO JULY MONTHLY ROW",IF(OR(ABS(L1056)&gt;0.005,ABS(O1056)&gt;0.005,ABS(S1056)&gt;0.005),"EXCEPTION","OK"))</f>
        <v>OK</v>
      </c>
      <c r="W1056" s="8" t="s">
        <v>6891</v>
      </c>
      <c r="X1056" s="8" t="s">
        <v>4099</v>
      </c>
      <c r="Y1056" s="36" t="n">
        <f aca="false">K1056*N1056</f>
        <v>613.6</v>
      </c>
    </row>
    <row r="1057" customFormat="false" ht="15" hidden="false" customHeight="false" outlineLevel="0" collapsed="false">
      <c r="A1057" s="11" t="s">
        <v>6892</v>
      </c>
      <c r="B1057" s="11" t="s">
        <v>200</v>
      </c>
      <c r="C1057" s="11" t="s">
        <v>5306</v>
      </c>
      <c r="D1057" s="11" t="s">
        <v>3198</v>
      </c>
      <c r="E1057" s="11" t="s">
        <v>691</v>
      </c>
      <c r="F1057" s="11" t="s">
        <v>692</v>
      </c>
      <c r="G1057" s="11" t="s">
        <v>4892</v>
      </c>
      <c r="H1057" s="11" t="n">
        <v>36</v>
      </c>
      <c r="I1057" s="31" t="n">
        <v>46.5</v>
      </c>
      <c r="J1057" s="31" t="n">
        <v>47</v>
      </c>
      <c r="K1057" s="31" t="n">
        <f aca="false">MAX(ROUNDUP(I1057,0),H1057)</f>
        <v>47</v>
      </c>
      <c r="L1057" s="31" t="n">
        <f aca="false">IF(J1057="","",J1057-K1057)</f>
        <v>0</v>
      </c>
      <c r="M1057" s="32" t="n">
        <v>10.4</v>
      </c>
      <c r="N1057" s="32" t="n">
        <f aca="false">IF(C1057="covered",10.4,7.55)</f>
        <v>10.4</v>
      </c>
      <c r="O1057" s="32" t="n">
        <f aca="false">IF(M1057="","",M1057-N1057)</f>
        <v>0</v>
      </c>
      <c r="P1057" s="11" t="n">
        <v>1</v>
      </c>
      <c r="Q1057" s="33" t="n">
        <v>488.8</v>
      </c>
      <c r="R1057" s="33" t="n">
        <f aca="false">IF(OR(J1057="",P1057=""),"",K1057*N1057*P1057)</f>
        <v>488.8</v>
      </c>
      <c r="S1057" s="33" t="n">
        <f aca="false">IF(Q1057="","",Q1057-R1057)</f>
        <v>0</v>
      </c>
      <c r="T1057" s="33" t="n">
        <f aca="false">IF(S1057="","",MAX(0,-S1057))</f>
        <v>-0</v>
      </c>
      <c r="U1057" s="33" t="n">
        <f aca="false">IF(S1057="","",MAX(0,S1057))</f>
        <v>0</v>
      </c>
      <c r="V1057" s="11" t="str">
        <f aca="false">IF(J1057="","NOT SCORED - NO JULY MONTHLY ROW",IF(OR(ABS(L1057)&gt;0.005,ABS(O1057)&gt;0.005,ABS(S1057)&gt;0.005),"EXCEPTION","OK"))</f>
        <v>OK</v>
      </c>
      <c r="W1057" s="11" t="s">
        <v>6893</v>
      </c>
      <c r="X1057" s="11" t="s">
        <v>4099</v>
      </c>
      <c r="Y1057" s="33" t="n">
        <f aca="false">K1057*N1057</f>
        <v>488.8</v>
      </c>
    </row>
    <row r="1058" customFormat="false" ht="15" hidden="false" customHeight="false" outlineLevel="0" collapsed="false">
      <c r="A1058" s="8" t="s">
        <v>6894</v>
      </c>
      <c r="B1058" s="8" t="s">
        <v>200</v>
      </c>
      <c r="C1058" s="8" t="s">
        <v>5306</v>
      </c>
      <c r="D1058" s="8" t="s">
        <v>3201</v>
      </c>
      <c r="E1058" s="8" t="s">
        <v>6895</v>
      </c>
      <c r="F1058" s="8" t="s">
        <v>6896</v>
      </c>
      <c r="G1058" s="8" t="s">
        <v>3716</v>
      </c>
      <c r="H1058" s="8" t="n">
        <v>28</v>
      </c>
      <c r="I1058" s="34" t="n">
        <v>58.1</v>
      </c>
      <c r="J1058" s="34" t="n">
        <v>59</v>
      </c>
      <c r="K1058" s="34" t="n">
        <f aca="false">MAX(ROUNDUP(I1058,0),H1058)</f>
        <v>59</v>
      </c>
      <c r="L1058" s="34" t="n">
        <f aca="false">IF(J1058="","",J1058-K1058)</f>
        <v>0</v>
      </c>
      <c r="M1058" s="35" t="n">
        <v>10.4</v>
      </c>
      <c r="N1058" s="35" t="n">
        <f aca="false">IF(C1058="covered",10.4,7.55)</f>
        <v>10.4</v>
      </c>
      <c r="O1058" s="35" t="n">
        <f aca="false">IF(M1058="","",M1058-N1058)</f>
        <v>0</v>
      </c>
      <c r="P1058" s="8" t="n">
        <v>1</v>
      </c>
      <c r="Q1058" s="36" t="n">
        <v>613.6</v>
      </c>
      <c r="R1058" s="36" t="n">
        <f aca="false">IF(OR(J1058="",P1058=""),"",K1058*N1058*P1058)</f>
        <v>613.6</v>
      </c>
      <c r="S1058" s="36" t="n">
        <f aca="false">IF(Q1058="","",Q1058-R1058)</f>
        <v>0</v>
      </c>
      <c r="T1058" s="36" t="n">
        <f aca="false">IF(S1058="","",MAX(0,-S1058))</f>
        <v>-0</v>
      </c>
      <c r="U1058" s="36" t="n">
        <f aca="false">IF(S1058="","",MAX(0,S1058))</f>
        <v>0</v>
      </c>
      <c r="V1058" s="8" t="str">
        <f aca="false">IF(J1058="","NOT SCORED - NO JULY MONTHLY ROW",IF(OR(ABS(L1058)&gt;0.005,ABS(O1058)&gt;0.005,ABS(S1058)&gt;0.005),"EXCEPTION","OK"))</f>
        <v>OK</v>
      </c>
      <c r="W1058" s="8" t="s">
        <v>6897</v>
      </c>
      <c r="X1058" s="8" t="s">
        <v>4099</v>
      </c>
      <c r="Y1058" s="36" t="n">
        <f aca="false">K1058*N1058</f>
        <v>613.6</v>
      </c>
    </row>
    <row r="1059" customFormat="false" ht="15" hidden="false" customHeight="false" outlineLevel="0" collapsed="false">
      <c r="A1059" s="11" t="s">
        <v>6898</v>
      </c>
      <c r="B1059" s="11" t="s">
        <v>200</v>
      </c>
      <c r="C1059" s="11" t="s">
        <v>5306</v>
      </c>
      <c r="D1059" s="11" t="s">
        <v>3206</v>
      </c>
      <c r="E1059" s="11" t="s">
        <v>6899</v>
      </c>
      <c r="F1059" s="11" t="s">
        <v>6900</v>
      </c>
      <c r="G1059" s="11" t="s">
        <v>3535</v>
      </c>
      <c r="H1059" s="11" t="n">
        <v>36</v>
      </c>
      <c r="I1059" s="31" t="n">
        <v>56.6</v>
      </c>
      <c r="J1059" s="31" t="n">
        <v>57</v>
      </c>
      <c r="K1059" s="31" t="n">
        <f aca="false">MAX(ROUNDUP(I1059,0),H1059)</f>
        <v>57</v>
      </c>
      <c r="L1059" s="31" t="n">
        <f aca="false">IF(J1059="","",J1059-K1059)</f>
        <v>0</v>
      </c>
      <c r="M1059" s="32" t="n">
        <v>10.4</v>
      </c>
      <c r="N1059" s="32" t="n">
        <f aca="false">IF(C1059="covered",10.4,7.55)</f>
        <v>10.4</v>
      </c>
      <c r="O1059" s="32" t="n">
        <f aca="false">IF(M1059="","",M1059-N1059)</f>
        <v>0</v>
      </c>
      <c r="P1059" s="11" t="n">
        <v>1</v>
      </c>
      <c r="Q1059" s="33" t="n">
        <v>592.8</v>
      </c>
      <c r="R1059" s="33" t="n">
        <f aca="false">IF(OR(J1059="",P1059=""),"",K1059*N1059*P1059)</f>
        <v>592.8</v>
      </c>
      <c r="S1059" s="33" t="n">
        <f aca="false">IF(Q1059="","",Q1059-R1059)</f>
        <v>0</v>
      </c>
      <c r="T1059" s="33" t="n">
        <f aca="false">IF(S1059="","",MAX(0,-S1059))</f>
        <v>-0</v>
      </c>
      <c r="U1059" s="33" t="n">
        <f aca="false">IF(S1059="","",MAX(0,S1059))</f>
        <v>0</v>
      </c>
      <c r="V1059" s="11" t="str">
        <f aca="false">IF(J1059="","NOT SCORED - NO JULY MONTHLY ROW",IF(OR(ABS(L1059)&gt;0.005,ABS(O1059)&gt;0.005,ABS(S1059)&gt;0.005),"EXCEPTION","OK"))</f>
        <v>OK</v>
      </c>
      <c r="W1059" s="11" t="s">
        <v>6901</v>
      </c>
      <c r="X1059" s="11" t="s">
        <v>4099</v>
      </c>
      <c r="Y1059" s="33" t="n">
        <f aca="false">K1059*N1059</f>
        <v>592.8</v>
      </c>
    </row>
    <row r="1060" customFormat="false" ht="15" hidden="false" customHeight="false" outlineLevel="0" collapsed="false">
      <c r="A1060" s="8" t="s">
        <v>65</v>
      </c>
      <c r="B1060" s="8" t="s">
        <v>200</v>
      </c>
      <c r="C1060" s="8" t="s">
        <v>5306</v>
      </c>
      <c r="D1060" s="8" t="s">
        <v>3210</v>
      </c>
      <c r="E1060" s="8" t="s">
        <v>6902</v>
      </c>
      <c r="F1060" s="8" t="s">
        <v>6903</v>
      </c>
      <c r="G1060" s="8" t="s">
        <v>5943</v>
      </c>
      <c r="H1060" s="8" t="n">
        <v>28</v>
      </c>
      <c r="I1060" s="34" t="n">
        <v>56.5</v>
      </c>
      <c r="J1060" s="34" t="n">
        <v>57</v>
      </c>
      <c r="K1060" s="34" t="n">
        <f aca="false">MAX(ROUNDUP(I1060,0),H1060)</f>
        <v>57</v>
      </c>
      <c r="L1060" s="34" t="n">
        <f aca="false">IF(J1060="","",J1060-K1060)</f>
        <v>0</v>
      </c>
      <c r="M1060" s="35" t="n">
        <v>10.4</v>
      </c>
      <c r="N1060" s="35" t="n">
        <f aca="false">IF(C1060="covered",10.4,7.55)</f>
        <v>10.4</v>
      </c>
      <c r="O1060" s="35" t="n">
        <f aca="false">IF(M1060="","",M1060-N1060)</f>
        <v>0</v>
      </c>
      <c r="P1060" s="8" t="n">
        <v>1</v>
      </c>
      <c r="Q1060" s="36" t="n">
        <v>592.8</v>
      </c>
      <c r="R1060" s="36" t="n">
        <f aca="false">IF(OR(J1060="",P1060=""),"",K1060*N1060*P1060)</f>
        <v>592.8</v>
      </c>
      <c r="S1060" s="36" t="n">
        <f aca="false">IF(Q1060="","",Q1060-R1060)</f>
        <v>0</v>
      </c>
      <c r="T1060" s="36" t="n">
        <f aca="false">IF(S1060="","",MAX(0,-S1060))</f>
        <v>-0</v>
      </c>
      <c r="U1060" s="36" t="n">
        <f aca="false">IF(S1060="","",MAX(0,S1060))</f>
        <v>0</v>
      </c>
      <c r="V1060" s="8" t="str">
        <f aca="false">IF(J1060="","NOT SCORED - NO JULY MONTHLY ROW",IF(OR(ABS(L1060)&gt;0.005,ABS(O1060)&gt;0.005,ABS(S1060)&gt;0.005),"EXCEPTION","OK"))</f>
        <v>OK</v>
      </c>
      <c r="W1060" s="8" t="s">
        <v>6904</v>
      </c>
      <c r="X1060" s="8" t="s">
        <v>4099</v>
      </c>
      <c r="Y1060" s="36" t="n">
        <f aca="false">K1060*N1060</f>
        <v>592.8</v>
      </c>
    </row>
    <row r="1061" customFormat="false" ht="15" hidden="false" customHeight="false" outlineLevel="0" collapsed="false">
      <c r="A1061" s="11" t="s">
        <v>6905</v>
      </c>
      <c r="B1061" s="11" t="s">
        <v>200</v>
      </c>
      <c r="C1061" s="11" t="s">
        <v>5306</v>
      </c>
      <c r="D1061" s="11" t="s">
        <v>3214</v>
      </c>
      <c r="E1061" s="11" t="s">
        <v>6906</v>
      </c>
      <c r="F1061" s="11" t="s">
        <v>6907</v>
      </c>
      <c r="G1061" s="11" t="s">
        <v>3599</v>
      </c>
      <c r="H1061" s="11" t="n">
        <v>28</v>
      </c>
      <c r="I1061" s="31" t="n">
        <v>24.5</v>
      </c>
      <c r="J1061" s="31" t="n">
        <v>28</v>
      </c>
      <c r="K1061" s="31" t="n">
        <f aca="false">MAX(ROUNDUP(I1061,0),H1061)</f>
        <v>28</v>
      </c>
      <c r="L1061" s="31" t="n">
        <f aca="false">IF(J1061="","",J1061-K1061)</f>
        <v>0</v>
      </c>
      <c r="M1061" s="32" t="n">
        <v>10.4</v>
      </c>
      <c r="N1061" s="32" t="n">
        <f aca="false">IF(C1061="covered",10.4,7.55)</f>
        <v>10.4</v>
      </c>
      <c r="O1061" s="32" t="n">
        <f aca="false">IF(M1061="","",M1061-N1061)</f>
        <v>0</v>
      </c>
      <c r="P1061" s="11" t="n">
        <v>1</v>
      </c>
      <c r="Q1061" s="33" t="n">
        <v>291.2</v>
      </c>
      <c r="R1061" s="33" t="n">
        <f aca="false">IF(OR(J1061="",P1061=""),"",K1061*N1061*P1061)</f>
        <v>291.2</v>
      </c>
      <c r="S1061" s="33" t="n">
        <f aca="false">IF(Q1061="","",Q1061-R1061)</f>
        <v>0</v>
      </c>
      <c r="T1061" s="33" t="n">
        <f aca="false">IF(S1061="","",MAX(0,-S1061))</f>
        <v>-0</v>
      </c>
      <c r="U1061" s="33" t="n">
        <f aca="false">IF(S1061="","",MAX(0,S1061))</f>
        <v>0</v>
      </c>
      <c r="V1061" s="11" t="str">
        <f aca="false">IF(J1061="","NOT SCORED - NO JULY MONTHLY ROW",IF(OR(ABS(L1061)&gt;0.005,ABS(O1061)&gt;0.005,ABS(S1061)&gt;0.005),"EXCEPTION","OK"))</f>
        <v>OK</v>
      </c>
      <c r="W1061" s="11" t="s">
        <v>6908</v>
      </c>
      <c r="X1061" s="11" t="s">
        <v>4099</v>
      </c>
      <c r="Y1061" s="33" t="n">
        <f aca="false">K1061*N1061</f>
        <v>291.2</v>
      </c>
    </row>
    <row r="1062" customFormat="false" ht="15" hidden="false" customHeight="false" outlineLevel="0" collapsed="false">
      <c r="A1062" s="8" t="s">
        <v>1389</v>
      </c>
      <c r="B1062" s="8" t="s">
        <v>200</v>
      </c>
      <c r="C1062" s="8" t="s">
        <v>5306</v>
      </c>
      <c r="D1062" s="8" t="s">
        <v>3219</v>
      </c>
      <c r="E1062" s="8" t="s">
        <v>1467</v>
      </c>
      <c r="F1062" s="8" t="s">
        <v>1468</v>
      </c>
      <c r="G1062" s="8" t="s">
        <v>4912</v>
      </c>
      <c r="H1062" s="8" t="n">
        <v>36</v>
      </c>
      <c r="I1062" s="34" t="n">
        <v>29.3</v>
      </c>
      <c r="J1062" s="34" t="n">
        <v>36</v>
      </c>
      <c r="K1062" s="34" t="n">
        <f aca="false">MAX(ROUNDUP(I1062,0),H1062)</f>
        <v>36</v>
      </c>
      <c r="L1062" s="34" t="n">
        <f aca="false">IF(J1062="","",J1062-K1062)</f>
        <v>0</v>
      </c>
      <c r="M1062" s="35" t="n">
        <v>10.4</v>
      </c>
      <c r="N1062" s="35" t="n">
        <f aca="false">IF(C1062="covered",10.4,7.55)</f>
        <v>10.4</v>
      </c>
      <c r="O1062" s="35" t="n">
        <f aca="false">IF(M1062="","",M1062-N1062)</f>
        <v>0</v>
      </c>
      <c r="P1062" s="8" t="n">
        <v>1</v>
      </c>
      <c r="Q1062" s="36" t="n">
        <v>374.4</v>
      </c>
      <c r="R1062" s="36" t="n">
        <f aca="false">IF(OR(J1062="",P1062=""),"",K1062*N1062*P1062)</f>
        <v>374.4</v>
      </c>
      <c r="S1062" s="36" t="n">
        <f aca="false">IF(Q1062="","",Q1062-R1062)</f>
        <v>0</v>
      </c>
      <c r="T1062" s="36" t="n">
        <f aca="false">IF(S1062="","",MAX(0,-S1062))</f>
        <v>-0</v>
      </c>
      <c r="U1062" s="36" t="n">
        <f aca="false">IF(S1062="","",MAX(0,S1062))</f>
        <v>0</v>
      </c>
      <c r="V1062" s="8" t="str">
        <f aca="false">IF(J1062="","NOT SCORED - NO JULY MONTHLY ROW",IF(OR(ABS(L1062)&gt;0.005,ABS(O1062)&gt;0.005,ABS(S1062)&gt;0.005),"EXCEPTION","OK"))</f>
        <v>OK</v>
      </c>
      <c r="W1062" s="8" t="s">
        <v>6909</v>
      </c>
      <c r="X1062" s="8" t="s">
        <v>4099</v>
      </c>
      <c r="Y1062" s="36" t="n">
        <f aca="false">K1062*N1062</f>
        <v>374.4</v>
      </c>
    </row>
    <row r="1063" customFormat="false" ht="15" hidden="false" customHeight="false" outlineLevel="0" collapsed="false">
      <c r="A1063" s="11" t="s">
        <v>6910</v>
      </c>
      <c r="B1063" s="11" t="s">
        <v>200</v>
      </c>
      <c r="C1063" s="11" t="s">
        <v>5306</v>
      </c>
      <c r="D1063" s="11" t="s">
        <v>3224</v>
      </c>
      <c r="E1063" s="11" t="s">
        <v>6911</v>
      </c>
      <c r="F1063" s="11" t="s">
        <v>6912</v>
      </c>
      <c r="G1063" s="11" t="s">
        <v>6913</v>
      </c>
      <c r="H1063" s="11" t="n">
        <v>28</v>
      </c>
      <c r="I1063" s="31" t="n">
        <v>35.8</v>
      </c>
      <c r="J1063" s="31" t="n">
        <v>36</v>
      </c>
      <c r="K1063" s="31" t="n">
        <f aca="false">MAX(ROUNDUP(I1063,0),H1063)</f>
        <v>36</v>
      </c>
      <c r="L1063" s="31" t="n">
        <f aca="false">IF(J1063="","",J1063-K1063)</f>
        <v>0</v>
      </c>
      <c r="M1063" s="32" t="n">
        <v>10.4</v>
      </c>
      <c r="N1063" s="32" t="n">
        <f aca="false">IF(C1063="covered",10.4,7.55)</f>
        <v>10.4</v>
      </c>
      <c r="O1063" s="32" t="n">
        <f aca="false">IF(M1063="","",M1063-N1063)</f>
        <v>0</v>
      </c>
      <c r="P1063" s="11" t="n">
        <v>1</v>
      </c>
      <c r="Q1063" s="33" t="n">
        <v>374.4</v>
      </c>
      <c r="R1063" s="33" t="n">
        <f aca="false">IF(OR(J1063="",P1063=""),"",K1063*N1063*P1063)</f>
        <v>374.4</v>
      </c>
      <c r="S1063" s="33" t="n">
        <f aca="false">IF(Q1063="","",Q1063-R1063)</f>
        <v>0</v>
      </c>
      <c r="T1063" s="33" t="n">
        <f aca="false">IF(S1063="","",MAX(0,-S1063))</f>
        <v>-0</v>
      </c>
      <c r="U1063" s="33" t="n">
        <f aca="false">IF(S1063="","",MAX(0,S1063))</f>
        <v>0</v>
      </c>
      <c r="V1063" s="11" t="str">
        <f aca="false">IF(J1063="","NOT SCORED - NO JULY MONTHLY ROW",IF(OR(ABS(L1063)&gt;0.005,ABS(O1063)&gt;0.005,ABS(S1063)&gt;0.005),"EXCEPTION","OK"))</f>
        <v>OK</v>
      </c>
      <c r="W1063" s="11" t="s">
        <v>6914</v>
      </c>
      <c r="X1063" s="11" t="s">
        <v>4099</v>
      </c>
      <c r="Y1063" s="33" t="n">
        <f aca="false">K1063*N1063</f>
        <v>374.4</v>
      </c>
    </row>
    <row r="1064" customFormat="false" ht="15" hidden="false" customHeight="false" outlineLevel="0" collapsed="false">
      <c r="A1064" s="8" t="s">
        <v>6915</v>
      </c>
      <c r="B1064" s="8" t="s">
        <v>200</v>
      </c>
      <c r="C1064" s="8" t="s">
        <v>5306</v>
      </c>
      <c r="D1064" s="8" t="s">
        <v>3228</v>
      </c>
      <c r="E1064" s="8" t="s">
        <v>1702</v>
      </c>
      <c r="F1064" s="8" t="s">
        <v>1703</v>
      </c>
      <c r="G1064" s="8" t="s">
        <v>3748</v>
      </c>
      <c r="H1064" s="8" t="n">
        <v>32</v>
      </c>
      <c r="I1064" s="34" t="n">
        <v>55.4</v>
      </c>
      <c r="J1064" s="34" t="n">
        <v>56</v>
      </c>
      <c r="K1064" s="34" t="n">
        <f aca="false">MAX(ROUNDUP(I1064,0),H1064)</f>
        <v>56</v>
      </c>
      <c r="L1064" s="34" t="n">
        <f aca="false">IF(J1064="","",J1064-K1064)</f>
        <v>0</v>
      </c>
      <c r="M1064" s="35" t="n">
        <v>10.4</v>
      </c>
      <c r="N1064" s="35" t="n">
        <f aca="false">IF(C1064="covered",10.4,7.55)</f>
        <v>10.4</v>
      </c>
      <c r="O1064" s="35" t="n">
        <f aca="false">IF(M1064="","",M1064-N1064)</f>
        <v>0</v>
      </c>
      <c r="P1064" s="8" t="n">
        <v>1</v>
      </c>
      <c r="Q1064" s="36" t="n">
        <v>582.4</v>
      </c>
      <c r="R1064" s="36" t="n">
        <f aca="false">IF(OR(J1064="",P1064=""),"",K1064*N1064*P1064)</f>
        <v>582.4</v>
      </c>
      <c r="S1064" s="36" t="n">
        <f aca="false">IF(Q1064="","",Q1064-R1064)</f>
        <v>0</v>
      </c>
      <c r="T1064" s="36" t="n">
        <f aca="false">IF(S1064="","",MAX(0,-S1064))</f>
        <v>-0</v>
      </c>
      <c r="U1064" s="36" t="n">
        <f aca="false">IF(S1064="","",MAX(0,S1064))</f>
        <v>0</v>
      </c>
      <c r="V1064" s="8" t="str">
        <f aca="false">IF(J1064="","NOT SCORED - NO JULY MONTHLY ROW",IF(OR(ABS(L1064)&gt;0.005,ABS(O1064)&gt;0.005,ABS(S1064)&gt;0.005),"EXCEPTION","OK"))</f>
        <v>OK</v>
      </c>
      <c r="W1064" s="8" t="s">
        <v>6916</v>
      </c>
      <c r="X1064" s="8" t="s">
        <v>4099</v>
      </c>
      <c r="Y1064" s="36" t="n">
        <f aca="false">K1064*N1064</f>
        <v>582.4</v>
      </c>
    </row>
    <row r="1065" customFormat="false" ht="15" hidden="false" customHeight="false" outlineLevel="0" collapsed="false">
      <c r="A1065" s="11" t="s">
        <v>6917</v>
      </c>
      <c r="B1065" s="11" t="s">
        <v>200</v>
      </c>
      <c r="C1065" s="11" t="s">
        <v>5306</v>
      </c>
      <c r="D1065" s="11" t="s">
        <v>3233</v>
      </c>
      <c r="E1065" s="11" t="s">
        <v>6918</v>
      </c>
      <c r="F1065" s="11" t="s">
        <v>6919</v>
      </c>
      <c r="G1065" s="11" t="s">
        <v>4775</v>
      </c>
      <c r="H1065" s="11" t="n">
        <v>24</v>
      </c>
      <c r="I1065" s="31" t="n">
        <v>61.6</v>
      </c>
      <c r="J1065" s="31" t="n">
        <v>62</v>
      </c>
      <c r="K1065" s="31" t="n">
        <f aca="false">MAX(ROUNDUP(I1065,0),H1065)</f>
        <v>62</v>
      </c>
      <c r="L1065" s="31" t="n">
        <f aca="false">IF(J1065="","",J1065-K1065)</f>
        <v>0</v>
      </c>
      <c r="M1065" s="32" t="n">
        <v>10.4</v>
      </c>
      <c r="N1065" s="32" t="n">
        <f aca="false">IF(C1065="covered",10.4,7.55)</f>
        <v>10.4</v>
      </c>
      <c r="O1065" s="32" t="n">
        <f aca="false">IF(M1065="","",M1065-N1065)</f>
        <v>0</v>
      </c>
      <c r="P1065" s="11" t="n">
        <v>1</v>
      </c>
      <c r="Q1065" s="33" t="n">
        <v>644.8</v>
      </c>
      <c r="R1065" s="33" t="n">
        <f aca="false">IF(OR(J1065="",P1065=""),"",K1065*N1065*P1065)</f>
        <v>644.8</v>
      </c>
      <c r="S1065" s="33" t="n">
        <f aca="false">IF(Q1065="","",Q1065-R1065)</f>
        <v>0</v>
      </c>
      <c r="T1065" s="33" t="n">
        <f aca="false">IF(S1065="","",MAX(0,-S1065))</f>
        <v>-0</v>
      </c>
      <c r="U1065" s="33" t="n">
        <f aca="false">IF(S1065="","",MAX(0,S1065))</f>
        <v>0</v>
      </c>
      <c r="V1065" s="11" t="str">
        <f aca="false">IF(J1065="","NOT SCORED - NO JULY MONTHLY ROW",IF(OR(ABS(L1065)&gt;0.005,ABS(O1065)&gt;0.005,ABS(S1065)&gt;0.005),"EXCEPTION","OK"))</f>
        <v>OK</v>
      </c>
      <c r="W1065" s="11" t="s">
        <v>6920</v>
      </c>
      <c r="X1065" s="11" t="s">
        <v>4099</v>
      </c>
      <c r="Y1065" s="33" t="n">
        <f aca="false">K1065*N1065</f>
        <v>644.8</v>
      </c>
    </row>
    <row r="1066" customFormat="false" ht="15" hidden="false" customHeight="false" outlineLevel="0" collapsed="false">
      <c r="A1066" s="8" t="s">
        <v>6921</v>
      </c>
      <c r="B1066" s="8" t="s">
        <v>200</v>
      </c>
      <c r="C1066" s="8" t="s">
        <v>5306</v>
      </c>
      <c r="D1066" s="8" t="s">
        <v>3237</v>
      </c>
      <c r="E1066" s="8" t="s">
        <v>6922</v>
      </c>
      <c r="F1066" s="8" t="s">
        <v>6923</v>
      </c>
      <c r="G1066" s="8" t="s">
        <v>6924</v>
      </c>
      <c r="H1066" s="8" t="n">
        <v>36</v>
      </c>
      <c r="I1066" s="34" t="n">
        <v>61</v>
      </c>
      <c r="J1066" s="34" t="n">
        <v>61</v>
      </c>
      <c r="K1066" s="34" t="n">
        <f aca="false">MAX(ROUNDUP(I1066,0),H1066)</f>
        <v>61</v>
      </c>
      <c r="L1066" s="34" t="n">
        <f aca="false">IF(J1066="","",J1066-K1066)</f>
        <v>0</v>
      </c>
      <c r="M1066" s="35" t="n">
        <v>10.4</v>
      </c>
      <c r="N1066" s="35" t="n">
        <f aca="false">IF(C1066="covered",10.4,7.55)</f>
        <v>10.4</v>
      </c>
      <c r="O1066" s="35" t="n">
        <f aca="false">IF(M1066="","",M1066-N1066)</f>
        <v>0</v>
      </c>
      <c r="P1066" s="8" t="n">
        <v>1</v>
      </c>
      <c r="Q1066" s="36" t="n">
        <v>634.4</v>
      </c>
      <c r="R1066" s="36" t="n">
        <f aca="false">IF(OR(J1066="",P1066=""),"",K1066*N1066*P1066)</f>
        <v>634.4</v>
      </c>
      <c r="S1066" s="36" t="n">
        <f aca="false">IF(Q1066="","",Q1066-R1066)</f>
        <v>0</v>
      </c>
      <c r="T1066" s="36" t="n">
        <f aca="false">IF(S1066="","",MAX(0,-S1066))</f>
        <v>-0</v>
      </c>
      <c r="U1066" s="36" t="n">
        <f aca="false">IF(S1066="","",MAX(0,S1066))</f>
        <v>0</v>
      </c>
      <c r="V1066" s="8" t="str">
        <f aca="false">IF(J1066="","NOT SCORED - NO JULY MONTHLY ROW",IF(OR(ABS(L1066)&gt;0.005,ABS(O1066)&gt;0.005,ABS(S1066)&gt;0.005),"EXCEPTION","OK"))</f>
        <v>OK</v>
      </c>
      <c r="W1066" s="8" t="s">
        <v>6925</v>
      </c>
      <c r="X1066" s="8" t="s">
        <v>4099</v>
      </c>
      <c r="Y1066" s="36" t="n">
        <f aca="false">K1066*N1066</f>
        <v>634.4</v>
      </c>
    </row>
    <row r="1067" customFormat="false" ht="15" hidden="false" customHeight="false" outlineLevel="0" collapsed="false">
      <c r="A1067" s="11" t="s">
        <v>6926</v>
      </c>
      <c r="B1067" s="11" t="s">
        <v>200</v>
      </c>
      <c r="C1067" s="11" t="s">
        <v>5306</v>
      </c>
      <c r="D1067" s="11" t="s">
        <v>3242</v>
      </c>
      <c r="E1067" s="11" t="s">
        <v>6927</v>
      </c>
      <c r="F1067" s="11" t="s">
        <v>6928</v>
      </c>
      <c r="G1067" s="11" t="s">
        <v>3731</v>
      </c>
      <c r="H1067" s="11" t="n">
        <v>40</v>
      </c>
      <c r="I1067" s="31" t="n">
        <v>47.3</v>
      </c>
      <c r="J1067" s="31" t="n">
        <v>48</v>
      </c>
      <c r="K1067" s="31" t="n">
        <f aca="false">MAX(ROUNDUP(I1067,0),H1067)</f>
        <v>48</v>
      </c>
      <c r="L1067" s="31" t="n">
        <f aca="false">IF(J1067="","",J1067-K1067)</f>
        <v>0</v>
      </c>
      <c r="M1067" s="32" t="n">
        <v>10.4</v>
      </c>
      <c r="N1067" s="32" t="n">
        <f aca="false">IF(C1067="covered",10.4,7.55)</f>
        <v>10.4</v>
      </c>
      <c r="O1067" s="32" t="n">
        <f aca="false">IF(M1067="","",M1067-N1067)</f>
        <v>0</v>
      </c>
      <c r="P1067" s="11" t="n">
        <v>1</v>
      </c>
      <c r="Q1067" s="33" t="n">
        <v>499.2</v>
      </c>
      <c r="R1067" s="33" t="n">
        <f aca="false">IF(OR(J1067="",P1067=""),"",K1067*N1067*P1067)</f>
        <v>499.2</v>
      </c>
      <c r="S1067" s="33" t="n">
        <f aca="false">IF(Q1067="","",Q1067-R1067)</f>
        <v>0</v>
      </c>
      <c r="T1067" s="33" t="n">
        <f aca="false">IF(S1067="","",MAX(0,-S1067))</f>
        <v>-0</v>
      </c>
      <c r="U1067" s="33" t="n">
        <f aca="false">IF(S1067="","",MAX(0,S1067))</f>
        <v>0</v>
      </c>
      <c r="V1067" s="11" t="str">
        <f aca="false">IF(J1067="","NOT SCORED - NO JULY MONTHLY ROW",IF(OR(ABS(L1067)&gt;0.005,ABS(O1067)&gt;0.005,ABS(S1067)&gt;0.005),"EXCEPTION","OK"))</f>
        <v>OK</v>
      </c>
      <c r="W1067" s="11" t="s">
        <v>6929</v>
      </c>
      <c r="X1067" s="11" t="s">
        <v>4099</v>
      </c>
      <c r="Y1067" s="33" t="n">
        <f aca="false">K1067*N1067</f>
        <v>499.2</v>
      </c>
    </row>
    <row r="1068" customFormat="false" ht="15" hidden="false" customHeight="false" outlineLevel="0" collapsed="false">
      <c r="A1068" s="8" t="s">
        <v>1785</v>
      </c>
      <c r="B1068" s="8" t="s">
        <v>200</v>
      </c>
      <c r="C1068" s="8" t="s">
        <v>5306</v>
      </c>
      <c r="D1068" s="8" t="s">
        <v>3247</v>
      </c>
      <c r="E1068" s="8" t="s">
        <v>2370</v>
      </c>
      <c r="F1068" s="8" t="s">
        <v>6930</v>
      </c>
      <c r="G1068" s="8" t="s">
        <v>6931</v>
      </c>
      <c r="H1068" s="8" t="n">
        <v>40</v>
      </c>
      <c r="I1068" s="34" t="n">
        <v>53.9</v>
      </c>
      <c r="J1068" s="34" t="n">
        <v>54</v>
      </c>
      <c r="K1068" s="34" t="n">
        <f aca="false">MAX(ROUNDUP(I1068,0),H1068)</f>
        <v>54</v>
      </c>
      <c r="L1068" s="34" t="n">
        <f aca="false">IF(J1068="","",J1068-K1068)</f>
        <v>0</v>
      </c>
      <c r="M1068" s="35" t="n">
        <v>10.4</v>
      </c>
      <c r="N1068" s="35" t="n">
        <f aca="false">IF(C1068="covered",10.4,7.55)</f>
        <v>10.4</v>
      </c>
      <c r="O1068" s="35" t="n">
        <f aca="false">IF(M1068="","",M1068-N1068)</f>
        <v>0</v>
      </c>
      <c r="P1068" s="8" t="n">
        <v>1</v>
      </c>
      <c r="Q1068" s="36" t="n">
        <v>561.6</v>
      </c>
      <c r="R1068" s="36" t="n">
        <f aca="false">IF(OR(J1068="",P1068=""),"",K1068*N1068*P1068)</f>
        <v>561.6</v>
      </c>
      <c r="S1068" s="36" t="n">
        <f aca="false">IF(Q1068="","",Q1068-R1068)</f>
        <v>0</v>
      </c>
      <c r="T1068" s="36" t="n">
        <f aca="false">IF(S1068="","",MAX(0,-S1068))</f>
        <v>-0</v>
      </c>
      <c r="U1068" s="36" t="n">
        <f aca="false">IF(S1068="","",MAX(0,S1068))</f>
        <v>0</v>
      </c>
      <c r="V1068" s="8" t="str">
        <f aca="false">IF(J1068="","NOT SCORED - NO JULY MONTHLY ROW",IF(OR(ABS(L1068)&gt;0.005,ABS(O1068)&gt;0.005,ABS(S1068)&gt;0.005),"EXCEPTION","OK"))</f>
        <v>OK</v>
      </c>
      <c r="W1068" s="8" t="s">
        <v>6932</v>
      </c>
      <c r="X1068" s="8" t="s">
        <v>4099</v>
      </c>
      <c r="Y1068" s="36" t="n">
        <f aca="false">K1068*N1068</f>
        <v>561.6</v>
      </c>
    </row>
    <row r="1069" customFormat="false" ht="15" hidden="false" customHeight="false" outlineLevel="0" collapsed="false">
      <c r="A1069" s="11" t="s">
        <v>6933</v>
      </c>
      <c r="B1069" s="11" t="s">
        <v>200</v>
      </c>
      <c r="C1069" s="11" t="s">
        <v>5306</v>
      </c>
      <c r="D1069" s="11" t="s">
        <v>3252</v>
      </c>
      <c r="E1069" s="11" t="s">
        <v>6934</v>
      </c>
      <c r="F1069" s="11" t="s">
        <v>6935</v>
      </c>
      <c r="G1069" s="11" t="s">
        <v>6866</v>
      </c>
      <c r="H1069" s="11" t="n">
        <v>24</v>
      </c>
      <c r="I1069" s="31" t="n">
        <v>29.2</v>
      </c>
      <c r="J1069" s="31" t="n">
        <v>30</v>
      </c>
      <c r="K1069" s="31" t="n">
        <f aca="false">MAX(ROUNDUP(I1069,0),H1069)</f>
        <v>30</v>
      </c>
      <c r="L1069" s="31" t="n">
        <f aca="false">IF(J1069="","",J1069-K1069)</f>
        <v>0</v>
      </c>
      <c r="M1069" s="32" t="n">
        <v>10.4</v>
      </c>
      <c r="N1069" s="32" t="n">
        <f aca="false">IF(C1069="covered",10.4,7.55)</f>
        <v>10.4</v>
      </c>
      <c r="O1069" s="32" t="n">
        <f aca="false">IF(M1069="","",M1069-N1069)</f>
        <v>0</v>
      </c>
      <c r="P1069" s="11" t="n">
        <v>1</v>
      </c>
      <c r="Q1069" s="33" t="n">
        <v>312</v>
      </c>
      <c r="R1069" s="33" t="n">
        <f aca="false">IF(OR(J1069="",P1069=""),"",K1069*N1069*P1069)</f>
        <v>312</v>
      </c>
      <c r="S1069" s="33" t="n">
        <f aca="false">IF(Q1069="","",Q1069-R1069)</f>
        <v>0</v>
      </c>
      <c r="T1069" s="33" t="n">
        <f aca="false">IF(S1069="","",MAX(0,-S1069))</f>
        <v>-0</v>
      </c>
      <c r="U1069" s="33" t="n">
        <f aca="false">IF(S1069="","",MAX(0,S1069))</f>
        <v>0</v>
      </c>
      <c r="V1069" s="11" t="str">
        <f aca="false">IF(J1069="","NOT SCORED - NO JULY MONTHLY ROW",IF(OR(ABS(L1069)&gt;0.005,ABS(O1069)&gt;0.005,ABS(S1069)&gt;0.005),"EXCEPTION","OK"))</f>
        <v>OK</v>
      </c>
      <c r="W1069" s="11" t="s">
        <v>6936</v>
      </c>
      <c r="X1069" s="11" t="s">
        <v>4099</v>
      </c>
      <c r="Y1069" s="33" t="n">
        <f aca="false">K1069*N1069</f>
        <v>312</v>
      </c>
    </row>
    <row r="1070" customFormat="false" ht="15" hidden="false" customHeight="false" outlineLevel="0" collapsed="false">
      <c r="A1070" s="8" t="s">
        <v>6937</v>
      </c>
      <c r="B1070" s="8" t="s">
        <v>200</v>
      </c>
      <c r="C1070" s="8" t="s">
        <v>5306</v>
      </c>
      <c r="D1070" s="8" t="s">
        <v>3254</v>
      </c>
      <c r="E1070" s="8" t="s">
        <v>2374</v>
      </c>
      <c r="F1070" s="8" t="s">
        <v>6938</v>
      </c>
      <c r="G1070" s="8" t="s">
        <v>3815</v>
      </c>
      <c r="H1070" s="8" t="n">
        <v>28</v>
      </c>
      <c r="I1070" s="34" t="n">
        <v>23.5</v>
      </c>
      <c r="J1070" s="34" t="n">
        <v>28</v>
      </c>
      <c r="K1070" s="34" t="n">
        <f aca="false">MAX(ROUNDUP(I1070,0),H1070)</f>
        <v>28</v>
      </c>
      <c r="L1070" s="34" t="n">
        <f aca="false">IF(J1070="","",J1070-K1070)</f>
        <v>0</v>
      </c>
      <c r="M1070" s="35" t="n">
        <v>10.4</v>
      </c>
      <c r="N1070" s="35" t="n">
        <f aca="false">IF(C1070="covered",10.4,7.55)</f>
        <v>10.4</v>
      </c>
      <c r="O1070" s="35" t="n">
        <f aca="false">IF(M1070="","",M1070-N1070)</f>
        <v>0</v>
      </c>
      <c r="P1070" s="8" t="n">
        <v>1</v>
      </c>
      <c r="Q1070" s="36" t="n">
        <v>291.2</v>
      </c>
      <c r="R1070" s="36" t="n">
        <f aca="false">IF(OR(J1070="",P1070=""),"",K1070*N1070*P1070)</f>
        <v>291.2</v>
      </c>
      <c r="S1070" s="36" t="n">
        <f aca="false">IF(Q1070="","",Q1070-R1070)</f>
        <v>0</v>
      </c>
      <c r="T1070" s="36" t="n">
        <f aca="false">IF(S1070="","",MAX(0,-S1070))</f>
        <v>-0</v>
      </c>
      <c r="U1070" s="36" t="n">
        <f aca="false">IF(S1070="","",MAX(0,S1070))</f>
        <v>0</v>
      </c>
      <c r="V1070" s="8" t="str">
        <f aca="false">IF(J1070="","NOT SCORED - NO JULY MONTHLY ROW",IF(OR(ABS(L1070)&gt;0.005,ABS(O1070)&gt;0.005,ABS(S1070)&gt;0.005),"EXCEPTION","OK"))</f>
        <v>OK</v>
      </c>
      <c r="W1070" s="8" t="s">
        <v>6939</v>
      </c>
      <c r="X1070" s="8" t="s">
        <v>4099</v>
      </c>
      <c r="Y1070" s="36" t="n">
        <f aca="false">K1070*N1070</f>
        <v>291.2</v>
      </c>
    </row>
    <row r="1071" customFormat="false" ht="15" hidden="false" customHeight="false" outlineLevel="0" collapsed="false">
      <c r="A1071" s="11" t="s">
        <v>6940</v>
      </c>
      <c r="B1071" s="11" t="s">
        <v>200</v>
      </c>
      <c r="C1071" s="11" t="s">
        <v>5306</v>
      </c>
      <c r="D1071" s="11" t="s">
        <v>3258</v>
      </c>
      <c r="E1071" s="11" t="s">
        <v>6941</v>
      </c>
      <c r="F1071" s="11" t="s">
        <v>6942</v>
      </c>
      <c r="G1071" s="11" t="s">
        <v>6299</v>
      </c>
      <c r="H1071" s="11" t="n">
        <v>28</v>
      </c>
      <c r="I1071" s="31" t="n">
        <v>37</v>
      </c>
      <c r="J1071" s="31" t="n">
        <v>37</v>
      </c>
      <c r="K1071" s="31" t="n">
        <f aca="false">MAX(ROUNDUP(I1071,0),H1071)</f>
        <v>37</v>
      </c>
      <c r="L1071" s="31" t="n">
        <f aca="false">IF(J1071="","",J1071-K1071)</f>
        <v>0</v>
      </c>
      <c r="M1071" s="32" t="n">
        <v>10.4</v>
      </c>
      <c r="N1071" s="32" t="n">
        <f aca="false">IF(C1071="covered",10.4,7.55)</f>
        <v>10.4</v>
      </c>
      <c r="O1071" s="32" t="n">
        <f aca="false">IF(M1071="","",M1071-N1071)</f>
        <v>0</v>
      </c>
      <c r="P1071" s="11" t="n">
        <v>1</v>
      </c>
      <c r="Q1071" s="33" t="n">
        <v>384.8</v>
      </c>
      <c r="R1071" s="33" t="n">
        <f aca="false">IF(OR(J1071="",P1071=""),"",K1071*N1071*P1071)</f>
        <v>384.8</v>
      </c>
      <c r="S1071" s="33" t="n">
        <f aca="false">IF(Q1071="","",Q1071-R1071)</f>
        <v>0</v>
      </c>
      <c r="T1071" s="33" t="n">
        <f aca="false">IF(S1071="","",MAX(0,-S1071))</f>
        <v>-0</v>
      </c>
      <c r="U1071" s="33" t="n">
        <f aca="false">IF(S1071="","",MAX(0,S1071))</f>
        <v>0</v>
      </c>
      <c r="V1071" s="11" t="str">
        <f aca="false">IF(J1071="","NOT SCORED - NO JULY MONTHLY ROW",IF(OR(ABS(L1071)&gt;0.005,ABS(O1071)&gt;0.005,ABS(S1071)&gt;0.005),"EXCEPTION","OK"))</f>
        <v>OK</v>
      </c>
      <c r="W1071" s="11" t="s">
        <v>6943</v>
      </c>
      <c r="X1071" s="11" t="s">
        <v>4099</v>
      </c>
      <c r="Y1071" s="33" t="n">
        <f aca="false">K1071*N1071</f>
        <v>384.8</v>
      </c>
    </row>
    <row r="1072" customFormat="false" ht="15" hidden="false" customHeight="false" outlineLevel="0" collapsed="false">
      <c r="A1072" s="8" t="s">
        <v>1866</v>
      </c>
      <c r="B1072" s="8" t="s">
        <v>200</v>
      </c>
      <c r="C1072" s="8" t="s">
        <v>5306</v>
      </c>
      <c r="D1072" s="8" t="s">
        <v>3263</v>
      </c>
      <c r="E1072" s="8" t="s">
        <v>6944</v>
      </c>
      <c r="F1072" s="8" t="s">
        <v>6945</v>
      </c>
      <c r="G1072" s="8" t="s">
        <v>3028</v>
      </c>
      <c r="H1072" s="8" t="n">
        <v>24</v>
      </c>
      <c r="I1072" s="34" t="n">
        <v>26.9</v>
      </c>
      <c r="J1072" s="34" t="n">
        <v>27</v>
      </c>
      <c r="K1072" s="34" t="n">
        <f aca="false">MAX(ROUNDUP(I1072,0),H1072)</f>
        <v>27</v>
      </c>
      <c r="L1072" s="34" t="n">
        <f aca="false">IF(J1072="","",J1072-K1072)</f>
        <v>0</v>
      </c>
      <c r="M1072" s="35" t="n">
        <v>10.4</v>
      </c>
      <c r="N1072" s="35" t="n">
        <f aca="false">IF(C1072="covered",10.4,7.55)</f>
        <v>10.4</v>
      </c>
      <c r="O1072" s="35" t="n">
        <f aca="false">IF(M1072="","",M1072-N1072)</f>
        <v>0</v>
      </c>
      <c r="P1072" s="8" t="n">
        <v>1</v>
      </c>
      <c r="Q1072" s="36" t="n">
        <v>280.8</v>
      </c>
      <c r="R1072" s="36" t="n">
        <f aca="false">IF(OR(J1072="",P1072=""),"",K1072*N1072*P1072)</f>
        <v>280.8</v>
      </c>
      <c r="S1072" s="36" t="n">
        <f aca="false">IF(Q1072="","",Q1072-R1072)</f>
        <v>0</v>
      </c>
      <c r="T1072" s="36" t="n">
        <f aca="false">IF(S1072="","",MAX(0,-S1072))</f>
        <v>-0</v>
      </c>
      <c r="U1072" s="36" t="n">
        <f aca="false">IF(S1072="","",MAX(0,S1072))</f>
        <v>0</v>
      </c>
      <c r="V1072" s="8" t="str">
        <f aca="false">IF(J1072="","NOT SCORED - NO JULY MONTHLY ROW",IF(OR(ABS(L1072)&gt;0.005,ABS(O1072)&gt;0.005,ABS(S1072)&gt;0.005),"EXCEPTION","OK"))</f>
        <v>OK</v>
      </c>
      <c r="W1072" s="8" t="s">
        <v>6946</v>
      </c>
      <c r="X1072" s="8" t="s">
        <v>4099</v>
      </c>
      <c r="Y1072" s="36" t="n">
        <f aca="false">K1072*N1072</f>
        <v>280.8</v>
      </c>
    </row>
    <row r="1073" customFormat="false" ht="15" hidden="false" customHeight="false" outlineLevel="0" collapsed="false">
      <c r="A1073" s="11" t="s">
        <v>1204</v>
      </c>
      <c r="B1073" s="11" t="s">
        <v>200</v>
      </c>
      <c r="C1073" s="11" t="s">
        <v>5306</v>
      </c>
      <c r="D1073" s="11" t="s">
        <v>3267</v>
      </c>
      <c r="E1073" s="11" t="s">
        <v>6947</v>
      </c>
      <c r="F1073" s="11" t="s">
        <v>6948</v>
      </c>
      <c r="G1073" s="11" t="s">
        <v>3299</v>
      </c>
      <c r="H1073" s="11" t="n">
        <v>28</v>
      </c>
      <c r="I1073" s="31" t="n">
        <v>54.5</v>
      </c>
      <c r="J1073" s="31" t="n">
        <v>55</v>
      </c>
      <c r="K1073" s="31" t="n">
        <f aca="false">MAX(ROUNDUP(I1073,0),H1073)</f>
        <v>55</v>
      </c>
      <c r="L1073" s="31" t="n">
        <f aca="false">IF(J1073="","",J1073-K1073)</f>
        <v>0</v>
      </c>
      <c r="M1073" s="32" t="n">
        <v>10.4</v>
      </c>
      <c r="N1073" s="32" t="n">
        <f aca="false">IF(C1073="covered",10.4,7.55)</f>
        <v>10.4</v>
      </c>
      <c r="O1073" s="32" t="n">
        <f aca="false">IF(M1073="","",M1073-N1073)</f>
        <v>0</v>
      </c>
      <c r="P1073" s="11" t="n">
        <v>1</v>
      </c>
      <c r="Q1073" s="33" t="n">
        <v>572</v>
      </c>
      <c r="R1073" s="33" t="n">
        <f aca="false">IF(OR(J1073="",P1073=""),"",K1073*N1073*P1073)</f>
        <v>572</v>
      </c>
      <c r="S1073" s="33" t="n">
        <f aca="false">IF(Q1073="","",Q1073-R1073)</f>
        <v>0</v>
      </c>
      <c r="T1073" s="33" t="n">
        <f aca="false">IF(S1073="","",MAX(0,-S1073))</f>
        <v>-0</v>
      </c>
      <c r="U1073" s="33" t="n">
        <f aca="false">IF(S1073="","",MAX(0,S1073))</f>
        <v>0</v>
      </c>
      <c r="V1073" s="11" t="str">
        <f aca="false">IF(J1073="","NOT SCORED - NO JULY MONTHLY ROW",IF(OR(ABS(L1073)&gt;0.005,ABS(O1073)&gt;0.005,ABS(S1073)&gt;0.005),"EXCEPTION","OK"))</f>
        <v>OK</v>
      </c>
      <c r="W1073" s="11" t="s">
        <v>6949</v>
      </c>
      <c r="X1073" s="11" t="s">
        <v>4099</v>
      </c>
      <c r="Y1073" s="33" t="n">
        <f aca="false">K1073*N1073</f>
        <v>572</v>
      </c>
    </row>
    <row r="1074" customFormat="false" ht="15" hidden="false" customHeight="false" outlineLevel="0" collapsed="false">
      <c r="A1074" s="8" t="s">
        <v>6950</v>
      </c>
      <c r="B1074" s="8" t="s">
        <v>200</v>
      </c>
      <c r="C1074" s="8" t="s">
        <v>5306</v>
      </c>
      <c r="D1074" s="8" t="s">
        <v>3270</v>
      </c>
      <c r="E1074" s="8" t="s">
        <v>6951</v>
      </c>
      <c r="F1074" s="8" t="s">
        <v>6952</v>
      </c>
      <c r="G1074" s="8" t="s">
        <v>3880</v>
      </c>
      <c r="H1074" s="8" t="n">
        <v>36</v>
      </c>
      <c r="I1074" s="34" t="n">
        <v>26.6</v>
      </c>
      <c r="J1074" s="34" t="n">
        <v>36</v>
      </c>
      <c r="K1074" s="34" t="n">
        <f aca="false">MAX(ROUNDUP(I1074,0),H1074)</f>
        <v>36</v>
      </c>
      <c r="L1074" s="34" t="n">
        <f aca="false">IF(J1074="","",J1074-K1074)</f>
        <v>0</v>
      </c>
      <c r="M1074" s="35" t="n">
        <v>10.4</v>
      </c>
      <c r="N1074" s="35" t="n">
        <f aca="false">IF(C1074="covered",10.4,7.55)</f>
        <v>10.4</v>
      </c>
      <c r="O1074" s="35" t="n">
        <f aca="false">IF(M1074="","",M1074-N1074)</f>
        <v>0</v>
      </c>
      <c r="P1074" s="8" t="n">
        <v>1</v>
      </c>
      <c r="Q1074" s="36" t="n">
        <v>374.4</v>
      </c>
      <c r="R1074" s="36" t="n">
        <f aca="false">IF(OR(J1074="",P1074=""),"",K1074*N1074*P1074)</f>
        <v>374.4</v>
      </c>
      <c r="S1074" s="36" t="n">
        <f aca="false">IF(Q1074="","",Q1074-R1074)</f>
        <v>0</v>
      </c>
      <c r="T1074" s="36" t="n">
        <f aca="false">IF(S1074="","",MAX(0,-S1074))</f>
        <v>-0</v>
      </c>
      <c r="U1074" s="36" t="n">
        <f aca="false">IF(S1074="","",MAX(0,S1074))</f>
        <v>0</v>
      </c>
      <c r="V1074" s="8" t="str">
        <f aca="false">IF(J1074="","NOT SCORED - NO JULY MONTHLY ROW",IF(OR(ABS(L1074)&gt;0.005,ABS(O1074)&gt;0.005,ABS(S1074)&gt;0.005),"EXCEPTION","OK"))</f>
        <v>OK</v>
      </c>
      <c r="W1074" s="8" t="s">
        <v>6953</v>
      </c>
      <c r="X1074" s="8" t="s">
        <v>4099</v>
      </c>
      <c r="Y1074" s="36" t="n">
        <f aca="false">K1074*N1074</f>
        <v>374.4</v>
      </c>
    </row>
    <row r="1075" customFormat="false" ht="15" hidden="false" customHeight="false" outlineLevel="0" collapsed="false">
      <c r="A1075" s="11" t="s">
        <v>6954</v>
      </c>
      <c r="B1075" s="11" t="s">
        <v>200</v>
      </c>
      <c r="C1075" s="11" t="s">
        <v>5306</v>
      </c>
      <c r="D1075" s="11" t="s">
        <v>3275</v>
      </c>
      <c r="E1075" s="11" t="s">
        <v>6955</v>
      </c>
      <c r="F1075" s="11" t="s">
        <v>6956</v>
      </c>
      <c r="G1075" s="11" t="s">
        <v>4167</v>
      </c>
      <c r="H1075" s="11" t="n">
        <v>24</v>
      </c>
      <c r="I1075" s="31" t="n">
        <v>61.6</v>
      </c>
      <c r="J1075" s="31" t="n">
        <v>62</v>
      </c>
      <c r="K1075" s="31" t="n">
        <f aca="false">MAX(ROUNDUP(I1075,0),H1075)</f>
        <v>62</v>
      </c>
      <c r="L1075" s="31" t="n">
        <f aca="false">IF(J1075="","",J1075-K1075)</f>
        <v>0</v>
      </c>
      <c r="M1075" s="32" t="n">
        <v>10.4</v>
      </c>
      <c r="N1075" s="32" t="n">
        <f aca="false">IF(C1075="covered",10.4,7.55)</f>
        <v>10.4</v>
      </c>
      <c r="O1075" s="32" t="n">
        <f aca="false">IF(M1075="","",M1075-N1075)</f>
        <v>0</v>
      </c>
      <c r="P1075" s="11" t="n">
        <v>1</v>
      </c>
      <c r="Q1075" s="33" t="n">
        <v>644.8</v>
      </c>
      <c r="R1075" s="33" t="n">
        <f aca="false">IF(OR(J1075="",P1075=""),"",K1075*N1075*P1075)</f>
        <v>644.8</v>
      </c>
      <c r="S1075" s="33" t="n">
        <f aca="false">IF(Q1075="","",Q1075-R1075)</f>
        <v>0</v>
      </c>
      <c r="T1075" s="33" t="n">
        <f aca="false">IF(S1075="","",MAX(0,-S1075))</f>
        <v>-0</v>
      </c>
      <c r="U1075" s="33" t="n">
        <f aca="false">IF(S1075="","",MAX(0,S1075))</f>
        <v>0</v>
      </c>
      <c r="V1075" s="11" t="str">
        <f aca="false">IF(J1075="","NOT SCORED - NO JULY MONTHLY ROW",IF(OR(ABS(L1075)&gt;0.005,ABS(O1075)&gt;0.005,ABS(S1075)&gt;0.005),"EXCEPTION","OK"))</f>
        <v>OK</v>
      </c>
      <c r="W1075" s="11" t="s">
        <v>6957</v>
      </c>
      <c r="X1075" s="11" t="s">
        <v>4099</v>
      </c>
      <c r="Y1075" s="33" t="n">
        <f aca="false">K1075*N1075</f>
        <v>644.8</v>
      </c>
    </row>
    <row r="1076" customFormat="false" ht="15" hidden="false" customHeight="false" outlineLevel="0" collapsed="false">
      <c r="A1076" s="8" t="s">
        <v>6958</v>
      </c>
      <c r="B1076" s="8" t="s">
        <v>200</v>
      </c>
      <c r="C1076" s="8" t="s">
        <v>5306</v>
      </c>
      <c r="D1076" s="8" t="s">
        <v>3280</v>
      </c>
      <c r="E1076" s="8" t="s">
        <v>6959</v>
      </c>
      <c r="F1076" s="8" t="s">
        <v>6960</v>
      </c>
      <c r="G1076" s="8" t="s">
        <v>3448</v>
      </c>
      <c r="H1076" s="8" t="n">
        <v>32</v>
      </c>
      <c r="I1076" s="34" t="n">
        <v>47.1</v>
      </c>
      <c r="J1076" s="34" t="n">
        <v>48</v>
      </c>
      <c r="K1076" s="34" t="n">
        <f aca="false">MAX(ROUNDUP(I1076,0),H1076)</f>
        <v>48</v>
      </c>
      <c r="L1076" s="34" t="n">
        <f aca="false">IF(J1076="","",J1076-K1076)</f>
        <v>0</v>
      </c>
      <c r="M1076" s="35" t="n">
        <v>10.4</v>
      </c>
      <c r="N1076" s="35" t="n">
        <f aca="false">IF(C1076="covered",10.4,7.55)</f>
        <v>10.4</v>
      </c>
      <c r="O1076" s="35" t="n">
        <f aca="false">IF(M1076="","",M1076-N1076)</f>
        <v>0</v>
      </c>
      <c r="P1076" s="8" t="n">
        <v>1</v>
      </c>
      <c r="Q1076" s="36" t="n">
        <v>499.2</v>
      </c>
      <c r="R1076" s="36" t="n">
        <f aca="false">IF(OR(J1076="",P1076=""),"",K1076*N1076*P1076)</f>
        <v>499.2</v>
      </c>
      <c r="S1076" s="36" t="n">
        <f aca="false">IF(Q1076="","",Q1076-R1076)</f>
        <v>0</v>
      </c>
      <c r="T1076" s="36" t="n">
        <f aca="false">IF(S1076="","",MAX(0,-S1076))</f>
        <v>-0</v>
      </c>
      <c r="U1076" s="36" t="n">
        <f aca="false">IF(S1076="","",MAX(0,S1076))</f>
        <v>0</v>
      </c>
      <c r="V1076" s="8" t="str">
        <f aca="false">IF(J1076="","NOT SCORED - NO JULY MONTHLY ROW",IF(OR(ABS(L1076)&gt;0.005,ABS(O1076)&gt;0.005,ABS(S1076)&gt;0.005),"EXCEPTION","OK"))</f>
        <v>OK</v>
      </c>
      <c r="W1076" s="8" t="s">
        <v>6961</v>
      </c>
      <c r="X1076" s="8" t="s">
        <v>4099</v>
      </c>
      <c r="Y1076" s="36" t="n">
        <f aca="false">K1076*N1076</f>
        <v>499.2</v>
      </c>
    </row>
    <row r="1077" customFormat="false" ht="15" hidden="false" customHeight="false" outlineLevel="0" collapsed="false">
      <c r="A1077" s="11" t="s">
        <v>6962</v>
      </c>
      <c r="B1077" s="11" t="s">
        <v>200</v>
      </c>
      <c r="C1077" s="11" t="s">
        <v>5306</v>
      </c>
      <c r="D1077" s="11" t="s">
        <v>3285</v>
      </c>
      <c r="E1077" s="11" t="s">
        <v>6963</v>
      </c>
      <c r="F1077" s="11" t="s">
        <v>6231</v>
      </c>
      <c r="G1077" s="11" t="s">
        <v>5863</v>
      </c>
      <c r="H1077" s="11" t="n">
        <v>28</v>
      </c>
      <c r="I1077" s="31" t="n">
        <v>19.3</v>
      </c>
      <c r="J1077" s="31" t="n">
        <v>28</v>
      </c>
      <c r="K1077" s="31" t="n">
        <f aca="false">MAX(ROUNDUP(I1077,0),H1077)</f>
        <v>28</v>
      </c>
      <c r="L1077" s="31" t="n">
        <f aca="false">IF(J1077="","",J1077-K1077)</f>
        <v>0</v>
      </c>
      <c r="M1077" s="32" t="n">
        <v>10.4</v>
      </c>
      <c r="N1077" s="32" t="n">
        <f aca="false">IF(C1077="covered",10.4,7.55)</f>
        <v>10.4</v>
      </c>
      <c r="O1077" s="32" t="n">
        <f aca="false">IF(M1077="","",M1077-N1077)</f>
        <v>0</v>
      </c>
      <c r="P1077" s="11" t="n">
        <v>1</v>
      </c>
      <c r="Q1077" s="33" t="n">
        <v>291.2</v>
      </c>
      <c r="R1077" s="33" t="n">
        <f aca="false">IF(OR(J1077="",P1077=""),"",K1077*N1077*P1077)</f>
        <v>291.2</v>
      </c>
      <c r="S1077" s="33" t="n">
        <f aca="false">IF(Q1077="","",Q1077-R1077)</f>
        <v>0</v>
      </c>
      <c r="T1077" s="33" t="n">
        <f aca="false">IF(S1077="","",MAX(0,-S1077))</f>
        <v>-0</v>
      </c>
      <c r="U1077" s="33" t="n">
        <f aca="false">IF(S1077="","",MAX(0,S1077))</f>
        <v>0</v>
      </c>
      <c r="V1077" s="11" t="str">
        <f aca="false">IF(J1077="","NOT SCORED - NO JULY MONTHLY ROW",IF(OR(ABS(L1077)&gt;0.005,ABS(O1077)&gt;0.005,ABS(S1077)&gt;0.005),"EXCEPTION","OK"))</f>
        <v>OK</v>
      </c>
      <c r="W1077" s="11" t="s">
        <v>6964</v>
      </c>
      <c r="X1077" s="11" t="s">
        <v>4099</v>
      </c>
      <c r="Y1077" s="33" t="n">
        <f aca="false">K1077*N1077</f>
        <v>291.2</v>
      </c>
    </row>
    <row r="1078" customFormat="false" ht="15" hidden="false" customHeight="false" outlineLevel="0" collapsed="false">
      <c r="A1078" s="8" t="s">
        <v>6965</v>
      </c>
      <c r="B1078" s="8" t="s">
        <v>200</v>
      </c>
      <c r="C1078" s="8" t="s">
        <v>5306</v>
      </c>
      <c r="D1078" s="8" t="s">
        <v>3294</v>
      </c>
      <c r="E1078" s="8" t="s">
        <v>6966</v>
      </c>
      <c r="F1078" s="8" t="s">
        <v>6967</v>
      </c>
      <c r="G1078" s="8" t="s">
        <v>6299</v>
      </c>
      <c r="H1078" s="8" t="n">
        <v>36</v>
      </c>
      <c r="I1078" s="34" t="n">
        <v>40.3</v>
      </c>
      <c r="J1078" s="34" t="n">
        <v>41</v>
      </c>
      <c r="K1078" s="34" t="n">
        <f aca="false">MAX(ROUNDUP(I1078,0),H1078)</f>
        <v>41</v>
      </c>
      <c r="L1078" s="34" t="n">
        <f aca="false">IF(J1078="","",J1078-K1078)</f>
        <v>0</v>
      </c>
      <c r="M1078" s="35" t="n">
        <v>10.4</v>
      </c>
      <c r="N1078" s="35" t="n">
        <f aca="false">IF(C1078="covered",10.4,7.55)</f>
        <v>10.4</v>
      </c>
      <c r="O1078" s="35" t="n">
        <f aca="false">IF(M1078="","",M1078-N1078)</f>
        <v>0</v>
      </c>
      <c r="P1078" s="8" t="n">
        <v>1</v>
      </c>
      <c r="Q1078" s="36" t="n">
        <v>426.4</v>
      </c>
      <c r="R1078" s="36" t="n">
        <f aca="false">IF(OR(J1078="",P1078=""),"",K1078*N1078*P1078)</f>
        <v>426.4</v>
      </c>
      <c r="S1078" s="36" t="n">
        <f aca="false">IF(Q1078="","",Q1078-R1078)</f>
        <v>0</v>
      </c>
      <c r="T1078" s="36" t="n">
        <f aca="false">IF(S1078="","",MAX(0,-S1078))</f>
        <v>-0</v>
      </c>
      <c r="U1078" s="36" t="n">
        <f aca="false">IF(S1078="","",MAX(0,S1078))</f>
        <v>0</v>
      </c>
      <c r="V1078" s="8" t="str">
        <f aca="false">IF(J1078="","NOT SCORED - NO JULY MONTHLY ROW",IF(OR(ABS(L1078)&gt;0.005,ABS(O1078)&gt;0.005,ABS(S1078)&gt;0.005),"EXCEPTION","OK"))</f>
        <v>OK</v>
      </c>
      <c r="W1078" s="8" t="s">
        <v>6968</v>
      </c>
      <c r="X1078" s="8" t="s">
        <v>4099</v>
      </c>
      <c r="Y1078" s="36" t="n">
        <f aca="false">K1078*N1078</f>
        <v>426.4</v>
      </c>
    </row>
    <row r="1079" customFormat="false" ht="15" hidden="false" customHeight="false" outlineLevel="0" collapsed="false">
      <c r="A1079" s="11" t="s">
        <v>1037</v>
      </c>
      <c r="B1079" s="11" t="s">
        <v>200</v>
      </c>
      <c r="C1079" s="11" t="s">
        <v>5306</v>
      </c>
      <c r="D1079" s="11" t="s">
        <v>6054</v>
      </c>
      <c r="E1079" s="11" t="s">
        <v>6969</v>
      </c>
      <c r="F1079" s="11" t="s">
        <v>6970</v>
      </c>
      <c r="G1079" s="11" t="s">
        <v>3059</v>
      </c>
      <c r="H1079" s="11" t="n">
        <v>32</v>
      </c>
      <c r="I1079" s="31" t="n">
        <v>27.6</v>
      </c>
      <c r="J1079" s="31" t="n">
        <v>32</v>
      </c>
      <c r="K1079" s="31" t="n">
        <f aca="false">MAX(ROUNDUP(I1079,0),H1079)</f>
        <v>32</v>
      </c>
      <c r="L1079" s="31" t="n">
        <f aca="false">IF(J1079="","",J1079-K1079)</f>
        <v>0</v>
      </c>
      <c r="M1079" s="32" t="n">
        <v>10.4</v>
      </c>
      <c r="N1079" s="32" t="n">
        <f aca="false">IF(C1079="covered",10.4,7.55)</f>
        <v>10.4</v>
      </c>
      <c r="O1079" s="32" t="n">
        <f aca="false">IF(M1079="","",M1079-N1079)</f>
        <v>0</v>
      </c>
      <c r="P1079" s="11" t="n">
        <v>1</v>
      </c>
      <c r="Q1079" s="33" t="n">
        <v>332.8</v>
      </c>
      <c r="R1079" s="33" t="n">
        <f aca="false">IF(OR(J1079="",P1079=""),"",K1079*N1079*P1079)</f>
        <v>332.8</v>
      </c>
      <c r="S1079" s="33" t="n">
        <f aca="false">IF(Q1079="","",Q1079-R1079)</f>
        <v>0</v>
      </c>
      <c r="T1079" s="33" t="n">
        <f aca="false">IF(S1079="","",MAX(0,-S1079))</f>
        <v>-0</v>
      </c>
      <c r="U1079" s="33" t="n">
        <f aca="false">IF(S1079="","",MAX(0,S1079))</f>
        <v>0</v>
      </c>
      <c r="V1079" s="11" t="str">
        <f aca="false">IF(J1079="","NOT SCORED - NO JULY MONTHLY ROW",IF(OR(ABS(L1079)&gt;0.005,ABS(O1079)&gt;0.005,ABS(S1079)&gt;0.005),"EXCEPTION","OK"))</f>
        <v>OK</v>
      </c>
      <c r="W1079" s="11" t="s">
        <v>6971</v>
      </c>
      <c r="X1079" s="11" t="s">
        <v>4099</v>
      </c>
      <c r="Y1079" s="33" t="n">
        <f aca="false">K1079*N1079</f>
        <v>332.8</v>
      </c>
    </row>
    <row r="1080" customFormat="false" ht="15" hidden="false" customHeight="false" outlineLevel="0" collapsed="false">
      <c r="A1080" s="8" t="s">
        <v>6972</v>
      </c>
      <c r="B1080" s="8" t="s">
        <v>200</v>
      </c>
      <c r="C1080" s="8" t="s">
        <v>5306</v>
      </c>
      <c r="D1080" s="8" t="s">
        <v>3297</v>
      </c>
      <c r="E1080" s="8" t="s">
        <v>6973</v>
      </c>
      <c r="F1080" s="8" t="s">
        <v>6974</v>
      </c>
      <c r="G1080" s="8" t="s">
        <v>3500</v>
      </c>
      <c r="H1080" s="8" t="n">
        <v>40</v>
      </c>
      <c r="I1080" s="34" t="n">
        <v>20.9</v>
      </c>
      <c r="J1080" s="34" t="n">
        <v>40</v>
      </c>
      <c r="K1080" s="34" t="n">
        <f aca="false">MAX(ROUNDUP(I1080,0),H1080)</f>
        <v>40</v>
      </c>
      <c r="L1080" s="34" t="n">
        <f aca="false">IF(J1080="","",J1080-K1080)</f>
        <v>0</v>
      </c>
      <c r="M1080" s="35" t="n">
        <v>10.4</v>
      </c>
      <c r="N1080" s="35" t="n">
        <f aca="false">IF(C1080="covered",10.4,7.55)</f>
        <v>10.4</v>
      </c>
      <c r="O1080" s="35" t="n">
        <f aca="false">IF(M1080="","",M1080-N1080)</f>
        <v>0</v>
      </c>
      <c r="P1080" s="8" t="n">
        <v>1</v>
      </c>
      <c r="Q1080" s="36" t="n">
        <v>416</v>
      </c>
      <c r="R1080" s="36" t="n">
        <f aca="false">IF(OR(J1080="",P1080=""),"",K1080*N1080*P1080)</f>
        <v>416</v>
      </c>
      <c r="S1080" s="36" t="n">
        <f aca="false">IF(Q1080="","",Q1080-R1080)</f>
        <v>0</v>
      </c>
      <c r="T1080" s="36" t="n">
        <f aca="false">IF(S1080="","",MAX(0,-S1080))</f>
        <v>-0</v>
      </c>
      <c r="U1080" s="36" t="n">
        <f aca="false">IF(S1080="","",MAX(0,S1080))</f>
        <v>0</v>
      </c>
      <c r="V1080" s="8" t="str">
        <f aca="false">IF(J1080="","NOT SCORED - NO JULY MONTHLY ROW",IF(OR(ABS(L1080)&gt;0.005,ABS(O1080)&gt;0.005,ABS(S1080)&gt;0.005),"EXCEPTION","OK"))</f>
        <v>OK</v>
      </c>
      <c r="W1080" s="8" t="s">
        <v>6975</v>
      </c>
      <c r="X1080" s="8" t="s">
        <v>4099</v>
      </c>
      <c r="Y1080" s="36" t="n">
        <f aca="false">K1080*N1080</f>
        <v>416</v>
      </c>
    </row>
    <row r="1081" customFormat="false" ht="15" hidden="false" customHeight="false" outlineLevel="0" collapsed="false">
      <c r="A1081" s="11" t="s">
        <v>6976</v>
      </c>
      <c r="B1081" s="11" t="s">
        <v>200</v>
      </c>
      <c r="C1081" s="11" t="s">
        <v>5306</v>
      </c>
      <c r="D1081" s="11" t="s">
        <v>3301</v>
      </c>
      <c r="E1081" s="11" t="s">
        <v>6977</v>
      </c>
      <c r="F1081" s="11" t="s">
        <v>6978</v>
      </c>
      <c r="G1081" s="11" t="s">
        <v>4116</v>
      </c>
      <c r="H1081" s="11" t="n">
        <v>28</v>
      </c>
      <c r="I1081" s="31" t="n">
        <v>60</v>
      </c>
      <c r="J1081" s="31" t="n">
        <v>60</v>
      </c>
      <c r="K1081" s="31" t="n">
        <f aca="false">MAX(ROUNDUP(I1081,0),H1081)</f>
        <v>60</v>
      </c>
      <c r="L1081" s="31" t="n">
        <f aca="false">IF(J1081="","",J1081-K1081)</f>
        <v>0</v>
      </c>
      <c r="M1081" s="32" t="n">
        <v>10.4</v>
      </c>
      <c r="N1081" s="32" t="n">
        <f aca="false">IF(C1081="covered",10.4,7.55)</f>
        <v>10.4</v>
      </c>
      <c r="O1081" s="32" t="n">
        <f aca="false">IF(M1081="","",M1081-N1081)</f>
        <v>0</v>
      </c>
      <c r="P1081" s="11" t="n">
        <v>1</v>
      </c>
      <c r="Q1081" s="33" t="n">
        <v>624</v>
      </c>
      <c r="R1081" s="33" t="n">
        <f aca="false">IF(OR(J1081="",P1081=""),"",K1081*N1081*P1081)</f>
        <v>624</v>
      </c>
      <c r="S1081" s="33" t="n">
        <f aca="false">IF(Q1081="","",Q1081-R1081)</f>
        <v>0</v>
      </c>
      <c r="T1081" s="33" t="n">
        <f aca="false">IF(S1081="","",MAX(0,-S1081))</f>
        <v>-0</v>
      </c>
      <c r="U1081" s="33" t="n">
        <f aca="false">IF(S1081="","",MAX(0,S1081))</f>
        <v>0</v>
      </c>
      <c r="V1081" s="11" t="str">
        <f aca="false">IF(J1081="","NOT SCORED - NO JULY MONTHLY ROW",IF(OR(ABS(L1081)&gt;0.005,ABS(O1081)&gt;0.005,ABS(S1081)&gt;0.005),"EXCEPTION","OK"))</f>
        <v>OK</v>
      </c>
      <c r="W1081" s="11" t="s">
        <v>6979</v>
      </c>
      <c r="X1081" s="11" t="s">
        <v>4099</v>
      </c>
      <c r="Y1081" s="33" t="n">
        <f aca="false">K1081*N1081</f>
        <v>624</v>
      </c>
    </row>
    <row r="1082" customFormat="false" ht="15" hidden="false" customHeight="false" outlineLevel="0" collapsed="false">
      <c r="A1082" s="8" t="s">
        <v>6980</v>
      </c>
      <c r="B1082" s="8" t="s">
        <v>200</v>
      </c>
      <c r="C1082" s="8" t="s">
        <v>5306</v>
      </c>
      <c r="D1082" s="8" t="s">
        <v>3310</v>
      </c>
      <c r="E1082" s="8" t="s">
        <v>6981</v>
      </c>
      <c r="F1082" s="8" t="s">
        <v>6982</v>
      </c>
      <c r="G1082" s="8" t="s">
        <v>3992</v>
      </c>
      <c r="H1082" s="8" t="n">
        <v>28</v>
      </c>
      <c r="I1082" s="34" t="n">
        <v>35.9</v>
      </c>
      <c r="J1082" s="34" t="n">
        <v>36</v>
      </c>
      <c r="K1082" s="34" t="n">
        <f aca="false">MAX(ROUNDUP(I1082,0),H1082)</f>
        <v>36</v>
      </c>
      <c r="L1082" s="34" t="n">
        <f aca="false">IF(J1082="","",J1082-K1082)</f>
        <v>0</v>
      </c>
      <c r="M1082" s="35" t="n">
        <v>10.4</v>
      </c>
      <c r="N1082" s="35" t="n">
        <f aca="false">IF(C1082="covered",10.4,7.55)</f>
        <v>10.4</v>
      </c>
      <c r="O1082" s="35" t="n">
        <f aca="false">IF(M1082="","",M1082-N1082)</f>
        <v>0</v>
      </c>
      <c r="P1082" s="8" t="n">
        <v>1</v>
      </c>
      <c r="Q1082" s="36" t="n">
        <v>374.4</v>
      </c>
      <c r="R1082" s="36" t="n">
        <f aca="false">IF(OR(J1082="",P1082=""),"",K1082*N1082*P1082)</f>
        <v>374.4</v>
      </c>
      <c r="S1082" s="36" t="n">
        <f aca="false">IF(Q1082="","",Q1082-R1082)</f>
        <v>0</v>
      </c>
      <c r="T1082" s="36" t="n">
        <f aca="false">IF(S1082="","",MAX(0,-S1082))</f>
        <v>-0</v>
      </c>
      <c r="U1082" s="36" t="n">
        <f aca="false">IF(S1082="","",MAX(0,S1082))</f>
        <v>0</v>
      </c>
      <c r="V1082" s="8" t="str">
        <f aca="false">IF(J1082="","NOT SCORED - NO JULY MONTHLY ROW",IF(OR(ABS(L1082)&gt;0.005,ABS(O1082)&gt;0.005,ABS(S1082)&gt;0.005),"EXCEPTION","OK"))</f>
        <v>OK</v>
      </c>
      <c r="W1082" s="8" t="s">
        <v>6983</v>
      </c>
      <c r="X1082" s="8" t="s">
        <v>4099</v>
      </c>
      <c r="Y1082" s="36" t="n">
        <f aca="false">K1082*N1082</f>
        <v>374.4</v>
      </c>
    </row>
    <row r="1083" customFormat="false" ht="15" hidden="false" customHeight="false" outlineLevel="0" collapsed="false">
      <c r="A1083" s="11" t="s">
        <v>6984</v>
      </c>
      <c r="B1083" s="11" t="s">
        <v>200</v>
      </c>
      <c r="C1083" s="11" t="s">
        <v>5306</v>
      </c>
      <c r="D1083" s="11" t="s">
        <v>3315</v>
      </c>
      <c r="E1083" s="11" t="s">
        <v>2325</v>
      </c>
      <c r="F1083" s="11" t="s">
        <v>6985</v>
      </c>
      <c r="G1083" s="11" t="s">
        <v>6735</v>
      </c>
      <c r="H1083" s="11" t="n">
        <v>28</v>
      </c>
      <c r="I1083" s="31" t="n">
        <v>56.3</v>
      </c>
      <c r="J1083" s="31" t="n">
        <v>57</v>
      </c>
      <c r="K1083" s="31" t="n">
        <f aca="false">MAX(ROUNDUP(I1083,0),H1083)</f>
        <v>57</v>
      </c>
      <c r="L1083" s="31" t="n">
        <f aca="false">IF(J1083="","",J1083-K1083)</f>
        <v>0</v>
      </c>
      <c r="M1083" s="32" t="n">
        <v>10.4</v>
      </c>
      <c r="N1083" s="32" t="n">
        <f aca="false">IF(C1083="covered",10.4,7.55)</f>
        <v>10.4</v>
      </c>
      <c r="O1083" s="32" t="n">
        <f aca="false">IF(M1083="","",M1083-N1083)</f>
        <v>0</v>
      </c>
      <c r="P1083" s="11" t="n">
        <v>1</v>
      </c>
      <c r="Q1083" s="33" t="n">
        <v>592.8</v>
      </c>
      <c r="R1083" s="33" t="n">
        <f aca="false">IF(OR(J1083="",P1083=""),"",K1083*N1083*P1083)</f>
        <v>592.8</v>
      </c>
      <c r="S1083" s="33" t="n">
        <f aca="false">IF(Q1083="","",Q1083-R1083)</f>
        <v>0</v>
      </c>
      <c r="T1083" s="33" t="n">
        <f aca="false">IF(S1083="","",MAX(0,-S1083))</f>
        <v>-0</v>
      </c>
      <c r="U1083" s="33" t="n">
        <f aca="false">IF(S1083="","",MAX(0,S1083))</f>
        <v>0</v>
      </c>
      <c r="V1083" s="11" t="str">
        <f aca="false">IF(J1083="","NOT SCORED - NO JULY MONTHLY ROW",IF(OR(ABS(L1083)&gt;0.005,ABS(O1083)&gt;0.005,ABS(S1083)&gt;0.005),"EXCEPTION","OK"))</f>
        <v>OK</v>
      </c>
      <c r="W1083" s="11" t="s">
        <v>6986</v>
      </c>
      <c r="X1083" s="11" t="s">
        <v>4099</v>
      </c>
      <c r="Y1083" s="33" t="n">
        <f aca="false">K1083*N1083</f>
        <v>592.8</v>
      </c>
    </row>
    <row r="1084" customFormat="false" ht="15" hidden="false" customHeight="false" outlineLevel="0" collapsed="false">
      <c r="A1084" s="8" t="s">
        <v>6987</v>
      </c>
      <c r="B1084" s="8" t="s">
        <v>200</v>
      </c>
      <c r="C1084" s="8" t="s">
        <v>5306</v>
      </c>
      <c r="D1084" s="8" t="s">
        <v>3320</v>
      </c>
      <c r="E1084" s="8" t="s">
        <v>6988</v>
      </c>
      <c r="F1084" s="8" t="s">
        <v>6989</v>
      </c>
      <c r="G1084" s="8" t="s">
        <v>3132</v>
      </c>
      <c r="H1084" s="8" t="n">
        <v>24</v>
      </c>
      <c r="I1084" s="34" t="n">
        <v>28.1</v>
      </c>
      <c r="J1084" s="34" t="n">
        <v>29</v>
      </c>
      <c r="K1084" s="34" t="n">
        <f aca="false">MAX(ROUNDUP(I1084,0),H1084)</f>
        <v>29</v>
      </c>
      <c r="L1084" s="34" t="n">
        <f aca="false">IF(J1084="","",J1084-K1084)</f>
        <v>0</v>
      </c>
      <c r="M1084" s="35" t="n">
        <v>10.4</v>
      </c>
      <c r="N1084" s="35" t="n">
        <f aca="false">IF(C1084="covered",10.4,7.55)</f>
        <v>10.4</v>
      </c>
      <c r="O1084" s="35" t="n">
        <f aca="false">IF(M1084="","",M1084-N1084)</f>
        <v>0</v>
      </c>
      <c r="P1084" s="8" t="n">
        <v>1</v>
      </c>
      <c r="Q1084" s="36" t="n">
        <v>301.6</v>
      </c>
      <c r="R1084" s="36" t="n">
        <f aca="false">IF(OR(J1084="",P1084=""),"",K1084*N1084*P1084)</f>
        <v>301.6</v>
      </c>
      <c r="S1084" s="36" t="n">
        <f aca="false">IF(Q1084="","",Q1084-R1084)</f>
        <v>0</v>
      </c>
      <c r="T1084" s="36" t="n">
        <f aca="false">IF(S1084="","",MAX(0,-S1084))</f>
        <v>-0</v>
      </c>
      <c r="U1084" s="36" t="n">
        <f aca="false">IF(S1084="","",MAX(0,S1084))</f>
        <v>0</v>
      </c>
      <c r="V1084" s="8" t="str">
        <f aca="false">IF(J1084="","NOT SCORED - NO JULY MONTHLY ROW",IF(OR(ABS(L1084)&gt;0.005,ABS(O1084)&gt;0.005,ABS(S1084)&gt;0.005),"EXCEPTION","OK"))</f>
        <v>OK</v>
      </c>
      <c r="W1084" s="8" t="s">
        <v>6990</v>
      </c>
      <c r="X1084" s="8" t="s">
        <v>4099</v>
      </c>
      <c r="Y1084" s="36" t="n">
        <f aca="false">K1084*N1084</f>
        <v>301.6</v>
      </c>
    </row>
    <row r="1085" customFormat="false" ht="15" hidden="false" customHeight="false" outlineLevel="0" collapsed="false">
      <c r="A1085" s="11" t="s">
        <v>6991</v>
      </c>
      <c r="B1085" s="11" t="s">
        <v>200</v>
      </c>
      <c r="C1085" s="11" t="s">
        <v>5306</v>
      </c>
      <c r="D1085" s="11" t="s">
        <v>3324</v>
      </c>
      <c r="E1085" s="11" t="s">
        <v>6992</v>
      </c>
      <c r="F1085" s="11" t="s">
        <v>6993</v>
      </c>
      <c r="G1085" s="11" t="s">
        <v>4251</v>
      </c>
      <c r="H1085" s="11" t="n">
        <v>36</v>
      </c>
      <c r="I1085" s="31" t="n">
        <v>46.3</v>
      </c>
      <c r="J1085" s="31" t="n">
        <v>47</v>
      </c>
      <c r="K1085" s="31" t="n">
        <f aca="false">MAX(ROUNDUP(I1085,0),H1085)</f>
        <v>47</v>
      </c>
      <c r="L1085" s="31" t="n">
        <f aca="false">IF(J1085="","",J1085-K1085)</f>
        <v>0</v>
      </c>
      <c r="M1085" s="32" t="n">
        <v>10.4</v>
      </c>
      <c r="N1085" s="32" t="n">
        <f aca="false">IF(C1085="covered",10.4,7.55)</f>
        <v>10.4</v>
      </c>
      <c r="O1085" s="32" t="n">
        <f aca="false">IF(M1085="","",M1085-N1085)</f>
        <v>0</v>
      </c>
      <c r="P1085" s="11" t="n">
        <v>1</v>
      </c>
      <c r="Q1085" s="33" t="n">
        <v>488.8</v>
      </c>
      <c r="R1085" s="33" t="n">
        <f aca="false">IF(OR(J1085="",P1085=""),"",K1085*N1085*P1085)</f>
        <v>488.8</v>
      </c>
      <c r="S1085" s="33" t="n">
        <f aca="false">IF(Q1085="","",Q1085-R1085)</f>
        <v>0</v>
      </c>
      <c r="T1085" s="33" t="n">
        <f aca="false">IF(S1085="","",MAX(0,-S1085))</f>
        <v>-0</v>
      </c>
      <c r="U1085" s="33" t="n">
        <f aca="false">IF(S1085="","",MAX(0,S1085))</f>
        <v>0</v>
      </c>
      <c r="V1085" s="11" t="str">
        <f aca="false">IF(J1085="","NOT SCORED - NO JULY MONTHLY ROW",IF(OR(ABS(L1085)&gt;0.005,ABS(O1085)&gt;0.005,ABS(S1085)&gt;0.005),"EXCEPTION","OK"))</f>
        <v>OK</v>
      </c>
      <c r="W1085" s="11" t="s">
        <v>6994</v>
      </c>
      <c r="X1085" s="11" t="s">
        <v>4099</v>
      </c>
      <c r="Y1085" s="33" t="n">
        <f aca="false">K1085*N1085</f>
        <v>488.8</v>
      </c>
    </row>
    <row r="1086" customFormat="false" ht="15" hidden="false" customHeight="false" outlineLevel="0" collapsed="false">
      <c r="A1086" s="8" t="s">
        <v>1099</v>
      </c>
      <c r="B1086" s="8" t="s">
        <v>200</v>
      </c>
      <c r="C1086" s="8" t="s">
        <v>5306</v>
      </c>
      <c r="D1086" s="8" t="s">
        <v>3328</v>
      </c>
      <c r="E1086" s="8" t="s">
        <v>6995</v>
      </c>
      <c r="F1086" s="8" t="s">
        <v>6996</v>
      </c>
      <c r="G1086" s="8" t="s">
        <v>5119</v>
      </c>
      <c r="H1086" s="8" t="n">
        <v>36</v>
      </c>
      <c r="I1086" s="34" t="n">
        <v>49.2</v>
      </c>
      <c r="J1086" s="34" t="n">
        <v>50</v>
      </c>
      <c r="K1086" s="34" t="n">
        <f aca="false">MAX(ROUNDUP(I1086,0),H1086)</f>
        <v>50</v>
      </c>
      <c r="L1086" s="34" t="n">
        <f aca="false">IF(J1086="","",J1086-K1086)</f>
        <v>0</v>
      </c>
      <c r="M1086" s="35" t="n">
        <v>10.4</v>
      </c>
      <c r="N1086" s="35" t="n">
        <f aca="false">IF(C1086="covered",10.4,7.55)</f>
        <v>10.4</v>
      </c>
      <c r="O1086" s="35" t="n">
        <f aca="false">IF(M1086="","",M1086-N1086)</f>
        <v>0</v>
      </c>
      <c r="P1086" s="8" t="n">
        <v>1</v>
      </c>
      <c r="Q1086" s="36" t="n">
        <v>520</v>
      </c>
      <c r="R1086" s="36" t="n">
        <f aca="false">IF(OR(J1086="",P1086=""),"",K1086*N1086*P1086)</f>
        <v>520</v>
      </c>
      <c r="S1086" s="36" t="n">
        <f aca="false">IF(Q1086="","",Q1086-R1086)</f>
        <v>0</v>
      </c>
      <c r="T1086" s="36" t="n">
        <f aca="false">IF(S1086="","",MAX(0,-S1086))</f>
        <v>-0</v>
      </c>
      <c r="U1086" s="36" t="n">
        <f aca="false">IF(S1086="","",MAX(0,S1086))</f>
        <v>0</v>
      </c>
      <c r="V1086" s="8" t="str">
        <f aca="false">IF(J1086="","NOT SCORED - NO JULY MONTHLY ROW",IF(OR(ABS(L1086)&gt;0.005,ABS(O1086)&gt;0.005,ABS(S1086)&gt;0.005),"EXCEPTION","OK"))</f>
        <v>OK</v>
      </c>
      <c r="W1086" s="8" t="s">
        <v>6997</v>
      </c>
      <c r="X1086" s="8" t="s">
        <v>4099</v>
      </c>
      <c r="Y1086" s="36" t="n">
        <f aca="false">K1086*N1086</f>
        <v>520</v>
      </c>
    </row>
    <row r="1087" customFormat="false" ht="15" hidden="false" customHeight="false" outlineLevel="0" collapsed="false">
      <c r="A1087" s="11" t="s">
        <v>6998</v>
      </c>
      <c r="B1087" s="11" t="s">
        <v>200</v>
      </c>
      <c r="C1087" s="11" t="s">
        <v>5306</v>
      </c>
      <c r="D1087" s="11" t="s">
        <v>3333</v>
      </c>
      <c r="E1087" s="11" t="s">
        <v>6999</v>
      </c>
      <c r="F1087" s="11" t="s">
        <v>7000</v>
      </c>
      <c r="G1087" s="11" t="s">
        <v>3204</v>
      </c>
      <c r="H1087" s="11" t="n">
        <v>28</v>
      </c>
      <c r="I1087" s="31" t="n">
        <v>43.3</v>
      </c>
      <c r="J1087" s="31" t="n">
        <v>44</v>
      </c>
      <c r="K1087" s="31" t="n">
        <f aca="false">MAX(ROUNDUP(I1087,0),H1087)</f>
        <v>44</v>
      </c>
      <c r="L1087" s="31" t="n">
        <f aca="false">IF(J1087="","",J1087-K1087)</f>
        <v>0</v>
      </c>
      <c r="M1087" s="32" t="n">
        <v>10.4</v>
      </c>
      <c r="N1087" s="32" t="n">
        <f aca="false">IF(C1087="covered",10.4,7.55)</f>
        <v>10.4</v>
      </c>
      <c r="O1087" s="32" t="n">
        <f aca="false">IF(M1087="","",M1087-N1087)</f>
        <v>0</v>
      </c>
      <c r="P1087" s="11" t="n">
        <v>1</v>
      </c>
      <c r="Q1087" s="33" t="n">
        <v>457.6</v>
      </c>
      <c r="R1087" s="33" t="n">
        <f aca="false">IF(OR(J1087="",P1087=""),"",K1087*N1087*P1087)</f>
        <v>457.6</v>
      </c>
      <c r="S1087" s="33" t="n">
        <f aca="false">IF(Q1087="","",Q1087-R1087)</f>
        <v>0</v>
      </c>
      <c r="T1087" s="33" t="n">
        <f aca="false">IF(S1087="","",MAX(0,-S1087))</f>
        <v>-0</v>
      </c>
      <c r="U1087" s="33" t="n">
        <f aca="false">IF(S1087="","",MAX(0,S1087))</f>
        <v>0</v>
      </c>
      <c r="V1087" s="11" t="str">
        <f aca="false">IF(J1087="","NOT SCORED - NO JULY MONTHLY ROW",IF(OR(ABS(L1087)&gt;0.005,ABS(O1087)&gt;0.005,ABS(S1087)&gt;0.005),"EXCEPTION","OK"))</f>
        <v>OK</v>
      </c>
      <c r="W1087" s="11" t="s">
        <v>7001</v>
      </c>
      <c r="X1087" s="11" t="s">
        <v>4099</v>
      </c>
      <c r="Y1087" s="33" t="n">
        <f aca="false">K1087*N1087</f>
        <v>457.6</v>
      </c>
    </row>
    <row r="1088" customFormat="false" ht="15" hidden="false" customHeight="false" outlineLevel="0" collapsed="false">
      <c r="A1088" s="8" t="s">
        <v>7002</v>
      </c>
      <c r="B1088" s="8" t="s">
        <v>200</v>
      </c>
      <c r="C1088" s="8" t="s">
        <v>5306</v>
      </c>
      <c r="D1088" s="8" t="s">
        <v>3336</v>
      </c>
      <c r="E1088" s="8" t="s">
        <v>7003</v>
      </c>
      <c r="F1088" s="8" t="s">
        <v>7004</v>
      </c>
      <c r="G1088" s="8" t="s">
        <v>5235</v>
      </c>
      <c r="H1088" s="8" t="n">
        <v>24</v>
      </c>
      <c r="I1088" s="34" t="n">
        <v>48.1</v>
      </c>
      <c r="J1088" s="34" t="n">
        <v>49</v>
      </c>
      <c r="K1088" s="34" t="n">
        <f aca="false">MAX(ROUNDUP(I1088,0),H1088)</f>
        <v>49</v>
      </c>
      <c r="L1088" s="34" t="n">
        <f aca="false">IF(J1088="","",J1088-K1088)</f>
        <v>0</v>
      </c>
      <c r="M1088" s="35" t="n">
        <v>10.4</v>
      </c>
      <c r="N1088" s="35" t="n">
        <f aca="false">IF(C1088="covered",10.4,7.55)</f>
        <v>10.4</v>
      </c>
      <c r="O1088" s="35" t="n">
        <f aca="false">IF(M1088="","",M1088-N1088)</f>
        <v>0</v>
      </c>
      <c r="P1088" s="8" t="n">
        <v>1</v>
      </c>
      <c r="Q1088" s="36" t="n">
        <v>509.6</v>
      </c>
      <c r="R1088" s="36" t="n">
        <f aca="false">IF(OR(J1088="",P1088=""),"",K1088*N1088*P1088)</f>
        <v>509.6</v>
      </c>
      <c r="S1088" s="36" t="n">
        <f aca="false">IF(Q1088="","",Q1088-R1088)</f>
        <v>0</v>
      </c>
      <c r="T1088" s="36" t="n">
        <f aca="false">IF(S1088="","",MAX(0,-S1088))</f>
        <v>-0</v>
      </c>
      <c r="U1088" s="36" t="n">
        <f aca="false">IF(S1088="","",MAX(0,S1088))</f>
        <v>0</v>
      </c>
      <c r="V1088" s="8" t="str">
        <f aca="false">IF(J1088="","NOT SCORED - NO JULY MONTHLY ROW",IF(OR(ABS(L1088)&gt;0.005,ABS(O1088)&gt;0.005,ABS(S1088)&gt;0.005),"EXCEPTION","OK"))</f>
        <v>OK</v>
      </c>
      <c r="W1088" s="8" t="s">
        <v>7005</v>
      </c>
      <c r="X1088" s="8" t="s">
        <v>4099</v>
      </c>
      <c r="Y1088" s="36" t="n">
        <f aca="false">K1088*N1088</f>
        <v>509.6</v>
      </c>
    </row>
    <row r="1089" customFormat="false" ht="15" hidden="false" customHeight="false" outlineLevel="0" collapsed="false">
      <c r="A1089" s="11" t="s">
        <v>7006</v>
      </c>
      <c r="B1089" s="11" t="s">
        <v>200</v>
      </c>
      <c r="C1089" s="11" t="s">
        <v>5306</v>
      </c>
      <c r="D1089" s="11" t="s">
        <v>3341</v>
      </c>
      <c r="E1089" s="11" t="s">
        <v>7007</v>
      </c>
      <c r="F1089" s="11" t="s">
        <v>7008</v>
      </c>
      <c r="G1089" s="11" t="s">
        <v>5243</v>
      </c>
      <c r="H1089" s="11" t="n">
        <v>40</v>
      </c>
      <c r="I1089" s="31" t="n">
        <v>28.3</v>
      </c>
      <c r="J1089" s="31" t="n">
        <v>40</v>
      </c>
      <c r="K1089" s="31" t="n">
        <f aca="false">MAX(ROUNDUP(I1089,0),H1089)</f>
        <v>40</v>
      </c>
      <c r="L1089" s="31" t="n">
        <f aca="false">IF(J1089="","",J1089-K1089)</f>
        <v>0</v>
      </c>
      <c r="M1089" s="32" t="n">
        <v>10.4</v>
      </c>
      <c r="N1089" s="32" t="n">
        <f aca="false">IF(C1089="covered",10.4,7.55)</f>
        <v>10.4</v>
      </c>
      <c r="O1089" s="32" t="n">
        <f aca="false">IF(M1089="","",M1089-N1089)</f>
        <v>0</v>
      </c>
      <c r="P1089" s="11" t="n">
        <v>1</v>
      </c>
      <c r="Q1089" s="33" t="n">
        <v>416</v>
      </c>
      <c r="R1089" s="33" t="n">
        <f aca="false">IF(OR(J1089="",P1089=""),"",K1089*N1089*P1089)</f>
        <v>416</v>
      </c>
      <c r="S1089" s="33" t="n">
        <f aca="false">IF(Q1089="","",Q1089-R1089)</f>
        <v>0</v>
      </c>
      <c r="T1089" s="33" t="n">
        <f aca="false">IF(S1089="","",MAX(0,-S1089))</f>
        <v>-0</v>
      </c>
      <c r="U1089" s="33" t="n">
        <f aca="false">IF(S1089="","",MAX(0,S1089))</f>
        <v>0</v>
      </c>
      <c r="V1089" s="11" t="str">
        <f aca="false">IF(J1089="","NOT SCORED - NO JULY MONTHLY ROW",IF(OR(ABS(L1089)&gt;0.005,ABS(O1089)&gt;0.005,ABS(S1089)&gt;0.005),"EXCEPTION","OK"))</f>
        <v>OK</v>
      </c>
      <c r="W1089" s="11" t="s">
        <v>7009</v>
      </c>
      <c r="X1089" s="11" t="s">
        <v>4099</v>
      </c>
      <c r="Y1089" s="33" t="n">
        <f aca="false">K1089*N1089</f>
        <v>416</v>
      </c>
    </row>
    <row r="1090" customFormat="false" ht="15" hidden="false" customHeight="false" outlineLevel="0" collapsed="false">
      <c r="A1090" s="8" t="s">
        <v>7010</v>
      </c>
      <c r="B1090" s="8" t="s">
        <v>200</v>
      </c>
      <c r="C1090" s="8" t="s">
        <v>5306</v>
      </c>
      <c r="D1090" s="8" t="s">
        <v>3345</v>
      </c>
      <c r="E1090" s="8" t="s">
        <v>2344</v>
      </c>
      <c r="F1090" s="8" t="s">
        <v>7011</v>
      </c>
      <c r="G1090" s="8" t="s">
        <v>3964</v>
      </c>
      <c r="H1090" s="8" t="n">
        <v>40</v>
      </c>
      <c r="I1090" s="34" t="n">
        <v>57.4</v>
      </c>
      <c r="J1090" s="34" t="n">
        <v>58</v>
      </c>
      <c r="K1090" s="34" t="n">
        <f aca="false">MAX(ROUNDUP(I1090,0),H1090)</f>
        <v>58</v>
      </c>
      <c r="L1090" s="34" t="n">
        <f aca="false">IF(J1090="","",J1090-K1090)</f>
        <v>0</v>
      </c>
      <c r="M1090" s="35" t="n">
        <v>10.4</v>
      </c>
      <c r="N1090" s="35" t="n">
        <f aca="false">IF(C1090="covered",10.4,7.55)</f>
        <v>10.4</v>
      </c>
      <c r="O1090" s="35" t="n">
        <f aca="false">IF(M1090="","",M1090-N1090)</f>
        <v>0</v>
      </c>
      <c r="P1090" s="8" t="n">
        <v>1</v>
      </c>
      <c r="Q1090" s="36" t="n">
        <v>603.2</v>
      </c>
      <c r="R1090" s="36" t="n">
        <f aca="false">IF(OR(J1090="",P1090=""),"",K1090*N1090*P1090)</f>
        <v>603.2</v>
      </c>
      <c r="S1090" s="36" t="n">
        <f aca="false">IF(Q1090="","",Q1090-R1090)</f>
        <v>0</v>
      </c>
      <c r="T1090" s="36" t="n">
        <f aca="false">IF(S1090="","",MAX(0,-S1090))</f>
        <v>-0</v>
      </c>
      <c r="U1090" s="36" t="n">
        <f aca="false">IF(S1090="","",MAX(0,S1090))</f>
        <v>0</v>
      </c>
      <c r="V1090" s="8" t="str">
        <f aca="false">IF(J1090="","NOT SCORED - NO JULY MONTHLY ROW",IF(OR(ABS(L1090)&gt;0.005,ABS(O1090)&gt;0.005,ABS(S1090)&gt;0.005),"EXCEPTION","OK"))</f>
        <v>OK</v>
      </c>
      <c r="W1090" s="8" t="s">
        <v>7012</v>
      </c>
      <c r="X1090" s="8" t="s">
        <v>4099</v>
      </c>
      <c r="Y1090" s="36" t="n">
        <f aca="false">K1090*N1090</f>
        <v>603.2</v>
      </c>
    </row>
    <row r="1091" customFormat="false" ht="15" hidden="false" customHeight="false" outlineLevel="0" collapsed="false">
      <c r="A1091" s="11" t="s">
        <v>7013</v>
      </c>
      <c r="B1091" s="11" t="s">
        <v>200</v>
      </c>
      <c r="C1091" s="11" t="s">
        <v>5306</v>
      </c>
      <c r="D1091" s="11" t="s">
        <v>3349</v>
      </c>
      <c r="E1091" s="11" t="s">
        <v>7014</v>
      </c>
      <c r="F1091" s="11" t="s">
        <v>7015</v>
      </c>
      <c r="G1091" s="11" t="s">
        <v>3156</v>
      </c>
      <c r="H1091" s="11" t="n">
        <v>28</v>
      </c>
      <c r="I1091" s="31" t="n">
        <v>21</v>
      </c>
      <c r="J1091" s="31" t="n">
        <v>28</v>
      </c>
      <c r="K1091" s="31" t="n">
        <f aca="false">MAX(ROUNDUP(I1091,0),H1091)</f>
        <v>28</v>
      </c>
      <c r="L1091" s="31" t="n">
        <f aca="false">IF(J1091="","",J1091-K1091)</f>
        <v>0</v>
      </c>
      <c r="M1091" s="32" t="n">
        <v>10.4</v>
      </c>
      <c r="N1091" s="32" t="n">
        <f aca="false">IF(C1091="covered",10.4,7.55)</f>
        <v>10.4</v>
      </c>
      <c r="O1091" s="32" t="n">
        <f aca="false">IF(M1091="","",M1091-N1091)</f>
        <v>0</v>
      </c>
      <c r="P1091" s="11" t="n">
        <v>1</v>
      </c>
      <c r="Q1091" s="33" t="n">
        <v>291.2</v>
      </c>
      <c r="R1091" s="33" t="n">
        <f aca="false">IF(OR(J1091="",P1091=""),"",K1091*N1091*P1091)</f>
        <v>291.2</v>
      </c>
      <c r="S1091" s="33" t="n">
        <f aca="false">IF(Q1091="","",Q1091-R1091)</f>
        <v>0</v>
      </c>
      <c r="T1091" s="33" t="n">
        <f aca="false">IF(S1091="","",MAX(0,-S1091))</f>
        <v>-0</v>
      </c>
      <c r="U1091" s="33" t="n">
        <f aca="false">IF(S1091="","",MAX(0,S1091))</f>
        <v>0</v>
      </c>
      <c r="V1091" s="11" t="str">
        <f aca="false">IF(J1091="","NOT SCORED - NO JULY MONTHLY ROW",IF(OR(ABS(L1091)&gt;0.005,ABS(O1091)&gt;0.005,ABS(S1091)&gt;0.005),"EXCEPTION","OK"))</f>
        <v>OK</v>
      </c>
      <c r="W1091" s="11" t="s">
        <v>7016</v>
      </c>
      <c r="X1091" s="11" t="s">
        <v>4099</v>
      </c>
      <c r="Y1091" s="33" t="n">
        <f aca="false">K1091*N1091</f>
        <v>291.2</v>
      </c>
    </row>
    <row r="1092" customFormat="false" ht="15" hidden="false" customHeight="false" outlineLevel="0" collapsed="false">
      <c r="A1092" s="8" t="s">
        <v>1573</v>
      </c>
      <c r="B1092" s="8" t="s">
        <v>200</v>
      </c>
      <c r="C1092" s="8" t="s">
        <v>5306</v>
      </c>
      <c r="D1092" s="8" t="s">
        <v>3354</v>
      </c>
      <c r="E1092" s="8" t="s">
        <v>1365</v>
      </c>
      <c r="F1092" s="8" t="s">
        <v>1366</v>
      </c>
      <c r="G1092" s="8" t="s">
        <v>3453</v>
      </c>
      <c r="H1092" s="8" t="n">
        <v>36</v>
      </c>
      <c r="I1092" s="34" t="n">
        <v>32.3</v>
      </c>
      <c r="J1092" s="34" t="n">
        <v>36</v>
      </c>
      <c r="K1092" s="34" t="n">
        <f aca="false">MAX(ROUNDUP(I1092,0),H1092)</f>
        <v>36</v>
      </c>
      <c r="L1092" s="34" t="n">
        <f aca="false">IF(J1092="","",J1092-K1092)</f>
        <v>0</v>
      </c>
      <c r="M1092" s="35" t="n">
        <v>10.4</v>
      </c>
      <c r="N1092" s="35" t="n">
        <f aca="false">IF(C1092="covered",10.4,7.55)</f>
        <v>10.4</v>
      </c>
      <c r="O1092" s="35" t="n">
        <f aca="false">IF(M1092="","",M1092-N1092)</f>
        <v>0</v>
      </c>
      <c r="P1092" s="8" t="n">
        <v>1</v>
      </c>
      <c r="Q1092" s="36" t="n">
        <v>374.4</v>
      </c>
      <c r="R1092" s="36" t="n">
        <f aca="false">IF(OR(J1092="",P1092=""),"",K1092*N1092*P1092)</f>
        <v>374.4</v>
      </c>
      <c r="S1092" s="36" t="n">
        <f aca="false">IF(Q1092="","",Q1092-R1092)</f>
        <v>0</v>
      </c>
      <c r="T1092" s="36" t="n">
        <f aca="false">IF(S1092="","",MAX(0,-S1092))</f>
        <v>-0</v>
      </c>
      <c r="U1092" s="36" t="n">
        <f aca="false">IF(S1092="","",MAX(0,S1092))</f>
        <v>0</v>
      </c>
      <c r="V1092" s="8" t="str">
        <f aca="false">IF(J1092="","NOT SCORED - NO JULY MONTHLY ROW",IF(OR(ABS(L1092)&gt;0.005,ABS(O1092)&gt;0.005,ABS(S1092)&gt;0.005),"EXCEPTION","OK"))</f>
        <v>OK</v>
      </c>
      <c r="W1092" s="8" t="s">
        <v>7017</v>
      </c>
      <c r="X1092" s="8" t="s">
        <v>4099</v>
      </c>
      <c r="Y1092" s="36" t="n">
        <f aca="false">K1092*N1092</f>
        <v>374.4</v>
      </c>
    </row>
    <row r="1093" customFormat="false" ht="15" hidden="false" customHeight="false" outlineLevel="0" collapsed="false">
      <c r="A1093" s="11" t="s">
        <v>7018</v>
      </c>
      <c r="B1093" s="11" t="s">
        <v>200</v>
      </c>
      <c r="C1093" s="11" t="s">
        <v>5306</v>
      </c>
      <c r="D1093" s="11" t="s">
        <v>3359</v>
      </c>
      <c r="E1093" s="11" t="s">
        <v>7019</v>
      </c>
      <c r="F1093" s="11" t="s">
        <v>7020</v>
      </c>
      <c r="G1093" s="11" t="s">
        <v>3403</v>
      </c>
      <c r="H1093" s="11" t="n">
        <v>36</v>
      </c>
      <c r="I1093" s="31" t="n">
        <v>38.1</v>
      </c>
      <c r="J1093" s="31" t="n">
        <v>39</v>
      </c>
      <c r="K1093" s="31" t="n">
        <f aca="false">MAX(ROUNDUP(I1093,0),H1093)</f>
        <v>39</v>
      </c>
      <c r="L1093" s="31" t="n">
        <f aca="false">IF(J1093="","",J1093-K1093)</f>
        <v>0</v>
      </c>
      <c r="M1093" s="32" t="n">
        <v>10.4</v>
      </c>
      <c r="N1093" s="32" t="n">
        <f aca="false">IF(C1093="covered",10.4,7.55)</f>
        <v>10.4</v>
      </c>
      <c r="O1093" s="32" t="n">
        <f aca="false">IF(M1093="","",M1093-N1093)</f>
        <v>0</v>
      </c>
      <c r="P1093" s="11" t="n">
        <v>1</v>
      </c>
      <c r="Q1093" s="33" t="n">
        <v>405.6</v>
      </c>
      <c r="R1093" s="33" t="n">
        <f aca="false">IF(OR(J1093="",P1093=""),"",K1093*N1093*P1093)</f>
        <v>405.6</v>
      </c>
      <c r="S1093" s="33" t="n">
        <f aca="false">IF(Q1093="","",Q1093-R1093)</f>
        <v>0</v>
      </c>
      <c r="T1093" s="33" t="n">
        <f aca="false">IF(S1093="","",MAX(0,-S1093))</f>
        <v>-0</v>
      </c>
      <c r="U1093" s="33" t="n">
        <f aca="false">IF(S1093="","",MAX(0,S1093))</f>
        <v>0</v>
      </c>
      <c r="V1093" s="11" t="str">
        <f aca="false">IF(J1093="","NOT SCORED - NO JULY MONTHLY ROW",IF(OR(ABS(L1093)&gt;0.005,ABS(O1093)&gt;0.005,ABS(S1093)&gt;0.005),"EXCEPTION","OK"))</f>
        <v>OK</v>
      </c>
      <c r="W1093" s="11" t="s">
        <v>7021</v>
      </c>
      <c r="X1093" s="11" t="s">
        <v>4099</v>
      </c>
      <c r="Y1093" s="33" t="n">
        <f aca="false">K1093*N1093</f>
        <v>405.6</v>
      </c>
    </row>
    <row r="1094" customFormat="false" ht="15" hidden="false" customHeight="false" outlineLevel="0" collapsed="false">
      <c r="A1094" s="8" t="s">
        <v>7022</v>
      </c>
      <c r="B1094" s="8" t="s">
        <v>200</v>
      </c>
      <c r="C1094" s="8" t="s">
        <v>5306</v>
      </c>
      <c r="D1094" s="8" t="s">
        <v>3363</v>
      </c>
      <c r="E1094" s="8" t="s">
        <v>2017</v>
      </c>
      <c r="F1094" s="8" t="s">
        <v>2018</v>
      </c>
      <c r="G1094" s="8" t="s">
        <v>5060</v>
      </c>
      <c r="H1094" s="8" t="n">
        <v>24</v>
      </c>
      <c r="I1094" s="34" t="n">
        <v>50</v>
      </c>
      <c r="J1094" s="34" t="n">
        <v>50</v>
      </c>
      <c r="K1094" s="34" t="n">
        <f aca="false">MAX(ROUNDUP(I1094,0),H1094)</f>
        <v>50</v>
      </c>
      <c r="L1094" s="34" t="n">
        <f aca="false">IF(J1094="","",J1094-K1094)</f>
        <v>0</v>
      </c>
      <c r="M1094" s="35" t="n">
        <v>10.4</v>
      </c>
      <c r="N1094" s="35" t="n">
        <f aca="false">IF(C1094="covered",10.4,7.55)</f>
        <v>10.4</v>
      </c>
      <c r="O1094" s="35" t="n">
        <f aca="false">IF(M1094="","",M1094-N1094)</f>
        <v>0</v>
      </c>
      <c r="P1094" s="8" t="n">
        <v>1</v>
      </c>
      <c r="Q1094" s="36" t="n">
        <v>520</v>
      </c>
      <c r="R1094" s="36" t="n">
        <f aca="false">IF(OR(J1094="",P1094=""),"",K1094*N1094*P1094)</f>
        <v>520</v>
      </c>
      <c r="S1094" s="36" t="n">
        <f aca="false">IF(Q1094="","",Q1094-R1094)</f>
        <v>0</v>
      </c>
      <c r="T1094" s="36" t="n">
        <f aca="false">IF(S1094="","",MAX(0,-S1094))</f>
        <v>-0</v>
      </c>
      <c r="U1094" s="36" t="n">
        <f aca="false">IF(S1094="","",MAX(0,S1094))</f>
        <v>0</v>
      </c>
      <c r="V1094" s="8" t="str">
        <f aca="false">IF(J1094="","NOT SCORED - NO JULY MONTHLY ROW",IF(OR(ABS(L1094)&gt;0.005,ABS(O1094)&gt;0.005,ABS(S1094)&gt;0.005),"EXCEPTION","OK"))</f>
        <v>OK</v>
      </c>
      <c r="W1094" s="8" t="s">
        <v>7023</v>
      </c>
      <c r="X1094" s="8" t="s">
        <v>4099</v>
      </c>
      <c r="Y1094" s="36" t="n">
        <f aca="false">K1094*N1094</f>
        <v>520</v>
      </c>
    </row>
    <row r="1095" customFormat="false" ht="15" hidden="false" customHeight="false" outlineLevel="0" collapsed="false">
      <c r="A1095" s="11" t="s">
        <v>7024</v>
      </c>
      <c r="B1095" s="11" t="s">
        <v>200</v>
      </c>
      <c r="C1095" s="11" t="s">
        <v>5306</v>
      </c>
      <c r="D1095" s="11" t="s">
        <v>3367</v>
      </c>
      <c r="E1095" s="11" t="s">
        <v>7025</v>
      </c>
      <c r="F1095" s="11" t="s">
        <v>7026</v>
      </c>
      <c r="G1095" s="11" t="s">
        <v>3079</v>
      </c>
      <c r="H1095" s="11" t="n">
        <v>24</v>
      </c>
      <c r="I1095" s="31" t="n">
        <v>34.6</v>
      </c>
      <c r="J1095" s="31" t="n">
        <v>35</v>
      </c>
      <c r="K1095" s="31" t="n">
        <f aca="false">MAX(ROUNDUP(I1095,0),H1095)</f>
        <v>35</v>
      </c>
      <c r="L1095" s="31" t="n">
        <f aca="false">IF(J1095="","",J1095-K1095)</f>
        <v>0</v>
      </c>
      <c r="M1095" s="32" t="n">
        <v>10.4</v>
      </c>
      <c r="N1095" s="32" t="n">
        <f aca="false">IF(C1095="covered",10.4,7.55)</f>
        <v>10.4</v>
      </c>
      <c r="O1095" s="32" t="n">
        <f aca="false">IF(M1095="","",M1095-N1095)</f>
        <v>0</v>
      </c>
      <c r="P1095" s="11" t="n">
        <v>1</v>
      </c>
      <c r="Q1095" s="33" t="n">
        <v>364</v>
      </c>
      <c r="R1095" s="33" t="n">
        <f aca="false">IF(OR(J1095="",P1095=""),"",K1095*N1095*P1095)</f>
        <v>364</v>
      </c>
      <c r="S1095" s="33" t="n">
        <f aca="false">IF(Q1095="","",Q1095-R1095)</f>
        <v>0</v>
      </c>
      <c r="T1095" s="33" t="n">
        <f aca="false">IF(S1095="","",MAX(0,-S1095))</f>
        <v>-0</v>
      </c>
      <c r="U1095" s="33" t="n">
        <f aca="false">IF(S1095="","",MAX(0,S1095))</f>
        <v>0</v>
      </c>
      <c r="V1095" s="11" t="str">
        <f aca="false">IF(J1095="","NOT SCORED - NO JULY MONTHLY ROW",IF(OR(ABS(L1095)&gt;0.005,ABS(O1095)&gt;0.005,ABS(S1095)&gt;0.005),"EXCEPTION","OK"))</f>
        <v>OK</v>
      </c>
      <c r="W1095" s="11" t="s">
        <v>7027</v>
      </c>
      <c r="X1095" s="11" t="s">
        <v>4099</v>
      </c>
      <c r="Y1095" s="33" t="n">
        <f aca="false">K1095*N1095</f>
        <v>364</v>
      </c>
    </row>
    <row r="1096" customFormat="false" ht="15" hidden="false" customHeight="false" outlineLevel="0" collapsed="false">
      <c r="A1096" s="8" t="s">
        <v>7028</v>
      </c>
      <c r="B1096" s="8" t="s">
        <v>200</v>
      </c>
      <c r="C1096" s="8" t="s">
        <v>5306</v>
      </c>
      <c r="D1096" s="8" t="s">
        <v>3370</v>
      </c>
      <c r="E1096" s="8" t="s">
        <v>462</v>
      </c>
      <c r="F1096" s="8" t="s">
        <v>463</v>
      </c>
      <c r="G1096" s="8" t="s">
        <v>7029</v>
      </c>
      <c r="H1096" s="8" t="n">
        <v>36</v>
      </c>
      <c r="I1096" s="34" t="n">
        <v>51.9</v>
      </c>
      <c r="J1096" s="34" t="n">
        <v>52</v>
      </c>
      <c r="K1096" s="34" t="n">
        <f aca="false">MAX(ROUNDUP(I1096,0),H1096)</f>
        <v>52</v>
      </c>
      <c r="L1096" s="34" t="n">
        <f aca="false">IF(J1096="","",J1096-K1096)</f>
        <v>0</v>
      </c>
      <c r="M1096" s="35" t="n">
        <v>10.4</v>
      </c>
      <c r="N1096" s="35" t="n">
        <f aca="false">IF(C1096="covered",10.4,7.55)</f>
        <v>10.4</v>
      </c>
      <c r="O1096" s="35" t="n">
        <f aca="false">IF(M1096="","",M1096-N1096)</f>
        <v>0</v>
      </c>
      <c r="P1096" s="8" t="n">
        <v>1</v>
      </c>
      <c r="Q1096" s="36" t="n">
        <v>540.8</v>
      </c>
      <c r="R1096" s="36" t="n">
        <f aca="false">IF(OR(J1096="",P1096=""),"",K1096*N1096*P1096)</f>
        <v>540.8</v>
      </c>
      <c r="S1096" s="36" t="n">
        <f aca="false">IF(Q1096="","",Q1096-R1096)</f>
        <v>0</v>
      </c>
      <c r="T1096" s="36" t="n">
        <f aca="false">IF(S1096="","",MAX(0,-S1096))</f>
        <v>-0</v>
      </c>
      <c r="U1096" s="36" t="n">
        <f aca="false">IF(S1096="","",MAX(0,S1096))</f>
        <v>0</v>
      </c>
      <c r="V1096" s="8" t="str">
        <f aca="false">IF(J1096="","NOT SCORED - NO JULY MONTHLY ROW",IF(OR(ABS(L1096)&gt;0.005,ABS(O1096)&gt;0.005,ABS(S1096)&gt;0.005),"EXCEPTION","OK"))</f>
        <v>OK</v>
      </c>
      <c r="W1096" s="8" t="s">
        <v>7030</v>
      </c>
      <c r="X1096" s="8" t="s">
        <v>4099</v>
      </c>
      <c r="Y1096" s="36" t="n">
        <f aca="false">K1096*N1096</f>
        <v>540.8</v>
      </c>
    </row>
    <row r="1097" customFormat="false" ht="15" hidden="false" customHeight="false" outlineLevel="0" collapsed="false">
      <c r="A1097" s="11" t="s">
        <v>7031</v>
      </c>
      <c r="B1097" s="11" t="s">
        <v>200</v>
      </c>
      <c r="C1097" s="11" t="s">
        <v>5306</v>
      </c>
      <c r="D1097" s="11" t="s">
        <v>3373</v>
      </c>
      <c r="E1097" s="11" t="s">
        <v>7032</v>
      </c>
      <c r="F1097" s="11" t="s">
        <v>7033</v>
      </c>
      <c r="G1097" s="11" t="s">
        <v>3782</v>
      </c>
      <c r="H1097" s="11" t="n">
        <v>24</v>
      </c>
      <c r="I1097" s="31" t="n">
        <v>33.4</v>
      </c>
      <c r="J1097" s="31" t="n">
        <v>34</v>
      </c>
      <c r="K1097" s="31" t="n">
        <f aca="false">MAX(ROUNDUP(I1097,0),H1097)</f>
        <v>34</v>
      </c>
      <c r="L1097" s="31" t="n">
        <f aca="false">IF(J1097="","",J1097-K1097)</f>
        <v>0</v>
      </c>
      <c r="M1097" s="32" t="n">
        <v>10.4</v>
      </c>
      <c r="N1097" s="32" t="n">
        <f aca="false">IF(C1097="covered",10.4,7.55)</f>
        <v>10.4</v>
      </c>
      <c r="O1097" s="32" t="n">
        <f aca="false">IF(M1097="","",M1097-N1097)</f>
        <v>0</v>
      </c>
      <c r="P1097" s="11" t="n">
        <v>1</v>
      </c>
      <c r="Q1097" s="33" t="n">
        <v>353.6</v>
      </c>
      <c r="R1097" s="33" t="n">
        <f aca="false">IF(OR(J1097="",P1097=""),"",K1097*N1097*P1097)</f>
        <v>353.6</v>
      </c>
      <c r="S1097" s="33" t="n">
        <f aca="false">IF(Q1097="","",Q1097-R1097)</f>
        <v>0</v>
      </c>
      <c r="T1097" s="33" t="n">
        <f aca="false">IF(S1097="","",MAX(0,-S1097))</f>
        <v>-0</v>
      </c>
      <c r="U1097" s="33" t="n">
        <f aca="false">IF(S1097="","",MAX(0,S1097))</f>
        <v>0</v>
      </c>
      <c r="V1097" s="11" t="str">
        <f aca="false">IF(J1097="","NOT SCORED - NO JULY MONTHLY ROW",IF(OR(ABS(L1097)&gt;0.005,ABS(O1097)&gt;0.005,ABS(S1097)&gt;0.005),"EXCEPTION","OK"))</f>
        <v>OK</v>
      </c>
      <c r="W1097" s="11" t="s">
        <v>7034</v>
      </c>
      <c r="X1097" s="11" t="s">
        <v>4099</v>
      </c>
      <c r="Y1097" s="33" t="n">
        <f aca="false">K1097*N1097</f>
        <v>353.6</v>
      </c>
    </row>
    <row r="1098" customFormat="false" ht="15" hidden="false" customHeight="false" outlineLevel="0" collapsed="false">
      <c r="A1098" s="8" t="s">
        <v>7035</v>
      </c>
      <c r="B1098" s="8" t="s">
        <v>200</v>
      </c>
      <c r="C1098" s="8" t="s">
        <v>5306</v>
      </c>
      <c r="D1098" s="8" t="s">
        <v>3377</v>
      </c>
      <c r="E1098" s="8" t="s">
        <v>7036</v>
      </c>
      <c r="F1098" s="8" t="s">
        <v>7037</v>
      </c>
      <c r="G1098" s="8" t="s">
        <v>4123</v>
      </c>
      <c r="H1098" s="8" t="n">
        <v>40</v>
      </c>
      <c r="I1098" s="34" t="n">
        <v>36.8</v>
      </c>
      <c r="J1098" s="34" t="n">
        <v>40</v>
      </c>
      <c r="K1098" s="34" t="n">
        <f aca="false">MAX(ROUNDUP(I1098,0),H1098)</f>
        <v>40</v>
      </c>
      <c r="L1098" s="34" t="n">
        <f aca="false">IF(J1098="","",J1098-K1098)</f>
        <v>0</v>
      </c>
      <c r="M1098" s="35" t="n">
        <v>10.4</v>
      </c>
      <c r="N1098" s="35" t="n">
        <f aca="false">IF(C1098="covered",10.4,7.55)</f>
        <v>10.4</v>
      </c>
      <c r="O1098" s="35" t="n">
        <f aca="false">IF(M1098="","",M1098-N1098)</f>
        <v>0</v>
      </c>
      <c r="P1098" s="8" t="n">
        <v>1</v>
      </c>
      <c r="Q1098" s="36" t="n">
        <v>416</v>
      </c>
      <c r="R1098" s="36" t="n">
        <f aca="false">IF(OR(J1098="",P1098=""),"",K1098*N1098*P1098)</f>
        <v>416</v>
      </c>
      <c r="S1098" s="36" t="n">
        <f aca="false">IF(Q1098="","",Q1098-R1098)</f>
        <v>0</v>
      </c>
      <c r="T1098" s="36" t="n">
        <f aca="false">IF(S1098="","",MAX(0,-S1098))</f>
        <v>-0</v>
      </c>
      <c r="U1098" s="36" t="n">
        <f aca="false">IF(S1098="","",MAX(0,S1098))</f>
        <v>0</v>
      </c>
      <c r="V1098" s="8" t="str">
        <f aca="false">IF(J1098="","NOT SCORED - NO JULY MONTHLY ROW",IF(OR(ABS(L1098)&gt;0.005,ABS(O1098)&gt;0.005,ABS(S1098)&gt;0.005),"EXCEPTION","OK"))</f>
        <v>OK</v>
      </c>
      <c r="W1098" s="8" t="s">
        <v>7038</v>
      </c>
      <c r="X1098" s="8" t="s">
        <v>4099</v>
      </c>
      <c r="Y1098" s="36" t="n">
        <f aca="false">K1098*N1098</f>
        <v>416</v>
      </c>
    </row>
    <row r="1099" customFormat="false" ht="15" hidden="false" customHeight="false" outlineLevel="0" collapsed="false">
      <c r="A1099" s="11" t="s">
        <v>946</v>
      </c>
      <c r="B1099" s="11" t="s">
        <v>200</v>
      </c>
      <c r="C1099" s="11" t="s">
        <v>5306</v>
      </c>
      <c r="D1099" s="11" t="s">
        <v>3382</v>
      </c>
      <c r="E1099" s="11" t="s">
        <v>7039</v>
      </c>
      <c r="F1099" s="11" t="s">
        <v>7040</v>
      </c>
      <c r="G1099" s="11" t="s">
        <v>3069</v>
      </c>
      <c r="H1099" s="11" t="n">
        <v>40</v>
      </c>
      <c r="I1099" s="31" t="n">
        <v>40.5</v>
      </c>
      <c r="J1099" s="31" t="n">
        <v>41</v>
      </c>
      <c r="K1099" s="31" t="n">
        <f aca="false">MAX(ROUNDUP(I1099,0),H1099)</f>
        <v>41</v>
      </c>
      <c r="L1099" s="31" t="n">
        <f aca="false">IF(J1099="","",J1099-K1099)</f>
        <v>0</v>
      </c>
      <c r="M1099" s="32" t="n">
        <v>10.4</v>
      </c>
      <c r="N1099" s="32" t="n">
        <f aca="false">IF(C1099="covered",10.4,7.55)</f>
        <v>10.4</v>
      </c>
      <c r="O1099" s="32" t="n">
        <f aca="false">IF(M1099="","",M1099-N1099)</f>
        <v>0</v>
      </c>
      <c r="P1099" s="11" t="n">
        <v>1</v>
      </c>
      <c r="Q1099" s="33" t="n">
        <v>426.4</v>
      </c>
      <c r="R1099" s="33" t="n">
        <f aca="false">IF(OR(J1099="",P1099=""),"",K1099*N1099*P1099)</f>
        <v>426.4</v>
      </c>
      <c r="S1099" s="33" t="n">
        <f aca="false">IF(Q1099="","",Q1099-R1099)</f>
        <v>0</v>
      </c>
      <c r="T1099" s="33" t="n">
        <f aca="false">IF(S1099="","",MAX(0,-S1099))</f>
        <v>-0</v>
      </c>
      <c r="U1099" s="33" t="n">
        <f aca="false">IF(S1099="","",MAX(0,S1099))</f>
        <v>0</v>
      </c>
      <c r="V1099" s="11" t="str">
        <f aca="false">IF(J1099="","NOT SCORED - NO JULY MONTHLY ROW",IF(OR(ABS(L1099)&gt;0.005,ABS(O1099)&gt;0.005,ABS(S1099)&gt;0.005),"EXCEPTION","OK"))</f>
        <v>OK</v>
      </c>
      <c r="W1099" s="11" t="s">
        <v>7041</v>
      </c>
      <c r="X1099" s="11" t="s">
        <v>4099</v>
      </c>
      <c r="Y1099" s="33" t="n">
        <f aca="false">K1099*N1099</f>
        <v>426.4</v>
      </c>
    </row>
    <row r="1100" customFormat="false" ht="15" hidden="false" customHeight="false" outlineLevel="0" collapsed="false">
      <c r="A1100" s="8" t="s">
        <v>7042</v>
      </c>
      <c r="B1100" s="8" t="s">
        <v>200</v>
      </c>
      <c r="C1100" s="8" t="s">
        <v>5306</v>
      </c>
      <c r="D1100" s="8" t="s">
        <v>4947</v>
      </c>
      <c r="E1100" s="8" t="s">
        <v>7043</v>
      </c>
      <c r="F1100" s="8" t="s">
        <v>7044</v>
      </c>
      <c r="G1100" s="8" t="s">
        <v>3677</v>
      </c>
      <c r="H1100" s="8" t="n">
        <v>36</v>
      </c>
      <c r="I1100" s="34" t="n">
        <v>56.3</v>
      </c>
      <c r="J1100" s="34" t="n">
        <v>57</v>
      </c>
      <c r="K1100" s="34" t="n">
        <f aca="false">MAX(ROUNDUP(I1100,0),H1100)</f>
        <v>57</v>
      </c>
      <c r="L1100" s="34" t="n">
        <f aca="false">IF(J1100="","",J1100-K1100)</f>
        <v>0</v>
      </c>
      <c r="M1100" s="35" t="n">
        <v>10.4</v>
      </c>
      <c r="N1100" s="35" t="n">
        <f aca="false">IF(C1100="covered",10.4,7.55)</f>
        <v>10.4</v>
      </c>
      <c r="O1100" s="35" t="n">
        <f aca="false">IF(M1100="","",M1100-N1100)</f>
        <v>0</v>
      </c>
      <c r="P1100" s="8" t="n">
        <v>1</v>
      </c>
      <c r="Q1100" s="36" t="n">
        <v>592.8</v>
      </c>
      <c r="R1100" s="36" t="n">
        <f aca="false">IF(OR(J1100="",P1100=""),"",K1100*N1100*P1100)</f>
        <v>592.8</v>
      </c>
      <c r="S1100" s="36" t="n">
        <f aca="false">IF(Q1100="","",Q1100-R1100)</f>
        <v>0</v>
      </c>
      <c r="T1100" s="36" t="n">
        <f aca="false">IF(S1100="","",MAX(0,-S1100))</f>
        <v>-0</v>
      </c>
      <c r="U1100" s="36" t="n">
        <f aca="false">IF(S1100="","",MAX(0,S1100))</f>
        <v>0</v>
      </c>
      <c r="V1100" s="8" t="str">
        <f aca="false">IF(J1100="","NOT SCORED - NO JULY MONTHLY ROW",IF(OR(ABS(L1100)&gt;0.005,ABS(O1100)&gt;0.005,ABS(S1100)&gt;0.005),"EXCEPTION","OK"))</f>
        <v>OK</v>
      </c>
      <c r="W1100" s="8" t="s">
        <v>7045</v>
      </c>
      <c r="X1100" s="8" t="s">
        <v>4099</v>
      </c>
      <c r="Y1100" s="36" t="n">
        <f aca="false">K1100*N1100</f>
        <v>592.8</v>
      </c>
    </row>
    <row r="1101" customFormat="false" ht="15" hidden="false" customHeight="false" outlineLevel="0" collapsed="false">
      <c r="A1101" s="11" t="s">
        <v>278</v>
      </c>
      <c r="B1101" s="11" t="s">
        <v>200</v>
      </c>
      <c r="C1101" s="11" t="s">
        <v>5306</v>
      </c>
      <c r="D1101" s="11" t="s">
        <v>3387</v>
      </c>
      <c r="E1101" s="11" t="s">
        <v>7046</v>
      </c>
      <c r="F1101" s="11" t="s">
        <v>7047</v>
      </c>
      <c r="G1101" s="11" t="s">
        <v>4209</v>
      </c>
      <c r="H1101" s="11" t="n">
        <v>28</v>
      </c>
      <c r="I1101" s="31" t="n">
        <v>29.6</v>
      </c>
      <c r="J1101" s="31" t="n">
        <v>30</v>
      </c>
      <c r="K1101" s="31" t="n">
        <f aca="false">MAX(ROUNDUP(I1101,0),H1101)</f>
        <v>30</v>
      </c>
      <c r="L1101" s="31" t="n">
        <f aca="false">IF(J1101="","",J1101-K1101)</f>
        <v>0</v>
      </c>
      <c r="M1101" s="32" t="n">
        <v>10.4</v>
      </c>
      <c r="N1101" s="32" t="n">
        <f aca="false">IF(C1101="covered",10.4,7.55)</f>
        <v>10.4</v>
      </c>
      <c r="O1101" s="32" t="n">
        <f aca="false">IF(M1101="","",M1101-N1101)</f>
        <v>0</v>
      </c>
      <c r="P1101" s="11" t="n">
        <v>1</v>
      </c>
      <c r="Q1101" s="33" t="n">
        <v>312</v>
      </c>
      <c r="R1101" s="33" t="n">
        <f aca="false">IF(OR(J1101="",P1101=""),"",K1101*N1101*P1101)</f>
        <v>312</v>
      </c>
      <c r="S1101" s="33" t="n">
        <f aca="false">IF(Q1101="","",Q1101-R1101)</f>
        <v>0</v>
      </c>
      <c r="T1101" s="33" t="n">
        <f aca="false">IF(S1101="","",MAX(0,-S1101))</f>
        <v>-0</v>
      </c>
      <c r="U1101" s="33" t="n">
        <f aca="false">IF(S1101="","",MAX(0,S1101))</f>
        <v>0</v>
      </c>
      <c r="V1101" s="11" t="str">
        <f aca="false">IF(J1101="","NOT SCORED - NO JULY MONTHLY ROW",IF(OR(ABS(L1101)&gt;0.005,ABS(O1101)&gt;0.005,ABS(S1101)&gt;0.005),"EXCEPTION","OK"))</f>
        <v>OK</v>
      </c>
      <c r="W1101" s="11" t="s">
        <v>7048</v>
      </c>
      <c r="X1101" s="11" t="s">
        <v>4099</v>
      </c>
      <c r="Y1101" s="33" t="n">
        <f aca="false">K1101*N1101</f>
        <v>312</v>
      </c>
    </row>
    <row r="1102" customFormat="false" ht="15" hidden="false" customHeight="false" outlineLevel="0" collapsed="false">
      <c r="A1102" s="8" t="s">
        <v>7049</v>
      </c>
      <c r="B1102" s="8" t="s">
        <v>200</v>
      </c>
      <c r="C1102" s="8" t="s">
        <v>5306</v>
      </c>
      <c r="D1102" s="8" t="s">
        <v>4956</v>
      </c>
      <c r="E1102" s="8" t="s">
        <v>7050</v>
      </c>
      <c r="F1102" s="8" t="s">
        <v>7051</v>
      </c>
      <c r="G1102" s="8" t="s">
        <v>5837</v>
      </c>
      <c r="H1102" s="8" t="n">
        <v>32</v>
      </c>
      <c r="I1102" s="34" t="n">
        <v>55.7</v>
      </c>
      <c r="J1102" s="34" t="n">
        <v>56</v>
      </c>
      <c r="K1102" s="34" t="n">
        <f aca="false">MAX(ROUNDUP(I1102,0),H1102)</f>
        <v>56</v>
      </c>
      <c r="L1102" s="34" t="n">
        <f aca="false">IF(J1102="","",J1102-K1102)</f>
        <v>0</v>
      </c>
      <c r="M1102" s="35" t="n">
        <v>10.4</v>
      </c>
      <c r="N1102" s="35" t="n">
        <f aca="false">IF(C1102="covered",10.4,7.55)</f>
        <v>10.4</v>
      </c>
      <c r="O1102" s="35" t="n">
        <f aca="false">IF(M1102="","",M1102-N1102)</f>
        <v>0</v>
      </c>
      <c r="P1102" s="8" t="n">
        <v>1</v>
      </c>
      <c r="Q1102" s="36" t="n">
        <v>582.4</v>
      </c>
      <c r="R1102" s="36" t="n">
        <f aca="false">IF(OR(J1102="",P1102=""),"",K1102*N1102*P1102)</f>
        <v>582.4</v>
      </c>
      <c r="S1102" s="36" t="n">
        <f aca="false">IF(Q1102="","",Q1102-R1102)</f>
        <v>0</v>
      </c>
      <c r="T1102" s="36" t="n">
        <f aca="false">IF(S1102="","",MAX(0,-S1102))</f>
        <v>-0</v>
      </c>
      <c r="U1102" s="36" t="n">
        <f aca="false">IF(S1102="","",MAX(0,S1102))</f>
        <v>0</v>
      </c>
      <c r="V1102" s="8" t="str">
        <f aca="false">IF(J1102="","NOT SCORED - NO JULY MONTHLY ROW",IF(OR(ABS(L1102)&gt;0.005,ABS(O1102)&gt;0.005,ABS(S1102)&gt;0.005),"EXCEPTION","OK"))</f>
        <v>OK</v>
      </c>
      <c r="W1102" s="8" t="s">
        <v>7052</v>
      </c>
      <c r="X1102" s="8" t="s">
        <v>4099</v>
      </c>
      <c r="Y1102" s="36" t="n">
        <f aca="false">K1102*N1102</f>
        <v>582.4</v>
      </c>
    </row>
  </sheetData>
  <mergeCells count="4">
    <mergeCell ref="A1:F1"/>
    <mergeCell ref="A2:F2"/>
    <mergeCell ref="A6:F6"/>
    <mergeCell ref="A14:F14"/>
  </mergeCells>
  <conditionalFormatting sqref="V17:V1102">
    <cfRule type="expression" priority="2" aboveAverage="0" equalAverage="0" bottom="0" percent="0" rank="0" text="" dxfId="9">
      <formula>LEFT($V17,9)="NOT SCORE"</formula>
    </cfRule>
    <cfRule type="expression" priority="3" aboveAverage="0" equalAverage="0" bottom="0" percent="0" rank="0" text="" dxfId="8">
      <formula>$V17="EXCEPTION"</formula>
    </cfRule>
  </conditionalFormatting>
  <printOptions headings="false" gridLines="false" gridLinesSet="true" horizontalCentered="false" verticalCentered="false"/>
  <pageMargins left="0.25" right="0.25" top="0.35" bottom="0.35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Chaldale Harbor District | Moorage Audit | August 1, 2026&amp;R&amp;8 Page &amp;P of &amp;N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10" min="5" style="0" width="13"/>
    <col collapsed="false" customWidth="true" hidden="false" outlineLevel="0" max="12" min="11" style="0" width="14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5" min="15" style="0" width="20"/>
    <col collapsed="false" customWidth="true" hidden="false" outlineLevel="0" max="16" min="16" style="0" width="12"/>
    <col collapsed="false" customWidth="true" hidden="false" outlineLevel="0" max="17" min="17" style="0" width="20"/>
  </cols>
  <sheetData>
    <row r="1" customFormat="false" ht="28.5" hidden="false" customHeight="true" outlineLevel="0" collapsed="false">
      <c r="A1" s="1" t="s">
        <v>7053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1" hidden="false" customHeight="true" outlineLevel="0" collapsed="false">
      <c r="A2" s="2" t="s">
        <v>7054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31.5" hidden="false" customHeight="true" outlineLevel="0" collapsed="false">
      <c r="A3" s="22" t="s">
        <v>7055</v>
      </c>
      <c r="B3" s="28" t="n">
        <f aca="false">COUNTA($A$7:$A$12)</f>
        <v>6</v>
      </c>
      <c r="C3" s="22" t="s">
        <v>7056</v>
      </c>
      <c r="D3" s="29" t="n">
        <f aca="false">SUM($H$7:$H$12)</f>
        <v>2932.8</v>
      </c>
      <c r="E3" s="22" t="s">
        <v>7057</v>
      </c>
      <c r="F3" s="29" t="n">
        <f aca="false">SUM($I$7:$I$12)</f>
        <v>1435.2</v>
      </c>
      <c r="G3" s="22" t="s">
        <v>7058</v>
      </c>
      <c r="H3" s="29" t="n">
        <f aca="false">SUM($J$7:$J$12)</f>
        <v>4368</v>
      </c>
      <c r="I3" s="22" t="s">
        <v>7059</v>
      </c>
      <c r="J3" s="29" t="n">
        <f aca="false">SUM($K$7:$K$12)</f>
        <v>13166.4</v>
      </c>
    </row>
    <row r="6" customFormat="false" ht="15" hidden="false" customHeight="false" outlineLevel="0" collapsed="false">
      <c r="A6" s="7" t="s">
        <v>7060</v>
      </c>
      <c r="B6" s="7" t="s">
        <v>2808</v>
      </c>
      <c r="C6" s="7" t="s">
        <v>2805</v>
      </c>
      <c r="D6" s="7" t="s">
        <v>178</v>
      </c>
      <c r="E6" s="7" t="s">
        <v>7061</v>
      </c>
      <c r="F6" s="7" t="s">
        <v>7062</v>
      </c>
      <c r="G6" s="7" t="s">
        <v>7063</v>
      </c>
      <c r="H6" s="7" t="s">
        <v>7064</v>
      </c>
      <c r="I6" s="7" t="s">
        <v>7065</v>
      </c>
      <c r="J6" s="7" t="s">
        <v>7066</v>
      </c>
      <c r="K6" s="7" t="s">
        <v>7067</v>
      </c>
      <c r="L6" s="7" t="s">
        <v>7068</v>
      </c>
      <c r="M6" s="7" t="s">
        <v>7069</v>
      </c>
      <c r="N6" s="7" t="s">
        <v>7070</v>
      </c>
      <c r="O6" s="7" t="s">
        <v>7071</v>
      </c>
      <c r="P6" s="7" t="s">
        <v>7072</v>
      </c>
      <c r="Q6" s="7" t="s">
        <v>41</v>
      </c>
    </row>
    <row r="7" customFormat="false" ht="28.5" hidden="false" customHeight="true" outlineLevel="0" collapsed="false">
      <c r="A7" s="11" t="s">
        <v>7073</v>
      </c>
      <c r="B7" s="11" t="s">
        <v>5385</v>
      </c>
      <c r="C7" s="11" t="s">
        <v>5383</v>
      </c>
      <c r="D7" s="11" t="s">
        <v>211</v>
      </c>
      <c r="E7" s="33" t="n">
        <v>509.6</v>
      </c>
      <c r="F7" s="33" t="n">
        <v>509.6</v>
      </c>
      <c r="G7" s="33" t="n">
        <v>509.6</v>
      </c>
      <c r="H7" s="33" t="n">
        <v>509.6</v>
      </c>
      <c r="I7" s="33" t="n">
        <v>0</v>
      </c>
      <c r="J7" s="33" t="n">
        <f aca="false">H7+I7</f>
        <v>509.6</v>
      </c>
      <c r="K7" s="33" t="n">
        <v>2038.4</v>
      </c>
      <c r="L7" s="11" t="s">
        <v>7074</v>
      </c>
      <c r="M7" s="11" t="s">
        <v>7075</v>
      </c>
      <c r="N7" s="11" t="s">
        <v>2022</v>
      </c>
      <c r="O7" s="11"/>
      <c r="P7" s="11" t="s">
        <v>7076</v>
      </c>
      <c r="Q7" s="37" t="str">
        <f aca="false">IF(I7&gt;0,"Immediate: 120+","High: 91-120")</f>
        <v>High: 91-120</v>
      </c>
    </row>
    <row r="8" customFormat="false" ht="28.5" hidden="false" customHeight="true" outlineLevel="0" collapsed="false">
      <c r="A8" s="8" t="s">
        <v>7077</v>
      </c>
      <c r="B8" s="8" t="s">
        <v>5544</v>
      </c>
      <c r="C8" s="8" t="s">
        <v>485</v>
      </c>
      <c r="D8" s="8" t="s">
        <v>211</v>
      </c>
      <c r="E8" s="36" t="n">
        <v>384.8</v>
      </c>
      <c r="F8" s="36" t="n">
        <v>384.8</v>
      </c>
      <c r="G8" s="36" t="n">
        <v>384.8</v>
      </c>
      <c r="H8" s="36" t="n">
        <v>384.8</v>
      </c>
      <c r="I8" s="36" t="n">
        <v>0</v>
      </c>
      <c r="J8" s="36" t="n">
        <f aca="false">H8+I8</f>
        <v>384.8</v>
      </c>
      <c r="K8" s="36" t="n">
        <v>1539.2</v>
      </c>
      <c r="L8" s="8" t="s">
        <v>7078</v>
      </c>
      <c r="M8" s="8" t="s">
        <v>7075</v>
      </c>
      <c r="N8" s="8" t="s">
        <v>2779</v>
      </c>
      <c r="O8" s="8"/>
      <c r="P8" s="8" t="s">
        <v>7076</v>
      </c>
      <c r="Q8" s="37" t="str">
        <f aca="false">IF(I8&gt;0,"Immediate: 120+","High: 91-120")</f>
        <v>High: 91-120</v>
      </c>
    </row>
    <row r="9" customFormat="false" ht="28.5" hidden="false" customHeight="true" outlineLevel="0" collapsed="false">
      <c r="A9" s="11" t="s">
        <v>7079</v>
      </c>
      <c r="B9" s="11" t="s">
        <v>5711</v>
      </c>
      <c r="C9" s="11" t="s">
        <v>5710</v>
      </c>
      <c r="D9" s="11" t="s">
        <v>211</v>
      </c>
      <c r="E9" s="33" t="n">
        <v>603.2</v>
      </c>
      <c r="F9" s="33" t="n">
        <v>603.2</v>
      </c>
      <c r="G9" s="33" t="n">
        <v>603.2</v>
      </c>
      <c r="H9" s="33" t="n">
        <v>603.2</v>
      </c>
      <c r="I9" s="33" t="n">
        <v>603.2</v>
      </c>
      <c r="J9" s="33" t="n">
        <f aca="false">H9+I9</f>
        <v>1206.4</v>
      </c>
      <c r="K9" s="33" t="n">
        <v>3016</v>
      </c>
      <c r="L9" s="11" t="s">
        <v>7080</v>
      </c>
      <c r="M9" s="11" t="s">
        <v>7075</v>
      </c>
      <c r="N9" s="11" t="s">
        <v>165</v>
      </c>
      <c r="O9" s="11"/>
      <c r="P9" s="11" t="s">
        <v>7076</v>
      </c>
      <c r="Q9" s="38" t="str">
        <f aca="false">IF(I9&gt;0,"Immediate: 120+","High: 91-120")</f>
        <v>Immediate: 120+</v>
      </c>
    </row>
    <row r="10" customFormat="false" ht="28.5" hidden="false" customHeight="true" outlineLevel="0" collapsed="false">
      <c r="A10" s="8" t="s">
        <v>7081</v>
      </c>
      <c r="B10" s="8" t="s">
        <v>5723</v>
      </c>
      <c r="C10" s="8" t="s">
        <v>5721</v>
      </c>
      <c r="D10" s="8" t="s">
        <v>211</v>
      </c>
      <c r="E10" s="36" t="n">
        <v>530.4</v>
      </c>
      <c r="F10" s="36" t="n">
        <v>530.4</v>
      </c>
      <c r="G10" s="36" t="n">
        <v>530.4</v>
      </c>
      <c r="H10" s="36" t="n">
        <v>530.4</v>
      </c>
      <c r="I10" s="36" t="n">
        <v>0</v>
      </c>
      <c r="J10" s="36" t="n">
        <f aca="false">H10+I10</f>
        <v>530.4</v>
      </c>
      <c r="K10" s="36" t="n">
        <v>2121.6</v>
      </c>
      <c r="L10" s="8" t="s">
        <v>1939</v>
      </c>
      <c r="M10" s="8" t="s">
        <v>7075</v>
      </c>
      <c r="N10" s="8" t="s">
        <v>2064</v>
      </c>
      <c r="O10" s="8"/>
      <c r="P10" s="8" t="s">
        <v>7076</v>
      </c>
      <c r="Q10" s="37" t="str">
        <f aca="false">IF(I10&gt;0,"Immediate: 120+","High: 91-120")</f>
        <v>High: 91-120</v>
      </c>
    </row>
    <row r="11" customFormat="false" ht="28.5" hidden="false" customHeight="true" outlineLevel="0" collapsed="false">
      <c r="A11" s="11" t="s">
        <v>7082</v>
      </c>
      <c r="B11" s="11" t="s">
        <v>5845</v>
      </c>
      <c r="C11" s="11" t="s">
        <v>5843</v>
      </c>
      <c r="D11" s="11" t="s">
        <v>211</v>
      </c>
      <c r="E11" s="33" t="n">
        <v>416</v>
      </c>
      <c r="F11" s="33" t="n">
        <v>416</v>
      </c>
      <c r="G11" s="33" t="n">
        <v>416</v>
      </c>
      <c r="H11" s="33" t="n">
        <v>416</v>
      </c>
      <c r="I11" s="33" t="n">
        <v>832</v>
      </c>
      <c r="J11" s="33" t="n">
        <f aca="false">H11+I11</f>
        <v>1248</v>
      </c>
      <c r="K11" s="33" t="n">
        <v>2496</v>
      </c>
      <c r="L11" s="11" t="s">
        <v>7083</v>
      </c>
      <c r="M11" s="11" t="s">
        <v>7075</v>
      </c>
      <c r="N11" s="11" t="s">
        <v>2038</v>
      </c>
      <c r="O11" s="11"/>
      <c r="P11" s="11" t="s">
        <v>7076</v>
      </c>
      <c r="Q11" s="38" t="str">
        <f aca="false">IF(I11&gt;0,"Immediate: 120+","High: 91-120")</f>
        <v>Immediate: 120+</v>
      </c>
    </row>
    <row r="12" customFormat="false" ht="28.5" hidden="false" customHeight="true" outlineLevel="0" collapsed="false">
      <c r="A12" s="8" t="s">
        <v>7084</v>
      </c>
      <c r="B12" s="8" t="s">
        <v>5889</v>
      </c>
      <c r="C12" s="8" t="s">
        <v>5887</v>
      </c>
      <c r="D12" s="8" t="s">
        <v>211</v>
      </c>
      <c r="E12" s="36" t="n">
        <v>488.8</v>
      </c>
      <c r="F12" s="36" t="n">
        <v>488.8</v>
      </c>
      <c r="G12" s="36" t="n">
        <v>488.8</v>
      </c>
      <c r="H12" s="36" t="n">
        <v>488.8</v>
      </c>
      <c r="I12" s="36" t="n">
        <v>0</v>
      </c>
      <c r="J12" s="36" t="n">
        <f aca="false">H12+I12</f>
        <v>488.8</v>
      </c>
      <c r="K12" s="36" t="n">
        <v>1955.2</v>
      </c>
      <c r="L12" s="8" t="s">
        <v>7085</v>
      </c>
      <c r="M12" s="8" t="s">
        <v>7075</v>
      </c>
      <c r="N12" s="8" t="s">
        <v>2045</v>
      </c>
      <c r="O12" s="8"/>
      <c r="P12" s="8" t="s">
        <v>7076</v>
      </c>
      <c r="Q12" s="37" t="str">
        <f aca="false">IF(I12&gt;0,"Immediate: 120+","High: 91-120")</f>
        <v>High: 91-120</v>
      </c>
    </row>
  </sheetData>
  <mergeCells count="2">
    <mergeCell ref="A1:Q1"/>
    <mergeCell ref="A2:Q2"/>
  </mergeCells>
  <printOptions headings="false" gridLines="false" gridLinesSet="true" horizontalCentered="false" verticalCentered="false"/>
  <pageMargins left="0.25" right="0.25" top="0.35" bottom="0.35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Chaldale Harbor District | Moorage Audit | August 1, 2026&amp;R&amp;8 Page &amp;P of &amp;N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2026-09-07T12:32:32Z</dcterms:created>
  <dc:creator>openpyxl</dc:creator>
  <dc:description/>
  <dc:language>en-US</dc:language>
  <cp:lastModifiedBy/>
  <dcterms:modified xsi:type="dcterms:W3CDTF">2026-09-07T12:32:32Z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