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Queue Exceptions" sheetId="2" state="visible" r:id="rId4"/>
    <sheet name="Billing Reconciliations" sheetId="3" state="visible" r:id="rId5"/>
    <sheet name="Aging" sheetId="4" state="visible" r:id="rId6"/>
  </sheets>
  <definedNames>
    <definedName function="false" hidden="false" localSheetId="3" name="_xlnm.Print_Area" vbProcedure="false">Aging!$A$1:$V$265</definedName>
    <definedName function="false" hidden="true" localSheetId="3" name="_xlnm._FilterDatabase" vbProcedure="false">Aging!$A$5:$V$265</definedName>
    <definedName function="false" hidden="false" localSheetId="2" name="_xlnm.Print_Area" vbProcedure="false">'Billing Reconciliations'!$A$1:$AD$1091</definedName>
    <definedName function="false" hidden="true" localSheetId="2" name="_xlnm._FilterDatabase" vbProcedure="false">'Billing Reconciliations'!$A$5:$AD$1091</definedName>
    <definedName function="false" hidden="false" localSheetId="1" name="_xlnm.Print_Area" vbProcedure="false">'Queue Exceptions'!$A$1:$U$492</definedName>
    <definedName function="false" hidden="true" localSheetId="1" name="_xlnm._FilterDatabase" vbProcedure="false">'Queue Exceptions'!$A$5:$U$492</definedName>
    <definedName function="false" hidden="false" localSheetId="0" name="_xlnm.Print_Area" vbProcedure="false">Summary!$A$1:$J$34</definedName>
    <definedName function="false" hidden="false" localSheetId="1" name="_xlnm.Print_Titles" vbProcedure="false">'Queue Exceptions'!1:5</definedName>
    <definedName function="false" hidden="false" localSheetId="2" name="_xlnm.Print_Titles" vbProcedure="false">'Billing Reconciliations'!1:5</definedName>
    <definedName function="false" hidden="false" localSheetId="3" name="_xlnm.Print_Titles" vbProcedure="false">Aging!1:5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<sst xmlns="http://schemas.openxmlformats.org/spreadsheetml/2006/main" count="21885" uniqueCount="9055">
  <si>
    <t xml:space="preserve">Chaldale Moorage Audit | Administrator and Board Review</t>
  </si>
  <si>
    <t xml:space="preserve">Prepared 2026-08-01 | Queue scope 2023-01-01 through 2026-07-31 | Positive billing variance means expected revenue exceeds the supplied export</t>
  </si>
  <si>
    <t xml:space="preserve">Queue and Appeal Risk</t>
  </si>
  <si>
    <t xml:space="preserve">Billing Reconciliation</t>
  </si>
  <si>
    <t xml:space="preserve">Aging and Collections</t>
  </si>
  <si>
    <t xml:space="preserve">Dated skips tested</t>
  </si>
  <si>
    <t xml:space="preserve">Occupied slips</t>
  </si>
  <si>
    <t xml:space="preserve">Ledger accounts supplied</t>
  </si>
  <si>
    <t xml:space="preserve">Skips lacking proof</t>
  </si>
  <si>
    <t xml:space="preserve">Expected July base</t>
  </si>
  <si>
    <t xml:space="preserve">Active accounts absent</t>
  </si>
  <si>
    <t xml:space="preserve">LOA amendments tested</t>
  </si>
  <si>
    <t xml:space="preserve">Exported July base</t>
  </si>
  <si>
    <t xml:space="preserve">&gt;90-day accounts</t>
  </si>
  <si>
    <t xml:space="preserve">Unsupported LOA entries</t>
  </si>
  <si>
    <t xml:space="preserve">Monthly exposure</t>
  </si>
  <si>
    <t xml:space="preserve">&gt;90-day balance</t>
  </si>
  <si>
    <t xml:space="preserve">Unresolved LOA-use cases</t>
  </si>
  <si>
    <t xml:space="preserve">Annualized exposure</t>
  </si>
  <si>
    <t xml:space="preserve">Aging bucket total</t>
  </si>
  <si>
    <t xml:space="preserve">Undated omitted leads</t>
  </si>
  <si>
    <t xml:space="preserve">Missing export lines</t>
  </si>
  <si>
    <t xml:space="preserve">total_due control gap</t>
  </si>
  <si>
    <t xml:space="preserve">Priority 1 items</t>
  </si>
  <si>
    <t xml:space="preserve">Potential commercial uplift</t>
  </si>
  <si>
    <t xml:space="preserve">Rows with total_due errors</t>
  </si>
  <si>
    <t xml:space="preserve">Covered placements &gt;40 ft</t>
  </si>
  <si>
    <t xml:space="preserve">Board Decision Framing</t>
  </si>
  <si>
    <t xml:space="preserve">Categories With No Identified Exception</t>
  </si>
  <si>
    <t xml:space="preserve">Exported billed-line rate and length arithmetic</t>
  </si>
  <si>
    <t xml:space="preserve">Overbilling</t>
  </si>
  <si>
    <t xml:space="preserve">Conclusive use of an unsupported LOA</t>
  </si>
  <si>
    <t xml:space="preserve">Aging accounts without &gt;90-day balances</t>
  </si>
  <si>
    <t xml:space="preserve">Basis, Authority, and Limitations</t>
  </si>
  <si>
    <t xml:space="preserve">Queue test</t>
  </si>
  <si>
    <t xml:space="preserve">skip_events_2022_2026.csv and five in-scope skip PDFs; Standing Order 15-3 sections 3.2-3.3; Appeal 2018-3 p.2. A cover sheet or later review is not proof.</t>
  </si>
  <si>
    <t xml:space="preserve">LOA test</t>
  </si>
  <si>
    <t xml:space="preserve">amendment_log_2022_2026.csv; Resolution 2022-06 p.2 section 4.3 and p.3 section 6.2. The resolution controls prior rules under section 7.2.</t>
  </si>
  <si>
    <t xml:space="preserve">Billing basis</t>
  </si>
  <si>
    <t xml:space="preserve">slip_inventory_2026-08.csv, applicant_register_2026-08.csv, and billing_transactions_2022_2026.csv. Billable feet = greater of rounded-up recorded LOA or nominal slip length.</t>
  </si>
  <si>
    <t xml:space="preserve">Rate basis</t>
  </si>
  <si>
    <t xml:space="preserve">Resolution 2022-06 p.1 sections 1.1-1.3: $10.40 covered and $7.55 open per foot-month from 2022-08-01. Commercial multiplier remains 1.35 under Tariff Resolution 2019-14 section 2.3.</t>
  </si>
  <si>
    <t xml:space="preserve">Aging basis</t>
  </si>
  <si>
    <t xml:space="preserve">ar_aging_2026-07-31.xlsx, AR_Aging rows 3-262. Its Summary sheet labels days_90 as 91-120, so more than 90 days = days_90 + days_120_plus.</t>
  </si>
  <si>
    <t xml:space="preserve">Extract limits</t>
  </si>
  <si>
    <t xml:space="preserve">Billing ends after GW-0501 and aging omits 826 active accounts. Complete July customer subledger, posting-batch control, GL detail, full aging, current agreements, and check-in measurement blocks are required to confirm district-wide loss.</t>
  </si>
  <si>
    <t xml:space="preserve">Scope assumption</t>
  </si>
  <si>
    <t xml:space="preserve">August OCCUPIED inventory is assumed active on 2026-07-31. Base reconciliation excludes tax, electricity, late fees, liveaboard charges, and unverified commercial uplift.</t>
  </si>
  <si>
    <t xml:space="preserve">Queue Exceptions | Skip and LOA Control Testing</t>
  </si>
  <si>
    <t xml:space="preserve">Audit period: 2023-01-01 through 2026-07-31 inclusive</t>
  </si>
  <si>
    <t xml:space="preserve">Population: every dated skip in the skip export and every dated LOA amendment in the amendment log. Two undated leads are displayed but excluded from the dated population.</t>
  </si>
  <si>
    <t xml:space="preserve">Evidence Flag Y ordinarily reflects the source export/log, not a paper-file inspection. Only five in-scope skip PDFs were supplied; filter Exception Status and Appeal Priority for action.</t>
  </si>
  <si>
    <t xml:space="preserve">Record Type</t>
  </si>
  <si>
    <t xml:space="preserve">Event Date</t>
  </si>
  <si>
    <t xml:space="preserve">Record ID</t>
  </si>
  <si>
    <t xml:space="preserve">Offer ID</t>
  </si>
  <si>
    <t xml:space="preserve">Applicant ID</t>
  </si>
  <si>
    <t xml:space="preserve">Applicant Name</t>
  </si>
  <si>
    <t xml:space="preserve">Rank</t>
  </si>
  <si>
    <t xml:space="preserve">Slip ID</t>
  </si>
  <si>
    <t xml:space="preserve">Basin</t>
  </si>
  <si>
    <t xml:space="preserve">Reason / Field</t>
  </si>
  <si>
    <t xml:space="preserve">Old LOA</t>
  </si>
  <si>
    <t xml:space="preserve">New LOA</t>
  </si>
  <si>
    <t xml:space="preserve">Evidence Flag</t>
  </si>
  <si>
    <t xml:space="preserve">Evidence Reference</t>
  </si>
  <si>
    <t xml:space="preserve">Required Standard</t>
  </si>
  <si>
    <t xml:space="preserve">Use Assessment</t>
  </si>
  <si>
    <t xml:space="preserve">Exception Status</t>
  </si>
  <si>
    <t xml:space="preserve">Appeal Priority</t>
  </si>
  <si>
    <t xml:space="preserve">Key Facts</t>
  </si>
  <si>
    <t xml:space="preserve">Source Records</t>
  </si>
  <si>
    <t xml:space="preserve">Governing Authority</t>
  </si>
  <si>
    <t xml:space="preserve">SKIP</t>
  </si>
  <si>
    <t xml:space="preserve">SKP-2023-0095</t>
  </si>
  <si>
    <t xml:space="preserve">OFR-2023-0323</t>
  </si>
  <si>
    <t xml:space="preserve">WL-03099</t>
  </si>
  <si>
    <t xml:space="preserve">Ryan Robertson / Robertson Marine LLC</t>
  </si>
  <si>
    <t xml:space="preserve">LP-0317</t>
  </si>
  <si>
    <t xml:space="preserve">Ledgport</t>
  </si>
  <si>
    <t xml:space="preserve">vessel-fit</t>
  </si>
  <si>
    <t xml:space="preserve">Y</t>
  </si>
  <si>
    <t xml:space="preserve">OTHER_SUPPORT; skip export flag=Y</t>
  </si>
  <si>
    <t xml:space="preserve">Vessel particulars of record relied upon</t>
  </si>
  <si>
    <t xml:space="preserve">NOT APPLICABLE</t>
  </si>
  <si>
    <t xml:space="preserve">skip_events_2022_2026.csv row 96; offer_events_2022_2026.csv row 324</t>
  </si>
  <si>
    <t xml:space="preserve">Standing Order 15-3 sections 3.2-3.3; Appeal 2018-3 p.2 sections III-A and IV-A</t>
  </si>
  <si>
    <t xml:space="preserve">SKP-2023-0096</t>
  </si>
  <si>
    <t xml:space="preserve">OFR-2023-0324</t>
  </si>
  <si>
    <t xml:space="preserve">WL-02685</t>
  </si>
  <si>
    <t xml:space="preserve">Stephanie Hill</t>
  </si>
  <si>
    <t xml:space="preserve">LP-0906</t>
  </si>
  <si>
    <t xml:space="preserve">INSURANCE_DECL; skip export flag=Y</t>
  </si>
  <si>
    <t xml:space="preserve">skip_events_2022_2026.csv row 97; offer_events_2022_2026.csv row 325</t>
  </si>
  <si>
    <t xml:space="preserve">SKP-2023-0098</t>
  </si>
  <si>
    <t xml:space="preserve">OFR-2023-0334</t>
  </si>
  <si>
    <t xml:space="preserve">WL-01959</t>
  </si>
  <si>
    <t xml:space="preserve">Jonathan Moore</t>
  </si>
  <si>
    <t xml:space="preserve">VB-1023</t>
  </si>
  <si>
    <t xml:space="preserve">Vessbank</t>
  </si>
  <si>
    <t xml:space="preserve">not-current</t>
  </si>
  <si>
    <t xml:space="preserve">WRITTEN_STATEMENT; skip export flag=Y</t>
  </si>
  <si>
    <t xml:space="preserve">Ledger or register extract showing the deficiency</t>
  </si>
  <si>
    <t xml:space="preserve">skip_events_2022_2026.csv row 99; offer_events_2022_2026.csv row 335</t>
  </si>
  <si>
    <t xml:space="preserve">SKP-2023-0099</t>
  </si>
  <si>
    <t xml:space="preserve">OFR-2023-0338</t>
  </si>
  <si>
    <t xml:space="preserve">WL-01695</t>
  </si>
  <si>
    <t xml:space="preserve">Antonio Leach</t>
  </si>
  <si>
    <t xml:space="preserve">EW-0203</t>
  </si>
  <si>
    <t xml:space="preserve">Eastwey</t>
  </si>
  <si>
    <t xml:space="preserve">N</t>
  </si>
  <si>
    <t xml:space="preserve">INSURANCE_DECL; skip export flag=N</t>
  </si>
  <si>
    <t xml:space="preserve">No supporting record attached. Later disposition=SUSTAINED; review=GF on 2023-01-13; later review cannot cure the missing same-day record.</t>
  </si>
  <si>
    <t xml:space="preserve">skip_events_2022_2026.csv row 100; offer_events_2022_2026.csv row 339</t>
  </si>
  <si>
    <t xml:space="preserve">SKP-2023-0097</t>
  </si>
  <si>
    <t xml:space="preserve">OFR-2023-0326</t>
  </si>
  <si>
    <t xml:space="preserve">WL-01298</t>
  </si>
  <si>
    <t xml:space="preserve">Jason Boyd / Boyd Marine LLC</t>
  </si>
  <si>
    <t xml:space="preserve">GW-0708</t>
  </si>
  <si>
    <t xml:space="preserve">Gullwing</t>
  </si>
  <si>
    <t xml:space="preserve">skip_events_2022_2026.csv row 98; offer_events_2022_2026.csv row 327</t>
  </si>
  <si>
    <t xml:space="preserve">SKP-2023-0102</t>
  </si>
  <si>
    <t xml:space="preserve">OFR-2023-0346</t>
  </si>
  <si>
    <t xml:space="preserve">WL-03582</t>
  </si>
  <si>
    <t xml:space="preserve">Melissa Jones / Jones Holdings LLC</t>
  </si>
  <si>
    <t xml:space="preserve">GW-0615</t>
  </si>
  <si>
    <t xml:space="preserve">skip_events_2022_2026.csv row 103; offer_events_2022_2026.csv row 347</t>
  </si>
  <si>
    <t xml:space="preserve">SKP-2023-0103</t>
  </si>
  <si>
    <t xml:space="preserve">OFR-2023-0350</t>
  </si>
  <si>
    <t xml:space="preserve">WL-02918</t>
  </si>
  <si>
    <t xml:space="preserve">Kara Aguilar / Aguilar Ventures LLC</t>
  </si>
  <si>
    <t xml:space="preserve">LP-1116</t>
  </si>
  <si>
    <t xml:space="preserve">declined-prior-offer</t>
  </si>
  <si>
    <t xml:space="preserve">Prior offer identified by date and slip</t>
  </si>
  <si>
    <t xml:space="preserve">skip_events_2022_2026.csv row 104; offer_events_2022_2026.csv row 351</t>
  </si>
  <si>
    <t xml:space="preserve">SKP-2023-0100</t>
  </si>
  <si>
    <t xml:space="preserve">OFR-2023-0343</t>
  </si>
  <si>
    <t xml:space="preserve">WL-02565</t>
  </si>
  <si>
    <t xml:space="preserve">Christina Smith</t>
  </si>
  <si>
    <t xml:space="preserve">GW-0116</t>
  </si>
  <si>
    <t xml:space="preserve">REPAIR_ESTIMATE; skip export flag=Y</t>
  </si>
  <si>
    <t xml:space="preserve">skip_events_2022_2026.csv row 101; offer_events_2022_2026.csv row 344</t>
  </si>
  <si>
    <t xml:space="preserve">SKP-2023-0101</t>
  </si>
  <si>
    <t xml:space="preserve">OFR-2023-0345</t>
  </si>
  <si>
    <t xml:space="preserve">WL-02664</t>
  </si>
  <si>
    <t xml:space="preserve">Mark Smith / Smith Marine LLC</t>
  </si>
  <si>
    <t xml:space="preserve">GW-0220</t>
  </si>
  <si>
    <t xml:space="preserve">preference-mismatch</t>
  </si>
  <si>
    <t xml:space="preserve">Recorded preference sheet</t>
  </si>
  <si>
    <t xml:space="preserve">skip_events_2022_2026.csv row 102; offer_events_2022_2026.csv row 346</t>
  </si>
  <si>
    <t xml:space="preserve">SKP-2023-0105</t>
  </si>
  <si>
    <t xml:space="preserve">OFR-2023-0361</t>
  </si>
  <si>
    <t xml:space="preserve">WL-02366</t>
  </si>
  <si>
    <t xml:space="preserve">Megan Hoffman / Hoffman Marine LLC</t>
  </si>
  <si>
    <t xml:space="preserve">skip_events_2022_2026.csv row 106; offer_events_2022_2026.csv row 362</t>
  </si>
  <si>
    <t xml:space="preserve">SKP-2023-0107</t>
  </si>
  <si>
    <t xml:space="preserve">OFR-2023-0368</t>
  </si>
  <si>
    <t xml:space="preserve">WL-01984</t>
  </si>
  <si>
    <t xml:space="preserve">Vanessa Jackson / Jackson Holdings LLC</t>
  </si>
  <si>
    <t xml:space="preserve">GW-0606</t>
  </si>
  <si>
    <t xml:space="preserve">skip_events_2022_2026.csv row 108; offer_events_2022_2026.csv row 369</t>
  </si>
  <si>
    <t xml:space="preserve">SKP-2023-0104</t>
  </si>
  <si>
    <t xml:space="preserve">OFR-2023-0360</t>
  </si>
  <si>
    <t xml:space="preserve">WL-03523</t>
  </si>
  <si>
    <t xml:space="preserve">Darlene Glover</t>
  </si>
  <si>
    <t xml:space="preserve">SB-0210</t>
  </si>
  <si>
    <t xml:space="preserve">Salmonberry</t>
  </si>
  <si>
    <t xml:space="preserve">WRITTEN_STATEMENT; skip export flag=N</t>
  </si>
  <si>
    <t xml:space="preserve">No supporting record attached. Later disposition=SUSTAINED; review=NO on 2023-03-18; later review cannot cure the missing same-day record.</t>
  </si>
  <si>
    <t xml:space="preserve">skip_events_2022_2026.csv row 105; offer_events_2022_2026.csv row 361</t>
  </si>
  <si>
    <t xml:space="preserve">SKP-2023-0108</t>
  </si>
  <si>
    <t xml:space="preserve">OFR-2023-0370</t>
  </si>
  <si>
    <t xml:space="preserve">WL-01649</t>
  </si>
  <si>
    <t xml:space="preserve">Amy Krueger / Krueger Charters Inc</t>
  </si>
  <si>
    <t xml:space="preserve">VB-0717</t>
  </si>
  <si>
    <t xml:space="preserve">skip_events_2022_2026.csv row 109; offer_events_2022_2026.csv row 371</t>
  </si>
  <si>
    <t xml:space="preserve">SKP-2023-0109</t>
  </si>
  <si>
    <t xml:space="preserve">OFR-2023-0371</t>
  </si>
  <si>
    <t xml:space="preserve">WL-03535</t>
  </si>
  <si>
    <t xml:space="preserve">Allison Castro / Castro Marine LLC</t>
  </si>
  <si>
    <t xml:space="preserve">GW-0101</t>
  </si>
  <si>
    <t xml:space="preserve">skip_events_2022_2026.csv row 110; offer_events_2022_2026.csv row 372</t>
  </si>
  <si>
    <t xml:space="preserve">SKP-2023-0106</t>
  </si>
  <si>
    <t xml:space="preserve">OFR-2023-0364</t>
  </si>
  <si>
    <t xml:space="preserve">WL-01388</t>
  </si>
  <si>
    <t xml:space="preserve">Sharon Young</t>
  </si>
  <si>
    <t xml:space="preserve">SB-0617</t>
  </si>
  <si>
    <t xml:space="preserve">skip_events_2022_2026.csv row 107; offer_events_2022_2026.csv row 365</t>
  </si>
  <si>
    <t xml:space="preserve">SKP-2023-0117</t>
  </si>
  <si>
    <t xml:space="preserve">OFR-2023-0409</t>
  </si>
  <si>
    <t xml:space="preserve">WL-01089</t>
  </si>
  <si>
    <t xml:space="preserve">Erin Holmes</t>
  </si>
  <si>
    <t xml:space="preserve">GW-0306</t>
  </si>
  <si>
    <t xml:space="preserve">skip_events_2022_2026.csv row 118; offer_events_2022_2026.csv row 410</t>
  </si>
  <si>
    <t xml:space="preserve">SKP-2023-0112</t>
  </si>
  <si>
    <t xml:space="preserve">OFR-2023-0387</t>
  </si>
  <si>
    <t xml:space="preserve">WL-03014</t>
  </si>
  <si>
    <t xml:space="preserve">Daniel Mitchell / Mitchell Holdings LLC</t>
  </si>
  <si>
    <t xml:space="preserve">LP-0204</t>
  </si>
  <si>
    <t xml:space="preserve">skip_events_2022_2026.csv row 113; offer_events_2022_2026.csv row 388</t>
  </si>
  <si>
    <t xml:space="preserve">SKP-2023-0115</t>
  </si>
  <si>
    <t xml:space="preserve">OFR-2023-0401</t>
  </si>
  <si>
    <t xml:space="preserve">WL-01145</t>
  </si>
  <si>
    <t xml:space="preserve">Francisco Weaver</t>
  </si>
  <si>
    <t xml:space="preserve">EW-0304</t>
  </si>
  <si>
    <t xml:space="preserve">skip_events_2022_2026.csv row 116; offer_events_2022_2026.csv row 402</t>
  </si>
  <si>
    <t xml:space="preserve">SKP-2023-0113</t>
  </si>
  <si>
    <t xml:space="preserve">OFR-2023-0392</t>
  </si>
  <si>
    <t xml:space="preserve">WL-01886</t>
  </si>
  <si>
    <t xml:space="preserve">Kenneth Riley</t>
  </si>
  <si>
    <t xml:space="preserve">skip_events_2022_2026.csv row 114; offer_events_2022_2026.csv row 393</t>
  </si>
  <si>
    <t xml:space="preserve">SKP-2023-0114</t>
  </si>
  <si>
    <t xml:space="preserve">OFR-2023-0395</t>
  </si>
  <si>
    <t xml:space="preserve">WL-02074</t>
  </si>
  <si>
    <t xml:space="preserve">Erika Martin</t>
  </si>
  <si>
    <t xml:space="preserve">EW-1007</t>
  </si>
  <si>
    <t xml:space="preserve">skip_events_2022_2026.csv row 115; offer_events_2022_2026.csv row 396</t>
  </si>
  <si>
    <t xml:space="preserve">SKP-2023-0110</t>
  </si>
  <si>
    <t xml:space="preserve">OFR-2023-0374</t>
  </si>
  <si>
    <t xml:space="preserve">WL-01473</t>
  </si>
  <si>
    <t xml:space="preserve">Ian Parrish / Parrish Charters Inc</t>
  </si>
  <si>
    <t xml:space="preserve">SB-0623</t>
  </si>
  <si>
    <t xml:space="preserve">skip_events_2022_2026.csv row 111; offer_events_2022_2026.csv row 375</t>
  </si>
  <si>
    <t xml:space="preserve">SKP-2023-0111</t>
  </si>
  <si>
    <t xml:space="preserve">OFR-2023-0375</t>
  </si>
  <si>
    <t xml:space="preserve">WL-02941</t>
  </si>
  <si>
    <t xml:space="preserve">Jose Benson</t>
  </si>
  <si>
    <t xml:space="preserve">SB-0109</t>
  </si>
  <si>
    <t xml:space="preserve">skip_events_2022_2026.csv row 112; offer_events_2022_2026.csv row 376</t>
  </si>
  <si>
    <t xml:space="preserve">SKP-2023-0116</t>
  </si>
  <si>
    <t xml:space="preserve">OFR-2023-0403</t>
  </si>
  <si>
    <t xml:space="preserve">WL-01274</t>
  </si>
  <si>
    <t xml:space="preserve">Lisa Campbell / Campbell Ventures LLC</t>
  </si>
  <si>
    <t xml:space="preserve">GW-0905</t>
  </si>
  <si>
    <t xml:space="preserve">skip_events_2022_2026.csv row 117; offer_events_2022_2026.csv row 404</t>
  </si>
  <si>
    <t xml:space="preserve">SKP-2023-0120</t>
  </si>
  <si>
    <t xml:space="preserve">OFR-2023-0417</t>
  </si>
  <si>
    <t xml:space="preserve">WL-01469</t>
  </si>
  <si>
    <t xml:space="preserve">John Lynch / Lynch Charters Inc</t>
  </si>
  <si>
    <t xml:space="preserve">LP-1104</t>
  </si>
  <si>
    <t xml:space="preserve">skip_events_2022_2026.csv row 121; offer_events_2022_2026.csv row 418</t>
  </si>
  <si>
    <t xml:space="preserve">SKP-2023-0129</t>
  </si>
  <si>
    <t xml:space="preserve">OFR-2023-0440</t>
  </si>
  <si>
    <t xml:space="preserve">WL-03178</t>
  </si>
  <si>
    <t xml:space="preserve">Kristen Schneider / Schneider Charters Inc</t>
  </si>
  <si>
    <t xml:space="preserve">VB-0810</t>
  </si>
  <si>
    <t xml:space="preserve">skip_events_2022_2026.csv row 130; offer_events_2022_2026.csv row 441</t>
  </si>
  <si>
    <t xml:space="preserve">SKP-2023-0408</t>
  </si>
  <si>
    <t xml:space="preserve">OFR-2023-1487</t>
  </si>
  <si>
    <t xml:space="preserve">WL-02618</t>
  </si>
  <si>
    <t xml:space="preserve">Gary Tomlinson</t>
  </si>
  <si>
    <t xml:space="preserve">GW-0610</t>
  </si>
  <si>
    <t xml:space="preserve">WL-02618_skip_justification.pdf p.1 - support expressly not attached</t>
  </si>
  <si>
    <t xml:space="preserve">PDF says EW-0414; skip export says GW-0610. File ends at cover sheet.</t>
  </si>
  <si>
    <t xml:space="preserve">skip_events_2022_2026.csv row 409; no matching offer-export row; WL-02618_skip_justification.pdf</t>
  </si>
  <si>
    <t xml:space="preserve">SKP-2023-0128</t>
  </si>
  <si>
    <t xml:space="preserve">OFR-2023-0436</t>
  </si>
  <si>
    <t xml:space="preserve">WL-03537</t>
  </si>
  <si>
    <t xml:space="preserve">Angel Wheeler</t>
  </si>
  <si>
    <t xml:space="preserve">GW-0709</t>
  </si>
  <si>
    <t xml:space="preserve">skip_events_2022_2026.csv row 129; offer_events_2022_2026.csv row 437</t>
  </si>
  <si>
    <t xml:space="preserve">SKP-2023-0119</t>
  </si>
  <si>
    <t xml:space="preserve">OFR-2023-0412</t>
  </si>
  <si>
    <t xml:space="preserve">WL-03151</t>
  </si>
  <si>
    <t xml:space="preserve">Elizabeth King / King Marine LLC</t>
  </si>
  <si>
    <t xml:space="preserve">VB-0220</t>
  </si>
  <si>
    <t xml:space="preserve">skip_events_2022_2026.csv row 120; offer_events_2022_2026.csv row 413</t>
  </si>
  <si>
    <t xml:space="preserve">SKP-2023-0126</t>
  </si>
  <si>
    <t xml:space="preserve">OFR-2023-0432</t>
  </si>
  <si>
    <t xml:space="preserve">WL-02134</t>
  </si>
  <si>
    <t xml:space="preserve">James Martin</t>
  </si>
  <si>
    <t xml:space="preserve">EW-0320</t>
  </si>
  <si>
    <t xml:space="preserve">skip_events_2022_2026.csv row 127; offer_events_2022_2026.csv row 433</t>
  </si>
  <si>
    <t xml:space="preserve">SKP-2023-0121</t>
  </si>
  <si>
    <t xml:space="preserve">OFR-2023-0418</t>
  </si>
  <si>
    <t xml:space="preserve">WL-03181</t>
  </si>
  <si>
    <t xml:space="preserve">Annette Collins / Collins Ventures LLC</t>
  </si>
  <si>
    <t xml:space="preserve">SB-0903</t>
  </si>
  <si>
    <t xml:space="preserve">skip_events_2022_2026.csv row 122; offer_events_2022_2026.csv row 419</t>
  </si>
  <si>
    <t xml:space="preserve">SKP-2023-0118</t>
  </si>
  <si>
    <t xml:space="preserve">OFR-2023-0411</t>
  </si>
  <si>
    <t xml:space="preserve">WL-02485</t>
  </si>
  <si>
    <t xml:space="preserve">Matthew Dickerson</t>
  </si>
  <si>
    <t xml:space="preserve">VB-0521</t>
  </si>
  <si>
    <t xml:space="preserve">skip_events_2022_2026.csv row 119; offer_events_2022_2026.csv row 412</t>
  </si>
  <si>
    <t xml:space="preserve">SKP-2023-0124</t>
  </si>
  <si>
    <t xml:space="preserve">OFR-2023-0422</t>
  </si>
  <si>
    <t xml:space="preserve">WL-02100</t>
  </si>
  <si>
    <t xml:space="preserve">Michelle Pena / Pena Charters Inc</t>
  </si>
  <si>
    <t xml:space="preserve">VB-0504</t>
  </si>
  <si>
    <t xml:space="preserve">skip_events_2022_2026.csv row 125; offer_events_2022_2026.csv row 423</t>
  </si>
  <si>
    <t xml:space="preserve">SKP-2023-0122</t>
  </si>
  <si>
    <t xml:space="preserve">OFR-2023-0419</t>
  </si>
  <si>
    <t xml:space="preserve">WL-03816</t>
  </si>
  <si>
    <t xml:space="preserve">Brittany Lopez / Lopez Marine LLC</t>
  </si>
  <si>
    <t xml:space="preserve">VB-0113</t>
  </si>
  <si>
    <t xml:space="preserve">skip_events_2022_2026.csv row 123; offer_events_2022_2026.csv row 420</t>
  </si>
  <si>
    <t xml:space="preserve">SKP-2023-0123</t>
  </si>
  <si>
    <t xml:space="preserve">OFR-2023-0421</t>
  </si>
  <si>
    <t xml:space="preserve">WL-03712</t>
  </si>
  <si>
    <t xml:space="preserve">Charles Graham / Graham Holdings LLC</t>
  </si>
  <si>
    <t xml:space="preserve">LP-0113</t>
  </si>
  <si>
    <t xml:space="preserve">skip_events_2022_2026.csv row 124; offer_events_2022_2026.csv row 422</t>
  </si>
  <si>
    <t xml:space="preserve">SKP-2023-0125</t>
  </si>
  <si>
    <t xml:space="preserve">OFR-2023-0429</t>
  </si>
  <si>
    <t xml:space="preserve">WL-02777</t>
  </si>
  <si>
    <t xml:space="preserve">Carolyn Johnson</t>
  </si>
  <si>
    <t xml:space="preserve">LP-0402</t>
  </si>
  <si>
    <t xml:space="preserve">skip_events_2022_2026.csv row 126; offer_events_2022_2026.csv row 430</t>
  </si>
  <si>
    <t xml:space="preserve">SKP-2023-0127</t>
  </si>
  <si>
    <t xml:space="preserve">OFR-2023-0435</t>
  </si>
  <si>
    <t xml:space="preserve">WL-01420</t>
  </si>
  <si>
    <t xml:space="preserve">Patricia Wilson</t>
  </si>
  <si>
    <t xml:space="preserve">SB-0405</t>
  </si>
  <si>
    <t xml:space="preserve">skip_events_2022_2026.csv row 128; offer_events_2022_2026.csv row 436</t>
  </si>
  <si>
    <t xml:space="preserve">SKP-2023-0137</t>
  </si>
  <si>
    <t xml:space="preserve">OFR-2023-0462</t>
  </si>
  <si>
    <t xml:space="preserve">WL-02535</t>
  </si>
  <si>
    <t xml:space="preserve">Shari Hess / Hess Holdings LLC</t>
  </si>
  <si>
    <t xml:space="preserve">VB-0805</t>
  </si>
  <si>
    <t xml:space="preserve">skip_events_2022_2026.csv row 138; offer_events_2022_2026.csv row 463</t>
  </si>
  <si>
    <t xml:space="preserve">SKP-2023-0132</t>
  </si>
  <si>
    <t xml:space="preserve">OFR-2023-0449</t>
  </si>
  <si>
    <t xml:space="preserve">WL-01193</t>
  </si>
  <si>
    <t xml:space="preserve">Mindy Medina / Medina Holdings LLC</t>
  </si>
  <si>
    <t xml:space="preserve">VB-0205</t>
  </si>
  <si>
    <t xml:space="preserve">skip_events_2022_2026.csv row 133; offer_events_2022_2026.csv row 450</t>
  </si>
  <si>
    <t xml:space="preserve">SKP-2023-0136</t>
  </si>
  <si>
    <t xml:space="preserve">OFR-2023-0461</t>
  </si>
  <si>
    <t xml:space="preserve">WL-03758</t>
  </si>
  <si>
    <t xml:space="preserve">Sean Cherry / Cherry Holdings LLC</t>
  </si>
  <si>
    <t xml:space="preserve">LP-0121</t>
  </si>
  <si>
    <t xml:space="preserve">skip_events_2022_2026.csv row 137; offer_events_2022_2026.csv row 462</t>
  </si>
  <si>
    <t xml:space="preserve">SKP-2023-0139</t>
  </si>
  <si>
    <t xml:space="preserve">OFR-2023-0469</t>
  </si>
  <si>
    <t xml:space="preserve">WL-01129</t>
  </si>
  <si>
    <t xml:space="preserve">Alexander Thompson / Thompson Holdings LLC</t>
  </si>
  <si>
    <t xml:space="preserve">GW-0414</t>
  </si>
  <si>
    <t xml:space="preserve">skip_events_2022_2026.csv row 140; offer_events_2022_2026.csv row 470</t>
  </si>
  <si>
    <t xml:space="preserve">SKP-2023-0133</t>
  </si>
  <si>
    <t xml:space="preserve">OFR-2023-0457</t>
  </si>
  <si>
    <t xml:space="preserve">WL-01319</t>
  </si>
  <si>
    <t xml:space="preserve">Janice Roy / Roy Charters Inc</t>
  </si>
  <si>
    <t xml:space="preserve">GW-1008</t>
  </si>
  <si>
    <t xml:space="preserve">skip_events_2022_2026.csv row 134; offer_events_2022_2026.csv row 458</t>
  </si>
  <si>
    <t xml:space="preserve">SKP-2023-0130</t>
  </si>
  <si>
    <t xml:space="preserve">OFR-2023-0447</t>
  </si>
  <si>
    <t xml:space="preserve">WL-02924</t>
  </si>
  <si>
    <t xml:space="preserve">Heather Hall</t>
  </si>
  <si>
    <t xml:space="preserve">VB-0720</t>
  </si>
  <si>
    <t xml:space="preserve">skip_events_2022_2026.csv row 131; offer_events_2022_2026.csv row 448</t>
  </si>
  <si>
    <t xml:space="preserve">SKP-2023-0140</t>
  </si>
  <si>
    <t xml:space="preserve">OFR-2023-0473</t>
  </si>
  <si>
    <t xml:space="preserve">WL-03100</t>
  </si>
  <si>
    <t xml:space="preserve">Andrew Contreras</t>
  </si>
  <si>
    <t xml:space="preserve">EW-0622</t>
  </si>
  <si>
    <t xml:space="preserve">skip_events_2022_2026.csv row 141; offer_events_2022_2026.csv row 474</t>
  </si>
  <si>
    <t xml:space="preserve">SKP-2023-0138</t>
  </si>
  <si>
    <t xml:space="preserve">OFR-2023-0464</t>
  </si>
  <si>
    <t xml:space="preserve">WL-02663</t>
  </si>
  <si>
    <t xml:space="preserve">Susan Thompson / Thompson Marine LLC</t>
  </si>
  <si>
    <t xml:space="preserve">GW-0810</t>
  </si>
  <si>
    <t xml:space="preserve">skip_events_2022_2026.csv row 139; offer_events_2022_2026.csv row 465</t>
  </si>
  <si>
    <t xml:space="preserve">SKP-2023-0131</t>
  </si>
  <si>
    <t xml:space="preserve">OFR-2023-0448</t>
  </si>
  <si>
    <t xml:space="preserve">WL-01781</t>
  </si>
  <si>
    <t xml:space="preserve">Crystal Parrish</t>
  </si>
  <si>
    <t xml:space="preserve">LP-0220</t>
  </si>
  <si>
    <t xml:space="preserve">OTHER_SUPPORT; skip export flag=N</t>
  </si>
  <si>
    <t xml:space="preserve">No supporting record attached. Later disposition=SUSTAINED; review=DR on 2023-06-19; later review cannot cure the missing same-day record.</t>
  </si>
  <si>
    <t xml:space="preserve">skip_events_2022_2026.csv row 132; offer_events_2022_2026.csv row 449</t>
  </si>
  <si>
    <t xml:space="preserve">SKP-2023-0134</t>
  </si>
  <si>
    <t xml:space="preserve">OFR-2023-0458</t>
  </si>
  <si>
    <t xml:space="preserve">WL-02173</t>
  </si>
  <si>
    <t xml:space="preserve">Lisa Parker</t>
  </si>
  <si>
    <t xml:space="preserve">SB-0205</t>
  </si>
  <si>
    <t xml:space="preserve">skip_events_2022_2026.csv row 135; offer_events_2022_2026.csv row 459</t>
  </si>
  <si>
    <t xml:space="preserve">SKP-2023-0135</t>
  </si>
  <si>
    <t xml:space="preserve">OFR-2023-0460</t>
  </si>
  <si>
    <t xml:space="preserve">WL-01568</t>
  </si>
  <si>
    <t xml:space="preserve">Rebecca Lozano</t>
  </si>
  <si>
    <t xml:space="preserve">LP-0219</t>
  </si>
  <si>
    <t xml:space="preserve">skip_events_2022_2026.csv row 136; offer_events_2022_2026.csv row 461</t>
  </si>
  <si>
    <t xml:space="preserve">SKP-2023-0143</t>
  </si>
  <si>
    <t xml:space="preserve">OFR-2023-0481</t>
  </si>
  <si>
    <t xml:space="preserve">WL-01712</t>
  </si>
  <si>
    <t xml:space="preserve">Kevin Liu / Liu Charters Inc</t>
  </si>
  <si>
    <t xml:space="preserve">GW-0118</t>
  </si>
  <si>
    <t xml:space="preserve">skip_events_2022_2026.csv row 144; offer_events_2022_2026.csv row 482</t>
  </si>
  <si>
    <t xml:space="preserve">SKP-2023-0150</t>
  </si>
  <si>
    <t xml:space="preserve">OFR-2023-0501</t>
  </si>
  <si>
    <t xml:space="preserve">WL-01924</t>
  </si>
  <si>
    <t xml:space="preserve">Angela Alexander</t>
  </si>
  <si>
    <t xml:space="preserve">EW-0111</t>
  </si>
  <si>
    <t xml:space="preserve">skip_events_2022_2026.csv row 151; offer_events_2022_2026.csv row 502</t>
  </si>
  <si>
    <t xml:space="preserve">SKP-2023-0141</t>
  </si>
  <si>
    <t xml:space="preserve">OFR-2023-0478</t>
  </si>
  <si>
    <t xml:space="preserve">WL-03857</t>
  </si>
  <si>
    <t xml:space="preserve">Catherine Davis / Davis Holdings LLC</t>
  </si>
  <si>
    <t xml:space="preserve">SB-0602</t>
  </si>
  <si>
    <t xml:space="preserve">skip_events_2022_2026.csv row 142; offer_events_2022_2026.csv row 479</t>
  </si>
  <si>
    <t xml:space="preserve">SKP-2023-0144</t>
  </si>
  <si>
    <t xml:space="preserve">OFR-2023-0483</t>
  </si>
  <si>
    <t xml:space="preserve">WL-02160</t>
  </si>
  <si>
    <t xml:space="preserve">Alexander Lawrence / Lawrence Marine LLC</t>
  </si>
  <si>
    <t xml:space="preserve">LP-0520</t>
  </si>
  <si>
    <t xml:space="preserve">skip_events_2022_2026.csv row 145; offer_events_2022_2026.csv row 484</t>
  </si>
  <si>
    <t xml:space="preserve">SKP-2023-0145</t>
  </si>
  <si>
    <t xml:space="preserve">OFR-2023-0485</t>
  </si>
  <si>
    <t xml:space="preserve">WL-01242</t>
  </si>
  <si>
    <t xml:space="preserve">Melissa Villanueva</t>
  </si>
  <si>
    <t xml:space="preserve">SB-0314</t>
  </si>
  <si>
    <t xml:space="preserve">skip_events_2022_2026.csv row 146; offer_events_2022_2026.csv row 486</t>
  </si>
  <si>
    <t xml:space="preserve">SKP-2023-0148</t>
  </si>
  <si>
    <t xml:space="preserve">OFR-2023-0490</t>
  </si>
  <si>
    <t xml:space="preserve">WL-02206</t>
  </si>
  <si>
    <t xml:space="preserve">Mary Morris / Morris Holdings LLC</t>
  </si>
  <si>
    <t xml:space="preserve">GW-0719</t>
  </si>
  <si>
    <t xml:space="preserve">skip_events_2022_2026.csv row 149; offer_events_2022_2026.csv row 491</t>
  </si>
  <si>
    <t xml:space="preserve">SKP-2023-0142</t>
  </si>
  <si>
    <t xml:space="preserve">OFR-2023-0479</t>
  </si>
  <si>
    <t xml:space="preserve">WL-01054</t>
  </si>
  <si>
    <t xml:space="preserve">Cynthia Smith</t>
  </si>
  <si>
    <t xml:space="preserve">VB-0620</t>
  </si>
  <si>
    <t xml:space="preserve">skip_events_2022_2026.csv row 143; offer_events_2022_2026.csv row 480</t>
  </si>
  <si>
    <t xml:space="preserve">SKP-2023-0152</t>
  </si>
  <si>
    <t xml:space="preserve">OFR-2023-0505</t>
  </si>
  <si>
    <t xml:space="preserve">WL-03411</t>
  </si>
  <si>
    <t xml:space="preserve">Miguel Boyd / Boyd Marine LLC</t>
  </si>
  <si>
    <t xml:space="preserve">VB-0719</t>
  </si>
  <si>
    <t xml:space="preserve">skip_events_2022_2026.csv row 153; offer_events_2022_2026.csv row 506</t>
  </si>
  <si>
    <t xml:space="preserve">SKP-2023-0146</t>
  </si>
  <si>
    <t xml:space="preserve">OFR-2023-0486</t>
  </si>
  <si>
    <t xml:space="preserve">WL-02199</t>
  </si>
  <si>
    <t xml:space="preserve">Patricia Perez / Perez Holdings LLC</t>
  </si>
  <si>
    <t xml:space="preserve">GW-1003</t>
  </si>
  <si>
    <t xml:space="preserve">skip_events_2022_2026.csv row 147; offer_events_2022_2026.csv row 487</t>
  </si>
  <si>
    <t xml:space="preserve">SKP-2023-0147</t>
  </si>
  <si>
    <t xml:space="preserve">OFR-2023-0489</t>
  </si>
  <si>
    <t xml:space="preserve">WL-01248</t>
  </si>
  <si>
    <t xml:space="preserve">Michael Gray / Gray Holdings LLC</t>
  </si>
  <si>
    <t xml:space="preserve">SB-0915</t>
  </si>
  <si>
    <t xml:space="preserve">skip_events_2022_2026.csv row 148; offer_events_2022_2026.csv row 490</t>
  </si>
  <si>
    <t xml:space="preserve">SKP-2023-0149</t>
  </si>
  <si>
    <t xml:space="preserve">OFR-2023-0495</t>
  </si>
  <si>
    <t xml:space="preserve">WL-02706</t>
  </si>
  <si>
    <t xml:space="preserve">Allison Fisher</t>
  </si>
  <si>
    <t xml:space="preserve">LP-0104</t>
  </si>
  <si>
    <t xml:space="preserve">skip_events_2022_2026.csv row 150; offer_events_2022_2026.csv row 496</t>
  </si>
  <si>
    <t xml:space="preserve">SKP-2023-0151</t>
  </si>
  <si>
    <t xml:space="preserve">OFR-2023-0504</t>
  </si>
  <si>
    <t xml:space="preserve">WL-03652</t>
  </si>
  <si>
    <t xml:space="preserve">Lisa Strickland</t>
  </si>
  <si>
    <t xml:space="preserve">GW-0301</t>
  </si>
  <si>
    <t xml:space="preserve">skip_events_2022_2026.csv row 152; offer_events_2022_2026.csv row 505</t>
  </si>
  <si>
    <t xml:space="preserve">SKP-2023-0156</t>
  </si>
  <si>
    <t xml:space="preserve">OFR-2023-0518</t>
  </si>
  <si>
    <t xml:space="preserve">WL-02603</t>
  </si>
  <si>
    <t xml:space="preserve">Sharon Lopez / Lopez Charters Inc</t>
  </si>
  <si>
    <t xml:space="preserve">GW-0611</t>
  </si>
  <si>
    <t xml:space="preserve">skip_events_2022_2026.csv row 157; offer_events_2022_2026.csv row 519</t>
  </si>
  <si>
    <t xml:space="preserve">SKP-2023-0160</t>
  </si>
  <si>
    <t xml:space="preserve">OFR-2023-0530</t>
  </si>
  <si>
    <t xml:space="preserve">WL-01367</t>
  </si>
  <si>
    <t xml:space="preserve">Stephen Golden / Golden Holdings LLC</t>
  </si>
  <si>
    <t xml:space="preserve">GW-0703</t>
  </si>
  <si>
    <t xml:space="preserve">skip_events_2022_2026.csv row 161; offer_events_2022_2026.csv row 531</t>
  </si>
  <si>
    <t xml:space="preserve">SKP-2023-0153</t>
  </si>
  <si>
    <t xml:space="preserve">OFR-2023-0508</t>
  </si>
  <si>
    <t xml:space="preserve">WL-01029</t>
  </si>
  <si>
    <t xml:space="preserve">John Wang</t>
  </si>
  <si>
    <t xml:space="preserve">EW-0119</t>
  </si>
  <si>
    <t xml:space="preserve">skip_events_2022_2026.csv row 154; offer_events_2022_2026.csv row 509</t>
  </si>
  <si>
    <t xml:space="preserve">SKP-2023-0155</t>
  </si>
  <si>
    <t xml:space="preserve">OFR-2023-0517</t>
  </si>
  <si>
    <t xml:space="preserve">WL-01297</t>
  </si>
  <si>
    <t xml:space="preserve">Alan Harris / Harris Holdings LLC</t>
  </si>
  <si>
    <t xml:space="preserve">VB-0512</t>
  </si>
  <si>
    <t xml:space="preserve">skip_events_2022_2026.csv row 156; offer_events_2022_2026.csv row 518</t>
  </si>
  <si>
    <t xml:space="preserve">SKP-2023-0159</t>
  </si>
  <si>
    <t xml:space="preserve">OFR-2023-0528</t>
  </si>
  <si>
    <t xml:space="preserve">WL-01360</t>
  </si>
  <si>
    <t xml:space="preserve">Desiree Sullivan</t>
  </si>
  <si>
    <t xml:space="preserve">LP-0516</t>
  </si>
  <si>
    <t xml:space="preserve">skip_events_2022_2026.csv row 160; offer_events_2022_2026.csv row 529</t>
  </si>
  <si>
    <t xml:space="preserve">SKP-2023-0154</t>
  </si>
  <si>
    <t xml:space="preserve">OFR-2023-0515</t>
  </si>
  <si>
    <t xml:space="preserve">WL-01847</t>
  </si>
  <si>
    <t xml:space="preserve">Amy Carlson / Carlson Charters Inc</t>
  </si>
  <si>
    <t xml:space="preserve">EW-0110</t>
  </si>
  <si>
    <t xml:space="preserve">skip_events_2022_2026.csv row 155; offer_events_2022_2026.csv row 516</t>
  </si>
  <si>
    <t xml:space="preserve">SKP-2023-0161</t>
  </si>
  <si>
    <t xml:space="preserve">OFR-2023-0533</t>
  </si>
  <si>
    <t xml:space="preserve">WL-02793</t>
  </si>
  <si>
    <t xml:space="preserve">David Franco / Franco Holdings LLC</t>
  </si>
  <si>
    <t xml:space="preserve">EW-0814</t>
  </si>
  <si>
    <t xml:space="preserve">skip_events_2022_2026.csv row 162; offer_events_2022_2026.csv row 534</t>
  </si>
  <si>
    <t xml:space="preserve">SKP-2023-0157</t>
  </si>
  <si>
    <t xml:space="preserve">OFR-2023-0524</t>
  </si>
  <si>
    <t xml:space="preserve">WL-03153</t>
  </si>
  <si>
    <t xml:space="preserve">Derrick Webb</t>
  </si>
  <si>
    <t xml:space="preserve">EW-0213</t>
  </si>
  <si>
    <t xml:space="preserve">skip_events_2022_2026.csv row 158; offer_events_2022_2026.csv row 525</t>
  </si>
  <si>
    <t xml:space="preserve">SKP-2023-0158</t>
  </si>
  <si>
    <t xml:space="preserve">OFR-2023-0526</t>
  </si>
  <si>
    <t xml:space="preserve">WL-02650</t>
  </si>
  <si>
    <t xml:space="preserve">Alex White / White Ventures LLC</t>
  </si>
  <si>
    <t xml:space="preserve">EW-0310</t>
  </si>
  <si>
    <t xml:space="preserve">skip_events_2022_2026.csv row 159; offer_events_2022_2026.csv row 527</t>
  </si>
  <si>
    <t xml:space="preserve">SKP-2023-0173</t>
  </si>
  <si>
    <t xml:space="preserve">OFR-2023-0577</t>
  </si>
  <si>
    <t xml:space="preserve">WL-03715</t>
  </si>
  <si>
    <t xml:space="preserve">Aaron Lee</t>
  </si>
  <si>
    <t xml:space="preserve">VB-0705</t>
  </si>
  <si>
    <t xml:space="preserve">skip_events_2022_2026.csv row 174; offer_events_2022_2026.csv row 578</t>
  </si>
  <si>
    <t xml:space="preserve">SKP-2023-0170</t>
  </si>
  <si>
    <t xml:space="preserve">OFR-2023-0571</t>
  </si>
  <si>
    <t xml:space="preserve">WL-03700</t>
  </si>
  <si>
    <t xml:space="preserve">Jonathan Diaz / Diaz Holdings LLC</t>
  </si>
  <si>
    <t xml:space="preserve">LP-0412</t>
  </si>
  <si>
    <t xml:space="preserve">skip_events_2022_2026.csv row 171; offer_events_2022_2026.csv row 572</t>
  </si>
  <si>
    <t xml:space="preserve">SKP-2023-0164</t>
  </si>
  <si>
    <t xml:space="preserve">OFR-2023-0547</t>
  </si>
  <si>
    <t xml:space="preserve">WL-03673</t>
  </si>
  <si>
    <t xml:space="preserve">Angela Gibson</t>
  </si>
  <si>
    <t xml:space="preserve">GW-0801</t>
  </si>
  <si>
    <t xml:space="preserve">skip_events_2022_2026.csv row 165; offer_events_2022_2026.csv row 548</t>
  </si>
  <si>
    <t xml:space="preserve">SKP-2023-0165</t>
  </si>
  <si>
    <t xml:space="preserve">OFR-2023-0550</t>
  </si>
  <si>
    <t xml:space="preserve">WL-01746</t>
  </si>
  <si>
    <t xml:space="preserve">Elizabeth Ward</t>
  </si>
  <si>
    <t xml:space="preserve">SB-0209</t>
  </si>
  <si>
    <t xml:space="preserve">skip_events_2022_2026.csv row 166; offer_events_2022_2026.csv row 551</t>
  </si>
  <si>
    <t xml:space="preserve">SKP-2023-0163</t>
  </si>
  <si>
    <t xml:space="preserve">OFR-2023-0546</t>
  </si>
  <si>
    <t xml:space="preserve">WL-03629</t>
  </si>
  <si>
    <t xml:space="preserve">Justin Parks</t>
  </si>
  <si>
    <t xml:space="preserve">skip_events_2022_2026.csv row 164; offer_events_2022_2026.csv row 547</t>
  </si>
  <si>
    <t xml:space="preserve">SKP-2023-0174</t>
  </si>
  <si>
    <t xml:space="preserve">OFR-2023-0578</t>
  </si>
  <si>
    <t xml:space="preserve">WL-02285</t>
  </si>
  <si>
    <t xml:space="preserve">Brian Scott</t>
  </si>
  <si>
    <t xml:space="preserve">EW-0107</t>
  </si>
  <si>
    <t xml:space="preserve">No supporting record attached. Later disposition=SUSTAINED; review=DR on 2023-09-12; later review cannot cure the missing same-day record.</t>
  </si>
  <si>
    <t xml:space="preserve">skip_events_2022_2026.csv row 175; offer_events_2022_2026.csv row 579</t>
  </si>
  <si>
    <t xml:space="preserve">SKP-2023-0168</t>
  </si>
  <si>
    <t xml:space="preserve">OFR-2023-0559</t>
  </si>
  <si>
    <t xml:space="preserve">WL-02912</t>
  </si>
  <si>
    <t xml:space="preserve">Alan Ortiz</t>
  </si>
  <si>
    <t xml:space="preserve">SB-0916</t>
  </si>
  <si>
    <t xml:space="preserve">skip_events_2022_2026.csv row 169; offer_events_2022_2026.csv row 560</t>
  </si>
  <si>
    <t xml:space="preserve">SKP-2023-0166</t>
  </si>
  <si>
    <t xml:space="preserve">OFR-2023-0551</t>
  </si>
  <si>
    <t xml:space="preserve">WL-03844</t>
  </si>
  <si>
    <t xml:space="preserve">Janet Medina</t>
  </si>
  <si>
    <t xml:space="preserve">EW-0109</t>
  </si>
  <si>
    <t xml:space="preserve">No supporting record attached. Later disposition=SUSTAINED; review=RD on 2023-09-21; later review cannot cure the missing same-day record.</t>
  </si>
  <si>
    <t xml:space="preserve">skip_events_2022_2026.csv row 167; offer_events_2022_2026.csv row 552</t>
  </si>
  <si>
    <t xml:space="preserve">SKP-2023-0171</t>
  </si>
  <si>
    <t xml:space="preserve">OFR-2023-0573</t>
  </si>
  <si>
    <t xml:space="preserve">WL-02000</t>
  </si>
  <si>
    <t xml:space="preserve">Erika Cruz / Cruz Ventures LLC</t>
  </si>
  <si>
    <t xml:space="preserve">VB-0820</t>
  </si>
  <si>
    <t xml:space="preserve">skip_events_2022_2026.csv row 172; offer_events_2022_2026.csv row 574</t>
  </si>
  <si>
    <t xml:space="preserve">SKP-2023-0172</t>
  </si>
  <si>
    <t xml:space="preserve">OFR-2023-0574</t>
  </si>
  <si>
    <t xml:space="preserve">WL-01080</t>
  </si>
  <si>
    <t xml:space="preserve">Jessica Lopez</t>
  </si>
  <si>
    <t xml:space="preserve">EW-0511</t>
  </si>
  <si>
    <t xml:space="preserve">skip_events_2022_2026.csv row 173; offer_events_2022_2026.csv row 575</t>
  </si>
  <si>
    <t xml:space="preserve">SKP-2023-0162</t>
  </si>
  <si>
    <t xml:space="preserve">OFR-2023-0541</t>
  </si>
  <si>
    <t xml:space="preserve">WL-03249</t>
  </si>
  <si>
    <t xml:space="preserve">Julia Anderson / Anderson Marine LLC</t>
  </si>
  <si>
    <t xml:space="preserve">EW-0518</t>
  </si>
  <si>
    <t xml:space="preserve">skip_events_2022_2026.csv row 163; offer_events_2022_2026.csv row 542</t>
  </si>
  <si>
    <t xml:space="preserve">SKP-2023-0169</t>
  </si>
  <si>
    <t xml:space="preserve">OFR-2023-0567</t>
  </si>
  <si>
    <t xml:space="preserve">WL-01168</t>
  </si>
  <si>
    <t xml:space="preserve">Wesley Bradford</t>
  </si>
  <si>
    <t xml:space="preserve">LP-0604</t>
  </si>
  <si>
    <t xml:space="preserve">skip_events_2022_2026.csv row 170; offer_events_2022_2026.csv row 568</t>
  </si>
  <si>
    <t xml:space="preserve">SKP-2023-0167</t>
  </si>
  <si>
    <t xml:space="preserve">OFR-2023-0555</t>
  </si>
  <si>
    <t xml:space="preserve">WL-01566</t>
  </si>
  <si>
    <t xml:space="preserve">Sara Garcia</t>
  </si>
  <si>
    <t xml:space="preserve">LP-0706</t>
  </si>
  <si>
    <t xml:space="preserve">skip_events_2022_2026.csv row 168; offer_events_2022_2026.csv row 556</t>
  </si>
  <si>
    <t xml:space="preserve">SKP-2023-0176</t>
  </si>
  <si>
    <t xml:space="preserve">OFR-2023-0604</t>
  </si>
  <si>
    <t xml:space="preserve">WL-01594</t>
  </si>
  <si>
    <t xml:space="preserve">Tracey Johnson</t>
  </si>
  <si>
    <t xml:space="preserve">GW-0705</t>
  </si>
  <si>
    <t xml:space="preserve">skip_events_2022_2026.csv row 177; offer_events_2022_2026.csv row 605</t>
  </si>
  <si>
    <t xml:space="preserve">SKP-2023-0175</t>
  </si>
  <si>
    <t xml:space="preserve">OFR-2023-0586</t>
  </si>
  <si>
    <t xml:space="preserve">WL-01003</t>
  </si>
  <si>
    <t xml:space="preserve">Shannon Phillips</t>
  </si>
  <si>
    <t xml:space="preserve">SB-0401</t>
  </si>
  <si>
    <t xml:space="preserve">skip_events_2022_2026.csv row 176; offer_events_2022_2026.csv row 587</t>
  </si>
  <si>
    <t xml:space="preserve">SKP-2023-0179</t>
  </si>
  <si>
    <t xml:space="preserve">OFR-2023-0617</t>
  </si>
  <si>
    <t xml:space="preserve">WL-01704</t>
  </si>
  <si>
    <t xml:space="preserve">Justin Horn / Horn Charters Inc</t>
  </si>
  <si>
    <t xml:space="preserve">EW-0804</t>
  </si>
  <si>
    <t xml:space="preserve">skip_events_2022_2026.csv row 180; offer_events_2022_2026.csv row 618</t>
  </si>
  <si>
    <t xml:space="preserve">SKP-2023-0177</t>
  </si>
  <si>
    <t xml:space="preserve">OFR-2023-0609</t>
  </si>
  <si>
    <t xml:space="preserve">WL-01918</t>
  </si>
  <si>
    <t xml:space="preserve">Brittany Barrett / Barrett Charters Inc</t>
  </si>
  <si>
    <t xml:space="preserve">VB-0118</t>
  </si>
  <si>
    <t xml:space="preserve">skip_events_2022_2026.csv row 178; offer_events_2022_2026.csv row 610</t>
  </si>
  <si>
    <t xml:space="preserve">SKP-2023-0178</t>
  </si>
  <si>
    <t xml:space="preserve">OFR-2023-0613</t>
  </si>
  <si>
    <t xml:space="preserve">WL-03849</t>
  </si>
  <si>
    <t xml:space="preserve">Melissa Ramirez</t>
  </si>
  <si>
    <t xml:space="preserve">SB-0406</t>
  </si>
  <si>
    <t xml:space="preserve">skip_events_2022_2026.csv row 179; offer_events_2022_2026.csv row 614</t>
  </si>
  <si>
    <t xml:space="preserve">SKP-2023-0180</t>
  </si>
  <si>
    <t xml:space="preserve">OFR-2023-0623</t>
  </si>
  <si>
    <t xml:space="preserve">WL-03696</t>
  </si>
  <si>
    <t xml:space="preserve">Natalie Duncan / Duncan Holdings LLC</t>
  </si>
  <si>
    <t xml:space="preserve">LP-0114</t>
  </si>
  <si>
    <t xml:space="preserve">skip_events_2022_2026.csv row 181; offer_events_2022_2026.csv row 624</t>
  </si>
  <si>
    <t xml:space="preserve">SKP-2023-0186</t>
  </si>
  <si>
    <t xml:space="preserve">OFR-2023-0648</t>
  </si>
  <si>
    <t xml:space="preserve">EW-1002</t>
  </si>
  <si>
    <t xml:space="preserve">skip_events_2022_2026.csv row 187; offer_events_2022_2026.csv row 649</t>
  </si>
  <si>
    <t xml:space="preserve">SKP-2023-0181</t>
  </si>
  <si>
    <t xml:space="preserve">OFR-2023-0634</t>
  </si>
  <si>
    <t xml:space="preserve">WL-01016</t>
  </si>
  <si>
    <t xml:space="preserve">Jared Mosley / Mosley Marine LLC</t>
  </si>
  <si>
    <t xml:space="preserve">LP-0416</t>
  </si>
  <si>
    <t xml:space="preserve">skip_events_2022_2026.csv row 182; offer_events_2022_2026.csv row 635</t>
  </si>
  <si>
    <t xml:space="preserve">SKP-2023-0182</t>
  </si>
  <si>
    <t xml:space="preserve">OFR-2023-0636</t>
  </si>
  <si>
    <t xml:space="preserve">WL-01186</t>
  </si>
  <si>
    <t xml:space="preserve">Amy Hartman</t>
  </si>
  <si>
    <t xml:space="preserve">SB-0610</t>
  </si>
  <si>
    <t xml:space="preserve">skip_events_2022_2026.csv row 183; offer_events_2022_2026.csv row 637</t>
  </si>
  <si>
    <t xml:space="preserve">SKP-2023-0185</t>
  </si>
  <si>
    <t xml:space="preserve">OFR-2023-0645</t>
  </si>
  <si>
    <t xml:space="preserve">WL-02726</t>
  </si>
  <si>
    <t xml:space="preserve">Michelle Herman</t>
  </si>
  <si>
    <t xml:space="preserve">EW-0916</t>
  </si>
  <si>
    <t xml:space="preserve">skip_events_2022_2026.csv row 186; offer_events_2022_2026.csv row 646</t>
  </si>
  <si>
    <t xml:space="preserve">SKP-2023-0183</t>
  </si>
  <si>
    <t xml:space="preserve">OFR-2023-0638</t>
  </si>
  <si>
    <t xml:space="preserve">WL-01524</t>
  </si>
  <si>
    <t xml:space="preserve">William Wright</t>
  </si>
  <si>
    <t xml:space="preserve">VB-0804</t>
  </si>
  <si>
    <t xml:space="preserve">skip_events_2022_2026.csv row 184; offer_events_2022_2026.csv row 639</t>
  </si>
  <si>
    <t xml:space="preserve">SKP-2023-0184</t>
  </si>
  <si>
    <t xml:space="preserve">OFR-2023-0643</t>
  </si>
  <si>
    <t xml:space="preserve">WL-03111</t>
  </si>
  <si>
    <t xml:space="preserve">Kevin Gilbert / Gilbert Ventures LLC</t>
  </si>
  <si>
    <t xml:space="preserve">VB-0311</t>
  </si>
  <si>
    <t xml:space="preserve">skip_events_2022_2026.csv row 185; offer_events_2022_2026.csv row 644</t>
  </si>
  <si>
    <t xml:space="preserve">SKP-2024-0188</t>
  </si>
  <si>
    <t xml:space="preserve">OFR-2024-0654</t>
  </si>
  <si>
    <t xml:space="preserve">WL-01632</t>
  </si>
  <si>
    <t xml:space="preserve">Laura Johnson</t>
  </si>
  <si>
    <t xml:space="preserve">SB-0306</t>
  </si>
  <si>
    <t xml:space="preserve">skip_events_2022_2026.csv row 189; offer_events_2022_2026.csv row 655</t>
  </si>
  <si>
    <t xml:space="preserve">SKP-2024-0187</t>
  </si>
  <si>
    <t xml:space="preserve">OFR-2024-0653</t>
  </si>
  <si>
    <t xml:space="preserve">WL-02759</t>
  </si>
  <si>
    <t xml:space="preserve">Michael Rose / Rose Ventures LLC</t>
  </si>
  <si>
    <t xml:space="preserve">EW-0708</t>
  </si>
  <si>
    <t xml:space="preserve">skip_events_2022_2026.csv row 188; offer_events_2022_2026.csv row 654</t>
  </si>
  <si>
    <t xml:space="preserve">SKP-2024-0191</t>
  </si>
  <si>
    <t xml:space="preserve">OFR-2024-0666</t>
  </si>
  <si>
    <t xml:space="preserve">WL-01253</t>
  </si>
  <si>
    <t xml:space="preserve">Brandon Sawyer / Sawyer Holdings LLC</t>
  </si>
  <si>
    <t xml:space="preserve">LP-0307</t>
  </si>
  <si>
    <t xml:space="preserve">skip_events_2022_2026.csv row 192; offer_events_2022_2026.csv row 667</t>
  </si>
  <si>
    <t xml:space="preserve">SKP-2024-0194</t>
  </si>
  <si>
    <t xml:space="preserve">OFR-2024-0672</t>
  </si>
  <si>
    <t xml:space="preserve">WL-01347</t>
  </si>
  <si>
    <t xml:space="preserve">Ryan Bennett / Bennett Marine LLC</t>
  </si>
  <si>
    <t xml:space="preserve">EW-0624</t>
  </si>
  <si>
    <t xml:space="preserve">skip_events_2022_2026.csv row 195; offer_events_2022_2026.csv row 673</t>
  </si>
  <si>
    <t xml:space="preserve">SKP-2024-0193</t>
  </si>
  <si>
    <t xml:space="preserve">OFR-2024-0671</t>
  </si>
  <si>
    <t xml:space="preserve">WL-02653</t>
  </si>
  <si>
    <t xml:space="preserve">Christine Jones</t>
  </si>
  <si>
    <t xml:space="preserve">SB-0616</t>
  </si>
  <si>
    <t xml:space="preserve">skip_events_2022_2026.csv row 194; offer_events_2022_2026.csv row 672</t>
  </si>
  <si>
    <t xml:space="preserve">SKP-2024-0195</t>
  </si>
  <si>
    <t xml:space="preserve">OFR-2024-0673</t>
  </si>
  <si>
    <t xml:space="preserve">WL-01562</t>
  </si>
  <si>
    <t xml:space="preserve">Karen Ward / Ward Holdings LLC</t>
  </si>
  <si>
    <t xml:space="preserve">GW-0219</t>
  </si>
  <si>
    <t xml:space="preserve">skip_events_2022_2026.csv row 196; offer_events_2022_2026.csv row 674</t>
  </si>
  <si>
    <t xml:space="preserve">SKP-2024-0192</t>
  </si>
  <si>
    <t xml:space="preserve">OFR-2024-0670</t>
  </si>
  <si>
    <t xml:space="preserve">WL-03127</t>
  </si>
  <si>
    <t xml:space="preserve">Lindsay Dixon</t>
  </si>
  <si>
    <t xml:space="preserve">LP-0515</t>
  </si>
  <si>
    <t xml:space="preserve">skip_events_2022_2026.csv row 193; offer_events_2022_2026.csv row 671</t>
  </si>
  <si>
    <t xml:space="preserve">SKP-2024-0189</t>
  </si>
  <si>
    <t xml:space="preserve">OFR-2024-0661</t>
  </si>
  <si>
    <t xml:space="preserve">WL-03141</t>
  </si>
  <si>
    <t xml:space="preserve">Joseph Green / Green Ventures LLC</t>
  </si>
  <si>
    <t xml:space="preserve">LP-0203</t>
  </si>
  <si>
    <t xml:space="preserve">skip_events_2022_2026.csv row 190; offer_events_2022_2026.csv row 662</t>
  </si>
  <si>
    <t xml:space="preserve">SKP-2024-0409</t>
  </si>
  <si>
    <t xml:space="preserve">OFR-2024-1487</t>
  </si>
  <si>
    <t xml:space="preserve">WL-03044</t>
  </si>
  <si>
    <t xml:space="preserve">Iris Quan</t>
  </si>
  <si>
    <t xml:space="preserve">VB-0904</t>
  </si>
  <si>
    <t xml:space="preserve">WL-03044_skip_justification.pdf p.1 - preference sheet not attached</t>
  </si>
  <si>
    <t xml:space="preserve">PDF says open slip EW-0603; skip export says covered slip VB-0904. Historical preference cannot be verified.</t>
  </si>
  <si>
    <t xml:space="preserve">skip_events_2022_2026.csv row 410; no matching offer-export row; WL-03044_skip_justification.pdf</t>
  </si>
  <si>
    <t xml:space="preserve">SKP-2024-0190</t>
  </si>
  <si>
    <t xml:space="preserve">OFR-2024-0663</t>
  </si>
  <si>
    <t xml:space="preserve">WL-02349</t>
  </si>
  <si>
    <t xml:space="preserve">Natalie Mason / Mason Ventures LLC</t>
  </si>
  <si>
    <t xml:space="preserve">SB-0403</t>
  </si>
  <si>
    <t xml:space="preserve">skip_events_2022_2026.csv row 191; offer_events_2022_2026.csv row 664</t>
  </si>
  <si>
    <t xml:space="preserve">SKP-2024-0200</t>
  </si>
  <si>
    <t xml:space="preserve">OFR-2024-0693</t>
  </si>
  <si>
    <t xml:space="preserve">WL-02893</t>
  </si>
  <si>
    <t xml:space="preserve">Christopher Carrillo</t>
  </si>
  <si>
    <t xml:space="preserve">EW-1021</t>
  </si>
  <si>
    <t xml:space="preserve">skip_events_2022_2026.csv row 201; offer_events_2022_2026.csv row 694</t>
  </si>
  <si>
    <t xml:space="preserve">SKP-2024-0203</t>
  </si>
  <si>
    <t xml:space="preserve">OFR-2024-0701</t>
  </si>
  <si>
    <t xml:space="preserve">WL-02769</t>
  </si>
  <si>
    <t xml:space="preserve">Jacqueline Simon</t>
  </si>
  <si>
    <t xml:space="preserve">EW-0902</t>
  </si>
  <si>
    <t xml:space="preserve">skip_events_2022_2026.csv row 204; offer_events_2022_2026.csv row 702</t>
  </si>
  <si>
    <t xml:space="preserve">SKP-2024-0411</t>
  </si>
  <si>
    <t xml:space="preserve">WL-02877</t>
  </si>
  <si>
    <t xml:space="preserve">Sandra Milovich</t>
  </si>
  <si>
    <t xml:space="preserve">GW-1012</t>
  </si>
  <si>
    <t xml:space="preserve">WL-02877_skip_justification.pdf pp.1-3 - particulars and correspondence attached</t>
  </si>
  <si>
    <t xml:space="preserve">File proves beam 10.1 ft exceeded GW-0702 posted beam 9.0 ft; export identifies a different slip.</t>
  </si>
  <si>
    <t xml:space="preserve">skip_events_2022_2026.csv row 412; no matching offer-export row; WL-02877_skip_justification.pdf</t>
  </si>
  <si>
    <t xml:space="preserve">SKP-2024-0202</t>
  </si>
  <si>
    <t xml:space="preserve">OFR-2024-0700</t>
  </si>
  <si>
    <t xml:space="preserve">WL-03661</t>
  </si>
  <si>
    <t xml:space="preserve">Kenneth Williams</t>
  </si>
  <si>
    <t xml:space="preserve">EW-0709</t>
  </si>
  <si>
    <t xml:space="preserve">skip_events_2022_2026.csv row 203; offer_events_2022_2026.csv row 701</t>
  </si>
  <si>
    <t xml:space="preserve">SKP-2024-0198</t>
  </si>
  <si>
    <t xml:space="preserve">OFR-2024-0683</t>
  </si>
  <si>
    <t xml:space="preserve">WL-02027</t>
  </si>
  <si>
    <t xml:space="preserve">Monica Hammond</t>
  </si>
  <si>
    <t xml:space="preserve">skip_events_2022_2026.csv row 199; offer_events_2022_2026.csv row 684</t>
  </si>
  <si>
    <t xml:space="preserve">SKP-2024-0196</t>
  </si>
  <si>
    <t xml:space="preserve">OFR-2024-0676</t>
  </si>
  <si>
    <t xml:space="preserve">WL-02629</t>
  </si>
  <si>
    <t xml:space="preserve">Joseph Powell / Powell Charters Inc</t>
  </si>
  <si>
    <t xml:space="preserve">VB-1021</t>
  </si>
  <si>
    <t xml:space="preserve">skip_events_2022_2026.csv row 197; offer_events_2022_2026.csv row 677</t>
  </si>
  <si>
    <t xml:space="preserve">SKP-2024-0201</t>
  </si>
  <si>
    <t xml:space="preserve">OFR-2024-0698</t>
  </si>
  <si>
    <t xml:space="preserve">WL-02274</t>
  </si>
  <si>
    <t xml:space="preserve">Kevin Green / Green Marine LLC</t>
  </si>
  <si>
    <t xml:space="preserve">VB-0721</t>
  </si>
  <si>
    <t xml:space="preserve">skip_events_2022_2026.csv row 202; offer_events_2022_2026.csv row 699</t>
  </si>
  <si>
    <t xml:space="preserve">SKP-2024-0199</t>
  </si>
  <si>
    <t xml:space="preserve">OFR-2024-0690</t>
  </si>
  <si>
    <t xml:space="preserve">WL-03185</t>
  </si>
  <si>
    <t xml:space="preserve">Sarah Davis / Davis Charters Inc</t>
  </si>
  <si>
    <t xml:space="preserve">SB-0824</t>
  </si>
  <si>
    <t xml:space="preserve">skip_events_2022_2026.csv row 200; offer_events_2022_2026.csv row 691</t>
  </si>
  <si>
    <t xml:space="preserve">SKP-2024-0197</t>
  </si>
  <si>
    <t xml:space="preserve">OFR-2024-0679</t>
  </si>
  <si>
    <t xml:space="preserve">WL-03621</t>
  </si>
  <si>
    <t xml:space="preserve">Denise Powers</t>
  </si>
  <si>
    <t xml:space="preserve">SB-0601</t>
  </si>
  <si>
    <t xml:space="preserve">skip_events_2022_2026.csv row 198; offer_events_2022_2026.csv row 680</t>
  </si>
  <si>
    <t xml:space="preserve">SKP-2024-0204</t>
  </si>
  <si>
    <t xml:space="preserve">OFR-2024-0704</t>
  </si>
  <si>
    <t xml:space="preserve">WL-01950</t>
  </si>
  <si>
    <t xml:space="preserve">Mathew Trujillo / Trujillo Holdings LLC</t>
  </si>
  <si>
    <t xml:space="preserve">EW-0608</t>
  </si>
  <si>
    <t xml:space="preserve">No supporting record attached. Later disposition=SUSTAINED; review=RD on 2024-04-02; later review cannot cure the missing same-day record.</t>
  </si>
  <si>
    <t xml:space="preserve">skip_events_2022_2026.csv row 205; offer_events_2022_2026.csv row 705</t>
  </si>
  <si>
    <t xml:space="preserve">SKP-2024-0206</t>
  </si>
  <si>
    <t xml:space="preserve">OFR-2024-0724</t>
  </si>
  <si>
    <t xml:space="preserve">WL-03018</t>
  </si>
  <si>
    <t xml:space="preserve">Jessica Duffy</t>
  </si>
  <si>
    <t xml:space="preserve">VB-0617</t>
  </si>
  <si>
    <t xml:space="preserve">skip_events_2022_2026.csv row 207; offer_events_2022_2026.csv row 725</t>
  </si>
  <si>
    <t xml:space="preserve">SKP-2024-0207</t>
  </si>
  <si>
    <t xml:space="preserve">OFR-2024-0729</t>
  </si>
  <si>
    <t xml:space="preserve">WL-02948</t>
  </si>
  <si>
    <t xml:space="preserve">Michael Salinas / Salinas Holdings LLC</t>
  </si>
  <si>
    <t xml:space="preserve">GW-1013</t>
  </si>
  <si>
    <t xml:space="preserve">No supporting record attached. Later disposition=SUSTAINED; review=DR on 2024-04-24; later review cannot cure the missing same-day record.</t>
  </si>
  <si>
    <t xml:space="preserve">skip_events_2022_2026.csv row 208; offer_events_2022_2026.csv row 730</t>
  </si>
  <si>
    <t xml:space="preserve">SKP-2024-0205</t>
  </si>
  <si>
    <t xml:space="preserve">OFR-2024-0707</t>
  </si>
  <si>
    <t xml:space="preserve">WL-02895</t>
  </si>
  <si>
    <t xml:space="preserve">Madison Hensley</t>
  </si>
  <si>
    <t xml:space="preserve">EW-0306</t>
  </si>
  <si>
    <t xml:space="preserve">skip_events_2022_2026.csv row 206; offer_events_2022_2026.csv row 708</t>
  </si>
  <si>
    <t xml:space="preserve">SKP-2024-0214</t>
  </si>
  <si>
    <t xml:space="preserve">OFR-2024-0762</t>
  </si>
  <si>
    <t xml:space="preserve">WL-01318</t>
  </si>
  <si>
    <t xml:space="preserve">Denise Montgomery</t>
  </si>
  <si>
    <t xml:space="preserve">skip_events_2022_2026.csv row 215; offer_events_2022_2026.csv row 763</t>
  </si>
  <si>
    <t xml:space="preserve">SKP-2024-0208</t>
  </si>
  <si>
    <t xml:space="preserve">OFR-2024-0737</t>
  </si>
  <si>
    <t xml:space="preserve">WL-02305</t>
  </si>
  <si>
    <t xml:space="preserve">John Patel</t>
  </si>
  <si>
    <t xml:space="preserve">GW-0823</t>
  </si>
  <si>
    <t xml:space="preserve">skip_events_2022_2026.csv row 209; offer_events_2022_2026.csv row 738</t>
  </si>
  <si>
    <t xml:space="preserve">SKP-2024-0209</t>
  </si>
  <si>
    <t xml:space="preserve">OFR-2024-0746</t>
  </si>
  <si>
    <t xml:space="preserve">WL-01675</t>
  </si>
  <si>
    <t xml:space="preserve">VB-0808</t>
  </si>
  <si>
    <t xml:space="preserve">skip_events_2022_2026.csv row 210; offer_events_2022_2026.csv row 747</t>
  </si>
  <si>
    <t xml:space="preserve">SKP-2024-0213</t>
  </si>
  <si>
    <t xml:space="preserve">OFR-2024-0759</t>
  </si>
  <si>
    <t xml:space="preserve">WL-01753</t>
  </si>
  <si>
    <t xml:space="preserve">Erin Valencia / Valencia Marine LLC</t>
  </si>
  <si>
    <t xml:space="preserve">LP-0722</t>
  </si>
  <si>
    <t xml:space="preserve">skip_events_2022_2026.csv row 214; offer_events_2022_2026.csv row 760</t>
  </si>
  <si>
    <t xml:space="preserve">SKP-2024-0211</t>
  </si>
  <si>
    <t xml:space="preserve">OFR-2024-0752</t>
  </si>
  <si>
    <t xml:space="preserve">WL-01536</t>
  </si>
  <si>
    <t xml:space="preserve">Deborah Spears</t>
  </si>
  <si>
    <t xml:space="preserve">GW-0522</t>
  </si>
  <si>
    <t xml:space="preserve">skip_events_2022_2026.csv row 212; offer_events_2022_2026.csv row 753</t>
  </si>
  <si>
    <t xml:space="preserve">SKP-2024-0215</t>
  </si>
  <si>
    <t xml:space="preserve">OFR-2024-0766</t>
  </si>
  <si>
    <t xml:space="preserve">WL-03891</t>
  </si>
  <si>
    <t xml:space="preserve">David Melton / Melton Marine LLC</t>
  </si>
  <si>
    <t xml:space="preserve">EW-0607</t>
  </si>
  <si>
    <t xml:space="preserve">skip_events_2022_2026.csv row 216; offer_events_2022_2026.csv row 767</t>
  </si>
  <si>
    <t xml:space="preserve">SKP-2024-0212</t>
  </si>
  <si>
    <t xml:space="preserve">OFR-2024-0755</t>
  </si>
  <si>
    <t xml:space="preserve">WL-02013</t>
  </si>
  <si>
    <t xml:space="preserve">Elizabeth Harrison / Harrison Marine LLC</t>
  </si>
  <si>
    <t xml:space="preserve">VB-0602</t>
  </si>
  <si>
    <t xml:space="preserve">skip_events_2022_2026.csv row 213; offer_events_2022_2026.csv row 756</t>
  </si>
  <si>
    <t xml:space="preserve">SKP-2024-0210</t>
  </si>
  <si>
    <t xml:space="preserve">OFR-2024-0747</t>
  </si>
  <si>
    <t xml:space="preserve">skip_events_2022_2026.csv row 211; offer_events_2022_2026.csv row 748</t>
  </si>
  <si>
    <t xml:space="preserve">SKP-2024-0219</t>
  </si>
  <si>
    <t xml:space="preserve">OFR-2024-0789</t>
  </si>
  <si>
    <t xml:space="preserve">WL-01144</t>
  </si>
  <si>
    <t xml:space="preserve">James Lopez / Lopez Marine LLC</t>
  </si>
  <si>
    <t xml:space="preserve">LP-0216</t>
  </si>
  <si>
    <t xml:space="preserve">No supporting record attached. Later disposition=SUSTAINED; review=MT on 2024-06-08; later review cannot cure the missing same-day record.</t>
  </si>
  <si>
    <t xml:space="preserve">skip_events_2022_2026.csv row 220; offer_events_2022_2026.csv row 790</t>
  </si>
  <si>
    <t xml:space="preserve">SKP-2024-0220</t>
  </si>
  <si>
    <t xml:space="preserve">OFR-2024-0791</t>
  </si>
  <si>
    <t xml:space="preserve">WL-03390</t>
  </si>
  <si>
    <t xml:space="preserve">Phillip Ard</t>
  </si>
  <si>
    <t xml:space="preserve">SB-0302</t>
  </si>
  <si>
    <t xml:space="preserve">skip_events_2022_2026.csv row 221; offer_events_2022_2026.csv row 792</t>
  </si>
  <si>
    <t xml:space="preserve">SKP-2024-0221</t>
  </si>
  <si>
    <t xml:space="preserve">OFR-2024-0792</t>
  </si>
  <si>
    <t xml:space="preserve">WL-01368</t>
  </si>
  <si>
    <t xml:space="preserve">Justin Turner</t>
  </si>
  <si>
    <t xml:space="preserve">VB-0924</t>
  </si>
  <si>
    <t xml:space="preserve">skip_events_2022_2026.csv row 222; offer_events_2022_2026.csv row 793</t>
  </si>
  <si>
    <t xml:space="preserve">SKP-2024-0216</t>
  </si>
  <si>
    <t xml:space="preserve">OFR-2024-0772</t>
  </si>
  <si>
    <t xml:space="preserve">WL-03026</t>
  </si>
  <si>
    <t xml:space="preserve">Amanda Taylor / Taylor Marine LLC</t>
  </si>
  <si>
    <t xml:space="preserve">LP-0324</t>
  </si>
  <si>
    <t xml:space="preserve">skip_events_2022_2026.csv row 217; offer_events_2022_2026.csv row 773</t>
  </si>
  <si>
    <t xml:space="preserve">SKP-2024-0218</t>
  </si>
  <si>
    <t xml:space="preserve">OFR-2024-0784</t>
  </si>
  <si>
    <t xml:space="preserve">WL-03527</t>
  </si>
  <si>
    <t xml:space="preserve">Ashley Logan / Logan Ventures LLC</t>
  </si>
  <si>
    <t xml:space="preserve">EW-0523</t>
  </si>
  <si>
    <t xml:space="preserve">skip_events_2022_2026.csv row 219; offer_events_2022_2026.csv row 785</t>
  </si>
  <si>
    <t xml:space="preserve">SKP-2024-0217</t>
  </si>
  <si>
    <t xml:space="preserve">OFR-2024-0774</t>
  </si>
  <si>
    <t xml:space="preserve">WL-03245</t>
  </si>
  <si>
    <t xml:space="preserve">Howard Sellers</t>
  </si>
  <si>
    <t xml:space="preserve">LP-1001</t>
  </si>
  <si>
    <t xml:space="preserve">skip_events_2022_2026.csv row 218; offer_events_2022_2026.csv row 775</t>
  </si>
  <si>
    <t xml:space="preserve">SKP-2024-0223</t>
  </si>
  <si>
    <t xml:space="preserve">OFR-2024-0823</t>
  </si>
  <si>
    <t xml:space="preserve">WL-01691</t>
  </si>
  <si>
    <t xml:space="preserve">Joshua Li</t>
  </si>
  <si>
    <t xml:space="preserve">LP-1024</t>
  </si>
  <si>
    <t xml:space="preserve">skip_events_2022_2026.csv row 224; offer_events_2022_2026.csv row 824</t>
  </si>
  <si>
    <t xml:space="preserve">SKP-2024-0224</t>
  </si>
  <si>
    <t xml:space="preserve">OFR-2024-0824</t>
  </si>
  <si>
    <t xml:space="preserve">WL-02850</t>
  </si>
  <si>
    <t xml:space="preserve">Edwin Boone</t>
  </si>
  <si>
    <t xml:space="preserve">SB-0107</t>
  </si>
  <si>
    <t xml:space="preserve">skip_events_2022_2026.csv row 225; offer_events_2022_2026.csv row 825</t>
  </si>
  <si>
    <t xml:space="preserve">SKP-2024-0222</t>
  </si>
  <si>
    <t xml:space="preserve">OFR-2024-0818</t>
  </si>
  <si>
    <t xml:space="preserve">WL-01889</t>
  </si>
  <si>
    <t xml:space="preserve">Haley Scott</t>
  </si>
  <si>
    <t xml:space="preserve">GW-0206</t>
  </si>
  <si>
    <t xml:space="preserve">skip_events_2022_2026.csv row 223; offer_events_2022_2026.csv row 819</t>
  </si>
  <si>
    <t xml:space="preserve">SKP-2024-0231</t>
  </si>
  <si>
    <t xml:space="preserve">OFR-2024-0862</t>
  </si>
  <si>
    <t xml:space="preserve">WL-02925</t>
  </si>
  <si>
    <t xml:space="preserve">Leslie Marsh</t>
  </si>
  <si>
    <t xml:space="preserve">EW-0324</t>
  </si>
  <si>
    <t xml:space="preserve">skip_events_2022_2026.csv row 232; offer_events_2022_2026.csv row 863</t>
  </si>
  <si>
    <t xml:space="preserve">SKP-2024-0226</t>
  </si>
  <si>
    <t xml:space="preserve">OFR-2024-0829</t>
  </si>
  <si>
    <t xml:space="preserve">WL-03542</t>
  </si>
  <si>
    <t xml:space="preserve">Kristina Rivas / Rivas Charters Inc</t>
  </si>
  <si>
    <t xml:space="preserve">SB-0319</t>
  </si>
  <si>
    <t xml:space="preserve">skip_events_2022_2026.csv row 227; offer_events_2022_2026.csv row 830</t>
  </si>
  <si>
    <t xml:space="preserve">SKP-2024-0228</t>
  </si>
  <si>
    <t xml:space="preserve">OFR-2024-0831</t>
  </si>
  <si>
    <t xml:space="preserve">WL-01001</t>
  </si>
  <si>
    <t xml:space="preserve">Valerie Jones / Jones Holdings LLC</t>
  </si>
  <si>
    <t xml:space="preserve">VB-1008</t>
  </si>
  <si>
    <t xml:space="preserve">skip_events_2022_2026.csv row 229; offer_events_2022_2026.csv row 832</t>
  </si>
  <si>
    <t xml:space="preserve">SKP-2024-0227</t>
  </si>
  <si>
    <t xml:space="preserve">OFR-2024-0830</t>
  </si>
  <si>
    <t xml:space="preserve">WL-03759</t>
  </si>
  <si>
    <t xml:space="preserve">Ryan Newton</t>
  </si>
  <si>
    <t xml:space="preserve">GW-0123</t>
  </si>
  <si>
    <t xml:space="preserve">skip_events_2022_2026.csv row 228; offer_events_2022_2026.csv row 831</t>
  </si>
  <si>
    <t xml:space="preserve">SKP-2024-0225</t>
  </si>
  <si>
    <t xml:space="preserve">OFR-2024-0828</t>
  </si>
  <si>
    <t xml:space="preserve">WL-03762</t>
  </si>
  <si>
    <t xml:space="preserve">Kristen Anderson / Anderson Ventures LLC</t>
  </si>
  <si>
    <t xml:space="preserve">LP-0513</t>
  </si>
  <si>
    <t xml:space="preserve">skip_events_2022_2026.csv row 226; offer_events_2022_2026.csv row 829</t>
  </si>
  <si>
    <t xml:space="preserve">SKP-2024-0229</t>
  </si>
  <si>
    <t xml:space="preserve">OFR-2024-0838</t>
  </si>
  <si>
    <t xml:space="preserve">WL-02791</t>
  </si>
  <si>
    <t xml:space="preserve">Kyle Jimenez / Jimenez Charters Inc</t>
  </si>
  <si>
    <t xml:space="preserve">skip_events_2022_2026.csv row 230; offer_events_2022_2026.csv row 839</t>
  </si>
  <si>
    <t xml:space="preserve">SKP-2024-0230</t>
  </si>
  <si>
    <t xml:space="preserve">OFR-2024-0845</t>
  </si>
  <si>
    <t xml:space="preserve">WL-01998</t>
  </si>
  <si>
    <t xml:space="preserve">Katherine Johnson / Johnson Charters Inc</t>
  </si>
  <si>
    <t xml:space="preserve">EW-0118</t>
  </si>
  <si>
    <t xml:space="preserve">skip_events_2022_2026.csv row 231; offer_events_2022_2026.csv row 846</t>
  </si>
  <si>
    <t xml:space="preserve">SKP-2024-0232</t>
  </si>
  <si>
    <t xml:space="preserve">OFR-2024-0869</t>
  </si>
  <si>
    <t xml:space="preserve">WL-03615</t>
  </si>
  <si>
    <t xml:space="preserve">Kathryn Cook / Cook Holdings LLC</t>
  </si>
  <si>
    <t xml:space="preserve">VB-0518</t>
  </si>
  <si>
    <t xml:space="preserve">skip_events_2022_2026.csv row 233; offer_events_2022_2026.csv row 870</t>
  </si>
  <si>
    <t xml:space="preserve">SKP-2024-0235</t>
  </si>
  <si>
    <t xml:space="preserve">OFR-2024-0876</t>
  </si>
  <si>
    <t xml:space="preserve">WL-03228</t>
  </si>
  <si>
    <t xml:space="preserve">Roy Stuart</t>
  </si>
  <si>
    <t xml:space="preserve">EW-0319</t>
  </si>
  <si>
    <t xml:space="preserve">skip_events_2022_2026.csv row 236; offer_events_2022_2026.csv row 877</t>
  </si>
  <si>
    <t xml:space="preserve">SKP-2024-0239</t>
  </si>
  <si>
    <t xml:space="preserve">OFR-2024-0887</t>
  </si>
  <si>
    <t xml:space="preserve">WL-01504</t>
  </si>
  <si>
    <t xml:space="preserve">Margaret Johnson</t>
  </si>
  <si>
    <t xml:space="preserve">VB-0223</t>
  </si>
  <si>
    <t xml:space="preserve">skip_events_2022_2026.csv row 240; offer_events_2022_2026.csv row 888</t>
  </si>
  <si>
    <t xml:space="preserve">SKP-2024-0234</t>
  </si>
  <si>
    <t xml:space="preserve">OFR-2024-0871</t>
  </si>
  <si>
    <t xml:space="preserve">WL-01779</t>
  </si>
  <si>
    <t xml:space="preserve">Christy Burke / Burke Holdings LLC</t>
  </si>
  <si>
    <t xml:space="preserve">SB-0313</t>
  </si>
  <si>
    <t xml:space="preserve">skip_events_2022_2026.csv row 235; offer_events_2022_2026.csv row 872</t>
  </si>
  <si>
    <t xml:space="preserve">SKP-2024-0236</t>
  </si>
  <si>
    <t xml:space="preserve">OFR-2024-0877</t>
  </si>
  <si>
    <t xml:space="preserve">WL-03479</t>
  </si>
  <si>
    <t xml:space="preserve">Brittney Daugherty / Daugherty Holdings LLC</t>
  </si>
  <si>
    <t xml:space="preserve">SB-0607</t>
  </si>
  <si>
    <t xml:space="preserve">skip_events_2022_2026.csv row 237; offer_events_2022_2026.csv row 878</t>
  </si>
  <si>
    <t xml:space="preserve">SKP-2024-0238</t>
  </si>
  <si>
    <t xml:space="preserve">OFR-2024-0883</t>
  </si>
  <si>
    <t xml:space="preserve">WL-02336</t>
  </si>
  <si>
    <t xml:space="preserve">Jimmy Ford</t>
  </si>
  <si>
    <t xml:space="preserve">VB-0517</t>
  </si>
  <si>
    <t xml:space="preserve">skip_events_2022_2026.csv row 239; offer_events_2022_2026.csv row 884</t>
  </si>
  <si>
    <t xml:space="preserve">SKP-2024-0233</t>
  </si>
  <si>
    <t xml:space="preserve">OFR-2024-0870</t>
  </si>
  <si>
    <t xml:space="preserve">WL-03062</t>
  </si>
  <si>
    <t xml:space="preserve">Donna Garcia</t>
  </si>
  <si>
    <t xml:space="preserve">LP-0303</t>
  </si>
  <si>
    <t xml:space="preserve">skip_events_2022_2026.csv row 234; offer_events_2022_2026.csv row 871</t>
  </si>
  <si>
    <t xml:space="preserve">SKP-2024-0237</t>
  </si>
  <si>
    <t xml:space="preserve">OFR-2024-0878</t>
  </si>
  <si>
    <t xml:space="preserve">WL-02574</t>
  </si>
  <si>
    <t xml:space="preserve">Elizabeth Larsen</t>
  </si>
  <si>
    <t xml:space="preserve">skip_events_2022_2026.csv row 238; offer_events_2022_2026.csv row 879</t>
  </si>
  <si>
    <t xml:space="preserve">SKP-2024-0240</t>
  </si>
  <si>
    <t xml:space="preserve">OFR-2024-0889</t>
  </si>
  <si>
    <t xml:space="preserve">WL-01718</t>
  </si>
  <si>
    <t xml:space="preserve">Christopher Welch</t>
  </si>
  <si>
    <t xml:space="preserve">SB-0821</t>
  </si>
  <si>
    <t xml:space="preserve">skip_events_2022_2026.csv row 241; offer_events_2022_2026.csv row 890</t>
  </si>
  <si>
    <t xml:space="preserve">SKP-2024-0246</t>
  </si>
  <si>
    <t xml:space="preserve">OFR-2024-0922</t>
  </si>
  <si>
    <t xml:space="preserve">WL-01269</t>
  </si>
  <si>
    <t xml:space="preserve">Patricia Bennett / Bennett Ventures LLC</t>
  </si>
  <si>
    <t xml:space="preserve">VB-0306</t>
  </si>
  <si>
    <t xml:space="preserve">skip_events_2022_2026.csv row 247; offer_events_2022_2026.csv row 923</t>
  </si>
  <si>
    <t xml:space="preserve">SKP-2024-0247</t>
  </si>
  <si>
    <t xml:space="preserve">OFR-2024-0924</t>
  </si>
  <si>
    <t xml:space="preserve">WL-03733</t>
  </si>
  <si>
    <t xml:space="preserve">Theresa Richmond / Richmond Ventures LLC</t>
  </si>
  <si>
    <t xml:space="preserve">GW-0814</t>
  </si>
  <si>
    <t xml:space="preserve">skip_events_2022_2026.csv row 248; offer_events_2022_2026.csv row 925</t>
  </si>
  <si>
    <t xml:space="preserve">SKP-2024-0242</t>
  </si>
  <si>
    <t xml:space="preserve">OFR-2024-0895</t>
  </si>
  <si>
    <t xml:space="preserve">WL-03831</t>
  </si>
  <si>
    <t xml:space="preserve">Michael Burns / Burns Holdings LLC</t>
  </si>
  <si>
    <t xml:space="preserve">EW-1022</t>
  </si>
  <si>
    <t xml:space="preserve">skip_events_2022_2026.csv row 243; offer_events_2022_2026.csv row 896</t>
  </si>
  <si>
    <t xml:space="preserve">SKP-2024-0243</t>
  </si>
  <si>
    <t xml:space="preserve">OFR-2024-0901</t>
  </si>
  <si>
    <t xml:space="preserve">WL-01264</t>
  </si>
  <si>
    <t xml:space="preserve">Jeffery Lewis</t>
  </si>
  <si>
    <t xml:space="preserve">VB-0917</t>
  </si>
  <si>
    <t xml:space="preserve">skip_events_2022_2026.csv row 244; offer_events_2022_2026.csv row 902</t>
  </si>
  <si>
    <t xml:space="preserve">SKP-2024-0244</t>
  </si>
  <si>
    <t xml:space="preserve">OFR-2024-0903</t>
  </si>
  <si>
    <t xml:space="preserve">WL-03708</t>
  </si>
  <si>
    <t xml:space="preserve">Catherine Anderson</t>
  </si>
  <si>
    <t xml:space="preserve">GW-0813</t>
  </si>
  <si>
    <t xml:space="preserve">skip_events_2022_2026.csv row 245; offer_events_2022_2026.csv row 904</t>
  </si>
  <si>
    <t xml:space="preserve">SKP-2024-0241</t>
  </si>
  <si>
    <t xml:space="preserve">OFR-2024-0893</t>
  </si>
  <si>
    <t xml:space="preserve">WL-01026</t>
  </si>
  <si>
    <t xml:space="preserve">Dawn Jacobs / Jacobs Marine LLC</t>
  </si>
  <si>
    <t xml:space="preserve">SB-0214</t>
  </si>
  <si>
    <t xml:space="preserve">skip_events_2022_2026.csv row 242; offer_events_2022_2026.csv row 894</t>
  </si>
  <si>
    <t xml:space="preserve">SKP-2024-0245</t>
  </si>
  <si>
    <t xml:space="preserve">OFR-2024-0909</t>
  </si>
  <si>
    <t xml:space="preserve">WL-03808</t>
  </si>
  <si>
    <t xml:space="preserve">Julie Peterson / Peterson Charters Inc</t>
  </si>
  <si>
    <t xml:space="preserve">VB-0601</t>
  </si>
  <si>
    <t xml:space="preserve">skip_events_2022_2026.csv row 246; offer_events_2022_2026.csv row 910</t>
  </si>
  <si>
    <t xml:space="preserve">SKP-2024-0251</t>
  </si>
  <si>
    <t xml:space="preserve">OFR-2024-0942</t>
  </si>
  <si>
    <t xml:space="preserve">SB-0407</t>
  </si>
  <si>
    <t xml:space="preserve">skip_events_2022_2026.csv row 252; offer_events_2022_2026.csv row 943</t>
  </si>
  <si>
    <t xml:space="preserve">SKP-2024-0410</t>
  </si>
  <si>
    <t xml:space="preserve">SB-0120</t>
  </si>
  <si>
    <t xml:space="preserve">WL-03390_skip_justification.pdf p.1 - prior-offer record not attached</t>
  </si>
  <si>
    <t xml:space="preserve">PDF cites nonexistent OFR-2024-0402 and slip VB-0144; skip export says SB-0120.</t>
  </si>
  <si>
    <t xml:space="preserve">skip_events_2022_2026.csv row 411; no matching offer-export row; WL-03390_skip_justification.pdf</t>
  </si>
  <si>
    <t xml:space="preserve">SKP-2024-0249</t>
  </si>
  <si>
    <t xml:space="preserve">OFR-2024-0930</t>
  </si>
  <si>
    <t xml:space="preserve">WL-02598</t>
  </si>
  <si>
    <t xml:space="preserve">Nicole Rubio / Rubio Ventures LLC</t>
  </si>
  <si>
    <t xml:space="preserve">GW-0902</t>
  </si>
  <si>
    <t xml:space="preserve">No supporting record attached. Later disposition=SUSTAINED; review=EK on 2024-11-17; later review cannot cure the missing same-day record.</t>
  </si>
  <si>
    <t xml:space="preserve">skip_events_2022_2026.csv row 250; offer_events_2022_2026.csv row 931</t>
  </si>
  <si>
    <t xml:space="preserve">SKP-2024-0248</t>
  </si>
  <si>
    <t xml:space="preserve">OFR-2024-0929</t>
  </si>
  <si>
    <t xml:space="preserve">WL-02139</t>
  </si>
  <si>
    <t xml:space="preserve">Jennifer Anderson</t>
  </si>
  <si>
    <t xml:space="preserve">LP-0215</t>
  </si>
  <si>
    <t xml:space="preserve">skip_events_2022_2026.csv row 249; offer_events_2022_2026.csv row 930</t>
  </si>
  <si>
    <t xml:space="preserve">SKP-2024-0250</t>
  </si>
  <si>
    <t xml:space="preserve">OFR-2024-0940</t>
  </si>
  <si>
    <t xml:space="preserve">WL-01832</t>
  </si>
  <si>
    <t xml:space="preserve">Bryan Spencer / Spencer Ventures LLC</t>
  </si>
  <si>
    <t xml:space="preserve">VB-0222</t>
  </si>
  <si>
    <t xml:space="preserve">skip_events_2022_2026.csv row 251; offer_events_2022_2026.csv row 941</t>
  </si>
  <si>
    <t xml:space="preserve">SKP-2024-0254</t>
  </si>
  <si>
    <t xml:space="preserve">OFR-2024-0954</t>
  </si>
  <si>
    <t xml:space="preserve">WL-03294</t>
  </si>
  <si>
    <t xml:space="preserve">Megan Nguyen</t>
  </si>
  <si>
    <t xml:space="preserve">LP-0102</t>
  </si>
  <si>
    <t xml:space="preserve">skip_events_2022_2026.csv row 255; offer_events_2022_2026.csv row 955</t>
  </si>
  <si>
    <t xml:space="preserve">SKP-2024-0252</t>
  </si>
  <si>
    <t xml:space="preserve">OFR-2024-0951</t>
  </si>
  <si>
    <t xml:space="preserve">WL-02412</t>
  </si>
  <si>
    <t xml:space="preserve">Laura David / David Marine LLC</t>
  </si>
  <si>
    <t xml:space="preserve">GW-0201</t>
  </si>
  <si>
    <t xml:space="preserve">skip_events_2022_2026.csv row 253; offer_events_2022_2026.csv row 952</t>
  </si>
  <si>
    <t xml:space="preserve">SKP-2024-0256</t>
  </si>
  <si>
    <t xml:space="preserve">OFR-2024-0960</t>
  </si>
  <si>
    <t xml:space="preserve">WL-02923</t>
  </si>
  <si>
    <t xml:space="preserve">Randall Cummings / Cummings Charters Inc</t>
  </si>
  <si>
    <t xml:space="preserve">LP-0822</t>
  </si>
  <si>
    <t xml:space="preserve">skip_events_2022_2026.csv row 257; offer_events_2022_2026.csv row 961</t>
  </si>
  <si>
    <t xml:space="preserve">SKP-2024-0255</t>
  </si>
  <si>
    <t xml:space="preserve">OFR-2024-0955</t>
  </si>
  <si>
    <t xml:space="preserve">WL-01844</t>
  </si>
  <si>
    <t xml:space="preserve">Jeffrey Pearson</t>
  </si>
  <si>
    <t xml:space="preserve">EW-0519</t>
  </si>
  <si>
    <t xml:space="preserve">skip_events_2022_2026.csv row 256; offer_events_2022_2026.csv row 956</t>
  </si>
  <si>
    <t xml:space="preserve">SKP-2024-0253</t>
  </si>
  <si>
    <t xml:space="preserve">OFR-2024-0952</t>
  </si>
  <si>
    <t xml:space="preserve">WL-03079</t>
  </si>
  <si>
    <t xml:space="preserve">Crystal Glover / Glover Marine LLC</t>
  </si>
  <si>
    <t xml:space="preserve">SB-0106</t>
  </si>
  <si>
    <t xml:space="preserve">skip_events_2022_2026.csv row 254; offer_events_2022_2026.csv row 953</t>
  </si>
  <si>
    <t xml:space="preserve">SKP-2025-0259</t>
  </si>
  <si>
    <t xml:space="preserve">OFR-2025-0969</t>
  </si>
  <si>
    <t xml:space="preserve">WL-01382</t>
  </si>
  <si>
    <t xml:space="preserve">Jose King / King Charters Inc</t>
  </si>
  <si>
    <t xml:space="preserve">GW-0908</t>
  </si>
  <si>
    <t xml:space="preserve">skip_events_2022_2026.csv row 260; offer_events_2022_2026.csv row 970</t>
  </si>
  <si>
    <t xml:space="preserve">SKP-2025-0260</t>
  </si>
  <si>
    <t xml:space="preserve">OFR-2025-0970</t>
  </si>
  <si>
    <t xml:space="preserve">WL-03888</t>
  </si>
  <si>
    <t xml:space="preserve">Christian Garcia / Garcia Ventures LLC</t>
  </si>
  <si>
    <t xml:space="preserve">SB-0603</t>
  </si>
  <si>
    <t xml:space="preserve">skip_events_2022_2026.csv row 261; offer_events_2022_2026.csv row 971</t>
  </si>
  <si>
    <t xml:space="preserve">SKP-2025-0257</t>
  </si>
  <si>
    <t xml:space="preserve">OFR-2025-0964</t>
  </si>
  <si>
    <t xml:space="preserve">WL-03628</t>
  </si>
  <si>
    <t xml:space="preserve">Makayla Johnson / Johnson Charters Inc</t>
  </si>
  <si>
    <t xml:space="preserve">LP-0715</t>
  </si>
  <si>
    <t xml:space="preserve">skip_events_2022_2026.csv row 258; offer_events_2022_2026.csv row 965</t>
  </si>
  <si>
    <t xml:space="preserve">SKP-2025-0261</t>
  </si>
  <si>
    <t xml:space="preserve">OFR-2025-0974</t>
  </si>
  <si>
    <t xml:space="preserve">WL-02733</t>
  </si>
  <si>
    <t xml:space="preserve">Tiffany Melendez / Melendez Marine LLC</t>
  </si>
  <si>
    <t xml:space="preserve">LP-0803</t>
  </si>
  <si>
    <t xml:space="preserve">skip_events_2022_2026.csv row 262; offer_events_2022_2026.csv row 975</t>
  </si>
  <si>
    <t xml:space="preserve">SKP-2025-0258</t>
  </si>
  <si>
    <t xml:space="preserve">OFR-2025-0968</t>
  </si>
  <si>
    <t xml:space="preserve">GW-0517</t>
  </si>
  <si>
    <t xml:space="preserve">skip_events_2022_2026.csv row 259; offer_events_2022_2026.csv row 969</t>
  </si>
  <si>
    <t xml:space="preserve">SKP-2025-0262</t>
  </si>
  <si>
    <t xml:space="preserve">OFR-2025-0985</t>
  </si>
  <si>
    <t xml:space="preserve">WL-03244</t>
  </si>
  <si>
    <t xml:space="preserve">Norma Brown / Brown Holdings LLC</t>
  </si>
  <si>
    <t xml:space="preserve">EW-1015</t>
  </si>
  <si>
    <t xml:space="preserve">skip_events_2022_2026.csv row 263; offer_events_2022_2026.csv row 986</t>
  </si>
  <si>
    <t xml:space="preserve">SKP-2025-0267</t>
  </si>
  <si>
    <t xml:space="preserve">OFR-2025-1010</t>
  </si>
  <si>
    <t xml:space="preserve">WL-03815</t>
  </si>
  <si>
    <t xml:space="preserve">Jacqueline Jones / Jones Charters Inc</t>
  </si>
  <si>
    <t xml:space="preserve">skip_events_2022_2026.csv row 268; offer_events_2022_2026.csv row 1011</t>
  </si>
  <si>
    <t xml:space="preserve">SKP-2025-0266</t>
  </si>
  <si>
    <t xml:space="preserve">OFR-2025-1005</t>
  </si>
  <si>
    <t xml:space="preserve">WL-03604</t>
  </si>
  <si>
    <t xml:space="preserve">Lawrence Rodriguez / Rodriguez Ventures LLC</t>
  </si>
  <si>
    <t xml:space="preserve">EW-0909</t>
  </si>
  <si>
    <t xml:space="preserve">skip_events_2022_2026.csv row 267; offer_events_2022_2026.csv row 1006</t>
  </si>
  <si>
    <t xml:space="preserve">SKP-2025-0265</t>
  </si>
  <si>
    <t xml:space="preserve">OFR-2025-1003</t>
  </si>
  <si>
    <t xml:space="preserve">WL-03442</t>
  </si>
  <si>
    <t xml:space="preserve">Gary Russo / Russo Charters Inc</t>
  </si>
  <si>
    <t xml:space="preserve">SB-0203</t>
  </si>
  <si>
    <t xml:space="preserve">skip_events_2022_2026.csv row 266; offer_events_2022_2026.csv row 1004</t>
  </si>
  <si>
    <t xml:space="preserve">SKP-2025-0263</t>
  </si>
  <si>
    <t xml:space="preserve">OFR-2025-0999</t>
  </si>
  <si>
    <t xml:space="preserve">WL-02067</t>
  </si>
  <si>
    <t xml:space="preserve">Craig Simon / Simon Ventures LLC</t>
  </si>
  <si>
    <t xml:space="preserve">LP-1107</t>
  </si>
  <si>
    <t xml:space="preserve">skip_events_2022_2026.csv row 264; offer_events_2022_2026.csv row 1000</t>
  </si>
  <si>
    <t xml:space="preserve">SKP-2025-0264</t>
  </si>
  <si>
    <t xml:space="preserve">OFR-2025-1001</t>
  </si>
  <si>
    <t xml:space="preserve">WL-01523</t>
  </si>
  <si>
    <t xml:space="preserve">Melissa Oneill</t>
  </si>
  <si>
    <t xml:space="preserve">LP-0304</t>
  </si>
  <si>
    <t xml:space="preserve">skip_events_2022_2026.csv row 265; offer_events_2022_2026.csv row 1002</t>
  </si>
  <si>
    <t xml:space="preserve">SKP-2025-0269</t>
  </si>
  <si>
    <t xml:space="preserve">OFR-2025-1018</t>
  </si>
  <si>
    <t xml:space="preserve">WL-02178</t>
  </si>
  <si>
    <t xml:space="preserve">Thomas Stone</t>
  </si>
  <si>
    <t xml:space="preserve">skip_events_2022_2026.csv row 270; offer_events_2022_2026.csv row 1019</t>
  </si>
  <si>
    <t xml:space="preserve">SKP-2025-0275</t>
  </si>
  <si>
    <t xml:space="preserve">OFR-2025-1037</t>
  </si>
  <si>
    <t xml:space="preserve">WL-02524</t>
  </si>
  <si>
    <t xml:space="preserve">Douglas Herrera</t>
  </si>
  <si>
    <t xml:space="preserve">SB-0102</t>
  </si>
  <si>
    <t xml:space="preserve">skip_events_2022_2026.csv row 276; offer_events_2022_2026.csv row 1038</t>
  </si>
  <si>
    <t xml:space="preserve">SKP-2025-0271</t>
  </si>
  <si>
    <t xml:space="preserve">OFR-2025-1028</t>
  </si>
  <si>
    <t xml:space="preserve">WL-01808</t>
  </si>
  <si>
    <t xml:space="preserve">Jason Shepard / Shepard Ventures LLC</t>
  </si>
  <si>
    <t xml:space="preserve">LP-0316</t>
  </si>
  <si>
    <t xml:space="preserve">skip_events_2022_2026.csv row 272; offer_events_2022_2026.csv row 1029</t>
  </si>
  <si>
    <t xml:space="preserve">SKP-2025-0270</t>
  </si>
  <si>
    <t xml:space="preserve">OFR-2025-1023</t>
  </si>
  <si>
    <t xml:space="preserve">skip_events_2022_2026.csv row 271; offer_events_2022_2026.csv row 1024</t>
  </si>
  <si>
    <t xml:space="preserve">SKP-2025-0274</t>
  </si>
  <si>
    <t xml:space="preserve">OFR-2025-1032</t>
  </si>
  <si>
    <t xml:space="preserve">WL-02188</t>
  </si>
  <si>
    <t xml:space="preserve">Courtney Zamora / Zamora Charters Inc</t>
  </si>
  <si>
    <t xml:space="preserve">LP-0817</t>
  </si>
  <si>
    <t xml:space="preserve">skip_events_2022_2026.csv row 275; offer_events_2022_2026.csv row 1033</t>
  </si>
  <si>
    <t xml:space="preserve">SKP-2025-0276</t>
  </si>
  <si>
    <t xml:space="preserve">OFR-2025-1039</t>
  </si>
  <si>
    <t xml:space="preserve">WL-02845</t>
  </si>
  <si>
    <t xml:space="preserve">Joshua Ortiz</t>
  </si>
  <si>
    <t xml:space="preserve">SB-0410</t>
  </si>
  <si>
    <t xml:space="preserve">skip_events_2022_2026.csv row 277; offer_events_2022_2026.csv row 1040</t>
  </si>
  <si>
    <t xml:space="preserve">SKP-2025-0268</t>
  </si>
  <si>
    <t xml:space="preserve">OFR-2025-1012</t>
  </si>
  <si>
    <t xml:space="preserve">WL-01578</t>
  </si>
  <si>
    <t xml:space="preserve">Ashley Green / Green Ventures LLC</t>
  </si>
  <si>
    <t xml:space="preserve">LP-1108</t>
  </si>
  <si>
    <t xml:space="preserve">skip_events_2022_2026.csv row 269; offer_events_2022_2026.csv row 1013</t>
  </si>
  <si>
    <t xml:space="preserve">SKP-2025-0272</t>
  </si>
  <si>
    <t xml:space="preserve">OFR-2025-1029</t>
  </si>
  <si>
    <t xml:space="preserve">WL-02693</t>
  </si>
  <si>
    <t xml:space="preserve">Patrick Allen / Allen Charters Inc</t>
  </si>
  <si>
    <t xml:space="preserve">VB-0906</t>
  </si>
  <si>
    <t xml:space="preserve">skip_events_2022_2026.csv row 273; offer_events_2022_2026.csv row 1030</t>
  </si>
  <si>
    <t xml:space="preserve">SKP-2025-0273</t>
  </si>
  <si>
    <t xml:space="preserve">OFR-2025-1030</t>
  </si>
  <si>
    <t xml:space="preserve">WL-01328</t>
  </si>
  <si>
    <t xml:space="preserve">Charles Solis / Solis Charters Inc</t>
  </si>
  <si>
    <t xml:space="preserve">SB-0704</t>
  </si>
  <si>
    <t xml:space="preserve">skip_events_2022_2026.csv row 274; offer_events_2022_2026.csv row 1031</t>
  </si>
  <si>
    <t xml:space="preserve">SKP-2025-0279</t>
  </si>
  <si>
    <t xml:space="preserve">OFR-2025-1054</t>
  </si>
  <si>
    <t xml:space="preserve">WL-03662</t>
  </si>
  <si>
    <t xml:space="preserve">Kevin Murphy</t>
  </si>
  <si>
    <t xml:space="preserve">VB-0604</t>
  </si>
  <si>
    <t xml:space="preserve">skip_events_2022_2026.csv row 280; offer_events_2022_2026.csv row 1055</t>
  </si>
  <si>
    <t xml:space="preserve">SKP-2025-0277</t>
  </si>
  <si>
    <t xml:space="preserve">OFR-2025-1042</t>
  </si>
  <si>
    <t xml:space="preserve">WL-03839</t>
  </si>
  <si>
    <t xml:space="preserve">Sonya May</t>
  </si>
  <si>
    <t xml:space="preserve">EW-0209</t>
  </si>
  <si>
    <t xml:space="preserve">skip_events_2022_2026.csv row 278; offer_events_2022_2026.csv row 1043</t>
  </si>
  <si>
    <t xml:space="preserve">SKP-2025-0280</t>
  </si>
  <si>
    <t xml:space="preserve">OFR-2025-1059</t>
  </si>
  <si>
    <t xml:space="preserve">WL-01472</t>
  </si>
  <si>
    <t xml:space="preserve">Amber Rojas</t>
  </si>
  <si>
    <t xml:space="preserve">SB-0720</t>
  </si>
  <si>
    <t xml:space="preserve">skip_events_2022_2026.csv row 281; offer_events_2022_2026.csv row 1060</t>
  </si>
  <si>
    <t xml:space="preserve">SKP-2025-0281</t>
  </si>
  <si>
    <t xml:space="preserve">OFR-2025-1068</t>
  </si>
  <si>
    <t xml:space="preserve">WL-03360</t>
  </si>
  <si>
    <t xml:space="preserve">Morgan Ramos</t>
  </si>
  <si>
    <t xml:space="preserve">EW-1003</t>
  </si>
  <si>
    <t xml:space="preserve">skip_events_2022_2026.csv row 282; offer_events_2022_2026.csv row 1069</t>
  </si>
  <si>
    <t xml:space="preserve">SKP-2025-0278</t>
  </si>
  <si>
    <t xml:space="preserve">OFR-2025-1053</t>
  </si>
  <si>
    <t xml:space="preserve">WL-03094</t>
  </si>
  <si>
    <t xml:space="preserve">Christine Cook / Cook Charters Inc</t>
  </si>
  <si>
    <t xml:space="preserve">skip_events_2022_2026.csv row 279; offer_events_2022_2026.csv row 1054</t>
  </si>
  <si>
    <t xml:space="preserve">SKP-2025-0285</t>
  </si>
  <si>
    <t xml:space="preserve">OFR-2025-1079</t>
  </si>
  <si>
    <t xml:space="preserve">WL-03047</t>
  </si>
  <si>
    <t xml:space="preserve">Lauren Collins</t>
  </si>
  <si>
    <t xml:space="preserve">EW-0415</t>
  </si>
  <si>
    <t xml:space="preserve">skip_events_2022_2026.csv row 286; offer_events_2022_2026.csv row 1080</t>
  </si>
  <si>
    <t xml:space="preserve">SKP-2025-0289</t>
  </si>
  <si>
    <t xml:space="preserve">OFR-2025-1098</t>
  </si>
  <si>
    <t xml:space="preserve">LP-0901</t>
  </si>
  <si>
    <t xml:space="preserve">skip_events_2022_2026.csv row 290; offer_events_2022_2026.csv row 1099</t>
  </si>
  <si>
    <t xml:space="preserve">SKP-2025-0288</t>
  </si>
  <si>
    <t xml:space="preserve">OFR-2025-1091</t>
  </si>
  <si>
    <t xml:space="preserve">WL-02356</t>
  </si>
  <si>
    <t xml:space="preserve">David Flores</t>
  </si>
  <si>
    <t xml:space="preserve">SB-0411</t>
  </si>
  <si>
    <t xml:space="preserve">skip_events_2022_2026.csv row 289; offer_events_2022_2026.csv row 1092</t>
  </si>
  <si>
    <t xml:space="preserve">SKP-2025-0286</t>
  </si>
  <si>
    <t xml:space="preserve">OFR-2025-1081</t>
  </si>
  <si>
    <t xml:space="preserve">WL-01151</t>
  </si>
  <si>
    <t xml:space="preserve">Tamara Alvarez</t>
  </si>
  <si>
    <t xml:space="preserve">SB-0804</t>
  </si>
  <si>
    <t xml:space="preserve">skip_events_2022_2026.csv row 287; offer_events_2022_2026.csv row 1082</t>
  </si>
  <si>
    <t xml:space="preserve">SKP-2025-0284</t>
  </si>
  <si>
    <t xml:space="preserve">OFR-2025-1076</t>
  </si>
  <si>
    <t xml:space="preserve">WL-02698</t>
  </si>
  <si>
    <t xml:space="preserve">Laura Mckenzie / Mckenzie Holdings LLC</t>
  </si>
  <si>
    <t xml:space="preserve">VB-0409</t>
  </si>
  <si>
    <t xml:space="preserve">skip_events_2022_2026.csv row 285; offer_events_2022_2026.csv row 1077</t>
  </si>
  <si>
    <t xml:space="preserve">SKP-2025-0282</t>
  </si>
  <si>
    <t xml:space="preserve">OFR-2025-1072</t>
  </si>
  <si>
    <t xml:space="preserve">WL-02747</t>
  </si>
  <si>
    <t xml:space="preserve">Angel Massey / Massey Holdings LLC</t>
  </si>
  <si>
    <t xml:space="preserve">GW-0401</t>
  </si>
  <si>
    <t xml:space="preserve">skip_events_2022_2026.csv row 283; offer_events_2022_2026.csv row 1073</t>
  </si>
  <si>
    <t xml:space="preserve">SKP-2025-0283</t>
  </si>
  <si>
    <t xml:space="preserve">OFR-2025-1075</t>
  </si>
  <si>
    <t xml:space="preserve">WL-01333</t>
  </si>
  <si>
    <t xml:space="preserve">Andrew Hayden</t>
  </si>
  <si>
    <t xml:space="preserve">LP-0208</t>
  </si>
  <si>
    <t xml:space="preserve">skip_events_2022_2026.csv row 284; offer_events_2022_2026.csv row 1076</t>
  </si>
  <si>
    <t xml:space="preserve">SKP-2025-0287</t>
  </si>
  <si>
    <t xml:space="preserve">OFR-2025-1090</t>
  </si>
  <si>
    <t xml:space="preserve">WL-02314</t>
  </si>
  <si>
    <t xml:space="preserve">David Silva / Silva Holdings LLC</t>
  </si>
  <si>
    <t xml:space="preserve">LP-0124</t>
  </si>
  <si>
    <t xml:space="preserve">skip_events_2022_2026.csv row 288; offer_events_2022_2026.csv row 1091</t>
  </si>
  <si>
    <t xml:space="preserve">SKP-2025-0292</t>
  </si>
  <si>
    <t xml:space="preserve">OFR-2025-1117</t>
  </si>
  <si>
    <t xml:space="preserve">WL-02298</t>
  </si>
  <si>
    <t xml:space="preserve">Ronald Simpson / Simpson Ventures LLC</t>
  </si>
  <si>
    <t xml:space="preserve">GW-1017</t>
  </si>
  <si>
    <t xml:space="preserve">REPAIR_ESTIMATE; skip export flag=N</t>
  </si>
  <si>
    <t xml:space="preserve">No supporting record attached. Later disposition=SUSTAINED; review=MT on 2025-07-11; later review cannot cure the missing same-day record.</t>
  </si>
  <si>
    <t xml:space="preserve">skip_events_2022_2026.csv row 293; offer_events_2022_2026.csv row 1118</t>
  </si>
  <si>
    <t xml:space="preserve">SKP-2025-0290</t>
  </si>
  <si>
    <t xml:space="preserve">OFR-2025-1101</t>
  </si>
  <si>
    <t xml:space="preserve">WL-01813</t>
  </si>
  <si>
    <t xml:space="preserve">Jessica Williams / Williams Marine LLC</t>
  </si>
  <si>
    <t xml:space="preserve">GW-0910</t>
  </si>
  <si>
    <t xml:space="preserve">skip_events_2022_2026.csv row 291; offer_events_2022_2026.csv row 1102</t>
  </si>
  <si>
    <t xml:space="preserve">SKP-2025-0294</t>
  </si>
  <si>
    <t xml:space="preserve">OFR-2025-1124</t>
  </si>
  <si>
    <t xml:space="preserve">WL-03579</t>
  </si>
  <si>
    <t xml:space="preserve">Jeanne Greer / Greer Charters Inc</t>
  </si>
  <si>
    <t xml:space="preserve">LP-0816</t>
  </si>
  <si>
    <t xml:space="preserve">skip_events_2022_2026.csv row 295; offer_events_2022_2026.csv row 1125</t>
  </si>
  <si>
    <t xml:space="preserve">SKP-2025-0293</t>
  </si>
  <si>
    <t xml:space="preserve">OFR-2025-1123</t>
  </si>
  <si>
    <t xml:space="preserve">WL-03516</t>
  </si>
  <si>
    <t xml:space="preserve">Tiffany Mcgrath / Mcgrath Charters Inc</t>
  </si>
  <si>
    <t xml:space="preserve">VB-0209</t>
  </si>
  <si>
    <t xml:space="preserve">skip_events_2022_2026.csv row 294; offer_events_2022_2026.csv row 1124</t>
  </si>
  <si>
    <t xml:space="preserve">SKP-2025-0295</t>
  </si>
  <si>
    <t xml:space="preserve">OFR-2025-1125</t>
  </si>
  <si>
    <t xml:space="preserve">WL-03248</t>
  </si>
  <si>
    <t xml:space="preserve">Theresa Grant / Grant Charters Inc</t>
  </si>
  <si>
    <t xml:space="preserve">LP-0616</t>
  </si>
  <si>
    <t xml:space="preserve">skip_events_2022_2026.csv row 296; offer_events_2022_2026.csv row 1126</t>
  </si>
  <si>
    <t xml:space="preserve">SKP-2025-0296</t>
  </si>
  <si>
    <t xml:space="preserve">OFR-2025-1126</t>
  </si>
  <si>
    <t xml:space="preserve">WL-03526</t>
  </si>
  <si>
    <t xml:space="preserve">Michael West / West Ventures LLC</t>
  </si>
  <si>
    <t xml:space="preserve">skip_events_2022_2026.csv row 297; offer_events_2022_2026.csv row 1127</t>
  </si>
  <si>
    <t xml:space="preserve">SKP-2025-0291</t>
  </si>
  <si>
    <t xml:space="preserve">OFR-2025-1113</t>
  </si>
  <si>
    <t xml:space="preserve">WL-03227</t>
  </si>
  <si>
    <t xml:space="preserve">Carrie Herrera</t>
  </si>
  <si>
    <t xml:space="preserve">LP-0414</t>
  </si>
  <si>
    <t xml:space="preserve">skip_events_2022_2026.csv row 292; offer_events_2022_2026.csv row 1114</t>
  </si>
  <si>
    <t xml:space="preserve">SKP-2025-0297</t>
  </si>
  <si>
    <t xml:space="preserve">OFR-2025-1129</t>
  </si>
  <si>
    <t xml:space="preserve">GW-0103</t>
  </si>
  <si>
    <t xml:space="preserve">No supporting record attached. Later disposition=SUSTAINED; review=PC on 2025-07-28; later review cannot cure the missing same-day record.</t>
  </si>
  <si>
    <t xml:space="preserve">skip_events_2022_2026.csv row 298; offer_events_2022_2026.csv row 1130</t>
  </si>
  <si>
    <t xml:space="preserve">SKP-2025-0308</t>
  </si>
  <si>
    <t xml:space="preserve">OFR-2025-1165</t>
  </si>
  <si>
    <t xml:space="preserve">WL-03481</t>
  </si>
  <si>
    <t xml:space="preserve">William Madden / Madden Ventures LLC</t>
  </si>
  <si>
    <t xml:space="preserve">GW-0915</t>
  </si>
  <si>
    <t xml:space="preserve">skip_events_2022_2026.csv row 309; offer_events_2022_2026.csv row 1166</t>
  </si>
  <si>
    <t xml:space="preserve">SKP-2025-0307</t>
  </si>
  <si>
    <t xml:space="preserve">OFR-2025-1164</t>
  </si>
  <si>
    <t xml:space="preserve">WL-02323</t>
  </si>
  <si>
    <t xml:space="preserve">John Preston</t>
  </si>
  <si>
    <t xml:space="preserve">skip_events_2022_2026.csv row 308; offer_events_2022_2026.csv row 1165</t>
  </si>
  <si>
    <t xml:space="preserve">SKP-2025-0306</t>
  </si>
  <si>
    <t xml:space="preserve">OFR-2025-1160</t>
  </si>
  <si>
    <t xml:space="preserve">SB-0420</t>
  </si>
  <si>
    <t xml:space="preserve">skip_events_2022_2026.csv row 307; offer_events_2022_2026.csv row 1161</t>
  </si>
  <si>
    <t xml:space="preserve">SKP-2025-0303</t>
  </si>
  <si>
    <t xml:space="preserve">OFR-2025-1153</t>
  </si>
  <si>
    <t xml:space="preserve">WL-02607</t>
  </si>
  <si>
    <t xml:space="preserve">Sean Charles</t>
  </si>
  <si>
    <t xml:space="preserve">skip_events_2022_2026.csv row 304; offer_events_2022_2026.csv row 1154</t>
  </si>
  <si>
    <t xml:space="preserve">SKP-2025-0305</t>
  </si>
  <si>
    <t xml:space="preserve">OFR-2025-1157</t>
  </si>
  <si>
    <t xml:space="preserve">WL-03134</t>
  </si>
  <si>
    <t xml:space="preserve">Laurie Larson / Larson Holdings LLC</t>
  </si>
  <si>
    <t xml:space="preserve">SB-0624</t>
  </si>
  <si>
    <t xml:space="preserve">skip_events_2022_2026.csv row 306; offer_events_2022_2026.csv row 1158</t>
  </si>
  <si>
    <t xml:space="preserve">SKP-2025-0304</t>
  </si>
  <si>
    <t xml:space="preserve">OFR-2025-1155</t>
  </si>
  <si>
    <t xml:space="preserve">WL-03314</t>
  </si>
  <si>
    <t xml:space="preserve">Hannah Orozco / Orozco Ventures LLC</t>
  </si>
  <si>
    <t xml:space="preserve">LP-0319</t>
  </si>
  <si>
    <t xml:space="preserve">skip_events_2022_2026.csv row 305; offer_events_2022_2026.csv row 1156</t>
  </si>
  <si>
    <t xml:space="preserve">SKP-2025-0300</t>
  </si>
  <si>
    <t xml:space="preserve">OFR-2025-1138</t>
  </si>
  <si>
    <t xml:space="preserve">WL-01537</t>
  </si>
  <si>
    <t xml:space="preserve">Jessica Johnson</t>
  </si>
  <si>
    <t xml:space="preserve">GW-0701</t>
  </si>
  <si>
    <t xml:space="preserve">skip_events_2022_2026.csv row 301; offer_events_2022_2026.csv row 1139</t>
  </si>
  <si>
    <t xml:space="preserve">SKP-2025-0311</t>
  </si>
  <si>
    <t xml:space="preserve">OFR-2025-1171</t>
  </si>
  <si>
    <t xml:space="preserve">WL-01843</t>
  </si>
  <si>
    <t xml:space="preserve">Donna Kim / Kim Charters Inc</t>
  </si>
  <si>
    <t xml:space="preserve">skip_events_2022_2026.csv row 312; offer_events_2022_2026.csv row 1172</t>
  </si>
  <si>
    <t xml:space="preserve">SKP-2025-0302</t>
  </si>
  <si>
    <t xml:space="preserve">OFR-2025-1147</t>
  </si>
  <si>
    <t xml:space="preserve">WL-01702</t>
  </si>
  <si>
    <t xml:space="preserve">Larry Carr / Carr Ventures LLC</t>
  </si>
  <si>
    <t xml:space="preserve">VB-1014</t>
  </si>
  <si>
    <t xml:space="preserve">skip_events_2022_2026.csv row 303; offer_events_2022_2026.csv row 1148</t>
  </si>
  <si>
    <t xml:space="preserve">SKP-2025-0298</t>
  </si>
  <si>
    <t xml:space="preserve">OFR-2025-1134</t>
  </si>
  <si>
    <t xml:space="preserve">WL-02774</t>
  </si>
  <si>
    <t xml:space="preserve">Benjamin Harris / Harris Marine LLC</t>
  </si>
  <si>
    <t xml:space="preserve">skip_events_2022_2026.csv row 299; offer_events_2022_2026.csv row 1135</t>
  </si>
  <si>
    <t xml:space="preserve">SKP-2025-0299</t>
  </si>
  <si>
    <t xml:space="preserve">OFR-2025-1136</t>
  </si>
  <si>
    <t xml:space="preserve">WL-03311</t>
  </si>
  <si>
    <t xml:space="preserve">Shane Lee / Lee Ventures LLC</t>
  </si>
  <si>
    <t xml:space="preserve">skip_events_2022_2026.csv row 300; offer_events_2022_2026.csv row 1137</t>
  </si>
  <si>
    <t xml:space="preserve">SKP-2025-0301</t>
  </si>
  <si>
    <t xml:space="preserve">OFR-2025-1143</t>
  </si>
  <si>
    <t xml:space="preserve">WL-01788</t>
  </si>
  <si>
    <t xml:space="preserve">James Austin / Austin Holdings LLC</t>
  </si>
  <si>
    <t xml:space="preserve">GW-0305</t>
  </si>
  <si>
    <t xml:space="preserve">skip_events_2022_2026.csv row 302; offer_events_2022_2026.csv row 1144</t>
  </si>
  <si>
    <t xml:space="preserve">SKP-2025-0309</t>
  </si>
  <si>
    <t xml:space="preserve">OFR-2025-1167</t>
  </si>
  <si>
    <t xml:space="preserve">WL-02838</t>
  </si>
  <si>
    <t xml:space="preserve">Kimberly Griffin</t>
  </si>
  <si>
    <t xml:space="preserve">LP-0413</t>
  </si>
  <si>
    <t xml:space="preserve">No supporting record attached. Later disposition=SUSTAINED; review=RD on 2025-08-29; later review cannot cure the missing same-day record.</t>
  </si>
  <si>
    <t xml:space="preserve">skip_events_2022_2026.csv row 310; offer_events_2022_2026.csv row 1168</t>
  </si>
  <si>
    <t xml:space="preserve">SKP-2025-0310</t>
  </si>
  <si>
    <t xml:space="preserve">OFR-2025-1168</t>
  </si>
  <si>
    <t xml:space="preserve">WL-01617</t>
  </si>
  <si>
    <t xml:space="preserve">James Ferguson</t>
  </si>
  <si>
    <t xml:space="preserve">VB-0813</t>
  </si>
  <si>
    <t xml:space="preserve">skip_events_2022_2026.csv row 311; offer_events_2022_2026.csv row 1169</t>
  </si>
  <si>
    <t xml:space="preserve">SKP-2025-0313</t>
  </si>
  <si>
    <t xml:space="preserve">OFR-2025-1182</t>
  </si>
  <si>
    <t xml:space="preserve">WL-01334</t>
  </si>
  <si>
    <t xml:space="preserve">Tammy Jones</t>
  </si>
  <si>
    <t xml:space="preserve">LP-0514</t>
  </si>
  <si>
    <t xml:space="preserve">skip_events_2022_2026.csv row 314; offer_events_2022_2026.csv row 1183</t>
  </si>
  <si>
    <t xml:space="preserve">SKP-2025-0322</t>
  </si>
  <si>
    <t xml:space="preserve">OFR-2025-1208</t>
  </si>
  <si>
    <t xml:space="preserve">WL-02002</t>
  </si>
  <si>
    <t xml:space="preserve">Andrew Turner / Turner Charters Inc</t>
  </si>
  <si>
    <t xml:space="preserve">skip_events_2022_2026.csv row 323; offer_events_2022_2026.csv row 1209</t>
  </si>
  <si>
    <t xml:space="preserve">SKP-2025-0320</t>
  </si>
  <si>
    <t xml:space="preserve">OFR-2025-1201</t>
  </si>
  <si>
    <t xml:space="preserve">WL-02167</t>
  </si>
  <si>
    <t xml:space="preserve">Jonathan Anderson / Anderson Holdings LLC</t>
  </si>
  <si>
    <t xml:space="preserve">VB-0304</t>
  </si>
  <si>
    <t xml:space="preserve">skip_events_2022_2026.csv row 321; offer_events_2022_2026.csv row 1202</t>
  </si>
  <si>
    <t xml:space="preserve">SKP-2025-0412</t>
  </si>
  <si>
    <t xml:space="preserve">OFR-2025-1487</t>
  </si>
  <si>
    <t xml:space="preserve">WL-03102</t>
  </si>
  <si>
    <t xml:space="preserve">Dennis Farlow</t>
  </si>
  <si>
    <t xml:space="preserve">LP-0806</t>
  </si>
  <si>
    <t xml:space="preserve">WL-03102_skip_justification.pdf pp.1-3 - preference sheet and correspondence attached</t>
  </si>
  <si>
    <t xml:space="preserve">File proves covered-only preference against open EW-0620; export identifies a different slip.</t>
  </si>
  <si>
    <t xml:space="preserve">skip_events_2022_2026.csv row 413; no matching offer-export row; WL-03102_skip_justification.pdf</t>
  </si>
  <si>
    <t xml:space="preserve">SKP-2025-0321</t>
  </si>
  <si>
    <t xml:space="preserve">OFR-2025-1207</t>
  </si>
  <si>
    <t xml:space="preserve">WL-03865</t>
  </si>
  <si>
    <t xml:space="preserve">William Moran / Moran Marine LLC</t>
  </si>
  <si>
    <t xml:space="preserve">skip_events_2022_2026.csv row 322; offer_events_2022_2026.csv row 1208</t>
  </si>
  <si>
    <t xml:space="preserve">SKP-2025-0312</t>
  </si>
  <si>
    <t xml:space="preserve">OFR-2025-1181</t>
  </si>
  <si>
    <t xml:space="preserve">WL-01715</t>
  </si>
  <si>
    <t xml:space="preserve">Richard Snyder / Snyder Charters Inc</t>
  </si>
  <si>
    <t xml:space="preserve">GW-0216</t>
  </si>
  <si>
    <t xml:space="preserve">skip_events_2022_2026.csv row 313; offer_events_2022_2026.csv row 1182</t>
  </si>
  <si>
    <t xml:space="preserve">SKP-2025-0314</t>
  </si>
  <si>
    <t xml:space="preserve">OFR-2025-1185</t>
  </si>
  <si>
    <t xml:space="preserve">WL-02428</t>
  </si>
  <si>
    <t xml:space="preserve">David Henry / Henry Marine LLC</t>
  </si>
  <si>
    <t xml:space="preserve">skip_events_2022_2026.csv row 315; offer_events_2022_2026.csv row 1186</t>
  </si>
  <si>
    <t xml:space="preserve">SKP-2025-0318</t>
  </si>
  <si>
    <t xml:space="preserve">OFR-2025-1197</t>
  </si>
  <si>
    <t xml:space="preserve">WL-02890</t>
  </si>
  <si>
    <t xml:space="preserve">Crystal Morales</t>
  </si>
  <si>
    <t xml:space="preserve">EW-0716</t>
  </si>
  <si>
    <t xml:space="preserve">skip_events_2022_2026.csv row 319; offer_events_2022_2026.csv row 1198</t>
  </si>
  <si>
    <t xml:space="preserve">SKP-2025-0316</t>
  </si>
  <si>
    <t xml:space="preserve">OFR-2025-1189</t>
  </si>
  <si>
    <t xml:space="preserve">WL-02153</t>
  </si>
  <si>
    <t xml:space="preserve">Amy Murray / Murray Holdings LLC</t>
  </si>
  <si>
    <t xml:space="preserve">skip_events_2022_2026.csv row 317; offer_events_2022_2026.csv row 1190</t>
  </si>
  <si>
    <t xml:space="preserve">SKP-2025-0319</t>
  </si>
  <si>
    <t xml:space="preserve">OFR-2025-1199</t>
  </si>
  <si>
    <t xml:space="preserve">WL-01913</t>
  </si>
  <si>
    <t xml:space="preserve">Nicole Thompson</t>
  </si>
  <si>
    <t xml:space="preserve">EW-0819</t>
  </si>
  <si>
    <t xml:space="preserve">skip_events_2022_2026.csv row 320; offer_events_2022_2026.csv row 1200</t>
  </si>
  <si>
    <t xml:space="preserve">SKP-2025-0315</t>
  </si>
  <si>
    <t xml:space="preserve">OFR-2025-1188</t>
  </si>
  <si>
    <t xml:space="preserve">WL-03861</t>
  </si>
  <si>
    <t xml:space="preserve">Joseph Koch</t>
  </si>
  <si>
    <t xml:space="preserve">VB-0123</t>
  </si>
  <si>
    <t xml:space="preserve">skip_events_2022_2026.csv row 316; offer_events_2022_2026.csv row 1189</t>
  </si>
  <si>
    <t xml:space="preserve">SKP-2025-0317</t>
  </si>
  <si>
    <t xml:space="preserve">OFR-2025-1195</t>
  </si>
  <si>
    <t xml:space="preserve">WL-02445</t>
  </si>
  <si>
    <t xml:space="preserve">Marcus Yee</t>
  </si>
  <si>
    <t xml:space="preserve">SB-0222</t>
  </si>
  <si>
    <t xml:space="preserve">skip_events_2022_2026.csv row 318; offer_events_2022_2026.csv row 1196</t>
  </si>
  <si>
    <t xml:space="preserve">SKP-2025-0330</t>
  </si>
  <si>
    <t xml:space="preserve">OFR-2025-1240</t>
  </si>
  <si>
    <t xml:space="preserve">WL-02676</t>
  </si>
  <si>
    <t xml:space="preserve">Janice Walker / Walker Ventures LLC</t>
  </si>
  <si>
    <t xml:space="preserve">EW-0124</t>
  </si>
  <si>
    <t xml:space="preserve">skip_events_2022_2026.csv row 331; offer_events_2022_2026.csv row 1241</t>
  </si>
  <si>
    <t xml:space="preserve">SKP-2025-0325</t>
  </si>
  <si>
    <t xml:space="preserve">OFR-2025-1218</t>
  </si>
  <si>
    <t xml:space="preserve">WL-03750</t>
  </si>
  <si>
    <t xml:space="preserve">Michael Phillips</t>
  </si>
  <si>
    <t xml:space="preserve">GW-0622</t>
  </si>
  <si>
    <t xml:space="preserve">skip_events_2022_2026.csv row 326; offer_events_2022_2026.csv row 1219</t>
  </si>
  <si>
    <t xml:space="preserve">SKP-2025-0331</t>
  </si>
  <si>
    <t xml:space="preserve">OFR-2025-1246</t>
  </si>
  <si>
    <t xml:space="preserve">WL-03455</t>
  </si>
  <si>
    <t xml:space="preserve">Taylor George</t>
  </si>
  <si>
    <t xml:space="preserve">SB-0402</t>
  </si>
  <si>
    <t xml:space="preserve">skip_events_2022_2026.csv row 332; offer_events_2022_2026.csv row 1247</t>
  </si>
  <si>
    <t xml:space="preserve">SKP-2025-0328</t>
  </si>
  <si>
    <t xml:space="preserve">OFR-2025-1230</t>
  </si>
  <si>
    <t xml:space="preserve">SB-0115</t>
  </si>
  <si>
    <t xml:space="preserve">No supporting record attached. Later disposition=SUSTAINED; review=PC on 2025-10-13; later review cannot cure the missing same-day record.</t>
  </si>
  <si>
    <t xml:space="preserve">skip_events_2022_2026.csv row 329; offer_events_2022_2026.csv row 1231</t>
  </si>
  <si>
    <t xml:space="preserve">SKP-2025-0329</t>
  </si>
  <si>
    <t xml:space="preserve">OFR-2025-1233</t>
  </si>
  <si>
    <t xml:space="preserve">WL-01128</t>
  </si>
  <si>
    <t xml:space="preserve">Angela Smith / Smith Charters Inc</t>
  </si>
  <si>
    <t xml:space="preserve">LP-0504</t>
  </si>
  <si>
    <t xml:space="preserve">skip_events_2022_2026.csv row 330; offer_events_2022_2026.csv row 1234</t>
  </si>
  <si>
    <t xml:space="preserve">SKP-2025-0332</t>
  </si>
  <si>
    <t xml:space="preserve">OFR-2025-1247</t>
  </si>
  <si>
    <t xml:space="preserve">WL-02711</t>
  </si>
  <si>
    <t xml:space="preserve">David Baker</t>
  </si>
  <si>
    <t xml:space="preserve">skip_events_2022_2026.csv row 333; offer_events_2022_2026.csv row 1248</t>
  </si>
  <si>
    <t xml:space="preserve">SKP-2025-0333</t>
  </si>
  <si>
    <t xml:space="preserve">OFR-2025-1249</t>
  </si>
  <si>
    <t xml:space="preserve">WL-02448</t>
  </si>
  <si>
    <t xml:space="preserve">Mark Bolton / Bolton Ventures LLC</t>
  </si>
  <si>
    <t xml:space="preserve">LP-0908</t>
  </si>
  <si>
    <t xml:space="preserve">skip_events_2022_2026.csv row 334; offer_events_2022_2026.csv row 1250</t>
  </si>
  <si>
    <t xml:space="preserve">SKP-2025-0327</t>
  </si>
  <si>
    <t xml:space="preserve">OFR-2025-1225</t>
  </si>
  <si>
    <t xml:space="preserve">WL-01645</t>
  </si>
  <si>
    <t xml:space="preserve">Michael Walker / Walker Charters Inc</t>
  </si>
  <si>
    <t xml:space="preserve">GW-1020</t>
  </si>
  <si>
    <t xml:space="preserve">skip_events_2022_2026.csv row 328; offer_events_2022_2026.csv row 1226</t>
  </si>
  <si>
    <t xml:space="preserve">SKP-2025-0323</t>
  </si>
  <si>
    <t xml:space="preserve">OFR-2025-1212</t>
  </si>
  <si>
    <t xml:space="preserve">WL-02284</t>
  </si>
  <si>
    <t xml:space="preserve">Tonya Ruiz / Ruiz Marine LLC</t>
  </si>
  <si>
    <t xml:space="preserve">SB-0801</t>
  </si>
  <si>
    <t xml:space="preserve">skip_events_2022_2026.csv row 324; offer_events_2022_2026.csv row 1213</t>
  </si>
  <si>
    <t xml:space="preserve">SKP-2025-0326</t>
  </si>
  <si>
    <t xml:space="preserve">OFR-2025-1219</t>
  </si>
  <si>
    <t xml:space="preserve">LP-0705</t>
  </si>
  <si>
    <t xml:space="preserve">skip_events_2022_2026.csv row 327; offer_events_2022_2026.csv row 1220</t>
  </si>
  <si>
    <t xml:space="preserve">SKP-2025-0324</t>
  </si>
  <si>
    <t xml:space="preserve">OFR-2025-1215</t>
  </si>
  <si>
    <t xml:space="preserve">WL-02187</t>
  </si>
  <si>
    <t xml:space="preserve">Leonard Gordon</t>
  </si>
  <si>
    <t xml:space="preserve">SB-0806</t>
  </si>
  <si>
    <t xml:space="preserve">skip_events_2022_2026.csv row 325; offer_events_2022_2026.csv row 1216</t>
  </si>
  <si>
    <t xml:space="preserve">SKP-2025-0335</t>
  </si>
  <si>
    <t xml:space="preserve">OFR-2025-1258</t>
  </si>
  <si>
    <t xml:space="preserve">WL-02404</t>
  </si>
  <si>
    <t xml:space="preserve">Samuel King</t>
  </si>
  <si>
    <t xml:space="preserve">VB-0201</t>
  </si>
  <si>
    <t xml:space="preserve">skip_events_2022_2026.csv row 336; offer_events_2022_2026.csv row 1259</t>
  </si>
  <si>
    <t xml:space="preserve">SKP-2025-0334</t>
  </si>
  <si>
    <t xml:space="preserve">OFR-2025-1253</t>
  </si>
  <si>
    <t xml:space="preserve">skip_events_2022_2026.csv row 335; offer_events_2022_2026.csv row 1254</t>
  </si>
  <si>
    <t xml:space="preserve">SKP-2025-0336</t>
  </si>
  <si>
    <t xml:space="preserve">OFR-2025-1265</t>
  </si>
  <si>
    <t xml:space="preserve">WL-01776</t>
  </si>
  <si>
    <t xml:space="preserve">Theresa Pena / Pena Marine LLC</t>
  </si>
  <si>
    <t xml:space="preserve">GW-0419</t>
  </si>
  <si>
    <t xml:space="preserve">skip_events_2022_2026.csv row 337; offer_events_2022_2026.csv row 1266</t>
  </si>
  <si>
    <t xml:space="preserve">SKP-2025-0337</t>
  </si>
  <si>
    <t xml:space="preserve">OFR-2025-1276</t>
  </si>
  <si>
    <t xml:space="preserve">WL-02991</t>
  </si>
  <si>
    <t xml:space="preserve">Cole Palmer / Palmer Ventures LLC</t>
  </si>
  <si>
    <t xml:space="preserve">SB-0408</t>
  </si>
  <si>
    <t xml:space="preserve">skip_events_2022_2026.csv row 338; offer_events_2022_2026.csv row 1277</t>
  </si>
  <si>
    <t xml:space="preserve">SKP-2026-0342</t>
  </si>
  <si>
    <t xml:space="preserve">OFR-2026-1284</t>
  </si>
  <si>
    <t xml:space="preserve">WL-01558</t>
  </si>
  <si>
    <t xml:space="preserve">Edward Carter</t>
  </si>
  <si>
    <t xml:space="preserve">EW-0421</t>
  </si>
  <si>
    <t xml:space="preserve">skip_events_2022_2026.csv row 343; offer_events_2022_2026.csv row 1285</t>
  </si>
  <si>
    <t xml:space="preserve">SKP-2026-0343</t>
  </si>
  <si>
    <t xml:space="preserve">OFR-2026-1285</t>
  </si>
  <si>
    <t xml:space="preserve">WL-03054</t>
  </si>
  <si>
    <t xml:space="preserve">Amanda Schmidt</t>
  </si>
  <si>
    <t xml:space="preserve">VB-0224</t>
  </si>
  <si>
    <t xml:space="preserve">No supporting record attached. Later disposition=SUSTAINED; review=NO on 2026-01-04; later review cannot cure the missing same-day record.</t>
  </si>
  <si>
    <t xml:space="preserve">skip_events_2022_2026.csv row 344; offer_events_2022_2026.csv row 1286</t>
  </si>
  <si>
    <t xml:space="preserve">SKP-2026-0338</t>
  </si>
  <si>
    <t xml:space="preserve">OFR-2026-1278</t>
  </si>
  <si>
    <t xml:space="preserve">WL-03011</t>
  </si>
  <si>
    <t xml:space="preserve">Christopher Schultz / Schultz Ventures LLC</t>
  </si>
  <si>
    <t xml:space="preserve">SB-0719</t>
  </si>
  <si>
    <t xml:space="preserve">skip_events_2022_2026.csv row 339; offer_events_2022_2026.csv row 1279</t>
  </si>
  <si>
    <t xml:space="preserve">SKP-2026-0339</t>
  </si>
  <si>
    <t xml:space="preserve">OFR-2026-1279</t>
  </si>
  <si>
    <t xml:space="preserve">EW-0813</t>
  </si>
  <si>
    <t xml:space="preserve">skip_events_2022_2026.csv row 340; offer_events_2022_2026.csv row 1280</t>
  </si>
  <si>
    <t xml:space="preserve">SKP-2026-0340</t>
  </si>
  <si>
    <t xml:space="preserve">OFR-2026-1280</t>
  </si>
  <si>
    <t xml:space="preserve">WL-01435</t>
  </si>
  <si>
    <t xml:space="preserve">Jessica Schultz</t>
  </si>
  <si>
    <t xml:space="preserve">skip_events_2022_2026.csv row 341; offer_events_2022_2026.csv row 1281</t>
  </si>
  <si>
    <t xml:space="preserve">SKP-2026-0341</t>
  </si>
  <si>
    <t xml:space="preserve">OFR-2026-1283</t>
  </si>
  <si>
    <t xml:space="preserve">WL-03197</t>
  </si>
  <si>
    <t xml:space="preserve">Thomas Lee</t>
  </si>
  <si>
    <t xml:space="preserve">LP-1109</t>
  </si>
  <si>
    <t xml:space="preserve">skip_events_2022_2026.csv row 342; offer_events_2022_2026.csv row 1284</t>
  </si>
  <si>
    <t xml:space="preserve">SKP-2026-0349</t>
  </si>
  <si>
    <t xml:space="preserve">OFR-2026-1306</t>
  </si>
  <si>
    <t xml:space="preserve">skip_events_2022_2026.csv row 350; offer_events_2022_2026.csv row 1307</t>
  </si>
  <si>
    <t xml:space="preserve">SKP-2026-0346</t>
  </si>
  <si>
    <t xml:space="preserve">OFR-2026-1298</t>
  </si>
  <si>
    <t xml:space="preserve">WL-01605</t>
  </si>
  <si>
    <t xml:space="preserve">Michael Curtis</t>
  </si>
  <si>
    <t xml:space="preserve">VB-0912</t>
  </si>
  <si>
    <t xml:space="preserve">skip_events_2022_2026.csv row 347; offer_events_2022_2026.csv row 1299</t>
  </si>
  <si>
    <t xml:space="preserve">SKP-2026-0344</t>
  </si>
  <si>
    <t xml:space="preserve">OFR-2026-1291</t>
  </si>
  <si>
    <t xml:space="preserve">WL-03817</t>
  </si>
  <si>
    <t xml:space="preserve">Leslie Short / Short Holdings LLC</t>
  </si>
  <si>
    <t xml:space="preserve">SB-0907</t>
  </si>
  <si>
    <t xml:space="preserve">skip_events_2022_2026.csv row 345; offer_events_2022_2026.csv row 1292</t>
  </si>
  <si>
    <t xml:space="preserve">SKP-2026-0347</t>
  </si>
  <si>
    <t xml:space="preserve">OFR-2026-1299</t>
  </si>
  <si>
    <t xml:space="preserve">WL-01550</t>
  </si>
  <si>
    <t xml:space="preserve">Brittany Grant / Grant Ventures LLC</t>
  </si>
  <si>
    <t xml:space="preserve">skip_events_2022_2026.csv row 348; offer_events_2022_2026.csv row 1300</t>
  </si>
  <si>
    <t xml:space="preserve">SKP-2026-0348</t>
  </si>
  <si>
    <t xml:space="preserve">OFR-2026-1305</t>
  </si>
  <si>
    <t xml:space="preserve">WL-02930</t>
  </si>
  <si>
    <t xml:space="preserve">Carmen Strickland</t>
  </si>
  <si>
    <t xml:space="preserve">LP-0915</t>
  </si>
  <si>
    <t xml:space="preserve">skip_events_2022_2026.csv row 349; offer_events_2022_2026.csv row 1306</t>
  </si>
  <si>
    <t xml:space="preserve">SKP-2026-0345</t>
  </si>
  <si>
    <t xml:space="preserve">OFR-2026-1297</t>
  </si>
  <si>
    <t xml:space="preserve">WL-03653</t>
  </si>
  <si>
    <t xml:space="preserve">Rodney Carter</t>
  </si>
  <si>
    <t xml:space="preserve">LP-0614</t>
  </si>
  <si>
    <t xml:space="preserve">skip_events_2022_2026.csv row 346; offer_events_2022_2026.csv row 1298</t>
  </si>
  <si>
    <t xml:space="preserve">SKP-2026-0350</t>
  </si>
  <si>
    <t xml:space="preserve">OFR-2026-1310</t>
  </si>
  <si>
    <t xml:space="preserve">WL-01038</t>
  </si>
  <si>
    <t xml:space="preserve">Laura Collins / Collins Charters Inc</t>
  </si>
  <si>
    <t xml:space="preserve">GW-0105</t>
  </si>
  <si>
    <t xml:space="preserve">skip_events_2022_2026.csv row 351; offer_events_2022_2026.csv row 1311</t>
  </si>
  <si>
    <t xml:space="preserve">SKP-2026-0353</t>
  </si>
  <si>
    <t xml:space="preserve">OFR-2026-1323</t>
  </si>
  <si>
    <t xml:space="preserve">WL-03279</t>
  </si>
  <si>
    <t xml:space="preserve">David Marshall</t>
  </si>
  <si>
    <t xml:space="preserve">skip_events_2022_2026.csv row 354; offer_events_2022_2026.csv row 1324</t>
  </si>
  <si>
    <t xml:space="preserve">SKP-2026-0351</t>
  </si>
  <si>
    <t xml:space="preserve">OFR-2026-1321</t>
  </si>
  <si>
    <t xml:space="preserve">WL-02306</t>
  </si>
  <si>
    <t xml:space="preserve">Lori Schneider / Schneider Ventures LLC</t>
  </si>
  <si>
    <t xml:space="preserve">SB-0709</t>
  </si>
  <si>
    <t xml:space="preserve">skip_events_2022_2026.csv row 352; offer_events_2022_2026.csv row 1322</t>
  </si>
  <si>
    <t xml:space="preserve">SKP-2026-0355</t>
  </si>
  <si>
    <t xml:space="preserve">OFR-2026-1328</t>
  </si>
  <si>
    <t xml:space="preserve">WL-02417</t>
  </si>
  <si>
    <t xml:space="preserve">Eric Benjamin</t>
  </si>
  <si>
    <t xml:space="preserve">GW-0323</t>
  </si>
  <si>
    <t xml:space="preserve">skip_events_2022_2026.csv row 356; offer_events_2022_2026.csv row 1329</t>
  </si>
  <si>
    <t xml:space="preserve">SKP-2026-0352</t>
  </si>
  <si>
    <t xml:space="preserve">OFR-2026-1322</t>
  </si>
  <si>
    <t xml:space="preserve">WL-01139</t>
  </si>
  <si>
    <t xml:space="preserve">Zachary Martin / Martin Marine LLC</t>
  </si>
  <si>
    <t xml:space="preserve">GW-0314</t>
  </si>
  <si>
    <t xml:space="preserve">skip_events_2022_2026.csv row 353; offer_events_2022_2026.csv row 1323</t>
  </si>
  <si>
    <t xml:space="preserve">SKP-2026-0354</t>
  </si>
  <si>
    <t xml:space="preserve">OFR-2026-1327</t>
  </si>
  <si>
    <t xml:space="preserve">WL-03305</t>
  </si>
  <si>
    <t xml:space="preserve">Monica Garcia</t>
  </si>
  <si>
    <t xml:space="preserve">GW-0509</t>
  </si>
  <si>
    <t xml:space="preserve">skip_events_2022_2026.csv row 355; offer_events_2022_2026.csv row 1328</t>
  </si>
  <si>
    <t xml:space="preserve">SKP-2026-0356</t>
  </si>
  <si>
    <t xml:space="preserve">OFR-2026-1330</t>
  </si>
  <si>
    <t xml:space="preserve">WL-01084</t>
  </si>
  <si>
    <t xml:space="preserve">Lisa Adams / Adams Charters Inc</t>
  </si>
  <si>
    <t xml:space="preserve">SB-0419</t>
  </si>
  <si>
    <t xml:space="preserve">skip_events_2022_2026.csv row 357; offer_events_2022_2026.csv row 1331</t>
  </si>
  <si>
    <t xml:space="preserve">SKP-2026-0359</t>
  </si>
  <si>
    <t xml:space="preserve">OFR-2026-1335</t>
  </si>
  <si>
    <t xml:space="preserve">WL-02766</t>
  </si>
  <si>
    <t xml:space="preserve">Valerie Macias</t>
  </si>
  <si>
    <t xml:space="preserve">SB-0908</t>
  </si>
  <si>
    <t xml:space="preserve">skip_events_2022_2026.csv row 360; offer_events_2022_2026.csv row 1336</t>
  </si>
  <si>
    <t xml:space="preserve">SKP-2026-0366</t>
  </si>
  <si>
    <t xml:space="preserve">OFR-2026-1348</t>
  </si>
  <si>
    <t xml:space="preserve">WL-01288</t>
  </si>
  <si>
    <t xml:space="preserve">Christopher Riley</t>
  </si>
  <si>
    <t xml:space="preserve">VB-0916</t>
  </si>
  <si>
    <t xml:space="preserve">skip_events_2022_2026.csv row 367; offer_events_2022_2026.csv row 1349</t>
  </si>
  <si>
    <t xml:space="preserve">SKP-2026-0358</t>
  </si>
  <si>
    <t xml:space="preserve">OFR-2026-1333</t>
  </si>
  <si>
    <t xml:space="preserve">WL-01283</t>
  </si>
  <si>
    <t xml:space="preserve">Jay Gregory / Gregory Charters Inc</t>
  </si>
  <si>
    <t xml:space="preserve">SB-0911</t>
  </si>
  <si>
    <t xml:space="preserve">skip_events_2022_2026.csv row 359; offer_events_2022_2026.csv row 1334</t>
  </si>
  <si>
    <t xml:space="preserve">SKP-2026-0357</t>
  </si>
  <si>
    <t xml:space="preserve">OFR-2026-1332</t>
  </si>
  <si>
    <t xml:space="preserve">WL-03306</t>
  </si>
  <si>
    <t xml:space="preserve">Rebecca Martin / Martin Ventures LLC</t>
  </si>
  <si>
    <t xml:space="preserve">SB-0307</t>
  </si>
  <si>
    <t xml:space="preserve">skip_events_2022_2026.csv row 358; offer_events_2022_2026.csv row 1333</t>
  </si>
  <si>
    <t xml:space="preserve">SKP-2026-0360</t>
  </si>
  <si>
    <t xml:space="preserve">OFR-2026-1337</t>
  </si>
  <si>
    <t xml:space="preserve">WL-03088</t>
  </si>
  <si>
    <t xml:space="preserve">Heather Williams / Williams Ventures LLC</t>
  </si>
  <si>
    <t xml:space="preserve">SB-0213</t>
  </si>
  <si>
    <t xml:space="preserve">skip_events_2022_2026.csv row 361; offer_events_2022_2026.csv row 1338</t>
  </si>
  <si>
    <t xml:space="preserve">SKP-2026-0363</t>
  </si>
  <si>
    <t xml:space="preserve">OFR-2026-1345</t>
  </si>
  <si>
    <t xml:space="preserve">WL-02353</t>
  </si>
  <si>
    <t xml:space="preserve">Jonathan Freeman / Freeman Charters Inc</t>
  </si>
  <si>
    <t xml:space="preserve">LP-0601</t>
  </si>
  <si>
    <t xml:space="preserve">skip_events_2022_2026.csv row 364; offer_events_2022_2026.csv row 1346</t>
  </si>
  <si>
    <t xml:space="preserve">SKP-2026-0367</t>
  </si>
  <si>
    <t xml:space="preserve">OFR-2026-1350</t>
  </si>
  <si>
    <t xml:space="preserve">WL-02639</t>
  </si>
  <si>
    <t xml:space="preserve">Ronald Moore</t>
  </si>
  <si>
    <t xml:space="preserve">LP-1102</t>
  </si>
  <si>
    <t xml:space="preserve">skip_events_2022_2026.csv row 368; offer_events_2022_2026.csv row 1351</t>
  </si>
  <si>
    <t xml:space="preserve">SKP-2026-0361</t>
  </si>
  <si>
    <t xml:space="preserve">OFR-2026-1339</t>
  </si>
  <si>
    <t xml:space="preserve">WL-03139</t>
  </si>
  <si>
    <t xml:space="preserve">Stanley Peterson / Peterson Holdings LLC</t>
  </si>
  <si>
    <t xml:space="preserve">GW-0601</t>
  </si>
  <si>
    <t xml:space="preserve">skip_events_2022_2026.csv row 362; offer_events_2022_2026.csv row 1340</t>
  </si>
  <si>
    <t xml:space="preserve">SKP-2026-0362</t>
  </si>
  <si>
    <t xml:space="preserve">OFR-2026-1344</t>
  </si>
  <si>
    <t xml:space="preserve">WL-02120</t>
  </si>
  <si>
    <t xml:space="preserve">Jerry Reyes / Reyes Ventures LLC</t>
  </si>
  <si>
    <t xml:space="preserve">LP-0312</t>
  </si>
  <si>
    <t xml:space="preserve">skip_events_2022_2026.csv row 363; offer_events_2022_2026.csv row 1345</t>
  </si>
  <si>
    <t xml:space="preserve">SKP-2026-0365</t>
  </si>
  <si>
    <t xml:space="preserve">OFR-2026-1347</t>
  </si>
  <si>
    <t xml:space="preserve">GW-0513</t>
  </si>
  <si>
    <t xml:space="preserve">skip_events_2022_2026.csv row 366; offer_events_2022_2026.csv row 1348</t>
  </si>
  <si>
    <t xml:space="preserve">SKP-2026-0364</t>
  </si>
  <si>
    <t xml:space="preserve">OFR-2026-1346</t>
  </si>
  <si>
    <t xml:space="preserve">WL-02504</t>
  </si>
  <si>
    <t xml:space="preserve">Crystal Stevenson / Stevenson Ventures LLC</t>
  </si>
  <si>
    <t xml:space="preserve">SB-0104</t>
  </si>
  <si>
    <t xml:space="preserve">skip_events_2022_2026.csv row 365; offer_events_2022_2026.csv row 1347</t>
  </si>
  <si>
    <t xml:space="preserve">SKP-2026-0373</t>
  </si>
  <si>
    <t xml:space="preserve">OFR-2026-1372</t>
  </si>
  <si>
    <t xml:space="preserve">WL-02671</t>
  </si>
  <si>
    <t xml:space="preserve">Monica Stephens</t>
  </si>
  <si>
    <t xml:space="preserve">LP-1019</t>
  </si>
  <si>
    <t xml:space="preserve">skip_events_2022_2026.csv row 374; offer_events_2022_2026.csv row 1373</t>
  </si>
  <si>
    <t xml:space="preserve">SKP-2026-0376</t>
  </si>
  <si>
    <t xml:space="preserve">OFR-2026-1380</t>
  </si>
  <si>
    <t xml:space="preserve">WL-03152</t>
  </si>
  <si>
    <t xml:space="preserve">Kenneth Simmons / Simmons Charters Inc</t>
  </si>
  <si>
    <t xml:space="preserve">skip_events_2022_2026.csv row 377; offer_events_2022_2026.csv row 1381</t>
  </si>
  <si>
    <t xml:space="preserve">SKP-2026-0369</t>
  </si>
  <si>
    <t xml:space="preserve">OFR-2026-1360</t>
  </si>
  <si>
    <t xml:space="preserve">WL-01205</t>
  </si>
  <si>
    <t xml:space="preserve">Brian Osborne / Osborne Charters Inc</t>
  </si>
  <si>
    <t xml:space="preserve">GW-0620</t>
  </si>
  <si>
    <t xml:space="preserve">skip_events_2022_2026.csv row 370; offer_events_2022_2026.csv row 1361</t>
  </si>
  <si>
    <t xml:space="preserve">SKP-2026-0371</t>
  </si>
  <si>
    <t xml:space="preserve">OFR-2026-1363</t>
  </si>
  <si>
    <t xml:space="preserve">WL-03896</t>
  </si>
  <si>
    <t xml:space="preserve">Stephen Hammond / Hammond Marine LLC</t>
  </si>
  <si>
    <t xml:space="preserve">No supporting record attached. Later disposition=SUSTAINED; review=RD on 2026-05-08; later review cannot cure the missing same-day record.</t>
  </si>
  <si>
    <t xml:space="preserve">skip_events_2022_2026.csv row 372; offer_events_2022_2026.csv row 1364</t>
  </si>
  <si>
    <t xml:space="preserve">SKP-2026-0368</t>
  </si>
  <si>
    <t xml:space="preserve">OFR-2026-1358</t>
  </si>
  <si>
    <t xml:space="preserve">WL-03754</t>
  </si>
  <si>
    <t xml:space="preserve">Carolyn Ali</t>
  </si>
  <si>
    <t xml:space="preserve">LP-0923</t>
  </si>
  <si>
    <t xml:space="preserve">skip_events_2022_2026.csv row 369; offer_events_2022_2026.csv row 1359</t>
  </si>
  <si>
    <t xml:space="preserve">SKP-2026-0378</t>
  </si>
  <si>
    <t xml:space="preserve">OFR-2026-1384</t>
  </si>
  <si>
    <t xml:space="preserve">WL-01109</t>
  </si>
  <si>
    <t xml:space="preserve">Patrick Sanchez</t>
  </si>
  <si>
    <t xml:space="preserve">LP-0820</t>
  </si>
  <si>
    <t xml:space="preserve">skip_events_2022_2026.csv row 379; offer_events_2022_2026.csv row 1385</t>
  </si>
  <si>
    <t xml:space="preserve">SKP-2026-0374</t>
  </si>
  <si>
    <t xml:space="preserve">OFR-2026-1375</t>
  </si>
  <si>
    <t xml:space="preserve">WL-01404</t>
  </si>
  <si>
    <t xml:space="preserve">Eric Boyle</t>
  </si>
  <si>
    <t xml:space="preserve">VB-0619</t>
  </si>
  <si>
    <t xml:space="preserve">skip_events_2022_2026.csv row 375; offer_events_2022_2026.csv row 1376</t>
  </si>
  <si>
    <t xml:space="preserve">SKP-2026-0377</t>
  </si>
  <si>
    <t xml:space="preserve">OFR-2026-1381</t>
  </si>
  <si>
    <t xml:space="preserve">WL-01255</t>
  </si>
  <si>
    <t xml:space="preserve">Dana Walker / Walker Charters Inc</t>
  </si>
  <si>
    <t xml:space="preserve">EW-0522</t>
  </si>
  <si>
    <t xml:space="preserve">skip_events_2022_2026.csv row 378; offer_events_2022_2026.csv row 1382</t>
  </si>
  <si>
    <t xml:space="preserve">SKP-2026-0370</t>
  </si>
  <si>
    <t xml:space="preserve">OFR-2026-1361</t>
  </si>
  <si>
    <t xml:space="preserve">WL-03607</t>
  </si>
  <si>
    <t xml:space="preserve">Ross Green</t>
  </si>
  <si>
    <t xml:space="preserve">LP-1105</t>
  </si>
  <si>
    <t xml:space="preserve">skip_events_2022_2026.csv row 371; offer_events_2022_2026.csv row 1362</t>
  </si>
  <si>
    <t xml:space="preserve">SKP-2026-0375</t>
  </si>
  <si>
    <t xml:space="preserve">OFR-2026-1378</t>
  </si>
  <si>
    <t xml:space="preserve">WL-01299</t>
  </si>
  <si>
    <t xml:space="preserve">Wayne Andrews / Andrews Holdings LLC</t>
  </si>
  <si>
    <t xml:space="preserve">skip_events_2022_2026.csv row 376; offer_events_2022_2026.csv row 1379</t>
  </si>
  <si>
    <t xml:space="preserve">SKP-2026-0372</t>
  </si>
  <si>
    <t xml:space="preserve">OFR-2026-1366</t>
  </si>
  <si>
    <t xml:space="preserve">WL-03247</t>
  </si>
  <si>
    <t xml:space="preserve">Tina Armstrong</t>
  </si>
  <si>
    <t xml:space="preserve">skip_events_2022_2026.csv row 373; offer_events_2022_2026.csv row 1367</t>
  </si>
  <si>
    <t xml:space="preserve">SKP-2026-0379</t>
  </si>
  <si>
    <t xml:space="preserve">OFR-2026-1387</t>
  </si>
  <si>
    <t xml:space="preserve">WL-02315</t>
  </si>
  <si>
    <t xml:space="preserve">Mitchell Mendez / Mendez Holdings LLC</t>
  </si>
  <si>
    <t xml:space="preserve">skip_events_2022_2026.csv row 380; offer_events_2022_2026.csv row 1388</t>
  </si>
  <si>
    <t xml:space="preserve">SKP-2026-0386</t>
  </si>
  <si>
    <t xml:space="preserve">OFR-2026-1410</t>
  </si>
  <si>
    <t xml:space="preserve">WL-03787</t>
  </si>
  <si>
    <t xml:space="preserve">John Mcneil</t>
  </si>
  <si>
    <t xml:space="preserve">GW-0214</t>
  </si>
  <si>
    <t xml:space="preserve">skip_events_2022_2026.csv row 387; offer_events_2022_2026.csv row 1411</t>
  </si>
  <si>
    <t xml:space="preserve">SKP-2026-0388</t>
  </si>
  <si>
    <t xml:space="preserve">OFR-2026-1412</t>
  </si>
  <si>
    <t xml:space="preserve">WL-01982</t>
  </si>
  <si>
    <t xml:space="preserve">Jeffrey Harrison</t>
  </si>
  <si>
    <t xml:space="preserve">skip_events_2022_2026.csv row 389; offer_events_2022_2026.csv row 1413</t>
  </si>
  <si>
    <t xml:space="preserve">SKP-2026-0381</t>
  </si>
  <si>
    <t xml:space="preserve">OFR-2026-1398</t>
  </si>
  <si>
    <t xml:space="preserve">WL-01954</t>
  </si>
  <si>
    <t xml:space="preserve">Richard Smith</t>
  </si>
  <si>
    <t xml:space="preserve">SB-0416</t>
  </si>
  <si>
    <t xml:space="preserve">skip_events_2022_2026.csv row 382; offer_events_2022_2026.csv row 1399</t>
  </si>
  <si>
    <t xml:space="preserve">SKP-2026-0383</t>
  </si>
  <si>
    <t xml:space="preserve">OFR-2026-1400</t>
  </si>
  <si>
    <t xml:space="preserve">WL-01256</t>
  </si>
  <si>
    <t xml:space="preserve">Andrew Glover / Glover Holdings LLC</t>
  </si>
  <si>
    <t xml:space="preserve">LP-1103</t>
  </si>
  <si>
    <t xml:space="preserve">skip_events_2022_2026.csv row 384; offer_events_2022_2026.csv row 1401</t>
  </si>
  <si>
    <t xml:space="preserve">SKP-2026-0380</t>
  </si>
  <si>
    <t xml:space="preserve">OFR-2026-1391</t>
  </si>
  <si>
    <t xml:space="preserve">WL-03078</t>
  </si>
  <si>
    <t xml:space="preserve">Rachael Mitchell</t>
  </si>
  <si>
    <t xml:space="preserve">VB-0415</t>
  </si>
  <si>
    <t xml:space="preserve">skip_events_2022_2026.csv row 381; offer_events_2022_2026.csv row 1392</t>
  </si>
  <si>
    <t xml:space="preserve">SKP-2026-0384</t>
  </si>
  <si>
    <t xml:space="preserve">OFR-2026-1402</t>
  </si>
  <si>
    <t xml:space="preserve">WL-01936</t>
  </si>
  <si>
    <t xml:space="preserve">Deanna Livingston</t>
  </si>
  <si>
    <t xml:space="preserve">VB-0507</t>
  </si>
  <si>
    <t xml:space="preserve">No supporting record attached. Later disposition=SUSTAINED; review=TY on 2026-06-27; later review cannot cure the missing same-day record.</t>
  </si>
  <si>
    <t xml:space="preserve">skip_events_2022_2026.csv row 385; offer_events_2022_2026.csv row 1403</t>
  </si>
  <si>
    <t xml:space="preserve">SKP-2026-0385</t>
  </si>
  <si>
    <t xml:space="preserve">OFR-2026-1403</t>
  </si>
  <si>
    <t xml:space="preserve">WL-03690</t>
  </si>
  <si>
    <t xml:space="preserve">VB-0312</t>
  </si>
  <si>
    <t xml:space="preserve">skip_events_2022_2026.csv row 386; offer_events_2022_2026.csv row 1404</t>
  </si>
  <si>
    <t xml:space="preserve">SKP-2026-0387</t>
  </si>
  <si>
    <t xml:space="preserve">OFR-2026-1411</t>
  </si>
  <si>
    <t xml:space="preserve">VB-0402</t>
  </si>
  <si>
    <t xml:space="preserve">skip_events_2022_2026.csv row 388; offer_events_2022_2026.csv row 1412</t>
  </si>
  <si>
    <t xml:space="preserve">SKP-2026-0382</t>
  </si>
  <si>
    <t xml:space="preserve">OFR-2026-1399</t>
  </si>
  <si>
    <t xml:space="preserve">WL-02098</t>
  </si>
  <si>
    <t xml:space="preserve">Rhonda James</t>
  </si>
  <si>
    <t xml:space="preserve">VB-0707</t>
  </si>
  <si>
    <t xml:space="preserve">skip_events_2022_2026.csv row 383; offer_events_2022_2026.csv row 1400</t>
  </si>
  <si>
    <t xml:space="preserve">SKP-2026-0392</t>
  </si>
  <si>
    <t xml:space="preserve">OFR-2026-1432</t>
  </si>
  <si>
    <t xml:space="preserve">WL-03260</t>
  </si>
  <si>
    <t xml:space="preserve">Joel Thomas / Thomas Ventures LLC</t>
  </si>
  <si>
    <t xml:space="preserve">EW-0104</t>
  </si>
  <si>
    <t xml:space="preserve">skip_events_2022_2026.csv row 393; offer_events_2022_2026.csv row 1433</t>
  </si>
  <si>
    <t xml:space="preserve">SKP-2026-0394</t>
  </si>
  <si>
    <t xml:space="preserve">OFR-2026-1441</t>
  </si>
  <si>
    <t xml:space="preserve">WL-03397</t>
  </si>
  <si>
    <t xml:space="preserve">Jessica Daugherty</t>
  </si>
  <si>
    <t xml:space="preserve">skip_events_2022_2026.csv row 395; offer_events_2022_2026.csv row 1442</t>
  </si>
  <si>
    <t xml:space="preserve">SKP-2026-0398</t>
  </si>
  <si>
    <t xml:space="preserve">OFR-2026-1452</t>
  </si>
  <si>
    <t xml:space="preserve">WL-03059</t>
  </si>
  <si>
    <t xml:space="preserve">Jonathan Daniels</t>
  </si>
  <si>
    <t xml:space="preserve">GW-0223</t>
  </si>
  <si>
    <t xml:space="preserve">skip_events_2022_2026.csv row 399; offer_events_2022_2026.csv row 1453</t>
  </si>
  <si>
    <t xml:space="preserve">SKP-2026-0395</t>
  </si>
  <si>
    <t xml:space="preserve">OFR-2026-1442</t>
  </si>
  <si>
    <t xml:space="preserve">WL-02900</t>
  </si>
  <si>
    <t xml:space="preserve">Timothy Henderson / Henderson Charters Inc</t>
  </si>
  <si>
    <t xml:space="preserve">GW-0415</t>
  </si>
  <si>
    <t xml:space="preserve">skip_events_2022_2026.csv row 396; offer_events_2022_2026.csv row 1443</t>
  </si>
  <si>
    <t xml:space="preserve">SKP-2026-0393</t>
  </si>
  <si>
    <t xml:space="preserve">OFR-2026-1436</t>
  </si>
  <si>
    <t xml:space="preserve">WL-02358</t>
  </si>
  <si>
    <t xml:space="preserve">Kelly Mccoy</t>
  </si>
  <si>
    <t xml:space="preserve">LP-1009</t>
  </si>
  <si>
    <t xml:space="preserve">skip_events_2022_2026.csv row 394; offer_events_2022_2026.csv row 1437</t>
  </si>
  <si>
    <t xml:space="preserve">SKP-2026-0396</t>
  </si>
  <si>
    <t xml:space="preserve">OFR-2026-1443</t>
  </si>
  <si>
    <t xml:space="preserve">WL-02436</t>
  </si>
  <si>
    <t xml:space="preserve">Jeffrey Allen / Allen Marine LLC</t>
  </si>
  <si>
    <t xml:space="preserve">SB-0905</t>
  </si>
  <si>
    <t xml:space="preserve">skip_events_2022_2026.csv row 397; offer_events_2022_2026.csv row 1444</t>
  </si>
  <si>
    <t xml:space="preserve">SKP-2026-0389</t>
  </si>
  <si>
    <t xml:space="preserve">OFR-2026-1419</t>
  </si>
  <si>
    <t xml:space="preserve">SB-0902</t>
  </si>
  <si>
    <t xml:space="preserve">skip_events_2022_2026.csv row 390; offer_events_2022_2026.csv row 1420</t>
  </si>
  <si>
    <t xml:space="preserve">SKP-2026-0391</t>
  </si>
  <si>
    <t xml:space="preserve">OFR-2026-1429</t>
  </si>
  <si>
    <t xml:space="preserve">WL-03106</t>
  </si>
  <si>
    <t xml:space="preserve">Shannon Morales / Morales Marine LLC</t>
  </si>
  <si>
    <t xml:space="preserve">LP-0609</t>
  </si>
  <si>
    <t xml:space="preserve">skip_events_2022_2026.csv row 392; offer_events_2022_2026.csv row 1430</t>
  </si>
  <si>
    <t xml:space="preserve">SKP-2026-0397</t>
  </si>
  <si>
    <t xml:space="preserve">OFR-2026-1447</t>
  </si>
  <si>
    <t xml:space="preserve">WL-01722</t>
  </si>
  <si>
    <t xml:space="preserve">Gregory Collins / Collins Marine LLC</t>
  </si>
  <si>
    <t xml:space="preserve">VB-0404</t>
  </si>
  <si>
    <t xml:space="preserve">skip_events_2022_2026.csv row 398; offer_events_2022_2026.csv row 1448</t>
  </si>
  <si>
    <t xml:space="preserve">SKP-2026-0390</t>
  </si>
  <si>
    <t xml:space="preserve">OFR-2026-1422</t>
  </si>
  <si>
    <t xml:space="preserve">WL-03071</t>
  </si>
  <si>
    <t xml:space="preserve">Kenneth Jones</t>
  </si>
  <si>
    <t xml:space="preserve">skip_events_2022_2026.csv row 391; offer_events_2022_2026.csv row 1423</t>
  </si>
  <si>
    <t xml:space="preserve">LOA AMENDMENT</t>
  </si>
  <si>
    <t xml:space="preserve">AMD-000482</t>
  </si>
  <si>
    <t xml:space="preserve">WL-03883</t>
  </si>
  <si>
    <t xml:space="preserve">Priscilla Gallegos</t>
  </si>
  <si>
    <t xml:space="preserve">Length Overall (LOA)</t>
  </si>
  <si>
    <t xml:space="preserve">MC-2023-0263</t>
  </si>
  <si>
    <t xml:space="preserve">Signed measurement certificate or yard haul-out measurement sheet at entry</t>
  </si>
  <si>
    <t xml:space="preserve">SUPPORTED ENTRY</t>
  </si>
  <si>
    <t xml:space="preserve">Supporting document identified in the amendment log.</t>
  </si>
  <si>
    <t xml:space="preserve">amendment_log_2022_2026.csv row 483</t>
  </si>
  <si>
    <t xml:space="preserve">Resolution 2022-06 p.2 section 4.3 and p.3 section 6.2</t>
  </si>
  <si>
    <t xml:space="preserve">AMD-000506</t>
  </si>
  <si>
    <t xml:space="preserve">WL-02724</t>
  </si>
  <si>
    <t xml:space="preserve">Benjamin Hawkins / Hawkins Marine LLC</t>
  </si>
  <si>
    <t xml:space="preserve">MC-2023-0238</t>
  </si>
  <si>
    <t xml:space="preserve">amendment_log_2022_2026.csv row 507</t>
  </si>
  <si>
    <t xml:space="preserve">AMD-000526</t>
  </si>
  <si>
    <t xml:space="preserve">WL-03429</t>
  </si>
  <si>
    <t xml:space="preserve">Daniel Perez / Perez Ventures LLC</t>
  </si>
  <si>
    <t xml:space="preserve">MC-2023-0961</t>
  </si>
  <si>
    <t xml:space="preserve">amendment_log_2022_2026.csv row 527</t>
  </si>
  <si>
    <t xml:space="preserve">AMD-000528</t>
  </si>
  <si>
    <t xml:space="preserve">MC-2023-0335</t>
  </si>
  <si>
    <t xml:space="preserve">amendment_log_2022_2026.csv row 529</t>
  </si>
  <si>
    <t xml:space="preserve">AMD-000580</t>
  </si>
  <si>
    <t xml:space="preserve">WL-03115</t>
  </si>
  <si>
    <t xml:space="preserve">Ariel Bray</t>
  </si>
  <si>
    <t xml:space="preserve">MC-2023-0485</t>
  </si>
  <si>
    <t xml:space="preserve">amendment_log_2022_2026.csv row 581</t>
  </si>
  <si>
    <t xml:space="preserve">AMD-000584</t>
  </si>
  <si>
    <t xml:space="preserve">WL-03617</t>
  </si>
  <si>
    <t xml:space="preserve">Kimberly Vaughan</t>
  </si>
  <si>
    <t xml:space="preserve">Foldview Marine Services haul-out sheet 2022-09-09</t>
  </si>
  <si>
    <t xml:space="preserve">amendment_log_2022_2026.csv row 585</t>
  </si>
  <si>
    <t xml:space="preserve">AMD-000601</t>
  </si>
  <si>
    <t xml:space="preserve">WL-01670</t>
  </si>
  <si>
    <t xml:space="preserve">Benjamin Larsen / Larsen Ventures LLC</t>
  </si>
  <si>
    <t xml:space="preserve">MC-2023-0255</t>
  </si>
  <si>
    <t xml:space="preserve">amendment_log_2022_2026.csv row 602</t>
  </si>
  <si>
    <t xml:space="preserve">AMD-000610</t>
  </si>
  <si>
    <t xml:space="preserve">WL-02695</t>
  </si>
  <si>
    <t xml:space="preserve">Anthony Hamilton</t>
  </si>
  <si>
    <t xml:space="preserve">Foldview Marine Services haul-out sheet 2022-11-25</t>
  </si>
  <si>
    <t xml:space="preserve">amendment_log_2022_2026.csv row 611</t>
  </si>
  <si>
    <t xml:space="preserve">AMD-000627</t>
  </si>
  <si>
    <t xml:space="preserve">WL-01438</t>
  </si>
  <si>
    <t xml:space="preserve">Angela Whitehead</t>
  </si>
  <si>
    <t xml:space="preserve">MC-2023-0423</t>
  </si>
  <si>
    <t xml:space="preserve">amendment_log_2022_2026.csv row 628</t>
  </si>
  <si>
    <t xml:space="preserve">AMD-000646</t>
  </si>
  <si>
    <t xml:space="preserve">WL-02496</t>
  </si>
  <si>
    <t xml:space="preserve">Larry Mitchell / Mitchell Holdings LLC</t>
  </si>
  <si>
    <t xml:space="preserve">Blank source_document in amendment log</t>
  </si>
  <si>
    <t xml:space="preserve">NO USE ESTABLISHED</t>
  </si>
  <si>
    <t xml:space="preserve">No later offer, billing, or occupancy event found. Current August register value differs, so the historical snapshot is missing. August 2026 register LOA: 29.2 ft.</t>
  </si>
  <si>
    <t xml:space="preserve">amendment_log_2022_2026.csv row 647</t>
  </si>
  <si>
    <t xml:space="preserve">AMD-000661</t>
  </si>
  <si>
    <t xml:space="preserve">WL-02263</t>
  </si>
  <si>
    <t xml:space="preserve">Anthony Young / Young Marine LLC</t>
  </si>
  <si>
    <t xml:space="preserve">Foldview Marine Services haul-out sheet 2023-04-18</t>
  </si>
  <si>
    <t xml:space="preserve">amendment_log_2022_2026.csv row 662</t>
  </si>
  <si>
    <t xml:space="preserve">AMD-000662</t>
  </si>
  <si>
    <t xml:space="preserve">WL-02278</t>
  </si>
  <si>
    <t xml:space="preserve">Maria Williams / Williams Charters Inc</t>
  </si>
  <si>
    <t xml:space="preserve">MC-2023-0309</t>
  </si>
  <si>
    <t xml:space="preserve">amendment_log_2022_2026.csv row 663</t>
  </si>
  <si>
    <t xml:space="preserve">AMD-000682</t>
  </si>
  <si>
    <t xml:space="preserve">WL-02641</t>
  </si>
  <si>
    <t xml:space="preserve">Denise Miles</t>
  </si>
  <si>
    <t xml:space="preserve">Foldview Marine Services haul-out sheet 2022-12-15</t>
  </si>
  <si>
    <t xml:space="preserve">amendment_log_2022_2026.csv row 683</t>
  </si>
  <si>
    <t xml:space="preserve">AMD-000691</t>
  </si>
  <si>
    <t xml:space="preserve">MC-2023-0192</t>
  </si>
  <si>
    <t xml:space="preserve">amendment_log_2022_2026.csv row 692</t>
  </si>
  <si>
    <t xml:space="preserve">AMD-000694</t>
  </si>
  <si>
    <t xml:space="preserve">WL-03698</t>
  </si>
  <si>
    <t xml:space="preserve">Tonya Martinez</t>
  </si>
  <si>
    <t xml:space="preserve">Foldview Marine Services haul-out sheet 2022-10-31</t>
  </si>
  <si>
    <t xml:space="preserve">amendment_log_2022_2026.csv row 695</t>
  </si>
  <si>
    <t xml:space="preserve">AMD-000705</t>
  </si>
  <si>
    <t xml:space="preserve">MC-2023-0222</t>
  </si>
  <si>
    <t xml:space="preserve">amendment_log_2022_2026.csv row 706</t>
  </si>
  <si>
    <t xml:space="preserve">AMD-000709</t>
  </si>
  <si>
    <t xml:space="preserve">WL-01302</t>
  </si>
  <si>
    <t xml:space="preserve">Shelby Maynard / Maynard Ventures LLC</t>
  </si>
  <si>
    <t xml:space="preserve">MC-2023-0266</t>
  </si>
  <si>
    <t xml:space="preserve">amendment_log_2022_2026.csv row 710</t>
  </si>
  <si>
    <t xml:space="preserve">AMD-000712</t>
  </si>
  <si>
    <t xml:space="preserve">WL-01762</t>
  </si>
  <si>
    <t xml:space="preserve">John Powell</t>
  </si>
  <si>
    <t xml:space="preserve">MC-2023-0225</t>
  </si>
  <si>
    <t xml:space="preserve">amendment_log_2022_2026.csv row 713</t>
  </si>
  <si>
    <t xml:space="preserve">AMD-000714</t>
  </si>
  <si>
    <t xml:space="preserve">Foldview Marine Services haul-out sheet 2023-01-12</t>
  </si>
  <si>
    <t xml:space="preserve">amendment_log_2022_2026.csv row 715</t>
  </si>
  <si>
    <t xml:space="preserve">AMD-000750</t>
  </si>
  <si>
    <t xml:space="preserve">WL-03333</t>
  </si>
  <si>
    <t xml:space="preserve">Steven Greene / Greene Ventures LLC</t>
  </si>
  <si>
    <t xml:space="preserve">Foldview Marine Services haul-out sheet 2022-11-09</t>
  </si>
  <si>
    <t xml:space="preserve">amendment_log_2022_2026.csv row 751</t>
  </si>
  <si>
    <t xml:space="preserve">AMD-000760</t>
  </si>
  <si>
    <t xml:space="preserve">WL-03183</t>
  </si>
  <si>
    <t xml:space="preserve">Daniel Stevens / Stevens Marine LLC</t>
  </si>
  <si>
    <t xml:space="preserve">MC-2023-0648</t>
  </si>
  <si>
    <t xml:space="preserve">amendment_log_2022_2026.csv row 761</t>
  </si>
  <si>
    <t xml:space="preserve">AMD-000763</t>
  </si>
  <si>
    <t xml:space="preserve">WL-02205</t>
  </si>
  <si>
    <t xml:space="preserve">Robert Rivas / Rivas Charters Inc</t>
  </si>
  <si>
    <t xml:space="preserve">MC-2023-0129</t>
  </si>
  <si>
    <t xml:space="preserve">amendment_log_2022_2026.csv row 764</t>
  </si>
  <si>
    <t xml:space="preserve">AMD-000772</t>
  </si>
  <si>
    <t xml:space="preserve">Foldview Marine Services haul-out sheet 2022-09-12</t>
  </si>
  <si>
    <t xml:space="preserve">amendment_log_2022_2026.csv row 773</t>
  </si>
  <si>
    <t xml:space="preserve">AMD-000777</t>
  </si>
  <si>
    <t xml:space="preserve">WL-02881</t>
  </si>
  <si>
    <t xml:space="preserve">Christopher Woodward / Woodward Marine LLC</t>
  </si>
  <si>
    <t xml:space="preserve">MC-2023-0628</t>
  </si>
  <si>
    <t xml:space="preserve">amendment_log_2022_2026.csv row 778</t>
  </si>
  <si>
    <t xml:space="preserve">AMD-000779</t>
  </si>
  <si>
    <t xml:space="preserve">WL-01864</t>
  </si>
  <si>
    <t xml:space="preserve">Eric Weber</t>
  </si>
  <si>
    <t xml:space="preserve">Foldview Marine Services haul-out sheet 2022-09-13</t>
  </si>
  <si>
    <t xml:space="preserve">amendment_log_2022_2026.csv row 780</t>
  </si>
  <si>
    <t xml:space="preserve">AMD-000782</t>
  </si>
  <si>
    <t xml:space="preserve">WL-03250</t>
  </si>
  <si>
    <t xml:space="preserve">Philip Garcia</t>
  </si>
  <si>
    <t xml:space="preserve">Foldview Marine Services haul-out sheet 2023-01-11</t>
  </si>
  <si>
    <t xml:space="preserve">amendment_log_2022_2026.csv row 783</t>
  </si>
  <si>
    <t xml:space="preserve">AMD-000785</t>
  </si>
  <si>
    <t xml:space="preserve">WL-03293</t>
  </si>
  <si>
    <t xml:space="preserve">Laurie Huerta</t>
  </si>
  <si>
    <t xml:space="preserve">MC-2023-0127</t>
  </si>
  <si>
    <t xml:space="preserve">amendment_log_2022_2026.csv row 786</t>
  </si>
  <si>
    <t xml:space="preserve">AMD-000803</t>
  </si>
  <si>
    <t xml:space="preserve">WL-03666</t>
  </si>
  <si>
    <t xml:space="preserve">Andrea Franco / Franco Ventures LLC</t>
  </si>
  <si>
    <t xml:space="preserve">MC-2023-0932</t>
  </si>
  <si>
    <t xml:space="preserve">amendment_log_2022_2026.csv row 804</t>
  </si>
  <si>
    <t xml:space="preserve">AMD-000808</t>
  </si>
  <si>
    <t xml:space="preserve">WL-03319</t>
  </si>
  <si>
    <t xml:space="preserve">Darrell Hall</t>
  </si>
  <si>
    <t xml:space="preserve">Pre-existing occupancy continued at a 70-ft billing basis; the unsupported 37.8-ft value did not determine the charge. August 2026 register LOA: 53.7 ft.</t>
  </si>
  <si>
    <t xml:space="preserve">amendment_log_2022_2026.csv row 809</t>
  </si>
  <si>
    <t xml:space="preserve">AMD-000848</t>
  </si>
  <si>
    <t xml:space="preserve">WL-02342</t>
  </si>
  <si>
    <t xml:space="preserve">Ricky Morris / Morris Ventures LLC</t>
  </si>
  <si>
    <t xml:space="preserve">MC-2023-0955</t>
  </si>
  <si>
    <t xml:space="preserve">amendment_log_2022_2026.csv row 849</t>
  </si>
  <si>
    <t xml:space="preserve">AMD-000876</t>
  </si>
  <si>
    <t xml:space="preserve">WL-03908</t>
  </si>
  <si>
    <t xml:space="preserve">Kaitlin Ibarra / Ibarra Charters Inc</t>
  </si>
  <si>
    <t xml:space="preserve">Foldview Marine Services haul-out sheet 2023-10-24</t>
  </si>
  <si>
    <t xml:space="preserve">amendment_log_2022_2026.csv row 877</t>
  </si>
  <si>
    <t xml:space="preserve">AMD-000887</t>
  </si>
  <si>
    <t xml:space="preserve">WL-02969</t>
  </si>
  <si>
    <t xml:space="preserve">Anthony Davis</t>
  </si>
  <si>
    <t xml:space="preserve">MC-2023-0909</t>
  </si>
  <si>
    <t xml:space="preserve">amendment_log_2022_2026.csv row 888</t>
  </si>
  <si>
    <t xml:space="preserve">AMD-000890</t>
  </si>
  <si>
    <t xml:space="preserve">WL-02279</t>
  </si>
  <si>
    <t xml:space="preserve">Christine Atkinson / Atkinson Ventures LLC</t>
  </si>
  <si>
    <t xml:space="preserve">Foldview Marine Services haul-out sheet 2023-10-23</t>
  </si>
  <si>
    <t xml:space="preserve">amendment_log_2022_2026.csv row 891</t>
  </si>
  <si>
    <t xml:space="preserve">AMD-000893</t>
  </si>
  <si>
    <t xml:space="preserve">WL-01874</t>
  </si>
  <si>
    <t xml:space="preserve">Glenda Williams / Williams Charters Inc</t>
  </si>
  <si>
    <t xml:space="preserve">Foldview Marine Services haul-out sheet 2023-07-17</t>
  </si>
  <si>
    <t xml:space="preserve">amendment_log_2022_2026.csv row 894</t>
  </si>
  <si>
    <t xml:space="preserve">AMD-000913</t>
  </si>
  <si>
    <t xml:space="preserve">WL-03638</t>
  </si>
  <si>
    <t xml:space="preserve">Edward Stanley</t>
  </si>
  <si>
    <t xml:space="preserve">MC-2023-0800</t>
  </si>
  <si>
    <t xml:space="preserve">amendment_log_2022_2026.csv row 914</t>
  </si>
  <si>
    <t xml:space="preserve">AMD-000930</t>
  </si>
  <si>
    <t xml:space="preserve">WL-02495</t>
  </si>
  <si>
    <t xml:space="preserve">Richard Dean / Dean Holdings LLC</t>
  </si>
  <si>
    <t xml:space="preserve">Foldview Marine Services haul-out sheet 2022-10-07</t>
  </si>
  <si>
    <t xml:space="preserve">amendment_log_2022_2026.csv row 931</t>
  </si>
  <si>
    <t xml:space="preserve">AMD-000935</t>
  </si>
  <si>
    <t xml:space="preserve">WL-01361</t>
  </si>
  <si>
    <t xml:space="preserve">Benjamin Willis</t>
  </si>
  <si>
    <t xml:space="preserve">MC-2023-0786</t>
  </si>
  <si>
    <t xml:space="preserve">amendment_log_2022_2026.csv row 936</t>
  </si>
  <si>
    <t xml:space="preserve">AMD-000967</t>
  </si>
  <si>
    <t xml:space="preserve">Foldview Marine Services haul-out sheet 2023-09-16</t>
  </si>
  <si>
    <t xml:space="preserve">amendment_log_2022_2026.csv row 968</t>
  </si>
  <si>
    <t xml:space="preserve">AMD-000971</t>
  </si>
  <si>
    <t xml:space="preserve">WL-01323</t>
  </si>
  <si>
    <t xml:space="preserve">Melanie Alvarado</t>
  </si>
  <si>
    <t xml:space="preserve">Foldview Marine Services haul-out sheet 2022-09-04</t>
  </si>
  <si>
    <t xml:space="preserve">amendment_log_2022_2026.csv row 972</t>
  </si>
  <si>
    <t xml:space="preserve">AMD-000977</t>
  </si>
  <si>
    <t xml:space="preserve">WL-01619</t>
  </si>
  <si>
    <t xml:space="preserve">Carmen Montgomery</t>
  </si>
  <si>
    <t xml:space="preserve">MC-2024-0516</t>
  </si>
  <si>
    <t xml:space="preserve">amendment_log_2022_2026.csv row 978</t>
  </si>
  <si>
    <t xml:space="preserve">AMD-000982</t>
  </si>
  <si>
    <t xml:space="preserve">WL-01621</t>
  </si>
  <si>
    <t xml:space="preserve">Scott Lee</t>
  </si>
  <si>
    <t xml:space="preserve">MC-2024-0232</t>
  </si>
  <si>
    <t xml:space="preserve">amendment_log_2022_2026.csv row 983</t>
  </si>
  <si>
    <t xml:space="preserve">AMD-000999</t>
  </si>
  <si>
    <t xml:space="preserve">WL-01937</t>
  </si>
  <si>
    <t xml:space="preserve">Debbie Brady / Brady Ventures LLC</t>
  </si>
  <si>
    <t xml:space="preserve">MC-2024-0198</t>
  </si>
  <si>
    <t xml:space="preserve">amendment_log_2022_2026.csv row 1000</t>
  </si>
  <si>
    <t xml:space="preserve">AMD-001016</t>
  </si>
  <si>
    <t xml:space="preserve">WL-01018</t>
  </si>
  <si>
    <t xml:space="preserve">Hector Gutierrez / Gutierrez Holdings LLC</t>
  </si>
  <si>
    <t xml:space="preserve">Foldview Marine Services haul-out sheet 2022-10-24</t>
  </si>
  <si>
    <t xml:space="preserve">amendment_log_2022_2026.csv row 1017</t>
  </si>
  <si>
    <t xml:space="preserve">AMD-001027</t>
  </si>
  <si>
    <t xml:space="preserve">WL-01929</t>
  </si>
  <si>
    <t xml:space="preserve">Margaret Mcbride / Mcbride Marine LLC</t>
  </si>
  <si>
    <t xml:space="preserve">Foldview Marine Services haul-out sheet 2023-01-26</t>
  </si>
  <si>
    <t xml:space="preserve">amendment_log_2022_2026.csv row 1028</t>
  </si>
  <si>
    <t xml:space="preserve">AMD-001059</t>
  </si>
  <si>
    <t xml:space="preserve">WL-03272</t>
  </si>
  <si>
    <t xml:space="preserve">Matthew Contreras</t>
  </si>
  <si>
    <t xml:space="preserve">Foldview Marine Services haul-out sheet 2023-11-17</t>
  </si>
  <si>
    <t xml:space="preserve">amendment_log_2022_2026.csv row 1060</t>
  </si>
  <si>
    <t xml:space="preserve">AMD-001092</t>
  </si>
  <si>
    <t xml:space="preserve">WL-01999</t>
  </si>
  <si>
    <t xml:space="preserve">Kristen Williams</t>
  </si>
  <si>
    <t xml:space="preserve">UNRESOLVED USE</t>
  </si>
  <si>
    <t xml:space="preserve">First occupied billing begins 2024-06 after the 2024-03-30 amendment. The offer and agreement needed to prove qualification use were not supplied. August 2026 register LOA: 19.5 ft.</t>
  </si>
  <si>
    <t xml:space="preserve">amendment_log_2022_2026.csv row 1093</t>
  </si>
  <si>
    <t xml:space="preserve">AMD-001093</t>
  </si>
  <si>
    <t xml:space="preserve">WL-01027</t>
  </si>
  <si>
    <t xml:space="preserve">Rachel Jones</t>
  </si>
  <si>
    <t xml:space="preserve">Foldview Marine Services haul-out sheet 2022-10-23</t>
  </si>
  <si>
    <t xml:space="preserve">amendment_log_2022_2026.csv row 1094</t>
  </si>
  <si>
    <t xml:space="preserve">AMD-001105</t>
  </si>
  <si>
    <t xml:space="preserve">WL-02950</t>
  </si>
  <si>
    <t xml:space="preserve">Travis Young / Young Holdings LLC</t>
  </si>
  <si>
    <t xml:space="preserve">MC-2024-0771</t>
  </si>
  <si>
    <t xml:space="preserve">amendment_log_2022_2026.csv row 1106</t>
  </si>
  <si>
    <t xml:space="preserve">AMD-001109</t>
  </si>
  <si>
    <t xml:space="preserve">MC-2024-0712</t>
  </si>
  <si>
    <t xml:space="preserve">amendment_log_2022_2026.csv row 1110</t>
  </si>
  <si>
    <t xml:space="preserve">AMD-001117</t>
  </si>
  <si>
    <t xml:space="preserve">WL-02128</t>
  </si>
  <si>
    <t xml:space="preserve">Kevin Terry / Terry Marine LLC</t>
  </si>
  <si>
    <t xml:space="preserve">MC-2024-0136</t>
  </si>
  <si>
    <t xml:space="preserve">amendment_log_2022_2026.csv row 1118</t>
  </si>
  <si>
    <t xml:space="preserve">AMD-001120</t>
  </si>
  <si>
    <t xml:space="preserve">WL-02592</t>
  </si>
  <si>
    <t xml:space="preserve">Stacy Hernandez</t>
  </si>
  <si>
    <t xml:space="preserve">Foldview Marine Services haul-out sheet 2023-08-05</t>
  </si>
  <si>
    <t xml:space="preserve">amendment_log_2022_2026.csv row 1121</t>
  </si>
  <si>
    <t xml:space="preserve">AMD-001151</t>
  </si>
  <si>
    <t xml:space="preserve">WL-02647</t>
  </si>
  <si>
    <t xml:space="preserve">Seth Perez</t>
  </si>
  <si>
    <t xml:space="preserve">Foldview Marine Services haul-out sheet 2023-04-25</t>
  </si>
  <si>
    <t xml:space="preserve">amendment_log_2022_2026.csv row 1152</t>
  </si>
  <si>
    <t xml:space="preserve">AMD-001166</t>
  </si>
  <si>
    <t xml:space="preserve">MC-2024-0375</t>
  </si>
  <si>
    <t xml:space="preserve">amendment_log_2022_2026.csv row 1167</t>
  </si>
  <si>
    <t xml:space="preserve">AMD-001167</t>
  </si>
  <si>
    <t xml:space="preserve">WL-01816</t>
  </si>
  <si>
    <t xml:space="preserve">Jeanne Bennett</t>
  </si>
  <si>
    <t xml:space="preserve">MC-2024-0510</t>
  </si>
  <si>
    <t xml:space="preserve">amendment_log_2022_2026.csv row 1168</t>
  </si>
  <si>
    <t xml:space="preserve">AMD-001170</t>
  </si>
  <si>
    <t xml:space="preserve">WL-01411</t>
  </si>
  <si>
    <t xml:space="preserve">Amanda Graham</t>
  </si>
  <si>
    <t xml:space="preserve">Foldview Marine Services haul-out sheet 2023-08-23</t>
  </si>
  <si>
    <t xml:space="preserve">amendment_log_2022_2026.csv row 1171</t>
  </si>
  <si>
    <t xml:space="preserve">AMD-001192</t>
  </si>
  <si>
    <t xml:space="preserve">MC-2024-0630</t>
  </si>
  <si>
    <t xml:space="preserve">amendment_log_2022_2026.csv row 1193</t>
  </si>
  <si>
    <t xml:space="preserve">AMD-001200</t>
  </si>
  <si>
    <t xml:space="preserve">Foldview Marine Services haul-out sheet 2023-09-03</t>
  </si>
  <si>
    <t xml:space="preserve">amendment_log_2022_2026.csv row 1201</t>
  </si>
  <si>
    <t xml:space="preserve">AMD-001204</t>
  </si>
  <si>
    <t xml:space="preserve">Foldview Marine Services haul-out sheet 2024-02-12</t>
  </si>
  <si>
    <t xml:space="preserve">amendment_log_2022_2026.csv row 1205</t>
  </si>
  <si>
    <t xml:space="preserve">AMD-001230</t>
  </si>
  <si>
    <t xml:space="preserve">WL-01607</t>
  </si>
  <si>
    <t xml:space="preserve">John Williams</t>
  </si>
  <si>
    <t xml:space="preserve">Foldview Marine Services haul-out sheet 2022-09-15</t>
  </si>
  <si>
    <t xml:space="preserve">amendment_log_2022_2026.csv row 1231</t>
  </si>
  <si>
    <t xml:space="preserve">AMD-001231</t>
  </si>
  <si>
    <t xml:space="preserve">WL-01289</t>
  </si>
  <si>
    <t xml:space="preserve">Harry Faulkner / Faulkner Charters Inc</t>
  </si>
  <si>
    <t xml:space="preserve">Foldview Marine Services haul-out sheet 2023-01-05</t>
  </si>
  <si>
    <t xml:space="preserve">amendment_log_2022_2026.csv row 1232</t>
  </si>
  <si>
    <t xml:space="preserve">AMD-001232</t>
  </si>
  <si>
    <t xml:space="preserve">WL-01573</t>
  </si>
  <si>
    <t xml:space="preserve">Benjamin Jimenez / Jimenez Ventures LLC</t>
  </si>
  <si>
    <t xml:space="preserve">MC-2024-0489</t>
  </si>
  <si>
    <t xml:space="preserve">amendment_log_2022_2026.csv row 1233</t>
  </si>
  <si>
    <t xml:space="preserve">AMD-001241</t>
  </si>
  <si>
    <t xml:space="preserve">WL-02437</t>
  </si>
  <si>
    <t xml:space="preserve">Jeremy Holmes</t>
  </si>
  <si>
    <t xml:space="preserve">MC-2024-0891</t>
  </si>
  <si>
    <t xml:space="preserve">amendment_log_2022_2026.csv row 1242</t>
  </si>
  <si>
    <t xml:space="preserve">AMD-001244</t>
  </si>
  <si>
    <t xml:space="preserve">WL-01492</t>
  </si>
  <si>
    <t xml:space="preserve">Elizabeth Williams</t>
  </si>
  <si>
    <t xml:space="preserve">Foldview Marine Services haul-out sheet 2024-01-03</t>
  </si>
  <si>
    <t xml:space="preserve">amendment_log_2022_2026.csv row 1245</t>
  </si>
  <si>
    <t xml:space="preserve">AMD-001260</t>
  </si>
  <si>
    <t xml:space="preserve">WL-03524</t>
  </si>
  <si>
    <t xml:space="preserve">James Hayes / Hayes Charters Inc</t>
  </si>
  <si>
    <t xml:space="preserve">Foldview Marine Services haul-out sheet 2024-07-21</t>
  </si>
  <si>
    <t xml:space="preserve">amendment_log_2022_2026.csv row 1261</t>
  </si>
  <si>
    <t xml:space="preserve">AMD-001263</t>
  </si>
  <si>
    <t xml:space="preserve">WL-03800</t>
  </si>
  <si>
    <t xml:space="preserve">Brian Weaver / Weaver Charters Inc</t>
  </si>
  <si>
    <t xml:space="preserve">MC-2024-0608</t>
  </si>
  <si>
    <t xml:space="preserve">amendment_log_2022_2026.csv row 1264</t>
  </si>
  <si>
    <t xml:space="preserve">AMD-001267</t>
  </si>
  <si>
    <t xml:space="preserve">WL-03433</t>
  </si>
  <si>
    <t xml:space="preserve">Ruben Taylor</t>
  </si>
  <si>
    <t xml:space="preserve">MC-2024-0755</t>
  </si>
  <si>
    <t xml:space="preserve">amendment_log_2022_2026.csv row 1268</t>
  </si>
  <si>
    <t xml:space="preserve">AMD-001278</t>
  </si>
  <si>
    <t xml:space="preserve">WL-02527</t>
  </si>
  <si>
    <t xml:space="preserve">Rachel Hanson</t>
  </si>
  <si>
    <t xml:space="preserve">Foldview Marine Services haul-out sheet 2022-11-26</t>
  </si>
  <si>
    <t xml:space="preserve">amendment_log_2022_2026.csv row 1279</t>
  </si>
  <si>
    <t xml:space="preserve">AMD-001279</t>
  </si>
  <si>
    <t xml:space="preserve">WL-02561</t>
  </si>
  <si>
    <t xml:space="preserve">Kayla Carpenter / Carpenter Ventures LLC</t>
  </si>
  <si>
    <t xml:space="preserve">Foldview Marine Services haul-out sheet 2023-05-28</t>
  </si>
  <si>
    <t xml:space="preserve">amendment_log_2022_2026.csv row 1280</t>
  </si>
  <si>
    <t xml:space="preserve">AMD-001287</t>
  </si>
  <si>
    <t xml:space="preserve">WL-03381</t>
  </si>
  <si>
    <t xml:space="preserve">Julie Jackson</t>
  </si>
  <si>
    <t xml:space="preserve">MC-2024-0411</t>
  </si>
  <si>
    <t xml:space="preserve">amendment_log_2022_2026.csv row 1288</t>
  </si>
  <si>
    <t xml:space="preserve">AMD-001288</t>
  </si>
  <si>
    <t xml:space="preserve">WL-02401</t>
  </si>
  <si>
    <t xml:space="preserve">Dana Whitford</t>
  </si>
  <si>
    <t xml:space="preserve">MC-2024-0091</t>
  </si>
  <si>
    <t xml:space="preserve">amendment_log_2022_2026.csv row 1289</t>
  </si>
  <si>
    <t xml:space="preserve">AMD-001294</t>
  </si>
  <si>
    <t xml:space="preserve">WL-01766</t>
  </si>
  <si>
    <t xml:space="preserve">James Wallace / Wallace Charters Inc</t>
  </si>
  <si>
    <t xml:space="preserve">Foldview Marine Services haul-out sheet 2023-11-26</t>
  </si>
  <si>
    <t xml:space="preserve">amendment_log_2022_2026.csv row 1295</t>
  </si>
  <si>
    <t xml:space="preserve">AMD-001311</t>
  </si>
  <si>
    <t xml:space="preserve">WL-02239</t>
  </si>
  <si>
    <t xml:space="preserve">Morgan Haas</t>
  </si>
  <si>
    <t xml:space="preserve">MC-2024-0324</t>
  </si>
  <si>
    <t xml:space="preserve">amendment_log_2022_2026.csv row 1312</t>
  </si>
  <si>
    <t xml:space="preserve">AMD-001313</t>
  </si>
  <si>
    <t xml:space="preserve">WL-02310</t>
  </si>
  <si>
    <t xml:space="preserve">Kristy Bell</t>
  </si>
  <si>
    <t xml:space="preserve">Foldview Marine Services haul-out sheet 2022-10-15</t>
  </si>
  <si>
    <t xml:space="preserve">amendment_log_2022_2026.csv row 1314</t>
  </si>
  <si>
    <t xml:space="preserve">AMD-001323</t>
  </si>
  <si>
    <t xml:space="preserve">WL-01430</t>
  </si>
  <si>
    <t xml:space="preserve">Brandon Hall</t>
  </si>
  <si>
    <t xml:space="preserve">Foldview Marine Services haul-out sheet 2023-02-17</t>
  </si>
  <si>
    <t xml:space="preserve">amendment_log_2022_2026.csv row 1324</t>
  </si>
  <si>
    <t xml:space="preserve">AMD-001327</t>
  </si>
  <si>
    <t xml:space="preserve">Foldview Marine Services haul-out sheet 2024-01-01</t>
  </si>
  <si>
    <t xml:space="preserve">amendment_log_2022_2026.csv row 1328</t>
  </si>
  <si>
    <t xml:space="preserve">AMD-001328</t>
  </si>
  <si>
    <t xml:space="preserve">WL-03547</t>
  </si>
  <si>
    <t xml:space="preserve">Amber Ward</t>
  </si>
  <si>
    <t xml:space="preserve">Foldview Marine Services haul-out sheet 2022-08-11</t>
  </si>
  <si>
    <t xml:space="preserve">amendment_log_2022_2026.csv row 1329</t>
  </si>
  <si>
    <t xml:space="preserve">AMD-001331</t>
  </si>
  <si>
    <t xml:space="preserve">WL-03757</t>
  </si>
  <si>
    <t xml:space="preserve">Stephanie Webb</t>
  </si>
  <si>
    <t xml:space="preserve">MC-2024-0126</t>
  </si>
  <si>
    <t xml:space="preserve">amendment_log_2022_2026.csv row 1332</t>
  </si>
  <si>
    <t xml:space="preserve">AMD-001350</t>
  </si>
  <si>
    <t xml:space="preserve">WL-02398</t>
  </si>
  <si>
    <t xml:space="preserve">Danny Patrick</t>
  </si>
  <si>
    <t xml:space="preserve">Foldview Marine Services haul-out sheet 2022-09-24</t>
  </si>
  <si>
    <t xml:space="preserve">amendment_log_2022_2026.csv row 1351</t>
  </si>
  <si>
    <t xml:space="preserve">AMD-001362</t>
  </si>
  <si>
    <t xml:space="preserve">WL-03050</t>
  </si>
  <si>
    <t xml:space="preserve">Justin Pearson / Pearson Ventures LLC</t>
  </si>
  <si>
    <t xml:space="preserve">amendment_log_2022_2026.csv row 1363</t>
  </si>
  <si>
    <t xml:space="preserve">AMD-001384</t>
  </si>
  <si>
    <t xml:space="preserve">WL-02442</t>
  </si>
  <si>
    <t xml:space="preserve">Elizabeth Burns</t>
  </si>
  <si>
    <t xml:space="preserve">MC-2024-0282</t>
  </si>
  <si>
    <t xml:space="preserve">amendment_log_2022_2026.csv row 1385</t>
  </si>
  <si>
    <t xml:space="preserve">AMD-001400</t>
  </si>
  <si>
    <t xml:space="preserve">WL-03511</t>
  </si>
  <si>
    <t xml:space="preserve">Kristen Turner</t>
  </si>
  <si>
    <t xml:space="preserve">Foldview Marine Services haul-out sheet 2023-01-03</t>
  </si>
  <si>
    <t xml:space="preserve">amendment_log_2022_2026.csv row 1401</t>
  </si>
  <si>
    <t xml:space="preserve">AMD-001403</t>
  </si>
  <si>
    <t xml:space="preserve">WL-02150</t>
  </si>
  <si>
    <t xml:space="preserve">Jared Gomez / Gomez Charters Inc</t>
  </si>
  <si>
    <t xml:space="preserve">MC-2024-0438</t>
  </si>
  <si>
    <t xml:space="preserve">amendment_log_2022_2026.csv row 1404</t>
  </si>
  <si>
    <t xml:space="preserve">AMD-001406</t>
  </si>
  <si>
    <t xml:space="preserve">WL-03583</t>
  </si>
  <si>
    <t xml:space="preserve">Walter Martin</t>
  </si>
  <si>
    <t xml:space="preserve">MC-2024-0227</t>
  </si>
  <si>
    <t xml:space="preserve">amendment_log_2022_2026.csv row 1407</t>
  </si>
  <si>
    <t xml:space="preserve">AMD-001408</t>
  </si>
  <si>
    <t xml:space="preserve">WL-02001</t>
  </si>
  <si>
    <t xml:space="preserve">Ashley Richard / Richard Charters Inc</t>
  </si>
  <si>
    <t xml:space="preserve">MC-2024-0801</t>
  </si>
  <si>
    <t xml:space="preserve">amendment_log_2022_2026.csv row 1409</t>
  </si>
  <si>
    <t xml:space="preserve">AMD-001409</t>
  </si>
  <si>
    <t xml:space="preserve">WL-02133</t>
  </si>
  <si>
    <t xml:space="preserve">Michael Moses</t>
  </si>
  <si>
    <t xml:space="preserve">MC-2024-0696</t>
  </si>
  <si>
    <t xml:space="preserve">amendment_log_2022_2026.csv row 1410</t>
  </si>
  <si>
    <t xml:space="preserve">AMD-001411</t>
  </si>
  <si>
    <t xml:space="preserve">WL-02026</t>
  </si>
  <si>
    <t xml:space="preserve">Miranda Foster / Foster Charters Inc</t>
  </si>
  <si>
    <t xml:space="preserve">Foldview Marine Services haul-out sheet 2022-10-14</t>
  </si>
  <si>
    <t xml:space="preserve">amendment_log_2022_2026.csv row 1412</t>
  </si>
  <si>
    <t xml:space="preserve">AMD-001414</t>
  </si>
  <si>
    <t xml:space="preserve">WL-03890</t>
  </si>
  <si>
    <t xml:space="preserve">Steven Alvarado / Alvarado Marine LLC</t>
  </si>
  <si>
    <t xml:space="preserve">MC-2024-0118</t>
  </si>
  <si>
    <t xml:space="preserve">amendment_log_2022_2026.csv row 1415</t>
  </si>
  <si>
    <t xml:space="preserve">AMD-001427</t>
  </si>
  <si>
    <t xml:space="preserve">WL-03470</t>
  </si>
  <si>
    <t xml:space="preserve">Nathan Huffman</t>
  </si>
  <si>
    <t xml:space="preserve">MC-2024-0864</t>
  </si>
  <si>
    <t xml:space="preserve">amendment_log_2022_2026.csv row 1428</t>
  </si>
  <si>
    <t xml:space="preserve">AMD-001430</t>
  </si>
  <si>
    <t xml:space="preserve">WL-03335</t>
  </si>
  <si>
    <t xml:space="preserve">Adrian Johnson / Johnson Ventures LLC</t>
  </si>
  <si>
    <t xml:space="preserve">MC-2024-0969</t>
  </si>
  <si>
    <t xml:space="preserve">amendment_log_2022_2026.csv row 1431</t>
  </si>
  <si>
    <t xml:space="preserve">AMD-001444</t>
  </si>
  <si>
    <t xml:space="preserve">WL-02327</t>
  </si>
  <si>
    <t xml:space="preserve">Sarah Hogan</t>
  </si>
  <si>
    <t xml:space="preserve">MC-2025-0967</t>
  </si>
  <si>
    <t xml:space="preserve">amendment_log_2022_2026.csv row 1445</t>
  </si>
  <si>
    <t xml:space="preserve">AMD-001449</t>
  </si>
  <si>
    <t xml:space="preserve">WL-01855</t>
  </si>
  <si>
    <t xml:space="preserve">Maria Wright / Wright Holdings LLC</t>
  </si>
  <si>
    <t xml:space="preserve">MC-2025-0216</t>
  </si>
  <si>
    <t xml:space="preserve">amendment_log_2022_2026.csv row 1450</t>
  </si>
  <si>
    <t xml:space="preserve">AMD-001453</t>
  </si>
  <si>
    <t xml:space="preserve">WL-03650</t>
  </si>
  <si>
    <t xml:space="preserve">Sean Roth</t>
  </si>
  <si>
    <t xml:space="preserve">No downstream offer, billing, or assignment event found. Current August register value differs. August 2026 register LOA: 50.8 ft.</t>
  </si>
  <si>
    <t xml:space="preserve">amendment_log_2022_2026.csv row 1454</t>
  </si>
  <si>
    <t xml:space="preserve">AMD-001460</t>
  </si>
  <si>
    <t xml:space="preserve">WL-02180</t>
  </si>
  <si>
    <t xml:space="preserve">Michele Jones</t>
  </si>
  <si>
    <t xml:space="preserve">MC-2025-0415</t>
  </si>
  <si>
    <t xml:space="preserve">amendment_log_2022_2026.csv row 1461</t>
  </si>
  <si>
    <t xml:space="preserve">AMD-001468</t>
  </si>
  <si>
    <t xml:space="preserve">WL-02459</t>
  </si>
  <si>
    <t xml:space="preserve">Kimberly Smith</t>
  </si>
  <si>
    <t xml:space="preserve">Foldview Marine Services haul-out sheet 2022-12-04</t>
  </si>
  <si>
    <t xml:space="preserve">amendment_log_2022_2026.csv row 1469</t>
  </si>
  <si>
    <t xml:space="preserve">AMD-001481</t>
  </si>
  <si>
    <t xml:space="preserve">WL-02143</t>
  </si>
  <si>
    <t xml:space="preserve">Lisa Wright</t>
  </si>
  <si>
    <t xml:space="preserve">Foldview Marine Services haul-out sheet 2024-10-22</t>
  </si>
  <si>
    <t xml:space="preserve">amendment_log_2022_2026.csv row 1482</t>
  </si>
  <si>
    <t xml:space="preserve">AMD-001519</t>
  </si>
  <si>
    <t xml:space="preserve">WL-02035</t>
  </si>
  <si>
    <t xml:space="preserve">Deborah Howe</t>
  </si>
  <si>
    <t xml:space="preserve">MC-2025-0618</t>
  </si>
  <si>
    <t xml:space="preserve">amendment_log_2022_2026.csv row 1520</t>
  </si>
  <si>
    <t xml:space="preserve">AMD-001525</t>
  </si>
  <si>
    <t xml:space="preserve">WL-01612</t>
  </si>
  <si>
    <t xml:space="preserve">Donald Hernandez</t>
  </si>
  <si>
    <t xml:space="preserve">MC-2025-0220</t>
  </si>
  <si>
    <t xml:space="preserve">amendment_log_2022_2026.csv row 1526</t>
  </si>
  <si>
    <t xml:space="preserve">AMD-001535</t>
  </si>
  <si>
    <t xml:space="preserve">WL-02431</t>
  </si>
  <si>
    <t xml:space="preserve">Laura Montoya / Montoya Ventures LLC</t>
  </si>
  <si>
    <t xml:space="preserve">Foldview Marine Services haul-out sheet 2025-01-27</t>
  </si>
  <si>
    <t xml:space="preserve">amendment_log_2022_2026.csv row 1536</t>
  </si>
  <si>
    <t xml:space="preserve">AMD-001545</t>
  </si>
  <si>
    <t xml:space="preserve">MC-2025-0576</t>
  </si>
  <si>
    <t xml:space="preserve">amendment_log_2022_2026.csv row 1546</t>
  </si>
  <si>
    <t xml:space="preserve">AMD-001557</t>
  </si>
  <si>
    <t xml:space="preserve">WL-01173</t>
  </si>
  <si>
    <t xml:space="preserve">Jason Boyer / Boyer Marine LLC</t>
  </si>
  <si>
    <t xml:space="preserve">MC-2025-0745</t>
  </si>
  <si>
    <t xml:space="preserve">amendment_log_2022_2026.csv row 1558</t>
  </si>
  <si>
    <t xml:space="preserve">AMD-001563</t>
  </si>
  <si>
    <t xml:space="preserve">WL-01350</t>
  </si>
  <si>
    <t xml:space="preserve">John George / George Charters Inc</t>
  </si>
  <si>
    <t xml:space="preserve">MC-2025-0538</t>
  </si>
  <si>
    <t xml:space="preserve">amendment_log_2022_2026.csv row 1564</t>
  </si>
  <si>
    <t xml:space="preserve">AMD-001565</t>
  </si>
  <si>
    <t xml:space="preserve">WL-01349</t>
  </si>
  <si>
    <t xml:space="preserve">Justin Johnson / Johnson Marine LLC</t>
  </si>
  <si>
    <t xml:space="preserve">MC-2025-0226</t>
  </si>
  <si>
    <t xml:space="preserve">amendment_log_2022_2026.csv row 1566</t>
  </si>
  <si>
    <t xml:space="preserve">AMD-001568</t>
  </si>
  <si>
    <t xml:space="preserve">MC-2025-0526</t>
  </si>
  <si>
    <t xml:space="preserve">amendment_log_2022_2026.csv row 1569</t>
  </si>
  <si>
    <t xml:space="preserve">AMD-001570</t>
  </si>
  <si>
    <t xml:space="preserve">WL-02799</t>
  </si>
  <si>
    <t xml:space="preserve">Amber Turner</t>
  </si>
  <si>
    <t xml:space="preserve">MC-2025-0900</t>
  </si>
  <si>
    <t xml:space="preserve">amendment_log_2022_2026.csv row 1571</t>
  </si>
  <si>
    <t xml:space="preserve">AMD-001577</t>
  </si>
  <si>
    <t xml:space="preserve">WL-03646</t>
  </si>
  <si>
    <t xml:space="preserve">James Grimes</t>
  </si>
  <si>
    <t xml:space="preserve">MC-2025-0799</t>
  </si>
  <si>
    <t xml:space="preserve">amendment_log_2022_2026.csv row 1578</t>
  </si>
  <si>
    <t xml:space="preserve">AMD-001591</t>
  </si>
  <si>
    <t xml:space="preserve">WL-02821</t>
  </si>
  <si>
    <t xml:space="preserve">Benjamin Smith / Smith Ventures LLC</t>
  </si>
  <si>
    <t xml:space="preserve">Foldview Marine Services haul-out sheet 2023-09-02</t>
  </si>
  <si>
    <t xml:space="preserve">amendment_log_2022_2026.csv row 1592</t>
  </si>
  <si>
    <t xml:space="preserve">AMD-001597</t>
  </si>
  <si>
    <t xml:space="preserve">WL-03413</t>
  </si>
  <si>
    <t xml:space="preserve">Timothy Moran</t>
  </si>
  <si>
    <t xml:space="preserve">MC-2025-0314</t>
  </si>
  <si>
    <t xml:space="preserve">amendment_log_2022_2026.csv row 1598</t>
  </si>
  <si>
    <t xml:space="preserve">AMD-001598</t>
  </si>
  <si>
    <t xml:space="preserve">WL-03035</t>
  </si>
  <si>
    <t xml:space="preserve">Robert Osborn</t>
  </si>
  <si>
    <t xml:space="preserve">MC-2025-0956</t>
  </si>
  <si>
    <t xml:space="preserve">amendment_log_2022_2026.csv row 1599</t>
  </si>
  <si>
    <t xml:space="preserve">AMD-001604</t>
  </si>
  <si>
    <t xml:space="preserve">WL-03135</t>
  </si>
  <si>
    <t xml:space="preserve">Mallory Rodgers</t>
  </si>
  <si>
    <t xml:space="preserve">MC-2025-0228</t>
  </si>
  <si>
    <t xml:space="preserve">amendment_log_2022_2026.csv row 1605</t>
  </si>
  <si>
    <t xml:space="preserve">AMD-001606</t>
  </si>
  <si>
    <t xml:space="preserve">WL-02090</t>
  </si>
  <si>
    <t xml:space="preserve">Rita Lyons</t>
  </si>
  <si>
    <t xml:space="preserve">MC-2025-0913</t>
  </si>
  <si>
    <t xml:space="preserve">amendment_log_2022_2026.csv row 1607</t>
  </si>
  <si>
    <t xml:space="preserve">AMD-001608</t>
  </si>
  <si>
    <t xml:space="preserve">WL-02816</t>
  </si>
  <si>
    <t xml:space="preserve">Joel Chang / Chang Holdings LLC</t>
  </si>
  <si>
    <t xml:space="preserve">Foldview Marine Services haul-out sheet 2024-03-15</t>
  </si>
  <si>
    <t xml:space="preserve">amendment_log_2022_2026.csv row 1609</t>
  </si>
  <si>
    <t xml:space="preserve">AMD-001620</t>
  </si>
  <si>
    <t xml:space="preserve">MC-2025-0852</t>
  </si>
  <si>
    <t xml:space="preserve">amendment_log_2022_2026.csv row 1621</t>
  </si>
  <si>
    <t xml:space="preserve">AMD-001635</t>
  </si>
  <si>
    <t xml:space="preserve">WL-03261</t>
  </si>
  <si>
    <t xml:space="preserve">Eric Wright / Wright Ventures LLC</t>
  </si>
  <si>
    <t xml:space="preserve">MC-2025-0420</t>
  </si>
  <si>
    <t xml:space="preserve">amendment_log_2022_2026.csv row 1636</t>
  </si>
  <si>
    <t xml:space="preserve">AMD-001646</t>
  </si>
  <si>
    <t xml:space="preserve">WL-01993</t>
  </si>
  <si>
    <t xml:space="preserve">Nichole Hudson</t>
  </si>
  <si>
    <t xml:space="preserve">Foldview Marine Services haul-out sheet 2023-08-13</t>
  </si>
  <si>
    <t xml:space="preserve">amendment_log_2022_2026.csv row 1647</t>
  </si>
  <si>
    <t xml:space="preserve">AMD-001647</t>
  </si>
  <si>
    <t xml:space="preserve">WL-02083</t>
  </si>
  <si>
    <t xml:space="preserve">Brandon Choi / Choi Charters Inc</t>
  </si>
  <si>
    <t xml:space="preserve">MC-2025-0442</t>
  </si>
  <si>
    <t xml:space="preserve">amendment_log_2022_2026.csv row 1648</t>
  </si>
  <si>
    <t xml:space="preserve">AMD-001655</t>
  </si>
  <si>
    <t xml:space="preserve">WL-03503</t>
  </si>
  <si>
    <t xml:space="preserve">Shelly Elliott</t>
  </si>
  <si>
    <t xml:space="preserve">MC-2025-0353</t>
  </si>
  <si>
    <t xml:space="preserve">amendment_log_2022_2026.csv row 1656</t>
  </si>
  <si>
    <t xml:space="preserve">AMD-001659</t>
  </si>
  <si>
    <t xml:space="preserve">WL-01977</t>
  </si>
  <si>
    <t xml:space="preserve">Adam Warner / Warner Ventures LLC</t>
  </si>
  <si>
    <t xml:space="preserve">MC-2025-0974</t>
  </si>
  <si>
    <t xml:space="preserve">amendment_log_2022_2026.csv row 1660</t>
  </si>
  <si>
    <t xml:space="preserve">AMD-001681</t>
  </si>
  <si>
    <t xml:space="preserve">WL-01556</t>
  </si>
  <si>
    <t xml:space="preserve">Christopher Russell</t>
  </si>
  <si>
    <t xml:space="preserve">Foldview Marine Services haul-out sheet 2023-09-08</t>
  </si>
  <si>
    <t xml:space="preserve">amendment_log_2022_2026.csv row 1682</t>
  </si>
  <si>
    <t xml:space="preserve">AMD-001691</t>
  </si>
  <si>
    <t xml:space="preserve">WL-02109</t>
  </si>
  <si>
    <t xml:space="preserve">Leah Flynn / Flynn Holdings LLC</t>
  </si>
  <si>
    <t xml:space="preserve">MC-2025-0282</t>
  </si>
  <si>
    <t xml:space="preserve">amendment_log_2022_2026.csv row 1692</t>
  </si>
  <si>
    <t xml:space="preserve">AMD-001695</t>
  </si>
  <si>
    <t xml:space="preserve">WL-02213</t>
  </si>
  <si>
    <t xml:space="preserve">Thomas Miller</t>
  </si>
  <si>
    <t xml:space="preserve">MC-2025-0835</t>
  </si>
  <si>
    <t xml:space="preserve">amendment_log_2022_2026.csv row 1696</t>
  </si>
  <si>
    <t xml:space="preserve">AMD-001700</t>
  </si>
  <si>
    <t xml:space="preserve">WL-01474</t>
  </si>
  <si>
    <t xml:space="preserve">Alexis Barker</t>
  </si>
  <si>
    <t xml:space="preserve">Foldview Marine Services haul-out sheet 2022-08-04</t>
  </si>
  <si>
    <t xml:space="preserve">amendment_log_2022_2026.csv row 1701</t>
  </si>
  <si>
    <t xml:space="preserve">AMD-001702</t>
  </si>
  <si>
    <t xml:space="preserve">Foldview Marine Services haul-out measurement sheet 2025-06-29</t>
  </si>
  <si>
    <t xml:space="preserve">amendment_log_2022_2026.csv row 1703</t>
  </si>
  <si>
    <t xml:space="preserve">AMD-001705</t>
  </si>
  <si>
    <t xml:space="preserve">WL-03031</t>
  </si>
  <si>
    <t xml:space="preserve">Kevin House / House Marine LLC</t>
  </si>
  <si>
    <t xml:space="preserve">MC-2025-0532</t>
  </si>
  <si>
    <t xml:space="preserve">amendment_log_2022_2026.csv row 1706</t>
  </si>
  <si>
    <t xml:space="preserve">AMD-001727</t>
  </si>
  <si>
    <t xml:space="preserve">WL-02506</t>
  </si>
  <si>
    <t xml:space="preserve">Maria Fernandez / Fernandez Charters Inc</t>
  </si>
  <si>
    <t xml:space="preserve">MC-2025-0701</t>
  </si>
  <si>
    <t xml:space="preserve">amendment_log_2022_2026.csv row 1728</t>
  </si>
  <si>
    <t xml:space="preserve">AMD-001749</t>
  </si>
  <si>
    <t xml:space="preserve">WL-01867</t>
  </si>
  <si>
    <t xml:space="preserve">Andrea Evans / Evans Marine LLC</t>
  </si>
  <si>
    <t xml:space="preserve">MC-2025-0894</t>
  </si>
  <si>
    <t xml:space="preserve">amendment_log_2022_2026.csv row 1750</t>
  </si>
  <si>
    <t xml:space="preserve">AMD-001778</t>
  </si>
  <si>
    <t xml:space="preserve">WL-02031</t>
  </si>
  <si>
    <t xml:space="preserve">Joseph Bishop</t>
  </si>
  <si>
    <t xml:space="preserve">Foldview Marine Services haul-out sheet 2024-11-05</t>
  </si>
  <si>
    <t xml:space="preserve">amendment_log_2022_2026.csv row 1779</t>
  </si>
  <si>
    <t xml:space="preserve">AMD-001779</t>
  </si>
  <si>
    <t xml:space="preserve">WL-01603</t>
  </si>
  <si>
    <t xml:space="preserve">Lauren Smith</t>
  </si>
  <si>
    <t xml:space="preserve">Foldview Marine Services haul-out sheet 2024-03-27</t>
  </si>
  <si>
    <t xml:space="preserve">amendment_log_2022_2026.csv row 1780</t>
  </si>
  <si>
    <t xml:space="preserve">AMD-001799</t>
  </si>
  <si>
    <t xml:space="preserve">WL-03292</t>
  </si>
  <si>
    <t xml:space="preserve">Vincent Hanson</t>
  </si>
  <si>
    <t xml:space="preserve">Foldview Marine Services haul-out sheet 2023-09-15</t>
  </si>
  <si>
    <t xml:space="preserve">amendment_log_2022_2026.csv row 1800</t>
  </si>
  <si>
    <t xml:space="preserve">AMD-001803</t>
  </si>
  <si>
    <t xml:space="preserve">WL-01275</t>
  </si>
  <si>
    <t xml:space="preserve">Adam Shepherd / Shepherd Marine LLC</t>
  </si>
  <si>
    <t xml:space="preserve">MC-2025-0384</t>
  </si>
  <si>
    <t xml:space="preserve">amendment_log_2022_2026.csv row 1804</t>
  </si>
  <si>
    <t xml:space="preserve">AMD-001820</t>
  </si>
  <si>
    <t xml:space="preserve">WL-01357</t>
  </si>
  <si>
    <t xml:space="preserve">Cody Rose</t>
  </si>
  <si>
    <t xml:space="preserve">Foldview Marine Services haul-out sheet 2025-06-20</t>
  </si>
  <si>
    <t xml:space="preserve">amendment_log_2022_2026.csv row 1821</t>
  </si>
  <si>
    <t xml:space="preserve">AMD-001821</t>
  </si>
  <si>
    <t xml:space="preserve">WL-01113</t>
  </si>
  <si>
    <t xml:space="preserve">Ronnie Lee / Lee Charters Inc</t>
  </si>
  <si>
    <t xml:space="preserve">MC-2025-0245</t>
  </si>
  <si>
    <t xml:space="preserve">amendment_log_2022_2026.csv row 1822</t>
  </si>
  <si>
    <t xml:space="preserve">AMD-001826</t>
  </si>
  <si>
    <t xml:space="preserve">WL-01845</t>
  </si>
  <si>
    <t xml:space="preserve">Brianna Bush / Bush Holdings LLC</t>
  </si>
  <si>
    <t xml:space="preserve">No downstream offer, billing, or assignment event found. Current August register value differs. August 2026 register LOA: 31.5 ft.</t>
  </si>
  <si>
    <t xml:space="preserve">amendment_log_2022_2026.csv row 1827</t>
  </si>
  <si>
    <t xml:space="preserve">AMD-001830</t>
  </si>
  <si>
    <t xml:space="preserve">WL-01423</t>
  </si>
  <si>
    <t xml:space="preserve">Emma Mayo / Mayo Holdings LLC</t>
  </si>
  <si>
    <t xml:space="preserve">Foldview Marine Services haul-out sheet 2024-08-24</t>
  </si>
  <si>
    <t xml:space="preserve">amendment_log_2022_2026.csv row 1831</t>
  </si>
  <si>
    <t xml:space="preserve">AMD-001832</t>
  </si>
  <si>
    <t xml:space="preserve">WL-03048</t>
  </si>
  <si>
    <t xml:space="preserve">Brian Campbell / Campbell Ventures LLC</t>
  </si>
  <si>
    <t xml:space="preserve">Foldview Marine Services haul-out sheet 2023-05-25</t>
  </si>
  <si>
    <t xml:space="preserve">amendment_log_2022_2026.csv row 1833</t>
  </si>
  <si>
    <t xml:space="preserve">AMD-001833</t>
  </si>
  <si>
    <t xml:space="preserve">MC-2025-0906</t>
  </si>
  <si>
    <t xml:space="preserve">amendment_log_2022_2026.csv row 1834</t>
  </si>
  <si>
    <t xml:space="preserve">AMD-001834</t>
  </si>
  <si>
    <t xml:space="preserve">WL-03679</t>
  </si>
  <si>
    <t xml:space="preserve">Tracy Page</t>
  </si>
  <si>
    <t xml:space="preserve">MC-2025-0464</t>
  </si>
  <si>
    <t xml:space="preserve">amendment_log_2022_2026.csv row 1835</t>
  </si>
  <si>
    <t xml:space="preserve">AMD-001837</t>
  </si>
  <si>
    <t xml:space="preserve">WL-01057</t>
  </si>
  <si>
    <t xml:space="preserve">Eric Ross / Ross Ventures LLC</t>
  </si>
  <si>
    <t xml:space="preserve">Foldview Marine Services haul-out sheet 2024-03-18</t>
  </si>
  <si>
    <t xml:space="preserve">amendment_log_2022_2026.csv row 1838</t>
  </si>
  <si>
    <t xml:space="preserve">AMD-001852</t>
  </si>
  <si>
    <t xml:space="preserve">WL-01995</t>
  </si>
  <si>
    <t xml:space="preserve">Tiffany Russell</t>
  </si>
  <si>
    <t xml:space="preserve">Foldview Marine Services haul-out sheet 2022-12-09</t>
  </si>
  <si>
    <t xml:space="preserve">amendment_log_2022_2026.csv row 1853</t>
  </si>
  <si>
    <t xml:space="preserve">AMD-001859</t>
  </si>
  <si>
    <t xml:space="preserve">WL-02085</t>
  </si>
  <si>
    <t xml:space="preserve">Sherry Jacobs</t>
  </si>
  <si>
    <t xml:space="preserve">OFR-2026-1292 accepted a 24-ft open slip on 2026-02-10 although old, amended, and current recorded lengths all exceed 24 ft; records are irreconcilable. August 2026 register LOA: 31.5 ft.</t>
  </si>
  <si>
    <t xml:space="preserve">amendment_log_2022_2026.csv row 1860</t>
  </si>
  <si>
    <t xml:space="preserve">AMD-001861</t>
  </si>
  <si>
    <t xml:space="preserve">WL-02978</t>
  </si>
  <si>
    <t xml:space="preserve">Arthur Schmitt / Schmitt Holdings LLC</t>
  </si>
  <si>
    <t xml:space="preserve">MC-2025-0439</t>
  </si>
  <si>
    <t xml:space="preserve">amendment_log_2022_2026.csv row 1862</t>
  </si>
  <si>
    <t xml:space="preserve">AMD-001866</t>
  </si>
  <si>
    <t xml:space="preserve">WL-03887</t>
  </si>
  <si>
    <t xml:space="preserve">Brianna Goodwin</t>
  </si>
  <si>
    <t xml:space="preserve">MC-2025-0186</t>
  </si>
  <si>
    <t xml:space="preserve">amendment_log_2022_2026.csv row 1867</t>
  </si>
  <si>
    <t xml:space="preserve">AMD-001883</t>
  </si>
  <si>
    <t xml:space="preserve">WL-01947</t>
  </si>
  <si>
    <t xml:space="preserve">Teresa Mcdowell</t>
  </si>
  <si>
    <t xml:space="preserve">MC-2025-0337</t>
  </si>
  <si>
    <t xml:space="preserve">amendment_log_2022_2026.csv row 1884</t>
  </si>
  <si>
    <t xml:space="preserve">AMD-001884</t>
  </si>
  <si>
    <t xml:space="preserve">WL-02955</t>
  </si>
  <si>
    <t xml:space="preserve">Jessica Phillips</t>
  </si>
  <si>
    <t xml:space="preserve">Foldview Marine Services haul-out sheet 2025-06-28</t>
  </si>
  <si>
    <t xml:space="preserve">amendment_log_2022_2026.csv row 1885</t>
  </si>
  <si>
    <t xml:space="preserve">AMD-001889</t>
  </si>
  <si>
    <t xml:space="preserve">MC-2025-0562</t>
  </si>
  <si>
    <t xml:space="preserve">amendment_log_2022_2026.csv row 1890</t>
  </si>
  <si>
    <t xml:space="preserve">AMD-001891</t>
  </si>
  <si>
    <t xml:space="preserve">WL-01077</t>
  </si>
  <si>
    <t xml:space="preserve">Stephanie Hess</t>
  </si>
  <si>
    <t xml:space="preserve">Foldview Marine Services haul-out sheet 2024-07-18</t>
  </si>
  <si>
    <t xml:space="preserve">amendment_log_2022_2026.csv row 1892</t>
  </si>
  <si>
    <t xml:space="preserve">AMD-001899</t>
  </si>
  <si>
    <t xml:space="preserve">WL-01534</t>
  </si>
  <si>
    <t xml:space="preserve">Jose Mueller / Mueller Ventures LLC</t>
  </si>
  <si>
    <t xml:space="preserve">Foldview Marine Services haul-out sheet 2024-08-20</t>
  </si>
  <si>
    <t xml:space="preserve">amendment_log_2022_2026.csv row 1900</t>
  </si>
  <si>
    <t xml:space="preserve">AMD-001929</t>
  </si>
  <si>
    <t xml:space="preserve">Foldview Marine Services haul-out sheet 2025-09-25</t>
  </si>
  <si>
    <t xml:space="preserve">amendment_log_2022_2026.csv row 1930</t>
  </si>
  <si>
    <t xml:space="preserve">AMD-001950</t>
  </si>
  <si>
    <t xml:space="preserve">WL-01569</t>
  </si>
  <si>
    <t xml:space="preserve">Sherri Smith</t>
  </si>
  <si>
    <t xml:space="preserve">MC-2025-0994</t>
  </si>
  <si>
    <t xml:space="preserve">amendment_log_2022_2026.csv row 1951</t>
  </si>
  <si>
    <t xml:space="preserve">AMD-001956</t>
  </si>
  <si>
    <t xml:space="preserve">WL-01484</t>
  </si>
  <si>
    <t xml:space="preserve">Patricia Mann / Mann Marine LLC</t>
  </si>
  <si>
    <t xml:space="preserve">No downstream offer, billing, or assignment event found. Current August register value differs. August 2026 register LOA: 53.1 ft.</t>
  </si>
  <si>
    <t xml:space="preserve">amendment_log_2022_2026.csv row 1957</t>
  </si>
  <si>
    <t xml:space="preserve">AMD-001957</t>
  </si>
  <si>
    <t xml:space="preserve">WL-03475</t>
  </si>
  <si>
    <t xml:space="preserve">Jennifer Ross / Ross Charters Inc</t>
  </si>
  <si>
    <t xml:space="preserve">MC-2026-0974</t>
  </si>
  <si>
    <t xml:space="preserve">amendment_log_2022_2026.csv row 1958</t>
  </si>
  <si>
    <t xml:space="preserve">AMD-001978</t>
  </si>
  <si>
    <t xml:space="preserve">WL-03468</t>
  </si>
  <si>
    <t xml:space="preserve">Robert Peterson</t>
  </si>
  <si>
    <t xml:space="preserve">No downstream offer, billing, or assignment event found. Current August register value differs. August 2026 register LOA: 35.4 ft.</t>
  </si>
  <si>
    <t xml:space="preserve">amendment_log_2022_2026.csv row 1979</t>
  </si>
  <si>
    <t xml:space="preserve">AMD-001980</t>
  </si>
  <si>
    <t xml:space="preserve">WL-02245</t>
  </si>
  <si>
    <t xml:space="preserve">Angela Tran</t>
  </si>
  <si>
    <t xml:space="preserve">amendment_log_2022_2026.csv row 1981</t>
  </si>
  <si>
    <t xml:space="preserve">AMD-001982</t>
  </si>
  <si>
    <t xml:space="preserve">WL-03045</t>
  </si>
  <si>
    <t xml:space="preserve">Karen Davis</t>
  </si>
  <si>
    <t xml:space="preserve">Inventory shows an older occupancy only; no post-amendment offer or billing event establishes use. August 2026 register LOA: 51.6 ft.</t>
  </si>
  <si>
    <t xml:space="preserve">amendment_log_2022_2026.csv row 1983</t>
  </si>
  <si>
    <t xml:space="preserve">AMD-001983</t>
  </si>
  <si>
    <t xml:space="preserve">WL-03716</t>
  </si>
  <si>
    <t xml:space="preserve">Sharon Tyler / Tyler Charters Inc</t>
  </si>
  <si>
    <t xml:space="preserve">Foldview Marine Services haul-out sheet 2024-06-24</t>
  </si>
  <si>
    <t xml:space="preserve">amendment_log_2022_2026.csv row 1984</t>
  </si>
  <si>
    <t xml:space="preserve">AMD-001999</t>
  </si>
  <si>
    <t xml:space="preserve">WL-02586</t>
  </si>
  <si>
    <t xml:space="preserve">Shelby Stanton</t>
  </si>
  <si>
    <t xml:space="preserve">MC-2026-0870</t>
  </si>
  <si>
    <t xml:space="preserve">amendment_log_2022_2026.csv row 2000</t>
  </si>
  <si>
    <t xml:space="preserve">AMD-002000</t>
  </si>
  <si>
    <t xml:space="preserve">WL-02699</t>
  </si>
  <si>
    <t xml:space="preserve">Sharon Gonzales</t>
  </si>
  <si>
    <t xml:space="preserve">Foldview Marine Services haul-out sheet 2024-07-08</t>
  </si>
  <si>
    <t xml:space="preserve">amendment_log_2022_2026.csv row 2001</t>
  </si>
  <si>
    <t xml:space="preserve">AMD-002013</t>
  </si>
  <si>
    <t xml:space="preserve">WL-03474</t>
  </si>
  <si>
    <t xml:space="preserve">Christopher Flores</t>
  </si>
  <si>
    <t xml:space="preserve">Foldview Marine Services haul-out sheet 2025-05-12</t>
  </si>
  <si>
    <t xml:space="preserve">amendment_log_2022_2026.csv row 2014</t>
  </si>
  <si>
    <t xml:space="preserve">AMD-002017</t>
  </si>
  <si>
    <t xml:space="preserve">WL-02175</t>
  </si>
  <si>
    <t xml:space="preserve">Eric Hill</t>
  </si>
  <si>
    <t xml:space="preserve">MC-2026-0113</t>
  </si>
  <si>
    <t xml:space="preserve">amendment_log_2022_2026.csv row 2018</t>
  </si>
  <si>
    <t xml:space="preserve">AMD-002028</t>
  </si>
  <si>
    <t xml:space="preserve">WL-01114</t>
  </si>
  <si>
    <t xml:space="preserve">Dustin Lambert / Lambert Holdings LLC</t>
  </si>
  <si>
    <t xml:space="preserve">Foldview Marine Services haul-out sheet 2023-09-01</t>
  </si>
  <si>
    <t xml:space="preserve">amendment_log_2022_2026.csv row 2029</t>
  </si>
  <si>
    <t xml:space="preserve">AMD-002045</t>
  </si>
  <si>
    <t xml:space="preserve">WL-03265</t>
  </si>
  <si>
    <t xml:space="preserve">Melvin Espinoza</t>
  </si>
  <si>
    <t xml:space="preserve">MC-2026-0475</t>
  </si>
  <si>
    <t xml:space="preserve">amendment_log_2022_2026.csv row 2046</t>
  </si>
  <si>
    <t xml:space="preserve">AMD-002077</t>
  </si>
  <si>
    <t xml:space="preserve">WL-01342</t>
  </si>
  <si>
    <t xml:space="preserve">Lee Maldonado / Maldonado Holdings LLC</t>
  </si>
  <si>
    <t xml:space="preserve">MC-2026-0495</t>
  </si>
  <si>
    <t xml:space="preserve">amendment_log_2022_2026.csv row 2078</t>
  </si>
  <si>
    <t xml:space="preserve">AMD-002078</t>
  </si>
  <si>
    <t xml:space="preserve">WL-03368</t>
  </si>
  <si>
    <t xml:space="preserve">Daniel Bowen / Bowen Ventures LLC</t>
  </si>
  <si>
    <t xml:space="preserve">MC-2026-0328</t>
  </si>
  <si>
    <t xml:space="preserve">amendment_log_2022_2026.csv row 2079</t>
  </si>
  <si>
    <t xml:space="preserve">AMD-002104</t>
  </si>
  <si>
    <t xml:space="preserve">WL-01601</t>
  </si>
  <si>
    <t xml:space="preserve">Keith Smith / Smith Holdings LLC</t>
  </si>
  <si>
    <t xml:space="preserve">No downstream offer, billing, or assignment event found through 2026-07-31. Current August register value differs. August 2026 register LOA: 34.2 ft.</t>
  </si>
  <si>
    <t xml:space="preserve">amendment_log_2022_2026.csv row 2105</t>
  </si>
  <si>
    <t xml:space="preserve">AMD-002114</t>
  </si>
  <si>
    <t xml:space="preserve">WL-03764</t>
  </si>
  <si>
    <t xml:space="preserve">Kim Allen</t>
  </si>
  <si>
    <t xml:space="preserve">MC-2026-0148</t>
  </si>
  <si>
    <t xml:space="preserve">amendment_log_2022_2026.csv row 2115</t>
  </si>
  <si>
    <t xml:space="preserve">AMD-002125</t>
  </si>
  <si>
    <t xml:space="preserve">MC-2026-0247</t>
  </si>
  <si>
    <t xml:space="preserve">amendment_log_2022_2026.csv row 2126</t>
  </si>
  <si>
    <t xml:space="preserve">AMD-002138</t>
  </si>
  <si>
    <t xml:space="preserve">WL-02868</t>
  </si>
  <si>
    <t xml:space="preserve">Michael Lopez</t>
  </si>
  <si>
    <t xml:space="preserve">MC-2026-0814</t>
  </si>
  <si>
    <t xml:space="preserve">amendment_log_2022_2026.csv row 2139</t>
  </si>
  <si>
    <t xml:space="preserve">AMD-002143</t>
  </si>
  <si>
    <t xml:space="preserve">WL-02332</t>
  </si>
  <si>
    <t xml:space="preserve">Karla Cross / Cross Holdings LLC</t>
  </si>
  <si>
    <t xml:space="preserve">MC-2026-0881</t>
  </si>
  <si>
    <t xml:space="preserve">amendment_log_2022_2026.csv row 2144</t>
  </si>
  <si>
    <t xml:space="preserve">AMD-002148</t>
  </si>
  <si>
    <t xml:space="preserve">WL-02874</t>
  </si>
  <si>
    <t xml:space="preserve">Michael Sherman</t>
  </si>
  <si>
    <t xml:space="preserve">MC-2026-0532</t>
  </si>
  <si>
    <t xml:space="preserve">amendment_log_2022_2026.csv row 2149</t>
  </si>
  <si>
    <t xml:space="preserve">AMD-002150</t>
  </si>
  <si>
    <t xml:space="preserve">WL-02829</t>
  </si>
  <si>
    <t xml:space="preserve">Jenna Lawrence</t>
  </si>
  <si>
    <t xml:space="preserve">amendment_log_2022_2026.csv row 2151</t>
  </si>
  <si>
    <t xml:space="preserve">AMD-002154</t>
  </si>
  <si>
    <t xml:space="preserve">WL-02807</t>
  </si>
  <si>
    <t xml:space="preserve">Julia Wells</t>
  </si>
  <si>
    <t xml:space="preserve">MC-2026-0272</t>
  </si>
  <si>
    <t xml:space="preserve">amendment_log_2022_2026.csv row 2155</t>
  </si>
  <si>
    <t xml:space="preserve">AMD-002169</t>
  </si>
  <si>
    <t xml:space="preserve">WL-03472</t>
  </si>
  <si>
    <t xml:space="preserve">Robert Shea</t>
  </si>
  <si>
    <t xml:space="preserve">MC-2026-0413</t>
  </si>
  <si>
    <t xml:space="preserve">amendment_log_2022_2026.csv row 2170</t>
  </si>
  <si>
    <t xml:space="preserve">AMD-002182</t>
  </si>
  <si>
    <t xml:space="preserve">WL-03878</t>
  </si>
  <si>
    <t xml:space="preserve">Michael Wagner</t>
  </si>
  <si>
    <t xml:space="preserve">MC-2026-0452</t>
  </si>
  <si>
    <t xml:space="preserve">amendment_log_2022_2026.csv row 2183</t>
  </si>
  <si>
    <t xml:space="preserve">AMD-002200</t>
  </si>
  <si>
    <t xml:space="preserve">WL-02118</t>
  </si>
  <si>
    <t xml:space="preserve">Matthew Meyer / Meyer Holdings LLC</t>
  </si>
  <si>
    <t xml:space="preserve">MC-2026-0646</t>
  </si>
  <si>
    <t xml:space="preserve">amendment_log_2022_2026.csv row 2201</t>
  </si>
  <si>
    <t xml:space="preserve">AMD-002203</t>
  </si>
  <si>
    <t xml:space="preserve">No downstream offer, billing, or assignment event found through 2026-07-31. Current August register value differs. August 2026 register LOA: 52.8 ft.</t>
  </si>
  <si>
    <t xml:space="preserve">amendment_log_2022_2026.csv row 2204</t>
  </si>
  <si>
    <t xml:space="preserve">AMD-002206</t>
  </si>
  <si>
    <t xml:space="preserve">WL-02573</t>
  </si>
  <si>
    <t xml:space="preserve">Jason Bell</t>
  </si>
  <si>
    <t xml:space="preserve">Foldview Marine Services haul-out sheet 2025-04-05</t>
  </si>
  <si>
    <t xml:space="preserve">amendment_log_2022_2026.csv row 2207</t>
  </si>
  <si>
    <t xml:space="preserve">AMD-002228</t>
  </si>
  <si>
    <t xml:space="preserve">Foldview Marine Services haul-out sheet 2025-01-04</t>
  </si>
  <si>
    <t xml:space="preserve">amendment_log_2022_2026.csv row 2229</t>
  </si>
  <si>
    <t xml:space="preserve">UNDATED LEAD</t>
  </si>
  <si>
    <t xml:space="preserve">WL-02319</t>
  </si>
  <si>
    <t xml:space="preserve">Elizabeth Pacheco</t>
  </si>
  <si>
    <t xml:space="preserve">Late skip support</t>
  </si>
  <si>
    <t xml:space="preserve">UNKNOWN</t>
  </si>
  <si>
    <t xml:space="preserve">Scoring note says support was dated three days after the slip was worked</t>
  </si>
  <si>
    <t xml:space="preserve">Same-day supporting record</t>
  </si>
  <si>
    <t xml:space="preserve">DATE AND FILE MISSING</t>
  </si>
  <si>
    <t xml:space="preserve">Not present in the offer or skip exports; work date and slip are unavailable, so it is excluded from the dated 309-skip population.</t>
  </si>
  <si>
    <t xml:space="preserve">2025-07-21_note_second_pass_disagreements.txt lines 27-29; 2025-08-04_note_precedent_appeal_2018-3.txt lines 17-19</t>
  </si>
  <si>
    <t xml:space="preserve">Standing Order 15-3 section 3.2; Appeal 2018-3 p.2 section IV-A</t>
  </si>
  <si>
    <t xml:space="preserve">WL-02712</t>
  </si>
  <si>
    <t xml:space="preserve">Sarah Garcia</t>
  </si>
  <si>
    <t xml:space="preserve">Invalid vessel-fit lead</t>
  </si>
  <si>
    <t xml:space="preserve">Scoring note says particulars showed 27.9 ft for a 28-ft slip</t>
  </si>
  <si>
    <t xml:space="preserve">Vessel particulars must establish non-fit</t>
  </si>
  <si>
    <t xml:space="preserve">Not present in the offer or skip exports; work date and slip ID are unavailable, so it is excluded from the dated population.</t>
  </si>
  <si>
    <t xml:space="preserve">2025-07-21_note_second_pass_disagreements.txt lines 18-20</t>
  </si>
  <si>
    <t xml:space="preserve">Tariff Resolution 2019-14 p.2 Schedule C; Appeal 2018-3 p.2</t>
  </si>
  <si>
    <t xml:space="preserve">Billing Reconciliations | Active Slip Population</t>
  </si>
  <si>
    <t xml:space="preserve">July 2026 base moorage against August 2026 occupied-slip inventory</t>
  </si>
  <si>
    <t xml:space="preserve">Formula: billable feet = MAX(slip size, ROUNDUP(recorded LOA,0)); expected base = billable feet x covered/open base rate. Positive variance means expected revenue exceeds the supplied billing export.</t>
  </si>
  <si>
    <t xml:space="preserve">All active LOAs match the August applicant register, but paper check-in measurement blocks were not supplied. August OCCUPIED status is assumed to apply at 2026-07-31; commercial status remains subject to signed-agreement review.</t>
  </si>
  <si>
    <t xml:space="preserve">Basin Type</t>
  </si>
  <si>
    <t xml:space="preserve">Tenant ID</t>
  </si>
  <si>
    <t xml:space="preserve">Holder</t>
  </si>
  <si>
    <t xml:space="preserve">Applicant Type</t>
  </si>
  <si>
    <t xml:space="preserve">Agreement ID</t>
  </si>
  <si>
    <t xml:space="preserve">Inventory LOA</t>
  </si>
  <si>
    <t xml:space="preserve">Register LOA</t>
  </si>
  <si>
    <t xml:space="preserve">LOA Variance</t>
  </si>
  <si>
    <t xml:space="preserve">Measurement Evidence</t>
  </si>
  <si>
    <t xml:space="preserve">Slip Size</t>
  </si>
  <si>
    <t xml:space="preserve">Rounded LOA</t>
  </si>
  <si>
    <t xml:space="preserve">Billable Feet</t>
  </si>
  <si>
    <t xml:space="preserve">Base Rate / Foot-Month</t>
  </si>
  <si>
    <t xml:space="preserve">Expected Base Moorage</t>
  </si>
  <si>
    <t xml:space="preserve">July Txn ID</t>
  </si>
  <si>
    <t xml:space="preserve">Txn Rate Class</t>
  </si>
  <si>
    <t xml:space="preserve">Actual Length Billed</t>
  </si>
  <si>
    <t xml:space="preserve">Actual Rate</t>
  </si>
  <si>
    <t xml:space="preserve">Actual Base Amount</t>
  </si>
  <si>
    <t xml:space="preserve">Monthly Variance</t>
  </si>
  <si>
    <t xml:space="preserve">Annualized Variance</t>
  </si>
  <si>
    <t xml:space="preserve">Billing Result</t>
  </si>
  <si>
    <t xml:space="preserve">Potential Commercial Uplift</t>
  </si>
  <si>
    <t xml:space="preserve">Rate Class Review</t>
  </si>
  <si>
    <t xml:space="preserve">Placement Flag</t>
  </si>
  <si>
    <t xml:space="preserve">Billing Source</t>
  </si>
  <si>
    <t xml:space="preserve">Measurement Source</t>
  </si>
  <si>
    <t xml:space="preserve">EW-0101</t>
  </si>
  <si>
    <t xml:space="preserve">open</t>
  </si>
  <si>
    <t xml:space="preserve">WL-01414</t>
  </si>
  <si>
    <t xml:space="preserve">Phillip Massey</t>
  </si>
  <si>
    <t xml:space="preserve">CORPORATION</t>
  </si>
  <si>
    <t xml:space="preserve">MA-2024-0101</t>
  </si>
  <si>
    <t xml:space="preserve">TXN-202607-028683</t>
  </si>
  <si>
    <t xml:space="preserve">NON_COMM_MONTHLY</t>
  </si>
  <si>
    <t xml:space="preserve">billing_transactions_2022_2026.csv row 45265</t>
  </si>
  <si>
    <t xml:space="preserve">slip_inventory_2026-08.csv row 502; applicant_register_2026-08.csv row 415</t>
  </si>
  <si>
    <t xml:space="preserve">Tariff Resolution 2019-14 p.1 definition 4 and pp.2-3 sections 2.4/7.3; Resolution 2022-06 p.1 sections 1.1-1.3</t>
  </si>
  <si>
    <t xml:space="preserve">EW-0102</t>
  </si>
  <si>
    <t xml:space="preserve">Andrea Franco</t>
  </si>
  <si>
    <t xml:space="preserve">PARTNERSHIP</t>
  </si>
  <si>
    <t xml:space="preserve">MA-2024-0102</t>
  </si>
  <si>
    <t xml:space="preserve">TXN-202607-028766</t>
  </si>
  <si>
    <t xml:space="preserve">billing_transactions_2022_2026.csv row 45266</t>
  </si>
  <si>
    <t xml:space="preserve">slip_inventory_2026-08.csv row 503; applicant_register_2026-08.csv row 2667</t>
  </si>
  <si>
    <t xml:space="preserve">EW-0103</t>
  </si>
  <si>
    <t xml:space="preserve">WL-01149</t>
  </si>
  <si>
    <t xml:space="preserve">David Hoffman</t>
  </si>
  <si>
    <t xml:space="preserve">LLC</t>
  </si>
  <si>
    <t xml:space="preserve">MA-2024-0103</t>
  </si>
  <si>
    <t xml:space="preserve">TXN-202607-028830</t>
  </si>
  <si>
    <t xml:space="preserve">billing_transactions_2022_2026.csv row 45267</t>
  </si>
  <si>
    <t xml:space="preserve">slip_inventory_2026-08.csv row 504; applicant_register_2026-08.csv row 150</t>
  </si>
  <si>
    <t xml:space="preserve">EW-0105</t>
  </si>
  <si>
    <t xml:space="preserve">WL-03242</t>
  </si>
  <si>
    <t xml:space="preserve">Micheal Navarro</t>
  </si>
  <si>
    <t xml:space="preserve">MA-2024-0105</t>
  </si>
  <si>
    <t xml:space="preserve">TXN-202607-028896</t>
  </si>
  <si>
    <t xml:space="preserve">billing_transactions_2022_2026.csv row 45268</t>
  </si>
  <si>
    <t xml:space="preserve">slip_inventory_2026-08.csv row 506; applicant_register_2026-08.csv row 2243</t>
  </si>
  <si>
    <t xml:space="preserve">EW-0106</t>
  </si>
  <si>
    <t xml:space="preserve">WL-03380</t>
  </si>
  <si>
    <t xml:space="preserve">Charles Snyder</t>
  </si>
  <si>
    <t xml:space="preserve">INDIVIDUAL</t>
  </si>
  <si>
    <t xml:space="preserve">MA-2024-0106</t>
  </si>
  <si>
    <t xml:space="preserve">TXN-202607-028972</t>
  </si>
  <si>
    <t xml:space="preserve">billing_transactions_2022_2026.csv row 45269</t>
  </si>
  <si>
    <t xml:space="preserve">slip_inventory_2026-08.csv row 507; applicant_register_2026-08.csv row 2381</t>
  </si>
  <si>
    <t xml:space="preserve">MA-2024-0107</t>
  </si>
  <si>
    <t xml:space="preserve">TXN-202607-029047</t>
  </si>
  <si>
    <t xml:space="preserve">billing_transactions_2022_2026.csv row 45270</t>
  </si>
  <si>
    <t xml:space="preserve">slip_inventory_2026-08.csv row 508; applicant_register_2026-08.csv row 369</t>
  </si>
  <si>
    <t xml:space="preserve">EW-0108</t>
  </si>
  <si>
    <t xml:space="preserve">WL-02070</t>
  </si>
  <si>
    <t xml:space="preserve">Leslie Thomas</t>
  </si>
  <si>
    <t xml:space="preserve">MA-2024-0108</t>
  </si>
  <si>
    <t xml:space="preserve">TXN-202607-029118</t>
  </si>
  <si>
    <t xml:space="preserve">billing_transactions_2022_2026.csv row 45271</t>
  </si>
  <si>
    <t xml:space="preserve">slip_inventory_2026-08.csv row 509; applicant_register_2026-08.csv row 1071</t>
  </si>
  <si>
    <t xml:space="preserve">WL-03624</t>
  </si>
  <si>
    <t xml:space="preserve">Robert Rodriguez</t>
  </si>
  <si>
    <t xml:space="preserve">MA-2024-0109</t>
  </si>
  <si>
    <t xml:space="preserve">TXN-202607-029184</t>
  </si>
  <si>
    <t xml:space="preserve">billing_transactions_2022_2026.csv row 45273</t>
  </si>
  <si>
    <t xml:space="preserve">slip_inventory_2026-08.csv row 510; applicant_register_2026-08.csv row 2625</t>
  </si>
  <si>
    <t xml:space="preserve">WL-01831</t>
  </si>
  <si>
    <t xml:space="preserve">Angela Andersen</t>
  </si>
  <si>
    <t xml:space="preserve">JOINT</t>
  </si>
  <si>
    <t xml:space="preserve">MA-2024-0110</t>
  </si>
  <si>
    <t xml:space="preserve">TXN-202607-029245</t>
  </si>
  <si>
    <t xml:space="preserve">billing_transactions_2022_2026.csv row 45275</t>
  </si>
  <si>
    <t xml:space="preserve">slip_inventory_2026-08.csv row 511; applicant_register_2026-08.csv row 832</t>
  </si>
  <si>
    <t xml:space="preserve">MA-2024-0111</t>
  </si>
  <si>
    <t xml:space="preserve">TXN-202607-029327</t>
  </si>
  <si>
    <t xml:space="preserve">billing_transactions_2022_2026.csv row 45276</t>
  </si>
  <si>
    <t xml:space="preserve">slip_inventory_2026-08.csv row 512; applicant_register_2026-08.csv row 618</t>
  </si>
  <si>
    <t xml:space="preserve">EW-0112</t>
  </si>
  <si>
    <t xml:space="preserve">WL-01533</t>
  </si>
  <si>
    <t xml:space="preserve">Beth Cooper</t>
  </si>
  <si>
    <t xml:space="preserve">NONPROFIT</t>
  </si>
  <si>
    <t xml:space="preserve">MA-2024-0112</t>
  </si>
  <si>
    <t xml:space="preserve">TXN-202607-029413</t>
  </si>
  <si>
    <t xml:space="preserve">billing_transactions_2022_2026.csv row 45278</t>
  </si>
  <si>
    <t xml:space="preserve">slip_inventory_2026-08.csv row 513; applicant_register_2026-08.csv row 534</t>
  </si>
  <si>
    <t xml:space="preserve">EW-0113</t>
  </si>
  <si>
    <t xml:space="preserve">WL-01482</t>
  </si>
  <si>
    <t xml:space="preserve">Brandon Boyer</t>
  </si>
  <si>
    <t xml:space="preserve">MA-2024-0113</t>
  </si>
  <si>
    <t xml:space="preserve">TXN-202607-029473</t>
  </si>
  <si>
    <t xml:space="preserve">billing_transactions_2022_2026.csv row 45280</t>
  </si>
  <si>
    <t xml:space="preserve">slip_inventory_2026-08.csv row 514; applicant_register_2026-08.csv row 483</t>
  </si>
  <si>
    <t xml:space="preserve">EW-0114</t>
  </si>
  <si>
    <t xml:space="preserve">WL-03340</t>
  </si>
  <si>
    <t xml:space="preserve">Linda Gonzalez</t>
  </si>
  <si>
    <t xml:space="preserve">MA-2024-0114</t>
  </si>
  <si>
    <t xml:space="preserve">TXN-202607-029534</t>
  </si>
  <si>
    <t xml:space="preserve">billing_transactions_2022_2026.csv row 45282</t>
  </si>
  <si>
    <t xml:space="preserve">slip_inventory_2026-08.csv row 515; applicant_register_2026-08.csv row 2341</t>
  </si>
  <si>
    <t xml:space="preserve">EW-0115</t>
  </si>
  <si>
    <t xml:space="preserve">WL-01809</t>
  </si>
  <si>
    <t xml:space="preserve">Tim Banks</t>
  </si>
  <si>
    <t xml:space="preserve">MA-2024-0115</t>
  </si>
  <si>
    <t xml:space="preserve">TXN-202607-029604</t>
  </si>
  <si>
    <t xml:space="preserve">billing_transactions_2022_2026.csv row 45284</t>
  </si>
  <si>
    <t xml:space="preserve">slip_inventory_2026-08.csv row 516; applicant_register_2026-08.csv row 810</t>
  </si>
  <si>
    <t xml:space="preserve">EW-0116</t>
  </si>
  <si>
    <t xml:space="preserve">WL-02558</t>
  </si>
  <si>
    <t xml:space="preserve">Edward Hardy</t>
  </si>
  <si>
    <t xml:space="preserve">TRUST</t>
  </si>
  <si>
    <t xml:space="preserve">MA-2024-0116</t>
  </si>
  <si>
    <t xml:space="preserve">TXN-202607-029665</t>
  </si>
  <si>
    <t xml:space="preserve">billing_transactions_2022_2026.csv row 45285</t>
  </si>
  <si>
    <t xml:space="preserve">slip_inventory_2026-08.csv row 517; applicant_register_2026-08.csv row 1559</t>
  </si>
  <si>
    <t xml:space="preserve">MA-2024-0118</t>
  </si>
  <si>
    <t xml:space="preserve">TXN-202607-029713</t>
  </si>
  <si>
    <t xml:space="preserve">billing_transactions_2022_2026.csv row 45286</t>
  </si>
  <si>
    <t xml:space="preserve">slip_inventory_2026-08.csv row 519; applicant_register_2026-08.csv row 2473</t>
  </si>
  <si>
    <t xml:space="preserve">MA-2024-0119</t>
  </si>
  <si>
    <t xml:space="preserve">TXN-202607-029763</t>
  </si>
  <si>
    <t xml:space="preserve">billing_transactions_2022_2026.csv row 45287</t>
  </si>
  <si>
    <t xml:space="preserve">slip_inventory_2026-08.csv row 520; applicant_register_2026-08.csv row 1418</t>
  </si>
  <si>
    <t xml:space="preserve">EW-0120</t>
  </si>
  <si>
    <t xml:space="preserve">WL-02149</t>
  </si>
  <si>
    <t xml:space="preserve">Tonya Bowman</t>
  </si>
  <si>
    <t xml:space="preserve">MA-2024-0120</t>
  </si>
  <si>
    <t xml:space="preserve">TXN-202607-029841</t>
  </si>
  <si>
    <t xml:space="preserve">billing_transactions_2022_2026.csv row 45288</t>
  </si>
  <si>
    <t xml:space="preserve">slip_inventory_2026-08.csv row 521; applicant_register_2026-08.csv row 1150</t>
  </si>
  <si>
    <t xml:space="preserve">EW-0121</t>
  </si>
  <si>
    <t xml:space="preserve">WL-01125</t>
  </si>
  <si>
    <t xml:space="preserve">Brandi Baker</t>
  </si>
  <si>
    <t xml:space="preserve">MA-2024-0121</t>
  </si>
  <si>
    <t xml:space="preserve">TXN-202607-029921</t>
  </si>
  <si>
    <t xml:space="preserve">billing_transactions_2022_2026.csv row 45290</t>
  </si>
  <si>
    <t xml:space="preserve">slip_inventory_2026-08.csv row 522; applicant_register_2026-08.csv row 126</t>
  </si>
  <si>
    <t xml:space="preserve">EW-0122</t>
  </si>
  <si>
    <t xml:space="preserve">Brittany Lopez</t>
  </si>
  <si>
    <t xml:space="preserve">MA-2024-0122</t>
  </si>
  <si>
    <t xml:space="preserve">TXN-202607-029965</t>
  </si>
  <si>
    <t xml:space="preserve">billing_transactions_2022_2026.csv row 45292</t>
  </si>
  <si>
    <t xml:space="preserve">slip_inventory_2026-08.csv row 523; applicant_register_2026-08.csv row 2817</t>
  </si>
  <si>
    <t xml:space="preserve">EW-0123</t>
  </si>
  <si>
    <t xml:space="preserve">WL-03203</t>
  </si>
  <si>
    <t xml:space="preserve">Kyle Shepard</t>
  </si>
  <si>
    <t xml:space="preserve">COMMERCIAL</t>
  </si>
  <si>
    <t xml:space="preserve">MA-2024-0123</t>
  </si>
  <si>
    <t xml:space="preserve">TXN-202607-030040</t>
  </si>
  <si>
    <t xml:space="preserve">billing_transactions_2022_2026.csv row 45293</t>
  </si>
  <si>
    <t xml:space="preserve">slip_inventory_2026-08.csv row 524; applicant_register_2026-08.csv row 2204</t>
  </si>
  <si>
    <t xml:space="preserve">WL-03361</t>
  </si>
  <si>
    <t xml:space="preserve">Donna Robertson</t>
  </si>
  <si>
    <t xml:space="preserve">MA-2024-0124</t>
  </si>
  <si>
    <t xml:space="preserve">TXN-202607-030091</t>
  </si>
  <si>
    <t xml:space="preserve">billing_transactions_2022_2026.csv row 45294</t>
  </si>
  <si>
    <t xml:space="preserve">slip_inventory_2026-08.csv row 525; applicant_register_2026-08.csv row 2362</t>
  </si>
  <si>
    <t xml:space="preserve">EW-0201</t>
  </si>
  <si>
    <t xml:space="preserve">WL-02818</t>
  </si>
  <si>
    <t xml:space="preserve">Andrew Bryan</t>
  </si>
  <si>
    <t xml:space="preserve">MA-2024-0201</t>
  </si>
  <si>
    <t xml:space="preserve">TXN-202607-030151</t>
  </si>
  <si>
    <t xml:space="preserve">billing_transactions_2022_2026.csv row 45296</t>
  </si>
  <si>
    <t xml:space="preserve">slip_inventory_2026-08.csv row 526; applicant_register_2026-08.csv row 1819</t>
  </si>
  <si>
    <t xml:space="preserve">EW-0202</t>
  </si>
  <si>
    <t xml:space="preserve">WL-03332</t>
  </si>
  <si>
    <t xml:space="preserve">Amanda Rodgers</t>
  </si>
  <si>
    <t xml:space="preserve">MA-2024-0202</t>
  </si>
  <si>
    <t xml:space="preserve">TXN-202607-030226</t>
  </si>
  <si>
    <t xml:space="preserve">billing_transactions_2022_2026.csv row 45297</t>
  </si>
  <si>
    <t xml:space="preserve">slip_inventory_2026-08.csv row 527; applicant_register_2026-08.csv row 2333</t>
  </si>
  <si>
    <t xml:space="preserve">Janice Walker</t>
  </si>
  <si>
    <t xml:space="preserve">MA-2024-0203</t>
  </si>
  <si>
    <t xml:space="preserve">TXN-202607-030302</t>
  </si>
  <si>
    <t xml:space="preserve">billing_transactions_2022_2026.csv row 45298</t>
  </si>
  <si>
    <t xml:space="preserve">slip_inventory_2026-08.csv row 528; applicant_register_2026-08.csv row 1677</t>
  </si>
  <si>
    <t xml:space="preserve">EW-0204</t>
  </si>
  <si>
    <t xml:space="preserve">WL-01545</t>
  </si>
  <si>
    <t xml:space="preserve">Jessica King</t>
  </si>
  <si>
    <t xml:space="preserve">MA-2024-0204</t>
  </si>
  <si>
    <t xml:space="preserve">TXN-202607-030389</t>
  </si>
  <si>
    <t xml:space="preserve">billing_transactions_2022_2026.csv row 45299</t>
  </si>
  <si>
    <t xml:space="preserve">slip_inventory_2026-08.csv row 529; applicant_register_2026-08.csv row 546</t>
  </si>
  <si>
    <t xml:space="preserve">EW-0206</t>
  </si>
  <si>
    <t xml:space="preserve">WL-01286</t>
  </si>
  <si>
    <t xml:space="preserve">Kevin Wiley</t>
  </si>
  <si>
    <t xml:space="preserve">MA-2024-0206</t>
  </si>
  <si>
    <t xml:space="preserve">TXN-202607-030462</t>
  </si>
  <si>
    <t xml:space="preserve">billing_transactions_2022_2026.csv row 45301</t>
  </si>
  <si>
    <t xml:space="preserve">slip_inventory_2026-08.csv row 531; applicant_register_2026-08.csv row 287</t>
  </si>
  <si>
    <t xml:space="preserve">EW-0207</t>
  </si>
  <si>
    <t xml:space="preserve">WL-01486</t>
  </si>
  <si>
    <t xml:space="preserve">Stacey Spears</t>
  </si>
  <si>
    <t xml:space="preserve">MA-2024-0207</t>
  </si>
  <si>
    <t xml:space="preserve">TXN-202607-030536</t>
  </si>
  <si>
    <t xml:space="preserve">billing_transactions_2022_2026.csv row 45303</t>
  </si>
  <si>
    <t xml:space="preserve">slip_inventory_2026-08.csv row 532; applicant_register_2026-08.csv row 487</t>
  </si>
  <si>
    <t xml:space="preserve">EW-0208</t>
  </si>
  <si>
    <t xml:space="preserve">WL-03130</t>
  </si>
  <si>
    <t xml:space="preserve">Nicole Berger</t>
  </si>
  <si>
    <t xml:space="preserve">MA-2024-0208</t>
  </si>
  <si>
    <t xml:space="preserve">TXN-202607-030580</t>
  </si>
  <si>
    <t xml:space="preserve">billing_transactions_2022_2026.csv row 45305</t>
  </si>
  <si>
    <t xml:space="preserve">slip_inventory_2026-08.csv row 533; applicant_register_2026-08.csv row 2131</t>
  </si>
  <si>
    <t xml:space="preserve">WL-02673</t>
  </si>
  <si>
    <t xml:space="preserve">Rodney Watson</t>
  </si>
  <si>
    <t xml:space="preserve">MA-2024-0209</t>
  </si>
  <si>
    <t xml:space="preserve">TXN-202607-030659</t>
  </si>
  <si>
    <t xml:space="preserve">billing_transactions_2022_2026.csv row 45306</t>
  </si>
  <si>
    <t xml:space="preserve">slip_inventory_2026-08.csv row 534; applicant_register_2026-08.csv row 1674</t>
  </si>
  <si>
    <t xml:space="preserve">EW-0210</t>
  </si>
  <si>
    <t xml:space="preserve">WL-01729</t>
  </si>
  <si>
    <t xml:space="preserve">Whitney Baker</t>
  </si>
  <si>
    <t xml:space="preserve">MA-2024-0210</t>
  </si>
  <si>
    <t xml:space="preserve">TXN-202607-030724</t>
  </si>
  <si>
    <t xml:space="preserve">billing_transactions_2022_2026.csv row 45308</t>
  </si>
  <si>
    <t xml:space="preserve">slip_inventory_2026-08.csv row 535; applicant_register_2026-08.csv row 730</t>
  </si>
  <si>
    <t xml:space="preserve">EW-0211</t>
  </si>
  <si>
    <t xml:space="preserve">WL-02171</t>
  </si>
  <si>
    <t xml:space="preserve">Andrea Hill</t>
  </si>
  <si>
    <t xml:space="preserve">MA-2024-0211</t>
  </si>
  <si>
    <t xml:space="preserve">TXN-202607-030793</t>
  </si>
  <si>
    <t xml:space="preserve">billing_transactions_2022_2026.csv row 45309</t>
  </si>
  <si>
    <t xml:space="preserve">slip_inventory_2026-08.csv row 536; applicant_register_2026-08.csv row 1172</t>
  </si>
  <si>
    <t xml:space="preserve">EW-0212</t>
  </si>
  <si>
    <t xml:space="preserve">WL-01589</t>
  </si>
  <si>
    <t xml:space="preserve">Caitlin Klein</t>
  </si>
  <si>
    <t xml:space="preserve">MA-2024-0212</t>
  </si>
  <si>
    <t xml:space="preserve">TXN-202607-030877</t>
  </si>
  <si>
    <t xml:space="preserve">billing_transactions_2022_2026.csv row 45310</t>
  </si>
  <si>
    <t xml:space="preserve">slip_inventory_2026-08.csv row 537; applicant_register_2026-08.csv row 590</t>
  </si>
  <si>
    <t xml:space="preserve">EW-0214</t>
  </si>
  <si>
    <t xml:space="preserve">WL-01651</t>
  </si>
  <si>
    <t xml:space="preserve">Kayla Lawson</t>
  </si>
  <si>
    <t xml:space="preserve">MA-2024-0214</t>
  </si>
  <si>
    <t xml:space="preserve">TXN-202607-030919</t>
  </si>
  <si>
    <t xml:space="preserve">billing_transactions_2022_2026.csv row 45311</t>
  </si>
  <si>
    <t xml:space="preserve">slip_inventory_2026-08.csv row 539; applicant_register_2026-08.csv row 652</t>
  </si>
  <si>
    <t xml:space="preserve">EW-0215</t>
  </si>
  <si>
    <t xml:space="preserve">WL-03669</t>
  </si>
  <si>
    <t xml:space="preserve">Samantha Powers</t>
  </si>
  <si>
    <t xml:space="preserve">MA-2024-0215</t>
  </si>
  <si>
    <t xml:space="preserve">TXN-202607-031001</t>
  </si>
  <si>
    <t xml:space="preserve">billing_transactions_2022_2026.csv row 45313</t>
  </si>
  <si>
    <t xml:space="preserve">slip_inventory_2026-08.csv row 540; applicant_register_2026-08.csv row 2670</t>
  </si>
  <si>
    <t xml:space="preserve">EW-0216</t>
  </si>
  <si>
    <t xml:space="preserve">WL-01352</t>
  </si>
  <si>
    <t xml:space="preserve">Donald Hoffman</t>
  </si>
  <si>
    <t xml:space="preserve">MA-2024-0216</t>
  </si>
  <si>
    <t xml:space="preserve">TXN-202607-031059</t>
  </si>
  <si>
    <t xml:space="preserve">billing_transactions_2022_2026.csv row 45315</t>
  </si>
  <si>
    <t xml:space="preserve">slip_inventory_2026-08.csv row 541; applicant_register_2026-08.csv row 353</t>
  </si>
  <si>
    <t xml:space="preserve">EW-0217</t>
  </si>
  <si>
    <t xml:space="preserve">MA-2024-0217</t>
  </si>
  <si>
    <t xml:space="preserve">TXN-202607-031105</t>
  </si>
  <si>
    <t xml:space="preserve">billing_transactions_2022_2026.csv row 45316</t>
  </si>
  <si>
    <t xml:space="preserve">slip_inventory_2026-08.csv row 542; applicant_register_2026-08.csv row 567</t>
  </si>
  <si>
    <t xml:space="preserve">EW-0218</t>
  </si>
  <si>
    <t xml:space="preserve">WL-01012</t>
  </si>
  <si>
    <t xml:space="preserve">Janet Jones</t>
  </si>
  <si>
    <t xml:space="preserve">MA-2024-0218</t>
  </si>
  <si>
    <t xml:space="preserve">TXN-202607-031152</t>
  </si>
  <si>
    <t xml:space="preserve">billing_transactions_2022_2026.csv row 45317</t>
  </si>
  <si>
    <t xml:space="preserve">slip_inventory_2026-08.csv row 543; applicant_register_2026-08.csv row 13</t>
  </si>
  <si>
    <t xml:space="preserve">EW-0219</t>
  </si>
  <si>
    <t xml:space="preserve">WL-02243</t>
  </si>
  <si>
    <t xml:space="preserve">Andrew Miller</t>
  </si>
  <si>
    <t xml:space="preserve">MA-2024-0219</t>
  </si>
  <si>
    <t xml:space="preserve">TXN-202607-031218</t>
  </si>
  <si>
    <t xml:space="preserve">billing_transactions_2022_2026.csv row 45318</t>
  </si>
  <si>
    <t xml:space="preserve">slip_inventory_2026-08.csv row 544; applicant_register_2026-08.csv row 1244</t>
  </si>
  <si>
    <t xml:space="preserve">EW-0220</t>
  </si>
  <si>
    <t xml:space="preserve">WL-01203</t>
  </si>
  <si>
    <t xml:space="preserve">Tracy Conrad</t>
  </si>
  <si>
    <t xml:space="preserve">MA-2024-0220</t>
  </si>
  <si>
    <t xml:space="preserve">TXN-202607-031267</t>
  </si>
  <si>
    <t xml:space="preserve">billing_transactions_2022_2026.csv row 45320</t>
  </si>
  <si>
    <t xml:space="preserve">slip_inventory_2026-08.csv row 545; applicant_register_2026-08.csv row 204</t>
  </si>
  <si>
    <t xml:space="preserve">EW-0221</t>
  </si>
  <si>
    <t xml:space="preserve">WL-02645</t>
  </si>
  <si>
    <t xml:space="preserve">Rose Gonzalez</t>
  </si>
  <si>
    <t xml:space="preserve">MA-2024-0221</t>
  </si>
  <si>
    <t xml:space="preserve">TXN-202607-031332</t>
  </si>
  <si>
    <t xml:space="preserve">billing_transactions_2022_2026.csv row 45322</t>
  </si>
  <si>
    <t xml:space="preserve">slip_inventory_2026-08.csv row 546; applicant_register_2026-08.csv row 1646</t>
  </si>
  <si>
    <t xml:space="preserve">EW-0222</t>
  </si>
  <si>
    <t xml:space="preserve">WL-02910</t>
  </si>
  <si>
    <t xml:space="preserve">David Taylor</t>
  </si>
  <si>
    <t xml:space="preserve">MA-2024-0222</t>
  </si>
  <si>
    <t xml:space="preserve">TXN-202607-031377</t>
  </si>
  <si>
    <t xml:space="preserve">billing_transactions_2022_2026.csv row 45323</t>
  </si>
  <si>
    <t xml:space="preserve">slip_inventory_2026-08.csv row 547; applicant_register_2026-08.csv row 1911</t>
  </si>
  <si>
    <t xml:space="preserve">EW-0223</t>
  </si>
  <si>
    <t xml:space="preserve">WL-01945</t>
  </si>
  <si>
    <t xml:space="preserve">Jacob Bonilla</t>
  </si>
  <si>
    <t xml:space="preserve">MA-2024-0223</t>
  </si>
  <si>
    <t xml:space="preserve">TXN-202607-031417</t>
  </si>
  <si>
    <t xml:space="preserve">billing_transactions_2022_2026.csv row 45324</t>
  </si>
  <si>
    <t xml:space="preserve">slip_inventory_2026-08.csv row 548; applicant_register_2026-08.csv row 946</t>
  </si>
  <si>
    <t xml:space="preserve">EW-0224</t>
  </si>
  <si>
    <t xml:space="preserve">WL-01127</t>
  </si>
  <si>
    <t xml:space="preserve">Thomas Hawkins</t>
  </si>
  <si>
    <t xml:space="preserve">MA-2024-0224</t>
  </si>
  <si>
    <t xml:space="preserve">TXN-202607-031460</t>
  </si>
  <si>
    <t xml:space="preserve">billing_transactions_2022_2026.csv row 45325</t>
  </si>
  <si>
    <t xml:space="preserve">slip_inventory_2026-08.csv row 549; applicant_register_2026-08.csv row 128</t>
  </si>
  <si>
    <t xml:space="preserve">EW-0302</t>
  </si>
  <si>
    <t xml:space="preserve">WL-01910</t>
  </si>
  <si>
    <t xml:space="preserve">Charles Gates</t>
  </si>
  <si>
    <t xml:space="preserve">MA-2024-0302</t>
  </si>
  <si>
    <t xml:space="preserve">TXN-202607-031528</t>
  </si>
  <si>
    <t xml:space="preserve">billing_transactions_2022_2026.csv row 45327</t>
  </si>
  <si>
    <t xml:space="preserve">slip_inventory_2026-08.csv row 551; applicant_register_2026-08.csv row 911</t>
  </si>
  <si>
    <t xml:space="preserve">EW-0303</t>
  </si>
  <si>
    <t xml:space="preserve">WL-01094</t>
  </si>
  <si>
    <t xml:space="preserve">Denise Jenkins</t>
  </si>
  <si>
    <t xml:space="preserve">MA-2024-0303</t>
  </si>
  <si>
    <t xml:space="preserve">TXN-202607-031573</t>
  </si>
  <si>
    <t xml:space="preserve">billing_transactions_2022_2026.csv row 45329</t>
  </si>
  <si>
    <t xml:space="preserve">slip_inventory_2026-08.csv row 552; applicant_register_2026-08.csv row 95</t>
  </si>
  <si>
    <t xml:space="preserve">WL-03721</t>
  </si>
  <si>
    <t xml:space="preserve">Ann Vaughn</t>
  </si>
  <si>
    <t xml:space="preserve">MA-2024-0304</t>
  </si>
  <si>
    <t xml:space="preserve">TXN-202607-031649</t>
  </si>
  <si>
    <t xml:space="preserve">billing_transactions_2022_2026.csv row 45331</t>
  </si>
  <si>
    <t xml:space="preserve">slip_inventory_2026-08.csv row 553; applicant_register_2026-08.csv row 2722</t>
  </si>
  <si>
    <t xml:space="preserve">EW-0305</t>
  </si>
  <si>
    <t xml:space="preserve">WL-02577</t>
  </si>
  <si>
    <t xml:space="preserve">Aaron Higgins</t>
  </si>
  <si>
    <t xml:space="preserve">MA-2024-0305</t>
  </si>
  <si>
    <t xml:space="preserve">TXN-202607-031716</t>
  </si>
  <si>
    <t xml:space="preserve">billing_transactions_2022_2026.csv row 45333</t>
  </si>
  <si>
    <t xml:space="preserve">slip_inventory_2026-08.csv row 554; applicant_register_2026-08.csv row 1578</t>
  </si>
  <si>
    <t xml:space="preserve">WL-01860</t>
  </si>
  <si>
    <t xml:space="preserve">Justin Brown</t>
  </si>
  <si>
    <t xml:space="preserve">MA-2024-0306</t>
  </si>
  <si>
    <t xml:space="preserve">TXN-202607-031755</t>
  </si>
  <si>
    <t xml:space="preserve">billing_transactions_2022_2026.csv row 45334</t>
  </si>
  <si>
    <t xml:space="preserve">slip_inventory_2026-08.csv row 555; applicant_register_2026-08.csv row 861</t>
  </si>
  <si>
    <t xml:space="preserve">EW-0307</t>
  </si>
  <si>
    <t xml:space="preserve">WL-01183</t>
  </si>
  <si>
    <t xml:space="preserve">Shelley Tucker</t>
  </si>
  <si>
    <t xml:space="preserve">MA-2024-0307</t>
  </si>
  <si>
    <t xml:space="preserve">TXN-202607-031833</t>
  </si>
  <si>
    <t xml:space="preserve">billing_transactions_2022_2026.csv row 45336</t>
  </si>
  <si>
    <t xml:space="preserve">slip_inventory_2026-08.csv row 556; applicant_register_2026-08.csv row 184</t>
  </si>
  <si>
    <t xml:space="preserve">EW-0308</t>
  </si>
  <si>
    <t xml:space="preserve">WL-02107</t>
  </si>
  <si>
    <t xml:space="preserve">Brittany Baldwin</t>
  </si>
  <si>
    <t xml:space="preserve">MA-2024-0308</t>
  </si>
  <si>
    <t xml:space="preserve">TXN-202607-031892</t>
  </si>
  <si>
    <t xml:space="preserve">billing_transactions_2022_2026.csv row 45337</t>
  </si>
  <si>
    <t xml:space="preserve">slip_inventory_2026-08.csv row 557; applicant_register_2026-08.csv row 1108</t>
  </si>
  <si>
    <t xml:space="preserve">EW-0309</t>
  </si>
  <si>
    <t xml:space="preserve">WL-01963</t>
  </si>
  <si>
    <t xml:space="preserve">Erik Beck</t>
  </si>
  <si>
    <t xml:space="preserve">MA-2024-0309</t>
  </si>
  <si>
    <t xml:space="preserve">TXN-202607-031942</t>
  </si>
  <si>
    <t xml:space="preserve">billing_transactions_2022_2026.csv row 45338</t>
  </si>
  <si>
    <t xml:space="preserve">slip_inventory_2026-08.csv row 558; applicant_register_2026-08.csv row 964</t>
  </si>
  <si>
    <t xml:space="preserve">EW-0311</t>
  </si>
  <si>
    <t xml:space="preserve">WL-02248</t>
  </si>
  <si>
    <t xml:space="preserve">Devon Griffin</t>
  </si>
  <si>
    <t xml:space="preserve">MA-2024-0311</t>
  </si>
  <si>
    <t xml:space="preserve">TXN-202607-032000</t>
  </si>
  <si>
    <t xml:space="preserve">billing_transactions_2022_2026.csv row 45340</t>
  </si>
  <si>
    <t xml:space="preserve">slip_inventory_2026-08.csv row 560; applicant_register_2026-08.csv row 1249</t>
  </si>
  <si>
    <t xml:space="preserve">EW-0312</t>
  </si>
  <si>
    <t xml:space="preserve">WL-03809</t>
  </si>
  <si>
    <t xml:space="preserve">Richard Mcguire</t>
  </si>
  <si>
    <t xml:space="preserve">MA-2024-0312</t>
  </si>
  <si>
    <t xml:space="preserve">TXN-202607-032062</t>
  </si>
  <si>
    <t xml:space="preserve">billing_transactions_2022_2026.csv row 45342</t>
  </si>
  <si>
    <t xml:space="preserve">slip_inventory_2026-08.csv row 561; applicant_register_2026-08.csv row 2810</t>
  </si>
  <si>
    <t xml:space="preserve">EW-0313</t>
  </si>
  <si>
    <t xml:space="preserve">WL-01429</t>
  </si>
  <si>
    <t xml:space="preserve">Teresa Evans</t>
  </si>
  <si>
    <t xml:space="preserve">MA-2024-0313</t>
  </si>
  <si>
    <t xml:space="preserve">TXN-202607-032105</t>
  </si>
  <si>
    <t xml:space="preserve">billing_transactions_2022_2026.csv row 45344</t>
  </si>
  <si>
    <t xml:space="preserve">slip_inventory_2026-08.csv row 562; applicant_register_2026-08.csv row 430</t>
  </si>
  <si>
    <t xml:space="preserve">EW-0314</t>
  </si>
  <si>
    <t xml:space="preserve">WL-01716</t>
  </si>
  <si>
    <t xml:space="preserve">Christina Olsen</t>
  </si>
  <si>
    <t xml:space="preserve">MA-2024-0314</t>
  </si>
  <si>
    <t xml:space="preserve">TXN-202607-032155</t>
  </si>
  <si>
    <t xml:space="preserve">billing_transactions_2022_2026.csv row 45346</t>
  </si>
  <si>
    <t xml:space="preserve">slip_inventory_2026-08.csv row 563; applicant_register_2026-08.csv row 717</t>
  </si>
  <si>
    <t xml:space="preserve">EW-0315</t>
  </si>
  <si>
    <t xml:space="preserve">WL-01385</t>
  </si>
  <si>
    <t xml:space="preserve">Amanda Morrison</t>
  </si>
  <si>
    <t xml:space="preserve">MA-2024-0315</t>
  </si>
  <si>
    <t xml:space="preserve">TXN-202607-032199</t>
  </si>
  <si>
    <t xml:space="preserve">billing_transactions_2022_2026.csv row 45347</t>
  </si>
  <si>
    <t xml:space="preserve">slip_inventory_2026-08.csv row 564; applicant_register_2026-08.csv row 386</t>
  </si>
  <si>
    <t xml:space="preserve">EW-0316</t>
  </si>
  <si>
    <t xml:space="preserve">WL-02940</t>
  </si>
  <si>
    <t xml:space="preserve">Leah Carter</t>
  </si>
  <si>
    <t xml:space="preserve">MA-2024-0316</t>
  </si>
  <si>
    <t xml:space="preserve">TXN-202607-032274</t>
  </si>
  <si>
    <t xml:space="preserve">billing_transactions_2022_2026.csv row 45349</t>
  </si>
  <si>
    <t xml:space="preserve">slip_inventory_2026-08.csv row 565; applicant_register_2026-08.csv row 1941</t>
  </si>
  <si>
    <t xml:space="preserve">EW-0317</t>
  </si>
  <si>
    <t xml:space="preserve">WL-02017</t>
  </si>
  <si>
    <t xml:space="preserve">Gary Horton</t>
  </si>
  <si>
    <t xml:space="preserve">MA-2024-0317</t>
  </si>
  <si>
    <t xml:space="preserve">TXN-202607-032322</t>
  </si>
  <si>
    <t xml:space="preserve">billing_transactions_2022_2026.csv row 45351</t>
  </si>
  <si>
    <t xml:space="preserve">slip_inventory_2026-08.csv row 566; applicant_register_2026-08.csv row 1018</t>
  </si>
  <si>
    <t xml:space="preserve">EW-0318</t>
  </si>
  <si>
    <t xml:space="preserve">WL-03162</t>
  </si>
  <si>
    <t xml:space="preserve">Sarah Edwards</t>
  </si>
  <si>
    <t xml:space="preserve">MA-2024-0318</t>
  </si>
  <si>
    <t xml:space="preserve">TXN-202607-032389</t>
  </si>
  <si>
    <t xml:space="preserve">billing_transactions_2022_2026.csv row 45352</t>
  </si>
  <si>
    <t xml:space="preserve">slip_inventory_2026-08.csv row 567; applicant_register_2026-08.csv row 2163</t>
  </si>
  <si>
    <t xml:space="preserve">WL-02697</t>
  </si>
  <si>
    <t xml:space="preserve">Wendy Green</t>
  </si>
  <si>
    <t xml:space="preserve">MA-2024-0319</t>
  </si>
  <si>
    <t xml:space="preserve">TXN-202607-032464</t>
  </si>
  <si>
    <t xml:space="preserve">billing_transactions_2022_2026.csv row 45354</t>
  </si>
  <si>
    <t xml:space="preserve">slip_inventory_2026-08.csv row 568; applicant_register_2026-08.csv row 1698</t>
  </si>
  <si>
    <t xml:space="preserve">EW-0321</t>
  </si>
  <si>
    <t xml:space="preserve">WL-02660</t>
  </si>
  <si>
    <t xml:space="preserve">Bridget Moore</t>
  </si>
  <si>
    <t xml:space="preserve">MA-2024-0321</t>
  </si>
  <si>
    <t xml:space="preserve">TXN-202607-032533</t>
  </si>
  <si>
    <t xml:space="preserve">billing_transactions_2022_2026.csv row 45355</t>
  </si>
  <si>
    <t xml:space="preserve">slip_inventory_2026-08.csv row 570; applicant_register_2026-08.csv row 1661</t>
  </si>
  <si>
    <t xml:space="preserve">EW-0322</t>
  </si>
  <si>
    <t xml:space="preserve">WL-02010</t>
  </si>
  <si>
    <t xml:space="preserve">Anthony Thompson</t>
  </si>
  <si>
    <t xml:space="preserve">MA-2024-0322</t>
  </si>
  <si>
    <t xml:space="preserve">TXN-202607-032618</t>
  </si>
  <si>
    <t xml:space="preserve">billing_transactions_2022_2026.csv row 45357</t>
  </si>
  <si>
    <t xml:space="preserve">slip_inventory_2026-08.csv row 571; applicant_register_2026-08.csv row 1011</t>
  </si>
  <si>
    <t xml:space="preserve">EW-0323</t>
  </si>
  <si>
    <t xml:space="preserve">MA-2024-0323</t>
  </si>
  <si>
    <t xml:space="preserve">TXN-202607-032672</t>
  </si>
  <si>
    <t xml:space="preserve">billing_transactions_2022_2026.csv row 45359</t>
  </si>
  <si>
    <t xml:space="preserve">slip_inventory_2026-08.csv row 572; applicant_register_2026-08.csv row 1686</t>
  </si>
  <si>
    <t xml:space="preserve">MA-2024-0324</t>
  </si>
  <si>
    <t xml:space="preserve">TXN-202607-032709</t>
  </si>
  <si>
    <t xml:space="preserve">billing_transactions_2022_2026.csv row 45360</t>
  </si>
  <si>
    <t xml:space="preserve">slip_inventory_2026-08.csv row 573; applicant_register_2026-08.csv row 1460</t>
  </si>
  <si>
    <t xml:space="preserve">EW-0401</t>
  </si>
  <si>
    <t xml:space="preserve">WL-02377</t>
  </si>
  <si>
    <t xml:space="preserve">Tammy Patterson</t>
  </si>
  <si>
    <t xml:space="preserve">MA-2024-0401</t>
  </si>
  <si>
    <t xml:space="preserve">TXN-202607-032751</t>
  </si>
  <si>
    <t xml:space="preserve">billing_transactions_2022_2026.csv row 45361</t>
  </si>
  <si>
    <t xml:space="preserve">slip_inventory_2026-08.csv row 574; applicant_register_2026-08.csv row 1378</t>
  </si>
  <si>
    <t xml:space="preserve">EW-0402</t>
  </si>
  <si>
    <t xml:space="preserve">WL-01741</t>
  </si>
  <si>
    <t xml:space="preserve">Lisa Burton</t>
  </si>
  <si>
    <t xml:space="preserve">MA-2024-0402</t>
  </si>
  <si>
    <t xml:space="preserve">TXN-202607-032803</t>
  </si>
  <si>
    <t xml:space="preserve">billing_transactions_2022_2026.csv row 45362</t>
  </si>
  <si>
    <t xml:space="preserve">slip_inventory_2026-08.csv row 575; applicant_register_2026-08.csv row 742</t>
  </si>
  <si>
    <t xml:space="preserve">EW-0403</t>
  </si>
  <si>
    <t xml:space="preserve">WL-01209</t>
  </si>
  <si>
    <t xml:space="preserve">Amy Luna</t>
  </si>
  <si>
    <t xml:space="preserve">MA-2024-0403</t>
  </si>
  <si>
    <t xml:space="preserve">TXN-202607-032867</t>
  </si>
  <si>
    <t xml:space="preserve">billing_transactions_2022_2026.csv row 45363</t>
  </si>
  <si>
    <t xml:space="preserve">slip_inventory_2026-08.csv row 576; applicant_register_2026-08.csv row 210</t>
  </si>
  <si>
    <t xml:space="preserve">EW-0404</t>
  </si>
  <si>
    <t xml:space="preserve">WL-01370</t>
  </si>
  <si>
    <t xml:space="preserve">James Graham</t>
  </si>
  <si>
    <t xml:space="preserve">MA-2024-0404</t>
  </si>
  <si>
    <t xml:space="preserve">TXN-202607-032926</t>
  </si>
  <si>
    <t xml:space="preserve">billing_transactions_2022_2026.csv row 45364</t>
  </si>
  <si>
    <t xml:space="preserve">slip_inventory_2026-08.csv row 577; applicant_register_2026-08.csv row 371</t>
  </si>
  <si>
    <t xml:space="preserve">EW-0405</t>
  </si>
  <si>
    <t xml:space="preserve">WL-02480</t>
  </si>
  <si>
    <t xml:space="preserve">Rachel Edwards</t>
  </si>
  <si>
    <t xml:space="preserve">MA-2024-0405</t>
  </si>
  <si>
    <t xml:space="preserve">TXN-202607-032959</t>
  </si>
  <si>
    <t xml:space="preserve">billing_transactions_2022_2026.csv row 45365</t>
  </si>
  <si>
    <t xml:space="preserve">slip_inventory_2026-08.csv row 578; applicant_register_2026-08.csv row 1481</t>
  </si>
  <si>
    <t xml:space="preserve">EW-0406</t>
  </si>
  <si>
    <t xml:space="preserve">WL-02810</t>
  </si>
  <si>
    <t xml:space="preserve">Steven Morgan</t>
  </si>
  <si>
    <t xml:space="preserve">MA-2024-0406</t>
  </si>
  <si>
    <t xml:space="preserve">TXN-202607-033038</t>
  </si>
  <si>
    <t xml:space="preserve">billing_transactions_2022_2026.csv row 45367</t>
  </si>
  <si>
    <t xml:space="preserve">slip_inventory_2026-08.csv row 579; applicant_register_2026-08.csv row 1811</t>
  </si>
  <si>
    <t xml:space="preserve">EW-0407</t>
  </si>
  <si>
    <t xml:space="preserve">David Silva</t>
  </si>
  <si>
    <t xml:space="preserve">MA-2024-0407</t>
  </si>
  <si>
    <t xml:space="preserve">TXN-202607-033098</t>
  </si>
  <si>
    <t xml:space="preserve">billing_transactions_2022_2026.csv row 45368</t>
  </si>
  <si>
    <t xml:space="preserve">slip_inventory_2026-08.csv row 580; applicant_register_2026-08.csv row 1315</t>
  </si>
  <si>
    <t xml:space="preserve">EW-0408</t>
  </si>
  <si>
    <t xml:space="preserve">WL-02705</t>
  </si>
  <si>
    <t xml:space="preserve">Amy Smith</t>
  </si>
  <si>
    <t xml:space="preserve">MA-2024-0408</t>
  </si>
  <si>
    <t xml:space="preserve">TXN-202607-033164</t>
  </si>
  <si>
    <t xml:space="preserve">billing_transactions_2022_2026.csv row 45369</t>
  </si>
  <si>
    <t xml:space="preserve">slip_inventory_2026-08.csv row 581; applicant_register_2026-08.csv row 1706</t>
  </si>
  <si>
    <t xml:space="preserve">EW-0409</t>
  </si>
  <si>
    <t xml:space="preserve">MA-2024-0409</t>
  </si>
  <si>
    <t xml:space="preserve">TXN-202607-033248</t>
  </si>
  <si>
    <t xml:space="preserve">billing_transactions_2022_2026.csv row 45371</t>
  </si>
  <si>
    <t xml:space="preserve">slip_inventory_2026-08.csv row 582; applicant_register_2026-08.csv row 265</t>
  </si>
  <si>
    <t xml:space="preserve">EW-0410</t>
  </si>
  <si>
    <t xml:space="preserve">WL-02449</t>
  </si>
  <si>
    <t xml:space="preserve">Herbert Johnson</t>
  </si>
  <si>
    <t xml:space="preserve">MA-2024-0410</t>
  </si>
  <si>
    <t xml:space="preserve">TXN-202607-033290</t>
  </si>
  <si>
    <t xml:space="preserve">billing_transactions_2022_2026.csv row 45372</t>
  </si>
  <si>
    <t xml:space="preserve">slip_inventory_2026-08.csv row 583; applicant_register_2026-08.csv row 1450</t>
  </si>
  <si>
    <t xml:space="preserve">EW-0411</t>
  </si>
  <si>
    <t xml:space="preserve">WL-01489</t>
  </si>
  <si>
    <t xml:space="preserve">Donna Thomas</t>
  </si>
  <si>
    <t xml:space="preserve">MA-2024-0411</t>
  </si>
  <si>
    <t xml:space="preserve">TXN-202607-033363</t>
  </si>
  <si>
    <t xml:space="preserve">billing_transactions_2022_2026.csv row 45373</t>
  </si>
  <si>
    <t xml:space="preserve">slip_inventory_2026-08.csv row 584; applicant_register_2026-08.csv row 490</t>
  </si>
  <si>
    <t xml:space="preserve">EW-0412</t>
  </si>
  <si>
    <t xml:space="preserve">WL-01854</t>
  </si>
  <si>
    <t xml:space="preserve">Vincent Simon</t>
  </si>
  <si>
    <t xml:space="preserve">MA-2024-0412</t>
  </si>
  <si>
    <t xml:space="preserve">TXN-202607-033421</t>
  </si>
  <si>
    <t xml:space="preserve">billing_transactions_2022_2026.csv row 45374</t>
  </si>
  <si>
    <t xml:space="preserve">slip_inventory_2026-08.csv row 585; applicant_register_2026-08.csv row 855</t>
  </si>
  <si>
    <t xml:space="preserve">EW-0413</t>
  </si>
  <si>
    <t xml:space="preserve">WL-02169</t>
  </si>
  <si>
    <t xml:space="preserve">Maria Weber</t>
  </si>
  <si>
    <t xml:space="preserve">MA-2024-0413</t>
  </si>
  <si>
    <t xml:space="preserve">TXN-202607-033479</t>
  </si>
  <si>
    <t xml:space="preserve">billing_transactions_2022_2026.csv row 45376</t>
  </si>
  <si>
    <t xml:space="preserve">slip_inventory_2026-08.csv row 586; applicant_register_2026-08.csv row 1170</t>
  </si>
  <si>
    <t xml:space="preserve">EW-0414</t>
  </si>
  <si>
    <t xml:space="preserve">WL-02221</t>
  </si>
  <si>
    <t xml:space="preserve">Jason Howe</t>
  </si>
  <si>
    <t xml:space="preserve">MA-2024-0414</t>
  </si>
  <si>
    <t xml:space="preserve">TXN-202607-033548</t>
  </si>
  <si>
    <t xml:space="preserve">billing_transactions_2022_2026.csv row 45377</t>
  </si>
  <si>
    <t xml:space="preserve">slip_inventory_2026-08.csv row 587; applicant_register_2026-08.csv row 1222</t>
  </si>
  <si>
    <t xml:space="preserve">WL-02536</t>
  </si>
  <si>
    <t xml:space="preserve">Christian Ellis</t>
  </si>
  <si>
    <t xml:space="preserve">MA-2024-0415</t>
  </si>
  <si>
    <t xml:space="preserve">TXN-202607-033599</t>
  </si>
  <si>
    <t xml:space="preserve">billing_transactions_2022_2026.csv row 45378</t>
  </si>
  <si>
    <t xml:space="preserve">slip_inventory_2026-08.csv row 588; applicant_register_2026-08.csv row 1537</t>
  </si>
  <si>
    <t xml:space="preserve">EW-0416</t>
  </si>
  <si>
    <t xml:space="preserve">WL-02988</t>
  </si>
  <si>
    <t xml:space="preserve">Jamie Roberts</t>
  </si>
  <si>
    <t xml:space="preserve">MA-2024-0416</t>
  </si>
  <si>
    <t xml:space="preserve">TXN-202607-033635</t>
  </si>
  <si>
    <t xml:space="preserve">billing_transactions_2022_2026.csv row 45380</t>
  </si>
  <si>
    <t xml:space="preserve">slip_inventory_2026-08.csv row 589; applicant_register_2026-08.csv row 1989</t>
  </si>
  <si>
    <t xml:space="preserve">EW-0417</t>
  </si>
  <si>
    <t xml:space="preserve">WL-01997</t>
  </si>
  <si>
    <t xml:space="preserve">Laura Avila</t>
  </si>
  <si>
    <t xml:space="preserve">MA-2024-0417</t>
  </si>
  <si>
    <t xml:space="preserve">TXN-202607-033692</t>
  </si>
  <si>
    <t xml:space="preserve">billing_transactions_2022_2026.csv row 45382</t>
  </si>
  <si>
    <t xml:space="preserve">slip_inventory_2026-08.csv row 590; applicant_register_2026-08.csv row 998</t>
  </si>
  <si>
    <t xml:space="preserve">EW-0418</t>
  </si>
  <si>
    <t xml:space="preserve">WL-02772</t>
  </si>
  <si>
    <t xml:space="preserve">Sarah Chambers</t>
  </si>
  <si>
    <t xml:space="preserve">MA-2024-0418</t>
  </si>
  <si>
    <t xml:space="preserve">TXN-202607-033737</t>
  </si>
  <si>
    <t xml:space="preserve">billing_transactions_2022_2026.csv row 45384</t>
  </si>
  <si>
    <t xml:space="preserve">slip_inventory_2026-08.csv row 591; applicant_register_2026-08.csv row 1773</t>
  </si>
  <si>
    <t xml:space="preserve">EW-0419</t>
  </si>
  <si>
    <t xml:space="preserve">MA-2024-0419</t>
  </si>
  <si>
    <t xml:space="preserve">TXN-202607-033801</t>
  </si>
  <si>
    <t xml:space="preserve">billing_transactions_2022_2026.csv row 45386</t>
  </si>
  <si>
    <t xml:space="preserve">slip_inventory_2026-08.csv row 592; applicant_register_2026-08.csv row 2751</t>
  </si>
  <si>
    <t xml:space="preserve">EW-0420</t>
  </si>
  <si>
    <t xml:space="preserve">Justin Pearson</t>
  </si>
  <si>
    <t xml:space="preserve">MA-2024-0420</t>
  </si>
  <si>
    <t xml:space="preserve">TXN-202607-033843</t>
  </si>
  <si>
    <t xml:space="preserve">billing_transactions_2022_2026.csv row 45388</t>
  </si>
  <si>
    <t xml:space="preserve">slip_inventory_2026-08.csv row 593; applicant_register_2026-08.csv row 2051</t>
  </si>
  <si>
    <t xml:space="preserve">MA-2024-0421</t>
  </si>
  <si>
    <t xml:space="preserve">TXN-202607-033894</t>
  </si>
  <si>
    <t xml:space="preserve">billing_transactions_2022_2026.csv row 45390</t>
  </si>
  <si>
    <t xml:space="preserve">slip_inventory_2026-08.csv row 594; applicant_register_2026-08.csv row 421</t>
  </si>
  <si>
    <t xml:space="preserve">EW-0423</t>
  </si>
  <si>
    <t xml:space="preserve">WL-01906</t>
  </si>
  <si>
    <t xml:space="preserve">Jessica Flores</t>
  </si>
  <si>
    <t xml:space="preserve">MA-2024-0423</t>
  </si>
  <si>
    <t xml:space="preserve">TXN-202607-033943</t>
  </si>
  <si>
    <t xml:space="preserve">billing_transactions_2022_2026.csv row 45391</t>
  </si>
  <si>
    <t xml:space="preserve">slip_inventory_2026-08.csv row 596; applicant_register_2026-08.csv row 907</t>
  </si>
  <si>
    <t xml:space="preserve">EW-0424</t>
  </si>
  <si>
    <t xml:space="preserve">WL-03790</t>
  </si>
  <si>
    <t xml:space="preserve">Bradley Walker</t>
  </si>
  <si>
    <t xml:space="preserve">MA-2024-0424</t>
  </si>
  <si>
    <t xml:space="preserve">TXN-202607-034021</t>
  </si>
  <si>
    <t xml:space="preserve">billing_transactions_2022_2026.csv row 45392</t>
  </si>
  <si>
    <t xml:space="preserve">slip_inventory_2026-08.csv row 597; applicant_register_2026-08.csv row 2791</t>
  </si>
  <si>
    <t xml:space="preserve">EW-0502</t>
  </si>
  <si>
    <t xml:space="preserve">WL-02559</t>
  </si>
  <si>
    <t xml:space="preserve">Joshua Alvarado</t>
  </si>
  <si>
    <t xml:space="preserve">MA-2024-0502</t>
  </si>
  <si>
    <t xml:space="preserve">TXN-202607-034086</t>
  </si>
  <si>
    <t xml:space="preserve">billing_transactions_2022_2026.csv row 45394</t>
  </si>
  <si>
    <t xml:space="preserve">slip_inventory_2026-08.csv row 599; applicant_register_2026-08.csv row 1560</t>
  </si>
  <si>
    <t xml:space="preserve">EW-0503</t>
  </si>
  <si>
    <t xml:space="preserve">WL-01756</t>
  </si>
  <si>
    <t xml:space="preserve">Alexander Mcdonald</t>
  </si>
  <si>
    <t xml:space="preserve">MA-2024-0503</t>
  </si>
  <si>
    <t xml:space="preserve">TXN-202607-034165</t>
  </si>
  <si>
    <t xml:space="preserve">billing_transactions_2022_2026.csv row 45396</t>
  </si>
  <si>
    <t xml:space="preserve">slip_inventory_2026-08.csv row 600; applicant_register_2026-08.csv row 757</t>
  </si>
  <si>
    <t xml:space="preserve">EW-0504</t>
  </si>
  <si>
    <t xml:space="preserve">WL-02218</t>
  </si>
  <si>
    <t xml:space="preserve">Dawn Mccarthy</t>
  </si>
  <si>
    <t xml:space="preserve">MA-2024-0504</t>
  </si>
  <si>
    <t xml:space="preserve">TXN-202607-034245</t>
  </si>
  <si>
    <t xml:space="preserve">billing_transactions_2022_2026.csv row 45397</t>
  </si>
  <si>
    <t xml:space="preserve">slip_inventory_2026-08.csv row 601; applicant_register_2026-08.csv row 1219</t>
  </si>
  <si>
    <t xml:space="preserve">EW-0505</t>
  </si>
  <si>
    <t xml:space="preserve">WL-02464</t>
  </si>
  <si>
    <t xml:space="preserve">Lisa Perez</t>
  </si>
  <si>
    <t xml:space="preserve">MA-2024-0505</t>
  </si>
  <si>
    <t xml:space="preserve">TXN-202607-034300</t>
  </si>
  <si>
    <t xml:space="preserve">billing_transactions_2022_2026.csv row 45398</t>
  </si>
  <si>
    <t xml:space="preserve">slip_inventory_2026-08.csv row 602; applicant_register_2026-08.csv row 1465</t>
  </si>
  <si>
    <t xml:space="preserve">EW-0506</t>
  </si>
  <si>
    <t xml:space="preserve">WL-01608</t>
  </si>
  <si>
    <t xml:space="preserve">Madeline Wright</t>
  </si>
  <si>
    <t xml:space="preserve">MA-2024-0506</t>
  </si>
  <si>
    <t xml:space="preserve">TXN-202607-034373</t>
  </si>
  <si>
    <t xml:space="preserve">billing_transactions_2022_2026.csv row 45400</t>
  </si>
  <si>
    <t xml:space="preserve">slip_inventory_2026-08.csv row 603; applicant_register_2026-08.csv row 609</t>
  </si>
  <si>
    <t xml:space="preserve">EW-0507</t>
  </si>
  <si>
    <t xml:space="preserve">WL-02869</t>
  </si>
  <si>
    <t xml:space="preserve">George Robbins</t>
  </si>
  <si>
    <t xml:space="preserve">MA-2024-0507</t>
  </si>
  <si>
    <t xml:space="preserve">TXN-202607-034455</t>
  </si>
  <si>
    <t xml:space="preserve">billing_transactions_2022_2026.csv row 45401</t>
  </si>
  <si>
    <t xml:space="preserve">slip_inventory_2026-08.csv row 604; applicant_register_2026-08.csv row 1870</t>
  </si>
  <si>
    <t xml:space="preserve">EW-0508</t>
  </si>
  <si>
    <t xml:space="preserve">WL-03534</t>
  </si>
  <si>
    <t xml:space="preserve">Henry Morris</t>
  </si>
  <si>
    <t xml:space="preserve">MA-2024-0508</t>
  </si>
  <si>
    <t xml:space="preserve">TXN-202607-034509</t>
  </si>
  <si>
    <t xml:space="preserve">billing_transactions_2022_2026.csv row 45402</t>
  </si>
  <si>
    <t xml:space="preserve">slip_inventory_2026-08.csv row 605; applicant_register_2026-08.csv row 2535</t>
  </si>
  <si>
    <t xml:space="preserve">EW-0510</t>
  </si>
  <si>
    <t xml:space="preserve">WL-03346</t>
  </si>
  <si>
    <t xml:space="preserve">MA-2024-0510</t>
  </si>
  <si>
    <t xml:space="preserve">TXN-202607-034563</t>
  </si>
  <si>
    <t xml:space="preserve">billing_transactions_2022_2026.csv row 45403</t>
  </si>
  <si>
    <t xml:space="preserve">slip_inventory_2026-08.csv row 607; applicant_register_2026-08.csv row 2347</t>
  </si>
  <si>
    <t xml:space="preserve">WL-03287</t>
  </si>
  <si>
    <t xml:space="preserve">Deborah Holmes</t>
  </si>
  <si>
    <t xml:space="preserve">MA-2024-0511</t>
  </si>
  <si>
    <t xml:space="preserve">TXN-202607-034625</t>
  </si>
  <si>
    <t xml:space="preserve">billing_transactions_2022_2026.csv row 45404</t>
  </si>
  <si>
    <t xml:space="preserve">slip_inventory_2026-08.csv row 608; applicant_register_2026-08.csv row 2288</t>
  </si>
  <si>
    <t xml:space="preserve">EW-0512</t>
  </si>
  <si>
    <t xml:space="preserve">WL-02879</t>
  </si>
  <si>
    <t xml:space="preserve">Vincent Long</t>
  </si>
  <si>
    <t xml:space="preserve">MA-2024-0512</t>
  </si>
  <si>
    <t xml:space="preserve">TXN-202607-034705</t>
  </si>
  <si>
    <t xml:space="preserve">billing_transactions_2022_2026.csv row 45405</t>
  </si>
  <si>
    <t xml:space="preserve">slip_inventory_2026-08.csv row 609; applicant_register_2026-08.csv row 1880</t>
  </si>
  <si>
    <t xml:space="preserve">EW-0513</t>
  </si>
  <si>
    <t xml:space="preserve">WL-01694</t>
  </si>
  <si>
    <t xml:space="preserve">Cory Aguirre</t>
  </si>
  <si>
    <t xml:space="preserve">MA-2024-0513</t>
  </si>
  <si>
    <t xml:space="preserve">TXN-202607-034779</t>
  </si>
  <si>
    <t xml:space="preserve">billing_transactions_2022_2026.csv row 45406</t>
  </si>
  <si>
    <t xml:space="preserve">slip_inventory_2026-08.csv row 610; applicant_register_2026-08.csv row 695</t>
  </si>
  <si>
    <t xml:space="preserve">EW-0514</t>
  </si>
  <si>
    <t xml:space="preserve">WL-02692</t>
  </si>
  <si>
    <t xml:space="preserve">Benjamin Vasquez</t>
  </si>
  <si>
    <t xml:space="preserve">MA-2024-0514</t>
  </si>
  <si>
    <t xml:space="preserve">TXN-202607-034853</t>
  </si>
  <si>
    <t xml:space="preserve">billing_transactions_2022_2026.csv row 45408</t>
  </si>
  <si>
    <t xml:space="preserve">slip_inventory_2026-08.csv row 611; applicant_register_2026-08.csv row 1693</t>
  </si>
  <si>
    <t xml:space="preserve">EW-0515</t>
  </si>
  <si>
    <t xml:space="preserve">MA-2024-0515</t>
  </si>
  <si>
    <t xml:space="preserve">TXN-202607-034901</t>
  </si>
  <si>
    <t xml:space="preserve">billing_transactions_2022_2026.csv row 45409</t>
  </si>
  <si>
    <t xml:space="preserve">slip_inventory_2026-08.csv row 612; applicant_register_2026-08.csv row 937</t>
  </si>
  <si>
    <t xml:space="preserve">EW-0516</t>
  </si>
  <si>
    <t xml:space="preserve">WL-03909</t>
  </si>
  <si>
    <t xml:space="preserve">Elizabeth Edwards</t>
  </si>
  <si>
    <t xml:space="preserve">MA-2024-0516</t>
  </si>
  <si>
    <t xml:space="preserve">TXN-202607-034960</t>
  </si>
  <si>
    <t xml:space="preserve">billing_transactions_2022_2026.csv row 45410</t>
  </si>
  <si>
    <t xml:space="preserve">slip_inventory_2026-08.csv row 613; applicant_register_2026-08.csv row 2910</t>
  </si>
  <si>
    <t xml:space="preserve">EW-0517</t>
  </si>
  <si>
    <t xml:space="preserve">WL-01673</t>
  </si>
  <si>
    <t xml:space="preserve">Kellie Lee</t>
  </si>
  <si>
    <t xml:space="preserve">MA-2024-0517</t>
  </si>
  <si>
    <t xml:space="preserve">TXN-202607-035018</t>
  </si>
  <si>
    <t xml:space="preserve">billing_transactions_2022_2026.csv row 45412</t>
  </si>
  <si>
    <t xml:space="preserve">slip_inventory_2026-08.csv row 614; applicant_register_2026-08.csv row 674</t>
  </si>
  <si>
    <t xml:space="preserve">WL-01433</t>
  </si>
  <si>
    <t xml:space="preserve">Lisa Aguilar</t>
  </si>
  <si>
    <t xml:space="preserve">MA-2024-0518</t>
  </si>
  <si>
    <t xml:space="preserve">TXN-202607-035099</t>
  </si>
  <si>
    <t xml:space="preserve">billing_transactions_2022_2026.csv row 45414</t>
  </si>
  <si>
    <t xml:space="preserve">slip_inventory_2026-08.csv row 615; applicant_register_2026-08.csv row 434</t>
  </si>
  <si>
    <t xml:space="preserve">WL-01765</t>
  </si>
  <si>
    <t xml:space="preserve">Donald Edwards</t>
  </si>
  <si>
    <t xml:space="preserve">MA-2024-0519</t>
  </si>
  <si>
    <t xml:space="preserve">TXN-202607-035175</t>
  </si>
  <si>
    <t xml:space="preserve">billing_transactions_2022_2026.csv row 45415</t>
  </si>
  <si>
    <t xml:space="preserve">slip_inventory_2026-08.csv row 616; applicant_register_2026-08.csv row 766</t>
  </si>
  <si>
    <t xml:space="preserve">EW-0520</t>
  </si>
  <si>
    <t xml:space="preserve">WL-02696</t>
  </si>
  <si>
    <t xml:space="preserve">Hunter Galloway</t>
  </si>
  <si>
    <t xml:space="preserve">MA-2024-0520</t>
  </si>
  <si>
    <t xml:space="preserve">TXN-202607-035250</t>
  </si>
  <si>
    <t xml:space="preserve">billing_transactions_2022_2026.csv row 45417</t>
  </si>
  <si>
    <t xml:space="preserve">slip_inventory_2026-08.csv row 617; applicant_register_2026-08.csv row 1697</t>
  </si>
  <si>
    <t xml:space="preserve">EW-0521</t>
  </si>
  <si>
    <t xml:space="preserve">WL-02992</t>
  </si>
  <si>
    <t xml:space="preserve">Emily Cox</t>
  </si>
  <si>
    <t xml:space="preserve">MA-2024-0521</t>
  </si>
  <si>
    <t xml:space="preserve">TXN-202607-035293</t>
  </si>
  <si>
    <t xml:space="preserve">billing_transactions_2022_2026.csv row 45419</t>
  </si>
  <si>
    <t xml:space="preserve">slip_inventory_2026-08.csv row 618; applicant_register_2026-08.csv row 1993</t>
  </si>
  <si>
    <t xml:space="preserve">MA-2024-0522</t>
  </si>
  <si>
    <t xml:space="preserve">TXN-202607-035347</t>
  </si>
  <si>
    <t xml:space="preserve">billing_transactions_2022_2026.csv row 45420</t>
  </si>
  <si>
    <t xml:space="preserve">slip_inventory_2026-08.csv row 619; applicant_register_2026-08.csv row 2630</t>
  </si>
  <si>
    <t xml:space="preserve">WL-01972</t>
  </si>
  <si>
    <t xml:space="preserve">Robyn Torres</t>
  </si>
  <si>
    <t xml:space="preserve">MA-2024-0523</t>
  </si>
  <si>
    <t xml:space="preserve">TXN-202607-035425</t>
  </si>
  <si>
    <t xml:space="preserve">billing_transactions_2022_2026.csv row 45421</t>
  </si>
  <si>
    <t xml:space="preserve">slip_inventory_2026-08.csv row 620; applicant_register_2026-08.csv row 973</t>
  </si>
  <si>
    <t xml:space="preserve">EW-0524</t>
  </si>
  <si>
    <t xml:space="preserve">Jason Boyd</t>
  </si>
  <si>
    <t xml:space="preserve">MA-2024-0524</t>
  </si>
  <si>
    <t xml:space="preserve">TXN-202607-035478</t>
  </si>
  <si>
    <t xml:space="preserve">billing_transactions_2022_2026.csv row 45423</t>
  </si>
  <si>
    <t xml:space="preserve">slip_inventory_2026-08.csv row 621; applicant_register_2026-08.csv row 299</t>
  </si>
  <si>
    <t xml:space="preserve">EW-0601</t>
  </si>
  <si>
    <t xml:space="preserve">WL-02782</t>
  </si>
  <si>
    <t xml:space="preserve">Judy Adams</t>
  </si>
  <si>
    <t xml:space="preserve">MA-2024-0601</t>
  </si>
  <si>
    <t xml:space="preserve">TXN-202607-035546</t>
  </si>
  <si>
    <t xml:space="preserve">billing_transactions_2022_2026.csv row 45424</t>
  </si>
  <si>
    <t xml:space="preserve">slip_inventory_2026-08.csv row 622; applicant_register_2026-08.csv row 1783</t>
  </si>
  <si>
    <t xml:space="preserve">EW-0602</t>
  </si>
  <si>
    <t xml:space="preserve">WL-02572</t>
  </si>
  <si>
    <t xml:space="preserve">Kelly Cox</t>
  </si>
  <si>
    <t xml:space="preserve">MA-2024-0602</t>
  </si>
  <si>
    <t xml:space="preserve">TXN-202607-035605</t>
  </si>
  <si>
    <t xml:space="preserve">billing_transactions_2022_2026.csv row 45426</t>
  </si>
  <si>
    <t xml:space="preserve">slip_inventory_2026-08.csv row 623; applicant_register_2026-08.csv row 1573</t>
  </si>
  <si>
    <t xml:space="preserve">EW-0603</t>
  </si>
  <si>
    <t xml:space="preserve">WL-03665</t>
  </si>
  <si>
    <t xml:space="preserve">Maria Middleton</t>
  </si>
  <si>
    <t xml:space="preserve">MA-2024-0603</t>
  </si>
  <si>
    <t xml:space="preserve">TXN-202607-035681</t>
  </si>
  <si>
    <t xml:space="preserve">billing_transactions_2022_2026.csv row 45428</t>
  </si>
  <si>
    <t xml:space="preserve">slip_inventory_2026-08.csv row 624; applicant_register_2026-08.csv row 2666</t>
  </si>
  <si>
    <t xml:space="preserve">EW-0604</t>
  </si>
  <si>
    <t xml:space="preserve">WL-02293</t>
  </si>
  <si>
    <t xml:space="preserve">Brian Alexander</t>
  </si>
  <si>
    <t xml:space="preserve">MA-2024-0604</t>
  </si>
  <si>
    <t xml:space="preserve">TXN-202607-035743</t>
  </si>
  <si>
    <t xml:space="preserve">billing_transactions_2022_2026.csv row 45430</t>
  </si>
  <si>
    <t xml:space="preserve">slip_inventory_2026-08.csv row 625; applicant_register_2026-08.csv row 1294</t>
  </si>
  <si>
    <t xml:space="preserve">EW-0605</t>
  </si>
  <si>
    <t xml:space="preserve">WL-02016</t>
  </si>
  <si>
    <t xml:space="preserve">Andrea Garza</t>
  </si>
  <si>
    <t xml:space="preserve">MA-2024-0605</t>
  </si>
  <si>
    <t xml:space="preserve">TXN-202607-035799</t>
  </si>
  <si>
    <t xml:space="preserve">billing_transactions_2022_2026.csv row 45431</t>
  </si>
  <si>
    <t xml:space="preserve">slip_inventory_2026-08.csv row 626; applicant_register_2026-08.csv row 1017</t>
  </si>
  <si>
    <t xml:space="preserve">EW-0606</t>
  </si>
  <si>
    <t xml:space="preserve">WL-03431</t>
  </si>
  <si>
    <t xml:space="preserve">Lisa Cochran</t>
  </si>
  <si>
    <t xml:space="preserve">MA-2024-0606</t>
  </si>
  <si>
    <t xml:space="preserve">TXN-202607-035853</t>
  </si>
  <si>
    <t xml:space="preserve">billing_transactions_2022_2026.csv row 45433</t>
  </si>
  <si>
    <t xml:space="preserve">slip_inventory_2026-08.csv row 627; applicant_register_2026-08.csv row 2432</t>
  </si>
  <si>
    <t xml:space="preserve">WL-02210</t>
  </si>
  <si>
    <t xml:space="preserve">Erika Huber</t>
  </si>
  <si>
    <t xml:space="preserve">MA-2024-0607</t>
  </si>
  <si>
    <t xml:space="preserve">TXN-202607-035921</t>
  </si>
  <si>
    <t xml:space="preserve">billing_transactions_2022_2026.csv row 45435</t>
  </si>
  <si>
    <t xml:space="preserve">slip_inventory_2026-08.csv row 628; applicant_register_2026-08.csv row 1211</t>
  </si>
  <si>
    <t xml:space="preserve">WL-02498</t>
  </si>
  <si>
    <t xml:space="preserve">Patrick Herrera</t>
  </si>
  <si>
    <t xml:space="preserve">MA-2024-0608</t>
  </si>
  <si>
    <t xml:space="preserve">TXN-202607-035974</t>
  </si>
  <si>
    <t xml:space="preserve">billing_transactions_2022_2026.csv row 45436</t>
  </si>
  <si>
    <t xml:space="preserve">slip_inventory_2026-08.csv row 629; applicant_register_2026-08.csv row 1499</t>
  </si>
  <si>
    <t xml:space="preserve">EW-0609</t>
  </si>
  <si>
    <t xml:space="preserve">WL-01511</t>
  </si>
  <si>
    <t xml:space="preserve">Nancy Sullivan</t>
  </si>
  <si>
    <t xml:space="preserve">MA-2024-0609</t>
  </si>
  <si>
    <t xml:space="preserve">TXN-202607-036024</t>
  </si>
  <si>
    <t xml:space="preserve">billing_transactions_2022_2026.csv row 45437</t>
  </si>
  <si>
    <t xml:space="preserve">slip_inventory_2026-08.csv row 630; applicant_register_2026-08.csv row 512</t>
  </si>
  <si>
    <t xml:space="preserve">EW-0610</t>
  </si>
  <si>
    <t xml:space="preserve">Kayla Carpenter</t>
  </si>
  <si>
    <t xml:space="preserve">MA-2024-0610</t>
  </si>
  <si>
    <t xml:space="preserve">TXN-202607-036067</t>
  </si>
  <si>
    <t xml:space="preserve">billing_transactions_2022_2026.csv row 45438</t>
  </si>
  <si>
    <t xml:space="preserve">slip_inventory_2026-08.csv row 631; applicant_register_2026-08.csv row 1562</t>
  </si>
  <si>
    <t xml:space="preserve">EW-0611</t>
  </si>
  <si>
    <t xml:space="preserve">WL-01796</t>
  </si>
  <si>
    <t xml:space="preserve">MA-2024-0611</t>
  </si>
  <si>
    <t xml:space="preserve">TXN-202607-036131</t>
  </si>
  <si>
    <t xml:space="preserve">billing_transactions_2022_2026.csv row 45439</t>
  </si>
  <si>
    <t xml:space="preserve">slip_inventory_2026-08.csv row 632; applicant_register_2026-08.csv row 797</t>
  </si>
  <si>
    <t xml:space="preserve">EW-0614</t>
  </si>
  <si>
    <t xml:space="preserve">MA-2024-0614</t>
  </si>
  <si>
    <t xml:space="preserve">TXN-202607-036212</t>
  </si>
  <si>
    <t xml:space="preserve">billing_transactions_2022_2026.csv row 45441</t>
  </si>
  <si>
    <t xml:space="preserve">slip_inventory_2026-08.csv row 635; applicant_register_2026-08.csv row 1311</t>
  </si>
  <si>
    <t xml:space="preserve">EW-0615</t>
  </si>
  <si>
    <t xml:space="preserve">WL-03561</t>
  </si>
  <si>
    <t xml:space="preserve">Rebecca Crawford</t>
  </si>
  <si>
    <t xml:space="preserve">MA-2024-0615</t>
  </si>
  <si>
    <t xml:space="preserve">TXN-202607-036276</t>
  </si>
  <si>
    <t xml:space="preserve">billing_transactions_2022_2026.csv row 45442</t>
  </si>
  <si>
    <t xml:space="preserve">slip_inventory_2026-08.csv row 636; applicant_register_2026-08.csv row 2562</t>
  </si>
  <si>
    <t xml:space="preserve">EW-0616</t>
  </si>
  <si>
    <t xml:space="preserve">Harry Faulkner</t>
  </si>
  <si>
    <t xml:space="preserve">MA-2024-0616</t>
  </si>
  <si>
    <t xml:space="preserve">TXN-202607-036336</t>
  </si>
  <si>
    <t xml:space="preserve">billing_transactions_2022_2026.csv row 45444</t>
  </si>
  <si>
    <t xml:space="preserve">slip_inventory_2026-08.csv row 637; applicant_register_2026-08.csv row 290</t>
  </si>
  <si>
    <t xml:space="preserve">EW-0617</t>
  </si>
  <si>
    <t xml:space="preserve">WL-01818</t>
  </si>
  <si>
    <t xml:space="preserve">Natasha Higgins</t>
  </si>
  <si>
    <t xml:space="preserve">MA-2024-0617</t>
  </si>
  <si>
    <t xml:space="preserve">TXN-202607-036378</t>
  </si>
  <si>
    <t xml:space="preserve">billing_transactions_2022_2026.csv row 45445</t>
  </si>
  <si>
    <t xml:space="preserve">slip_inventory_2026-08.csv row 638; applicant_register_2026-08.csv row 819</t>
  </si>
  <si>
    <t xml:space="preserve">EW-0618</t>
  </si>
  <si>
    <t xml:space="preserve">WL-01884</t>
  </si>
  <si>
    <t xml:space="preserve">Rebecca Price</t>
  </si>
  <si>
    <t xml:space="preserve">MA-2024-0618</t>
  </si>
  <si>
    <t xml:space="preserve">TXN-202607-036457</t>
  </si>
  <si>
    <t xml:space="preserve">billing_transactions_2022_2026.csv row 45447</t>
  </si>
  <si>
    <t xml:space="preserve">slip_inventory_2026-08.csv row 639; applicant_register_2026-08.csv row 885</t>
  </si>
  <si>
    <t xml:space="preserve">EW-0621</t>
  </si>
  <si>
    <t xml:space="preserve">WL-01004</t>
  </si>
  <si>
    <t xml:space="preserve">Joseph Lopez</t>
  </si>
  <si>
    <t xml:space="preserve">MA-2024-0621</t>
  </si>
  <si>
    <t xml:space="preserve">TXN-202607-036534</t>
  </si>
  <si>
    <t xml:space="preserve">billing_transactions_2022_2026.csv row 45449</t>
  </si>
  <si>
    <t xml:space="preserve">slip_inventory_2026-08.csv row 642; applicant_register_2026-08.csv row 5</t>
  </si>
  <si>
    <t xml:space="preserve">EW-0623</t>
  </si>
  <si>
    <t xml:space="preserve">WL-02886</t>
  </si>
  <si>
    <t xml:space="preserve">Sarah Woods</t>
  </si>
  <si>
    <t xml:space="preserve">MA-2024-0623</t>
  </si>
  <si>
    <t xml:space="preserve">TXN-202607-036608</t>
  </si>
  <si>
    <t xml:space="preserve">billing_transactions_2022_2026.csv row 45451</t>
  </si>
  <si>
    <t xml:space="preserve">slip_inventory_2026-08.csv row 644; applicant_register_2026-08.csv row 1887</t>
  </si>
  <si>
    <t xml:space="preserve">WL-01257</t>
  </si>
  <si>
    <t xml:space="preserve">Steven Parrish</t>
  </si>
  <si>
    <t xml:space="preserve">MA-2024-0624</t>
  </si>
  <si>
    <t xml:space="preserve">TXN-202607-036684</t>
  </si>
  <si>
    <t xml:space="preserve">billing_transactions_2022_2026.csv row 45452</t>
  </si>
  <si>
    <t xml:space="preserve">slip_inventory_2026-08.csv row 645; applicant_register_2026-08.csv row 258</t>
  </si>
  <si>
    <t xml:space="preserve">EW-0702</t>
  </si>
  <si>
    <t xml:space="preserve">WL-02343</t>
  </si>
  <si>
    <t xml:space="preserve">Nicole Mata</t>
  </si>
  <si>
    <t xml:space="preserve">MA-2024-0702</t>
  </si>
  <si>
    <t xml:space="preserve">TXN-202607-036763</t>
  </si>
  <si>
    <t xml:space="preserve">billing_transactions_2022_2026.csv row 45453</t>
  </si>
  <si>
    <t xml:space="preserve">slip_inventory_2026-08.csv row 647; applicant_register_2026-08.csv row 1344</t>
  </si>
  <si>
    <t xml:space="preserve">EW-0703</t>
  </si>
  <si>
    <t xml:space="preserve">WL-01158</t>
  </si>
  <si>
    <t xml:space="preserve">Scott Gutierrez</t>
  </si>
  <si>
    <t xml:space="preserve">MA-2024-0703</t>
  </si>
  <si>
    <t xml:space="preserve">TXN-202607-036842</t>
  </si>
  <si>
    <t xml:space="preserve">billing_transactions_2022_2026.csv row 45454</t>
  </si>
  <si>
    <t xml:space="preserve">slip_inventory_2026-08.csv row 648; applicant_register_2026-08.csv row 159</t>
  </si>
  <si>
    <t xml:space="preserve">EW-0704</t>
  </si>
  <si>
    <t xml:space="preserve">WL-03717</t>
  </si>
  <si>
    <t xml:space="preserve">Roy Schmitt</t>
  </si>
  <si>
    <t xml:space="preserve">MA-2024-0704</t>
  </si>
  <si>
    <t xml:space="preserve">TXN-202607-036883</t>
  </si>
  <si>
    <t xml:space="preserve">billing_transactions_2022_2026.csv row 45455</t>
  </si>
  <si>
    <t xml:space="preserve">slip_inventory_2026-08.csv row 649; applicant_register_2026-08.csv row 2718</t>
  </si>
  <si>
    <t xml:space="preserve">EW-0705</t>
  </si>
  <si>
    <t xml:space="preserve">WL-01681</t>
  </si>
  <si>
    <t xml:space="preserve">Trevor Jones</t>
  </si>
  <si>
    <t xml:space="preserve">MA-2024-0705</t>
  </si>
  <si>
    <t xml:space="preserve">TXN-202607-036962</t>
  </si>
  <si>
    <t xml:space="preserve">billing_transactions_2022_2026.csv row 45456</t>
  </si>
  <si>
    <t xml:space="preserve">slip_inventory_2026-08.csv row 650; applicant_register_2026-08.csv row 682</t>
  </si>
  <si>
    <t xml:space="preserve">EW-0706</t>
  </si>
  <si>
    <t xml:space="preserve">WL-03502</t>
  </si>
  <si>
    <t xml:space="preserve">Jennifer Bryant</t>
  </si>
  <si>
    <t xml:space="preserve">MA-2024-0706</t>
  </si>
  <si>
    <t xml:space="preserve">TXN-202607-037035</t>
  </si>
  <si>
    <t xml:space="preserve">billing_transactions_2022_2026.csv row 45458</t>
  </si>
  <si>
    <t xml:space="preserve">slip_inventory_2026-08.csv row 651; applicant_register_2026-08.csv row 2503</t>
  </si>
  <si>
    <t xml:space="preserve">WL-02872</t>
  </si>
  <si>
    <t xml:space="preserve">Jessica Fitzgerald</t>
  </si>
  <si>
    <t xml:space="preserve">MA-2024-0708</t>
  </si>
  <si>
    <t xml:space="preserve">TXN-202607-037111</t>
  </si>
  <si>
    <t xml:space="preserve">billing_transactions_2022_2026.csv row 45460</t>
  </si>
  <si>
    <t xml:space="preserve">slip_inventory_2026-08.csv row 653; applicant_register_2026-08.csv row 1873</t>
  </si>
  <si>
    <t xml:space="preserve">Dana Walker</t>
  </si>
  <si>
    <t xml:space="preserve">MA-2024-0709</t>
  </si>
  <si>
    <t xml:space="preserve">TXN-202607-037171</t>
  </si>
  <si>
    <t xml:space="preserve">billing_transactions_2022_2026.csv row 45461</t>
  </si>
  <si>
    <t xml:space="preserve">slip_inventory_2026-08.csv row 654; applicant_register_2026-08.csv row 256</t>
  </si>
  <si>
    <t xml:space="preserve">EW-0710</t>
  </si>
  <si>
    <t xml:space="preserve">WL-01290</t>
  </si>
  <si>
    <t xml:space="preserve">Laura Ball</t>
  </si>
  <si>
    <t xml:space="preserve">MA-2024-0710</t>
  </si>
  <si>
    <t xml:space="preserve">TXN-202607-037236</t>
  </si>
  <si>
    <t xml:space="preserve">billing_transactions_2022_2026.csv row 45462</t>
  </si>
  <si>
    <t xml:space="preserve">slip_inventory_2026-08.csv row 655; applicant_register_2026-08.csv row 291</t>
  </si>
  <si>
    <t xml:space="preserve">EW-0712</t>
  </si>
  <si>
    <t xml:space="preserve">WL-02411</t>
  </si>
  <si>
    <t xml:space="preserve">Brooke Kelly</t>
  </si>
  <si>
    <t xml:space="preserve">MA-2024-0712</t>
  </si>
  <si>
    <t xml:space="preserve">TXN-202607-037289</t>
  </si>
  <si>
    <t xml:space="preserve">billing_transactions_2022_2026.csv row 45463</t>
  </si>
  <si>
    <t xml:space="preserve">slip_inventory_2026-08.csv row 657; applicant_register_2026-08.csv row 1412</t>
  </si>
  <si>
    <t xml:space="preserve">EW-0713</t>
  </si>
  <si>
    <t xml:space="preserve">WL-03726</t>
  </si>
  <si>
    <t xml:space="preserve">Christina Johnson</t>
  </si>
  <si>
    <t xml:space="preserve">MA-2024-0713</t>
  </si>
  <si>
    <t xml:space="preserve">TXN-202607-037345</t>
  </si>
  <si>
    <t xml:space="preserve">billing_transactions_2022_2026.csv row 45465</t>
  </si>
  <si>
    <t xml:space="preserve">slip_inventory_2026-08.csv row 658; applicant_register_2026-08.csv row 2727</t>
  </si>
  <si>
    <t xml:space="preserve">EW-0714</t>
  </si>
  <si>
    <t xml:space="preserve">WL-03863</t>
  </si>
  <si>
    <t xml:space="preserve">Brianna Phillips</t>
  </si>
  <si>
    <t xml:space="preserve">MA-2024-0714</t>
  </si>
  <si>
    <t xml:space="preserve">TXN-202607-037388</t>
  </si>
  <si>
    <t xml:space="preserve">billing_transactions_2022_2026.csv row 45467</t>
  </si>
  <si>
    <t xml:space="preserve">slip_inventory_2026-08.csv row 659; applicant_register_2026-08.csv row 2864</t>
  </si>
  <si>
    <t xml:space="preserve">EW-0715</t>
  </si>
  <si>
    <t xml:space="preserve">WL-02155</t>
  </si>
  <si>
    <t xml:space="preserve">Jeremy Turner</t>
  </si>
  <si>
    <t xml:space="preserve">MA-2024-0715</t>
  </si>
  <si>
    <t xml:space="preserve">TXN-202607-037452</t>
  </si>
  <si>
    <t xml:space="preserve">billing_transactions_2022_2026.csv row 45469</t>
  </si>
  <si>
    <t xml:space="preserve">slip_inventory_2026-08.csv row 660; applicant_register_2026-08.csv row 1156</t>
  </si>
  <si>
    <t xml:space="preserve">WL-02280</t>
  </si>
  <si>
    <t xml:space="preserve">Joseph Rogers</t>
  </si>
  <si>
    <t xml:space="preserve">MA-2024-0716</t>
  </si>
  <si>
    <t xml:space="preserve">TXN-202607-037527</t>
  </si>
  <si>
    <t xml:space="preserve">billing_transactions_2022_2026.csv row 45470</t>
  </si>
  <si>
    <t xml:space="preserve">slip_inventory_2026-08.csv row 661; applicant_register_2026-08.csv row 1281</t>
  </si>
  <si>
    <t xml:space="preserve">EW-0717</t>
  </si>
  <si>
    <t xml:space="preserve">WL-02403</t>
  </si>
  <si>
    <t xml:space="preserve">Courtney Powell</t>
  </si>
  <si>
    <t xml:space="preserve">MA-2024-0717</t>
  </si>
  <si>
    <t xml:space="preserve">TXN-202607-037605</t>
  </si>
  <si>
    <t xml:space="preserve">billing_transactions_2022_2026.csv row 45471</t>
  </si>
  <si>
    <t xml:space="preserve">slip_inventory_2026-08.csv row 662; applicant_register_2026-08.csv row 1404</t>
  </si>
  <si>
    <t xml:space="preserve">EW-0718</t>
  </si>
  <si>
    <t xml:space="preserve">WL-01159</t>
  </si>
  <si>
    <t xml:space="preserve">Jesus Rice</t>
  </si>
  <si>
    <t xml:space="preserve">MA-2024-0718</t>
  </si>
  <si>
    <t xml:space="preserve">TXN-202607-037667</t>
  </si>
  <si>
    <t xml:space="preserve">billing_transactions_2022_2026.csv row 45472</t>
  </si>
  <si>
    <t xml:space="preserve">slip_inventory_2026-08.csv row 663; applicant_register_2026-08.csv row 160</t>
  </si>
  <si>
    <t xml:space="preserve">EW-0719</t>
  </si>
  <si>
    <t xml:space="preserve">MA-2024-0719</t>
  </si>
  <si>
    <t xml:space="preserve">TXN-202607-037735</t>
  </si>
  <si>
    <t xml:space="preserve">billing_transactions_2022_2026.csv row 45474</t>
  </si>
  <si>
    <t xml:space="preserve">slip_inventory_2026-08.csv row 664; applicant_register_2026-08.csv row 1800</t>
  </si>
  <si>
    <t xml:space="preserve">EW-0720</t>
  </si>
  <si>
    <t xml:space="preserve">WL-03636</t>
  </si>
  <si>
    <t xml:space="preserve">Amy Flores</t>
  </si>
  <si>
    <t xml:space="preserve">MA-2024-0720</t>
  </si>
  <si>
    <t xml:space="preserve">TXN-202607-037805</t>
  </si>
  <si>
    <t xml:space="preserve">billing_transactions_2022_2026.csv row 45476</t>
  </si>
  <si>
    <t xml:space="preserve">slip_inventory_2026-08.csv row 665; applicant_register_2026-08.csv row 2637</t>
  </si>
  <si>
    <t xml:space="preserve">EW-0721</t>
  </si>
  <si>
    <t xml:space="preserve">WL-01657</t>
  </si>
  <si>
    <t xml:space="preserve">Chad Wells</t>
  </si>
  <si>
    <t xml:space="preserve">MA-2024-0721</t>
  </si>
  <si>
    <t xml:space="preserve">TXN-202607-037849</t>
  </si>
  <si>
    <t xml:space="preserve">billing_transactions_2022_2026.csv row 45478</t>
  </si>
  <si>
    <t xml:space="preserve">slip_inventory_2026-08.csv row 666; applicant_register_2026-08.csv row 658</t>
  </si>
  <si>
    <t xml:space="preserve">EW-0722</t>
  </si>
  <si>
    <t xml:space="preserve">WL-02952</t>
  </si>
  <si>
    <t xml:space="preserve">Stacy Schroeder</t>
  </si>
  <si>
    <t xml:space="preserve">MA-2024-0722</t>
  </si>
  <si>
    <t xml:space="preserve">TXN-202607-037898</t>
  </si>
  <si>
    <t xml:space="preserve">billing_transactions_2022_2026.csv row 45480</t>
  </si>
  <si>
    <t xml:space="preserve">slip_inventory_2026-08.csv row 667; applicant_register_2026-08.csv row 1953</t>
  </si>
  <si>
    <t xml:space="preserve">EW-0723</t>
  </si>
  <si>
    <t xml:space="preserve">WL-03327</t>
  </si>
  <si>
    <t xml:space="preserve">Laura Zamora</t>
  </si>
  <si>
    <t xml:space="preserve">MA-2024-0723</t>
  </si>
  <si>
    <t xml:space="preserve">TXN-202607-037945</t>
  </si>
  <si>
    <t xml:space="preserve">billing_transactions_2022_2026.csv row 45481</t>
  </si>
  <si>
    <t xml:space="preserve">slip_inventory_2026-08.csv row 668; applicant_register_2026-08.csv row 2328</t>
  </si>
  <si>
    <t xml:space="preserve">EW-0724</t>
  </si>
  <si>
    <t xml:space="preserve">WL-02005</t>
  </si>
  <si>
    <t xml:space="preserve">Caitlin Howard</t>
  </si>
  <si>
    <t xml:space="preserve">MA-2024-0724</t>
  </si>
  <si>
    <t xml:space="preserve">TXN-202607-037995</t>
  </si>
  <si>
    <t xml:space="preserve">billing_transactions_2022_2026.csv row 45483</t>
  </si>
  <si>
    <t xml:space="preserve">slip_inventory_2026-08.csv row 669; applicant_register_2026-08.csv row 1006</t>
  </si>
  <si>
    <t xml:space="preserve">EW-0801</t>
  </si>
  <si>
    <t xml:space="preserve">WL-02019</t>
  </si>
  <si>
    <t xml:space="preserve">James Cox</t>
  </si>
  <si>
    <t xml:space="preserve">MA-2024-0801</t>
  </si>
  <si>
    <t xml:space="preserve">TXN-202607-038043</t>
  </si>
  <si>
    <t xml:space="preserve">billing_transactions_2022_2026.csv row 45484</t>
  </si>
  <si>
    <t xml:space="preserve">slip_inventory_2026-08.csv row 670; applicant_register_2026-08.csv row 1020</t>
  </si>
  <si>
    <t xml:space="preserve">EW-0802</t>
  </si>
  <si>
    <t xml:space="preserve">WL-03780</t>
  </si>
  <si>
    <t xml:space="preserve">Carmen Maldonado</t>
  </si>
  <si>
    <t xml:space="preserve">MA-2024-0802</t>
  </si>
  <si>
    <t xml:space="preserve">TXN-202607-038090</t>
  </si>
  <si>
    <t xml:space="preserve">billing_transactions_2022_2026.csv row 45485</t>
  </si>
  <si>
    <t xml:space="preserve">slip_inventory_2026-08.csv row 671; applicant_register_2026-08.csv row 2781</t>
  </si>
  <si>
    <t xml:space="preserve">EW-0803</t>
  </si>
  <si>
    <t xml:space="preserve">MA-2024-0803</t>
  </si>
  <si>
    <t xml:space="preserve">TXN-202607-038168</t>
  </si>
  <si>
    <t xml:space="preserve">billing_transactions_2022_2026.csv row 45486</t>
  </si>
  <si>
    <t xml:space="preserve">slip_inventory_2026-08.csv row 672; applicant_register_2026-08.csv row 2361</t>
  </si>
  <si>
    <t xml:space="preserve">WL-03722</t>
  </si>
  <si>
    <t xml:space="preserve">Seth Stone</t>
  </si>
  <si>
    <t xml:space="preserve">MA-2024-0804</t>
  </si>
  <si>
    <t xml:space="preserve">TXN-202607-038217</t>
  </si>
  <si>
    <t xml:space="preserve">billing_transactions_2022_2026.csv row 45487</t>
  </si>
  <si>
    <t xml:space="preserve">slip_inventory_2026-08.csv row 673; applicant_register_2026-08.csv row 2723</t>
  </si>
  <si>
    <t xml:space="preserve">EW-0805</t>
  </si>
  <si>
    <t xml:space="preserve">MA-2024-0805</t>
  </si>
  <si>
    <t xml:space="preserve">TXN-202607-038268</t>
  </si>
  <si>
    <t xml:space="preserve">billing_transactions_2022_2026.csv row 45488</t>
  </si>
  <si>
    <t xml:space="preserve">slip_inventory_2026-08.csv row 674; applicant_register_2026-08.csv row 570</t>
  </si>
  <si>
    <t xml:space="preserve">EW-0806</t>
  </si>
  <si>
    <t xml:space="preserve">WL-01375</t>
  </si>
  <si>
    <t xml:space="preserve">Crystal Austin</t>
  </si>
  <si>
    <t xml:space="preserve">MA-2024-0806</t>
  </si>
  <si>
    <t xml:space="preserve">TXN-202607-038333</t>
  </si>
  <si>
    <t xml:space="preserve">billing_transactions_2022_2026.csv row 45490</t>
  </si>
  <si>
    <t xml:space="preserve">slip_inventory_2026-08.csv row 675; applicant_register_2026-08.csv row 376</t>
  </si>
  <si>
    <t xml:space="preserve">EW-0807</t>
  </si>
  <si>
    <t xml:space="preserve">WL-03182</t>
  </si>
  <si>
    <t xml:space="preserve">Matthew Gonzalez</t>
  </si>
  <si>
    <t xml:space="preserve">MA-2024-0807</t>
  </si>
  <si>
    <t xml:space="preserve">TXN-202607-038398</t>
  </si>
  <si>
    <t xml:space="preserve">billing_transactions_2022_2026.csv row 45491</t>
  </si>
  <si>
    <t xml:space="preserve">slip_inventory_2026-08.csv row 676; applicant_register_2026-08.csv row 2183</t>
  </si>
  <si>
    <t xml:space="preserve">EW-0808</t>
  </si>
  <si>
    <t xml:space="preserve">WL-02311</t>
  </si>
  <si>
    <t xml:space="preserve">Catherine Martinez</t>
  </si>
  <si>
    <t xml:space="preserve">MA-2024-0808</t>
  </si>
  <si>
    <t xml:space="preserve">TXN-202607-038460</t>
  </si>
  <si>
    <t xml:space="preserve">billing_transactions_2022_2026.csv row 45493</t>
  </si>
  <si>
    <t xml:space="preserve">slip_inventory_2026-08.csv row 677; applicant_register_2026-08.csv row 1312</t>
  </si>
  <si>
    <t xml:space="preserve">EW-0809</t>
  </si>
  <si>
    <t xml:space="preserve">WL-02595</t>
  </si>
  <si>
    <t xml:space="preserve">Cheryl Wood</t>
  </si>
  <si>
    <t xml:space="preserve">MA-2024-0809</t>
  </si>
  <si>
    <t xml:space="preserve">TXN-202607-038500</t>
  </si>
  <si>
    <t xml:space="preserve">billing_transactions_2022_2026.csv row 45494</t>
  </si>
  <si>
    <t xml:space="preserve">slip_inventory_2026-08.csv row 678; applicant_register_2026-08.csv row 1596</t>
  </si>
  <si>
    <t xml:space="preserve">EW-0810</t>
  </si>
  <si>
    <t xml:space="preserve">WL-03518</t>
  </si>
  <si>
    <t xml:space="preserve">Jorge Donovan</t>
  </si>
  <si>
    <t xml:space="preserve">MA-2024-0810</t>
  </si>
  <si>
    <t xml:space="preserve">TXN-202607-038552</t>
  </si>
  <si>
    <t xml:space="preserve">billing_transactions_2022_2026.csv row 45496</t>
  </si>
  <si>
    <t xml:space="preserve">slip_inventory_2026-08.csv row 679; applicant_register_2026-08.csv row 2519</t>
  </si>
  <si>
    <t xml:space="preserve">EW-0811</t>
  </si>
  <si>
    <t xml:space="preserve">MA-2024-0811</t>
  </si>
  <si>
    <t xml:space="preserve">TXN-202607-038601</t>
  </si>
  <si>
    <t xml:space="preserve">billing_transactions_2022_2026.csv row 45497</t>
  </si>
  <si>
    <t xml:space="preserve">slip_inventory_2026-08.csv row 680; applicant_register_2026-08.csv row 2709</t>
  </si>
  <si>
    <t xml:space="preserve">EW-0812</t>
  </si>
  <si>
    <t xml:space="preserve">MA-2024-0812</t>
  </si>
  <si>
    <t xml:space="preserve">TXN-202607-038660</t>
  </si>
  <si>
    <t xml:space="preserve">billing_transactions_2022_2026.csv row 45498</t>
  </si>
  <si>
    <t xml:space="preserve">slip_inventory_2026-08.csv row 681; applicant_register_2026-08.csv row 2680</t>
  </si>
  <si>
    <t xml:space="preserve">WL-02198</t>
  </si>
  <si>
    <t xml:space="preserve">James Torres</t>
  </si>
  <si>
    <t xml:space="preserve">MA-2024-0813</t>
  </si>
  <si>
    <t xml:space="preserve">TXN-202607-038734</t>
  </si>
  <si>
    <t xml:space="preserve">billing_transactions_2022_2026.csv row 45500</t>
  </si>
  <si>
    <t xml:space="preserve">slip_inventory_2026-08.csv row 682; applicant_register_2026-08.csv row 1199</t>
  </si>
  <si>
    <t xml:space="preserve">WL-01852</t>
  </si>
  <si>
    <t xml:space="preserve">Ross Erickson</t>
  </si>
  <si>
    <t xml:space="preserve">MA-2024-0814</t>
  </si>
  <si>
    <t xml:space="preserve">TXN-202607-038792</t>
  </si>
  <si>
    <t xml:space="preserve">billing_transactions_2022_2026.csv row 45502</t>
  </si>
  <si>
    <t xml:space="preserve">slip_inventory_2026-08.csv row 683; applicant_register_2026-08.csv row 853</t>
  </si>
  <si>
    <t xml:space="preserve">EW-0815</t>
  </si>
  <si>
    <t xml:space="preserve">Daniel Bowen</t>
  </si>
  <si>
    <t xml:space="preserve">MA-2024-0815</t>
  </si>
  <si>
    <t xml:space="preserve">TXN-202607-038843</t>
  </si>
  <si>
    <t xml:space="preserve">billing_transactions_2022_2026.csv row 45504</t>
  </si>
  <si>
    <t xml:space="preserve">slip_inventory_2026-08.csv row 684; applicant_register_2026-08.csv row 2369</t>
  </si>
  <si>
    <t xml:space="preserve">EW-0816</t>
  </si>
  <si>
    <t xml:space="preserve">MA-2024-0816</t>
  </si>
  <si>
    <t xml:space="preserve">TXN-202607-038882</t>
  </si>
  <si>
    <t xml:space="preserve">billing_transactions_2022_2026.csv row 45506</t>
  </si>
  <si>
    <t xml:space="preserve">slip_inventory_2026-08.csv row 685; applicant_register_2026-08.csv row 1446</t>
  </si>
  <si>
    <t xml:space="preserve">EW-0817</t>
  </si>
  <si>
    <t xml:space="preserve">WL-03434</t>
  </si>
  <si>
    <t xml:space="preserve">Michelle Caldwell</t>
  </si>
  <si>
    <t xml:space="preserve">MA-2024-0817</t>
  </si>
  <si>
    <t xml:space="preserve">TXN-202607-038933</t>
  </si>
  <si>
    <t xml:space="preserve">billing_transactions_2022_2026.csv row 45507</t>
  </si>
  <si>
    <t xml:space="preserve">slip_inventory_2026-08.csv row 686; applicant_register_2026-08.csv row 2435</t>
  </si>
  <si>
    <t xml:space="preserve">EW-0818</t>
  </si>
  <si>
    <t xml:space="preserve">WL-03709</t>
  </si>
  <si>
    <t xml:space="preserve">Brandy Mays</t>
  </si>
  <si>
    <t xml:space="preserve">MA-2024-0818</t>
  </si>
  <si>
    <t xml:space="preserve">TXN-202607-038973</t>
  </si>
  <si>
    <t xml:space="preserve">billing_transactions_2022_2026.csv row 45508</t>
  </si>
  <si>
    <t xml:space="preserve">slip_inventory_2026-08.csv row 687; applicant_register_2026-08.csv row 2710</t>
  </si>
  <si>
    <t xml:space="preserve">WL-02587</t>
  </si>
  <si>
    <t xml:space="preserve">Mary Figueroa</t>
  </si>
  <si>
    <t xml:space="preserve">MA-2024-0819</t>
  </si>
  <si>
    <t xml:space="preserve">TXN-202607-039032</t>
  </si>
  <si>
    <t xml:space="preserve">billing_transactions_2022_2026.csv row 45510</t>
  </si>
  <si>
    <t xml:space="preserve">slip_inventory_2026-08.csv row 688; applicant_register_2026-08.csv row 1588</t>
  </si>
  <si>
    <t xml:space="preserve">EW-0821</t>
  </si>
  <si>
    <t xml:space="preserve">WL-02217</t>
  </si>
  <si>
    <t xml:space="preserve">Rose Morales</t>
  </si>
  <si>
    <t xml:space="preserve">MA-2024-0821</t>
  </si>
  <si>
    <t xml:space="preserve">TXN-202607-039078</t>
  </si>
  <si>
    <t xml:space="preserve">billing_transactions_2022_2026.csv row 45511</t>
  </si>
  <si>
    <t xml:space="preserve">slip_inventory_2026-08.csv row 690; applicant_register_2026-08.csv row 1218</t>
  </si>
  <si>
    <t xml:space="preserve">EW-0822</t>
  </si>
  <si>
    <t xml:space="preserve">WL-01076</t>
  </si>
  <si>
    <t xml:space="preserve">Timothy Robinson</t>
  </si>
  <si>
    <t xml:space="preserve">MA-2024-0822</t>
  </si>
  <si>
    <t xml:space="preserve">TXN-202607-039121</t>
  </si>
  <si>
    <t xml:space="preserve">billing_transactions_2022_2026.csv row 45512</t>
  </si>
  <si>
    <t xml:space="preserve">slip_inventory_2026-08.csv row 691; applicant_register_2026-08.csv row 77</t>
  </si>
  <si>
    <t xml:space="preserve">EW-0823</t>
  </si>
  <si>
    <t xml:space="preserve">WL-03201</t>
  </si>
  <si>
    <t xml:space="preserve">Nancy Montgomery</t>
  </si>
  <si>
    <t xml:space="preserve">MA-2024-0823</t>
  </si>
  <si>
    <t xml:space="preserve">TXN-202607-039180</t>
  </si>
  <si>
    <t xml:space="preserve">billing_transactions_2022_2026.csv row 45513</t>
  </si>
  <si>
    <t xml:space="preserve">slip_inventory_2026-08.csv row 692; applicant_register_2026-08.csv row 2202</t>
  </si>
  <si>
    <t xml:space="preserve">EW-0901</t>
  </si>
  <si>
    <t xml:space="preserve">WL-02581</t>
  </si>
  <si>
    <t xml:space="preserve">Carolyn Sanchez</t>
  </si>
  <si>
    <t xml:space="preserve">MA-2024-0901</t>
  </si>
  <si>
    <t xml:space="preserve">TXN-202607-039221</t>
  </si>
  <si>
    <t xml:space="preserve">billing_transactions_2022_2026.csv row 45514</t>
  </si>
  <si>
    <t xml:space="preserve">slip_inventory_2026-08.csv row 694; applicant_register_2026-08.csv row 1582</t>
  </si>
  <si>
    <t xml:space="preserve">MA-2024-0902</t>
  </si>
  <si>
    <t xml:space="preserve">TXN-202607-039297</t>
  </si>
  <si>
    <t xml:space="preserve">billing_transactions_2022_2026.csv row 45516</t>
  </si>
  <si>
    <t xml:space="preserve">slip_inventory_2026-08.csv row 695; applicant_register_2026-08.csv row 2691</t>
  </si>
  <si>
    <t xml:space="preserve">EW-0903</t>
  </si>
  <si>
    <t xml:space="preserve">WL-01891</t>
  </si>
  <si>
    <t xml:space="preserve">Lee Ritter</t>
  </si>
  <si>
    <t xml:space="preserve">MA-2024-0903</t>
  </si>
  <si>
    <t xml:space="preserve">TXN-202607-039368</t>
  </si>
  <si>
    <t xml:space="preserve">billing_transactions_2022_2026.csv row 45517</t>
  </si>
  <si>
    <t xml:space="preserve">slip_inventory_2026-08.csv row 696; applicant_register_2026-08.csv row 892</t>
  </si>
  <si>
    <t xml:space="preserve">EW-0904</t>
  </si>
  <si>
    <t xml:space="preserve">WL-03412</t>
  </si>
  <si>
    <t xml:space="preserve">Seth Smith</t>
  </si>
  <si>
    <t xml:space="preserve">MA-2024-0904</t>
  </si>
  <si>
    <t xml:space="preserve">TXN-202607-039410</t>
  </si>
  <si>
    <t xml:space="preserve">billing_transactions_2022_2026.csv row 45518</t>
  </si>
  <si>
    <t xml:space="preserve">slip_inventory_2026-08.csv row 697; applicant_register_2026-08.csv row 2413</t>
  </si>
  <si>
    <t xml:space="preserve">EW-0905</t>
  </si>
  <si>
    <t xml:space="preserve">WL-01393</t>
  </si>
  <si>
    <t xml:space="preserve">Lauren Thompson</t>
  </si>
  <si>
    <t xml:space="preserve">MA-2024-0905</t>
  </si>
  <si>
    <t xml:space="preserve">TXN-202607-039461</t>
  </si>
  <si>
    <t xml:space="preserve">billing_transactions_2022_2026.csv row 45519</t>
  </si>
  <si>
    <t xml:space="preserve">slip_inventory_2026-08.csv row 698; applicant_register_2026-08.csv row 394</t>
  </si>
  <si>
    <t xml:space="preserve">EW-0906</t>
  </si>
  <si>
    <t xml:space="preserve">WL-01035</t>
  </si>
  <si>
    <t xml:space="preserve">Ivan Webster</t>
  </si>
  <si>
    <t xml:space="preserve">MA-2024-0906</t>
  </si>
  <si>
    <t xml:space="preserve">TXN-202607-039510</t>
  </si>
  <si>
    <t xml:space="preserve">billing_transactions_2022_2026.csv row 45521</t>
  </si>
  <si>
    <t xml:space="preserve">slip_inventory_2026-08.csv row 699; applicant_register_2026-08.csv row 36</t>
  </si>
  <si>
    <t xml:space="preserve">EW-0907</t>
  </si>
  <si>
    <t xml:space="preserve">Christopher Woodward</t>
  </si>
  <si>
    <t xml:space="preserve">MA-2024-0907</t>
  </si>
  <si>
    <t xml:space="preserve">TXN-202607-039577</t>
  </si>
  <si>
    <t xml:space="preserve">billing_transactions_2022_2026.csv row 45522</t>
  </si>
  <si>
    <t xml:space="preserve">slip_inventory_2026-08.csv row 700; applicant_register_2026-08.csv row 1882</t>
  </si>
  <si>
    <t xml:space="preserve">EW-0908</t>
  </si>
  <si>
    <t xml:space="preserve">WL-02478</t>
  </si>
  <si>
    <t xml:space="preserve">Travis Long</t>
  </si>
  <si>
    <t xml:space="preserve">MA-2024-0908</t>
  </si>
  <si>
    <t xml:space="preserve">TXN-202607-039633</t>
  </si>
  <si>
    <t xml:space="preserve">billing_transactions_2022_2026.csv row 45524</t>
  </si>
  <si>
    <t xml:space="preserve">slip_inventory_2026-08.csv row 701; applicant_register_2026-08.csv row 1479</t>
  </si>
  <si>
    <t xml:space="preserve">WL-03396</t>
  </si>
  <si>
    <t xml:space="preserve">Tanya Woods</t>
  </si>
  <si>
    <t xml:space="preserve">MA-2024-0909</t>
  </si>
  <si>
    <t xml:space="preserve">TXN-202607-039700</t>
  </si>
  <si>
    <t xml:space="preserve">billing_transactions_2022_2026.csv row 45525</t>
  </si>
  <si>
    <t xml:space="preserve">slip_inventory_2026-08.csv row 702; applicant_register_2026-08.csv row 2397</t>
  </si>
  <si>
    <t xml:space="preserve">EW-0910</t>
  </si>
  <si>
    <t xml:space="preserve">MA-2024-0910</t>
  </si>
  <si>
    <t xml:space="preserve">TXN-202607-039752</t>
  </si>
  <si>
    <t xml:space="preserve">billing_transactions_2022_2026.csv row 45527</t>
  </si>
  <si>
    <t xml:space="preserve">slip_inventory_2026-08.csv row 703; applicant_register_2026-08.csv row 2320</t>
  </si>
  <si>
    <t xml:space="preserve">EW-0911</t>
  </si>
  <si>
    <t xml:space="preserve">WL-02871</t>
  </si>
  <si>
    <t xml:space="preserve">Bailey Barnes</t>
  </si>
  <si>
    <t xml:space="preserve">MA-2024-0911</t>
  </si>
  <si>
    <t xml:space="preserve">TXN-202607-039833</t>
  </si>
  <si>
    <t xml:space="preserve">billing_transactions_2022_2026.csv row 45528</t>
  </si>
  <si>
    <t xml:space="preserve">slip_inventory_2026-08.csv row 704; applicant_register_2026-08.csv row 1872</t>
  </si>
  <si>
    <t xml:space="preserve">EW-0912</t>
  </si>
  <si>
    <t xml:space="preserve">WL-03562</t>
  </si>
  <si>
    <t xml:space="preserve">Tara Davis</t>
  </si>
  <si>
    <t xml:space="preserve">MA-2024-0912</t>
  </si>
  <si>
    <t xml:space="preserve">TXN-202607-039906</t>
  </si>
  <si>
    <t xml:space="preserve">billing_transactions_2022_2026.csv row 45529</t>
  </si>
  <si>
    <t xml:space="preserve">slip_inventory_2026-08.csv row 705; applicant_register_2026-08.csv row 2563</t>
  </si>
  <si>
    <t xml:space="preserve">EW-0913</t>
  </si>
  <si>
    <t xml:space="preserve">WL-02382</t>
  </si>
  <si>
    <t xml:space="preserve">Rachael Wallace</t>
  </si>
  <si>
    <t xml:space="preserve">MA-2024-0913</t>
  </si>
  <si>
    <t xml:space="preserve">TXN-202607-039971</t>
  </si>
  <si>
    <t xml:space="preserve">billing_transactions_2022_2026.csv row 45530</t>
  </si>
  <si>
    <t xml:space="preserve">slip_inventory_2026-08.csv row 706; applicant_register_2026-08.csv row 1383</t>
  </si>
  <si>
    <t xml:space="preserve">EW-0914</t>
  </si>
  <si>
    <t xml:space="preserve">WL-02046</t>
  </si>
  <si>
    <t xml:space="preserve">Jennifer Scott</t>
  </si>
  <si>
    <t xml:space="preserve">MA-2024-0914</t>
  </si>
  <si>
    <t xml:space="preserve">TXN-202607-040023</t>
  </si>
  <si>
    <t xml:space="preserve">billing_transactions_2022_2026.csv row 45531</t>
  </si>
  <si>
    <t xml:space="preserve">slip_inventory_2026-08.csv row 707; applicant_register_2026-08.csv row 1047</t>
  </si>
  <si>
    <t xml:space="preserve">EW-0915</t>
  </si>
  <si>
    <t xml:space="preserve">WL-03170</t>
  </si>
  <si>
    <t xml:space="preserve">Kyle Chen</t>
  </si>
  <si>
    <t xml:space="preserve">MA-2024-0915</t>
  </si>
  <si>
    <t xml:space="preserve">TXN-202607-040068</t>
  </si>
  <si>
    <t xml:space="preserve">billing_transactions_2022_2026.csv row 45533</t>
  </si>
  <si>
    <t xml:space="preserve">slip_inventory_2026-08.csv row 708; applicant_register_2026-08.csv row 2171</t>
  </si>
  <si>
    <t xml:space="preserve">WL-03268</t>
  </si>
  <si>
    <t xml:space="preserve">Charles Parker</t>
  </si>
  <si>
    <t xml:space="preserve">MA-2024-0916</t>
  </si>
  <si>
    <t xml:space="preserve">TXN-202607-040111</t>
  </si>
  <si>
    <t xml:space="preserve">billing_transactions_2022_2026.csv row 45534</t>
  </si>
  <si>
    <t xml:space="preserve">slip_inventory_2026-08.csv row 709; applicant_register_2026-08.csv row 2269</t>
  </si>
  <si>
    <t xml:space="preserve">EW-0917</t>
  </si>
  <si>
    <t xml:space="preserve">WL-03374</t>
  </si>
  <si>
    <t xml:space="preserve">Tina Ward</t>
  </si>
  <si>
    <t xml:space="preserve">MA-2024-0917</t>
  </si>
  <si>
    <t xml:space="preserve">TXN-202607-040178</t>
  </si>
  <si>
    <t xml:space="preserve">billing_transactions_2022_2026.csv row 45535</t>
  </si>
  <si>
    <t xml:space="preserve">slip_inventory_2026-08.csv row 710; applicant_register_2026-08.csv row 2375</t>
  </si>
  <si>
    <t xml:space="preserve">EW-0918</t>
  </si>
  <si>
    <t xml:space="preserve">WL-02502</t>
  </si>
  <si>
    <t xml:space="preserve">Michelle Cline</t>
  </si>
  <si>
    <t xml:space="preserve">MA-2024-0918</t>
  </si>
  <si>
    <t xml:space="preserve">TXN-202607-040226</t>
  </si>
  <si>
    <t xml:space="preserve">billing_transactions_2022_2026.csv row 45536</t>
  </si>
  <si>
    <t xml:space="preserve">slip_inventory_2026-08.csv row 711; applicant_register_2026-08.csv row 1503</t>
  </si>
  <si>
    <t xml:space="preserve">EW-0919</t>
  </si>
  <si>
    <t xml:space="preserve">WL-03012</t>
  </si>
  <si>
    <t xml:space="preserve">Olivia Joseph</t>
  </si>
  <si>
    <t xml:space="preserve">MA-2024-0919</t>
  </si>
  <si>
    <t xml:space="preserve">TXN-202607-040285</t>
  </si>
  <si>
    <t xml:space="preserve">billing_transactions_2022_2026.csv row 45537</t>
  </si>
  <si>
    <t xml:space="preserve">slip_inventory_2026-08.csv row 712; applicant_register_2026-08.csv row 2013</t>
  </si>
  <si>
    <t xml:space="preserve">EW-0920</t>
  </si>
  <si>
    <t xml:space="preserve">WL-02451</t>
  </si>
  <si>
    <t xml:space="preserve">Brooke Bell</t>
  </si>
  <si>
    <t xml:space="preserve">MA-2024-0920</t>
  </si>
  <si>
    <t xml:space="preserve">TXN-202607-040357</t>
  </si>
  <si>
    <t xml:space="preserve">billing_transactions_2022_2026.csv row 45538</t>
  </si>
  <si>
    <t xml:space="preserve">slip_inventory_2026-08.csv row 713; applicant_register_2026-08.csv row 1452</t>
  </si>
  <si>
    <t xml:space="preserve">EW-0921</t>
  </si>
  <si>
    <t xml:space="preserve">WL-01499</t>
  </si>
  <si>
    <t xml:space="preserve">Jessica Miller</t>
  </si>
  <si>
    <t xml:space="preserve">MA-2024-0921</t>
  </si>
  <si>
    <t xml:space="preserve">TXN-202607-040417</t>
  </si>
  <si>
    <t xml:space="preserve">billing_transactions_2022_2026.csv row 45540</t>
  </si>
  <si>
    <t xml:space="preserve">slip_inventory_2026-08.csv row 714; applicant_register_2026-08.csv row 500</t>
  </si>
  <si>
    <t xml:space="preserve">EW-0922</t>
  </si>
  <si>
    <t xml:space="preserve">WL-03568</t>
  </si>
  <si>
    <t xml:space="preserve">Ricardo Jensen</t>
  </si>
  <si>
    <t xml:space="preserve">MA-2024-0922</t>
  </si>
  <si>
    <t xml:space="preserve">TXN-202607-040495</t>
  </si>
  <si>
    <t xml:space="preserve">billing_transactions_2022_2026.csv row 45542</t>
  </si>
  <si>
    <t xml:space="preserve">slip_inventory_2026-08.csv row 715; applicant_register_2026-08.csv row 2569</t>
  </si>
  <si>
    <t xml:space="preserve">EW-0923</t>
  </si>
  <si>
    <t xml:space="preserve">WL-03351</t>
  </si>
  <si>
    <t xml:space="preserve">Justin Mejia</t>
  </si>
  <si>
    <t xml:space="preserve">MA-2024-0923</t>
  </si>
  <si>
    <t xml:space="preserve">TXN-202607-040535</t>
  </si>
  <si>
    <t xml:space="preserve">billing_transactions_2022_2026.csv row 45543</t>
  </si>
  <si>
    <t xml:space="preserve">slip_inventory_2026-08.csv row 716; applicant_register_2026-08.csv row 2352</t>
  </si>
  <si>
    <t xml:space="preserve">EW-1001</t>
  </si>
  <si>
    <t xml:space="preserve">WL-03821</t>
  </si>
  <si>
    <t xml:space="preserve">Tammy Dalton</t>
  </si>
  <si>
    <t xml:space="preserve">MA-2024-1001</t>
  </si>
  <si>
    <t xml:space="preserve">TXN-202607-040598</t>
  </si>
  <si>
    <t xml:space="preserve">billing_transactions_2022_2026.csv row 45544</t>
  </si>
  <si>
    <t xml:space="preserve">slip_inventory_2026-08.csv row 718; applicant_register_2026-08.csv row 2822</t>
  </si>
  <si>
    <t xml:space="preserve">Jerry Reyes</t>
  </si>
  <si>
    <t xml:space="preserve">MA-2024-1002</t>
  </si>
  <si>
    <t xml:space="preserve">TXN-202607-040660</t>
  </si>
  <si>
    <t xml:space="preserve">billing_transactions_2022_2026.csv row 45546</t>
  </si>
  <si>
    <t xml:space="preserve">slip_inventory_2026-08.csv row 719; applicant_register_2026-08.csv row 1121</t>
  </si>
  <si>
    <t xml:space="preserve">WL-01595</t>
  </si>
  <si>
    <t xml:space="preserve">Anthony Kemp</t>
  </si>
  <si>
    <t xml:space="preserve">MA-2024-1003</t>
  </si>
  <si>
    <t xml:space="preserve">TXN-202607-040710</t>
  </si>
  <si>
    <t xml:space="preserve">billing_transactions_2022_2026.csv row 45548</t>
  </si>
  <si>
    <t xml:space="preserve">slip_inventory_2026-08.csv row 720; applicant_register_2026-08.csv row 596</t>
  </si>
  <si>
    <t xml:space="preserve">EW-1005</t>
  </si>
  <si>
    <t xml:space="preserve">WL-01010</t>
  </si>
  <si>
    <t xml:space="preserve">Steven Hanson</t>
  </si>
  <si>
    <t xml:space="preserve">MA-2024-1005</t>
  </si>
  <si>
    <t xml:space="preserve">TXN-202607-040783</t>
  </si>
  <si>
    <t xml:space="preserve">billing_transactions_2022_2026.csv row 45549</t>
  </si>
  <si>
    <t xml:space="preserve">slip_inventory_2026-08.csv row 722; applicant_register_2026-08.csv row 11</t>
  </si>
  <si>
    <t xml:space="preserve">WL-02438</t>
  </si>
  <si>
    <t xml:space="preserve">Sharon Phillips</t>
  </si>
  <si>
    <t xml:space="preserve">MA-2024-1007</t>
  </si>
  <si>
    <t xml:space="preserve">TXN-202607-040836</t>
  </si>
  <si>
    <t xml:space="preserve">billing_transactions_2022_2026.csv row 45551</t>
  </si>
  <si>
    <t xml:space="preserve">slip_inventory_2026-08.csv row 724; applicant_register_2026-08.csv row 1439</t>
  </si>
  <si>
    <t xml:space="preserve">EW-1008</t>
  </si>
  <si>
    <t xml:space="preserve">WL-02219</t>
  </si>
  <si>
    <t xml:space="preserve">Grant Cameron</t>
  </si>
  <si>
    <t xml:space="preserve">MA-2024-1008</t>
  </si>
  <si>
    <t xml:space="preserve">TXN-202607-040903</t>
  </si>
  <si>
    <t xml:space="preserve">billing_transactions_2022_2026.csv row 45553</t>
  </si>
  <si>
    <t xml:space="preserve">slip_inventory_2026-08.csv row 725; applicant_register_2026-08.csv row 1220</t>
  </si>
  <si>
    <t xml:space="preserve">EW-1010</t>
  </si>
  <si>
    <t xml:space="preserve">WL-02063</t>
  </si>
  <si>
    <t xml:space="preserve">Spencer Thompson</t>
  </si>
  <si>
    <t xml:space="preserve">MA-2024-1010</t>
  </si>
  <si>
    <t xml:space="preserve">TXN-202607-040957</t>
  </si>
  <si>
    <t xml:space="preserve">billing_transactions_2022_2026.csv row 45555</t>
  </si>
  <si>
    <t xml:space="preserve">slip_inventory_2026-08.csv row 727; applicant_register_2026-08.csv row 1064</t>
  </si>
  <si>
    <t xml:space="preserve">EW-1011</t>
  </si>
  <si>
    <t xml:space="preserve">WL-03465</t>
  </si>
  <si>
    <t xml:space="preserve">Eric Mays</t>
  </si>
  <si>
    <t xml:space="preserve">MA-2024-1011</t>
  </si>
  <si>
    <t xml:space="preserve">TXN-202607-041033</t>
  </si>
  <si>
    <t xml:space="preserve">billing_transactions_2022_2026.csv row 45556</t>
  </si>
  <si>
    <t xml:space="preserve">slip_inventory_2026-08.csv row 728; applicant_register_2026-08.csv row 2466</t>
  </si>
  <si>
    <t xml:space="preserve">EW-1012</t>
  </si>
  <si>
    <t xml:space="preserve">WL-02406</t>
  </si>
  <si>
    <t xml:space="preserve">Christopher Jackson</t>
  </si>
  <si>
    <t xml:space="preserve">MA-2024-1012</t>
  </si>
  <si>
    <t xml:space="preserve">TXN-202607-041108</t>
  </si>
  <si>
    <t xml:space="preserve">billing_transactions_2022_2026.csv row 45557</t>
  </si>
  <si>
    <t xml:space="preserve">slip_inventory_2026-08.csv row 729; applicant_register_2026-08.csv row 1407</t>
  </si>
  <si>
    <t xml:space="preserve">EW-1013</t>
  </si>
  <si>
    <t xml:space="preserve">WL-02008</t>
  </si>
  <si>
    <t xml:space="preserve">Karen Matthews</t>
  </si>
  <si>
    <t xml:space="preserve">MA-2024-1013</t>
  </si>
  <si>
    <t xml:space="preserve">TXN-202607-041149</t>
  </si>
  <si>
    <t xml:space="preserve">billing_transactions_2022_2026.csv row 45558</t>
  </si>
  <si>
    <t xml:space="preserve">slip_inventory_2026-08.csv row 730; applicant_register_2026-08.csv row 1009</t>
  </si>
  <si>
    <t xml:space="preserve">EW-1014</t>
  </si>
  <si>
    <t xml:space="preserve">WL-02680</t>
  </si>
  <si>
    <t xml:space="preserve">Melanie Rivera</t>
  </si>
  <si>
    <t xml:space="preserve">MA-2024-1014</t>
  </si>
  <si>
    <t xml:space="preserve">TXN-202607-041201</t>
  </si>
  <si>
    <t xml:space="preserve">billing_transactions_2022_2026.csv row 45559</t>
  </si>
  <si>
    <t xml:space="preserve">slip_inventory_2026-08.csv row 731; applicant_register_2026-08.csv row 1681</t>
  </si>
  <si>
    <t xml:space="preserve">WL-03353</t>
  </si>
  <si>
    <t xml:space="preserve">Patricia Adkins</t>
  </si>
  <si>
    <t xml:space="preserve">MA-2024-1015</t>
  </si>
  <si>
    <t xml:space="preserve">TXN-202607-041265</t>
  </si>
  <si>
    <t xml:space="preserve">billing_transactions_2022_2026.csv row 45561</t>
  </si>
  <si>
    <t xml:space="preserve">slip_inventory_2026-08.csv row 732; applicant_register_2026-08.csv row 2354</t>
  </si>
  <si>
    <t xml:space="preserve">EW-1016</t>
  </si>
  <si>
    <t xml:space="preserve">MA-2024-1016</t>
  </si>
  <si>
    <t xml:space="preserve">TXN-202607-041320</t>
  </si>
  <si>
    <t xml:space="preserve">billing_transactions_2022_2026.csv row 45562</t>
  </si>
  <si>
    <t xml:space="preserve">slip_inventory_2026-08.csv row 733; applicant_register_2026-08.csv row 747</t>
  </si>
  <si>
    <t xml:space="preserve">EW-1017</t>
  </si>
  <si>
    <t xml:space="preserve">WL-02717</t>
  </si>
  <si>
    <t xml:space="preserve">Ryan Phillips</t>
  </si>
  <si>
    <t xml:space="preserve">MA-2024-1017</t>
  </si>
  <si>
    <t xml:space="preserve">TXN-202607-041364</t>
  </si>
  <si>
    <t xml:space="preserve">billing_transactions_2022_2026.csv row 45564</t>
  </si>
  <si>
    <t xml:space="preserve">slip_inventory_2026-08.csv row 734; applicant_register_2026-08.csv row 1718</t>
  </si>
  <si>
    <t xml:space="preserve">EW-1018</t>
  </si>
  <si>
    <t xml:space="preserve">WL-01540</t>
  </si>
  <si>
    <t xml:space="preserve">Jonathan Baker</t>
  </si>
  <si>
    <t xml:space="preserve">MA-2024-1018</t>
  </si>
  <si>
    <t xml:space="preserve">TXN-202607-041429</t>
  </si>
  <si>
    <t xml:space="preserve">billing_transactions_2022_2026.csv row 45565</t>
  </si>
  <si>
    <t xml:space="preserve">slip_inventory_2026-08.csv row 735; applicant_register_2026-08.csv row 541</t>
  </si>
  <si>
    <t xml:space="preserve">EW-1019</t>
  </si>
  <si>
    <t xml:space="preserve">MA-2024-1019</t>
  </si>
  <si>
    <t xml:space="preserve">TXN-202607-041478</t>
  </si>
  <si>
    <t xml:space="preserve">billing_transactions_2022_2026.csv row 45567</t>
  </si>
  <si>
    <t xml:space="preserve">slip_inventory_2026-08.csv row 736; applicant_register_2026-08.csv row 2584</t>
  </si>
  <si>
    <t xml:space="preserve">Christian Garcia</t>
  </si>
  <si>
    <t xml:space="preserve">MA-2024-1021</t>
  </si>
  <si>
    <t xml:space="preserve">TXN-202607-041526</t>
  </si>
  <si>
    <t xml:space="preserve">billing_transactions_2022_2026.csv row 45569</t>
  </si>
  <si>
    <t xml:space="preserve">slip_inventory_2026-08.csv row 738; applicant_register_2026-08.csv row 2889</t>
  </si>
  <si>
    <t xml:space="preserve">James Austin</t>
  </si>
  <si>
    <t xml:space="preserve">MA-2024-1022</t>
  </si>
  <si>
    <t xml:space="preserve">TXN-202607-041590</t>
  </si>
  <si>
    <t xml:space="preserve">billing_transactions_2022_2026.csv row 45570</t>
  </si>
  <si>
    <t xml:space="preserve">slip_inventory_2026-08.csv row 739; applicant_register_2026-08.csv row 789</t>
  </si>
  <si>
    <t xml:space="preserve">EW-1023</t>
  </si>
  <si>
    <t xml:space="preserve">WL-01824</t>
  </si>
  <si>
    <t xml:space="preserve">Robin Tucker</t>
  </si>
  <si>
    <t xml:space="preserve">MA-2024-1023</t>
  </si>
  <si>
    <t xml:space="preserve">TXN-202607-041649</t>
  </si>
  <si>
    <t xml:space="preserve">billing_transactions_2022_2026.csv row 45571</t>
  </si>
  <si>
    <t xml:space="preserve">slip_inventory_2026-08.csv row 740; applicant_register_2026-08.csv row 825</t>
  </si>
  <si>
    <t xml:space="preserve">EW-1024</t>
  </si>
  <si>
    <t xml:space="preserve">WL-03180</t>
  </si>
  <si>
    <t xml:space="preserve">Teresa Jimenez</t>
  </si>
  <si>
    <t xml:space="preserve">MA-2024-1024</t>
  </si>
  <si>
    <t xml:space="preserve">TXN-202607-041700</t>
  </si>
  <si>
    <t xml:space="preserve">billing_transactions_2022_2026.csv row 45573</t>
  </si>
  <si>
    <t xml:space="preserve">slip_inventory_2026-08.csv row 741; applicant_register_2026-08.csv row 2181</t>
  </si>
  <si>
    <t xml:space="preserve">GW-0102</t>
  </si>
  <si>
    <t xml:space="preserve">WL-01136</t>
  </si>
  <si>
    <t xml:space="preserve">Christina Green</t>
  </si>
  <si>
    <t xml:space="preserve">TXN-202607-041753</t>
  </si>
  <si>
    <t xml:space="preserve">billing_transactions_2022_2026.csv row 45575</t>
  </si>
  <si>
    <t xml:space="preserve">slip_inventory_2026-08.csv row 743; applicant_register_2026-08.csv row 137</t>
  </si>
  <si>
    <t xml:space="preserve">WL-02233</t>
  </si>
  <si>
    <t xml:space="preserve">Sarah Forbes</t>
  </si>
  <si>
    <t xml:space="preserve">TXN-202607-041828</t>
  </si>
  <si>
    <t xml:space="preserve">billing_transactions_2022_2026.csv row 45577</t>
  </si>
  <si>
    <t xml:space="preserve">slip_inventory_2026-08.csv row 744; applicant_register_2026-08.csv row 1234</t>
  </si>
  <si>
    <t xml:space="preserve">GW-0104</t>
  </si>
  <si>
    <t xml:space="preserve">WL-01980</t>
  </si>
  <si>
    <t xml:space="preserve">Jacob Powell</t>
  </si>
  <si>
    <t xml:space="preserve">MA-2024-0104</t>
  </si>
  <si>
    <t xml:space="preserve">TXN-202607-041881</t>
  </si>
  <si>
    <t xml:space="preserve">billing_transactions_2022_2026.csv row 45579</t>
  </si>
  <si>
    <t xml:space="preserve">slip_inventory_2026-08.csv row 745; applicant_register_2026-08.csv row 981</t>
  </si>
  <si>
    <t xml:space="preserve">WL-03409</t>
  </si>
  <si>
    <t xml:space="preserve">Linda Franklin</t>
  </si>
  <si>
    <t xml:space="preserve">TXN-202607-041951</t>
  </si>
  <si>
    <t xml:space="preserve">billing_transactions_2022_2026.csv row 45580</t>
  </si>
  <si>
    <t xml:space="preserve">slip_inventory_2026-08.csv row 746; applicant_register_2026-08.csv row 2410</t>
  </si>
  <si>
    <t xml:space="preserve">GW-0106</t>
  </si>
  <si>
    <t xml:space="preserve">WL-01773</t>
  </si>
  <si>
    <t xml:space="preserve">Kara Bartlett</t>
  </si>
  <si>
    <t xml:space="preserve">TXN-202607-041995</t>
  </si>
  <si>
    <t xml:space="preserve">billing_transactions_2022_2026.csv row 45581</t>
  </si>
  <si>
    <t xml:space="preserve">slip_inventory_2026-08.csv row 747; applicant_register_2026-08.csv row 774</t>
  </si>
  <si>
    <t xml:space="preserve">GW-0108</t>
  </si>
  <si>
    <t xml:space="preserve">WL-02927</t>
  </si>
  <si>
    <t xml:space="preserve">Jonathon Jones</t>
  </si>
  <si>
    <t xml:space="preserve">TXN-202607-042046</t>
  </si>
  <si>
    <t xml:space="preserve">billing_transactions_2022_2026.csv row 45583</t>
  </si>
  <si>
    <t xml:space="preserve">slip_inventory_2026-08.csv row 749; applicant_register_2026-08.csv row 1928</t>
  </si>
  <si>
    <t xml:space="preserve">GW-0109</t>
  </si>
  <si>
    <t xml:space="preserve">WL-02979</t>
  </si>
  <si>
    <t xml:space="preserve">Catherine Reed</t>
  </si>
  <si>
    <t xml:space="preserve">TXN-202607-042083</t>
  </si>
  <si>
    <t xml:space="preserve">billing_transactions_2022_2026.csv row 45584</t>
  </si>
  <si>
    <t xml:space="preserve">slip_inventory_2026-08.csv row 750; applicant_register_2026-08.csv row 1980</t>
  </si>
  <si>
    <t xml:space="preserve">GW-0110</t>
  </si>
  <si>
    <t xml:space="preserve">WL-02479</t>
  </si>
  <si>
    <t xml:space="preserve">Jeremy Aguirre</t>
  </si>
  <si>
    <t xml:space="preserve">TXN-202607-042149</t>
  </si>
  <si>
    <t xml:space="preserve">billing_transactions_2022_2026.csv row 45586</t>
  </si>
  <si>
    <t xml:space="preserve">slip_inventory_2026-08.csv row 751; applicant_register_2026-08.csv row 1480</t>
  </si>
  <si>
    <t xml:space="preserve">GW-0111</t>
  </si>
  <si>
    <t xml:space="preserve">WL-03229</t>
  </si>
  <si>
    <t xml:space="preserve">Monica Alvarez</t>
  </si>
  <si>
    <t xml:space="preserve">TXN-202607-042226</t>
  </si>
  <si>
    <t xml:space="preserve">billing_transactions_2022_2026.csv row 45588</t>
  </si>
  <si>
    <t xml:space="preserve">slip_inventory_2026-08.csv row 752; applicant_register_2026-08.csv row 2230</t>
  </si>
  <si>
    <t xml:space="preserve">GW-0112</t>
  </si>
  <si>
    <t xml:space="preserve">WL-01208</t>
  </si>
  <si>
    <t xml:space="preserve">Nicholas Lewis</t>
  </si>
  <si>
    <t xml:space="preserve">TXN-202607-042293</t>
  </si>
  <si>
    <t xml:space="preserve">billing_transactions_2022_2026.csv row 45590</t>
  </si>
  <si>
    <t xml:space="preserve">slip_inventory_2026-08.csv row 753; applicant_register_2026-08.csv row 209</t>
  </si>
  <si>
    <t xml:space="preserve">GW-0113</t>
  </si>
  <si>
    <t xml:space="preserve">WL-01259</t>
  </si>
  <si>
    <t xml:space="preserve">Sara Avery</t>
  </si>
  <si>
    <t xml:space="preserve">TXN-202607-042346</t>
  </si>
  <si>
    <t xml:space="preserve">billing_transactions_2022_2026.csv row 45592</t>
  </si>
  <si>
    <t xml:space="preserve">slip_inventory_2026-08.csv row 754; applicant_register_2026-08.csv row 260</t>
  </si>
  <si>
    <t xml:space="preserve">GW-0114</t>
  </si>
  <si>
    <t xml:space="preserve">WL-02985</t>
  </si>
  <si>
    <t xml:space="preserve">Francisco Benjamin</t>
  </si>
  <si>
    <t xml:space="preserve">TXN-202607-042421</t>
  </si>
  <si>
    <t xml:space="preserve">billing_transactions_2022_2026.csv row 45593</t>
  </si>
  <si>
    <t xml:space="preserve">slip_inventory_2026-08.csv row 755; applicant_register_2026-08.csv row 1986</t>
  </si>
  <si>
    <t xml:space="preserve">GW-0115</t>
  </si>
  <si>
    <t xml:space="preserve">WL-01610</t>
  </si>
  <si>
    <t xml:space="preserve">Anthony Johnson</t>
  </si>
  <si>
    <t xml:space="preserve">TXN-202607-042492</t>
  </si>
  <si>
    <t xml:space="preserve">billing_transactions_2022_2026.csv row 45594</t>
  </si>
  <si>
    <t xml:space="preserve">slip_inventory_2026-08.csv row 756; applicant_register_2026-08.csv row 611</t>
  </si>
  <si>
    <t xml:space="preserve">Benjamin Hawkins</t>
  </si>
  <si>
    <t xml:space="preserve">TXN-202607-042567</t>
  </si>
  <si>
    <t xml:space="preserve">billing_transactions_2022_2026.csv row 45595</t>
  </si>
  <si>
    <t xml:space="preserve">slip_inventory_2026-08.csv row 757; applicant_register_2026-08.csv row 1725</t>
  </si>
  <si>
    <t xml:space="preserve">GW-0117</t>
  </si>
  <si>
    <t xml:space="preserve">WL-02588</t>
  </si>
  <si>
    <t xml:space="preserve">Laura Wiley</t>
  </si>
  <si>
    <t xml:space="preserve">MA-2024-0117</t>
  </si>
  <si>
    <t xml:space="preserve">TXN-202607-042616</t>
  </si>
  <si>
    <t xml:space="preserve">billing_transactions_2022_2026.csv row 45596</t>
  </si>
  <si>
    <t xml:space="preserve">slip_inventory_2026-08.csv row 758; applicant_register_2026-08.csv row 1589</t>
  </si>
  <si>
    <t xml:space="preserve">WL-02840</t>
  </si>
  <si>
    <t xml:space="preserve">Zachary Mcdonald</t>
  </si>
  <si>
    <t xml:space="preserve">TXN-202607-042668</t>
  </si>
  <si>
    <t xml:space="preserve">billing_transactions_2022_2026.csv row 45597</t>
  </si>
  <si>
    <t xml:space="preserve">slip_inventory_2026-08.csv row 759; applicant_register_2026-08.csv row 1841</t>
  </si>
  <si>
    <t xml:space="preserve">GW-0119</t>
  </si>
  <si>
    <t xml:space="preserve">WL-01624</t>
  </si>
  <si>
    <t xml:space="preserve">Megan Estrada</t>
  </si>
  <si>
    <t xml:space="preserve">TXN-202607-042748</t>
  </si>
  <si>
    <t xml:space="preserve">billing_transactions_2022_2026.csv row 45599</t>
  </si>
  <si>
    <t xml:space="preserve">slip_inventory_2026-08.csv row 760; applicant_register_2026-08.csv row 625</t>
  </si>
  <si>
    <t xml:space="preserve">GW-0120</t>
  </si>
  <si>
    <t xml:space="preserve">WL-01224</t>
  </si>
  <si>
    <t xml:space="preserve">Yolanda Crane</t>
  </si>
  <si>
    <t xml:space="preserve">TXN-202607-042797</t>
  </si>
  <si>
    <t xml:space="preserve">billing_transactions_2022_2026.csv row 45601</t>
  </si>
  <si>
    <t xml:space="preserve">slip_inventory_2026-08.csv row 761; applicant_register_2026-08.csv row 225</t>
  </si>
  <si>
    <t xml:space="preserve">GW-0121</t>
  </si>
  <si>
    <t xml:space="preserve">WL-01763</t>
  </si>
  <si>
    <t xml:space="preserve">Christopher Miller</t>
  </si>
  <si>
    <t xml:space="preserve">TXN-202607-042874</t>
  </si>
  <si>
    <t xml:space="preserve">billing_transactions_2022_2026.csv row 45602</t>
  </si>
  <si>
    <t xml:space="preserve">slip_inventory_2026-08.csv row 762; applicant_register_2026-08.csv row 764</t>
  </si>
  <si>
    <t xml:space="preserve">GW-0122</t>
  </si>
  <si>
    <t xml:space="preserve">WL-01683</t>
  </si>
  <si>
    <t xml:space="preserve">Steven Davis</t>
  </si>
  <si>
    <t xml:space="preserve">TXN-202607-042942</t>
  </si>
  <si>
    <t xml:space="preserve">billing_transactions_2022_2026.csv row 45603</t>
  </si>
  <si>
    <t xml:space="preserve">slip_inventory_2026-08.csv row 763; applicant_register_2026-08.csv row 684</t>
  </si>
  <si>
    <t xml:space="preserve">WL-03611</t>
  </si>
  <si>
    <t xml:space="preserve">Madeline Morris</t>
  </si>
  <si>
    <t xml:space="preserve">TXN-202607-043004</t>
  </si>
  <si>
    <t xml:space="preserve">billing_transactions_2022_2026.csv row 45604</t>
  </si>
  <si>
    <t xml:space="preserve">slip_inventory_2026-08.csv row 764; applicant_register_2026-08.csv row 2612</t>
  </si>
  <si>
    <t xml:space="preserve">WL-01782</t>
  </si>
  <si>
    <t xml:space="preserve">Ronald White</t>
  </si>
  <si>
    <t xml:space="preserve">TXN-202607-043081</t>
  </si>
  <si>
    <t xml:space="preserve">billing_transactions_2022_2026.csv row 45605</t>
  </si>
  <si>
    <t xml:space="preserve">slip_inventory_2026-08.csv row 765; applicant_register_2026-08.csv row 783</t>
  </si>
  <si>
    <t xml:space="preserve">GW-0202</t>
  </si>
  <si>
    <t xml:space="preserve">WL-03086</t>
  </si>
  <si>
    <t xml:space="preserve">William Daugherty</t>
  </si>
  <si>
    <t xml:space="preserve">TXN-202607-043118</t>
  </si>
  <si>
    <t xml:space="preserve">billing_transactions_2022_2026.csv row 45606</t>
  </si>
  <si>
    <t xml:space="preserve">slip_inventory_2026-08.csv row 766; applicant_register_2026-08.csv row 2087</t>
  </si>
  <si>
    <t xml:space="preserve">GW-0204</t>
  </si>
  <si>
    <t xml:space="preserve">WL-02069</t>
  </si>
  <si>
    <t xml:space="preserve">David Lopez</t>
  </si>
  <si>
    <t xml:space="preserve">TXN-202607-043164</t>
  </si>
  <si>
    <t xml:space="preserve">billing_transactions_2022_2026.csv row 45608</t>
  </si>
  <si>
    <t xml:space="preserve">slip_inventory_2026-08.csv row 768; applicant_register_2026-08.csv row 1070</t>
  </si>
  <si>
    <t xml:space="preserve">GW-0205</t>
  </si>
  <si>
    <t xml:space="preserve">WL-01865</t>
  </si>
  <si>
    <t xml:space="preserve">Aaron Barton</t>
  </si>
  <si>
    <t xml:space="preserve">MA-2024-0205</t>
  </si>
  <si>
    <t xml:space="preserve">TXN-202607-043216</t>
  </si>
  <si>
    <t xml:space="preserve">billing_transactions_2022_2026.csv row 45609</t>
  </si>
  <si>
    <t xml:space="preserve">slip_inventory_2026-08.csv row 769; applicant_register_2026-08.csv row 866</t>
  </si>
  <si>
    <t xml:space="preserve">WL-03352</t>
  </si>
  <si>
    <t xml:space="preserve">Isabella Sutton</t>
  </si>
  <si>
    <t xml:space="preserve">TXN-202607-043289</t>
  </si>
  <si>
    <t xml:space="preserve">billing_transactions_2022_2026.csv row 45611</t>
  </si>
  <si>
    <t xml:space="preserve">slip_inventory_2026-08.csv row 770; applicant_register_2026-08.csv row 2353</t>
  </si>
  <si>
    <t xml:space="preserve">GW-0207</t>
  </si>
  <si>
    <t xml:space="preserve">WL-01291</t>
  </si>
  <si>
    <t xml:space="preserve">Brian Wallace</t>
  </si>
  <si>
    <t xml:space="preserve">TXN-202607-043363</t>
  </si>
  <si>
    <t xml:space="preserve">billing_transactions_2022_2026.csv row 45612</t>
  </si>
  <si>
    <t xml:space="preserve">slip_inventory_2026-08.csv row 771; applicant_register_2026-08.csv row 292</t>
  </si>
  <si>
    <t xml:space="preserve">GW-0208</t>
  </si>
  <si>
    <t xml:space="preserve">WL-02505</t>
  </si>
  <si>
    <t xml:space="preserve">Joe Smith</t>
  </si>
  <si>
    <t xml:space="preserve">TXN-202607-043431</t>
  </si>
  <si>
    <t xml:space="preserve">billing_transactions_2022_2026.csv row 45613</t>
  </si>
  <si>
    <t xml:space="preserve">slip_inventory_2026-08.csv row 772; applicant_register_2026-08.csv row 1506</t>
  </si>
  <si>
    <t xml:space="preserve">GW-0209</t>
  </si>
  <si>
    <t xml:space="preserve">WL-01421</t>
  </si>
  <si>
    <t xml:space="preserve">Jessica Brown</t>
  </si>
  <si>
    <t xml:space="preserve">TXN-202607-043503</t>
  </si>
  <si>
    <t xml:space="preserve">billing_transactions_2022_2026.csv row 45615</t>
  </si>
  <si>
    <t xml:space="preserve">slip_inventory_2026-08.csv row 773; applicant_register_2026-08.csv row 422</t>
  </si>
  <si>
    <t xml:space="preserve">GW-0210</t>
  </si>
  <si>
    <t xml:space="preserve">WL-03832</t>
  </si>
  <si>
    <t xml:space="preserve">Amanda Smith</t>
  </si>
  <si>
    <t xml:space="preserve">TXN-202607-043551</t>
  </si>
  <si>
    <t xml:space="preserve">billing_transactions_2022_2026.csv row 45616</t>
  </si>
  <si>
    <t xml:space="preserve">slip_inventory_2026-08.csv row 774; applicant_register_2026-08.csv row 2833</t>
  </si>
  <si>
    <t xml:space="preserve">GW-0211</t>
  </si>
  <si>
    <t xml:space="preserve">Stanley Peterson</t>
  </si>
  <si>
    <t xml:space="preserve">TXN-202607-043600</t>
  </si>
  <si>
    <t xml:space="preserve">billing_transactions_2022_2026.csv row 45618</t>
  </si>
  <si>
    <t xml:space="preserve">slip_inventory_2026-08.csv row 775; applicant_register_2026-08.csv row 2140</t>
  </si>
  <si>
    <t xml:space="preserve">GW-0212</t>
  </si>
  <si>
    <t xml:space="preserve">WL-02184</t>
  </si>
  <si>
    <t xml:space="preserve">Leonard Wiley</t>
  </si>
  <si>
    <t xml:space="preserve">TXN-202607-043649</t>
  </si>
  <si>
    <t xml:space="preserve">billing_transactions_2022_2026.csv row 45619</t>
  </si>
  <si>
    <t xml:space="preserve">slip_inventory_2026-08.csv row 776; applicant_register_2026-08.csv row 1185</t>
  </si>
  <si>
    <t xml:space="preserve">GW-0213</t>
  </si>
  <si>
    <t xml:space="preserve">WL-02363</t>
  </si>
  <si>
    <t xml:space="preserve">Timothy Johnson</t>
  </si>
  <si>
    <t xml:space="preserve">MA-2024-0213</t>
  </si>
  <si>
    <t xml:space="preserve">TXN-202607-043707</t>
  </si>
  <si>
    <t xml:space="preserve">billing_transactions_2022_2026.csv row 45620</t>
  </si>
  <si>
    <t xml:space="preserve">slip_inventory_2026-08.csv row 777; applicant_register_2026-08.csv row 1364</t>
  </si>
  <si>
    <t xml:space="preserve">WL-03720</t>
  </si>
  <si>
    <t xml:space="preserve">Kristen Blair</t>
  </si>
  <si>
    <t xml:space="preserve">TXN-202607-043775</t>
  </si>
  <si>
    <t xml:space="preserve">billing_transactions_2022_2026.csv row 45621</t>
  </si>
  <si>
    <t xml:space="preserve">slip_inventory_2026-08.csv row 778; applicant_register_2026-08.csv row 2721</t>
  </si>
  <si>
    <t xml:space="preserve">GW-0215</t>
  </si>
  <si>
    <t xml:space="preserve">WL-01436</t>
  </si>
  <si>
    <t xml:space="preserve">William Cook</t>
  </si>
  <si>
    <t xml:space="preserve">TXN-202607-043819</t>
  </si>
  <si>
    <t xml:space="preserve">billing_transactions_2022_2026.csv row 45622</t>
  </si>
  <si>
    <t xml:space="preserve">slip_inventory_2026-08.csv row 779; applicant_register_2026-08.csv row 437</t>
  </si>
  <si>
    <t xml:space="preserve">WL-03614</t>
  </si>
  <si>
    <t xml:space="preserve">Richard Waters</t>
  </si>
  <si>
    <t xml:space="preserve">TXN-202607-043870</t>
  </si>
  <si>
    <t xml:space="preserve">billing_transactions_2022_2026.csv row 45623</t>
  </si>
  <si>
    <t xml:space="preserve">slip_inventory_2026-08.csv row 780; applicant_register_2026-08.csv row 2615</t>
  </si>
  <si>
    <t xml:space="preserve">GW-0217</t>
  </si>
  <si>
    <t xml:space="preserve">WL-02984</t>
  </si>
  <si>
    <t xml:space="preserve">Bridget Jones</t>
  </si>
  <si>
    <t xml:space="preserve">TXN-202607-043911</t>
  </si>
  <si>
    <t xml:space="preserve">billing_transactions_2022_2026.csv row 45625</t>
  </si>
  <si>
    <t xml:space="preserve">slip_inventory_2026-08.csv row 781; applicant_register_2026-08.csv row 1985</t>
  </si>
  <si>
    <t xml:space="preserve">GW-0218</t>
  </si>
  <si>
    <t xml:space="preserve">TXN-202607-043985</t>
  </si>
  <si>
    <t xml:space="preserve">billing_transactions_2022_2026.csv row 45627</t>
  </si>
  <si>
    <t xml:space="preserve">slip_inventory_2026-08.csv row 782; applicant_register_2026-08.csv row 557</t>
  </si>
  <si>
    <t xml:space="preserve">Jeffrey Allen</t>
  </si>
  <si>
    <t xml:space="preserve">TXN-202607-044061</t>
  </si>
  <si>
    <t xml:space="preserve">billing_transactions_2022_2026.csv row 45629</t>
  </si>
  <si>
    <t xml:space="preserve">slip_inventory_2026-08.csv row 784; applicant_register_2026-08.csv row 1437</t>
  </si>
  <si>
    <t xml:space="preserve">GW-0221</t>
  </si>
  <si>
    <t xml:space="preserve">TXN-202607-044101</t>
  </si>
  <si>
    <t xml:space="preserve">billing_transactions_2022_2026.csv row 45630</t>
  </si>
  <si>
    <t xml:space="preserve">slip_inventory_2026-08.csv row 785; applicant_register_2026-08.csv row 1320</t>
  </si>
  <si>
    <t xml:space="preserve">GW-0222</t>
  </si>
  <si>
    <t xml:space="preserve">WL-01365</t>
  </si>
  <si>
    <t xml:space="preserve">Andrew Griffith</t>
  </si>
  <si>
    <t xml:space="preserve">TXN-202607-044146</t>
  </si>
  <si>
    <t xml:space="preserve">billing_transactions_2022_2026.csv row 45631</t>
  </si>
  <si>
    <t xml:space="preserve">slip_inventory_2026-08.csv row 786; applicant_register_2026-08.csv row 366</t>
  </si>
  <si>
    <t xml:space="preserve">WL-01975</t>
  </si>
  <si>
    <t xml:space="preserve">Susan Wilson</t>
  </si>
  <si>
    <t xml:space="preserve">TXN-202607-044221</t>
  </si>
  <si>
    <t xml:space="preserve">billing_transactions_2022_2026.csv row 45632</t>
  </si>
  <si>
    <t xml:space="preserve">slip_inventory_2026-08.csv row 787; applicant_register_2026-08.csv row 976</t>
  </si>
  <si>
    <t xml:space="preserve">WL-01964</t>
  </si>
  <si>
    <t xml:space="preserve">Ryan Richardson</t>
  </si>
  <si>
    <t xml:space="preserve">MA-2024-0301</t>
  </si>
  <si>
    <t xml:space="preserve">TXN-202607-044264</t>
  </si>
  <si>
    <t xml:space="preserve">billing_transactions_2022_2026.csv row 45634</t>
  </si>
  <si>
    <t xml:space="preserve">slip_inventory_2026-08.csv row 788; applicant_register_2026-08.csv row 965</t>
  </si>
  <si>
    <t xml:space="preserve">GW-0302</t>
  </si>
  <si>
    <t xml:space="preserve">WL-01735</t>
  </si>
  <si>
    <t xml:space="preserve">Jeffrey Brown</t>
  </si>
  <si>
    <t xml:space="preserve">TXN-202607-044319</t>
  </si>
  <si>
    <t xml:space="preserve">billing_transactions_2022_2026.csv row 45636</t>
  </si>
  <si>
    <t xml:space="preserve">slip_inventory_2026-08.csv row 789; applicant_register_2026-08.csv row 736</t>
  </si>
  <si>
    <t xml:space="preserve">GW-0303</t>
  </si>
  <si>
    <t xml:space="preserve">WL-02091</t>
  </si>
  <si>
    <t xml:space="preserve">Timothy Herrera</t>
  </si>
  <si>
    <t xml:space="preserve">TXN-202607-044395</t>
  </si>
  <si>
    <t xml:space="preserve">billing_transactions_2022_2026.csv row 45637</t>
  </si>
  <si>
    <t xml:space="preserve">slip_inventory_2026-08.csv row 790; applicant_register_2026-08.csv row 1092</t>
  </si>
  <si>
    <t xml:space="preserve">GW-0304</t>
  </si>
  <si>
    <t xml:space="preserve">WL-01040</t>
  </si>
  <si>
    <t xml:space="preserve">Bradley Collins</t>
  </si>
  <si>
    <t xml:space="preserve">TXN-202607-044471</t>
  </si>
  <si>
    <t xml:space="preserve">billing_transactions_2022_2026.csv row 45638</t>
  </si>
  <si>
    <t xml:space="preserve">slip_inventory_2026-08.csv row 791; applicant_register_2026-08.csv row 41</t>
  </si>
  <si>
    <t xml:space="preserve">WL-02528</t>
  </si>
  <si>
    <t xml:space="preserve">Lisa Richards</t>
  </si>
  <si>
    <t xml:space="preserve">TXN-202607-044520</t>
  </si>
  <si>
    <t xml:space="preserve">billing_transactions_2022_2026.csv row 45640</t>
  </si>
  <si>
    <t xml:space="preserve">slip_inventory_2026-08.csv row 792; applicant_register_2026-08.csv row 1529</t>
  </si>
  <si>
    <t xml:space="preserve">WL-02723</t>
  </si>
  <si>
    <t xml:space="preserve">Gregory Curtis</t>
  </si>
  <si>
    <t xml:space="preserve">TXN-202607-044593</t>
  </si>
  <si>
    <t xml:space="preserve">billing_transactions_2022_2026.csv row 45641</t>
  </si>
  <si>
    <t xml:space="preserve">slip_inventory_2026-08.csv row 793; applicant_register_2026-08.csv row 1724</t>
  </si>
  <si>
    <t xml:space="preserve">GW-0307</t>
  </si>
  <si>
    <t xml:space="preserve">TXN-202607-044670</t>
  </si>
  <si>
    <t xml:space="preserve">billing_transactions_2022_2026.csv row 45642</t>
  </si>
  <si>
    <t xml:space="preserve">slip_inventory_2026-08.csv row 794; applicant_register_2026-08.csv row 1438</t>
  </si>
  <si>
    <t xml:space="preserve">GW-0308</t>
  </si>
  <si>
    <t xml:space="preserve">WL-01165</t>
  </si>
  <si>
    <t xml:space="preserve">Rebecca Smith</t>
  </si>
  <si>
    <t xml:space="preserve">TXN-202607-044733</t>
  </si>
  <si>
    <t xml:space="preserve">billing_transactions_2022_2026.csv row 45643</t>
  </si>
  <si>
    <t xml:space="preserve">slip_inventory_2026-08.csv row 795; applicant_register_2026-08.csv row 166</t>
  </si>
  <si>
    <t xml:space="preserve">GW-0309</t>
  </si>
  <si>
    <t xml:space="preserve">WL-03290</t>
  </si>
  <si>
    <t xml:space="preserve">Caitlin Chavez</t>
  </si>
  <si>
    <t xml:space="preserve">TXN-202607-044779</t>
  </si>
  <si>
    <t xml:space="preserve">billing_transactions_2022_2026.csv row 45644</t>
  </si>
  <si>
    <t xml:space="preserve">slip_inventory_2026-08.csv row 796; applicant_register_2026-08.csv row 2291</t>
  </si>
  <si>
    <t xml:space="preserve">GW-0310</t>
  </si>
  <si>
    <t xml:space="preserve">WL-03315</t>
  </si>
  <si>
    <t xml:space="preserve">Marvin Miranda</t>
  </si>
  <si>
    <t xml:space="preserve">MA-2024-0310</t>
  </si>
  <si>
    <t xml:space="preserve">TXN-202607-044858</t>
  </si>
  <si>
    <t xml:space="preserve">billing_transactions_2022_2026.csv row 45646</t>
  </si>
  <si>
    <t xml:space="preserve">slip_inventory_2026-08.csv row 797; applicant_register_2026-08.csv row 2316</t>
  </si>
  <si>
    <t xml:space="preserve">GW-0312</t>
  </si>
  <si>
    <t xml:space="preserve">WL-01955</t>
  </si>
  <si>
    <t xml:space="preserve">Nicole Davis</t>
  </si>
  <si>
    <t xml:space="preserve">TXN-202607-044896</t>
  </si>
  <si>
    <t xml:space="preserve">billing_transactions_2022_2026.csv row 45647</t>
  </si>
  <si>
    <t xml:space="preserve">slip_inventory_2026-08.csv row 799; applicant_register_2026-08.csv row 956</t>
  </si>
  <si>
    <t xml:space="preserve">GW-0313</t>
  </si>
  <si>
    <t xml:space="preserve">TXN-202607-044955</t>
  </si>
  <si>
    <t xml:space="preserve">billing_transactions_2022_2026.csv row 45648</t>
  </si>
  <si>
    <t xml:space="preserve">slip_inventory_2026-08.csv row 800; applicant_register_2026-08.csv row 2456</t>
  </si>
  <si>
    <t xml:space="preserve">GW-0315</t>
  </si>
  <si>
    <t xml:space="preserve">Rebecca Martin</t>
  </si>
  <si>
    <t xml:space="preserve">TXN-202607-045023</t>
  </si>
  <si>
    <t xml:space="preserve">billing_transactions_2022_2026.csv row 45650</t>
  </si>
  <si>
    <t xml:space="preserve">slip_inventory_2026-08.csv row 802; applicant_register_2026-08.csv row 2307</t>
  </si>
  <si>
    <t xml:space="preserve">GW-0316</t>
  </si>
  <si>
    <t xml:space="preserve">WL-01648</t>
  </si>
  <si>
    <t xml:space="preserve">Chelsea Matthews</t>
  </si>
  <si>
    <t xml:space="preserve">TXN-202607-045073</t>
  </si>
  <si>
    <t xml:space="preserve">billing_transactions_2022_2026.csv row 45652</t>
  </si>
  <si>
    <t xml:space="preserve">slip_inventory_2026-08.csv row 803; applicant_register_2026-08.csv row 649</t>
  </si>
  <si>
    <t xml:space="preserve">GW-0317</t>
  </si>
  <si>
    <t xml:space="preserve">WL-02270</t>
  </si>
  <si>
    <t xml:space="preserve">Nathan Lewis</t>
  </si>
  <si>
    <t xml:space="preserve">TXN-202607-045113</t>
  </si>
  <si>
    <t xml:space="preserve">billing_transactions_2022_2026.csv row 45653</t>
  </si>
  <si>
    <t xml:space="preserve">slip_inventory_2026-08.csv row 804; applicant_register_2026-08.csv row 1271</t>
  </si>
  <si>
    <t xml:space="preserve">GW-0318</t>
  </si>
  <si>
    <t xml:space="preserve">WL-01122</t>
  </si>
  <si>
    <t xml:space="preserve">Rachel Carpenter</t>
  </si>
  <si>
    <t xml:space="preserve">TXN-202607-045186</t>
  </si>
  <si>
    <t xml:space="preserve">billing_transactions_2022_2026.csv row 45655</t>
  </si>
  <si>
    <t xml:space="preserve">slip_inventory_2026-08.csv row 805; applicant_register_2026-08.csv row 123</t>
  </si>
  <si>
    <t xml:space="preserve">GW-0320</t>
  </si>
  <si>
    <t xml:space="preserve">WL-01487</t>
  </si>
  <si>
    <t xml:space="preserve">Thomas Palmer</t>
  </si>
  <si>
    <t xml:space="preserve">MA-2024-0320</t>
  </si>
  <si>
    <t xml:space="preserve">TXN-202607-045257</t>
  </si>
  <si>
    <t xml:space="preserve">billing_transactions_2022_2026.csv row 45656</t>
  </si>
  <si>
    <t xml:space="preserve">slip_inventory_2026-08.csv row 807; applicant_register_2026-08.csv row 488</t>
  </si>
  <si>
    <t xml:space="preserve">GW-0321</t>
  </si>
  <si>
    <t xml:space="preserve">WL-02922</t>
  </si>
  <si>
    <t xml:space="preserve">Sandra Allen</t>
  </si>
  <si>
    <t xml:space="preserve">TXN-202607-045301</t>
  </si>
  <si>
    <t xml:space="preserve">billing_transactions_2022_2026.csv row 45657</t>
  </si>
  <si>
    <t xml:space="preserve">slip_inventory_2026-08.csv row 808; applicant_register_2026-08.csv row 1923</t>
  </si>
  <si>
    <t xml:space="preserve">GW-0322</t>
  </si>
  <si>
    <t xml:space="preserve">WL-01815</t>
  </si>
  <si>
    <t xml:space="preserve">Theresa Martinez</t>
  </si>
  <si>
    <t xml:space="preserve">TXN-202607-045362</t>
  </si>
  <si>
    <t xml:space="preserve">billing_transactions_2022_2026.csv row 45659</t>
  </si>
  <si>
    <t xml:space="preserve">slip_inventory_2026-08.csv row 809; applicant_register_2026-08.csv row 816</t>
  </si>
  <si>
    <t xml:space="preserve">WL-02735</t>
  </si>
  <si>
    <t xml:space="preserve">Kristen Orr</t>
  </si>
  <si>
    <t xml:space="preserve">TXN-202607-045442</t>
  </si>
  <si>
    <t xml:space="preserve">billing_transactions_2022_2026.csv row 45660</t>
  </si>
  <si>
    <t xml:space="preserve">slip_inventory_2026-08.csv row 810; applicant_register_2026-08.csv row 1736</t>
  </si>
  <si>
    <t xml:space="preserve">WL-03064</t>
  </si>
  <si>
    <t xml:space="preserve">Megan Hendricks</t>
  </si>
  <si>
    <t xml:space="preserve">TXN-202607-045499</t>
  </si>
  <si>
    <t xml:space="preserve">billing_transactions_2022_2026.csv row 45662</t>
  </si>
  <si>
    <t xml:space="preserve">slip_inventory_2026-08.csv row 811; applicant_register_2026-08.csv row 2065</t>
  </si>
  <si>
    <t xml:space="preserve">GW-0402</t>
  </si>
  <si>
    <t xml:space="preserve">WL-02635</t>
  </si>
  <si>
    <t xml:space="preserve">Roger Bowers</t>
  </si>
  <si>
    <t xml:space="preserve">TXN-202607-045546</t>
  </si>
  <si>
    <t xml:space="preserve">billing_transactions_2022_2026.csv row 45663</t>
  </si>
  <si>
    <t xml:space="preserve">slip_inventory_2026-08.csv row 812; applicant_register_2026-08.csv row 1636</t>
  </si>
  <si>
    <t xml:space="preserve">GW-0403</t>
  </si>
  <si>
    <t xml:space="preserve">WL-02399</t>
  </si>
  <si>
    <t xml:space="preserve">Jennifer Mccullough</t>
  </si>
  <si>
    <t xml:space="preserve">TXN-202607-045594</t>
  </si>
  <si>
    <t xml:space="preserve">billing_transactions_2022_2026.csv row 45664</t>
  </si>
  <si>
    <t xml:space="preserve">slip_inventory_2026-08.csv row 813; applicant_register_2026-08.csv row 1400</t>
  </si>
  <si>
    <t xml:space="preserve">GW-0404</t>
  </si>
  <si>
    <t xml:space="preserve">WL-03671</t>
  </si>
  <si>
    <t xml:space="preserve">Thomas Martinez</t>
  </si>
  <si>
    <t xml:space="preserve">TXN-202607-045644</t>
  </si>
  <si>
    <t xml:space="preserve">billing_transactions_2022_2026.csv row 45665</t>
  </si>
  <si>
    <t xml:space="preserve">slip_inventory_2026-08.csv row 814; applicant_register_2026-08.csv row 2672</t>
  </si>
  <si>
    <t xml:space="preserve">GW-0405</t>
  </si>
  <si>
    <t xml:space="preserve">WL-01293</t>
  </si>
  <si>
    <t xml:space="preserve">Pamela Powell</t>
  </si>
  <si>
    <t xml:space="preserve">TXN-202607-045696</t>
  </si>
  <si>
    <t xml:space="preserve">billing_transactions_2022_2026.csv row 45666</t>
  </si>
  <si>
    <t xml:space="preserve">slip_inventory_2026-08.csv row 815; applicant_register_2026-08.csv row 294</t>
  </si>
  <si>
    <t xml:space="preserve">GW-0406</t>
  </si>
  <si>
    <t xml:space="preserve">WL-02077</t>
  </si>
  <si>
    <t xml:space="preserve">William Price</t>
  </si>
  <si>
    <t xml:space="preserve">TXN-202607-045760</t>
  </si>
  <si>
    <t xml:space="preserve">billing_transactions_2022_2026.csv row 45667</t>
  </si>
  <si>
    <t xml:space="preserve">slip_inventory_2026-08.csv row 816; applicant_register_2026-08.csv row 1078</t>
  </si>
  <si>
    <t xml:space="preserve">GW-0407</t>
  </si>
  <si>
    <t xml:space="preserve">WL-03682</t>
  </si>
  <si>
    <t xml:space="preserve">Paul Anderson</t>
  </si>
  <si>
    <t xml:space="preserve">TXN-202607-045804</t>
  </si>
  <si>
    <t xml:space="preserve">billing_transactions_2022_2026.csv row 45668</t>
  </si>
  <si>
    <t xml:space="preserve">slip_inventory_2026-08.csv row 817; applicant_register_2026-08.csv row 2683</t>
  </si>
  <si>
    <t xml:space="preserve">GW-0408</t>
  </si>
  <si>
    <t xml:space="preserve">WL-01551</t>
  </si>
  <si>
    <t xml:space="preserve">Megan Santiago</t>
  </si>
  <si>
    <t xml:space="preserve">TXN-202607-045871</t>
  </si>
  <si>
    <t xml:space="preserve">billing_transactions_2022_2026.csv row 45669</t>
  </si>
  <si>
    <t xml:space="preserve">slip_inventory_2026-08.csv row 818; applicant_register_2026-08.csv row 552</t>
  </si>
  <si>
    <t xml:space="preserve">GW-0409</t>
  </si>
  <si>
    <t xml:space="preserve">WL-02328</t>
  </si>
  <si>
    <t xml:space="preserve">Tony Mack</t>
  </si>
  <si>
    <t xml:space="preserve">TXN-202607-045913</t>
  </si>
  <si>
    <t xml:space="preserve">billing_transactions_2022_2026.csv row 45670</t>
  </si>
  <si>
    <t xml:space="preserve">slip_inventory_2026-08.csv row 819; applicant_register_2026-08.csv row 1329</t>
  </si>
  <si>
    <t xml:space="preserve">GW-0410</t>
  </si>
  <si>
    <t xml:space="preserve">TXN-202607-045953</t>
  </si>
  <si>
    <t xml:space="preserve">billing_transactions_2022_2026.csv row 45672</t>
  </si>
  <si>
    <t xml:space="preserve">slip_inventory_2026-08.csv row 820; applicant_register_2026-08.csv row 1075</t>
  </si>
  <si>
    <t xml:space="preserve">GW-0411</t>
  </si>
  <si>
    <t xml:space="preserve">WL-01859</t>
  </si>
  <si>
    <t xml:space="preserve">Patricia Delgado</t>
  </si>
  <si>
    <t xml:space="preserve">TXN-202607-046029</t>
  </si>
  <si>
    <t xml:space="preserve">billing_transactions_2022_2026.csv row 45673</t>
  </si>
  <si>
    <t xml:space="preserve">slip_inventory_2026-08.csv row 821; applicant_register_2026-08.csv row 860</t>
  </si>
  <si>
    <t xml:space="preserve">GW-0412</t>
  </si>
  <si>
    <t xml:space="preserve">WL-01282</t>
  </si>
  <si>
    <t xml:space="preserve">Nancy Miller</t>
  </si>
  <si>
    <t xml:space="preserve">TXN-202607-046103</t>
  </si>
  <si>
    <t xml:space="preserve">billing_transactions_2022_2026.csv row 45675</t>
  </si>
  <si>
    <t xml:space="preserve">slip_inventory_2026-08.csv row 822; applicant_register_2026-08.csv row 283</t>
  </si>
  <si>
    <t xml:space="preserve">GW-0413</t>
  </si>
  <si>
    <t xml:space="preserve">WL-03767</t>
  </si>
  <si>
    <t xml:space="preserve">Chad David</t>
  </si>
  <si>
    <t xml:space="preserve">TXN-202607-046164</t>
  </si>
  <si>
    <t xml:space="preserve">billing_transactions_2022_2026.csv row 45676</t>
  </si>
  <si>
    <t xml:space="preserve">slip_inventory_2026-08.csv row 823; applicant_register_2026-08.csv row 2768</t>
  </si>
  <si>
    <t xml:space="preserve">WL-01875</t>
  </si>
  <si>
    <t xml:space="preserve">Steven Harris</t>
  </si>
  <si>
    <t xml:space="preserve">TXN-202607-046240</t>
  </si>
  <si>
    <t xml:space="preserve">billing_transactions_2022_2026.csv row 45677</t>
  </si>
  <si>
    <t xml:space="preserve">slip_inventory_2026-08.csv row 824; applicant_register_2026-08.csv row 876</t>
  </si>
  <si>
    <t xml:space="preserve">TXN-202607-046286</t>
  </si>
  <si>
    <t xml:space="preserve">billing_transactions_2022_2026.csv row 45678</t>
  </si>
  <si>
    <t xml:space="preserve">slip_inventory_2026-08.csv row 825; applicant_register_2026-08.csv row 1970</t>
  </si>
  <si>
    <t xml:space="preserve">GW-0416</t>
  </si>
  <si>
    <t xml:space="preserve">WL-01714</t>
  </si>
  <si>
    <t xml:space="preserve">Ashley Smith</t>
  </si>
  <si>
    <t xml:space="preserve">TXN-202607-046330</t>
  </si>
  <si>
    <t xml:space="preserve">billing_transactions_2022_2026.csv row 45680</t>
  </si>
  <si>
    <t xml:space="preserve">slip_inventory_2026-08.csv row 826; applicant_register_2026-08.csv row 715</t>
  </si>
  <si>
    <t xml:space="preserve">GW-0417</t>
  </si>
  <si>
    <t xml:space="preserve">WL-02423</t>
  </si>
  <si>
    <t xml:space="preserve">Melissa Johnson</t>
  </si>
  <si>
    <t xml:space="preserve">TXN-202607-046407</t>
  </si>
  <si>
    <t xml:space="preserve">billing_transactions_2022_2026.csv row 45682</t>
  </si>
  <si>
    <t xml:space="preserve">slip_inventory_2026-08.csv row 827; applicant_register_2026-08.csv row 1424</t>
  </si>
  <si>
    <t xml:space="preserve">GW-0418</t>
  </si>
  <si>
    <t xml:space="preserve">WL-03144</t>
  </si>
  <si>
    <t xml:space="preserve">Brandi Jackson</t>
  </si>
  <si>
    <t xml:space="preserve">TXN-202607-046456</t>
  </si>
  <si>
    <t xml:space="preserve">billing_transactions_2022_2026.csv row 45683</t>
  </si>
  <si>
    <t xml:space="preserve">slip_inventory_2026-08.csv row 828; applicant_register_2026-08.csv row 2145</t>
  </si>
  <si>
    <t xml:space="preserve">WL-03795</t>
  </si>
  <si>
    <t xml:space="preserve">Brenda Norman</t>
  </si>
  <si>
    <t xml:space="preserve">TXN-202607-046508</t>
  </si>
  <si>
    <t xml:space="preserve">billing_transactions_2022_2026.csv row 45684</t>
  </si>
  <si>
    <t xml:space="preserve">slip_inventory_2026-08.csv row 829; applicant_register_2026-08.csv row 2796</t>
  </si>
  <si>
    <t xml:space="preserve">GW-0420</t>
  </si>
  <si>
    <t xml:space="preserve">WL-01133</t>
  </si>
  <si>
    <t xml:space="preserve">Shelia Lewis</t>
  </si>
  <si>
    <t xml:space="preserve">TXN-202607-046575</t>
  </si>
  <si>
    <t xml:space="preserve">billing_transactions_2022_2026.csv row 45686</t>
  </si>
  <si>
    <t xml:space="preserve">slip_inventory_2026-08.csv row 830; applicant_register_2026-08.csv row 134</t>
  </si>
  <si>
    <t xml:space="preserve">GW-0421</t>
  </si>
  <si>
    <t xml:space="preserve">WL-01204</t>
  </si>
  <si>
    <t xml:space="preserve">David Williams</t>
  </si>
  <si>
    <t xml:space="preserve">TXN-202607-046619</t>
  </si>
  <si>
    <t xml:space="preserve">billing_transactions_2022_2026.csv row 45688</t>
  </si>
  <si>
    <t xml:space="preserve">slip_inventory_2026-08.csv row 831; applicant_register_2026-08.csv row 205</t>
  </si>
  <si>
    <t xml:space="preserve">GW-0422</t>
  </si>
  <si>
    <t xml:space="preserve">WL-03799</t>
  </si>
  <si>
    <t xml:space="preserve">Ashley Duncan</t>
  </si>
  <si>
    <t xml:space="preserve">MA-2024-0422</t>
  </si>
  <si>
    <t xml:space="preserve">TXN-202607-046673</t>
  </si>
  <si>
    <t xml:space="preserve">billing_transactions_2022_2026.csv row 45690</t>
  </si>
  <si>
    <t xml:space="preserve">slip_inventory_2026-08.csv row 832; applicant_register_2026-08.csv row 2800</t>
  </si>
  <si>
    <t xml:space="preserve">GW-0423</t>
  </si>
  <si>
    <t xml:space="preserve">WL-02053</t>
  </si>
  <si>
    <t xml:space="preserve">Erika Smith</t>
  </si>
  <si>
    <t xml:space="preserve">TXN-202607-046720</t>
  </si>
  <si>
    <t xml:space="preserve">billing_transactions_2022_2026.csv row 45692</t>
  </si>
  <si>
    <t xml:space="preserve">slip_inventory_2026-08.csv row 833; applicant_register_2026-08.csv row 1054</t>
  </si>
  <si>
    <t xml:space="preserve">GW-0501</t>
  </si>
  <si>
    <t xml:space="preserve">WL-01450</t>
  </si>
  <si>
    <t xml:space="preserve">Joel Barnes</t>
  </si>
  <si>
    <t xml:space="preserve">MA-2024-0501</t>
  </si>
  <si>
    <t xml:space="preserve">TXN-202607-046796</t>
  </si>
  <si>
    <t xml:space="preserve">billing_transactions_2022_2026.csv row 45693</t>
  </si>
  <si>
    <t xml:space="preserve">slip_inventory_2026-08.csv row 834; applicant_register_2026-08.csv row 451</t>
  </si>
  <si>
    <t xml:space="preserve">GW-0502</t>
  </si>
  <si>
    <t xml:space="preserve">WL-03559</t>
  </si>
  <si>
    <t xml:space="preserve">David Sanders</t>
  </si>
  <si>
    <t xml:space="preserve">No July 2026 monthly-moorage line in supplied export</t>
  </si>
  <si>
    <t xml:space="preserve">slip_inventory_2026-08.csv row 835; applicant_register_2026-08.csv row 2560</t>
  </si>
  <si>
    <t xml:space="preserve">GW-0503</t>
  </si>
  <si>
    <t xml:space="preserve">WL-01494</t>
  </si>
  <si>
    <t xml:space="preserve">Ashley Park</t>
  </si>
  <si>
    <t xml:space="preserve">slip_inventory_2026-08.csv row 836; applicant_register_2026-08.csv row 495</t>
  </si>
  <si>
    <t xml:space="preserve">GW-0504</t>
  </si>
  <si>
    <t xml:space="preserve">WL-01500</t>
  </si>
  <si>
    <t xml:space="preserve">Patricia Marquez</t>
  </si>
  <si>
    <t xml:space="preserve">slip_inventory_2026-08.csv row 837; applicant_register_2026-08.csv row 501</t>
  </si>
  <si>
    <t xml:space="preserve">GW-0505</t>
  </si>
  <si>
    <t xml:space="preserve">slip_inventory_2026-08.csv row 838; applicant_register_2026-08.csv row 90</t>
  </si>
  <si>
    <t xml:space="preserve">GW-0506</t>
  </si>
  <si>
    <t xml:space="preserve">Kathryn Cook</t>
  </si>
  <si>
    <t xml:space="preserve">slip_inventory_2026-08.csv row 839; applicant_register_2026-08.csv row 2616</t>
  </si>
  <si>
    <t xml:space="preserve">GW-0507</t>
  </si>
  <si>
    <t xml:space="preserve">WL-03057</t>
  </si>
  <si>
    <t xml:space="preserve">Jennifer Stout</t>
  </si>
  <si>
    <t xml:space="preserve">slip_inventory_2026-08.csv row 840; applicant_register_2026-08.csv row 2058</t>
  </si>
  <si>
    <t xml:space="preserve">GW-0508</t>
  </si>
  <si>
    <t xml:space="preserve">WL-03692</t>
  </si>
  <si>
    <t xml:space="preserve">Warren Wilkins</t>
  </si>
  <si>
    <t xml:space="preserve">slip_inventory_2026-08.csv row 841; applicant_register_2026-08.csv row 2693</t>
  </si>
  <si>
    <t xml:space="preserve">WL-03850</t>
  </si>
  <si>
    <t xml:space="preserve">Teresa Greer</t>
  </si>
  <si>
    <t xml:space="preserve">MA-2024-0509</t>
  </si>
  <si>
    <t xml:space="preserve">slip_inventory_2026-08.csv row 842; applicant_register_2026-08.csv row 2851</t>
  </si>
  <si>
    <t xml:space="preserve">GW-0511</t>
  </si>
  <si>
    <t xml:space="preserve">WL-02804</t>
  </si>
  <si>
    <t xml:space="preserve">Danny Jones</t>
  </si>
  <si>
    <t xml:space="preserve">slip_inventory_2026-08.csv row 844; applicant_register_2026-08.csv row 1805</t>
  </si>
  <si>
    <t xml:space="preserve">GW-0512</t>
  </si>
  <si>
    <t xml:space="preserve">WL-03869</t>
  </si>
  <si>
    <t xml:space="preserve">Seth Raymond</t>
  </si>
  <si>
    <t xml:space="preserve">slip_inventory_2026-08.csv row 845; applicant_register_2026-08.csv row 2870</t>
  </si>
  <si>
    <t xml:space="preserve">slip_inventory_2026-08.csv row 846; applicant_register_2026-08.csv row 2046</t>
  </si>
  <si>
    <t xml:space="preserve">GW-0514</t>
  </si>
  <si>
    <t xml:space="preserve">WL-03143</t>
  </si>
  <si>
    <t xml:space="preserve">Timothy Jennings</t>
  </si>
  <si>
    <t xml:space="preserve">slip_inventory_2026-08.csv row 847; applicant_register_2026-08.csv row 2144</t>
  </si>
  <si>
    <t xml:space="preserve">GW-0515</t>
  </si>
  <si>
    <t xml:space="preserve">WL-02025</t>
  </si>
  <si>
    <t xml:space="preserve">Haley Johnson</t>
  </si>
  <si>
    <t xml:space="preserve">slip_inventory_2026-08.csv row 848; applicant_register_2026-08.csv row 1026</t>
  </si>
  <si>
    <t xml:space="preserve">GW-0516</t>
  </si>
  <si>
    <t xml:space="preserve">WL-01072</t>
  </si>
  <si>
    <t xml:space="preserve">Sabrina Johnson</t>
  </si>
  <si>
    <t xml:space="preserve">slip_inventory_2026-08.csv row 849; applicant_register_2026-08.csv row 73</t>
  </si>
  <si>
    <t xml:space="preserve">WL-01986</t>
  </si>
  <si>
    <t xml:space="preserve">Leah Blake</t>
  </si>
  <si>
    <t xml:space="preserve">slip_inventory_2026-08.csv row 850; applicant_register_2026-08.csv row 987</t>
  </si>
  <si>
    <t xml:space="preserve">GW-0518</t>
  </si>
  <si>
    <t xml:space="preserve">WL-02212</t>
  </si>
  <si>
    <t xml:space="preserve">Jeffery Delacruz</t>
  </si>
  <si>
    <t xml:space="preserve">slip_inventory_2026-08.csv row 851; applicant_register_2026-08.csv row 1213</t>
  </si>
  <si>
    <t xml:space="preserve">GW-0519</t>
  </si>
  <si>
    <t xml:space="preserve">WL-03269</t>
  </si>
  <si>
    <t xml:space="preserve">Maria Schultz</t>
  </si>
  <si>
    <t xml:space="preserve">slip_inventory_2026-08.csv row 852; applicant_register_2026-08.csv row 2270</t>
  </si>
  <si>
    <t xml:space="preserve">GW-0520</t>
  </si>
  <si>
    <t xml:space="preserve">WL-01266</t>
  </si>
  <si>
    <t xml:space="preserve">Derek Kirby</t>
  </si>
  <si>
    <t xml:space="preserve">slip_inventory_2026-08.csv row 853; applicant_register_2026-08.csv row 267</t>
  </si>
  <si>
    <t xml:space="preserve">GW-0521</t>
  </si>
  <si>
    <t xml:space="preserve">WL-01548</t>
  </si>
  <si>
    <t xml:space="preserve">William Brown</t>
  </si>
  <si>
    <t xml:space="preserve">slip_inventory_2026-08.csv row 854; applicant_register_2026-08.csv row 549</t>
  </si>
  <si>
    <t xml:space="preserve">Daniel Stevens</t>
  </si>
  <si>
    <t xml:space="preserve">slip_inventory_2026-08.csv row 855; applicant_register_2026-08.csv row 2184</t>
  </si>
  <si>
    <t xml:space="preserve">GW-0523</t>
  </si>
  <si>
    <t xml:space="preserve">WL-02124</t>
  </si>
  <si>
    <t xml:space="preserve">Laura French</t>
  </si>
  <si>
    <t xml:space="preserve">slip_inventory_2026-08.csv row 856; applicant_register_2026-08.csv row 1125</t>
  </si>
  <si>
    <t xml:space="preserve">WL-01097</t>
  </si>
  <si>
    <t xml:space="preserve">Alexis Walters</t>
  </si>
  <si>
    <t xml:space="preserve">slip_inventory_2026-08.csv row 857; applicant_register_2026-08.csv row 98</t>
  </si>
  <si>
    <t xml:space="preserve">GW-0603</t>
  </si>
  <si>
    <t xml:space="preserve">WL-02089</t>
  </si>
  <si>
    <t xml:space="preserve">Todd Butler</t>
  </si>
  <si>
    <t xml:space="preserve">slip_inventory_2026-08.csv row 859; applicant_register_2026-08.csv row 1090</t>
  </si>
  <si>
    <t xml:space="preserve">GW-0604</t>
  </si>
  <si>
    <t xml:space="preserve">WL-02770</t>
  </si>
  <si>
    <t xml:space="preserve">Henry Okafor</t>
  </si>
  <si>
    <t xml:space="preserve">slip_inventory_2026-08.csv row 860; applicant_register_2026-08.csv row 1771</t>
  </si>
  <si>
    <t xml:space="preserve">GW-0605</t>
  </si>
  <si>
    <t xml:space="preserve">WL-03366</t>
  </si>
  <si>
    <t xml:space="preserve">Jose Mckinney</t>
  </si>
  <si>
    <t xml:space="preserve">slip_inventory_2026-08.csv row 861; applicant_register_2026-08.csv row 2367</t>
  </si>
  <si>
    <t xml:space="preserve">WL-01260</t>
  </si>
  <si>
    <t xml:space="preserve">Dale Thomas</t>
  </si>
  <si>
    <t xml:space="preserve">slip_inventory_2026-08.csv row 862; applicant_register_2026-08.csv row 261</t>
  </si>
  <si>
    <t xml:space="preserve">GW-0607</t>
  </si>
  <si>
    <t xml:space="preserve">WL-01881</t>
  </si>
  <si>
    <t xml:space="preserve">William Bennett</t>
  </si>
  <si>
    <t xml:space="preserve">slip_inventory_2026-08.csv row 863; applicant_register_2026-08.csv row 882</t>
  </si>
  <si>
    <t xml:space="preserve">GW-0608</t>
  </si>
  <si>
    <t xml:space="preserve">WL-02296</t>
  </si>
  <si>
    <t xml:space="preserve">Jason Miller</t>
  </si>
  <si>
    <t xml:space="preserve">slip_inventory_2026-08.csv row 864; applicant_register_2026-08.csv row 1297</t>
  </si>
  <si>
    <t xml:space="preserve">GW-0609</t>
  </si>
  <si>
    <t xml:space="preserve">WL-02915</t>
  </si>
  <si>
    <t xml:space="preserve">Lori Cook</t>
  </si>
  <si>
    <t xml:space="preserve">slip_inventory_2026-08.csv row 865; applicant_register_2026-08.csv row 1916</t>
  </si>
  <si>
    <t xml:space="preserve">WL-01206</t>
  </si>
  <si>
    <t xml:space="preserve">Cynthia Taylor</t>
  </si>
  <si>
    <t xml:space="preserve">slip_inventory_2026-08.csv row 866; applicant_register_2026-08.csv row 207</t>
  </si>
  <si>
    <t xml:space="preserve">GW-0612</t>
  </si>
  <si>
    <t xml:space="preserve">WL-02970</t>
  </si>
  <si>
    <t xml:space="preserve">William Robles</t>
  </si>
  <si>
    <t xml:space="preserve">MA-2024-0612</t>
  </si>
  <si>
    <t xml:space="preserve">slip_inventory_2026-08.csv row 868; applicant_register_2026-08.csv row 1971</t>
  </si>
  <si>
    <t xml:space="preserve">GW-0613</t>
  </si>
  <si>
    <t xml:space="preserve">WL-02426</t>
  </si>
  <si>
    <t xml:space="preserve">Joshua Cherry</t>
  </si>
  <si>
    <t xml:space="preserve">MA-2024-0613</t>
  </si>
  <si>
    <t xml:space="preserve">slip_inventory_2026-08.csv row 869; applicant_register_2026-08.csv row 1427</t>
  </si>
  <si>
    <t xml:space="preserve">GW-0614</t>
  </si>
  <si>
    <t xml:space="preserve">slip_inventory_2026-08.csv row 870; applicant_register_2026-08.csv row 996</t>
  </si>
  <si>
    <t xml:space="preserve">Larry Carr</t>
  </si>
  <si>
    <t xml:space="preserve">slip_inventory_2026-08.csv row 871; applicant_register_2026-08.csv row 703</t>
  </si>
  <si>
    <t xml:space="preserve">GW-0617</t>
  </si>
  <si>
    <t xml:space="preserve">WL-02400</t>
  </si>
  <si>
    <t xml:space="preserve">Sierra Washington</t>
  </si>
  <si>
    <t xml:space="preserve">slip_inventory_2026-08.csv row 873; applicant_register_2026-08.csv row 1401</t>
  </si>
  <si>
    <t xml:space="preserve">GW-0618</t>
  </si>
  <si>
    <t xml:space="preserve">WL-03467</t>
  </si>
  <si>
    <t xml:space="preserve">Juan Ray</t>
  </si>
  <si>
    <t xml:space="preserve">slip_inventory_2026-08.csv row 874; applicant_register_2026-08.csv row 2468</t>
  </si>
  <si>
    <t xml:space="preserve">GW-0619</t>
  </si>
  <si>
    <t xml:space="preserve">WL-03110</t>
  </si>
  <si>
    <t xml:space="preserve">Randy Ramos</t>
  </si>
  <si>
    <t xml:space="preserve">MA-2024-0619</t>
  </si>
  <si>
    <t xml:space="preserve">slip_inventory_2026-08.csv row 875; applicant_register_2026-08.csv row 2111</t>
  </si>
  <si>
    <t xml:space="preserve">MA-2024-0620</t>
  </si>
  <si>
    <t xml:space="preserve">slip_inventory_2026-08.csv row 876; applicant_register_2026-08.csv row 358</t>
  </si>
  <si>
    <t xml:space="preserve">GW-0621</t>
  </si>
  <si>
    <t xml:space="preserve">WL-03595</t>
  </si>
  <si>
    <t xml:space="preserve">Roger Johnson</t>
  </si>
  <si>
    <t xml:space="preserve">slip_inventory_2026-08.csv row 877; applicant_register_2026-08.csv row 2596</t>
  </si>
  <si>
    <t xml:space="preserve">WL-01075</t>
  </si>
  <si>
    <t xml:space="preserve">Ryan Gilmore</t>
  </si>
  <si>
    <t xml:space="preserve">MA-2024-0622</t>
  </si>
  <si>
    <t xml:space="preserve">slip_inventory_2026-08.csv row 878; applicant_register_2026-08.csv row 76</t>
  </si>
  <si>
    <t xml:space="preserve">GW-0623</t>
  </si>
  <si>
    <t xml:space="preserve">WL-03819</t>
  </si>
  <si>
    <t xml:space="preserve">Anna Wu</t>
  </si>
  <si>
    <t xml:space="preserve">slip_inventory_2026-08.csv row 879; applicant_register_2026-08.csv row 2820</t>
  </si>
  <si>
    <t xml:space="preserve">GW-0702</t>
  </si>
  <si>
    <t xml:space="preserve">WL-02050</t>
  </si>
  <si>
    <t xml:space="preserve">John Howard</t>
  </si>
  <si>
    <t xml:space="preserve">slip_inventory_2026-08.csv row 881; applicant_register_2026-08.csv row 1051</t>
  </si>
  <si>
    <t xml:space="preserve">WL-02415</t>
  </si>
  <si>
    <t xml:space="preserve">Valerie Nelson</t>
  </si>
  <si>
    <t xml:space="preserve">slip_inventory_2026-08.csv row 882; applicant_register_2026-08.csv row 1416</t>
  </si>
  <si>
    <t xml:space="preserve">GW-0704</t>
  </si>
  <si>
    <t xml:space="preserve">Jared Mosley</t>
  </si>
  <si>
    <t xml:space="preserve">slip_inventory_2026-08.csv row 883; applicant_register_2026-08.csv row 17</t>
  </si>
  <si>
    <t xml:space="preserve">WL-03168</t>
  </si>
  <si>
    <t xml:space="preserve">Danielle Mckinney</t>
  </si>
  <si>
    <t xml:space="preserve">slip_inventory_2026-08.csv row 884; applicant_register_2026-08.csv row 2169</t>
  </si>
  <si>
    <t xml:space="preserve">GW-0706</t>
  </si>
  <si>
    <t xml:space="preserve">WL-02503</t>
  </si>
  <si>
    <t xml:space="preserve">Molly Holland</t>
  </si>
  <si>
    <t xml:space="preserve">slip_inventory_2026-08.csv row 885; applicant_register_2026-08.csv row 1504</t>
  </si>
  <si>
    <t xml:space="preserve">GW-0707</t>
  </si>
  <si>
    <t xml:space="preserve">WL-01688</t>
  </si>
  <si>
    <t xml:space="preserve">Michael Gardner</t>
  </si>
  <si>
    <t xml:space="preserve">MA-2024-0707</t>
  </si>
  <si>
    <t xml:space="preserve">slip_inventory_2026-08.csv row 886; applicant_register_2026-08.csv row 689</t>
  </si>
  <si>
    <t xml:space="preserve">slip_inventory_2026-08.csv row 887; applicant_register_2026-08.csv row 439</t>
  </si>
  <si>
    <t xml:space="preserve">GW-0710</t>
  </si>
  <si>
    <t xml:space="preserve">WL-01445</t>
  </si>
  <si>
    <t xml:space="preserve">Kyle Estes</t>
  </si>
  <si>
    <t xml:space="preserve">slip_inventory_2026-08.csv row 889; applicant_register_2026-08.csv row 446</t>
  </si>
  <si>
    <t xml:space="preserve">GW-0711</t>
  </si>
  <si>
    <t xml:space="preserve">WL-01119</t>
  </si>
  <si>
    <t xml:space="preserve">Holly Kennedy</t>
  </si>
  <si>
    <t xml:space="preserve">MA-2024-0711</t>
  </si>
  <si>
    <t xml:space="preserve">slip_inventory_2026-08.csv row 890; applicant_register_2026-08.csv row 120</t>
  </si>
  <si>
    <t xml:space="preserve">GW-0712</t>
  </si>
  <si>
    <t xml:space="preserve">Ashley Green</t>
  </si>
  <si>
    <t xml:space="preserve">slip_inventory_2026-08.csv row 891; applicant_register_2026-08.csv row 579</t>
  </si>
  <si>
    <t xml:space="preserve">GW-0713</t>
  </si>
  <si>
    <t xml:space="preserve">WL-02476</t>
  </si>
  <si>
    <t xml:space="preserve">Dana Becker</t>
  </si>
  <si>
    <t xml:space="preserve">slip_inventory_2026-08.csv row 892; applicant_register_2026-08.csv row 1477</t>
  </si>
  <si>
    <t xml:space="preserve">GW-0714</t>
  </si>
  <si>
    <t xml:space="preserve">WL-01459</t>
  </si>
  <si>
    <t xml:space="preserve">Brian Green</t>
  </si>
  <si>
    <t xml:space="preserve">slip_inventory_2026-08.csv row 893; applicant_register_2026-08.csv row 460</t>
  </si>
  <si>
    <t xml:space="preserve">GW-0715</t>
  </si>
  <si>
    <t xml:space="preserve">WL-03752</t>
  </si>
  <si>
    <t xml:space="preserve">Timothy Soto</t>
  </si>
  <si>
    <t xml:space="preserve">slip_inventory_2026-08.csv row 894; applicant_register_2026-08.csv row 2753</t>
  </si>
  <si>
    <t xml:space="preserve">GW-0716</t>
  </si>
  <si>
    <t xml:space="preserve">WL-02814</t>
  </si>
  <si>
    <t xml:space="preserve">John Hammond</t>
  </si>
  <si>
    <t xml:space="preserve">slip_inventory_2026-08.csv row 895; applicant_register_2026-08.csv row 1815</t>
  </si>
  <si>
    <t xml:space="preserve">GW-0717</t>
  </si>
  <si>
    <t xml:space="preserve">WL-01882</t>
  </si>
  <si>
    <t xml:space="preserve">Dennis Shepard</t>
  </si>
  <si>
    <t xml:space="preserve">slip_inventory_2026-08.csv row 896; applicant_register_2026-08.csv row 883</t>
  </si>
  <si>
    <t xml:space="preserve">WL-03504</t>
  </si>
  <si>
    <t xml:space="preserve">Paul Brady</t>
  </si>
  <si>
    <t xml:space="preserve">slip_inventory_2026-08.csv row 898; applicant_register_2026-08.csv row 2505</t>
  </si>
  <si>
    <t xml:space="preserve">GW-0720</t>
  </si>
  <si>
    <t xml:space="preserve">WL-03312</t>
  </si>
  <si>
    <t xml:space="preserve">Karla Thomas</t>
  </si>
  <si>
    <t xml:space="preserve">slip_inventory_2026-08.csv row 899; applicant_register_2026-08.csv row 2313</t>
  </si>
  <si>
    <t xml:space="preserve">GW-0721</t>
  </si>
  <si>
    <t xml:space="preserve">WL-03215</t>
  </si>
  <si>
    <t xml:space="preserve">Eric Simmons</t>
  </si>
  <si>
    <t xml:space="preserve">slip_inventory_2026-08.csv row 900; applicant_register_2026-08.csv row 2216</t>
  </si>
  <si>
    <t xml:space="preserve">GW-0722</t>
  </si>
  <si>
    <t xml:space="preserve">WL-01180</t>
  </si>
  <si>
    <t xml:space="preserve">Rachel Smith</t>
  </si>
  <si>
    <t xml:space="preserve">slip_inventory_2026-08.csv row 901; applicant_register_2026-08.csv row 181</t>
  </si>
  <si>
    <t xml:space="preserve">GW-0723</t>
  </si>
  <si>
    <t xml:space="preserve">WL-01389</t>
  </si>
  <si>
    <t xml:space="preserve">Brian White</t>
  </si>
  <si>
    <t xml:space="preserve">slip_inventory_2026-08.csv row 902; applicant_register_2026-08.csv row 390</t>
  </si>
  <si>
    <t xml:space="preserve">GW-0802</t>
  </si>
  <si>
    <t xml:space="preserve">WL-01314</t>
  </si>
  <si>
    <t xml:space="preserve">Bobby Peterson</t>
  </si>
  <si>
    <t xml:space="preserve">slip_inventory_2026-08.csv row 904; applicant_register_2026-08.csv row 315</t>
  </si>
  <si>
    <t xml:space="preserve">GW-0803</t>
  </si>
  <si>
    <t xml:space="preserve">WL-01235</t>
  </si>
  <si>
    <t xml:space="preserve">Stacy Wilkins</t>
  </si>
  <si>
    <t xml:space="preserve">slip_inventory_2026-08.csv row 905; applicant_register_2026-08.csv row 236</t>
  </si>
  <si>
    <t xml:space="preserve">GW-0804</t>
  </si>
  <si>
    <t xml:space="preserve">WL-01915</t>
  </si>
  <si>
    <t xml:space="preserve">Sara Fox</t>
  </si>
  <si>
    <t xml:space="preserve">slip_inventory_2026-08.csv row 906; applicant_register_2026-08.csv row 916</t>
  </si>
  <si>
    <t xml:space="preserve">GW-0805</t>
  </si>
  <si>
    <t xml:space="preserve">WL-03828</t>
  </si>
  <si>
    <t xml:space="preserve">Kristen Pittman</t>
  </si>
  <si>
    <t xml:space="preserve">slip_inventory_2026-08.csv row 907; applicant_register_2026-08.csv row 2829</t>
  </si>
  <si>
    <t xml:space="preserve">GW-0806</t>
  </si>
  <si>
    <t xml:space="preserve">WL-03113</t>
  </si>
  <si>
    <t xml:space="preserve">Dale Martin</t>
  </si>
  <si>
    <t xml:space="preserve">slip_inventory_2026-08.csv row 908; applicant_register_2026-08.csv row 2114</t>
  </si>
  <si>
    <t xml:space="preserve">GW-0807</t>
  </si>
  <si>
    <t xml:space="preserve">WL-01110</t>
  </si>
  <si>
    <t xml:space="preserve">Ryan Jones</t>
  </si>
  <si>
    <t xml:space="preserve">slip_inventory_2026-08.csv row 909; applicant_register_2026-08.csv row 111</t>
  </si>
  <si>
    <t xml:space="preserve">GW-0808</t>
  </si>
  <si>
    <t xml:space="preserve">WL-02125</t>
  </si>
  <si>
    <t xml:space="preserve">Fred Powell</t>
  </si>
  <si>
    <t xml:space="preserve">slip_inventory_2026-08.csv row 910; applicant_register_2026-08.csv row 1126</t>
  </si>
  <si>
    <t xml:space="preserve">GW-0809</t>
  </si>
  <si>
    <t xml:space="preserve">WL-02028</t>
  </si>
  <si>
    <t xml:space="preserve">Stephanie Shepard</t>
  </si>
  <si>
    <t xml:space="preserve">slip_inventory_2026-08.csv row 911; applicant_register_2026-08.csv row 1029</t>
  </si>
  <si>
    <t xml:space="preserve">Ashley Logan</t>
  </si>
  <si>
    <t xml:space="preserve">slip_inventory_2026-08.csv row 912; applicant_register_2026-08.csv row 2528</t>
  </si>
  <si>
    <t xml:space="preserve">GW-0811</t>
  </si>
  <si>
    <t xml:space="preserve">WL-02325</t>
  </si>
  <si>
    <t xml:space="preserve">Lisa Brown</t>
  </si>
  <si>
    <t xml:space="preserve">slip_inventory_2026-08.csv row 913; applicant_register_2026-08.csv row 1326</t>
  </si>
  <si>
    <t xml:space="preserve">GW-0812</t>
  </si>
  <si>
    <t xml:space="preserve">slip_inventory_2026-08.csv row 914; applicant_register_2026-08.csv row 1727</t>
  </si>
  <si>
    <t xml:space="preserve">WL-01147</t>
  </si>
  <si>
    <t xml:space="preserve">Rachel Burnett</t>
  </si>
  <si>
    <t xml:space="preserve">slip_inventory_2026-08.csv row 915; applicant_register_2026-08.csv row 148</t>
  </si>
  <si>
    <t xml:space="preserve">WL-03573</t>
  </si>
  <si>
    <t xml:space="preserve">Kathy Sanchez</t>
  </si>
  <si>
    <t xml:space="preserve">slip_inventory_2026-08.csv row 916; applicant_register_2026-08.csv row 2574</t>
  </si>
  <si>
    <t xml:space="preserve">GW-0816</t>
  </si>
  <si>
    <t xml:space="preserve">WL-01044</t>
  </si>
  <si>
    <t xml:space="preserve">Craig Mason</t>
  </si>
  <si>
    <t xml:space="preserve">slip_inventory_2026-08.csv row 918; applicant_register_2026-08.csv row 45</t>
  </si>
  <si>
    <t xml:space="preserve">GW-0817</t>
  </si>
  <si>
    <t xml:space="preserve">WL-03408</t>
  </si>
  <si>
    <t xml:space="preserve">Mark Phillips</t>
  </si>
  <si>
    <t xml:space="preserve">slip_inventory_2026-08.csv row 919; applicant_register_2026-08.csv row 2409</t>
  </si>
  <si>
    <t xml:space="preserve">GW-0818</t>
  </si>
  <si>
    <t xml:space="preserve">WL-03081</t>
  </si>
  <si>
    <t xml:space="preserve">Casey Ortiz</t>
  </si>
  <si>
    <t xml:space="preserve">slip_inventory_2026-08.csv row 920; applicant_register_2026-08.csv row 2082</t>
  </si>
  <si>
    <t xml:space="preserve">GW-0819</t>
  </si>
  <si>
    <t xml:space="preserve">WL-01022</t>
  </si>
  <si>
    <t xml:space="preserve">Brett Cooley</t>
  </si>
  <si>
    <t xml:space="preserve">slip_inventory_2026-08.csv row 921; applicant_register_2026-08.csv row 23</t>
  </si>
  <si>
    <t xml:space="preserve">GW-0820</t>
  </si>
  <si>
    <t xml:space="preserve">WL-03760</t>
  </si>
  <si>
    <t xml:space="preserve">Samantha Herring</t>
  </si>
  <si>
    <t xml:space="preserve">MA-2024-0820</t>
  </si>
  <si>
    <t xml:space="preserve">slip_inventory_2026-08.csv row 922; applicant_register_2026-08.csv row 2761</t>
  </si>
  <si>
    <t xml:space="preserve">GW-0821</t>
  </si>
  <si>
    <t xml:space="preserve">WL-02465</t>
  </si>
  <si>
    <t xml:space="preserve">Clinton Cox</t>
  </si>
  <si>
    <t xml:space="preserve">slip_inventory_2026-08.csv row 923; applicant_register_2026-08.csv row 1466</t>
  </si>
  <si>
    <t xml:space="preserve">GW-0822</t>
  </si>
  <si>
    <t xml:space="preserve">WL-02630</t>
  </si>
  <si>
    <t xml:space="preserve">Susan Snow</t>
  </si>
  <si>
    <t xml:space="preserve">slip_inventory_2026-08.csv row 924; applicant_register_2026-08.csv row 1631</t>
  </si>
  <si>
    <t xml:space="preserve">WL-01825</t>
  </si>
  <si>
    <t xml:space="preserve">Charles Krause</t>
  </si>
  <si>
    <t xml:space="preserve">slip_inventory_2026-08.csv row 925; applicant_register_2026-08.csv row 826</t>
  </si>
  <si>
    <t xml:space="preserve">GW-0901</t>
  </si>
  <si>
    <t xml:space="preserve">slip_inventory_2026-08.csv row 926; applicant_register_2026-08.csv row 2758</t>
  </si>
  <si>
    <t xml:space="preserve">WL-02131</t>
  </si>
  <si>
    <t xml:space="preserve">Richard Thompson</t>
  </si>
  <si>
    <t xml:space="preserve">slip_inventory_2026-08.csv row 927; applicant_register_2026-08.csv row 1132</t>
  </si>
  <si>
    <t xml:space="preserve">GW-0903</t>
  </si>
  <si>
    <t xml:space="preserve">Daniel Perez</t>
  </si>
  <si>
    <t xml:space="preserve">slip_inventory_2026-08.csv row 928; applicant_register_2026-08.csv row 2430</t>
  </si>
  <si>
    <t xml:space="preserve">GW-0904</t>
  </si>
  <si>
    <t xml:space="preserve">WL-02021</t>
  </si>
  <si>
    <t xml:space="preserve">Andrew Medina</t>
  </si>
  <si>
    <t xml:space="preserve">slip_inventory_2026-08.csv row 929; applicant_register_2026-08.csv row 1022</t>
  </si>
  <si>
    <t xml:space="preserve">WL-02101</t>
  </si>
  <si>
    <t xml:space="preserve">David Green</t>
  </si>
  <si>
    <t xml:space="preserve">slip_inventory_2026-08.csv row 930; applicant_register_2026-08.csv row 1102</t>
  </si>
  <si>
    <t xml:space="preserve">GW-0906</t>
  </si>
  <si>
    <t xml:space="preserve">WL-01794</t>
  </si>
  <si>
    <t xml:space="preserve">Holly Thomas</t>
  </si>
  <si>
    <t xml:space="preserve">slip_inventory_2026-08.csv row 931; applicant_register_2026-08.csv row 795</t>
  </si>
  <si>
    <t xml:space="preserve">GW-0907</t>
  </si>
  <si>
    <t xml:space="preserve">WL-02365</t>
  </si>
  <si>
    <t xml:space="preserve">Sophia Williams</t>
  </si>
  <si>
    <t xml:space="preserve">slip_inventory_2026-08.csv row 932; applicant_register_2026-08.csv row 1366</t>
  </si>
  <si>
    <t xml:space="preserve">WL-01615</t>
  </si>
  <si>
    <t xml:space="preserve">Melissa Gaines</t>
  </si>
  <si>
    <t xml:space="preserve">slip_inventory_2026-08.csv row 933; applicant_register_2026-08.csv row 616</t>
  </si>
  <si>
    <t xml:space="preserve">GW-0909</t>
  </si>
  <si>
    <t xml:space="preserve">WL-01033</t>
  </si>
  <si>
    <t xml:space="preserve">Jodi Gonzalez</t>
  </si>
  <si>
    <t xml:space="preserve">slip_inventory_2026-08.csv row 934; applicant_register_2026-08.csv row 34</t>
  </si>
  <si>
    <t xml:space="preserve">WL-01532</t>
  </si>
  <si>
    <t xml:space="preserve">Bradley Mejia</t>
  </si>
  <si>
    <t xml:space="preserve">slip_inventory_2026-08.csv row 935; applicant_register_2026-08.csv row 533</t>
  </si>
  <si>
    <t xml:space="preserve">GW-0911</t>
  </si>
  <si>
    <t xml:space="preserve">WL-03632</t>
  </si>
  <si>
    <t xml:space="preserve">Melissa Wallace</t>
  </si>
  <si>
    <t xml:space="preserve">slip_inventory_2026-08.csv row 936; applicant_register_2026-08.csv row 2633</t>
  </si>
  <si>
    <t xml:space="preserve">GW-0912</t>
  </si>
  <si>
    <t xml:space="preserve">WL-02341</t>
  </si>
  <si>
    <t xml:space="preserve">David Stewart</t>
  </si>
  <si>
    <t xml:space="preserve">slip_inventory_2026-08.csv row 937; applicant_register_2026-08.csv row 1342</t>
  </si>
  <si>
    <t xml:space="preserve">GW-0913</t>
  </si>
  <si>
    <t xml:space="preserve">slip_inventory_2026-08.csv row 938; applicant_register_2026-08.csv row 2524</t>
  </si>
  <si>
    <t xml:space="preserve">GW-0914</t>
  </si>
  <si>
    <t xml:space="preserve">WL-01460</t>
  </si>
  <si>
    <t xml:space="preserve">Lori Maldonado</t>
  </si>
  <si>
    <t xml:space="preserve">slip_inventory_2026-08.csv row 939; applicant_register_2026-08.csv row 461</t>
  </si>
  <si>
    <t xml:space="preserve">WL-03866</t>
  </si>
  <si>
    <t xml:space="preserve">Jacqueline Anderson</t>
  </si>
  <si>
    <t xml:space="preserve">slip_inventory_2026-08.csv row 940; applicant_register_2026-08.csv row 2867</t>
  </si>
  <si>
    <t xml:space="preserve">GW-0916</t>
  </si>
  <si>
    <t xml:space="preserve">WL-01914</t>
  </si>
  <si>
    <t xml:space="preserve">Danny Flores</t>
  </si>
  <si>
    <t xml:space="preserve">slip_inventory_2026-08.csv row 941; applicant_register_2026-08.csv row 915</t>
  </si>
  <si>
    <t xml:space="preserve">GW-0917</t>
  </si>
  <si>
    <t xml:space="preserve">Sharon Lopez</t>
  </si>
  <si>
    <t xml:space="preserve">slip_inventory_2026-08.csv row 942; applicant_register_2026-08.csv row 1604</t>
  </si>
  <si>
    <t xml:space="preserve">GW-0918</t>
  </si>
  <si>
    <t xml:space="preserve">WL-03172</t>
  </si>
  <si>
    <t xml:space="preserve">Jessica Sanford</t>
  </si>
  <si>
    <t xml:space="preserve">slip_inventory_2026-08.csv row 943; applicant_register_2026-08.csv row 2173</t>
  </si>
  <si>
    <t xml:space="preserve">GW-0919</t>
  </si>
  <si>
    <t xml:space="preserve">WL-01940</t>
  </si>
  <si>
    <t xml:space="preserve">Kelly Howell</t>
  </si>
  <si>
    <t xml:space="preserve">slip_inventory_2026-08.csv row 944; applicant_register_2026-08.csv row 941</t>
  </si>
  <si>
    <t xml:space="preserve">GW-0920</t>
  </si>
  <si>
    <t xml:space="preserve">WL-01338</t>
  </si>
  <si>
    <t xml:space="preserve">Philip Simpson</t>
  </si>
  <si>
    <t xml:space="preserve">slip_inventory_2026-08.csv row 945; applicant_register_2026-08.csv row 339</t>
  </si>
  <si>
    <t xml:space="preserve">GW-0921</t>
  </si>
  <si>
    <t xml:space="preserve">WL-02657</t>
  </si>
  <si>
    <t xml:space="preserve">Keith Barr</t>
  </si>
  <si>
    <t xml:space="preserve">slip_inventory_2026-08.csv row 946; applicant_register_2026-08.csv row 1658</t>
  </si>
  <si>
    <t xml:space="preserve">GW-0922</t>
  </si>
  <si>
    <t xml:space="preserve">WL-03531</t>
  </si>
  <si>
    <t xml:space="preserve">Nicole Golden</t>
  </si>
  <si>
    <t xml:space="preserve">slip_inventory_2026-08.csv row 947; applicant_register_2026-08.csv row 2532</t>
  </si>
  <si>
    <t xml:space="preserve">GW-0923</t>
  </si>
  <si>
    <t xml:space="preserve">slip_inventory_2026-08.csv row 948; applicant_register_2026-08.csv row 1575</t>
  </si>
  <si>
    <t xml:space="preserve">GW-1001</t>
  </si>
  <si>
    <t xml:space="preserve">Brandon Choi</t>
  </si>
  <si>
    <t xml:space="preserve">slip_inventory_2026-08.csv row 949; applicant_register_2026-08.csv row 1084</t>
  </si>
  <si>
    <t xml:space="preserve">GW-1002</t>
  </si>
  <si>
    <t xml:space="preserve">WL-01108</t>
  </si>
  <si>
    <t xml:space="preserve">Evelyn Thomas</t>
  </si>
  <si>
    <t xml:space="preserve">slip_inventory_2026-08.csv row 950; applicant_register_2026-08.csv row 109</t>
  </si>
  <si>
    <t xml:space="preserve">WL-03052</t>
  </si>
  <si>
    <t xml:space="preserve">Jenna Marsh</t>
  </si>
  <si>
    <t xml:space="preserve">slip_inventory_2026-08.csv row 951; applicant_register_2026-08.csv row 2053</t>
  </si>
  <si>
    <t xml:space="preserve">GW-1004</t>
  </si>
  <si>
    <t xml:space="preserve">WL-03149</t>
  </si>
  <si>
    <t xml:space="preserve">Todd Williams</t>
  </si>
  <si>
    <t xml:space="preserve">MA-2024-1004</t>
  </si>
  <si>
    <t xml:space="preserve">slip_inventory_2026-08.csv row 952; applicant_register_2026-08.csv row 2150</t>
  </si>
  <si>
    <t xml:space="preserve">GW-1005</t>
  </si>
  <si>
    <t xml:space="preserve">WL-03191</t>
  </si>
  <si>
    <t xml:space="preserve">William Lam</t>
  </si>
  <si>
    <t xml:space="preserve">slip_inventory_2026-08.csv row 953; applicant_register_2026-08.csv row 2192</t>
  </si>
  <si>
    <t xml:space="preserve">GW-1006</t>
  </si>
  <si>
    <t xml:space="preserve">WL-02170</t>
  </si>
  <si>
    <t xml:space="preserve">Robin Duke</t>
  </si>
  <si>
    <t xml:space="preserve">MA-2024-1006</t>
  </si>
  <si>
    <t xml:space="preserve">slip_inventory_2026-08.csv row 954; applicant_register_2026-08.csv row 1171</t>
  </si>
  <si>
    <t xml:space="preserve">GW-1007</t>
  </si>
  <si>
    <t xml:space="preserve">WL-01742</t>
  </si>
  <si>
    <t xml:space="preserve">Robert Smith</t>
  </si>
  <si>
    <t xml:space="preserve">slip_inventory_2026-08.csv row 955; applicant_register_2026-08.csv row 743</t>
  </si>
  <si>
    <t xml:space="preserve">WL-03216</t>
  </si>
  <si>
    <t xml:space="preserve">Nancy Branch</t>
  </si>
  <si>
    <t xml:space="preserve">slip_inventory_2026-08.csv row 956; applicant_register_2026-08.csv row 2217</t>
  </si>
  <si>
    <t xml:space="preserve">GW-1009</t>
  </si>
  <si>
    <t xml:space="preserve">MA-2024-1009</t>
  </si>
  <si>
    <t xml:space="preserve">slip_inventory_2026-08.csv row 957; applicant_register_2026-08.csv row 2229</t>
  </si>
  <si>
    <t xml:space="preserve">GW-1010</t>
  </si>
  <si>
    <t xml:space="preserve">WL-01543</t>
  </si>
  <si>
    <t xml:space="preserve">Charles Gomez</t>
  </si>
  <si>
    <t xml:space="preserve">slip_inventory_2026-08.csv row 958; applicant_register_2026-08.csv row 544</t>
  </si>
  <si>
    <t xml:space="preserve">GW-1011</t>
  </si>
  <si>
    <t xml:space="preserve">WL-02258</t>
  </si>
  <si>
    <t xml:space="preserve">Katrina Griffin</t>
  </si>
  <si>
    <t xml:space="preserve">slip_inventory_2026-08.csv row 959; applicant_register_2026-08.csv row 1259</t>
  </si>
  <si>
    <t xml:space="preserve">WL-01480</t>
  </si>
  <si>
    <t xml:space="preserve">Kaitlin Meyer</t>
  </si>
  <si>
    <t xml:space="preserve">slip_inventory_2026-08.csv row 960; applicant_register_2026-08.csv row 481</t>
  </si>
  <si>
    <t xml:space="preserve">WL-02038</t>
  </si>
  <si>
    <t xml:space="preserve">Patricia Thomas</t>
  </si>
  <si>
    <t xml:space="preserve">slip_inventory_2026-08.csv row 961; applicant_register_2026-08.csv row 1039</t>
  </si>
  <si>
    <t xml:space="preserve">GW-1014</t>
  </si>
  <si>
    <t xml:space="preserve">WL-03067</t>
  </si>
  <si>
    <t xml:space="preserve">Eric Thomas</t>
  </si>
  <si>
    <t xml:space="preserve">slip_inventory_2026-08.csv row 962; applicant_register_2026-08.csv row 2068</t>
  </si>
  <si>
    <t xml:space="preserve">GW-1015</t>
  </si>
  <si>
    <t xml:space="preserve">slip_inventory_2026-08.csv row 963; applicant_register_2026-08.csv row 1144</t>
  </si>
  <si>
    <t xml:space="preserve">GW-1016</t>
  </si>
  <si>
    <t xml:space="preserve">WL-02443</t>
  </si>
  <si>
    <t xml:space="preserve">Seth Neal</t>
  </si>
  <si>
    <t xml:space="preserve">slip_inventory_2026-08.csv row 964; applicant_register_2026-08.csv row 1444</t>
  </si>
  <si>
    <t xml:space="preserve">John George</t>
  </si>
  <si>
    <t xml:space="preserve">slip_inventory_2026-08.csv row 965; applicant_register_2026-08.csv row 351</t>
  </si>
  <si>
    <t xml:space="preserve">GW-1018</t>
  </si>
  <si>
    <t xml:space="preserve">slip_inventory_2026-08.csv row 966; applicant_register_2026-08.csv row 1942</t>
  </si>
  <si>
    <t xml:space="preserve">GW-1019</t>
  </si>
  <si>
    <t xml:space="preserve">WL-02234</t>
  </si>
  <si>
    <t xml:space="preserve">Chelsea Chandler</t>
  </si>
  <si>
    <t xml:space="preserve">slip_inventory_2026-08.csv row 967; applicant_register_2026-08.csv row 1235</t>
  </si>
  <si>
    <t xml:space="preserve">WL-03776</t>
  </si>
  <si>
    <t xml:space="preserve">Michael Beard</t>
  </si>
  <si>
    <t xml:space="preserve">MA-2024-1020</t>
  </si>
  <si>
    <t xml:space="preserve">slip_inventory_2026-08.csv row 968; applicant_register_2026-08.csv row 2777</t>
  </si>
  <si>
    <t xml:space="preserve">GW-1021</t>
  </si>
  <si>
    <t xml:space="preserve">WL-03394</t>
  </si>
  <si>
    <t xml:space="preserve">Alyssa Robinson</t>
  </si>
  <si>
    <t xml:space="preserve">slip_inventory_2026-08.csv row 969; applicant_register_2026-08.csv row 2395</t>
  </si>
  <si>
    <t xml:space="preserve">GW-1023</t>
  </si>
  <si>
    <t xml:space="preserve">WL-02832</t>
  </si>
  <si>
    <t xml:space="preserve">Mia Schwartz</t>
  </si>
  <si>
    <t xml:space="preserve">slip_inventory_2026-08.csv row 971; applicant_register_2026-08.csv row 1833</t>
  </si>
  <si>
    <t xml:space="preserve">LP-0101</t>
  </si>
  <si>
    <t xml:space="preserve">covered</t>
  </si>
  <si>
    <t xml:space="preserve">TXN-202607-000063</t>
  </si>
  <si>
    <t xml:space="preserve">billing_transactions_2022_2026.csv row 44591</t>
  </si>
  <si>
    <t xml:space="preserve">slip_inventory_2026-08.csv row 2; applicant_register_2026-08.csv row 1443</t>
  </si>
  <si>
    <t xml:space="preserve">WL-02413</t>
  </si>
  <si>
    <t xml:space="preserve">Damon Phillips</t>
  </si>
  <si>
    <t xml:space="preserve">TXN-202607-000107</t>
  </si>
  <si>
    <t xml:space="preserve">billing_transactions_2022_2026.csv row 44592</t>
  </si>
  <si>
    <t xml:space="preserve">slip_inventory_2026-08.csv row 3; applicant_register_2026-08.csv row 1414</t>
  </si>
  <si>
    <t xml:space="preserve">LP-0103</t>
  </si>
  <si>
    <t xml:space="preserve">WL-01449</t>
  </si>
  <si>
    <t xml:space="preserve">Charles Hudson</t>
  </si>
  <si>
    <t xml:space="preserve">TXN-202607-000170</t>
  </si>
  <si>
    <t xml:space="preserve">billing_transactions_2022_2026.csv row 44593</t>
  </si>
  <si>
    <t xml:space="preserve">slip_inventory_2026-08.csv row 4; applicant_register_2026-08.csv row 450</t>
  </si>
  <si>
    <t xml:space="preserve">WL-03625</t>
  </si>
  <si>
    <t xml:space="preserve">Vincent Johnson</t>
  </si>
  <si>
    <t xml:space="preserve">TXN-202607-000238</t>
  </si>
  <si>
    <t xml:space="preserve">billing_transactions_2022_2026.csv row 44594</t>
  </si>
  <si>
    <t xml:space="preserve">slip_inventory_2026-08.csv row 5; applicant_register_2026-08.csv row 2626</t>
  </si>
  <si>
    <t xml:space="preserve">LP-0105</t>
  </si>
  <si>
    <t xml:space="preserve">WL-03876</t>
  </si>
  <si>
    <t xml:space="preserve">John Heath</t>
  </si>
  <si>
    <t xml:space="preserve">TXN-202607-000298</t>
  </si>
  <si>
    <t xml:space="preserve">billing_transactions_2022_2026.csv row 44595</t>
  </si>
  <si>
    <t xml:space="preserve">slip_inventory_2026-08.csv row 6; applicant_register_2026-08.csv row 2877</t>
  </si>
  <si>
    <t xml:space="preserve">LP-0106</t>
  </si>
  <si>
    <t xml:space="preserve">WL-02316</t>
  </si>
  <si>
    <t xml:space="preserve">Cheryl Elliott</t>
  </si>
  <si>
    <t xml:space="preserve">TXN-202607-000337</t>
  </si>
  <si>
    <t xml:space="preserve">billing_transactions_2022_2026.csv row 44596</t>
  </si>
  <si>
    <t xml:space="preserve">slip_inventory_2026-08.csv row 7; applicant_register_2026-08.csv row 1317</t>
  </si>
  <si>
    <t xml:space="preserve">LP-0107</t>
  </si>
  <si>
    <t xml:space="preserve">TXN-202607-000411</t>
  </si>
  <si>
    <t xml:space="preserve">billing_transactions_2022_2026.csv row 44597</t>
  </si>
  <si>
    <t xml:space="preserve">slip_inventory_2026-08.csv row 8; applicant_register_2026-08.csv row 1608</t>
  </si>
  <si>
    <t xml:space="preserve">LP-0108</t>
  </si>
  <si>
    <t xml:space="preserve">WL-01567</t>
  </si>
  <si>
    <t xml:space="preserve">Alan Thomas</t>
  </si>
  <si>
    <t xml:space="preserve">TXN-202607-000482</t>
  </si>
  <si>
    <t xml:space="preserve">billing_transactions_2022_2026.csv row 44599</t>
  </si>
  <si>
    <t xml:space="preserve">slip_inventory_2026-08.csv row 9; applicant_register_2026-08.csv row 568</t>
  </si>
  <si>
    <t xml:space="preserve">LP-0109</t>
  </si>
  <si>
    <t xml:space="preserve">WL-02768</t>
  </si>
  <si>
    <t xml:space="preserve">Sandra Sweeney</t>
  </si>
  <si>
    <t xml:space="preserve">TXN-202607-000532</t>
  </si>
  <si>
    <t xml:space="preserve">billing_transactions_2022_2026.csv row 44600</t>
  </si>
  <si>
    <t xml:space="preserve">slip_inventory_2026-08.csv row 10; applicant_register_2026-08.csv row 1769</t>
  </si>
  <si>
    <t xml:space="preserve">LP-0110</t>
  </si>
  <si>
    <t xml:space="preserve">WL-03140</t>
  </si>
  <si>
    <t xml:space="preserve">Jason Martinez</t>
  </si>
  <si>
    <t xml:space="preserve">TXN-202607-000579</t>
  </si>
  <si>
    <t xml:space="preserve">billing_transactions_2022_2026.csv row 44601</t>
  </si>
  <si>
    <t xml:space="preserve">slip_inventory_2026-08.csv row 11; applicant_register_2026-08.csv row 2141</t>
  </si>
  <si>
    <t xml:space="preserve">LP-0111</t>
  </si>
  <si>
    <t xml:space="preserve">TXN-202607-000626</t>
  </si>
  <si>
    <t xml:space="preserve">billing_transactions_2022_2026.csv row 44603</t>
  </si>
  <si>
    <t xml:space="preserve">slip_inventory_2026-08.csv row 12; applicant_register_2026-08.csv row 2622</t>
  </si>
  <si>
    <t xml:space="preserve">WL-02762</t>
  </si>
  <si>
    <t xml:space="preserve">TXN-202607-000673</t>
  </si>
  <si>
    <t xml:space="preserve">billing_transactions_2022_2026.csv row 44605</t>
  </si>
  <si>
    <t xml:space="preserve">slip_inventory_2026-08.csv row 14; applicant_register_2026-08.csv row 1763</t>
  </si>
  <si>
    <t xml:space="preserve">WL-02237</t>
  </si>
  <si>
    <t xml:space="preserve">William Powell</t>
  </si>
  <si>
    <t xml:space="preserve">TXN-202607-000726</t>
  </si>
  <si>
    <t xml:space="preserve">billing_transactions_2022_2026.csv row 44606</t>
  </si>
  <si>
    <t xml:space="preserve">slip_inventory_2026-08.csv row 15; applicant_register_2026-08.csv row 1238</t>
  </si>
  <si>
    <t xml:space="preserve">LP-0115</t>
  </si>
  <si>
    <t xml:space="preserve">WL-02943</t>
  </si>
  <si>
    <t xml:space="preserve">Matthew Thomas</t>
  </si>
  <si>
    <t xml:space="preserve">TXN-202607-000800</t>
  </si>
  <si>
    <t xml:space="preserve">billing_transactions_2022_2026.csv row 44608</t>
  </si>
  <si>
    <t xml:space="preserve">slip_inventory_2026-08.csv row 16; applicant_register_2026-08.csv row 1944</t>
  </si>
  <si>
    <t xml:space="preserve">LP-0116</t>
  </si>
  <si>
    <t xml:space="preserve">TXN-202607-000868</t>
  </si>
  <si>
    <t xml:space="preserve">billing_transactions_2022_2026.csv row 44610</t>
  </si>
  <si>
    <t xml:space="preserve">slip_inventory_2026-08.csv row 17; applicant_register_2026-08.csv row 1032</t>
  </si>
  <si>
    <t xml:space="preserve">LP-0117</t>
  </si>
  <si>
    <t xml:space="preserve">TXN-202607-000936</t>
  </si>
  <si>
    <t xml:space="preserve">billing_transactions_2022_2026.csv row 44611</t>
  </si>
  <si>
    <t xml:space="preserve">slip_inventory_2026-08.csv row 18; applicant_register_2026-08.csv row 362</t>
  </si>
  <si>
    <t xml:space="preserve">LP-0118</t>
  </si>
  <si>
    <t xml:space="preserve">WL-03633</t>
  </si>
  <si>
    <t xml:space="preserve">Keith Powell</t>
  </si>
  <si>
    <t xml:space="preserve">TXN-202607-000988</t>
  </si>
  <si>
    <t xml:space="preserve">billing_transactions_2022_2026.csv row 44613</t>
  </si>
  <si>
    <t xml:space="preserve">slip_inventory_2026-08.csv row 19; applicant_register_2026-08.csv row 2634</t>
  </si>
  <si>
    <t xml:space="preserve">LP-0119</t>
  </si>
  <si>
    <t xml:space="preserve">WL-01880</t>
  </si>
  <si>
    <t xml:space="preserve">Walter Torres</t>
  </si>
  <si>
    <t xml:space="preserve">TXN-202607-001066</t>
  </si>
  <si>
    <t xml:space="preserve">billing_transactions_2022_2026.csv row 44614</t>
  </si>
  <si>
    <t xml:space="preserve">slip_inventory_2026-08.csv row 20; applicant_register_2026-08.csv row 881</t>
  </si>
  <si>
    <t xml:space="preserve">LP-0120</t>
  </si>
  <si>
    <t xml:space="preserve">WL-03128</t>
  </si>
  <si>
    <t xml:space="preserve">Kayla Johnson</t>
  </si>
  <si>
    <t xml:space="preserve">TXN-202607-001136</t>
  </si>
  <si>
    <t xml:space="preserve">billing_transactions_2022_2026.csv row 44615</t>
  </si>
  <si>
    <t xml:space="preserve">slip_inventory_2026-08.csv row 21; applicant_register_2026-08.csv row 2129</t>
  </si>
  <si>
    <t xml:space="preserve">WL-03477</t>
  </si>
  <si>
    <t xml:space="preserve">Darryl Garcia</t>
  </si>
  <si>
    <t xml:space="preserve">TXN-202607-001181</t>
  </si>
  <si>
    <t xml:space="preserve">billing_transactions_2022_2026.csv row 44616</t>
  </si>
  <si>
    <t xml:space="preserve">slip_inventory_2026-08.csv row 22; applicant_register_2026-08.csv row 2478</t>
  </si>
  <si>
    <t xml:space="preserve">LP-0122</t>
  </si>
  <si>
    <t xml:space="preserve">WL-01974</t>
  </si>
  <si>
    <t xml:space="preserve">Paula Arroyo</t>
  </si>
  <si>
    <t xml:space="preserve">TXN-202607-001249</t>
  </si>
  <si>
    <t xml:space="preserve">billing_transactions_2022_2026.csv row 44617</t>
  </si>
  <si>
    <t xml:space="preserve">slip_inventory_2026-08.csv row 23; applicant_register_2026-08.csv row 975</t>
  </si>
  <si>
    <t xml:space="preserve">LP-0123</t>
  </si>
  <si>
    <t xml:space="preserve">Brittney Daugherty</t>
  </si>
  <si>
    <t xml:space="preserve">TXN-202607-001317</t>
  </si>
  <si>
    <t xml:space="preserve">billing_transactions_2022_2026.csv row 44619</t>
  </si>
  <si>
    <t xml:space="preserve">slip_inventory_2026-08.csv row 24; applicant_register_2026-08.csv row 2480</t>
  </si>
  <si>
    <t xml:space="preserve">WL-02080</t>
  </si>
  <si>
    <t xml:space="preserve">Audrey Le</t>
  </si>
  <si>
    <t xml:space="preserve">TXN-202607-001393</t>
  </si>
  <si>
    <t xml:space="preserve">billing_transactions_2022_2026.csv row 44621</t>
  </si>
  <si>
    <t xml:space="preserve">slip_inventory_2026-08.csv row 25; applicant_register_2026-08.csv row 1081</t>
  </si>
  <si>
    <t xml:space="preserve">LP-0201</t>
  </si>
  <si>
    <t xml:space="preserve">WL-03657</t>
  </si>
  <si>
    <t xml:space="preserve">Melissa Wagner</t>
  </si>
  <si>
    <t xml:space="preserve">TXN-202607-001458</t>
  </si>
  <si>
    <t xml:space="preserve">billing_transactions_2022_2026.csv row 44622</t>
  </si>
  <si>
    <t xml:space="preserve">slip_inventory_2026-08.csv row 26; applicant_register_2026-08.csv row 2658</t>
  </si>
  <si>
    <t xml:space="preserve">LP-0202</t>
  </si>
  <si>
    <t xml:space="preserve">WL-02964</t>
  </si>
  <si>
    <t xml:space="preserve">Christopher Boyd</t>
  </si>
  <si>
    <t xml:space="preserve">TXN-202607-001532</t>
  </si>
  <si>
    <t xml:space="preserve">billing_transactions_2022_2026.csv row 44623</t>
  </si>
  <si>
    <t xml:space="preserve">slip_inventory_2026-08.csv row 27; applicant_register_2026-08.csv row 1965</t>
  </si>
  <si>
    <t xml:space="preserve">WL-01820</t>
  </si>
  <si>
    <t xml:space="preserve">Andrew Petty</t>
  </si>
  <si>
    <t xml:space="preserve">TXN-202607-001588</t>
  </si>
  <si>
    <t xml:space="preserve">billing_transactions_2022_2026.csv row 44624</t>
  </si>
  <si>
    <t xml:space="preserve">slip_inventory_2026-08.csv row 28; applicant_register_2026-08.csv row 821</t>
  </si>
  <si>
    <t xml:space="preserve">WL-01587</t>
  </si>
  <si>
    <t xml:space="preserve">Patrick Guzman</t>
  </si>
  <si>
    <t xml:space="preserve">TXN-202607-001649</t>
  </si>
  <si>
    <t xml:space="preserve">billing_transactions_2022_2026.csv row 44626</t>
  </si>
  <si>
    <t xml:space="preserve">slip_inventory_2026-08.csv row 29; applicant_register_2026-08.csv row 588</t>
  </si>
  <si>
    <t xml:space="preserve">LP-0205</t>
  </si>
  <si>
    <t xml:space="preserve">WL-01514</t>
  </si>
  <si>
    <t xml:space="preserve">Gary Young</t>
  </si>
  <si>
    <t xml:space="preserve">TXN-202607-001725</t>
  </si>
  <si>
    <t xml:space="preserve">billing_transactions_2022_2026.csv row 44628</t>
  </si>
  <si>
    <t xml:space="preserve">slip_inventory_2026-08.csv row 30; applicant_register_2026-08.csv row 515</t>
  </si>
  <si>
    <t xml:space="preserve">LP-0206</t>
  </si>
  <si>
    <t xml:space="preserve">Crystal Glover</t>
  </si>
  <si>
    <t xml:space="preserve">TXN-202607-001769</t>
  </si>
  <si>
    <t xml:space="preserve">billing_transactions_2022_2026.csv row 44630</t>
  </si>
  <si>
    <t xml:space="preserve">slip_inventory_2026-08.csv row 31; applicant_register_2026-08.csv row 2080</t>
  </si>
  <si>
    <t xml:space="preserve">WL-02432</t>
  </si>
  <si>
    <t xml:space="preserve">James Olson</t>
  </si>
  <si>
    <t xml:space="preserve">TXN-202607-001836</t>
  </si>
  <si>
    <t xml:space="preserve">billing_transactions_2022_2026.csv row 44632</t>
  </si>
  <si>
    <t xml:space="preserve">slip_inventory_2026-08.csv row 33; applicant_register_2026-08.csv row 1433</t>
  </si>
  <si>
    <t xml:space="preserve">LP-0209</t>
  </si>
  <si>
    <t xml:space="preserve">WL-01517</t>
  </si>
  <si>
    <t xml:space="preserve">Manuel Abbott</t>
  </si>
  <si>
    <t xml:space="preserve">TXN-202607-001908</t>
  </si>
  <si>
    <t xml:space="preserve">billing_transactions_2022_2026.csv row 44633</t>
  </si>
  <si>
    <t xml:space="preserve">slip_inventory_2026-08.csv row 34; applicant_register_2026-08.csv row 518</t>
  </si>
  <si>
    <t xml:space="preserve">LP-0210</t>
  </si>
  <si>
    <t xml:space="preserve">TXN-202607-001954</t>
  </si>
  <si>
    <t xml:space="preserve">billing_transactions_2022_2026.csv row 44634</t>
  </si>
  <si>
    <t xml:space="preserve">slip_inventory_2026-08.csv row 35; applicant_register_2026-08.csv row 1179</t>
  </si>
  <si>
    <t xml:space="preserve">LP-0212</t>
  </si>
  <si>
    <t xml:space="preserve">WL-03348</t>
  </si>
  <si>
    <t xml:space="preserve">Sandra Jackson</t>
  </si>
  <si>
    <t xml:space="preserve">TXN-202607-002028</t>
  </si>
  <si>
    <t xml:space="preserve">billing_transactions_2022_2026.csv row 44636</t>
  </si>
  <si>
    <t xml:space="preserve">slip_inventory_2026-08.csv row 37; applicant_register_2026-08.csv row 2349</t>
  </si>
  <si>
    <t xml:space="preserve">LP-0213</t>
  </si>
  <si>
    <t xml:space="preserve">WL-02388</t>
  </si>
  <si>
    <t xml:space="preserve">Gregory Brady</t>
  </si>
  <si>
    <t xml:space="preserve">TXN-202607-002081</t>
  </si>
  <si>
    <t xml:space="preserve">billing_transactions_2022_2026.csv row 44638</t>
  </si>
  <si>
    <t xml:space="preserve">slip_inventory_2026-08.csv row 38; applicant_register_2026-08.csv row 1389</t>
  </si>
  <si>
    <t xml:space="preserve">LP-0214</t>
  </si>
  <si>
    <t xml:space="preserve">TXN-202607-002125</t>
  </si>
  <si>
    <t xml:space="preserve">billing_transactions_2022_2026.csv row 44639</t>
  </si>
  <si>
    <t xml:space="preserve">slip_inventory_2026-08.csv row 39; applicant_register_2026-08.csv row 817</t>
  </si>
  <si>
    <t xml:space="preserve">WL-01337</t>
  </si>
  <si>
    <t xml:space="preserve">Anna Wright</t>
  </si>
  <si>
    <t xml:space="preserve">TXN-202607-002200</t>
  </si>
  <si>
    <t xml:space="preserve">billing_transactions_2022_2026.csv row 44640</t>
  </si>
  <si>
    <t xml:space="preserve">slip_inventory_2026-08.csv row 40; applicant_register_2026-08.csv row 338</t>
  </si>
  <si>
    <t xml:space="preserve">WL-01428</t>
  </si>
  <si>
    <t xml:space="preserve">Audrey Taylor</t>
  </si>
  <si>
    <t xml:space="preserve">TXN-202607-002272</t>
  </si>
  <si>
    <t xml:space="preserve">billing_transactions_2022_2026.csv row 44642</t>
  </si>
  <si>
    <t xml:space="preserve">slip_inventory_2026-08.csv row 41; applicant_register_2026-08.csv row 429</t>
  </si>
  <si>
    <t xml:space="preserve">LP-0217</t>
  </si>
  <si>
    <t xml:space="preserve">WL-01497</t>
  </si>
  <si>
    <t xml:space="preserve">Aaron Ellis</t>
  </si>
  <si>
    <t xml:space="preserve">TXN-202607-002312</t>
  </si>
  <si>
    <t xml:space="preserve">billing_transactions_2022_2026.csv row 44643</t>
  </si>
  <si>
    <t xml:space="preserve">slip_inventory_2026-08.csv row 42; applicant_register_2026-08.csv row 498</t>
  </si>
  <si>
    <t xml:space="preserve">LP-0218</t>
  </si>
  <si>
    <t xml:space="preserve">WL-01177</t>
  </si>
  <si>
    <t xml:space="preserve">Sydney Moore</t>
  </si>
  <si>
    <t xml:space="preserve">TXN-202607-002386</t>
  </si>
  <si>
    <t xml:space="preserve">billing_transactions_2022_2026.csv row 44645</t>
  </si>
  <si>
    <t xml:space="preserve">slip_inventory_2026-08.csv row 43; applicant_register_2026-08.csv row 178</t>
  </si>
  <si>
    <t xml:space="preserve">WL-01324</t>
  </si>
  <si>
    <t xml:space="preserve">Bradley Baker</t>
  </si>
  <si>
    <t xml:space="preserve">TXN-202607-002428</t>
  </si>
  <si>
    <t xml:space="preserve">billing_transactions_2022_2026.csv row 44646</t>
  </si>
  <si>
    <t xml:space="preserve">slip_inventory_2026-08.csv row 44; applicant_register_2026-08.csv row 325</t>
  </si>
  <si>
    <t xml:space="preserve">WL-02659</t>
  </si>
  <si>
    <t xml:space="preserve">Loretta Murillo</t>
  </si>
  <si>
    <t xml:space="preserve">TXN-202607-002496</t>
  </si>
  <si>
    <t xml:space="preserve">billing_transactions_2022_2026.csv row 44647</t>
  </si>
  <si>
    <t xml:space="preserve">slip_inventory_2026-08.csv row 45; applicant_register_2026-08.csv row 1660</t>
  </si>
  <si>
    <t xml:space="preserve">LP-0221</t>
  </si>
  <si>
    <t xml:space="preserve">WL-03407</t>
  </si>
  <si>
    <t xml:space="preserve">Allison Anthony</t>
  </si>
  <si>
    <t xml:space="preserve">TXN-202607-002566</t>
  </si>
  <si>
    <t xml:space="preserve">billing_transactions_2022_2026.csv row 44648</t>
  </si>
  <si>
    <t xml:space="preserve">slip_inventory_2026-08.csv row 46; applicant_register_2026-08.csv row 2408</t>
  </si>
  <si>
    <t xml:space="preserve">LP-0222</t>
  </si>
  <si>
    <t xml:space="preserve">WL-01185</t>
  </si>
  <si>
    <t xml:space="preserve">Stephen Burke</t>
  </si>
  <si>
    <t xml:space="preserve">TXN-202607-002640</t>
  </si>
  <si>
    <t xml:space="preserve">billing_transactions_2022_2026.csv row 44650</t>
  </si>
  <si>
    <t xml:space="preserve">slip_inventory_2026-08.csv row 47; applicant_register_2026-08.csv row 186</t>
  </si>
  <si>
    <t xml:space="preserve">LP-0223</t>
  </si>
  <si>
    <t xml:space="preserve">WL-02494</t>
  </si>
  <si>
    <t xml:space="preserve">Renee Dean</t>
  </si>
  <si>
    <t xml:space="preserve">TXN-202607-002717</t>
  </si>
  <si>
    <t xml:space="preserve">billing_transactions_2022_2026.csv row 44651</t>
  </si>
  <si>
    <t xml:space="preserve">slip_inventory_2026-08.csv row 48; applicant_register_2026-08.csv row 1495</t>
  </si>
  <si>
    <t xml:space="preserve">LP-0224</t>
  </si>
  <si>
    <t xml:space="preserve">WL-01261</t>
  </si>
  <si>
    <t xml:space="preserve">Anita Rose</t>
  </si>
  <si>
    <t xml:space="preserve">TXN-202607-002771</t>
  </si>
  <si>
    <t xml:space="preserve">billing_transactions_2022_2026.csv row 44653</t>
  </si>
  <si>
    <t xml:space="preserve">slip_inventory_2026-08.csv row 49; applicant_register_2026-08.csv row 262</t>
  </si>
  <si>
    <t xml:space="preserve">LP-0301</t>
  </si>
  <si>
    <t xml:space="preserve">WL-03425</t>
  </si>
  <si>
    <t xml:space="preserve">Miranda Neal</t>
  </si>
  <si>
    <t xml:space="preserve">TXN-202607-002813</t>
  </si>
  <si>
    <t xml:space="preserve">billing_transactions_2022_2026.csv row 44654</t>
  </si>
  <si>
    <t xml:space="preserve">slip_inventory_2026-08.csv row 50; applicant_register_2026-08.csv row 2426</t>
  </si>
  <si>
    <t xml:space="preserve">LP-0302</t>
  </si>
  <si>
    <t xml:space="preserve">Brian Campbell</t>
  </si>
  <si>
    <t xml:space="preserve">TXN-202607-002862</t>
  </si>
  <si>
    <t xml:space="preserve">billing_transactions_2022_2026.csv row 44655</t>
  </si>
  <si>
    <t xml:space="preserve">slip_inventory_2026-08.csv row 51; applicant_register_2026-08.csv row 2049</t>
  </si>
  <si>
    <t xml:space="preserve">WL-02853</t>
  </si>
  <si>
    <t xml:space="preserve">Adam Stevens</t>
  </si>
  <si>
    <t xml:space="preserve">TXN-202607-002921</t>
  </si>
  <si>
    <t xml:space="preserve">billing_transactions_2022_2026.csv row 44657</t>
  </si>
  <si>
    <t xml:space="preserve">slip_inventory_2026-08.csv row 52; applicant_register_2026-08.csv row 1854</t>
  </si>
  <si>
    <t xml:space="preserve">LP-0305</t>
  </si>
  <si>
    <t xml:space="preserve">TXN-202607-002982</t>
  </si>
  <si>
    <t xml:space="preserve">billing_transactions_2022_2026.csv row 44659</t>
  </si>
  <si>
    <t xml:space="preserve">slip_inventory_2026-08.csv row 54; applicant_register_2026-08.csv row 2471</t>
  </si>
  <si>
    <t xml:space="preserve">LP-0306</t>
  </si>
  <si>
    <t xml:space="preserve">WL-02345</t>
  </si>
  <si>
    <t xml:space="preserve">Brian Wade</t>
  </si>
  <si>
    <t xml:space="preserve">TXN-202607-003036</t>
  </si>
  <si>
    <t xml:space="preserve">billing_transactions_2022_2026.csv row 44660</t>
  </si>
  <si>
    <t xml:space="preserve">slip_inventory_2026-08.csv row 55; applicant_register_2026-08.csv row 1346</t>
  </si>
  <si>
    <t xml:space="preserve">WL-03230</t>
  </si>
  <si>
    <t xml:space="preserve">Cory Park</t>
  </si>
  <si>
    <t xml:space="preserve">TXN-202607-003082</t>
  </si>
  <si>
    <t xml:space="preserve">billing_transactions_2022_2026.csv row 44662</t>
  </si>
  <si>
    <t xml:space="preserve">slip_inventory_2026-08.csv row 56; applicant_register_2026-08.csv row 2231</t>
  </si>
  <si>
    <t xml:space="preserve">LP-0309</t>
  </si>
  <si>
    <t xml:space="preserve">WL-02885</t>
  </si>
  <si>
    <t xml:space="preserve">James Rivera</t>
  </si>
  <si>
    <t xml:space="preserve">TXN-202607-003122</t>
  </si>
  <si>
    <t xml:space="preserve">billing_transactions_2022_2026.csv row 44663</t>
  </si>
  <si>
    <t xml:space="preserve">slip_inventory_2026-08.csv row 58; applicant_register_2026-08.csv row 1886</t>
  </si>
  <si>
    <t xml:space="preserve">LP-0311</t>
  </si>
  <si>
    <t xml:space="preserve">WL-01606</t>
  </si>
  <si>
    <t xml:space="preserve">Joel English</t>
  </si>
  <si>
    <t xml:space="preserve">TXN-202607-003178</t>
  </si>
  <si>
    <t xml:space="preserve">billing_transactions_2022_2026.csv row 44665</t>
  </si>
  <si>
    <t xml:space="preserve">slip_inventory_2026-08.csv row 60; applicant_register_2026-08.csv row 607</t>
  </si>
  <si>
    <t xml:space="preserve">Steven Greene</t>
  </si>
  <si>
    <t xml:space="preserve">TXN-202607-003233</t>
  </si>
  <si>
    <t xml:space="preserve">billing_transactions_2022_2026.csv row 44667</t>
  </si>
  <si>
    <t xml:space="preserve">slip_inventory_2026-08.csv row 61; applicant_register_2026-08.csv row 2334</t>
  </si>
  <si>
    <t xml:space="preserve">LP-0313</t>
  </si>
  <si>
    <t xml:space="preserve">WL-02675</t>
  </si>
  <si>
    <t xml:space="preserve">Christopher Lopez</t>
  </si>
  <si>
    <t xml:space="preserve">TXN-202607-003278</t>
  </si>
  <si>
    <t xml:space="preserve">billing_transactions_2022_2026.csv row 44668</t>
  </si>
  <si>
    <t xml:space="preserve">slip_inventory_2026-08.csv row 62; applicant_register_2026-08.csv row 1676</t>
  </si>
  <si>
    <t xml:space="preserve">LP-0314</t>
  </si>
  <si>
    <t xml:space="preserve">WL-03274</t>
  </si>
  <si>
    <t xml:space="preserve">Brenda Matthews</t>
  </si>
  <si>
    <t xml:space="preserve">TXN-202607-003344</t>
  </si>
  <si>
    <t xml:space="preserve">billing_transactions_2022_2026.csv row 44669</t>
  </si>
  <si>
    <t xml:space="preserve">slip_inventory_2026-08.csv row 63; applicant_register_2026-08.csv row 2275</t>
  </si>
  <si>
    <t xml:space="preserve">LP-0315</t>
  </si>
  <si>
    <t xml:space="preserve">WL-02756</t>
  </si>
  <si>
    <t xml:space="preserve">Gregory Phillips</t>
  </si>
  <si>
    <t xml:space="preserve">TXN-202607-003395</t>
  </si>
  <si>
    <t xml:space="preserve">billing_transactions_2022_2026.csv row 44670</t>
  </si>
  <si>
    <t xml:space="preserve">slip_inventory_2026-08.csv row 64; applicant_register_2026-08.csv row 1757</t>
  </si>
  <si>
    <t xml:space="preserve">WL-03711</t>
  </si>
  <si>
    <t xml:space="preserve">Adam Webster</t>
  </si>
  <si>
    <t xml:space="preserve">TXN-202607-003439</t>
  </si>
  <si>
    <t xml:space="preserve">billing_transactions_2022_2026.csv row 44672</t>
  </si>
  <si>
    <t xml:space="preserve">slip_inventory_2026-08.csv row 65; applicant_register_2026-08.csv row 2712</t>
  </si>
  <si>
    <t xml:space="preserve">Randall Cummings</t>
  </si>
  <si>
    <t xml:space="preserve">TXN-202607-003494</t>
  </si>
  <si>
    <t xml:space="preserve">billing_transactions_2022_2026.csv row 44673</t>
  </si>
  <si>
    <t xml:space="preserve">slip_inventory_2026-08.csv row 66; applicant_register_2026-08.csv row 1924</t>
  </si>
  <si>
    <t xml:space="preserve">LP-0318</t>
  </si>
  <si>
    <t xml:space="preserve">WL-03488</t>
  </si>
  <si>
    <t xml:space="preserve">Albert Hill</t>
  </si>
  <si>
    <t xml:space="preserve">TXN-202607-003556</t>
  </si>
  <si>
    <t xml:space="preserve">billing_transactions_2022_2026.csv row 44674</t>
  </si>
  <si>
    <t xml:space="preserve">slip_inventory_2026-08.csv row 67; applicant_register_2026-08.csv row 2489</t>
  </si>
  <si>
    <t xml:space="preserve">LP-0320</t>
  </si>
  <si>
    <t xml:space="preserve">TXN-202607-003598</t>
  </si>
  <si>
    <t xml:space="preserve">billing_transactions_2022_2026.csv row 44675</t>
  </si>
  <si>
    <t xml:space="preserve">slip_inventory_2026-08.csv row 69; applicant_register_2026-08.csv row 1525</t>
  </si>
  <si>
    <t xml:space="preserve">LP-0321</t>
  </si>
  <si>
    <t xml:space="preserve">WL-03415</t>
  </si>
  <si>
    <t xml:space="preserve">Jennifer Leonard</t>
  </si>
  <si>
    <t xml:space="preserve">TXN-202607-003664</t>
  </si>
  <si>
    <t xml:space="preserve">billing_transactions_2022_2026.csv row 44676</t>
  </si>
  <si>
    <t xml:space="preserve">slip_inventory_2026-08.csv row 70; applicant_register_2026-08.csv row 2416</t>
  </si>
  <si>
    <t xml:space="preserve">LP-0322</t>
  </si>
  <si>
    <t xml:space="preserve">WL-01554</t>
  </si>
  <si>
    <t xml:space="preserve">Robert Nolan</t>
  </si>
  <si>
    <t xml:space="preserve">TXN-202607-003744</t>
  </si>
  <si>
    <t xml:space="preserve">billing_transactions_2022_2026.csv row 44677</t>
  </si>
  <si>
    <t xml:space="preserve">slip_inventory_2026-08.csv row 71; applicant_register_2026-08.csv row 555</t>
  </si>
  <si>
    <t xml:space="preserve">LP-0323</t>
  </si>
  <si>
    <t xml:space="preserve">WL-02461</t>
  </si>
  <si>
    <t xml:space="preserve">Robert Swanson</t>
  </si>
  <si>
    <t xml:space="preserve">TXN-202607-003805</t>
  </si>
  <si>
    <t xml:space="preserve">billing_transactions_2022_2026.csv row 44678</t>
  </si>
  <si>
    <t xml:space="preserve">slip_inventory_2026-08.csv row 72; applicant_register_2026-08.csv row 1462</t>
  </si>
  <si>
    <t xml:space="preserve">WL-01462</t>
  </si>
  <si>
    <t xml:space="preserve">Stephanie Hart</t>
  </si>
  <si>
    <t xml:space="preserve">TXN-202607-003858</t>
  </si>
  <si>
    <t xml:space="preserve">billing_transactions_2022_2026.csv row 44680</t>
  </si>
  <si>
    <t xml:space="preserve">slip_inventory_2026-08.csv row 73; applicant_register_2026-08.csv row 463</t>
  </si>
  <si>
    <t xml:space="preserve">WL-01188</t>
  </si>
  <si>
    <t xml:space="preserve">Dawn Brown</t>
  </si>
  <si>
    <t xml:space="preserve">TXN-202607-003926</t>
  </si>
  <si>
    <t xml:space="preserve">billing_transactions_2022_2026.csv row 44681</t>
  </si>
  <si>
    <t xml:space="preserve">slip_inventory_2026-08.csv row 75; applicant_register_2026-08.csv row 189</t>
  </si>
  <si>
    <t xml:space="preserve">LP-0403</t>
  </si>
  <si>
    <t xml:space="preserve">WL-01063</t>
  </si>
  <si>
    <t xml:space="preserve">Donna Mitchell</t>
  </si>
  <si>
    <t xml:space="preserve">TXN-202607-003985</t>
  </si>
  <si>
    <t xml:space="preserve">billing_transactions_2022_2026.csv row 44683</t>
  </si>
  <si>
    <t xml:space="preserve">slip_inventory_2026-08.csv row 76; applicant_register_2026-08.csv row 64</t>
  </si>
  <si>
    <t xml:space="preserve">LP-0404</t>
  </si>
  <si>
    <t xml:space="preserve">WL-02961</t>
  </si>
  <si>
    <t xml:space="preserve">Rachel Flores</t>
  </si>
  <si>
    <t xml:space="preserve">TXN-202607-004050</t>
  </si>
  <si>
    <t xml:space="preserve">billing_transactions_2022_2026.csv row 44685</t>
  </si>
  <si>
    <t xml:space="preserve">slip_inventory_2026-08.csv row 77; applicant_register_2026-08.csv row 1962</t>
  </si>
  <si>
    <t xml:space="preserve">LP-0405</t>
  </si>
  <si>
    <t xml:space="preserve">WL-02530</t>
  </si>
  <si>
    <t xml:space="preserve">TXN-202607-004085</t>
  </si>
  <si>
    <t xml:space="preserve">billing_transactions_2022_2026.csv row 44687</t>
  </si>
  <si>
    <t xml:space="preserve">slip_inventory_2026-08.csv row 78; applicant_register_2026-08.csv row 1531</t>
  </si>
  <si>
    <t xml:space="preserve">LP-0406</t>
  </si>
  <si>
    <t xml:space="preserve">WL-02260</t>
  </si>
  <si>
    <t xml:space="preserve">Michael King</t>
  </si>
  <si>
    <t xml:space="preserve">TXN-202607-004130</t>
  </si>
  <si>
    <t xml:space="preserve">billing_transactions_2022_2026.csv row 44689</t>
  </si>
  <si>
    <t xml:space="preserve">slip_inventory_2026-08.csv row 79; applicant_register_2026-08.csv row 1261</t>
  </si>
  <si>
    <t xml:space="preserve">LP-0407</t>
  </si>
  <si>
    <t xml:space="preserve">Karla Cross</t>
  </si>
  <si>
    <t xml:space="preserve">TXN-202607-004183</t>
  </si>
  <si>
    <t xml:space="preserve">billing_transactions_2022_2026.csv row 44691</t>
  </si>
  <si>
    <t xml:space="preserve">slip_inventory_2026-08.csv row 80; applicant_register_2026-08.csv row 1333</t>
  </si>
  <si>
    <t xml:space="preserve">LP-0408</t>
  </si>
  <si>
    <t xml:space="preserve">WL-03226</t>
  </si>
  <si>
    <t xml:space="preserve">Kari Snow</t>
  </si>
  <si>
    <t xml:space="preserve">TXN-202607-004245</t>
  </si>
  <si>
    <t xml:space="preserve">billing_transactions_2022_2026.csv row 44692</t>
  </si>
  <si>
    <t xml:space="preserve">slip_inventory_2026-08.csv row 81; applicant_register_2026-08.csv row 2227</t>
  </si>
  <si>
    <t xml:space="preserve">LP-0409</t>
  </si>
  <si>
    <t xml:space="preserve">WL-02688</t>
  </si>
  <si>
    <t xml:space="preserve">Joseph Cohen</t>
  </si>
  <si>
    <t xml:space="preserve">TXN-202607-004288</t>
  </si>
  <si>
    <t xml:space="preserve">billing_transactions_2022_2026.csv row 44693</t>
  </si>
  <si>
    <t xml:space="preserve">slip_inventory_2026-08.csv row 82; applicant_register_2026-08.csv row 1689</t>
  </si>
  <si>
    <t xml:space="preserve">LP-0410</t>
  </si>
  <si>
    <t xml:space="preserve">WL-02453</t>
  </si>
  <si>
    <t xml:space="preserve">Kristina Savage</t>
  </si>
  <si>
    <t xml:space="preserve">TXN-202607-004350</t>
  </si>
  <si>
    <t xml:space="preserve">billing_transactions_2022_2026.csv row 44695</t>
  </si>
  <si>
    <t xml:space="preserve">slip_inventory_2026-08.csv row 83; applicant_register_2026-08.csv row 1454</t>
  </si>
  <si>
    <t xml:space="preserve">LP-0411</t>
  </si>
  <si>
    <t xml:space="preserve">WL-01932</t>
  </si>
  <si>
    <t xml:space="preserve">Clayton Williams</t>
  </si>
  <si>
    <t xml:space="preserve">TXN-202607-004406</t>
  </si>
  <si>
    <t xml:space="preserve">billing_transactions_2022_2026.csv row 44697</t>
  </si>
  <si>
    <t xml:space="preserve">slip_inventory_2026-08.csv row 84; applicant_register_2026-08.csv row 933</t>
  </si>
  <si>
    <t xml:space="preserve">WL-01239</t>
  </si>
  <si>
    <t xml:space="preserve">Edward Cook</t>
  </si>
  <si>
    <t xml:space="preserve">TXN-202607-004478</t>
  </si>
  <si>
    <t xml:space="preserve">billing_transactions_2022_2026.csv row 44699</t>
  </si>
  <si>
    <t xml:space="preserve">slip_inventory_2026-08.csv row 85; applicant_register_2026-08.csv row 240</t>
  </si>
  <si>
    <t xml:space="preserve">WL-02589</t>
  </si>
  <si>
    <t xml:space="preserve">Tammie Johnson</t>
  </si>
  <si>
    <t xml:space="preserve">TXN-202607-004522</t>
  </si>
  <si>
    <t xml:space="preserve">billing_transactions_2022_2026.csv row 44701</t>
  </si>
  <si>
    <t xml:space="preserve">slip_inventory_2026-08.csv row 86; applicant_register_2026-08.csv row 1590</t>
  </si>
  <si>
    <t xml:space="preserve">LP-0415</t>
  </si>
  <si>
    <t xml:space="preserve">WL-03907</t>
  </si>
  <si>
    <t xml:space="preserve">Ryan Collins</t>
  </si>
  <si>
    <t xml:space="preserve">TXN-202607-004585</t>
  </si>
  <si>
    <t xml:space="preserve">billing_transactions_2022_2026.csv row 44703</t>
  </si>
  <si>
    <t xml:space="preserve">slip_inventory_2026-08.csv row 88; applicant_register_2026-08.csv row 2908</t>
  </si>
  <si>
    <t xml:space="preserve">WL-01699</t>
  </si>
  <si>
    <t xml:space="preserve">Kevin Fuller</t>
  </si>
  <si>
    <t xml:space="preserve">TXN-202607-004666</t>
  </si>
  <si>
    <t xml:space="preserve">billing_transactions_2022_2026.csv row 44704</t>
  </si>
  <si>
    <t xml:space="preserve">slip_inventory_2026-08.csv row 89; applicant_register_2026-08.csv row 700</t>
  </si>
  <si>
    <t xml:space="preserve">LP-0417</t>
  </si>
  <si>
    <t xml:space="preserve">WL-02689</t>
  </si>
  <si>
    <t xml:space="preserve">Julie Silva</t>
  </si>
  <si>
    <t xml:space="preserve">TXN-202607-004707</t>
  </si>
  <si>
    <t xml:space="preserve">billing_transactions_2022_2026.csv row 44706</t>
  </si>
  <si>
    <t xml:space="preserve">slip_inventory_2026-08.csv row 90; applicant_register_2026-08.csv row 1690</t>
  </si>
  <si>
    <t xml:space="preserve">LP-0418</t>
  </si>
  <si>
    <t xml:space="preserve">WL-01703</t>
  </si>
  <si>
    <t xml:space="preserve">Jorge Avery</t>
  </si>
  <si>
    <t xml:space="preserve">TXN-202607-004768</t>
  </si>
  <si>
    <t xml:space="preserve">billing_transactions_2022_2026.csv row 44707</t>
  </si>
  <si>
    <t xml:space="preserve">slip_inventory_2026-08.csv row 91; applicant_register_2026-08.csv row 704</t>
  </si>
  <si>
    <t xml:space="preserve">LP-0419</t>
  </si>
  <si>
    <t xml:space="preserve">WL-02926</t>
  </si>
  <si>
    <t xml:space="preserve">Pamela Harris</t>
  </si>
  <si>
    <t xml:space="preserve">TXN-202607-004855</t>
  </si>
  <si>
    <t xml:space="preserve">billing_transactions_2022_2026.csv row 44709</t>
  </si>
  <si>
    <t xml:space="preserve">slip_inventory_2026-08.csv row 92; applicant_register_2026-08.csv row 1927</t>
  </si>
  <si>
    <t xml:space="preserve">LP-0420</t>
  </si>
  <si>
    <t xml:space="preserve">TXN-202607-004930</t>
  </si>
  <si>
    <t xml:space="preserve">billing_transactions_2022_2026.csv row 44710</t>
  </si>
  <si>
    <t xml:space="preserve">slip_inventory_2026-08.csv row 93; applicant_register_2026-08.csv row 2295</t>
  </si>
  <si>
    <t xml:space="preserve">LP-0421</t>
  </si>
  <si>
    <t xml:space="preserve">WL-03569</t>
  </si>
  <si>
    <t xml:space="preserve">Mary Hicks</t>
  </si>
  <si>
    <t xml:space="preserve">TXN-202607-004984</t>
  </si>
  <si>
    <t xml:space="preserve">billing_transactions_2022_2026.csv row 44711</t>
  </si>
  <si>
    <t xml:space="preserve">slip_inventory_2026-08.csv row 94; applicant_register_2026-08.csv row 2570</t>
  </si>
  <si>
    <t xml:space="preserve">LP-0422</t>
  </si>
  <si>
    <t xml:space="preserve">WL-02875</t>
  </si>
  <si>
    <t xml:space="preserve">Frank Beard</t>
  </si>
  <si>
    <t xml:space="preserve">TXN-202607-005035</t>
  </si>
  <si>
    <t xml:space="preserve">billing_transactions_2022_2026.csv row 44712</t>
  </si>
  <si>
    <t xml:space="preserve">slip_inventory_2026-08.csv row 95; applicant_register_2026-08.csv row 1876</t>
  </si>
  <si>
    <t xml:space="preserve">LP-0423</t>
  </si>
  <si>
    <t xml:space="preserve">WL-01778</t>
  </si>
  <si>
    <t xml:space="preserve">Margaret Brown</t>
  </si>
  <si>
    <t xml:space="preserve">TXN-202607-005104</t>
  </si>
  <si>
    <t xml:space="preserve">billing_transactions_2022_2026.csv row 44713</t>
  </si>
  <si>
    <t xml:space="preserve">slip_inventory_2026-08.csv row 96; applicant_register_2026-08.csv row 779</t>
  </si>
  <si>
    <t xml:space="preserve">LP-0424</t>
  </si>
  <si>
    <t xml:space="preserve">WL-02954</t>
  </si>
  <si>
    <t xml:space="preserve">Michael Perez</t>
  </si>
  <si>
    <t xml:space="preserve">TXN-202607-005151</t>
  </si>
  <si>
    <t xml:space="preserve">billing_transactions_2022_2026.csv row 44715</t>
  </si>
  <si>
    <t xml:space="preserve">slip_inventory_2026-08.csv row 97; applicant_register_2026-08.csv row 1955</t>
  </si>
  <si>
    <t xml:space="preserve">LP-0502</t>
  </si>
  <si>
    <t xml:space="preserve">WL-02634</t>
  </si>
  <si>
    <t xml:space="preserve">Michelle Cooper</t>
  </si>
  <si>
    <t xml:space="preserve">TXN-202607-005210</t>
  </si>
  <si>
    <t xml:space="preserve">billing_transactions_2022_2026.csv row 44716</t>
  </si>
  <si>
    <t xml:space="preserve">slip_inventory_2026-08.csv row 99; applicant_register_2026-08.csv row 1635</t>
  </si>
  <si>
    <t xml:space="preserve">LP-0503</t>
  </si>
  <si>
    <t xml:space="preserve">WL-03603</t>
  </si>
  <si>
    <t xml:space="preserve">Steven Sanders</t>
  </si>
  <si>
    <t xml:space="preserve">TXN-202607-005252</t>
  </si>
  <si>
    <t xml:space="preserve">billing_transactions_2022_2026.csv row 44718</t>
  </si>
  <si>
    <t xml:space="preserve">slip_inventory_2026-08.csv row 100; applicant_register_2026-08.csv row 2604</t>
  </si>
  <si>
    <t xml:space="preserve">WL-02974</t>
  </si>
  <si>
    <t xml:space="preserve">Natasha Wilson</t>
  </si>
  <si>
    <t xml:space="preserve">TXN-202607-005296</t>
  </si>
  <si>
    <t xml:space="preserve">billing_transactions_2022_2026.csv row 44719</t>
  </si>
  <si>
    <t xml:space="preserve">slip_inventory_2026-08.csv row 101; applicant_register_2026-08.csv row 1975</t>
  </si>
  <si>
    <t xml:space="preserve">LP-0505</t>
  </si>
  <si>
    <t xml:space="preserve">WL-02433</t>
  </si>
  <si>
    <t xml:space="preserve">Jordan Casey</t>
  </si>
  <si>
    <t xml:space="preserve">TXN-202607-005362</t>
  </si>
  <si>
    <t xml:space="preserve">billing_transactions_2022_2026.csv row 44721</t>
  </si>
  <si>
    <t xml:space="preserve">slip_inventory_2026-08.csv row 102; applicant_register_2026-08.csv row 1434</t>
  </si>
  <si>
    <t xml:space="preserve">LP-0506</t>
  </si>
  <si>
    <t xml:space="preserve">WL-01135</t>
  </si>
  <si>
    <t xml:space="preserve">Julia Mills</t>
  </si>
  <si>
    <t xml:space="preserve">TXN-202607-005421</t>
  </si>
  <si>
    <t xml:space="preserve">billing_transactions_2022_2026.csv row 44722</t>
  </si>
  <si>
    <t xml:space="preserve">slip_inventory_2026-08.csv row 103; applicant_register_2026-08.csv row 136</t>
  </si>
  <si>
    <t xml:space="preserve">LP-0507</t>
  </si>
  <si>
    <t xml:space="preserve">Shane Lee</t>
  </si>
  <si>
    <t xml:space="preserve">TXN-202607-005473</t>
  </si>
  <si>
    <t xml:space="preserve">billing_transactions_2022_2026.csv row 44723</t>
  </si>
  <si>
    <t xml:space="preserve">slip_inventory_2026-08.csv row 104; applicant_register_2026-08.csv row 2312</t>
  </si>
  <si>
    <t xml:space="preserve">LP-0508</t>
  </si>
  <si>
    <t xml:space="preserve">Maria Wright</t>
  </si>
  <si>
    <t xml:space="preserve">TXN-202607-005520</t>
  </si>
  <si>
    <t xml:space="preserve">billing_transactions_2022_2026.csv row 44725</t>
  </si>
  <si>
    <t xml:space="preserve">slip_inventory_2026-08.csv row 105; applicant_register_2026-08.csv row 856</t>
  </si>
  <si>
    <t xml:space="preserve">LP-0509</t>
  </si>
  <si>
    <t xml:space="preserve">WL-01968</t>
  </si>
  <si>
    <t xml:space="preserve">Cheryl Lewis</t>
  </si>
  <si>
    <t xml:space="preserve">TXN-202607-005572</t>
  </si>
  <si>
    <t xml:space="preserve">billing_transactions_2022_2026.csv row 44726</t>
  </si>
  <si>
    <t xml:space="preserve">slip_inventory_2026-08.csv row 106; applicant_register_2026-08.csv row 969</t>
  </si>
  <si>
    <t xml:space="preserve">LP-0510</t>
  </si>
  <si>
    <t xml:space="preserve">WL-03288</t>
  </si>
  <si>
    <t xml:space="preserve">Jaclyn Ingram</t>
  </si>
  <si>
    <t xml:space="preserve">TXN-202607-005639</t>
  </si>
  <si>
    <t xml:space="preserve">billing_transactions_2022_2026.csv row 44727</t>
  </si>
  <si>
    <t xml:space="preserve">slip_inventory_2026-08.csv row 107; applicant_register_2026-08.csv row 2289</t>
  </si>
  <si>
    <t xml:space="preserve">LP-0511</t>
  </si>
  <si>
    <t xml:space="preserve">WL-01060</t>
  </si>
  <si>
    <t xml:space="preserve">Michael Cole</t>
  </si>
  <si>
    <t xml:space="preserve">TXN-202607-005704</t>
  </si>
  <si>
    <t xml:space="preserve">billing_transactions_2022_2026.csv row 44729</t>
  </si>
  <si>
    <t xml:space="preserve">slip_inventory_2026-08.csv row 108; applicant_register_2026-08.csv row 61</t>
  </si>
  <si>
    <t xml:space="preserve">LP-0512</t>
  </si>
  <si>
    <t xml:space="preserve">WL-02938</t>
  </si>
  <si>
    <t xml:space="preserve">Micheal Perez</t>
  </si>
  <si>
    <t xml:space="preserve">TXN-202607-005751</t>
  </si>
  <si>
    <t xml:space="preserve">billing_transactions_2022_2026.csv row 44730</t>
  </si>
  <si>
    <t xml:space="preserve">slip_inventory_2026-08.csv row 109; applicant_register_2026-08.csv row 1939</t>
  </si>
  <si>
    <t xml:space="preserve">WL-01509</t>
  </si>
  <si>
    <t xml:space="preserve">William Hatfield</t>
  </si>
  <si>
    <t xml:space="preserve">TXN-202607-005802</t>
  </si>
  <si>
    <t xml:space="preserve">billing_transactions_2022_2026.csv row 44731</t>
  </si>
  <si>
    <t xml:space="preserve">slip_inventory_2026-08.csv row 110; applicant_register_2026-08.csv row 510</t>
  </si>
  <si>
    <t xml:space="preserve">WL-01036</t>
  </si>
  <si>
    <t xml:space="preserve">Brandy Rogers</t>
  </si>
  <si>
    <t xml:space="preserve">TXN-202607-005859</t>
  </si>
  <si>
    <t xml:space="preserve">billing_transactions_2022_2026.csv row 44733</t>
  </si>
  <si>
    <t xml:space="preserve">slip_inventory_2026-08.csv row 111; applicant_register_2026-08.csv row 37</t>
  </si>
  <si>
    <t xml:space="preserve">TXN-202607-005930</t>
  </si>
  <si>
    <t xml:space="preserve">billing_transactions_2022_2026.csv row 44734</t>
  </si>
  <si>
    <t xml:space="preserve">slip_inventory_2026-08.csv row 113; applicant_register_2026-08.csv row 2136</t>
  </si>
  <si>
    <t xml:space="preserve">LP-0517</t>
  </si>
  <si>
    <t xml:space="preserve">WL-02716</t>
  </si>
  <si>
    <t xml:space="preserve">John Nguyen</t>
  </si>
  <si>
    <t xml:space="preserve">TXN-202607-005972</t>
  </si>
  <si>
    <t xml:space="preserve">billing_transactions_2022_2026.csv row 44736</t>
  </si>
  <si>
    <t xml:space="preserve">slip_inventory_2026-08.csv row 114; applicant_register_2026-08.csv row 1717</t>
  </si>
  <si>
    <t xml:space="preserve">LP-0518</t>
  </si>
  <si>
    <t xml:space="preserve">WL-02963</t>
  </si>
  <si>
    <t xml:space="preserve">Jennifer Liu</t>
  </si>
  <si>
    <t xml:space="preserve">TXN-202607-006016</t>
  </si>
  <si>
    <t xml:space="preserve">billing_transactions_2022_2026.csv row 44737</t>
  </si>
  <si>
    <t xml:space="preserve">slip_inventory_2026-08.csv row 115; applicant_register_2026-08.csv row 1964</t>
  </si>
  <si>
    <t xml:space="preserve">LP-0519</t>
  </si>
  <si>
    <t xml:space="preserve">Annette Collins</t>
  </si>
  <si>
    <t xml:space="preserve">TXN-202607-006075</t>
  </si>
  <si>
    <t xml:space="preserve">billing_transactions_2022_2026.csv row 44738</t>
  </si>
  <si>
    <t xml:space="preserve">slip_inventory_2026-08.csv row 116; applicant_register_2026-08.csv row 2182</t>
  </si>
  <si>
    <t xml:space="preserve">WL-01896</t>
  </si>
  <si>
    <t xml:space="preserve">Meredith Williams</t>
  </si>
  <si>
    <t xml:space="preserve">TXN-202607-006144</t>
  </si>
  <si>
    <t xml:space="preserve">billing_transactions_2022_2026.csv row 44739</t>
  </si>
  <si>
    <t xml:space="preserve">slip_inventory_2026-08.csv row 117; applicant_register_2026-08.csv row 897</t>
  </si>
  <si>
    <t xml:space="preserve">LP-0521</t>
  </si>
  <si>
    <t xml:space="preserve">WL-03161</t>
  </si>
  <si>
    <t xml:space="preserve">Ashley Hall</t>
  </si>
  <si>
    <t xml:space="preserve">TXN-202607-006210</t>
  </si>
  <si>
    <t xml:space="preserve">billing_transactions_2022_2026.csv row 44740</t>
  </si>
  <si>
    <t xml:space="preserve">slip_inventory_2026-08.csv row 118; applicant_register_2026-08.csv row 2162</t>
  </si>
  <si>
    <t xml:space="preserve">LP-0522</t>
  </si>
  <si>
    <t xml:space="preserve">WL-01604</t>
  </si>
  <si>
    <t xml:space="preserve">Patrick Barnes</t>
  </si>
  <si>
    <t xml:space="preserve">TXN-202607-006272</t>
  </si>
  <si>
    <t xml:space="preserve">billing_transactions_2022_2026.csv row 44741</t>
  </si>
  <si>
    <t xml:space="preserve">slip_inventory_2026-08.csv row 119; applicant_register_2026-08.csv row 605</t>
  </si>
  <si>
    <t xml:space="preserve">LP-0523</t>
  </si>
  <si>
    <t xml:space="preserve">WL-03212</t>
  </si>
  <si>
    <t xml:space="preserve">Damon Garcia</t>
  </si>
  <si>
    <t xml:space="preserve">TXN-202607-006347</t>
  </si>
  <si>
    <t xml:space="preserve">billing_transactions_2022_2026.csv row 44742</t>
  </si>
  <si>
    <t xml:space="preserve">slip_inventory_2026-08.csv row 120; applicant_register_2026-08.csv row 2213</t>
  </si>
  <si>
    <t xml:space="preserve">LP-0524</t>
  </si>
  <si>
    <t xml:space="preserve">TXN-202607-006425</t>
  </si>
  <si>
    <t xml:space="preserve">billing_transactions_2022_2026.csv row 44744</t>
  </si>
  <si>
    <t xml:space="preserve">slip_inventory_2026-08.csv row 121; applicant_register_2026-08.csv row 1696</t>
  </si>
  <si>
    <t xml:space="preserve">TXN-202607-006489</t>
  </si>
  <si>
    <t xml:space="preserve">billing_transactions_2022_2026.csv row 44746</t>
  </si>
  <si>
    <t xml:space="preserve">slip_inventory_2026-08.csv row 122; applicant_register_2026-08.csv row 1640</t>
  </si>
  <si>
    <t xml:space="preserve">LP-0602</t>
  </si>
  <si>
    <t xml:space="preserve">Lee Maldonado</t>
  </si>
  <si>
    <t xml:space="preserve">TXN-202607-006541</t>
  </si>
  <si>
    <t xml:space="preserve">billing_transactions_2022_2026.csv row 44748</t>
  </si>
  <si>
    <t xml:space="preserve">slip_inventory_2026-08.csv row 123; applicant_register_2026-08.csv row 343</t>
  </si>
  <si>
    <t xml:space="preserve">LP-0603</t>
  </si>
  <si>
    <t xml:space="preserve">WL-02921</t>
  </si>
  <si>
    <t xml:space="preserve">Marissa Hatfield</t>
  </si>
  <si>
    <t xml:space="preserve">TXN-202607-006608</t>
  </si>
  <si>
    <t xml:space="preserve">billing_transactions_2022_2026.csv row 44750</t>
  </si>
  <si>
    <t xml:space="preserve">slip_inventory_2026-08.csv row 124; applicant_register_2026-08.csv row 1922</t>
  </si>
  <si>
    <t xml:space="preserve">WL-02608</t>
  </si>
  <si>
    <t xml:space="preserve">Timothy Porter</t>
  </si>
  <si>
    <t xml:space="preserve">TXN-202607-006669</t>
  </si>
  <si>
    <t xml:space="preserve">billing_transactions_2022_2026.csv row 44752</t>
  </si>
  <si>
    <t xml:space="preserve">slip_inventory_2026-08.csv row 125; applicant_register_2026-08.csv row 1609</t>
  </si>
  <si>
    <t xml:space="preserve">LP-0605</t>
  </si>
  <si>
    <t xml:space="preserve">WL-01747</t>
  </si>
  <si>
    <t xml:space="preserve">Andrew Anderson</t>
  </si>
  <si>
    <t xml:space="preserve">TXN-202607-006753</t>
  </si>
  <si>
    <t xml:space="preserve">billing_transactions_2022_2026.csv row 44754</t>
  </si>
  <si>
    <t xml:space="preserve">slip_inventory_2026-08.csv row 126; applicant_register_2026-08.csv row 748</t>
  </si>
  <si>
    <t xml:space="preserve">LP-0606</t>
  </si>
  <si>
    <t xml:space="preserve">WL-03735</t>
  </si>
  <si>
    <t xml:space="preserve">Kyle Foster</t>
  </si>
  <si>
    <t xml:space="preserve">TXN-202607-006820</t>
  </si>
  <si>
    <t xml:space="preserve">billing_transactions_2022_2026.csv row 44756</t>
  </si>
  <si>
    <t xml:space="preserve">slip_inventory_2026-08.csv row 127; applicant_register_2026-08.csv row 2736</t>
  </si>
  <si>
    <t xml:space="preserve">LP-0607</t>
  </si>
  <si>
    <t xml:space="preserve">WL-01378</t>
  </si>
  <si>
    <t xml:space="preserve">Morgan Clark</t>
  </si>
  <si>
    <t xml:space="preserve">TXN-202607-006900</t>
  </si>
  <si>
    <t xml:space="preserve">billing_transactions_2022_2026.csv row 44757</t>
  </si>
  <si>
    <t xml:space="preserve">slip_inventory_2026-08.csv row 128; applicant_register_2026-08.csv row 379</t>
  </si>
  <si>
    <t xml:space="preserve">LP-0608</t>
  </si>
  <si>
    <t xml:space="preserve">WL-03905</t>
  </si>
  <si>
    <t xml:space="preserve">Jamie Carpenter</t>
  </si>
  <si>
    <t xml:space="preserve">TXN-202607-006977</t>
  </si>
  <si>
    <t xml:space="preserve">billing_transactions_2022_2026.csv row 44758</t>
  </si>
  <si>
    <t xml:space="preserve">slip_inventory_2026-08.csv row 129; applicant_register_2026-08.csv row 2906</t>
  </si>
  <si>
    <t xml:space="preserve">WL-01602</t>
  </si>
  <si>
    <t xml:space="preserve">Micheal Martinez</t>
  </si>
  <si>
    <t xml:space="preserve">TXN-202607-007045</t>
  </si>
  <si>
    <t xml:space="preserve">billing_transactions_2022_2026.csv row 44760</t>
  </si>
  <si>
    <t xml:space="preserve">slip_inventory_2026-08.csv row 130; applicant_register_2026-08.csv row 603</t>
  </si>
  <si>
    <t xml:space="preserve">LP-0610</t>
  </si>
  <si>
    <t xml:space="preserve">WL-02905</t>
  </si>
  <si>
    <t xml:space="preserve">James Williams</t>
  </si>
  <si>
    <t xml:space="preserve">TXN-202607-007097</t>
  </si>
  <si>
    <t xml:space="preserve">billing_transactions_2022_2026.csv row 44761</t>
  </si>
  <si>
    <t xml:space="preserve">slip_inventory_2026-08.csv row 131; applicant_register_2026-08.csv row 1906</t>
  </si>
  <si>
    <t xml:space="preserve">LP-0611</t>
  </si>
  <si>
    <t xml:space="preserve">WL-03556</t>
  </si>
  <si>
    <t xml:space="preserve">Scott Bird</t>
  </si>
  <si>
    <t xml:space="preserve">TXN-202607-007174</t>
  </si>
  <si>
    <t xml:space="preserve">billing_transactions_2022_2026.csv row 44763</t>
  </si>
  <si>
    <t xml:space="preserve">slip_inventory_2026-08.csv row 132; applicant_register_2026-08.csv row 2557</t>
  </si>
  <si>
    <t xml:space="preserve">LP-0612</t>
  </si>
  <si>
    <t xml:space="preserve">WL-01625</t>
  </si>
  <si>
    <t xml:space="preserve">Albert Rowland</t>
  </si>
  <si>
    <t xml:space="preserve">TXN-202607-007260</t>
  </si>
  <si>
    <t xml:space="preserve">billing_transactions_2022_2026.csv row 44765</t>
  </si>
  <si>
    <t xml:space="preserve">slip_inventory_2026-08.csv row 133; applicant_register_2026-08.csv row 626</t>
  </si>
  <si>
    <t xml:space="preserve">LP-0613</t>
  </si>
  <si>
    <t xml:space="preserve">WL-03447</t>
  </si>
  <si>
    <t xml:space="preserve">Matthew Mcdonald</t>
  </si>
  <si>
    <t xml:space="preserve">TXN-202607-007314</t>
  </si>
  <si>
    <t xml:space="preserve">billing_transactions_2022_2026.csv row 44767</t>
  </si>
  <si>
    <t xml:space="preserve">slip_inventory_2026-08.csv row 134; applicant_register_2026-08.csv row 2448</t>
  </si>
  <si>
    <t xml:space="preserve">WL-01107</t>
  </si>
  <si>
    <t xml:space="preserve">Dean Gonzalez</t>
  </si>
  <si>
    <t xml:space="preserve">TXN-202607-007381</t>
  </si>
  <si>
    <t xml:space="preserve">billing_transactions_2022_2026.csv row 44769</t>
  </si>
  <si>
    <t xml:space="preserve">slip_inventory_2026-08.csv row 135; applicant_register_2026-08.csv row 108</t>
  </si>
  <si>
    <t xml:space="preserve">LP-0615</t>
  </si>
  <si>
    <t xml:space="preserve">WL-03818</t>
  </si>
  <si>
    <t xml:space="preserve">Abigail Brooks</t>
  </si>
  <si>
    <t xml:space="preserve">TXN-202607-007437</t>
  </si>
  <si>
    <t xml:space="preserve">billing_transactions_2022_2026.csv row 44770</t>
  </si>
  <si>
    <t xml:space="preserve">slip_inventory_2026-08.csv row 136; applicant_register_2026-08.csv row 2819</t>
  </si>
  <si>
    <t xml:space="preserve">WL-03854</t>
  </si>
  <si>
    <t xml:space="preserve">Brandon Jackson</t>
  </si>
  <si>
    <t xml:space="preserve">TXN-202607-007499</t>
  </si>
  <si>
    <t xml:space="preserve">billing_transactions_2022_2026.csv row 44771</t>
  </si>
  <si>
    <t xml:space="preserve">slip_inventory_2026-08.csv row 137; applicant_register_2026-08.csv row 2855</t>
  </si>
  <si>
    <t xml:space="preserve">LP-0617</t>
  </si>
  <si>
    <t xml:space="preserve">WL-02073</t>
  </si>
  <si>
    <t xml:space="preserve">Susan Jordan</t>
  </si>
  <si>
    <t xml:space="preserve">TXN-202607-007543</t>
  </si>
  <si>
    <t xml:space="preserve">billing_transactions_2022_2026.csv row 44772</t>
  </si>
  <si>
    <t xml:space="preserve">slip_inventory_2026-08.csv row 138; applicant_register_2026-08.csv row 1074</t>
  </si>
  <si>
    <t xml:space="preserve">LP-0618</t>
  </si>
  <si>
    <t xml:space="preserve">WL-01962</t>
  </si>
  <si>
    <t xml:space="preserve">Natalie Tyler</t>
  </si>
  <si>
    <t xml:space="preserve">TXN-202607-007613</t>
  </si>
  <si>
    <t xml:space="preserve">billing_transactions_2022_2026.csv row 44773</t>
  </si>
  <si>
    <t xml:space="preserve">slip_inventory_2026-08.csv row 139; applicant_register_2026-08.csv row 963</t>
  </si>
  <si>
    <t xml:space="preserve">LP-0620</t>
  </si>
  <si>
    <t xml:space="preserve">WL-02410</t>
  </si>
  <si>
    <t xml:space="preserve">Juan Martin</t>
  </si>
  <si>
    <t xml:space="preserve">TXN-202607-007669</t>
  </si>
  <si>
    <t xml:space="preserve">billing_transactions_2022_2026.csv row 44774</t>
  </si>
  <si>
    <t xml:space="preserve">slip_inventory_2026-08.csv row 141; applicant_register_2026-08.csv row 1411</t>
  </si>
  <si>
    <t xml:space="preserve">LP-0621</t>
  </si>
  <si>
    <t xml:space="preserve">WL-02194</t>
  </si>
  <si>
    <t xml:space="preserve">Victoria Williamson</t>
  </si>
  <si>
    <t xml:space="preserve">TXN-202607-007742</t>
  </si>
  <si>
    <t xml:space="preserve">billing_transactions_2022_2026.csv row 44776</t>
  </si>
  <si>
    <t xml:space="preserve">slip_inventory_2026-08.csv row 142; applicant_register_2026-08.csv row 1195</t>
  </si>
  <si>
    <t xml:space="preserve">LP-0622</t>
  </si>
  <si>
    <t xml:space="preserve">TXN-202607-007792</t>
  </si>
  <si>
    <t xml:space="preserve">billing_transactions_2022_2026.csv row 44777</t>
  </si>
  <si>
    <t xml:space="preserve">slip_inventory_2026-08.csv row 143; applicant_register_2026-08.csv row 2608</t>
  </si>
  <si>
    <t xml:space="preserve">LP-0623</t>
  </si>
  <si>
    <t xml:space="preserve">WL-03096</t>
  </si>
  <si>
    <t xml:space="preserve">Craig Kelley</t>
  </si>
  <si>
    <t xml:space="preserve">TXN-202607-007846</t>
  </si>
  <si>
    <t xml:space="preserve">billing_transactions_2022_2026.csv row 44778</t>
  </si>
  <si>
    <t xml:space="preserve">slip_inventory_2026-08.csv row 144; applicant_register_2026-08.csv row 2097</t>
  </si>
  <si>
    <t xml:space="preserve">LP-0624</t>
  </si>
  <si>
    <t xml:space="preserve">WL-02951</t>
  </si>
  <si>
    <t xml:space="preserve">Evelyn Thompson</t>
  </si>
  <si>
    <t xml:space="preserve">TXN-202607-007932</t>
  </si>
  <si>
    <t xml:space="preserve">billing_transactions_2022_2026.csv row 44779</t>
  </si>
  <si>
    <t xml:space="preserve">slip_inventory_2026-08.csv row 145; applicant_register_2026-08.csv row 1952</t>
  </si>
  <si>
    <t xml:space="preserve">LP-0701</t>
  </si>
  <si>
    <t xml:space="preserve">WL-02344</t>
  </si>
  <si>
    <t xml:space="preserve">Michael Combs</t>
  </si>
  <si>
    <t xml:space="preserve">MA-2024-0701</t>
  </si>
  <si>
    <t xml:space="preserve">TXN-202607-008014</t>
  </si>
  <si>
    <t xml:space="preserve">billing_transactions_2022_2026.csv row 44780</t>
  </si>
  <si>
    <t xml:space="preserve">slip_inventory_2026-08.csv row 146; applicant_register_2026-08.csv row 1345</t>
  </si>
  <si>
    <t xml:space="preserve">LP-0702</t>
  </si>
  <si>
    <t xml:space="preserve">WL-01711</t>
  </si>
  <si>
    <t xml:space="preserve">Julie Peterson</t>
  </si>
  <si>
    <t xml:space="preserve">TXN-202607-008091</t>
  </si>
  <si>
    <t xml:space="preserve">billing_transactions_2022_2026.csv row 44781</t>
  </si>
  <si>
    <t xml:space="preserve">slip_inventory_2026-08.csv row 147; applicant_register_2026-08.csv row 712</t>
  </si>
  <si>
    <t xml:space="preserve">LP-0703</t>
  </si>
  <si>
    <t xml:space="preserve">WL-03517</t>
  </si>
  <si>
    <t xml:space="preserve">Ruth Peters</t>
  </si>
  <si>
    <t xml:space="preserve">TXN-202607-008148</t>
  </si>
  <si>
    <t xml:space="preserve">billing_transactions_2022_2026.csv row 44783</t>
  </si>
  <si>
    <t xml:space="preserve">slip_inventory_2026-08.csv row 148; applicant_register_2026-08.csv row 2518</t>
  </si>
  <si>
    <t xml:space="preserve">LP-0704</t>
  </si>
  <si>
    <t xml:space="preserve">WL-02092</t>
  </si>
  <si>
    <t xml:space="preserve">Jason Brooks</t>
  </si>
  <si>
    <t xml:space="preserve">TXN-202607-008230</t>
  </si>
  <si>
    <t xml:space="preserve">billing_transactions_2022_2026.csv row 44785</t>
  </si>
  <si>
    <t xml:space="preserve">slip_inventory_2026-08.csv row 149; applicant_register_2026-08.csv row 1093</t>
  </si>
  <si>
    <t xml:space="preserve">TXN-202607-008301</t>
  </si>
  <si>
    <t xml:space="preserve">billing_transactions_2022_2026.csv row 44786</t>
  </si>
  <si>
    <t xml:space="preserve">slip_inventory_2026-08.csv row 150; applicant_register_2026-08.csv row 1328</t>
  </si>
  <si>
    <t xml:space="preserve">WL-01857</t>
  </si>
  <si>
    <t xml:space="preserve">Anthony Morales</t>
  </si>
  <si>
    <t xml:space="preserve">TXN-202607-008376</t>
  </si>
  <si>
    <t xml:space="preserve">billing_transactions_2022_2026.csv row 44787</t>
  </si>
  <si>
    <t xml:space="preserve">slip_inventory_2026-08.csv row 151; applicant_register_2026-08.csv row 858</t>
  </si>
  <si>
    <t xml:space="preserve">LP-0707</t>
  </si>
  <si>
    <t xml:space="preserve">WL-02544</t>
  </si>
  <si>
    <t xml:space="preserve">Laurie Smith</t>
  </si>
  <si>
    <t xml:space="preserve">TXN-202607-008426</t>
  </si>
  <si>
    <t xml:space="preserve">billing_transactions_2022_2026.csv row 44788</t>
  </si>
  <si>
    <t xml:space="preserve">slip_inventory_2026-08.csv row 152; applicant_register_2026-08.csv row 1545</t>
  </si>
  <si>
    <t xml:space="preserve">LP-0708</t>
  </si>
  <si>
    <t xml:space="preserve">WL-03803</t>
  </si>
  <si>
    <t xml:space="preserve">Elizabeth Mathews</t>
  </si>
  <si>
    <t xml:space="preserve">TXN-202607-008506</t>
  </si>
  <si>
    <t xml:space="preserve">billing_transactions_2022_2026.csv row 44789</t>
  </si>
  <si>
    <t xml:space="preserve">slip_inventory_2026-08.csv row 153; applicant_register_2026-08.csv row 2804</t>
  </si>
  <si>
    <t xml:space="preserve">LP-0709</t>
  </si>
  <si>
    <t xml:space="preserve">Patrick Allen</t>
  </si>
  <si>
    <t xml:space="preserve">TXN-202607-008562</t>
  </si>
  <si>
    <t xml:space="preserve">billing_transactions_2022_2026.csv row 44790</t>
  </si>
  <si>
    <t xml:space="preserve">slip_inventory_2026-08.csv row 154; applicant_register_2026-08.csv row 1694</t>
  </si>
  <si>
    <t xml:space="preserve">LP-0710</t>
  </si>
  <si>
    <t xml:space="preserve">WL-03904</t>
  </si>
  <si>
    <t xml:space="preserve">Peggy Trevino</t>
  </si>
  <si>
    <t xml:space="preserve">TXN-202607-008627</t>
  </si>
  <si>
    <t xml:space="preserve">billing_transactions_2022_2026.csv row 44791</t>
  </si>
  <si>
    <t xml:space="preserve">slip_inventory_2026-08.csv row 155; applicant_register_2026-08.csv row 2905</t>
  </si>
  <si>
    <t xml:space="preserve">LP-0711</t>
  </si>
  <si>
    <t xml:space="preserve">WL-01740</t>
  </si>
  <si>
    <t xml:space="preserve">Lisa Wyatt</t>
  </si>
  <si>
    <t xml:space="preserve">TXN-202607-008673</t>
  </si>
  <si>
    <t xml:space="preserve">billing_transactions_2022_2026.csv row 44792</t>
  </si>
  <si>
    <t xml:space="preserve">slip_inventory_2026-08.csv row 156; applicant_register_2026-08.csv row 741</t>
  </si>
  <si>
    <t xml:space="preserve">LP-0712</t>
  </si>
  <si>
    <t xml:space="preserve">WL-02936</t>
  </si>
  <si>
    <t xml:space="preserve">Matthew Spencer</t>
  </si>
  <si>
    <t xml:space="preserve">TXN-202607-008709</t>
  </si>
  <si>
    <t xml:space="preserve">billing_transactions_2022_2026.csv row 44793</t>
  </si>
  <si>
    <t xml:space="preserve">slip_inventory_2026-08.csv row 157; applicant_register_2026-08.csv row 1937</t>
  </si>
  <si>
    <t xml:space="preserve">LP-0713</t>
  </si>
  <si>
    <t xml:space="preserve">WL-03438</t>
  </si>
  <si>
    <t xml:space="preserve">Stacey Mitchell</t>
  </si>
  <si>
    <t xml:space="preserve">TXN-202607-008762</t>
  </si>
  <si>
    <t xml:space="preserve">billing_transactions_2022_2026.csv row 44794</t>
  </si>
  <si>
    <t xml:space="preserve">slip_inventory_2026-08.csv row 158; applicant_register_2026-08.csv row 2439</t>
  </si>
  <si>
    <t xml:space="preserve">LP-0714</t>
  </si>
  <si>
    <t xml:space="preserve">WL-01437</t>
  </si>
  <si>
    <t xml:space="preserve">Nicholas Woodward</t>
  </si>
  <si>
    <t xml:space="preserve">TXN-202607-008836</t>
  </si>
  <si>
    <t xml:space="preserve">billing_transactions_2022_2026.csv row 44795</t>
  </si>
  <si>
    <t xml:space="preserve">slip_inventory_2026-08.csv row 159; applicant_register_2026-08.csv row 438</t>
  </si>
  <si>
    <t xml:space="preserve">WL-03454</t>
  </si>
  <si>
    <t xml:space="preserve">Jason Ramirez</t>
  </si>
  <si>
    <t xml:space="preserve">TXN-202607-008887</t>
  </si>
  <si>
    <t xml:space="preserve">billing_transactions_2022_2026.csv row 44797</t>
  </si>
  <si>
    <t xml:space="preserve">slip_inventory_2026-08.csv row 160; applicant_register_2026-08.csv row 2455</t>
  </si>
  <si>
    <t xml:space="preserve">LP-0716</t>
  </si>
  <si>
    <t xml:space="preserve">WL-03594</t>
  </si>
  <si>
    <t xml:space="preserve">Teresa Smith</t>
  </si>
  <si>
    <t xml:space="preserve">TXN-202607-008939</t>
  </si>
  <si>
    <t xml:space="preserve">billing_transactions_2022_2026.csv row 44798</t>
  </si>
  <si>
    <t xml:space="preserve">slip_inventory_2026-08.csv row 161; applicant_register_2026-08.csv row 2595</t>
  </si>
  <si>
    <t xml:space="preserve">LP-0717</t>
  </si>
  <si>
    <t xml:space="preserve">WL-01315</t>
  </si>
  <si>
    <t xml:space="preserve">Justin Richardson</t>
  </si>
  <si>
    <t xml:space="preserve">TXN-202607-008996</t>
  </si>
  <si>
    <t xml:space="preserve">billing_transactions_2022_2026.csv row 44800</t>
  </si>
  <si>
    <t xml:space="preserve">slip_inventory_2026-08.csv row 162; applicant_register_2026-08.csv row 316</t>
  </si>
  <si>
    <t xml:space="preserve">LP-0718</t>
  </si>
  <si>
    <t xml:space="preserve">WL-03399</t>
  </si>
  <si>
    <t xml:space="preserve">Charles Case</t>
  </si>
  <si>
    <t xml:space="preserve">TXN-202607-009045</t>
  </si>
  <si>
    <t xml:space="preserve">billing_transactions_2022_2026.csv row 44801</t>
  </si>
  <si>
    <t xml:space="preserve">slip_inventory_2026-08.csv row 163; applicant_register_2026-08.csv row 2400</t>
  </si>
  <si>
    <t xml:space="preserve">LP-0719</t>
  </si>
  <si>
    <t xml:space="preserve">WL-02512</t>
  </si>
  <si>
    <t xml:space="preserve">Natalie Olsen</t>
  </si>
  <si>
    <t xml:space="preserve">TXN-202607-009111</t>
  </si>
  <si>
    <t xml:space="preserve">billing_transactions_2022_2026.csv row 44803</t>
  </si>
  <si>
    <t xml:space="preserve">slip_inventory_2026-08.csv row 164; applicant_register_2026-08.csv row 1513</t>
  </si>
  <si>
    <t xml:space="preserve">LP-0720</t>
  </si>
  <si>
    <t xml:space="preserve">WL-01709</t>
  </si>
  <si>
    <t xml:space="preserve">Alexander Stephens</t>
  </si>
  <si>
    <t xml:space="preserve">TXN-202607-009163</t>
  </si>
  <si>
    <t xml:space="preserve">billing_transactions_2022_2026.csv row 44805</t>
  </si>
  <si>
    <t xml:space="preserve">slip_inventory_2026-08.csv row 165; applicant_register_2026-08.csv row 710</t>
  </si>
  <si>
    <t xml:space="preserve">WL-02525</t>
  </si>
  <si>
    <t xml:space="preserve">Matthew Wright</t>
  </si>
  <si>
    <t xml:space="preserve">TXN-202607-009233</t>
  </si>
  <si>
    <t xml:space="preserve">billing_transactions_2022_2026.csv row 44806</t>
  </si>
  <si>
    <t xml:space="preserve">slip_inventory_2026-08.csv row 167; applicant_register_2026-08.csv row 1526</t>
  </si>
  <si>
    <t xml:space="preserve">LP-0723</t>
  </si>
  <si>
    <t xml:space="preserve">WL-01106</t>
  </si>
  <si>
    <t xml:space="preserve">TXN-202607-009275</t>
  </si>
  <si>
    <t xml:space="preserve">billing_transactions_2022_2026.csv row 44808</t>
  </si>
  <si>
    <t xml:space="preserve">slip_inventory_2026-08.csv row 168; applicant_register_2026-08.csv row 107</t>
  </si>
  <si>
    <t xml:space="preserve">LP-0724</t>
  </si>
  <si>
    <t xml:space="preserve">WL-01738</t>
  </si>
  <si>
    <t xml:space="preserve">Zachary Kramer</t>
  </si>
  <si>
    <t xml:space="preserve">TXN-202607-009315</t>
  </si>
  <si>
    <t xml:space="preserve">billing_transactions_2022_2026.csv row 44810</t>
  </si>
  <si>
    <t xml:space="preserve">slip_inventory_2026-08.csv row 169; applicant_register_2026-08.csv row 739</t>
  </si>
  <si>
    <t xml:space="preserve">LP-0801</t>
  </si>
  <si>
    <t xml:space="preserve">WL-02322</t>
  </si>
  <si>
    <t xml:space="preserve">Allison Nguyen</t>
  </si>
  <si>
    <t xml:space="preserve">TXN-202607-009356</t>
  </si>
  <si>
    <t xml:space="preserve">billing_transactions_2022_2026.csv row 44812</t>
  </si>
  <si>
    <t xml:space="preserve">slip_inventory_2026-08.csv row 170; applicant_register_2026-08.csv row 1323</t>
  </si>
  <si>
    <t xml:space="preserve">LP-0802</t>
  </si>
  <si>
    <t xml:space="preserve">Michael West</t>
  </si>
  <si>
    <t xml:space="preserve">TXN-202607-009427</t>
  </si>
  <si>
    <t xml:space="preserve">billing_transactions_2022_2026.csv row 44814</t>
  </si>
  <si>
    <t xml:space="preserve">slip_inventory_2026-08.csv row 171; applicant_register_2026-08.csv row 2527</t>
  </si>
  <si>
    <t xml:space="preserve">WL-03367</t>
  </si>
  <si>
    <t xml:space="preserve">Jill Stevenson</t>
  </si>
  <si>
    <t xml:space="preserve">TXN-202607-009492</t>
  </si>
  <si>
    <t xml:space="preserve">billing_transactions_2022_2026.csv row 44815</t>
  </si>
  <si>
    <t xml:space="preserve">slip_inventory_2026-08.csv row 172; applicant_register_2026-08.csv row 2368</t>
  </si>
  <si>
    <t xml:space="preserve">LP-0805</t>
  </si>
  <si>
    <t xml:space="preserve">WL-02244</t>
  </si>
  <si>
    <t xml:space="preserve">Victoria Nash</t>
  </si>
  <si>
    <t xml:space="preserve">TXN-202607-009564</t>
  </si>
  <si>
    <t xml:space="preserve">billing_transactions_2022_2026.csv row 44816</t>
  </si>
  <si>
    <t xml:space="preserve">slip_inventory_2026-08.csv row 174; applicant_register_2026-08.csv row 1245</t>
  </si>
  <si>
    <t xml:space="preserve">WL-02771</t>
  </si>
  <si>
    <t xml:space="preserve">Lisa Garcia</t>
  </si>
  <si>
    <t xml:space="preserve">TXN-202607-009635</t>
  </si>
  <si>
    <t xml:space="preserve">billing_transactions_2022_2026.csv row 44818</t>
  </si>
  <si>
    <t xml:space="preserve">slip_inventory_2026-08.csv row 175; applicant_register_2026-08.csv row 1772</t>
  </si>
  <si>
    <t xml:space="preserve">LP-0807</t>
  </si>
  <si>
    <t xml:space="preserve">TXN-202607-009718</t>
  </si>
  <si>
    <t xml:space="preserve">billing_transactions_2022_2026.csv row 44819</t>
  </si>
  <si>
    <t xml:space="preserve">slip_inventory_2026-08.csv row 176; applicant_register_2026-08.csv row 1648</t>
  </si>
  <si>
    <t xml:space="preserve">LP-0808</t>
  </si>
  <si>
    <t xml:space="preserve">WL-03318</t>
  </si>
  <si>
    <t xml:space="preserve">Denise Jordan</t>
  </si>
  <si>
    <t xml:space="preserve">TXN-202607-009768</t>
  </si>
  <si>
    <t xml:space="preserve">billing_transactions_2022_2026.csv row 44820</t>
  </si>
  <si>
    <t xml:space="preserve">slip_inventory_2026-08.csv row 177; applicant_register_2026-08.csv row 2319</t>
  </si>
  <si>
    <t xml:space="preserve">LP-0809</t>
  </si>
  <si>
    <t xml:space="preserve">Robert Rivas</t>
  </si>
  <si>
    <t xml:space="preserve">TXN-202607-009850</t>
  </si>
  <si>
    <t xml:space="preserve">billing_transactions_2022_2026.csv row 44822</t>
  </si>
  <si>
    <t xml:space="preserve">slip_inventory_2026-08.csv row 178; applicant_register_2026-08.csv row 1206</t>
  </si>
  <si>
    <t xml:space="preserve">LP-0811</t>
  </si>
  <si>
    <t xml:space="preserve">WL-02097</t>
  </si>
  <si>
    <t xml:space="preserve">Scott Brooks</t>
  </si>
  <si>
    <t xml:space="preserve">TXN-202607-009914</t>
  </si>
  <si>
    <t xml:space="preserve">billing_transactions_2022_2026.csv row 44824</t>
  </si>
  <si>
    <t xml:space="preserve">slip_inventory_2026-08.csv row 180; applicant_register_2026-08.csv row 1098</t>
  </si>
  <si>
    <t xml:space="preserve">LP-0812</t>
  </si>
  <si>
    <t xml:space="preserve">WL-02511</t>
  </si>
  <si>
    <t xml:space="preserve">Brett Lee</t>
  </si>
  <si>
    <t xml:space="preserve">TXN-202607-009997</t>
  </si>
  <si>
    <t xml:space="preserve">billing_transactions_2022_2026.csv row 44826</t>
  </si>
  <si>
    <t xml:space="preserve">slip_inventory_2026-08.csv row 181; applicant_register_2026-08.csv row 1512</t>
  </si>
  <si>
    <t xml:space="preserve">LP-0813</t>
  </si>
  <si>
    <t xml:space="preserve">WL-02446</t>
  </si>
  <si>
    <t xml:space="preserve">Emily Parker</t>
  </si>
  <si>
    <t xml:space="preserve">TXN-202607-010076</t>
  </si>
  <si>
    <t xml:space="preserve">billing_transactions_2022_2026.csv row 44828</t>
  </si>
  <si>
    <t xml:space="preserve">slip_inventory_2026-08.csv row 182; applicant_register_2026-08.csv row 1447</t>
  </si>
  <si>
    <t xml:space="preserve">LP-0814</t>
  </si>
  <si>
    <t xml:space="preserve">WL-02409</t>
  </si>
  <si>
    <t xml:space="preserve">Danny Sexton</t>
  </si>
  <si>
    <t xml:space="preserve">TXN-202607-010152</t>
  </si>
  <si>
    <t xml:space="preserve">billing_transactions_2022_2026.csv row 44829</t>
  </si>
  <si>
    <t xml:space="preserve">slip_inventory_2026-08.csv row 183; applicant_register_2026-08.csv row 1410</t>
  </si>
  <si>
    <t xml:space="preserve">LP-0815</t>
  </si>
  <si>
    <t xml:space="preserve">TXN-202607-010225</t>
  </si>
  <si>
    <t xml:space="preserve">billing_transactions_2022_2026.csv row 44830</t>
  </si>
  <si>
    <t xml:space="preserve">slip_inventory_2026-08.csv row 184; applicant_register_2026-08.csv row 948</t>
  </si>
  <si>
    <t xml:space="preserve">WL-03243</t>
  </si>
  <si>
    <t xml:space="preserve">Jessica Long</t>
  </si>
  <si>
    <t xml:space="preserve">TXN-202607-010290</t>
  </si>
  <si>
    <t xml:space="preserve">billing_transactions_2022_2026.csv row 44832</t>
  </si>
  <si>
    <t xml:space="preserve">slip_inventory_2026-08.csv row 185; applicant_register_2026-08.csv row 2244</t>
  </si>
  <si>
    <t xml:space="preserve">WL-03630</t>
  </si>
  <si>
    <t xml:space="preserve">Tiffany Torres</t>
  </si>
  <si>
    <t xml:space="preserve">TXN-202607-010353</t>
  </si>
  <si>
    <t xml:space="preserve">billing_transactions_2022_2026.csv row 44834</t>
  </si>
  <si>
    <t xml:space="preserve">slip_inventory_2026-08.csv row 186; applicant_register_2026-08.csv row 2631</t>
  </si>
  <si>
    <t xml:space="preserve">LP-0818</t>
  </si>
  <si>
    <t xml:space="preserve">WL-02906</t>
  </si>
  <si>
    <t xml:space="preserve">Victor Turner</t>
  </si>
  <si>
    <t xml:space="preserve">TXN-202607-010426</t>
  </si>
  <si>
    <t xml:space="preserve">billing_transactions_2022_2026.csv row 44835</t>
  </si>
  <si>
    <t xml:space="preserve">slip_inventory_2026-08.csv row 187; applicant_register_2026-08.csv row 1907</t>
  </si>
  <si>
    <t xml:space="preserve">LP-0819</t>
  </si>
  <si>
    <t xml:space="preserve">WL-02164</t>
  </si>
  <si>
    <t xml:space="preserve">Adrienne Thompson</t>
  </si>
  <si>
    <t xml:space="preserve">TXN-202607-010481</t>
  </si>
  <si>
    <t xml:space="preserve">billing_transactions_2022_2026.csv row 44837</t>
  </si>
  <si>
    <t xml:space="preserve">slip_inventory_2026-08.csv row 188; applicant_register_2026-08.csv row 1165</t>
  </si>
  <si>
    <t xml:space="preserve">TXN-202607-010561</t>
  </si>
  <si>
    <t xml:space="preserve">billing_transactions_2022_2026.csv row 44839</t>
  </si>
  <si>
    <t xml:space="preserve">slip_inventory_2026-08.csv row 189; applicant_register_2026-08.csv row 110</t>
  </si>
  <si>
    <t xml:space="preserve">LP-0821</t>
  </si>
  <si>
    <t xml:space="preserve">WL-03375</t>
  </si>
  <si>
    <t xml:space="preserve">Debra Rogers</t>
  </si>
  <si>
    <t xml:space="preserve">TXN-202607-010624</t>
  </si>
  <si>
    <t xml:space="preserve">billing_transactions_2022_2026.csv row 44841</t>
  </si>
  <si>
    <t xml:space="preserve">slip_inventory_2026-08.csv row 190; applicant_register_2026-08.csv row 2376</t>
  </si>
  <si>
    <t xml:space="preserve">WL-02728</t>
  </si>
  <si>
    <t xml:space="preserve">Ralph Archer</t>
  </si>
  <si>
    <t xml:space="preserve">TXN-202607-010688</t>
  </si>
  <si>
    <t xml:space="preserve">billing_transactions_2022_2026.csv row 44843</t>
  </si>
  <si>
    <t xml:space="preserve">slip_inventory_2026-08.csv row 191; applicant_register_2026-08.csv row 1729</t>
  </si>
  <si>
    <t xml:space="preserve">LP-0823</t>
  </si>
  <si>
    <t xml:space="preserve">WL-03320</t>
  </si>
  <si>
    <t xml:space="preserve">Maria Robinson</t>
  </si>
  <si>
    <t xml:space="preserve">TXN-202607-010740</t>
  </si>
  <si>
    <t xml:space="preserve">billing_transactions_2022_2026.csv row 44845</t>
  </si>
  <si>
    <t xml:space="preserve">slip_inventory_2026-08.csv row 192; applicant_register_2026-08.csv row 2321</t>
  </si>
  <si>
    <t xml:space="preserve">LP-0824</t>
  </si>
  <si>
    <t xml:space="preserve">WL-01024</t>
  </si>
  <si>
    <t xml:space="preserve">Jennifer Henson</t>
  </si>
  <si>
    <t xml:space="preserve">MA-2024-0824</t>
  </si>
  <si>
    <t xml:space="preserve">TXN-202607-010786</t>
  </si>
  <si>
    <t xml:space="preserve">billing_transactions_2022_2026.csv row 44846</t>
  </si>
  <si>
    <t xml:space="preserve">slip_inventory_2026-08.csv row 193; applicant_register_2026-08.csv row 25</t>
  </si>
  <si>
    <t xml:space="preserve">WL-02661</t>
  </si>
  <si>
    <t xml:space="preserve">Angela Poole</t>
  </si>
  <si>
    <t xml:space="preserve">TXN-202607-010866</t>
  </si>
  <si>
    <t xml:space="preserve">billing_transactions_2022_2026.csv row 44847</t>
  </si>
  <si>
    <t xml:space="preserve">slip_inventory_2026-08.csv row 194; applicant_register_2026-08.csv row 1662</t>
  </si>
  <si>
    <t xml:space="preserve">LP-0902</t>
  </si>
  <si>
    <t xml:space="preserve">WL-01872</t>
  </si>
  <si>
    <t xml:space="preserve">Neil Adkins</t>
  </si>
  <si>
    <t xml:space="preserve">TXN-202607-010913</t>
  </si>
  <si>
    <t xml:space="preserve">billing_transactions_2022_2026.csv row 44848</t>
  </si>
  <si>
    <t xml:space="preserve">slip_inventory_2026-08.csv row 195; applicant_register_2026-08.csv row 873</t>
  </si>
  <si>
    <t xml:space="preserve">LP-0903</t>
  </si>
  <si>
    <t xml:space="preserve">Mindy Medina</t>
  </si>
  <si>
    <t xml:space="preserve">TXN-202607-010993</t>
  </si>
  <si>
    <t xml:space="preserve">billing_transactions_2022_2026.csv row 44850</t>
  </si>
  <si>
    <t xml:space="preserve">slip_inventory_2026-08.csv row 196; applicant_register_2026-08.csv row 194</t>
  </si>
  <si>
    <t xml:space="preserve">LP-0904</t>
  </si>
  <si>
    <t xml:space="preserve">WL-03771</t>
  </si>
  <si>
    <t xml:space="preserve">Alexander Cross</t>
  </si>
  <si>
    <t xml:space="preserve">TXN-202607-011039</t>
  </si>
  <si>
    <t xml:space="preserve">billing_transactions_2022_2026.csv row 44851</t>
  </si>
  <si>
    <t xml:space="preserve">slip_inventory_2026-08.csv row 197; applicant_register_2026-08.csv row 2772</t>
  </si>
  <si>
    <t xml:space="preserve">LP-0905</t>
  </si>
  <si>
    <t xml:space="preserve">WL-01795</t>
  </si>
  <si>
    <t xml:space="preserve">Emily Alexander</t>
  </si>
  <si>
    <t xml:space="preserve">TXN-202607-011111</t>
  </si>
  <si>
    <t xml:space="preserve">billing_transactions_2022_2026.csv row 44852</t>
  </si>
  <si>
    <t xml:space="preserve">slip_inventory_2026-08.csv row 198; applicant_register_2026-08.csv row 796</t>
  </si>
  <si>
    <t xml:space="preserve">WL-03019</t>
  </si>
  <si>
    <t xml:space="preserve">Denise Bonilla</t>
  </si>
  <si>
    <t xml:space="preserve">TXN-202607-011185</t>
  </si>
  <si>
    <t xml:space="preserve">billing_transactions_2022_2026.csv row 44854</t>
  </si>
  <si>
    <t xml:space="preserve">slip_inventory_2026-08.csv row 199; applicant_register_2026-08.csv row 2020</t>
  </si>
  <si>
    <t xml:space="preserve">LP-0907</t>
  </si>
  <si>
    <t xml:space="preserve">WL-02873</t>
  </si>
  <si>
    <t xml:space="preserve">Brittany Wilkerson</t>
  </si>
  <si>
    <t xml:space="preserve">TXN-202607-011261</t>
  </si>
  <si>
    <t xml:space="preserve">billing_transactions_2022_2026.csv row 44855</t>
  </si>
  <si>
    <t xml:space="preserve">slip_inventory_2026-08.csv row 200; applicant_register_2026-08.csv row 1874</t>
  </si>
  <si>
    <t xml:space="preserve">WL-01005</t>
  </si>
  <si>
    <t xml:space="preserve">Joseph Sharp</t>
  </si>
  <si>
    <t xml:space="preserve">TXN-202607-011327</t>
  </si>
  <si>
    <t xml:space="preserve">billing_transactions_2022_2026.csv row 44856</t>
  </si>
  <si>
    <t xml:space="preserve">slip_inventory_2026-08.csv row 201; applicant_register_2026-08.csv row 6</t>
  </si>
  <si>
    <t xml:space="preserve">LP-0909</t>
  </si>
  <si>
    <t xml:space="preserve">Jason Shepard</t>
  </si>
  <si>
    <t xml:space="preserve">TXN-202607-011386</t>
  </si>
  <si>
    <t xml:space="preserve">billing_transactions_2022_2026.csv row 44857</t>
  </si>
  <si>
    <t xml:space="preserve">slip_inventory_2026-08.csv row 202; applicant_register_2026-08.csv row 809</t>
  </si>
  <si>
    <t xml:space="preserve">LP-0910</t>
  </si>
  <si>
    <t xml:space="preserve">WL-01992</t>
  </si>
  <si>
    <t xml:space="preserve">John Davis</t>
  </si>
  <si>
    <t xml:space="preserve">TXN-202607-011447</t>
  </si>
  <si>
    <t xml:space="preserve">billing_transactions_2022_2026.csv row 44858</t>
  </si>
  <si>
    <t xml:space="preserve">slip_inventory_2026-08.csv row 203; applicant_register_2026-08.csv row 993</t>
  </si>
  <si>
    <t xml:space="preserve">LP-0911</t>
  </si>
  <si>
    <t xml:space="preserve">Katherine Johnson</t>
  </si>
  <si>
    <t xml:space="preserve">TXN-202607-011510</t>
  </si>
  <si>
    <t xml:space="preserve">billing_transactions_2022_2026.csv row 44860</t>
  </si>
  <si>
    <t xml:space="preserve">slip_inventory_2026-08.csv row 204; applicant_register_2026-08.csv row 999</t>
  </si>
  <si>
    <t xml:space="preserve">LP-0912</t>
  </si>
  <si>
    <t xml:space="preserve">WL-02965</t>
  </si>
  <si>
    <t xml:space="preserve">Harry Koch</t>
  </si>
  <si>
    <t xml:space="preserve">TXN-202607-011584</t>
  </si>
  <si>
    <t xml:space="preserve">billing_transactions_2022_2026.csv row 44862</t>
  </si>
  <si>
    <t xml:space="preserve">slip_inventory_2026-08.csv row 205; applicant_register_2026-08.csv row 1966</t>
  </si>
  <si>
    <t xml:space="preserve">LP-0913</t>
  </si>
  <si>
    <t xml:space="preserve">WL-02303</t>
  </si>
  <si>
    <t xml:space="preserve">Christina Hernandez</t>
  </si>
  <si>
    <t xml:space="preserve">TXN-202607-011645</t>
  </si>
  <si>
    <t xml:space="preserve">billing_transactions_2022_2026.csv row 44863</t>
  </si>
  <si>
    <t xml:space="preserve">slip_inventory_2026-08.csv row 206; applicant_register_2026-08.csv row 1304</t>
  </si>
  <si>
    <t xml:space="preserve">LP-0914</t>
  </si>
  <si>
    <t xml:space="preserve">WL-01697</t>
  </si>
  <si>
    <t xml:space="preserve">Paige Brown</t>
  </si>
  <si>
    <t xml:space="preserve">TXN-202607-011700</t>
  </si>
  <si>
    <t xml:space="preserve">billing_transactions_2022_2026.csv row 44864</t>
  </si>
  <si>
    <t xml:space="preserve">slip_inventory_2026-08.csv row 207; applicant_register_2026-08.csv row 698</t>
  </si>
  <si>
    <t xml:space="preserve">WL-01416</t>
  </si>
  <si>
    <t xml:space="preserve">Carmen Hernandez</t>
  </si>
  <si>
    <t xml:space="preserve">TXN-202607-011765</t>
  </si>
  <si>
    <t xml:space="preserve">billing_transactions_2022_2026.csv row 44866</t>
  </si>
  <si>
    <t xml:space="preserve">slip_inventory_2026-08.csv row 208; applicant_register_2026-08.csv row 417</t>
  </si>
  <si>
    <t xml:space="preserve">LP-0917</t>
  </si>
  <si>
    <t xml:space="preserve">WL-01392</t>
  </si>
  <si>
    <t xml:space="preserve">Ryan Carr</t>
  </si>
  <si>
    <t xml:space="preserve">TXN-202607-011845</t>
  </si>
  <si>
    <t xml:space="preserve">billing_transactions_2022_2026.csv row 44867</t>
  </si>
  <si>
    <t xml:space="preserve">slip_inventory_2026-08.csv row 210; applicant_register_2026-08.csv row 393</t>
  </si>
  <si>
    <t xml:space="preserve">LP-0918</t>
  </si>
  <si>
    <t xml:space="preserve">WL-03842</t>
  </si>
  <si>
    <t xml:space="preserve">Jennifer Campbell</t>
  </si>
  <si>
    <t xml:space="preserve">TXN-202607-011918</t>
  </si>
  <si>
    <t xml:space="preserve">billing_transactions_2022_2026.csv row 44869</t>
  </si>
  <si>
    <t xml:space="preserve">slip_inventory_2026-08.csv row 211; applicant_register_2026-08.csv row 2843</t>
  </si>
  <si>
    <t xml:space="preserve">LP-0919</t>
  </si>
  <si>
    <t xml:space="preserve">WL-02994</t>
  </si>
  <si>
    <t xml:space="preserve">Pamela Wright</t>
  </si>
  <si>
    <t xml:space="preserve">TXN-202607-011954</t>
  </si>
  <si>
    <t xml:space="preserve">billing_transactions_2022_2026.csv row 44870</t>
  </si>
  <si>
    <t xml:space="preserve">slip_inventory_2026-08.csv row 212; applicant_register_2026-08.csv row 1995</t>
  </si>
  <si>
    <t xml:space="preserve">LP-0920</t>
  </si>
  <si>
    <t xml:space="preserve">WL-01174</t>
  </si>
  <si>
    <t xml:space="preserve">Jason Kim</t>
  </si>
  <si>
    <t xml:space="preserve">TXN-202607-012021</t>
  </si>
  <si>
    <t xml:space="preserve">billing_transactions_2022_2026.csv row 44872</t>
  </si>
  <si>
    <t xml:space="preserve">slip_inventory_2026-08.csv row 213; applicant_register_2026-08.csv row 175</t>
  </si>
  <si>
    <t xml:space="preserve">LP-0921</t>
  </si>
  <si>
    <t xml:space="preserve">WL-02368</t>
  </si>
  <si>
    <t xml:space="preserve">Chris Chavez</t>
  </si>
  <si>
    <t xml:space="preserve">TXN-202607-012058</t>
  </si>
  <si>
    <t xml:space="preserve">billing_transactions_2022_2026.csv row 44873</t>
  </si>
  <si>
    <t xml:space="preserve">slip_inventory_2026-08.csv row 214; applicant_register_2026-08.csv row 1369</t>
  </si>
  <si>
    <t xml:space="preserve">LP-0922</t>
  </si>
  <si>
    <t xml:space="preserve">Joel Thomas</t>
  </si>
  <si>
    <t xml:space="preserve">TXN-202607-012122</t>
  </si>
  <si>
    <t xml:space="preserve">billing_transactions_2022_2026.csv row 44874</t>
  </si>
  <si>
    <t xml:space="preserve">slip_inventory_2026-08.csv row 215; applicant_register_2026-08.csv row 2261</t>
  </si>
  <si>
    <t xml:space="preserve">WL-02672</t>
  </si>
  <si>
    <t xml:space="preserve">Russell Barnes</t>
  </si>
  <si>
    <t xml:space="preserve">TXN-202607-012195</t>
  </si>
  <si>
    <t xml:space="preserve">billing_transactions_2022_2026.csv row 44876</t>
  </si>
  <si>
    <t xml:space="preserve">slip_inventory_2026-08.csv row 216; applicant_register_2026-08.csv row 1673</t>
  </si>
  <si>
    <t xml:space="preserve">LP-0924</t>
  </si>
  <si>
    <t xml:space="preserve">WL-01312</t>
  </si>
  <si>
    <t xml:space="preserve">Matthew King</t>
  </si>
  <si>
    <t xml:space="preserve">MA-2024-0924</t>
  </si>
  <si>
    <t xml:space="preserve">TXN-202607-012241</t>
  </si>
  <si>
    <t xml:space="preserve">billing_transactions_2022_2026.csv row 44877</t>
  </si>
  <si>
    <t xml:space="preserve">slip_inventory_2026-08.csv row 217; applicant_register_2026-08.csv row 313</t>
  </si>
  <si>
    <t xml:space="preserve">WL-03184</t>
  </si>
  <si>
    <t xml:space="preserve">Lindsay Alexander</t>
  </si>
  <si>
    <t xml:space="preserve">TXN-202607-012319</t>
  </si>
  <si>
    <t xml:space="preserve">billing_transactions_2022_2026.csv row 44878</t>
  </si>
  <si>
    <t xml:space="preserve">slip_inventory_2026-08.csv row 218; applicant_register_2026-08.csv row 2185</t>
  </si>
  <si>
    <t xml:space="preserve">LP-1002</t>
  </si>
  <si>
    <t xml:space="preserve">WL-03393</t>
  </si>
  <si>
    <t xml:space="preserve">Richard Norris</t>
  </si>
  <si>
    <t xml:space="preserve">TXN-202607-012376</t>
  </si>
  <si>
    <t xml:space="preserve">billing_transactions_2022_2026.csv row 44879</t>
  </si>
  <si>
    <t xml:space="preserve">slip_inventory_2026-08.csv row 219; applicant_register_2026-08.csv row 2394</t>
  </si>
  <si>
    <t xml:space="preserve">LP-1003</t>
  </si>
  <si>
    <t xml:space="preserve">WL-01310</t>
  </si>
  <si>
    <t xml:space="preserve">Donna Weber</t>
  </si>
  <si>
    <t xml:space="preserve">TXN-202607-012437</t>
  </si>
  <si>
    <t xml:space="preserve">billing_transactions_2022_2026.csv row 44881</t>
  </si>
  <si>
    <t xml:space="preserve">slip_inventory_2026-08.csv row 220; applicant_register_2026-08.csv row 311</t>
  </si>
  <si>
    <t xml:space="preserve">LP-1004</t>
  </si>
  <si>
    <t xml:space="preserve">WL-03418</t>
  </si>
  <si>
    <t xml:space="preserve">Mary Ford</t>
  </si>
  <si>
    <t xml:space="preserve">TXN-202607-012505</t>
  </si>
  <si>
    <t xml:space="preserve">billing_transactions_2022_2026.csv row 44883</t>
  </si>
  <si>
    <t xml:space="preserve">slip_inventory_2026-08.csv row 221; applicant_register_2026-08.csv row 2419</t>
  </si>
  <si>
    <t xml:space="preserve">LP-1005</t>
  </si>
  <si>
    <t xml:space="preserve">WL-03728</t>
  </si>
  <si>
    <t xml:space="preserve">Gary Wade</t>
  </si>
  <si>
    <t xml:space="preserve">TXN-202607-012562</t>
  </si>
  <si>
    <t xml:space="preserve">billing_transactions_2022_2026.csv row 44884</t>
  </si>
  <si>
    <t xml:space="preserve">slip_inventory_2026-08.csv row 222; applicant_register_2026-08.csv row 2729</t>
  </si>
  <si>
    <t xml:space="preserve">LP-1006</t>
  </si>
  <si>
    <t xml:space="preserve">WL-02721</t>
  </si>
  <si>
    <t xml:space="preserve">Carol Scott</t>
  </si>
  <si>
    <t xml:space="preserve">TXN-202607-012634</t>
  </si>
  <si>
    <t xml:space="preserve">billing_transactions_2022_2026.csv row 44885</t>
  </si>
  <si>
    <t xml:space="preserve">slip_inventory_2026-08.csv row 223; applicant_register_2026-08.csv row 1722</t>
  </si>
  <si>
    <t xml:space="preserve">LP-1007</t>
  </si>
  <si>
    <t xml:space="preserve">WL-03683</t>
  </si>
  <si>
    <t xml:space="preserve">Shawn Carter</t>
  </si>
  <si>
    <t xml:space="preserve">TXN-202607-012707</t>
  </si>
  <si>
    <t xml:space="preserve">billing_transactions_2022_2026.csv row 44886</t>
  </si>
  <si>
    <t xml:space="preserve">slip_inventory_2026-08.csv row 224; applicant_register_2026-08.csv row 2684</t>
  </si>
  <si>
    <t xml:space="preserve">LP-1008</t>
  </si>
  <si>
    <t xml:space="preserve">WL-02719</t>
  </si>
  <si>
    <t xml:space="preserve">Travis Sexton</t>
  </si>
  <si>
    <t xml:space="preserve">TXN-202607-012765</t>
  </si>
  <si>
    <t xml:space="preserve">billing_transactions_2022_2026.csv row 44888</t>
  </si>
  <si>
    <t xml:space="preserve">slip_inventory_2026-08.csv row 225; applicant_register_2026-08.csv row 1720</t>
  </si>
  <si>
    <t xml:space="preserve">WL-01829</t>
  </si>
  <si>
    <t xml:space="preserve">Bradley Franklin</t>
  </si>
  <si>
    <t xml:space="preserve">TXN-202607-012831</t>
  </si>
  <si>
    <t xml:space="preserve">billing_transactions_2022_2026.csv row 44890</t>
  </si>
  <si>
    <t xml:space="preserve">slip_inventory_2026-08.csv row 226; applicant_register_2026-08.csv row 830</t>
  </si>
  <si>
    <t xml:space="preserve">LP-1010</t>
  </si>
  <si>
    <t xml:space="preserve">WL-01700</t>
  </si>
  <si>
    <t xml:space="preserve">Sherry Fletcher</t>
  </si>
  <si>
    <t xml:space="preserve">TXN-202607-012875</t>
  </si>
  <si>
    <t xml:space="preserve">billing_transactions_2022_2026.csv row 44891</t>
  </si>
  <si>
    <t xml:space="preserve">slip_inventory_2026-08.csv row 227; applicant_register_2026-08.csv row 701</t>
  </si>
  <si>
    <t xml:space="preserve">LP-1011</t>
  </si>
  <si>
    <t xml:space="preserve">TXN-202607-012942</t>
  </si>
  <si>
    <t xml:space="preserve">billing_transactions_2022_2026.csv row 44893</t>
  </si>
  <si>
    <t xml:space="preserve">slip_inventory_2026-08.csv row 228; applicant_register_2026-08.csv row 1926</t>
  </si>
  <si>
    <t xml:space="preserve">LP-1012</t>
  </si>
  <si>
    <t xml:space="preserve">WL-02088</t>
  </si>
  <si>
    <t xml:space="preserve">Yvonne Collins</t>
  </si>
  <si>
    <t xml:space="preserve">TXN-202607-012989</t>
  </si>
  <si>
    <t xml:space="preserve">billing_transactions_2022_2026.csv row 44895</t>
  </si>
  <si>
    <t xml:space="preserve">slip_inventory_2026-08.csv row 229; applicant_register_2026-08.csv row 1089</t>
  </si>
  <si>
    <t xml:space="preserve">LP-1013</t>
  </si>
  <si>
    <t xml:space="preserve">TXN-202607-013037</t>
  </si>
  <si>
    <t xml:space="preserve">billing_transactions_2022_2026.csv row 44897</t>
  </si>
  <si>
    <t xml:space="preserve">slip_inventory_2026-08.csv row 230; applicant_register_2026-08.csv row 243</t>
  </si>
  <si>
    <t xml:space="preserve">LP-1014</t>
  </si>
  <si>
    <t xml:space="preserve">Shari Hess</t>
  </si>
  <si>
    <t xml:space="preserve">TXN-202607-013098</t>
  </si>
  <si>
    <t xml:space="preserve">billing_transactions_2022_2026.csv row 44899</t>
  </si>
  <si>
    <t xml:space="preserve">slip_inventory_2026-08.csv row 231; applicant_register_2026-08.csv row 1536</t>
  </si>
  <si>
    <t xml:space="preserve">LP-1016</t>
  </si>
  <si>
    <t xml:space="preserve">WL-03089</t>
  </si>
  <si>
    <t xml:space="preserve">Joshua Rivera</t>
  </si>
  <si>
    <t xml:space="preserve">TXN-202607-013161</t>
  </si>
  <si>
    <t xml:space="preserve">billing_transactions_2022_2026.csv row 44900</t>
  </si>
  <si>
    <t xml:space="preserve">slip_inventory_2026-08.csv row 233; applicant_register_2026-08.csv row 2090</t>
  </si>
  <si>
    <t xml:space="preserve">LP-1017</t>
  </si>
  <si>
    <t xml:space="preserve">WL-01838</t>
  </si>
  <si>
    <t xml:space="preserve">James Gregory</t>
  </si>
  <si>
    <t xml:space="preserve">TXN-202607-013208</t>
  </si>
  <si>
    <t xml:space="preserve">billing_transactions_2022_2026.csv row 44902</t>
  </si>
  <si>
    <t xml:space="preserve">slip_inventory_2026-08.csv row 234; applicant_register_2026-08.csv row 839</t>
  </si>
  <si>
    <t xml:space="preserve">LP-1018</t>
  </si>
  <si>
    <t xml:space="preserve">WL-01243</t>
  </si>
  <si>
    <t xml:space="preserve">Christina Rivera</t>
  </si>
  <si>
    <t xml:space="preserve">TXN-202607-013253</t>
  </si>
  <si>
    <t xml:space="preserve">billing_transactions_2022_2026.csv row 44903</t>
  </si>
  <si>
    <t xml:space="preserve">slip_inventory_2026-08.csv row 235; applicant_register_2026-08.csv row 244</t>
  </si>
  <si>
    <t xml:space="preserve">LP-1020</t>
  </si>
  <si>
    <t xml:space="preserve">WL-01990</t>
  </si>
  <si>
    <t xml:space="preserve">Michael Taylor</t>
  </si>
  <si>
    <t xml:space="preserve">TXN-202607-013319</t>
  </si>
  <si>
    <t xml:space="preserve">billing_transactions_2022_2026.csv row 44905</t>
  </si>
  <si>
    <t xml:space="preserve">slip_inventory_2026-08.csv row 237; applicant_register_2026-08.csv row 991</t>
  </si>
  <si>
    <t xml:space="preserve">LP-1021</t>
  </si>
  <si>
    <t xml:space="preserve">WL-02827</t>
  </si>
  <si>
    <t xml:space="preserve">Kimberly Wilson</t>
  </si>
  <si>
    <t xml:space="preserve">TXN-202607-013397</t>
  </si>
  <si>
    <t xml:space="preserve">billing_transactions_2022_2026.csv row 44906</t>
  </si>
  <si>
    <t xml:space="preserve">slip_inventory_2026-08.csv row 238; applicant_register_2026-08.csv row 1828</t>
  </si>
  <si>
    <t xml:space="preserve">LP-1022</t>
  </si>
  <si>
    <t xml:space="preserve">WL-01807</t>
  </si>
  <si>
    <t xml:space="preserve">Kathleen Mcdonald</t>
  </si>
  <si>
    <t xml:space="preserve">TXN-202607-013451</t>
  </si>
  <si>
    <t xml:space="preserve">billing_transactions_2022_2026.csv row 44908</t>
  </si>
  <si>
    <t xml:space="preserve">slip_inventory_2026-08.csv row 239; applicant_register_2026-08.csv row 808</t>
  </si>
  <si>
    <t xml:space="preserve">LP-1023</t>
  </si>
  <si>
    <t xml:space="preserve">WL-01364</t>
  </si>
  <si>
    <t xml:space="preserve">Patrick Richmond</t>
  </si>
  <si>
    <t xml:space="preserve">TXN-202607-013500</t>
  </si>
  <si>
    <t xml:space="preserve">billing_transactions_2022_2026.csv row 44909</t>
  </si>
  <si>
    <t xml:space="preserve">slip_inventory_2026-08.csv row 240; applicant_register_2026-08.csv row 365</t>
  </si>
  <si>
    <t xml:space="preserve">WL-01028</t>
  </si>
  <si>
    <t xml:space="preserve">Brittany Benson</t>
  </si>
  <si>
    <t xml:space="preserve">TXN-202607-013547</t>
  </si>
  <si>
    <t xml:space="preserve">billing_transactions_2022_2026.csv row 44911</t>
  </si>
  <si>
    <t xml:space="preserve">slip_inventory_2026-08.csv row 241; applicant_register_2026-08.csv row 29</t>
  </si>
  <si>
    <t xml:space="preserve">WL-03792</t>
  </si>
  <si>
    <t xml:space="preserve">Rodney Morris</t>
  </si>
  <si>
    <t xml:space="preserve">MA-2024-1102</t>
  </si>
  <si>
    <t xml:space="preserve">TXN-202607-013587</t>
  </si>
  <si>
    <t xml:space="preserve">billing_transactions_2022_2026.csv row 44912</t>
  </si>
  <si>
    <t xml:space="preserve">slip_inventory_2026-08.csv row 243; applicant_register_2026-08.csv row 2793</t>
  </si>
  <si>
    <t xml:space="preserve">WL-03118</t>
  </si>
  <si>
    <t xml:space="preserve">Amanda Clayton</t>
  </si>
  <si>
    <t xml:space="preserve">MA-2024-1103</t>
  </si>
  <si>
    <t xml:space="preserve">TXN-202607-013655</t>
  </si>
  <si>
    <t xml:space="preserve">billing_transactions_2022_2026.csv row 44913</t>
  </si>
  <si>
    <t xml:space="preserve">slip_inventory_2026-08.csv row 244; applicant_register_2026-08.csv row 2119</t>
  </si>
  <si>
    <t xml:space="preserve">WL-03003</t>
  </si>
  <si>
    <t xml:space="preserve">Trevor Turner</t>
  </si>
  <si>
    <t xml:space="preserve">MA-2024-1104</t>
  </si>
  <si>
    <t xml:space="preserve">TXN-202607-013717</t>
  </si>
  <si>
    <t xml:space="preserve">billing_transactions_2022_2026.csv row 44915</t>
  </si>
  <si>
    <t xml:space="preserve">slip_inventory_2026-08.csv row 245; applicant_register_2026-08.csv row 2004</t>
  </si>
  <si>
    <t xml:space="preserve">WL-02015</t>
  </si>
  <si>
    <t xml:space="preserve">Kenneth Frazier</t>
  </si>
  <si>
    <t xml:space="preserve">MA-2024-1105</t>
  </si>
  <si>
    <t xml:space="preserve">TXN-202607-013760</t>
  </si>
  <si>
    <t xml:space="preserve">billing_transactions_2022_2026.csv row 44917</t>
  </si>
  <si>
    <t xml:space="preserve">slip_inventory_2026-08.csv row 246; applicant_register_2026-08.csv row 1016</t>
  </si>
  <si>
    <t xml:space="preserve">LP-1106</t>
  </si>
  <si>
    <t xml:space="preserve">WL-01668</t>
  </si>
  <si>
    <t xml:space="preserve">Marisa Alexander</t>
  </si>
  <si>
    <t xml:space="preserve">MA-2024-1106</t>
  </si>
  <si>
    <t xml:space="preserve">TXN-202607-013805</t>
  </si>
  <si>
    <t xml:space="preserve">billing_transactions_2022_2026.csv row 44918</t>
  </si>
  <si>
    <t xml:space="preserve">slip_inventory_2026-08.csv row 247; applicant_register_2026-08.csv row 669</t>
  </si>
  <si>
    <t xml:space="preserve">WL-03768</t>
  </si>
  <si>
    <t xml:space="preserve">Michael Ramirez</t>
  </si>
  <si>
    <t xml:space="preserve">MA-2024-1107</t>
  </si>
  <si>
    <t xml:space="preserve">TXN-202607-013871</t>
  </si>
  <si>
    <t xml:space="preserve">billing_transactions_2022_2026.csv row 44920</t>
  </si>
  <si>
    <t xml:space="preserve">slip_inventory_2026-08.csv row 248; applicant_register_2026-08.csv row 2769</t>
  </si>
  <si>
    <t xml:space="preserve">WL-02575</t>
  </si>
  <si>
    <t xml:space="preserve">Victoria Aguirre</t>
  </si>
  <si>
    <t xml:space="preserve">MA-2024-1108</t>
  </si>
  <si>
    <t xml:space="preserve">TXN-202607-013933</t>
  </si>
  <si>
    <t xml:space="preserve">billing_transactions_2022_2026.csv row 44922</t>
  </si>
  <si>
    <t xml:space="preserve">slip_inventory_2026-08.csv row 249; applicant_register_2026-08.csv row 1576</t>
  </si>
  <si>
    <t xml:space="preserve">WL-02691</t>
  </si>
  <si>
    <t xml:space="preserve">Pamela Le</t>
  </si>
  <si>
    <t xml:space="preserve">MA-2024-1109</t>
  </si>
  <si>
    <t xml:space="preserve">TXN-202607-014013</t>
  </si>
  <si>
    <t xml:space="preserve">billing_transactions_2022_2026.csv row 44923</t>
  </si>
  <si>
    <t xml:space="preserve">slip_inventory_2026-08.csv row 250; applicant_register_2026-08.csv row 1692</t>
  </si>
  <si>
    <t xml:space="preserve">LP-1110</t>
  </si>
  <si>
    <t xml:space="preserve">WL-01093</t>
  </si>
  <si>
    <t xml:space="preserve">John Garcia</t>
  </si>
  <si>
    <t xml:space="preserve">MA-2024-1110</t>
  </si>
  <si>
    <t xml:space="preserve">TXN-202607-014075</t>
  </si>
  <si>
    <t xml:space="preserve">billing_transactions_2022_2026.csv row 44925</t>
  </si>
  <si>
    <t xml:space="preserve">slip_inventory_2026-08.csv row 251; applicant_register_2026-08.csv row 94</t>
  </si>
  <si>
    <t xml:space="preserve">LP-1111</t>
  </si>
  <si>
    <t xml:space="preserve">MA-2024-1111</t>
  </si>
  <si>
    <t xml:space="preserve">TXN-202607-014137</t>
  </si>
  <si>
    <t xml:space="preserve">billing_transactions_2022_2026.csv row 44927</t>
  </si>
  <si>
    <t xml:space="preserve">slip_inventory_2026-08.csv row 252; applicant_register_2026-08.csv row 1767</t>
  </si>
  <si>
    <t xml:space="preserve">LP-1112</t>
  </si>
  <si>
    <t xml:space="preserve">WL-03706</t>
  </si>
  <si>
    <t xml:space="preserve">Nicole Richmond</t>
  </si>
  <si>
    <t xml:space="preserve">MA-2024-1112</t>
  </si>
  <si>
    <t xml:space="preserve">TXN-202607-014205</t>
  </si>
  <si>
    <t xml:space="preserve">billing_transactions_2022_2026.csv row 44928</t>
  </si>
  <si>
    <t xml:space="preserve">slip_inventory_2026-08.csv row 253; applicant_register_2026-08.csv row 2707</t>
  </si>
  <si>
    <t xml:space="preserve">LP-1113</t>
  </si>
  <si>
    <t xml:space="preserve">WL-02029</t>
  </si>
  <si>
    <t xml:space="preserve">Whitney Jackson</t>
  </si>
  <si>
    <t xml:space="preserve">MA-2024-1113</t>
  </si>
  <si>
    <t xml:space="preserve">TXN-202607-014273</t>
  </si>
  <si>
    <t xml:space="preserve">billing_transactions_2022_2026.csv row 44930</t>
  </si>
  <si>
    <t xml:space="preserve">slip_inventory_2026-08.csv row 254; applicant_register_2026-08.csv row 1030</t>
  </si>
  <si>
    <t xml:space="preserve">LP-1114</t>
  </si>
  <si>
    <t xml:space="preserve">WL-01680</t>
  </si>
  <si>
    <t xml:space="preserve">Sara Nelson</t>
  </si>
  <si>
    <t xml:space="preserve">MA-2024-1114</t>
  </si>
  <si>
    <t xml:space="preserve">TXN-202607-014327</t>
  </si>
  <si>
    <t xml:space="preserve">billing_transactions_2022_2026.csv row 44932</t>
  </si>
  <si>
    <t xml:space="preserve">slip_inventory_2026-08.csv row 255; applicant_register_2026-08.csv row 681</t>
  </si>
  <si>
    <t xml:space="preserve">LP-1115</t>
  </si>
  <si>
    <t xml:space="preserve">WL-02792</t>
  </si>
  <si>
    <t xml:space="preserve">Michelle Marsh</t>
  </si>
  <si>
    <t xml:space="preserve">MA-2024-1115</t>
  </si>
  <si>
    <t xml:space="preserve">TXN-202607-014383</t>
  </si>
  <si>
    <t xml:space="preserve">billing_transactions_2022_2026.csv row 44934</t>
  </si>
  <si>
    <t xml:space="preserve">slip_inventory_2026-08.csv row 256; applicant_register_2026-08.csv row 1793</t>
  </si>
  <si>
    <t xml:space="preserve">WL-03453</t>
  </si>
  <si>
    <t xml:space="preserve">Kelly Johnson</t>
  </si>
  <si>
    <t xml:space="preserve">MA-2024-1116</t>
  </si>
  <si>
    <t xml:space="preserve">TXN-202607-014422</t>
  </si>
  <si>
    <t xml:space="preserve">billing_transactions_2022_2026.csv row 44935</t>
  </si>
  <si>
    <t xml:space="preserve">slip_inventory_2026-08.csv row 257; applicant_register_2026-08.csv row 2454</t>
  </si>
  <si>
    <t xml:space="preserve">LP-1117</t>
  </si>
  <si>
    <t xml:space="preserve">WL-01944</t>
  </si>
  <si>
    <t xml:space="preserve">Tina Wells</t>
  </si>
  <si>
    <t xml:space="preserve">MA-2024-1117</t>
  </si>
  <si>
    <t xml:space="preserve">TXN-202607-014477</t>
  </si>
  <si>
    <t xml:space="preserve">billing_transactions_2022_2026.csv row 44936</t>
  </si>
  <si>
    <t xml:space="preserve">slip_inventory_2026-08.csv row 258; applicant_register_2026-08.csv row 945</t>
  </si>
  <si>
    <t xml:space="preserve">LP-1118</t>
  </si>
  <si>
    <t xml:space="preserve">WL-02489</t>
  </si>
  <si>
    <t xml:space="preserve">Caitlin Burgess</t>
  </si>
  <si>
    <t xml:space="preserve">MA-2024-1118</t>
  </si>
  <si>
    <t xml:space="preserve">TXN-202607-014535</t>
  </si>
  <si>
    <t xml:space="preserve">billing_transactions_2022_2026.csv row 44937</t>
  </si>
  <si>
    <t xml:space="preserve">slip_inventory_2026-08.csv row 259; applicant_register_2026-08.csv row 1490</t>
  </si>
  <si>
    <t xml:space="preserve">LP-1119</t>
  </si>
  <si>
    <t xml:space="preserve">WL-03252</t>
  </si>
  <si>
    <t xml:space="preserve">John Gregory</t>
  </si>
  <si>
    <t xml:space="preserve">MA-2024-1119</t>
  </si>
  <si>
    <t xml:space="preserve">TXN-202607-014591</t>
  </si>
  <si>
    <t xml:space="preserve">billing_transactions_2022_2026.csv row 44938</t>
  </si>
  <si>
    <t xml:space="preserve">slip_inventory_2026-08.csv row 260; applicant_register_2026-08.csv row 2253</t>
  </si>
  <si>
    <t xml:space="preserve">LP-1120</t>
  </si>
  <si>
    <t xml:space="preserve">WL-01021</t>
  </si>
  <si>
    <t xml:space="preserve">Deborah Freeman</t>
  </si>
  <si>
    <t xml:space="preserve">MA-2024-1120</t>
  </si>
  <si>
    <t xml:space="preserve">TXN-202607-014634</t>
  </si>
  <si>
    <t xml:space="preserve">billing_transactions_2022_2026.csv row 44940</t>
  </si>
  <si>
    <t xml:space="preserve">slip_inventory_2026-08.csv row 261; applicant_register_2026-08.csv row 22</t>
  </si>
  <si>
    <t xml:space="preserve">SB-0101</t>
  </si>
  <si>
    <t xml:space="preserve">WL-03060</t>
  </si>
  <si>
    <t xml:space="preserve">Lisa Johnson</t>
  </si>
  <si>
    <t xml:space="preserve">slip_inventory_2026-08.csv row 972; applicant_register_2026-08.csv row 2061</t>
  </si>
  <si>
    <t xml:space="preserve">WL-02851</t>
  </si>
  <si>
    <t xml:space="preserve">Andrew Rivera</t>
  </si>
  <si>
    <t xml:space="preserve">slip_inventory_2026-08.csv row 973; applicant_register_2026-08.csv row 1852</t>
  </si>
  <si>
    <t xml:space="preserve">SB-0103</t>
  </si>
  <si>
    <t xml:space="preserve">WL-03155</t>
  </si>
  <si>
    <t xml:space="preserve">Mark Harvey</t>
  </si>
  <si>
    <t xml:space="preserve">slip_inventory_2026-08.csv row 974; applicant_register_2026-08.csv row 2156</t>
  </si>
  <si>
    <t xml:space="preserve">WL-02079</t>
  </si>
  <si>
    <t xml:space="preserve">Vicki Wright</t>
  </si>
  <si>
    <t xml:space="preserve">slip_inventory_2026-08.csv row 975; applicant_register_2026-08.csv row 1080</t>
  </si>
  <si>
    <t xml:space="preserve">WL-03736</t>
  </si>
  <si>
    <t xml:space="preserve">Nicole Martinez</t>
  </si>
  <si>
    <t xml:space="preserve">slip_inventory_2026-08.csv row 977; applicant_register_2026-08.csv row 2737</t>
  </si>
  <si>
    <t xml:space="preserve">WL-02071</t>
  </si>
  <si>
    <t xml:space="preserve">Cameron Perry</t>
  </si>
  <si>
    <t xml:space="preserve">slip_inventory_2026-08.csv row 978; applicant_register_2026-08.csv row 1072</t>
  </si>
  <si>
    <t xml:space="preserve">SB-0108</t>
  </si>
  <si>
    <t xml:space="preserve">WL-03452</t>
  </si>
  <si>
    <t xml:space="preserve">Nicole Wood</t>
  </si>
  <si>
    <t xml:space="preserve">slip_inventory_2026-08.csv row 979; applicant_register_2026-08.csv row 2453</t>
  </si>
  <si>
    <t xml:space="preserve">WL-03007</t>
  </si>
  <si>
    <t xml:space="preserve">Brandy Hart</t>
  </si>
  <si>
    <t xml:space="preserve">slip_inventory_2026-08.csv row 980; applicant_register_2026-08.csv row 2008</t>
  </si>
  <si>
    <t xml:space="preserve">SB-0110</t>
  </si>
  <si>
    <t xml:space="preserve">slip_inventory_2026-08.csv row 981; applicant_register_2026-08.csv row 1642</t>
  </si>
  <si>
    <t xml:space="preserve">SB-0111</t>
  </si>
  <si>
    <t xml:space="preserve">WL-03610</t>
  </si>
  <si>
    <t xml:space="preserve">David Austin</t>
  </si>
  <si>
    <t xml:space="preserve">slip_inventory_2026-08.csv row 982; applicant_register_2026-08.csv row 2611</t>
  </si>
  <si>
    <t xml:space="preserve">SB-0112</t>
  </si>
  <si>
    <t xml:space="preserve">WL-03043</t>
  </si>
  <si>
    <t xml:space="preserve">Donald Jones</t>
  </si>
  <si>
    <t xml:space="preserve">slip_inventory_2026-08.csv row 983; applicant_register_2026-08.csv row 2044</t>
  </si>
  <si>
    <t xml:space="preserve">SB-0113</t>
  </si>
  <si>
    <t xml:space="preserve">WL-03490</t>
  </si>
  <si>
    <t xml:space="preserve">Julian Browning</t>
  </si>
  <si>
    <t xml:space="preserve">slip_inventory_2026-08.csv row 984; applicant_register_2026-08.csv row 2491</t>
  </si>
  <si>
    <t xml:space="preserve">SB-0114</t>
  </si>
  <si>
    <t xml:space="preserve">WL-03362</t>
  </si>
  <si>
    <t xml:space="preserve">Crystal Porter</t>
  </si>
  <si>
    <t xml:space="preserve">slip_inventory_2026-08.csv row 985; applicant_register_2026-08.csv row 2363</t>
  </si>
  <si>
    <t xml:space="preserve">slip_inventory_2026-08.csv row 986; applicant_register_2026-08.csv row 2019</t>
  </si>
  <si>
    <t xml:space="preserve">SB-0116</t>
  </si>
  <si>
    <t xml:space="preserve">slip_inventory_2026-08.csv row 987; applicant_register_2026-08.csv row 2840</t>
  </si>
  <si>
    <t xml:space="preserve">SB-0117</t>
  </si>
  <si>
    <t xml:space="preserve">WL-02959</t>
  </si>
  <si>
    <t xml:space="preserve">Diamond Zavala</t>
  </si>
  <si>
    <t xml:space="preserve">slip_inventory_2026-08.csv row 988; applicant_register_2026-08.csv row 1960</t>
  </si>
  <si>
    <t xml:space="preserve">SB-0118</t>
  </si>
  <si>
    <t xml:space="preserve">WL-02380</t>
  </si>
  <si>
    <t xml:space="preserve">John Escobar</t>
  </si>
  <si>
    <t xml:space="preserve">slip_inventory_2026-08.csv row 989; applicant_register_2026-08.csv row 1381</t>
  </si>
  <si>
    <t xml:space="preserve">SB-0119</t>
  </si>
  <si>
    <t xml:space="preserve">WL-02414</t>
  </si>
  <si>
    <t xml:space="preserve">Ashley Martinez</t>
  </si>
  <si>
    <t xml:space="preserve">slip_inventory_2026-08.csv row 990; applicant_register_2026-08.csv row 1415</t>
  </si>
  <si>
    <t xml:space="preserve">WL-03833</t>
  </si>
  <si>
    <t xml:space="preserve">Jenny Miller</t>
  </si>
  <si>
    <t xml:space="preserve">slip_inventory_2026-08.csv row 991; applicant_register_2026-08.csv row 2834</t>
  </si>
  <si>
    <t xml:space="preserve">SB-0121</t>
  </si>
  <si>
    <t xml:space="preserve">WL-02392</t>
  </si>
  <si>
    <t xml:space="preserve">Michael Jones</t>
  </si>
  <si>
    <t xml:space="preserve">slip_inventory_2026-08.csv row 992; applicant_register_2026-08.csv row 1393</t>
  </si>
  <si>
    <t xml:space="preserve">SB-0122</t>
  </si>
  <si>
    <t xml:space="preserve">WL-03856</t>
  </si>
  <si>
    <t xml:space="preserve">Taylor Ross</t>
  </si>
  <si>
    <t xml:space="preserve">slip_inventory_2026-08.csv row 993; applicant_register_2026-08.csv row 2857</t>
  </si>
  <si>
    <t xml:space="preserve">SB-0201</t>
  </si>
  <si>
    <t xml:space="preserve">WL-01401</t>
  </si>
  <si>
    <t xml:space="preserve">Douglas Thompson</t>
  </si>
  <si>
    <t xml:space="preserve">slip_inventory_2026-08.csv row 996; applicant_register_2026-08.csv row 402</t>
  </si>
  <si>
    <t xml:space="preserve">SB-0202</t>
  </si>
  <si>
    <t xml:space="preserve">WL-03158</t>
  </si>
  <si>
    <t xml:space="preserve">Andrea Lopez</t>
  </si>
  <si>
    <t xml:space="preserve">slip_inventory_2026-08.csv row 997; applicant_register_2026-08.csv row 2159</t>
  </si>
  <si>
    <t xml:space="preserve">SB-0204</t>
  </si>
  <si>
    <t xml:space="preserve">Justin Horn</t>
  </si>
  <si>
    <t xml:space="preserve">slip_inventory_2026-08.csv row 999; applicant_register_2026-08.csv row 705</t>
  </si>
  <si>
    <t xml:space="preserve">WL-03840</t>
  </si>
  <si>
    <t xml:space="preserve">David Davis</t>
  </si>
  <si>
    <t xml:space="preserve">slip_inventory_2026-08.csv row 1000; applicant_register_2026-08.csv row 2841</t>
  </si>
  <si>
    <t xml:space="preserve">SB-0206</t>
  </si>
  <si>
    <t xml:space="preserve">WL-02300</t>
  </si>
  <si>
    <t xml:space="preserve">Carolyn Murray</t>
  </si>
  <si>
    <t xml:space="preserve">slip_inventory_2026-08.csv row 1001; applicant_register_2026-08.csv row 1301</t>
  </si>
  <si>
    <t xml:space="preserve">SB-0207</t>
  </si>
  <si>
    <t xml:space="preserve">slip_inventory_2026-08.csv row 1002; applicant_register_2026-08.csv row 1286</t>
  </si>
  <si>
    <t xml:space="preserve">SB-0208</t>
  </si>
  <si>
    <t xml:space="preserve">WL-01383</t>
  </si>
  <si>
    <t xml:space="preserve">Donna Henderson</t>
  </si>
  <si>
    <t xml:space="preserve">slip_inventory_2026-08.csv row 1003; applicant_register_2026-08.csv row 384</t>
  </si>
  <si>
    <t xml:space="preserve">Dustin Lambert</t>
  </si>
  <si>
    <t xml:space="preserve">slip_inventory_2026-08.csv row 1004; applicant_register_2026-08.csv row 115</t>
  </si>
  <si>
    <t xml:space="preserve">WL-03463</t>
  </si>
  <si>
    <t xml:space="preserve">Chris Dixon</t>
  </si>
  <si>
    <t xml:space="preserve">slip_inventory_2026-08.csv row 1005; applicant_register_2026-08.csv row 2464</t>
  </si>
  <si>
    <t xml:space="preserve">SB-0211</t>
  </si>
  <si>
    <t xml:space="preserve">WL-01011</t>
  </si>
  <si>
    <t xml:space="preserve">Kristen Hughes</t>
  </si>
  <si>
    <t xml:space="preserve">slip_inventory_2026-08.csv row 1006; applicant_register_2026-08.csv row 12</t>
  </si>
  <si>
    <t xml:space="preserve">SB-0212</t>
  </si>
  <si>
    <t xml:space="preserve">WL-02204</t>
  </si>
  <si>
    <t xml:space="preserve">Julia Hansen</t>
  </si>
  <si>
    <t xml:space="preserve">slip_inventory_2026-08.csv row 1007; applicant_register_2026-08.csv row 1205</t>
  </si>
  <si>
    <t xml:space="preserve">Benjamin Jimenez</t>
  </si>
  <si>
    <t xml:space="preserve">slip_inventory_2026-08.csv row 1008; applicant_register_2026-08.csv row 574</t>
  </si>
  <si>
    <t xml:space="preserve">WL-01611</t>
  </si>
  <si>
    <t xml:space="preserve">Joshua Diaz</t>
  </si>
  <si>
    <t xml:space="preserve">slip_inventory_2026-08.csv row 1009; applicant_register_2026-08.csv row 612</t>
  </si>
  <si>
    <t xml:space="preserve">SB-0215</t>
  </si>
  <si>
    <t xml:space="preserve">WL-03513</t>
  </si>
  <si>
    <t xml:space="preserve">Rose Lee</t>
  </si>
  <si>
    <t xml:space="preserve">slip_inventory_2026-08.csv row 1010; applicant_register_2026-08.csv row 2514</t>
  </si>
  <si>
    <t xml:space="preserve">SB-0216</t>
  </si>
  <si>
    <t xml:space="preserve">WL-01900</t>
  </si>
  <si>
    <t xml:space="preserve">Nancy Guerrero</t>
  </si>
  <si>
    <t xml:space="preserve">slip_inventory_2026-08.csv row 1011; applicant_register_2026-08.csv row 901</t>
  </si>
  <si>
    <t xml:space="preserve">SB-0217</t>
  </si>
  <si>
    <t xml:space="preserve">WL-03724</t>
  </si>
  <si>
    <t xml:space="preserve">Ryan Garza</t>
  </si>
  <si>
    <t xml:space="preserve">slip_inventory_2026-08.csv row 1012; applicant_register_2026-08.csv row 2725</t>
  </si>
  <si>
    <t xml:space="preserve">SB-0218</t>
  </si>
  <si>
    <t xml:space="preserve">WL-03103</t>
  </si>
  <si>
    <t xml:space="preserve">Thomas Roman</t>
  </si>
  <si>
    <t xml:space="preserve">slip_inventory_2026-08.csv row 1013; applicant_register_2026-08.csv row 2104</t>
  </si>
  <si>
    <t xml:space="preserve">SB-0219</t>
  </si>
  <si>
    <t xml:space="preserve">WL-03588</t>
  </si>
  <si>
    <t xml:space="preserve">Angela Olson</t>
  </si>
  <si>
    <t xml:space="preserve">slip_inventory_2026-08.csv row 1014; applicant_register_2026-08.csv row 2589</t>
  </si>
  <si>
    <t xml:space="preserve">SB-0220</t>
  </si>
  <si>
    <t xml:space="preserve">WL-02617</t>
  </si>
  <si>
    <t xml:space="preserve">Shane Lozano</t>
  </si>
  <si>
    <t xml:space="preserve">slip_inventory_2026-08.csv row 1015; applicant_register_2026-08.csv row 1618</t>
  </si>
  <si>
    <t xml:space="preserve">WL-02483</t>
  </si>
  <si>
    <t xml:space="preserve">Benjamin Gomez</t>
  </si>
  <si>
    <t xml:space="preserve">slip_inventory_2026-08.csv row 1017; applicant_register_2026-08.csv row 1484</t>
  </si>
  <si>
    <t xml:space="preserve">SB-0223</t>
  </si>
  <si>
    <t xml:space="preserve">WL-03116</t>
  </si>
  <si>
    <t xml:space="preserve">Anthony Kennedy</t>
  </si>
  <si>
    <t xml:space="preserve">slip_inventory_2026-08.csv row 1018; applicant_register_2026-08.csv row 2117</t>
  </si>
  <si>
    <t xml:space="preserve">SB-0224</t>
  </si>
  <si>
    <t xml:space="preserve">WL-01960</t>
  </si>
  <si>
    <t xml:space="preserve">Sean Smith</t>
  </si>
  <si>
    <t xml:space="preserve">slip_inventory_2026-08.csv row 1019; applicant_register_2026-08.csv row 961</t>
  </si>
  <si>
    <t xml:space="preserve">SB-0301</t>
  </si>
  <si>
    <t xml:space="preserve">WL-03355</t>
  </si>
  <si>
    <t xml:space="preserve">Sarah King</t>
  </si>
  <si>
    <t xml:space="preserve">slip_inventory_2026-08.csv row 1020; applicant_register_2026-08.csv row 2356</t>
  </si>
  <si>
    <t xml:space="preserve">WL-01068</t>
  </si>
  <si>
    <t xml:space="preserve">Charles Thomas</t>
  </si>
  <si>
    <t xml:space="preserve">slip_inventory_2026-08.csv row 1021; applicant_register_2026-08.csv row 69</t>
  </si>
  <si>
    <t xml:space="preserve">SB-0303</t>
  </si>
  <si>
    <t xml:space="preserve">WL-03829</t>
  </si>
  <si>
    <t xml:space="preserve">Ana Christian</t>
  </si>
  <si>
    <t xml:space="preserve">slip_inventory_2026-08.csv row 1022; applicant_register_2026-08.csv row 2830</t>
  </si>
  <si>
    <t xml:space="preserve">SB-0304</t>
  </si>
  <si>
    <t xml:space="preserve">WL-03729</t>
  </si>
  <si>
    <t xml:space="preserve">Sara Jackson</t>
  </si>
  <si>
    <t xml:space="preserve">slip_inventory_2026-08.csv row 1023; applicant_register_2026-08.csv row 2730</t>
  </si>
  <si>
    <t xml:space="preserve">SB-0305</t>
  </si>
  <si>
    <t xml:space="preserve">WL-03660</t>
  </si>
  <si>
    <t xml:space="preserve">David Sutton</t>
  </si>
  <si>
    <t xml:space="preserve">slip_inventory_2026-08.csv row 1024; applicant_register_2026-08.csv row 2661</t>
  </si>
  <si>
    <t xml:space="preserve">WL-03658</t>
  </si>
  <si>
    <t xml:space="preserve">William Washington</t>
  </si>
  <si>
    <t xml:space="preserve">slip_inventory_2026-08.csv row 1025; applicant_register_2026-08.csv row 2659</t>
  </si>
  <si>
    <t xml:space="preserve">WL-02216</t>
  </si>
  <si>
    <t xml:space="preserve">Michael Diaz</t>
  </si>
  <si>
    <t xml:space="preserve">slip_inventory_2026-08.csv row 1026; applicant_register_2026-08.csv row 1217</t>
  </si>
  <si>
    <t xml:space="preserve">SB-0308</t>
  </si>
  <si>
    <t xml:space="preserve">WL-02849</t>
  </si>
  <si>
    <t xml:space="preserve">Peter Johnson</t>
  </si>
  <si>
    <t xml:space="preserve">slip_inventory_2026-08.csv row 1027; applicant_register_2026-08.csv row 1850</t>
  </si>
  <si>
    <t xml:space="preserve">SB-0309</t>
  </si>
  <si>
    <t xml:space="preserve">WL-03557</t>
  </si>
  <si>
    <t xml:space="preserve">Tiffany Smith</t>
  </si>
  <si>
    <t xml:space="preserve">slip_inventory_2026-08.csv row 1028; applicant_register_2026-08.csv row 2558</t>
  </si>
  <si>
    <t xml:space="preserve">SB-0311</t>
  </si>
  <si>
    <t xml:space="preserve">WL-03282</t>
  </si>
  <si>
    <t xml:space="preserve">Jillian Curry</t>
  </si>
  <si>
    <t xml:space="preserve">slip_inventory_2026-08.csv row 1030; applicant_register_2026-08.csv row 2283</t>
  </si>
  <si>
    <t xml:space="preserve">SB-0312</t>
  </si>
  <si>
    <t xml:space="preserve">WL-02507</t>
  </si>
  <si>
    <t xml:space="preserve">Erin Morris</t>
  </si>
  <si>
    <t xml:space="preserve">slip_inventory_2026-08.csv row 1031; applicant_register_2026-08.csv row 1508</t>
  </si>
  <si>
    <t xml:space="preserve">WL-02129</t>
  </si>
  <si>
    <t xml:space="preserve">Lisa Palmer</t>
  </si>
  <si>
    <t xml:space="preserve">slip_inventory_2026-08.csv row 1032; applicant_register_2026-08.csv row 1130</t>
  </si>
  <si>
    <t xml:space="preserve">WL-03303</t>
  </si>
  <si>
    <t xml:space="preserve">Eileen Norris</t>
  </si>
  <si>
    <t xml:space="preserve">slip_inventory_2026-08.csv row 1033; applicant_register_2026-08.csv row 2304</t>
  </si>
  <si>
    <t xml:space="preserve">SB-0315</t>
  </si>
  <si>
    <t xml:space="preserve">WL-02337</t>
  </si>
  <si>
    <t xml:space="preserve">Brian Taylor</t>
  </si>
  <si>
    <t xml:space="preserve">slip_inventory_2026-08.csv row 1034; applicant_register_2026-08.csv row 1338</t>
  </si>
  <si>
    <t xml:space="preserve">SB-0316</t>
  </si>
  <si>
    <t xml:space="preserve">WL-02020</t>
  </si>
  <si>
    <t xml:space="preserve">Jacqueline Daniels</t>
  </si>
  <si>
    <t xml:space="preserve">slip_inventory_2026-08.csv row 1035; applicant_register_2026-08.csv row 1021</t>
  </si>
  <si>
    <t xml:space="preserve">SB-0317</t>
  </si>
  <si>
    <t xml:space="preserve">WL-01571</t>
  </si>
  <si>
    <t xml:space="preserve">Blake Webb</t>
  </si>
  <si>
    <t xml:space="preserve">slip_inventory_2026-08.csv row 1036; applicant_register_2026-08.csv row 572</t>
  </si>
  <si>
    <t xml:space="preserve">SB-0318</t>
  </si>
  <si>
    <t xml:space="preserve">WL-03173</t>
  </si>
  <si>
    <t xml:space="preserve">Timothy Wood</t>
  </si>
  <si>
    <t xml:space="preserve">slip_inventory_2026-08.csv row 1037; applicant_register_2026-08.csv row 2174</t>
  </si>
  <si>
    <t xml:space="preserve">WL-02172</t>
  </si>
  <si>
    <t xml:space="preserve">Anna Bishop</t>
  </si>
  <si>
    <t xml:space="preserve">slip_inventory_2026-08.csv row 1038; applicant_register_2026-08.csv row 1173</t>
  </si>
  <si>
    <t xml:space="preserve">SB-0320</t>
  </si>
  <si>
    <t xml:space="preserve">WL-01830</t>
  </si>
  <si>
    <t xml:space="preserve">Robert Patel</t>
  </si>
  <si>
    <t xml:space="preserve">slip_inventory_2026-08.csv row 1039; applicant_register_2026-08.csv row 831</t>
  </si>
  <si>
    <t xml:space="preserve">SB-0321</t>
  </si>
  <si>
    <t xml:space="preserve">WL-02472</t>
  </si>
  <si>
    <t xml:space="preserve">William Martinez</t>
  </si>
  <si>
    <t xml:space="preserve">slip_inventory_2026-08.csv row 1040; applicant_register_2026-08.csv row 1473</t>
  </si>
  <si>
    <t xml:space="preserve">SB-0322</t>
  </si>
  <si>
    <t xml:space="preserve">WL-02376</t>
  </si>
  <si>
    <t xml:space="preserve">Steven Robinson</t>
  </si>
  <si>
    <t xml:space="preserve">slip_inventory_2026-08.csv row 1041; applicant_register_2026-08.csv row 1377</t>
  </si>
  <si>
    <t xml:space="preserve">SB-0323</t>
  </si>
  <si>
    <t xml:space="preserve">WL-03820</t>
  </si>
  <si>
    <t xml:space="preserve">Thomas Robinson</t>
  </si>
  <si>
    <t xml:space="preserve">slip_inventory_2026-08.csv row 1042; applicant_register_2026-08.csv row 2821</t>
  </si>
  <si>
    <t xml:space="preserve">SB-0324</t>
  </si>
  <si>
    <t xml:space="preserve">WL-01917</t>
  </si>
  <si>
    <t xml:space="preserve">Matthew May</t>
  </si>
  <si>
    <t xml:space="preserve">slip_inventory_2026-08.csv row 1043; applicant_register_2026-08.csv row 918</t>
  </si>
  <si>
    <t xml:space="preserve">WL-01395</t>
  </si>
  <si>
    <t xml:space="preserve">Denise Mitchell</t>
  </si>
  <si>
    <t xml:space="preserve">slip_inventory_2026-08.csv row 1044; applicant_register_2026-08.csv row 396</t>
  </si>
  <si>
    <t xml:space="preserve">WL-03565</t>
  </si>
  <si>
    <t xml:space="preserve">Brian Rosario</t>
  </si>
  <si>
    <t xml:space="preserve">slip_inventory_2026-08.csv row 1045; applicant_register_2026-08.csv row 2566</t>
  </si>
  <si>
    <t xml:space="preserve">WL-02892</t>
  </si>
  <si>
    <t xml:space="preserve">Martha Cook</t>
  </si>
  <si>
    <t xml:space="preserve">slip_inventory_2026-08.csv row 1046; applicant_register_2026-08.csv row 1893</t>
  </si>
  <si>
    <t xml:space="preserve">SB-0404</t>
  </si>
  <si>
    <t xml:space="preserve">Alexander Lawrence</t>
  </si>
  <si>
    <t xml:space="preserve">slip_inventory_2026-08.csv row 1047; applicant_register_2026-08.csv row 1161</t>
  </si>
  <si>
    <t xml:space="preserve">WL-02223</t>
  </si>
  <si>
    <t xml:space="preserve">Ashley Wilson</t>
  </si>
  <si>
    <t xml:space="preserve">slip_inventory_2026-08.csv row 1048; applicant_register_2026-08.csv row 1224</t>
  </si>
  <si>
    <t xml:space="preserve">WL-02891</t>
  </si>
  <si>
    <t xml:space="preserve">Jon Suarez</t>
  </si>
  <si>
    <t xml:space="preserve">slip_inventory_2026-08.csv row 1049; applicant_register_2026-08.csv row 1892</t>
  </si>
  <si>
    <t xml:space="preserve">WL-02876</t>
  </si>
  <si>
    <t xml:space="preserve">Janice Collins</t>
  </si>
  <si>
    <t xml:space="preserve">slip_inventory_2026-08.csv row 1050; applicant_register_2026-08.csv row 1877</t>
  </si>
  <si>
    <t xml:space="preserve">WL-01281</t>
  </si>
  <si>
    <t xml:space="preserve">Alexander Ferguson</t>
  </si>
  <si>
    <t xml:space="preserve">slip_inventory_2026-08.csv row 1051; applicant_register_2026-08.csv row 282</t>
  </si>
  <si>
    <t xml:space="preserve">SB-0409</t>
  </si>
  <si>
    <t xml:space="preserve">slip_inventory_2026-08.csv row 1052; applicant_register_2026-08.csv row 763</t>
  </si>
  <si>
    <t xml:space="preserve">WL-01770</t>
  </si>
  <si>
    <t xml:space="preserve">Billy Cummings</t>
  </si>
  <si>
    <t xml:space="preserve">slip_inventory_2026-08.csv row 1053; applicant_register_2026-08.csv row 771</t>
  </si>
  <si>
    <t xml:space="preserve">WL-02542</t>
  </si>
  <si>
    <t xml:space="preserve">Susan Decker</t>
  </si>
  <si>
    <t xml:space="preserve">slip_inventory_2026-08.csv row 1054; applicant_register_2026-08.csv row 1543</t>
  </si>
  <si>
    <t xml:space="preserve">SB-0412</t>
  </si>
  <si>
    <t xml:space="preserve">WL-03345</t>
  </si>
  <si>
    <t xml:space="preserve">Cody Jackson</t>
  </si>
  <si>
    <t xml:space="preserve">slip_inventory_2026-08.csv row 1055; applicant_register_2026-08.csv row 2346</t>
  </si>
  <si>
    <t xml:space="preserve">SB-0413</t>
  </si>
  <si>
    <t xml:space="preserve">WL-01247</t>
  </si>
  <si>
    <t xml:space="preserve">Daniel Wallace</t>
  </si>
  <si>
    <t xml:space="preserve">slip_inventory_2026-08.csv row 1056; applicant_register_2026-08.csv row 248</t>
  </si>
  <si>
    <t xml:space="preserve">SB-0414</t>
  </si>
  <si>
    <t xml:space="preserve">WL-01769</t>
  </si>
  <si>
    <t xml:space="preserve">Brenda Cruz</t>
  </si>
  <si>
    <t xml:space="preserve">slip_inventory_2026-08.csv row 1057; applicant_register_2026-08.csv row 770</t>
  </si>
  <si>
    <t xml:space="preserve">SB-0415</t>
  </si>
  <si>
    <t xml:space="preserve">WL-03540</t>
  </si>
  <si>
    <t xml:space="preserve">Julie Crane</t>
  </si>
  <si>
    <t xml:space="preserve">slip_inventory_2026-08.csv row 1058; applicant_register_2026-08.csv row 2541</t>
  </si>
  <si>
    <t xml:space="preserve">WL-03324</t>
  </si>
  <si>
    <t xml:space="preserve">Jacob Hanna</t>
  </si>
  <si>
    <t xml:space="preserve">slip_inventory_2026-08.csv row 1059; applicant_register_2026-08.csv row 2325</t>
  </si>
  <si>
    <t xml:space="preserve">SB-0418</t>
  </si>
  <si>
    <t xml:space="preserve">WL-03571</t>
  </si>
  <si>
    <t xml:space="preserve">Rebecca Merritt</t>
  </si>
  <si>
    <t xml:space="preserve">slip_inventory_2026-08.csv row 1061; applicant_register_2026-08.csv row 2572</t>
  </si>
  <si>
    <t xml:space="preserve">WL-03076</t>
  </si>
  <si>
    <t xml:space="preserve">Jennifer Davis</t>
  </si>
  <si>
    <t xml:space="preserve">slip_inventory_2026-08.csv row 1062; applicant_register_2026-08.csv row 2077</t>
  </si>
  <si>
    <t xml:space="preserve">WL-03473</t>
  </si>
  <si>
    <t xml:space="preserve">Brian Miller</t>
  </si>
  <si>
    <t xml:space="preserve">slip_inventory_2026-08.csv row 1063; applicant_register_2026-08.csv row 2474</t>
  </si>
  <si>
    <t xml:space="preserve">SB-0421</t>
  </si>
  <si>
    <t xml:space="preserve">WL-02552</t>
  </si>
  <si>
    <t xml:space="preserve">Brian Shea</t>
  </si>
  <si>
    <t xml:space="preserve">slip_inventory_2026-08.csv row 1064; applicant_register_2026-08.csv row 1553</t>
  </si>
  <si>
    <t xml:space="preserve">SB-0422</t>
  </si>
  <si>
    <t xml:space="preserve">WL-02351</t>
  </si>
  <si>
    <t xml:space="preserve">Kenneth Bradford</t>
  </si>
  <si>
    <t xml:space="preserve">slip_inventory_2026-08.csv row 1065; applicant_register_2026-08.csv row 1352</t>
  </si>
  <si>
    <t xml:space="preserve">SB-0423</t>
  </si>
  <si>
    <t xml:space="preserve">WL-03606</t>
  </si>
  <si>
    <t xml:space="preserve">Jared Garcia</t>
  </si>
  <si>
    <t xml:space="preserve">slip_inventory_2026-08.csv row 1066; applicant_register_2026-08.csv row 2607</t>
  </si>
  <si>
    <t xml:space="preserve">SB-0424</t>
  </si>
  <si>
    <t xml:space="preserve">WL-02295</t>
  </si>
  <si>
    <t xml:space="preserve">Katie Hall</t>
  </si>
  <si>
    <t xml:space="preserve">slip_inventory_2026-08.csv row 1067; applicant_register_2026-08.csv row 1296</t>
  </si>
  <si>
    <t xml:space="preserve">SB-0502</t>
  </si>
  <si>
    <t xml:space="preserve">WL-01453</t>
  </si>
  <si>
    <t xml:space="preserve">Kelly Lee</t>
  </si>
  <si>
    <t xml:space="preserve">slip_inventory_2026-08.csv row 1069; applicant_register_2026-08.csv row 454</t>
  </si>
  <si>
    <t xml:space="preserve">SB-0503</t>
  </si>
  <si>
    <t xml:space="preserve">WL-02805</t>
  </si>
  <si>
    <t xml:space="preserve">Sheila Fuentes</t>
  </si>
  <si>
    <t xml:space="preserve">slip_inventory_2026-08.csv row 1070; applicant_register_2026-08.csv row 1806</t>
  </si>
  <si>
    <t xml:space="preserve">SB-0504</t>
  </si>
  <si>
    <t xml:space="preserve">WL-03009</t>
  </si>
  <si>
    <t xml:space="preserve">Dennis Taylor</t>
  </si>
  <si>
    <t xml:space="preserve">slip_inventory_2026-08.csv row 1071; applicant_register_2026-08.csv row 2010</t>
  </si>
  <si>
    <t xml:space="preserve">SB-0505</t>
  </si>
  <si>
    <t xml:space="preserve">WL-03522</t>
  </si>
  <si>
    <t xml:space="preserve">Austin Sanchez</t>
  </si>
  <si>
    <t xml:space="preserve">slip_inventory_2026-08.csv row 1072; applicant_register_2026-08.csv row 2523</t>
  </si>
  <si>
    <t xml:space="preserve">SB-0506</t>
  </si>
  <si>
    <t xml:space="preserve">Craig Simon</t>
  </si>
  <si>
    <t xml:space="preserve">slip_inventory_2026-08.csv row 1073; applicant_register_2026-08.csv row 1068</t>
  </si>
  <si>
    <t xml:space="preserve">SB-0507</t>
  </si>
  <si>
    <t xml:space="preserve">WL-03590</t>
  </si>
  <si>
    <t xml:space="preserve">Dawn Johnson</t>
  </si>
  <si>
    <t xml:space="preserve">slip_inventory_2026-08.csv row 1074; applicant_register_2026-08.csv row 2591</t>
  </si>
  <si>
    <t xml:space="preserve">SB-0509</t>
  </si>
  <si>
    <t xml:space="preserve">WL-02521</t>
  </si>
  <si>
    <t xml:space="preserve">Ashley Vance</t>
  </si>
  <si>
    <t xml:space="preserve">slip_inventory_2026-08.csv row 1076; applicant_register_2026-08.csv row 1522</t>
  </si>
  <si>
    <t xml:space="preserve">SB-0510</t>
  </si>
  <si>
    <t xml:space="preserve">WL-02318</t>
  </si>
  <si>
    <t xml:space="preserve">Brittany Harris</t>
  </si>
  <si>
    <t xml:space="preserve">slip_inventory_2026-08.csv row 1077; applicant_register_2026-08.csv row 1319</t>
  </si>
  <si>
    <t xml:space="preserve">SB-0511</t>
  </si>
  <si>
    <t xml:space="preserve">slip_inventory_2026-08.csv row 1078; applicant_register_2026-08.csv row 845</t>
  </si>
  <si>
    <t xml:space="preserve">SB-0512</t>
  </si>
  <si>
    <t xml:space="preserve">Brandon Sawyer</t>
  </si>
  <si>
    <t xml:space="preserve">slip_inventory_2026-08.csv row 1079; applicant_register_2026-08.csv row 254</t>
  </si>
  <si>
    <t xml:space="preserve">SB-0514</t>
  </si>
  <si>
    <t xml:space="preserve">WL-01190</t>
  </si>
  <si>
    <t xml:space="preserve">James Cortez</t>
  </si>
  <si>
    <t xml:space="preserve">slip_inventory_2026-08.csv row 1081; applicant_register_2026-08.csv row 191</t>
  </si>
  <si>
    <t xml:space="preserve">SB-0515</t>
  </si>
  <si>
    <t xml:space="preserve">WL-01458</t>
  </si>
  <si>
    <t xml:space="preserve">Sean Ruiz</t>
  </si>
  <si>
    <t xml:space="preserve">slip_inventory_2026-08.csv row 1082; applicant_register_2026-08.csv row 459</t>
  </si>
  <si>
    <t xml:space="preserve">SB-0516</t>
  </si>
  <si>
    <t xml:space="preserve">WL-02648</t>
  </si>
  <si>
    <t xml:space="preserve">William Russell</t>
  </si>
  <si>
    <t xml:space="preserve">slip_inventory_2026-08.csv row 1083; applicant_register_2026-08.csv row 1649</t>
  </si>
  <si>
    <t xml:space="preserve">SB-0518</t>
  </si>
  <si>
    <t xml:space="preserve">WL-02395</t>
  </si>
  <si>
    <t xml:space="preserve">Scott Ramos</t>
  </si>
  <si>
    <t xml:space="preserve">slip_inventory_2026-08.csv row 1085; applicant_register_2026-08.csv row 1396</t>
  </si>
  <si>
    <t xml:space="preserve">SB-0520</t>
  </si>
  <si>
    <t xml:space="preserve">WL-02847</t>
  </si>
  <si>
    <t xml:space="preserve">Julie Johnston</t>
  </si>
  <si>
    <t xml:space="preserve">slip_inventory_2026-08.csv row 1087; applicant_register_2026-08.csv row 1848</t>
  </si>
  <si>
    <t xml:space="preserve">SB-0521</t>
  </si>
  <si>
    <t xml:space="preserve">WL-03663</t>
  </si>
  <si>
    <t xml:space="preserve">Jasmine Page</t>
  </si>
  <si>
    <t xml:space="preserve">slip_inventory_2026-08.csv row 1088; applicant_register_2026-08.csv row 2664</t>
  </si>
  <si>
    <t xml:space="preserve">SB-0522</t>
  </si>
  <si>
    <t xml:space="preserve">WL-03063</t>
  </si>
  <si>
    <t xml:space="preserve">Natalie Stout</t>
  </si>
  <si>
    <t xml:space="preserve">slip_inventory_2026-08.csv row 1089; applicant_register_2026-08.csv row 2064</t>
  </si>
  <si>
    <t xml:space="preserve">SB-0523</t>
  </si>
  <si>
    <t xml:space="preserve">WL-03436</t>
  </si>
  <si>
    <t xml:space="preserve">Katherine Hunter</t>
  </si>
  <si>
    <t xml:space="preserve">slip_inventory_2026-08.csv row 1090; applicant_register_2026-08.csv row 2437</t>
  </si>
  <si>
    <t xml:space="preserve">SB-0524</t>
  </si>
  <si>
    <t xml:space="preserve">slip_inventory_2026-08.csv row 1091; applicant_register_2026-08.csv row 2512</t>
  </si>
  <si>
    <t xml:space="preserve">WL-02855</t>
  </si>
  <si>
    <t xml:space="preserve">Kristy Bernard</t>
  </si>
  <si>
    <t xml:space="preserve">slip_inventory_2026-08.csv row 1092; applicant_register_2026-08.csv row 1856</t>
  </si>
  <si>
    <t xml:space="preserve">Natalie Duncan</t>
  </si>
  <si>
    <t xml:space="preserve">slip_inventory_2026-08.csv row 1093; applicant_register_2026-08.csv row 2697</t>
  </si>
  <si>
    <t xml:space="preserve">WL-01326</t>
  </si>
  <si>
    <t xml:space="preserve">Kristin Smith</t>
  </si>
  <si>
    <t xml:space="preserve">slip_inventory_2026-08.csv row 1094; applicant_register_2026-08.csv row 327</t>
  </si>
  <si>
    <t xml:space="preserve">SB-0604</t>
  </si>
  <si>
    <t xml:space="preserve">slip_inventory_2026-08.csv row 1095; applicant_register_2026-08.csv row 2072</t>
  </si>
  <si>
    <t xml:space="preserve">SB-0605</t>
  </si>
  <si>
    <t xml:space="preserve">WL-02387</t>
  </si>
  <si>
    <t xml:space="preserve">Scott Roberts</t>
  </si>
  <si>
    <t xml:space="preserve">slip_inventory_2026-08.csv row 1096; applicant_register_2026-08.csv row 1388</t>
  </si>
  <si>
    <t xml:space="preserve">SB-0606</t>
  </si>
  <si>
    <t xml:space="preserve">WL-02385</t>
  </si>
  <si>
    <t xml:space="preserve">John Lopez</t>
  </si>
  <si>
    <t xml:space="preserve">slip_inventory_2026-08.csv row 1097; applicant_register_2026-08.csv row 1386</t>
  </si>
  <si>
    <t xml:space="preserve">WL-03601</t>
  </si>
  <si>
    <t xml:space="preserve">Jenny Perez</t>
  </si>
  <si>
    <t xml:space="preserve">slip_inventory_2026-08.csv row 1098; applicant_register_2026-08.csv row 2602</t>
  </si>
  <si>
    <t xml:space="preserve">SB-0609</t>
  </si>
  <si>
    <t xml:space="preserve">WL-01633</t>
  </si>
  <si>
    <t xml:space="preserve">Michael Gonzalez</t>
  </si>
  <si>
    <t xml:space="preserve">slip_inventory_2026-08.csv row 1100; applicant_register_2026-08.csv row 634</t>
  </si>
  <si>
    <t xml:space="preserve">WL-02854</t>
  </si>
  <si>
    <t xml:space="preserve">Michael Martinez</t>
  </si>
  <si>
    <t xml:space="preserve">slip_inventory_2026-08.csv row 1101; applicant_register_2026-08.csv row 1855</t>
  </si>
  <si>
    <t xml:space="preserve">SB-0611</t>
  </si>
  <si>
    <t xml:space="preserve">WL-02381</t>
  </si>
  <si>
    <t xml:space="preserve">Gary Waters</t>
  </si>
  <si>
    <t xml:space="preserve">slip_inventory_2026-08.csv row 1102; applicant_register_2026-08.csv row 1382</t>
  </si>
  <si>
    <t xml:space="preserve">SB-0612</t>
  </si>
  <si>
    <t xml:space="preserve">WL-03514</t>
  </si>
  <si>
    <t xml:space="preserve">Marvin Davila</t>
  </si>
  <si>
    <t xml:space="preserve">slip_inventory_2026-08.csv row 1103; applicant_register_2026-08.csv row 2515</t>
  </si>
  <si>
    <t xml:space="preserve">SB-0613</t>
  </si>
  <si>
    <t xml:space="preserve">WL-03616</t>
  </si>
  <si>
    <t xml:space="preserve">Martin King</t>
  </si>
  <si>
    <t xml:space="preserve">slip_inventory_2026-08.csv row 1104; applicant_register_2026-08.csv row 2617</t>
  </si>
  <si>
    <t xml:space="preserve">SB-0614</t>
  </si>
  <si>
    <t xml:space="preserve">WL-01755</t>
  </si>
  <si>
    <t xml:space="preserve">Joshua Walton</t>
  </si>
  <si>
    <t xml:space="preserve">slip_inventory_2026-08.csv row 1105; applicant_register_2026-08.csv row 756</t>
  </si>
  <si>
    <t xml:space="preserve">SB-0615</t>
  </si>
  <si>
    <t xml:space="preserve">WL-01424</t>
  </si>
  <si>
    <t xml:space="preserve">Kristen Miller</t>
  </si>
  <si>
    <t xml:space="preserve">slip_inventory_2026-08.csv row 1106; applicant_register_2026-08.csv row 425</t>
  </si>
  <si>
    <t xml:space="preserve">WL-03789</t>
  </si>
  <si>
    <t xml:space="preserve">Christopher Dorsey</t>
  </si>
  <si>
    <t xml:space="preserve">slip_inventory_2026-08.csv row 1107; applicant_register_2026-08.csv row 2790</t>
  </si>
  <si>
    <t xml:space="preserve">WL-01894</t>
  </si>
  <si>
    <t xml:space="preserve">Linda Taylor</t>
  </si>
  <si>
    <t xml:space="preserve">slip_inventory_2026-08.csv row 1108; applicant_register_2026-08.csv row 895</t>
  </si>
  <si>
    <t xml:space="preserve">SB-0619</t>
  </si>
  <si>
    <t xml:space="preserve">Adam Warner</t>
  </si>
  <si>
    <t xml:space="preserve">slip_inventory_2026-08.csv row 1110; applicant_register_2026-08.csv row 978</t>
  </si>
  <si>
    <t xml:space="preserve">SB-0620</t>
  </si>
  <si>
    <t xml:space="preserve">WL-01426</t>
  </si>
  <si>
    <t xml:space="preserve">Glen Owen</t>
  </si>
  <si>
    <t xml:space="preserve">slip_inventory_2026-08.csv row 1111; applicant_register_2026-08.csv row 427</t>
  </si>
  <si>
    <t xml:space="preserve">SB-0621</t>
  </si>
  <si>
    <t xml:space="preserve">WL-01415</t>
  </si>
  <si>
    <t xml:space="preserve">Jeremy Stevens</t>
  </si>
  <si>
    <t xml:space="preserve">slip_inventory_2026-08.csv row 1112; applicant_register_2026-08.csv row 416</t>
  </si>
  <si>
    <t xml:space="preserve">SB-0622</t>
  </si>
  <si>
    <t xml:space="preserve">WL-03668</t>
  </si>
  <si>
    <t xml:space="preserve">Anthony Morris</t>
  </si>
  <si>
    <t xml:space="preserve">slip_inventory_2026-08.csv row 1113; applicant_register_2026-08.csv row 2669</t>
  </si>
  <si>
    <t xml:space="preserve">WL-01938</t>
  </si>
  <si>
    <t xml:space="preserve">Ian Webb</t>
  </si>
  <si>
    <t xml:space="preserve">slip_inventory_2026-08.csv row 1114; applicant_register_2026-08.csv row 939</t>
  </si>
  <si>
    <t xml:space="preserve">WL-01530</t>
  </si>
  <si>
    <t xml:space="preserve">Sean Huber</t>
  </si>
  <si>
    <t xml:space="preserve">slip_inventory_2026-08.csv row 1115; applicant_register_2026-08.csv row 531</t>
  </si>
  <si>
    <t xml:space="preserve">SB-0701</t>
  </si>
  <si>
    <t xml:space="preserve">WL-02761</t>
  </si>
  <si>
    <t xml:space="preserve">Timothy Coleman</t>
  </si>
  <si>
    <t xml:space="preserve">slip_inventory_2026-08.csv row 1116; applicant_register_2026-08.csv row 1762</t>
  </si>
  <si>
    <t xml:space="preserve">SB-0702</t>
  </si>
  <si>
    <t xml:space="preserve">WL-03233</t>
  </si>
  <si>
    <t xml:space="preserve">Erin Williams</t>
  </si>
  <si>
    <t xml:space="preserve">slip_inventory_2026-08.csv row 1117; applicant_register_2026-08.csv row 2234</t>
  </si>
  <si>
    <t xml:space="preserve">SB-0703</t>
  </si>
  <si>
    <t xml:space="preserve">slip_inventory_2026-08.csv row 1118; applicant_register_2026-08.csv row 2045</t>
  </si>
  <si>
    <t xml:space="preserve">WL-02338</t>
  </si>
  <si>
    <t xml:space="preserve">Deborah Estrada</t>
  </si>
  <si>
    <t xml:space="preserve">slip_inventory_2026-08.csv row 1119; applicant_register_2026-08.csv row 1339</t>
  </si>
  <si>
    <t xml:space="preserve">SB-0705</t>
  </si>
  <si>
    <t xml:space="preserve">WL-01922</t>
  </si>
  <si>
    <t xml:space="preserve">Jodi Holland</t>
  </si>
  <si>
    <t xml:space="preserve">slip_inventory_2026-08.csv row 1120; applicant_register_2026-08.csv row 923</t>
  </si>
  <si>
    <t xml:space="preserve">SB-0706</t>
  </si>
  <si>
    <t xml:space="preserve">WL-02346</t>
  </si>
  <si>
    <t xml:space="preserve">Tammy Thomas</t>
  </si>
  <si>
    <t xml:space="preserve">slip_inventory_2026-08.csv row 1121; applicant_register_2026-08.csv row 1347</t>
  </si>
  <si>
    <t xml:space="preserve">SB-0707</t>
  </si>
  <si>
    <t xml:space="preserve">WL-01946</t>
  </si>
  <si>
    <t xml:space="preserve">David Sweeney</t>
  </si>
  <si>
    <t xml:space="preserve">slip_inventory_2026-08.csv row 1122; applicant_register_2026-08.csv row 947</t>
  </si>
  <si>
    <t xml:space="preserve">SB-0708</t>
  </si>
  <si>
    <t xml:space="preserve">WL-02065</t>
  </si>
  <si>
    <t xml:space="preserve">Christopher Torres</t>
  </si>
  <si>
    <t xml:space="preserve">slip_inventory_2026-08.csv row 1123; applicant_register_2026-08.csv row 1066</t>
  </si>
  <si>
    <t xml:space="preserve">WL-03577</t>
  </si>
  <si>
    <t xml:space="preserve">Charles Bell</t>
  </si>
  <si>
    <t xml:space="preserve">slip_inventory_2026-08.csv row 1124; applicant_register_2026-08.csv row 2578</t>
  </si>
  <si>
    <t xml:space="preserve">SB-0710</t>
  </si>
  <si>
    <t xml:space="preserve">WL-01525</t>
  </si>
  <si>
    <t xml:space="preserve">Holly Myers</t>
  </si>
  <si>
    <t xml:space="preserve">slip_inventory_2026-08.csv row 1125; applicant_register_2026-08.csv row 526</t>
  </si>
  <si>
    <t xml:space="preserve">SB-0711</t>
  </si>
  <si>
    <t xml:space="preserve">slip_inventory_2026-08.csv row 1126; applicant_register_2026-08.csv row 2862</t>
  </si>
  <si>
    <t xml:space="preserve">SB-0712</t>
  </si>
  <si>
    <t xml:space="preserve">Theresa Grant</t>
  </si>
  <si>
    <t xml:space="preserve">slip_inventory_2026-08.csv row 1127; applicant_register_2026-08.csv row 2249</t>
  </si>
  <si>
    <t xml:space="preserve">SB-0713</t>
  </si>
  <si>
    <t xml:space="preserve">WL-03510</t>
  </si>
  <si>
    <t xml:space="preserve">Kimberly Pearson</t>
  </si>
  <si>
    <t xml:space="preserve">slip_inventory_2026-08.csv row 1128; applicant_register_2026-08.csv row 2511</t>
  </si>
  <si>
    <t xml:space="preserve">SB-0714</t>
  </si>
  <si>
    <t xml:space="preserve">WL-03165</t>
  </si>
  <si>
    <t xml:space="preserve">Brendan Durham</t>
  </si>
  <si>
    <t xml:space="preserve">slip_inventory_2026-08.csv row 1129; applicant_register_2026-08.csv row 2166</t>
  </si>
  <si>
    <t xml:space="preserve">SB-0715</t>
  </si>
  <si>
    <t xml:space="preserve">WL-03330</t>
  </si>
  <si>
    <t xml:space="preserve">Lori Bauer</t>
  </si>
  <si>
    <t xml:space="preserve">slip_inventory_2026-08.csv row 1130; applicant_register_2026-08.csv row 2331</t>
  </si>
  <si>
    <t xml:space="preserve">SB-0716</t>
  </si>
  <si>
    <t xml:space="preserve">WL-02899</t>
  </si>
  <si>
    <t xml:space="preserve">Tricia Dixon</t>
  </si>
  <si>
    <t xml:space="preserve">slip_inventory_2026-08.csv row 1131; applicant_register_2026-08.csv row 1900</t>
  </si>
  <si>
    <t xml:space="preserve">SB-0717</t>
  </si>
  <si>
    <t xml:space="preserve">slip_inventory_2026-08.csv row 1132; applicant_register_2026-08.csv row 2662</t>
  </si>
  <si>
    <t xml:space="preserve">SB-0718</t>
  </si>
  <si>
    <t xml:space="preserve">WL-01111</t>
  </si>
  <si>
    <t xml:space="preserve">Monique Carey</t>
  </si>
  <si>
    <t xml:space="preserve">slip_inventory_2026-08.csv row 1133; applicant_register_2026-08.csv row 112</t>
  </si>
  <si>
    <t xml:space="preserve">WL-03199</t>
  </si>
  <si>
    <t xml:space="preserve">Miguel Tucker</t>
  </si>
  <si>
    <t xml:space="preserve">slip_inventory_2026-08.csv row 1134; applicant_register_2026-08.csv row 2200</t>
  </si>
  <si>
    <t xml:space="preserve">WL-02654</t>
  </si>
  <si>
    <t xml:space="preserve">Christopher Evans</t>
  </si>
  <si>
    <t xml:space="preserve">slip_inventory_2026-08.csv row 1135; applicant_register_2026-08.csv row 1655</t>
  </si>
  <si>
    <t xml:space="preserve">SB-0721</t>
  </si>
  <si>
    <t xml:space="preserve">WL-02272</t>
  </si>
  <si>
    <t xml:space="preserve">Scott Mendoza</t>
  </si>
  <si>
    <t xml:space="preserve">slip_inventory_2026-08.csv row 1136; applicant_register_2026-08.csv row 1273</t>
  </si>
  <si>
    <t xml:space="preserve">SB-0722</t>
  </si>
  <si>
    <t xml:space="preserve">WL-03331</t>
  </si>
  <si>
    <t xml:space="preserve">Samuel Lane</t>
  </si>
  <si>
    <t xml:space="preserve">slip_inventory_2026-08.csv row 1137; applicant_register_2026-08.csv row 2332</t>
  </si>
  <si>
    <t xml:space="preserve">SB-0723</t>
  </si>
  <si>
    <t xml:space="preserve">WL-02427</t>
  </si>
  <si>
    <t xml:space="preserve">Joseph Crosby</t>
  </si>
  <si>
    <t xml:space="preserve">slip_inventory_2026-08.csv row 1138; applicant_register_2026-08.csv row 1428</t>
  </si>
  <si>
    <t xml:space="preserve">SB-0724</t>
  </si>
  <si>
    <t xml:space="preserve">WL-03552</t>
  </si>
  <si>
    <t xml:space="preserve">Dawn Hammond</t>
  </si>
  <si>
    <t xml:space="preserve">slip_inventory_2026-08.csv row 1139; applicant_register_2026-08.csv row 2553</t>
  </si>
  <si>
    <t xml:space="preserve">WL-01126</t>
  </si>
  <si>
    <t xml:space="preserve">Jo Hernandez</t>
  </si>
  <si>
    <t xml:space="preserve">slip_inventory_2026-08.csv row 1140; applicant_register_2026-08.csv row 127</t>
  </si>
  <si>
    <t xml:space="preserve">SB-0802</t>
  </si>
  <si>
    <t xml:space="preserve">WL-03773</t>
  </si>
  <si>
    <t xml:space="preserve">David Giles</t>
  </si>
  <si>
    <t xml:space="preserve">slip_inventory_2026-08.csv row 1141; applicant_register_2026-08.csv row 2774</t>
  </si>
  <si>
    <t xml:space="preserve">SB-0803</t>
  </si>
  <si>
    <t xml:space="preserve">Hannah Orozco</t>
  </si>
  <si>
    <t xml:space="preserve">slip_inventory_2026-08.csv row 1142; applicant_register_2026-08.csv row 2315</t>
  </si>
  <si>
    <t xml:space="preserve">Justin Johnson</t>
  </si>
  <si>
    <t xml:space="preserve">slip_inventory_2026-08.csv row 1143; applicant_register_2026-08.csv row 350</t>
  </si>
  <si>
    <t xml:space="preserve">SB-0805</t>
  </si>
  <si>
    <t xml:space="preserve">WL-02163</t>
  </si>
  <si>
    <t xml:space="preserve">Kimberly Brown</t>
  </si>
  <si>
    <t xml:space="preserve">slip_inventory_2026-08.csv row 1144; applicant_register_2026-08.csv row 1164</t>
  </si>
  <si>
    <t xml:space="preserve">WL-03521</t>
  </si>
  <si>
    <t xml:space="preserve">Penny Nelson</t>
  </si>
  <si>
    <t xml:space="preserve">slip_inventory_2026-08.csv row 1145; applicant_register_2026-08.csv row 2522</t>
  </si>
  <si>
    <t xml:space="preserve">SB-0808</t>
  </si>
  <si>
    <t xml:space="preserve">slip_inventory_2026-08.csv row 1147; applicant_register_2026-08.csv row 1925</t>
  </si>
  <si>
    <t xml:space="preserve">SB-0809</t>
  </si>
  <si>
    <t xml:space="preserve">WL-03219</t>
  </si>
  <si>
    <t xml:space="preserve">Tara Sanders</t>
  </si>
  <si>
    <t xml:space="preserve">slip_inventory_2026-08.csv row 1148; applicant_register_2026-08.csv row 2220</t>
  </si>
  <si>
    <t xml:space="preserve">SB-0810</t>
  </si>
  <si>
    <t xml:space="preserve">WL-02815</t>
  </si>
  <si>
    <t xml:space="preserve">Mark Myers</t>
  </si>
  <si>
    <t xml:space="preserve">slip_inventory_2026-08.csv row 1149; applicant_register_2026-08.csv row 1816</t>
  </si>
  <si>
    <t xml:space="preserve">SB-0812</t>
  </si>
  <si>
    <t xml:space="preserve">Amy Murray</t>
  </si>
  <si>
    <t xml:space="preserve">slip_inventory_2026-08.csv row 1151; applicant_register_2026-08.csv row 1154</t>
  </si>
  <si>
    <t xml:space="preserve">SB-0813</t>
  </si>
  <si>
    <t xml:space="preserve">WL-01647</t>
  </si>
  <si>
    <t xml:space="preserve">Robert Shannon</t>
  </si>
  <si>
    <t xml:space="preserve">slip_inventory_2026-08.csv row 1152; applicant_register_2026-08.csv row 648</t>
  </si>
  <si>
    <t xml:space="preserve">SB-0814</t>
  </si>
  <si>
    <t xml:space="preserve">slip_inventory_2026-08.csv row 1153; applicant_register_2026-08.csv row 608</t>
  </si>
  <si>
    <t xml:space="preserve">SB-0815</t>
  </si>
  <si>
    <t xml:space="preserve">WL-01237</t>
  </si>
  <si>
    <t xml:space="preserve">April Nguyen</t>
  </si>
  <si>
    <t xml:space="preserve">slip_inventory_2026-08.csv row 1154; applicant_register_2026-08.csv row 238</t>
  </si>
  <si>
    <t xml:space="preserve">SB-0816</t>
  </si>
  <si>
    <t xml:space="preserve">WL-03446</t>
  </si>
  <si>
    <t xml:space="preserve">Joshua Weaver</t>
  </si>
  <si>
    <t xml:space="preserve">slip_inventory_2026-08.csv row 1155; applicant_register_2026-08.csv row 2447</t>
  </si>
  <si>
    <t xml:space="preserve">SB-0818</t>
  </si>
  <si>
    <t xml:space="preserve">WL-03486</t>
  </si>
  <si>
    <t xml:space="preserve">Mary Murillo</t>
  </si>
  <si>
    <t xml:space="preserve">slip_inventory_2026-08.csv row 1157; applicant_register_2026-08.csv row 2487</t>
  </si>
  <si>
    <t xml:space="preserve">SB-0819</t>
  </si>
  <si>
    <t xml:space="preserve">WL-02764</t>
  </si>
  <si>
    <t xml:space="preserve">Jason Bradley</t>
  </si>
  <si>
    <t xml:space="preserve">slip_inventory_2026-08.csv row 1158; applicant_register_2026-08.csv row 1765</t>
  </si>
  <si>
    <t xml:space="preserve">SB-0820</t>
  </si>
  <si>
    <t xml:space="preserve">WL-02114</t>
  </si>
  <si>
    <t xml:space="preserve">Walter Adams</t>
  </si>
  <si>
    <t xml:space="preserve">slip_inventory_2026-08.csv row 1159; applicant_register_2026-08.csv row 1115</t>
  </si>
  <si>
    <t xml:space="preserve">WL-01693</t>
  </si>
  <si>
    <t xml:space="preserve">Michael Price</t>
  </si>
  <si>
    <t xml:space="preserve">slip_inventory_2026-08.csv row 1160; applicant_register_2026-08.csv row 694</t>
  </si>
  <si>
    <t xml:space="preserve">SB-0822</t>
  </si>
  <si>
    <t xml:space="preserve">WL-03341</t>
  </si>
  <si>
    <t xml:space="preserve">Terri Johnston</t>
  </si>
  <si>
    <t xml:space="preserve">slip_inventory_2026-08.csv row 1161; applicant_register_2026-08.csv row 2342</t>
  </si>
  <si>
    <t xml:space="preserve">WL-01971</t>
  </si>
  <si>
    <t xml:space="preserve">Paul Smith</t>
  </si>
  <si>
    <t xml:space="preserve">slip_inventory_2026-08.csv row 1163; applicant_register_2026-08.csv row 972</t>
  </si>
  <si>
    <t xml:space="preserve">SB-0901</t>
  </si>
  <si>
    <t xml:space="preserve">WL-03688</t>
  </si>
  <si>
    <t xml:space="preserve">Gilbert Rodriguez</t>
  </si>
  <si>
    <t xml:space="preserve">slip_inventory_2026-08.csv row 1164; applicant_register_2026-08.csv row 2689</t>
  </si>
  <si>
    <t xml:space="preserve">WL-03519</t>
  </si>
  <si>
    <t xml:space="preserve">Crystal Moore</t>
  </si>
  <si>
    <t xml:space="preserve">slip_inventory_2026-08.csv row 1166; applicant_register_2026-08.csv row 2520</t>
  </si>
  <si>
    <t xml:space="preserve">SB-0904</t>
  </si>
  <si>
    <t xml:space="preserve">slip_inventory_2026-08.csv row 1167; applicant_register_2026-08.csv row 1181</t>
  </si>
  <si>
    <t xml:space="preserve">WL-03714</t>
  </si>
  <si>
    <t xml:space="preserve">Christopher Mitchell</t>
  </si>
  <si>
    <t xml:space="preserve">slip_inventory_2026-08.csv row 1168; applicant_register_2026-08.csv row 2715</t>
  </si>
  <si>
    <t xml:space="preserve">SB-0906</t>
  </si>
  <si>
    <t xml:space="preserve">WL-01202</t>
  </si>
  <si>
    <t xml:space="preserve">Kevin Benson</t>
  </si>
  <si>
    <t xml:space="preserve">slip_inventory_2026-08.csv row 1169; applicant_register_2026-08.csv row 203</t>
  </si>
  <si>
    <t xml:space="preserve">WL-03796</t>
  </si>
  <si>
    <t xml:space="preserve">Christine Johnson</t>
  </si>
  <si>
    <t xml:space="preserve">slip_inventory_2026-08.csv row 1171; applicant_register_2026-08.csv row 2797</t>
  </si>
  <si>
    <t xml:space="preserve">SB-0909</t>
  </si>
  <si>
    <t xml:space="preserve">WL-01919</t>
  </si>
  <si>
    <t xml:space="preserve">Glenda Perkins</t>
  </si>
  <si>
    <t xml:space="preserve">slip_inventory_2026-08.csv row 1172; applicant_register_2026-08.csv row 920</t>
  </si>
  <si>
    <t xml:space="preserve">SB-0910</t>
  </si>
  <si>
    <t xml:space="preserve">WL-01503</t>
  </si>
  <si>
    <t xml:space="preserve">Kayla Moore</t>
  </si>
  <si>
    <t xml:space="preserve">slip_inventory_2026-08.csv row 1173; applicant_register_2026-08.csv row 504</t>
  </si>
  <si>
    <t xml:space="preserve">slip_inventory_2026-08.csv row 1174; applicant_register_2026-08.csv row 1913</t>
  </si>
  <si>
    <t xml:space="preserve">SB-0912</t>
  </si>
  <si>
    <t xml:space="preserve">WL-02350</t>
  </si>
  <si>
    <t xml:space="preserve">Christy Chambers</t>
  </si>
  <si>
    <t xml:space="preserve">slip_inventory_2026-08.csv row 1175; applicant_register_2026-08.csv row 1351</t>
  </si>
  <si>
    <t xml:space="preserve">SB-0913</t>
  </si>
  <si>
    <t xml:space="preserve">WL-02119</t>
  </si>
  <si>
    <t xml:space="preserve">Eric Forbes</t>
  </si>
  <si>
    <t xml:space="preserve">slip_inventory_2026-08.csv row 1176; applicant_register_2026-08.csv row 1120</t>
  </si>
  <si>
    <t xml:space="preserve">SB-0914</t>
  </si>
  <si>
    <t xml:space="preserve">WL-02602</t>
  </si>
  <si>
    <t xml:space="preserve">John Shah</t>
  </si>
  <si>
    <t xml:space="preserve">slip_inventory_2026-08.csv row 1177; applicant_register_2026-08.csv row 1603</t>
  </si>
  <si>
    <t xml:space="preserve">WL-03084</t>
  </si>
  <si>
    <t xml:space="preserve">slip_inventory_2026-08.csv row 1178; applicant_register_2026-08.csv row 2085</t>
  </si>
  <si>
    <t xml:space="preserve">WL-03528</t>
  </si>
  <si>
    <t xml:space="preserve">Gina Hudson</t>
  </si>
  <si>
    <t xml:space="preserve">slip_inventory_2026-08.csv row 1179; applicant_register_2026-08.csv row 2529</t>
  </si>
  <si>
    <t xml:space="preserve">SB-0917</t>
  </si>
  <si>
    <t xml:space="preserve">WL-01294</t>
  </si>
  <si>
    <t xml:space="preserve">Peter Jenkins</t>
  </si>
  <si>
    <t xml:space="preserve">slip_inventory_2026-08.csv row 1180; applicant_register_2026-08.csv row 295</t>
  </si>
  <si>
    <t xml:space="preserve">SB-0918</t>
  </si>
  <si>
    <t xml:space="preserve">WL-03420</t>
  </si>
  <si>
    <t xml:space="preserve">Laura Franklin</t>
  </si>
  <si>
    <t xml:space="preserve">slip_inventory_2026-08.csv row 1181; applicant_register_2026-08.csv row 2421</t>
  </si>
  <si>
    <t xml:space="preserve">VB-0101</t>
  </si>
  <si>
    <t xml:space="preserve">WL-03423</t>
  </si>
  <si>
    <t xml:space="preserve">Sarah Walker</t>
  </si>
  <si>
    <t xml:space="preserve">TXN-202607-014675</t>
  </si>
  <si>
    <t xml:space="preserve">billing_transactions_2022_2026.csv row 44942</t>
  </si>
  <si>
    <t xml:space="preserve">slip_inventory_2026-08.csv row 262; applicant_register_2026-08.csv row 2424</t>
  </si>
  <si>
    <t xml:space="preserve">VB-0102</t>
  </si>
  <si>
    <t xml:space="preserve">WL-03356</t>
  </si>
  <si>
    <t xml:space="preserve">Nathaniel Flores</t>
  </si>
  <si>
    <t xml:space="preserve">TXN-202607-014729</t>
  </si>
  <si>
    <t xml:space="preserve">billing_transactions_2022_2026.csv row 44943</t>
  </si>
  <si>
    <t xml:space="preserve">slip_inventory_2026-08.csv row 263; applicant_register_2026-08.csv row 2357</t>
  </si>
  <si>
    <t xml:space="preserve">VB-0103</t>
  </si>
  <si>
    <t xml:space="preserve">Kenneth Simmons</t>
  </si>
  <si>
    <t xml:space="preserve">TXN-202607-014785</t>
  </si>
  <si>
    <t xml:space="preserve">billing_transactions_2022_2026.csv row 44945</t>
  </si>
  <si>
    <t xml:space="preserve">slip_inventory_2026-08.csv row 264; applicant_register_2026-08.csv row 2153</t>
  </si>
  <si>
    <t xml:space="preserve">VB-0105</t>
  </si>
  <si>
    <t xml:space="preserve">WL-03843</t>
  </si>
  <si>
    <t xml:space="preserve">Tricia Davila</t>
  </si>
  <si>
    <t xml:space="preserve">TXN-202607-014868</t>
  </si>
  <si>
    <t xml:space="preserve">billing_transactions_2022_2026.csv row 44947</t>
  </si>
  <si>
    <t xml:space="preserve">slip_inventory_2026-08.csv row 266; applicant_register_2026-08.csv row 2844</t>
  </si>
  <si>
    <t xml:space="preserve">VB-0106</t>
  </si>
  <si>
    <t xml:space="preserve">WL-01252</t>
  </si>
  <si>
    <t xml:space="preserve">Regina Brown</t>
  </si>
  <si>
    <t xml:space="preserve">TXN-202607-014947</t>
  </si>
  <si>
    <t xml:space="preserve">billing_transactions_2022_2026.csv row 44949</t>
  </si>
  <si>
    <t xml:space="preserve">slip_inventory_2026-08.csv row 267; applicant_register_2026-08.csv row 253</t>
  </si>
  <si>
    <t xml:space="preserve">VB-0107</t>
  </si>
  <si>
    <t xml:space="preserve">TXN-202607-014998</t>
  </si>
  <si>
    <t xml:space="preserve">billing_transactions_2022_2026.csv row 44951</t>
  </si>
  <si>
    <t xml:space="preserve">slip_inventory_2026-08.csv row 268; applicant_register_2026-08.csv row 1846</t>
  </si>
  <si>
    <t xml:space="preserve">VB-0108</t>
  </si>
  <si>
    <t xml:space="preserve">WL-03877</t>
  </si>
  <si>
    <t xml:space="preserve">Jerry Davis</t>
  </si>
  <si>
    <t xml:space="preserve">TXN-202607-015078</t>
  </si>
  <si>
    <t xml:space="preserve">billing_transactions_2022_2026.csv row 44953</t>
  </si>
  <si>
    <t xml:space="preserve">slip_inventory_2026-08.csv row 269; applicant_register_2026-08.csv row 2878</t>
  </si>
  <si>
    <t xml:space="preserve">VB-0109</t>
  </si>
  <si>
    <t xml:space="preserve">WL-02551</t>
  </si>
  <si>
    <t xml:space="preserve">Nicole Brown</t>
  </si>
  <si>
    <t xml:space="preserve">TXN-202607-015132</t>
  </si>
  <si>
    <t xml:space="preserve">billing_transactions_2022_2026.csv row 44955</t>
  </si>
  <si>
    <t xml:space="preserve">slip_inventory_2026-08.csv row 270; applicant_register_2026-08.csv row 1552</t>
  </si>
  <si>
    <t xml:space="preserve">VB-0110</t>
  </si>
  <si>
    <t xml:space="preserve">WL-01895</t>
  </si>
  <si>
    <t xml:space="preserve">TXN-202607-015180</t>
  </si>
  <si>
    <t xml:space="preserve">billing_transactions_2022_2026.csv row 44956</t>
  </si>
  <si>
    <t xml:space="preserve">slip_inventory_2026-08.csv row 271; applicant_register_2026-08.csv row 896</t>
  </si>
  <si>
    <t xml:space="preserve">VB-0111</t>
  </si>
  <si>
    <t xml:space="preserve">WL-03639</t>
  </si>
  <si>
    <t xml:space="preserve">Toni Graves</t>
  </si>
  <si>
    <t xml:space="preserve">TXN-202607-015250</t>
  </si>
  <si>
    <t xml:space="preserve">billing_transactions_2022_2026.csv row 44957</t>
  </si>
  <si>
    <t xml:space="preserve">slip_inventory_2026-08.csv row 272; applicant_register_2026-08.csv row 2640</t>
  </si>
  <si>
    <t xml:space="preserve">VB-0112</t>
  </si>
  <si>
    <t xml:space="preserve">WL-01196</t>
  </si>
  <si>
    <t xml:space="preserve">Valerie Montgomery</t>
  </si>
  <si>
    <t xml:space="preserve">TXN-202607-015321</t>
  </si>
  <si>
    <t xml:space="preserve">billing_transactions_2022_2026.csv row 44958</t>
  </si>
  <si>
    <t xml:space="preserve">slip_inventory_2026-08.csv row 273; applicant_register_2026-08.csv row 197</t>
  </si>
  <si>
    <t xml:space="preserve">WL-01600</t>
  </si>
  <si>
    <t xml:space="preserve">Kimberly Solomon</t>
  </si>
  <si>
    <t xml:space="preserve">TXN-202607-015364</t>
  </si>
  <si>
    <t xml:space="preserve">billing_transactions_2022_2026.csv row 44960</t>
  </si>
  <si>
    <t xml:space="preserve">slip_inventory_2026-08.csv row 274; applicant_register_2026-08.csv row 601</t>
  </si>
  <si>
    <t xml:space="preserve">VB-0114</t>
  </si>
  <si>
    <t xml:space="preserve">WL-02156</t>
  </si>
  <si>
    <t xml:space="preserve">Ariana Jenkins</t>
  </si>
  <si>
    <t xml:space="preserve">TXN-202607-015428</t>
  </si>
  <si>
    <t xml:space="preserve">billing_transactions_2022_2026.csv row 44961</t>
  </si>
  <si>
    <t xml:space="preserve">slip_inventory_2026-08.csv row 275; applicant_register_2026-08.csv row 1157</t>
  </si>
  <si>
    <t xml:space="preserve">VB-0115</t>
  </si>
  <si>
    <t xml:space="preserve">WL-03848</t>
  </si>
  <si>
    <t xml:space="preserve">Anne Thomas</t>
  </si>
  <si>
    <t xml:space="preserve">TXN-202607-015499</t>
  </si>
  <si>
    <t xml:space="preserve">billing_transactions_2022_2026.csv row 44963</t>
  </si>
  <si>
    <t xml:space="preserve">slip_inventory_2026-08.csv row 276; applicant_register_2026-08.csv row 2849</t>
  </si>
  <si>
    <t xml:space="preserve">VB-0116</t>
  </si>
  <si>
    <t xml:space="preserve">WL-03426</t>
  </si>
  <si>
    <t xml:space="preserve">Amanda Jackson</t>
  </si>
  <si>
    <t xml:space="preserve">TXN-202607-015579</t>
  </si>
  <si>
    <t xml:space="preserve">billing_transactions_2022_2026.csv row 44964</t>
  </si>
  <si>
    <t xml:space="preserve">slip_inventory_2026-08.csv row 277; applicant_register_2026-08.csv row 2427</t>
  </si>
  <si>
    <t xml:space="preserve">VB-0117</t>
  </si>
  <si>
    <t xml:space="preserve">WL-01706</t>
  </si>
  <si>
    <t xml:space="preserve">Michael Lee</t>
  </si>
  <si>
    <t xml:space="preserve">TXN-202607-015657</t>
  </si>
  <si>
    <t xml:space="preserve">billing_transactions_2022_2026.csv row 44966</t>
  </si>
  <si>
    <t xml:space="preserve">slip_inventory_2026-08.csv row 278; applicant_register_2026-08.csv row 707</t>
  </si>
  <si>
    <t xml:space="preserve">Alan Harris</t>
  </si>
  <si>
    <t xml:space="preserve">TXN-202607-015717</t>
  </si>
  <si>
    <t xml:space="preserve">billing_transactions_2022_2026.csv row 44967</t>
  </si>
  <si>
    <t xml:space="preserve">slip_inventory_2026-08.csv row 279; applicant_register_2026-08.csv row 298</t>
  </si>
  <si>
    <t xml:space="preserve">VB-0119</t>
  </si>
  <si>
    <t xml:space="preserve">WL-01640</t>
  </si>
  <si>
    <t xml:space="preserve">Tammy Stone</t>
  </si>
  <si>
    <t xml:space="preserve">TXN-202607-015772</t>
  </si>
  <si>
    <t xml:space="preserve">billing_transactions_2022_2026.csv row 44969</t>
  </si>
  <si>
    <t xml:space="preserve">slip_inventory_2026-08.csv row 280; applicant_register_2026-08.csv row 641</t>
  </si>
  <si>
    <t xml:space="preserve">VB-0120</t>
  </si>
  <si>
    <t xml:space="preserve">WL-02030</t>
  </si>
  <si>
    <t xml:space="preserve">Adam Carr</t>
  </si>
  <si>
    <t xml:space="preserve">TXN-202607-015847</t>
  </si>
  <si>
    <t xml:space="preserve">billing_transactions_2022_2026.csv row 44970</t>
  </si>
  <si>
    <t xml:space="preserve">slip_inventory_2026-08.csv row 281; applicant_register_2026-08.csv row 1031</t>
  </si>
  <si>
    <t xml:space="preserve">VB-0121</t>
  </si>
  <si>
    <t xml:space="preserve">WL-02857</t>
  </si>
  <si>
    <t xml:space="preserve">Charles Nichols</t>
  </si>
  <si>
    <t xml:space="preserve">TXN-202607-015890</t>
  </si>
  <si>
    <t xml:space="preserve">billing_transactions_2022_2026.csv row 44972</t>
  </si>
  <si>
    <t xml:space="preserve">slip_inventory_2026-08.csv row 282; applicant_register_2026-08.csv row 1858</t>
  </si>
  <si>
    <t xml:space="preserve">VB-0122</t>
  </si>
  <si>
    <t xml:space="preserve">WL-01705</t>
  </si>
  <si>
    <t xml:space="preserve">Tracy Walker</t>
  </si>
  <si>
    <t xml:space="preserve">TXN-202607-015962</t>
  </si>
  <si>
    <t xml:space="preserve">billing_transactions_2022_2026.csv row 44974</t>
  </si>
  <si>
    <t xml:space="preserve">slip_inventory_2026-08.csv row 283; applicant_register_2026-08.csv row 706</t>
  </si>
  <si>
    <t xml:space="preserve">WL-03171</t>
  </si>
  <si>
    <t xml:space="preserve">Destiny Tucker</t>
  </si>
  <si>
    <t xml:space="preserve">TXN-202607-016005</t>
  </si>
  <si>
    <t xml:space="preserve">billing_transactions_2022_2026.csv row 44975</t>
  </si>
  <si>
    <t xml:space="preserve">slip_inventory_2026-08.csv row 284; applicant_register_2026-08.csv row 2172</t>
  </si>
  <si>
    <t xml:space="preserve">VB-0124</t>
  </si>
  <si>
    <t xml:space="preserve">WL-03145</t>
  </si>
  <si>
    <t xml:space="preserve">Connie Hernandez</t>
  </si>
  <si>
    <t xml:space="preserve">TXN-202607-016049</t>
  </si>
  <si>
    <t xml:space="preserve">billing_transactions_2022_2026.csv row 44976</t>
  </si>
  <si>
    <t xml:space="preserve">slip_inventory_2026-08.csv row 285; applicant_register_2026-08.csv row 2146</t>
  </si>
  <si>
    <t xml:space="preserve">WL-01629</t>
  </si>
  <si>
    <t xml:space="preserve">Mary Parker</t>
  </si>
  <si>
    <t xml:space="preserve">TXN-202607-016110</t>
  </si>
  <si>
    <t xml:space="preserve">billing_transactions_2022_2026.csv row 44977</t>
  </si>
  <si>
    <t xml:space="preserve">slip_inventory_2026-08.csv row 286; applicant_register_2026-08.csv row 630</t>
  </si>
  <si>
    <t xml:space="preserve">VB-0202</t>
  </si>
  <si>
    <t xml:space="preserve">WL-02677</t>
  </si>
  <si>
    <t xml:space="preserve">Brandon Cabrera</t>
  </si>
  <si>
    <t xml:space="preserve">TXN-202607-016172</t>
  </si>
  <si>
    <t xml:space="preserve">billing_transactions_2022_2026.csv row 44979</t>
  </si>
  <si>
    <t xml:space="preserve">slip_inventory_2026-08.csv row 287; applicant_register_2026-08.csv row 1678</t>
  </si>
  <si>
    <t xml:space="preserve">VB-0203</t>
  </si>
  <si>
    <t xml:space="preserve">WL-03705</t>
  </si>
  <si>
    <t xml:space="preserve">Brittany Garcia</t>
  </si>
  <si>
    <t xml:space="preserve">TXN-202607-016221</t>
  </si>
  <si>
    <t xml:space="preserve">billing_transactions_2022_2026.csv row 44981</t>
  </si>
  <si>
    <t xml:space="preserve">slip_inventory_2026-08.csv row 288; applicant_register_2026-08.csv row 2706</t>
  </si>
  <si>
    <t xml:space="preserve">VB-0204</t>
  </si>
  <si>
    <t xml:space="preserve">WL-03015</t>
  </si>
  <si>
    <t xml:space="preserve">Andrew Osborne</t>
  </si>
  <si>
    <t xml:space="preserve">TXN-202607-016303</t>
  </si>
  <si>
    <t xml:space="preserve">billing_transactions_2022_2026.csv row 44982</t>
  </si>
  <si>
    <t xml:space="preserve">slip_inventory_2026-08.csv row 289; applicant_register_2026-08.csv row 2016</t>
  </si>
  <si>
    <t xml:space="preserve">WL-02622</t>
  </si>
  <si>
    <t xml:space="preserve">Laura Murillo</t>
  </si>
  <si>
    <t xml:space="preserve">TXN-202607-016358</t>
  </si>
  <si>
    <t xml:space="preserve">billing_transactions_2022_2026.csv row 44983</t>
  </si>
  <si>
    <t xml:space="preserve">slip_inventory_2026-08.csv row 290; applicant_register_2026-08.csv row 1623</t>
  </si>
  <si>
    <t xml:space="preserve">VB-0206</t>
  </si>
  <si>
    <t xml:space="preserve">WL-01377</t>
  </si>
  <si>
    <t xml:space="preserve">Rhonda Ferguson</t>
  </si>
  <si>
    <t xml:space="preserve">TXN-202607-016409</t>
  </si>
  <si>
    <t xml:space="preserve">billing_transactions_2022_2026.csv row 44985</t>
  </si>
  <si>
    <t xml:space="preserve">slip_inventory_2026-08.csv row 291; applicant_register_2026-08.csv row 378</t>
  </si>
  <si>
    <t xml:space="preserve">VB-0207</t>
  </si>
  <si>
    <t xml:space="preserve">WL-03580</t>
  </si>
  <si>
    <t xml:space="preserve">Rebecca Carson</t>
  </si>
  <si>
    <t xml:space="preserve">TXN-202607-016463</t>
  </si>
  <si>
    <t xml:space="preserve">billing_transactions_2022_2026.csv row 44986</t>
  </si>
  <si>
    <t xml:space="preserve">slip_inventory_2026-08.csv row 292; applicant_register_2026-08.csv row 2581</t>
  </si>
  <si>
    <t xml:space="preserve">VB-0208</t>
  </si>
  <si>
    <t xml:space="preserve">WL-03499</t>
  </si>
  <si>
    <t xml:space="preserve">Cameron Foster</t>
  </si>
  <si>
    <t xml:space="preserve">TXN-202607-016514</t>
  </si>
  <si>
    <t xml:space="preserve">billing_transactions_2022_2026.csv row 44987</t>
  </si>
  <si>
    <t xml:space="preserve">slip_inventory_2026-08.csv row 293; applicant_register_2026-08.csv row 2500</t>
  </si>
  <si>
    <t xml:space="preserve">WL-02734</t>
  </si>
  <si>
    <t xml:space="preserve">Kenneth Lewis</t>
  </si>
  <si>
    <t xml:space="preserve">TXN-202607-016567</t>
  </si>
  <si>
    <t xml:space="preserve">billing_transactions_2022_2026.csv row 44988</t>
  </si>
  <si>
    <t xml:space="preserve">slip_inventory_2026-08.csv row 294; applicant_register_2026-08.csv row 1735</t>
  </si>
  <si>
    <t xml:space="preserve">VB-0210</t>
  </si>
  <si>
    <t xml:space="preserve">TXN-202607-016609</t>
  </si>
  <si>
    <t xml:space="preserve">billing_transactions_2022_2026.csv row 44989</t>
  </si>
  <si>
    <t xml:space="preserve">slip_inventory_2026-08.csv row 295; applicant_register_2026-08.csv row 1869</t>
  </si>
  <si>
    <t xml:space="preserve">VB-0211</t>
  </si>
  <si>
    <t xml:space="preserve">Mary Morris</t>
  </si>
  <si>
    <t xml:space="preserve">TXN-202607-016680</t>
  </si>
  <si>
    <t xml:space="preserve">billing_transactions_2022_2026.csv row 44991</t>
  </si>
  <si>
    <t xml:space="preserve">slip_inventory_2026-08.csv row 296; applicant_register_2026-08.csv row 1207</t>
  </si>
  <si>
    <t xml:space="preserve">VB-0212</t>
  </si>
  <si>
    <t xml:space="preserve">WL-02983</t>
  </si>
  <si>
    <t xml:space="preserve">Albert Rodriguez</t>
  </si>
  <si>
    <t xml:space="preserve">TXN-202607-016760</t>
  </si>
  <si>
    <t xml:space="preserve">billing_transactions_2022_2026.csv row 44993</t>
  </si>
  <si>
    <t xml:space="preserve">slip_inventory_2026-08.csv row 297; applicant_register_2026-08.csv row 1984</t>
  </si>
  <si>
    <t xml:space="preserve">VB-0213</t>
  </si>
  <si>
    <t xml:space="preserve">WL-01002</t>
  </si>
  <si>
    <t xml:space="preserve">Virginia Ramirez</t>
  </si>
  <si>
    <t xml:space="preserve">TXN-202607-016820</t>
  </si>
  <si>
    <t xml:space="preserve">billing_transactions_2022_2026.csv row 44994</t>
  </si>
  <si>
    <t xml:space="preserve">slip_inventory_2026-08.csv row 298; applicant_register_2026-08.csv row 3</t>
  </si>
  <si>
    <t xml:space="preserve">VB-0214</t>
  </si>
  <si>
    <t xml:space="preserve">WL-01871</t>
  </si>
  <si>
    <t xml:space="preserve">Amber Munoz</t>
  </si>
  <si>
    <t xml:space="preserve">TXN-202607-016900</t>
  </si>
  <si>
    <t xml:space="preserve">billing_transactions_2022_2026.csv row 44996</t>
  </si>
  <si>
    <t xml:space="preserve">slip_inventory_2026-08.csv row 299; applicant_register_2026-08.csv row 872</t>
  </si>
  <si>
    <t xml:space="preserve">VB-0215</t>
  </si>
  <si>
    <t xml:space="preserve">WL-03364</t>
  </si>
  <si>
    <t xml:space="preserve">Brenda Patel</t>
  </si>
  <si>
    <t xml:space="preserve">TXN-202607-016984</t>
  </si>
  <si>
    <t xml:space="preserve">billing_transactions_2022_2026.csv row 44998</t>
  </si>
  <si>
    <t xml:space="preserve">slip_inventory_2026-08.csv row 300; applicant_register_2026-08.csv row 2365</t>
  </si>
  <si>
    <t xml:space="preserve">VB-0216</t>
  </si>
  <si>
    <t xml:space="preserve">WL-02253</t>
  </si>
  <si>
    <t xml:space="preserve">Nathan Parker</t>
  </si>
  <si>
    <t xml:space="preserve">TXN-202607-017046</t>
  </si>
  <si>
    <t xml:space="preserve">billing_transactions_2022_2026.csv row 45000</t>
  </si>
  <si>
    <t xml:space="preserve">slip_inventory_2026-08.csv row 301; applicant_register_2026-08.csv row 1254</t>
  </si>
  <si>
    <t xml:space="preserve">VB-0217</t>
  </si>
  <si>
    <t xml:space="preserve">WL-03383</t>
  </si>
  <si>
    <t xml:space="preserve">Michelle Potter</t>
  </si>
  <si>
    <t xml:space="preserve">TXN-202607-017084</t>
  </si>
  <si>
    <t xml:space="preserve">billing_transactions_2022_2026.csv row 45002</t>
  </si>
  <si>
    <t xml:space="preserve">slip_inventory_2026-08.csv row 302; applicant_register_2026-08.csv row 2384</t>
  </si>
  <si>
    <t xml:space="preserve">VB-0218</t>
  </si>
  <si>
    <t xml:space="preserve">WL-02534</t>
  </si>
  <si>
    <t xml:space="preserve">Daniel Erickson</t>
  </si>
  <si>
    <t xml:space="preserve">TXN-202607-017127</t>
  </si>
  <si>
    <t xml:space="preserve">billing_transactions_2022_2026.csv row 45003</t>
  </si>
  <si>
    <t xml:space="preserve">slip_inventory_2026-08.csv row 303; applicant_register_2026-08.csv row 1535</t>
  </si>
  <si>
    <t xml:space="preserve">VB-0219</t>
  </si>
  <si>
    <t xml:space="preserve">WL-02980</t>
  </si>
  <si>
    <t xml:space="preserve">Elizabeth Dixon</t>
  </si>
  <si>
    <t xml:space="preserve">TXN-202607-017190</t>
  </si>
  <si>
    <t xml:space="preserve">billing_transactions_2022_2026.csv row 45004</t>
  </si>
  <si>
    <t xml:space="preserve">slip_inventory_2026-08.csv row 304; applicant_register_2026-08.csv row 1981</t>
  </si>
  <si>
    <t xml:space="preserve">WL-02537</t>
  </si>
  <si>
    <t xml:space="preserve">Calvin Nelson</t>
  </si>
  <si>
    <t xml:space="preserve">TXN-202607-017234</t>
  </si>
  <si>
    <t xml:space="preserve">billing_transactions_2022_2026.csv row 45006</t>
  </si>
  <si>
    <t xml:space="preserve">slip_inventory_2026-08.csv row 305; applicant_register_2026-08.csv row 1538</t>
  </si>
  <si>
    <t xml:space="preserve">VB-0221</t>
  </si>
  <si>
    <t xml:space="preserve">WL-01130</t>
  </si>
  <si>
    <t xml:space="preserve">Thomas Davis</t>
  </si>
  <si>
    <t xml:space="preserve">TXN-202607-017305</t>
  </si>
  <si>
    <t xml:space="preserve">billing_transactions_2022_2026.csv row 45007</t>
  </si>
  <si>
    <t xml:space="preserve">slip_inventory_2026-08.csv row 306; applicant_register_2026-08.csv row 131</t>
  </si>
  <si>
    <t xml:space="preserve">WL-02331</t>
  </si>
  <si>
    <t xml:space="preserve">Cassandra Gibbs</t>
  </si>
  <si>
    <t xml:space="preserve">TXN-202607-017364</t>
  </si>
  <si>
    <t xml:space="preserve">billing_transactions_2022_2026.csv row 45008</t>
  </si>
  <si>
    <t xml:space="preserve">slip_inventory_2026-08.csv row 307; applicant_register_2026-08.csv row 1332</t>
  </si>
  <si>
    <t xml:space="preserve">WL-02078</t>
  </si>
  <si>
    <t xml:space="preserve">Brian Kramer</t>
  </si>
  <si>
    <t xml:space="preserve">TXN-202607-017444</t>
  </si>
  <si>
    <t xml:space="preserve">billing_transactions_2022_2026.csv row 45010</t>
  </si>
  <si>
    <t xml:space="preserve">slip_inventory_2026-08.csv row 308; applicant_register_2026-08.csv row 1079</t>
  </si>
  <si>
    <t xml:space="preserve">WL-01263</t>
  </si>
  <si>
    <t xml:space="preserve">Sandra Goodwin</t>
  </si>
  <si>
    <t xml:space="preserve">TXN-202607-017486</t>
  </si>
  <si>
    <t xml:space="preserve">billing_transactions_2022_2026.csv row 45011</t>
  </si>
  <si>
    <t xml:space="preserve">slip_inventory_2026-08.csv row 309; applicant_register_2026-08.csv row 264</t>
  </si>
  <si>
    <t xml:space="preserve">VB-0302</t>
  </si>
  <si>
    <t xml:space="preserve">WL-01447</t>
  </si>
  <si>
    <t xml:space="preserve">Tim Bailey</t>
  </si>
  <si>
    <t xml:space="preserve">TXN-202607-017532</t>
  </si>
  <si>
    <t xml:space="preserve">billing_transactions_2022_2026.csv row 45013</t>
  </si>
  <si>
    <t xml:space="preserve">slip_inventory_2026-08.csv row 311; applicant_register_2026-08.csv row 448</t>
  </si>
  <si>
    <t xml:space="preserve">VB-0303</t>
  </si>
  <si>
    <t xml:space="preserve">WL-01339</t>
  </si>
  <si>
    <t xml:space="preserve">Robert Houston</t>
  </si>
  <si>
    <t xml:space="preserve">TXN-202607-017583</t>
  </si>
  <si>
    <t xml:space="preserve">billing_transactions_2022_2026.csv row 45014</t>
  </si>
  <si>
    <t xml:space="preserve">slip_inventory_2026-08.csv row 312; applicant_register_2026-08.csv row 340</t>
  </si>
  <si>
    <t xml:space="preserve">WL-01303</t>
  </si>
  <si>
    <t xml:space="preserve">Robert Harmon</t>
  </si>
  <si>
    <t xml:space="preserve">TXN-202607-017649</t>
  </si>
  <si>
    <t xml:space="preserve">billing_transactions_2022_2026.csv row 45015</t>
  </si>
  <si>
    <t xml:space="preserve">slip_inventory_2026-08.csv row 313; applicant_register_2026-08.csv row 304</t>
  </si>
  <si>
    <t xml:space="preserve">VB-0305</t>
  </si>
  <si>
    <t xml:space="preserve">WL-02130</t>
  </si>
  <si>
    <t xml:space="preserve">Sierra Le</t>
  </si>
  <si>
    <t xml:space="preserve">TXN-202607-017701</t>
  </si>
  <si>
    <t xml:space="preserve">billing_transactions_2022_2026.csv row 45016</t>
  </si>
  <si>
    <t xml:space="preserve">slip_inventory_2026-08.csv row 314; applicant_register_2026-08.csv row 1131</t>
  </si>
  <si>
    <t xml:space="preserve">TXN-202607-017752</t>
  </si>
  <si>
    <t xml:space="preserve">billing_transactions_2022_2026.csv row 45018</t>
  </si>
  <si>
    <t xml:space="preserve">slip_inventory_2026-08.csv row 315; applicant_register_2026-08.csv row 2398</t>
  </si>
  <si>
    <t xml:space="preserve">VB-0307</t>
  </si>
  <si>
    <t xml:space="preserve">WL-01379</t>
  </si>
  <si>
    <t xml:space="preserve">Jacob Wong</t>
  </si>
  <si>
    <t xml:space="preserve">TXN-202607-017804</t>
  </si>
  <si>
    <t xml:space="preserve">billing_transactions_2022_2026.csv row 45020</t>
  </si>
  <si>
    <t xml:space="preserve">slip_inventory_2026-08.csv row 316; applicant_register_2026-08.csv row 380</t>
  </si>
  <si>
    <t xml:space="preserve">VB-0308</t>
  </si>
  <si>
    <t xml:space="preserve">WL-03564</t>
  </si>
  <si>
    <t xml:space="preserve">Amy Hernandez</t>
  </si>
  <si>
    <t xml:space="preserve">TXN-202607-017856</t>
  </si>
  <si>
    <t xml:space="preserve">billing_transactions_2022_2026.csv row 45022</t>
  </si>
  <si>
    <t xml:space="preserve">slip_inventory_2026-08.csv row 317; applicant_register_2026-08.csv row 2565</t>
  </si>
  <si>
    <t xml:space="preserve">VB-0309</t>
  </si>
  <si>
    <t xml:space="preserve">WL-02656</t>
  </si>
  <si>
    <t xml:space="preserve">David Horton</t>
  </si>
  <si>
    <t xml:space="preserve">TXN-202607-017902</t>
  </si>
  <si>
    <t xml:space="preserve">billing_transactions_2022_2026.csv row 45023</t>
  </si>
  <si>
    <t xml:space="preserve">slip_inventory_2026-08.csv row 318; applicant_register_2026-08.csv row 1657</t>
  </si>
  <si>
    <t xml:space="preserve">VB-0310</t>
  </si>
  <si>
    <t xml:space="preserve">WL-03313</t>
  </si>
  <si>
    <t xml:space="preserve">Jose Jimenez</t>
  </si>
  <si>
    <t xml:space="preserve">TXN-202607-017963</t>
  </si>
  <si>
    <t xml:space="preserve">billing_transactions_2022_2026.csv row 45024</t>
  </si>
  <si>
    <t xml:space="preserve">slip_inventory_2026-08.csv row 319; applicant_register_2026-08.csv row 2314</t>
  </si>
  <si>
    <t xml:space="preserve">WL-01760</t>
  </si>
  <si>
    <t xml:space="preserve">Jose Becker</t>
  </si>
  <si>
    <t xml:space="preserve">TXN-202607-018017</t>
  </si>
  <si>
    <t xml:space="preserve">billing_transactions_2022_2026.csv row 45026</t>
  </si>
  <si>
    <t xml:space="preserve">slip_inventory_2026-08.csv row 320; applicant_register_2026-08.csv row 761</t>
  </si>
  <si>
    <t xml:space="preserve">WL-03224</t>
  </si>
  <si>
    <t xml:space="preserve">Catherine Flynn</t>
  </si>
  <si>
    <t xml:space="preserve">TXN-202607-018066</t>
  </si>
  <si>
    <t xml:space="preserve">billing_transactions_2022_2026.csv row 45028</t>
  </si>
  <si>
    <t xml:space="preserve">slip_inventory_2026-08.csv row 321; applicant_register_2026-08.csv row 2225</t>
  </si>
  <si>
    <t xml:space="preserve">VB-0314</t>
  </si>
  <si>
    <t xml:space="preserve">Mitchell Mendez</t>
  </si>
  <si>
    <t xml:space="preserve">TXN-202607-018137</t>
  </si>
  <si>
    <t xml:space="preserve">billing_transactions_2022_2026.csv row 45030</t>
  </si>
  <si>
    <t xml:space="preserve">slip_inventory_2026-08.csv row 323; applicant_register_2026-08.csv row 1316</t>
  </si>
  <si>
    <t xml:space="preserve">VB-0315</t>
  </si>
  <si>
    <t xml:space="preserve">WL-03326</t>
  </si>
  <si>
    <t xml:space="preserve">Christopher Brock</t>
  </si>
  <si>
    <t xml:space="preserve">TXN-202607-018197</t>
  </si>
  <si>
    <t xml:space="preserve">billing_transactions_2022_2026.csv row 45031</t>
  </si>
  <si>
    <t xml:space="preserve">slip_inventory_2026-08.csv row 324; applicant_register_2026-08.csv row 2327</t>
  </si>
  <si>
    <t xml:space="preserve">VB-0316</t>
  </si>
  <si>
    <t xml:space="preserve">WL-03492</t>
  </si>
  <si>
    <t xml:space="preserve">Lisa Hernandez</t>
  </si>
  <si>
    <t xml:space="preserve">TXN-202607-018260</t>
  </si>
  <si>
    <t xml:space="preserve">billing_transactions_2022_2026.csv row 45032</t>
  </si>
  <si>
    <t xml:space="preserve">slip_inventory_2026-08.csv row 325; applicant_register_2026-08.csv row 2493</t>
  </si>
  <si>
    <t xml:space="preserve">VB-0317</t>
  </si>
  <si>
    <t xml:space="preserve">TXN-202607-018319</t>
  </si>
  <si>
    <t xml:space="preserve">billing_transactions_2022_2026.csv row 45034</t>
  </si>
  <si>
    <t xml:space="preserve">slip_inventory_2026-08.csv row 326; applicant_register_2026-08.csv row 1174</t>
  </si>
  <si>
    <t xml:space="preserve">VB-0318</t>
  </si>
  <si>
    <t xml:space="preserve">WL-02255</t>
  </si>
  <si>
    <t xml:space="preserve">Scott Garcia</t>
  </si>
  <si>
    <t xml:space="preserve">TXN-202607-018399</t>
  </si>
  <si>
    <t xml:space="preserve">billing_transactions_2022_2026.csv row 45035</t>
  </si>
  <si>
    <t xml:space="preserve">slip_inventory_2026-08.csv row 327; applicant_register_2026-08.csv row 1256</t>
  </si>
  <si>
    <t xml:space="preserve">VB-0319</t>
  </si>
  <si>
    <t xml:space="preserve">WL-01381</t>
  </si>
  <si>
    <t xml:space="preserve">Michael Dickson</t>
  </si>
  <si>
    <t xml:space="preserve">TXN-202607-018454</t>
  </si>
  <si>
    <t xml:space="preserve">billing_transactions_2022_2026.csv row 45036</t>
  </si>
  <si>
    <t xml:space="preserve">slip_inventory_2026-08.csv row 328; applicant_register_2026-08.csv row 382</t>
  </si>
  <si>
    <t xml:space="preserve">VB-0320</t>
  </si>
  <si>
    <t xml:space="preserve">WL-01254</t>
  </si>
  <si>
    <t xml:space="preserve">Barbara Jones</t>
  </si>
  <si>
    <t xml:space="preserve">TXN-202607-018507</t>
  </si>
  <si>
    <t xml:space="preserve">billing_transactions_2022_2026.csv row 45037</t>
  </si>
  <si>
    <t xml:space="preserve">slip_inventory_2026-08.csv row 329; applicant_register_2026-08.csv row 255</t>
  </si>
  <si>
    <t xml:space="preserve">VB-0321</t>
  </si>
  <si>
    <t xml:space="preserve">Christine Cook</t>
  </si>
  <si>
    <t xml:space="preserve">TXN-202607-018556</t>
  </si>
  <si>
    <t xml:space="preserve">billing_transactions_2022_2026.csv row 45038</t>
  </si>
  <si>
    <t xml:space="preserve">slip_inventory_2026-08.csv row 330; applicant_register_2026-08.csv row 2095</t>
  </si>
  <si>
    <t xml:space="preserve">VB-0322</t>
  </si>
  <si>
    <t xml:space="preserve">WL-02256</t>
  </si>
  <si>
    <t xml:space="preserve">Ryan Johnson</t>
  </si>
  <si>
    <t xml:space="preserve">TXN-202607-018616</t>
  </si>
  <si>
    <t xml:space="preserve">billing_transactions_2022_2026.csv row 45039</t>
  </si>
  <si>
    <t xml:space="preserve">slip_inventory_2026-08.csv row 331; applicant_register_2026-08.csv row 1257</t>
  </si>
  <si>
    <t xml:space="preserve">VB-0323</t>
  </si>
  <si>
    <t xml:space="preserve">WL-01488</t>
  </si>
  <si>
    <t xml:space="preserve">Stephen Wilcox</t>
  </si>
  <si>
    <t xml:space="preserve">TXN-202607-018667</t>
  </si>
  <si>
    <t xml:space="preserve">billing_transactions_2022_2026.csv row 45040</t>
  </si>
  <si>
    <t xml:space="preserve">slip_inventory_2026-08.csv row 332; applicant_register_2026-08.csv row 489</t>
  </si>
  <si>
    <t xml:space="preserve">VB-0324</t>
  </si>
  <si>
    <t xml:space="preserve">WL-01311</t>
  </si>
  <si>
    <t xml:space="preserve">Michael Fox</t>
  </si>
  <si>
    <t xml:space="preserve">TXN-202607-018724</t>
  </si>
  <si>
    <t xml:space="preserve">billing_transactions_2022_2026.csv row 45042</t>
  </si>
  <si>
    <t xml:space="preserve">slip_inventory_2026-08.csv row 333; applicant_register_2026-08.csv row 312</t>
  </si>
  <si>
    <t xml:space="preserve">VB-0401</t>
  </si>
  <si>
    <t xml:space="preserve">WL-01799</t>
  </si>
  <si>
    <t xml:space="preserve">Robert Johnson</t>
  </si>
  <si>
    <t xml:space="preserve">TXN-202607-018800</t>
  </si>
  <si>
    <t xml:space="preserve">billing_transactions_2022_2026.csv row 45043</t>
  </si>
  <si>
    <t xml:space="preserve">slip_inventory_2026-08.csv row 334; applicant_register_2026-08.csv row 800</t>
  </si>
  <si>
    <t xml:space="preserve">TXN-202607-018864</t>
  </si>
  <si>
    <t xml:space="preserve">billing_transactions_2022_2026.csv row 45045</t>
  </si>
  <si>
    <t xml:space="preserve">slip_inventory_2026-08.csv row 335; applicant_register_2026-08.csv row 960</t>
  </si>
  <si>
    <t xml:space="preserve">VB-0403</t>
  </si>
  <si>
    <t xml:space="preserve">WL-03548</t>
  </si>
  <si>
    <t xml:space="preserve">Michael Clark</t>
  </si>
  <si>
    <t xml:space="preserve">TXN-202607-018938</t>
  </si>
  <si>
    <t xml:space="preserve">billing_transactions_2022_2026.csv row 45046</t>
  </si>
  <si>
    <t xml:space="preserve">slip_inventory_2026-08.csv row 336; applicant_register_2026-08.csv row 2549</t>
  </si>
  <si>
    <t xml:space="preserve">VB-0405</t>
  </si>
  <si>
    <t xml:space="preserve">Matthew Meyer</t>
  </si>
  <si>
    <t xml:space="preserve">TXN-202607-018982</t>
  </si>
  <si>
    <t xml:space="preserve">billing_transactions_2022_2026.csv row 45048</t>
  </si>
  <si>
    <t xml:space="preserve">slip_inventory_2026-08.csv row 338; applicant_register_2026-08.csv row 1119</t>
  </si>
  <si>
    <t xml:space="preserve">VB-0406</t>
  </si>
  <si>
    <t xml:space="preserve">WL-01591</t>
  </si>
  <si>
    <t xml:space="preserve">Chad Yang</t>
  </si>
  <si>
    <t xml:space="preserve">TXN-202607-019060</t>
  </si>
  <si>
    <t xml:space="preserve">billing_transactions_2022_2026.csv row 45049</t>
  </si>
  <si>
    <t xml:space="preserve">slip_inventory_2026-08.csv row 339; applicant_register_2026-08.csv row 592</t>
  </si>
  <si>
    <t xml:space="preserve">VB-0407</t>
  </si>
  <si>
    <t xml:space="preserve">WL-02731</t>
  </si>
  <si>
    <t xml:space="preserve">Allison Taylor</t>
  </si>
  <si>
    <t xml:space="preserve">TXN-202607-019135</t>
  </si>
  <si>
    <t xml:space="preserve">billing_transactions_2022_2026.csv row 45051</t>
  </si>
  <si>
    <t xml:space="preserve">slip_inventory_2026-08.csv row 340; applicant_register_2026-08.csv row 1732</t>
  </si>
  <si>
    <t xml:space="preserve">VB-0408</t>
  </si>
  <si>
    <t xml:space="preserve">WL-01061</t>
  </si>
  <si>
    <t xml:space="preserve">Casey Smith</t>
  </si>
  <si>
    <t xml:space="preserve">TXN-202607-019205</t>
  </si>
  <si>
    <t xml:space="preserve">billing_transactions_2022_2026.csv row 45053</t>
  </si>
  <si>
    <t xml:space="preserve">slip_inventory_2026-08.csv row 341; applicant_register_2026-08.csv row 62</t>
  </si>
  <si>
    <t xml:space="preserve">Bryan Spencer</t>
  </si>
  <si>
    <t xml:space="preserve">TXN-202607-019274</t>
  </si>
  <si>
    <t xml:space="preserve">billing_transactions_2022_2026.csv row 45055</t>
  </si>
  <si>
    <t xml:space="preserve">slip_inventory_2026-08.csv row 342; applicant_register_2026-08.csv row 833</t>
  </si>
  <si>
    <t xml:space="preserve">VB-0410</t>
  </si>
  <si>
    <t xml:space="preserve">WL-02745</t>
  </si>
  <si>
    <t xml:space="preserve">Olivia Baldwin</t>
  </si>
  <si>
    <t xml:space="preserve">TXN-202607-019355</t>
  </si>
  <si>
    <t xml:space="preserve">billing_transactions_2022_2026.csv row 45057</t>
  </si>
  <si>
    <t xml:space="preserve">slip_inventory_2026-08.csv row 343; applicant_register_2026-08.csv row 1746</t>
  </si>
  <si>
    <t xml:space="preserve">VB-0411</t>
  </si>
  <si>
    <t xml:space="preserve">WL-02986</t>
  </si>
  <si>
    <t xml:space="preserve">Jaime Hernandez</t>
  </si>
  <si>
    <t xml:space="preserve">TXN-202607-019424</t>
  </si>
  <si>
    <t xml:space="preserve">billing_transactions_2022_2026.csv row 45059</t>
  </si>
  <si>
    <t xml:space="preserve">slip_inventory_2026-08.csv row 344; applicant_register_2026-08.csv row 1987</t>
  </si>
  <si>
    <t xml:space="preserve">VB-0412</t>
  </si>
  <si>
    <t xml:space="preserve">WL-02252</t>
  </si>
  <si>
    <t xml:space="preserve">Donald Mitchell</t>
  </si>
  <si>
    <t xml:space="preserve">TXN-202607-019499</t>
  </si>
  <si>
    <t xml:space="preserve">billing_transactions_2022_2026.csv row 45060</t>
  </si>
  <si>
    <t xml:space="preserve">slip_inventory_2026-08.csv row 345; applicant_register_2026-08.csv row 1253</t>
  </si>
  <si>
    <t xml:space="preserve">VB-0413</t>
  </si>
  <si>
    <t xml:space="preserve">WL-01014</t>
  </si>
  <si>
    <t xml:space="preserve">Maria Johnson</t>
  </si>
  <si>
    <t xml:space="preserve">TXN-202607-019560</t>
  </si>
  <si>
    <t xml:space="preserve">billing_transactions_2022_2026.csv row 45061</t>
  </si>
  <si>
    <t xml:space="preserve">slip_inventory_2026-08.csv row 346; applicant_register_2026-08.csv row 15</t>
  </si>
  <si>
    <t xml:space="preserve">VB-0414</t>
  </si>
  <si>
    <t xml:space="preserve">WL-03699</t>
  </si>
  <si>
    <t xml:space="preserve">Christopher Duncan</t>
  </si>
  <si>
    <t xml:space="preserve">TXN-202607-019597</t>
  </si>
  <si>
    <t xml:space="preserve">billing_transactions_2022_2026.csv row 45062</t>
  </si>
  <si>
    <t xml:space="preserve">slip_inventory_2026-08.csv row 347; applicant_register_2026-08.csv row 2700</t>
  </si>
  <si>
    <t xml:space="preserve">WL-03507</t>
  </si>
  <si>
    <t xml:space="preserve">John Chambers</t>
  </si>
  <si>
    <t xml:space="preserve">TXN-202607-019661</t>
  </si>
  <si>
    <t xml:space="preserve">billing_transactions_2022_2026.csv row 45063</t>
  </si>
  <si>
    <t xml:space="preserve">slip_inventory_2026-08.csv row 348; applicant_register_2026-08.csv row 2508</t>
  </si>
  <si>
    <t xml:space="preserve">VB-0416</t>
  </si>
  <si>
    <t xml:space="preserve">WL-03602</t>
  </si>
  <si>
    <t xml:space="preserve">Michael Horne</t>
  </si>
  <si>
    <t xml:space="preserve">TXN-202607-019718</t>
  </si>
  <si>
    <t xml:space="preserve">billing_transactions_2022_2026.csv row 45065</t>
  </si>
  <si>
    <t xml:space="preserve">slip_inventory_2026-08.csv row 349; applicant_register_2026-08.csv row 2603</t>
  </si>
  <si>
    <t xml:space="preserve">VB-0417</t>
  </si>
  <si>
    <t xml:space="preserve">WL-03358</t>
  </si>
  <si>
    <t xml:space="preserve">Jeremiah Cruz</t>
  </si>
  <si>
    <t xml:space="preserve">TXN-202607-019787</t>
  </si>
  <si>
    <t xml:space="preserve">billing_transactions_2022_2026.csv row 45067</t>
  </si>
  <si>
    <t xml:space="preserve">slip_inventory_2026-08.csv row 350; applicant_register_2026-08.csv row 2359</t>
  </si>
  <si>
    <t xml:space="preserve">VB-0418</t>
  </si>
  <si>
    <t xml:space="preserve">WL-03210</t>
  </si>
  <si>
    <t xml:space="preserve">James Calderon</t>
  </si>
  <si>
    <t xml:space="preserve">TXN-202607-019867</t>
  </si>
  <si>
    <t xml:space="preserve">billing_transactions_2022_2026.csv row 45068</t>
  </si>
  <si>
    <t xml:space="preserve">slip_inventory_2026-08.csv row 351; applicant_register_2026-08.csv row 2211</t>
  </si>
  <si>
    <t xml:space="preserve">VB-0419</t>
  </si>
  <si>
    <t xml:space="preserve">WL-03884</t>
  </si>
  <si>
    <t xml:space="preserve">Lindsay Williams</t>
  </si>
  <si>
    <t xml:space="preserve">TXN-202607-019947</t>
  </si>
  <si>
    <t xml:space="preserve">billing_transactions_2022_2026.csv row 45069</t>
  </si>
  <si>
    <t xml:space="preserve">slip_inventory_2026-08.csv row 352; applicant_register_2026-08.csv row 2885</t>
  </si>
  <si>
    <t xml:space="preserve">VB-0420</t>
  </si>
  <si>
    <t xml:space="preserve">WL-01215</t>
  </si>
  <si>
    <t xml:space="preserve">David Harris</t>
  </si>
  <si>
    <t xml:space="preserve">TXN-202607-020030</t>
  </si>
  <si>
    <t xml:space="preserve">billing_transactions_2022_2026.csv row 45071</t>
  </si>
  <si>
    <t xml:space="preserve">slip_inventory_2026-08.csv row 353; applicant_register_2026-08.csv row 216</t>
  </si>
  <si>
    <t xml:space="preserve">VB-0422</t>
  </si>
  <si>
    <t xml:space="preserve">WL-03830</t>
  </si>
  <si>
    <t xml:space="preserve">Erica Smith</t>
  </si>
  <si>
    <t xml:space="preserve">TXN-202607-020086</t>
  </si>
  <si>
    <t xml:space="preserve">billing_transactions_2022_2026.csv row 45072</t>
  </si>
  <si>
    <t xml:space="preserve">slip_inventory_2026-08.csv row 355; applicant_register_2026-08.csv row 2831</t>
  </si>
  <si>
    <t xml:space="preserve">VB-0423</t>
  </si>
  <si>
    <t xml:space="preserve">TXN-202607-020125</t>
  </si>
  <si>
    <t xml:space="preserve">billing_transactions_2022_2026.csv row 45073</t>
  </si>
  <si>
    <t xml:space="preserve">slip_inventory_2026-08.csv row 356; applicant_register_2026-08.csv row 2055</t>
  </si>
  <si>
    <t xml:space="preserve">VB-0424</t>
  </si>
  <si>
    <t xml:space="preserve">Joel Chang</t>
  </si>
  <si>
    <t xml:space="preserve">TXN-202607-020179</t>
  </si>
  <si>
    <t xml:space="preserve">billing_transactions_2022_2026.csv row 45074</t>
  </si>
  <si>
    <t xml:space="preserve">slip_inventory_2026-08.csv row 357; applicant_register_2026-08.csv row 1817</t>
  </si>
  <si>
    <t xml:space="preserve">VB-0501</t>
  </si>
  <si>
    <t xml:space="preserve">WL-03576</t>
  </si>
  <si>
    <t xml:space="preserve">Aimee Cooper</t>
  </si>
  <si>
    <t xml:space="preserve">TXN-202607-020252</t>
  </si>
  <si>
    <t xml:space="preserve">billing_transactions_2022_2026.csv row 45076</t>
  </si>
  <si>
    <t xml:space="preserve">slip_inventory_2026-08.csv row 358; applicant_register_2026-08.csv row 2577</t>
  </si>
  <si>
    <t xml:space="preserve">VB-0502</t>
  </si>
  <si>
    <t xml:space="preserve">WL-02127</t>
  </si>
  <si>
    <t xml:space="preserve">Kimberly Gomez</t>
  </si>
  <si>
    <t xml:space="preserve">TXN-202607-020309</t>
  </si>
  <si>
    <t xml:space="preserve">billing_transactions_2022_2026.csv row 45077</t>
  </si>
  <si>
    <t xml:space="preserve">slip_inventory_2026-08.csv row 359; applicant_register_2026-08.csv row 1128</t>
  </si>
  <si>
    <t xml:space="preserve">WL-03734</t>
  </si>
  <si>
    <t xml:space="preserve">Erin Lewis</t>
  </si>
  <si>
    <t xml:space="preserve">TXN-202607-020375</t>
  </si>
  <si>
    <t xml:space="preserve">billing_transactions_2022_2026.csv row 45078</t>
  </si>
  <si>
    <t xml:space="preserve">slip_inventory_2026-08.csv row 361; applicant_register_2026-08.csv row 2735</t>
  </si>
  <si>
    <t xml:space="preserve">VB-0505</t>
  </si>
  <si>
    <t xml:space="preserve">WL-03343</t>
  </si>
  <si>
    <t xml:space="preserve">Justin Mckinney</t>
  </si>
  <si>
    <t xml:space="preserve">TXN-202607-020415</t>
  </si>
  <si>
    <t xml:space="preserve">billing_transactions_2022_2026.csv row 45080</t>
  </si>
  <si>
    <t xml:space="preserve">slip_inventory_2026-08.csv row 362; applicant_register_2026-08.csv row 2344</t>
  </si>
  <si>
    <t xml:space="preserve">VB-0506</t>
  </si>
  <si>
    <t xml:space="preserve">WL-03154</t>
  </si>
  <si>
    <t xml:space="preserve">Michael Stevens</t>
  </si>
  <si>
    <t xml:space="preserve">TXN-202607-020479</t>
  </si>
  <si>
    <t xml:space="preserve">billing_transactions_2022_2026.csv row 45082</t>
  </si>
  <si>
    <t xml:space="preserve">slip_inventory_2026-08.csv row 363; applicant_register_2026-08.csv row 2155</t>
  </si>
  <si>
    <t xml:space="preserve">WL-01541</t>
  </si>
  <si>
    <t xml:space="preserve">Rhonda Johnson</t>
  </si>
  <si>
    <t xml:space="preserve">TXN-202607-020549</t>
  </si>
  <si>
    <t xml:space="preserve">billing_transactions_2022_2026.csv row 45083</t>
  </si>
  <si>
    <t xml:space="preserve">slip_inventory_2026-08.csv row 364; applicant_register_2026-08.csv row 542</t>
  </si>
  <si>
    <t xml:space="preserve">VB-0508</t>
  </si>
  <si>
    <t xml:space="preserve">WL-01834</t>
  </si>
  <si>
    <t xml:space="preserve">Kevin Baker</t>
  </si>
  <si>
    <t xml:space="preserve">TXN-202607-020608</t>
  </si>
  <si>
    <t xml:space="preserve">billing_transactions_2022_2026.csv row 45084</t>
  </si>
  <si>
    <t xml:space="preserve">slip_inventory_2026-08.csv row 365; applicant_register_2026-08.csv row 835</t>
  </si>
  <si>
    <t xml:space="preserve">VB-0509</t>
  </si>
  <si>
    <t xml:space="preserve">WL-02326</t>
  </si>
  <si>
    <t xml:space="preserve">Debra Blackwell</t>
  </si>
  <si>
    <t xml:space="preserve">TXN-202607-020670</t>
  </si>
  <si>
    <t xml:space="preserve">billing_transactions_2022_2026.csv row 45085</t>
  </si>
  <si>
    <t xml:space="preserve">slip_inventory_2026-08.csv row 366; applicant_register_2026-08.csv row 1327</t>
  </si>
  <si>
    <t xml:space="preserve">VB-0510</t>
  </si>
  <si>
    <t xml:space="preserve">Michael Burns</t>
  </si>
  <si>
    <t xml:space="preserve">TXN-202607-020740</t>
  </si>
  <si>
    <t xml:space="preserve">billing_transactions_2022_2026.csv row 45086</t>
  </si>
  <si>
    <t xml:space="preserve">slip_inventory_2026-08.csv row 367; applicant_register_2026-08.csv row 2832</t>
  </si>
  <si>
    <t xml:space="preserve">VB-0511</t>
  </si>
  <si>
    <t xml:space="preserve">WL-02036</t>
  </si>
  <si>
    <t xml:space="preserve">Susan Miller</t>
  </si>
  <si>
    <t xml:space="preserve">TXN-202607-020818</t>
  </si>
  <si>
    <t xml:space="preserve">billing_transactions_2022_2026.csv row 45087</t>
  </si>
  <si>
    <t xml:space="preserve">slip_inventory_2026-08.csv row 368; applicant_register_2026-08.csv row 1037</t>
  </si>
  <si>
    <t xml:space="preserve">TXN-202607-020853</t>
  </si>
  <si>
    <t xml:space="preserve">billing_transactions_2022_2026.csv row 45088</t>
  </si>
  <si>
    <t xml:space="preserve">slip_inventory_2026-08.csv row 369; applicant_register_2026-08.csv row 1593</t>
  </si>
  <si>
    <t xml:space="preserve">VB-0513</t>
  </si>
  <si>
    <t xml:space="preserve">WL-01169</t>
  </si>
  <si>
    <t xml:space="preserve">Cheyenne Kim</t>
  </si>
  <si>
    <t xml:space="preserve">TXN-202607-020902</t>
  </si>
  <si>
    <t xml:space="preserve">billing_transactions_2022_2026.csv row 45089</t>
  </si>
  <si>
    <t xml:space="preserve">slip_inventory_2026-08.csv row 370; applicant_register_2026-08.csv row 170</t>
  </si>
  <si>
    <t xml:space="preserve">VB-0514</t>
  </si>
  <si>
    <t xml:space="preserve">WL-03262</t>
  </si>
  <si>
    <t xml:space="preserve">Melissa Kerr</t>
  </si>
  <si>
    <t xml:space="preserve">TXN-202607-020942</t>
  </si>
  <si>
    <t xml:space="preserve">billing_transactions_2022_2026.csv row 45091</t>
  </si>
  <si>
    <t xml:space="preserve">slip_inventory_2026-08.csv row 371; applicant_register_2026-08.csv row 2263</t>
  </si>
  <si>
    <t xml:space="preserve">VB-0515</t>
  </si>
  <si>
    <t xml:space="preserve">WL-02590</t>
  </si>
  <si>
    <t xml:space="preserve">Thomas Anderson</t>
  </si>
  <si>
    <t xml:space="preserve">TXN-202607-021013</t>
  </si>
  <si>
    <t xml:space="preserve">billing_transactions_2022_2026.csv row 45092</t>
  </si>
  <si>
    <t xml:space="preserve">slip_inventory_2026-08.csv row 372; applicant_register_2026-08.csv row 1591</t>
  </si>
  <si>
    <t xml:space="preserve">WL-03489</t>
  </si>
  <si>
    <t xml:space="preserve">Alec Padilla</t>
  </si>
  <si>
    <t xml:space="preserve">TXN-202607-021055</t>
  </si>
  <si>
    <t xml:space="preserve">billing_transactions_2022_2026.csv row 45093</t>
  </si>
  <si>
    <t xml:space="preserve">slip_inventory_2026-08.csv row 374; applicant_register_2026-08.csv row 2490</t>
  </si>
  <si>
    <t xml:space="preserve">WL-01561</t>
  </si>
  <si>
    <t xml:space="preserve">Brandon Jacobs</t>
  </si>
  <si>
    <t xml:space="preserve">TXN-202607-021123</t>
  </si>
  <si>
    <t xml:space="preserve">billing_transactions_2022_2026.csv row 45095</t>
  </si>
  <si>
    <t xml:space="preserve">slip_inventory_2026-08.csv row 375; applicant_register_2026-08.csv row 562</t>
  </si>
  <si>
    <t xml:space="preserve">VB-0519</t>
  </si>
  <si>
    <t xml:space="preserve">WL-02751</t>
  </si>
  <si>
    <t xml:space="preserve">Tracy Austin</t>
  </si>
  <si>
    <t xml:space="preserve">TXN-202607-021193</t>
  </si>
  <si>
    <t xml:space="preserve">billing_transactions_2022_2026.csv row 45096</t>
  </si>
  <si>
    <t xml:space="preserve">slip_inventory_2026-08.csv row 376; applicant_register_2026-08.csv row 1752</t>
  </si>
  <si>
    <t xml:space="preserve">VB-0520</t>
  </si>
  <si>
    <t xml:space="preserve">WL-03010</t>
  </si>
  <si>
    <t xml:space="preserve">Anthony Fleming</t>
  </si>
  <si>
    <t xml:space="preserve">TXN-202607-021263</t>
  </si>
  <si>
    <t xml:space="preserve">billing_transactions_2022_2026.csv row 45098</t>
  </si>
  <si>
    <t xml:space="preserve">slip_inventory_2026-08.csv row 377; applicant_register_2026-08.csv row 2011</t>
  </si>
  <si>
    <t xml:space="preserve">TXN-202607-021329</t>
  </si>
  <si>
    <t xml:space="preserve">billing_transactions_2022_2026.csv row 45099</t>
  </si>
  <si>
    <t xml:space="preserve">slip_inventory_2026-08.csv row 378; applicant_register_2026-08.csv row 1878</t>
  </si>
  <si>
    <t xml:space="preserve">VB-0522</t>
  </si>
  <si>
    <t xml:space="preserve">WL-03485</t>
  </si>
  <si>
    <t xml:space="preserve">Timothy Moon</t>
  </si>
  <si>
    <t xml:space="preserve">TXN-202607-021371</t>
  </si>
  <si>
    <t xml:space="preserve">billing_transactions_2022_2026.csv row 45100</t>
  </si>
  <si>
    <t xml:space="preserve">slip_inventory_2026-08.csv row 379; applicant_register_2026-08.csv row 2486</t>
  </si>
  <si>
    <t xml:space="preserve">VB-0523</t>
  </si>
  <si>
    <t xml:space="preserve">WL-01927</t>
  </si>
  <si>
    <t xml:space="preserve">Mark Mclaughlin</t>
  </si>
  <si>
    <t xml:space="preserve">TXN-202607-021440</t>
  </si>
  <si>
    <t xml:space="preserve">billing_transactions_2022_2026.csv row 45102</t>
  </si>
  <si>
    <t xml:space="preserve">slip_inventory_2026-08.csv row 380; applicant_register_2026-08.csv row 928</t>
  </si>
  <si>
    <t xml:space="preserve">VB-0524</t>
  </si>
  <si>
    <t xml:space="preserve">WL-02787</t>
  </si>
  <si>
    <t xml:space="preserve">David Dawson</t>
  </si>
  <si>
    <t xml:space="preserve">TXN-202607-021525</t>
  </si>
  <si>
    <t xml:space="preserve">billing_transactions_2022_2026.csv row 45104</t>
  </si>
  <si>
    <t xml:space="preserve">slip_inventory_2026-08.csv row 381; applicant_register_2026-08.csv row 1788</t>
  </si>
  <si>
    <t xml:space="preserve">WL-01730</t>
  </si>
  <si>
    <t xml:space="preserve">Charles Sparks</t>
  </si>
  <si>
    <t xml:space="preserve">TXN-202607-021566</t>
  </si>
  <si>
    <t xml:space="preserve">billing_transactions_2022_2026.csv row 45106</t>
  </si>
  <si>
    <t xml:space="preserve">slip_inventory_2026-08.csv row 382; applicant_register_2026-08.csv row 731</t>
  </si>
  <si>
    <t xml:space="preserve">WL-03241</t>
  </si>
  <si>
    <t xml:space="preserve">Michael Ford</t>
  </si>
  <si>
    <t xml:space="preserve">TXN-202607-021617</t>
  </si>
  <si>
    <t xml:space="preserve">billing_transactions_2022_2026.csv row 45108</t>
  </si>
  <si>
    <t xml:space="preserve">slip_inventory_2026-08.csv row 383; applicant_register_2026-08.csv row 2242</t>
  </si>
  <si>
    <t xml:space="preserve">VB-0603</t>
  </si>
  <si>
    <t xml:space="preserve">Alexander Thompson</t>
  </si>
  <si>
    <t xml:space="preserve">TXN-202607-021668</t>
  </si>
  <si>
    <t xml:space="preserve">billing_transactions_2022_2026.csv row 45109</t>
  </si>
  <si>
    <t xml:space="preserve">slip_inventory_2026-08.csv row 384; applicant_register_2026-08.csv row 130</t>
  </si>
  <si>
    <t xml:space="preserve">TXN-202607-021705</t>
  </si>
  <si>
    <t xml:space="preserve">billing_transactions_2022_2026.csv row 45111</t>
  </si>
  <si>
    <t xml:space="preserve">slip_inventory_2026-08.csv row 385; applicant_register_2026-08.csv row 1000</t>
  </si>
  <si>
    <t xml:space="preserve">VB-0605</t>
  </si>
  <si>
    <t xml:space="preserve">TXN-202607-021750</t>
  </si>
  <si>
    <t xml:space="preserve">billing_transactions_2022_2026.csv row 45113</t>
  </si>
  <si>
    <t xml:space="preserve">slip_inventory_2026-08.csv row 386; applicant_register_2026-08.csv row 1891</t>
  </si>
  <si>
    <t xml:space="preserve">VB-0606</t>
  </si>
  <si>
    <t xml:space="preserve">TXN-202607-021832</t>
  </si>
  <si>
    <t xml:space="preserve">billing_transactions_2022_2026.csv row 45114</t>
  </si>
  <si>
    <t xml:space="preserve">slip_inventory_2026-08.csv row 387; applicant_register_2026-08.csv row 1405</t>
  </si>
  <si>
    <t xml:space="preserve">VB-0607</t>
  </si>
  <si>
    <t xml:space="preserve">WL-01590</t>
  </si>
  <si>
    <t xml:space="preserve">Cynthia Gutierrez</t>
  </si>
  <si>
    <t xml:space="preserve">TXN-202607-021912</t>
  </si>
  <si>
    <t xml:space="preserve">billing_transactions_2022_2026.csv row 45115</t>
  </si>
  <si>
    <t xml:space="preserve">slip_inventory_2026-08.csv row 388; applicant_register_2026-08.csv row 591</t>
  </si>
  <si>
    <t xml:space="preserve">VB-0609</t>
  </si>
  <si>
    <t xml:space="preserve">WL-01547</t>
  </si>
  <si>
    <t xml:space="preserve">Nicole Burke</t>
  </si>
  <si>
    <t xml:space="preserve">TXN-202607-021979</t>
  </si>
  <si>
    <t xml:space="preserve">billing_transactions_2022_2026.csv row 45116</t>
  </si>
  <si>
    <t xml:space="preserve">slip_inventory_2026-08.csv row 390; applicant_register_2026-08.csv row 548</t>
  </si>
  <si>
    <t xml:space="preserve">VB-0610</t>
  </si>
  <si>
    <t xml:space="preserve">WL-03058</t>
  </si>
  <si>
    <t xml:space="preserve">Mary Thomas</t>
  </si>
  <si>
    <t xml:space="preserve">TXN-202607-022060</t>
  </si>
  <si>
    <t xml:space="preserve">billing_transactions_2022_2026.csv row 45117</t>
  </si>
  <si>
    <t xml:space="preserve">slip_inventory_2026-08.csv row 391; applicant_register_2026-08.csv row 2059</t>
  </si>
  <si>
    <t xml:space="preserve">VB-0611</t>
  </si>
  <si>
    <t xml:space="preserve">WL-01330</t>
  </si>
  <si>
    <t xml:space="preserve">Mark Flynn</t>
  </si>
  <si>
    <t xml:space="preserve">TXN-202607-022113</t>
  </si>
  <si>
    <t xml:space="preserve">billing_transactions_2022_2026.csv row 45119</t>
  </si>
  <si>
    <t xml:space="preserve">slip_inventory_2026-08.csv row 392; applicant_register_2026-08.csv row 331</t>
  </si>
  <si>
    <t xml:space="preserve">VB-0612</t>
  </si>
  <si>
    <t xml:space="preserve">WL-03873</t>
  </si>
  <si>
    <t xml:space="preserve">Michele Clay</t>
  </si>
  <si>
    <t xml:space="preserve">TXN-202607-022167</t>
  </si>
  <si>
    <t xml:space="preserve">billing_transactions_2022_2026.csv row 45121</t>
  </si>
  <si>
    <t xml:space="preserve">slip_inventory_2026-08.csv row 393; applicant_register_2026-08.csv row 2874</t>
  </si>
  <si>
    <t xml:space="preserve">VB-0613</t>
  </si>
  <si>
    <t xml:space="preserve">WL-02467</t>
  </si>
  <si>
    <t xml:space="preserve">Joseph Davis</t>
  </si>
  <si>
    <t xml:space="preserve">TXN-202607-022229</t>
  </si>
  <si>
    <t xml:space="preserve">billing_transactions_2022_2026.csv row 45122</t>
  </si>
  <si>
    <t xml:space="preserve">slip_inventory_2026-08.csv row 394; applicant_register_2026-08.csv row 1468</t>
  </si>
  <si>
    <t xml:space="preserve">VB-0614</t>
  </si>
  <si>
    <t xml:space="preserve">Donna Kim</t>
  </si>
  <si>
    <t xml:space="preserve">TXN-202607-022301</t>
  </si>
  <si>
    <t xml:space="preserve">billing_transactions_2022_2026.csv row 45124</t>
  </si>
  <si>
    <t xml:space="preserve">slip_inventory_2026-08.csv row 395; applicant_register_2026-08.csv row 844</t>
  </si>
  <si>
    <t xml:space="preserve">VB-0615</t>
  </si>
  <si>
    <t xml:space="preserve">TXN-202607-022351</t>
  </si>
  <si>
    <t xml:space="preserve">billing_transactions_2022_2026.csv row 45125</t>
  </si>
  <si>
    <t xml:space="preserve">slip_inventory_2026-08.csv row 396; applicant_register_2026-08.csv row 1700</t>
  </si>
  <si>
    <t xml:space="preserve">VB-0616</t>
  </si>
  <si>
    <t xml:space="preserve">WL-01627</t>
  </si>
  <si>
    <t xml:space="preserve">Paige Cherry</t>
  </si>
  <si>
    <t xml:space="preserve">TXN-202607-022428</t>
  </si>
  <si>
    <t xml:space="preserve">billing_transactions_2022_2026.csv row 45126</t>
  </si>
  <si>
    <t xml:space="preserve">slip_inventory_2026-08.csv row 397; applicant_register_2026-08.csv row 628</t>
  </si>
  <si>
    <t xml:space="preserve">WL-02887</t>
  </si>
  <si>
    <t xml:space="preserve">Shelly Mayer</t>
  </si>
  <si>
    <t xml:space="preserve">TXN-202607-022510</t>
  </si>
  <si>
    <t xml:space="preserve">billing_transactions_2022_2026.csv row 45127</t>
  </si>
  <si>
    <t xml:space="preserve">slip_inventory_2026-08.csv row 398; applicant_register_2026-08.csv row 1888</t>
  </si>
  <si>
    <t xml:space="preserve">VB-0618</t>
  </si>
  <si>
    <t xml:space="preserve">WL-02828</t>
  </si>
  <si>
    <t xml:space="preserve">Desiree Olsen</t>
  </si>
  <si>
    <t xml:space="preserve">TXN-202607-022570</t>
  </si>
  <si>
    <t xml:space="preserve">billing_transactions_2022_2026.csv row 45128</t>
  </si>
  <si>
    <t xml:space="preserve">slip_inventory_2026-08.csv row 399; applicant_register_2026-08.csv row 1829</t>
  </si>
  <si>
    <t xml:space="preserve">WL-01841</t>
  </si>
  <si>
    <t xml:space="preserve">Arthur Jones</t>
  </si>
  <si>
    <t xml:space="preserve">TXN-202607-022635</t>
  </si>
  <si>
    <t xml:space="preserve">billing_transactions_2022_2026.csv row 45129</t>
  </si>
  <si>
    <t xml:space="preserve">slip_inventory_2026-08.csv row 400; applicant_register_2026-08.csv row 842</t>
  </si>
  <si>
    <t xml:space="preserve">WL-01226</t>
  </si>
  <si>
    <t xml:space="preserve">Phyllis Vargas</t>
  </si>
  <si>
    <t xml:space="preserve">TXN-202607-022703</t>
  </si>
  <si>
    <t xml:space="preserve">billing_transactions_2022_2026.csv row 45130</t>
  </si>
  <si>
    <t xml:space="preserve">slip_inventory_2026-08.csv row 401; applicant_register_2026-08.csv row 227</t>
  </si>
  <si>
    <t xml:space="preserve">VB-0621</t>
  </si>
  <si>
    <t xml:space="preserve">Adam Shepherd</t>
  </si>
  <si>
    <t xml:space="preserve">TXN-202607-022755</t>
  </si>
  <si>
    <t xml:space="preserve">billing_transactions_2022_2026.csv row 45131</t>
  </si>
  <si>
    <t xml:space="preserve">slip_inventory_2026-08.csv row 402; applicant_register_2026-08.csv row 276</t>
  </si>
  <si>
    <t xml:space="preserve">VB-0622</t>
  </si>
  <si>
    <t xml:space="preserve">WL-01083</t>
  </si>
  <si>
    <t xml:space="preserve">Dennis Schmidt</t>
  </si>
  <si>
    <t xml:space="preserve">TXN-202607-022808</t>
  </si>
  <si>
    <t xml:space="preserve">billing_transactions_2022_2026.csv row 45133</t>
  </si>
  <si>
    <t xml:space="preserve">slip_inventory_2026-08.csv row 403; applicant_register_2026-08.csv row 84</t>
  </si>
  <si>
    <t xml:space="preserve">VB-0623</t>
  </si>
  <si>
    <t xml:space="preserve">WL-02748</t>
  </si>
  <si>
    <t xml:space="preserve">Ross Griffin</t>
  </si>
  <si>
    <t xml:space="preserve">TXN-202607-022845</t>
  </si>
  <si>
    <t xml:space="preserve">billing_transactions_2022_2026.csv row 45134</t>
  </si>
  <si>
    <t xml:space="preserve">slip_inventory_2026-08.csv row 404; applicant_register_2026-08.csv row 1749</t>
  </si>
  <si>
    <t xml:space="preserve">VB-0624</t>
  </si>
  <si>
    <t xml:space="preserve">WL-03304</t>
  </si>
  <si>
    <t xml:space="preserve">Heather Brown</t>
  </si>
  <si>
    <t xml:space="preserve">TXN-202607-022927</t>
  </si>
  <si>
    <t xml:space="preserve">billing_transactions_2022_2026.csv row 45135</t>
  </si>
  <si>
    <t xml:space="preserve">slip_inventory_2026-08.csv row 405; applicant_register_2026-08.csv row 2305</t>
  </si>
  <si>
    <t xml:space="preserve">VB-0701</t>
  </si>
  <si>
    <t xml:space="preserve">WL-02201</t>
  </si>
  <si>
    <t xml:space="preserve">Johnathan Gould</t>
  </si>
  <si>
    <t xml:space="preserve">TXN-202607-022992</t>
  </si>
  <si>
    <t xml:space="preserve">billing_transactions_2022_2026.csv row 45136</t>
  </si>
  <si>
    <t xml:space="preserve">slip_inventory_2026-08.csv row 406; applicant_register_2026-08.csv row 1202</t>
  </si>
  <si>
    <t xml:space="preserve">VB-0703</t>
  </si>
  <si>
    <t xml:space="preserve">WL-01897</t>
  </si>
  <si>
    <t xml:space="preserve">Raymond Davis</t>
  </si>
  <si>
    <t xml:space="preserve">TXN-202607-023070</t>
  </si>
  <si>
    <t xml:space="preserve">billing_transactions_2022_2026.csv row 45137</t>
  </si>
  <si>
    <t xml:space="preserve">slip_inventory_2026-08.csv row 408; applicant_register_2026-08.csv row 898</t>
  </si>
  <si>
    <t xml:space="preserve">VB-0704</t>
  </si>
  <si>
    <t xml:space="preserve">WL-02737</t>
  </si>
  <si>
    <t xml:space="preserve">Kimberly Crosby</t>
  </si>
  <si>
    <t xml:space="preserve">TXN-202607-023147</t>
  </si>
  <si>
    <t xml:space="preserve">billing_transactions_2022_2026.csv row 45138</t>
  </si>
  <si>
    <t xml:space="preserve">slip_inventory_2026-08.csv row 409; applicant_register_2026-08.csv row 1738</t>
  </si>
  <si>
    <t xml:space="preserve">WL-02998</t>
  </si>
  <si>
    <t xml:space="preserve">Luis Bradley</t>
  </si>
  <si>
    <t xml:space="preserve">TXN-202607-023202</t>
  </si>
  <si>
    <t xml:space="preserve">billing_transactions_2022_2026.csv row 45139</t>
  </si>
  <si>
    <t xml:space="preserve">slip_inventory_2026-08.csv row 410; applicant_register_2026-08.csv row 1999</t>
  </si>
  <si>
    <t xml:space="preserve">VB-0706</t>
  </si>
  <si>
    <t xml:space="preserve">WL-02627</t>
  </si>
  <si>
    <t xml:space="preserve">Cynthia Campbell</t>
  </si>
  <si>
    <t xml:space="preserve">TXN-202607-023274</t>
  </si>
  <si>
    <t xml:space="preserve">billing_transactions_2022_2026.csv row 45141</t>
  </si>
  <si>
    <t xml:space="preserve">slip_inventory_2026-08.csv row 411; applicant_register_2026-08.csv row 1628</t>
  </si>
  <si>
    <t xml:space="preserve">James Lopez</t>
  </si>
  <si>
    <t xml:space="preserve">TXN-202607-023321</t>
  </si>
  <si>
    <t xml:space="preserve">billing_transactions_2022_2026.csv row 45143</t>
  </si>
  <si>
    <t xml:space="preserve">slip_inventory_2026-08.csv row 412; applicant_register_2026-08.csv row 145</t>
  </si>
  <si>
    <t xml:space="preserve">VB-0708</t>
  </si>
  <si>
    <t xml:space="preserve">WL-01549</t>
  </si>
  <si>
    <t xml:space="preserve">Zachary Wilson</t>
  </si>
  <si>
    <t xml:space="preserve">TXN-202607-023393</t>
  </si>
  <si>
    <t xml:space="preserve">billing_transactions_2022_2026.csv row 45144</t>
  </si>
  <si>
    <t xml:space="preserve">slip_inventory_2026-08.csv row 413; applicant_register_2026-08.csv row 550</t>
  </si>
  <si>
    <t xml:space="preserve">VB-0709</t>
  </si>
  <si>
    <t xml:space="preserve">WL-03117</t>
  </si>
  <si>
    <t xml:space="preserve">Stephanie Hawkins</t>
  </si>
  <si>
    <t xml:space="preserve">TXN-202607-023465</t>
  </si>
  <si>
    <t xml:space="preserve">billing_transactions_2022_2026.csv row 45146</t>
  </si>
  <si>
    <t xml:space="preserve">slip_inventory_2026-08.csv row 414; applicant_register_2026-08.csv row 2118</t>
  </si>
  <si>
    <t xml:space="preserve">VB-0710</t>
  </si>
  <si>
    <t xml:space="preserve">WL-01146</t>
  </si>
  <si>
    <t xml:space="preserve">Jessica English</t>
  </si>
  <si>
    <t xml:space="preserve">TXN-202607-023519</t>
  </si>
  <si>
    <t xml:space="preserve">billing_transactions_2022_2026.csv row 45147</t>
  </si>
  <si>
    <t xml:space="preserve">slip_inventory_2026-08.csv row 415; applicant_register_2026-08.csv row 147</t>
  </si>
  <si>
    <t xml:space="preserve">VB-0711</t>
  </si>
  <si>
    <t xml:space="preserve">WL-03156</t>
  </si>
  <si>
    <t xml:space="preserve">Stephen Riley</t>
  </si>
  <si>
    <t xml:space="preserve">TXN-202607-023562</t>
  </si>
  <si>
    <t xml:space="preserve">billing_transactions_2022_2026.csv row 45148</t>
  </si>
  <si>
    <t xml:space="preserve">slip_inventory_2026-08.csv row 416; applicant_register_2026-08.csv row 2157</t>
  </si>
  <si>
    <t xml:space="preserve">VB-0712</t>
  </si>
  <si>
    <t xml:space="preserve">WL-03530</t>
  </si>
  <si>
    <t xml:space="preserve">Jay Dominguez</t>
  </si>
  <si>
    <t xml:space="preserve">TXN-202607-023627</t>
  </si>
  <si>
    <t xml:space="preserve">billing_transactions_2022_2026.csv row 45149</t>
  </si>
  <si>
    <t xml:space="preserve">slip_inventory_2026-08.csv row 417; applicant_register_2026-08.csv row 2531</t>
  </si>
  <si>
    <t xml:space="preserve">VB-0713</t>
  </si>
  <si>
    <t xml:space="preserve">WL-01276</t>
  </si>
  <si>
    <t xml:space="preserve">Nicole Fritz</t>
  </si>
  <si>
    <t xml:space="preserve">TXN-202607-023681</t>
  </si>
  <si>
    <t xml:space="preserve">billing_transactions_2022_2026.csv row 45151</t>
  </si>
  <si>
    <t xml:space="preserve">slip_inventory_2026-08.csv row 418; applicant_register_2026-08.csv row 277</t>
  </si>
  <si>
    <t xml:space="preserve">VB-0714</t>
  </si>
  <si>
    <t xml:space="preserve">WL-02262</t>
  </si>
  <si>
    <t xml:space="preserve">James Rice</t>
  </si>
  <si>
    <t xml:space="preserve">TXN-202607-023747</t>
  </si>
  <si>
    <t xml:space="preserve">billing_transactions_2022_2026.csv row 45153</t>
  </si>
  <si>
    <t xml:space="preserve">slip_inventory_2026-08.csv row 419; applicant_register_2026-08.csv row 1263</t>
  </si>
  <si>
    <t xml:space="preserve">VB-0715</t>
  </si>
  <si>
    <t xml:space="preserve">TXN-202607-023822</t>
  </si>
  <si>
    <t xml:space="preserve">billing_transactions_2022_2026.csv row 45154</t>
  </si>
  <si>
    <t xml:space="preserve">slip_inventory_2026-08.csv row 420; applicant_register_2026-08.csv row 1851</t>
  </si>
  <si>
    <t xml:space="preserve">VB-0716</t>
  </si>
  <si>
    <t xml:space="preserve">WL-02482</t>
  </si>
  <si>
    <t xml:space="preserve">Emily Taylor</t>
  </si>
  <si>
    <t xml:space="preserve">TXN-202607-023897</t>
  </si>
  <si>
    <t xml:space="preserve">billing_transactions_2022_2026.csv row 45156</t>
  </si>
  <si>
    <t xml:space="preserve">slip_inventory_2026-08.csv row 421; applicant_register_2026-08.csv row 1483</t>
  </si>
  <si>
    <t xml:space="preserve">WL-01515</t>
  </si>
  <si>
    <t xml:space="preserve">Andrea Simpson</t>
  </si>
  <si>
    <t xml:space="preserve">TXN-202607-023967</t>
  </si>
  <si>
    <t xml:space="preserve">billing_transactions_2022_2026.csv row 45158</t>
  </si>
  <si>
    <t xml:space="preserve">slip_inventory_2026-08.csv row 422; applicant_register_2026-08.csv row 516</t>
  </si>
  <si>
    <t xml:space="preserve">VB-0718</t>
  </si>
  <si>
    <t xml:space="preserve">WL-02670</t>
  </si>
  <si>
    <t xml:space="preserve">Sara Hamilton</t>
  </si>
  <si>
    <t xml:space="preserve">TXN-202607-024050</t>
  </si>
  <si>
    <t xml:space="preserve">billing_transactions_2022_2026.csv row 45160</t>
  </si>
  <si>
    <t xml:space="preserve">slip_inventory_2026-08.csv row 423; applicant_register_2026-08.csv row 1671</t>
  </si>
  <si>
    <t xml:space="preserve">WL-01748</t>
  </si>
  <si>
    <t xml:space="preserve">Daniel Brown</t>
  </si>
  <si>
    <t xml:space="preserve">TXN-202607-024131</t>
  </si>
  <si>
    <t xml:space="preserve">billing_transactions_2022_2026.csv row 45162</t>
  </si>
  <si>
    <t xml:space="preserve">slip_inventory_2026-08.csv row 424; applicant_register_2026-08.csv row 749</t>
  </si>
  <si>
    <t xml:space="preserve">WL-01043</t>
  </si>
  <si>
    <t xml:space="preserve">Diane James</t>
  </si>
  <si>
    <t xml:space="preserve">TXN-202607-024195</t>
  </si>
  <si>
    <t xml:space="preserve">billing_transactions_2022_2026.csv row 45164</t>
  </si>
  <si>
    <t xml:space="preserve">slip_inventory_2026-08.csv row 425; applicant_register_2026-08.csv row 44</t>
  </si>
  <si>
    <t xml:space="preserve">WL-01272</t>
  </si>
  <si>
    <t xml:space="preserve">Christopher Dixon</t>
  </si>
  <si>
    <t xml:space="preserve">TXN-202607-024247</t>
  </si>
  <si>
    <t xml:space="preserve">billing_transactions_2022_2026.csv row 45165</t>
  </si>
  <si>
    <t xml:space="preserve">slip_inventory_2026-08.csv row 426; applicant_register_2026-08.csv row 273</t>
  </si>
  <si>
    <t xml:space="preserve">VB-0722</t>
  </si>
  <si>
    <t xml:space="preserve">WL-03066</t>
  </si>
  <si>
    <t xml:space="preserve">Shawna Cain</t>
  </si>
  <si>
    <t xml:space="preserve">TXN-202607-024313</t>
  </si>
  <si>
    <t xml:space="preserve">billing_transactions_2022_2026.csv row 45166</t>
  </si>
  <si>
    <t xml:space="preserve">slip_inventory_2026-08.csv row 427; applicant_register_2026-08.csv row 2067</t>
  </si>
  <si>
    <t xml:space="preserve">VB-0723</t>
  </si>
  <si>
    <t xml:space="preserve">WL-03192</t>
  </si>
  <si>
    <t xml:space="preserve">Aaron Johnson</t>
  </si>
  <si>
    <t xml:space="preserve">TXN-202607-024388</t>
  </si>
  <si>
    <t xml:space="preserve">billing_transactions_2022_2026.csv row 45167</t>
  </si>
  <si>
    <t xml:space="preserve">slip_inventory_2026-08.csv row 428; applicant_register_2026-08.csv row 2193</t>
  </si>
  <si>
    <t xml:space="preserve">VB-0724</t>
  </si>
  <si>
    <t xml:space="preserve">WL-02714</t>
  </si>
  <si>
    <t xml:space="preserve">Mitchell Sanchez</t>
  </si>
  <si>
    <t xml:space="preserve">TXN-202607-024452</t>
  </si>
  <si>
    <t xml:space="preserve">billing_transactions_2022_2026.csv row 45169</t>
  </si>
  <si>
    <t xml:space="preserve">slip_inventory_2026-08.csv row 429; applicant_register_2026-08.csv row 1715</t>
  </si>
  <si>
    <t xml:space="preserve">VB-0801</t>
  </si>
  <si>
    <t xml:space="preserve">WL-01099</t>
  </si>
  <si>
    <t xml:space="preserve">Joseph Cooper</t>
  </si>
  <si>
    <t xml:space="preserve">TXN-202607-024527</t>
  </si>
  <si>
    <t xml:space="preserve">billing_transactions_2022_2026.csv row 45170</t>
  </si>
  <si>
    <t xml:space="preserve">slip_inventory_2026-08.csv row 430; applicant_register_2026-08.csv row 100</t>
  </si>
  <si>
    <t xml:space="preserve">VB-0802</t>
  </si>
  <si>
    <t xml:space="preserve">WL-03073</t>
  </si>
  <si>
    <t xml:space="preserve">Donna Silva</t>
  </si>
  <si>
    <t xml:space="preserve">TXN-202607-024574</t>
  </si>
  <si>
    <t xml:space="preserve">billing_transactions_2022_2026.csv row 45171</t>
  </si>
  <si>
    <t xml:space="preserve">slip_inventory_2026-08.csv row 431; applicant_register_2026-08.csv row 2074</t>
  </si>
  <si>
    <t xml:space="preserve">VB-0803</t>
  </si>
  <si>
    <t xml:space="preserve">TXN-202607-024656</t>
  </si>
  <si>
    <t xml:space="preserve">billing_transactions_2022_2026.csv row 45172</t>
  </si>
  <si>
    <t xml:space="preserve">slip_inventory_2026-08.csv row 432; applicant_register_2026-08.csv row 890</t>
  </si>
  <si>
    <t xml:space="preserve">WL-02837</t>
  </si>
  <si>
    <t xml:space="preserve">Tara Elliott</t>
  </si>
  <si>
    <t xml:space="preserve">TXN-202607-024722</t>
  </si>
  <si>
    <t xml:space="preserve">billing_transactions_2022_2026.csv row 45174</t>
  </si>
  <si>
    <t xml:space="preserve">slip_inventory_2026-08.csv row 433; applicant_register_2026-08.csv row 1838</t>
  </si>
  <si>
    <t xml:space="preserve">TXN-202607-024763</t>
  </si>
  <si>
    <t xml:space="preserve">billing_transactions_2022_2026.csv row 45176</t>
  </si>
  <si>
    <t xml:space="preserve">slip_inventory_2026-08.csv row 434; applicant_register_2026-08.csv row 2294</t>
  </si>
  <si>
    <t xml:space="preserve">VB-0806</t>
  </si>
  <si>
    <t xml:space="preserve">WL-01493</t>
  </si>
  <si>
    <t xml:space="preserve">Jean Guerra</t>
  </si>
  <si>
    <t xml:space="preserve">TXN-202607-024804</t>
  </si>
  <si>
    <t xml:space="preserve">billing_transactions_2022_2026.csv row 45177</t>
  </si>
  <si>
    <t xml:space="preserve">slip_inventory_2026-08.csv row 435; applicant_register_2026-08.csv row 494</t>
  </si>
  <si>
    <t xml:space="preserve">VB-0807</t>
  </si>
  <si>
    <t xml:space="preserve">TXN-202607-024841</t>
  </si>
  <si>
    <t xml:space="preserve">billing_transactions_2022_2026.csv row 45179</t>
  </si>
  <si>
    <t xml:space="preserve">slip_inventory_2026-08.csv row 436; applicant_register_2026-08.csv row 493</t>
  </si>
  <si>
    <t xml:space="preserve">WL-03837</t>
  </si>
  <si>
    <t xml:space="preserve">John Griffith</t>
  </si>
  <si>
    <t xml:space="preserve">TXN-202607-024923</t>
  </si>
  <si>
    <t xml:space="preserve">billing_transactions_2022_2026.csv row 45181</t>
  </si>
  <si>
    <t xml:space="preserve">slip_inventory_2026-08.csv row 437; applicant_register_2026-08.csv row 2838</t>
  </si>
  <si>
    <t xml:space="preserve">WL-03458</t>
  </si>
  <si>
    <t xml:space="preserve">Brittany Wells</t>
  </si>
  <si>
    <t xml:space="preserve">TXN-202607-024983</t>
  </si>
  <si>
    <t xml:space="preserve">billing_transactions_2022_2026.csv row 45183</t>
  </si>
  <si>
    <t xml:space="preserve">slip_inventory_2026-08.csv row 439; applicant_register_2026-08.csv row 2459</t>
  </si>
  <si>
    <t xml:space="preserve">VB-0811</t>
  </si>
  <si>
    <t xml:space="preserve">WL-02419</t>
  </si>
  <si>
    <t xml:space="preserve">Cameron Aguirre</t>
  </si>
  <si>
    <t xml:space="preserve">TXN-202607-025049</t>
  </si>
  <si>
    <t xml:space="preserve">billing_transactions_2022_2026.csv row 45185</t>
  </si>
  <si>
    <t xml:space="preserve">slip_inventory_2026-08.csv row 440; applicant_register_2026-08.csv row 1420</t>
  </si>
  <si>
    <t xml:space="preserve">VB-0812</t>
  </si>
  <si>
    <t xml:space="preserve">WL-02636</t>
  </si>
  <si>
    <t xml:space="preserve">Andrew Young</t>
  </si>
  <si>
    <t xml:space="preserve">TXN-202607-025105</t>
  </si>
  <si>
    <t xml:space="preserve">billing_transactions_2022_2026.csv row 45187</t>
  </si>
  <si>
    <t xml:space="preserve">slip_inventory_2026-08.csv row 441; applicant_register_2026-08.csv row 1637</t>
  </si>
  <si>
    <t xml:space="preserve">WL-03132</t>
  </si>
  <si>
    <t xml:space="preserve">David Fox</t>
  </si>
  <si>
    <t xml:space="preserve">TXN-202607-025178</t>
  </si>
  <si>
    <t xml:space="preserve">billing_transactions_2022_2026.csv row 45188</t>
  </si>
  <si>
    <t xml:space="preserve">slip_inventory_2026-08.csv row 442; applicant_register_2026-08.csv row 2133</t>
  </si>
  <si>
    <t xml:space="preserve">VB-0814</t>
  </si>
  <si>
    <t xml:space="preserve">WL-03609</t>
  </si>
  <si>
    <t xml:space="preserve">Daniel Dunn</t>
  </si>
  <si>
    <t xml:space="preserve">TXN-202607-025219</t>
  </si>
  <si>
    <t xml:space="preserve">billing_transactions_2022_2026.csv row 45190</t>
  </si>
  <si>
    <t xml:space="preserve">slip_inventory_2026-08.csv row 443; applicant_register_2026-08.csv row 2610</t>
  </si>
  <si>
    <t xml:space="preserve">VB-0815</t>
  </si>
  <si>
    <t xml:space="preserve">WL-01850</t>
  </si>
  <si>
    <t xml:space="preserve">Bryce Benjamin</t>
  </si>
  <si>
    <t xml:space="preserve">TXN-202607-025273</t>
  </si>
  <si>
    <t xml:space="preserve">billing_transactions_2022_2026.csv row 45192</t>
  </si>
  <si>
    <t xml:space="preserve">slip_inventory_2026-08.csv row 444; applicant_register_2026-08.csv row 851</t>
  </si>
  <si>
    <t xml:space="preserve">VB-0816</t>
  </si>
  <si>
    <t xml:space="preserve">WL-02825</t>
  </si>
  <si>
    <t xml:space="preserve">Dustin Watkins</t>
  </si>
  <si>
    <t xml:space="preserve">TXN-202607-025340</t>
  </si>
  <si>
    <t xml:space="preserve">billing_transactions_2022_2026.csv row 45193</t>
  </si>
  <si>
    <t xml:space="preserve">slip_inventory_2026-08.csv row 445; applicant_register_2026-08.csv row 1826</t>
  </si>
  <si>
    <t xml:space="preserve">VB-0817</t>
  </si>
  <si>
    <t xml:space="preserve">WL-02072</t>
  </si>
  <si>
    <t xml:space="preserve">Stephen Hoffman</t>
  </si>
  <si>
    <t xml:space="preserve">TXN-202607-025419</t>
  </si>
  <si>
    <t xml:space="preserve">billing_transactions_2022_2026.csv row 45195</t>
  </si>
  <si>
    <t xml:space="preserve">slip_inventory_2026-08.csv row 446; applicant_register_2026-08.csv row 1073</t>
  </si>
  <si>
    <t xml:space="preserve">VB-0818</t>
  </si>
  <si>
    <t xml:space="preserve">WL-01501</t>
  </si>
  <si>
    <t xml:space="preserve">Thomas Levine</t>
  </si>
  <si>
    <t xml:space="preserve">TXN-202607-025467</t>
  </si>
  <si>
    <t xml:space="preserve">billing_transactions_2022_2026.csv row 45197</t>
  </si>
  <si>
    <t xml:space="preserve">slip_inventory_2026-08.csv row 447; applicant_register_2026-08.csv row 502</t>
  </si>
  <si>
    <t xml:space="preserve">VB-0819</t>
  </si>
  <si>
    <t xml:space="preserve">WL-03202</t>
  </si>
  <si>
    <t xml:space="preserve">TXN-202607-025514</t>
  </si>
  <si>
    <t xml:space="preserve">billing_transactions_2022_2026.csv row 45199</t>
  </si>
  <si>
    <t xml:space="preserve">slip_inventory_2026-08.csv row 448; applicant_register_2026-08.csv row 2203</t>
  </si>
  <si>
    <t xml:space="preserve">WL-01842</t>
  </si>
  <si>
    <t xml:space="preserve">Amy Thomas</t>
  </si>
  <si>
    <t xml:space="preserve">TXN-202607-025598</t>
  </si>
  <si>
    <t xml:space="preserve">billing_transactions_2022_2026.csv row 45200</t>
  </si>
  <si>
    <t xml:space="preserve">slip_inventory_2026-08.csv row 449; applicant_register_2026-08.csv row 843</t>
  </si>
  <si>
    <t xml:space="preserve">VB-0821</t>
  </si>
  <si>
    <t xml:space="preserve">Tonya Ruiz</t>
  </si>
  <si>
    <t xml:space="preserve">TXN-202607-025653</t>
  </si>
  <si>
    <t xml:space="preserve">billing_transactions_2022_2026.csv row 45201</t>
  </si>
  <si>
    <t xml:space="preserve">slip_inventory_2026-08.csv row 450; applicant_register_2026-08.csv row 1285</t>
  </si>
  <si>
    <t xml:space="preserve">VB-0822</t>
  </si>
  <si>
    <t xml:space="preserve">WL-01320</t>
  </si>
  <si>
    <t xml:space="preserve">Jesse Jennings</t>
  </si>
  <si>
    <t xml:space="preserve">TXN-202607-025724</t>
  </si>
  <si>
    <t xml:space="preserve">billing_transactions_2022_2026.csv row 45202</t>
  </si>
  <si>
    <t xml:space="preserve">slip_inventory_2026-08.csv row 451; applicant_register_2026-08.csv row 321</t>
  </si>
  <si>
    <t xml:space="preserve">VB-0823</t>
  </si>
  <si>
    <t xml:space="preserve">WL-01903</t>
  </si>
  <si>
    <t xml:space="preserve">Andrea Brady</t>
  </si>
  <si>
    <t xml:space="preserve">TXN-202607-025777</t>
  </si>
  <si>
    <t xml:space="preserve">billing_transactions_2022_2026.csv row 45204</t>
  </si>
  <si>
    <t xml:space="preserve">slip_inventory_2026-08.csv row 452; applicant_register_2026-08.csv row 904</t>
  </si>
  <si>
    <t xml:space="preserve">VB-0901</t>
  </si>
  <si>
    <t xml:space="preserve">Alex White</t>
  </si>
  <si>
    <t xml:space="preserve">TXN-202607-025850</t>
  </si>
  <si>
    <t xml:space="preserve">billing_transactions_2022_2026.csv row 45205</t>
  </si>
  <si>
    <t xml:space="preserve">slip_inventory_2026-08.csv row 454; applicant_register_2026-08.csv row 1651</t>
  </si>
  <si>
    <t xml:space="preserve">VB-0902</t>
  </si>
  <si>
    <t xml:space="preserve">WL-01273</t>
  </si>
  <si>
    <t xml:space="preserve">Eduardo Henry</t>
  </si>
  <si>
    <t xml:space="preserve">TXN-202607-025910</t>
  </si>
  <si>
    <t xml:space="preserve">billing_transactions_2022_2026.csv row 45206</t>
  </si>
  <si>
    <t xml:space="preserve">slip_inventory_2026-08.csv row 455; applicant_register_2026-08.csv row 274</t>
  </si>
  <si>
    <t xml:space="preserve">VB-0903</t>
  </si>
  <si>
    <t xml:space="preserve">WL-02456</t>
  </si>
  <si>
    <t xml:space="preserve">Madeline Nunez</t>
  </si>
  <si>
    <t xml:space="preserve">TXN-202607-025971</t>
  </si>
  <si>
    <t xml:space="preserve">billing_transactions_2022_2026.csv row 45208</t>
  </si>
  <si>
    <t xml:space="preserve">slip_inventory_2026-08.csv row 456; applicant_register_2026-08.csv row 1457</t>
  </si>
  <si>
    <t xml:space="preserve">WL-02354</t>
  </si>
  <si>
    <t xml:space="preserve">Makayla Sanchez</t>
  </si>
  <si>
    <t xml:space="preserve">TXN-202607-026050</t>
  </si>
  <si>
    <t xml:space="preserve">billing_transactions_2022_2026.csv row 45209</t>
  </si>
  <si>
    <t xml:space="preserve">slip_inventory_2026-08.csv row 457; applicant_register_2026-08.csv row 1355</t>
  </si>
  <si>
    <t xml:space="preserve">VB-0905</t>
  </si>
  <si>
    <t xml:space="preserve">WL-03101</t>
  </si>
  <si>
    <t xml:space="preserve">Kristie Cunningham</t>
  </si>
  <si>
    <t xml:space="preserve">TXN-202607-026104</t>
  </si>
  <si>
    <t xml:space="preserve">billing_transactions_2022_2026.csv row 45211</t>
  </si>
  <si>
    <t xml:space="preserve">slip_inventory_2026-08.csv row 458; applicant_register_2026-08.csv row 2102</t>
  </si>
  <si>
    <t xml:space="preserve">Angel Massey</t>
  </si>
  <si>
    <t xml:space="preserve">TXN-202607-026173</t>
  </si>
  <si>
    <t xml:space="preserve">billing_transactions_2022_2026.csv row 45212</t>
  </si>
  <si>
    <t xml:space="preserve">slip_inventory_2026-08.csv row 459; applicant_register_2026-08.csv row 1748</t>
  </si>
  <si>
    <t xml:space="preserve">VB-0907</t>
  </si>
  <si>
    <t xml:space="preserve">WL-03855</t>
  </si>
  <si>
    <t xml:space="preserve">Peggy Solomon</t>
  </si>
  <si>
    <t xml:space="preserve">TXN-202607-026248</t>
  </si>
  <si>
    <t xml:space="preserve">billing_transactions_2022_2026.csv row 45213</t>
  </si>
  <si>
    <t xml:space="preserve">slip_inventory_2026-08.csv row 460; applicant_register_2026-08.csv row 2856</t>
  </si>
  <si>
    <t xml:space="preserve">VB-0908</t>
  </si>
  <si>
    <t xml:space="preserve">TXN-202607-026314</t>
  </si>
  <si>
    <t xml:space="preserve">billing_transactions_2022_2026.csv row 45214</t>
  </si>
  <si>
    <t xml:space="preserve">slip_inventory_2026-08.csv row 461; applicant_register_2026-08.csv row 1712</t>
  </si>
  <si>
    <t xml:space="preserve">VB-0909</t>
  </si>
  <si>
    <t xml:space="preserve">WL-02313</t>
  </si>
  <si>
    <t xml:space="preserve">Aaron Bell</t>
  </si>
  <si>
    <t xml:space="preserve">TXN-202607-026381</t>
  </si>
  <si>
    <t xml:space="preserve">billing_transactions_2022_2026.csv row 45215</t>
  </si>
  <si>
    <t xml:space="preserve">slip_inventory_2026-08.csv row 462; applicant_register_2026-08.csv row 1314</t>
  </si>
  <si>
    <t xml:space="preserve">VB-0910</t>
  </si>
  <si>
    <t xml:space="preserve">WL-03308</t>
  </si>
  <si>
    <t xml:space="preserve">Tanya Hunt</t>
  </si>
  <si>
    <t xml:space="preserve">TXN-202607-026437</t>
  </si>
  <si>
    <t xml:space="preserve">billing_transactions_2022_2026.csv row 45217</t>
  </si>
  <si>
    <t xml:space="preserve">slip_inventory_2026-08.csv row 463; applicant_register_2026-08.csv row 2309</t>
  </si>
  <si>
    <t xml:space="preserve">VB-0911</t>
  </si>
  <si>
    <t xml:space="preserve">WL-01513</t>
  </si>
  <si>
    <t xml:space="preserve">Jennifer Thomas</t>
  </si>
  <si>
    <t xml:space="preserve">TXN-202607-026487</t>
  </si>
  <si>
    <t xml:space="preserve">billing_transactions_2022_2026.csv row 45218</t>
  </si>
  <si>
    <t xml:space="preserve">slip_inventory_2026-08.csv row 464; applicant_register_2026-08.csv row 514</t>
  </si>
  <si>
    <t xml:space="preserve">TXN-202607-026526</t>
  </si>
  <si>
    <t xml:space="preserve">billing_transactions_2022_2026.csv row 45219</t>
  </si>
  <si>
    <t xml:space="preserve">slip_inventory_2026-08.csv row 465; applicant_register_2026-08.csv row 28</t>
  </si>
  <si>
    <t xml:space="preserve">VB-0913</t>
  </si>
  <si>
    <t xml:space="preserve">WL-03838</t>
  </si>
  <si>
    <t xml:space="preserve">Sean Cruz</t>
  </si>
  <si>
    <t xml:space="preserve">TXN-202607-026581</t>
  </si>
  <si>
    <t xml:space="preserve">billing_transactions_2022_2026.csv row 45220</t>
  </si>
  <si>
    <t xml:space="preserve">slip_inventory_2026-08.csv row 466; applicant_register_2026-08.csv row 2839</t>
  </si>
  <si>
    <t xml:space="preserve">VB-0914</t>
  </si>
  <si>
    <t xml:space="preserve">Travis Young</t>
  </si>
  <si>
    <t xml:space="preserve">TXN-202607-026659</t>
  </si>
  <si>
    <t xml:space="preserve">billing_transactions_2022_2026.csv row 45221</t>
  </si>
  <si>
    <t xml:space="preserve">slip_inventory_2026-08.csv row 467; applicant_register_2026-08.csv row 1951</t>
  </si>
  <si>
    <t xml:space="preserve">VB-0915</t>
  </si>
  <si>
    <t xml:space="preserve">WL-02424</t>
  </si>
  <si>
    <t xml:space="preserve">Jessica Nguyen</t>
  </si>
  <si>
    <t xml:space="preserve">TXN-202607-026738</t>
  </si>
  <si>
    <t xml:space="preserve">billing_transactions_2022_2026.csv row 45223</t>
  </si>
  <si>
    <t xml:space="preserve">slip_inventory_2026-08.csv row 468; applicant_register_2026-08.csv row 1425</t>
  </si>
  <si>
    <t xml:space="preserve">WL-01194</t>
  </si>
  <si>
    <t xml:space="preserve">Kathryn Munoz</t>
  </si>
  <si>
    <t xml:space="preserve">TXN-202607-026790</t>
  </si>
  <si>
    <t xml:space="preserve">billing_transactions_2022_2026.csv row 45224</t>
  </si>
  <si>
    <t xml:space="preserve">slip_inventory_2026-08.csv row 469; applicant_register_2026-08.csv row 195</t>
  </si>
  <si>
    <t xml:space="preserve">WL-03422</t>
  </si>
  <si>
    <t xml:space="preserve">Robin Jones</t>
  </si>
  <si>
    <t xml:space="preserve">TXN-202607-026842</t>
  </si>
  <si>
    <t xml:space="preserve">billing_transactions_2022_2026.csv row 45226</t>
  </si>
  <si>
    <t xml:space="preserve">slip_inventory_2026-08.csv row 470; applicant_register_2026-08.csv row 2423</t>
  </si>
  <si>
    <t xml:space="preserve">VB-0918</t>
  </si>
  <si>
    <t xml:space="preserve">WL-03033</t>
  </si>
  <si>
    <t xml:space="preserve">Brian Sellers</t>
  </si>
  <si>
    <t xml:space="preserve">TXN-202607-026922</t>
  </si>
  <si>
    <t xml:space="preserve">billing_transactions_2022_2026.csv row 45227</t>
  </si>
  <si>
    <t xml:space="preserve">slip_inventory_2026-08.csv row 471; applicant_register_2026-08.csv row 2034</t>
  </si>
  <si>
    <t xml:space="preserve">VB-0919</t>
  </si>
  <si>
    <t xml:space="preserve">WL-03091</t>
  </si>
  <si>
    <t xml:space="preserve">Sandra Barber</t>
  </si>
  <si>
    <t xml:space="preserve">TXN-202607-026984</t>
  </si>
  <si>
    <t xml:space="preserve">billing_transactions_2022_2026.csv row 45228</t>
  </si>
  <si>
    <t xml:space="preserve">slip_inventory_2026-08.csv row 472; applicant_register_2026-08.csv row 2092</t>
  </si>
  <si>
    <t xml:space="preserve">VB-0920</t>
  </si>
  <si>
    <t xml:space="preserve">WL-02265</t>
  </si>
  <si>
    <t xml:space="preserve">Kimberly Bailey</t>
  </si>
  <si>
    <t xml:space="preserve">TXN-202607-027023</t>
  </si>
  <si>
    <t xml:space="preserve">billing_transactions_2022_2026.csv row 45229</t>
  </si>
  <si>
    <t xml:space="preserve">slip_inventory_2026-08.csv row 473; applicant_register_2026-08.csv row 1266</t>
  </si>
  <si>
    <t xml:space="preserve">VB-0921</t>
  </si>
  <si>
    <t xml:space="preserve">WL-03544</t>
  </si>
  <si>
    <t xml:space="preserve">TXN-202607-027065</t>
  </si>
  <si>
    <t xml:space="preserve">billing_transactions_2022_2026.csv row 45231</t>
  </si>
  <si>
    <t xml:space="preserve">slip_inventory_2026-08.csv row 474; applicant_register_2026-08.csv row 2545</t>
  </si>
  <si>
    <t xml:space="preserve">VB-0923</t>
  </si>
  <si>
    <t xml:space="preserve">WL-02666</t>
  </si>
  <si>
    <t xml:space="preserve">Amber Liu</t>
  </si>
  <si>
    <t xml:space="preserve">TXN-202607-027118</t>
  </si>
  <si>
    <t xml:space="preserve">billing_transactions_2022_2026.csv row 45232</t>
  </si>
  <si>
    <t xml:space="preserve">slip_inventory_2026-08.csv row 476; applicant_register_2026-08.csv row 1667</t>
  </si>
  <si>
    <t xml:space="preserve">WL-03176</t>
  </si>
  <si>
    <t xml:space="preserve">Elizabeth Kelly</t>
  </si>
  <si>
    <t xml:space="preserve">TXN-202607-027199</t>
  </si>
  <si>
    <t xml:space="preserve">billing_transactions_2022_2026.csv row 45233</t>
  </si>
  <si>
    <t xml:space="preserve">slip_inventory_2026-08.csv row 477; applicant_register_2026-08.csv row 2177</t>
  </si>
  <si>
    <t xml:space="preserve">VB-1001</t>
  </si>
  <si>
    <t xml:space="preserve">WL-03801</t>
  </si>
  <si>
    <t xml:space="preserve">Brian Robertson</t>
  </si>
  <si>
    <t xml:space="preserve">TXN-202607-027263</t>
  </si>
  <si>
    <t xml:space="preserve">billing_transactions_2022_2026.csv row 45235</t>
  </si>
  <si>
    <t xml:space="preserve">slip_inventory_2026-08.csv row 478; applicant_register_2026-08.csv row 2802</t>
  </si>
  <si>
    <t xml:space="preserve">VB-1002</t>
  </si>
  <si>
    <t xml:space="preserve">WL-02902</t>
  </si>
  <si>
    <t xml:space="preserve">Lorraine Schultz</t>
  </si>
  <si>
    <t xml:space="preserve">TXN-202607-027308</t>
  </si>
  <si>
    <t xml:space="preserve">billing_transactions_2022_2026.csv row 45236</t>
  </si>
  <si>
    <t xml:space="preserve">slip_inventory_2026-08.csv row 479; applicant_register_2026-08.csv row 1903</t>
  </si>
  <si>
    <t xml:space="preserve">VB-1004</t>
  </si>
  <si>
    <t xml:space="preserve">WL-03765</t>
  </si>
  <si>
    <t xml:space="preserve">Joel Schmidt</t>
  </si>
  <si>
    <t xml:space="preserve">TXN-202607-027350</t>
  </si>
  <si>
    <t xml:space="preserve">billing_transactions_2022_2026.csv row 45237</t>
  </si>
  <si>
    <t xml:space="preserve">slip_inventory_2026-08.csv row 481; applicant_register_2026-08.csv row 2766</t>
  </si>
  <si>
    <t xml:space="preserve">VB-1005</t>
  </si>
  <si>
    <t xml:space="preserve">Glenda Williams</t>
  </si>
  <si>
    <t xml:space="preserve">TXN-202607-027396</t>
  </si>
  <si>
    <t xml:space="preserve">billing_transactions_2022_2026.csv row 45239</t>
  </si>
  <si>
    <t xml:space="preserve">slip_inventory_2026-08.csv row 482; applicant_register_2026-08.csv row 875</t>
  </si>
  <si>
    <t xml:space="preserve">VB-1006</t>
  </si>
  <si>
    <t xml:space="preserve">WL-03723</t>
  </si>
  <si>
    <t xml:space="preserve">Michael Douglas</t>
  </si>
  <si>
    <t xml:space="preserve">TXN-202607-027473</t>
  </si>
  <si>
    <t xml:space="preserve">billing_transactions_2022_2026.csv row 45241</t>
  </si>
  <si>
    <t xml:space="preserve">slip_inventory_2026-08.csv row 483; applicant_register_2026-08.csv row 2724</t>
  </si>
  <si>
    <t xml:space="preserve">VB-1007</t>
  </si>
  <si>
    <t xml:space="preserve">WL-02796</t>
  </si>
  <si>
    <t xml:space="preserve">Gavin Scott</t>
  </si>
  <si>
    <t xml:space="preserve">TXN-202607-027528</t>
  </si>
  <si>
    <t xml:space="preserve">billing_transactions_2022_2026.csv row 45243</t>
  </si>
  <si>
    <t xml:space="preserve">slip_inventory_2026-08.csv row 484; applicant_register_2026-08.csv row 1797</t>
  </si>
  <si>
    <t xml:space="preserve">WL-02193</t>
  </si>
  <si>
    <t xml:space="preserve">Valerie Berg</t>
  </si>
  <si>
    <t xml:space="preserve">TXN-202607-027579</t>
  </si>
  <si>
    <t xml:space="preserve">billing_transactions_2022_2026.csv row 45244</t>
  </si>
  <si>
    <t xml:space="preserve">slip_inventory_2026-08.csv row 485; applicant_register_2026-08.csv row 1194</t>
  </si>
  <si>
    <t xml:space="preserve">VB-1009</t>
  </si>
  <si>
    <t xml:space="preserve">WL-02802</t>
  </si>
  <si>
    <t xml:space="preserve">Kimberly Poole</t>
  </si>
  <si>
    <t xml:space="preserve">TXN-202607-027651</t>
  </si>
  <si>
    <t xml:space="preserve">billing_transactions_2022_2026.csv row 45245</t>
  </si>
  <si>
    <t xml:space="preserve">slip_inventory_2026-08.csv row 486; applicant_register_2026-08.csv row 1803</t>
  </si>
  <si>
    <t xml:space="preserve">VB-1010</t>
  </si>
  <si>
    <t xml:space="preserve">WL-03077</t>
  </si>
  <si>
    <t xml:space="preserve">Lisa Jensen</t>
  </si>
  <si>
    <t xml:space="preserve">TXN-202607-027736</t>
  </si>
  <si>
    <t xml:space="preserve">billing_transactions_2022_2026.csv row 45246</t>
  </si>
  <si>
    <t xml:space="preserve">slip_inventory_2026-08.csv row 487; applicant_register_2026-08.csv row 2078</t>
  </si>
  <si>
    <t xml:space="preserve">VB-1011</t>
  </si>
  <si>
    <t xml:space="preserve">WL-01187</t>
  </si>
  <si>
    <t xml:space="preserve">James Lee</t>
  </si>
  <si>
    <t xml:space="preserve">TXN-202607-027775</t>
  </si>
  <si>
    <t xml:space="preserve">billing_transactions_2022_2026.csv row 45248</t>
  </si>
  <si>
    <t xml:space="preserve">slip_inventory_2026-08.csv row 488; applicant_register_2026-08.csv row 188</t>
  </si>
  <si>
    <t xml:space="preserve">VB-1012</t>
  </si>
  <si>
    <t xml:space="preserve">TXN-202607-027840</t>
  </si>
  <si>
    <t xml:space="preserve">billing_transactions_2022_2026.csv row 45249</t>
  </si>
  <si>
    <t xml:space="preserve">slip_inventory_2026-08.csv row 489; applicant_register_2026-08.csv row 324</t>
  </si>
  <si>
    <t xml:space="preserve">VB-1013</t>
  </si>
  <si>
    <t xml:space="preserve">WL-02105</t>
  </si>
  <si>
    <t xml:space="preserve">Kenneth Underwood</t>
  </si>
  <si>
    <t xml:space="preserve">TXN-202607-027910</t>
  </si>
  <si>
    <t xml:space="preserve">billing_transactions_2022_2026.csv row 45250</t>
  </si>
  <si>
    <t xml:space="preserve">slip_inventory_2026-08.csv row 490; applicant_register_2026-08.csv row 1106</t>
  </si>
  <si>
    <t xml:space="preserve">Courtney Zamora</t>
  </si>
  <si>
    <t xml:space="preserve">TXN-202607-027987</t>
  </si>
  <si>
    <t xml:space="preserve">billing_transactions_2022_2026.csv row 45251</t>
  </si>
  <si>
    <t xml:space="preserve">slip_inventory_2026-08.csv row 491; applicant_register_2026-08.csv row 1189</t>
  </si>
  <si>
    <t xml:space="preserve">VB-1015</t>
  </si>
  <si>
    <t xml:space="preserve">WL-01478</t>
  </si>
  <si>
    <t xml:space="preserve">William Thomas</t>
  </si>
  <si>
    <t xml:space="preserve">TXN-202607-028036</t>
  </si>
  <si>
    <t xml:space="preserve">billing_transactions_2022_2026.csv row 45252</t>
  </si>
  <si>
    <t xml:space="preserve">slip_inventory_2026-08.csv row 492; applicant_register_2026-08.csv row 479</t>
  </si>
  <si>
    <t xml:space="preserve">VB-1016</t>
  </si>
  <si>
    <t xml:space="preserve">TXN-202607-028110</t>
  </si>
  <si>
    <t xml:space="preserve">billing_transactions_2022_2026.csv row 45253</t>
  </si>
  <si>
    <t xml:space="preserve">slip_inventory_2026-08.csv row 493; applicant_register_2026-08.csv row 2079</t>
  </si>
  <si>
    <t xml:space="preserve">VB-1017</t>
  </si>
  <si>
    <t xml:space="preserve">WL-03104</t>
  </si>
  <si>
    <t xml:space="preserve">Jill Maldonado</t>
  </si>
  <si>
    <t xml:space="preserve">TXN-202607-028161</t>
  </si>
  <si>
    <t xml:space="preserve">billing_transactions_2022_2026.csv row 45255</t>
  </si>
  <si>
    <t xml:space="preserve">slip_inventory_2026-08.csv row 494; applicant_register_2026-08.csv row 2105</t>
  </si>
  <si>
    <t xml:space="preserve">VB-1018</t>
  </si>
  <si>
    <t xml:space="preserve">Michelle Pena</t>
  </si>
  <si>
    <t xml:space="preserve">TXN-202607-028238</t>
  </si>
  <si>
    <t xml:space="preserve">billing_transactions_2022_2026.csv row 45256</t>
  </si>
  <si>
    <t xml:space="preserve">slip_inventory_2026-08.csv row 495; applicant_register_2026-08.csv row 1101</t>
  </si>
  <si>
    <t xml:space="preserve">VB-1019</t>
  </si>
  <si>
    <t xml:space="preserve">WL-03674</t>
  </si>
  <si>
    <t xml:space="preserve">Savannah Scott</t>
  </si>
  <si>
    <t xml:space="preserve">TXN-202607-028293</t>
  </si>
  <si>
    <t xml:space="preserve">billing_transactions_2022_2026.csv row 45257</t>
  </si>
  <si>
    <t xml:space="preserve">slip_inventory_2026-08.csv row 496; applicant_register_2026-08.csv row 2675</t>
  </si>
  <si>
    <t xml:space="preserve">VB-1020</t>
  </si>
  <si>
    <t xml:space="preserve">WL-02112</t>
  </si>
  <si>
    <t xml:space="preserve">Molly Perez</t>
  </si>
  <si>
    <t xml:space="preserve">TXN-202607-028378</t>
  </si>
  <si>
    <t xml:space="preserve">billing_transactions_2022_2026.csv row 45258</t>
  </si>
  <si>
    <t xml:space="preserve">slip_inventory_2026-08.csv row 497; applicant_register_2026-08.csv row 1113</t>
  </si>
  <si>
    <t xml:space="preserve">WL-03142</t>
  </si>
  <si>
    <t xml:space="preserve">Tommy Bennett</t>
  </si>
  <si>
    <t xml:space="preserve">TXN-202607-028428</t>
  </si>
  <si>
    <t xml:space="preserve">billing_transactions_2022_2026.csv row 45260</t>
  </si>
  <si>
    <t xml:space="preserve">slip_inventory_2026-08.csv row 498; applicant_register_2026-08.csv row 2143</t>
  </si>
  <si>
    <t xml:space="preserve">VB-1022</t>
  </si>
  <si>
    <t xml:space="preserve">WL-01981</t>
  </si>
  <si>
    <t xml:space="preserve">Kathleen Walker</t>
  </si>
  <si>
    <t xml:space="preserve">TXN-202607-028504</t>
  </si>
  <si>
    <t xml:space="preserve">billing_transactions_2022_2026.csv row 45262</t>
  </si>
  <si>
    <t xml:space="preserve">slip_inventory_2026-08.csv row 499; applicant_register_2026-08.csv row 982</t>
  </si>
  <si>
    <t xml:space="preserve">WL-01467</t>
  </si>
  <si>
    <t xml:space="preserve">Walter Soto</t>
  </si>
  <si>
    <t xml:space="preserve">TXN-202607-028559</t>
  </si>
  <si>
    <t xml:space="preserve">billing_transactions_2022_2026.csv row 45263</t>
  </si>
  <si>
    <t xml:space="preserve">slip_inventory_2026-08.csv row 500; applicant_register_2026-08.csv row 468</t>
  </si>
  <si>
    <t xml:space="preserve">VB-1024</t>
  </si>
  <si>
    <t xml:space="preserve">WL-02463</t>
  </si>
  <si>
    <t xml:space="preserve">Lauren Oconnor</t>
  </si>
  <si>
    <t xml:space="preserve">TXN-202607-028607</t>
  </si>
  <si>
    <t xml:space="preserve">billing_transactions_2022_2026.csv row 45264</t>
  </si>
  <si>
    <t xml:space="preserve">slip_inventory_2026-08.csv row 501; applicant_register_2026-08.csv row 1464</t>
  </si>
  <si>
    <t xml:space="preserve">Aging | Active Holders on the 2026-07-31 Ledger</t>
  </si>
  <si>
    <t xml:space="preserve">More than 90 days = the ledger's 91-120 day bucket plus 120+ day bucket</t>
  </si>
  <si>
    <t xml:space="preserve">The supplied aging ledger contains 260 accounts: all 241 occupied Ledgport slips and only 19 Vessbank slips. It contains no Eastwey, Gullwing, or Salmonberry accounts.</t>
  </si>
  <si>
    <t xml:space="preserve">Bucket Sum, Total Due Variance, More Than 90 Days, and status are formulas. The source total_due field understates bucket sums on some rows; bucket columns govern because their totals agree to the source Summary sheet.</t>
  </si>
  <si>
    <t xml:space="preserve">Account ID</t>
  </si>
  <si>
    <t xml:space="preserve">Inventory Status</t>
  </si>
  <si>
    <t xml:space="preserve">Rate Class</t>
  </si>
  <si>
    <t xml:space="preserve">Current</t>
  </si>
  <si>
    <t xml:space="preserve">31-60 Days</t>
  </si>
  <si>
    <t xml:space="preserve">61-90 Days</t>
  </si>
  <si>
    <t xml:space="preserve">91-120 Days</t>
  </si>
  <si>
    <t xml:space="preserve">120+ Days</t>
  </si>
  <si>
    <t xml:space="preserve">Bucket Sum</t>
  </si>
  <si>
    <t xml:space="preserve">Ledger Total Due</t>
  </si>
  <si>
    <t xml:space="preserve">Total Due Variance</t>
  </si>
  <si>
    <t xml:space="preserve">More Than 90 Days</t>
  </si>
  <si>
    <t xml:space="preserve">&gt;90 Status</t>
  </si>
  <si>
    <t xml:space="preserve">Last Payment</t>
  </si>
  <si>
    <t xml:space="preserve">Payment Status</t>
  </si>
  <si>
    <t xml:space="preserve">Last Contact</t>
  </si>
  <si>
    <t xml:space="preserve">Notes</t>
  </si>
  <si>
    <t xml:space="preserve">Source</t>
  </si>
  <si>
    <t xml:space="preserve">AC-LP-0101</t>
  </si>
  <si>
    <t xml:space="preserve">OCCUPIED</t>
  </si>
  <si>
    <t xml:space="preserve">2026-05-16</t>
  </si>
  <si>
    <t xml:space="preserve">CURRENT</t>
  </si>
  <si>
    <t xml:space="preserve">2026-07-26</t>
  </si>
  <si>
    <t xml:space="preserve">ar_aging_2026-07-31.xlsx AR_Aging row 3</t>
  </si>
  <si>
    <t xml:space="preserve">AC-LP-0102</t>
  </si>
  <si>
    <t xml:space="preserve">2026-06-02</t>
  </si>
  <si>
    <t xml:space="preserve">2026-06-15</t>
  </si>
  <si>
    <t xml:space="preserve">ar_aging_2026-07-31.xlsx AR_Aging row 4</t>
  </si>
  <si>
    <t xml:space="preserve">AC-LP-0103</t>
  </si>
  <si>
    <t xml:space="preserve">2026-06-09</t>
  </si>
  <si>
    <t xml:space="preserve">2026-06-21</t>
  </si>
  <si>
    <t xml:space="preserve">ar_aging_2026-07-31.xlsx AR_Aging row 5</t>
  </si>
  <si>
    <t xml:space="preserve">AC-LP-0104</t>
  </si>
  <si>
    <t xml:space="preserve">2026-05-02</t>
  </si>
  <si>
    <t xml:space="preserve">ar_aging_2026-07-31.xlsx AR_Aging row 6</t>
  </si>
  <si>
    <t xml:space="preserve">AC-LP-0105</t>
  </si>
  <si>
    <t xml:space="preserve">2026-07-19</t>
  </si>
  <si>
    <t xml:space="preserve">2026-07-21</t>
  </si>
  <si>
    <t xml:space="preserve">ar_aging_2026-07-31.xlsx AR_Aging row 7</t>
  </si>
  <si>
    <t xml:space="preserve">AC-LP-0106</t>
  </si>
  <si>
    <t xml:space="preserve">2026-07-28</t>
  </si>
  <si>
    <t xml:space="preserve">payment plan</t>
  </si>
  <si>
    <t xml:space="preserve">ar_aging_2026-07-31.xlsx AR_Aging row 8</t>
  </si>
  <si>
    <t xml:space="preserve">AC-LP-0107</t>
  </si>
  <si>
    <t xml:space="preserve">2026-06-27</t>
  </si>
  <si>
    <t xml:space="preserve">WATCH</t>
  </si>
  <si>
    <t xml:space="preserve">2026-06-28</t>
  </si>
  <si>
    <t xml:space="preserve">ar_aging_2026-07-31.xlsx AR_Aging row 9</t>
  </si>
  <si>
    <t xml:space="preserve">AC-LP-0108</t>
  </si>
  <si>
    <t xml:space="preserve">2026-06-08</t>
  </si>
  <si>
    <t xml:space="preserve">ar_aging_2026-07-31.xlsx AR_Aging row 10</t>
  </si>
  <si>
    <t xml:space="preserve">AC-LP-0109</t>
  </si>
  <si>
    <t xml:space="preserve">2026-05-07</t>
  </si>
  <si>
    <t xml:space="preserve">ar_aging_2026-07-31.xlsx AR_Aging row 11</t>
  </si>
  <si>
    <t xml:space="preserve">AC-LP-0110</t>
  </si>
  <si>
    <t xml:space="preserve">2026-06-30</t>
  </si>
  <si>
    <t xml:space="preserve">2026-06-14</t>
  </si>
  <si>
    <t xml:space="preserve">ar_aging_2026-07-31.xlsx AR_Aging row 12</t>
  </si>
  <si>
    <t xml:space="preserve">AC-LP-0111</t>
  </si>
  <si>
    <t xml:space="preserve">2026-07-27</t>
  </si>
  <si>
    <t xml:space="preserve">ar_aging_2026-07-31.xlsx AR_Aging row 13</t>
  </si>
  <si>
    <t xml:space="preserve">AC-LP-0113</t>
  </si>
  <si>
    <t xml:space="preserve">2026-06-19</t>
  </si>
  <si>
    <t xml:space="preserve">2026-07-11</t>
  </si>
  <si>
    <t xml:space="preserve">ar_aging_2026-07-31.xlsx AR_Aging row 14</t>
  </si>
  <si>
    <t xml:space="preserve">AC-LP-0114</t>
  </si>
  <si>
    <t xml:space="preserve">2026-06-07</t>
  </si>
  <si>
    <t xml:space="preserve">2026-07-03</t>
  </si>
  <si>
    <t xml:space="preserve">ar_aging_2026-07-31.xlsx AR_Aging row 15</t>
  </si>
  <si>
    <t xml:space="preserve">AC-LP-0115</t>
  </si>
  <si>
    <t xml:space="preserve">2026-07-23</t>
  </si>
  <si>
    <t xml:space="preserve">ar_aging_2026-07-31.xlsx AR_Aging row 16</t>
  </si>
  <si>
    <t xml:space="preserve">AC-LP-0116</t>
  </si>
  <si>
    <t xml:space="preserve">2026-06-24</t>
  </si>
  <si>
    <t xml:space="preserve">2026-06-23</t>
  </si>
  <si>
    <t xml:space="preserve">ar_aging_2026-07-31.xlsx AR_Aging row 17</t>
  </si>
  <si>
    <t xml:space="preserve">AC-LP-0117</t>
  </si>
  <si>
    <t xml:space="preserve">2026-05-29</t>
  </si>
  <si>
    <t xml:space="preserve">ar_aging_2026-07-31.xlsx AR_Aging row 18</t>
  </si>
  <si>
    <t xml:space="preserve">AC-LP-0118</t>
  </si>
  <si>
    <t xml:space="preserve">2026-05-23</t>
  </si>
  <si>
    <t xml:space="preserve">2026-07-14</t>
  </si>
  <si>
    <t xml:space="preserve">ar_aging_2026-07-31.xlsx AR_Aging row 19</t>
  </si>
  <si>
    <t xml:space="preserve">AC-LP-0119</t>
  </si>
  <si>
    <t xml:space="preserve">2026-05-03</t>
  </si>
  <si>
    <t xml:space="preserve">2026-06-11</t>
  </si>
  <si>
    <t xml:space="preserve">ar_aging_2026-07-31.xlsx AR_Aging row 20</t>
  </si>
  <si>
    <t xml:space="preserve">AC-LP-0120</t>
  </si>
  <si>
    <t xml:space="preserve">2026-07-22</t>
  </si>
  <si>
    <t xml:space="preserve">2026-06-05</t>
  </si>
  <si>
    <t xml:space="preserve">ar_aging_2026-07-31.xlsx AR_Aging row 21</t>
  </si>
  <si>
    <t xml:space="preserve">AC-LP-0121</t>
  </si>
  <si>
    <t xml:space="preserve">ar_aging_2026-07-31.xlsx AR_Aging row 22</t>
  </si>
  <si>
    <t xml:space="preserve">AC-LP-0122</t>
  </si>
  <si>
    <t xml:space="preserve">COLLECTIONS</t>
  </si>
  <si>
    <t xml:space="preserve">2026-06-25</t>
  </si>
  <si>
    <t xml:space="preserve">ar_aging_2026-07-31.xlsx AR_Aging row 23</t>
  </si>
  <si>
    <t xml:space="preserve">AC-LP-0123</t>
  </si>
  <si>
    <t xml:space="preserve">2026-06-01</t>
  </si>
  <si>
    <t xml:space="preserve">ar_aging_2026-07-31.xlsx AR_Aging row 24</t>
  </si>
  <si>
    <t xml:space="preserve">AC-LP-0124</t>
  </si>
  <si>
    <t xml:space="preserve">2026-07-24</t>
  </si>
  <si>
    <t xml:space="preserve">ar_aging_2026-07-31.xlsx AR_Aging row 25</t>
  </si>
  <si>
    <t xml:space="preserve">AC-LP-0201</t>
  </si>
  <si>
    <t xml:space="preserve">2026-07-01</t>
  </si>
  <si>
    <t xml:space="preserve">ar_aging_2026-07-31.xlsx AR_Aging row 26</t>
  </si>
  <si>
    <t xml:space="preserve">AC-LP-0202</t>
  </si>
  <si>
    <t xml:space="preserve">2026-06-13</t>
  </si>
  <si>
    <t xml:space="preserve">ar_aging_2026-07-31.xlsx AR_Aging row 27</t>
  </si>
  <si>
    <t xml:space="preserve">AC-LP-0203</t>
  </si>
  <si>
    <t xml:space="preserve">2026-07-02</t>
  </si>
  <si>
    <t xml:space="preserve">ar_aging_2026-07-31.xlsx AR_Aging row 28</t>
  </si>
  <si>
    <t xml:space="preserve">AC-LP-0204</t>
  </si>
  <si>
    <t xml:space="preserve">ar_aging_2026-07-31.xlsx AR_Aging row 29</t>
  </si>
  <si>
    <t xml:space="preserve">AC-LP-0205</t>
  </si>
  <si>
    <t xml:space="preserve">ar_aging_2026-07-31.xlsx AR_Aging row 30</t>
  </si>
  <si>
    <t xml:space="preserve">AC-LP-0206</t>
  </si>
  <si>
    <t xml:space="preserve">2026-07-20</t>
  </si>
  <si>
    <t xml:space="preserve">ar_aging_2026-07-31.xlsx AR_Aging row 31</t>
  </si>
  <si>
    <t xml:space="preserve">AC-LP-0208</t>
  </si>
  <si>
    <t xml:space="preserve">2026-06-29</t>
  </si>
  <si>
    <t xml:space="preserve">ar_aging_2026-07-31.xlsx AR_Aging row 32</t>
  </si>
  <si>
    <t xml:space="preserve">AC-LP-0209</t>
  </si>
  <si>
    <t xml:space="preserve">2026-05-31</t>
  </si>
  <si>
    <t xml:space="preserve">2026-06-17</t>
  </si>
  <si>
    <t xml:space="preserve">ar_aging_2026-07-31.xlsx AR_Aging row 33</t>
  </si>
  <si>
    <t xml:space="preserve">AC-LP-0210</t>
  </si>
  <si>
    <t xml:space="preserve">2026-05-08</t>
  </si>
  <si>
    <t xml:space="preserve">ar_aging_2026-07-31.xlsx AR_Aging row 34</t>
  </si>
  <si>
    <t xml:space="preserve">AC-LP-0212</t>
  </si>
  <si>
    <t xml:space="preserve">ar_aging_2026-07-31.xlsx AR_Aging row 35</t>
  </si>
  <si>
    <t xml:space="preserve">AC-LP-0213</t>
  </si>
  <si>
    <t xml:space="preserve">2026-06-16</t>
  </si>
  <si>
    <t xml:space="preserve">2026-06-03</t>
  </si>
  <si>
    <t xml:space="preserve">ar_aging_2026-07-31.xlsx AR_Aging row 36</t>
  </si>
  <si>
    <t xml:space="preserve">AC-LP-0214</t>
  </si>
  <si>
    <t xml:space="preserve">2026-07-10</t>
  </si>
  <si>
    <t xml:space="preserve">2026-07-06</t>
  </si>
  <si>
    <t xml:space="preserve">ar_aging_2026-07-31.xlsx AR_Aging row 37</t>
  </si>
  <si>
    <t xml:space="preserve">AC-LP-0215</t>
  </si>
  <si>
    <t xml:space="preserve">2026-05-22</t>
  </si>
  <si>
    <t xml:space="preserve">ar_aging_2026-07-31.xlsx AR_Aging row 38</t>
  </si>
  <si>
    <t xml:space="preserve">AC-LP-0216</t>
  </si>
  <si>
    <t xml:space="preserve">ar_aging_2026-07-31.xlsx AR_Aging row 39</t>
  </si>
  <si>
    <t xml:space="preserve">AC-LP-0217</t>
  </si>
  <si>
    <t xml:space="preserve">ar_aging_2026-07-31.xlsx AR_Aging row 40</t>
  </si>
  <si>
    <t xml:space="preserve">AC-LP-0218</t>
  </si>
  <si>
    <t xml:space="preserve">2026-05-18</t>
  </si>
  <si>
    <t xml:space="preserve">ar_aging_2026-07-31.xlsx AR_Aging row 41</t>
  </si>
  <si>
    <t xml:space="preserve">AC-LP-0219</t>
  </si>
  <si>
    <t xml:space="preserve">2026-07-16</t>
  </si>
  <si>
    <t xml:space="preserve">ar_aging_2026-07-31.xlsx AR_Aging row 42</t>
  </si>
  <si>
    <t xml:space="preserve">AC-LP-0220</t>
  </si>
  <si>
    <t xml:space="preserve">2026-05-11</t>
  </si>
  <si>
    <t xml:space="preserve">ar_aging_2026-07-31.xlsx AR_Aging row 43</t>
  </si>
  <si>
    <t xml:space="preserve">AC-LP-0221</t>
  </si>
  <si>
    <t xml:space="preserve">2026-05-26</t>
  </si>
  <si>
    <t xml:space="preserve">2026-07-15</t>
  </si>
  <si>
    <t xml:space="preserve">ar_aging_2026-07-31.xlsx AR_Aging row 44</t>
  </si>
  <si>
    <t xml:space="preserve">AC-LP-0222</t>
  </si>
  <si>
    <t xml:space="preserve">ar_aging_2026-07-31.xlsx AR_Aging row 45</t>
  </si>
  <si>
    <t xml:space="preserve">AC-LP-0223</t>
  </si>
  <si>
    <t xml:space="preserve">2026-06-18</t>
  </si>
  <si>
    <t xml:space="preserve">ar_aging_2026-07-31.xlsx AR_Aging row 46</t>
  </si>
  <si>
    <t xml:space="preserve">AC-LP-0224</t>
  </si>
  <si>
    <t xml:space="preserve">2026-07-29</t>
  </si>
  <si>
    <t xml:space="preserve">ar_aging_2026-07-31.xlsx AR_Aging row 47</t>
  </si>
  <si>
    <t xml:space="preserve">AC-LP-0301</t>
  </si>
  <si>
    <t xml:space="preserve">ar_aging_2026-07-31.xlsx AR_Aging row 48</t>
  </si>
  <si>
    <t xml:space="preserve">AC-LP-0302</t>
  </si>
  <si>
    <t xml:space="preserve">2026-05-24</t>
  </si>
  <si>
    <t xml:space="preserve">2026-07-18</t>
  </si>
  <si>
    <t xml:space="preserve">ar_aging_2026-07-31.xlsx AR_Aging row 49</t>
  </si>
  <si>
    <t xml:space="preserve">AC-LP-0303</t>
  </si>
  <si>
    <t xml:space="preserve">2026-05-04</t>
  </si>
  <si>
    <t xml:space="preserve">ar_aging_2026-07-31.xlsx AR_Aging row 50</t>
  </si>
  <si>
    <t xml:space="preserve">AC-LP-0305</t>
  </si>
  <si>
    <t xml:space="preserve">2026-05-27</t>
  </si>
  <si>
    <t xml:space="preserve">ar_aging_2026-07-31.xlsx AR_Aging row 51</t>
  </si>
  <si>
    <t xml:space="preserve">AC-LP-0306</t>
  </si>
  <si>
    <t xml:space="preserve">ar_aging_2026-07-31.xlsx AR_Aging row 52</t>
  </si>
  <si>
    <t xml:space="preserve">AC-LP-0307</t>
  </si>
  <si>
    <t xml:space="preserve">2026-07-07</t>
  </si>
  <si>
    <t xml:space="preserve">ar_aging_2026-07-31.xlsx AR_Aging row 53</t>
  </si>
  <si>
    <t xml:space="preserve">AC-LP-0309</t>
  </si>
  <si>
    <t xml:space="preserve">2026-06-10</t>
  </si>
  <si>
    <t xml:space="preserve">ar_aging_2026-07-31.xlsx AR_Aging row 54</t>
  </si>
  <si>
    <t xml:space="preserve">AC-LP-0311</t>
  </si>
  <si>
    <t xml:space="preserve">2026-07-08</t>
  </si>
  <si>
    <t xml:space="preserve">2026-06-06</t>
  </si>
  <si>
    <t xml:space="preserve">ar_aging_2026-07-31.xlsx AR_Aging row 55</t>
  </si>
  <si>
    <t xml:space="preserve">AC-LP-0312</t>
  </si>
  <si>
    <t xml:space="preserve">2026-05-09</t>
  </si>
  <si>
    <t xml:space="preserve">ar_aging_2026-07-31.xlsx AR_Aging row 56</t>
  </si>
  <si>
    <t xml:space="preserve">AC-LP-0313</t>
  </si>
  <si>
    <t xml:space="preserve">2026-05-25</t>
  </si>
  <si>
    <t xml:space="preserve">2026-07-30</t>
  </si>
  <si>
    <t xml:space="preserve">ar_aging_2026-07-31.xlsx AR_Aging row 57</t>
  </si>
  <si>
    <t xml:space="preserve">AC-LP-0314</t>
  </si>
  <si>
    <t xml:space="preserve">ar_aging_2026-07-31.xlsx AR_Aging row 58</t>
  </si>
  <si>
    <t xml:space="preserve">AC-LP-0315</t>
  </si>
  <si>
    <t xml:space="preserve">2026-05-20</t>
  </si>
  <si>
    <t xml:space="preserve">ar_aging_2026-07-31.xlsx AR_Aging row 59</t>
  </si>
  <si>
    <t xml:space="preserve">AC-LP-0316</t>
  </si>
  <si>
    <t xml:space="preserve">ar_aging_2026-07-31.xlsx AR_Aging row 60</t>
  </si>
  <si>
    <t xml:space="preserve">AC-LP-0317</t>
  </si>
  <si>
    <t xml:space="preserve">ar_aging_2026-07-31.xlsx AR_Aging row 61</t>
  </si>
  <si>
    <t xml:space="preserve">AC-LP-0318</t>
  </si>
  <si>
    <t xml:space="preserve">ar_aging_2026-07-31.xlsx AR_Aging row 62</t>
  </si>
  <si>
    <t xml:space="preserve">AC-LP-0320</t>
  </si>
  <si>
    <t xml:space="preserve">ar_aging_2026-07-31.xlsx AR_Aging row 63</t>
  </si>
  <si>
    <t xml:space="preserve">AC-LP-0321</t>
  </si>
  <si>
    <t xml:space="preserve">ar_aging_2026-07-31.xlsx AR_Aging row 64</t>
  </si>
  <si>
    <t xml:space="preserve">AC-LP-0322</t>
  </si>
  <si>
    <t xml:space="preserve">ar_aging_2026-07-31.xlsx AR_Aging row 65</t>
  </si>
  <si>
    <t xml:space="preserve">AC-LP-0323</t>
  </si>
  <si>
    <t xml:space="preserve">ar_aging_2026-07-31.xlsx AR_Aging row 66</t>
  </si>
  <si>
    <t xml:space="preserve">AC-LP-0324</t>
  </si>
  <si>
    <t xml:space="preserve">2026-07-17</t>
  </si>
  <si>
    <t xml:space="preserve">ar_aging_2026-07-31.xlsx AR_Aging row 67</t>
  </si>
  <si>
    <t xml:space="preserve">AC-LP-0402</t>
  </si>
  <si>
    <t xml:space="preserve">ar_aging_2026-07-31.xlsx AR_Aging row 68</t>
  </si>
  <si>
    <t xml:space="preserve">AC-LP-0403</t>
  </si>
  <si>
    <t xml:space="preserve">ar_aging_2026-07-31.xlsx AR_Aging row 69</t>
  </si>
  <si>
    <t xml:space="preserve">AC-LP-0404</t>
  </si>
  <si>
    <t xml:space="preserve">ar_aging_2026-07-31.xlsx AR_Aging row 70</t>
  </si>
  <si>
    <t xml:space="preserve">AC-LP-0405</t>
  </si>
  <si>
    <t xml:space="preserve">ar_aging_2026-07-31.xlsx AR_Aging row 71</t>
  </si>
  <si>
    <t xml:space="preserve">AC-LP-0406</t>
  </si>
  <si>
    <t xml:space="preserve">2026-06-22</t>
  </si>
  <si>
    <t xml:space="preserve">ar_aging_2026-07-31.xlsx AR_Aging row 72</t>
  </si>
  <si>
    <t xml:space="preserve">AC-LP-0407</t>
  </si>
  <si>
    <t xml:space="preserve">ar_aging_2026-07-31.xlsx AR_Aging row 73</t>
  </si>
  <si>
    <t xml:space="preserve">AC-LP-0408</t>
  </si>
  <si>
    <t xml:space="preserve">2026-06-20</t>
  </si>
  <si>
    <t xml:space="preserve">ar_aging_2026-07-31.xlsx AR_Aging row 74</t>
  </si>
  <si>
    <t xml:space="preserve">AC-LP-0409</t>
  </si>
  <si>
    <t xml:space="preserve">2026-05-13</t>
  </si>
  <si>
    <t xml:space="preserve">2026-07-25</t>
  </si>
  <si>
    <t xml:space="preserve">ar_aging_2026-07-31.xlsx AR_Aging row 75</t>
  </si>
  <si>
    <t xml:space="preserve">AC-LP-0410</t>
  </si>
  <si>
    <t xml:space="preserve">2026-06-12</t>
  </si>
  <si>
    <t xml:space="preserve">ar_aging_2026-07-31.xlsx AR_Aging row 76</t>
  </si>
  <si>
    <t xml:space="preserve">AC-LP-0411</t>
  </si>
  <si>
    <t xml:space="preserve">ar_aging_2026-07-31.xlsx AR_Aging row 77</t>
  </si>
  <si>
    <t xml:space="preserve">AC-LP-0412</t>
  </si>
  <si>
    <t xml:space="preserve">ar_aging_2026-07-31.xlsx AR_Aging row 78</t>
  </si>
  <si>
    <t xml:space="preserve">AC-LP-0413</t>
  </si>
  <si>
    <t xml:space="preserve">ar_aging_2026-07-31.xlsx AR_Aging row 79</t>
  </si>
  <si>
    <t xml:space="preserve">AC-LP-0415</t>
  </si>
  <si>
    <t xml:space="preserve">ar_aging_2026-07-31.xlsx AR_Aging row 80</t>
  </si>
  <si>
    <t xml:space="preserve">AC-LP-0416</t>
  </si>
  <si>
    <t xml:space="preserve">ar_aging_2026-07-31.xlsx AR_Aging row 81</t>
  </si>
  <si>
    <t xml:space="preserve">AC-LP-0417</t>
  </si>
  <si>
    <t xml:space="preserve">ar_aging_2026-07-31.xlsx AR_Aging row 82</t>
  </si>
  <si>
    <t xml:space="preserve">AC-LP-0418</t>
  </si>
  <si>
    <t xml:space="preserve">2026-07-12</t>
  </si>
  <si>
    <t xml:space="preserve">ar_aging_2026-07-31.xlsx AR_Aging row 83</t>
  </si>
  <si>
    <t xml:space="preserve">AC-LP-0419</t>
  </si>
  <si>
    <t xml:space="preserve">ar_aging_2026-07-31.xlsx AR_Aging row 84</t>
  </si>
  <si>
    <t xml:space="preserve">AC-LP-0420</t>
  </si>
  <si>
    <t xml:space="preserve">ar_aging_2026-07-31.xlsx AR_Aging row 85</t>
  </si>
  <si>
    <t xml:space="preserve">AC-LP-0421</t>
  </si>
  <si>
    <t xml:space="preserve">ar_aging_2026-07-31.xlsx AR_Aging row 86</t>
  </si>
  <si>
    <t xml:space="preserve">AC-LP-0422</t>
  </si>
  <si>
    <t xml:space="preserve">2026-07-05</t>
  </si>
  <si>
    <t xml:space="preserve">ar_aging_2026-07-31.xlsx AR_Aging row 87</t>
  </si>
  <si>
    <t xml:space="preserve">AC-LP-0423</t>
  </si>
  <si>
    <t xml:space="preserve">2026-05-14</t>
  </si>
  <si>
    <t xml:space="preserve">ar_aging_2026-07-31.xlsx AR_Aging row 88</t>
  </si>
  <si>
    <t xml:space="preserve">AC-LP-0424</t>
  </si>
  <si>
    <t xml:space="preserve">ar_aging_2026-07-31.xlsx AR_Aging row 89</t>
  </si>
  <si>
    <t xml:space="preserve">AC-LP-0502</t>
  </si>
  <si>
    <t xml:space="preserve">ar_aging_2026-07-31.xlsx AR_Aging row 90</t>
  </si>
  <si>
    <t xml:space="preserve">AC-LP-0503</t>
  </si>
  <si>
    <t xml:space="preserve">ar_aging_2026-07-31.xlsx AR_Aging row 91</t>
  </si>
  <si>
    <t xml:space="preserve">AC-LP-0504</t>
  </si>
  <si>
    <t xml:space="preserve">ar_aging_2026-07-31.xlsx AR_Aging row 92</t>
  </si>
  <si>
    <t xml:space="preserve">AC-LP-0505</t>
  </si>
  <si>
    <t xml:space="preserve">ar_aging_2026-07-31.xlsx AR_Aging row 93</t>
  </si>
  <si>
    <t xml:space="preserve">AC-LP-0506</t>
  </si>
  <si>
    <t xml:space="preserve">ar_aging_2026-07-31.xlsx AR_Aging row 94</t>
  </si>
  <si>
    <t xml:space="preserve">AC-LP-0507</t>
  </si>
  <si>
    <t xml:space="preserve">ar_aging_2026-07-31.xlsx AR_Aging row 95</t>
  </si>
  <si>
    <t xml:space="preserve">AC-LP-0508</t>
  </si>
  <si>
    <t xml:space="preserve">ar_aging_2026-07-31.xlsx AR_Aging row 96</t>
  </si>
  <si>
    <t xml:space="preserve">AC-LP-0509</t>
  </si>
  <si>
    <t xml:space="preserve">ar_aging_2026-07-31.xlsx AR_Aging row 97</t>
  </si>
  <si>
    <t xml:space="preserve">AC-LP-0510</t>
  </si>
  <si>
    <t xml:space="preserve">ar_aging_2026-07-31.xlsx AR_Aging row 98</t>
  </si>
  <si>
    <t xml:space="preserve">AC-LP-0511</t>
  </si>
  <si>
    <t xml:space="preserve">ar_aging_2026-07-31.xlsx AR_Aging row 99</t>
  </si>
  <si>
    <t xml:space="preserve">AC-LP-0512</t>
  </si>
  <si>
    <t xml:space="preserve">ar_aging_2026-07-31.xlsx AR_Aging row 100</t>
  </si>
  <si>
    <t xml:space="preserve">AC-LP-0513</t>
  </si>
  <si>
    <t xml:space="preserve">ar_aging_2026-07-31.xlsx AR_Aging row 101</t>
  </si>
  <si>
    <t xml:space="preserve">AC-LP-0514</t>
  </si>
  <si>
    <t xml:space="preserve">2026-05-06</t>
  </si>
  <si>
    <t xml:space="preserve">ar_aging_2026-07-31.xlsx AR_Aging row 102</t>
  </si>
  <si>
    <t xml:space="preserve">AC-LP-0516</t>
  </si>
  <si>
    <t xml:space="preserve">2026-06-04</t>
  </si>
  <si>
    <t xml:space="preserve">ar_aging_2026-07-31.xlsx AR_Aging row 103</t>
  </si>
  <si>
    <t xml:space="preserve">AC-LP-0517</t>
  </si>
  <si>
    <t xml:space="preserve">ar_aging_2026-07-31.xlsx AR_Aging row 104</t>
  </si>
  <si>
    <t xml:space="preserve">AC-LP-0518</t>
  </si>
  <si>
    <t xml:space="preserve">ar_aging_2026-07-31.xlsx AR_Aging row 105</t>
  </si>
  <si>
    <t xml:space="preserve">AC-LP-0519</t>
  </si>
  <si>
    <t xml:space="preserve">2026-07-13</t>
  </si>
  <si>
    <t xml:space="preserve">ar_aging_2026-07-31.xlsx AR_Aging row 106</t>
  </si>
  <si>
    <t xml:space="preserve">AC-LP-0520</t>
  </si>
  <si>
    <t xml:space="preserve">ar_aging_2026-07-31.xlsx AR_Aging row 107</t>
  </si>
  <si>
    <t xml:space="preserve">AC-LP-0521</t>
  </si>
  <si>
    <t xml:space="preserve">ar_aging_2026-07-31.xlsx AR_Aging row 108</t>
  </si>
  <si>
    <t xml:space="preserve">AC-LP-0522</t>
  </si>
  <si>
    <t xml:space="preserve">ar_aging_2026-07-31.xlsx AR_Aging row 109</t>
  </si>
  <si>
    <t xml:space="preserve">AC-LP-0523</t>
  </si>
  <si>
    <t xml:space="preserve">2026-05-10</t>
  </si>
  <si>
    <t xml:space="preserve">2026-07-09</t>
  </si>
  <si>
    <t xml:space="preserve">ar_aging_2026-07-31.xlsx AR_Aging row 110</t>
  </si>
  <si>
    <t xml:space="preserve">AC-LP-0524</t>
  </si>
  <si>
    <t xml:space="preserve">ar_aging_2026-07-31.xlsx AR_Aging row 111</t>
  </si>
  <si>
    <t xml:space="preserve">AC-LP-0601</t>
  </si>
  <si>
    <t xml:space="preserve">ar_aging_2026-07-31.xlsx AR_Aging row 112</t>
  </si>
  <si>
    <t xml:space="preserve">AC-LP-0602</t>
  </si>
  <si>
    <t xml:space="preserve">ar_aging_2026-07-31.xlsx AR_Aging row 113</t>
  </si>
  <si>
    <t xml:space="preserve">AC-LP-0603</t>
  </si>
  <si>
    <t xml:space="preserve">ar_aging_2026-07-31.xlsx AR_Aging row 114</t>
  </si>
  <si>
    <t xml:space="preserve">AC-LP-0604</t>
  </si>
  <si>
    <t xml:space="preserve">2026-07-04</t>
  </si>
  <si>
    <t xml:space="preserve">ar_aging_2026-07-31.xlsx AR_Aging row 115</t>
  </si>
  <si>
    <t xml:space="preserve">AC-LP-0605</t>
  </si>
  <si>
    <t xml:space="preserve">ar_aging_2026-07-31.xlsx AR_Aging row 116</t>
  </si>
  <si>
    <t xml:space="preserve">AC-LP-0606</t>
  </si>
  <si>
    <t xml:space="preserve">2026-05-01</t>
  </si>
  <si>
    <t xml:space="preserve">ar_aging_2026-07-31.xlsx AR_Aging row 117</t>
  </si>
  <si>
    <t xml:space="preserve">AC-LP-0607</t>
  </si>
  <si>
    <t xml:space="preserve">ar_aging_2026-07-31.xlsx AR_Aging row 118</t>
  </si>
  <si>
    <t xml:space="preserve">AC-LP-0608</t>
  </si>
  <si>
    <t xml:space="preserve">ar_aging_2026-07-31.xlsx AR_Aging row 119</t>
  </si>
  <si>
    <t xml:space="preserve">AC-LP-0609</t>
  </si>
  <si>
    <t xml:space="preserve">ar_aging_2026-07-31.xlsx AR_Aging row 120</t>
  </si>
  <si>
    <t xml:space="preserve">AC-LP-0610</t>
  </si>
  <si>
    <t xml:space="preserve">ar_aging_2026-07-31.xlsx AR_Aging row 121</t>
  </si>
  <si>
    <t xml:space="preserve">AC-LP-0611</t>
  </si>
  <si>
    <t xml:space="preserve">ar_aging_2026-07-31.xlsx AR_Aging row 122</t>
  </si>
  <si>
    <t xml:space="preserve">AC-LP-0612</t>
  </si>
  <si>
    <t xml:space="preserve">ar_aging_2026-07-31.xlsx AR_Aging row 123</t>
  </si>
  <si>
    <t xml:space="preserve">AC-LP-0613</t>
  </si>
  <si>
    <t xml:space="preserve">ar_aging_2026-07-31.xlsx AR_Aging row 124</t>
  </si>
  <si>
    <t xml:space="preserve">AC-LP-0614</t>
  </si>
  <si>
    <t xml:space="preserve">ar_aging_2026-07-31.xlsx AR_Aging row 125</t>
  </si>
  <si>
    <t xml:space="preserve">AC-LP-0615</t>
  </si>
  <si>
    <t xml:space="preserve">ar_aging_2026-07-31.xlsx AR_Aging row 126</t>
  </si>
  <si>
    <t xml:space="preserve">AC-LP-0616</t>
  </si>
  <si>
    <t xml:space="preserve">ar_aging_2026-07-31.xlsx AR_Aging row 127</t>
  </si>
  <si>
    <t xml:space="preserve">AC-LP-0617</t>
  </si>
  <si>
    <t xml:space="preserve">ar_aging_2026-07-31.xlsx AR_Aging row 128</t>
  </si>
  <si>
    <t xml:space="preserve">AC-LP-0618</t>
  </si>
  <si>
    <t xml:space="preserve">ar_aging_2026-07-31.xlsx AR_Aging row 129</t>
  </si>
  <si>
    <t xml:space="preserve">AC-LP-0620</t>
  </si>
  <si>
    <t xml:space="preserve">ar_aging_2026-07-31.xlsx AR_Aging row 130</t>
  </si>
  <si>
    <t xml:space="preserve">AC-LP-0621</t>
  </si>
  <si>
    <t xml:space="preserve">ar_aging_2026-07-31.xlsx AR_Aging row 131</t>
  </si>
  <si>
    <t xml:space="preserve">AC-LP-0622</t>
  </si>
  <si>
    <t xml:space="preserve">ar_aging_2026-07-31.xlsx AR_Aging row 132</t>
  </si>
  <si>
    <t xml:space="preserve">AC-LP-0623</t>
  </si>
  <si>
    <t xml:space="preserve">2026-05-21</t>
  </si>
  <si>
    <t xml:space="preserve">ar_aging_2026-07-31.xlsx AR_Aging row 133</t>
  </si>
  <si>
    <t xml:space="preserve">AC-LP-0624</t>
  </si>
  <si>
    <t xml:space="preserve">2026-05-28</t>
  </si>
  <si>
    <t xml:space="preserve">ar_aging_2026-07-31.xlsx AR_Aging row 134</t>
  </si>
  <si>
    <t xml:space="preserve">AC-LP-0701</t>
  </si>
  <si>
    <t xml:space="preserve">ar_aging_2026-07-31.xlsx AR_Aging row 135</t>
  </si>
  <si>
    <t xml:space="preserve">AC-LP-0702</t>
  </si>
  <si>
    <t xml:space="preserve">ar_aging_2026-07-31.xlsx AR_Aging row 136</t>
  </si>
  <si>
    <t xml:space="preserve">AC-LP-0703</t>
  </si>
  <si>
    <t xml:space="preserve">2026-05-12</t>
  </si>
  <si>
    <t xml:space="preserve">2026-06-26</t>
  </si>
  <si>
    <t xml:space="preserve">ar_aging_2026-07-31.xlsx AR_Aging row 137</t>
  </si>
  <si>
    <t xml:space="preserve">AC-LP-0704</t>
  </si>
  <si>
    <t xml:space="preserve">ar_aging_2026-07-31.xlsx AR_Aging row 138</t>
  </si>
  <si>
    <t xml:space="preserve">AC-LP-0705</t>
  </si>
  <si>
    <t xml:space="preserve">2026-05-19</t>
  </si>
  <si>
    <t xml:space="preserve">ar_aging_2026-07-31.xlsx AR_Aging row 139</t>
  </si>
  <si>
    <t xml:space="preserve">AC-LP-0706</t>
  </si>
  <si>
    <t xml:space="preserve">ar_aging_2026-07-31.xlsx AR_Aging row 140</t>
  </si>
  <si>
    <t xml:space="preserve">AC-LP-0707</t>
  </si>
  <si>
    <t xml:space="preserve">ar_aging_2026-07-31.xlsx AR_Aging row 141</t>
  </si>
  <si>
    <t xml:space="preserve">AC-LP-0708</t>
  </si>
  <si>
    <t xml:space="preserve">ar_aging_2026-07-31.xlsx AR_Aging row 142</t>
  </si>
  <si>
    <t xml:space="preserve">AC-LP-0709</t>
  </si>
  <si>
    <t xml:space="preserve">ar_aging_2026-07-31.xlsx AR_Aging row 143</t>
  </si>
  <si>
    <t xml:space="preserve">AC-LP-0710</t>
  </si>
  <si>
    <t xml:space="preserve">ar_aging_2026-07-31.xlsx AR_Aging row 144</t>
  </si>
  <si>
    <t xml:space="preserve">AC-LP-0711</t>
  </si>
  <si>
    <t xml:space="preserve">ar_aging_2026-07-31.xlsx AR_Aging row 145</t>
  </si>
  <si>
    <t xml:space="preserve">AC-LP-0712</t>
  </si>
  <si>
    <t xml:space="preserve">ar_aging_2026-07-31.xlsx AR_Aging row 146</t>
  </si>
  <si>
    <t xml:space="preserve">AC-LP-0713</t>
  </si>
  <si>
    <t xml:space="preserve">2026-05-15</t>
  </si>
  <si>
    <t xml:space="preserve">ar_aging_2026-07-31.xlsx AR_Aging row 147</t>
  </si>
  <si>
    <t xml:space="preserve">AC-LP-0714</t>
  </si>
  <si>
    <t xml:space="preserve">ar_aging_2026-07-31.xlsx AR_Aging row 148</t>
  </si>
  <si>
    <t xml:space="preserve">AC-LP-0715</t>
  </si>
  <si>
    <t xml:space="preserve">ar_aging_2026-07-31.xlsx AR_Aging row 149</t>
  </si>
  <si>
    <t xml:space="preserve">AC-LP-0716</t>
  </si>
  <si>
    <t xml:space="preserve">ar_aging_2026-07-31.xlsx AR_Aging row 150</t>
  </si>
  <si>
    <t xml:space="preserve">AC-LP-0717</t>
  </si>
  <si>
    <t xml:space="preserve">ar_aging_2026-07-31.xlsx AR_Aging row 151</t>
  </si>
  <si>
    <t xml:space="preserve">AC-LP-0718</t>
  </si>
  <si>
    <t xml:space="preserve">ar_aging_2026-07-31.xlsx AR_Aging row 152</t>
  </si>
  <si>
    <t xml:space="preserve">AC-LP-0719</t>
  </si>
  <si>
    <t xml:space="preserve">ar_aging_2026-07-31.xlsx AR_Aging row 153</t>
  </si>
  <si>
    <t xml:space="preserve">AC-LP-0720</t>
  </si>
  <si>
    <t xml:space="preserve">ar_aging_2026-07-31.xlsx AR_Aging row 154</t>
  </si>
  <si>
    <t xml:space="preserve">AC-LP-0722</t>
  </si>
  <si>
    <t xml:space="preserve">ar_aging_2026-07-31.xlsx AR_Aging row 155</t>
  </si>
  <si>
    <t xml:space="preserve">AC-LP-0723</t>
  </si>
  <si>
    <t xml:space="preserve">ar_aging_2026-07-31.xlsx AR_Aging row 156</t>
  </si>
  <si>
    <t xml:space="preserve">AC-LP-0724</t>
  </si>
  <si>
    <t xml:space="preserve">ar_aging_2026-07-31.xlsx AR_Aging row 157</t>
  </si>
  <si>
    <t xml:space="preserve">AC-LP-0801</t>
  </si>
  <si>
    <t xml:space="preserve">ar_aging_2026-07-31.xlsx AR_Aging row 158</t>
  </si>
  <si>
    <t xml:space="preserve">AC-LP-0802</t>
  </si>
  <si>
    <t xml:space="preserve">ar_aging_2026-07-31.xlsx AR_Aging row 159</t>
  </si>
  <si>
    <t xml:space="preserve">AC-LP-0803</t>
  </si>
  <si>
    <t xml:space="preserve">ar_aging_2026-07-31.xlsx AR_Aging row 160</t>
  </si>
  <si>
    <t xml:space="preserve">AC-LP-0805</t>
  </si>
  <si>
    <t xml:space="preserve">ar_aging_2026-07-31.xlsx AR_Aging row 161</t>
  </si>
  <si>
    <t xml:space="preserve">AC-LP-0806</t>
  </si>
  <si>
    <t xml:space="preserve">2026-05-17</t>
  </si>
  <si>
    <t xml:space="preserve">ar_aging_2026-07-31.xlsx AR_Aging row 162</t>
  </si>
  <si>
    <t xml:space="preserve">AC-LP-0807</t>
  </si>
  <si>
    <t xml:space="preserve">2026-05-30</t>
  </si>
  <si>
    <t xml:space="preserve">ar_aging_2026-07-31.xlsx AR_Aging row 163</t>
  </si>
  <si>
    <t xml:space="preserve">AC-LP-0808</t>
  </si>
  <si>
    <t xml:space="preserve">ar_aging_2026-07-31.xlsx AR_Aging row 164</t>
  </si>
  <si>
    <t xml:space="preserve">AC-LP-0809</t>
  </si>
  <si>
    <t xml:space="preserve">ar_aging_2026-07-31.xlsx AR_Aging row 165</t>
  </si>
  <si>
    <t xml:space="preserve">AC-LP-0811</t>
  </si>
  <si>
    <t xml:space="preserve">ar_aging_2026-07-31.xlsx AR_Aging row 166</t>
  </si>
  <si>
    <t xml:space="preserve">AC-LP-0812</t>
  </si>
  <si>
    <t xml:space="preserve">ar_aging_2026-07-31.xlsx AR_Aging row 167</t>
  </si>
  <si>
    <t xml:space="preserve">AC-LP-0813</t>
  </si>
  <si>
    <t xml:space="preserve">ar_aging_2026-07-31.xlsx AR_Aging row 168</t>
  </si>
  <si>
    <t xml:space="preserve">AC-LP-0814</t>
  </si>
  <si>
    <t xml:space="preserve">ar_aging_2026-07-31.xlsx AR_Aging row 169</t>
  </si>
  <si>
    <t xml:space="preserve">AC-LP-0815</t>
  </si>
  <si>
    <t xml:space="preserve">ar_aging_2026-07-31.xlsx AR_Aging row 170</t>
  </si>
  <si>
    <t xml:space="preserve">AC-LP-0816</t>
  </si>
  <si>
    <t xml:space="preserve">ar_aging_2026-07-31.xlsx AR_Aging row 171</t>
  </si>
  <si>
    <t xml:space="preserve">AC-LP-0817</t>
  </si>
  <si>
    <t xml:space="preserve">ar_aging_2026-07-31.xlsx AR_Aging row 172</t>
  </si>
  <si>
    <t xml:space="preserve">AC-LP-0818</t>
  </si>
  <si>
    <t xml:space="preserve">ar_aging_2026-07-31.xlsx AR_Aging row 173</t>
  </si>
  <si>
    <t xml:space="preserve">AC-LP-0819</t>
  </si>
  <si>
    <t xml:space="preserve">ar_aging_2026-07-31.xlsx AR_Aging row 174</t>
  </si>
  <si>
    <t xml:space="preserve">AC-LP-0820</t>
  </si>
  <si>
    <t xml:space="preserve">ar_aging_2026-07-31.xlsx AR_Aging row 175</t>
  </si>
  <si>
    <t xml:space="preserve">AC-LP-0821</t>
  </si>
  <si>
    <t xml:space="preserve">ar_aging_2026-07-31.xlsx AR_Aging row 176</t>
  </si>
  <si>
    <t xml:space="preserve">AC-LP-0822</t>
  </si>
  <si>
    <t xml:space="preserve">ar_aging_2026-07-31.xlsx AR_Aging row 177</t>
  </si>
  <si>
    <t xml:space="preserve">AC-LP-0823</t>
  </si>
  <si>
    <t xml:space="preserve">ar_aging_2026-07-31.xlsx AR_Aging row 178</t>
  </si>
  <si>
    <t xml:space="preserve">AC-LP-0824</t>
  </si>
  <si>
    <t xml:space="preserve">ar_aging_2026-07-31.xlsx AR_Aging row 179</t>
  </si>
  <si>
    <t xml:space="preserve">AC-LP-0901</t>
  </si>
  <si>
    <t xml:space="preserve">ar_aging_2026-07-31.xlsx AR_Aging row 180</t>
  </si>
  <si>
    <t xml:space="preserve">AC-LP-0902</t>
  </si>
  <si>
    <t xml:space="preserve">ar_aging_2026-07-31.xlsx AR_Aging row 181</t>
  </si>
  <si>
    <t xml:space="preserve">AC-LP-0903</t>
  </si>
  <si>
    <t xml:space="preserve">ar_aging_2026-07-31.xlsx AR_Aging row 182</t>
  </si>
  <si>
    <t xml:space="preserve">AC-LP-0904</t>
  </si>
  <si>
    <t xml:space="preserve">ar_aging_2026-07-31.xlsx AR_Aging row 183</t>
  </si>
  <si>
    <t xml:space="preserve">AC-LP-0905</t>
  </si>
  <si>
    <t xml:space="preserve">ar_aging_2026-07-31.xlsx AR_Aging row 184</t>
  </si>
  <si>
    <t xml:space="preserve">AC-LP-0906</t>
  </si>
  <si>
    <t xml:space="preserve">ar_aging_2026-07-31.xlsx AR_Aging row 185</t>
  </si>
  <si>
    <t xml:space="preserve">AC-LP-0907</t>
  </si>
  <si>
    <t xml:space="preserve">ar_aging_2026-07-31.xlsx AR_Aging row 186</t>
  </si>
  <si>
    <t xml:space="preserve">AC-LP-0908</t>
  </si>
  <si>
    <t xml:space="preserve">ar_aging_2026-07-31.xlsx AR_Aging row 187</t>
  </si>
  <si>
    <t xml:space="preserve">AC-LP-0909</t>
  </si>
  <si>
    <t xml:space="preserve">ar_aging_2026-07-31.xlsx AR_Aging row 188</t>
  </si>
  <si>
    <t xml:space="preserve">AC-LP-0910</t>
  </si>
  <si>
    <t xml:space="preserve">ar_aging_2026-07-31.xlsx AR_Aging row 189</t>
  </si>
  <si>
    <t xml:space="preserve">AC-LP-0911</t>
  </si>
  <si>
    <t xml:space="preserve">ar_aging_2026-07-31.xlsx AR_Aging row 190</t>
  </si>
  <si>
    <t xml:space="preserve">AC-LP-0912</t>
  </si>
  <si>
    <t xml:space="preserve">ar_aging_2026-07-31.xlsx AR_Aging row 191</t>
  </si>
  <si>
    <t xml:space="preserve">AC-LP-0913</t>
  </si>
  <si>
    <t xml:space="preserve">ar_aging_2026-07-31.xlsx AR_Aging row 192</t>
  </si>
  <si>
    <t xml:space="preserve">AC-LP-0914</t>
  </si>
  <si>
    <t xml:space="preserve">ar_aging_2026-07-31.xlsx AR_Aging row 193</t>
  </si>
  <si>
    <t xml:space="preserve">AC-LP-0915</t>
  </si>
  <si>
    <t xml:space="preserve">ar_aging_2026-07-31.xlsx AR_Aging row 194</t>
  </si>
  <si>
    <t xml:space="preserve">AC-LP-0917</t>
  </si>
  <si>
    <t xml:space="preserve">ar_aging_2026-07-31.xlsx AR_Aging row 195</t>
  </si>
  <si>
    <t xml:space="preserve">AC-LP-0918</t>
  </si>
  <si>
    <t xml:space="preserve">ar_aging_2026-07-31.xlsx AR_Aging row 196</t>
  </si>
  <si>
    <t xml:space="preserve">AC-LP-0919</t>
  </si>
  <si>
    <t xml:space="preserve">ar_aging_2026-07-31.xlsx AR_Aging row 197</t>
  </si>
  <si>
    <t xml:space="preserve">AC-LP-0920</t>
  </si>
  <si>
    <t xml:space="preserve">ar_aging_2026-07-31.xlsx AR_Aging row 198</t>
  </si>
  <si>
    <t xml:space="preserve">AC-LP-0921</t>
  </si>
  <si>
    <t xml:space="preserve">ar_aging_2026-07-31.xlsx AR_Aging row 199</t>
  </si>
  <si>
    <t xml:space="preserve">AC-LP-0922</t>
  </si>
  <si>
    <t xml:space="preserve">ar_aging_2026-07-31.xlsx AR_Aging row 200</t>
  </si>
  <si>
    <t xml:space="preserve">AC-LP-0923</t>
  </si>
  <si>
    <t xml:space="preserve">ar_aging_2026-07-31.xlsx AR_Aging row 201</t>
  </si>
  <si>
    <t xml:space="preserve">AC-LP-0924</t>
  </si>
  <si>
    <t xml:space="preserve">ar_aging_2026-07-31.xlsx AR_Aging row 202</t>
  </si>
  <si>
    <t xml:space="preserve">AC-LP-1001</t>
  </si>
  <si>
    <t xml:space="preserve">ar_aging_2026-07-31.xlsx AR_Aging row 203</t>
  </si>
  <si>
    <t xml:space="preserve">AC-LP-1002</t>
  </si>
  <si>
    <t xml:space="preserve">ar_aging_2026-07-31.xlsx AR_Aging row 204</t>
  </si>
  <si>
    <t xml:space="preserve">AC-LP-1003</t>
  </si>
  <si>
    <t xml:space="preserve">ar_aging_2026-07-31.xlsx AR_Aging row 205</t>
  </si>
  <si>
    <t xml:space="preserve">AC-LP-1004</t>
  </si>
  <si>
    <t xml:space="preserve">ar_aging_2026-07-31.xlsx AR_Aging row 206</t>
  </si>
  <si>
    <t xml:space="preserve">AC-LP-1005</t>
  </si>
  <si>
    <t xml:space="preserve">ar_aging_2026-07-31.xlsx AR_Aging row 207</t>
  </si>
  <si>
    <t xml:space="preserve">AC-LP-1006</t>
  </si>
  <si>
    <t xml:space="preserve">ar_aging_2026-07-31.xlsx AR_Aging row 208</t>
  </si>
  <si>
    <t xml:space="preserve">AC-LP-1007</t>
  </si>
  <si>
    <t xml:space="preserve">ar_aging_2026-07-31.xlsx AR_Aging row 209</t>
  </si>
  <si>
    <t xml:space="preserve">AC-LP-1008</t>
  </si>
  <si>
    <t xml:space="preserve">ar_aging_2026-07-31.xlsx AR_Aging row 210</t>
  </si>
  <si>
    <t xml:space="preserve">AC-LP-1009</t>
  </si>
  <si>
    <t xml:space="preserve">ar_aging_2026-07-31.xlsx AR_Aging row 211</t>
  </si>
  <si>
    <t xml:space="preserve">AC-LP-1010</t>
  </si>
  <si>
    <t xml:space="preserve">ar_aging_2026-07-31.xlsx AR_Aging row 212</t>
  </si>
  <si>
    <t xml:space="preserve">AC-LP-1011</t>
  </si>
  <si>
    <t xml:space="preserve">ar_aging_2026-07-31.xlsx AR_Aging row 213</t>
  </si>
  <si>
    <t xml:space="preserve">AC-LP-1012</t>
  </si>
  <si>
    <t xml:space="preserve">ar_aging_2026-07-31.xlsx AR_Aging row 214</t>
  </si>
  <si>
    <t xml:space="preserve">AC-LP-1013</t>
  </si>
  <si>
    <t xml:space="preserve">ar_aging_2026-07-31.xlsx AR_Aging row 215</t>
  </si>
  <si>
    <t xml:space="preserve">AC-LP-1014</t>
  </si>
  <si>
    <t xml:space="preserve">ar_aging_2026-07-31.xlsx AR_Aging row 216</t>
  </si>
  <si>
    <t xml:space="preserve">AC-LP-1016</t>
  </si>
  <si>
    <t xml:space="preserve">ar_aging_2026-07-31.xlsx AR_Aging row 217</t>
  </si>
  <si>
    <t xml:space="preserve">AC-LP-1017</t>
  </si>
  <si>
    <t xml:space="preserve">ar_aging_2026-07-31.xlsx AR_Aging row 218</t>
  </si>
  <si>
    <t xml:space="preserve">AC-LP-1018</t>
  </si>
  <si>
    <t xml:space="preserve">ar_aging_2026-07-31.xlsx AR_Aging row 219</t>
  </si>
  <si>
    <t xml:space="preserve">AC-LP-1020</t>
  </si>
  <si>
    <t xml:space="preserve">ar_aging_2026-07-31.xlsx AR_Aging row 220</t>
  </si>
  <si>
    <t xml:space="preserve">AC-LP-1021</t>
  </si>
  <si>
    <t xml:space="preserve">ar_aging_2026-07-31.xlsx AR_Aging row 221</t>
  </si>
  <si>
    <t xml:space="preserve">AC-LP-1022</t>
  </si>
  <si>
    <t xml:space="preserve">ar_aging_2026-07-31.xlsx AR_Aging row 222</t>
  </si>
  <si>
    <t xml:space="preserve">AC-LP-1023</t>
  </si>
  <si>
    <t xml:space="preserve">ar_aging_2026-07-31.xlsx AR_Aging row 223</t>
  </si>
  <si>
    <t xml:space="preserve">AC-LP-1024</t>
  </si>
  <si>
    <t xml:space="preserve">ar_aging_2026-07-31.xlsx AR_Aging row 224</t>
  </si>
  <si>
    <t xml:space="preserve">AC-LP-1102</t>
  </si>
  <si>
    <t xml:space="preserve">ar_aging_2026-07-31.xlsx AR_Aging row 225</t>
  </si>
  <si>
    <t xml:space="preserve">AC-LP-1103</t>
  </si>
  <si>
    <t xml:space="preserve">ar_aging_2026-07-31.xlsx AR_Aging row 226</t>
  </si>
  <si>
    <t xml:space="preserve">AC-LP-1104</t>
  </si>
  <si>
    <t xml:space="preserve">ar_aging_2026-07-31.xlsx AR_Aging row 227</t>
  </si>
  <si>
    <t xml:space="preserve">AC-LP-1105</t>
  </si>
  <si>
    <t xml:space="preserve">ar_aging_2026-07-31.xlsx AR_Aging row 228</t>
  </si>
  <si>
    <t xml:space="preserve">AC-LP-1106</t>
  </si>
  <si>
    <t xml:space="preserve">ar_aging_2026-07-31.xlsx AR_Aging row 229</t>
  </si>
  <si>
    <t xml:space="preserve">AC-LP-1107</t>
  </si>
  <si>
    <t xml:space="preserve">ar_aging_2026-07-31.xlsx AR_Aging row 230</t>
  </si>
  <si>
    <t xml:space="preserve">AC-LP-1108</t>
  </si>
  <si>
    <t xml:space="preserve">ar_aging_2026-07-31.xlsx AR_Aging row 231</t>
  </si>
  <si>
    <t xml:space="preserve">AC-LP-1109</t>
  </si>
  <si>
    <t xml:space="preserve">ar_aging_2026-07-31.xlsx AR_Aging row 232</t>
  </si>
  <si>
    <t xml:space="preserve">AC-LP-1110</t>
  </si>
  <si>
    <t xml:space="preserve">ar_aging_2026-07-31.xlsx AR_Aging row 233</t>
  </si>
  <si>
    <t xml:space="preserve">AC-LP-1111</t>
  </si>
  <si>
    <t xml:space="preserve">ar_aging_2026-07-31.xlsx AR_Aging row 234</t>
  </si>
  <si>
    <t xml:space="preserve">AC-LP-1112</t>
  </si>
  <si>
    <t xml:space="preserve">ar_aging_2026-07-31.xlsx AR_Aging row 235</t>
  </si>
  <si>
    <t xml:space="preserve">AC-LP-1113</t>
  </si>
  <si>
    <t xml:space="preserve">ar_aging_2026-07-31.xlsx AR_Aging row 236</t>
  </si>
  <si>
    <t xml:space="preserve">AC-LP-1114</t>
  </si>
  <si>
    <t xml:space="preserve">ar_aging_2026-07-31.xlsx AR_Aging row 237</t>
  </si>
  <si>
    <t xml:space="preserve">AC-LP-1115</t>
  </si>
  <si>
    <t xml:space="preserve">ar_aging_2026-07-31.xlsx AR_Aging row 238</t>
  </si>
  <si>
    <t xml:space="preserve">AC-LP-1116</t>
  </si>
  <si>
    <t xml:space="preserve">ar_aging_2026-07-31.xlsx AR_Aging row 239</t>
  </si>
  <si>
    <t xml:space="preserve">AC-LP-1117</t>
  </si>
  <si>
    <t xml:space="preserve">ar_aging_2026-07-31.xlsx AR_Aging row 240</t>
  </si>
  <si>
    <t xml:space="preserve">AC-LP-1118</t>
  </si>
  <si>
    <t xml:space="preserve">ar_aging_2026-07-31.xlsx AR_Aging row 241</t>
  </si>
  <si>
    <t xml:space="preserve">AC-LP-1119</t>
  </si>
  <si>
    <t xml:space="preserve">ar_aging_2026-07-31.xlsx AR_Aging row 242</t>
  </si>
  <si>
    <t xml:space="preserve">AC-LP-1120</t>
  </si>
  <si>
    <t xml:space="preserve">ar_aging_2026-07-31.xlsx AR_Aging row 243</t>
  </si>
  <si>
    <t xml:space="preserve">AC-VB-0101</t>
  </si>
  <si>
    <t xml:space="preserve">ar_aging_2026-07-31.xlsx AR_Aging row 244</t>
  </si>
  <si>
    <t xml:space="preserve">AC-VB-0102</t>
  </si>
  <si>
    <t xml:space="preserve">ar_aging_2026-07-31.xlsx AR_Aging row 245</t>
  </si>
  <si>
    <t xml:space="preserve">AC-VB-0103</t>
  </si>
  <si>
    <t xml:space="preserve">ar_aging_2026-07-31.xlsx AR_Aging row 246</t>
  </si>
  <si>
    <t xml:space="preserve">AC-VB-0105</t>
  </si>
  <si>
    <t xml:space="preserve">ar_aging_2026-07-31.xlsx AR_Aging row 247</t>
  </si>
  <si>
    <t xml:space="preserve">AC-VB-0106</t>
  </si>
  <si>
    <t xml:space="preserve">ar_aging_2026-07-31.xlsx AR_Aging row 248</t>
  </si>
  <si>
    <t xml:space="preserve">AC-VB-0107</t>
  </si>
  <si>
    <t xml:space="preserve">ar_aging_2026-07-31.xlsx AR_Aging row 249</t>
  </si>
  <si>
    <t xml:space="preserve">AC-VB-0108</t>
  </si>
  <si>
    <t xml:space="preserve">ar_aging_2026-07-31.xlsx AR_Aging row 250</t>
  </si>
  <si>
    <t xml:space="preserve">AC-VB-0109</t>
  </si>
  <si>
    <t xml:space="preserve">ar_aging_2026-07-31.xlsx AR_Aging row 251</t>
  </si>
  <si>
    <t xml:space="preserve">AC-VB-0110</t>
  </si>
  <si>
    <t xml:space="preserve">ar_aging_2026-07-31.xlsx AR_Aging row 252</t>
  </si>
  <si>
    <t xml:space="preserve">AC-VB-0111</t>
  </si>
  <si>
    <t xml:space="preserve">ar_aging_2026-07-31.xlsx AR_Aging row 253</t>
  </si>
  <si>
    <t xml:space="preserve">AC-VB-0112</t>
  </si>
  <si>
    <t xml:space="preserve">ar_aging_2026-07-31.xlsx AR_Aging row 254</t>
  </si>
  <si>
    <t xml:space="preserve">AC-VB-0113</t>
  </si>
  <si>
    <t xml:space="preserve">ar_aging_2026-07-31.xlsx AR_Aging row 255</t>
  </si>
  <si>
    <t xml:space="preserve">AC-VB-0114</t>
  </si>
  <si>
    <t xml:space="preserve">ar_aging_2026-07-31.xlsx AR_Aging row 256</t>
  </si>
  <si>
    <t xml:space="preserve">AC-VB-0115</t>
  </si>
  <si>
    <t xml:space="preserve">ar_aging_2026-07-31.xlsx AR_Aging row 257</t>
  </si>
  <si>
    <t xml:space="preserve">AC-VB-0116</t>
  </si>
  <si>
    <t xml:space="preserve">ar_aging_2026-07-31.xlsx AR_Aging row 258</t>
  </si>
  <si>
    <t xml:space="preserve">AC-VB-0117</t>
  </si>
  <si>
    <t xml:space="preserve">ar_aging_2026-07-31.xlsx AR_Aging row 259</t>
  </si>
  <si>
    <t xml:space="preserve">AC-VB-0118</t>
  </si>
  <si>
    <t xml:space="preserve">ar_aging_2026-07-31.xlsx AR_Aging row 260</t>
  </si>
  <si>
    <t xml:space="preserve">AC-VB-0119</t>
  </si>
  <si>
    <t xml:space="preserve">ar_aging_2026-07-31.xlsx AR_Aging row 261</t>
  </si>
  <si>
    <t xml:space="preserve">AC-VB-0120</t>
  </si>
  <si>
    <t xml:space="preserve">ar_aging_2026-07-31.xlsx AR_Aging row 262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</si>
</sst>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;[RED]&quot;-$&quot;#,##0.00"/>
    <numFmt numFmtId="167" formatCode="yyyy\-mm\-dd"/>
    <numFmt numFmtId="168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Noto Sans"/>
      <family val="0"/>
      <charset val="1"/>
    </font>
    <font>
      <b val="true"/>
      <sz val="9"/>
      <color rgb="FF0F6B6D"/>
      <name val="Noto Sans"/>
      <family val="0"/>
      <charset val="1"/>
    </font>
    <font>
      <b val="true"/>
      <sz val="10"/>
      <color rgb="FFFFFFFF"/>
      <name val="Noto Sans"/>
      <family val="0"/>
      <charset val="1"/>
    </font>
    <font>
      <sz val="8.5"/>
      <color rgb="FF627484"/>
      <name val="Noto Sans"/>
      <family val="0"/>
      <charset val="1"/>
    </font>
    <font>
      <b val="true"/>
      <sz val="11"/>
      <color rgb="FF243746"/>
      <name val="Noto Sans"/>
      <family val="0"/>
      <charset val="1"/>
    </font>
    <font>
      <b val="true"/>
      <sz val="9"/>
      <color rgb="FF243746"/>
      <name val="Noto Sans"/>
      <family val="0"/>
      <charset val="1"/>
    </font>
    <font>
      <sz val="9"/>
      <color rgb="FF243746"/>
      <name val="Noto Sans"/>
      <family val="0"/>
      <charset val="1"/>
    </font>
    <font>
      <b val="true"/>
      <sz val="8.5"/>
      <color rgb="FF243746"/>
      <name val="Noto Sans"/>
      <family val="0"/>
      <charset val="1"/>
    </font>
    <font>
      <sz val="8.5"/>
      <color rgb="FF2E6B3A"/>
      <name val="Noto Sans"/>
      <family val="0"/>
      <charset val="1"/>
    </font>
    <font>
      <b val="true"/>
      <sz val="8"/>
      <color rgb="FF0F6B6D"/>
      <name val="Noto Sans"/>
      <family val="0"/>
      <charset val="1"/>
    </font>
    <font>
      <sz val="8"/>
      <color rgb="FF243746"/>
      <name val="Noto Sans"/>
      <family val="0"/>
      <charset val="1"/>
    </font>
    <font>
      <b val="true"/>
      <sz val="18"/>
      <color rgb="FFFFFFFF"/>
      <name val="Noto Sans"/>
      <family val="0"/>
      <charset val="1"/>
    </font>
    <font>
      <b val="true"/>
      <sz val="10"/>
      <color rgb="FF0F6B6D"/>
      <name val="Noto Sans"/>
      <family val="0"/>
      <charset val="1"/>
    </font>
    <font>
      <sz val="8.5"/>
      <color rgb="FF243746"/>
      <name val="Noto Sans"/>
      <family val="0"/>
      <charset val="1"/>
    </font>
    <font>
      <b val="true"/>
      <sz val="8"/>
      <color rgb="FFFFFFFF"/>
      <name val="Noto Sans"/>
      <family val="0"/>
      <charset val="1"/>
    </font>
    <font>
      <sz val="7.5"/>
      <color rgb="FF243746"/>
      <name val="Noto San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8324B"/>
        <bgColor rgb="FF243746"/>
      </patternFill>
    </fill>
    <fill>
      <patternFill patternType="solid">
        <fgColor rgb="FF0F6B6D"/>
        <bgColor rgb="FF008080"/>
      </patternFill>
    </fill>
    <fill>
      <patternFill patternType="solid">
        <fgColor rgb="FFFFF4D6"/>
        <bgColor rgb="FFFCE8E6"/>
      </patternFill>
    </fill>
    <fill>
      <patternFill patternType="solid">
        <fgColor rgb="FFF7F9FA"/>
        <bgColor rgb="FFF6F8FA"/>
      </patternFill>
    </fill>
    <fill>
      <patternFill patternType="solid">
        <fgColor rgb="FFEAF1F6"/>
        <bgColor rgb="FFE7F3F2"/>
      </patternFill>
    </fill>
    <fill>
      <patternFill patternType="solid">
        <fgColor rgb="FFE8F3E8"/>
        <bgColor rgb="FFE7F3F2"/>
      </patternFill>
    </fill>
    <fill>
      <patternFill patternType="solid">
        <fgColor rgb="FFE7F3F2"/>
        <bgColor rgb="FFEAF1F6"/>
      </patternFill>
    </fill>
    <fill>
      <patternFill patternType="solid">
        <fgColor rgb="FFF6F8FA"/>
        <bgColor rgb="FFF7F9F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9ED"/>
      </bottom>
      <diagonal/>
    </border>
    <border diagonalUp="false" diagonalDown="false">
      <left/>
      <right/>
      <top/>
      <bottom style="thin">
        <color rgb="FF18324B"/>
      </bottom>
      <diagonal/>
    </border>
    <border diagonalUp="false" diagonalDown="false">
      <left/>
      <right/>
      <top/>
      <bottom style="hair">
        <color rgb="FFE4E9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F6B6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74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A61B1B"/>
          <bgColor rgb="FF000000"/>
        </patternFill>
      </fill>
    </dxf>
    <dxf>
      <font>
        <b val="1"/>
        <color rgb="FFA61B1B"/>
      </font>
      <fill>
        <patternFill>
          <bgColor rgb="FFFCE8E6"/>
        </patternFill>
      </fill>
    </dxf>
    <dxf>
      <font>
        <b val="1"/>
        <color rgb="FF243746"/>
      </font>
      <fill>
        <patternFill>
          <bgColor rgb="FFFFF4D6"/>
        </patternFill>
      </fill>
    </dxf>
    <dxf>
      <fill>
        <patternFill patternType="solid">
          <fgColor rgb="FFE8F3E8"/>
          <bgColor rgb="FF000000"/>
        </patternFill>
      </fill>
    </dxf>
    <dxf>
      <fill>
        <patternFill patternType="solid">
          <fgColor rgb="FF2E6B3A"/>
          <bgColor rgb="FF000000"/>
        </patternFill>
      </fill>
    </dxf>
    <dxf>
      <font>
        <color rgb="FF2E6B3A"/>
      </font>
      <fill>
        <patternFill>
          <bgColor rgb="FFE8F3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3A"/>
      <rgbColor rgb="FF000080"/>
      <rgbColor rgb="FF808000"/>
      <rgbColor rgb="FF800080"/>
      <rgbColor rgb="FF0F6B6D"/>
      <rgbColor rgb="FFF7F9FA"/>
      <rgbColor rgb="FF808080"/>
      <rgbColor rgb="FF9999FF"/>
      <rgbColor rgb="FF993366"/>
      <rgbColor rgb="FFFFF4D6"/>
      <rgbColor rgb="FFE7F3F2"/>
      <rgbColor rgb="FF660066"/>
      <rgbColor rgb="FFFF8080"/>
      <rgbColor rgb="FF0066CC"/>
      <rgbColor rgb="FFEAF1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8"/>
      <rgbColor rgb="FFE4E9ED"/>
      <rgbColor rgb="FFFCE8E6"/>
      <rgbColor rgb="FF99CCFF"/>
      <rgbColor rgb="FFFF99CC"/>
      <rgbColor rgb="FFCC99FF"/>
      <rgbColor rgb="FFF6F8FA"/>
      <rgbColor rgb="FF3366FF"/>
      <rgbColor rgb="FF33CCCC"/>
      <rgbColor rgb="FF99CC00"/>
      <rgbColor rgb="FFFFCC00"/>
      <rgbColor rgb="FFD9A441"/>
      <rgbColor rgb="FFFF6600"/>
      <rgbColor rgb="FF627484"/>
      <rgbColor rgb="FF969696"/>
      <rgbColor rgb="FF18324B"/>
      <rgbColor rgb="FF339966"/>
      <rgbColor rgb="FF003300"/>
      <rgbColor rgb="FF333300"/>
      <rgbColor rgb="FFA61B1B"/>
      <rgbColor rgb="FF993366"/>
      <rgbColor rgb="FF333399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gingAudit" displayName="AgingAudit" ref="A5:V265" headerRowCount="1" totalsRowCount="0" totalsRowShown="0">
  <autoFilter ref="A5:V265"/>
  <tableColumns count="22">
    <tableColumn id="1" name="Account ID"/>
    <tableColumn id="2" name="Holder"/>
    <tableColumn id="3" name="Slip ID"/>
    <tableColumn id="4" name="Basin"/>
    <tableColumn id="5" name="Inventory Status"/>
    <tableColumn id="6" name="Tenant ID"/>
    <tableColumn id="7" name="Rate Class"/>
    <tableColumn id="8" name="Current"/>
    <tableColumn id="9" name="31-60 Days"/>
    <tableColumn id="10" name="61-90 Days"/>
    <tableColumn id="11" name="91-120 Days"/>
    <tableColumn id="12" name="120+ Days"/>
    <tableColumn id="13" name="Bucket Sum"/>
    <tableColumn id="14" name="Ledger Total Due"/>
    <tableColumn id="15" name="Total Due Variance"/>
    <tableColumn id="16" name="More Than 90 Days"/>
    <tableColumn id="17" name="&gt;90 Status"/>
    <tableColumn id="18" name="Last Payment"/>
    <tableColumn id="19" name="Payment Status"/>
    <tableColumn id="20" name="Last Contact"/>
    <tableColumn id="21" name="Notes"/>
    <tableColumn id="22" name="Source"/>
  </tableColumns>
</table>
</file>

<file path=xl/tables/table2.xml><?xml version="1.0" encoding="utf-8"?>
<table xmlns="http://schemas.openxmlformats.org/spreadsheetml/2006/main" id="2" name="BillingAudit" displayName="BillingAudit" ref="A5:AD1091" headerRowCount="1" totalsRowCount="0" totalsRowShown="0">
  <autoFilter ref="A5:AD1091"/>
  <tableColumns count="30">
    <tableColumn id="1" name="Slip ID"/>
    <tableColumn id="2" name="Basin"/>
    <tableColumn id="3" name="Basin Type"/>
    <tableColumn id="4" name="Tenant ID"/>
    <tableColumn id="5" name="Holder"/>
    <tableColumn id="6" name="Applicant Type"/>
    <tableColumn id="7" name="Agreement ID"/>
    <tableColumn id="8" name="Inventory LOA"/>
    <tableColumn id="9" name="Register LOA"/>
    <tableColumn id="10" name="LOA Variance"/>
    <tableColumn id="11" name="Measurement Evidence"/>
    <tableColumn id="12" name="Slip Size"/>
    <tableColumn id="13" name="Rounded LOA"/>
    <tableColumn id="14" name="Billable Feet"/>
    <tableColumn id="15" name="Base Rate / Foot-Month"/>
    <tableColumn id="16" name="Expected Base Moorage"/>
    <tableColumn id="17" name="July Txn ID"/>
    <tableColumn id="18" name="Txn Rate Class"/>
    <tableColumn id="19" name="Actual Length Billed"/>
    <tableColumn id="20" name="Actual Rate"/>
    <tableColumn id="21" name="Actual Base Amount"/>
    <tableColumn id="22" name="Monthly Variance"/>
    <tableColumn id="23" name="Annualized Variance"/>
    <tableColumn id="24" name="Billing Result"/>
    <tableColumn id="25" name="Potential Commercial Uplift"/>
    <tableColumn id="26" name="Rate Class Review"/>
    <tableColumn id="27" name="Placement Flag"/>
    <tableColumn id="28" name="Billing Source"/>
    <tableColumn id="29" name="Measurement Source"/>
    <tableColumn id="30" name="Governing Authority"/>
  </tableColumns>
</table>
</file>

<file path=xl/tables/table3.xml><?xml version="1.0" encoding="utf-8"?>
<table xmlns="http://schemas.openxmlformats.org/spreadsheetml/2006/main" id="3" name="QueueAudit" displayName="QueueAudit" ref="A5:U492" headerRowCount="1" totalsRowCount="0" totalsRowShown="0">
  <autoFilter ref="A5:U492"/>
  <tableColumns count="21">
    <tableColumn id="1" name="Record Type"/>
    <tableColumn id="2" name="Event Date"/>
    <tableColumn id="3" name="Record ID"/>
    <tableColumn id="4" name="Offer ID"/>
    <tableColumn id="5" name="Applicant ID"/>
    <tableColumn id="6" name="Applicant Name"/>
    <tableColumn id="7" name="Rank"/>
    <tableColumn id="8" name="Slip ID"/>
    <tableColumn id="9" name="Basin"/>
    <tableColumn id="10" name="Reason / Field"/>
    <tableColumn id="11" name="Old LOA"/>
    <tableColumn id="12" name="New LOA"/>
    <tableColumn id="13" name="Evidence Flag"/>
    <tableColumn id="14" name="Evidence Reference"/>
    <tableColumn id="15" name="Required Standard"/>
    <tableColumn id="16" name="Use Assessment"/>
    <tableColumn id="17" name="Exception Status"/>
    <tableColumn id="18" name="Appeal Priority"/>
    <tableColumn id="19" name="Key Facts"/>
    <tableColumn id="20" name="Source Records"/>
    <tableColumn id="21" name="Governing Auth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24B"/>
    <pageSetUpPr fitToPage="tru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7" min="5" style="0" width="14"/>
    <col collapsed="false" customWidth="true" hidden="false" outlineLevel="0" max="8" min="8" style="0" width="22"/>
    <col collapsed="false" customWidth="true" hidden="false" outlineLevel="0" max="10" min="9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3"/>
      <c r="D4" s="3" t="s">
        <v>3</v>
      </c>
      <c r="E4" s="3"/>
      <c r="F4" s="3"/>
      <c r="G4" s="3"/>
      <c r="H4" s="3" t="s">
        <v>4</v>
      </c>
      <c r="I4" s="3"/>
      <c r="J4" s="3"/>
    </row>
    <row r="5" customFormat="false" ht="24.75" hidden="false" customHeight="true" outlineLevel="0" collapsed="false">
      <c r="A5" s="4" t="s">
        <v>5</v>
      </c>
      <c r="B5" s="5" t="n">
        <f aca="false">COUNTIF('Queue Exceptions'!$A:$A,"SKIP")</f>
        <v>309</v>
      </c>
      <c r="C5" s="5"/>
      <c r="D5" s="4" t="s">
        <v>6</v>
      </c>
      <c r="E5" s="5" t="n">
        <f aca="false">COUNTIF('Billing Reconciliations'!$D:$D,"WL-*")</f>
        <v>1086</v>
      </c>
      <c r="F5" s="5"/>
      <c r="G5" s="5"/>
      <c r="H5" s="4" t="s">
        <v>7</v>
      </c>
      <c r="I5" s="5" t="n">
        <f aca="false">COUNTIF(Aging!$A:$A,"AC-*")</f>
        <v>260</v>
      </c>
      <c r="J5" s="5"/>
    </row>
    <row r="6" customFormat="false" ht="24.75" hidden="false" customHeight="true" outlineLevel="0" collapsed="false">
      <c r="A6" s="4" t="s">
        <v>8</v>
      </c>
      <c r="B6" s="5" t="n">
        <f aca="false">COUNTIFS('Queue Exceptions'!$A:$A,"SKIP",'Queue Exceptions'!$Q:$Q,"EXCEPTION")</f>
        <v>19</v>
      </c>
      <c r="C6" s="5"/>
      <c r="D6" s="4" t="s">
        <v>9</v>
      </c>
      <c r="E6" s="6" t="n">
        <f aca="false">SUM('Billing Reconciliations'!$P:$P)</f>
        <v>439918.3</v>
      </c>
      <c r="F6" s="6"/>
      <c r="G6" s="6"/>
      <c r="H6" s="4" t="s">
        <v>10</v>
      </c>
      <c r="I6" s="5" t="n">
        <f aca="false">E5-I5</f>
        <v>826</v>
      </c>
      <c r="J6" s="5"/>
    </row>
    <row r="7" customFormat="false" ht="24.75" hidden="false" customHeight="true" outlineLevel="0" collapsed="false">
      <c r="A7" s="4" t="s">
        <v>11</v>
      </c>
      <c r="B7" s="5" t="n">
        <f aca="false">COUNTIF('Queue Exceptions'!$A:$A,"LOA AMENDMENT")</f>
        <v>176</v>
      </c>
      <c r="C7" s="5"/>
      <c r="D7" s="4" t="s">
        <v>12</v>
      </c>
      <c r="E7" s="6" t="n">
        <f aca="false">SUM('Billing Reconciliations'!$U:$U)</f>
        <v>319760.05</v>
      </c>
      <c r="F7" s="6"/>
      <c r="G7" s="6"/>
      <c r="H7" s="4" t="s">
        <v>13</v>
      </c>
      <c r="I7" s="5" t="n">
        <f aca="false">COUNTIF(Aging!$Q:$Q,"DELINQUENT &gt;90")</f>
        <v>6</v>
      </c>
      <c r="J7" s="5"/>
    </row>
    <row r="8" customFormat="false" ht="24.75" hidden="false" customHeight="true" outlineLevel="0" collapsed="false">
      <c r="A8" s="4" t="s">
        <v>14</v>
      </c>
      <c r="B8" s="5" t="n">
        <f aca="false">COUNTIFS('Queue Exceptions'!$A:$A,"LOA AMENDMENT",'Queue Exceptions'!$Q:$Q,"EXCEPTION")</f>
        <v>11</v>
      </c>
      <c r="C8" s="5"/>
      <c r="D8" s="4" t="s">
        <v>15</v>
      </c>
      <c r="E8" s="6" t="n">
        <f aca="false">SUM('Billing Reconciliations'!$V:$V)</f>
        <v>120158.25</v>
      </c>
      <c r="F8" s="6"/>
      <c r="G8" s="6"/>
      <c r="H8" s="4" t="s">
        <v>16</v>
      </c>
      <c r="I8" s="6" t="n">
        <f aca="false">SUMIF(Aging!$Q:$Q,"DELINQUENT &gt;90",Aging!$P:$P)</f>
        <v>4368</v>
      </c>
      <c r="J8" s="6"/>
    </row>
    <row r="9" customFormat="false" ht="24.75" hidden="false" customHeight="true" outlineLevel="0" collapsed="false">
      <c r="A9" s="4" t="s">
        <v>17</v>
      </c>
      <c r="B9" s="5" t="n">
        <f aca="false">COUNTIFS('Queue Exceptions'!$A:$A,"LOA AMENDMENT",'Queue Exceptions'!$P:$P,"UNRESOLVED USE")</f>
        <v>2</v>
      </c>
      <c r="C9" s="5"/>
      <c r="D9" s="4" t="s">
        <v>18</v>
      </c>
      <c r="E9" s="6" t="n">
        <f aca="false">SUM('Billing Reconciliations'!$W:$W)</f>
        <v>1441899</v>
      </c>
      <c r="F9" s="6"/>
      <c r="G9" s="6"/>
      <c r="H9" s="4" t="s">
        <v>19</v>
      </c>
      <c r="I9" s="6" t="n">
        <f aca="false">SUM(Aging!$M:$M)</f>
        <v>147836</v>
      </c>
      <c r="J9" s="6"/>
    </row>
    <row r="10" customFormat="false" ht="24.75" hidden="false" customHeight="true" outlineLevel="0" collapsed="false">
      <c r="A10" s="4" t="s">
        <v>20</v>
      </c>
      <c r="B10" s="5" t="n">
        <f aca="false">COUNTIF('Queue Exceptions'!$A:$A,"UNDATED LEAD")</f>
        <v>2</v>
      </c>
      <c r="C10" s="5"/>
      <c r="D10" s="4" t="s">
        <v>21</v>
      </c>
      <c r="E10" s="5" t="n">
        <f aca="false">COUNTIF('Billing Reconciliations'!$X:$X,"MISSING FROM EXPORT")</f>
        <v>317</v>
      </c>
      <c r="F10" s="5"/>
      <c r="G10" s="5"/>
      <c r="H10" s="4" t="s">
        <v>22</v>
      </c>
      <c r="I10" s="6" t="n">
        <f aca="false">SUM(Aging!$O:$O)</f>
        <v>17108</v>
      </c>
      <c r="J10" s="6"/>
    </row>
    <row r="11" customFormat="false" ht="24.75" hidden="false" customHeight="true" outlineLevel="0" collapsed="false">
      <c r="A11" s="4" t="s">
        <v>23</v>
      </c>
      <c r="B11" s="5" t="n">
        <f aca="false">COUNTIF('Queue Exceptions'!$R:$R,"PRIORITY 1*")</f>
        <v>7</v>
      </c>
      <c r="C11" s="5"/>
      <c r="D11" s="4" t="s">
        <v>24</v>
      </c>
      <c r="E11" s="6" t="n">
        <f aca="false">SUM('Billing Reconciliations'!$Y:$Y)</f>
        <v>12281.34</v>
      </c>
      <c r="F11" s="6"/>
      <c r="G11" s="6"/>
      <c r="H11" s="4" t="s">
        <v>25</v>
      </c>
      <c r="I11" s="5" t="n">
        <f aca="false">COUNTIF(Aging!$O:$O,"&gt;0.004")+COUNTIF(Aging!$O:$O,"&lt;-0.004")</f>
        <v>39</v>
      </c>
      <c r="J11" s="5"/>
    </row>
    <row r="12" customFormat="false" ht="24.75" hidden="false" customHeight="true" outlineLevel="0" collapsed="false">
      <c r="A12" s="4"/>
      <c r="B12" s="7"/>
      <c r="C12" s="7"/>
      <c r="D12" s="4" t="s">
        <v>26</v>
      </c>
      <c r="E12" s="5" t="n">
        <f aca="false">COUNTIF('Billing Reconciliations'!$AA:$AA,"COVERED &gt;40 FT")</f>
        <v>228</v>
      </c>
      <c r="F12" s="5"/>
      <c r="G12" s="5"/>
      <c r="H12" s="4"/>
      <c r="I12" s="7"/>
      <c r="J12" s="7"/>
    </row>
    <row r="15" customFormat="false" ht="15" hidden="false" customHeight="false" outlineLevel="0" collapsed="false">
      <c r="A15" s="8" t="s">
        <v>27</v>
      </c>
      <c r="B15" s="8"/>
      <c r="C15" s="8"/>
      <c r="D15" s="8"/>
      <c r="E15" s="8"/>
      <c r="F15" s="8"/>
      <c r="G15" s="8"/>
      <c r="H15" s="8"/>
      <c r="I15" s="8"/>
      <c r="J15" s="8"/>
    </row>
    <row r="16" customFormat="false" ht="33.75" hidden="false" customHeight="true" outlineLevel="0" collapsed="false">
      <c r="A16" s="9" t="str">
        <f aca="false">"Billing export exposure is "&amp;TEXT(E8,"$#,##0.00")&amp;" per month and "&amp;TEXT(E9,"$#,##0.00")&amp;" annualized. Treat it as exposure, not confirmed GL loss, until the complete July subledger and batch-control report are reconciled."</f>
        <v>Billing export exposure is $120,158.25 per month and $1,441,899.00 annualized. Treat it as exposure, not confirmed GL loss, until the complete July subledger and batch-control report are reconciled.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33.75" hidden="false" customHeight="true" outlineLevel="0" collapsed="false">
      <c r="A17" s="10" t="str">
        <f aca="false">"Appeal risk: "&amp;TEXT(B6,"#,##0")&amp;" proven same-day proof failures, "&amp;TEXT(B9,"#,##0")&amp;" unresolved LOA-use cases, and "&amp;TEXT(B10,"#,##0")&amp;" undated omitted leads. Appeal 2018-3 places the burden on the District and bars later-created support from curing a skip."</f>
        <v>Appeal risk: 19 proven same-day proof failures, 2 unresolved LOA-use cases, and 2 undated omitted leads. Appeal 2018-3 places the burden on the District and bars later-created support from curing a skip.</v>
      </c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33.75" hidden="false" customHeight="true" outlineLevel="0" collapsed="false">
      <c r="A18" s="10" t="str">
        <f aca="false">"Collections: "&amp;TEXT(I7,"#,##0")&amp;" active holders carry "&amp;TEXT(I8,"$#,##0.00")&amp;" more than 90 days past due, but the supplied aging covers only "&amp;TEXT(I5,"#,##0")&amp;" of "&amp;TEXT(E5,"#,##0")&amp;" occupied accounts."</f>
        <v>Collections: 6 active holders carry $4,368.00 more than 90 days past due, but the supplied aging covers only 260 of 1,086 occupied accounts.</v>
      </c>
      <c r="B18" s="10"/>
      <c r="C18" s="10"/>
      <c r="D18" s="10"/>
      <c r="E18" s="10"/>
      <c r="F18" s="10"/>
      <c r="G18" s="10"/>
      <c r="H18" s="10"/>
      <c r="I18" s="10"/>
      <c r="J18" s="10"/>
    </row>
    <row r="20" customFormat="false" ht="15" hidden="false" customHeight="false" outlineLevel="0" collapsed="false">
      <c r="A20" s="3" t="s">
        <v>28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27.75" hidden="false" customHeight="true" outlineLevel="0" collapsed="false">
      <c r="A21" s="11" t="s">
        <v>29</v>
      </c>
      <c r="B21" s="11"/>
      <c r="C21" s="11"/>
      <c r="D21" s="12" t="str">
        <f aca="false">IF(COUNTIFS('Billing Reconciliations'!$D:$D,"WL-*",'Billing Reconciliations'!$Q:$Q,"&lt;&gt;",'Billing Reconciliations'!$X:$X,"&lt;&gt;CLEAR")=0,"No exceptions identified among exported billed lines","Exceptions identified - see Billing Reconciliations")</f>
        <v>No exceptions identified among exported billed lines</v>
      </c>
      <c r="E21" s="12"/>
      <c r="F21" s="12"/>
      <c r="G21" s="12"/>
      <c r="H21" s="12"/>
      <c r="I21" s="12"/>
      <c r="J21" s="12"/>
    </row>
    <row r="22" customFormat="false" ht="27.75" hidden="false" customHeight="true" outlineLevel="0" collapsed="false">
      <c r="A22" s="11" t="s">
        <v>30</v>
      </c>
      <c r="B22" s="11"/>
      <c r="C22" s="11"/>
      <c r="D22" s="12" t="str">
        <f aca="false">IF(COUNTIF('Billing Reconciliations'!$X:$X,"OVERBILLING")=0,"No exceptions identified","Overbilling exceptions identified")</f>
        <v>No exceptions identified</v>
      </c>
      <c r="E22" s="12"/>
      <c r="F22" s="12"/>
      <c r="G22" s="12"/>
      <c r="H22" s="12"/>
      <c r="I22" s="12"/>
      <c r="J22" s="12"/>
    </row>
    <row r="23" customFormat="false" ht="27.75" hidden="false" customHeight="true" outlineLevel="0" collapsed="false">
      <c r="A23" s="11" t="s">
        <v>31</v>
      </c>
      <c r="B23" s="11"/>
      <c r="C23" s="11"/>
      <c r="D23" s="12" t="str">
        <f aca="false">IF(COUNTIF('Queue Exceptions'!$P:$P,"CONFIRMED USE")=0,"No conclusive use established; two cases remain unresolved","Confirmed use identified")</f>
        <v>No conclusive use established; two cases remain unresolved</v>
      </c>
      <c r="E23" s="12"/>
      <c r="F23" s="12"/>
      <c r="G23" s="12"/>
      <c r="H23" s="12"/>
      <c r="I23" s="12"/>
      <c r="J23" s="12"/>
    </row>
    <row r="24" customFormat="false" ht="27.75" hidden="false" customHeight="true" outlineLevel="0" collapsed="false">
      <c r="A24" s="11" t="s">
        <v>32</v>
      </c>
      <c r="B24" s="11"/>
      <c r="C24" s="11"/>
      <c r="D24" s="12" t="str">
        <f aca="false">"No &gt;90-day exception on "&amp;TEXT(COUNTIFS(Aging!$A:$A,"AC-*",Aging!$Q:$Q,"CLEAR"),"#,##0")&amp;" supplied accounts"</f>
        <v>No &gt;90-day exception on 254 supplied accounts</v>
      </c>
      <c r="E24" s="12"/>
      <c r="F24" s="12"/>
      <c r="G24" s="12"/>
      <c r="H24" s="12"/>
      <c r="I24" s="12"/>
      <c r="J24" s="12"/>
    </row>
    <row r="27" customFormat="false" ht="15" hidden="false" customHeight="false" outlineLevel="0" collapsed="false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</row>
    <row r="28" customFormat="false" ht="34.5" hidden="false" customHeight="true" outlineLevel="0" collapsed="false">
      <c r="A28" s="13" t="s">
        <v>34</v>
      </c>
      <c r="B28" s="13"/>
      <c r="C28" s="14" t="s">
        <v>35</v>
      </c>
      <c r="D28" s="14"/>
      <c r="E28" s="14"/>
      <c r="F28" s="14"/>
      <c r="G28" s="14"/>
      <c r="H28" s="14"/>
      <c r="I28" s="14"/>
      <c r="J28" s="14"/>
    </row>
    <row r="29" customFormat="false" ht="34.5" hidden="false" customHeight="true" outlineLevel="0" collapsed="false">
      <c r="A29" s="13" t="s">
        <v>36</v>
      </c>
      <c r="B29" s="13"/>
      <c r="C29" s="14" t="s">
        <v>37</v>
      </c>
      <c r="D29" s="14"/>
      <c r="E29" s="14"/>
      <c r="F29" s="14"/>
      <c r="G29" s="14"/>
      <c r="H29" s="14"/>
      <c r="I29" s="14"/>
      <c r="J29" s="14"/>
    </row>
    <row r="30" customFormat="false" ht="34.5" hidden="false" customHeight="true" outlineLevel="0" collapsed="false">
      <c r="A30" s="13" t="s">
        <v>38</v>
      </c>
      <c r="B30" s="13"/>
      <c r="C30" s="14" t="s">
        <v>39</v>
      </c>
      <c r="D30" s="14"/>
      <c r="E30" s="14"/>
      <c r="F30" s="14"/>
      <c r="G30" s="14"/>
      <c r="H30" s="14"/>
      <c r="I30" s="14"/>
      <c r="J30" s="14"/>
    </row>
    <row r="31" customFormat="false" ht="34.5" hidden="false" customHeight="true" outlineLevel="0" collapsed="false">
      <c r="A31" s="13" t="s">
        <v>40</v>
      </c>
      <c r="B31" s="13"/>
      <c r="C31" s="14" t="s">
        <v>41</v>
      </c>
      <c r="D31" s="14"/>
      <c r="E31" s="14"/>
      <c r="F31" s="14"/>
      <c r="G31" s="14"/>
      <c r="H31" s="14"/>
      <c r="I31" s="14"/>
      <c r="J31" s="14"/>
    </row>
    <row r="32" customFormat="false" ht="34.5" hidden="false" customHeight="true" outlineLevel="0" collapsed="false">
      <c r="A32" s="13" t="s">
        <v>42</v>
      </c>
      <c r="B32" s="13"/>
      <c r="C32" s="14" t="s">
        <v>43</v>
      </c>
      <c r="D32" s="14"/>
      <c r="E32" s="14"/>
      <c r="F32" s="14"/>
      <c r="G32" s="14"/>
      <c r="H32" s="14"/>
      <c r="I32" s="14"/>
      <c r="J32" s="14"/>
    </row>
    <row r="33" customFormat="false" ht="34.5" hidden="false" customHeight="true" outlineLevel="0" collapsed="false">
      <c r="A33" s="13" t="s">
        <v>44</v>
      </c>
      <c r="B33" s="13"/>
      <c r="C33" s="14" t="s">
        <v>45</v>
      </c>
      <c r="D33" s="14"/>
      <c r="E33" s="14"/>
      <c r="F33" s="14"/>
      <c r="G33" s="14"/>
      <c r="H33" s="14"/>
      <c r="I33" s="14"/>
      <c r="J33" s="14"/>
    </row>
    <row r="34" customFormat="false" ht="34.5" hidden="false" customHeight="true" outlineLevel="0" collapsed="false">
      <c r="A34" s="13" t="s">
        <v>46</v>
      </c>
      <c r="B34" s="13"/>
      <c r="C34" s="14" t="s">
        <v>47</v>
      </c>
      <c r="D34" s="14"/>
      <c r="E34" s="14"/>
      <c r="F34" s="14"/>
      <c r="G34" s="14"/>
      <c r="H34" s="14"/>
      <c r="I34" s="14"/>
      <c r="J34" s="14"/>
    </row>
  </sheetData>
  <mergeCells count="55">
    <mergeCell ref="A1:J1"/>
    <mergeCell ref="A2:J2"/>
    <mergeCell ref="A4:C4"/>
    <mergeCell ref="D4:G4"/>
    <mergeCell ref="H4:J4"/>
    <mergeCell ref="B5:C5"/>
    <mergeCell ref="E5:G5"/>
    <mergeCell ref="I5:J5"/>
    <mergeCell ref="B6:C6"/>
    <mergeCell ref="E6:G6"/>
    <mergeCell ref="I6:J6"/>
    <mergeCell ref="B7:C7"/>
    <mergeCell ref="E7:G7"/>
    <mergeCell ref="I7:J7"/>
    <mergeCell ref="B8:C8"/>
    <mergeCell ref="E8:G8"/>
    <mergeCell ref="I8:J8"/>
    <mergeCell ref="B9:C9"/>
    <mergeCell ref="E9:G9"/>
    <mergeCell ref="I9:J9"/>
    <mergeCell ref="B10:C10"/>
    <mergeCell ref="E10:G10"/>
    <mergeCell ref="I10:J10"/>
    <mergeCell ref="B11:C11"/>
    <mergeCell ref="E11:G11"/>
    <mergeCell ref="I11:J11"/>
    <mergeCell ref="E12:G12"/>
    <mergeCell ref="A15:J15"/>
    <mergeCell ref="A16:J16"/>
    <mergeCell ref="A17:J17"/>
    <mergeCell ref="A18:J18"/>
    <mergeCell ref="A20:J20"/>
    <mergeCell ref="A21:C21"/>
    <mergeCell ref="D21:J21"/>
    <mergeCell ref="A22:C22"/>
    <mergeCell ref="D22:J22"/>
    <mergeCell ref="A23:C23"/>
    <mergeCell ref="D23:J23"/>
    <mergeCell ref="A24:C24"/>
    <mergeCell ref="D24:J24"/>
    <mergeCell ref="A27:J27"/>
    <mergeCell ref="A28:B28"/>
    <mergeCell ref="C28:J28"/>
    <mergeCell ref="A29:B29"/>
    <mergeCell ref="C29:J29"/>
    <mergeCell ref="A30:B30"/>
    <mergeCell ref="C30:J30"/>
    <mergeCell ref="A31:B31"/>
    <mergeCell ref="C31:J31"/>
    <mergeCell ref="A32:B32"/>
    <mergeCell ref="C32:J32"/>
    <mergeCell ref="A33:B33"/>
    <mergeCell ref="C33:J33"/>
    <mergeCell ref="A34:B34"/>
    <mergeCell ref="C34:J34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Chaldale Harbor District | Board audit | Prepared 2026-08-01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U4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5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1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34"/>
    <col collapsed="false" customWidth="true" hidden="false" outlineLevel="0" max="15" min="15" style="0" width="35"/>
    <col collapsed="false" customWidth="true" hidden="false" outlineLevel="0" max="17" min="16" style="0" width="22"/>
    <col collapsed="false" customWidth="true" hidden="false" outlineLevel="0" max="18" min="18" style="0" width="23"/>
    <col collapsed="false" customWidth="true" hidden="false" outlineLevel="0" max="19" min="19" style="0" width="56"/>
    <col collapsed="false" customWidth="true" hidden="false" outlineLevel="0" max="20" min="20" style="0" width="49"/>
    <col collapsed="false" customWidth="true" hidden="false" outlineLevel="0" max="21" min="21" style="0" width="43"/>
  </cols>
  <sheetData>
    <row r="1" customFormat="false" ht="31.5" hidden="false" customHeight="true" outlineLevel="0" collapsed="false">
      <c r="A1" s="15" t="s">
        <v>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customFormat="false" ht="15" hidden="false" customHeight="false" outlineLevel="0" collapsed="false">
      <c r="A2" s="16" t="s">
        <v>49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customFormat="false" ht="24.75" hidden="false" customHeight="true" outlineLevel="0" collapsed="false">
      <c r="A3" s="17" t="s">
        <v>50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customFormat="false" ht="24.75" hidden="false" customHeight="true" outlineLevel="0" collapsed="false">
      <c r="A4" s="18" t="s">
        <v>51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customFormat="false" ht="34.5" hidden="false" customHeight="true" outlineLevel="0" collapsed="false">
      <c r="A5" s="19" t="s">
        <v>52</v>
      </c>
      <c r="B5" s="19" t="s">
        <v>53</v>
      </c>
      <c r="C5" s="19" t="s">
        <v>54</v>
      </c>
      <c r="D5" s="19" t="s">
        <v>55</v>
      </c>
      <c r="E5" s="19" t="s">
        <v>56</v>
      </c>
      <c r="F5" s="19" t="s">
        <v>57</v>
      </c>
      <c r="G5" s="19" t="s">
        <v>58</v>
      </c>
      <c r="H5" s="19" t="s">
        <v>59</v>
      </c>
      <c r="I5" s="19" t="s">
        <v>60</v>
      </c>
      <c r="J5" s="19" t="s">
        <v>61</v>
      </c>
      <c r="K5" s="19" t="s">
        <v>62</v>
      </c>
      <c r="L5" s="19" t="s">
        <v>63</v>
      </c>
      <c r="M5" s="19" t="s">
        <v>64</v>
      </c>
      <c r="N5" s="19" t="s">
        <v>65</v>
      </c>
      <c r="O5" s="19" t="s">
        <v>66</v>
      </c>
      <c r="P5" s="19" t="s">
        <v>67</v>
      </c>
      <c r="Q5" s="19" t="s">
        <v>68</v>
      </c>
      <c r="R5" s="19" t="s">
        <v>69</v>
      </c>
      <c r="S5" s="19" t="s">
        <v>70</v>
      </c>
      <c r="T5" s="19" t="s">
        <v>71</v>
      </c>
      <c r="U5" s="19" t="s">
        <v>72</v>
      </c>
    </row>
    <row r="6" customFormat="false" ht="17.9" hidden="false" customHeight="false" outlineLevel="0" collapsed="false">
      <c r="A6" s="20" t="s">
        <v>73</v>
      </c>
      <c r="B6" s="21" t="n">
        <v>44934</v>
      </c>
      <c r="C6" s="20" t="s">
        <v>74</v>
      </c>
      <c r="D6" s="20" t="s">
        <v>75</v>
      </c>
      <c r="E6" s="20" t="s">
        <v>76</v>
      </c>
      <c r="F6" s="20" t="s">
        <v>77</v>
      </c>
      <c r="G6" s="20" t="n">
        <v>2099</v>
      </c>
      <c r="H6" s="20" t="s">
        <v>78</v>
      </c>
      <c r="I6" s="20" t="s">
        <v>79</v>
      </c>
      <c r="J6" s="20" t="s">
        <v>80</v>
      </c>
      <c r="K6" s="22"/>
      <c r="L6" s="22"/>
      <c r="M6" s="20" t="s">
        <v>81</v>
      </c>
      <c r="N6" s="23" t="s">
        <v>82</v>
      </c>
      <c r="O6" s="23" t="s">
        <v>83</v>
      </c>
      <c r="P6" s="23" t="s">
        <v>84</v>
      </c>
      <c r="Q6" s="23" t="str">
        <f aca="false">IF(A6="UNDATED LEAD","UNRESOLVED",IF(M6="N","EXCEPTION",IF(A6="SKIP",IF(ISNUMBER(SEARCH("_skip_justification.pdf",N6)),"CLEAR - FILE VERIFIED","CLEAR ON EXPORT"),"CLEAR ON LOG")))</f>
        <v>CLEAR ON EXPORT</v>
      </c>
      <c r="R6" s="23" t="str">
        <f aca="false">IF(Q6="UNRESOLVED","PRIORITY 1 - OBTAIN FILE",IF(Q6&lt;&gt;"EXCEPTION","NONE",IF(OR(AND(A6="LOA AMENDMENT",P6="UNRESOLVED USE"),AND(A6="SKIP",OR(E6="WL-02618",E6="WL-03044",E6="WL-03390"))),"PRIORITY 1",IF(A6="SKIP","PRIORITY 2","PRIORITY 3"))))</f>
        <v>NONE</v>
      </c>
      <c r="S6" s="23"/>
      <c r="T6" s="23" t="s">
        <v>85</v>
      </c>
      <c r="U6" s="23" t="s">
        <v>86</v>
      </c>
    </row>
    <row r="7" customFormat="false" ht="17.9" hidden="false" customHeight="false" outlineLevel="0" collapsed="false">
      <c r="A7" s="20" t="s">
        <v>73</v>
      </c>
      <c r="B7" s="21" t="n">
        <v>44934</v>
      </c>
      <c r="C7" s="20" t="s">
        <v>87</v>
      </c>
      <c r="D7" s="20" t="s">
        <v>88</v>
      </c>
      <c r="E7" s="20" t="s">
        <v>89</v>
      </c>
      <c r="F7" s="20" t="s">
        <v>90</v>
      </c>
      <c r="G7" s="20" t="n">
        <v>1685</v>
      </c>
      <c r="H7" s="20" t="s">
        <v>91</v>
      </c>
      <c r="I7" s="20" t="s">
        <v>79</v>
      </c>
      <c r="J7" s="20" t="s">
        <v>80</v>
      </c>
      <c r="K7" s="22"/>
      <c r="L7" s="22"/>
      <c r="M7" s="20" t="s">
        <v>81</v>
      </c>
      <c r="N7" s="23" t="s">
        <v>92</v>
      </c>
      <c r="O7" s="23" t="s">
        <v>83</v>
      </c>
      <c r="P7" s="23" t="s">
        <v>84</v>
      </c>
      <c r="Q7" s="23" t="str">
        <f aca="false">IF(A7="UNDATED LEAD","UNRESOLVED",IF(M7="N","EXCEPTION",IF(A7="SKIP",IF(ISNUMBER(SEARCH("_skip_justification.pdf",N7)),"CLEAR - FILE VERIFIED","CLEAR ON EXPORT"),"CLEAR ON LOG")))</f>
        <v>CLEAR ON EXPORT</v>
      </c>
      <c r="R7" s="23" t="str">
        <f aca="false">IF(Q7="UNRESOLVED","PRIORITY 1 - OBTAIN FILE",IF(Q7&lt;&gt;"EXCEPTION","NONE",IF(OR(AND(A7="LOA AMENDMENT",P7="UNRESOLVED USE"),AND(A7="SKIP",OR(E7="WL-02618",E7="WL-03044",E7="WL-03390"))),"PRIORITY 1",IF(A7="SKIP","PRIORITY 2","PRIORITY 3"))))</f>
        <v>NONE</v>
      </c>
      <c r="S7" s="23"/>
      <c r="T7" s="23" t="s">
        <v>93</v>
      </c>
      <c r="U7" s="23" t="s">
        <v>86</v>
      </c>
    </row>
    <row r="8" customFormat="false" ht="17.9" hidden="false" customHeight="false" outlineLevel="0" collapsed="false">
      <c r="A8" s="20" t="s">
        <v>73</v>
      </c>
      <c r="B8" s="21" t="n">
        <v>44934</v>
      </c>
      <c r="C8" s="20" t="s">
        <v>94</v>
      </c>
      <c r="D8" s="20" t="s">
        <v>95</v>
      </c>
      <c r="E8" s="20" t="s">
        <v>96</v>
      </c>
      <c r="F8" s="20" t="s">
        <v>97</v>
      </c>
      <c r="G8" s="20" t="n">
        <v>959</v>
      </c>
      <c r="H8" s="20" t="s">
        <v>98</v>
      </c>
      <c r="I8" s="20" t="s">
        <v>99</v>
      </c>
      <c r="J8" s="20" t="s">
        <v>100</v>
      </c>
      <c r="K8" s="22"/>
      <c r="L8" s="22"/>
      <c r="M8" s="20" t="s">
        <v>81</v>
      </c>
      <c r="N8" s="23" t="s">
        <v>101</v>
      </c>
      <c r="O8" s="23" t="s">
        <v>102</v>
      </c>
      <c r="P8" s="23" t="s">
        <v>84</v>
      </c>
      <c r="Q8" s="23" t="str">
        <f aca="false">IF(A8="UNDATED LEAD","UNRESOLVED",IF(M8="N","EXCEPTION",IF(A8="SKIP",IF(ISNUMBER(SEARCH("_skip_justification.pdf",N8)),"CLEAR - FILE VERIFIED","CLEAR ON EXPORT"),"CLEAR ON LOG")))</f>
        <v>CLEAR ON EXPORT</v>
      </c>
      <c r="R8" s="23" t="str">
        <f aca="false">IF(Q8="UNRESOLVED","PRIORITY 1 - OBTAIN FILE",IF(Q8&lt;&gt;"EXCEPTION","NONE",IF(OR(AND(A8="LOA AMENDMENT",P8="UNRESOLVED USE"),AND(A8="SKIP",OR(E8="WL-02618",E8="WL-03044",E8="WL-03390"))),"PRIORITY 1",IF(A8="SKIP","PRIORITY 2","PRIORITY 3"))))</f>
        <v>NONE</v>
      </c>
      <c r="S8" s="23"/>
      <c r="T8" s="23" t="s">
        <v>103</v>
      </c>
      <c r="U8" s="23" t="s">
        <v>86</v>
      </c>
    </row>
    <row r="9" customFormat="false" ht="17.9" hidden="false" customHeight="false" outlineLevel="0" collapsed="false">
      <c r="A9" s="20" t="s">
        <v>73</v>
      </c>
      <c r="B9" s="21" t="n">
        <v>44936</v>
      </c>
      <c r="C9" s="20" t="s">
        <v>104</v>
      </c>
      <c r="D9" s="20" t="s">
        <v>105</v>
      </c>
      <c r="E9" s="20" t="s">
        <v>106</v>
      </c>
      <c r="F9" s="20" t="s">
        <v>107</v>
      </c>
      <c r="G9" s="20" t="n">
        <v>695</v>
      </c>
      <c r="H9" s="20" t="s">
        <v>108</v>
      </c>
      <c r="I9" s="20" t="s">
        <v>109</v>
      </c>
      <c r="J9" s="20" t="s">
        <v>80</v>
      </c>
      <c r="K9" s="22"/>
      <c r="L9" s="22"/>
      <c r="M9" s="20" t="s">
        <v>110</v>
      </c>
      <c r="N9" s="23" t="s">
        <v>111</v>
      </c>
      <c r="O9" s="23" t="s">
        <v>83</v>
      </c>
      <c r="P9" s="23" t="s">
        <v>84</v>
      </c>
      <c r="Q9" s="23" t="str">
        <f aca="false">IF(A9="UNDATED LEAD","UNRESOLVED",IF(M9="N","EXCEPTION",IF(A9="SKIP",IF(ISNUMBER(SEARCH("_skip_justification.pdf",N9)),"CLEAR - FILE VERIFIED","CLEAR ON EXPORT"),"CLEAR ON LOG")))</f>
        <v>EXCEPTION</v>
      </c>
      <c r="R9" s="23" t="str">
        <f aca="false">IF(Q9="UNRESOLVED","PRIORITY 1 - OBTAIN FILE",IF(Q9&lt;&gt;"EXCEPTION","NONE",IF(OR(AND(A9="LOA AMENDMENT",P9="UNRESOLVED USE"),AND(A9="SKIP",OR(E9="WL-02618",E9="WL-03044",E9="WL-03390"))),"PRIORITY 1",IF(A9="SKIP","PRIORITY 2","PRIORITY 3"))))</f>
        <v>PRIORITY 2</v>
      </c>
      <c r="S9" s="23" t="s">
        <v>112</v>
      </c>
      <c r="T9" s="23" t="s">
        <v>113</v>
      </c>
      <c r="U9" s="23" t="s">
        <v>86</v>
      </c>
    </row>
    <row r="10" customFormat="false" ht="17.9" hidden="false" customHeight="false" outlineLevel="0" collapsed="false">
      <c r="A10" s="20" t="s">
        <v>73</v>
      </c>
      <c r="B10" s="21" t="n">
        <v>44952</v>
      </c>
      <c r="C10" s="20" t="s">
        <v>114</v>
      </c>
      <c r="D10" s="20" t="s">
        <v>115</v>
      </c>
      <c r="E10" s="20" t="s">
        <v>116</v>
      </c>
      <c r="F10" s="20" t="s">
        <v>117</v>
      </c>
      <c r="G10" s="20" t="n">
        <v>298</v>
      </c>
      <c r="H10" s="20" t="s">
        <v>118</v>
      </c>
      <c r="I10" s="20" t="s">
        <v>119</v>
      </c>
      <c r="J10" s="20" t="s">
        <v>80</v>
      </c>
      <c r="K10" s="22"/>
      <c r="L10" s="22"/>
      <c r="M10" s="20" t="s">
        <v>81</v>
      </c>
      <c r="N10" s="23" t="s">
        <v>82</v>
      </c>
      <c r="O10" s="23" t="s">
        <v>83</v>
      </c>
      <c r="P10" s="23" t="s">
        <v>84</v>
      </c>
      <c r="Q10" s="23" t="str">
        <f aca="false">IF(A10="UNDATED LEAD","UNRESOLVED",IF(M10="N","EXCEPTION",IF(A10="SKIP",IF(ISNUMBER(SEARCH("_skip_justification.pdf",N10)),"CLEAR - FILE VERIFIED","CLEAR ON EXPORT"),"CLEAR ON LOG")))</f>
        <v>CLEAR ON EXPORT</v>
      </c>
      <c r="R10" s="23" t="str">
        <f aca="false">IF(Q10="UNRESOLVED","PRIORITY 1 - OBTAIN FILE",IF(Q10&lt;&gt;"EXCEPTION","NONE",IF(OR(AND(A10="LOA AMENDMENT",P10="UNRESOLVED USE"),AND(A10="SKIP",OR(E10="WL-02618",E10="WL-03044",E10="WL-03390"))),"PRIORITY 1",IF(A10="SKIP","PRIORITY 2","PRIORITY 3"))))</f>
        <v>NONE</v>
      </c>
      <c r="S10" s="23"/>
      <c r="T10" s="23" t="s">
        <v>120</v>
      </c>
      <c r="U10" s="23" t="s">
        <v>86</v>
      </c>
    </row>
    <row r="11" customFormat="false" ht="17.9" hidden="false" customHeight="false" outlineLevel="0" collapsed="false">
      <c r="A11" s="20" t="s">
        <v>73</v>
      </c>
      <c r="B11" s="21" t="n">
        <v>44967</v>
      </c>
      <c r="C11" s="20" t="s">
        <v>121</v>
      </c>
      <c r="D11" s="20" t="s">
        <v>122</v>
      </c>
      <c r="E11" s="20" t="s">
        <v>123</v>
      </c>
      <c r="F11" s="20" t="s">
        <v>124</v>
      </c>
      <c r="G11" s="20" t="n">
        <v>2582</v>
      </c>
      <c r="H11" s="20" t="s">
        <v>125</v>
      </c>
      <c r="I11" s="20" t="s">
        <v>119</v>
      </c>
      <c r="J11" s="20" t="s">
        <v>100</v>
      </c>
      <c r="K11" s="22"/>
      <c r="L11" s="22"/>
      <c r="M11" s="20" t="s">
        <v>81</v>
      </c>
      <c r="N11" s="23" t="s">
        <v>92</v>
      </c>
      <c r="O11" s="23" t="s">
        <v>102</v>
      </c>
      <c r="P11" s="23" t="s">
        <v>84</v>
      </c>
      <c r="Q11" s="23" t="str">
        <f aca="false">IF(A11="UNDATED LEAD","UNRESOLVED",IF(M11="N","EXCEPTION",IF(A11="SKIP",IF(ISNUMBER(SEARCH("_skip_justification.pdf",N11)),"CLEAR - FILE VERIFIED","CLEAR ON EXPORT"),"CLEAR ON LOG")))</f>
        <v>CLEAR ON EXPORT</v>
      </c>
      <c r="R11" s="23" t="str">
        <f aca="false">IF(Q11="UNRESOLVED","PRIORITY 1 - OBTAIN FILE",IF(Q11&lt;&gt;"EXCEPTION","NONE",IF(OR(AND(A11="LOA AMENDMENT",P11="UNRESOLVED USE"),AND(A11="SKIP",OR(E11="WL-02618",E11="WL-03044",E11="WL-03390"))),"PRIORITY 1",IF(A11="SKIP","PRIORITY 2","PRIORITY 3"))))</f>
        <v>NONE</v>
      </c>
      <c r="S11" s="23"/>
      <c r="T11" s="23" t="s">
        <v>126</v>
      </c>
      <c r="U11" s="23" t="s">
        <v>86</v>
      </c>
    </row>
    <row r="12" customFormat="false" ht="17.9" hidden="false" customHeight="false" outlineLevel="0" collapsed="false">
      <c r="A12" s="20" t="s">
        <v>73</v>
      </c>
      <c r="B12" s="21" t="n">
        <v>44974</v>
      </c>
      <c r="C12" s="20" t="s">
        <v>127</v>
      </c>
      <c r="D12" s="20" t="s">
        <v>128</v>
      </c>
      <c r="E12" s="20" t="s">
        <v>129</v>
      </c>
      <c r="F12" s="20" t="s">
        <v>130</v>
      </c>
      <c r="G12" s="20" t="n">
        <v>1918</v>
      </c>
      <c r="H12" s="20" t="s">
        <v>131</v>
      </c>
      <c r="I12" s="20" t="s">
        <v>79</v>
      </c>
      <c r="J12" s="20" t="s">
        <v>132</v>
      </c>
      <c r="K12" s="22"/>
      <c r="L12" s="22"/>
      <c r="M12" s="20" t="s">
        <v>81</v>
      </c>
      <c r="N12" s="23" t="s">
        <v>82</v>
      </c>
      <c r="O12" s="23" t="s">
        <v>133</v>
      </c>
      <c r="P12" s="23" t="s">
        <v>84</v>
      </c>
      <c r="Q12" s="23" t="str">
        <f aca="false">IF(A12="UNDATED LEAD","UNRESOLVED",IF(M12="N","EXCEPTION",IF(A12="SKIP",IF(ISNUMBER(SEARCH("_skip_justification.pdf",N12)),"CLEAR - FILE VERIFIED","CLEAR ON EXPORT"),"CLEAR ON LOG")))</f>
        <v>CLEAR ON EXPORT</v>
      </c>
      <c r="R12" s="23" t="str">
        <f aca="false">IF(Q12="UNRESOLVED","PRIORITY 1 - OBTAIN FILE",IF(Q12&lt;&gt;"EXCEPTION","NONE",IF(OR(AND(A12="LOA AMENDMENT",P12="UNRESOLVED USE"),AND(A12="SKIP",OR(E12="WL-02618",E12="WL-03044",E12="WL-03390"))),"PRIORITY 1",IF(A12="SKIP","PRIORITY 2","PRIORITY 3"))))</f>
        <v>NONE</v>
      </c>
      <c r="S12" s="23"/>
      <c r="T12" s="23" t="s">
        <v>134</v>
      </c>
      <c r="U12" s="23" t="s">
        <v>86</v>
      </c>
    </row>
    <row r="13" customFormat="false" ht="17.9" hidden="false" customHeight="false" outlineLevel="0" collapsed="false">
      <c r="A13" s="20" t="s">
        <v>73</v>
      </c>
      <c r="B13" s="21" t="n">
        <v>44975</v>
      </c>
      <c r="C13" s="20" t="s">
        <v>135</v>
      </c>
      <c r="D13" s="20" t="s">
        <v>136</v>
      </c>
      <c r="E13" s="20" t="s">
        <v>137</v>
      </c>
      <c r="F13" s="20" t="s">
        <v>138</v>
      </c>
      <c r="G13" s="20" t="n">
        <v>1565</v>
      </c>
      <c r="H13" s="20" t="s">
        <v>139</v>
      </c>
      <c r="I13" s="20" t="s">
        <v>119</v>
      </c>
      <c r="J13" s="20" t="s">
        <v>80</v>
      </c>
      <c r="K13" s="22"/>
      <c r="L13" s="22"/>
      <c r="M13" s="20" t="s">
        <v>81</v>
      </c>
      <c r="N13" s="23" t="s">
        <v>140</v>
      </c>
      <c r="O13" s="23" t="s">
        <v>83</v>
      </c>
      <c r="P13" s="23" t="s">
        <v>84</v>
      </c>
      <c r="Q13" s="23" t="str">
        <f aca="false">IF(A13="UNDATED LEAD","UNRESOLVED",IF(M13="N","EXCEPTION",IF(A13="SKIP",IF(ISNUMBER(SEARCH("_skip_justification.pdf",N13)),"CLEAR - FILE VERIFIED","CLEAR ON EXPORT"),"CLEAR ON LOG")))</f>
        <v>CLEAR ON EXPORT</v>
      </c>
      <c r="R13" s="23" t="str">
        <f aca="false">IF(Q13="UNRESOLVED","PRIORITY 1 - OBTAIN FILE",IF(Q13&lt;&gt;"EXCEPTION","NONE",IF(OR(AND(A13="LOA AMENDMENT",P13="UNRESOLVED USE"),AND(A13="SKIP",OR(E13="WL-02618",E13="WL-03044",E13="WL-03390"))),"PRIORITY 1",IF(A13="SKIP","PRIORITY 2","PRIORITY 3"))))</f>
        <v>NONE</v>
      </c>
      <c r="S13" s="23"/>
      <c r="T13" s="23" t="s">
        <v>141</v>
      </c>
      <c r="U13" s="23" t="s">
        <v>86</v>
      </c>
    </row>
    <row r="14" customFormat="false" ht="17.9" hidden="false" customHeight="false" outlineLevel="0" collapsed="false">
      <c r="A14" s="20" t="s">
        <v>73</v>
      </c>
      <c r="B14" s="21" t="n">
        <v>44976</v>
      </c>
      <c r="C14" s="20" t="s">
        <v>142</v>
      </c>
      <c r="D14" s="20" t="s">
        <v>143</v>
      </c>
      <c r="E14" s="20" t="s">
        <v>144</v>
      </c>
      <c r="F14" s="20" t="s">
        <v>145</v>
      </c>
      <c r="G14" s="20" t="n">
        <v>1664</v>
      </c>
      <c r="H14" s="20" t="s">
        <v>146</v>
      </c>
      <c r="I14" s="20" t="s">
        <v>119</v>
      </c>
      <c r="J14" s="20" t="s">
        <v>147</v>
      </c>
      <c r="K14" s="22"/>
      <c r="L14" s="22"/>
      <c r="M14" s="20" t="s">
        <v>81</v>
      </c>
      <c r="N14" s="23" t="s">
        <v>101</v>
      </c>
      <c r="O14" s="23" t="s">
        <v>148</v>
      </c>
      <c r="P14" s="23" t="s">
        <v>84</v>
      </c>
      <c r="Q14" s="23" t="str">
        <f aca="false">IF(A14="UNDATED LEAD","UNRESOLVED",IF(M14="N","EXCEPTION",IF(A14="SKIP",IF(ISNUMBER(SEARCH("_skip_justification.pdf",N14)),"CLEAR - FILE VERIFIED","CLEAR ON EXPORT"),"CLEAR ON LOG")))</f>
        <v>CLEAR ON EXPORT</v>
      </c>
      <c r="R14" s="23" t="str">
        <f aca="false">IF(Q14="UNRESOLVED","PRIORITY 1 - OBTAIN FILE",IF(Q14&lt;&gt;"EXCEPTION","NONE",IF(OR(AND(A14="LOA AMENDMENT",P14="UNRESOLVED USE"),AND(A14="SKIP",OR(E14="WL-02618",E14="WL-03044",E14="WL-03390"))),"PRIORITY 1",IF(A14="SKIP","PRIORITY 2","PRIORITY 3"))))</f>
        <v>NONE</v>
      </c>
      <c r="S14" s="23"/>
      <c r="T14" s="23" t="s">
        <v>149</v>
      </c>
      <c r="U14" s="23" t="s">
        <v>86</v>
      </c>
    </row>
    <row r="15" customFormat="false" ht="17.9" hidden="false" customHeight="false" outlineLevel="0" collapsed="false">
      <c r="A15" s="20" t="s">
        <v>73</v>
      </c>
      <c r="B15" s="21" t="n">
        <v>44991</v>
      </c>
      <c r="C15" s="20" t="s">
        <v>150</v>
      </c>
      <c r="D15" s="20" t="s">
        <v>151</v>
      </c>
      <c r="E15" s="20" t="s">
        <v>152</v>
      </c>
      <c r="F15" s="20" t="s">
        <v>153</v>
      </c>
      <c r="G15" s="20" t="n">
        <v>1366</v>
      </c>
      <c r="H15" s="20" t="s">
        <v>131</v>
      </c>
      <c r="I15" s="20" t="s">
        <v>79</v>
      </c>
      <c r="J15" s="20" t="s">
        <v>80</v>
      </c>
      <c r="K15" s="22"/>
      <c r="L15" s="22"/>
      <c r="M15" s="20" t="s">
        <v>81</v>
      </c>
      <c r="N15" s="23" t="s">
        <v>101</v>
      </c>
      <c r="O15" s="23" t="s">
        <v>83</v>
      </c>
      <c r="P15" s="23" t="s">
        <v>84</v>
      </c>
      <c r="Q15" s="23" t="str">
        <f aca="false">IF(A15="UNDATED LEAD","UNRESOLVED",IF(M15="N","EXCEPTION",IF(A15="SKIP",IF(ISNUMBER(SEARCH("_skip_justification.pdf",N15)),"CLEAR - FILE VERIFIED","CLEAR ON EXPORT"),"CLEAR ON LOG")))</f>
        <v>CLEAR ON EXPORT</v>
      </c>
      <c r="R15" s="23" t="str">
        <f aca="false">IF(Q15="UNRESOLVED","PRIORITY 1 - OBTAIN FILE",IF(Q15&lt;&gt;"EXCEPTION","NONE",IF(OR(AND(A15="LOA AMENDMENT",P15="UNRESOLVED USE"),AND(A15="SKIP",OR(E15="WL-02618",E15="WL-03044",E15="WL-03390"))),"PRIORITY 1",IF(A15="SKIP","PRIORITY 2","PRIORITY 3"))))</f>
        <v>NONE</v>
      </c>
      <c r="S15" s="23"/>
      <c r="T15" s="23" t="s">
        <v>154</v>
      </c>
      <c r="U15" s="23" t="s">
        <v>86</v>
      </c>
    </row>
    <row r="16" customFormat="false" ht="17.9" hidden="false" customHeight="false" outlineLevel="0" collapsed="false">
      <c r="A16" s="20" t="s">
        <v>73</v>
      </c>
      <c r="B16" s="21" t="n">
        <v>44995</v>
      </c>
      <c r="C16" s="20" t="s">
        <v>155</v>
      </c>
      <c r="D16" s="20" t="s">
        <v>156</v>
      </c>
      <c r="E16" s="20" t="s">
        <v>157</v>
      </c>
      <c r="F16" s="20" t="s">
        <v>158</v>
      </c>
      <c r="G16" s="20" t="n">
        <v>984</v>
      </c>
      <c r="H16" s="20" t="s">
        <v>159</v>
      </c>
      <c r="I16" s="20" t="s">
        <v>119</v>
      </c>
      <c r="J16" s="20" t="s">
        <v>132</v>
      </c>
      <c r="K16" s="22"/>
      <c r="L16" s="22"/>
      <c r="M16" s="20" t="s">
        <v>81</v>
      </c>
      <c r="N16" s="23" t="s">
        <v>101</v>
      </c>
      <c r="O16" s="23" t="s">
        <v>133</v>
      </c>
      <c r="P16" s="23" t="s">
        <v>84</v>
      </c>
      <c r="Q16" s="23" t="str">
        <f aca="false">IF(A16="UNDATED LEAD","UNRESOLVED",IF(M16="N","EXCEPTION",IF(A16="SKIP",IF(ISNUMBER(SEARCH("_skip_justification.pdf",N16)),"CLEAR - FILE VERIFIED","CLEAR ON EXPORT"),"CLEAR ON LOG")))</f>
        <v>CLEAR ON EXPORT</v>
      </c>
      <c r="R16" s="23" t="str">
        <f aca="false">IF(Q16="UNRESOLVED","PRIORITY 1 - OBTAIN FILE",IF(Q16&lt;&gt;"EXCEPTION","NONE",IF(OR(AND(A16="LOA AMENDMENT",P16="UNRESOLVED USE"),AND(A16="SKIP",OR(E16="WL-02618",E16="WL-03044",E16="WL-03390"))),"PRIORITY 1",IF(A16="SKIP","PRIORITY 2","PRIORITY 3"))))</f>
        <v>NONE</v>
      </c>
      <c r="S16" s="23"/>
      <c r="T16" s="23" t="s">
        <v>160</v>
      </c>
      <c r="U16" s="23" t="s">
        <v>86</v>
      </c>
    </row>
    <row r="17" customFormat="false" ht="17.9" hidden="false" customHeight="false" outlineLevel="0" collapsed="false">
      <c r="A17" s="20" t="s">
        <v>73</v>
      </c>
      <c r="B17" s="21" t="n">
        <v>45000</v>
      </c>
      <c r="C17" s="20" t="s">
        <v>161</v>
      </c>
      <c r="D17" s="20" t="s">
        <v>162</v>
      </c>
      <c r="E17" s="20" t="s">
        <v>163</v>
      </c>
      <c r="F17" s="20" t="s">
        <v>164</v>
      </c>
      <c r="G17" s="20" t="n">
        <v>2523</v>
      </c>
      <c r="H17" s="20" t="s">
        <v>165</v>
      </c>
      <c r="I17" s="20" t="s">
        <v>166</v>
      </c>
      <c r="J17" s="20" t="s">
        <v>80</v>
      </c>
      <c r="K17" s="22"/>
      <c r="L17" s="22"/>
      <c r="M17" s="20" t="s">
        <v>110</v>
      </c>
      <c r="N17" s="23" t="s">
        <v>167</v>
      </c>
      <c r="O17" s="23" t="s">
        <v>83</v>
      </c>
      <c r="P17" s="23" t="s">
        <v>84</v>
      </c>
      <c r="Q17" s="23" t="str">
        <f aca="false">IF(A17="UNDATED LEAD","UNRESOLVED",IF(M17="N","EXCEPTION",IF(A17="SKIP",IF(ISNUMBER(SEARCH("_skip_justification.pdf",N17)),"CLEAR - FILE VERIFIED","CLEAR ON EXPORT"),"CLEAR ON LOG")))</f>
        <v>EXCEPTION</v>
      </c>
      <c r="R17" s="23" t="str">
        <f aca="false">IF(Q17="UNRESOLVED","PRIORITY 1 - OBTAIN FILE",IF(Q17&lt;&gt;"EXCEPTION","NONE",IF(OR(AND(A17="LOA AMENDMENT",P17="UNRESOLVED USE"),AND(A17="SKIP",OR(E17="WL-02618",E17="WL-03044",E17="WL-03390"))),"PRIORITY 1",IF(A17="SKIP","PRIORITY 2","PRIORITY 3"))))</f>
        <v>PRIORITY 2</v>
      </c>
      <c r="S17" s="23" t="s">
        <v>168</v>
      </c>
      <c r="T17" s="23" t="s">
        <v>169</v>
      </c>
      <c r="U17" s="23" t="s">
        <v>86</v>
      </c>
    </row>
    <row r="18" customFormat="false" ht="17.9" hidden="false" customHeight="false" outlineLevel="0" collapsed="false">
      <c r="A18" s="20" t="s">
        <v>73</v>
      </c>
      <c r="B18" s="21" t="n">
        <v>45006</v>
      </c>
      <c r="C18" s="20" t="s">
        <v>170</v>
      </c>
      <c r="D18" s="20" t="s">
        <v>171</v>
      </c>
      <c r="E18" s="20" t="s">
        <v>172</v>
      </c>
      <c r="F18" s="20" t="s">
        <v>173</v>
      </c>
      <c r="G18" s="20" t="n">
        <v>649</v>
      </c>
      <c r="H18" s="20" t="s">
        <v>174</v>
      </c>
      <c r="I18" s="20" t="s">
        <v>99</v>
      </c>
      <c r="J18" s="20" t="s">
        <v>80</v>
      </c>
      <c r="K18" s="22"/>
      <c r="L18" s="22"/>
      <c r="M18" s="20" t="s">
        <v>81</v>
      </c>
      <c r="N18" s="23" t="s">
        <v>140</v>
      </c>
      <c r="O18" s="23" t="s">
        <v>83</v>
      </c>
      <c r="P18" s="23" t="s">
        <v>84</v>
      </c>
      <c r="Q18" s="23" t="str">
        <f aca="false">IF(A18="UNDATED LEAD","UNRESOLVED",IF(M18="N","EXCEPTION",IF(A18="SKIP",IF(ISNUMBER(SEARCH("_skip_justification.pdf",N18)),"CLEAR - FILE VERIFIED","CLEAR ON EXPORT"),"CLEAR ON LOG")))</f>
        <v>CLEAR ON EXPORT</v>
      </c>
      <c r="R18" s="23" t="str">
        <f aca="false">IF(Q18="UNRESOLVED","PRIORITY 1 - OBTAIN FILE",IF(Q18&lt;&gt;"EXCEPTION","NONE",IF(OR(AND(A18="LOA AMENDMENT",P18="UNRESOLVED USE"),AND(A18="SKIP",OR(E18="WL-02618",E18="WL-03044",E18="WL-03390"))),"PRIORITY 1",IF(A18="SKIP","PRIORITY 2","PRIORITY 3"))))</f>
        <v>NONE</v>
      </c>
      <c r="S18" s="23"/>
      <c r="T18" s="23" t="s">
        <v>175</v>
      </c>
      <c r="U18" s="23" t="s">
        <v>86</v>
      </c>
    </row>
    <row r="19" customFormat="false" ht="17.9" hidden="false" customHeight="false" outlineLevel="0" collapsed="false">
      <c r="A19" s="20" t="s">
        <v>73</v>
      </c>
      <c r="B19" s="21" t="n">
        <v>45010</v>
      </c>
      <c r="C19" s="20" t="s">
        <v>176</v>
      </c>
      <c r="D19" s="20" t="s">
        <v>177</v>
      </c>
      <c r="E19" s="20" t="s">
        <v>178</v>
      </c>
      <c r="F19" s="20" t="s">
        <v>179</v>
      </c>
      <c r="G19" s="20" t="n">
        <v>2535</v>
      </c>
      <c r="H19" s="20" t="s">
        <v>180</v>
      </c>
      <c r="I19" s="20" t="s">
        <v>119</v>
      </c>
      <c r="J19" s="20" t="s">
        <v>80</v>
      </c>
      <c r="K19" s="22"/>
      <c r="L19" s="22"/>
      <c r="M19" s="20" t="s">
        <v>81</v>
      </c>
      <c r="N19" s="23" t="s">
        <v>82</v>
      </c>
      <c r="O19" s="23" t="s">
        <v>83</v>
      </c>
      <c r="P19" s="23" t="s">
        <v>84</v>
      </c>
      <c r="Q19" s="23" t="str">
        <f aca="false">IF(A19="UNDATED LEAD","UNRESOLVED",IF(M19="N","EXCEPTION",IF(A19="SKIP",IF(ISNUMBER(SEARCH("_skip_justification.pdf",N19)),"CLEAR - FILE VERIFIED","CLEAR ON EXPORT"),"CLEAR ON LOG")))</f>
        <v>CLEAR ON EXPORT</v>
      </c>
      <c r="R19" s="23" t="str">
        <f aca="false">IF(Q19="UNRESOLVED","PRIORITY 1 - OBTAIN FILE",IF(Q19&lt;&gt;"EXCEPTION","NONE",IF(OR(AND(A19="LOA AMENDMENT",P19="UNRESOLVED USE"),AND(A19="SKIP",OR(E19="WL-02618",E19="WL-03044",E19="WL-03390"))),"PRIORITY 1",IF(A19="SKIP","PRIORITY 2","PRIORITY 3"))))</f>
        <v>NONE</v>
      </c>
      <c r="S19" s="23"/>
      <c r="T19" s="23" t="s">
        <v>181</v>
      </c>
      <c r="U19" s="23" t="s">
        <v>86</v>
      </c>
    </row>
    <row r="20" customFormat="false" ht="17.9" hidden="false" customHeight="false" outlineLevel="0" collapsed="false">
      <c r="A20" s="20" t="s">
        <v>73</v>
      </c>
      <c r="B20" s="21" t="n">
        <v>45012</v>
      </c>
      <c r="C20" s="20" t="s">
        <v>182</v>
      </c>
      <c r="D20" s="20" t="s">
        <v>183</v>
      </c>
      <c r="E20" s="20" t="s">
        <v>184</v>
      </c>
      <c r="F20" s="20" t="s">
        <v>185</v>
      </c>
      <c r="G20" s="20" t="n">
        <v>388</v>
      </c>
      <c r="H20" s="20" t="s">
        <v>186</v>
      </c>
      <c r="I20" s="20" t="s">
        <v>166</v>
      </c>
      <c r="J20" s="20" t="s">
        <v>80</v>
      </c>
      <c r="K20" s="22"/>
      <c r="L20" s="22"/>
      <c r="M20" s="20" t="s">
        <v>81</v>
      </c>
      <c r="N20" s="23" t="s">
        <v>140</v>
      </c>
      <c r="O20" s="23" t="s">
        <v>83</v>
      </c>
      <c r="P20" s="23" t="s">
        <v>84</v>
      </c>
      <c r="Q20" s="23" t="str">
        <f aca="false">IF(A20="UNDATED LEAD","UNRESOLVED",IF(M20="N","EXCEPTION",IF(A20="SKIP",IF(ISNUMBER(SEARCH("_skip_justification.pdf",N20)),"CLEAR - FILE VERIFIED","CLEAR ON EXPORT"),"CLEAR ON LOG")))</f>
        <v>CLEAR ON EXPORT</v>
      </c>
      <c r="R20" s="23" t="str">
        <f aca="false">IF(Q20="UNRESOLVED","PRIORITY 1 - OBTAIN FILE",IF(Q20&lt;&gt;"EXCEPTION","NONE",IF(OR(AND(A20="LOA AMENDMENT",P20="UNRESOLVED USE"),AND(A20="SKIP",OR(E20="WL-02618",E20="WL-03044",E20="WL-03390"))),"PRIORITY 1",IF(A20="SKIP","PRIORITY 2","PRIORITY 3"))))</f>
        <v>NONE</v>
      </c>
      <c r="S20" s="23"/>
      <c r="T20" s="23" t="s">
        <v>187</v>
      </c>
      <c r="U20" s="23" t="s">
        <v>86</v>
      </c>
    </row>
    <row r="21" customFormat="false" ht="17.9" hidden="false" customHeight="false" outlineLevel="0" collapsed="false">
      <c r="A21" s="20" t="s">
        <v>73</v>
      </c>
      <c r="B21" s="21" t="n">
        <v>45018</v>
      </c>
      <c r="C21" s="20" t="s">
        <v>188</v>
      </c>
      <c r="D21" s="20" t="s">
        <v>189</v>
      </c>
      <c r="E21" s="20" t="s">
        <v>190</v>
      </c>
      <c r="F21" s="20" t="s">
        <v>191</v>
      </c>
      <c r="G21" s="20" t="n">
        <v>89</v>
      </c>
      <c r="H21" s="20" t="s">
        <v>192</v>
      </c>
      <c r="I21" s="20" t="s">
        <v>119</v>
      </c>
      <c r="J21" s="20" t="s">
        <v>132</v>
      </c>
      <c r="K21" s="22"/>
      <c r="L21" s="22"/>
      <c r="M21" s="20" t="s">
        <v>81</v>
      </c>
      <c r="N21" s="23" t="s">
        <v>140</v>
      </c>
      <c r="O21" s="23" t="s">
        <v>133</v>
      </c>
      <c r="P21" s="23" t="s">
        <v>84</v>
      </c>
      <c r="Q21" s="23" t="str">
        <f aca="false">IF(A21="UNDATED LEAD","UNRESOLVED",IF(M21="N","EXCEPTION",IF(A21="SKIP",IF(ISNUMBER(SEARCH("_skip_justification.pdf",N21)),"CLEAR - FILE VERIFIED","CLEAR ON EXPORT"),"CLEAR ON LOG")))</f>
        <v>CLEAR ON EXPORT</v>
      </c>
      <c r="R21" s="23" t="str">
        <f aca="false">IF(Q21="UNRESOLVED","PRIORITY 1 - OBTAIN FILE",IF(Q21&lt;&gt;"EXCEPTION","NONE",IF(OR(AND(A21="LOA AMENDMENT",P21="UNRESOLVED USE"),AND(A21="SKIP",OR(E21="WL-02618",E21="WL-03044",E21="WL-03390"))),"PRIORITY 1",IF(A21="SKIP","PRIORITY 2","PRIORITY 3"))))</f>
        <v>NONE</v>
      </c>
      <c r="S21" s="23"/>
      <c r="T21" s="23" t="s">
        <v>193</v>
      </c>
      <c r="U21" s="23" t="s">
        <v>86</v>
      </c>
    </row>
    <row r="22" customFormat="false" ht="17.9" hidden="false" customHeight="false" outlineLevel="0" collapsed="false">
      <c r="A22" s="20" t="s">
        <v>73</v>
      </c>
      <c r="B22" s="21" t="n">
        <v>45019</v>
      </c>
      <c r="C22" s="20" t="s">
        <v>194</v>
      </c>
      <c r="D22" s="20" t="s">
        <v>195</v>
      </c>
      <c r="E22" s="20" t="s">
        <v>196</v>
      </c>
      <c r="F22" s="20" t="s">
        <v>197</v>
      </c>
      <c r="G22" s="20" t="n">
        <v>2014</v>
      </c>
      <c r="H22" s="20" t="s">
        <v>198</v>
      </c>
      <c r="I22" s="20" t="s">
        <v>79</v>
      </c>
      <c r="J22" s="20" t="s">
        <v>80</v>
      </c>
      <c r="K22" s="22"/>
      <c r="L22" s="22"/>
      <c r="M22" s="20" t="s">
        <v>81</v>
      </c>
      <c r="N22" s="23" t="s">
        <v>101</v>
      </c>
      <c r="O22" s="23" t="s">
        <v>83</v>
      </c>
      <c r="P22" s="23" t="s">
        <v>84</v>
      </c>
      <c r="Q22" s="23" t="str">
        <f aca="false">IF(A22="UNDATED LEAD","UNRESOLVED",IF(M22="N","EXCEPTION",IF(A22="SKIP",IF(ISNUMBER(SEARCH("_skip_justification.pdf",N22)),"CLEAR - FILE VERIFIED","CLEAR ON EXPORT"),"CLEAR ON LOG")))</f>
        <v>CLEAR ON EXPORT</v>
      </c>
      <c r="R22" s="23" t="str">
        <f aca="false">IF(Q22="UNRESOLVED","PRIORITY 1 - OBTAIN FILE",IF(Q22&lt;&gt;"EXCEPTION","NONE",IF(OR(AND(A22="LOA AMENDMENT",P22="UNRESOLVED USE"),AND(A22="SKIP",OR(E22="WL-02618",E22="WL-03044",E22="WL-03390"))),"PRIORITY 1",IF(A22="SKIP","PRIORITY 2","PRIORITY 3"))))</f>
        <v>NONE</v>
      </c>
      <c r="S22" s="23"/>
      <c r="T22" s="23" t="s">
        <v>199</v>
      </c>
      <c r="U22" s="23" t="s">
        <v>86</v>
      </c>
    </row>
    <row r="23" customFormat="false" ht="17.9" hidden="false" customHeight="false" outlineLevel="0" collapsed="false">
      <c r="A23" s="20" t="s">
        <v>73</v>
      </c>
      <c r="B23" s="21" t="n">
        <v>45024</v>
      </c>
      <c r="C23" s="20" t="s">
        <v>200</v>
      </c>
      <c r="D23" s="20" t="s">
        <v>201</v>
      </c>
      <c r="E23" s="20" t="s">
        <v>202</v>
      </c>
      <c r="F23" s="20" t="s">
        <v>203</v>
      </c>
      <c r="G23" s="20" t="n">
        <v>145</v>
      </c>
      <c r="H23" s="20" t="s">
        <v>204</v>
      </c>
      <c r="I23" s="20" t="s">
        <v>109</v>
      </c>
      <c r="J23" s="20" t="s">
        <v>100</v>
      </c>
      <c r="K23" s="22"/>
      <c r="L23" s="22"/>
      <c r="M23" s="20" t="s">
        <v>81</v>
      </c>
      <c r="N23" s="23" t="s">
        <v>92</v>
      </c>
      <c r="O23" s="23" t="s">
        <v>102</v>
      </c>
      <c r="P23" s="23" t="s">
        <v>84</v>
      </c>
      <c r="Q23" s="23" t="str">
        <f aca="false">IF(A23="UNDATED LEAD","UNRESOLVED",IF(M23="N","EXCEPTION",IF(A23="SKIP",IF(ISNUMBER(SEARCH("_skip_justification.pdf",N23)),"CLEAR - FILE VERIFIED","CLEAR ON EXPORT"),"CLEAR ON LOG")))</f>
        <v>CLEAR ON EXPORT</v>
      </c>
      <c r="R23" s="23" t="str">
        <f aca="false">IF(Q23="UNRESOLVED","PRIORITY 1 - OBTAIN FILE",IF(Q23&lt;&gt;"EXCEPTION","NONE",IF(OR(AND(A23="LOA AMENDMENT",P23="UNRESOLVED USE"),AND(A23="SKIP",OR(E23="WL-02618",E23="WL-03044",E23="WL-03390"))),"PRIORITY 1",IF(A23="SKIP","PRIORITY 2","PRIORITY 3"))))</f>
        <v>NONE</v>
      </c>
      <c r="S23" s="23"/>
      <c r="T23" s="23" t="s">
        <v>205</v>
      </c>
      <c r="U23" s="23" t="s">
        <v>86</v>
      </c>
    </row>
    <row r="24" customFormat="false" ht="17.9" hidden="false" customHeight="false" outlineLevel="0" collapsed="false">
      <c r="A24" s="20" t="s">
        <v>73</v>
      </c>
      <c r="B24" s="21" t="n">
        <v>45025</v>
      </c>
      <c r="C24" s="20" t="s">
        <v>206</v>
      </c>
      <c r="D24" s="20" t="s">
        <v>207</v>
      </c>
      <c r="E24" s="20" t="s">
        <v>208</v>
      </c>
      <c r="F24" s="20" t="s">
        <v>209</v>
      </c>
      <c r="G24" s="20" t="n">
        <v>886</v>
      </c>
      <c r="H24" s="20" t="s">
        <v>139</v>
      </c>
      <c r="I24" s="20" t="s">
        <v>119</v>
      </c>
      <c r="J24" s="20" t="s">
        <v>100</v>
      </c>
      <c r="K24" s="22"/>
      <c r="L24" s="22"/>
      <c r="M24" s="20" t="s">
        <v>81</v>
      </c>
      <c r="N24" s="23" t="s">
        <v>101</v>
      </c>
      <c r="O24" s="23" t="s">
        <v>102</v>
      </c>
      <c r="P24" s="23" t="s">
        <v>84</v>
      </c>
      <c r="Q24" s="23" t="str">
        <f aca="false">IF(A24="UNDATED LEAD","UNRESOLVED",IF(M24="N","EXCEPTION",IF(A24="SKIP",IF(ISNUMBER(SEARCH("_skip_justification.pdf",N24)),"CLEAR - FILE VERIFIED","CLEAR ON EXPORT"),"CLEAR ON LOG")))</f>
        <v>CLEAR ON EXPORT</v>
      </c>
      <c r="R24" s="23" t="str">
        <f aca="false">IF(Q24="UNRESOLVED","PRIORITY 1 - OBTAIN FILE",IF(Q24&lt;&gt;"EXCEPTION","NONE",IF(OR(AND(A24="LOA AMENDMENT",P24="UNRESOLVED USE"),AND(A24="SKIP",OR(E24="WL-02618",E24="WL-03044",E24="WL-03390"))),"PRIORITY 1",IF(A24="SKIP","PRIORITY 2","PRIORITY 3"))))</f>
        <v>NONE</v>
      </c>
      <c r="S24" s="23"/>
      <c r="T24" s="23" t="s">
        <v>210</v>
      </c>
      <c r="U24" s="23" t="s">
        <v>86</v>
      </c>
    </row>
    <row r="25" customFormat="false" ht="17.9" hidden="false" customHeight="false" outlineLevel="0" collapsed="false">
      <c r="A25" s="20" t="s">
        <v>73</v>
      </c>
      <c r="B25" s="21" t="n">
        <v>45027</v>
      </c>
      <c r="C25" s="20" t="s">
        <v>211</v>
      </c>
      <c r="D25" s="20" t="s">
        <v>212</v>
      </c>
      <c r="E25" s="20" t="s">
        <v>213</v>
      </c>
      <c r="F25" s="20" t="s">
        <v>214</v>
      </c>
      <c r="G25" s="20" t="n">
        <v>1074</v>
      </c>
      <c r="H25" s="20" t="s">
        <v>215</v>
      </c>
      <c r="I25" s="20" t="s">
        <v>109</v>
      </c>
      <c r="J25" s="20" t="s">
        <v>80</v>
      </c>
      <c r="K25" s="22"/>
      <c r="L25" s="22"/>
      <c r="M25" s="20" t="s">
        <v>81</v>
      </c>
      <c r="N25" s="23" t="s">
        <v>140</v>
      </c>
      <c r="O25" s="23" t="s">
        <v>83</v>
      </c>
      <c r="P25" s="23" t="s">
        <v>84</v>
      </c>
      <c r="Q25" s="23" t="str">
        <f aca="false">IF(A25="UNDATED LEAD","UNRESOLVED",IF(M25="N","EXCEPTION",IF(A25="SKIP",IF(ISNUMBER(SEARCH("_skip_justification.pdf",N25)),"CLEAR - FILE VERIFIED","CLEAR ON EXPORT"),"CLEAR ON LOG")))</f>
        <v>CLEAR ON EXPORT</v>
      </c>
      <c r="R25" s="23" t="str">
        <f aca="false">IF(Q25="UNRESOLVED","PRIORITY 1 - OBTAIN FILE",IF(Q25&lt;&gt;"EXCEPTION","NONE",IF(OR(AND(A25="LOA AMENDMENT",P25="UNRESOLVED USE"),AND(A25="SKIP",OR(E25="WL-02618",E25="WL-03044",E25="WL-03390"))),"PRIORITY 1",IF(A25="SKIP","PRIORITY 2","PRIORITY 3"))))</f>
        <v>NONE</v>
      </c>
      <c r="S25" s="23"/>
      <c r="T25" s="23" t="s">
        <v>216</v>
      </c>
      <c r="U25" s="23" t="s">
        <v>86</v>
      </c>
    </row>
    <row r="26" customFormat="false" ht="17.9" hidden="false" customHeight="false" outlineLevel="0" collapsed="false">
      <c r="A26" s="20" t="s">
        <v>73</v>
      </c>
      <c r="B26" s="21" t="n">
        <v>45036</v>
      </c>
      <c r="C26" s="20" t="s">
        <v>217</v>
      </c>
      <c r="D26" s="20" t="s">
        <v>218</v>
      </c>
      <c r="E26" s="20" t="s">
        <v>219</v>
      </c>
      <c r="F26" s="20" t="s">
        <v>220</v>
      </c>
      <c r="G26" s="20" t="n">
        <v>473</v>
      </c>
      <c r="H26" s="20" t="s">
        <v>221</v>
      </c>
      <c r="I26" s="20" t="s">
        <v>166</v>
      </c>
      <c r="J26" s="20" t="s">
        <v>80</v>
      </c>
      <c r="K26" s="22"/>
      <c r="L26" s="22"/>
      <c r="M26" s="20" t="s">
        <v>81</v>
      </c>
      <c r="N26" s="23" t="s">
        <v>92</v>
      </c>
      <c r="O26" s="23" t="s">
        <v>83</v>
      </c>
      <c r="P26" s="23" t="s">
        <v>84</v>
      </c>
      <c r="Q26" s="23" t="str">
        <f aca="false">IF(A26="UNDATED LEAD","UNRESOLVED",IF(M26="N","EXCEPTION",IF(A26="SKIP",IF(ISNUMBER(SEARCH("_skip_justification.pdf",N26)),"CLEAR - FILE VERIFIED","CLEAR ON EXPORT"),"CLEAR ON LOG")))</f>
        <v>CLEAR ON EXPORT</v>
      </c>
      <c r="R26" s="23" t="str">
        <f aca="false">IF(Q26="UNRESOLVED","PRIORITY 1 - OBTAIN FILE",IF(Q26&lt;&gt;"EXCEPTION","NONE",IF(OR(AND(A26="LOA AMENDMENT",P26="UNRESOLVED USE"),AND(A26="SKIP",OR(E26="WL-02618",E26="WL-03044",E26="WL-03390"))),"PRIORITY 1",IF(A26="SKIP","PRIORITY 2","PRIORITY 3"))))</f>
        <v>NONE</v>
      </c>
      <c r="S26" s="23"/>
      <c r="T26" s="23" t="s">
        <v>222</v>
      </c>
      <c r="U26" s="23" t="s">
        <v>86</v>
      </c>
    </row>
    <row r="27" customFormat="false" ht="17.9" hidden="false" customHeight="false" outlineLevel="0" collapsed="false">
      <c r="A27" s="20" t="s">
        <v>73</v>
      </c>
      <c r="B27" s="21" t="n">
        <v>45036</v>
      </c>
      <c r="C27" s="20" t="s">
        <v>223</v>
      </c>
      <c r="D27" s="20" t="s">
        <v>224</v>
      </c>
      <c r="E27" s="20" t="s">
        <v>225</v>
      </c>
      <c r="F27" s="20" t="s">
        <v>226</v>
      </c>
      <c r="G27" s="20" t="n">
        <v>1941</v>
      </c>
      <c r="H27" s="20" t="s">
        <v>227</v>
      </c>
      <c r="I27" s="20" t="s">
        <v>166</v>
      </c>
      <c r="J27" s="20" t="s">
        <v>80</v>
      </c>
      <c r="K27" s="22"/>
      <c r="L27" s="22"/>
      <c r="M27" s="20" t="s">
        <v>81</v>
      </c>
      <c r="N27" s="23" t="s">
        <v>82</v>
      </c>
      <c r="O27" s="23" t="s">
        <v>83</v>
      </c>
      <c r="P27" s="23" t="s">
        <v>84</v>
      </c>
      <c r="Q27" s="23" t="str">
        <f aca="false">IF(A27="UNDATED LEAD","UNRESOLVED",IF(M27="N","EXCEPTION",IF(A27="SKIP",IF(ISNUMBER(SEARCH("_skip_justification.pdf",N27)),"CLEAR - FILE VERIFIED","CLEAR ON EXPORT"),"CLEAR ON LOG")))</f>
        <v>CLEAR ON EXPORT</v>
      </c>
      <c r="R27" s="23" t="str">
        <f aca="false">IF(Q27="UNRESOLVED","PRIORITY 1 - OBTAIN FILE",IF(Q27&lt;&gt;"EXCEPTION","NONE",IF(OR(AND(A27="LOA AMENDMENT",P27="UNRESOLVED USE"),AND(A27="SKIP",OR(E27="WL-02618",E27="WL-03044",E27="WL-03390"))),"PRIORITY 1",IF(A27="SKIP","PRIORITY 2","PRIORITY 3"))))</f>
        <v>NONE</v>
      </c>
      <c r="S27" s="23"/>
      <c r="T27" s="23" t="s">
        <v>228</v>
      </c>
      <c r="U27" s="23" t="s">
        <v>86</v>
      </c>
    </row>
    <row r="28" customFormat="false" ht="17.9" hidden="false" customHeight="false" outlineLevel="0" collapsed="false">
      <c r="A28" s="20" t="s">
        <v>73</v>
      </c>
      <c r="B28" s="21" t="n">
        <v>45044</v>
      </c>
      <c r="C28" s="20" t="s">
        <v>229</v>
      </c>
      <c r="D28" s="20" t="s">
        <v>230</v>
      </c>
      <c r="E28" s="20" t="s">
        <v>231</v>
      </c>
      <c r="F28" s="20" t="s">
        <v>232</v>
      </c>
      <c r="G28" s="20" t="n">
        <v>274</v>
      </c>
      <c r="H28" s="20" t="s">
        <v>233</v>
      </c>
      <c r="I28" s="20" t="s">
        <v>119</v>
      </c>
      <c r="J28" s="20" t="s">
        <v>80</v>
      </c>
      <c r="K28" s="22"/>
      <c r="L28" s="22"/>
      <c r="M28" s="20" t="s">
        <v>81</v>
      </c>
      <c r="N28" s="23" t="s">
        <v>101</v>
      </c>
      <c r="O28" s="23" t="s">
        <v>83</v>
      </c>
      <c r="P28" s="23" t="s">
        <v>84</v>
      </c>
      <c r="Q28" s="23" t="str">
        <f aca="false">IF(A28="UNDATED LEAD","UNRESOLVED",IF(M28="N","EXCEPTION",IF(A28="SKIP",IF(ISNUMBER(SEARCH("_skip_justification.pdf",N28)),"CLEAR - FILE VERIFIED","CLEAR ON EXPORT"),"CLEAR ON LOG")))</f>
        <v>CLEAR ON EXPORT</v>
      </c>
      <c r="R28" s="23" t="str">
        <f aca="false">IF(Q28="UNRESOLVED","PRIORITY 1 - OBTAIN FILE",IF(Q28&lt;&gt;"EXCEPTION","NONE",IF(OR(AND(A28="LOA AMENDMENT",P28="UNRESOLVED USE"),AND(A28="SKIP",OR(E28="WL-02618",E28="WL-03044",E28="WL-03390"))),"PRIORITY 1",IF(A28="SKIP","PRIORITY 2","PRIORITY 3"))))</f>
        <v>NONE</v>
      </c>
      <c r="S28" s="23"/>
      <c r="T28" s="23" t="s">
        <v>234</v>
      </c>
      <c r="U28" s="23" t="s">
        <v>86</v>
      </c>
    </row>
    <row r="29" customFormat="false" ht="17.9" hidden="false" customHeight="false" outlineLevel="0" collapsed="false">
      <c r="A29" s="20" t="s">
        <v>73</v>
      </c>
      <c r="B29" s="21" t="n">
        <v>45048</v>
      </c>
      <c r="C29" s="20" t="s">
        <v>235</v>
      </c>
      <c r="D29" s="20" t="s">
        <v>236</v>
      </c>
      <c r="E29" s="20" t="s">
        <v>237</v>
      </c>
      <c r="F29" s="20" t="s">
        <v>238</v>
      </c>
      <c r="G29" s="20" t="n">
        <v>469</v>
      </c>
      <c r="H29" s="20" t="s">
        <v>239</v>
      </c>
      <c r="I29" s="20" t="s">
        <v>79</v>
      </c>
      <c r="J29" s="20" t="s">
        <v>80</v>
      </c>
      <c r="K29" s="22"/>
      <c r="L29" s="22"/>
      <c r="M29" s="20" t="s">
        <v>81</v>
      </c>
      <c r="N29" s="23" t="s">
        <v>82</v>
      </c>
      <c r="O29" s="23" t="s">
        <v>83</v>
      </c>
      <c r="P29" s="23" t="s">
        <v>84</v>
      </c>
      <c r="Q29" s="23" t="str">
        <f aca="false">IF(A29="UNDATED LEAD","UNRESOLVED",IF(M29="N","EXCEPTION",IF(A29="SKIP",IF(ISNUMBER(SEARCH("_skip_justification.pdf",N29)),"CLEAR - FILE VERIFIED","CLEAR ON EXPORT"),"CLEAR ON LOG")))</f>
        <v>CLEAR ON EXPORT</v>
      </c>
      <c r="R29" s="23" t="str">
        <f aca="false">IF(Q29="UNRESOLVED","PRIORITY 1 - OBTAIN FILE",IF(Q29&lt;&gt;"EXCEPTION","NONE",IF(OR(AND(A29="LOA AMENDMENT",P29="UNRESOLVED USE"),AND(A29="SKIP",OR(E29="WL-02618",E29="WL-03044",E29="WL-03390"))),"PRIORITY 1",IF(A29="SKIP","PRIORITY 2","PRIORITY 3"))))</f>
        <v>NONE</v>
      </c>
      <c r="S29" s="23"/>
      <c r="T29" s="23" t="s">
        <v>240</v>
      </c>
      <c r="U29" s="23" t="s">
        <v>86</v>
      </c>
    </row>
    <row r="30" customFormat="false" ht="17.9" hidden="false" customHeight="false" outlineLevel="0" collapsed="false">
      <c r="A30" s="20" t="s">
        <v>73</v>
      </c>
      <c r="B30" s="21" t="n">
        <v>45048</v>
      </c>
      <c r="C30" s="20" t="s">
        <v>241</v>
      </c>
      <c r="D30" s="20" t="s">
        <v>242</v>
      </c>
      <c r="E30" s="20" t="s">
        <v>243</v>
      </c>
      <c r="F30" s="20" t="s">
        <v>244</v>
      </c>
      <c r="G30" s="20" t="n">
        <v>2178</v>
      </c>
      <c r="H30" s="20" t="s">
        <v>245</v>
      </c>
      <c r="I30" s="20" t="s">
        <v>99</v>
      </c>
      <c r="J30" s="20" t="s">
        <v>80</v>
      </c>
      <c r="K30" s="22"/>
      <c r="L30" s="22"/>
      <c r="M30" s="20" t="s">
        <v>81</v>
      </c>
      <c r="N30" s="23" t="s">
        <v>140</v>
      </c>
      <c r="O30" s="23" t="s">
        <v>83</v>
      </c>
      <c r="P30" s="23" t="s">
        <v>84</v>
      </c>
      <c r="Q30" s="23" t="str">
        <f aca="false">IF(A30="UNDATED LEAD","UNRESOLVED",IF(M30="N","EXCEPTION",IF(A30="SKIP",IF(ISNUMBER(SEARCH("_skip_justification.pdf",N30)),"CLEAR - FILE VERIFIED","CLEAR ON EXPORT"),"CLEAR ON LOG")))</f>
        <v>CLEAR ON EXPORT</v>
      </c>
      <c r="R30" s="23" t="str">
        <f aca="false">IF(Q30="UNRESOLVED","PRIORITY 1 - OBTAIN FILE",IF(Q30&lt;&gt;"EXCEPTION","NONE",IF(OR(AND(A30="LOA AMENDMENT",P30="UNRESOLVED USE"),AND(A30="SKIP",OR(E30="WL-02618",E30="WL-03044",E30="WL-03390"))),"PRIORITY 1",IF(A30="SKIP","PRIORITY 2","PRIORITY 3"))))</f>
        <v>NONE</v>
      </c>
      <c r="S30" s="23"/>
      <c r="T30" s="23" t="s">
        <v>246</v>
      </c>
      <c r="U30" s="23" t="s">
        <v>86</v>
      </c>
    </row>
    <row r="31" customFormat="false" ht="17.9" hidden="false" customHeight="false" outlineLevel="0" collapsed="false">
      <c r="A31" s="20" t="s">
        <v>73</v>
      </c>
      <c r="B31" s="21" t="n">
        <v>45048</v>
      </c>
      <c r="C31" s="20" t="s">
        <v>247</v>
      </c>
      <c r="D31" s="20" t="s">
        <v>248</v>
      </c>
      <c r="E31" s="20" t="s">
        <v>249</v>
      </c>
      <c r="F31" s="20" t="s">
        <v>250</v>
      </c>
      <c r="G31" s="20" t="n">
        <v>1618</v>
      </c>
      <c r="H31" s="20" t="s">
        <v>251</v>
      </c>
      <c r="I31" s="20" t="s">
        <v>119</v>
      </c>
      <c r="J31" s="20" t="s">
        <v>80</v>
      </c>
      <c r="K31" s="22"/>
      <c r="L31" s="22"/>
      <c r="M31" s="20" t="s">
        <v>110</v>
      </c>
      <c r="N31" s="23" t="s">
        <v>252</v>
      </c>
      <c r="O31" s="23" t="s">
        <v>83</v>
      </c>
      <c r="P31" s="23" t="s">
        <v>84</v>
      </c>
      <c r="Q31" s="23" t="str">
        <f aca="false">IF(A31="UNDATED LEAD","UNRESOLVED",IF(M31="N","EXCEPTION",IF(A31="SKIP",IF(ISNUMBER(SEARCH("_skip_justification.pdf",N31)),"CLEAR - FILE VERIFIED","CLEAR ON EXPORT"),"CLEAR ON LOG")))</f>
        <v>EXCEPTION</v>
      </c>
      <c r="R31" s="23" t="str">
        <f aca="false">IF(Q31="UNRESOLVED","PRIORITY 1 - OBTAIN FILE",IF(Q31&lt;&gt;"EXCEPTION","NONE",IF(OR(AND(A31="LOA AMENDMENT",P31="UNRESOLVED USE"),AND(A31="SKIP",OR(E31="WL-02618",E31="WL-03044",E31="WL-03390"))),"PRIORITY 1",IF(A31="SKIP","PRIORITY 2","PRIORITY 3"))))</f>
        <v>PRIORITY 1</v>
      </c>
      <c r="S31" s="23" t="s">
        <v>253</v>
      </c>
      <c r="T31" s="23" t="s">
        <v>254</v>
      </c>
      <c r="U31" s="23" t="s">
        <v>86</v>
      </c>
    </row>
    <row r="32" customFormat="false" ht="17.9" hidden="false" customHeight="false" outlineLevel="0" collapsed="false">
      <c r="A32" s="20" t="s">
        <v>73</v>
      </c>
      <c r="B32" s="21" t="n">
        <v>45050</v>
      </c>
      <c r="C32" s="20" t="s">
        <v>255</v>
      </c>
      <c r="D32" s="20" t="s">
        <v>256</v>
      </c>
      <c r="E32" s="20" t="s">
        <v>257</v>
      </c>
      <c r="F32" s="20" t="s">
        <v>258</v>
      </c>
      <c r="G32" s="20" t="n">
        <v>2537</v>
      </c>
      <c r="H32" s="20" t="s">
        <v>259</v>
      </c>
      <c r="I32" s="20" t="s">
        <v>119</v>
      </c>
      <c r="J32" s="20" t="s">
        <v>100</v>
      </c>
      <c r="K32" s="22"/>
      <c r="L32" s="22"/>
      <c r="M32" s="20" t="s">
        <v>81</v>
      </c>
      <c r="N32" s="23" t="s">
        <v>82</v>
      </c>
      <c r="O32" s="23" t="s">
        <v>102</v>
      </c>
      <c r="P32" s="23" t="s">
        <v>84</v>
      </c>
      <c r="Q32" s="23" t="str">
        <f aca="false">IF(A32="UNDATED LEAD","UNRESOLVED",IF(M32="N","EXCEPTION",IF(A32="SKIP",IF(ISNUMBER(SEARCH("_skip_justification.pdf",N32)),"CLEAR - FILE VERIFIED","CLEAR ON EXPORT"),"CLEAR ON LOG")))</f>
        <v>CLEAR ON EXPORT</v>
      </c>
      <c r="R32" s="23" t="str">
        <f aca="false">IF(Q32="UNRESOLVED","PRIORITY 1 - OBTAIN FILE",IF(Q32&lt;&gt;"EXCEPTION","NONE",IF(OR(AND(A32="LOA AMENDMENT",P32="UNRESOLVED USE"),AND(A32="SKIP",OR(E32="WL-02618",E32="WL-03044",E32="WL-03390"))),"PRIORITY 1",IF(A32="SKIP","PRIORITY 2","PRIORITY 3"))))</f>
        <v>NONE</v>
      </c>
      <c r="S32" s="23"/>
      <c r="T32" s="23" t="s">
        <v>260</v>
      </c>
      <c r="U32" s="23" t="s">
        <v>86</v>
      </c>
    </row>
    <row r="33" customFormat="false" ht="17.9" hidden="false" customHeight="false" outlineLevel="0" collapsed="false">
      <c r="A33" s="20" t="s">
        <v>73</v>
      </c>
      <c r="B33" s="21" t="n">
        <v>45051</v>
      </c>
      <c r="C33" s="20" t="s">
        <v>261</v>
      </c>
      <c r="D33" s="20" t="s">
        <v>262</v>
      </c>
      <c r="E33" s="20" t="s">
        <v>263</v>
      </c>
      <c r="F33" s="20" t="s">
        <v>264</v>
      </c>
      <c r="G33" s="20" t="n">
        <v>2151</v>
      </c>
      <c r="H33" s="20" t="s">
        <v>265</v>
      </c>
      <c r="I33" s="20" t="s">
        <v>99</v>
      </c>
      <c r="J33" s="20" t="s">
        <v>132</v>
      </c>
      <c r="K33" s="22"/>
      <c r="L33" s="22"/>
      <c r="M33" s="20" t="s">
        <v>81</v>
      </c>
      <c r="N33" s="23" t="s">
        <v>140</v>
      </c>
      <c r="O33" s="23" t="s">
        <v>133</v>
      </c>
      <c r="P33" s="23" t="s">
        <v>84</v>
      </c>
      <c r="Q33" s="23" t="str">
        <f aca="false">IF(A33="UNDATED LEAD","UNRESOLVED",IF(M33="N","EXCEPTION",IF(A33="SKIP",IF(ISNUMBER(SEARCH("_skip_justification.pdf",N33)),"CLEAR - FILE VERIFIED","CLEAR ON EXPORT"),"CLEAR ON LOG")))</f>
        <v>CLEAR ON EXPORT</v>
      </c>
      <c r="R33" s="23" t="str">
        <f aca="false">IF(Q33="UNRESOLVED","PRIORITY 1 - OBTAIN FILE",IF(Q33&lt;&gt;"EXCEPTION","NONE",IF(OR(AND(A33="LOA AMENDMENT",P33="UNRESOLVED USE"),AND(A33="SKIP",OR(E33="WL-02618",E33="WL-03044",E33="WL-03390"))),"PRIORITY 1",IF(A33="SKIP","PRIORITY 2","PRIORITY 3"))))</f>
        <v>NONE</v>
      </c>
      <c r="S33" s="23"/>
      <c r="T33" s="23" t="s">
        <v>266</v>
      </c>
      <c r="U33" s="23" t="s">
        <v>86</v>
      </c>
    </row>
    <row r="34" customFormat="false" ht="17.9" hidden="false" customHeight="false" outlineLevel="0" collapsed="false">
      <c r="A34" s="20" t="s">
        <v>73</v>
      </c>
      <c r="B34" s="21" t="n">
        <v>45056</v>
      </c>
      <c r="C34" s="20" t="s">
        <v>267</v>
      </c>
      <c r="D34" s="20" t="s">
        <v>268</v>
      </c>
      <c r="E34" s="20" t="s">
        <v>269</v>
      </c>
      <c r="F34" s="20" t="s">
        <v>270</v>
      </c>
      <c r="G34" s="20" t="n">
        <v>1134</v>
      </c>
      <c r="H34" s="20" t="s">
        <v>271</v>
      </c>
      <c r="I34" s="20" t="s">
        <v>109</v>
      </c>
      <c r="J34" s="20" t="s">
        <v>100</v>
      </c>
      <c r="K34" s="22"/>
      <c r="L34" s="22"/>
      <c r="M34" s="20" t="s">
        <v>81</v>
      </c>
      <c r="N34" s="23" t="s">
        <v>92</v>
      </c>
      <c r="O34" s="23" t="s">
        <v>102</v>
      </c>
      <c r="P34" s="23" t="s">
        <v>84</v>
      </c>
      <c r="Q34" s="23" t="str">
        <f aca="false">IF(A34="UNDATED LEAD","UNRESOLVED",IF(M34="N","EXCEPTION",IF(A34="SKIP",IF(ISNUMBER(SEARCH("_skip_justification.pdf",N34)),"CLEAR - FILE VERIFIED","CLEAR ON EXPORT"),"CLEAR ON LOG")))</f>
        <v>CLEAR ON EXPORT</v>
      </c>
      <c r="R34" s="23" t="str">
        <f aca="false">IF(Q34="UNRESOLVED","PRIORITY 1 - OBTAIN FILE",IF(Q34&lt;&gt;"EXCEPTION","NONE",IF(OR(AND(A34="LOA AMENDMENT",P34="UNRESOLVED USE"),AND(A34="SKIP",OR(E34="WL-02618",E34="WL-03044",E34="WL-03390"))),"PRIORITY 1",IF(A34="SKIP","PRIORITY 2","PRIORITY 3"))))</f>
        <v>NONE</v>
      </c>
      <c r="S34" s="23"/>
      <c r="T34" s="23" t="s">
        <v>272</v>
      </c>
      <c r="U34" s="23" t="s">
        <v>86</v>
      </c>
    </row>
    <row r="35" customFormat="false" ht="17.9" hidden="false" customHeight="false" outlineLevel="0" collapsed="false">
      <c r="A35" s="20" t="s">
        <v>73</v>
      </c>
      <c r="B35" s="21" t="n">
        <v>45058</v>
      </c>
      <c r="C35" s="20" t="s">
        <v>273</v>
      </c>
      <c r="D35" s="20" t="s">
        <v>274</v>
      </c>
      <c r="E35" s="20" t="s">
        <v>275</v>
      </c>
      <c r="F35" s="20" t="s">
        <v>276</v>
      </c>
      <c r="G35" s="20" t="n">
        <v>2181</v>
      </c>
      <c r="H35" s="20" t="s">
        <v>277</v>
      </c>
      <c r="I35" s="20" t="s">
        <v>166</v>
      </c>
      <c r="J35" s="20" t="s">
        <v>80</v>
      </c>
      <c r="K35" s="22"/>
      <c r="L35" s="22"/>
      <c r="M35" s="20" t="s">
        <v>81</v>
      </c>
      <c r="N35" s="23" t="s">
        <v>82</v>
      </c>
      <c r="O35" s="23" t="s">
        <v>83</v>
      </c>
      <c r="P35" s="23" t="s">
        <v>84</v>
      </c>
      <c r="Q35" s="23" t="str">
        <f aca="false">IF(A35="UNDATED LEAD","UNRESOLVED",IF(M35="N","EXCEPTION",IF(A35="SKIP",IF(ISNUMBER(SEARCH("_skip_justification.pdf",N35)),"CLEAR - FILE VERIFIED","CLEAR ON EXPORT"),"CLEAR ON LOG")))</f>
        <v>CLEAR ON EXPORT</v>
      </c>
      <c r="R35" s="23" t="str">
        <f aca="false">IF(Q35="UNRESOLVED","PRIORITY 1 - OBTAIN FILE",IF(Q35&lt;&gt;"EXCEPTION","NONE",IF(OR(AND(A35="LOA AMENDMENT",P35="UNRESOLVED USE"),AND(A35="SKIP",OR(E35="WL-02618",E35="WL-03044",E35="WL-03390"))),"PRIORITY 1",IF(A35="SKIP","PRIORITY 2","PRIORITY 3"))))</f>
        <v>NONE</v>
      </c>
      <c r="S35" s="23"/>
      <c r="T35" s="23" t="s">
        <v>278</v>
      </c>
      <c r="U35" s="23" t="s">
        <v>86</v>
      </c>
    </row>
    <row r="36" customFormat="false" ht="17.9" hidden="false" customHeight="false" outlineLevel="0" collapsed="false">
      <c r="A36" s="20" t="s">
        <v>73</v>
      </c>
      <c r="B36" s="21" t="n">
        <v>45059</v>
      </c>
      <c r="C36" s="20" t="s">
        <v>279</v>
      </c>
      <c r="D36" s="20" t="s">
        <v>280</v>
      </c>
      <c r="E36" s="20" t="s">
        <v>281</v>
      </c>
      <c r="F36" s="20" t="s">
        <v>282</v>
      </c>
      <c r="G36" s="20" t="n">
        <v>1485</v>
      </c>
      <c r="H36" s="20" t="s">
        <v>283</v>
      </c>
      <c r="I36" s="20" t="s">
        <v>99</v>
      </c>
      <c r="J36" s="20" t="s">
        <v>100</v>
      </c>
      <c r="K36" s="22"/>
      <c r="L36" s="22"/>
      <c r="M36" s="20" t="s">
        <v>81</v>
      </c>
      <c r="N36" s="23" t="s">
        <v>92</v>
      </c>
      <c r="O36" s="23" t="s">
        <v>102</v>
      </c>
      <c r="P36" s="23" t="s">
        <v>84</v>
      </c>
      <c r="Q36" s="23" t="str">
        <f aca="false">IF(A36="UNDATED LEAD","UNRESOLVED",IF(M36="N","EXCEPTION",IF(A36="SKIP",IF(ISNUMBER(SEARCH("_skip_justification.pdf",N36)),"CLEAR - FILE VERIFIED","CLEAR ON EXPORT"),"CLEAR ON LOG")))</f>
        <v>CLEAR ON EXPORT</v>
      </c>
      <c r="R36" s="23" t="str">
        <f aca="false">IF(Q36="UNRESOLVED","PRIORITY 1 - OBTAIN FILE",IF(Q36&lt;&gt;"EXCEPTION","NONE",IF(OR(AND(A36="LOA AMENDMENT",P36="UNRESOLVED USE"),AND(A36="SKIP",OR(E36="WL-02618",E36="WL-03044",E36="WL-03390"))),"PRIORITY 1",IF(A36="SKIP","PRIORITY 2","PRIORITY 3"))))</f>
        <v>NONE</v>
      </c>
      <c r="S36" s="23"/>
      <c r="T36" s="23" t="s">
        <v>284</v>
      </c>
      <c r="U36" s="23" t="s">
        <v>86</v>
      </c>
    </row>
    <row r="37" customFormat="false" ht="17.9" hidden="false" customHeight="false" outlineLevel="0" collapsed="false">
      <c r="A37" s="20" t="s">
        <v>73</v>
      </c>
      <c r="B37" s="21" t="n">
        <v>45065</v>
      </c>
      <c r="C37" s="20" t="s">
        <v>285</v>
      </c>
      <c r="D37" s="20" t="s">
        <v>286</v>
      </c>
      <c r="E37" s="20" t="s">
        <v>287</v>
      </c>
      <c r="F37" s="20" t="s">
        <v>288</v>
      </c>
      <c r="G37" s="20" t="n">
        <v>1100</v>
      </c>
      <c r="H37" s="20" t="s">
        <v>289</v>
      </c>
      <c r="I37" s="20" t="s">
        <v>99</v>
      </c>
      <c r="J37" s="20" t="s">
        <v>147</v>
      </c>
      <c r="K37" s="22"/>
      <c r="L37" s="22"/>
      <c r="M37" s="20" t="s">
        <v>81</v>
      </c>
      <c r="N37" s="23" t="s">
        <v>92</v>
      </c>
      <c r="O37" s="23" t="s">
        <v>148</v>
      </c>
      <c r="P37" s="23" t="s">
        <v>84</v>
      </c>
      <c r="Q37" s="23" t="str">
        <f aca="false">IF(A37="UNDATED LEAD","UNRESOLVED",IF(M37="N","EXCEPTION",IF(A37="SKIP",IF(ISNUMBER(SEARCH("_skip_justification.pdf",N37)),"CLEAR - FILE VERIFIED","CLEAR ON EXPORT"),"CLEAR ON LOG")))</f>
        <v>CLEAR ON EXPORT</v>
      </c>
      <c r="R37" s="23" t="str">
        <f aca="false">IF(Q37="UNRESOLVED","PRIORITY 1 - OBTAIN FILE",IF(Q37&lt;&gt;"EXCEPTION","NONE",IF(OR(AND(A37="LOA AMENDMENT",P37="UNRESOLVED USE"),AND(A37="SKIP",OR(E37="WL-02618",E37="WL-03044",E37="WL-03390"))),"PRIORITY 1",IF(A37="SKIP","PRIORITY 2","PRIORITY 3"))))</f>
        <v>NONE</v>
      </c>
      <c r="S37" s="23"/>
      <c r="T37" s="23" t="s">
        <v>290</v>
      </c>
      <c r="U37" s="23" t="s">
        <v>86</v>
      </c>
    </row>
    <row r="38" customFormat="false" ht="17.9" hidden="false" customHeight="false" outlineLevel="0" collapsed="false">
      <c r="A38" s="20" t="s">
        <v>73</v>
      </c>
      <c r="B38" s="21" t="n">
        <v>45066</v>
      </c>
      <c r="C38" s="20" t="s">
        <v>291</v>
      </c>
      <c r="D38" s="20" t="s">
        <v>292</v>
      </c>
      <c r="E38" s="20" t="s">
        <v>293</v>
      </c>
      <c r="F38" s="20" t="s">
        <v>294</v>
      </c>
      <c r="G38" s="20" t="n">
        <v>2816</v>
      </c>
      <c r="H38" s="20" t="s">
        <v>295</v>
      </c>
      <c r="I38" s="20" t="s">
        <v>99</v>
      </c>
      <c r="J38" s="20" t="s">
        <v>147</v>
      </c>
      <c r="K38" s="22"/>
      <c r="L38" s="22"/>
      <c r="M38" s="20" t="s">
        <v>81</v>
      </c>
      <c r="N38" s="23" t="s">
        <v>82</v>
      </c>
      <c r="O38" s="23" t="s">
        <v>148</v>
      </c>
      <c r="P38" s="23" t="s">
        <v>84</v>
      </c>
      <c r="Q38" s="23" t="str">
        <f aca="false">IF(A38="UNDATED LEAD","UNRESOLVED",IF(M38="N","EXCEPTION",IF(A38="SKIP",IF(ISNUMBER(SEARCH("_skip_justification.pdf",N38)),"CLEAR - FILE VERIFIED","CLEAR ON EXPORT"),"CLEAR ON LOG")))</f>
        <v>CLEAR ON EXPORT</v>
      </c>
      <c r="R38" s="23" t="str">
        <f aca="false">IF(Q38="UNRESOLVED","PRIORITY 1 - OBTAIN FILE",IF(Q38&lt;&gt;"EXCEPTION","NONE",IF(OR(AND(A38="LOA AMENDMENT",P38="UNRESOLVED USE"),AND(A38="SKIP",OR(E38="WL-02618",E38="WL-03044",E38="WL-03390"))),"PRIORITY 1",IF(A38="SKIP","PRIORITY 2","PRIORITY 3"))))</f>
        <v>NONE</v>
      </c>
      <c r="S38" s="23"/>
      <c r="T38" s="23" t="s">
        <v>296</v>
      </c>
      <c r="U38" s="23" t="s">
        <v>86</v>
      </c>
    </row>
    <row r="39" customFormat="false" ht="17.9" hidden="false" customHeight="false" outlineLevel="0" collapsed="false">
      <c r="A39" s="20" t="s">
        <v>73</v>
      </c>
      <c r="B39" s="21" t="n">
        <v>45067</v>
      </c>
      <c r="C39" s="20" t="s">
        <v>297</v>
      </c>
      <c r="D39" s="20" t="s">
        <v>298</v>
      </c>
      <c r="E39" s="20" t="s">
        <v>299</v>
      </c>
      <c r="F39" s="20" t="s">
        <v>300</v>
      </c>
      <c r="G39" s="20" t="n">
        <v>2712</v>
      </c>
      <c r="H39" s="20" t="s">
        <v>301</v>
      </c>
      <c r="I39" s="20" t="s">
        <v>79</v>
      </c>
      <c r="J39" s="20" t="s">
        <v>132</v>
      </c>
      <c r="K39" s="22"/>
      <c r="L39" s="22"/>
      <c r="M39" s="20" t="s">
        <v>81</v>
      </c>
      <c r="N39" s="23" t="s">
        <v>92</v>
      </c>
      <c r="O39" s="23" t="s">
        <v>133</v>
      </c>
      <c r="P39" s="23" t="s">
        <v>84</v>
      </c>
      <c r="Q39" s="23" t="str">
        <f aca="false">IF(A39="UNDATED LEAD","UNRESOLVED",IF(M39="N","EXCEPTION",IF(A39="SKIP",IF(ISNUMBER(SEARCH("_skip_justification.pdf",N39)),"CLEAR - FILE VERIFIED","CLEAR ON EXPORT"),"CLEAR ON LOG")))</f>
        <v>CLEAR ON EXPORT</v>
      </c>
      <c r="R39" s="23" t="str">
        <f aca="false">IF(Q39="UNRESOLVED","PRIORITY 1 - OBTAIN FILE",IF(Q39&lt;&gt;"EXCEPTION","NONE",IF(OR(AND(A39="LOA AMENDMENT",P39="UNRESOLVED USE"),AND(A39="SKIP",OR(E39="WL-02618",E39="WL-03044",E39="WL-03390"))),"PRIORITY 1",IF(A39="SKIP","PRIORITY 2","PRIORITY 3"))))</f>
        <v>NONE</v>
      </c>
      <c r="S39" s="23"/>
      <c r="T39" s="23" t="s">
        <v>302</v>
      </c>
      <c r="U39" s="23" t="s">
        <v>86</v>
      </c>
    </row>
    <row r="40" customFormat="false" ht="17.9" hidden="false" customHeight="false" outlineLevel="0" collapsed="false">
      <c r="A40" s="20" t="s">
        <v>73</v>
      </c>
      <c r="B40" s="21" t="n">
        <v>45067</v>
      </c>
      <c r="C40" s="20" t="s">
        <v>303</v>
      </c>
      <c r="D40" s="20" t="s">
        <v>304</v>
      </c>
      <c r="E40" s="20" t="s">
        <v>305</v>
      </c>
      <c r="F40" s="20" t="s">
        <v>306</v>
      </c>
      <c r="G40" s="20" t="n">
        <v>1777</v>
      </c>
      <c r="H40" s="20" t="s">
        <v>307</v>
      </c>
      <c r="I40" s="20" t="s">
        <v>79</v>
      </c>
      <c r="J40" s="20" t="s">
        <v>80</v>
      </c>
      <c r="K40" s="22"/>
      <c r="L40" s="22"/>
      <c r="M40" s="20" t="s">
        <v>81</v>
      </c>
      <c r="N40" s="23" t="s">
        <v>82</v>
      </c>
      <c r="O40" s="23" t="s">
        <v>83</v>
      </c>
      <c r="P40" s="23" t="s">
        <v>84</v>
      </c>
      <c r="Q40" s="23" t="str">
        <f aca="false">IF(A40="UNDATED LEAD","UNRESOLVED",IF(M40="N","EXCEPTION",IF(A40="SKIP",IF(ISNUMBER(SEARCH("_skip_justification.pdf",N40)),"CLEAR - FILE VERIFIED","CLEAR ON EXPORT"),"CLEAR ON LOG")))</f>
        <v>CLEAR ON EXPORT</v>
      </c>
      <c r="R40" s="23" t="str">
        <f aca="false">IF(Q40="UNRESOLVED","PRIORITY 1 - OBTAIN FILE",IF(Q40&lt;&gt;"EXCEPTION","NONE",IF(OR(AND(A40="LOA AMENDMENT",P40="UNRESOLVED USE"),AND(A40="SKIP",OR(E40="WL-02618",E40="WL-03044",E40="WL-03390"))),"PRIORITY 1",IF(A40="SKIP","PRIORITY 2","PRIORITY 3"))))</f>
        <v>NONE</v>
      </c>
      <c r="S40" s="23"/>
      <c r="T40" s="23" t="s">
        <v>308</v>
      </c>
      <c r="U40" s="23" t="s">
        <v>86</v>
      </c>
    </row>
    <row r="41" customFormat="false" ht="17.9" hidden="false" customHeight="false" outlineLevel="0" collapsed="false">
      <c r="A41" s="20" t="s">
        <v>73</v>
      </c>
      <c r="B41" s="21" t="n">
        <v>45067</v>
      </c>
      <c r="C41" s="20" t="s">
        <v>309</v>
      </c>
      <c r="D41" s="20" t="s">
        <v>310</v>
      </c>
      <c r="E41" s="20" t="s">
        <v>311</v>
      </c>
      <c r="F41" s="20" t="s">
        <v>312</v>
      </c>
      <c r="G41" s="20" t="n">
        <v>420</v>
      </c>
      <c r="H41" s="20" t="s">
        <v>313</v>
      </c>
      <c r="I41" s="20" t="s">
        <v>166</v>
      </c>
      <c r="J41" s="20" t="s">
        <v>80</v>
      </c>
      <c r="K41" s="22"/>
      <c r="L41" s="22"/>
      <c r="M41" s="20" t="s">
        <v>81</v>
      </c>
      <c r="N41" s="23" t="s">
        <v>140</v>
      </c>
      <c r="O41" s="23" t="s">
        <v>83</v>
      </c>
      <c r="P41" s="23" t="s">
        <v>84</v>
      </c>
      <c r="Q41" s="23" t="str">
        <f aca="false">IF(A41="UNDATED LEAD","UNRESOLVED",IF(M41="N","EXCEPTION",IF(A41="SKIP",IF(ISNUMBER(SEARCH("_skip_justification.pdf",N41)),"CLEAR - FILE VERIFIED","CLEAR ON EXPORT"),"CLEAR ON LOG")))</f>
        <v>CLEAR ON EXPORT</v>
      </c>
      <c r="R41" s="23" t="str">
        <f aca="false">IF(Q41="UNRESOLVED","PRIORITY 1 - OBTAIN FILE",IF(Q41&lt;&gt;"EXCEPTION","NONE",IF(OR(AND(A41="LOA AMENDMENT",P41="UNRESOLVED USE"),AND(A41="SKIP",OR(E41="WL-02618",E41="WL-03044",E41="WL-03390"))),"PRIORITY 1",IF(A41="SKIP","PRIORITY 2","PRIORITY 3"))))</f>
        <v>NONE</v>
      </c>
      <c r="S41" s="23"/>
      <c r="T41" s="23" t="s">
        <v>314</v>
      </c>
      <c r="U41" s="23" t="s">
        <v>86</v>
      </c>
    </row>
    <row r="42" customFormat="false" ht="17.9" hidden="false" customHeight="false" outlineLevel="0" collapsed="false">
      <c r="A42" s="20" t="s">
        <v>73</v>
      </c>
      <c r="B42" s="21" t="n">
        <v>45084</v>
      </c>
      <c r="C42" s="20" t="s">
        <v>315</v>
      </c>
      <c r="D42" s="20" t="s">
        <v>316</v>
      </c>
      <c r="E42" s="20" t="s">
        <v>317</v>
      </c>
      <c r="F42" s="20" t="s">
        <v>318</v>
      </c>
      <c r="G42" s="20" t="n">
        <v>1535</v>
      </c>
      <c r="H42" s="20" t="s">
        <v>319</v>
      </c>
      <c r="I42" s="20" t="s">
        <v>99</v>
      </c>
      <c r="J42" s="20" t="s">
        <v>132</v>
      </c>
      <c r="K42" s="22"/>
      <c r="L42" s="22"/>
      <c r="M42" s="20" t="s">
        <v>81</v>
      </c>
      <c r="N42" s="23" t="s">
        <v>92</v>
      </c>
      <c r="O42" s="23" t="s">
        <v>133</v>
      </c>
      <c r="P42" s="23" t="s">
        <v>84</v>
      </c>
      <c r="Q42" s="23" t="str">
        <f aca="false">IF(A42="UNDATED LEAD","UNRESOLVED",IF(M42="N","EXCEPTION",IF(A42="SKIP",IF(ISNUMBER(SEARCH("_skip_justification.pdf",N42)),"CLEAR - FILE VERIFIED","CLEAR ON EXPORT"),"CLEAR ON LOG")))</f>
        <v>CLEAR ON EXPORT</v>
      </c>
      <c r="R42" s="23" t="str">
        <f aca="false">IF(Q42="UNRESOLVED","PRIORITY 1 - OBTAIN FILE",IF(Q42&lt;&gt;"EXCEPTION","NONE",IF(OR(AND(A42="LOA AMENDMENT",P42="UNRESOLVED USE"),AND(A42="SKIP",OR(E42="WL-02618",E42="WL-03044",E42="WL-03390"))),"PRIORITY 1",IF(A42="SKIP","PRIORITY 2","PRIORITY 3"))))</f>
        <v>NONE</v>
      </c>
      <c r="S42" s="23"/>
      <c r="T42" s="23" t="s">
        <v>320</v>
      </c>
      <c r="U42" s="23" t="s">
        <v>86</v>
      </c>
    </row>
    <row r="43" customFormat="false" ht="17.9" hidden="false" customHeight="false" outlineLevel="0" collapsed="false">
      <c r="A43" s="20" t="s">
        <v>73</v>
      </c>
      <c r="B43" s="21" t="n">
        <v>45085</v>
      </c>
      <c r="C43" s="20" t="s">
        <v>321</v>
      </c>
      <c r="D43" s="20" t="s">
        <v>322</v>
      </c>
      <c r="E43" s="20" t="s">
        <v>323</v>
      </c>
      <c r="F43" s="20" t="s">
        <v>324</v>
      </c>
      <c r="G43" s="20" t="n">
        <v>193</v>
      </c>
      <c r="H43" s="20" t="s">
        <v>325</v>
      </c>
      <c r="I43" s="20" t="s">
        <v>99</v>
      </c>
      <c r="J43" s="20" t="s">
        <v>132</v>
      </c>
      <c r="K43" s="22"/>
      <c r="L43" s="22"/>
      <c r="M43" s="20" t="s">
        <v>81</v>
      </c>
      <c r="N43" s="23" t="s">
        <v>140</v>
      </c>
      <c r="O43" s="23" t="s">
        <v>133</v>
      </c>
      <c r="P43" s="23" t="s">
        <v>84</v>
      </c>
      <c r="Q43" s="23" t="str">
        <f aca="false">IF(A43="UNDATED LEAD","UNRESOLVED",IF(M43="N","EXCEPTION",IF(A43="SKIP",IF(ISNUMBER(SEARCH("_skip_justification.pdf",N43)),"CLEAR - FILE VERIFIED","CLEAR ON EXPORT"),"CLEAR ON LOG")))</f>
        <v>CLEAR ON EXPORT</v>
      </c>
      <c r="R43" s="23" t="str">
        <f aca="false">IF(Q43="UNRESOLVED","PRIORITY 1 - OBTAIN FILE",IF(Q43&lt;&gt;"EXCEPTION","NONE",IF(OR(AND(A43="LOA AMENDMENT",P43="UNRESOLVED USE"),AND(A43="SKIP",OR(E43="WL-02618",E43="WL-03044",E43="WL-03390"))),"PRIORITY 1",IF(A43="SKIP","PRIORITY 2","PRIORITY 3"))))</f>
        <v>NONE</v>
      </c>
      <c r="S43" s="23"/>
      <c r="T43" s="23" t="s">
        <v>326</v>
      </c>
      <c r="U43" s="23" t="s">
        <v>86</v>
      </c>
    </row>
    <row r="44" customFormat="false" ht="17.9" hidden="false" customHeight="false" outlineLevel="0" collapsed="false">
      <c r="A44" s="20" t="s">
        <v>73</v>
      </c>
      <c r="B44" s="21" t="n">
        <v>45085</v>
      </c>
      <c r="C44" s="20" t="s">
        <v>327</v>
      </c>
      <c r="D44" s="20" t="s">
        <v>328</v>
      </c>
      <c r="E44" s="20" t="s">
        <v>329</v>
      </c>
      <c r="F44" s="20" t="s">
        <v>330</v>
      </c>
      <c r="G44" s="20" t="n">
        <v>2758</v>
      </c>
      <c r="H44" s="20" t="s">
        <v>331</v>
      </c>
      <c r="I44" s="20" t="s">
        <v>79</v>
      </c>
      <c r="J44" s="20" t="s">
        <v>147</v>
      </c>
      <c r="K44" s="22"/>
      <c r="L44" s="22"/>
      <c r="M44" s="20" t="s">
        <v>81</v>
      </c>
      <c r="N44" s="23" t="s">
        <v>82</v>
      </c>
      <c r="O44" s="23" t="s">
        <v>148</v>
      </c>
      <c r="P44" s="23" t="s">
        <v>84</v>
      </c>
      <c r="Q44" s="23" t="str">
        <f aca="false">IF(A44="UNDATED LEAD","UNRESOLVED",IF(M44="N","EXCEPTION",IF(A44="SKIP",IF(ISNUMBER(SEARCH("_skip_justification.pdf",N44)),"CLEAR - FILE VERIFIED","CLEAR ON EXPORT"),"CLEAR ON LOG")))</f>
        <v>CLEAR ON EXPORT</v>
      </c>
      <c r="R44" s="23" t="str">
        <f aca="false">IF(Q44="UNRESOLVED","PRIORITY 1 - OBTAIN FILE",IF(Q44&lt;&gt;"EXCEPTION","NONE",IF(OR(AND(A44="LOA AMENDMENT",P44="UNRESOLVED USE"),AND(A44="SKIP",OR(E44="WL-02618",E44="WL-03044",E44="WL-03390"))),"PRIORITY 1",IF(A44="SKIP","PRIORITY 2","PRIORITY 3"))))</f>
        <v>NONE</v>
      </c>
      <c r="S44" s="23"/>
      <c r="T44" s="23" t="s">
        <v>332</v>
      </c>
      <c r="U44" s="23" t="s">
        <v>86</v>
      </c>
    </row>
    <row r="45" customFormat="false" ht="17.9" hidden="false" customHeight="false" outlineLevel="0" collapsed="false">
      <c r="A45" s="20" t="s">
        <v>73</v>
      </c>
      <c r="B45" s="21" t="n">
        <v>45086</v>
      </c>
      <c r="C45" s="20" t="s">
        <v>333</v>
      </c>
      <c r="D45" s="20" t="s">
        <v>334</v>
      </c>
      <c r="E45" s="20" t="s">
        <v>335</v>
      </c>
      <c r="F45" s="20" t="s">
        <v>336</v>
      </c>
      <c r="G45" s="20" t="n">
        <v>129</v>
      </c>
      <c r="H45" s="20" t="s">
        <v>337</v>
      </c>
      <c r="I45" s="20" t="s">
        <v>119</v>
      </c>
      <c r="J45" s="20" t="s">
        <v>147</v>
      </c>
      <c r="K45" s="22"/>
      <c r="L45" s="22"/>
      <c r="M45" s="20" t="s">
        <v>81</v>
      </c>
      <c r="N45" s="23" t="s">
        <v>101</v>
      </c>
      <c r="O45" s="23" t="s">
        <v>148</v>
      </c>
      <c r="P45" s="23" t="s">
        <v>84</v>
      </c>
      <c r="Q45" s="23" t="str">
        <f aca="false">IF(A45="UNDATED LEAD","UNRESOLVED",IF(M45="N","EXCEPTION",IF(A45="SKIP",IF(ISNUMBER(SEARCH("_skip_justification.pdf",N45)),"CLEAR - FILE VERIFIED","CLEAR ON EXPORT"),"CLEAR ON LOG")))</f>
        <v>CLEAR ON EXPORT</v>
      </c>
      <c r="R45" s="23" t="str">
        <f aca="false">IF(Q45="UNRESOLVED","PRIORITY 1 - OBTAIN FILE",IF(Q45&lt;&gt;"EXCEPTION","NONE",IF(OR(AND(A45="LOA AMENDMENT",P45="UNRESOLVED USE"),AND(A45="SKIP",OR(E45="WL-02618",E45="WL-03044",E45="WL-03390"))),"PRIORITY 1",IF(A45="SKIP","PRIORITY 2","PRIORITY 3"))))</f>
        <v>NONE</v>
      </c>
      <c r="S45" s="23"/>
      <c r="T45" s="23" t="s">
        <v>338</v>
      </c>
      <c r="U45" s="23" t="s">
        <v>86</v>
      </c>
    </row>
    <row r="46" customFormat="false" ht="17.9" hidden="false" customHeight="false" outlineLevel="0" collapsed="false">
      <c r="A46" s="20" t="s">
        <v>73</v>
      </c>
      <c r="B46" s="21" t="n">
        <v>45087</v>
      </c>
      <c r="C46" s="20" t="s">
        <v>339</v>
      </c>
      <c r="D46" s="20" t="s">
        <v>340</v>
      </c>
      <c r="E46" s="20" t="s">
        <v>341</v>
      </c>
      <c r="F46" s="20" t="s">
        <v>342</v>
      </c>
      <c r="G46" s="20" t="n">
        <v>319</v>
      </c>
      <c r="H46" s="20" t="s">
        <v>343</v>
      </c>
      <c r="I46" s="20" t="s">
        <v>119</v>
      </c>
      <c r="J46" s="20" t="s">
        <v>100</v>
      </c>
      <c r="K46" s="22"/>
      <c r="L46" s="22"/>
      <c r="M46" s="20" t="s">
        <v>81</v>
      </c>
      <c r="N46" s="23" t="s">
        <v>92</v>
      </c>
      <c r="O46" s="23" t="s">
        <v>102</v>
      </c>
      <c r="P46" s="23" t="s">
        <v>84</v>
      </c>
      <c r="Q46" s="23" t="str">
        <f aca="false">IF(A46="UNDATED LEAD","UNRESOLVED",IF(M46="N","EXCEPTION",IF(A46="SKIP",IF(ISNUMBER(SEARCH("_skip_justification.pdf",N46)),"CLEAR - FILE VERIFIED","CLEAR ON EXPORT"),"CLEAR ON LOG")))</f>
        <v>CLEAR ON EXPORT</v>
      </c>
      <c r="R46" s="23" t="str">
        <f aca="false">IF(Q46="UNRESOLVED","PRIORITY 1 - OBTAIN FILE",IF(Q46&lt;&gt;"EXCEPTION","NONE",IF(OR(AND(A46="LOA AMENDMENT",P46="UNRESOLVED USE"),AND(A46="SKIP",OR(E46="WL-02618",E46="WL-03044",E46="WL-03390"))),"PRIORITY 1",IF(A46="SKIP","PRIORITY 2","PRIORITY 3"))))</f>
        <v>NONE</v>
      </c>
      <c r="S46" s="23"/>
      <c r="T46" s="23" t="s">
        <v>344</v>
      </c>
      <c r="U46" s="23" t="s">
        <v>86</v>
      </c>
    </row>
    <row r="47" customFormat="false" ht="17.9" hidden="false" customHeight="false" outlineLevel="0" collapsed="false">
      <c r="A47" s="20" t="s">
        <v>73</v>
      </c>
      <c r="B47" s="21" t="n">
        <v>45089</v>
      </c>
      <c r="C47" s="20" t="s">
        <v>345</v>
      </c>
      <c r="D47" s="20" t="s">
        <v>346</v>
      </c>
      <c r="E47" s="20" t="s">
        <v>347</v>
      </c>
      <c r="F47" s="20" t="s">
        <v>348</v>
      </c>
      <c r="G47" s="20" t="n">
        <v>1924</v>
      </c>
      <c r="H47" s="20" t="s">
        <v>349</v>
      </c>
      <c r="I47" s="20" t="s">
        <v>99</v>
      </c>
      <c r="J47" s="20" t="s">
        <v>100</v>
      </c>
      <c r="K47" s="22"/>
      <c r="L47" s="22"/>
      <c r="M47" s="20" t="s">
        <v>81</v>
      </c>
      <c r="N47" s="23" t="s">
        <v>92</v>
      </c>
      <c r="O47" s="23" t="s">
        <v>102</v>
      </c>
      <c r="P47" s="23" t="s">
        <v>84</v>
      </c>
      <c r="Q47" s="23" t="str">
        <f aca="false">IF(A47="UNDATED LEAD","UNRESOLVED",IF(M47="N","EXCEPTION",IF(A47="SKIP",IF(ISNUMBER(SEARCH("_skip_justification.pdf",N47)),"CLEAR - FILE VERIFIED","CLEAR ON EXPORT"),"CLEAR ON LOG")))</f>
        <v>CLEAR ON EXPORT</v>
      </c>
      <c r="R47" s="23" t="str">
        <f aca="false">IF(Q47="UNRESOLVED","PRIORITY 1 - OBTAIN FILE",IF(Q47&lt;&gt;"EXCEPTION","NONE",IF(OR(AND(A47="LOA AMENDMENT",P47="UNRESOLVED USE"),AND(A47="SKIP",OR(E47="WL-02618",E47="WL-03044",E47="WL-03390"))),"PRIORITY 1",IF(A47="SKIP","PRIORITY 2","PRIORITY 3"))))</f>
        <v>NONE</v>
      </c>
      <c r="S47" s="23"/>
      <c r="T47" s="23" t="s">
        <v>350</v>
      </c>
      <c r="U47" s="23" t="s">
        <v>86</v>
      </c>
    </row>
    <row r="48" customFormat="false" ht="17.9" hidden="false" customHeight="false" outlineLevel="0" collapsed="false">
      <c r="A48" s="20" t="s">
        <v>73</v>
      </c>
      <c r="B48" s="21" t="n">
        <v>45089</v>
      </c>
      <c r="C48" s="20" t="s">
        <v>351</v>
      </c>
      <c r="D48" s="20" t="s">
        <v>352</v>
      </c>
      <c r="E48" s="20" t="s">
        <v>353</v>
      </c>
      <c r="F48" s="20" t="s">
        <v>354</v>
      </c>
      <c r="G48" s="20" t="n">
        <v>2100</v>
      </c>
      <c r="H48" s="20" t="s">
        <v>355</v>
      </c>
      <c r="I48" s="20" t="s">
        <v>109</v>
      </c>
      <c r="J48" s="20" t="s">
        <v>80</v>
      </c>
      <c r="K48" s="22"/>
      <c r="L48" s="22"/>
      <c r="M48" s="20" t="s">
        <v>81</v>
      </c>
      <c r="N48" s="23" t="s">
        <v>140</v>
      </c>
      <c r="O48" s="23" t="s">
        <v>83</v>
      </c>
      <c r="P48" s="23" t="s">
        <v>84</v>
      </c>
      <c r="Q48" s="23" t="str">
        <f aca="false">IF(A48="UNDATED LEAD","UNRESOLVED",IF(M48="N","EXCEPTION",IF(A48="SKIP",IF(ISNUMBER(SEARCH("_skip_justification.pdf",N48)),"CLEAR - FILE VERIFIED","CLEAR ON EXPORT"),"CLEAR ON LOG")))</f>
        <v>CLEAR ON EXPORT</v>
      </c>
      <c r="R48" s="23" t="str">
        <f aca="false">IF(Q48="UNRESOLVED","PRIORITY 1 - OBTAIN FILE",IF(Q48&lt;&gt;"EXCEPTION","NONE",IF(OR(AND(A48="LOA AMENDMENT",P48="UNRESOLVED USE"),AND(A48="SKIP",OR(E48="WL-02618",E48="WL-03044",E48="WL-03390"))),"PRIORITY 1",IF(A48="SKIP","PRIORITY 2","PRIORITY 3"))))</f>
        <v>NONE</v>
      </c>
      <c r="S48" s="23"/>
      <c r="T48" s="23" t="s">
        <v>356</v>
      </c>
      <c r="U48" s="23" t="s">
        <v>86</v>
      </c>
    </row>
    <row r="49" customFormat="false" ht="17.9" hidden="false" customHeight="false" outlineLevel="0" collapsed="false">
      <c r="A49" s="20" t="s">
        <v>73</v>
      </c>
      <c r="B49" s="21" t="n">
        <v>45090</v>
      </c>
      <c r="C49" s="20" t="s">
        <v>357</v>
      </c>
      <c r="D49" s="20" t="s">
        <v>358</v>
      </c>
      <c r="E49" s="20" t="s">
        <v>359</v>
      </c>
      <c r="F49" s="20" t="s">
        <v>360</v>
      </c>
      <c r="G49" s="20" t="n">
        <v>1663</v>
      </c>
      <c r="H49" s="20" t="s">
        <v>361</v>
      </c>
      <c r="I49" s="20" t="s">
        <v>119</v>
      </c>
      <c r="J49" s="20" t="s">
        <v>80</v>
      </c>
      <c r="K49" s="22"/>
      <c r="L49" s="22"/>
      <c r="M49" s="20" t="s">
        <v>81</v>
      </c>
      <c r="N49" s="23" t="s">
        <v>92</v>
      </c>
      <c r="O49" s="23" t="s">
        <v>83</v>
      </c>
      <c r="P49" s="23" t="s">
        <v>84</v>
      </c>
      <c r="Q49" s="23" t="str">
        <f aca="false">IF(A49="UNDATED LEAD","UNRESOLVED",IF(M49="N","EXCEPTION",IF(A49="SKIP",IF(ISNUMBER(SEARCH("_skip_justification.pdf",N49)),"CLEAR - FILE VERIFIED","CLEAR ON EXPORT"),"CLEAR ON LOG")))</f>
        <v>CLEAR ON EXPORT</v>
      </c>
      <c r="R49" s="23" t="str">
        <f aca="false">IF(Q49="UNRESOLVED","PRIORITY 1 - OBTAIN FILE",IF(Q49&lt;&gt;"EXCEPTION","NONE",IF(OR(AND(A49="LOA AMENDMENT",P49="UNRESOLVED USE"),AND(A49="SKIP",OR(E49="WL-02618",E49="WL-03044",E49="WL-03390"))),"PRIORITY 1",IF(A49="SKIP","PRIORITY 2","PRIORITY 3"))))</f>
        <v>NONE</v>
      </c>
      <c r="S49" s="23"/>
      <c r="T49" s="23" t="s">
        <v>362</v>
      </c>
      <c r="U49" s="23" t="s">
        <v>86</v>
      </c>
    </row>
    <row r="50" customFormat="false" ht="17.9" hidden="false" customHeight="false" outlineLevel="0" collapsed="false">
      <c r="A50" s="20" t="s">
        <v>73</v>
      </c>
      <c r="B50" s="21" t="n">
        <v>45092</v>
      </c>
      <c r="C50" s="20" t="s">
        <v>363</v>
      </c>
      <c r="D50" s="20" t="s">
        <v>364</v>
      </c>
      <c r="E50" s="20" t="s">
        <v>365</v>
      </c>
      <c r="F50" s="20" t="s">
        <v>366</v>
      </c>
      <c r="G50" s="20" t="n">
        <v>781</v>
      </c>
      <c r="H50" s="20" t="s">
        <v>367</v>
      </c>
      <c r="I50" s="20" t="s">
        <v>79</v>
      </c>
      <c r="J50" s="20" t="s">
        <v>147</v>
      </c>
      <c r="K50" s="22"/>
      <c r="L50" s="22"/>
      <c r="M50" s="20" t="s">
        <v>110</v>
      </c>
      <c r="N50" s="23" t="s">
        <v>368</v>
      </c>
      <c r="O50" s="23" t="s">
        <v>148</v>
      </c>
      <c r="P50" s="23" t="s">
        <v>84</v>
      </c>
      <c r="Q50" s="23" t="str">
        <f aca="false">IF(A50="UNDATED LEAD","UNRESOLVED",IF(M50="N","EXCEPTION",IF(A50="SKIP",IF(ISNUMBER(SEARCH("_skip_justification.pdf",N50)),"CLEAR - FILE VERIFIED","CLEAR ON EXPORT"),"CLEAR ON LOG")))</f>
        <v>EXCEPTION</v>
      </c>
      <c r="R50" s="23" t="str">
        <f aca="false">IF(Q50="UNRESOLVED","PRIORITY 1 - OBTAIN FILE",IF(Q50&lt;&gt;"EXCEPTION","NONE",IF(OR(AND(A50="LOA AMENDMENT",P50="UNRESOLVED USE"),AND(A50="SKIP",OR(E50="WL-02618",E50="WL-03044",E50="WL-03390"))),"PRIORITY 1",IF(A50="SKIP","PRIORITY 2","PRIORITY 3"))))</f>
        <v>PRIORITY 2</v>
      </c>
      <c r="S50" s="23" t="s">
        <v>369</v>
      </c>
      <c r="T50" s="23" t="s">
        <v>370</v>
      </c>
      <c r="U50" s="23" t="s">
        <v>86</v>
      </c>
    </row>
    <row r="51" customFormat="false" ht="17.9" hidden="false" customHeight="false" outlineLevel="0" collapsed="false">
      <c r="A51" s="20" t="s">
        <v>73</v>
      </c>
      <c r="B51" s="21" t="n">
        <v>45101</v>
      </c>
      <c r="C51" s="20" t="s">
        <v>371</v>
      </c>
      <c r="D51" s="20" t="s">
        <v>372</v>
      </c>
      <c r="E51" s="20" t="s">
        <v>373</v>
      </c>
      <c r="F51" s="20" t="s">
        <v>374</v>
      </c>
      <c r="G51" s="20" t="n">
        <v>1173</v>
      </c>
      <c r="H51" s="20" t="s">
        <v>375</v>
      </c>
      <c r="I51" s="20" t="s">
        <v>166</v>
      </c>
      <c r="J51" s="20" t="s">
        <v>80</v>
      </c>
      <c r="K51" s="22"/>
      <c r="L51" s="22"/>
      <c r="M51" s="20" t="s">
        <v>81</v>
      </c>
      <c r="N51" s="23" t="s">
        <v>101</v>
      </c>
      <c r="O51" s="23" t="s">
        <v>83</v>
      </c>
      <c r="P51" s="23" t="s">
        <v>84</v>
      </c>
      <c r="Q51" s="23" t="str">
        <f aca="false">IF(A51="UNDATED LEAD","UNRESOLVED",IF(M51="N","EXCEPTION",IF(A51="SKIP",IF(ISNUMBER(SEARCH("_skip_justification.pdf",N51)),"CLEAR - FILE VERIFIED","CLEAR ON EXPORT"),"CLEAR ON LOG")))</f>
        <v>CLEAR ON EXPORT</v>
      </c>
      <c r="R51" s="23" t="str">
        <f aca="false">IF(Q51="UNRESOLVED","PRIORITY 1 - OBTAIN FILE",IF(Q51&lt;&gt;"EXCEPTION","NONE",IF(OR(AND(A51="LOA AMENDMENT",P51="UNRESOLVED USE"),AND(A51="SKIP",OR(E51="WL-02618",E51="WL-03044",E51="WL-03390"))),"PRIORITY 1",IF(A51="SKIP","PRIORITY 2","PRIORITY 3"))))</f>
        <v>NONE</v>
      </c>
      <c r="S51" s="23"/>
      <c r="T51" s="23" t="s">
        <v>376</v>
      </c>
      <c r="U51" s="23" t="s">
        <v>86</v>
      </c>
    </row>
    <row r="52" customFormat="false" ht="17.9" hidden="false" customHeight="false" outlineLevel="0" collapsed="false">
      <c r="A52" s="20" t="s">
        <v>73</v>
      </c>
      <c r="B52" s="21" t="n">
        <v>45102</v>
      </c>
      <c r="C52" s="20" t="s">
        <v>377</v>
      </c>
      <c r="D52" s="20" t="s">
        <v>378</v>
      </c>
      <c r="E52" s="20" t="s">
        <v>379</v>
      </c>
      <c r="F52" s="20" t="s">
        <v>380</v>
      </c>
      <c r="G52" s="20" t="n">
        <v>568</v>
      </c>
      <c r="H52" s="20" t="s">
        <v>381</v>
      </c>
      <c r="I52" s="20" t="s">
        <v>79</v>
      </c>
      <c r="J52" s="20" t="s">
        <v>132</v>
      </c>
      <c r="K52" s="22"/>
      <c r="L52" s="22"/>
      <c r="M52" s="20" t="s">
        <v>81</v>
      </c>
      <c r="N52" s="23" t="s">
        <v>92</v>
      </c>
      <c r="O52" s="23" t="s">
        <v>133</v>
      </c>
      <c r="P52" s="23" t="s">
        <v>84</v>
      </c>
      <c r="Q52" s="23" t="str">
        <f aca="false">IF(A52="UNDATED LEAD","UNRESOLVED",IF(M52="N","EXCEPTION",IF(A52="SKIP",IF(ISNUMBER(SEARCH("_skip_justification.pdf",N52)),"CLEAR - FILE VERIFIED","CLEAR ON EXPORT"),"CLEAR ON LOG")))</f>
        <v>CLEAR ON EXPORT</v>
      </c>
      <c r="R52" s="23" t="str">
        <f aca="false">IF(Q52="UNRESOLVED","PRIORITY 1 - OBTAIN FILE",IF(Q52&lt;&gt;"EXCEPTION","NONE",IF(OR(AND(A52="LOA AMENDMENT",P52="UNRESOLVED USE"),AND(A52="SKIP",OR(E52="WL-02618",E52="WL-03044",E52="WL-03390"))),"PRIORITY 1",IF(A52="SKIP","PRIORITY 2","PRIORITY 3"))))</f>
        <v>NONE</v>
      </c>
      <c r="S52" s="23"/>
      <c r="T52" s="23" t="s">
        <v>382</v>
      </c>
      <c r="U52" s="23" t="s">
        <v>86</v>
      </c>
    </row>
    <row r="53" customFormat="false" ht="17.9" hidden="false" customHeight="false" outlineLevel="0" collapsed="false">
      <c r="A53" s="20" t="s">
        <v>73</v>
      </c>
      <c r="B53" s="21" t="n">
        <v>45110</v>
      </c>
      <c r="C53" s="20" t="s">
        <v>383</v>
      </c>
      <c r="D53" s="20" t="s">
        <v>384</v>
      </c>
      <c r="E53" s="20" t="s">
        <v>385</v>
      </c>
      <c r="F53" s="20" t="s">
        <v>386</v>
      </c>
      <c r="G53" s="20" t="n">
        <v>712</v>
      </c>
      <c r="H53" s="20" t="s">
        <v>387</v>
      </c>
      <c r="I53" s="20" t="s">
        <v>119</v>
      </c>
      <c r="J53" s="20" t="s">
        <v>80</v>
      </c>
      <c r="K53" s="22"/>
      <c r="L53" s="22"/>
      <c r="M53" s="20" t="s">
        <v>81</v>
      </c>
      <c r="N53" s="23" t="s">
        <v>92</v>
      </c>
      <c r="O53" s="23" t="s">
        <v>83</v>
      </c>
      <c r="P53" s="23" t="s">
        <v>84</v>
      </c>
      <c r="Q53" s="23" t="str">
        <f aca="false">IF(A53="UNDATED LEAD","UNRESOLVED",IF(M53="N","EXCEPTION",IF(A53="SKIP",IF(ISNUMBER(SEARCH("_skip_justification.pdf",N53)),"CLEAR - FILE VERIFIED","CLEAR ON EXPORT"),"CLEAR ON LOG")))</f>
        <v>CLEAR ON EXPORT</v>
      </c>
      <c r="R53" s="23" t="str">
        <f aca="false">IF(Q53="UNRESOLVED","PRIORITY 1 - OBTAIN FILE",IF(Q53&lt;&gt;"EXCEPTION","NONE",IF(OR(AND(A53="LOA AMENDMENT",P53="UNRESOLVED USE"),AND(A53="SKIP",OR(E53="WL-02618",E53="WL-03044",E53="WL-03390"))),"PRIORITY 1",IF(A53="SKIP","PRIORITY 2","PRIORITY 3"))))</f>
        <v>NONE</v>
      </c>
      <c r="S53" s="23"/>
      <c r="T53" s="23" t="s">
        <v>388</v>
      </c>
      <c r="U53" s="23" t="s">
        <v>86</v>
      </c>
    </row>
    <row r="54" customFormat="false" ht="17.9" hidden="false" customHeight="false" outlineLevel="0" collapsed="false">
      <c r="A54" s="20" t="s">
        <v>73</v>
      </c>
      <c r="B54" s="21" t="n">
        <v>45110</v>
      </c>
      <c r="C54" s="20" t="s">
        <v>389</v>
      </c>
      <c r="D54" s="20" t="s">
        <v>390</v>
      </c>
      <c r="E54" s="20" t="s">
        <v>391</v>
      </c>
      <c r="F54" s="20" t="s">
        <v>392</v>
      </c>
      <c r="G54" s="20" t="n">
        <v>924</v>
      </c>
      <c r="H54" s="20" t="s">
        <v>393</v>
      </c>
      <c r="I54" s="20" t="s">
        <v>109</v>
      </c>
      <c r="J54" s="20" t="s">
        <v>80</v>
      </c>
      <c r="K54" s="22"/>
      <c r="L54" s="22"/>
      <c r="M54" s="20" t="s">
        <v>81</v>
      </c>
      <c r="N54" s="23" t="s">
        <v>101</v>
      </c>
      <c r="O54" s="23" t="s">
        <v>83</v>
      </c>
      <c r="P54" s="23" t="s">
        <v>84</v>
      </c>
      <c r="Q54" s="23" t="str">
        <f aca="false">IF(A54="UNDATED LEAD","UNRESOLVED",IF(M54="N","EXCEPTION",IF(A54="SKIP",IF(ISNUMBER(SEARCH("_skip_justification.pdf",N54)),"CLEAR - FILE VERIFIED","CLEAR ON EXPORT"),"CLEAR ON LOG")))</f>
        <v>CLEAR ON EXPORT</v>
      </c>
      <c r="R54" s="23" t="str">
        <f aca="false">IF(Q54="UNRESOLVED","PRIORITY 1 - OBTAIN FILE",IF(Q54&lt;&gt;"EXCEPTION","NONE",IF(OR(AND(A54="LOA AMENDMENT",P54="UNRESOLVED USE"),AND(A54="SKIP",OR(E54="WL-02618",E54="WL-03044",E54="WL-03390"))),"PRIORITY 1",IF(A54="SKIP","PRIORITY 2","PRIORITY 3"))))</f>
        <v>NONE</v>
      </c>
      <c r="S54" s="23"/>
      <c r="T54" s="23" t="s">
        <v>394</v>
      </c>
      <c r="U54" s="23" t="s">
        <v>86</v>
      </c>
    </row>
    <row r="55" customFormat="false" ht="17.9" hidden="false" customHeight="false" outlineLevel="0" collapsed="false">
      <c r="A55" s="20" t="s">
        <v>73</v>
      </c>
      <c r="B55" s="21" t="n">
        <v>45111</v>
      </c>
      <c r="C55" s="20" t="s">
        <v>395</v>
      </c>
      <c r="D55" s="20" t="s">
        <v>396</v>
      </c>
      <c r="E55" s="20" t="s">
        <v>397</v>
      </c>
      <c r="F55" s="20" t="s">
        <v>398</v>
      </c>
      <c r="G55" s="20" t="n">
        <v>2857</v>
      </c>
      <c r="H55" s="20" t="s">
        <v>399</v>
      </c>
      <c r="I55" s="20" t="s">
        <v>166</v>
      </c>
      <c r="J55" s="20" t="s">
        <v>100</v>
      </c>
      <c r="K55" s="22"/>
      <c r="L55" s="22"/>
      <c r="M55" s="20" t="s">
        <v>81</v>
      </c>
      <c r="N55" s="23" t="s">
        <v>82</v>
      </c>
      <c r="O55" s="23" t="s">
        <v>102</v>
      </c>
      <c r="P55" s="23" t="s">
        <v>84</v>
      </c>
      <c r="Q55" s="23" t="str">
        <f aca="false">IF(A55="UNDATED LEAD","UNRESOLVED",IF(M55="N","EXCEPTION",IF(A55="SKIP",IF(ISNUMBER(SEARCH("_skip_justification.pdf",N55)),"CLEAR - FILE VERIFIED","CLEAR ON EXPORT"),"CLEAR ON LOG")))</f>
        <v>CLEAR ON EXPORT</v>
      </c>
      <c r="R55" s="23" t="str">
        <f aca="false">IF(Q55="UNRESOLVED","PRIORITY 1 - OBTAIN FILE",IF(Q55&lt;&gt;"EXCEPTION","NONE",IF(OR(AND(A55="LOA AMENDMENT",P55="UNRESOLVED USE"),AND(A55="SKIP",OR(E55="WL-02618",E55="WL-03044",E55="WL-03390"))),"PRIORITY 1",IF(A55="SKIP","PRIORITY 2","PRIORITY 3"))))</f>
        <v>NONE</v>
      </c>
      <c r="S55" s="23"/>
      <c r="T55" s="23" t="s">
        <v>400</v>
      </c>
      <c r="U55" s="23" t="s">
        <v>86</v>
      </c>
    </row>
    <row r="56" customFormat="false" ht="17.9" hidden="false" customHeight="false" outlineLevel="0" collapsed="false">
      <c r="A56" s="20" t="s">
        <v>73</v>
      </c>
      <c r="B56" s="21" t="n">
        <v>45114</v>
      </c>
      <c r="C56" s="20" t="s">
        <v>401</v>
      </c>
      <c r="D56" s="20" t="s">
        <v>402</v>
      </c>
      <c r="E56" s="20" t="s">
        <v>403</v>
      </c>
      <c r="F56" s="20" t="s">
        <v>404</v>
      </c>
      <c r="G56" s="20" t="n">
        <v>1160</v>
      </c>
      <c r="H56" s="20" t="s">
        <v>405</v>
      </c>
      <c r="I56" s="20" t="s">
        <v>79</v>
      </c>
      <c r="J56" s="20" t="s">
        <v>100</v>
      </c>
      <c r="K56" s="22"/>
      <c r="L56" s="22"/>
      <c r="M56" s="20" t="s">
        <v>81</v>
      </c>
      <c r="N56" s="23" t="s">
        <v>140</v>
      </c>
      <c r="O56" s="23" t="s">
        <v>102</v>
      </c>
      <c r="P56" s="23" t="s">
        <v>84</v>
      </c>
      <c r="Q56" s="23" t="str">
        <f aca="false">IF(A56="UNDATED LEAD","UNRESOLVED",IF(M56="N","EXCEPTION",IF(A56="SKIP",IF(ISNUMBER(SEARCH("_skip_justification.pdf",N56)),"CLEAR - FILE VERIFIED","CLEAR ON EXPORT"),"CLEAR ON LOG")))</f>
        <v>CLEAR ON EXPORT</v>
      </c>
      <c r="R56" s="23" t="str">
        <f aca="false">IF(Q56="UNRESOLVED","PRIORITY 1 - OBTAIN FILE",IF(Q56&lt;&gt;"EXCEPTION","NONE",IF(OR(AND(A56="LOA AMENDMENT",P56="UNRESOLVED USE"),AND(A56="SKIP",OR(E56="WL-02618",E56="WL-03044",E56="WL-03390"))),"PRIORITY 1",IF(A56="SKIP","PRIORITY 2","PRIORITY 3"))))</f>
        <v>NONE</v>
      </c>
      <c r="S56" s="23"/>
      <c r="T56" s="23" t="s">
        <v>406</v>
      </c>
      <c r="U56" s="23" t="s">
        <v>86</v>
      </c>
    </row>
    <row r="57" customFormat="false" ht="17.9" hidden="false" customHeight="false" outlineLevel="0" collapsed="false">
      <c r="A57" s="20" t="s">
        <v>73</v>
      </c>
      <c r="B57" s="21" t="n">
        <v>45116</v>
      </c>
      <c r="C57" s="20" t="s">
        <v>407</v>
      </c>
      <c r="D57" s="20" t="s">
        <v>408</v>
      </c>
      <c r="E57" s="20" t="s">
        <v>409</v>
      </c>
      <c r="F57" s="20" t="s">
        <v>410</v>
      </c>
      <c r="G57" s="20" t="n">
        <v>242</v>
      </c>
      <c r="H57" s="20" t="s">
        <v>411</v>
      </c>
      <c r="I57" s="20" t="s">
        <v>166</v>
      </c>
      <c r="J57" s="20" t="s">
        <v>80</v>
      </c>
      <c r="K57" s="22"/>
      <c r="L57" s="22"/>
      <c r="M57" s="20" t="s">
        <v>81</v>
      </c>
      <c r="N57" s="23" t="s">
        <v>92</v>
      </c>
      <c r="O57" s="23" t="s">
        <v>83</v>
      </c>
      <c r="P57" s="23" t="s">
        <v>84</v>
      </c>
      <c r="Q57" s="23" t="str">
        <f aca="false">IF(A57="UNDATED LEAD","UNRESOLVED",IF(M57="N","EXCEPTION",IF(A57="SKIP",IF(ISNUMBER(SEARCH("_skip_justification.pdf",N57)),"CLEAR - FILE VERIFIED","CLEAR ON EXPORT"),"CLEAR ON LOG")))</f>
        <v>CLEAR ON EXPORT</v>
      </c>
      <c r="R57" s="23" t="str">
        <f aca="false">IF(Q57="UNRESOLVED","PRIORITY 1 - OBTAIN FILE",IF(Q57&lt;&gt;"EXCEPTION","NONE",IF(OR(AND(A57="LOA AMENDMENT",P57="UNRESOLVED USE"),AND(A57="SKIP",OR(E57="WL-02618",E57="WL-03044",E57="WL-03390"))),"PRIORITY 1",IF(A57="SKIP","PRIORITY 2","PRIORITY 3"))))</f>
        <v>NONE</v>
      </c>
      <c r="S57" s="23"/>
      <c r="T57" s="23" t="s">
        <v>412</v>
      </c>
      <c r="U57" s="23" t="s">
        <v>86</v>
      </c>
    </row>
    <row r="58" customFormat="false" ht="17.9" hidden="false" customHeight="false" outlineLevel="0" collapsed="false">
      <c r="A58" s="20" t="s">
        <v>73</v>
      </c>
      <c r="B58" s="21" t="n">
        <v>45118</v>
      </c>
      <c r="C58" s="20" t="s">
        <v>413</v>
      </c>
      <c r="D58" s="20" t="s">
        <v>414</v>
      </c>
      <c r="E58" s="20" t="s">
        <v>415</v>
      </c>
      <c r="F58" s="20" t="s">
        <v>416</v>
      </c>
      <c r="G58" s="20" t="n">
        <v>1206</v>
      </c>
      <c r="H58" s="20" t="s">
        <v>417</v>
      </c>
      <c r="I58" s="20" t="s">
        <v>119</v>
      </c>
      <c r="J58" s="20" t="s">
        <v>80</v>
      </c>
      <c r="K58" s="22"/>
      <c r="L58" s="22"/>
      <c r="M58" s="20" t="s">
        <v>81</v>
      </c>
      <c r="N58" s="23" t="s">
        <v>92</v>
      </c>
      <c r="O58" s="23" t="s">
        <v>83</v>
      </c>
      <c r="P58" s="23" t="s">
        <v>84</v>
      </c>
      <c r="Q58" s="23" t="str">
        <f aca="false">IF(A58="UNDATED LEAD","UNRESOLVED",IF(M58="N","EXCEPTION",IF(A58="SKIP",IF(ISNUMBER(SEARCH("_skip_justification.pdf",N58)),"CLEAR - FILE VERIFIED","CLEAR ON EXPORT"),"CLEAR ON LOG")))</f>
        <v>CLEAR ON EXPORT</v>
      </c>
      <c r="R58" s="23" t="str">
        <f aca="false">IF(Q58="UNRESOLVED","PRIORITY 1 - OBTAIN FILE",IF(Q58&lt;&gt;"EXCEPTION","NONE",IF(OR(AND(A58="LOA AMENDMENT",P58="UNRESOLVED USE"),AND(A58="SKIP",OR(E58="WL-02618",E58="WL-03044",E58="WL-03390"))),"PRIORITY 1",IF(A58="SKIP","PRIORITY 2","PRIORITY 3"))))</f>
        <v>NONE</v>
      </c>
      <c r="S58" s="23"/>
      <c r="T58" s="23" t="s">
        <v>418</v>
      </c>
      <c r="U58" s="23" t="s">
        <v>86</v>
      </c>
    </row>
    <row r="59" customFormat="false" ht="17.9" hidden="false" customHeight="false" outlineLevel="0" collapsed="false">
      <c r="A59" s="20" t="s">
        <v>73</v>
      </c>
      <c r="B59" s="21" t="n">
        <v>45122</v>
      </c>
      <c r="C59" s="20" t="s">
        <v>419</v>
      </c>
      <c r="D59" s="20" t="s">
        <v>420</v>
      </c>
      <c r="E59" s="20" t="s">
        <v>421</v>
      </c>
      <c r="F59" s="20" t="s">
        <v>422</v>
      </c>
      <c r="G59" s="20" t="n">
        <v>54</v>
      </c>
      <c r="H59" s="20" t="s">
        <v>423</v>
      </c>
      <c r="I59" s="20" t="s">
        <v>99</v>
      </c>
      <c r="J59" s="20" t="s">
        <v>80</v>
      </c>
      <c r="K59" s="22"/>
      <c r="L59" s="22"/>
      <c r="M59" s="20" t="s">
        <v>81</v>
      </c>
      <c r="N59" s="23" t="s">
        <v>92</v>
      </c>
      <c r="O59" s="23" t="s">
        <v>83</v>
      </c>
      <c r="P59" s="23" t="s">
        <v>84</v>
      </c>
      <c r="Q59" s="23" t="str">
        <f aca="false">IF(A59="UNDATED LEAD","UNRESOLVED",IF(M59="N","EXCEPTION",IF(A59="SKIP",IF(ISNUMBER(SEARCH("_skip_justification.pdf",N59)),"CLEAR - FILE VERIFIED","CLEAR ON EXPORT"),"CLEAR ON LOG")))</f>
        <v>CLEAR ON EXPORT</v>
      </c>
      <c r="R59" s="23" t="str">
        <f aca="false">IF(Q59="UNRESOLVED","PRIORITY 1 - OBTAIN FILE",IF(Q59&lt;&gt;"EXCEPTION","NONE",IF(OR(AND(A59="LOA AMENDMENT",P59="UNRESOLVED USE"),AND(A59="SKIP",OR(E59="WL-02618",E59="WL-03044",E59="WL-03390"))),"PRIORITY 1",IF(A59="SKIP","PRIORITY 2","PRIORITY 3"))))</f>
        <v>NONE</v>
      </c>
      <c r="S59" s="23"/>
      <c r="T59" s="23" t="s">
        <v>424</v>
      </c>
      <c r="U59" s="23" t="s">
        <v>86</v>
      </c>
    </row>
    <row r="60" customFormat="false" ht="17.9" hidden="false" customHeight="false" outlineLevel="0" collapsed="false">
      <c r="A60" s="20" t="s">
        <v>73</v>
      </c>
      <c r="B60" s="21" t="n">
        <v>45127</v>
      </c>
      <c r="C60" s="20" t="s">
        <v>425</v>
      </c>
      <c r="D60" s="20" t="s">
        <v>426</v>
      </c>
      <c r="E60" s="20" t="s">
        <v>427</v>
      </c>
      <c r="F60" s="20" t="s">
        <v>428</v>
      </c>
      <c r="G60" s="20" t="n">
        <v>2411</v>
      </c>
      <c r="H60" s="20" t="s">
        <v>429</v>
      </c>
      <c r="I60" s="20" t="s">
        <v>99</v>
      </c>
      <c r="J60" s="20" t="s">
        <v>147</v>
      </c>
      <c r="K60" s="22"/>
      <c r="L60" s="22"/>
      <c r="M60" s="20" t="s">
        <v>81</v>
      </c>
      <c r="N60" s="23" t="s">
        <v>101</v>
      </c>
      <c r="O60" s="23" t="s">
        <v>148</v>
      </c>
      <c r="P60" s="23" t="s">
        <v>84</v>
      </c>
      <c r="Q60" s="23" t="str">
        <f aca="false">IF(A60="UNDATED LEAD","UNRESOLVED",IF(M60="N","EXCEPTION",IF(A60="SKIP",IF(ISNUMBER(SEARCH("_skip_justification.pdf",N60)),"CLEAR - FILE VERIFIED","CLEAR ON EXPORT"),"CLEAR ON LOG")))</f>
        <v>CLEAR ON EXPORT</v>
      </c>
      <c r="R60" s="23" t="str">
        <f aca="false">IF(Q60="UNRESOLVED","PRIORITY 1 - OBTAIN FILE",IF(Q60&lt;&gt;"EXCEPTION","NONE",IF(OR(AND(A60="LOA AMENDMENT",P60="UNRESOLVED USE"),AND(A60="SKIP",OR(E60="WL-02618",E60="WL-03044",E60="WL-03390"))),"PRIORITY 1",IF(A60="SKIP","PRIORITY 2","PRIORITY 3"))))</f>
        <v>NONE</v>
      </c>
      <c r="S60" s="23"/>
      <c r="T60" s="23" t="s">
        <v>430</v>
      </c>
      <c r="U60" s="23" t="s">
        <v>86</v>
      </c>
    </row>
    <row r="61" customFormat="false" ht="17.9" hidden="false" customHeight="false" outlineLevel="0" collapsed="false">
      <c r="A61" s="20" t="s">
        <v>73</v>
      </c>
      <c r="B61" s="21" t="n">
        <v>45131</v>
      </c>
      <c r="C61" s="20" t="s">
        <v>431</v>
      </c>
      <c r="D61" s="20" t="s">
        <v>432</v>
      </c>
      <c r="E61" s="20" t="s">
        <v>433</v>
      </c>
      <c r="F61" s="20" t="s">
        <v>434</v>
      </c>
      <c r="G61" s="20" t="n">
        <v>1199</v>
      </c>
      <c r="H61" s="20" t="s">
        <v>435</v>
      </c>
      <c r="I61" s="20" t="s">
        <v>119</v>
      </c>
      <c r="J61" s="20" t="s">
        <v>100</v>
      </c>
      <c r="K61" s="22"/>
      <c r="L61" s="22"/>
      <c r="M61" s="20" t="s">
        <v>81</v>
      </c>
      <c r="N61" s="23" t="s">
        <v>92</v>
      </c>
      <c r="O61" s="23" t="s">
        <v>102</v>
      </c>
      <c r="P61" s="23" t="s">
        <v>84</v>
      </c>
      <c r="Q61" s="23" t="str">
        <f aca="false">IF(A61="UNDATED LEAD","UNRESOLVED",IF(M61="N","EXCEPTION",IF(A61="SKIP",IF(ISNUMBER(SEARCH("_skip_justification.pdf",N61)),"CLEAR - FILE VERIFIED","CLEAR ON EXPORT"),"CLEAR ON LOG")))</f>
        <v>CLEAR ON EXPORT</v>
      </c>
      <c r="R61" s="23" t="str">
        <f aca="false">IF(Q61="UNRESOLVED","PRIORITY 1 - OBTAIN FILE",IF(Q61&lt;&gt;"EXCEPTION","NONE",IF(OR(AND(A61="LOA AMENDMENT",P61="UNRESOLVED USE"),AND(A61="SKIP",OR(E61="WL-02618",E61="WL-03044",E61="WL-03390"))),"PRIORITY 1",IF(A61="SKIP","PRIORITY 2","PRIORITY 3"))))</f>
        <v>NONE</v>
      </c>
      <c r="S61" s="23"/>
      <c r="T61" s="23" t="s">
        <v>436</v>
      </c>
      <c r="U61" s="23" t="s">
        <v>86</v>
      </c>
    </row>
    <row r="62" customFormat="false" ht="17.9" hidden="false" customHeight="false" outlineLevel="0" collapsed="false">
      <c r="A62" s="20" t="s">
        <v>73</v>
      </c>
      <c r="B62" s="21" t="n">
        <v>45133</v>
      </c>
      <c r="C62" s="20" t="s">
        <v>437</v>
      </c>
      <c r="D62" s="20" t="s">
        <v>438</v>
      </c>
      <c r="E62" s="20" t="s">
        <v>439</v>
      </c>
      <c r="F62" s="20" t="s">
        <v>440</v>
      </c>
      <c r="G62" s="20" t="n">
        <v>248</v>
      </c>
      <c r="H62" s="20" t="s">
        <v>441</v>
      </c>
      <c r="I62" s="20" t="s">
        <v>166</v>
      </c>
      <c r="J62" s="20" t="s">
        <v>147</v>
      </c>
      <c r="K62" s="22"/>
      <c r="L62" s="22"/>
      <c r="M62" s="20" t="s">
        <v>81</v>
      </c>
      <c r="N62" s="23" t="s">
        <v>92</v>
      </c>
      <c r="O62" s="23" t="s">
        <v>148</v>
      </c>
      <c r="P62" s="23" t="s">
        <v>84</v>
      </c>
      <c r="Q62" s="23" t="str">
        <f aca="false">IF(A62="UNDATED LEAD","UNRESOLVED",IF(M62="N","EXCEPTION",IF(A62="SKIP",IF(ISNUMBER(SEARCH("_skip_justification.pdf",N62)),"CLEAR - FILE VERIFIED","CLEAR ON EXPORT"),"CLEAR ON LOG")))</f>
        <v>CLEAR ON EXPORT</v>
      </c>
      <c r="R62" s="23" t="str">
        <f aca="false">IF(Q62="UNRESOLVED","PRIORITY 1 - OBTAIN FILE",IF(Q62&lt;&gt;"EXCEPTION","NONE",IF(OR(AND(A62="LOA AMENDMENT",P62="UNRESOLVED USE"),AND(A62="SKIP",OR(E62="WL-02618",E62="WL-03044",E62="WL-03390"))),"PRIORITY 1",IF(A62="SKIP","PRIORITY 2","PRIORITY 3"))))</f>
        <v>NONE</v>
      </c>
      <c r="S62" s="23"/>
      <c r="T62" s="23" t="s">
        <v>442</v>
      </c>
      <c r="U62" s="23" t="s">
        <v>86</v>
      </c>
    </row>
    <row r="63" customFormat="false" ht="17.9" hidden="false" customHeight="false" outlineLevel="0" collapsed="false">
      <c r="A63" s="20" t="s">
        <v>73</v>
      </c>
      <c r="B63" s="21" t="n">
        <v>45133</v>
      </c>
      <c r="C63" s="20" t="s">
        <v>443</v>
      </c>
      <c r="D63" s="20" t="s">
        <v>444</v>
      </c>
      <c r="E63" s="20" t="s">
        <v>445</v>
      </c>
      <c r="F63" s="20" t="s">
        <v>446</v>
      </c>
      <c r="G63" s="20" t="n">
        <v>1706</v>
      </c>
      <c r="H63" s="20" t="s">
        <v>447</v>
      </c>
      <c r="I63" s="20" t="s">
        <v>79</v>
      </c>
      <c r="J63" s="20" t="s">
        <v>132</v>
      </c>
      <c r="K63" s="22"/>
      <c r="L63" s="22"/>
      <c r="M63" s="20" t="s">
        <v>81</v>
      </c>
      <c r="N63" s="23" t="s">
        <v>82</v>
      </c>
      <c r="O63" s="23" t="s">
        <v>133</v>
      </c>
      <c r="P63" s="23" t="s">
        <v>84</v>
      </c>
      <c r="Q63" s="23" t="str">
        <f aca="false">IF(A63="UNDATED LEAD","UNRESOLVED",IF(M63="N","EXCEPTION",IF(A63="SKIP",IF(ISNUMBER(SEARCH("_skip_justification.pdf",N63)),"CLEAR - FILE VERIFIED","CLEAR ON EXPORT"),"CLEAR ON LOG")))</f>
        <v>CLEAR ON EXPORT</v>
      </c>
      <c r="R63" s="23" t="str">
        <f aca="false">IF(Q63="UNRESOLVED","PRIORITY 1 - OBTAIN FILE",IF(Q63&lt;&gt;"EXCEPTION","NONE",IF(OR(AND(A63="LOA AMENDMENT",P63="UNRESOLVED USE"),AND(A63="SKIP",OR(E63="WL-02618",E63="WL-03044",E63="WL-03390"))),"PRIORITY 1",IF(A63="SKIP","PRIORITY 2","PRIORITY 3"))))</f>
        <v>NONE</v>
      </c>
      <c r="S63" s="23"/>
      <c r="T63" s="23" t="s">
        <v>448</v>
      </c>
      <c r="U63" s="23" t="s">
        <v>86</v>
      </c>
    </row>
    <row r="64" customFormat="false" ht="17.9" hidden="false" customHeight="false" outlineLevel="0" collapsed="false">
      <c r="A64" s="20" t="s">
        <v>73</v>
      </c>
      <c r="B64" s="21" t="n">
        <v>45134</v>
      </c>
      <c r="C64" s="20" t="s">
        <v>449</v>
      </c>
      <c r="D64" s="20" t="s">
        <v>450</v>
      </c>
      <c r="E64" s="20" t="s">
        <v>451</v>
      </c>
      <c r="F64" s="20" t="s">
        <v>452</v>
      </c>
      <c r="G64" s="20" t="n">
        <v>2652</v>
      </c>
      <c r="H64" s="20" t="s">
        <v>453</v>
      </c>
      <c r="I64" s="20" t="s">
        <v>119</v>
      </c>
      <c r="J64" s="20" t="s">
        <v>80</v>
      </c>
      <c r="K64" s="22"/>
      <c r="L64" s="22"/>
      <c r="M64" s="20" t="s">
        <v>81</v>
      </c>
      <c r="N64" s="23" t="s">
        <v>140</v>
      </c>
      <c r="O64" s="23" t="s">
        <v>83</v>
      </c>
      <c r="P64" s="23" t="s">
        <v>84</v>
      </c>
      <c r="Q64" s="23" t="str">
        <f aca="false">IF(A64="UNDATED LEAD","UNRESOLVED",IF(M64="N","EXCEPTION",IF(A64="SKIP",IF(ISNUMBER(SEARCH("_skip_justification.pdf",N64)),"CLEAR - FILE VERIFIED","CLEAR ON EXPORT"),"CLEAR ON LOG")))</f>
        <v>CLEAR ON EXPORT</v>
      </c>
      <c r="R64" s="23" t="str">
        <f aca="false">IF(Q64="UNRESOLVED","PRIORITY 1 - OBTAIN FILE",IF(Q64&lt;&gt;"EXCEPTION","NONE",IF(OR(AND(A64="LOA AMENDMENT",P64="UNRESOLVED USE"),AND(A64="SKIP",OR(E64="WL-02618",E64="WL-03044",E64="WL-03390"))),"PRIORITY 1",IF(A64="SKIP","PRIORITY 2","PRIORITY 3"))))</f>
        <v>NONE</v>
      </c>
      <c r="S64" s="23"/>
      <c r="T64" s="23" t="s">
        <v>454</v>
      </c>
      <c r="U64" s="23" t="s">
        <v>86</v>
      </c>
    </row>
    <row r="65" customFormat="false" ht="17.9" hidden="false" customHeight="false" outlineLevel="0" collapsed="false">
      <c r="A65" s="20" t="s">
        <v>73</v>
      </c>
      <c r="B65" s="21" t="n">
        <v>45140</v>
      </c>
      <c r="C65" s="20" t="s">
        <v>455</v>
      </c>
      <c r="D65" s="20" t="s">
        <v>456</v>
      </c>
      <c r="E65" s="20" t="s">
        <v>457</v>
      </c>
      <c r="F65" s="20" t="s">
        <v>458</v>
      </c>
      <c r="G65" s="20" t="n">
        <v>1603</v>
      </c>
      <c r="H65" s="20" t="s">
        <v>459</v>
      </c>
      <c r="I65" s="20" t="s">
        <v>119</v>
      </c>
      <c r="J65" s="20" t="s">
        <v>132</v>
      </c>
      <c r="K65" s="22"/>
      <c r="L65" s="22"/>
      <c r="M65" s="20" t="s">
        <v>81</v>
      </c>
      <c r="N65" s="23" t="s">
        <v>101</v>
      </c>
      <c r="O65" s="23" t="s">
        <v>133</v>
      </c>
      <c r="P65" s="23" t="s">
        <v>84</v>
      </c>
      <c r="Q65" s="23" t="str">
        <f aca="false">IF(A65="UNDATED LEAD","UNRESOLVED",IF(M65="N","EXCEPTION",IF(A65="SKIP",IF(ISNUMBER(SEARCH("_skip_justification.pdf",N65)),"CLEAR - FILE VERIFIED","CLEAR ON EXPORT"),"CLEAR ON LOG")))</f>
        <v>CLEAR ON EXPORT</v>
      </c>
      <c r="R65" s="23" t="str">
        <f aca="false">IF(Q65="UNRESOLVED","PRIORITY 1 - OBTAIN FILE",IF(Q65&lt;&gt;"EXCEPTION","NONE",IF(OR(AND(A65="LOA AMENDMENT",P65="UNRESOLVED USE"),AND(A65="SKIP",OR(E65="WL-02618",E65="WL-03044",E65="WL-03390"))),"PRIORITY 1",IF(A65="SKIP","PRIORITY 2","PRIORITY 3"))))</f>
        <v>NONE</v>
      </c>
      <c r="S65" s="23"/>
      <c r="T65" s="23" t="s">
        <v>460</v>
      </c>
      <c r="U65" s="23" t="s">
        <v>86</v>
      </c>
    </row>
    <row r="66" customFormat="false" ht="17.9" hidden="false" customHeight="false" outlineLevel="0" collapsed="false">
      <c r="A66" s="20" t="s">
        <v>73</v>
      </c>
      <c r="B66" s="21" t="n">
        <v>45143</v>
      </c>
      <c r="C66" s="20" t="s">
        <v>461</v>
      </c>
      <c r="D66" s="20" t="s">
        <v>462</v>
      </c>
      <c r="E66" s="20" t="s">
        <v>463</v>
      </c>
      <c r="F66" s="20" t="s">
        <v>464</v>
      </c>
      <c r="G66" s="20" t="n">
        <v>367</v>
      </c>
      <c r="H66" s="20" t="s">
        <v>465</v>
      </c>
      <c r="I66" s="20" t="s">
        <v>119</v>
      </c>
      <c r="J66" s="20" t="s">
        <v>80</v>
      </c>
      <c r="K66" s="22"/>
      <c r="L66" s="22"/>
      <c r="M66" s="20" t="s">
        <v>81</v>
      </c>
      <c r="N66" s="23" t="s">
        <v>101</v>
      </c>
      <c r="O66" s="23" t="s">
        <v>83</v>
      </c>
      <c r="P66" s="23" t="s">
        <v>84</v>
      </c>
      <c r="Q66" s="23" t="str">
        <f aca="false">IF(A66="UNDATED LEAD","UNRESOLVED",IF(M66="N","EXCEPTION",IF(A66="SKIP",IF(ISNUMBER(SEARCH("_skip_justification.pdf",N66)),"CLEAR - FILE VERIFIED","CLEAR ON EXPORT"),"CLEAR ON LOG")))</f>
        <v>CLEAR ON EXPORT</v>
      </c>
      <c r="R66" s="23" t="str">
        <f aca="false">IF(Q66="UNRESOLVED","PRIORITY 1 - OBTAIN FILE",IF(Q66&lt;&gt;"EXCEPTION","NONE",IF(OR(AND(A66="LOA AMENDMENT",P66="UNRESOLVED USE"),AND(A66="SKIP",OR(E66="WL-02618",E66="WL-03044",E66="WL-03390"))),"PRIORITY 1",IF(A66="SKIP","PRIORITY 2","PRIORITY 3"))))</f>
        <v>NONE</v>
      </c>
      <c r="S66" s="23"/>
      <c r="T66" s="23" t="s">
        <v>466</v>
      </c>
      <c r="U66" s="23" t="s">
        <v>86</v>
      </c>
    </row>
    <row r="67" customFormat="false" ht="17.9" hidden="false" customHeight="false" outlineLevel="0" collapsed="false">
      <c r="A67" s="20" t="s">
        <v>73</v>
      </c>
      <c r="B67" s="21" t="n">
        <v>45144</v>
      </c>
      <c r="C67" s="20" t="s">
        <v>467</v>
      </c>
      <c r="D67" s="20" t="s">
        <v>468</v>
      </c>
      <c r="E67" s="20" t="s">
        <v>469</v>
      </c>
      <c r="F67" s="20" t="s">
        <v>470</v>
      </c>
      <c r="G67" s="20" t="n">
        <v>29</v>
      </c>
      <c r="H67" s="20" t="s">
        <v>471</v>
      </c>
      <c r="I67" s="20" t="s">
        <v>109</v>
      </c>
      <c r="J67" s="20" t="s">
        <v>147</v>
      </c>
      <c r="K67" s="22"/>
      <c r="L67" s="22"/>
      <c r="M67" s="20" t="s">
        <v>81</v>
      </c>
      <c r="N67" s="23" t="s">
        <v>92</v>
      </c>
      <c r="O67" s="23" t="s">
        <v>148</v>
      </c>
      <c r="P67" s="23" t="s">
        <v>84</v>
      </c>
      <c r="Q67" s="23" t="str">
        <f aca="false">IF(A67="UNDATED LEAD","UNRESOLVED",IF(M67="N","EXCEPTION",IF(A67="SKIP",IF(ISNUMBER(SEARCH("_skip_justification.pdf",N67)),"CLEAR - FILE VERIFIED","CLEAR ON EXPORT"),"CLEAR ON LOG")))</f>
        <v>CLEAR ON EXPORT</v>
      </c>
      <c r="R67" s="23" t="str">
        <f aca="false">IF(Q67="UNRESOLVED","PRIORITY 1 - OBTAIN FILE",IF(Q67&lt;&gt;"EXCEPTION","NONE",IF(OR(AND(A67="LOA AMENDMENT",P67="UNRESOLVED USE"),AND(A67="SKIP",OR(E67="WL-02618",E67="WL-03044",E67="WL-03390"))),"PRIORITY 1",IF(A67="SKIP","PRIORITY 2","PRIORITY 3"))))</f>
        <v>NONE</v>
      </c>
      <c r="S67" s="23"/>
      <c r="T67" s="23" t="s">
        <v>472</v>
      </c>
      <c r="U67" s="23" t="s">
        <v>86</v>
      </c>
    </row>
    <row r="68" customFormat="false" ht="17.9" hidden="false" customHeight="false" outlineLevel="0" collapsed="false">
      <c r="A68" s="20" t="s">
        <v>73</v>
      </c>
      <c r="B68" s="21" t="n">
        <v>45147</v>
      </c>
      <c r="C68" s="20" t="s">
        <v>473</v>
      </c>
      <c r="D68" s="20" t="s">
        <v>474</v>
      </c>
      <c r="E68" s="20" t="s">
        <v>475</v>
      </c>
      <c r="F68" s="20" t="s">
        <v>476</v>
      </c>
      <c r="G68" s="20" t="n">
        <v>297</v>
      </c>
      <c r="H68" s="20" t="s">
        <v>477</v>
      </c>
      <c r="I68" s="20" t="s">
        <v>99</v>
      </c>
      <c r="J68" s="20" t="s">
        <v>100</v>
      </c>
      <c r="K68" s="22"/>
      <c r="L68" s="22"/>
      <c r="M68" s="20" t="s">
        <v>81</v>
      </c>
      <c r="N68" s="23" t="s">
        <v>92</v>
      </c>
      <c r="O68" s="23" t="s">
        <v>102</v>
      </c>
      <c r="P68" s="23" t="s">
        <v>84</v>
      </c>
      <c r="Q68" s="23" t="str">
        <f aca="false">IF(A68="UNDATED LEAD","UNRESOLVED",IF(M68="N","EXCEPTION",IF(A68="SKIP",IF(ISNUMBER(SEARCH("_skip_justification.pdf",N68)),"CLEAR - FILE VERIFIED","CLEAR ON EXPORT"),"CLEAR ON LOG")))</f>
        <v>CLEAR ON EXPORT</v>
      </c>
      <c r="R68" s="23" t="str">
        <f aca="false">IF(Q68="UNRESOLVED","PRIORITY 1 - OBTAIN FILE",IF(Q68&lt;&gt;"EXCEPTION","NONE",IF(OR(AND(A68="LOA AMENDMENT",P68="UNRESOLVED USE"),AND(A68="SKIP",OR(E68="WL-02618",E68="WL-03044",E68="WL-03390"))),"PRIORITY 1",IF(A68="SKIP","PRIORITY 2","PRIORITY 3"))))</f>
        <v>NONE</v>
      </c>
      <c r="S68" s="23"/>
      <c r="T68" s="23" t="s">
        <v>478</v>
      </c>
      <c r="U68" s="23" t="s">
        <v>86</v>
      </c>
    </row>
    <row r="69" customFormat="false" ht="17.9" hidden="false" customHeight="false" outlineLevel="0" collapsed="false">
      <c r="A69" s="20" t="s">
        <v>73</v>
      </c>
      <c r="B69" s="21" t="n">
        <v>45148</v>
      </c>
      <c r="C69" s="20" t="s">
        <v>479</v>
      </c>
      <c r="D69" s="20" t="s">
        <v>480</v>
      </c>
      <c r="E69" s="20" t="s">
        <v>481</v>
      </c>
      <c r="F69" s="20" t="s">
        <v>482</v>
      </c>
      <c r="G69" s="20" t="n">
        <v>360</v>
      </c>
      <c r="H69" s="20" t="s">
        <v>483</v>
      </c>
      <c r="I69" s="20" t="s">
        <v>79</v>
      </c>
      <c r="J69" s="20" t="s">
        <v>80</v>
      </c>
      <c r="K69" s="22"/>
      <c r="L69" s="22"/>
      <c r="M69" s="20" t="s">
        <v>81</v>
      </c>
      <c r="N69" s="23" t="s">
        <v>82</v>
      </c>
      <c r="O69" s="23" t="s">
        <v>83</v>
      </c>
      <c r="P69" s="23" t="s">
        <v>84</v>
      </c>
      <c r="Q69" s="23" t="str">
        <f aca="false">IF(A69="UNDATED LEAD","UNRESOLVED",IF(M69="N","EXCEPTION",IF(A69="SKIP",IF(ISNUMBER(SEARCH("_skip_justification.pdf",N69)),"CLEAR - FILE VERIFIED","CLEAR ON EXPORT"),"CLEAR ON LOG")))</f>
        <v>CLEAR ON EXPORT</v>
      </c>
      <c r="R69" s="23" t="str">
        <f aca="false">IF(Q69="UNRESOLVED","PRIORITY 1 - OBTAIN FILE",IF(Q69&lt;&gt;"EXCEPTION","NONE",IF(OR(AND(A69="LOA AMENDMENT",P69="UNRESOLVED USE"),AND(A69="SKIP",OR(E69="WL-02618",E69="WL-03044",E69="WL-03390"))),"PRIORITY 1",IF(A69="SKIP","PRIORITY 2","PRIORITY 3"))))</f>
        <v>NONE</v>
      </c>
      <c r="S69" s="23"/>
      <c r="T69" s="23" t="s">
        <v>484</v>
      </c>
      <c r="U69" s="23" t="s">
        <v>86</v>
      </c>
    </row>
    <row r="70" customFormat="false" ht="17.9" hidden="false" customHeight="false" outlineLevel="0" collapsed="false">
      <c r="A70" s="20" t="s">
        <v>73</v>
      </c>
      <c r="B70" s="21" t="n">
        <v>45154</v>
      </c>
      <c r="C70" s="20" t="s">
        <v>485</v>
      </c>
      <c r="D70" s="20" t="s">
        <v>486</v>
      </c>
      <c r="E70" s="20" t="s">
        <v>487</v>
      </c>
      <c r="F70" s="20" t="s">
        <v>488</v>
      </c>
      <c r="G70" s="20" t="n">
        <v>847</v>
      </c>
      <c r="H70" s="20" t="s">
        <v>489</v>
      </c>
      <c r="I70" s="20" t="s">
        <v>109</v>
      </c>
      <c r="J70" s="20" t="s">
        <v>100</v>
      </c>
      <c r="K70" s="22"/>
      <c r="L70" s="22"/>
      <c r="M70" s="20" t="s">
        <v>81</v>
      </c>
      <c r="N70" s="23" t="s">
        <v>82</v>
      </c>
      <c r="O70" s="23" t="s">
        <v>102</v>
      </c>
      <c r="P70" s="23" t="s">
        <v>84</v>
      </c>
      <c r="Q70" s="23" t="str">
        <f aca="false">IF(A70="UNDATED LEAD","UNRESOLVED",IF(M70="N","EXCEPTION",IF(A70="SKIP",IF(ISNUMBER(SEARCH("_skip_justification.pdf",N70)),"CLEAR - FILE VERIFIED","CLEAR ON EXPORT"),"CLEAR ON LOG")))</f>
        <v>CLEAR ON EXPORT</v>
      </c>
      <c r="R70" s="23" t="str">
        <f aca="false">IF(Q70="UNRESOLVED","PRIORITY 1 - OBTAIN FILE",IF(Q70&lt;&gt;"EXCEPTION","NONE",IF(OR(AND(A70="LOA AMENDMENT",P70="UNRESOLVED USE"),AND(A70="SKIP",OR(E70="WL-02618",E70="WL-03044",E70="WL-03390"))),"PRIORITY 1",IF(A70="SKIP","PRIORITY 2","PRIORITY 3"))))</f>
        <v>NONE</v>
      </c>
      <c r="S70" s="23"/>
      <c r="T70" s="23" t="s">
        <v>490</v>
      </c>
      <c r="U70" s="23" t="s">
        <v>86</v>
      </c>
    </row>
    <row r="71" customFormat="false" ht="17.9" hidden="false" customHeight="false" outlineLevel="0" collapsed="false">
      <c r="A71" s="20" t="s">
        <v>73</v>
      </c>
      <c r="B71" s="21" t="n">
        <v>45156</v>
      </c>
      <c r="C71" s="20" t="s">
        <v>491</v>
      </c>
      <c r="D71" s="20" t="s">
        <v>492</v>
      </c>
      <c r="E71" s="20" t="s">
        <v>493</v>
      </c>
      <c r="F71" s="20" t="s">
        <v>494</v>
      </c>
      <c r="G71" s="20" t="n">
        <v>1793</v>
      </c>
      <c r="H71" s="20" t="s">
        <v>495</v>
      </c>
      <c r="I71" s="20" t="s">
        <v>109</v>
      </c>
      <c r="J71" s="20" t="s">
        <v>80</v>
      </c>
      <c r="K71" s="22"/>
      <c r="L71" s="22"/>
      <c r="M71" s="20" t="s">
        <v>81</v>
      </c>
      <c r="N71" s="23" t="s">
        <v>101</v>
      </c>
      <c r="O71" s="23" t="s">
        <v>83</v>
      </c>
      <c r="P71" s="23" t="s">
        <v>84</v>
      </c>
      <c r="Q71" s="23" t="str">
        <f aca="false">IF(A71="UNDATED LEAD","UNRESOLVED",IF(M71="N","EXCEPTION",IF(A71="SKIP",IF(ISNUMBER(SEARCH("_skip_justification.pdf",N71)),"CLEAR - FILE VERIFIED","CLEAR ON EXPORT"),"CLEAR ON LOG")))</f>
        <v>CLEAR ON EXPORT</v>
      </c>
      <c r="R71" s="23" t="str">
        <f aca="false">IF(Q71="UNRESOLVED","PRIORITY 1 - OBTAIN FILE",IF(Q71&lt;&gt;"EXCEPTION","NONE",IF(OR(AND(A71="LOA AMENDMENT",P71="UNRESOLVED USE"),AND(A71="SKIP",OR(E71="WL-02618",E71="WL-03044",E71="WL-03390"))),"PRIORITY 1",IF(A71="SKIP","PRIORITY 2","PRIORITY 3"))))</f>
        <v>NONE</v>
      </c>
      <c r="S71" s="23"/>
      <c r="T71" s="23" t="s">
        <v>496</v>
      </c>
      <c r="U71" s="23" t="s">
        <v>86</v>
      </c>
    </row>
    <row r="72" customFormat="false" ht="17.9" hidden="false" customHeight="false" outlineLevel="0" collapsed="false">
      <c r="A72" s="20" t="s">
        <v>73</v>
      </c>
      <c r="B72" s="21" t="n">
        <v>45160</v>
      </c>
      <c r="C72" s="20" t="s">
        <v>497</v>
      </c>
      <c r="D72" s="20" t="s">
        <v>498</v>
      </c>
      <c r="E72" s="20" t="s">
        <v>499</v>
      </c>
      <c r="F72" s="20" t="s">
        <v>500</v>
      </c>
      <c r="G72" s="20" t="n">
        <v>2153</v>
      </c>
      <c r="H72" s="20" t="s">
        <v>501</v>
      </c>
      <c r="I72" s="20" t="s">
        <v>109</v>
      </c>
      <c r="J72" s="20" t="s">
        <v>147</v>
      </c>
      <c r="K72" s="22"/>
      <c r="L72" s="22"/>
      <c r="M72" s="20" t="s">
        <v>81</v>
      </c>
      <c r="N72" s="23" t="s">
        <v>140</v>
      </c>
      <c r="O72" s="23" t="s">
        <v>148</v>
      </c>
      <c r="P72" s="23" t="s">
        <v>84</v>
      </c>
      <c r="Q72" s="23" t="str">
        <f aca="false">IF(A72="UNDATED LEAD","UNRESOLVED",IF(M72="N","EXCEPTION",IF(A72="SKIP",IF(ISNUMBER(SEARCH("_skip_justification.pdf",N72)),"CLEAR - FILE VERIFIED","CLEAR ON EXPORT"),"CLEAR ON LOG")))</f>
        <v>CLEAR ON EXPORT</v>
      </c>
      <c r="R72" s="23" t="str">
        <f aca="false">IF(Q72="UNRESOLVED","PRIORITY 1 - OBTAIN FILE",IF(Q72&lt;&gt;"EXCEPTION","NONE",IF(OR(AND(A72="LOA AMENDMENT",P72="UNRESOLVED USE"),AND(A72="SKIP",OR(E72="WL-02618",E72="WL-03044",E72="WL-03390"))),"PRIORITY 1",IF(A72="SKIP","PRIORITY 2","PRIORITY 3"))))</f>
        <v>NONE</v>
      </c>
      <c r="S72" s="23"/>
      <c r="T72" s="23" t="s">
        <v>502</v>
      </c>
      <c r="U72" s="23" t="s">
        <v>86</v>
      </c>
    </row>
    <row r="73" customFormat="false" ht="17.9" hidden="false" customHeight="false" outlineLevel="0" collapsed="false">
      <c r="A73" s="20" t="s">
        <v>73</v>
      </c>
      <c r="B73" s="21" t="n">
        <v>45160</v>
      </c>
      <c r="C73" s="20" t="s">
        <v>503</v>
      </c>
      <c r="D73" s="20" t="s">
        <v>504</v>
      </c>
      <c r="E73" s="20" t="s">
        <v>505</v>
      </c>
      <c r="F73" s="20" t="s">
        <v>506</v>
      </c>
      <c r="G73" s="20" t="n">
        <v>1650</v>
      </c>
      <c r="H73" s="20" t="s">
        <v>507</v>
      </c>
      <c r="I73" s="20" t="s">
        <v>109</v>
      </c>
      <c r="J73" s="20" t="s">
        <v>132</v>
      </c>
      <c r="K73" s="22"/>
      <c r="L73" s="22"/>
      <c r="M73" s="20" t="s">
        <v>81</v>
      </c>
      <c r="N73" s="23" t="s">
        <v>82</v>
      </c>
      <c r="O73" s="23" t="s">
        <v>133</v>
      </c>
      <c r="P73" s="23" t="s">
        <v>84</v>
      </c>
      <c r="Q73" s="23" t="str">
        <f aca="false">IF(A73="UNDATED LEAD","UNRESOLVED",IF(M73="N","EXCEPTION",IF(A73="SKIP",IF(ISNUMBER(SEARCH("_skip_justification.pdf",N73)),"CLEAR - FILE VERIFIED","CLEAR ON EXPORT"),"CLEAR ON LOG")))</f>
        <v>CLEAR ON EXPORT</v>
      </c>
      <c r="R73" s="23" t="str">
        <f aca="false">IF(Q73="UNRESOLVED","PRIORITY 1 - OBTAIN FILE",IF(Q73&lt;&gt;"EXCEPTION","NONE",IF(OR(AND(A73="LOA AMENDMENT",P73="UNRESOLVED USE"),AND(A73="SKIP",OR(E73="WL-02618",E73="WL-03044",E73="WL-03390"))),"PRIORITY 1",IF(A73="SKIP","PRIORITY 2","PRIORITY 3"))))</f>
        <v>NONE</v>
      </c>
      <c r="S73" s="23"/>
      <c r="T73" s="23" t="s">
        <v>508</v>
      </c>
      <c r="U73" s="23" t="s">
        <v>86</v>
      </c>
    </row>
    <row r="74" customFormat="false" ht="17.9" hidden="false" customHeight="false" outlineLevel="0" collapsed="false">
      <c r="A74" s="20" t="s">
        <v>73</v>
      </c>
      <c r="B74" s="21" t="n">
        <v>45172</v>
      </c>
      <c r="C74" s="20" t="s">
        <v>509</v>
      </c>
      <c r="D74" s="20" t="s">
        <v>510</v>
      </c>
      <c r="E74" s="20" t="s">
        <v>511</v>
      </c>
      <c r="F74" s="20" t="s">
        <v>512</v>
      </c>
      <c r="G74" s="20" t="n">
        <v>2715</v>
      </c>
      <c r="H74" s="20" t="s">
        <v>513</v>
      </c>
      <c r="I74" s="20" t="s">
        <v>99</v>
      </c>
      <c r="J74" s="20" t="s">
        <v>80</v>
      </c>
      <c r="K74" s="22"/>
      <c r="L74" s="22"/>
      <c r="M74" s="20" t="s">
        <v>81</v>
      </c>
      <c r="N74" s="23" t="s">
        <v>101</v>
      </c>
      <c r="O74" s="23" t="s">
        <v>83</v>
      </c>
      <c r="P74" s="23" t="s">
        <v>84</v>
      </c>
      <c r="Q74" s="23" t="str">
        <f aca="false">IF(A74="UNDATED LEAD","UNRESOLVED",IF(M74="N","EXCEPTION",IF(A74="SKIP",IF(ISNUMBER(SEARCH("_skip_justification.pdf",N74)),"CLEAR - FILE VERIFIED","CLEAR ON EXPORT"),"CLEAR ON LOG")))</f>
        <v>CLEAR ON EXPORT</v>
      </c>
      <c r="R74" s="23" t="str">
        <f aca="false">IF(Q74="UNRESOLVED","PRIORITY 1 - OBTAIN FILE",IF(Q74&lt;&gt;"EXCEPTION","NONE",IF(OR(AND(A74="LOA AMENDMENT",P74="UNRESOLVED USE"),AND(A74="SKIP",OR(E74="WL-02618",E74="WL-03044",E74="WL-03390"))),"PRIORITY 1",IF(A74="SKIP","PRIORITY 2","PRIORITY 3"))))</f>
        <v>NONE</v>
      </c>
      <c r="S74" s="23"/>
      <c r="T74" s="23" t="s">
        <v>514</v>
      </c>
      <c r="U74" s="23" t="s">
        <v>86</v>
      </c>
    </row>
    <row r="75" customFormat="false" ht="17.9" hidden="false" customHeight="false" outlineLevel="0" collapsed="false">
      <c r="A75" s="20" t="s">
        <v>73</v>
      </c>
      <c r="B75" s="21" t="n">
        <v>45173</v>
      </c>
      <c r="C75" s="20" t="s">
        <v>515</v>
      </c>
      <c r="D75" s="20" t="s">
        <v>516</v>
      </c>
      <c r="E75" s="20" t="s">
        <v>517</v>
      </c>
      <c r="F75" s="20" t="s">
        <v>518</v>
      </c>
      <c r="G75" s="20" t="n">
        <v>2700</v>
      </c>
      <c r="H75" s="20" t="s">
        <v>519</v>
      </c>
      <c r="I75" s="20" t="s">
        <v>79</v>
      </c>
      <c r="J75" s="20" t="s">
        <v>100</v>
      </c>
      <c r="K75" s="22"/>
      <c r="L75" s="22"/>
      <c r="M75" s="20" t="s">
        <v>81</v>
      </c>
      <c r="N75" s="23" t="s">
        <v>82</v>
      </c>
      <c r="O75" s="23" t="s">
        <v>102</v>
      </c>
      <c r="P75" s="23" t="s">
        <v>84</v>
      </c>
      <c r="Q75" s="23" t="str">
        <f aca="false">IF(A75="UNDATED LEAD","UNRESOLVED",IF(M75="N","EXCEPTION",IF(A75="SKIP",IF(ISNUMBER(SEARCH("_skip_justification.pdf",N75)),"CLEAR - FILE VERIFIED","CLEAR ON EXPORT"),"CLEAR ON LOG")))</f>
        <v>CLEAR ON EXPORT</v>
      </c>
      <c r="R75" s="23" t="str">
        <f aca="false">IF(Q75="UNRESOLVED","PRIORITY 1 - OBTAIN FILE",IF(Q75&lt;&gt;"EXCEPTION","NONE",IF(OR(AND(A75="LOA AMENDMENT",P75="UNRESOLVED USE"),AND(A75="SKIP",OR(E75="WL-02618",E75="WL-03044",E75="WL-03390"))),"PRIORITY 1",IF(A75="SKIP","PRIORITY 2","PRIORITY 3"))))</f>
        <v>NONE</v>
      </c>
      <c r="S75" s="23"/>
      <c r="T75" s="23" t="s">
        <v>520</v>
      </c>
      <c r="U75" s="23" t="s">
        <v>86</v>
      </c>
    </row>
    <row r="76" customFormat="false" ht="17.9" hidden="false" customHeight="false" outlineLevel="0" collapsed="false">
      <c r="A76" s="20" t="s">
        <v>73</v>
      </c>
      <c r="B76" s="21" t="n">
        <v>45174</v>
      </c>
      <c r="C76" s="20" t="s">
        <v>521</v>
      </c>
      <c r="D76" s="20" t="s">
        <v>522</v>
      </c>
      <c r="E76" s="20" t="s">
        <v>523</v>
      </c>
      <c r="F76" s="20" t="s">
        <v>524</v>
      </c>
      <c r="G76" s="20" t="n">
        <v>2673</v>
      </c>
      <c r="H76" s="20" t="s">
        <v>525</v>
      </c>
      <c r="I76" s="20" t="s">
        <v>119</v>
      </c>
      <c r="J76" s="20" t="s">
        <v>147</v>
      </c>
      <c r="K76" s="22"/>
      <c r="L76" s="22"/>
      <c r="M76" s="20" t="s">
        <v>81</v>
      </c>
      <c r="N76" s="23" t="s">
        <v>140</v>
      </c>
      <c r="O76" s="23" t="s">
        <v>148</v>
      </c>
      <c r="P76" s="23" t="s">
        <v>84</v>
      </c>
      <c r="Q76" s="23" t="str">
        <f aca="false">IF(A76="UNDATED LEAD","UNRESOLVED",IF(M76="N","EXCEPTION",IF(A76="SKIP",IF(ISNUMBER(SEARCH("_skip_justification.pdf",N76)),"CLEAR - FILE VERIFIED","CLEAR ON EXPORT"),"CLEAR ON LOG")))</f>
        <v>CLEAR ON EXPORT</v>
      </c>
      <c r="R76" s="23" t="str">
        <f aca="false">IF(Q76="UNRESOLVED","PRIORITY 1 - OBTAIN FILE",IF(Q76&lt;&gt;"EXCEPTION","NONE",IF(OR(AND(A76="LOA AMENDMENT",P76="UNRESOLVED USE"),AND(A76="SKIP",OR(E76="WL-02618",E76="WL-03044",E76="WL-03390"))),"PRIORITY 1",IF(A76="SKIP","PRIORITY 2","PRIORITY 3"))))</f>
        <v>NONE</v>
      </c>
      <c r="S76" s="23"/>
      <c r="T76" s="23" t="s">
        <v>526</v>
      </c>
      <c r="U76" s="23" t="s">
        <v>86</v>
      </c>
    </row>
    <row r="77" customFormat="false" ht="17.9" hidden="false" customHeight="false" outlineLevel="0" collapsed="false">
      <c r="A77" s="20" t="s">
        <v>73</v>
      </c>
      <c r="B77" s="21" t="n">
        <v>45174</v>
      </c>
      <c r="C77" s="20" t="s">
        <v>527</v>
      </c>
      <c r="D77" s="20" t="s">
        <v>528</v>
      </c>
      <c r="E77" s="20" t="s">
        <v>529</v>
      </c>
      <c r="F77" s="20" t="s">
        <v>530</v>
      </c>
      <c r="G77" s="20" t="n">
        <v>746</v>
      </c>
      <c r="H77" s="20" t="s">
        <v>531</v>
      </c>
      <c r="I77" s="20" t="s">
        <v>166</v>
      </c>
      <c r="J77" s="20" t="s">
        <v>100</v>
      </c>
      <c r="K77" s="22"/>
      <c r="L77" s="22"/>
      <c r="M77" s="20" t="s">
        <v>81</v>
      </c>
      <c r="N77" s="23" t="s">
        <v>92</v>
      </c>
      <c r="O77" s="23" t="s">
        <v>102</v>
      </c>
      <c r="P77" s="23" t="s">
        <v>84</v>
      </c>
      <c r="Q77" s="23" t="str">
        <f aca="false">IF(A77="UNDATED LEAD","UNRESOLVED",IF(M77="N","EXCEPTION",IF(A77="SKIP",IF(ISNUMBER(SEARCH("_skip_justification.pdf",N77)),"CLEAR - FILE VERIFIED","CLEAR ON EXPORT"),"CLEAR ON LOG")))</f>
        <v>CLEAR ON EXPORT</v>
      </c>
      <c r="R77" s="23" t="str">
        <f aca="false">IF(Q77="UNRESOLVED","PRIORITY 1 - OBTAIN FILE",IF(Q77&lt;&gt;"EXCEPTION","NONE",IF(OR(AND(A77="LOA AMENDMENT",P77="UNRESOLVED USE"),AND(A77="SKIP",OR(E77="WL-02618",E77="WL-03044",E77="WL-03390"))),"PRIORITY 1",IF(A77="SKIP","PRIORITY 2","PRIORITY 3"))))</f>
        <v>NONE</v>
      </c>
      <c r="S77" s="23"/>
      <c r="T77" s="23" t="s">
        <v>532</v>
      </c>
      <c r="U77" s="23" t="s">
        <v>86</v>
      </c>
    </row>
    <row r="78" customFormat="false" ht="17.9" hidden="false" customHeight="false" outlineLevel="0" collapsed="false">
      <c r="A78" s="20" t="s">
        <v>73</v>
      </c>
      <c r="B78" s="21" t="n">
        <v>45180</v>
      </c>
      <c r="C78" s="20" t="s">
        <v>533</v>
      </c>
      <c r="D78" s="20" t="s">
        <v>534</v>
      </c>
      <c r="E78" s="20" t="s">
        <v>535</v>
      </c>
      <c r="F78" s="20" t="s">
        <v>536</v>
      </c>
      <c r="G78" s="20" t="n">
        <v>2629</v>
      </c>
      <c r="H78" s="20" t="s">
        <v>131</v>
      </c>
      <c r="I78" s="20" t="s">
        <v>79</v>
      </c>
      <c r="J78" s="20" t="s">
        <v>80</v>
      </c>
      <c r="K78" s="22"/>
      <c r="L78" s="22"/>
      <c r="M78" s="20" t="s">
        <v>81</v>
      </c>
      <c r="N78" s="23" t="s">
        <v>82</v>
      </c>
      <c r="O78" s="23" t="s">
        <v>83</v>
      </c>
      <c r="P78" s="23" t="s">
        <v>84</v>
      </c>
      <c r="Q78" s="23" t="str">
        <f aca="false">IF(A78="UNDATED LEAD","UNRESOLVED",IF(M78="N","EXCEPTION",IF(A78="SKIP",IF(ISNUMBER(SEARCH("_skip_justification.pdf",N78)),"CLEAR - FILE VERIFIED","CLEAR ON EXPORT"),"CLEAR ON LOG")))</f>
        <v>CLEAR ON EXPORT</v>
      </c>
      <c r="R78" s="23" t="str">
        <f aca="false">IF(Q78="UNRESOLVED","PRIORITY 1 - OBTAIN FILE",IF(Q78&lt;&gt;"EXCEPTION","NONE",IF(OR(AND(A78="LOA AMENDMENT",P78="UNRESOLVED USE"),AND(A78="SKIP",OR(E78="WL-02618",E78="WL-03044",E78="WL-03390"))),"PRIORITY 1",IF(A78="SKIP","PRIORITY 2","PRIORITY 3"))))</f>
        <v>NONE</v>
      </c>
      <c r="S78" s="23"/>
      <c r="T78" s="23" t="s">
        <v>537</v>
      </c>
      <c r="U78" s="23" t="s">
        <v>86</v>
      </c>
    </row>
    <row r="79" customFormat="false" ht="17.9" hidden="false" customHeight="false" outlineLevel="0" collapsed="false">
      <c r="A79" s="20" t="s">
        <v>73</v>
      </c>
      <c r="B79" s="21" t="n">
        <v>45180</v>
      </c>
      <c r="C79" s="20" t="s">
        <v>538</v>
      </c>
      <c r="D79" s="20" t="s">
        <v>539</v>
      </c>
      <c r="E79" s="20" t="s">
        <v>540</v>
      </c>
      <c r="F79" s="20" t="s">
        <v>541</v>
      </c>
      <c r="G79" s="20" t="n">
        <v>1285</v>
      </c>
      <c r="H79" s="20" t="s">
        <v>542</v>
      </c>
      <c r="I79" s="20" t="s">
        <v>109</v>
      </c>
      <c r="J79" s="20" t="s">
        <v>132</v>
      </c>
      <c r="K79" s="22"/>
      <c r="L79" s="22"/>
      <c r="M79" s="20" t="s">
        <v>110</v>
      </c>
      <c r="N79" s="23" t="s">
        <v>167</v>
      </c>
      <c r="O79" s="23" t="s">
        <v>133</v>
      </c>
      <c r="P79" s="23" t="s">
        <v>84</v>
      </c>
      <c r="Q79" s="23" t="str">
        <f aca="false">IF(A79="UNDATED LEAD","UNRESOLVED",IF(M79="N","EXCEPTION",IF(A79="SKIP",IF(ISNUMBER(SEARCH("_skip_justification.pdf",N79)),"CLEAR - FILE VERIFIED","CLEAR ON EXPORT"),"CLEAR ON LOG")))</f>
        <v>EXCEPTION</v>
      </c>
      <c r="R79" s="23" t="str">
        <f aca="false">IF(Q79="UNRESOLVED","PRIORITY 1 - OBTAIN FILE",IF(Q79&lt;&gt;"EXCEPTION","NONE",IF(OR(AND(A79="LOA AMENDMENT",P79="UNRESOLVED USE"),AND(A79="SKIP",OR(E79="WL-02618",E79="WL-03044",E79="WL-03390"))),"PRIORITY 1",IF(A79="SKIP","PRIORITY 2","PRIORITY 3"))))</f>
        <v>PRIORITY 2</v>
      </c>
      <c r="S79" s="23" t="s">
        <v>543</v>
      </c>
      <c r="T79" s="23" t="s">
        <v>544</v>
      </c>
      <c r="U79" s="23" t="s">
        <v>86</v>
      </c>
    </row>
    <row r="80" customFormat="false" ht="17.9" hidden="false" customHeight="false" outlineLevel="0" collapsed="false">
      <c r="A80" s="20" t="s">
        <v>73</v>
      </c>
      <c r="B80" s="21" t="n">
        <v>45182</v>
      </c>
      <c r="C80" s="20" t="s">
        <v>545</v>
      </c>
      <c r="D80" s="20" t="s">
        <v>546</v>
      </c>
      <c r="E80" s="20" t="s">
        <v>547</v>
      </c>
      <c r="F80" s="20" t="s">
        <v>548</v>
      </c>
      <c r="G80" s="20" t="n">
        <v>1912</v>
      </c>
      <c r="H80" s="20" t="s">
        <v>549</v>
      </c>
      <c r="I80" s="20" t="s">
        <v>166</v>
      </c>
      <c r="J80" s="20" t="s">
        <v>80</v>
      </c>
      <c r="K80" s="22"/>
      <c r="L80" s="22"/>
      <c r="M80" s="20" t="s">
        <v>81</v>
      </c>
      <c r="N80" s="23" t="s">
        <v>92</v>
      </c>
      <c r="O80" s="23" t="s">
        <v>83</v>
      </c>
      <c r="P80" s="23" t="s">
        <v>84</v>
      </c>
      <c r="Q80" s="23" t="str">
        <f aca="false">IF(A80="UNDATED LEAD","UNRESOLVED",IF(M80="N","EXCEPTION",IF(A80="SKIP",IF(ISNUMBER(SEARCH("_skip_justification.pdf",N80)),"CLEAR - FILE VERIFIED","CLEAR ON EXPORT"),"CLEAR ON LOG")))</f>
        <v>CLEAR ON EXPORT</v>
      </c>
      <c r="R80" s="23" t="str">
        <f aca="false">IF(Q80="UNRESOLVED","PRIORITY 1 - OBTAIN FILE",IF(Q80&lt;&gt;"EXCEPTION","NONE",IF(OR(AND(A80="LOA AMENDMENT",P80="UNRESOLVED USE"),AND(A80="SKIP",OR(E80="WL-02618",E80="WL-03044",E80="WL-03390"))),"PRIORITY 1",IF(A80="SKIP","PRIORITY 2","PRIORITY 3"))))</f>
        <v>NONE</v>
      </c>
      <c r="S80" s="23"/>
      <c r="T80" s="23" t="s">
        <v>550</v>
      </c>
      <c r="U80" s="23" t="s">
        <v>86</v>
      </c>
    </row>
    <row r="81" customFormat="false" ht="17.9" hidden="false" customHeight="false" outlineLevel="0" collapsed="false">
      <c r="A81" s="20" t="s">
        <v>73</v>
      </c>
      <c r="B81" s="21" t="n">
        <v>45185</v>
      </c>
      <c r="C81" s="20" t="s">
        <v>551</v>
      </c>
      <c r="D81" s="20" t="s">
        <v>552</v>
      </c>
      <c r="E81" s="20" t="s">
        <v>553</v>
      </c>
      <c r="F81" s="20" t="s">
        <v>554</v>
      </c>
      <c r="G81" s="20" t="n">
        <v>2844</v>
      </c>
      <c r="H81" s="20" t="s">
        <v>555</v>
      </c>
      <c r="I81" s="20" t="s">
        <v>109</v>
      </c>
      <c r="J81" s="20" t="s">
        <v>80</v>
      </c>
      <c r="K81" s="22"/>
      <c r="L81" s="22"/>
      <c r="M81" s="20" t="s">
        <v>110</v>
      </c>
      <c r="N81" s="23" t="s">
        <v>368</v>
      </c>
      <c r="O81" s="23" t="s">
        <v>83</v>
      </c>
      <c r="P81" s="23" t="s">
        <v>84</v>
      </c>
      <c r="Q81" s="23" t="str">
        <f aca="false">IF(A81="UNDATED LEAD","UNRESOLVED",IF(M81="N","EXCEPTION",IF(A81="SKIP",IF(ISNUMBER(SEARCH("_skip_justification.pdf",N81)),"CLEAR - FILE VERIFIED","CLEAR ON EXPORT"),"CLEAR ON LOG")))</f>
        <v>EXCEPTION</v>
      </c>
      <c r="R81" s="23" t="str">
        <f aca="false">IF(Q81="UNRESOLVED","PRIORITY 1 - OBTAIN FILE",IF(Q81&lt;&gt;"EXCEPTION","NONE",IF(OR(AND(A81="LOA AMENDMENT",P81="UNRESOLVED USE"),AND(A81="SKIP",OR(E81="WL-02618",E81="WL-03044",E81="WL-03390"))),"PRIORITY 1",IF(A81="SKIP","PRIORITY 2","PRIORITY 3"))))</f>
        <v>PRIORITY 2</v>
      </c>
      <c r="S81" s="23" t="s">
        <v>556</v>
      </c>
      <c r="T81" s="23" t="s">
        <v>557</v>
      </c>
      <c r="U81" s="23" t="s">
        <v>86</v>
      </c>
    </row>
    <row r="82" customFormat="false" ht="17.9" hidden="false" customHeight="false" outlineLevel="0" collapsed="false">
      <c r="A82" s="20" t="s">
        <v>73</v>
      </c>
      <c r="B82" s="21" t="n">
        <v>45185</v>
      </c>
      <c r="C82" s="20" t="s">
        <v>558</v>
      </c>
      <c r="D82" s="20" t="s">
        <v>559</v>
      </c>
      <c r="E82" s="20" t="s">
        <v>560</v>
      </c>
      <c r="F82" s="20" t="s">
        <v>561</v>
      </c>
      <c r="G82" s="20" t="n">
        <v>1000</v>
      </c>
      <c r="H82" s="20" t="s">
        <v>562</v>
      </c>
      <c r="I82" s="20" t="s">
        <v>99</v>
      </c>
      <c r="J82" s="20" t="s">
        <v>147</v>
      </c>
      <c r="K82" s="22"/>
      <c r="L82" s="22"/>
      <c r="M82" s="20" t="s">
        <v>81</v>
      </c>
      <c r="N82" s="23" t="s">
        <v>140</v>
      </c>
      <c r="O82" s="23" t="s">
        <v>148</v>
      </c>
      <c r="P82" s="23" t="s">
        <v>84</v>
      </c>
      <c r="Q82" s="23" t="str">
        <f aca="false">IF(A82="UNDATED LEAD","UNRESOLVED",IF(M82="N","EXCEPTION",IF(A82="SKIP",IF(ISNUMBER(SEARCH("_skip_justification.pdf",N82)),"CLEAR - FILE VERIFIED","CLEAR ON EXPORT"),"CLEAR ON LOG")))</f>
        <v>CLEAR ON EXPORT</v>
      </c>
      <c r="R82" s="23" t="str">
        <f aca="false">IF(Q82="UNRESOLVED","PRIORITY 1 - OBTAIN FILE",IF(Q82&lt;&gt;"EXCEPTION","NONE",IF(OR(AND(A82="LOA AMENDMENT",P82="UNRESOLVED USE"),AND(A82="SKIP",OR(E82="WL-02618",E82="WL-03044",E82="WL-03390"))),"PRIORITY 1",IF(A82="SKIP","PRIORITY 2","PRIORITY 3"))))</f>
        <v>NONE</v>
      </c>
      <c r="S82" s="23"/>
      <c r="T82" s="23" t="s">
        <v>563</v>
      </c>
      <c r="U82" s="23" t="s">
        <v>86</v>
      </c>
    </row>
    <row r="83" customFormat="false" ht="17.9" hidden="false" customHeight="false" outlineLevel="0" collapsed="false">
      <c r="A83" s="20" t="s">
        <v>73</v>
      </c>
      <c r="B83" s="21" t="n">
        <v>45186</v>
      </c>
      <c r="C83" s="20" t="s">
        <v>564</v>
      </c>
      <c r="D83" s="20" t="s">
        <v>565</v>
      </c>
      <c r="E83" s="20" t="s">
        <v>566</v>
      </c>
      <c r="F83" s="20" t="s">
        <v>567</v>
      </c>
      <c r="G83" s="20" t="n">
        <v>80</v>
      </c>
      <c r="H83" s="20" t="s">
        <v>568</v>
      </c>
      <c r="I83" s="20" t="s">
        <v>109</v>
      </c>
      <c r="J83" s="20" t="s">
        <v>132</v>
      </c>
      <c r="K83" s="22"/>
      <c r="L83" s="22"/>
      <c r="M83" s="20" t="s">
        <v>81</v>
      </c>
      <c r="N83" s="23" t="s">
        <v>82</v>
      </c>
      <c r="O83" s="23" t="s">
        <v>133</v>
      </c>
      <c r="P83" s="23" t="s">
        <v>84</v>
      </c>
      <c r="Q83" s="23" t="str">
        <f aca="false">IF(A83="UNDATED LEAD","UNRESOLVED",IF(M83="N","EXCEPTION",IF(A83="SKIP",IF(ISNUMBER(SEARCH("_skip_justification.pdf",N83)),"CLEAR - FILE VERIFIED","CLEAR ON EXPORT"),"CLEAR ON LOG")))</f>
        <v>CLEAR ON EXPORT</v>
      </c>
      <c r="R83" s="23" t="str">
        <f aca="false">IF(Q83="UNRESOLVED","PRIORITY 1 - OBTAIN FILE",IF(Q83&lt;&gt;"EXCEPTION","NONE",IF(OR(AND(A83="LOA AMENDMENT",P83="UNRESOLVED USE"),AND(A83="SKIP",OR(E83="WL-02618",E83="WL-03044",E83="WL-03390"))),"PRIORITY 1",IF(A83="SKIP","PRIORITY 2","PRIORITY 3"))))</f>
        <v>NONE</v>
      </c>
      <c r="S83" s="23"/>
      <c r="T83" s="23" t="s">
        <v>569</v>
      </c>
      <c r="U83" s="23" t="s">
        <v>86</v>
      </c>
    </row>
    <row r="84" customFormat="false" ht="17.9" hidden="false" customHeight="false" outlineLevel="0" collapsed="false">
      <c r="A84" s="20" t="s">
        <v>73</v>
      </c>
      <c r="B84" s="21" t="n">
        <v>45187</v>
      </c>
      <c r="C84" s="20" t="s">
        <v>570</v>
      </c>
      <c r="D84" s="20" t="s">
        <v>571</v>
      </c>
      <c r="E84" s="20" t="s">
        <v>572</v>
      </c>
      <c r="F84" s="20" t="s">
        <v>573</v>
      </c>
      <c r="G84" s="20" t="n">
        <v>2249</v>
      </c>
      <c r="H84" s="20" t="s">
        <v>574</v>
      </c>
      <c r="I84" s="20" t="s">
        <v>109</v>
      </c>
      <c r="J84" s="20" t="s">
        <v>100</v>
      </c>
      <c r="K84" s="22"/>
      <c r="L84" s="22"/>
      <c r="M84" s="20" t="s">
        <v>81</v>
      </c>
      <c r="N84" s="23" t="s">
        <v>82</v>
      </c>
      <c r="O84" s="23" t="s">
        <v>102</v>
      </c>
      <c r="P84" s="23" t="s">
        <v>84</v>
      </c>
      <c r="Q84" s="23" t="str">
        <f aca="false">IF(A84="UNDATED LEAD","UNRESOLVED",IF(M84="N","EXCEPTION",IF(A84="SKIP",IF(ISNUMBER(SEARCH("_skip_justification.pdf",N84)),"CLEAR - FILE VERIFIED","CLEAR ON EXPORT"),"CLEAR ON LOG")))</f>
        <v>CLEAR ON EXPORT</v>
      </c>
      <c r="R84" s="23" t="str">
        <f aca="false">IF(Q84="UNRESOLVED","PRIORITY 1 - OBTAIN FILE",IF(Q84&lt;&gt;"EXCEPTION","NONE",IF(OR(AND(A84="LOA AMENDMENT",P84="UNRESOLVED USE"),AND(A84="SKIP",OR(E84="WL-02618",E84="WL-03044",E84="WL-03390"))),"PRIORITY 1",IF(A84="SKIP","PRIORITY 2","PRIORITY 3"))))</f>
        <v>NONE</v>
      </c>
      <c r="S84" s="23"/>
      <c r="T84" s="23" t="s">
        <v>575</v>
      </c>
      <c r="U84" s="23" t="s">
        <v>86</v>
      </c>
    </row>
    <row r="85" customFormat="false" ht="17.9" hidden="false" customHeight="false" outlineLevel="0" collapsed="false">
      <c r="A85" s="20" t="s">
        <v>73</v>
      </c>
      <c r="B85" s="21" t="n">
        <v>45190</v>
      </c>
      <c r="C85" s="20" t="s">
        <v>576</v>
      </c>
      <c r="D85" s="20" t="s">
        <v>577</v>
      </c>
      <c r="E85" s="20" t="s">
        <v>578</v>
      </c>
      <c r="F85" s="20" t="s">
        <v>579</v>
      </c>
      <c r="G85" s="20" t="n">
        <v>168</v>
      </c>
      <c r="H85" s="20" t="s">
        <v>580</v>
      </c>
      <c r="I85" s="20" t="s">
        <v>79</v>
      </c>
      <c r="J85" s="20" t="s">
        <v>132</v>
      </c>
      <c r="K85" s="22"/>
      <c r="L85" s="22"/>
      <c r="M85" s="20" t="s">
        <v>81</v>
      </c>
      <c r="N85" s="23" t="s">
        <v>82</v>
      </c>
      <c r="O85" s="23" t="s">
        <v>133</v>
      </c>
      <c r="P85" s="23" t="s">
        <v>84</v>
      </c>
      <c r="Q85" s="23" t="str">
        <f aca="false">IF(A85="UNDATED LEAD","UNRESOLVED",IF(M85="N","EXCEPTION",IF(A85="SKIP",IF(ISNUMBER(SEARCH("_skip_justification.pdf",N85)),"CLEAR - FILE VERIFIED","CLEAR ON EXPORT"),"CLEAR ON LOG")))</f>
        <v>CLEAR ON EXPORT</v>
      </c>
      <c r="R85" s="23" t="str">
        <f aca="false">IF(Q85="UNRESOLVED","PRIORITY 1 - OBTAIN FILE",IF(Q85&lt;&gt;"EXCEPTION","NONE",IF(OR(AND(A85="LOA AMENDMENT",P85="UNRESOLVED USE"),AND(A85="SKIP",OR(E85="WL-02618",E85="WL-03044",E85="WL-03390"))),"PRIORITY 1",IF(A85="SKIP","PRIORITY 2","PRIORITY 3"))))</f>
        <v>NONE</v>
      </c>
      <c r="S85" s="23"/>
      <c r="T85" s="23" t="s">
        <v>581</v>
      </c>
      <c r="U85" s="23" t="s">
        <v>86</v>
      </c>
    </row>
    <row r="86" customFormat="false" ht="17.9" hidden="false" customHeight="false" outlineLevel="0" collapsed="false">
      <c r="A86" s="20" t="s">
        <v>73</v>
      </c>
      <c r="B86" s="21" t="n">
        <v>45194</v>
      </c>
      <c r="C86" s="20" t="s">
        <v>582</v>
      </c>
      <c r="D86" s="20" t="s">
        <v>583</v>
      </c>
      <c r="E86" s="20" t="s">
        <v>584</v>
      </c>
      <c r="F86" s="20" t="s">
        <v>585</v>
      </c>
      <c r="G86" s="20" t="n">
        <v>566</v>
      </c>
      <c r="H86" s="20" t="s">
        <v>586</v>
      </c>
      <c r="I86" s="20" t="s">
        <v>79</v>
      </c>
      <c r="J86" s="20" t="s">
        <v>80</v>
      </c>
      <c r="K86" s="22"/>
      <c r="L86" s="22"/>
      <c r="M86" s="20" t="s">
        <v>81</v>
      </c>
      <c r="N86" s="23" t="s">
        <v>92</v>
      </c>
      <c r="O86" s="23" t="s">
        <v>83</v>
      </c>
      <c r="P86" s="23" t="s">
        <v>84</v>
      </c>
      <c r="Q86" s="23" t="str">
        <f aca="false">IF(A86="UNDATED LEAD","UNRESOLVED",IF(M86="N","EXCEPTION",IF(A86="SKIP",IF(ISNUMBER(SEARCH("_skip_justification.pdf",N86)),"CLEAR - FILE VERIFIED","CLEAR ON EXPORT"),"CLEAR ON LOG")))</f>
        <v>CLEAR ON EXPORT</v>
      </c>
      <c r="R86" s="23" t="str">
        <f aca="false">IF(Q86="UNRESOLVED","PRIORITY 1 - OBTAIN FILE",IF(Q86&lt;&gt;"EXCEPTION","NONE",IF(OR(AND(A86="LOA AMENDMENT",P86="UNRESOLVED USE"),AND(A86="SKIP",OR(E86="WL-02618",E86="WL-03044",E86="WL-03390"))),"PRIORITY 1",IF(A86="SKIP","PRIORITY 2","PRIORITY 3"))))</f>
        <v>NONE</v>
      </c>
      <c r="S86" s="23"/>
      <c r="T86" s="23" t="s">
        <v>587</v>
      </c>
      <c r="U86" s="23" t="s">
        <v>86</v>
      </c>
    </row>
    <row r="87" customFormat="false" ht="17.9" hidden="false" customHeight="false" outlineLevel="0" collapsed="false">
      <c r="A87" s="20" t="s">
        <v>73</v>
      </c>
      <c r="B87" s="21" t="n">
        <v>45204</v>
      </c>
      <c r="C87" s="20" t="s">
        <v>588</v>
      </c>
      <c r="D87" s="20" t="s">
        <v>589</v>
      </c>
      <c r="E87" s="20" t="s">
        <v>590</v>
      </c>
      <c r="F87" s="20" t="s">
        <v>591</v>
      </c>
      <c r="G87" s="20" t="n">
        <v>594</v>
      </c>
      <c r="H87" s="20" t="s">
        <v>592</v>
      </c>
      <c r="I87" s="20" t="s">
        <v>119</v>
      </c>
      <c r="J87" s="20" t="s">
        <v>80</v>
      </c>
      <c r="K87" s="22"/>
      <c r="L87" s="22"/>
      <c r="M87" s="20" t="s">
        <v>81</v>
      </c>
      <c r="N87" s="23" t="s">
        <v>140</v>
      </c>
      <c r="O87" s="23" t="s">
        <v>83</v>
      </c>
      <c r="P87" s="23" t="s">
        <v>84</v>
      </c>
      <c r="Q87" s="23" t="str">
        <f aca="false">IF(A87="UNDATED LEAD","UNRESOLVED",IF(M87="N","EXCEPTION",IF(A87="SKIP",IF(ISNUMBER(SEARCH("_skip_justification.pdf",N87)),"CLEAR - FILE VERIFIED","CLEAR ON EXPORT"),"CLEAR ON LOG")))</f>
        <v>CLEAR ON EXPORT</v>
      </c>
      <c r="R87" s="23" t="str">
        <f aca="false">IF(Q87="UNRESOLVED","PRIORITY 1 - OBTAIN FILE",IF(Q87&lt;&gt;"EXCEPTION","NONE",IF(OR(AND(A87="LOA AMENDMENT",P87="UNRESOLVED USE"),AND(A87="SKIP",OR(E87="WL-02618",E87="WL-03044",E87="WL-03390"))),"PRIORITY 1",IF(A87="SKIP","PRIORITY 2","PRIORITY 3"))))</f>
        <v>NONE</v>
      </c>
      <c r="S87" s="23"/>
      <c r="T87" s="23" t="s">
        <v>593</v>
      </c>
      <c r="U87" s="23" t="s">
        <v>86</v>
      </c>
    </row>
    <row r="88" customFormat="false" ht="17.9" hidden="false" customHeight="false" outlineLevel="0" collapsed="false">
      <c r="A88" s="20" t="s">
        <v>73</v>
      </c>
      <c r="B88" s="21" t="n">
        <v>45205</v>
      </c>
      <c r="C88" s="20" t="s">
        <v>594</v>
      </c>
      <c r="D88" s="20" t="s">
        <v>595</v>
      </c>
      <c r="E88" s="20" t="s">
        <v>596</v>
      </c>
      <c r="F88" s="20" t="s">
        <v>597</v>
      </c>
      <c r="G88" s="20" t="n">
        <v>3</v>
      </c>
      <c r="H88" s="20" t="s">
        <v>598</v>
      </c>
      <c r="I88" s="20" t="s">
        <v>166</v>
      </c>
      <c r="J88" s="20" t="s">
        <v>100</v>
      </c>
      <c r="K88" s="22"/>
      <c r="L88" s="22"/>
      <c r="M88" s="20" t="s">
        <v>81</v>
      </c>
      <c r="N88" s="23" t="s">
        <v>92</v>
      </c>
      <c r="O88" s="23" t="s">
        <v>102</v>
      </c>
      <c r="P88" s="23" t="s">
        <v>84</v>
      </c>
      <c r="Q88" s="23" t="str">
        <f aca="false">IF(A88="UNDATED LEAD","UNRESOLVED",IF(M88="N","EXCEPTION",IF(A88="SKIP",IF(ISNUMBER(SEARCH("_skip_justification.pdf",N88)),"CLEAR - FILE VERIFIED","CLEAR ON EXPORT"),"CLEAR ON LOG")))</f>
        <v>CLEAR ON EXPORT</v>
      </c>
      <c r="R88" s="23" t="str">
        <f aca="false">IF(Q88="UNRESOLVED","PRIORITY 1 - OBTAIN FILE",IF(Q88&lt;&gt;"EXCEPTION","NONE",IF(OR(AND(A88="LOA AMENDMENT",P88="UNRESOLVED USE"),AND(A88="SKIP",OR(E88="WL-02618",E88="WL-03044",E88="WL-03390"))),"PRIORITY 1",IF(A88="SKIP","PRIORITY 2","PRIORITY 3"))))</f>
        <v>NONE</v>
      </c>
      <c r="S88" s="23"/>
      <c r="T88" s="23" t="s">
        <v>599</v>
      </c>
      <c r="U88" s="23" t="s">
        <v>86</v>
      </c>
    </row>
    <row r="89" customFormat="false" ht="17.9" hidden="false" customHeight="false" outlineLevel="0" collapsed="false">
      <c r="A89" s="20" t="s">
        <v>73</v>
      </c>
      <c r="B89" s="21" t="n">
        <v>45208</v>
      </c>
      <c r="C89" s="20" t="s">
        <v>600</v>
      </c>
      <c r="D89" s="20" t="s">
        <v>601</v>
      </c>
      <c r="E89" s="20" t="s">
        <v>602</v>
      </c>
      <c r="F89" s="20" t="s">
        <v>603</v>
      </c>
      <c r="G89" s="20" t="n">
        <v>704</v>
      </c>
      <c r="H89" s="20" t="s">
        <v>604</v>
      </c>
      <c r="I89" s="20" t="s">
        <v>109</v>
      </c>
      <c r="J89" s="20" t="s">
        <v>147</v>
      </c>
      <c r="K89" s="22"/>
      <c r="L89" s="22"/>
      <c r="M89" s="20" t="s">
        <v>81</v>
      </c>
      <c r="N89" s="23" t="s">
        <v>101</v>
      </c>
      <c r="O89" s="23" t="s">
        <v>148</v>
      </c>
      <c r="P89" s="23" t="s">
        <v>84</v>
      </c>
      <c r="Q89" s="23" t="str">
        <f aca="false">IF(A89="UNDATED LEAD","UNRESOLVED",IF(M89="N","EXCEPTION",IF(A89="SKIP",IF(ISNUMBER(SEARCH("_skip_justification.pdf",N89)),"CLEAR - FILE VERIFIED","CLEAR ON EXPORT"),"CLEAR ON LOG")))</f>
        <v>CLEAR ON EXPORT</v>
      </c>
      <c r="R89" s="23" t="str">
        <f aca="false">IF(Q89="UNRESOLVED","PRIORITY 1 - OBTAIN FILE",IF(Q89&lt;&gt;"EXCEPTION","NONE",IF(OR(AND(A89="LOA AMENDMENT",P89="UNRESOLVED USE"),AND(A89="SKIP",OR(E89="WL-02618",E89="WL-03044",E89="WL-03390"))),"PRIORITY 1",IF(A89="SKIP","PRIORITY 2","PRIORITY 3"))))</f>
        <v>NONE</v>
      </c>
      <c r="S89" s="23"/>
      <c r="T89" s="23" t="s">
        <v>605</v>
      </c>
      <c r="U89" s="23" t="s">
        <v>86</v>
      </c>
    </row>
    <row r="90" customFormat="false" ht="17.9" hidden="false" customHeight="false" outlineLevel="0" collapsed="false">
      <c r="A90" s="20" t="s">
        <v>73</v>
      </c>
      <c r="B90" s="21" t="n">
        <v>45220</v>
      </c>
      <c r="C90" s="20" t="s">
        <v>606</v>
      </c>
      <c r="D90" s="20" t="s">
        <v>607</v>
      </c>
      <c r="E90" s="20" t="s">
        <v>608</v>
      </c>
      <c r="F90" s="20" t="s">
        <v>609</v>
      </c>
      <c r="G90" s="20" t="n">
        <v>918</v>
      </c>
      <c r="H90" s="20" t="s">
        <v>610</v>
      </c>
      <c r="I90" s="20" t="s">
        <v>99</v>
      </c>
      <c r="J90" s="20" t="s">
        <v>147</v>
      </c>
      <c r="K90" s="22"/>
      <c r="L90" s="22"/>
      <c r="M90" s="20" t="s">
        <v>81</v>
      </c>
      <c r="N90" s="23" t="s">
        <v>140</v>
      </c>
      <c r="O90" s="23" t="s">
        <v>148</v>
      </c>
      <c r="P90" s="23" t="s">
        <v>84</v>
      </c>
      <c r="Q90" s="23" t="str">
        <f aca="false">IF(A90="UNDATED LEAD","UNRESOLVED",IF(M90="N","EXCEPTION",IF(A90="SKIP",IF(ISNUMBER(SEARCH("_skip_justification.pdf",N90)),"CLEAR - FILE VERIFIED","CLEAR ON EXPORT"),"CLEAR ON LOG")))</f>
        <v>CLEAR ON EXPORT</v>
      </c>
      <c r="R90" s="23" t="str">
        <f aca="false">IF(Q90="UNRESOLVED","PRIORITY 1 - OBTAIN FILE",IF(Q90&lt;&gt;"EXCEPTION","NONE",IF(OR(AND(A90="LOA AMENDMENT",P90="UNRESOLVED USE"),AND(A90="SKIP",OR(E90="WL-02618",E90="WL-03044",E90="WL-03390"))),"PRIORITY 1",IF(A90="SKIP","PRIORITY 2","PRIORITY 3"))))</f>
        <v>NONE</v>
      </c>
      <c r="S90" s="23"/>
      <c r="T90" s="23" t="s">
        <v>611</v>
      </c>
      <c r="U90" s="23" t="s">
        <v>86</v>
      </c>
    </row>
    <row r="91" customFormat="false" ht="17.9" hidden="false" customHeight="false" outlineLevel="0" collapsed="false">
      <c r="A91" s="20" t="s">
        <v>73</v>
      </c>
      <c r="B91" s="21" t="n">
        <v>45223</v>
      </c>
      <c r="C91" s="20" t="s">
        <v>612</v>
      </c>
      <c r="D91" s="20" t="s">
        <v>613</v>
      </c>
      <c r="E91" s="20" t="s">
        <v>614</v>
      </c>
      <c r="F91" s="20" t="s">
        <v>615</v>
      </c>
      <c r="G91" s="20" t="n">
        <v>2849</v>
      </c>
      <c r="H91" s="20" t="s">
        <v>616</v>
      </c>
      <c r="I91" s="20" t="s">
        <v>166</v>
      </c>
      <c r="J91" s="20" t="s">
        <v>100</v>
      </c>
      <c r="K91" s="22"/>
      <c r="L91" s="22"/>
      <c r="M91" s="20" t="s">
        <v>81</v>
      </c>
      <c r="N91" s="23" t="s">
        <v>82</v>
      </c>
      <c r="O91" s="23" t="s">
        <v>102</v>
      </c>
      <c r="P91" s="23" t="s">
        <v>84</v>
      </c>
      <c r="Q91" s="23" t="str">
        <f aca="false">IF(A91="UNDATED LEAD","UNRESOLVED",IF(M91="N","EXCEPTION",IF(A91="SKIP",IF(ISNUMBER(SEARCH("_skip_justification.pdf",N91)),"CLEAR - FILE VERIFIED","CLEAR ON EXPORT"),"CLEAR ON LOG")))</f>
        <v>CLEAR ON EXPORT</v>
      </c>
      <c r="R91" s="23" t="str">
        <f aca="false">IF(Q91="UNRESOLVED","PRIORITY 1 - OBTAIN FILE",IF(Q91&lt;&gt;"EXCEPTION","NONE",IF(OR(AND(A91="LOA AMENDMENT",P91="UNRESOLVED USE"),AND(A91="SKIP",OR(E91="WL-02618",E91="WL-03044",E91="WL-03390"))),"PRIORITY 1",IF(A91="SKIP","PRIORITY 2","PRIORITY 3"))))</f>
        <v>NONE</v>
      </c>
      <c r="S91" s="23"/>
      <c r="T91" s="23" t="s">
        <v>617</v>
      </c>
      <c r="U91" s="23" t="s">
        <v>86</v>
      </c>
    </row>
    <row r="92" customFormat="false" ht="17.9" hidden="false" customHeight="false" outlineLevel="0" collapsed="false">
      <c r="A92" s="20" t="s">
        <v>73</v>
      </c>
      <c r="B92" s="21" t="n">
        <v>45252</v>
      </c>
      <c r="C92" s="20" t="s">
        <v>618</v>
      </c>
      <c r="D92" s="20" t="s">
        <v>619</v>
      </c>
      <c r="E92" s="20" t="s">
        <v>620</v>
      </c>
      <c r="F92" s="20" t="s">
        <v>621</v>
      </c>
      <c r="G92" s="20" t="n">
        <v>2696</v>
      </c>
      <c r="H92" s="20" t="s">
        <v>622</v>
      </c>
      <c r="I92" s="20" t="s">
        <v>79</v>
      </c>
      <c r="J92" s="20" t="s">
        <v>80</v>
      </c>
      <c r="K92" s="22"/>
      <c r="L92" s="22"/>
      <c r="M92" s="20" t="s">
        <v>81</v>
      </c>
      <c r="N92" s="23" t="s">
        <v>82</v>
      </c>
      <c r="O92" s="23" t="s">
        <v>83</v>
      </c>
      <c r="P92" s="23" t="s">
        <v>84</v>
      </c>
      <c r="Q92" s="23" t="str">
        <f aca="false">IF(A92="UNDATED LEAD","UNRESOLVED",IF(M92="N","EXCEPTION",IF(A92="SKIP",IF(ISNUMBER(SEARCH("_skip_justification.pdf",N92)),"CLEAR - FILE VERIFIED","CLEAR ON EXPORT"),"CLEAR ON LOG")))</f>
        <v>CLEAR ON EXPORT</v>
      </c>
      <c r="R92" s="23" t="str">
        <f aca="false">IF(Q92="UNRESOLVED","PRIORITY 1 - OBTAIN FILE",IF(Q92&lt;&gt;"EXCEPTION","NONE",IF(OR(AND(A92="LOA AMENDMENT",P92="UNRESOLVED USE"),AND(A92="SKIP",OR(E92="WL-02618",E92="WL-03044",E92="WL-03390"))),"PRIORITY 1",IF(A92="SKIP","PRIORITY 2","PRIORITY 3"))))</f>
        <v>NONE</v>
      </c>
      <c r="S92" s="23"/>
      <c r="T92" s="23" t="s">
        <v>623</v>
      </c>
      <c r="U92" s="23" t="s">
        <v>86</v>
      </c>
    </row>
    <row r="93" customFormat="false" ht="17.9" hidden="false" customHeight="false" outlineLevel="0" collapsed="false">
      <c r="A93" s="20" t="s">
        <v>73</v>
      </c>
      <c r="B93" s="21" t="n">
        <v>45263</v>
      </c>
      <c r="C93" s="20" t="s">
        <v>624</v>
      </c>
      <c r="D93" s="20" t="s">
        <v>625</v>
      </c>
      <c r="E93" s="20" t="s">
        <v>391</v>
      </c>
      <c r="F93" s="20" t="s">
        <v>392</v>
      </c>
      <c r="G93" s="20" t="n">
        <v>924</v>
      </c>
      <c r="H93" s="20" t="s">
        <v>626</v>
      </c>
      <c r="I93" s="20" t="s">
        <v>109</v>
      </c>
      <c r="J93" s="20" t="s">
        <v>132</v>
      </c>
      <c r="K93" s="22"/>
      <c r="L93" s="22"/>
      <c r="M93" s="20" t="s">
        <v>81</v>
      </c>
      <c r="N93" s="23" t="s">
        <v>101</v>
      </c>
      <c r="O93" s="23" t="s">
        <v>133</v>
      </c>
      <c r="P93" s="23" t="s">
        <v>84</v>
      </c>
      <c r="Q93" s="23" t="str">
        <f aca="false">IF(A93="UNDATED LEAD","UNRESOLVED",IF(M93="N","EXCEPTION",IF(A93="SKIP",IF(ISNUMBER(SEARCH("_skip_justification.pdf",N93)),"CLEAR - FILE VERIFIED","CLEAR ON EXPORT"),"CLEAR ON LOG")))</f>
        <v>CLEAR ON EXPORT</v>
      </c>
      <c r="R93" s="23" t="str">
        <f aca="false">IF(Q93="UNRESOLVED","PRIORITY 1 - OBTAIN FILE",IF(Q93&lt;&gt;"EXCEPTION","NONE",IF(OR(AND(A93="LOA AMENDMENT",P93="UNRESOLVED USE"),AND(A93="SKIP",OR(E93="WL-02618",E93="WL-03044",E93="WL-03390"))),"PRIORITY 1",IF(A93="SKIP","PRIORITY 2","PRIORITY 3"))))</f>
        <v>NONE</v>
      </c>
      <c r="S93" s="23"/>
      <c r="T93" s="23" t="s">
        <v>627</v>
      </c>
      <c r="U93" s="23" t="s">
        <v>86</v>
      </c>
    </row>
    <row r="94" customFormat="false" ht="17.9" hidden="false" customHeight="false" outlineLevel="0" collapsed="false">
      <c r="A94" s="20" t="s">
        <v>73</v>
      </c>
      <c r="B94" s="21" t="n">
        <v>45277</v>
      </c>
      <c r="C94" s="20" t="s">
        <v>628</v>
      </c>
      <c r="D94" s="20" t="s">
        <v>629</v>
      </c>
      <c r="E94" s="20" t="s">
        <v>630</v>
      </c>
      <c r="F94" s="20" t="s">
        <v>631</v>
      </c>
      <c r="G94" s="20" t="n">
        <v>16</v>
      </c>
      <c r="H94" s="20" t="s">
        <v>632</v>
      </c>
      <c r="I94" s="20" t="s">
        <v>79</v>
      </c>
      <c r="J94" s="20" t="s">
        <v>80</v>
      </c>
      <c r="K94" s="22"/>
      <c r="L94" s="22"/>
      <c r="M94" s="20" t="s">
        <v>81</v>
      </c>
      <c r="N94" s="23" t="s">
        <v>92</v>
      </c>
      <c r="O94" s="23" t="s">
        <v>83</v>
      </c>
      <c r="P94" s="23" t="s">
        <v>84</v>
      </c>
      <c r="Q94" s="23" t="str">
        <f aca="false">IF(A94="UNDATED LEAD","UNRESOLVED",IF(M94="N","EXCEPTION",IF(A94="SKIP",IF(ISNUMBER(SEARCH("_skip_justification.pdf",N94)),"CLEAR - FILE VERIFIED","CLEAR ON EXPORT"),"CLEAR ON LOG")))</f>
        <v>CLEAR ON EXPORT</v>
      </c>
      <c r="R94" s="23" t="str">
        <f aca="false">IF(Q94="UNRESOLVED","PRIORITY 1 - OBTAIN FILE",IF(Q94&lt;&gt;"EXCEPTION","NONE",IF(OR(AND(A94="LOA AMENDMENT",P94="UNRESOLVED USE"),AND(A94="SKIP",OR(E94="WL-02618",E94="WL-03044",E94="WL-03390"))),"PRIORITY 1",IF(A94="SKIP","PRIORITY 2","PRIORITY 3"))))</f>
        <v>NONE</v>
      </c>
      <c r="S94" s="23"/>
      <c r="T94" s="23" t="s">
        <v>633</v>
      </c>
      <c r="U94" s="23" t="s">
        <v>86</v>
      </c>
    </row>
    <row r="95" customFormat="false" ht="17.9" hidden="false" customHeight="false" outlineLevel="0" collapsed="false">
      <c r="A95" s="20" t="s">
        <v>73</v>
      </c>
      <c r="B95" s="21" t="n">
        <v>45281</v>
      </c>
      <c r="C95" s="20" t="s">
        <v>634</v>
      </c>
      <c r="D95" s="20" t="s">
        <v>635</v>
      </c>
      <c r="E95" s="20" t="s">
        <v>636</v>
      </c>
      <c r="F95" s="20" t="s">
        <v>637</v>
      </c>
      <c r="G95" s="20" t="n">
        <v>186</v>
      </c>
      <c r="H95" s="20" t="s">
        <v>638</v>
      </c>
      <c r="I95" s="20" t="s">
        <v>166</v>
      </c>
      <c r="J95" s="20" t="s">
        <v>100</v>
      </c>
      <c r="K95" s="22"/>
      <c r="L95" s="22"/>
      <c r="M95" s="20" t="s">
        <v>81</v>
      </c>
      <c r="N95" s="23" t="s">
        <v>101</v>
      </c>
      <c r="O95" s="23" t="s">
        <v>102</v>
      </c>
      <c r="P95" s="23" t="s">
        <v>84</v>
      </c>
      <c r="Q95" s="23" t="str">
        <f aca="false">IF(A95="UNDATED LEAD","UNRESOLVED",IF(M95="N","EXCEPTION",IF(A95="SKIP",IF(ISNUMBER(SEARCH("_skip_justification.pdf",N95)),"CLEAR - FILE VERIFIED","CLEAR ON EXPORT"),"CLEAR ON LOG")))</f>
        <v>CLEAR ON EXPORT</v>
      </c>
      <c r="R95" s="23" t="str">
        <f aca="false">IF(Q95="UNRESOLVED","PRIORITY 1 - OBTAIN FILE",IF(Q95&lt;&gt;"EXCEPTION","NONE",IF(OR(AND(A95="LOA AMENDMENT",P95="UNRESOLVED USE"),AND(A95="SKIP",OR(E95="WL-02618",E95="WL-03044",E95="WL-03390"))),"PRIORITY 1",IF(A95="SKIP","PRIORITY 2","PRIORITY 3"))))</f>
        <v>NONE</v>
      </c>
      <c r="S95" s="23"/>
      <c r="T95" s="23" t="s">
        <v>639</v>
      </c>
      <c r="U95" s="23" t="s">
        <v>86</v>
      </c>
    </row>
    <row r="96" customFormat="false" ht="17.9" hidden="false" customHeight="false" outlineLevel="0" collapsed="false">
      <c r="A96" s="20" t="s">
        <v>73</v>
      </c>
      <c r="B96" s="21" t="n">
        <v>45284</v>
      </c>
      <c r="C96" s="20" t="s">
        <v>640</v>
      </c>
      <c r="D96" s="20" t="s">
        <v>641</v>
      </c>
      <c r="E96" s="20" t="s">
        <v>642</v>
      </c>
      <c r="F96" s="20" t="s">
        <v>643</v>
      </c>
      <c r="G96" s="20" t="n">
        <v>1726</v>
      </c>
      <c r="H96" s="20" t="s">
        <v>644</v>
      </c>
      <c r="I96" s="20" t="s">
        <v>109</v>
      </c>
      <c r="J96" s="20" t="s">
        <v>80</v>
      </c>
      <c r="K96" s="22"/>
      <c r="L96" s="22"/>
      <c r="M96" s="20" t="s">
        <v>81</v>
      </c>
      <c r="N96" s="23" t="s">
        <v>140</v>
      </c>
      <c r="O96" s="23" t="s">
        <v>83</v>
      </c>
      <c r="P96" s="23" t="s">
        <v>84</v>
      </c>
      <c r="Q96" s="23" t="str">
        <f aca="false">IF(A96="UNDATED LEAD","UNRESOLVED",IF(M96="N","EXCEPTION",IF(A96="SKIP",IF(ISNUMBER(SEARCH("_skip_justification.pdf",N96)),"CLEAR - FILE VERIFIED","CLEAR ON EXPORT"),"CLEAR ON LOG")))</f>
        <v>CLEAR ON EXPORT</v>
      </c>
      <c r="R96" s="23" t="str">
        <f aca="false">IF(Q96="UNRESOLVED","PRIORITY 1 - OBTAIN FILE",IF(Q96&lt;&gt;"EXCEPTION","NONE",IF(OR(AND(A96="LOA AMENDMENT",P96="UNRESOLVED USE"),AND(A96="SKIP",OR(E96="WL-02618",E96="WL-03044",E96="WL-03390"))),"PRIORITY 1",IF(A96="SKIP","PRIORITY 2","PRIORITY 3"))))</f>
        <v>NONE</v>
      </c>
      <c r="S96" s="23"/>
      <c r="T96" s="23" t="s">
        <v>645</v>
      </c>
      <c r="U96" s="23" t="s">
        <v>86</v>
      </c>
    </row>
    <row r="97" customFormat="false" ht="17.9" hidden="false" customHeight="false" outlineLevel="0" collapsed="false">
      <c r="A97" s="20" t="s">
        <v>73</v>
      </c>
      <c r="B97" s="21" t="n">
        <v>45286</v>
      </c>
      <c r="C97" s="20" t="s">
        <v>646</v>
      </c>
      <c r="D97" s="20" t="s">
        <v>647</v>
      </c>
      <c r="E97" s="20" t="s">
        <v>648</v>
      </c>
      <c r="F97" s="20" t="s">
        <v>649</v>
      </c>
      <c r="G97" s="20" t="n">
        <v>524</v>
      </c>
      <c r="H97" s="20" t="s">
        <v>650</v>
      </c>
      <c r="I97" s="20" t="s">
        <v>99</v>
      </c>
      <c r="J97" s="20" t="s">
        <v>100</v>
      </c>
      <c r="K97" s="22"/>
      <c r="L97" s="22"/>
      <c r="M97" s="20" t="s">
        <v>81</v>
      </c>
      <c r="N97" s="23" t="s">
        <v>140</v>
      </c>
      <c r="O97" s="23" t="s">
        <v>102</v>
      </c>
      <c r="P97" s="23" t="s">
        <v>84</v>
      </c>
      <c r="Q97" s="23" t="str">
        <f aca="false">IF(A97="UNDATED LEAD","UNRESOLVED",IF(M97="N","EXCEPTION",IF(A97="SKIP",IF(ISNUMBER(SEARCH("_skip_justification.pdf",N97)),"CLEAR - FILE VERIFIED","CLEAR ON EXPORT"),"CLEAR ON LOG")))</f>
        <v>CLEAR ON EXPORT</v>
      </c>
      <c r="R97" s="23" t="str">
        <f aca="false">IF(Q97="UNRESOLVED","PRIORITY 1 - OBTAIN FILE",IF(Q97&lt;&gt;"EXCEPTION","NONE",IF(OR(AND(A97="LOA AMENDMENT",P97="UNRESOLVED USE"),AND(A97="SKIP",OR(E97="WL-02618",E97="WL-03044",E97="WL-03390"))),"PRIORITY 1",IF(A97="SKIP","PRIORITY 2","PRIORITY 3"))))</f>
        <v>NONE</v>
      </c>
      <c r="S97" s="23"/>
      <c r="T97" s="23" t="s">
        <v>651</v>
      </c>
      <c r="U97" s="23" t="s">
        <v>86</v>
      </c>
    </row>
    <row r="98" customFormat="false" ht="17.9" hidden="false" customHeight="false" outlineLevel="0" collapsed="false">
      <c r="A98" s="20" t="s">
        <v>73</v>
      </c>
      <c r="B98" s="21" t="n">
        <v>45286</v>
      </c>
      <c r="C98" s="20" t="s">
        <v>652</v>
      </c>
      <c r="D98" s="20" t="s">
        <v>653</v>
      </c>
      <c r="E98" s="20" t="s">
        <v>654</v>
      </c>
      <c r="F98" s="20" t="s">
        <v>655</v>
      </c>
      <c r="G98" s="20" t="n">
        <v>2111</v>
      </c>
      <c r="H98" s="20" t="s">
        <v>656</v>
      </c>
      <c r="I98" s="20" t="s">
        <v>99</v>
      </c>
      <c r="J98" s="20" t="s">
        <v>100</v>
      </c>
      <c r="K98" s="22"/>
      <c r="L98" s="22"/>
      <c r="M98" s="20" t="s">
        <v>81</v>
      </c>
      <c r="N98" s="23" t="s">
        <v>140</v>
      </c>
      <c r="O98" s="23" t="s">
        <v>102</v>
      </c>
      <c r="P98" s="23" t="s">
        <v>84</v>
      </c>
      <c r="Q98" s="23" t="str">
        <f aca="false">IF(A98="UNDATED LEAD","UNRESOLVED",IF(M98="N","EXCEPTION",IF(A98="SKIP",IF(ISNUMBER(SEARCH("_skip_justification.pdf",N98)),"CLEAR - FILE VERIFIED","CLEAR ON EXPORT"),"CLEAR ON LOG")))</f>
        <v>CLEAR ON EXPORT</v>
      </c>
      <c r="R98" s="23" t="str">
        <f aca="false">IF(Q98="UNRESOLVED","PRIORITY 1 - OBTAIN FILE",IF(Q98&lt;&gt;"EXCEPTION","NONE",IF(OR(AND(A98="LOA AMENDMENT",P98="UNRESOLVED USE"),AND(A98="SKIP",OR(E98="WL-02618",E98="WL-03044",E98="WL-03390"))),"PRIORITY 1",IF(A98="SKIP","PRIORITY 2","PRIORITY 3"))))</f>
        <v>NONE</v>
      </c>
      <c r="S98" s="23"/>
      <c r="T98" s="23" t="s">
        <v>657</v>
      </c>
      <c r="U98" s="23" t="s">
        <v>86</v>
      </c>
    </row>
    <row r="99" customFormat="false" ht="17.9" hidden="false" customHeight="false" outlineLevel="0" collapsed="false">
      <c r="A99" s="20" t="s">
        <v>73</v>
      </c>
      <c r="B99" s="21" t="n">
        <v>45295</v>
      </c>
      <c r="C99" s="20" t="s">
        <v>658</v>
      </c>
      <c r="D99" s="20" t="s">
        <v>659</v>
      </c>
      <c r="E99" s="20" t="s">
        <v>660</v>
      </c>
      <c r="F99" s="20" t="s">
        <v>661</v>
      </c>
      <c r="G99" s="20" t="n">
        <v>632</v>
      </c>
      <c r="H99" s="20" t="s">
        <v>662</v>
      </c>
      <c r="I99" s="20" t="s">
        <v>166</v>
      </c>
      <c r="J99" s="20" t="s">
        <v>147</v>
      </c>
      <c r="K99" s="22"/>
      <c r="L99" s="22"/>
      <c r="M99" s="20" t="s">
        <v>81</v>
      </c>
      <c r="N99" s="23" t="s">
        <v>92</v>
      </c>
      <c r="O99" s="23" t="s">
        <v>148</v>
      </c>
      <c r="P99" s="23" t="s">
        <v>84</v>
      </c>
      <c r="Q99" s="23" t="str">
        <f aca="false">IF(A99="UNDATED LEAD","UNRESOLVED",IF(M99="N","EXCEPTION",IF(A99="SKIP",IF(ISNUMBER(SEARCH("_skip_justification.pdf",N99)),"CLEAR - FILE VERIFIED","CLEAR ON EXPORT"),"CLEAR ON LOG")))</f>
        <v>CLEAR ON EXPORT</v>
      </c>
      <c r="R99" s="23" t="str">
        <f aca="false">IF(Q99="UNRESOLVED","PRIORITY 1 - OBTAIN FILE",IF(Q99&lt;&gt;"EXCEPTION","NONE",IF(OR(AND(A99="LOA AMENDMENT",P99="UNRESOLVED USE"),AND(A99="SKIP",OR(E99="WL-02618",E99="WL-03044",E99="WL-03390"))),"PRIORITY 1",IF(A99="SKIP","PRIORITY 2","PRIORITY 3"))))</f>
        <v>NONE</v>
      </c>
      <c r="S99" s="23"/>
      <c r="T99" s="23" t="s">
        <v>663</v>
      </c>
      <c r="U99" s="23" t="s">
        <v>86</v>
      </c>
    </row>
    <row r="100" customFormat="false" ht="17.9" hidden="false" customHeight="false" outlineLevel="0" collapsed="false">
      <c r="A100" s="20" t="s">
        <v>73</v>
      </c>
      <c r="B100" s="21" t="n">
        <v>45305</v>
      </c>
      <c r="C100" s="20" t="s">
        <v>664</v>
      </c>
      <c r="D100" s="20" t="s">
        <v>665</v>
      </c>
      <c r="E100" s="20" t="s">
        <v>666</v>
      </c>
      <c r="F100" s="20" t="s">
        <v>667</v>
      </c>
      <c r="G100" s="20" t="n">
        <v>1759</v>
      </c>
      <c r="H100" s="20" t="s">
        <v>668</v>
      </c>
      <c r="I100" s="20" t="s">
        <v>109</v>
      </c>
      <c r="J100" s="20" t="s">
        <v>80</v>
      </c>
      <c r="K100" s="22"/>
      <c r="L100" s="22"/>
      <c r="M100" s="20" t="s">
        <v>81</v>
      </c>
      <c r="N100" s="23" t="s">
        <v>92</v>
      </c>
      <c r="O100" s="23" t="s">
        <v>83</v>
      </c>
      <c r="P100" s="23" t="s">
        <v>84</v>
      </c>
      <c r="Q100" s="23" t="str">
        <f aca="false">IF(A100="UNDATED LEAD","UNRESOLVED",IF(M100="N","EXCEPTION",IF(A100="SKIP",IF(ISNUMBER(SEARCH("_skip_justification.pdf",N100)),"CLEAR - FILE VERIFIED","CLEAR ON EXPORT"),"CLEAR ON LOG")))</f>
        <v>CLEAR ON EXPORT</v>
      </c>
      <c r="R100" s="23" t="str">
        <f aca="false">IF(Q100="UNRESOLVED","PRIORITY 1 - OBTAIN FILE",IF(Q100&lt;&gt;"EXCEPTION","NONE",IF(OR(AND(A100="LOA AMENDMENT",P100="UNRESOLVED USE"),AND(A100="SKIP",OR(E100="WL-02618",E100="WL-03044",E100="WL-03390"))),"PRIORITY 1",IF(A100="SKIP","PRIORITY 2","PRIORITY 3"))))</f>
        <v>NONE</v>
      </c>
      <c r="S100" s="23"/>
      <c r="T100" s="23" t="s">
        <v>669</v>
      </c>
      <c r="U100" s="23" t="s">
        <v>86</v>
      </c>
    </row>
    <row r="101" customFormat="false" ht="17.9" hidden="false" customHeight="false" outlineLevel="0" collapsed="false">
      <c r="A101" s="20" t="s">
        <v>73</v>
      </c>
      <c r="B101" s="21" t="n">
        <v>45325</v>
      </c>
      <c r="C101" s="20" t="s">
        <v>670</v>
      </c>
      <c r="D101" s="20" t="s">
        <v>671</v>
      </c>
      <c r="E101" s="20" t="s">
        <v>672</v>
      </c>
      <c r="F101" s="20" t="s">
        <v>673</v>
      </c>
      <c r="G101" s="20" t="n">
        <v>253</v>
      </c>
      <c r="H101" s="20" t="s">
        <v>674</v>
      </c>
      <c r="I101" s="20" t="s">
        <v>79</v>
      </c>
      <c r="J101" s="20" t="s">
        <v>132</v>
      </c>
      <c r="K101" s="22"/>
      <c r="L101" s="22"/>
      <c r="M101" s="20" t="s">
        <v>81</v>
      </c>
      <c r="N101" s="23" t="s">
        <v>92</v>
      </c>
      <c r="O101" s="23" t="s">
        <v>133</v>
      </c>
      <c r="P101" s="23" t="s">
        <v>84</v>
      </c>
      <c r="Q101" s="23" t="str">
        <f aca="false">IF(A101="UNDATED LEAD","UNRESOLVED",IF(M101="N","EXCEPTION",IF(A101="SKIP",IF(ISNUMBER(SEARCH("_skip_justification.pdf",N101)),"CLEAR - FILE VERIFIED","CLEAR ON EXPORT"),"CLEAR ON LOG")))</f>
        <v>CLEAR ON EXPORT</v>
      </c>
      <c r="R101" s="23" t="str">
        <f aca="false">IF(Q101="UNRESOLVED","PRIORITY 1 - OBTAIN FILE",IF(Q101&lt;&gt;"EXCEPTION","NONE",IF(OR(AND(A101="LOA AMENDMENT",P101="UNRESOLVED USE"),AND(A101="SKIP",OR(E101="WL-02618",E101="WL-03044",E101="WL-03390"))),"PRIORITY 1",IF(A101="SKIP","PRIORITY 2","PRIORITY 3"))))</f>
        <v>NONE</v>
      </c>
      <c r="S101" s="23"/>
      <c r="T101" s="23" t="s">
        <v>675</v>
      </c>
      <c r="U101" s="23" t="s">
        <v>86</v>
      </c>
    </row>
    <row r="102" customFormat="false" ht="17.9" hidden="false" customHeight="false" outlineLevel="0" collapsed="false">
      <c r="A102" s="20" t="s">
        <v>73</v>
      </c>
      <c r="B102" s="21" t="n">
        <v>45329</v>
      </c>
      <c r="C102" s="20" t="s">
        <v>676</v>
      </c>
      <c r="D102" s="20" t="s">
        <v>677</v>
      </c>
      <c r="E102" s="20" t="s">
        <v>678</v>
      </c>
      <c r="F102" s="20" t="s">
        <v>679</v>
      </c>
      <c r="G102" s="20" t="n">
        <v>347</v>
      </c>
      <c r="H102" s="20" t="s">
        <v>680</v>
      </c>
      <c r="I102" s="20" t="s">
        <v>109</v>
      </c>
      <c r="J102" s="20" t="s">
        <v>147</v>
      </c>
      <c r="K102" s="22"/>
      <c r="L102" s="22"/>
      <c r="M102" s="20" t="s">
        <v>81</v>
      </c>
      <c r="N102" s="23" t="s">
        <v>101</v>
      </c>
      <c r="O102" s="23" t="s">
        <v>148</v>
      </c>
      <c r="P102" s="23" t="s">
        <v>84</v>
      </c>
      <c r="Q102" s="23" t="str">
        <f aca="false">IF(A102="UNDATED LEAD","UNRESOLVED",IF(M102="N","EXCEPTION",IF(A102="SKIP",IF(ISNUMBER(SEARCH("_skip_justification.pdf",N102)),"CLEAR - FILE VERIFIED","CLEAR ON EXPORT"),"CLEAR ON LOG")))</f>
        <v>CLEAR ON EXPORT</v>
      </c>
      <c r="R102" s="23" t="str">
        <f aca="false">IF(Q102="UNRESOLVED","PRIORITY 1 - OBTAIN FILE",IF(Q102&lt;&gt;"EXCEPTION","NONE",IF(OR(AND(A102="LOA AMENDMENT",P102="UNRESOLVED USE"),AND(A102="SKIP",OR(E102="WL-02618",E102="WL-03044",E102="WL-03390"))),"PRIORITY 1",IF(A102="SKIP","PRIORITY 2","PRIORITY 3"))))</f>
        <v>NONE</v>
      </c>
      <c r="S102" s="23"/>
      <c r="T102" s="23" t="s">
        <v>681</v>
      </c>
      <c r="U102" s="23" t="s">
        <v>86</v>
      </c>
    </row>
    <row r="103" customFormat="false" ht="17.9" hidden="false" customHeight="false" outlineLevel="0" collapsed="false">
      <c r="A103" s="20" t="s">
        <v>73</v>
      </c>
      <c r="B103" s="21" t="n">
        <v>45330</v>
      </c>
      <c r="C103" s="20" t="s">
        <v>682</v>
      </c>
      <c r="D103" s="20" t="s">
        <v>683</v>
      </c>
      <c r="E103" s="20" t="s">
        <v>684</v>
      </c>
      <c r="F103" s="20" t="s">
        <v>685</v>
      </c>
      <c r="G103" s="20" t="n">
        <v>1653</v>
      </c>
      <c r="H103" s="20" t="s">
        <v>686</v>
      </c>
      <c r="I103" s="20" t="s">
        <v>166</v>
      </c>
      <c r="J103" s="20" t="s">
        <v>80</v>
      </c>
      <c r="K103" s="22"/>
      <c r="L103" s="22"/>
      <c r="M103" s="20" t="s">
        <v>81</v>
      </c>
      <c r="N103" s="23" t="s">
        <v>82</v>
      </c>
      <c r="O103" s="23" t="s">
        <v>83</v>
      </c>
      <c r="P103" s="23" t="s">
        <v>84</v>
      </c>
      <c r="Q103" s="23" t="str">
        <f aca="false">IF(A103="UNDATED LEAD","UNRESOLVED",IF(M103="N","EXCEPTION",IF(A103="SKIP",IF(ISNUMBER(SEARCH("_skip_justification.pdf",N103)),"CLEAR - FILE VERIFIED","CLEAR ON EXPORT"),"CLEAR ON LOG")))</f>
        <v>CLEAR ON EXPORT</v>
      </c>
      <c r="R103" s="23" t="str">
        <f aca="false">IF(Q103="UNRESOLVED","PRIORITY 1 - OBTAIN FILE",IF(Q103&lt;&gt;"EXCEPTION","NONE",IF(OR(AND(A103="LOA AMENDMENT",P103="UNRESOLVED USE"),AND(A103="SKIP",OR(E103="WL-02618",E103="WL-03044",E103="WL-03390"))),"PRIORITY 1",IF(A103="SKIP","PRIORITY 2","PRIORITY 3"))))</f>
        <v>NONE</v>
      </c>
      <c r="S103" s="23"/>
      <c r="T103" s="23" t="s">
        <v>687</v>
      </c>
      <c r="U103" s="23" t="s">
        <v>86</v>
      </c>
    </row>
    <row r="104" customFormat="false" ht="17.9" hidden="false" customHeight="false" outlineLevel="0" collapsed="false">
      <c r="A104" s="20" t="s">
        <v>73</v>
      </c>
      <c r="B104" s="21" t="n">
        <v>45331</v>
      </c>
      <c r="C104" s="20" t="s">
        <v>688</v>
      </c>
      <c r="D104" s="20" t="s">
        <v>689</v>
      </c>
      <c r="E104" s="20" t="s">
        <v>690</v>
      </c>
      <c r="F104" s="20" t="s">
        <v>691</v>
      </c>
      <c r="G104" s="20" t="n">
        <v>562</v>
      </c>
      <c r="H104" s="20" t="s">
        <v>692</v>
      </c>
      <c r="I104" s="20" t="s">
        <v>119</v>
      </c>
      <c r="J104" s="20" t="s">
        <v>147</v>
      </c>
      <c r="K104" s="22"/>
      <c r="L104" s="22"/>
      <c r="M104" s="20" t="s">
        <v>81</v>
      </c>
      <c r="N104" s="23" t="s">
        <v>140</v>
      </c>
      <c r="O104" s="23" t="s">
        <v>148</v>
      </c>
      <c r="P104" s="23" t="s">
        <v>84</v>
      </c>
      <c r="Q104" s="23" t="str">
        <f aca="false">IF(A104="UNDATED LEAD","UNRESOLVED",IF(M104="N","EXCEPTION",IF(A104="SKIP",IF(ISNUMBER(SEARCH("_skip_justification.pdf",N104)),"CLEAR - FILE VERIFIED","CLEAR ON EXPORT"),"CLEAR ON LOG")))</f>
        <v>CLEAR ON EXPORT</v>
      </c>
      <c r="R104" s="23" t="str">
        <f aca="false">IF(Q104="UNRESOLVED","PRIORITY 1 - OBTAIN FILE",IF(Q104&lt;&gt;"EXCEPTION","NONE",IF(OR(AND(A104="LOA AMENDMENT",P104="UNRESOLVED USE"),AND(A104="SKIP",OR(E104="WL-02618",E104="WL-03044",E104="WL-03390"))),"PRIORITY 1",IF(A104="SKIP","PRIORITY 2","PRIORITY 3"))))</f>
        <v>NONE</v>
      </c>
      <c r="S104" s="23"/>
      <c r="T104" s="23" t="s">
        <v>693</v>
      </c>
      <c r="U104" s="23" t="s">
        <v>86</v>
      </c>
    </row>
    <row r="105" customFormat="false" ht="17.9" hidden="false" customHeight="false" outlineLevel="0" collapsed="false">
      <c r="A105" s="20" t="s">
        <v>73</v>
      </c>
      <c r="B105" s="21" t="n">
        <v>45337</v>
      </c>
      <c r="C105" s="20" t="s">
        <v>694</v>
      </c>
      <c r="D105" s="20" t="s">
        <v>695</v>
      </c>
      <c r="E105" s="20" t="s">
        <v>696</v>
      </c>
      <c r="F105" s="20" t="s">
        <v>697</v>
      </c>
      <c r="G105" s="20" t="n">
        <v>2127</v>
      </c>
      <c r="H105" s="20" t="s">
        <v>698</v>
      </c>
      <c r="I105" s="20" t="s">
        <v>79</v>
      </c>
      <c r="J105" s="20" t="s">
        <v>147</v>
      </c>
      <c r="K105" s="22"/>
      <c r="L105" s="22"/>
      <c r="M105" s="20" t="s">
        <v>81</v>
      </c>
      <c r="N105" s="23" t="s">
        <v>101</v>
      </c>
      <c r="O105" s="23" t="s">
        <v>148</v>
      </c>
      <c r="P105" s="23" t="s">
        <v>84</v>
      </c>
      <c r="Q105" s="23" t="str">
        <f aca="false">IF(A105="UNDATED LEAD","UNRESOLVED",IF(M105="N","EXCEPTION",IF(A105="SKIP",IF(ISNUMBER(SEARCH("_skip_justification.pdf",N105)),"CLEAR - FILE VERIFIED","CLEAR ON EXPORT"),"CLEAR ON LOG")))</f>
        <v>CLEAR ON EXPORT</v>
      </c>
      <c r="R105" s="23" t="str">
        <f aca="false">IF(Q105="UNRESOLVED","PRIORITY 1 - OBTAIN FILE",IF(Q105&lt;&gt;"EXCEPTION","NONE",IF(OR(AND(A105="LOA AMENDMENT",P105="UNRESOLVED USE"),AND(A105="SKIP",OR(E105="WL-02618",E105="WL-03044",E105="WL-03390"))),"PRIORITY 1",IF(A105="SKIP","PRIORITY 2","PRIORITY 3"))))</f>
        <v>NONE</v>
      </c>
      <c r="S105" s="23"/>
      <c r="T105" s="23" t="s">
        <v>699</v>
      </c>
      <c r="U105" s="23" t="s">
        <v>86</v>
      </c>
    </row>
    <row r="106" customFormat="false" ht="17.9" hidden="false" customHeight="false" outlineLevel="0" collapsed="false">
      <c r="A106" s="20" t="s">
        <v>73</v>
      </c>
      <c r="B106" s="21" t="n">
        <v>45342</v>
      </c>
      <c r="C106" s="20" t="s">
        <v>700</v>
      </c>
      <c r="D106" s="20" t="s">
        <v>701</v>
      </c>
      <c r="E106" s="20" t="s">
        <v>702</v>
      </c>
      <c r="F106" s="20" t="s">
        <v>703</v>
      </c>
      <c r="G106" s="20" t="n">
        <v>2141</v>
      </c>
      <c r="H106" s="20" t="s">
        <v>704</v>
      </c>
      <c r="I106" s="20" t="s">
        <v>79</v>
      </c>
      <c r="J106" s="20" t="s">
        <v>80</v>
      </c>
      <c r="K106" s="22"/>
      <c r="L106" s="22"/>
      <c r="M106" s="20" t="s">
        <v>81</v>
      </c>
      <c r="N106" s="23" t="s">
        <v>101</v>
      </c>
      <c r="O106" s="23" t="s">
        <v>83</v>
      </c>
      <c r="P106" s="23" t="s">
        <v>84</v>
      </c>
      <c r="Q106" s="23" t="str">
        <f aca="false">IF(A106="UNDATED LEAD","UNRESOLVED",IF(M106="N","EXCEPTION",IF(A106="SKIP",IF(ISNUMBER(SEARCH("_skip_justification.pdf",N106)),"CLEAR - FILE VERIFIED","CLEAR ON EXPORT"),"CLEAR ON LOG")))</f>
        <v>CLEAR ON EXPORT</v>
      </c>
      <c r="R106" s="23" t="str">
        <f aca="false">IF(Q106="UNRESOLVED","PRIORITY 1 - OBTAIN FILE",IF(Q106&lt;&gt;"EXCEPTION","NONE",IF(OR(AND(A106="LOA AMENDMENT",P106="UNRESOLVED USE"),AND(A106="SKIP",OR(E106="WL-02618",E106="WL-03044",E106="WL-03390"))),"PRIORITY 1",IF(A106="SKIP","PRIORITY 2","PRIORITY 3"))))</f>
        <v>NONE</v>
      </c>
      <c r="S106" s="23"/>
      <c r="T106" s="23" t="s">
        <v>705</v>
      </c>
      <c r="U106" s="23" t="s">
        <v>86</v>
      </c>
    </row>
    <row r="107" customFormat="false" ht="17.9" hidden="false" customHeight="false" outlineLevel="0" collapsed="false">
      <c r="A107" s="20" t="s">
        <v>73</v>
      </c>
      <c r="B107" s="21" t="n">
        <v>45342</v>
      </c>
      <c r="C107" s="20" t="s">
        <v>706</v>
      </c>
      <c r="D107" s="20" t="s">
        <v>707</v>
      </c>
      <c r="E107" s="20" t="s">
        <v>708</v>
      </c>
      <c r="F107" s="20" t="s">
        <v>709</v>
      </c>
      <c r="G107" s="20" t="n">
        <v>2044</v>
      </c>
      <c r="H107" s="20" t="s">
        <v>710</v>
      </c>
      <c r="I107" s="20" t="s">
        <v>99</v>
      </c>
      <c r="J107" s="20" t="s">
        <v>147</v>
      </c>
      <c r="K107" s="22"/>
      <c r="L107" s="22"/>
      <c r="M107" s="20" t="s">
        <v>110</v>
      </c>
      <c r="N107" s="23" t="s">
        <v>711</v>
      </c>
      <c r="O107" s="23" t="s">
        <v>148</v>
      </c>
      <c r="P107" s="23" t="s">
        <v>84</v>
      </c>
      <c r="Q107" s="23" t="str">
        <f aca="false">IF(A107="UNDATED LEAD","UNRESOLVED",IF(M107="N","EXCEPTION",IF(A107="SKIP",IF(ISNUMBER(SEARCH("_skip_justification.pdf",N107)),"CLEAR - FILE VERIFIED","CLEAR ON EXPORT"),"CLEAR ON LOG")))</f>
        <v>EXCEPTION</v>
      </c>
      <c r="R107" s="23" t="str">
        <f aca="false">IF(Q107="UNRESOLVED","PRIORITY 1 - OBTAIN FILE",IF(Q107&lt;&gt;"EXCEPTION","NONE",IF(OR(AND(A107="LOA AMENDMENT",P107="UNRESOLVED USE"),AND(A107="SKIP",OR(E107="WL-02618",E107="WL-03044",E107="WL-03390"))),"PRIORITY 1",IF(A107="SKIP","PRIORITY 2","PRIORITY 3"))))</f>
        <v>PRIORITY 1</v>
      </c>
      <c r="S107" s="23" t="s">
        <v>712</v>
      </c>
      <c r="T107" s="23" t="s">
        <v>713</v>
      </c>
      <c r="U107" s="23" t="s">
        <v>86</v>
      </c>
    </row>
    <row r="108" customFormat="false" ht="17.9" hidden="false" customHeight="false" outlineLevel="0" collapsed="false">
      <c r="A108" s="20" t="s">
        <v>73</v>
      </c>
      <c r="B108" s="21" t="n">
        <v>45346</v>
      </c>
      <c r="C108" s="20" t="s">
        <v>714</v>
      </c>
      <c r="D108" s="20" t="s">
        <v>715</v>
      </c>
      <c r="E108" s="20" t="s">
        <v>716</v>
      </c>
      <c r="F108" s="20" t="s">
        <v>717</v>
      </c>
      <c r="G108" s="20" t="n">
        <v>1349</v>
      </c>
      <c r="H108" s="20" t="s">
        <v>718</v>
      </c>
      <c r="I108" s="20" t="s">
        <v>166</v>
      </c>
      <c r="J108" s="20" t="s">
        <v>147</v>
      </c>
      <c r="K108" s="22"/>
      <c r="L108" s="22"/>
      <c r="M108" s="20" t="s">
        <v>81</v>
      </c>
      <c r="N108" s="23" t="s">
        <v>140</v>
      </c>
      <c r="O108" s="23" t="s">
        <v>148</v>
      </c>
      <c r="P108" s="23" t="s">
        <v>84</v>
      </c>
      <c r="Q108" s="23" t="str">
        <f aca="false">IF(A108="UNDATED LEAD","UNRESOLVED",IF(M108="N","EXCEPTION",IF(A108="SKIP",IF(ISNUMBER(SEARCH("_skip_justification.pdf",N108)),"CLEAR - FILE VERIFIED","CLEAR ON EXPORT"),"CLEAR ON LOG")))</f>
        <v>CLEAR ON EXPORT</v>
      </c>
      <c r="R108" s="23" t="str">
        <f aca="false">IF(Q108="UNRESOLVED","PRIORITY 1 - OBTAIN FILE",IF(Q108&lt;&gt;"EXCEPTION","NONE",IF(OR(AND(A108="LOA AMENDMENT",P108="UNRESOLVED USE"),AND(A108="SKIP",OR(E108="WL-02618",E108="WL-03044",E108="WL-03390"))),"PRIORITY 1",IF(A108="SKIP","PRIORITY 2","PRIORITY 3"))))</f>
        <v>NONE</v>
      </c>
      <c r="S108" s="23"/>
      <c r="T108" s="23" t="s">
        <v>719</v>
      </c>
      <c r="U108" s="23" t="s">
        <v>86</v>
      </c>
    </row>
    <row r="109" customFormat="false" ht="17.9" hidden="false" customHeight="false" outlineLevel="0" collapsed="false">
      <c r="A109" s="20" t="s">
        <v>73</v>
      </c>
      <c r="B109" s="21" t="n">
        <v>45353</v>
      </c>
      <c r="C109" s="20" t="s">
        <v>720</v>
      </c>
      <c r="D109" s="20" t="s">
        <v>721</v>
      </c>
      <c r="E109" s="20" t="s">
        <v>722</v>
      </c>
      <c r="F109" s="20" t="s">
        <v>723</v>
      </c>
      <c r="G109" s="20" t="n">
        <v>1893</v>
      </c>
      <c r="H109" s="20" t="s">
        <v>724</v>
      </c>
      <c r="I109" s="20" t="s">
        <v>109</v>
      </c>
      <c r="J109" s="20" t="s">
        <v>132</v>
      </c>
      <c r="K109" s="22"/>
      <c r="L109" s="22"/>
      <c r="M109" s="20" t="s">
        <v>81</v>
      </c>
      <c r="N109" s="23" t="s">
        <v>92</v>
      </c>
      <c r="O109" s="23" t="s">
        <v>133</v>
      </c>
      <c r="P109" s="23" t="s">
        <v>84</v>
      </c>
      <c r="Q109" s="23" t="str">
        <f aca="false">IF(A109="UNDATED LEAD","UNRESOLVED",IF(M109="N","EXCEPTION",IF(A109="SKIP",IF(ISNUMBER(SEARCH("_skip_justification.pdf",N109)),"CLEAR - FILE VERIFIED","CLEAR ON EXPORT"),"CLEAR ON LOG")))</f>
        <v>CLEAR ON EXPORT</v>
      </c>
      <c r="R109" s="23" t="str">
        <f aca="false">IF(Q109="UNRESOLVED","PRIORITY 1 - OBTAIN FILE",IF(Q109&lt;&gt;"EXCEPTION","NONE",IF(OR(AND(A109="LOA AMENDMENT",P109="UNRESOLVED USE"),AND(A109="SKIP",OR(E109="WL-02618",E109="WL-03044",E109="WL-03390"))),"PRIORITY 1",IF(A109="SKIP","PRIORITY 2","PRIORITY 3"))))</f>
        <v>NONE</v>
      </c>
      <c r="S109" s="23"/>
      <c r="T109" s="23" t="s">
        <v>725</v>
      </c>
      <c r="U109" s="23" t="s">
        <v>86</v>
      </c>
    </row>
    <row r="110" customFormat="false" ht="17.9" hidden="false" customHeight="false" outlineLevel="0" collapsed="false">
      <c r="A110" s="20" t="s">
        <v>73</v>
      </c>
      <c r="B110" s="21" t="n">
        <v>45353</v>
      </c>
      <c r="C110" s="20" t="s">
        <v>726</v>
      </c>
      <c r="D110" s="20" t="s">
        <v>727</v>
      </c>
      <c r="E110" s="20" t="s">
        <v>728</v>
      </c>
      <c r="F110" s="20" t="s">
        <v>729</v>
      </c>
      <c r="G110" s="20" t="n">
        <v>1769</v>
      </c>
      <c r="H110" s="20" t="s">
        <v>730</v>
      </c>
      <c r="I110" s="20" t="s">
        <v>109</v>
      </c>
      <c r="J110" s="20" t="s">
        <v>132</v>
      </c>
      <c r="K110" s="22"/>
      <c r="L110" s="22"/>
      <c r="M110" s="20" t="s">
        <v>81</v>
      </c>
      <c r="N110" s="23" t="s">
        <v>82</v>
      </c>
      <c r="O110" s="23" t="s">
        <v>133</v>
      </c>
      <c r="P110" s="23" t="s">
        <v>84</v>
      </c>
      <c r="Q110" s="23" t="str">
        <f aca="false">IF(A110="UNDATED LEAD","UNRESOLVED",IF(M110="N","EXCEPTION",IF(A110="SKIP",IF(ISNUMBER(SEARCH("_skip_justification.pdf",N110)),"CLEAR - FILE VERIFIED","CLEAR ON EXPORT"),"CLEAR ON LOG")))</f>
        <v>CLEAR ON EXPORT</v>
      </c>
      <c r="R110" s="23" t="str">
        <f aca="false">IF(Q110="UNRESOLVED","PRIORITY 1 - OBTAIN FILE",IF(Q110&lt;&gt;"EXCEPTION","NONE",IF(OR(AND(A110="LOA AMENDMENT",P110="UNRESOLVED USE"),AND(A110="SKIP",OR(E110="WL-02618",E110="WL-03044",E110="WL-03390"))),"PRIORITY 1",IF(A110="SKIP","PRIORITY 2","PRIORITY 3"))))</f>
        <v>NONE</v>
      </c>
      <c r="S110" s="23"/>
      <c r="T110" s="23" t="s">
        <v>731</v>
      </c>
      <c r="U110" s="23" t="s">
        <v>86</v>
      </c>
    </row>
    <row r="111" customFormat="false" ht="17.9" hidden="false" customHeight="false" outlineLevel="0" collapsed="false">
      <c r="A111" s="20" t="s">
        <v>73</v>
      </c>
      <c r="B111" s="21" t="n">
        <v>45370</v>
      </c>
      <c r="C111" s="20" t="s">
        <v>732</v>
      </c>
      <c r="D111" s="20" t="s">
        <v>707</v>
      </c>
      <c r="E111" s="20" t="s">
        <v>733</v>
      </c>
      <c r="F111" s="20" t="s">
        <v>734</v>
      </c>
      <c r="G111" s="20" t="n">
        <v>1877</v>
      </c>
      <c r="H111" s="20" t="s">
        <v>735</v>
      </c>
      <c r="I111" s="20" t="s">
        <v>119</v>
      </c>
      <c r="J111" s="20" t="s">
        <v>80</v>
      </c>
      <c r="K111" s="22"/>
      <c r="L111" s="22"/>
      <c r="M111" s="20" t="s">
        <v>81</v>
      </c>
      <c r="N111" s="23" t="s">
        <v>736</v>
      </c>
      <c r="O111" s="23" t="s">
        <v>83</v>
      </c>
      <c r="P111" s="23" t="s">
        <v>84</v>
      </c>
      <c r="Q111" s="23" t="str">
        <f aca="false">IF(A111="UNDATED LEAD","UNRESOLVED",IF(M111="N","EXCEPTION",IF(A111="SKIP",IF(ISNUMBER(SEARCH("_skip_justification.pdf",N111)),"CLEAR - FILE VERIFIED","CLEAR ON EXPORT"),"CLEAR ON LOG")))</f>
        <v>CLEAR - FILE VERIFIED</v>
      </c>
      <c r="R111" s="23" t="str">
        <f aca="false">IF(Q111="UNRESOLVED","PRIORITY 1 - OBTAIN FILE",IF(Q111&lt;&gt;"EXCEPTION","NONE",IF(OR(AND(A111="LOA AMENDMENT",P111="UNRESOLVED USE"),AND(A111="SKIP",OR(E111="WL-02618",E111="WL-03044",E111="WL-03390"))),"PRIORITY 1",IF(A111="SKIP","PRIORITY 2","PRIORITY 3"))))</f>
        <v>NONE</v>
      </c>
      <c r="S111" s="23" t="s">
        <v>737</v>
      </c>
      <c r="T111" s="23" t="s">
        <v>738</v>
      </c>
      <c r="U111" s="23" t="s">
        <v>86</v>
      </c>
    </row>
    <row r="112" customFormat="false" ht="17.9" hidden="false" customHeight="false" outlineLevel="0" collapsed="false">
      <c r="A112" s="20" t="s">
        <v>73</v>
      </c>
      <c r="B112" s="21" t="n">
        <v>45371</v>
      </c>
      <c r="C112" s="20" t="s">
        <v>739</v>
      </c>
      <c r="D112" s="20" t="s">
        <v>740</v>
      </c>
      <c r="E112" s="20" t="s">
        <v>741</v>
      </c>
      <c r="F112" s="20" t="s">
        <v>742</v>
      </c>
      <c r="G112" s="20" t="n">
        <v>2661</v>
      </c>
      <c r="H112" s="20" t="s">
        <v>743</v>
      </c>
      <c r="I112" s="20" t="s">
        <v>109</v>
      </c>
      <c r="J112" s="20" t="s">
        <v>80</v>
      </c>
      <c r="K112" s="22"/>
      <c r="L112" s="22"/>
      <c r="M112" s="20" t="s">
        <v>81</v>
      </c>
      <c r="N112" s="23" t="s">
        <v>92</v>
      </c>
      <c r="O112" s="23" t="s">
        <v>83</v>
      </c>
      <c r="P112" s="23" t="s">
        <v>84</v>
      </c>
      <c r="Q112" s="23" t="str">
        <f aca="false">IF(A112="UNDATED LEAD","UNRESOLVED",IF(M112="N","EXCEPTION",IF(A112="SKIP",IF(ISNUMBER(SEARCH("_skip_justification.pdf",N112)),"CLEAR - FILE VERIFIED","CLEAR ON EXPORT"),"CLEAR ON LOG")))</f>
        <v>CLEAR ON EXPORT</v>
      </c>
      <c r="R112" s="23" t="str">
        <f aca="false">IF(Q112="UNRESOLVED","PRIORITY 1 - OBTAIN FILE",IF(Q112&lt;&gt;"EXCEPTION","NONE",IF(OR(AND(A112="LOA AMENDMENT",P112="UNRESOLVED USE"),AND(A112="SKIP",OR(E112="WL-02618",E112="WL-03044",E112="WL-03390"))),"PRIORITY 1",IF(A112="SKIP","PRIORITY 2","PRIORITY 3"))))</f>
        <v>NONE</v>
      </c>
      <c r="S112" s="23"/>
      <c r="T112" s="23" t="s">
        <v>744</v>
      </c>
      <c r="U112" s="23" t="s">
        <v>86</v>
      </c>
    </row>
    <row r="113" customFormat="false" ht="17.9" hidden="false" customHeight="false" outlineLevel="0" collapsed="false">
      <c r="A113" s="20" t="s">
        <v>73</v>
      </c>
      <c r="B113" s="21" t="n">
        <v>45373</v>
      </c>
      <c r="C113" s="20" t="s">
        <v>745</v>
      </c>
      <c r="D113" s="20" t="s">
        <v>746</v>
      </c>
      <c r="E113" s="20" t="s">
        <v>747</v>
      </c>
      <c r="F113" s="20" t="s">
        <v>748</v>
      </c>
      <c r="G113" s="20" t="n">
        <v>1027</v>
      </c>
      <c r="H113" s="20" t="s">
        <v>525</v>
      </c>
      <c r="I113" s="20" t="s">
        <v>119</v>
      </c>
      <c r="J113" s="20" t="s">
        <v>100</v>
      </c>
      <c r="K113" s="22"/>
      <c r="L113" s="22"/>
      <c r="M113" s="20" t="s">
        <v>81</v>
      </c>
      <c r="N113" s="23" t="s">
        <v>101</v>
      </c>
      <c r="O113" s="23" t="s">
        <v>102</v>
      </c>
      <c r="P113" s="23" t="s">
        <v>84</v>
      </c>
      <c r="Q113" s="23" t="str">
        <f aca="false">IF(A113="UNDATED LEAD","UNRESOLVED",IF(M113="N","EXCEPTION",IF(A113="SKIP",IF(ISNUMBER(SEARCH("_skip_justification.pdf",N113)),"CLEAR - FILE VERIFIED","CLEAR ON EXPORT"),"CLEAR ON LOG")))</f>
        <v>CLEAR ON EXPORT</v>
      </c>
      <c r="R113" s="23" t="str">
        <f aca="false">IF(Q113="UNRESOLVED","PRIORITY 1 - OBTAIN FILE",IF(Q113&lt;&gt;"EXCEPTION","NONE",IF(OR(AND(A113="LOA AMENDMENT",P113="UNRESOLVED USE"),AND(A113="SKIP",OR(E113="WL-02618",E113="WL-03044",E113="WL-03390"))),"PRIORITY 1",IF(A113="SKIP","PRIORITY 2","PRIORITY 3"))))</f>
        <v>NONE</v>
      </c>
      <c r="S113" s="23"/>
      <c r="T113" s="23" t="s">
        <v>749</v>
      </c>
      <c r="U113" s="23" t="s">
        <v>86</v>
      </c>
    </row>
    <row r="114" customFormat="false" ht="17.9" hidden="false" customHeight="false" outlineLevel="0" collapsed="false">
      <c r="A114" s="20" t="s">
        <v>73</v>
      </c>
      <c r="B114" s="21" t="n">
        <v>45374</v>
      </c>
      <c r="C114" s="20" t="s">
        <v>750</v>
      </c>
      <c r="D114" s="20" t="s">
        <v>751</v>
      </c>
      <c r="E114" s="20" t="s">
        <v>752</v>
      </c>
      <c r="F114" s="20" t="s">
        <v>753</v>
      </c>
      <c r="G114" s="20" t="n">
        <v>1629</v>
      </c>
      <c r="H114" s="20" t="s">
        <v>754</v>
      </c>
      <c r="I114" s="20" t="s">
        <v>99</v>
      </c>
      <c r="J114" s="20" t="s">
        <v>80</v>
      </c>
      <c r="K114" s="22"/>
      <c r="L114" s="22"/>
      <c r="M114" s="20" t="s">
        <v>81</v>
      </c>
      <c r="N114" s="23" t="s">
        <v>140</v>
      </c>
      <c r="O114" s="23" t="s">
        <v>83</v>
      </c>
      <c r="P114" s="23" t="s">
        <v>84</v>
      </c>
      <c r="Q114" s="23" t="str">
        <f aca="false">IF(A114="UNDATED LEAD","UNRESOLVED",IF(M114="N","EXCEPTION",IF(A114="SKIP",IF(ISNUMBER(SEARCH("_skip_justification.pdf",N114)),"CLEAR - FILE VERIFIED","CLEAR ON EXPORT"),"CLEAR ON LOG")))</f>
        <v>CLEAR ON EXPORT</v>
      </c>
      <c r="R114" s="23" t="str">
        <f aca="false">IF(Q114="UNRESOLVED","PRIORITY 1 - OBTAIN FILE",IF(Q114&lt;&gt;"EXCEPTION","NONE",IF(OR(AND(A114="LOA AMENDMENT",P114="UNRESOLVED USE"),AND(A114="SKIP",OR(E114="WL-02618",E114="WL-03044",E114="WL-03390"))),"PRIORITY 1",IF(A114="SKIP","PRIORITY 2","PRIORITY 3"))))</f>
        <v>NONE</v>
      </c>
      <c r="S114" s="23"/>
      <c r="T114" s="23" t="s">
        <v>755</v>
      </c>
      <c r="U114" s="23" t="s">
        <v>86</v>
      </c>
    </row>
    <row r="115" customFormat="false" ht="17.9" hidden="false" customHeight="false" outlineLevel="0" collapsed="false">
      <c r="A115" s="20" t="s">
        <v>73</v>
      </c>
      <c r="B115" s="21" t="n">
        <v>45376</v>
      </c>
      <c r="C115" s="20" t="s">
        <v>756</v>
      </c>
      <c r="D115" s="20" t="s">
        <v>757</v>
      </c>
      <c r="E115" s="20" t="s">
        <v>758</v>
      </c>
      <c r="F115" s="20" t="s">
        <v>759</v>
      </c>
      <c r="G115" s="20" t="n">
        <v>1274</v>
      </c>
      <c r="H115" s="20" t="s">
        <v>760</v>
      </c>
      <c r="I115" s="20" t="s">
        <v>99</v>
      </c>
      <c r="J115" s="20" t="s">
        <v>80</v>
      </c>
      <c r="K115" s="22"/>
      <c r="L115" s="22"/>
      <c r="M115" s="20" t="s">
        <v>81</v>
      </c>
      <c r="N115" s="23" t="s">
        <v>101</v>
      </c>
      <c r="O115" s="23" t="s">
        <v>83</v>
      </c>
      <c r="P115" s="23" t="s">
        <v>84</v>
      </c>
      <c r="Q115" s="23" t="str">
        <f aca="false">IF(A115="UNDATED LEAD","UNRESOLVED",IF(M115="N","EXCEPTION",IF(A115="SKIP",IF(ISNUMBER(SEARCH("_skip_justification.pdf",N115)),"CLEAR - FILE VERIFIED","CLEAR ON EXPORT"),"CLEAR ON LOG")))</f>
        <v>CLEAR ON EXPORT</v>
      </c>
      <c r="R115" s="23" t="str">
        <f aca="false">IF(Q115="UNRESOLVED","PRIORITY 1 - OBTAIN FILE",IF(Q115&lt;&gt;"EXCEPTION","NONE",IF(OR(AND(A115="LOA AMENDMENT",P115="UNRESOLVED USE"),AND(A115="SKIP",OR(E115="WL-02618",E115="WL-03044",E115="WL-03390"))),"PRIORITY 1",IF(A115="SKIP","PRIORITY 2","PRIORITY 3"))))</f>
        <v>NONE</v>
      </c>
      <c r="S115" s="23"/>
      <c r="T115" s="23" t="s">
        <v>761</v>
      </c>
      <c r="U115" s="23" t="s">
        <v>86</v>
      </c>
    </row>
    <row r="116" customFormat="false" ht="17.9" hidden="false" customHeight="false" outlineLevel="0" collapsed="false">
      <c r="A116" s="20" t="s">
        <v>73</v>
      </c>
      <c r="B116" s="21" t="n">
        <v>45378</v>
      </c>
      <c r="C116" s="20" t="s">
        <v>762</v>
      </c>
      <c r="D116" s="20" t="s">
        <v>763</v>
      </c>
      <c r="E116" s="20" t="s">
        <v>764</v>
      </c>
      <c r="F116" s="20" t="s">
        <v>765</v>
      </c>
      <c r="G116" s="20" t="n">
        <v>2185</v>
      </c>
      <c r="H116" s="20" t="s">
        <v>766</v>
      </c>
      <c r="I116" s="20" t="s">
        <v>166</v>
      </c>
      <c r="J116" s="20" t="s">
        <v>80</v>
      </c>
      <c r="K116" s="22"/>
      <c r="L116" s="22"/>
      <c r="M116" s="20" t="s">
        <v>81</v>
      </c>
      <c r="N116" s="23" t="s">
        <v>82</v>
      </c>
      <c r="O116" s="23" t="s">
        <v>83</v>
      </c>
      <c r="P116" s="23" t="s">
        <v>84</v>
      </c>
      <c r="Q116" s="23" t="str">
        <f aca="false">IF(A116="UNDATED LEAD","UNRESOLVED",IF(M116="N","EXCEPTION",IF(A116="SKIP",IF(ISNUMBER(SEARCH("_skip_justification.pdf",N116)),"CLEAR - FILE VERIFIED","CLEAR ON EXPORT"),"CLEAR ON LOG")))</f>
        <v>CLEAR ON EXPORT</v>
      </c>
      <c r="R116" s="23" t="str">
        <f aca="false">IF(Q116="UNRESOLVED","PRIORITY 1 - OBTAIN FILE",IF(Q116&lt;&gt;"EXCEPTION","NONE",IF(OR(AND(A116="LOA AMENDMENT",P116="UNRESOLVED USE"),AND(A116="SKIP",OR(E116="WL-02618",E116="WL-03044",E116="WL-03390"))),"PRIORITY 1",IF(A116="SKIP","PRIORITY 2","PRIORITY 3"))))</f>
        <v>NONE</v>
      </c>
      <c r="S116" s="23"/>
      <c r="T116" s="23" t="s">
        <v>767</v>
      </c>
      <c r="U116" s="23" t="s">
        <v>86</v>
      </c>
    </row>
    <row r="117" customFormat="false" ht="17.9" hidden="false" customHeight="false" outlineLevel="0" collapsed="false">
      <c r="A117" s="20" t="s">
        <v>73</v>
      </c>
      <c r="B117" s="21" t="n">
        <v>45379</v>
      </c>
      <c r="C117" s="20" t="s">
        <v>768</v>
      </c>
      <c r="D117" s="20" t="s">
        <v>769</v>
      </c>
      <c r="E117" s="20" t="s">
        <v>770</v>
      </c>
      <c r="F117" s="20" t="s">
        <v>771</v>
      </c>
      <c r="G117" s="20" t="n">
        <v>2621</v>
      </c>
      <c r="H117" s="20" t="s">
        <v>772</v>
      </c>
      <c r="I117" s="20" t="s">
        <v>166</v>
      </c>
      <c r="J117" s="20" t="s">
        <v>132</v>
      </c>
      <c r="K117" s="22"/>
      <c r="L117" s="22"/>
      <c r="M117" s="20" t="s">
        <v>81</v>
      </c>
      <c r="N117" s="23" t="s">
        <v>82</v>
      </c>
      <c r="O117" s="23" t="s">
        <v>133</v>
      </c>
      <c r="P117" s="23" t="s">
        <v>84</v>
      </c>
      <c r="Q117" s="23" t="str">
        <f aca="false">IF(A117="UNDATED LEAD","UNRESOLVED",IF(M117="N","EXCEPTION",IF(A117="SKIP",IF(ISNUMBER(SEARCH("_skip_justification.pdf",N117)),"CLEAR - FILE VERIFIED","CLEAR ON EXPORT"),"CLEAR ON LOG")))</f>
        <v>CLEAR ON EXPORT</v>
      </c>
      <c r="R117" s="23" t="str">
        <f aca="false">IF(Q117="UNRESOLVED","PRIORITY 1 - OBTAIN FILE",IF(Q117&lt;&gt;"EXCEPTION","NONE",IF(OR(AND(A117="LOA AMENDMENT",P117="UNRESOLVED USE"),AND(A117="SKIP",OR(E117="WL-02618",E117="WL-03044",E117="WL-03390"))),"PRIORITY 1",IF(A117="SKIP","PRIORITY 2","PRIORITY 3"))))</f>
        <v>NONE</v>
      </c>
      <c r="S117" s="23"/>
      <c r="T117" s="23" t="s">
        <v>773</v>
      </c>
      <c r="U117" s="23" t="s">
        <v>86</v>
      </c>
    </row>
    <row r="118" customFormat="false" ht="17.9" hidden="false" customHeight="false" outlineLevel="0" collapsed="false">
      <c r="A118" s="20" t="s">
        <v>73</v>
      </c>
      <c r="B118" s="21" t="n">
        <v>45384</v>
      </c>
      <c r="C118" s="20" t="s">
        <v>774</v>
      </c>
      <c r="D118" s="20" t="s">
        <v>775</v>
      </c>
      <c r="E118" s="20" t="s">
        <v>776</v>
      </c>
      <c r="F118" s="20" t="s">
        <v>777</v>
      </c>
      <c r="G118" s="20" t="n">
        <v>950</v>
      </c>
      <c r="H118" s="20" t="s">
        <v>778</v>
      </c>
      <c r="I118" s="20" t="s">
        <v>109</v>
      </c>
      <c r="J118" s="20" t="s">
        <v>80</v>
      </c>
      <c r="K118" s="22"/>
      <c r="L118" s="22"/>
      <c r="M118" s="20" t="s">
        <v>110</v>
      </c>
      <c r="N118" s="23" t="s">
        <v>368</v>
      </c>
      <c r="O118" s="23" t="s">
        <v>83</v>
      </c>
      <c r="P118" s="23" t="s">
        <v>84</v>
      </c>
      <c r="Q118" s="23" t="str">
        <f aca="false">IF(A118="UNDATED LEAD","UNRESOLVED",IF(M118="N","EXCEPTION",IF(A118="SKIP",IF(ISNUMBER(SEARCH("_skip_justification.pdf",N118)),"CLEAR - FILE VERIFIED","CLEAR ON EXPORT"),"CLEAR ON LOG")))</f>
        <v>EXCEPTION</v>
      </c>
      <c r="R118" s="23" t="str">
        <f aca="false">IF(Q118="UNRESOLVED","PRIORITY 1 - OBTAIN FILE",IF(Q118&lt;&gt;"EXCEPTION","NONE",IF(OR(AND(A118="LOA AMENDMENT",P118="UNRESOLVED USE"),AND(A118="SKIP",OR(E118="WL-02618",E118="WL-03044",E118="WL-03390"))),"PRIORITY 1",IF(A118="SKIP","PRIORITY 2","PRIORITY 3"))))</f>
        <v>PRIORITY 2</v>
      </c>
      <c r="S118" s="23" t="s">
        <v>779</v>
      </c>
      <c r="T118" s="23" t="s">
        <v>780</v>
      </c>
      <c r="U118" s="23" t="s">
        <v>86</v>
      </c>
    </row>
    <row r="119" customFormat="false" ht="17.9" hidden="false" customHeight="false" outlineLevel="0" collapsed="false">
      <c r="A119" s="20" t="s">
        <v>73</v>
      </c>
      <c r="B119" s="21" t="n">
        <v>45390</v>
      </c>
      <c r="C119" s="20" t="s">
        <v>781</v>
      </c>
      <c r="D119" s="20" t="s">
        <v>782</v>
      </c>
      <c r="E119" s="20" t="s">
        <v>783</v>
      </c>
      <c r="F119" s="20" t="s">
        <v>784</v>
      </c>
      <c r="G119" s="20" t="n">
        <v>2018</v>
      </c>
      <c r="H119" s="20" t="s">
        <v>785</v>
      </c>
      <c r="I119" s="20" t="s">
        <v>99</v>
      </c>
      <c r="J119" s="20" t="s">
        <v>80</v>
      </c>
      <c r="K119" s="22"/>
      <c r="L119" s="22"/>
      <c r="M119" s="20" t="s">
        <v>81</v>
      </c>
      <c r="N119" s="23" t="s">
        <v>140</v>
      </c>
      <c r="O119" s="23" t="s">
        <v>83</v>
      </c>
      <c r="P119" s="23" t="s">
        <v>84</v>
      </c>
      <c r="Q119" s="23" t="str">
        <f aca="false">IF(A119="UNDATED LEAD","UNRESOLVED",IF(M119="N","EXCEPTION",IF(A119="SKIP",IF(ISNUMBER(SEARCH("_skip_justification.pdf",N119)),"CLEAR - FILE VERIFIED","CLEAR ON EXPORT"),"CLEAR ON LOG")))</f>
        <v>CLEAR ON EXPORT</v>
      </c>
      <c r="R119" s="23" t="str">
        <f aca="false">IF(Q119="UNRESOLVED","PRIORITY 1 - OBTAIN FILE",IF(Q119&lt;&gt;"EXCEPTION","NONE",IF(OR(AND(A119="LOA AMENDMENT",P119="UNRESOLVED USE"),AND(A119="SKIP",OR(E119="WL-02618",E119="WL-03044",E119="WL-03390"))),"PRIORITY 1",IF(A119="SKIP","PRIORITY 2","PRIORITY 3"))))</f>
        <v>NONE</v>
      </c>
      <c r="S119" s="23"/>
      <c r="T119" s="23" t="s">
        <v>786</v>
      </c>
      <c r="U119" s="23" t="s">
        <v>86</v>
      </c>
    </row>
    <row r="120" customFormat="false" ht="17.9" hidden="false" customHeight="false" outlineLevel="0" collapsed="false">
      <c r="A120" s="20" t="s">
        <v>73</v>
      </c>
      <c r="B120" s="21" t="n">
        <v>45403</v>
      </c>
      <c r="C120" s="20" t="s">
        <v>787</v>
      </c>
      <c r="D120" s="20" t="s">
        <v>788</v>
      </c>
      <c r="E120" s="20" t="s">
        <v>789</v>
      </c>
      <c r="F120" s="20" t="s">
        <v>790</v>
      </c>
      <c r="G120" s="20" t="n">
        <v>1948</v>
      </c>
      <c r="H120" s="20" t="s">
        <v>791</v>
      </c>
      <c r="I120" s="20" t="s">
        <v>119</v>
      </c>
      <c r="J120" s="20" t="s">
        <v>80</v>
      </c>
      <c r="K120" s="22"/>
      <c r="L120" s="22"/>
      <c r="M120" s="20" t="s">
        <v>110</v>
      </c>
      <c r="N120" s="23" t="s">
        <v>111</v>
      </c>
      <c r="O120" s="23" t="s">
        <v>83</v>
      </c>
      <c r="P120" s="23" t="s">
        <v>84</v>
      </c>
      <c r="Q120" s="23" t="str">
        <f aca="false">IF(A120="UNDATED LEAD","UNRESOLVED",IF(M120="N","EXCEPTION",IF(A120="SKIP",IF(ISNUMBER(SEARCH("_skip_justification.pdf",N120)),"CLEAR - FILE VERIFIED","CLEAR ON EXPORT"),"CLEAR ON LOG")))</f>
        <v>EXCEPTION</v>
      </c>
      <c r="R120" s="23" t="str">
        <f aca="false">IF(Q120="UNRESOLVED","PRIORITY 1 - OBTAIN FILE",IF(Q120&lt;&gt;"EXCEPTION","NONE",IF(OR(AND(A120="LOA AMENDMENT",P120="UNRESOLVED USE"),AND(A120="SKIP",OR(E120="WL-02618",E120="WL-03044",E120="WL-03390"))),"PRIORITY 1",IF(A120="SKIP","PRIORITY 2","PRIORITY 3"))))</f>
        <v>PRIORITY 2</v>
      </c>
      <c r="S120" s="23" t="s">
        <v>792</v>
      </c>
      <c r="T120" s="23" t="s">
        <v>793</v>
      </c>
      <c r="U120" s="23" t="s">
        <v>86</v>
      </c>
    </row>
    <row r="121" customFormat="false" ht="17.9" hidden="false" customHeight="false" outlineLevel="0" collapsed="false">
      <c r="A121" s="20" t="s">
        <v>73</v>
      </c>
      <c r="B121" s="21" t="n">
        <v>45407</v>
      </c>
      <c r="C121" s="20" t="s">
        <v>794</v>
      </c>
      <c r="D121" s="20" t="s">
        <v>795</v>
      </c>
      <c r="E121" s="20" t="s">
        <v>796</v>
      </c>
      <c r="F121" s="20" t="s">
        <v>797</v>
      </c>
      <c r="G121" s="20" t="n">
        <v>1895</v>
      </c>
      <c r="H121" s="20" t="s">
        <v>798</v>
      </c>
      <c r="I121" s="20" t="s">
        <v>109</v>
      </c>
      <c r="J121" s="20" t="s">
        <v>80</v>
      </c>
      <c r="K121" s="22"/>
      <c r="L121" s="22"/>
      <c r="M121" s="20" t="s">
        <v>81</v>
      </c>
      <c r="N121" s="23" t="s">
        <v>92</v>
      </c>
      <c r="O121" s="23" t="s">
        <v>83</v>
      </c>
      <c r="P121" s="23" t="s">
        <v>84</v>
      </c>
      <c r="Q121" s="23" t="str">
        <f aca="false">IF(A121="UNDATED LEAD","UNRESOLVED",IF(M121="N","EXCEPTION",IF(A121="SKIP",IF(ISNUMBER(SEARCH("_skip_justification.pdf",N121)),"CLEAR - FILE VERIFIED","CLEAR ON EXPORT"),"CLEAR ON LOG")))</f>
        <v>CLEAR ON EXPORT</v>
      </c>
      <c r="R121" s="23" t="str">
        <f aca="false">IF(Q121="UNRESOLVED","PRIORITY 1 - OBTAIN FILE",IF(Q121&lt;&gt;"EXCEPTION","NONE",IF(OR(AND(A121="LOA AMENDMENT",P121="UNRESOLVED USE"),AND(A121="SKIP",OR(E121="WL-02618",E121="WL-03044",E121="WL-03390"))),"PRIORITY 1",IF(A121="SKIP","PRIORITY 2","PRIORITY 3"))))</f>
        <v>NONE</v>
      </c>
      <c r="S121" s="23"/>
      <c r="T121" s="23" t="s">
        <v>799</v>
      </c>
      <c r="U121" s="23" t="s">
        <v>86</v>
      </c>
    </row>
    <row r="122" customFormat="false" ht="17.9" hidden="false" customHeight="false" outlineLevel="0" collapsed="false">
      <c r="A122" s="20" t="s">
        <v>73</v>
      </c>
      <c r="B122" s="21" t="n">
        <v>45413</v>
      </c>
      <c r="C122" s="20" t="s">
        <v>800</v>
      </c>
      <c r="D122" s="20" t="s">
        <v>801</v>
      </c>
      <c r="E122" s="20" t="s">
        <v>802</v>
      </c>
      <c r="F122" s="20" t="s">
        <v>803</v>
      </c>
      <c r="G122" s="20" t="n">
        <v>318</v>
      </c>
      <c r="H122" s="20" t="s">
        <v>313</v>
      </c>
      <c r="I122" s="20" t="s">
        <v>166</v>
      </c>
      <c r="J122" s="20" t="s">
        <v>147</v>
      </c>
      <c r="K122" s="22"/>
      <c r="L122" s="22"/>
      <c r="M122" s="20" t="s">
        <v>81</v>
      </c>
      <c r="N122" s="23" t="s">
        <v>140</v>
      </c>
      <c r="O122" s="23" t="s">
        <v>148</v>
      </c>
      <c r="P122" s="23" t="s">
        <v>84</v>
      </c>
      <c r="Q122" s="23" t="str">
        <f aca="false">IF(A122="UNDATED LEAD","UNRESOLVED",IF(M122="N","EXCEPTION",IF(A122="SKIP",IF(ISNUMBER(SEARCH("_skip_justification.pdf",N122)),"CLEAR - FILE VERIFIED","CLEAR ON EXPORT"),"CLEAR ON LOG")))</f>
        <v>CLEAR ON EXPORT</v>
      </c>
      <c r="R122" s="23" t="str">
        <f aca="false">IF(Q122="UNRESOLVED","PRIORITY 1 - OBTAIN FILE",IF(Q122&lt;&gt;"EXCEPTION","NONE",IF(OR(AND(A122="LOA AMENDMENT",P122="UNRESOLVED USE"),AND(A122="SKIP",OR(E122="WL-02618",E122="WL-03044",E122="WL-03390"))),"PRIORITY 1",IF(A122="SKIP","PRIORITY 2","PRIORITY 3"))))</f>
        <v>NONE</v>
      </c>
      <c r="S122" s="23"/>
      <c r="T122" s="23" t="s">
        <v>804</v>
      </c>
      <c r="U122" s="23" t="s">
        <v>86</v>
      </c>
    </row>
    <row r="123" customFormat="false" ht="17.9" hidden="false" customHeight="false" outlineLevel="0" collapsed="false">
      <c r="A123" s="20" t="s">
        <v>73</v>
      </c>
      <c r="B123" s="21" t="n">
        <v>45420</v>
      </c>
      <c r="C123" s="20" t="s">
        <v>805</v>
      </c>
      <c r="D123" s="20" t="s">
        <v>806</v>
      </c>
      <c r="E123" s="20" t="s">
        <v>807</v>
      </c>
      <c r="F123" s="20" t="s">
        <v>808</v>
      </c>
      <c r="G123" s="20" t="n">
        <v>1305</v>
      </c>
      <c r="H123" s="20" t="s">
        <v>809</v>
      </c>
      <c r="I123" s="20" t="s">
        <v>119</v>
      </c>
      <c r="J123" s="20" t="s">
        <v>132</v>
      </c>
      <c r="K123" s="22"/>
      <c r="L123" s="22"/>
      <c r="M123" s="20" t="s">
        <v>81</v>
      </c>
      <c r="N123" s="23" t="s">
        <v>140</v>
      </c>
      <c r="O123" s="23" t="s">
        <v>133</v>
      </c>
      <c r="P123" s="23" t="s">
        <v>84</v>
      </c>
      <c r="Q123" s="23" t="str">
        <f aca="false">IF(A123="UNDATED LEAD","UNRESOLVED",IF(M123="N","EXCEPTION",IF(A123="SKIP",IF(ISNUMBER(SEARCH("_skip_justification.pdf",N123)),"CLEAR - FILE VERIFIED","CLEAR ON EXPORT"),"CLEAR ON LOG")))</f>
        <v>CLEAR ON EXPORT</v>
      </c>
      <c r="R123" s="23" t="str">
        <f aca="false">IF(Q123="UNRESOLVED","PRIORITY 1 - OBTAIN FILE",IF(Q123&lt;&gt;"EXCEPTION","NONE",IF(OR(AND(A123="LOA AMENDMENT",P123="UNRESOLVED USE"),AND(A123="SKIP",OR(E123="WL-02618",E123="WL-03044",E123="WL-03390"))),"PRIORITY 1",IF(A123="SKIP","PRIORITY 2","PRIORITY 3"))))</f>
        <v>NONE</v>
      </c>
      <c r="S123" s="23"/>
      <c r="T123" s="23" t="s">
        <v>810</v>
      </c>
      <c r="U123" s="23" t="s">
        <v>86</v>
      </c>
    </row>
    <row r="124" customFormat="false" ht="17.9" hidden="false" customHeight="false" outlineLevel="0" collapsed="false">
      <c r="A124" s="20" t="s">
        <v>73</v>
      </c>
      <c r="B124" s="21" t="n">
        <v>45425</v>
      </c>
      <c r="C124" s="20" t="s">
        <v>811</v>
      </c>
      <c r="D124" s="20" t="s">
        <v>812</v>
      </c>
      <c r="E124" s="20" t="s">
        <v>813</v>
      </c>
      <c r="F124" s="20" t="s">
        <v>138</v>
      </c>
      <c r="G124" s="20" t="n">
        <v>675</v>
      </c>
      <c r="H124" s="20" t="s">
        <v>814</v>
      </c>
      <c r="I124" s="20" t="s">
        <v>99</v>
      </c>
      <c r="J124" s="20" t="s">
        <v>147</v>
      </c>
      <c r="K124" s="22"/>
      <c r="L124" s="22"/>
      <c r="M124" s="20" t="s">
        <v>81</v>
      </c>
      <c r="N124" s="23" t="s">
        <v>92</v>
      </c>
      <c r="O124" s="23" t="s">
        <v>148</v>
      </c>
      <c r="P124" s="23" t="s">
        <v>84</v>
      </c>
      <c r="Q124" s="23" t="str">
        <f aca="false">IF(A124="UNDATED LEAD","UNRESOLVED",IF(M124="N","EXCEPTION",IF(A124="SKIP",IF(ISNUMBER(SEARCH("_skip_justification.pdf",N124)),"CLEAR - FILE VERIFIED","CLEAR ON EXPORT"),"CLEAR ON LOG")))</f>
        <v>CLEAR ON EXPORT</v>
      </c>
      <c r="R124" s="23" t="str">
        <f aca="false">IF(Q124="UNRESOLVED","PRIORITY 1 - OBTAIN FILE",IF(Q124&lt;&gt;"EXCEPTION","NONE",IF(OR(AND(A124="LOA AMENDMENT",P124="UNRESOLVED USE"),AND(A124="SKIP",OR(E124="WL-02618",E124="WL-03044",E124="WL-03390"))),"PRIORITY 1",IF(A124="SKIP","PRIORITY 2","PRIORITY 3"))))</f>
        <v>NONE</v>
      </c>
      <c r="S124" s="23"/>
      <c r="T124" s="23" t="s">
        <v>815</v>
      </c>
      <c r="U124" s="23" t="s">
        <v>86</v>
      </c>
    </row>
    <row r="125" customFormat="false" ht="17.9" hidden="false" customHeight="false" outlineLevel="0" collapsed="false">
      <c r="A125" s="20" t="s">
        <v>73</v>
      </c>
      <c r="B125" s="21" t="n">
        <v>45427</v>
      </c>
      <c r="C125" s="20" t="s">
        <v>816</v>
      </c>
      <c r="D125" s="20" t="s">
        <v>817</v>
      </c>
      <c r="E125" s="20" t="s">
        <v>818</v>
      </c>
      <c r="F125" s="20" t="s">
        <v>819</v>
      </c>
      <c r="G125" s="20" t="n">
        <v>753</v>
      </c>
      <c r="H125" s="20" t="s">
        <v>820</v>
      </c>
      <c r="I125" s="20" t="s">
        <v>79</v>
      </c>
      <c r="J125" s="20" t="s">
        <v>132</v>
      </c>
      <c r="K125" s="22"/>
      <c r="L125" s="22"/>
      <c r="M125" s="20" t="s">
        <v>81</v>
      </c>
      <c r="N125" s="23" t="s">
        <v>92</v>
      </c>
      <c r="O125" s="23" t="s">
        <v>133</v>
      </c>
      <c r="P125" s="23" t="s">
        <v>84</v>
      </c>
      <c r="Q125" s="23" t="str">
        <f aca="false">IF(A125="UNDATED LEAD","UNRESOLVED",IF(M125="N","EXCEPTION",IF(A125="SKIP",IF(ISNUMBER(SEARCH("_skip_justification.pdf",N125)),"CLEAR - FILE VERIFIED","CLEAR ON EXPORT"),"CLEAR ON LOG")))</f>
        <v>CLEAR ON EXPORT</v>
      </c>
      <c r="R125" s="23" t="str">
        <f aca="false">IF(Q125="UNRESOLVED","PRIORITY 1 - OBTAIN FILE",IF(Q125&lt;&gt;"EXCEPTION","NONE",IF(OR(AND(A125="LOA AMENDMENT",P125="UNRESOLVED USE"),AND(A125="SKIP",OR(E125="WL-02618",E125="WL-03044",E125="WL-03390"))),"PRIORITY 1",IF(A125="SKIP","PRIORITY 2","PRIORITY 3"))))</f>
        <v>NONE</v>
      </c>
      <c r="S125" s="23"/>
      <c r="T125" s="23" t="s">
        <v>821</v>
      </c>
      <c r="U125" s="23" t="s">
        <v>86</v>
      </c>
    </row>
    <row r="126" customFormat="false" ht="17.9" hidden="false" customHeight="false" outlineLevel="0" collapsed="false">
      <c r="A126" s="20" t="s">
        <v>73</v>
      </c>
      <c r="B126" s="21" t="n">
        <v>45431</v>
      </c>
      <c r="C126" s="20" t="s">
        <v>822</v>
      </c>
      <c r="D126" s="20" t="s">
        <v>823</v>
      </c>
      <c r="E126" s="20" t="s">
        <v>824</v>
      </c>
      <c r="F126" s="20" t="s">
        <v>825</v>
      </c>
      <c r="G126" s="20" t="n">
        <v>536</v>
      </c>
      <c r="H126" s="20" t="s">
        <v>826</v>
      </c>
      <c r="I126" s="20" t="s">
        <v>119</v>
      </c>
      <c r="J126" s="20" t="s">
        <v>100</v>
      </c>
      <c r="K126" s="22"/>
      <c r="L126" s="22"/>
      <c r="M126" s="20" t="s">
        <v>81</v>
      </c>
      <c r="N126" s="23" t="s">
        <v>92</v>
      </c>
      <c r="O126" s="23" t="s">
        <v>102</v>
      </c>
      <c r="P126" s="23" t="s">
        <v>84</v>
      </c>
      <c r="Q126" s="23" t="str">
        <f aca="false">IF(A126="UNDATED LEAD","UNRESOLVED",IF(M126="N","EXCEPTION",IF(A126="SKIP",IF(ISNUMBER(SEARCH("_skip_justification.pdf",N126)),"CLEAR - FILE VERIFIED","CLEAR ON EXPORT"),"CLEAR ON LOG")))</f>
        <v>CLEAR ON EXPORT</v>
      </c>
      <c r="R126" s="23" t="str">
        <f aca="false">IF(Q126="UNRESOLVED","PRIORITY 1 - OBTAIN FILE",IF(Q126&lt;&gt;"EXCEPTION","NONE",IF(OR(AND(A126="LOA AMENDMENT",P126="UNRESOLVED USE"),AND(A126="SKIP",OR(E126="WL-02618",E126="WL-03044",E126="WL-03390"))),"PRIORITY 1",IF(A126="SKIP","PRIORITY 2","PRIORITY 3"))))</f>
        <v>NONE</v>
      </c>
      <c r="S126" s="23"/>
      <c r="T126" s="23" t="s">
        <v>827</v>
      </c>
      <c r="U126" s="23" t="s">
        <v>86</v>
      </c>
    </row>
    <row r="127" customFormat="false" ht="17.9" hidden="false" customHeight="false" outlineLevel="0" collapsed="false">
      <c r="A127" s="20" t="s">
        <v>73</v>
      </c>
      <c r="B127" s="21" t="n">
        <v>45433</v>
      </c>
      <c r="C127" s="20" t="s">
        <v>828</v>
      </c>
      <c r="D127" s="20" t="s">
        <v>829</v>
      </c>
      <c r="E127" s="20" t="s">
        <v>830</v>
      </c>
      <c r="F127" s="20" t="s">
        <v>831</v>
      </c>
      <c r="G127" s="20" t="n">
        <v>2891</v>
      </c>
      <c r="H127" s="20" t="s">
        <v>832</v>
      </c>
      <c r="I127" s="20" t="s">
        <v>109</v>
      </c>
      <c r="J127" s="20" t="s">
        <v>80</v>
      </c>
      <c r="K127" s="22"/>
      <c r="L127" s="22"/>
      <c r="M127" s="20" t="s">
        <v>81</v>
      </c>
      <c r="N127" s="23" t="s">
        <v>140</v>
      </c>
      <c r="O127" s="23" t="s">
        <v>83</v>
      </c>
      <c r="P127" s="23" t="s">
        <v>84</v>
      </c>
      <c r="Q127" s="23" t="str">
        <f aca="false">IF(A127="UNDATED LEAD","UNRESOLVED",IF(M127="N","EXCEPTION",IF(A127="SKIP",IF(ISNUMBER(SEARCH("_skip_justification.pdf",N127)),"CLEAR - FILE VERIFIED","CLEAR ON EXPORT"),"CLEAR ON LOG")))</f>
        <v>CLEAR ON EXPORT</v>
      </c>
      <c r="R127" s="23" t="str">
        <f aca="false">IF(Q127="UNRESOLVED","PRIORITY 1 - OBTAIN FILE",IF(Q127&lt;&gt;"EXCEPTION","NONE",IF(OR(AND(A127="LOA AMENDMENT",P127="UNRESOLVED USE"),AND(A127="SKIP",OR(E127="WL-02618",E127="WL-03044",E127="WL-03390"))),"PRIORITY 1",IF(A127="SKIP","PRIORITY 2","PRIORITY 3"))))</f>
        <v>NONE</v>
      </c>
      <c r="S127" s="23"/>
      <c r="T127" s="23" t="s">
        <v>833</v>
      </c>
      <c r="U127" s="23" t="s">
        <v>86</v>
      </c>
    </row>
    <row r="128" customFormat="false" ht="17.9" hidden="false" customHeight="false" outlineLevel="0" collapsed="false">
      <c r="A128" s="20" t="s">
        <v>73</v>
      </c>
      <c r="B128" s="21" t="n">
        <v>45434</v>
      </c>
      <c r="C128" s="20" t="s">
        <v>834</v>
      </c>
      <c r="D128" s="20" t="s">
        <v>835</v>
      </c>
      <c r="E128" s="20" t="s">
        <v>836</v>
      </c>
      <c r="F128" s="20" t="s">
        <v>837</v>
      </c>
      <c r="G128" s="20" t="n">
        <v>1013</v>
      </c>
      <c r="H128" s="20" t="s">
        <v>838</v>
      </c>
      <c r="I128" s="20" t="s">
        <v>99</v>
      </c>
      <c r="J128" s="20" t="s">
        <v>100</v>
      </c>
      <c r="K128" s="22"/>
      <c r="L128" s="22"/>
      <c r="M128" s="20" t="s">
        <v>81</v>
      </c>
      <c r="N128" s="23" t="s">
        <v>140</v>
      </c>
      <c r="O128" s="23" t="s">
        <v>102</v>
      </c>
      <c r="P128" s="23" t="s">
        <v>84</v>
      </c>
      <c r="Q128" s="23" t="str">
        <f aca="false">IF(A128="UNDATED LEAD","UNRESOLVED",IF(M128="N","EXCEPTION",IF(A128="SKIP",IF(ISNUMBER(SEARCH("_skip_justification.pdf",N128)),"CLEAR - FILE VERIFIED","CLEAR ON EXPORT"),"CLEAR ON LOG")))</f>
        <v>CLEAR ON EXPORT</v>
      </c>
      <c r="R128" s="23" t="str">
        <f aca="false">IF(Q128="UNRESOLVED","PRIORITY 1 - OBTAIN FILE",IF(Q128&lt;&gt;"EXCEPTION","NONE",IF(OR(AND(A128="LOA AMENDMENT",P128="UNRESOLVED USE"),AND(A128="SKIP",OR(E128="WL-02618",E128="WL-03044",E128="WL-03390"))),"PRIORITY 1",IF(A128="SKIP","PRIORITY 2","PRIORITY 3"))))</f>
        <v>NONE</v>
      </c>
      <c r="S128" s="23"/>
      <c r="T128" s="23" t="s">
        <v>839</v>
      </c>
      <c r="U128" s="23" t="s">
        <v>86</v>
      </c>
    </row>
    <row r="129" customFormat="false" ht="17.9" hidden="false" customHeight="false" outlineLevel="0" collapsed="false">
      <c r="A129" s="20" t="s">
        <v>73</v>
      </c>
      <c r="B129" s="21" t="n">
        <v>45435</v>
      </c>
      <c r="C129" s="20" t="s">
        <v>840</v>
      </c>
      <c r="D129" s="20" t="s">
        <v>841</v>
      </c>
      <c r="E129" s="20" t="s">
        <v>409</v>
      </c>
      <c r="F129" s="20" t="s">
        <v>410</v>
      </c>
      <c r="G129" s="20" t="n">
        <v>242</v>
      </c>
      <c r="H129" s="20" t="s">
        <v>233</v>
      </c>
      <c r="I129" s="20" t="s">
        <v>119</v>
      </c>
      <c r="J129" s="20" t="s">
        <v>132</v>
      </c>
      <c r="K129" s="22"/>
      <c r="L129" s="22"/>
      <c r="M129" s="20" t="s">
        <v>81</v>
      </c>
      <c r="N129" s="23" t="s">
        <v>140</v>
      </c>
      <c r="O129" s="23" t="s">
        <v>133</v>
      </c>
      <c r="P129" s="23" t="s">
        <v>84</v>
      </c>
      <c r="Q129" s="23" t="str">
        <f aca="false">IF(A129="UNDATED LEAD","UNRESOLVED",IF(M129="N","EXCEPTION",IF(A129="SKIP",IF(ISNUMBER(SEARCH("_skip_justification.pdf",N129)),"CLEAR - FILE VERIFIED","CLEAR ON EXPORT"),"CLEAR ON LOG")))</f>
        <v>CLEAR ON EXPORT</v>
      </c>
      <c r="R129" s="23" t="str">
        <f aca="false">IF(Q129="UNRESOLVED","PRIORITY 1 - OBTAIN FILE",IF(Q129&lt;&gt;"EXCEPTION","NONE",IF(OR(AND(A129="LOA AMENDMENT",P129="UNRESOLVED USE"),AND(A129="SKIP",OR(E129="WL-02618",E129="WL-03044",E129="WL-03390"))),"PRIORITY 1",IF(A129="SKIP","PRIORITY 2","PRIORITY 3"))))</f>
        <v>NONE</v>
      </c>
      <c r="S129" s="23"/>
      <c r="T129" s="23" t="s">
        <v>842</v>
      </c>
      <c r="U129" s="23" t="s">
        <v>86</v>
      </c>
    </row>
    <row r="130" customFormat="false" ht="17.9" hidden="false" customHeight="false" outlineLevel="0" collapsed="false">
      <c r="A130" s="20" t="s">
        <v>73</v>
      </c>
      <c r="B130" s="21" t="n">
        <v>45448</v>
      </c>
      <c r="C130" s="20" t="s">
        <v>843</v>
      </c>
      <c r="D130" s="20" t="s">
        <v>844</v>
      </c>
      <c r="E130" s="20" t="s">
        <v>845</v>
      </c>
      <c r="F130" s="20" t="s">
        <v>846</v>
      </c>
      <c r="G130" s="20" t="n">
        <v>144</v>
      </c>
      <c r="H130" s="20" t="s">
        <v>847</v>
      </c>
      <c r="I130" s="20" t="s">
        <v>79</v>
      </c>
      <c r="J130" s="20" t="s">
        <v>80</v>
      </c>
      <c r="K130" s="22"/>
      <c r="L130" s="22"/>
      <c r="M130" s="20" t="s">
        <v>110</v>
      </c>
      <c r="N130" s="23" t="s">
        <v>167</v>
      </c>
      <c r="O130" s="23" t="s">
        <v>83</v>
      </c>
      <c r="P130" s="23" t="s">
        <v>84</v>
      </c>
      <c r="Q130" s="23" t="str">
        <f aca="false">IF(A130="UNDATED LEAD","UNRESOLVED",IF(M130="N","EXCEPTION",IF(A130="SKIP",IF(ISNUMBER(SEARCH("_skip_justification.pdf",N130)),"CLEAR - FILE VERIFIED","CLEAR ON EXPORT"),"CLEAR ON LOG")))</f>
        <v>EXCEPTION</v>
      </c>
      <c r="R130" s="23" t="str">
        <f aca="false">IF(Q130="UNRESOLVED","PRIORITY 1 - OBTAIN FILE",IF(Q130&lt;&gt;"EXCEPTION","NONE",IF(OR(AND(A130="LOA AMENDMENT",P130="UNRESOLVED USE"),AND(A130="SKIP",OR(E130="WL-02618",E130="WL-03044",E130="WL-03390"))),"PRIORITY 1",IF(A130="SKIP","PRIORITY 2","PRIORITY 3"))))</f>
        <v>PRIORITY 2</v>
      </c>
      <c r="S130" s="23" t="s">
        <v>848</v>
      </c>
      <c r="T130" s="23" t="s">
        <v>849</v>
      </c>
      <c r="U130" s="23" t="s">
        <v>86</v>
      </c>
    </row>
    <row r="131" customFormat="false" ht="17.9" hidden="false" customHeight="false" outlineLevel="0" collapsed="false">
      <c r="A131" s="20" t="s">
        <v>73</v>
      </c>
      <c r="B131" s="21" t="n">
        <v>45451</v>
      </c>
      <c r="C131" s="20" t="s">
        <v>850</v>
      </c>
      <c r="D131" s="20" t="s">
        <v>851</v>
      </c>
      <c r="E131" s="20" t="s">
        <v>852</v>
      </c>
      <c r="F131" s="20" t="s">
        <v>853</v>
      </c>
      <c r="G131" s="20" t="n">
        <v>2390</v>
      </c>
      <c r="H131" s="20" t="s">
        <v>854</v>
      </c>
      <c r="I131" s="20" t="s">
        <v>166</v>
      </c>
      <c r="J131" s="20" t="s">
        <v>132</v>
      </c>
      <c r="K131" s="22"/>
      <c r="L131" s="22"/>
      <c r="M131" s="20" t="s">
        <v>81</v>
      </c>
      <c r="N131" s="23" t="s">
        <v>92</v>
      </c>
      <c r="O131" s="23" t="s">
        <v>133</v>
      </c>
      <c r="P131" s="23" t="s">
        <v>84</v>
      </c>
      <c r="Q131" s="23" t="str">
        <f aca="false">IF(A131="UNDATED LEAD","UNRESOLVED",IF(M131="N","EXCEPTION",IF(A131="SKIP",IF(ISNUMBER(SEARCH("_skip_justification.pdf",N131)),"CLEAR - FILE VERIFIED","CLEAR ON EXPORT"),"CLEAR ON LOG")))</f>
        <v>CLEAR ON EXPORT</v>
      </c>
      <c r="R131" s="23" t="str">
        <f aca="false">IF(Q131="UNRESOLVED","PRIORITY 1 - OBTAIN FILE",IF(Q131&lt;&gt;"EXCEPTION","NONE",IF(OR(AND(A131="LOA AMENDMENT",P131="UNRESOLVED USE"),AND(A131="SKIP",OR(E131="WL-02618",E131="WL-03044",E131="WL-03390"))),"PRIORITY 1",IF(A131="SKIP","PRIORITY 2","PRIORITY 3"))))</f>
        <v>NONE</v>
      </c>
      <c r="S131" s="23"/>
      <c r="T131" s="23" t="s">
        <v>855</v>
      </c>
      <c r="U131" s="23" t="s">
        <v>86</v>
      </c>
    </row>
    <row r="132" customFormat="false" ht="17.9" hidden="false" customHeight="false" outlineLevel="0" collapsed="false">
      <c r="A132" s="20" t="s">
        <v>73</v>
      </c>
      <c r="B132" s="21" t="n">
        <v>45452</v>
      </c>
      <c r="C132" s="20" t="s">
        <v>856</v>
      </c>
      <c r="D132" s="20" t="s">
        <v>857</v>
      </c>
      <c r="E132" s="20" t="s">
        <v>858</v>
      </c>
      <c r="F132" s="20" t="s">
        <v>859</v>
      </c>
      <c r="G132" s="20" t="n">
        <v>368</v>
      </c>
      <c r="H132" s="20" t="s">
        <v>860</v>
      </c>
      <c r="I132" s="20" t="s">
        <v>99</v>
      </c>
      <c r="J132" s="20" t="s">
        <v>147</v>
      </c>
      <c r="K132" s="22"/>
      <c r="L132" s="22"/>
      <c r="M132" s="20" t="s">
        <v>81</v>
      </c>
      <c r="N132" s="23" t="s">
        <v>82</v>
      </c>
      <c r="O132" s="23" t="s">
        <v>148</v>
      </c>
      <c r="P132" s="23" t="s">
        <v>84</v>
      </c>
      <c r="Q132" s="23" t="str">
        <f aca="false">IF(A132="UNDATED LEAD","UNRESOLVED",IF(M132="N","EXCEPTION",IF(A132="SKIP",IF(ISNUMBER(SEARCH("_skip_justification.pdf",N132)),"CLEAR - FILE VERIFIED","CLEAR ON EXPORT"),"CLEAR ON LOG")))</f>
        <v>CLEAR ON EXPORT</v>
      </c>
      <c r="R132" s="23" t="str">
        <f aca="false">IF(Q132="UNRESOLVED","PRIORITY 1 - OBTAIN FILE",IF(Q132&lt;&gt;"EXCEPTION","NONE",IF(OR(AND(A132="LOA AMENDMENT",P132="UNRESOLVED USE"),AND(A132="SKIP",OR(E132="WL-02618",E132="WL-03044",E132="WL-03390"))),"PRIORITY 1",IF(A132="SKIP","PRIORITY 2","PRIORITY 3"))))</f>
        <v>NONE</v>
      </c>
      <c r="S132" s="23"/>
      <c r="T132" s="23" t="s">
        <v>861</v>
      </c>
      <c r="U132" s="23" t="s">
        <v>86</v>
      </c>
    </row>
    <row r="133" customFormat="false" ht="17.9" hidden="false" customHeight="false" outlineLevel="0" collapsed="false">
      <c r="A133" s="20" t="s">
        <v>73</v>
      </c>
      <c r="B133" s="21" t="n">
        <v>45455</v>
      </c>
      <c r="C133" s="20" t="s">
        <v>862</v>
      </c>
      <c r="D133" s="20" t="s">
        <v>863</v>
      </c>
      <c r="E133" s="20" t="s">
        <v>864</v>
      </c>
      <c r="F133" s="20" t="s">
        <v>865</v>
      </c>
      <c r="G133" s="20" t="n">
        <v>2026</v>
      </c>
      <c r="H133" s="20" t="s">
        <v>866</v>
      </c>
      <c r="I133" s="20" t="s">
        <v>79</v>
      </c>
      <c r="J133" s="20" t="s">
        <v>100</v>
      </c>
      <c r="K133" s="22"/>
      <c r="L133" s="22"/>
      <c r="M133" s="20" t="s">
        <v>81</v>
      </c>
      <c r="N133" s="23" t="s">
        <v>82</v>
      </c>
      <c r="O133" s="23" t="s">
        <v>102</v>
      </c>
      <c r="P133" s="23" t="s">
        <v>84</v>
      </c>
      <c r="Q133" s="23" t="str">
        <f aca="false">IF(A133="UNDATED LEAD","UNRESOLVED",IF(M133="N","EXCEPTION",IF(A133="SKIP",IF(ISNUMBER(SEARCH("_skip_justification.pdf",N133)),"CLEAR - FILE VERIFIED","CLEAR ON EXPORT"),"CLEAR ON LOG")))</f>
        <v>CLEAR ON EXPORT</v>
      </c>
      <c r="R133" s="23" t="str">
        <f aca="false">IF(Q133="UNRESOLVED","PRIORITY 1 - OBTAIN FILE",IF(Q133&lt;&gt;"EXCEPTION","NONE",IF(OR(AND(A133="LOA AMENDMENT",P133="UNRESOLVED USE"),AND(A133="SKIP",OR(E133="WL-02618",E133="WL-03044",E133="WL-03390"))),"PRIORITY 1",IF(A133="SKIP","PRIORITY 2","PRIORITY 3"))))</f>
        <v>NONE</v>
      </c>
      <c r="S133" s="23"/>
      <c r="T133" s="23" t="s">
        <v>867</v>
      </c>
      <c r="U133" s="23" t="s">
        <v>86</v>
      </c>
    </row>
    <row r="134" customFormat="false" ht="17.9" hidden="false" customHeight="false" outlineLevel="0" collapsed="false">
      <c r="A134" s="20" t="s">
        <v>73</v>
      </c>
      <c r="B134" s="21" t="n">
        <v>45457</v>
      </c>
      <c r="C134" s="20" t="s">
        <v>868</v>
      </c>
      <c r="D134" s="20" t="s">
        <v>869</v>
      </c>
      <c r="E134" s="20" t="s">
        <v>870</v>
      </c>
      <c r="F134" s="20" t="s">
        <v>871</v>
      </c>
      <c r="G134" s="20" t="n">
        <v>2527</v>
      </c>
      <c r="H134" s="20" t="s">
        <v>872</v>
      </c>
      <c r="I134" s="20" t="s">
        <v>109</v>
      </c>
      <c r="J134" s="20" t="s">
        <v>100</v>
      </c>
      <c r="K134" s="22"/>
      <c r="L134" s="22"/>
      <c r="M134" s="20" t="s">
        <v>81</v>
      </c>
      <c r="N134" s="23" t="s">
        <v>92</v>
      </c>
      <c r="O134" s="23" t="s">
        <v>102</v>
      </c>
      <c r="P134" s="23" t="s">
        <v>84</v>
      </c>
      <c r="Q134" s="23" t="str">
        <f aca="false">IF(A134="UNDATED LEAD","UNRESOLVED",IF(M134="N","EXCEPTION",IF(A134="SKIP",IF(ISNUMBER(SEARCH("_skip_justification.pdf",N134)),"CLEAR - FILE VERIFIED","CLEAR ON EXPORT"),"CLEAR ON LOG")))</f>
        <v>CLEAR ON EXPORT</v>
      </c>
      <c r="R134" s="23" t="str">
        <f aca="false">IF(Q134="UNRESOLVED","PRIORITY 1 - OBTAIN FILE",IF(Q134&lt;&gt;"EXCEPTION","NONE",IF(OR(AND(A134="LOA AMENDMENT",P134="UNRESOLVED USE"),AND(A134="SKIP",OR(E134="WL-02618",E134="WL-03044",E134="WL-03390"))),"PRIORITY 1",IF(A134="SKIP","PRIORITY 2","PRIORITY 3"))))</f>
        <v>NONE</v>
      </c>
      <c r="S134" s="23"/>
      <c r="T134" s="23" t="s">
        <v>873</v>
      </c>
      <c r="U134" s="23" t="s">
        <v>86</v>
      </c>
    </row>
    <row r="135" customFormat="false" ht="17.9" hidden="false" customHeight="false" outlineLevel="0" collapsed="false">
      <c r="A135" s="20" t="s">
        <v>73</v>
      </c>
      <c r="B135" s="21" t="n">
        <v>45458</v>
      </c>
      <c r="C135" s="20" t="s">
        <v>874</v>
      </c>
      <c r="D135" s="20" t="s">
        <v>875</v>
      </c>
      <c r="E135" s="20" t="s">
        <v>876</v>
      </c>
      <c r="F135" s="20" t="s">
        <v>877</v>
      </c>
      <c r="G135" s="20" t="n">
        <v>2245</v>
      </c>
      <c r="H135" s="20" t="s">
        <v>878</v>
      </c>
      <c r="I135" s="20" t="s">
        <v>79</v>
      </c>
      <c r="J135" s="20" t="s">
        <v>80</v>
      </c>
      <c r="K135" s="22"/>
      <c r="L135" s="22"/>
      <c r="M135" s="20" t="s">
        <v>81</v>
      </c>
      <c r="N135" s="23" t="s">
        <v>82</v>
      </c>
      <c r="O135" s="23" t="s">
        <v>83</v>
      </c>
      <c r="P135" s="23" t="s">
        <v>84</v>
      </c>
      <c r="Q135" s="23" t="str">
        <f aca="false">IF(A135="UNDATED LEAD","UNRESOLVED",IF(M135="N","EXCEPTION",IF(A135="SKIP",IF(ISNUMBER(SEARCH("_skip_justification.pdf",N135)),"CLEAR - FILE VERIFIED","CLEAR ON EXPORT"),"CLEAR ON LOG")))</f>
        <v>CLEAR ON EXPORT</v>
      </c>
      <c r="R135" s="23" t="str">
        <f aca="false">IF(Q135="UNRESOLVED","PRIORITY 1 - OBTAIN FILE",IF(Q135&lt;&gt;"EXCEPTION","NONE",IF(OR(AND(A135="LOA AMENDMENT",P135="UNRESOLVED USE"),AND(A135="SKIP",OR(E135="WL-02618",E135="WL-03044",E135="WL-03390"))),"PRIORITY 1",IF(A135="SKIP","PRIORITY 2","PRIORITY 3"))))</f>
        <v>NONE</v>
      </c>
      <c r="S135" s="23"/>
      <c r="T135" s="23" t="s">
        <v>879</v>
      </c>
      <c r="U135" s="23" t="s">
        <v>86</v>
      </c>
    </row>
    <row r="136" customFormat="false" ht="17.9" hidden="false" customHeight="false" outlineLevel="0" collapsed="false">
      <c r="A136" s="20" t="s">
        <v>73</v>
      </c>
      <c r="B136" s="21" t="n">
        <v>45478</v>
      </c>
      <c r="C136" s="20" t="s">
        <v>880</v>
      </c>
      <c r="D136" s="20" t="s">
        <v>881</v>
      </c>
      <c r="E136" s="20" t="s">
        <v>882</v>
      </c>
      <c r="F136" s="20" t="s">
        <v>883</v>
      </c>
      <c r="G136" s="20" t="n">
        <v>691</v>
      </c>
      <c r="H136" s="20" t="s">
        <v>884</v>
      </c>
      <c r="I136" s="20" t="s">
        <v>79</v>
      </c>
      <c r="J136" s="20" t="s">
        <v>147</v>
      </c>
      <c r="K136" s="22"/>
      <c r="L136" s="22"/>
      <c r="M136" s="20" t="s">
        <v>81</v>
      </c>
      <c r="N136" s="23" t="s">
        <v>92</v>
      </c>
      <c r="O136" s="23" t="s">
        <v>148</v>
      </c>
      <c r="P136" s="23" t="s">
        <v>84</v>
      </c>
      <c r="Q136" s="23" t="str">
        <f aca="false">IF(A136="UNDATED LEAD","UNRESOLVED",IF(M136="N","EXCEPTION",IF(A136="SKIP",IF(ISNUMBER(SEARCH("_skip_justification.pdf",N136)),"CLEAR - FILE VERIFIED","CLEAR ON EXPORT"),"CLEAR ON LOG")))</f>
        <v>CLEAR ON EXPORT</v>
      </c>
      <c r="R136" s="23" t="str">
        <f aca="false">IF(Q136="UNRESOLVED","PRIORITY 1 - OBTAIN FILE",IF(Q136&lt;&gt;"EXCEPTION","NONE",IF(OR(AND(A136="LOA AMENDMENT",P136="UNRESOLVED USE"),AND(A136="SKIP",OR(E136="WL-02618",E136="WL-03044",E136="WL-03390"))),"PRIORITY 1",IF(A136="SKIP","PRIORITY 2","PRIORITY 3"))))</f>
        <v>NONE</v>
      </c>
      <c r="S136" s="23"/>
      <c r="T136" s="23" t="s">
        <v>885</v>
      </c>
      <c r="U136" s="23" t="s">
        <v>86</v>
      </c>
    </row>
    <row r="137" customFormat="false" ht="17.9" hidden="false" customHeight="false" outlineLevel="0" collapsed="false">
      <c r="A137" s="20" t="s">
        <v>73</v>
      </c>
      <c r="B137" s="21" t="n">
        <v>45487</v>
      </c>
      <c r="C137" s="20" t="s">
        <v>886</v>
      </c>
      <c r="D137" s="20" t="s">
        <v>887</v>
      </c>
      <c r="E137" s="20" t="s">
        <v>888</v>
      </c>
      <c r="F137" s="20" t="s">
        <v>889</v>
      </c>
      <c r="G137" s="20" t="n">
        <v>1850</v>
      </c>
      <c r="H137" s="20" t="s">
        <v>890</v>
      </c>
      <c r="I137" s="20" t="s">
        <v>166</v>
      </c>
      <c r="J137" s="20" t="s">
        <v>80</v>
      </c>
      <c r="K137" s="22"/>
      <c r="L137" s="22"/>
      <c r="M137" s="20" t="s">
        <v>81</v>
      </c>
      <c r="N137" s="23" t="s">
        <v>82</v>
      </c>
      <c r="O137" s="23" t="s">
        <v>83</v>
      </c>
      <c r="P137" s="23" t="s">
        <v>84</v>
      </c>
      <c r="Q137" s="23" t="str">
        <f aca="false">IF(A137="UNDATED LEAD","UNRESOLVED",IF(M137="N","EXCEPTION",IF(A137="SKIP",IF(ISNUMBER(SEARCH("_skip_justification.pdf",N137)),"CLEAR - FILE VERIFIED","CLEAR ON EXPORT"),"CLEAR ON LOG")))</f>
        <v>CLEAR ON EXPORT</v>
      </c>
      <c r="R137" s="23" t="str">
        <f aca="false">IF(Q137="UNRESOLVED","PRIORITY 1 - OBTAIN FILE",IF(Q137&lt;&gt;"EXCEPTION","NONE",IF(OR(AND(A137="LOA AMENDMENT",P137="UNRESOLVED USE"),AND(A137="SKIP",OR(E137="WL-02618",E137="WL-03044",E137="WL-03390"))),"PRIORITY 1",IF(A137="SKIP","PRIORITY 2","PRIORITY 3"))))</f>
        <v>NONE</v>
      </c>
      <c r="S137" s="23"/>
      <c r="T137" s="23" t="s">
        <v>891</v>
      </c>
      <c r="U137" s="23" t="s">
        <v>86</v>
      </c>
    </row>
    <row r="138" customFormat="false" ht="17.9" hidden="false" customHeight="false" outlineLevel="0" collapsed="false">
      <c r="A138" s="20" t="s">
        <v>73</v>
      </c>
      <c r="B138" s="21" t="n">
        <v>45501</v>
      </c>
      <c r="C138" s="20" t="s">
        <v>892</v>
      </c>
      <c r="D138" s="20" t="s">
        <v>893</v>
      </c>
      <c r="E138" s="20" t="s">
        <v>894</v>
      </c>
      <c r="F138" s="20" t="s">
        <v>895</v>
      </c>
      <c r="G138" s="20" t="n">
        <v>889</v>
      </c>
      <c r="H138" s="20" t="s">
        <v>896</v>
      </c>
      <c r="I138" s="20" t="s">
        <v>119</v>
      </c>
      <c r="J138" s="20" t="s">
        <v>80</v>
      </c>
      <c r="K138" s="22"/>
      <c r="L138" s="22"/>
      <c r="M138" s="20" t="s">
        <v>81</v>
      </c>
      <c r="N138" s="23" t="s">
        <v>140</v>
      </c>
      <c r="O138" s="23" t="s">
        <v>83</v>
      </c>
      <c r="P138" s="23" t="s">
        <v>84</v>
      </c>
      <c r="Q138" s="23" t="str">
        <f aca="false">IF(A138="UNDATED LEAD","UNRESOLVED",IF(M138="N","EXCEPTION",IF(A138="SKIP",IF(ISNUMBER(SEARCH("_skip_justification.pdf",N138)),"CLEAR - FILE VERIFIED","CLEAR ON EXPORT"),"CLEAR ON LOG")))</f>
        <v>CLEAR ON EXPORT</v>
      </c>
      <c r="R138" s="23" t="str">
        <f aca="false">IF(Q138="UNRESOLVED","PRIORITY 1 - OBTAIN FILE",IF(Q138&lt;&gt;"EXCEPTION","NONE",IF(OR(AND(A138="LOA AMENDMENT",P138="UNRESOLVED USE"),AND(A138="SKIP",OR(E138="WL-02618",E138="WL-03044",E138="WL-03390"))),"PRIORITY 1",IF(A138="SKIP","PRIORITY 2","PRIORITY 3"))))</f>
        <v>NONE</v>
      </c>
      <c r="S138" s="23"/>
      <c r="T138" s="23" t="s">
        <v>897</v>
      </c>
      <c r="U138" s="23" t="s">
        <v>86</v>
      </c>
    </row>
    <row r="139" customFormat="false" ht="17.9" hidden="false" customHeight="false" outlineLevel="0" collapsed="false">
      <c r="A139" s="20" t="s">
        <v>73</v>
      </c>
      <c r="B139" s="21" t="n">
        <v>45508</v>
      </c>
      <c r="C139" s="20" t="s">
        <v>898</v>
      </c>
      <c r="D139" s="20" t="s">
        <v>899</v>
      </c>
      <c r="E139" s="20" t="s">
        <v>900</v>
      </c>
      <c r="F139" s="20" t="s">
        <v>901</v>
      </c>
      <c r="G139" s="20" t="n">
        <v>1925</v>
      </c>
      <c r="H139" s="20" t="s">
        <v>902</v>
      </c>
      <c r="I139" s="20" t="s">
        <v>109</v>
      </c>
      <c r="J139" s="20" t="s">
        <v>147</v>
      </c>
      <c r="K139" s="22"/>
      <c r="L139" s="22"/>
      <c r="M139" s="20" t="s">
        <v>81</v>
      </c>
      <c r="N139" s="23" t="s">
        <v>101</v>
      </c>
      <c r="O139" s="23" t="s">
        <v>148</v>
      </c>
      <c r="P139" s="23" t="s">
        <v>84</v>
      </c>
      <c r="Q139" s="23" t="str">
        <f aca="false">IF(A139="UNDATED LEAD","UNRESOLVED",IF(M139="N","EXCEPTION",IF(A139="SKIP",IF(ISNUMBER(SEARCH("_skip_justification.pdf",N139)),"CLEAR - FILE VERIFIED","CLEAR ON EXPORT"),"CLEAR ON LOG")))</f>
        <v>CLEAR ON EXPORT</v>
      </c>
      <c r="R139" s="23" t="str">
        <f aca="false">IF(Q139="UNRESOLVED","PRIORITY 1 - OBTAIN FILE",IF(Q139&lt;&gt;"EXCEPTION","NONE",IF(OR(AND(A139="LOA AMENDMENT",P139="UNRESOLVED USE"),AND(A139="SKIP",OR(E139="WL-02618",E139="WL-03044",E139="WL-03390"))),"PRIORITY 1",IF(A139="SKIP","PRIORITY 2","PRIORITY 3"))))</f>
        <v>NONE</v>
      </c>
      <c r="S139" s="23"/>
      <c r="T139" s="23" t="s">
        <v>903</v>
      </c>
      <c r="U139" s="23" t="s">
        <v>86</v>
      </c>
    </row>
    <row r="140" customFormat="false" ht="17.9" hidden="false" customHeight="false" outlineLevel="0" collapsed="false">
      <c r="A140" s="20" t="s">
        <v>73</v>
      </c>
      <c r="B140" s="21" t="n">
        <v>45510</v>
      </c>
      <c r="C140" s="20" t="s">
        <v>904</v>
      </c>
      <c r="D140" s="20" t="s">
        <v>905</v>
      </c>
      <c r="E140" s="20" t="s">
        <v>906</v>
      </c>
      <c r="F140" s="20" t="s">
        <v>907</v>
      </c>
      <c r="G140" s="20" t="n">
        <v>2542</v>
      </c>
      <c r="H140" s="20" t="s">
        <v>908</v>
      </c>
      <c r="I140" s="20" t="s">
        <v>166</v>
      </c>
      <c r="J140" s="20" t="s">
        <v>80</v>
      </c>
      <c r="K140" s="22"/>
      <c r="L140" s="22"/>
      <c r="M140" s="20" t="s">
        <v>81</v>
      </c>
      <c r="N140" s="23" t="s">
        <v>140</v>
      </c>
      <c r="O140" s="23" t="s">
        <v>83</v>
      </c>
      <c r="P140" s="23" t="s">
        <v>84</v>
      </c>
      <c r="Q140" s="23" t="str">
        <f aca="false">IF(A140="UNDATED LEAD","UNRESOLVED",IF(M140="N","EXCEPTION",IF(A140="SKIP",IF(ISNUMBER(SEARCH("_skip_justification.pdf",N140)),"CLEAR - FILE VERIFIED","CLEAR ON EXPORT"),"CLEAR ON LOG")))</f>
        <v>CLEAR ON EXPORT</v>
      </c>
      <c r="R140" s="23" t="str">
        <f aca="false">IF(Q140="UNRESOLVED","PRIORITY 1 - OBTAIN FILE",IF(Q140&lt;&gt;"EXCEPTION","NONE",IF(OR(AND(A140="LOA AMENDMENT",P140="UNRESOLVED USE"),AND(A140="SKIP",OR(E140="WL-02618",E140="WL-03044",E140="WL-03390"))),"PRIORITY 1",IF(A140="SKIP","PRIORITY 2","PRIORITY 3"))))</f>
        <v>NONE</v>
      </c>
      <c r="S140" s="23"/>
      <c r="T140" s="23" t="s">
        <v>909</v>
      </c>
      <c r="U140" s="23" t="s">
        <v>86</v>
      </c>
    </row>
    <row r="141" customFormat="false" ht="17.9" hidden="false" customHeight="false" outlineLevel="0" collapsed="false">
      <c r="A141" s="20" t="s">
        <v>73</v>
      </c>
      <c r="B141" s="21" t="n">
        <v>45514</v>
      </c>
      <c r="C141" s="20" t="s">
        <v>910</v>
      </c>
      <c r="D141" s="20" t="s">
        <v>911</v>
      </c>
      <c r="E141" s="20" t="s">
        <v>912</v>
      </c>
      <c r="F141" s="20" t="s">
        <v>913</v>
      </c>
      <c r="G141" s="20" t="n">
        <v>1</v>
      </c>
      <c r="H141" s="20" t="s">
        <v>914</v>
      </c>
      <c r="I141" s="20" t="s">
        <v>99</v>
      </c>
      <c r="J141" s="20" t="s">
        <v>100</v>
      </c>
      <c r="K141" s="22"/>
      <c r="L141" s="22"/>
      <c r="M141" s="20" t="s">
        <v>81</v>
      </c>
      <c r="N141" s="23" t="s">
        <v>140</v>
      </c>
      <c r="O141" s="23" t="s">
        <v>102</v>
      </c>
      <c r="P141" s="23" t="s">
        <v>84</v>
      </c>
      <c r="Q141" s="23" t="str">
        <f aca="false">IF(A141="UNDATED LEAD","UNRESOLVED",IF(M141="N","EXCEPTION",IF(A141="SKIP",IF(ISNUMBER(SEARCH("_skip_justification.pdf",N141)),"CLEAR - FILE VERIFIED","CLEAR ON EXPORT"),"CLEAR ON LOG")))</f>
        <v>CLEAR ON EXPORT</v>
      </c>
      <c r="R141" s="23" t="str">
        <f aca="false">IF(Q141="UNRESOLVED","PRIORITY 1 - OBTAIN FILE",IF(Q141&lt;&gt;"EXCEPTION","NONE",IF(OR(AND(A141="LOA AMENDMENT",P141="UNRESOLVED USE"),AND(A141="SKIP",OR(E141="WL-02618",E141="WL-03044",E141="WL-03390"))),"PRIORITY 1",IF(A141="SKIP","PRIORITY 2","PRIORITY 3"))))</f>
        <v>NONE</v>
      </c>
      <c r="S141" s="23"/>
      <c r="T141" s="23" t="s">
        <v>915</v>
      </c>
      <c r="U141" s="23" t="s">
        <v>86</v>
      </c>
    </row>
    <row r="142" customFormat="false" ht="17.9" hidden="false" customHeight="false" outlineLevel="0" collapsed="false">
      <c r="A142" s="20" t="s">
        <v>73</v>
      </c>
      <c r="B142" s="21" t="n">
        <v>45520</v>
      </c>
      <c r="C142" s="20" t="s">
        <v>916</v>
      </c>
      <c r="D142" s="20" t="s">
        <v>917</v>
      </c>
      <c r="E142" s="20" t="s">
        <v>918</v>
      </c>
      <c r="F142" s="20" t="s">
        <v>919</v>
      </c>
      <c r="G142" s="20" t="n">
        <v>2759</v>
      </c>
      <c r="H142" s="20" t="s">
        <v>920</v>
      </c>
      <c r="I142" s="20" t="s">
        <v>119</v>
      </c>
      <c r="J142" s="20" t="s">
        <v>100</v>
      </c>
      <c r="K142" s="22"/>
      <c r="L142" s="22"/>
      <c r="M142" s="20" t="s">
        <v>81</v>
      </c>
      <c r="N142" s="23" t="s">
        <v>92</v>
      </c>
      <c r="O142" s="23" t="s">
        <v>102</v>
      </c>
      <c r="P142" s="23" t="s">
        <v>84</v>
      </c>
      <c r="Q142" s="23" t="str">
        <f aca="false">IF(A142="UNDATED LEAD","UNRESOLVED",IF(M142="N","EXCEPTION",IF(A142="SKIP",IF(ISNUMBER(SEARCH("_skip_justification.pdf",N142)),"CLEAR - FILE VERIFIED","CLEAR ON EXPORT"),"CLEAR ON LOG")))</f>
        <v>CLEAR ON EXPORT</v>
      </c>
      <c r="R142" s="23" t="str">
        <f aca="false">IF(Q142="UNRESOLVED","PRIORITY 1 - OBTAIN FILE",IF(Q142&lt;&gt;"EXCEPTION","NONE",IF(OR(AND(A142="LOA AMENDMENT",P142="UNRESOLVED USE"),AND(A142="SKIP",OR(E142="WL-02618",E142="WL-03044",E142="WL-03390"))),"PRIORITY 1",IF(A142="SKIP","PRIORITY 2","PRIORITY 3"))))</f>
        <v>NONE</v>
      </c>
      <c r="S142" s="23"/>
      <c r="T142" s="23" t="s">
        <v>921</v>
      </c>
      <c r="U142" s="23" t="s">
        <v>86</v>
      </c>
    </row>
    <row r="143" customFormat="false" ht="17.9" hidden="false" customHeight="false" outlineLevel="0" collapsed="false">
      <c r="A143" s="20" t="s">
        <v>73</v>
      </c>
      <c r="B143" s="21" t="n">
        <v>45522</v>
      </c>
      <c r="C143" s="20" t="s">
        <v>922</v>
      </c>
      <c r="D143" s="20" t="s">
        <v>923</v>
      </c>
      <c r="E143" s="20" t="s">
        <v>924</v>
      </c>
      <c r="F143" s="20" t="s">
        <v>925</v>
      </c>
      <c r="G143" s="20" t="n">
        <v>2762</v>
      </c>
      <c r="H143" s="20" t="s">
        <v>926</v>
      </c>
      <c r="I143" s="20" t="s">
        <v>79</v>
      </c>
      <c r="J143" s="20" t="s">
        <v>80</v>
      </c>
      <c r="K143" s="22"/>
      <c r="L143" s="22"/>
      <c r="M143" s="20" t="s">
        <v>81</v>
      </c>
      <c r="N143" s="23" t="s">
        <v>92</v>
      </c>
      <c r="O143" s="23" t="s">
        <v>83</v>
      </c>
      <c r="P143" s="23" t="s">
        <v>84</v>
      </c>
      <c r="Q143" s="23" t="str">
        <f aca="false">IF(A143="UNDATED LEAD","UNRESOLVED",IF(M143="N","EXCEPTION",IF(A143="SKIP",IF(ISNUMBER(SEARCH("_skip_justification.pdf",N143)),"CLEAR - FILE VERIFIED","CLEAR ON EXPORT"),"CLEAR ON LOG")))</f>
        <v>CLEAR ON EXPORT</v>
      </c>
      <c r="R143" s="23" t="str">
        <f aca="false">IF(Q143="UNRESOLVED","PRIORITY 1 - OBTAIN FILE",IF(Q143&lt;&gt;"EXCEPTION","NONE",IF(OR(AND(A143="LOA AMENDMENT",P143="UNRESOLVED USE"),AND(A143="SKIP",OR(E143="WL-02618",E143="WL-03044",E143="WL-03390"))),"PRIORITY 1",IF(A143="SKIP","PRIORITY 2","PRIORITY 3"))))</f>
        <v>NONE</v>
      </c>
      <c r="S143" s="23"/>
      <c r="T143" s="23" t="s">
        <v>927</v>
      </c>
      <c r="U143" s="23" t="s">
        <v>86</v>
      </c>
    </row>
    <row r="144" customFormat="false" ht="17.9" hidden="false" customHeight="false" outlineLevel="0" collapsed="false">
      <c r="A144" s="20" t="s">
        <v>73</v>
      </c>
      <c r="B144" s="21" t="n">
        <v>45529</v>
      </c>
      <c r="C144" s="20" t="s">
        <v>928</v>
      </c>
      <c r="D144" s="20" t="s">
        <v>929</v>
      </c>
      <c r="E144" s="20" t="s">
        <v>930</v>
      </c>
      <c r="F144" s="20" t="s">
        <v>931</v>
      </c>
      <c r="G144" s="20" t="n">
        <v>1791</v>
      </c>
      <c r="H144" s="20" t="s">
        <v>375</v>
      </c>
      <c r="I144" s="20" t="s">
        <v>166</v>
      </c>
      <c r="J144" s="20" t="s">
        <v>80</v>
      </c>
      <c r="K144" s="22"/>
      <c r="L144" s="22"/>
      <c r="M144" s="20" t="s">
        <v>81</v>
      </c>
      <c r="N144" s="23" t="s">
        <v>92</v>
      </c>
      <c r="O144" s="23" t="s">
        <v>83</v>
      </c>
      <c r="P144" s="23" t="s">
        <v>84</v>
      </c>
      <c r="Q144" s="23" t="str">
        <f aca="false">IF(A144="UNDATED LEAD","UNRESOLVED",IF(M144="N","EXCEPTION",IF(A144="SKIP",IF(ISNUMBER(SEARCH("_skip_justification.pdf",N144)),"CLEAR - FILE VERIFIED","CLEAR ON EXPORT"),"CLEAR ON LOG")))</f>
        <v>CLEAR ON EXPORT</v>
      </c>
      <c r="R144" s="23" t="str">
        <f aca="false">IF(Q144="UNRESOLVED","PRIORITY 1 - OBTAIN FILE",IF(Q144&lt;&gt;"EXCEPTION","NONE",IF(OR(AND(A144="LOA AMENDMENT",P144="UNRESOLVED USE"),AND(A144="SKIP",OR(E144="WL-02618",E144="WL-03044",E144="WL-03390"))),"PRIORITY 1",IF(A144="SKIP","PRIORITY 2","PRIORITY 3"))))</f>
        <v>NONE</v>
      </c>
      <c r="S144" s="23"/>
      <c r="T144" s="23" t="s">
        <v>932</v>
      </c>
      <c r="U144" s="23" t="s">
        <v>86</v>
      </c>
    </row>
    <row r="145" customFormat="false" ht="17.9" hidden="false" customHeight="false" outlineLevel="0" collapsed="false">
      <c r="A145" s="20" t="s">
        <v>73</v>
      </c>
      <c r="B145" s="21" t="n">
        <v>45532</v>
      </c>
      <c r="C145" s="20" t="s">
        <v>933</v>
      </c>
      <c r="D145" s="20" t="s">
        <v>934</v>
      </c>
      <c r="E145" s="20" t="s">
        <v>935</v>
      </c>
      <c r="F145" s="20" t="s">
        <v>936</v>
      </c>
      <c r="G145" s="20" t="n">
        <v>998</v>
      </c>
      <c r="H145" s="20" t="s">
        <v>937</v>
      </c>
      <c r="I145" s="20" t="s">
        <v>109</v>
      </c>
      <c r="J145" s="20" t="s">
        <v>80</v>
      </c>
      <c r="K145" s="22"/>
      <c r="L145" s="22"/>
      <c r="M145" s="20" t="s">
        <v>81</v>
      </c>
      <c r="N145" s="23" t="s">
        <v>92</v>
      </c>
      <c r="O145" s="23" t="s">
        <v>83</v>
      </c>
      <c r="P145" s="23" t="s">
        <v>84</v>
      </c>
      <c r="Q145" s="23" t="str">
        <f aca="false">IF(A145="UNDATED LEAD","UNRESOLVED",IF(M145="N","EXCEPTION",IF(A145="SKIP",IF(ISNUMBER(SEARCH("_skip_justification.pdf",N145)),"CLEAR - FILE VERIFIED","CLEAR ON EXPORT"),"CLEAR ON LOG")))</f>
        <v>CLEAR ON EXPORT</v>
      </c>
      <c r="R145" s="23" t="str">
        <f aca="false">IF(Q145="UNRESOLVED","PRIORITY 1 - OBTAIN FILE",IF(Q145&lt;&gt;"EXCEPTION","NONE",IF(OR(AND(A145="LOA AMENDMENT",P145="UNRESOLVED USE"),AND(A145="SKIP",OR(E145="WL-02618",E145="WL-03044",E145="WL-03390"))),"PRIORITY 1",IF(A145="SKIP","PRIORITY 2","PRIORITY 3"))))</f>
        <v>NONE</v>
      </c>
      <c r="S145" s="23"/>
      <c r="T145" s="23" t="s">
        <v>938</v>
      </c>
      <c r="U145" s="23" t="s">
        <v>86</v>
      </c>
    </row>
    <row r="146" customFormat="false" ht="17.9" hidden="false" customHeight="false" outlineLevel="0" collapsed="false">
      <c r="A146" s="20" t="s">
        <v>73</v>
      </c>
      <c r="B146" s="21" t="n">
        <v>45536</v>
      </c>
      <c r="C146" s="20" t="s">
        <v>939</v>
      </c>
      <c r="D146" s="20" t="s">
        <v>940</v>
      </c>
      <c r="E146" s="20" t="s">
        <v>941</v>
      </c>
      <c r="F146" s="20" t="s">
        <v>942</v>
      </c>
      <c r="G146" s="20" t="n">
        <v>2615</v>
      </c>
      <c r="H146" s="20" t="s">
        <v>943</v>
      </c>
      <c r="I146" s="20" t="s">
        <v>99</v>
      </c>
      <c r="J146" s="20" t="s">
        <v>132</v>
      </c>
      <c r="K146" s="22"/>
      <c r="L146" s="22"/>
      <c r="M146" s="20" t="s">
        <v>81</v>
      </c>
      <c r="N146" s="23" t="s">
        <v>92</v>
      </c>
      <c r="O146" s="23" t="s">
        <v>133</v>
      </c>
      <c r="P146" s="23" t="s">
        <v>84</v>
      </c>
      <c r="Q146" s="23" t="str">
        <f aca="false">IF(A146="UNDATED LEAD","UNRESOLVED",IF(M146="N","EXCEPTION",IF(A146="SKIP",IF(ISNUMBER(SEARCH("_skip_justification.pdf",N146)),"CLEAR - FILE VERIFIED","CLEAR ON EXPORT"),"CLEAR ON LOG")))</f>
        <v>CLEAR ON EXPORT</v>
      </c>
      <c r="R146" s="23" t="str">
        <f aca="false">IF(Q146="UNRESOLVED","PRIORITY 1 - OBTAIN FILE",IF(Q146&lt;&gt;"EXCEPTION","NONE",IF(OR(AND(A146="LOA AMENDMENT",P146="UNRESOLVED USE"),AND(A146="SKIP",OR(E146="WL-02618",E146="WL-03044",E146="WL-03390"))),"PRIORITY 1",IF(A146="SKIP","PRIORITY 2","PRIORITY 3"))))</f>
        <v>NONE</v>
      </c>
      <c r="S146" s="23"/>
      <c r="T146" s="23" t="s">
        <v>944</v>
      </c>
      <c r="U146" s="23" t="s">
        <v>86</v>
      </c>
    </row>
    <row r="147" customFormat="false" ht="17.9" hidden="false" customHeight="false" outlineLevel="0" collapsed="false">
      <c r="A147" s="20" t="s">
        <v>73</v>
      </c>
      <c r="B147" s="21" t="n">
        <v>45536</v>
      </c>
      <c r="C147" s="20" t="s">
        <v>945</v>
      </c>
      <c r="D147" s="20" t="s">
        <v>946</v>
      </c>
      <c r="E147" s="20" t="s">
        <v>947</v>
      </c>
      <c r="F147" s="20" t="s">
        <v>948</v>
      </c>
      <c r="G147" s="20" t="n">
        <v>2228</v>
      </c>
      <c r="H147" s="20" t="s">
        <v>949</v>
      </c>
      <c r="I147" s="20" t="s">
        <v>109</v>
      </c>
      <c r="J147" s="20" t="s">
        <v>132</v>
      </c>
      <c r="K147" s="22"/>
      <c r="L147" s="22"/>
      <c r="M147" s="20" t="s">
        <v>81</v>
      </c>
      <c r="N147" s="23" t="s">
        <v>101</v>
      </c>
      <c r="O147" s="23" t="s">
        <v>133</v>
      </c>
      <c r="P147" s="23" t="s">
        <v>84</v>
      </c>
      <c r="Q147" s="23" t="str">
        <f aca="false">IF(A147="UNDATED LEAD","UNRESOLVED",IF(M147="N","EXCEPTION",IF(A147="SKIP",IF(ISNUMBER(SEARCH("_skip_justification.pdf",N147)),"CLEAR - FILE VERIFIED","CLEAR ON EXPORT"),"CLEAR ON LOG")))</f>
        <v>CLEAR ON EXPORT</v>
      </c>
      <c r="R147" s="23" t="str">
        <f aca="false">IF(Q147="UNRESOLVED","PRIORITY 1 - OBTAIN FILE",IF(Q147&lt;&gt;"EXCEPTION","NONE",IF(OR(AND(A147="LOA AMENDMENT",P147="UNRESOLVED USE"),AND(A147="SKIP",OR(E147="WL-02618",E147="WL-03044",E147="WL-03390"))),"PRIORITY 1",IF(A147="SKIP","PRIORITY 2","PRIORITY 3"))))</f>
        <v>NONE</v>
      </c>
      <c r="S147" s="23"/>
      <c r="T147" s="23" t="s">
        <v>950</v>
      </c>
      <c r="U147" s="23" t="s">
        <v>86</v>
      </c>
    </row>
    <row r="148" customFormat="false" ht="17.9" hidden="false" customHeight="false" outlineLevel="0" collapsed="false">
      <c r="A148" s="20" t="s">
        <v>73</v>
      </c>
      <c r="B148" s="21" t="n">
        <v>45537</v>
      </c>
      <c r="C148" s="20" t="s">
        <v>951</v>
      </c>
      <c r="D148" s="20" t="s">
        <v>952</v>
      </c>
      <c r="E148" s="20" t="s">
        <v>953</v>
      </c>
      <c r="F148" s="20" t="s">
        <v>954</v>
      </c>
      <c r="G148" s="20" t="n">
        <v>504</v>
      </c>
      <c r="H148" s="20" t="s">
        <v>955</v>
      </c>
      <c r="I148" s="20" t="s">
        <v>99</v>
      </c>
      <c r="J148" s="20" t="s">
        <v>80</v>
      </c>
      <c r="K148" s="22"/>
      <c r="L148" s="22"/>
      <c r="M148" s="20" t="s">
        <v>81</v>
      </c>
      <c r="N148" s="23" t="s">
        <v>140</v>
      </c>
      <c r="O148" s="23" t="s">
        <v>83</v>
      </c>
      <c r="P148" s="23" t="s">
        <v>84</v>
      </c>
      <c r="Q148" s="23" t="str">
        <f aca="false">IF(A148="UNDATED LEAD","UNRESOLVED",IF(M148="N","EXCEPTION",IF(A148="SKIP",IF(ISNUMBER(SEARCH("_skip_justification.pdf",N148)),"CLEAR - FILE VERIFIED","CLEAR ON EXPORT"),"CLEAR ON LOG")))</f>
        <v>CLEAR ON EXPORT</v>
      </c>
      <c r="R148" s="23" t="str">
        <f aca="false">IF(Q148="UNRESOLVED","PRIORITY 1 - OBTAIN FILE",IF(Q148&lt;&gt;"EXCEPTION","NONE",IF(OR(AND(A148="LOA AMENDMENT",P148="UNRESOLVED USE"),AND(A148="SKIP",OR(E148="WL-02618",E148="WL-03044",E148="WL-03390"))),"PRIORITY 1",IF(A148="SKIP","PRIORITY 2","PRIORITY 3"))))</f>
        <v>NONE</v>
      </c>
      <c r="S148" s="23"/>
      <c r="T148" s="23" t="s">
        <v>956</v>
      </c>
      <c r="U148" s="23" t="s">
        <v>86</v>
      </c>
    </row>
    <row r="149" customFormat="false" ht="17.9" hidden="false" customHeight="false" outlineLevel="0" collapsed="false">
      <c r="A149" s="20" t="s">
        <v>73</v>
      </c>
      <c r="B149" s="21" t="n">
        <v>45542</v>
      </c>
      <c r="C149" s="20" t="s">
        <v>957</v>
      </c>
      <c r="D149" s="20" t="s">
        <v>958</v>
      </c>
      <c r="E149" s="20" t="s">
        <v>959</v>
      </c>
      <c r="F149" s="20" t="s">
        <v>960</v>
      </c>
      <c r="G149" s="20" t="n">
        <v>779</v>
      </c>
      <c r="H149" s="20" t="s">
        <v>961</v>
      </c>
      <c r="I149" s="20" t="s">
        <v>166</v>
      </c>
      <c r="J149" s="20" t="s">
        <v>147</v>
      </c>
      <c r="K149" s="22"/>
      <c r="L149" s="22"/>
      <c r="M149" s="20" t="s">
        <v>81</v>
      </c>
      <c r="N149" s="23" t="s">
        <v>82</v>
      </c>
      <c r="O149" s="23" t="s">
        <v>148</v>
      </c>
      <c r="P149" s="23" t="s">
        <v>84</v>
      </c>
      <c r="Q149" s="23" t="str">
        <f aca="false">IF(A149="UNDATED LEAD","UNRESOLVED",IF(M149="N","EXCEPTION",IF(A149="SKIP",IF(ISNUMBER(SEARCH("_skip_justification.pdf",N149)),"CLEAR - FILE VERIFIED","CLEAR ON EXPORT"),"CLEAR ON LOG")))</f>
        <v>CLEAR ON EXPORT</v>
      </c>
      <c r="R149" s="23" t="str">
        <f aca="false">IF(Q149="UNRESOLVED","PRIORITY 1 - OBTAIN FILE",IF(Q149&lt;&gt;"EXCEPTION","NONE",IF(OR(AND(A149="LOA AMENDMENT",P149="UNRESOLVED USE"),AND(A149="SKIP",OR(E149="WL-02618",E149="WL-03044",E149="WL-03390"))),"PRIORITY 1",IF(A149="SKIP","PRIORITY 2","PRIORITY 3"))))</f>
        <v>NONE</v>
      </c>
      <c r="S149" s="23"/>
      <c r="T149" s="23" t="s">
        <v>962</v>
      </c>
      <c r="U149" s="23" t="s">
        <v>86</v>
      </c>
    </row>
    <row r="150" customFormat="false" ht="17.9" hidden="false" customHeight="false" outlineLevel="0" collapsed="false">
      <c r="A150" s="20" t="s">
        <v>73</v>
      </c>
      <c r="B150" s="21" t="n">
        <v>45545</v>
      </c>
      <c r="C150" s="20" t="s">
        <v>963</v>
      </c>
      <c r="D150" s="20" t="s">
        <v>964</v>
      </c>
      <c r="E150" s="20" t="s">
        <v>965</v>
      </c>
      <c r="F150" s="20" t="s">
        <v>966</v>
      </c>
      <c r="G150" s="20" t="n">
        <v>2479</v>
      </c>
      <c r="H150" s="20" t="s">
        <v>967</v>
      </c>
      <c r="I150" s="20" t="s">
        <v>166</v>
      </c>
      <c r="J150" s="20" t="s">
        <v>80</v>
      </c>
      <c r="K150" s="22"/>
      <c r="L150" s="22"/>
      <c r="M150" s="20" t="s">
        <v>81</v>
      </c>
      <c r="N150" s="23" t="s">
        <v>101</v>
      </c>
      <c r="O150" s="23" t="s">
        <v>83</v>
      </c>
      <c r="P150" s="23" t="s">
        <v>84</v>
      </c>
      <c r="Q150" s="23" t="str">
        <f aca="false">IF(A150="UNDATED LEAD","UNRESOLVED",IF(M150="N","EXCEPTION",IF(A150="SKIP",IF(ISNUMBER(SEARCH("_skip_justification.pdf",N150)),"CLEAR - FILE VERIFIED","CLEAR ON EXPORT"),"CLEAR ON LOG")))</f>
        <v>CLEAR ON EXPORT</v>
      </c>
      <c r="R150" s="23" t="str">
        <f aca="false">IF(Q150="UNRESOLVED","PRIORITY 1 - OBTAIN FILE",IF(Q150&lt;&gt;"EXCEPTION","NONE",IF(OR(AND(A150="LOA AMENDMENT",P150="UNRESOLVED USE"),AND(A150="SKIP",OR(E150="WL-02618",E150="WL-03044",E150="WL-03390"))),"PRIORITY 1",IF(A150="SKIP","PRIORITY 2","PRIORITY 3"))))</f>
        <v>NONE</v>
      </c>
      <c r="S150" s="23"/>
      <c r="T150" s="23" t="s">
        <v>968</v>
      </c>
      <c r="U150" s="23" t="s">
        <v>86</v>
      </c>
    </row>
    <row r="151" customFormat="false" ht="17.9" hidden="false" customHeight="false" outlineLevel="0" collapsed="false">
      <c r="A151" s="20" t="s">
        <v>73</v>
      </c>
      <c r="B151" s="21" t="n">
        <v>45545</v>
      </c>
      <c r="C151" s="20" t="s">
        <v>969</v>
      </c>
      <c r="D151" s="20" t="s">
        <v>970</v>
      </c>
      <c r="E151" s="20" t="s">
        <v>971</v>
      </c>
      <c r="F151" s="20" t="s">
        <v>972</v>
      </c>
      <c r="G151" s="20" t="n">
        <v>1336</v>
      </c>
      <c r="H151" s="20" t="s">
        <v>973</v>
      </c>
      <c r="I151" s="20" t="s">
        <v>99</v>
      </c>
      <c r="J151" s="20" t="s">
        <v>100</v>
      </c>
      <c r="K151" s="22"/>
      <c r="L151" s="22"/>
      <c r="M151" s="20" t="s">
        <v>81</v>
      </c>
      <c r="N151" s="23" t="s">
        <v>101</v>
      </c>
      <c r="O151" s="23" t="s">
        <v>102</v>
      </c>
      <c r="P151" s="23" t="s">
        <v>84</v>
      </c>
      <c r="Q151" s="23" t="str">
        <f aca="false">IF(A151="UNDATED LEAD","UNRESOLVED",IF(M151="N","EXCEPTION",IF(A151="SKIP",IF(ISNUMBER(SEARCH("_skip_justification.pdf",N151)),"CLEAR - FILE VERIFIED","CLEAR ON EXPORT"),"CLEAR ON LOG")))</f>
        <v>CLEAR ON EXPORT</v>
      </c>
      <c r="R151" s="23" t="str">
        <f aca="false">IF(Q151="UNRESOLVED","PRIORITY 1 - OBTAIN FILE",IF(Q151&lt;&gt;"EXCEPTION","NONE",IF(OR(AND(A151="LOA AMENDMENT",P151="UNRESOLVED USE"),AND(A151="SKIP",OR(E151="WL-02618",E151="WL-03044",E151="WL-03390"))),"PRIORITY 1",IF(A151="SKIP","PRIORITY 2","PRIORITY 3"))))</f>
        <v>NONE</v>
      </c>
      <c r="S151" s="23"/>
      <c r="T151" s="23" t="s">
        <v>974</v>
      </c>
      <c r="U151" s="23" t="s">
        <v>86</v>
      </c>
    </row>
    <row r="152" customFormat="false" ht="17.9" hidden="false" customHeight="false" outlineLevel="0" collapsed="false">
      <c r="A152" s="20" t="s">
        <v>73</v>
      </c>
      <c r="B152" s="21" t="n">
        <v>45546</v>
      </c>
      <c r="C152" s="20" t="s">
        <v>975</v>
      </c>
      <c r="D152" s="20" t="s">
        <v>976</v>
      </c>
      <c r="E152" s="20" t="s">
        <v>977</v>
      </c>
      <c r="F152" s="20" t="s">
        <v>978</v>
      </c>
      <c r="G152" s="20" t="n">
        <v>2062</v>
      </c>
      <c r="H152" s="20" t="s">
        <v>979</v>
      </c>
      <c r="I152" s="20" t="s">
        <v>79</v>
      </c>
      <c r="J152" s="20" t="s">
        <v>132</v>
      </c>
      <c r="K152" s="22"/>
      <c r="L152" s="22"/>
      <c r="M152" s="20" t="s">
        <v>81</v>
      </c>
      <c r="N152" s="23" t="s">
        <v>101</v>
      </c>
      <c r="O152" s="23" t="s">
        <v>133</v>
      </c>
      <c r="P152" s="23" t="s">
        <v>84</v>
      </c>
      <c r="Q152" s="23" t="str">
        <f aca="false">IF(A152="UNDATED LEAD","UNRESOLVED",IF(M152="N","EXCEPTION",IF(A152="SKIP",IF(ISNUMBER(SEARCH("_skip_justification.pdf",N152)),"CLEAR - FILE VERIFIED","CLEAR ON EXPORT"),"CLEAR ON LOG")))</f>
        <v>CLEAR ON EXPORT</v>
      </c>
      <c r="R152" s="23" t="str">
        <f aca="false">IF(Q152="UNRESOLVED","PRIORITY 1 - OBTAIN FILE",IF(Q152&lt;&gt;"EXCEPTION","NONE",IF(OR(AND(A152="LOA AMENDMENT",P152="UNRESOLVED USE"),AND(A152="SKIP",OR(E152="WL-02618",E152="WL-03044",E152="WL-03390"))),"PRIORITY 1",IF(A152="SKIP","PRIORITY 2","PRIORITY 3"))))</f>
        <v>NONE</v>
      </c>
      <c r="S152" s="23"/>
      <c r="T152" s="23" t="s">
        <v>980</v>
      </c>
      <c r="U152" s="23" t="s">
        <v>86</v>
      </c>
    </row>
    <row r="153" customFormat="false" ht="17.9" hidden="false" customHeight="false" outlineLevel="0" collapsed="false">
      <c r="A153" s="20" t="s">
        <v>73</v>
      </c>
      <c r="B153" s="21" t="n">
        <v>45549</v>
      </c>
      <c r="C153" s="20" t="s">
        <v>981</v>
      </c>
      <c r="D153" s="20" t="s">
        <v>982</v>
      </c>
      <c r="E153" s="20" t="s">
        <v>983</v>
      </c>
      <c r="F153" s="20" t="s">
        <v>984</v>
      </c>
      <c r="G153" s="20" t="n">
        <v>1574</v>
      </c>
      <c r="H153" s="20" t="s">
        <v>718</v>
      </c>
      <c r="I153" s="20" t="s">
        <v>166</v>
      </c>
      <c r="J153" s="20" t="s">
        <v>100</v>
      </c>
      <c r="K153" s="22"/>
      <c r="L153" s="22"/>
      <c r="M153" s="20" t="s">
        <v>81</v>
      </c>
      <c r="N153" s="23" t="s">
        <v>92</v>
      </c>
      <c r="O153" s="23" t="s">
        <v>102</v>
      </c>
      <c r="P153" s="23" t="s">
        <v>84</v>
      </c>
      <c r="Q153" s="23" t="str">
        <f aca="false">IF(A153="UNDATED LEAD","UNRESOLVED",IF(M153="N","EXCEPTION",IF(A153="SKIP",IF(ISNUMBER(SEARCH("_skip_justification.pdf",N153)),"CLEAR - FILE VERIFIED","CLEAR ON EXPORT"),"CLEAR ON LOG")))</f>
        <v>CLEAR ON EXPORT</v>
      </c>
      <c r="R153" s="23" t="str">
        <f aca="false">IF(Q153="UNRESOLVED","PRIORITY 1 - OBTAIN FILE",IF(Q153&lt;&gt;"EXCEPTION","NONE",IF(OR(AND(A153="LOA AMENDMENT",P153="UNRESOLVED USE"),AND(A153="SKIP",OR(E153="WL-02618",E153="WL-03044",E153="WL-03390"))),"PRIORITY 1",IF(A153="SKIP","PRIORITY 2","PRIORITY 3"))))</f>
        <v>NONE</v>
      </c>
      <c r="S153" s="23"/>
      <c r="T153" s="23" t="s">
        <v>985</v>
      </c>
      <c r="U153" s="23" t="s">
        <v>86</v>
      </c>
    </row>
    <row r="154" customFormat="false" ht="17.9" hidden="false" customHeight="false" outlineLevel="0" collapsed="false">
      <c r="A154" s="20" t="s">
        <v>73</v>
      </c>
      <c r="B154" s="21" t="n">
        <v>45560</v>
      </c>
      <c r="C154" s="20" t="s">
        <v>986</v>
      </c>
      <c r="D154" s="20" t="s">
        <v>987</v>
      </c>
      <c r="E154" s="20" t="s">
        <v>988</v>
      </c>
      <c r="F154" s="20" t="s">
        <v>989</v>
      </c>
      <c r="G154" s="20" t="n">
        <v>718</v>
      </c>
      <c r="H154" s="20" t="s">
        <v>990</v>
      </c>
      <c r="I154" s="20" t="s">
        <v>166</v>
      </c>
      <c r="J154" s="20" t="s">
        <v>132</v>
      </c>
      <c r="K154" s="22"/>
      <c r="L154" s="22"/>
      <c r="M154" s="20" t="s">
        <v>81</v>
      </c>
      <c r="N154" s="23" t="s">
        <v>140</v>
      </c>
      <c r="O154" s="23" t="s">
        <v>133</v>
      </c>
      <c r="P154" s="23" t="s">
        <v>84</v>
      </c>
      <c r="Q154" s="23" t="str">
        <f aca="false">IF(A154="UNDATED LEAD","UNRESOLVED",IF(M154="N","EXCEPTION",IF(A154="SKIP",IF(ISNUMBER(SEARCH("_skip_justification.pdf",N154)),"CLEAR - FILE VERIFIED","CLEAR ON EXPORT"),"CLEAR ON LOG")))</f>
        <v>CLEAR ON EXPORT</v>
      </c>
      <c r="R154" s="23" t="str">
        <f aca="false">IF(Q154="UNRESOLVED","PRIORITY 1 - OBTAIN FILE",IF(Q154&lt;&gt;"EXCEPTION","NONE",IF(OR(AND(A154="LOA AMENDMENT",P154="UNRESOLVED USE"),AND(A154="SKIP",OR(E154="WL-02618",E154="WL-03044",E154="WL-03390"))),"PRIORITY 1",IF(A154="SKIP","PRIORITY 2","PRIORITY 3"))))</f>
        <v>NONE</v>
      </c>
      <c r="S154" s="23"/>
      <c r="T154" s="23" t="s">
        <v>991</v>
      </c>
      <c r="U154" s="23" t="s">
        <v>86</v>
      </c>
    </row>
    <row r="155" customFormat="false" ht="17.9" hidden="false" customHeight="false" outlineLevel="0" collapsed="false">
      <c r="A155" s="20" t="s">
        <v>73</v>
      </c>
      <c r="B155" s="21" t="n">
        <v>45580</v>
      </c>
      <c r="C155" s="20" t="s">
        <v>992</v>
      </c>
      <c r="D155" s="20" t="s">
        <v>993</v>
      </c>
      <c r="E155" s="20" t="s">
        <v>994</v>
      </c>
      <c r="F155" s="20" t="s">
        <v>995</v>
      </c>
      <c r="G155" s="20" t="n">
        <v>269</v>
      </c>
      <c r="H155" s="20" t="s">
        <v>996</v>
      </c>
      <c r="I155" s="20" t="s">
        <v>99</v>
      </c>
      <c r="J155" s="20" t="s">
        <v>80</v>
      </c>
      <c r="K155" s="22"/>
      <c r="L155" s="22"/>
      <c r="M155" s="20" t="s">
        <v>81</v>
      </c>
      <c r="N155" s="23" t="s">
        <v>101</v>
      </c>
      <c r="O155" s="23" t="s">
        <v>83</v>
      </c>
      <c r="P155" s="23" t="s">
        <v>84</v>
      </c>
      <c r="Q155" s="23" t="str">
        <f aca="false">IF(A155="UNDATED LEAD","UNRESOLVED",IF(M155="N","EXCEPTION",IF(A155="SKIP",IF(ISNUMBER(SEARCH("_skip_justification.pdf",N155)),"CLEAR - FILE VERIFIED","CLEAR ON EXPORT"),"CLEAR ON LOG")))</f>
        <v>CLEAR ON EXPORT</v>
      </c>
      <c r="R155" s="23" t="str">
        <f aca="false">IF(Q155="UNRESOLVED","PRIORITY 1 - OBTAIN FILE",IF(Q155&lt;&gt;"EXCEPTION","NONE",IF(OR(AND(A155="LOA AMENDMENT",P155="UNRESOLVED USE"),AND(A155="SKIP",OR(E155="WL-02618",E155="WL-03044",E155="WL-03390"))),"PRIORITY 1",IF(A155="SKIP","PRIORITY 2","PRIORITY 3"))))</f>
        <v>NONE</v>
      </c>
      <c r="S155" s="23"/>
      <c r="T155" s="23" t="s">
        <v>997</v>
      </c>
      <c r="U155" s="23" t="s">
        <v>86</v>
      </c>
    </row>
    <row r="156" customFormat="false" ht="17.9" hidden="false" customHeight="false" outlineLevel="0" collapsed="false">
      <c r="A156" s="20" t="s">
        <v>73</v>
      </c>
      <c r="B156" s="21" t="n">
        <v>45585</v>
      </c>
      <c r="C156" s="20" t="s">
        <v>998</v>
      </c>
      <c r="D156" s="20" t="s">
        <v>999</v>
      </c>
      <c r="E156" s="20" t="s">
        <v>1000</v>
      </c>
      <c r="F156" s="20" t="s">
        <v>1001</v>
      </c>
      <c r="G156" s="20" t="n">
        <v>2733</v>
      </c>
      <c r="H156" s="20" t="s">
        <v>1002</v>
      </c>
      <c r="I156" s="20" t="s">
        <v>119</v>
      </c>
      <c r="J156" s="20" t="s">
        <v>80</v>
      </c>
      <c r="K156" s="22"/>
      <c r="L156" s="22"/>
      <c r="M156" s="20" t="s">
        <v>81</v>
      </c>
      <c r="N156" s="23" t="s">
        <v>101</v>
      </c>
      <c r="O156" s="23" t="s">
        <v>83</v>
      </c>
      <c r="P156" s="23" t="s">
        <v>84</v>
      </c>
      <c r="Q156" s="23" t="str">
        <f aca="false">IF(A156="UNDATED LEAD","UNRESOLVED",IF(M156="N","EXCEPTION",IF(A156="SKIP",IF(ISNUMBER(SEARCH("_skip_justification.pdf",N156)),"CLEAR - FILE VERIFIED","CLEAR ON EXPORT"),"CLEAR ON LOG")))</f>
        <v>CLEAR ON EXPORT</v>
      </c>
      <c r="R156" s="23" t="str">
        <f aca="false">IF(Q156="UNRESOLVED","PRIORITY 1 - OBTAIN FILE",IF(Q156&lt;&gt;"EXCEPTION","NONE",IF(OR(AND(A156="LOA AMENDMENT",P156="UNRESOLVED USE"),AND(A156="SKIP",OR(E156="WL-02618",E156="WL-03044",E156="WL-03390"))),"PRIORITY 1",IF(A156="SKIP","PRIORITY 2","PRIORITY 3"))))</f>
        <v>NONE</v>
      </c>
      <c r="S156" s="23"/>
      <c r="T156" s="23" t="s">
        <v>1003</v>
      </c>
      <c r="U156" s="23" t="s">
        <v>86</v>
      </c>
    </row>
    <row r="157" customFormat="false" ht="17.9" hidden="false" customHeight="false" outlineLevel="0" collapsed="false">
      <c r="A157" s="20" t="s">
        <v>73</v>
      </c>
      <c r="B157" s="21" t="n">
        <v>45586</v>
      </c>
      <c r="C157" s="20" t="s">
        <v>1004</v>
      </c>
      <c r="D157" s="20" t="s">
        <v>1005</v>
      </c>
      <c r="E157" s="20" t="s">
        <v>1006</v>
      </c>
      <c r="F157" s="20" t="s">
        <v>1007</v>
      </c>
      <c r="G157" s="20" t="n">
        <v>2831</v>
      </c>
      <c r="H157" s="20" t="s">
        <v>1008</v>
      </c>
      <c r="I157" s="20" t="s">
        <v>109</v>
      </c>
      <c r="J157" s="20" t="s">
        <v>100</v>
      </c>
      <c r="K157" s="22"/>
      <c r="L157" s="22"/>
      <c r="M157" s="20" t="s">
        <v>81</v>
      </c>
      <c r="N157" s="23" t="s">
        <v>82</v>
      </c>
      <c r="O157" s="23" t="s">
        <v>102</v>
      </c>
      <c r="P157" s="23" t="s">
        <v>84</v>
      </c>
      <c r="Q157" s="23" t="str">
        <f aca="false">IF(A157="UNDATED LEAD","UNRESOLVED",IF(M157="N","EXCEPTION",IF(A157="SKIP",IF(ISNUMBER(SEARCH("_skip_justification.pdf",N157)),"CLEAR - FILE VERIFIED","CLEAR ON EXPORT"),"CLEAR ON LOG")))</f>
        <v>CLEAR ON EXPORT</v>
      </c>
      <c r="R157" s="23" t="str">
        <f aca="false">IF(Q157="UNRESOLVED","PRIORITY 1 - OBTAIN FILE",IF(Q157&lt;&gt;"EXCEPTION","NONE",IF(OR(AND(A157="LOA AMENDMENT",P157="UNRESOLVED USE"),AND(A157="SKIP",OR(E157="WL-02618",E157="WL-03044",E157="WL-03390"))),"PRIORITY 1",IF(A157="SKIP","PRIORITY 2","PRIORITY 3"))))</f>
        <v>NONE</v>
      </c>
      <c r="S157" s="23"/>
      <c r="T157" s="23" t="s">
        <v>1009</v>
      </c>
      <c r="U157" s="23" t="s">
        <v>86</v>
      </c>
    </row>
    <row r="158" customFormat="false" ht="17.9" hidden="false" customHeight="false" outlineLevel="0" collapsed="false">
      <c r="A158" s="20" t="s">
        <v>73</v>
      </c>
      <c r="B158" s="21" t="n">
        <v>45586</v>
      </c>
      <c r="C158" s="20" t="s">
        <v>1010</v>
      </c>
      <c r="D158" s="20" t="s">
        <v>1011</v>
      </c>
      <c r="E158" s="20" t="s">
        <v>1012</v>
      </c>
      <c r="F158" s="20" t="s">
        <v>1013</v>
      </c>
      <c r="G158" s="20" t="n">
        <v>264</v>
      </c>
      <c r="H158" s="20" t="s">
        <v>1014</v>
      </c>
      <c r="I158" s="20" t="s">
        <v>99</v>
      </c>
      <c r="J158" s="20" t="s">
        <v>147</v>
      </c>
      <c r="K158" s="22"/>
      <c r="L158" s="22"/>
      <c r="M158" s="20" t="s">
        <v>81</v>
      </c>
      <c r="N158" s="23" t="s">
        <v>92</v>
      </c>
      <c r="O158" s="23" t="s">
        <v>148</v>
      </c>
      <c r="P158" s="23" t="s">
        <v>84</v>
      </c>
      <c r="Q158" s="23" t="str">
        <f aca="false">IF(A158="UNDATED LEAD","UNRESOLVED",IF(M158="N","EXCEPTION",IF(A158="SKIP",IF(ISNUMBER(SEARCH("_skip_justification.pdf",N158)),"CLEAR - FILE VERIFIED","CLEAR ON EXPORT"),"CLEAR ON LOG")))</f>
        <v>CLEAR ON EXPORT</v>
      </c>
      <c r="R158" s="23" t="str">
        <f aca="false">IF(Q158="UNRESOLVED","PRIORITY 1 - OBTAIN FILE",IF(Q158&lt;&gt;"EXCEPTION","NONE",IF(OR(AND(A158="LOA AMENDMENT",P158="UNRESOLVED USE"),AND(A158="SKIP",OR(E158="WL-02618",E158="WL-03044",E158="WL-03390"))),"PRIORITY 1",IF(A158="SKIP","PRIORITY 2","PRIORITY 3"))))</f>
        <v>NONE</v>
      </c>
      <c r="S158" s="23"/>
      <c r="T158" s="23" t="s">
        <v>1015</v>
      </c>
      <c r="U158" s="23" t="s">
        <v>86</v>
      </c>
    </row>
    <row r="159" customFormat="false" ht="17.9" hidden="false" customHeight="false" outlineLevel="0" collapsed="false">
      <c r="A159" s="20" t="s">
        <v>73</v>
      </c>
      <c r="B159" s="21" t="n">
        <v>45590</v>
      </c>
      <c r="C159" s="20" t="s">
        <v>1016</v>
      </c>
      <c r="D159" s="20" t="s">
        <v>1017</v>
      </c>
      <c r="E159" s="20" t="s">
        <v>1018</v>
      </c>
      <c r="F159" s="20" t="s">
        <v>1019</v>
      </c>
      <c r="G159" s="20" t="n">
        <v>2708</v>
      </c>
      <c r="H159" s="20" t="s">
        <v>1020</v>
      </c>
      <c r="I159" s="20" t="s">
        <v>119</v>
      </c>
      <c r="J159" s="20" t="s">
        <v>100</v>
      </c>
      <c r="K159" s="22"/>
      <c r="L159" s="22"/>
      <c r="M159" s="20" t="s">
        <v>81</v>
      </c>
      <c r="N159" s="23" t="s">
        <v>92</v>
      </c>
      <c r="O159" s="23" t="s">
        <v>102</v>
      </c>
      <c r="P159" s="23" t="s">
        <v>84</v>
      </c>
      <c r="Q159" s="23" t="str">
        <f aca="false">IF(A159="UNDATED LEAD","UNRESOLVED",IF(M159="N","EXCEPTION",IF(A159="SKIP",IF(ISNUMBER(SEARCH("_skip_justification.pdf",N159)),"CLEAR - FILE VERIFIED","CLEAR ON EXPORT"),"CLEAR ON LOG")))</f>
        <v>CLEAR ON EXPORT</v>
      </c>
      <c r="R159" s="23" t="str">
        <f aca="false">IF(Q159="UNRESOLVED","PRIORITY 1 - OBTAIN FILE",IF(Q159&lt;&gt;"EXCEPTION","NONE",IF(OR(AND(A159="LOA AMENDMENT",P159="UNRESOLVED USE"),AND(A159="SKIP",OR(E159="WL-02618",E159="WL-03044",E159="WL-03390"))),"PRIORITY 1",IF(A159="SKIP","PRIORITY 2","PRIORITY 3"))))</f>
        <v>NONE</v>
      </c>
      <c r="S159" s="23"/>
      <c r="T159" s="23" t="s">
        <v>1021</v>
      </c>
      <c r="U159" s="23" t="s">
        <v>86</v>
      </c>
    </row>
    <row r="160" customFormat="false" ht="17.9" hidden="false" customHeight="false" outlineLevel="0" collapsed="false">
      <c r="A160" s="20" t="s">
        <v>73</v>
      </c>
      <c r="B160" s="21" t="n">
        <v>45591</v>
      </c>
      <c r="C160" s="20" t="s">
        <v>1022</v>
      </c>
      <c r="D160" s="20" t="s">
        <v>1023</v>
      </c>
      <c r="E160" s="20" t="s">
        <v>1024</v>
      </c>
      <c r="F160" s="20" t="s">
        <v>1025</v>
      </c>
      <c r="G160" s="20" t="n">
        <v>26</v>
      </c>
      <c r="H160" s="20" t="s">
        <v>1026</v>
      </c>
      <c r="I160" s="20" t="s">
        <v>166</v>
      </c>
      <c r="J160" s="20" t="s">
        <v>132</v>
      </c>
      <c r="K160" s="22"/>
      <c r="L160" s="22"/>
      <c r="M160" s="20" t="s">
        <v>81</v>
      </c>
      <c r="N160" s="23" t="s">
        <v>92</v>
      </c>
      <c r="O160" s="23" t="s">
        <v>133</v>
      </c>
      <c r="P160" s="23" t="s">
        <v>84</v>
      </c>
      <c r="Q160" s="23" t="str">
        <f aca="false">IF(A160="UNDATED LEAD","UNRESOLVED",IF(M160="N","EXCEPTION",IF(A160="SKIP",IF(ISNUMBER(SEARCH("_skip_justification.pdf",N160)),"CLEAR - FILE VERIFIED","CLEAR ON EXPORT"),"CLEAR ON LOG")))</f>
        <v>CLEAR ON EXPORT</v>
      </c>
      <c r="R160" s="23" t="str">
        <f aca="false">IF(Q160="UNRESOLVED","PRIORITY 1 - OBTAIN FILE",IF(Q160&lt;&gt;"EXCEPTION","NONE",IF(OR(AND(A160="LOA AMENDMENT",P160="UNRESOLVED USE"),AND(A160="SKIP",OR(E160="WL-02618",E160="WL-03044",E160="WL-03390"))),"PRIORITY 1",IF(A160="SKIP","PRIORITY 2","PRIORITY 3"))))</f>
        <v>NONE</v>
      </c>
      <c r="S160" s="23"/>
      <c r="T160" s="23" t="s">
        <v>1027</v>
      </c>
      <c r="U160" s="23" t="s">
        <v>86</v>
      </c>
    </row>
    <row r="161" customFormat="false" ht="17.9" hidden="false" customHeight="false" outlineLevel="0" collapsed="false">
      <c r="A161" s="20" t="s">
        <v>73</v>
      </c>
      <c r="B161" s="21" t="n">
        <v>45592</v>
      </c>
      <c r="C161" s="20" t="s">
        <v>1028</v>
      </c>
      <c r="D161" s="20" t="s">
        <v>1029</v>
      </c>
      <c r="E161" s="20" t="s">
        <v>1030</v>
      </c>
      <c r="F161" s="20" t="s">
        <v>1031</v>
      </c>
      <c r="G161" s="20" t="n">
        <v>2808</v>
      </c>
      <c r="H161" s="20" t="s">
        <v>1032</v>
      </c>
      <c r="I161" s="20" t="s">
        <v>99</v>
      </c>
      <c r="J161" s="20" t="s">
        <v>132</v>
      </c>
      <c r="K161" s="22"/>
      <c r="L161" s="22"/>
      <c r="M161" s="20" t="s">
        <v>81</v>
      </c>
      <c r="N161" s="23" t="s">
        <v>101</v>
      </c>
      <c r="O161" s="23" t="s">
        <v>133</v>
      </c>
      <c r="P161" s="23" t="s">
        <v>84</v>
      </c>
      <c r="Q161" s="23" t="str">
        <f aca="false">IF(A161="UNDATED LEAD","UNRESOLVED",IF(M161="N","EXCEPTION",IF(A161="SKIP",IF(ISNUMBER(SEARCH("_skip_justification.pdf",N161)),"CLEAR - FILE VERIFIED","CLEAR ON EXPORT"),"CLEAR ON LOG")))</f>
        <v>CLEAR ON EXPORT</v>
      </c>
      <c r="R161" s="23" t="str">
        <f aca="false">IF(Q161="UNRESOLVED","PRIORITY 1 - OBTAIN FILE",IF(Q161&lt;&gt;"EXCEPTION","NONE",IF(OR(AND(A161="LOA AMENDMENT",P161="UNRESOLVED USE"),AND(A161="SKIP",OR(E161="WL-02618",E161="WL-03044",E161="WL-03390"))),"PRIORITY 1",IF(A161="SKIP","PRIORITY 2","PRIORITY 3"))))</f>
        <v>NONE</v>
      </c>
      <c r="S161" s="23"/>
      <c r="T161" s="23" t="s">
        <v>1033</v>
      </c>
      <c r="U161" s="23" t="s">
        <v>86</v>
      </c>
    </row>
    <row r="162" customFormat="false" ht="17.9" hidden="false" customHeight="false" outlineLevel="0" collapsed="false">
      <c r="A162" s="20" t="s">
        <v>73</v>
      </c>
      <c r="B162" s="21" t="n">
        <v>45599</v>
      </c>
      <c r="C162" s="20" t="s">
        <v>1034</v>
      </c>
      <c r="D162" s="20" t="s">
        <v>1035</v>
      </c>
      <c r="E162" s="20" t="s">
        <v>397</v>
      </c>
      <c r="F162" s="20" t="s">
        <v>398</v>
      </c>
      <c r="G162" s="20" t="n">
        <v>2857</v>
      </c>
      <c r="H162" s="20" t="s">
        <v>1036</v>
      </c>
      <c r="I162" s="20" t="s">
        <v>166</v>
      </c>
      <c r="J162" s="20" t="s">
        <v>80</v>
      </c>
      <c r="K162" s="22"/>
      <c r="L162" s="22"/>
      <c r="M162" s="20" t="s">
        <v>81</v>
      </c>
      <c r="N162" s="23" t="s">
        <v>82</v>
      </c>
      <c r="O162" s="23" t="s">
        <v>83</v>
      </c>
      <c r="P162" s="23" t="s">
        <v>84</v>
      </c>
      <c r="Q162" s="23" t="str">
        <f aca="false">IF(A162="UNDATED LEAD","UNRESOLVED",IF(M162="N","EXCEPTION",IF(A162="SKIP",IF(ISNUMBER(SEARCH("_skip_justification.pdf",N162)),"CLEAR - FILE VERIFIED","CLEAR ON EXPORT"),"CLEAR ON LOG")))</f>
        <v>CLEAR ON EXPORT</v>
      </c>
      <c r="R162" s="23" t="str">
        <f aca="false">IF(Q162="UNRESOLVED","PRIORITY 1 - OBTAIN FILE",IF(Q162&lt;&gt;"EXCEPTION","NONE",IF(OR(AND(A162="LOA AMENDMENT",P162="UNRESOLVED USE"),AND(A162="SKIP",OR(E162="WL-02618",E162="WL-03044",E162="WL-03390"))),"PRIORITY 1",IF(A162="SKIP","PRIORITY 2","PRIORITY 3"))))</f>
        <v>NONE</v>
      </c>
      <c r="S162" s="23"/>
      <c r="T162" s="23" t="s">
        <v>1037</v>
      </c>
      <c r="U162" s="23" t="s">
        <v>86</v>
      </c>
    </row>
    <row r="163" customFormat="false" ht="17.9" hidden="false" customHeight="false" outlineLevel="0" collapsed="false">
      <c r="A163" s="20" t="s">
        <v>73</v>
      </c>
      <c r="B163" s="21" t="n">
        <v>45601</v>
      </c>
      <c r="C163" s="20" t="s">
        <v>1038</v>
      </c>
      <c r="D163" s="20" t="s">
        <v>707</v>
      </c>
      <c r="E163" s="20" t="s">
        <v>852</v>
      </c>
      <c r="F163" s="20" t="s">
        <v>853</v>
      </c>
      <c r="G163" s="20" t="n">
        <v>2390</v>
      </c>
      <c r="H163" s="20" t="s">
        <v>1039</v>
      </c>
      <c r="I163" s="20" t="s">
        <v>166</v>
      </c>
      <c r="J163" s="20" t="s">
        <v>132</v>
      </c>
      <c r="K163" s="22"/>
      <c r="L163" s="22"/>
      <c r="M163" s="20" t="s">
        <v>110</v>
      </c>
      <c r="N163" s="23" t="s">
        <v>1040</v>
      </c>
      <c r="O163" s="23" t="s">
        <v>133</v>
      </c>
      <c r="P163" s="23" t="s">
        <v>84</v>
      </c>
      <c r="Q163" s="23" t="str">
        <f aca="false">IF(A163="UNDATED LEAD","UNRESOLVED",IF(M163="N","EXCEPTION",IF(A163="SKIP",IF(ISNUMBER(SEARCH("_skip_justification.pdf",N163)),"CLEAR - FILE VERIFIED","CLEAR ON EXPORT"),"CLEAR ON LOG")))</f>
        <v>EXCEPTION</v>
      </c>
      <c r="R163" s="23" t="str">
        <f aca="false">IF(Q163="UNRESOLVED","PRIORITY 1 - OBTAIN FILE",IF(Q163&lt;&gt;"EXCEPTION","NONE",IF(OR(AND(A163="LOA AMENDMENT",P163="UNRESOLVED USE"),AND(A163="SKIP",OR(E163="WL-02618",E163="WL-03044",E163="WL-03390"))),"PRIORITY 1",IF(A163="SKIP","PRIORITY 2","PRIORITY 3"))))</f>
        <v>PRIORITY 1</v>
      </c>
      <c r="S163" s="23" t="s">
        <v>1041</v>
      </c>
      <c r="T163" s="23" t="s">
        <v>1042</v>
      </c>
      <c r="U163" s="23" t="s">
        <v>86</v>
      </c>
    </row>
    <row r="164" customFormat="false" ht="17.9" hidden="false" customHeight="false" outlineLevel="0" collapsed="false">
      <c r="A164" s="20" t="s">
        <v>73</v>
      </c>
      <c r="B164" s="21" t="n">
        <v>45613</v>
      </c>
      <c r="C164" s="20" t="s">
        <v>1043</v>
      </c>
      <c r="D164" s="20" t="s">
        <v>1044</v>
      </c>
      <c r="E164" s="20" t="s">
        <v>1045</v>
      </c>
      <c r="F164" s="20" t="s">
        <v>1046</v>
      </c>
      <c r="G164" s="20" t="n">
        <v>1598</v>
      </c>
      <c r="H164" s="20" t="s">
        <v>1047</v>
      </c>
      <c r="I164" s="20" t="s">
        <v>119</v>
      </c>
      <c r="J164" s="20" t="s">
        <v>80</v>
      </c>
      <c r="K164" s="22"/>
      <c r="L164" s="22"/>
      <c r="M164" s="20" t="s">
        <v>110</v>
      </c>
      <c r="N164" s="23" t="s">
        <v>111</v>
      </c>
      <c r="O164" s="23" t="s">
        <v>83</v>
      </c>
      <c r="P164" s="23" t="s">
        <v>84</v>
      </c>
      <c r="Q164" s="23" t="str">
        <f aca="false">IF(A164="UNDATED LEAD","UNRESOLVED",IF(M164="N","EXCEPTION",IF(A164="SKIP",IF(ISNUMBER(SEARCH("_skip_justification.pdf",N164)),"CLEAR - FILE VERIFIED","CLEAR ON EXPORT"),"CLEAR ON LOG")))</f>
        <v>EXCEPTION</v>
      </c>
      <c r="R164" s="23" t="str">
        <f aca="false">IF(Q164="UNRESOLVED","PRIORITY 1 - OBTAIN FILE",IF(Q164&lt;&gt;"EXCEPTION","NONE",IF(OR(AND(A164="LOA AMENDMENT",P164="UNRESOLVED USE"),AND(A164="SKIP",OR(E164="WL-02618",E164="WL-03044",E164="WL-03390"))),"PRIORITY 1",IF(A164="SKIP","PRIORITY 2","PRIORITY 3"))))</f>
        <v>PRIORITY 2</v>
      </c>
      <c r="S164" s="23" t="s">
        <v>1048</v>
      </c>
      <c r="T164" s="23" t="s">
        <v>1049</v>
      </c>
      <c r="U164" s="23" t="s">
        <v>86</v>
      </c>
    </row>
    <row r="165" customFormat="false" ht="17.9" hidden="false" customHeight="false" outlineLevel="0" collapsed="false">
      <c r="A165" s="20" t="s">
        <v>73</v>
      </c>
      <c r="B165" s="21" t="n">
        <v>45618</v>
      </c>
      <c r="C165" s="20" t="s">
        <v>1050</v>
      </c>
      <c r="D165" s="20" t="s">
        <v>1051</v>
      </c>
      <c r="E165" s="20" t="s">
        <v>1052</v>
      </c>
      <c r="F165" s="20" t="s">
        <v>1053</v>
      </c>
      <c r="G165" s="20" t="n">
        <v>1139</v>
      </c>
      <c r="H165" s="20" t="s">
        <v>1054</v>
      </c>
      <c r="I165" s="20" t="s">
        <v>79</v>
      </c>
      <c r="J165" s="20" t="s">
        <v>80</v>
      </c>
      <c r="K165" s="22"/>
      <c r="L165" s="22"/>
      <c r="M165" s="20" t="s">
        <v>81</v>
      </c>
      <c r="N165" s="23" t="s">
        <v>92</v>
      </c>
      <c r="O165" s="23" t="s">
        <v>83</v>
      </c>
      <c r="P165" s="23" t="s">
        <v>84</v>
      </c>
      <c r="Q165" s="23" t="str">
        <f aca="false">IF(A165="UNDATED LEAD","UNRESOLVED",IF(M165="N","EXCEPTION",IF(A165="SKIP",IF(ISNUMBER(SEARCH("_skip_justification.pdf",N165)),"CLEAR - FILE VERIFIED","CLEAR ON EXPORT"),"CLEAR ON LOG")))</f>
        <v>CLEAR ON EXPORT</v>
      </c>
      <c r="R165" s="23" t="str">
        <f aca="false">IF(Q165="UNRESOLVED","PRIORITY 1 - OBTAIN FILE",IF(Q165&lt;&gt;"EXCEPTION","NONE",IF(OR(AND(A165="LOA AMENDMENT",P165="UNRESOLVED USE"),AND(A165="SKIP",OR(E165="WL-02618",E165="WL-03044",E165="WL-03390"))),"PRIORITY 1",IF(A165="SKIP","PRIORITY 2","PRIORITY 3"))))</f>
        <v>NONE</v>
      </c>
      <c r="S165" s="23"/>
      <c r="T165" s="23" t="s">
        <v>1055</v>
      </c>
      <c r="U165" s="23" t="s">
        <v>86</v>
      </c>
    </row>
    <row r="166" customFormat="false" ht="17.9" hidden="false" customHeight="false" outlineLevel="0" collapsed="false">
      <c r="A166" s="20" t="s">
        <v>73</v>
      </c>
      <c r="B166" s="21" t="n">
        <v>45619</v>
      </c>
      <c r="C166" s="20" t="s">
        <v>1056</v>
      </c>
      <c r="D166" s="20" t="s">
        <v>1057</v>
      </c>
      <c r="E166" s="20" t="s">
        <v>1058</v>
      </c>
      <c r="F166" s="20" t="s">
        <v>1059</v>
      </c>
      <c r="G166" s="20" t="n">
        <v>832</v>
      </c>
      <c r="H166" s="20" t="s">
        <v>1060</v>
      </c>
      <c r="I166" s="20" t="s">
        <v>99</v>
      </c>
      <c r="J166" s="20" t="s">
        <v>100</v>
      </c>
      <c r="K166" s="22"/>
      <c r="L166" s="22"/>
      <c r="M166" s="20" t="s">
        <v>81</v>
      </c>
      <c r="N166" s="23" t="s">
        <v>92</v>
      </c>
      <c r="O166" s="23" t="s">
        <v>102</v>
      </c>
      <c r="P166" s="23" t="s">
        <v>84</v>
      </c>
      <c r="Q166" s="23" t="str">
        <f aca="false">IF(A166="UNDATED LEAD","UNRESOLVED",IF(M166="N","EXCEPTION",IF(A166="SKIP",IF(ISNUMBER(SEARCH("_skip_justification.pdf",N166)),"CLEAR - FILE VERIFIED","CLEAR ON EXPORT"),"CLEAR ON LOG")))</f>
        <v>CLEAR ON EXPORT</v>
      </c>
      <c r="R166" s="23" t="str">
        <f aca="false">IF(Q166="UNRESOLVED","PRIORITY 1 - OBTAIN FILE",IF(Q166&lt;&gt;"EXCEPTION","NONE",IF(OR(AND(A166="LOA AMENDMENT",P166="UNRESOLVED USE"),AND(A166="SKIP",OR(E166="WL-02618",E166="WL-03044",E166="WL-03390"))),"PRIORITY 1",IF(A166="SKIP","PRIORITY 2","PRIORITY 3"))))</f>
        <v>NONE</v>
      </c>
      <c r="S166" s="23"/>
      <c r="T166" s="23" t="s">
        <v>1061</v>
      </c>
      <c r="U166" s="23" t="s">
        <v>86</v>
      </c>
    </row>
    <row r="167" customFormat="false" ht="17.9" hidden="false" customHeight="false" outlineLevel="0" collapsed="false">
      <c r="A167" s="20" t="s">
        <v>73</v>
      </c>
      <c r="B167" s="21" t="n">
        <v>45637</v>
      </c>
      <c r="C167" s="20" t="s">
        <v>1062</v>
      </c>
      <c r="D167" s="20" t="s">
        <v>1063</v>
      </c>
      <c r="E167" s="20" t="s">
        <v>1064</v>
      </c>
      <c r="F167" s="20" t="s">
        <v>1065</v>
      </c>
      <c r="G167" s="20" t="n">
        <v>2294</v>
      </c>
      <c r="H167" s="20" t="s">
        <v>1066</v>
      </c>
      <c r="I167" s="20" t="s">
        <v>79</v>
      </c>
      <c r="J167" s="20" t="s">
        <v>80</v>
      </c>
      <c r="K167" s="22"/>
      <c r="L167" s="22"/>
      <c r="M167" s="20" t="s">
        <v>81</v>
      </c>
      <c r="N167" s="23" t="s">
        <v>92</v>
      </c>
      <c r="O167" s="23" t="s">
        <v>83</v>
      </c>
      <c r="P167" s="23" t="s">
        <v>84</v>
      </c>
      <c r="Q167" s="23" t="str">
        <f aca="false">IF(A167="UNDATED LEAD","UNRESOLVED",IF(M167="N","EXCEPTION",IF(A167="SKIP",IF(ISNUMBER(SEARCH("_skip_justification.pdf",N167)),"CLEAR - FILE VERIFIED","CLEAR ON EXPORT"),"CLEAR ON LOG")))</f>
        <v>CLEAR ON EXPORT</v>
      </c>
      <c r="R167" s="23" t="str">
        <f aca="false">IF(Q167="UNRESOLVED","PRIORITY 1 - OBTAIN FILE",IF(Q167&lt;&gt;"EXCEPTION","NONE",IF(OR(AND(A167="LOA AMENDMENT",P167="UNRESOLVED USE"),AND(A167="SKIP",OR(E167="WL-02618",E167="WL-03044",E167="WL-03390"))),"PRIORITY 1",IF(A167="SKIP","PRIORITY 2","PRIORITY 3"))))</f>
        <v>NONE</v>
      </c>
      <c r="S167" s="23"/>
      <c r="T167" s="23" t="s">
        <v>1067</v>
      </c>
      <c r="U167" s="23" t="s">
        <v>86</v>
      </c>
    </row>
    <row r="168" customFormat="false" ht="17.9" hidden="false" customHeight="false" outlineLevel="0" collapsed="false">
      <c r="A168" s="20" t="s">
        <v>73</v>
      </c>
      <c r="B168" s="21" t="n">
        <v>45639</v>
      </c>
      <c r="C168" s="20" t="s">
        <v>1068</v>
      </c>
      <c r="D168" s="20" t="s">
        <v>1069</v>
      </c>
      <c r="E168" s="20" t="s">
        <v>1070</v>
      </c>
      <c r="F168" s="20" t="s">
        <v>1071</v>
      </c>
      <c r="G168" s="20" t="n">
        <v>1412</v>
      </c>
      <c r="H168" s="20" t="s">
        <v>1072</v>
      </c>
      <c r="I168" s="20" t="s">
        <v>119</v>
      </c>
      <c r="J168" s="20" t="s">
        <v>147</v>
      </c>
      <c r="K168" s="22"/>
      <c r="L168" s="22"/>
      <c r="M168" s="20" t="s">
        <v>81</v>
      </c>
      <c r="N168" s="23" t="s">
        <v>82</v>
      </c>
      <c r="O168" s="23" t="s">
        <v>148</v>
      </c>
      <c r="P168" s="23" t="s">
        <v>84</v>
      </c>
      <c r="Q168" s="23" t="str">
        <f aca="false">IF(A168="UNDATED LEAD","UNRESOLVED",IF(M168="N","EXCEPTION",IF(A168="SKIP",IF(ISNUMBER(SEARCH("_skip_justification.pdf",N168)),"CLEAR - FILE VERIFIED","CLEAR ON EXPORT"),"CLEAR ON LOG")))</f>
        <v>CLEAR ON EXPORT</v>
      </c>
      <c r="R168" s="23" t="str">
        <f aca="false">IF(Q168="UNRESOLVED","PRIORITY 1 - OBTAIN FILE",IF(Q168&lt;&gt;"EXCEPTION","NONE",IF(OR(AND(A168="LOA AMENDMENT",P168="UNRESOLVED USE"),AND(A168="SKIP",OR(E168="WL-02618",E168="WL-03044",E168="WL-03390"))),"PRIORITY 1",IF(A168="SKIP","PRIORITY 2","PRIORITY 3"))))</f>
        <v>NONE</v>
      </c>
      <c r="S168" s="23"/>
      <c r="T168" s="23" t="s">
        <v>1073</v>
      </c>
      <c r="U168" s="23" t="s">
        <v>86</v>
      </c>
    </row>
    <row r="169" customFormat="false" ht="17.9" hidden="false" customHeight="false" outlineLevel="0" collapsed="false">
      <c r="A169" s="20" t="s">
        <v>73</v>
      </c>
      <c r="B169" s="21" t="n">
        <v>45644</v>
      </c>
      <c r="C169" s="20" t="s">
        <v>1074</v>
      </c>
      <c r="D169" s="20" t="s">
        <v>1075</v>
      </c>
      <c r="E169" s="20" t="s">
        <v>1076</v>
      </c>
      <c r="F169" s="20" t="s">
        <v>1077</v>
      </c>
      <c r="G169" s="20" t="n">
        <v>1923</v>
      </c>
      <c r="H169" s="20" t="s">
        <v>1078</v>
      </c>
      <c r="I169" s="20" t="s">
        <v>79</v>
      </c>
      <c r="J169" s="20" t="s">
        <v>147</v>
      </c>
      <c r="K169" s="22"/>
      <c r="L169" s="22"/>
      <c r="M169" s="20" t="s">
        <v>81</v>
      </c>
      <c r="N169" s="23" t="s">
        <v>92</v>
      </c>
      <c r="O169" s="23" t="s">
        <v>148</v>
      </c>
      <c r="P169" s="23" t="s">
        <v>84</v>
      </c>
      <c r="Q169" s="23" t="str">
        <f aca="false">IF(A169="UNDATED LEAD","UNRESOLVED",IF(M169="N","EXCEPTION",IF(A169="SKIP",IF(ISNUMBER(SEARCH("_skip_justification.pdf",N169)),"CLEAR - FILE VERIFIED","CLEAR ON EXPORT"),"CLEAR ON LOG")))</f>
        <v>CLEAR ON EXPORT</v>
      </c>
      <c r="R169" s="23" t="str">
        <f aca="false">IF(Q169="UNRESOLVED","PRIORITY 1 - OBTAIN FILE",IF(Q169&lt;&gt;"EXCEPTION","NONE",IF(OR(AND(A169="LOA AMENDMENT",P169="UNRESOLVED USE"),AND(A169="SKIP",OR(E169="WL-02618",E169="WL-03044",E169="WL-03390"))),"PRIORITY 1",IF(A169="SKIP","PRIORITY 2","PRIORITY 3"))))</f>
        <v>NONE</v>
      </c>
      <c r="S169" s="23"/>
      <c r="T169" s="23" t="s">
        <v>1079</v>
      </c>
      <c r="U169" s="23" t="s">
        <v>86</v>
      </c>
    </row>
    <row r="170" customFormat="false" ht="17.9" hidden="false" customHeight="false" outlineLevel="0" collapsed="false">
      <c r="A170" s="20" t="s">
        <v>73</v>
      </c>
      <c r="B170" s="21" t="n">
        <v>45648</v>
      </c>
      <c r="C170" s="20" t="s">
        <v>1080</v>
      </c>
      <c r="D170" s="20" t="s">
        <v>1081</v>
      </c>
      <c r="E170" s="20" t="s">
        <v>1082</v>
      </c>
      <c r="F170" s="20" t="s">
        <v>1083</v>
      </c>
      <c r="G170" s="20" t="n">
        <v>844</v>
      </c>
      <c r="H170" s="20" t="s">
        <v>1084</v>
      </c>
      <c r="I170" s="20" t="s">
        <v>109</v>
      </c>
      <c r="J170" s="20" t="s">
        <v>80</v>
      </c>
      <c r="K170" s="22"/>
      <c r="L170" s="22"/>
      <c r="M170" s="20" t="s">
        <v>81</v>
      </c>
      <c r="N170" s="23" t="s">
        <v>92</v>
      </c>
      <c r="O170" s="23" t="s">
        <v>83</v>
      </c>
      <c r="P170" s="23" t="s">
        <v>84</v>
      </c>
      <c r="Q170" s="23" t="str">
        <f aca="false">IF(A170="UNDATED LEAD","UNRESOLVED",IF(M170="N","EXCEPTION",IF(A170="SKIP",IF(ISNUMBER(SEARCH("_skip_justification.pdf",N170)),"CLEAR - FILE VERIFIED","CLEAR ON EXPORT"),"CLEAR ON LOG")))</f>
        <v>CLEAR ON EXPORT</v>
      </c>
      <c r="R170" s="23" t="str">
        <f aca="false">IF(Q170="UNRESOLVED","PRIORITY 1 - OBTAIN FILE",IF(Q170&lt;&gt;"EXCEPTION","NONE",IF(OR(AND(A170="LOA AMENDMENT",P170="UNRESOLVED USE"),AND(A170="SKIP",OR(E170="WL-02618",E170="WL-03044",E170="WL-03390"))),"PRIORITY 1",IF(A170="SKIP","PRIORITY 2","PRIORITY 3"))))</f>
        <v>NONE</v>
      </c>
      <c r="S170" s="23"/>
      <c r="T170" s="23" t="s">
        <v>1085</v>
      </c>
      <c r="U170" s="23" t="s">
        <v>86</v>
      </c>
    </row>
    <row r="171" customFormat="false" ht="17.9" hidden="false" customHeight="false" outlineLevel="0" collapsed="false">
      <c r="A171" s="20" t="s">
        <v>73</v>
      </c>
      <c r="B171" s="21" t="n">
        <v>45650</v>
      </c>
      <c r="C171" s="20" t="s">
        <v>1086</v>
      </c>
      <c r="D171" s="20" t="s">
        <v>1087</v>
      </c>
      <c r="E171" s="20" t="s">
        <v>1088</v>
      </c>
      <c r="F171" s="20" t="s">
        <v>1089</v>
      </c>
      <c r="G171" s="20" t="n">
        <v>2079</v>
      </c>
      <c r="H171" s="20" t="s">
        <v>1090</v>
      </c>
      <c r="I171" s="20" t="s">
        <v>166</v>
      </c>
      <c r="J171" s="20" t="s">
        <v>100</v>
      </c>
      <c r="K171" s="22"/>
      <c r="L171" s="22"/>
      <c r="M171" s="20" t="s">
        <v>81</v>
      </c>
      <c r="N171" s="23" t="s">
        <v>82</v>
      </c>
      <c r="O171" s="23" t="s">
        <v>102</v>
      </c>
      <c r="P171" s="23" t="s">
        <v>84</v>
      </c>
      <c r="Q171" s="23" t="str">
        <f aca="false">IF(A171="UNDATED LEAD","UNRESOLVED",IF(M171="N","EXCEPTION",IF(A171="SKIP",IF(ISNUMBER(SEARCH("_skip_justification.pdf",N171)),"CLEAR - FILE VERIFIED","CLEAR ON EXPORT"),"CLEAR ON LOG")))</f>
        <v>CLEAR ON EXPORT</v>
      </c>
      <c r="R171" s="23" t="str">
        <f aca="false">IF(Q171="UNRESOLVED","PRIORITY 1 - OBTAIN FILE",IF(Q171&lt;&gt;"EXCEPTION","NONE",IF(OR(AND(A171="LOA AMENDMENT",P171="UNRESOLVED USE"),AND(A171="SKIP",OR(E171="WL-02618",E171="WL-03044",E171="WL-03390"))),"PRIORITY 1",IF(A171="SKIP","PRIORITY 2","PRIORITY 3"))))</f>
        <v>NONE</v>
      </c>
      <c r="S171" s="23"/>
      <c r="T171" s="23" t="s">
        <v>1091</v>
      </c>
      <c r="U171" s="23" t="s">
        <v>86</v>
      </c>
    </row>
    <row r="172" customFormat="false" ht="17.9" hidden="false" customHeight="false" outlineLevel="0" collapsed="false">
      <c r="A172" s="20" t="s">
        <v>73</v>
      </c>
      <c r="B172" s="21" t="n">
        <v>45658</v>
      </c>
      <c r="C172" s="20" t="s">
        <v>1092</v>
      </c>
      <c r="D172" s="20" t="s">
        <v>1093</v>
      </c>
      <c r="E172" s="20" t="s">
        <v>1094</v>
      </c>
      <c r="F172" s="20" t="s">
        <v>1095</v>
      </c>
      <c r="G172" s="20" t="n">
        <v>382</v>
      </c>
      <c r="H172" s="20" t="s">
        <v>1096</v>
      </c>
      <c r="I172" s="20" t="s">
        <v>119</v>
      </c>
      <c r="J172" s="20" t="s">
        <v>80</v>
      </c>
      <c r="K172" s="22"/>
      <c r="L172" s="22"/>
      <c r="M172" s="20" t="s">
        <v>81</v>
      </c>
      <c r="N172" s="23" t="s">
        <v>82</v>
      </c>
      <c r="O172" s="23" t="s">
        <v>83</v>
      </c>
      <c r="P172" s="23" t="s">
        <v>84</v>
      </c>
      <c r="Q172" s="23" t="str">
        <f aca="false">IF(A172="UNDATED LEAD","UNRESOLVED",IF(M172="N","EXCEPTION",IF(A172="SKIP",IF(ISNUMBER(SEARCH("_skip_justification.pdf",N172)),"CLEAR - FILE VERIFIED","CLEAR ON EXPORT"),"CLEAR ON LOG")))</f>
        <v>CLEAR ON EXPORT</v>
      </c>
      <c r="R172" s="23" t="str">
        <f aca="false">IF(Q172="UNRESOLVED","PRIORITY 1 - OBTAIN FILE",IF(Q172&lt;&gt;"EXCEPTION","NONE",IF(OR(AND(A172="LOA AMENDMENT",P172="UNRESOLVED USE"),AND(A172="SKIP",OR(E172="WL-02618",E172="WL-03044",E172="WL-03390"))),"PRIORITY 1",IF(A172="SKIP","PRIORITY 2","PRIORITY 3"))))</f>
        <v>NONE</v>
      </c>
      <c r="S172" s="23"/>
      <c r="T172" s="23" t="s">
        <v>1097</v>
      </c>
      <c r="U172" s="23" t="s">
        <v>86</v>
      </c>
    </row>
    <row r="173" customFormat="false" ht="17.9" hidden="false" customHeight="false" outlineLevel="0" collapsed="false">
      <c r="A173" s="20" t="s">
        <v>73</v>
      </c>
      <c r="B173" s="21" t="n">
        <v>45669</v>
      </c>
      <c r="C173" s="20" t="s">
        <v>1098</v>
      </c>
      <c r="D173" s="20" t="s">
        <v>1099</v>
      </c>
      <c r="E173" s="20" t="s">
        <v>1100</v>
      </c>
      <c r="F173" s="20" t="s">
        <v>1101</v>
      </c>
      <c r="G173" s="20" t="n">
        <v>2888</v>
      </c>
      <c r="H173" s="20" t="s">
        <v>1102</v>
      </c>
      <c r="I173" s="20" t="s">
        <v>166</v>
      </c>
      <c r="J173" s="20" t="s">
        <v>132</v>
      </c>
      <c r="K173" s="22"/>
      <c r="L173" s="22"/>
      <c r="M173" s="20" t="s">
        <v>81</v>
      </c>
      <c r="N173" s="23" t="s">
        <v>101</v>
      </c>
      <c r="O173" s="23" t="s">
        <v>133</v>
      </c>
      <c r="P173" s="23" t="s">
        <v>84</v>
      </c>
      <c r="Q173" s="23" t="str">
        <f aca="false">IF(A173="UNDATED LEAD","UNRESOLVED",IF(M173="N","EXCEPTION",IF(A173="SKIP",IF(ISNUMBER(SEARCH("_skip_justification.pdf",N173)),"CLEAR - FILE VERIFIED","CLEAR ON EXPORT"),"CLEAR ON LOG")))</f>
        <v>CLEAR ON EXPORT</v>
      </c>
      <c r="R173" s="23" t="str">
        <f aca="false">IF(Q173="UNRESOLVED","PRIORITY 1 - OBTAIN FILE",IF(Q173&lt;&gt;"EXCEPTION","NONE",IF(OR(AND(A173="LOA AMENDMENT",P173="UNRESOLVED USE"),AND(A173="SKIP",OR(E173="WL-02618",E173="WL-03044",E173="WL-03390"))),"PRIORITY 1",IF(A173="SKIP","PRIORITY 2","PRIORITY 3"))))</f>
        <v>NONE</v>
      </c>
      <c r="S173" s="23"/>
      <c r="T173" s="23" t="s">
        <v>1103</v>
      </c>
      <c r="U173" s="23" t="s">
        <v>86</v>
      </c>
    </row>
    <row r="174" customFormat="false" ht="17.9" hidden="false" customHeight="false" outlineLevel="0" collapsed="false">
      <c r="A174" s="20" t="s">
        <v>73</v>
      </c>
      <c r="B174" s="21" t="n">
        <v>45672</v>
      </c>
      <c r="C174" s="20" t="s">
        <v>1104</v>
      </c>
      <c r="D174" s="20" t="s">
        <v>1105</v>
      </c>
      <c r="E174" s="20" t="s">
        <v>1106</v>
      </c>
      <c r="F174" s="20" t="s">
        <v>1107</v>
      </c>
      <c r="G174" s="20" t="n">
        <v>2628</v>
      </c>
      <c r="H174" s="20" t="s">
        <v>1108</v>
      </c>
      <c r="I174" s="20" t="s">
        <v>79</v>
      </c>
      <c r="J174" s="20" t="s">
        <v>147</v>
      </c>
      <c r="K174" s="22"/>
      <c r="L174" s="22"/>
      <c r="M174" s="20" t="s">
        <v>81</v>
      </c>
      <c r="N174" s="23" t="s">
        <v>82</v>
      </c>
      <c r="O174" s="23" t="s">
        <v>148</v>
      </c>
      <c r="P174" s="23" t="s">
        <v>84</v>
      </c>
      <c r="Q174" s="23" t="str">
        <f aca="false">IF(A174="UNDATED LEAD","UNRESOLVED",IF(M174="N","EXCEPTION",IF(A174="SKIP",IF(ISNUMBER(SEARCH("_skip_justification.pdf",N174)),"CLEAR - FILE VERIFIED","CLEAR ON EXPORT"),"CLEAR ON LOG")))</f>
        <v>CLEAR ON EXPORT</v>
      </c>
      <c r="R174" s="23" t="str">
        <f aca="false">IF(Q174="UNRESOLVED","PRIORITY 1 - OBTAIN FILE",IF(Q174&lt;&gt;"EXCEPTION","NONE",IF(OR(AND(A174="LOA AMENDMENT",P174="UNRESOLVED USE"),AND(A174="SKIP",OR(E174="WL-02618",E174="WL-03044",E174="WL-03390"))),"PRIORITY 1",IF(A174="SKIP","PRIORITY 2","PRIORITY 3"))))</f>
        <v>NONE</v>
      </c>
      <c r="S174" s="23"/>
      <c r="T174" s="23" t="s">
        <v>1109</v>
      </c>
      <c r="U174" s="23" t="s">
        <v>86</v>
      </c>
    </row>
    <row r="175" customFormat="false" ht="17.9" hidden="false" customHeight="false" outlineLevel="0" collapsed="false">
      <c r="A175" s="20" t="s">
        <v>73</v>
      </c>
      <c r="B175" s="21" t="n">
        <v>45673</v>
      </c>
      <c r="C175" s="20" t="s">
        <v>1110</v>
      </c>
      <c r="D175" s="20" t="s">
        <v>1111</v>
      </c>
      <c r="E175" s="20" t="s">
        <v>1112</v>
      </c>
      <c r="F175" s="20" t="s">
        <v>1113</v>
      </c>
      <c r="G175" s="20" t="n">
        <v>1733</v>
      </c>
      <c r="H175" s="20" t="s">
        <v>1114</v>
      </c>
      <c r="I175" s="20" t="s">
        <v>79</v>
      </c>
      <c r="J175" s="20" t="s">
        <v>80</v>
      </c>
      <c r="K175" s="22"/>
      <c r="L175" s="22"/>
      <c r="M175" s="20" t="s">
        <v>81</v>
      </c>
      <c r="N175" s="23" t="s">
        <v>101</v>
      </c>
      <c r="O175" s="23" t="s">
        <v>83</v>
      </c>
      <c r="P175" s="23" t="s">
        <v>84</v>
      </c>
      <c r="Q175" s="23" t="str">
        <f aca="false">IF(A175="UNDATED LEAD","UNRESOLVED",IF(M175="N","EXCEPTION",IF(A175="SKIP",IF(ISNUMBER(SEARCH("_skip_justification.pdf",N175)),"CLEAR - FILE VERIFIED","CLEAR ON EXPORT"),"CLEAR ON LOG")))</f>
        <v>CLEAR ON EXPORT</v>
      </c>
      <c r="R175" s="23" t="str">
        <f aca="false">IF(Q175="UNRESOLVED","PRIORITY 1 - OBTAIN FILE",IF(Q175&lt;&gt;"EXCEPTION","NONE",IF(OR(AND(A175="LOA AMENDMENT",P175="UNRESOLVED USE"),AND(A175="SKIP",OR(E175="WL-02618",E175="WL-03044",E175="WL-03390"))),"PRIORITY 1",IF(A175="SKIP","PRIORITY 2","PRIORITY 3"))))</f>
        <v>NONE</v>
      </c>
      <c r="S175" s="23"/>
      <c r="T175" s="23" t="s">
        <v>1115</v>
      </c>
      <c r="U175" s="23" t="s">
        <v>86</v>
      </c>
    </row>
    <row r="176" customFormat="false" ht="17.9" hidden="false" customHeight="false" outlineLevel="0" collapsed="false">
      <c r="A176" s="20" t="s">
        <v>73</v>
      </c>
      <c r="B176" s="21" t="n">
        <v>45674</v>
      </c>
      <c r="C176" s="20" t="s">
        <v>1116</v>
      </c>
      <c r="D176" s="20" t="s">
        <v>1117</v>
      </c>
      <c r="E176" s="20" t="s">
        <v>608</v>
      </c>
      <c r="F176" s="20" t="s">
        <v>609</v>
      </c>
      <c r="G176" s="20" t="n">
        <v>918</v>
      </c>
      <c r="H176" s="20" t="s">
        <v>1118</v>
      </c>
      <c r="I176" s="20" t="s">
        <v>119</v>
      </c>
      <c r="J176" s="20" t="s">
        <v>100</v>
      </c>
      <c r="K176" s="22"/>
      <c r="L176" s="22"/>
      <c r="M176" s="20" t="s">
        <v>81</v>
      </c>
      <c r="N176" s="23" t="s">
        <v>140</v>
      </c>
      <c r="O176" s="23" t="s">
        <v>102</v>
      </c>
      <c r="P176" s="23" t="s">
        <v>84</v>
      </c>
      <c r="Q176" s="23" t="str">
        <f aca="false">IF(A176="UNDATED LEAD","UNRESOLVED",IF(M176="N","EXCEPTION",IF(A176="SKIP",IF(ISNUMBER(SEARCH("_skip_justification.pdf",N176)),"CLEAR - FILE VERIFIED","CLEAR ON EXPORT"),"CLEAR ON LOG")))</f>
        <v>CLEAR ON EXPORT</v>
      </c>
      <c r="R176" s="23" t="str">
        <f aca="false">IF(Q176="UNRESOLVED","PRIORITY 1 - OBTAIN FILE",IF(Q176&lt;&gt;"EXCEPTION","NONE",IF(OR(AND(A176="LOA AMENDMENT",P176="UNRESOLVED USE"),AND(A176="SKIP",OR(E176="WL-02618",E176="WL-03044",E176="WL-03390"))),"PRIORITY 1",IF(A176="SKIP","PRIORITY 2","PRIORITY 3"))))</f>
        <v>NONE</v>
      </c>
      <c r="S176" s="23"/>
      <c r="T176" s="23" t="s">
        <v>1119</v>
      </c>
      <c r="U176" s="23" t="s">
        <v>86</v>
      </c>
    </row>
    <row r="177" customFormat="false" ht="17.9" hidden="false" customHeight="false" outlineLevel="0" collapsed="false">
      <c r="A177" s="20" t="s">
        <v>73</v>
      </c>
      <c r="B177" s="21" t="n">
        <v>45708</v>
      </c>
      <c r="C177" s="20" t="s">
        <v>1120</v>
      </c>
      <c r="D177" s="20" t="s">
        <v>1121</v>
      </c>
      <c r="E177" s="20" t="s">
        <v>1122</v>
      </c>
      <c r="F177" s="20" t="s">
        <v>1123</v>
      </c>
      <c r="G177" s="20" t="n">
        <v>2244</v>
      </c>
      <c r="H177" s="20" t="s">
        <v>1124</v>
      </c>
      <c r="I177" s="20" t="s">
        <v>109</v>
      </c>
      <c r="J177" s="20" t="s">
        <v>100</v>
      </c>
      <c r="K177" s="22"/>
      <c r="L177" s="22"/>
      <c r="M177" s="20" t="s">
        <v>81</v>
      </c>
      <c r="N177" s="23" t="s">
        <v>101</v>
      </c>
      <c r="O177" s="23" t="s">
        <v>102</v>
      </c>
      <c r="P177" s="23" t="s">
        <v>84</v>
      </c>
      <c r="Q177" s="23" t="str">
        <f aca="false">IF(A177="UNDATED LEAD","UNRESOLVED",IF(M177="N","EXCEPTION",IF(A177="SKIP",IF(ISNUMBER(SEARCH("_skip_justification.pdf",N177)),"CLEAR - FILE VERIFIED","CLEAR ON EXPORT"),"CLEAR ON LOG")))</f>
        <v>CLEAR ON EXPORT</v>
      </c>
      <c r="R177" s="23" t="str">
        <f aca="false">IF(Q177="UNRESOLVED","PRIORITY 1 - OBTAIN FILE",IF(Q177&lt;&gt;"EXCEPTION","NONE",IF(OR(AND(A177="LOA AMENDMENT",P177="UNRESOLVED USE"),AND(A177="SKIP",OR(E177="WL-02618",E177="WL-03044",E177="WL-03390"))),"PRIORITY 1",IF(A177="SKIP","PRIORITY 2","PRIORITY 3"))))</f>
        <v>NONE</v>
      </c>
      <c r="S177" s="23"/>
      <c r="T177" s="23" t="s">
        <v>1125</v>
      </c>
      <c r="U177" s="23" t="s">
        <v>86</v>
      </c>
    </row>
    <row r="178" customFormat="false" ht="17.9" hidden="false" customHeight="false" outlineLevel="0" collapsed="false">
      <c r="A178" s="20" t="s">
        <v>73</v>
      </c>
      <c r="B178" s="21" t="n">
        <v>45717</v>
      </c>
      <c r="C178" s="20" t="s">
        <v>1126</v>
      </c>
      <c r="D178" s="20" t="s">
        <v>1127</v>
      </c>
      <c r="E178" s="20" t="s">
        <v>1128</v>
      </c>
      <c r="F178" s="20" t="s">
        <v>1129</v>
      </c>
      <c r="G178" s="20" t="n">
        <v>2815</v>
      </c>
      <c r="H178" s="20" t="s">
        <v>866</v>
      </c>
      <c r="I178" s="20" t="s">
        <v>79</v>
      </c>
      <c r="J178" s="20" t="s">
        <v>147</v>
      </c>
      <c r="K178" s="22"/>
      <c r="L178" s="22"/>
      <c r="M178" s="20" t="s">
        <v>81</v>
      </c>
      <c r="N178" s="23" t="s">
        <v>92</v>
      </c>
      <c r="O178" s="23" t="s">
        <v>148</v>
      </c>
      <c r="P178" s="23" t="s">
        <v>84</v>
      </c>
      <c r="Q178" s="23" t="str">
        <f aca="false">IF(A178="UNDATED LEAD","UNRESOLVED",IF(M178="N","EXCEPTION",IF(A178="SKIP",IF(ISNUMBER(SEARCH("_skip_justification.pdf",N178)),"CLEAR - FILE VERIFIED","CLEAR ON EXPORT"),"CLEAR ON LOG")))</f>
        <v>CLEAR ON EXPORT</v>
      </c>
      <c r="R178" s="23" t="str">
        <f aca="false">IF(Q178="UNRESOLVED","PRIORITY 1 - OBTAIN FILE",IF(Q178&lt;&gt;"EXCEPTION","NONE",IF(OR(AND(A178="LOA AMENDMENT",P178="UNRESOLVED USE"),AND(A178="SKIP",OR(E178="WL-02618",E178="WL-03044",E178="WL-03390"))),"PRIORITY 1",IF(A178="SKIP","PRIORITY 2","PRIORITY 3"))))</f>
        <v>NONE</v>
      </c>
      <c r="S178" s="23"/>
      <c r="T178" s="23" t="s">
        <v>1130</v>
      </c>
      <c r="U178" s="23" t="s">
        <v>86</v>
      </c>
    </row>
    <row r="179" customFormat="false" ht="17.9" hidden="false" customHeight="false" outlineLevel="0" collapsed="false">
      <c r="A179" s="20" t="s">
        <v>73</v>
      </c>
      <c r="B179" s="21" t="n">
        <v>45725</v>
      </c>
      <c r="C179" s="20" t="s">
        <v>1131</v>
      </c>
      <c r="D179" s="20" t="s">
        <v>1132</v>
      </c>
      <c r="E179" s="20" t="s">
        <v>1133</v>
      </c>
      <c r="F179" s="20" t="s">
        <v>1134</v>
      </c>
      <c r="G179" s="20" t="n">
        <v>2604</v>
      </c>
      <c r="H179" s="20" t="s">
        <v>1135</v>
      </c>
      <c r="I179" s="20" t="s">
        <v>109</v>
      </c>
      <c r="J179" s="20" t="s">
        <v>100</v>
      </c>
      <c r="K179" s="22"/>
      <c r="L179" s="22"/>
      <c r="M179" s="20" t="s">
        <v>81</v>
      </c>
      <c r="N179" s="23" t="s">
        <v>140</v>
      </c>
      <c r="O179" s="23" t="s">
        <v>102</v>
      </c>
      <c r="P179" s="23" t="s">
        <v>84</v>
      </c>
      <c r="Q179" s="23" t="str">
        <f aca="false">IF(A179="UNDATED LEAD","UNRESOLVED",IF(M179="N","EXCEPTION",IF(A179="SKIP",IF(ISNUMBER(SEARCH("_skip_justification.pdf",N179)),"CLEAR - FILE VERIFIED","CLEAR ON EXPORT"),"CLEAR ON LOG")))</f>
        <v>CLEAR ON EXPORT</v>
      </c>
      <c r="R179" s="23" t="str">
        <f aca="false">IF(Q179="UNRESOLVED","PRIORITY 1 - OBTAIN FILE",IF(Q179&lt;&gt;"EXCEPTION","NONE",IF(OR(AND(A179="LOA AMENDMENT",P179="UNRESOLVED USE"),AND(A179="SKIP",OR(E179="WL-02618",E179="WL-03044",E179="WL-03390"))),"PRIORITY 1",IF(A179="SKIP","PRIORITY 2","PRIORITY 3"))))</f>
        <v>NONE</v>
      </c>
      <c r="S179" s="23"/>
      <c r="T179" s="23" t="s">
        <v>1136</v>
      </c>
      <c r="U179" s="23" t="s">
        <v>86</v>
      </c>
    </row>
    <row r="180" customFormat="false" ht="17.9" hidden="false" customHeight="false" outlineLevel="0" collapsed="false">
      <c r="A180" s="20" t="s">
        <v>73</v>
      </c>
      <c r="B180" s="21" t="n">
        <v>45728</v>
      </c>
      <c r="C180" s="20" t="s">
        <v>1137</v>
      </c>
      <c r="D180" s="20" t="s">
        <v>1138</v>
      </c>
      <c r="E180" s="20" t="s">
        <v>1139</v>
      </c>
      <c r="F180" s="20" t="s">
        <v>1140</v>
      </c>
      <c r="G180" s="20" t="n">
        <v>2442</v>
      </c>
      <c r="H180" s="20" t="s">
        <v>1141</v>
      </c>
      <c r="I180" s="20" t="s">
        <v>166</v>
      </c>
      <c r="J180" s="20" t="s">
        <v>100</v>
      </c>
      <c r="K180" s="22"/>
      <c r="L180" s="22"/>
      <c r="M180" s="20" t="s">
        <v>81</v>
      </c>
      <c r="N180" s="23" t="s">
        <v>82</v>
      </c>
      <c r="O180" s="23" t="s">
        <v>102</v>
      </c>
      <c r="P180" s="23" t="s">
        <v>84</v>
      </c>
      <c r="Q180" s="23" t="str">
        <f aca="false">IF(A180="UNDATED LEAD","UNRESOLVED",IF(M180="N","EXCEPTION",IF(A180="SKIP",IF(ISNUMBER(SEARCH("_skip_justification.pdf",N180)),"CLEAR - FILE VERIFIED","CLEAR ON EXPORT"),"CLEAR ON LOG")))</f>
        <v>CLEAR ON EXPORT</v>
      </c>
      <c r="R180" s="23" t="str">
        <f aca="false">IF(Q180="UNRESOLVED","PRIORITY 1 - OBTAIN FILE",IF(Q180&lt;&gt;"EXCEPTION","NONE",IF(OR(AND(A180="LOA AMENDMENT",P180="UNRESOLVED USE"),AND(A180="SKIP",OR(E180="WL-02618",E180="WL-03044",E180="WL-03390"))),"PRIORITY 1",IF(A180="SKIP","PRIORITY 2","PRIORITY 3"))))</f>
        <v>NONE</v>
      </c>
      <c r="S180" s="23"/>
      <c r="T180" s="23" t="s">
        <v>1142</v>
      </c>
      <c r="U180" s="23" t="s">
        <v>86</v>
      </c>
    </row>
    <row r="181" customFormat="false" ht="17.9" hidden="false" customHeight="false" outlineLevel="0" collapsed="false">
      <c r="A181" s="20" t="s">
        <v>73</v>
      </c>
      <c r="B181" s="21" t="n">
        <v>45738</v>
      </c>
      <c r="C181" s="20" t="s">
        <v>1143</v>
      </c>
      <c r="D181" s="20" t="s">
        <v>1144</v>
      </c>
      <c r="E181" s="20" t="s">
        <v>1145</v>
      </c>
      <c r="F181" s="20" t="s">
        <v>1146</v>
      </c>
      <c r="G181" s="20" t="n">
        <v>1067</v>
      </c>
      <c r="H181" s="20" t="s">
        <v>1147</v>
      </c>
      <c r="I181" s="20" t="s">
        <v>79</v>
      </c>
      <c r="J181" s="20" t="s">
        <v>100</v>
      </c>
      <c r="K181" s="22"/>
      <c r="L181" s="22"/>
      <c r="M181" s="20" t="s">
        <v>81</v>
      </c>
      <c r="N181" s="23" t="s">
        <v>140</v>
      </c>
      <c r="O181" s="23" t="s">
        <v>102</v>
      </c>
      <c r="P181" s="23" t="s">
        <v>84</v>
      </c>
      <c r="Q181" s="23" t="str">
        <f aca="false">IF(A181="UNDATED LEAD","UNRESOLVED",IF(M181="N","EXCEPTION",IF(A181="SKIP",IF(ISNUMBER(SEARCH("_skip_justification.pdf",N181)),"CLEAR - FILE VERIFIED","CLEAR ON EXPORT"),"CLEAR ON LOG")))</f>
        <v>CLEAR ON EXPORT</v>
      </c>
      <c r="R181" s="23" t="str">
        <f aca="false">IF(Q181="UNRESOLVED","PRIORITY 1 - OBTAIN FILE",IF(Q181&lt;&gt;"EXCEPTION","NONE",IF(OR(AND(A181="LOA AMENDMENT",P181="UNRESOLVED USE"),AND(A181="SKIP",OR(E181="WL-02618",E181="WL-03044",E181="WL-03390"))),"PRIORITY 1",IF(A181="SKIP","PRIORITY 2","PRIORITY 3"))))</f>
        <v>NONE</v>
      </c>
      <c r="S181" s="23"/>
      <c r="T181" s="23" t="s">
        <v>1148</v>
      </c>
      <c r="U181" s="23" t="s">
        <v>86</v>
      </c>
    </row>
    <row r="182" customFormat="false" ht="17.9" hidden="false" customHeight="false" outlineLevel="0" collapsed="false">
      <c r="A182" s="20" t="s">
        <v>73</v>
      </c>
      <c r="B182" s="21" t="n">
        <v>45743</v>
      </c>
      <c r="C182" s="20" t="s">
        <v>1149</v>
      </c>
      <c r="D182" s="20" t="s">
        <v>1150</v>
      </c>
      <c r="E182" s="20" t="s">
        <v>1151</v>
      </c>
      <c r="F182" s="20" t="s">
        <v>1152</v>
      </c>
      <c r="G182" s="20" t="n">
        <v>523</v>
      </c>
      <c r="H182" s="20" t="s">
        <v>1153</v>
      </c>
      <c r="I182" s="20" t="s">
        <v>79</v>
      </c>
      <c r="J182" s="20" t="s">
        <v>100</v>
      </c>
      <c r="K182" s="22"/>
      <c r="L182" s="22"/>
      <c r="M182" s="20" t="s">
        <v>81</v>
      </c>
      <c r="N182" s="23" t="s">
        <v>101</v>
      </c>
      <c r="O182" s="23" t="s">
        <v>102</v>
      </c>
      <c r="P182" s="23" t="s">
        <v>84</v>
      </c>
      <c r="Q182" s="23" t="str">
        <f aca="false">IF(A182="UNDATED LEAD","UNRESOLVED",IF(M182="N","EXCEPTION",IF(A182="SKIP",IF(ISNUMBER(SEARCH("_skip_justification.pdf",N182)),"CLEAR - FILE VERIFIED","CLEAR ON EXPORT"),"CLEAR ON LOG")))</f>
        <v>CLEAR ON EXPORT</v>
      </c>
      <c r="R182" s="23" t="str">
        <f aca="false">IF(Q182="UNRESOLVED","PRIORITY 1 - OBTAIN FILE",IF(Q182&lt;&gt;"EXCEPTION","NONE",IF(OR(AND(A182="LOA AMENDMENT",P182="UNRESOLVED USE"),AND(A182="SKIP",OR(E182="WL-02618",E182="WL-03044",E182="WL-03390"))),"PRIORITY 1",IF(A182="SKIP","PRIORITY 2","PRIORITY 3"))))</f>
        <v>NONE</v>
      </c>
      <c r="S182" s="23"/>
      <c r="T182" s="23" t="s">
        <v>1154</v>
      </c>
      <c r="U182" s="23" t="s">
        <v>86</v>
      </c>
    </row>
    <row r="183" customFormat="false" ht="17.9" hidden="false" customHeight="false" outlineLevel="0" collapsed="false">
      <c r="A183" s="20" t="s">
        <v>73</v>
      </c>
      <c r="B183" s="21" t="n">
        <v>45749</v>
      </c>
      <c r="C183" s="20" t="s">
        <v>1155</v>
      </c>
      <c r="D183" s="20" t="s">
        <v>1156</v>
      </c>
      <c r="E183" s="20" t="s">
        <v>1157</v>
      </c>
      <c r="F183" s="20" t="s">
        <v>1158</v>
      </c>
      <c r="G183" s="20" t="n">
        <v>1178</v>
      </c>
      <c r="H183" s="20" t="s">
        <v>1072</v>
      </c>
      <c r="I183" s="20" t="s">
        <v>119</v>
      </c>
      <c r="J183" s="20" t="s">
        <v>80</v>
      </c>
      <c r="K183" s="22"/>
      <c r="L183" s="22"/>
      <c r="M183" s="20" t="s">
        <v>81</v>
      </c>
      <c r="N183" s="23" t="s">
        <v>92</v>
      </c>
      <c r="O183" s="23" t="s">
        <v>83</v>
      </c>
      <c r="P183" s="23" t="s">
        <v>84</v>
      </c>
      <c r="Q183" s="23" t="str">
        <f aca="false">IF(A183="UNDATED LEAD","UNRESOLVED",IF(M183="N","EXCEPTION",IF(A183="SKIP",IF(ISNUMBER(SEARCH("_skip_justification.pdf",N183)),"CLEAR - FILE VERIFIED","CLEAR ON EXPORT"),"CLEAR ON LOG")))</f>
        <v>CLEAR ON EXPORT</v>
      </c>
      <c r="R183" s="23" t="str">
        <f aca="false">IF(Q183="UNRESOLVED","PRIORITY 1 - OBTAIN FILE",IF(Q183&lt;&gt;"EXCEPTION","NONE",IF(OR(AND(A183="LOA AMENDMENT",P183="UNRESOLVED USE"),AND(A183="SKIP",OR(E183="WL-02618",E183="WL-03044",E183="WL-03390"))),"PRIORITY 1",IF(A183="SKIP","PRIORITY 2","PRIORITY 3"))))</f>
        <v>NONE</v>
      </c>
      <c r="S183" s="23"/>
      <c r="T183" s="23" t="s">
        <v>1159</v>
      </c>
      <c r="U183" s="23" t="s">
        <v>86</v>
      </c>
    </row>
    <row r="184" customFormat="false" ht="17.9" hidden="false" customHeight="false" outlineLevel="0" collapsed="false">
      <c r="A184" s="20" t="s">
        <v>73</v>
      </c>
      <c r="B184" s="21" t="n">
        <v>45752</v>
      </c>
      <c r="C184" s="20" t="s">
        <v>1160</v>
      </c>
      <c r="D184" s="20" t="s">
        <v>1161</v>
      </c>
      <c r="E184" s="20" t="s">
        <v>1162</v>
      </c>
      <c r="F184" s="20" t="s">
        <v>1163</v>
      </c>
      <c r="G184" s="20" t="n">
        <v>1524</v>
      </c>
      <c r="H184" s="20" t="s">
        <v>1164</v>
      </c>
      <c r="I184" s="20" t="s">
        <v>166</v>
      </c>
      <c r="J184" s="20" t="s">
        <v>80</v>
      </c>
      <c r="K184" s="22"/>
      <c r="L184" s="22"/>
      <c r="M184" s="20" t="s">
        <v>81</v>
      </c>
      <c r="N184" s="23" t="s">
        <v>82</v>
      </c>
      <c r="O184" s="23" t="s">
        <v>83</v>
      </c>
      <c r="P184" s="23" t="s">
        <v>84</v>
      </c>
      <c r="Q184" s="23" t="str">
        <f aca="false">IF(A184="UNDATED LEAD","UNRESOLVED",IF(M184="N","EXCEPTION",IF(A184="SKIP",IF(ISNUMBER(SEARCH("_skip_justification.pdf",N184)),"CLEAR - FILE VERIFIED","CLEAR ON EXPORT"),"CLEAR ON LOG")))</f>
        <v>CLEAR ON EXPORT</v>
      </c>
      <c r="R184" s="23" t="str">
        <f aca="false">IF(Q184="UNRESOLVED","PRIORITY 1 - OBTAIN FILE",IF(Q184&lt;&gt;"EXCEPTION","NONE",IF(OR(AND(A184="LOA AMENDMENT",P184="UNRESOLVED USE"),AND(A184="SKIP",OR(E184="WL-02618",E184="WL-03044",E184="WL-03390"))),"PRIORITY 1",IF(A184="SKIP","PRIORITY 2","PRIORITY 3"))))</f>
        <v>NONE</v>
      </c>
      <c r="S184" s="23"/>
      <c r="T184" s="23" t="s">
        <v>1165</v>
      </c>
      <c r="U184" s="23" t="s">
        <v>86</v>
      </c>
    </row>
    <row r="185" customFormat="false" ht="17.9" hidden="false" customHeight="false" outlineLevel="0" collapsed="false">
      <c r="A185" s="20" t="s">
        <v>73</v>
      </c>
      <c r="B185" s="21" t="n">
        <v>45754</v>
      </c>
      <c r="C185" s="20" t="s">
        <v>1166</v>
      </c>
      <c r="D185" s="20" t="s">
        <v>1167</v>
      </c>
      <c r="E185" s="20" t="s">
        <v>1168</v>
      </c>
      <c r="F185" s="20" t="s">
        <v>1169</v>
      </c>
      <c r="G185" s="20" t="n">
        <v>808</v>
      </c>
      <c r="H185" s="20" t="s">
        <v>1170</v>
      </c>
      <c r="I185" s="20" t="s">
        <v>79</v>
      </c>
      <c r="J185" s="20" t="s">
        <v>100</v>
      </c>
      <c r="K185" s="22"/>
      <c r="L185" s="22"/>
      <c r="M185" s="20" t="s">
        <v>81</v>
      </c>
      <c r="N185" s="23" t="s">
        <v>82</v>
      </c>
      <c r="O185" s="23" t="s">
        <v>102</v>
      </c>
      <c r="P185" s="23" t="s">
        <v>84</v>
      </c>
      <c r="Q185" s="23" t="str">
        <f aca="false">IF(A185="UNDATED LEAD","UNRESOLVED",IF(M185="N","EXCEPTION",IF(A185="SKIP",IF(ISNUMBER(SEARCH("_skip_justification.pdf",N185)),"CLEAR - FILE VERIFIED","CLEAR ON EXPORT"),"CLEAR ON LOG")))</f>
        <v>CLEAR ON EXPORT</v>
      </c>
      <c r="R185" s="23" t="str">
        <f aca="false">IF(Q185="UNRESOLVED","PRIORITY 1 - OBTAIN FILE",IF(Q185&lt;&gt;"EXCEPTION","NONE",IF(OR(AND(A185="LOA AMENDMENT",P185="UNRESOLVED USE"),AND(A185="SKIP",OR(E185="WL-02618",E185="WL-03044",E185="WL-03390"))),"PRIORITY 1",IF(A185="SKIP","PRIORITY 2","PRIORITY 3"))))</f>
        <v>NONE</v>
      </c>
      <c r="S185" s="23"/>
      <c r="T185" s="23" t="s">
        <v>1171</v>
      </c>
      <c r="U185" s="23" t="s">
        <v>86</v>
      </c>
    </row>
    <row r="186" customFormat="false" ht="17.9" hidden="false" customHeight="false" outlineLevel="0" collapsed="false">
      <c r="A186" s="20" t="s">
        <v>73</v>
      </c>
      <c r="B186" s="21" t="n">
        <v>45756</v>
      </c>
      <c r="C186" s="20" t="s">
        <v>1172</v>
      </c>
      <c r="D186" s="20" t="s">
        <v>1173</v>
      </c>
      <c r="E186" s="20" t="s">
        <v>684</v>
      </c>
      <c r="F186" s="20" t="s">
        <v>685</v>
      </c>
      <c r="G186" s="20" t="n">
        <v>1653</v>
      </c>
      <c r="H186" s="20" t="s">
        <v>125</v>
      </c>
      <c r="I186" s="20" t="s">
        <v>119</v>
      </c>
      <c r="J186" s="20" t="s">
        <v>100</v>
      </c>
      <c r="K186" s="22"/>
      <c r="L186" s="22"/>
      <c r="M186" s="20" t="s">
        <v>81</v>
      </c>
      <c r="N186" s="23" t="s">
        <v>140</v>
      </c>
      <c r="O186" s="23" t="s">
        <v>102</v>
      </c>
      <c r="P186" s="23" t="s">
        <v>84</v>
      </c>
      <c r="Q186" s="23" t="str">
        <f aca="false">IF(A186="UNDATED LEAD","UNRESOLVED",IF(M186="N","EXCEPTION",IF(A186="SKIP",IF(ISNUMBER(SEARCH("_skip_justification.pdf",N186)),"CLEAR - FILE VERIFIED","CLEAR ON EXPORT"),"CLEAR ON LOG")))</f>
        <v>CLEAR ON EXPORT</v>
      </c>
      <c r="R186" s="23" t="str">
        <f aca="false">IF(Q186="UNRESOLVED","PRIORITY 1 - OBTAIN FILE",IF(Q186&lt;&gt;"EXCEPTION","NONE",IF(OR(AND(A186="LOA AMENDMENT",P186="UNRESOLVED USE"),AND(A186="SKIP",OR(E186="WL-02618",E186="WL-03044",E186="WL-03390"))),"PRIORITY 1",IF(A186="SKIP","PRIORITY 2","PRIORITY 3"))))</f>
        <v>NONE</v>
      </c>
      <c r="S186" s="23"/>
      <c r="T186" s="23" t="s">
        <v>1174</v>
      </c>
      <c r="U186" s="23" t="s">
        <v>86</v>
      </c>
    </row>
    <row r="187" customFormat="false" ht="17.9" hidden="false" customHeight="false" outlineLevel="0" collapsed="false">
      <c r="A187" s="20" t="s">
        <v>73</v>
      </c>
      <c r="B187" s="21" t="n">
        <v>45756</v>
      </c>
      <c r="C187" s="20" t="s">
        <v>1175</v>
      </c>
      <c r="D187" s="20" t="s">
        <v>1176</v>
      </c>
      <c r="E187" s="20" t="s">
        <v>1177</v>
      </c>
      <c r="F187" s="20" t="s">
        <v>1178</v>
      </c>
      <c r="G187" s="20" t="n">
        <v>1188</v>
      </c>
      <c r="H187" s="20" t="s">
        <v>1179</v>
      </c>
      <c r="I187" s="20" t="s">
        <v>79</v>
      </c>
      <c r="J187" s="20" t="s">
        <v>80</v>
      </c>
      <c r="K187" s="22"/>
      <c r="L187" s="22"/>
      <c r="M187" s="20" t="s">
        <v>81</v>
      </c>
      <c r="N187" s="23" t="s">
        <v>140</v>
      </c>
      <c r="O187" s="23" t="s">
        <v>83</v>
      </c>
      <c r="P187" s="23" t="s">
        <v>84</v>
      </c>
      <c r="Q187" s="23" t="str">
        <f aca="false">IF(A187="UNDATED LEAD","UNRESOLVED",IF(M187="N","EXCEPTION",IF(A187="SKIP",IF(ISNUMBER(SEARCH("_skip_justification.pdf",N187)),"CLEAR - FILE VERIFIED","CLEAR ON EXPORT"),"CLEAR ON LOG")))</f>
        <v>CLEAR ON EXPORT</v>
      </c>
      <c r="R187" s="23" t="str">
        <f aca="false">IF(Q187="UNRESOLVED","PRIORITY 1 - OBTAIN FILE",IF(Q187&lt;&gt;"EXCEPTION","NONE",IF(OR(AND(A187="LOA AMENDMENT",P187="UNRESOLVED USE"),AND(A187="SKIP",OR(E187="WL-02618",E187="WL-03044",E187="WL-03390"))),"PRIORITY 1",IF(A187="SKIP","PRIORITY 2","PRIORITY 3"))))</f>
        <v>NONE</v>
      </c>
      <c r="S187" s="23"/>
      <c r="T187" s="23" t="s">
        <v>1180</v>
      </c>
      <c r="U187" s="23" t="s">
        <v>86</v>
      </c>
    </row>
    <row r="188" customFormat="false" ht="17.9" hidden="false" customHeight="false" outlineLevel="0" collapsed="false">
      <c r="A188" s="20" t="s">
        <v>73</v>
      </c>
      <c r="B188" s="21" t="n">
        <v>45761</v>
      </c>
      <c r="C188" s="20" t="s">
        <v>1181</v>
      </c>
      <c r="D188" s="20" t="s">
        <v>1182</v>
      </c>
      <c r="E188" s="20" t="s">
        <v>1183</v>
      </c>
      <c r="F188" s="20" t="s">
        <v>1184</v>
      </c>
      <c r="G188" s="20" t="n">
        <v>1845</v>
      </c>
      <c r="H188" s="20" t="s">
        <v>1185</v>
      </c>
      <c r="I188" s="20" t="s">
        <v>166</v>
      </c>
      <c r="J188" s="20" t="s">
        <v>132</v>
      </c>
      <c r="K188" s="22"/>
      <c r="L188" s="22"/>
      <c r="M188" s="20" t="s">
        <v>81</v>
      </c>
      <c r="N188" s="23" t="s">
        <v>140</v>
      </c>
      <c r="O188" s="23" t="s">
        <v>133</v>
      </c>
      <c r="P188" s="23" t="s">
        <v>84</v>
      </c>
      <c r="Q188" s="23" t="str">
        <f aca="false">IF(A188="UNDATED LEAD","UNRESOLVED",IF(M188="N","EXCEPTION",IF(A188="SKIP",IF(ISNUMBER(SEARCH("_skip_justification.pdf",N188)),"CLEAR - FILE VERIFIED","CLEAR ON EXPORT"),"CLEAR ON LOG")))</f>
        <v>CLEAR ON EXPORT</v>
      </c>
      <c r="R188" s="23" t="str">
        <f aca="false">IF(Q188="UNRESOLVED","PRIORITY 1 - OBTAIN FILE",IF(Q188&lt;&gt;"EXCEPTION","NONE",IF(OR(AND(A188="LOA AMENDMENT",P188="UNRESOLVED USE"),AND(A188="SKIP",OR(E188="WL-02618",E188="WL-03044",E188="WL-03390"))),"PRIORITY 1",IF(A188="SKIP","PRIORITY 2","PRIORITY 3"))))</f>
        <v>NONE</v>
      </c>
      <c r="S188" s="23"/>
      <c r="T188" s="23" t="s">
        <v>1186</v>
      </c>
      <c r="U188" s="23" t="s">
        <v>86</v>
      </c>
    </row>
    <row r="189" customFormat="false" ht="17.9" hidden="false" customHeight="false" outlineLevel="0" collapsed="false">
      <c r="A189" s="20" t="s">
        <v>73</v>
      </c>
      <c r="B189" s="21" t="n">
        <v>45763</v>
      </c>
      <c r="C189" s="20" t="s">
        <v>1187</v>
      </c>
      <c r="D189" s="20" t="s">
        <v>1188</v>
      </c>
      <c r="E189" s="20" t="s">
        <v>1189</v>
      </c>
      <c r="F189" s="20" t="s">
        <v>1190</v>
      </c>
      <c r="G189" s="20" t="n">
        <v>578</v>
      </c>
      <c r="H189" s="20" t="s">
        <v>1191</v>
      </c>
      <c r="I189" s="20" t="s">
        <v>79</v>
      </c>
      <c r="J189" s="20" t="s">
        <v>100</v>
      </c>
      <c r="K189" s="22"/>
      <c r="L189" s="22"/>
      <c r="M189" s="20" t="s">
        <v>81</v>
      </c>
      <c r="N189" s="23" t="s">
        <v>82</v>
      </c>
      <c r="O189" s="23" t="s">
        <v>102</v>
      </c>
      <c r="P189" s="23" t="s">
        <v>84</v>
      </c>
      <c r="Q189" s="23" t="str">
        <f aca="false">IF(A189="UNDATED LEAD","UNRESOLVED",IF(M189="N","EXCEPTION",IF(A189="SKIP",IF(ISNUMBER(SEARCH("_skip_justification.pdf",N189)),"CLEAR - FILE VERIFIED","CLEAR ON EXPORT"),"CLEAR ON LOG")))</f>
        <v>CLEAR ON EXPORT</v>
      </c>
      <c r="R189" s="23" t="str">
        <f aca="false">IF(Q189="UNRESOLVED","PRIORITY 1 - OBTAIN FILE",IF(Q189&lt;&gt;"EXCEPTION","NONE",IF(OR(AND(A189="LOA AMENDMENT",P189="UNRESOLVED USE"),AND(A189="SKIP",OR(E189="WL-02618",E189="WL-03044",E189="WL-03390"))),"PRIORITY 1",IF(A189="SKIP","PRIORITY 2","PRIORITY 3"))))</f>
        <v>NONE</v>
      </c>
      <c r="S189" s="23"/>
      <c r="T189" s="23" t="s">
        <v>1192</v>
      </c>
      <c r="U189" s="23" t="s">
        <v>86</v>
      </c>
    </row>
    <row r="190" customFormat="false" ht="17.9" hidden="false" customHeight="false" outlineLevel="0" collapsed="false">
      <c r="A190" s="20" t="s">
        <v>73</v>
      </c>
      <c r="B190" s="21" t="n">
        <v>45769</v>
      </c>
      <c r="C190" s="20" t="s">
        <v>1193</v>
      </c>
      <c r="D190" s="20" t="s">
        <v>1194</v>
      </c>
      <c r="E190" s="20" t="s">
        <v>1195</v>
      </c>
      <c r="F190" s="20" t="s">
        <v>1196</v>
      </c>
      <c r="G190" s="20" t="n">
        <v>1693</v>
      </c>
      <c r="H190" s="20" t="s">
        <v>1197</v>
      </c>
      <c r="I190" s="20" t="s">
        <v>99</v>
      </c>
      <c r="J190" s="20" t="s">
        <v>147</v>
      </c>
      <c r="K190" s="22"/>
      <c r="L190" s="22"/>
      <c r="M190" s="20" t="s">
        <v>81</v>
      </c>
      <c r="N190" s="23" t="s">
        <v>101</v>
      </c>
      <c r="O190" s="23" t="s">
        <v>148</v>
      </c>
      <c r="P190" s="23" t="s">
        <v>84</v>
      </c>
      <c r="Q190" s="23" t="str">
        <f aca="false">IF(A190="UNDATED LEAD","UNRESOLVED",IF(M190="N","EXCEPTION",IF(A190="SKIP",IF(ISNUMBER(SEARCH("_skip_justification.pdf",N190)),"CLEAR - FILE VERIFIED","CLEAR ON EXPORT"),"CLEAR ON LOG")))</f>
        <v>CLEAR ON EXPORT</v>
      </c>
      <c r="R190" s="23" t="str">
        <f aca="false">IF(Q190="UNRESOLVED","PRIORITY 1 - OBTAIN FILE",IF(Q190&lt;&gt;"EXCEPTION","NONE",IF(OR(AND(A190="LOA AMENDMENT",P190="UNRESOLVED USE"),AND(A190="SKIP",OR(E190="WL-02618",E190="WL-03044",E190="WL-03390"))),"PRIORITY 1",IF(A190="SKIP","PRIORITY 2","PRIORITY 3"))))</f>
        <v>NONE</v>
      </c>
      <c r="S190" s="23"/>
      <c r="T190" s="23" t="s">
        <v>1198</v>
      </c>
      <c r="U190" s="23" t="s">
        <v>86</v>
      </c>
    </row>
    <row r="191" customFormat="false" ht="17.9" hidden="false" customHeight="false" outlineLevel="0" collapsed="false">
      <c r="A191" s="20" t="s">
        <v>73</v>
      </c>
      <c r="B191" s="21" t="n">
        <v>45774</v>
      </c>
      <c r="C191" s="20" t="s">
        <v>1199</v>
      </c>
      <c r="D191" s="20" t="s">
        <v>1200</v>
      </c>
      <c r="E191" s="20" t="s">
        <v>1201</v>
      </c>
      <c r="F191" s="20" t="s">
        <v>1202</v>
      </c>
      <c r="G191" s="20" t="n">
        <v>328</v>
      </c>
      <c r="H191" s="20" t="s">
        <v>1203</v>
      </c>
      <c r="I191" s="20" t="s">
        <v>166</v>
      </c>
      <c r="J191" s="20" t="s">
        <v>80</v>
      </c>
      <c r="K191" s="22"/>
      <c r="L191" s="22"/>
      <c r="M191" s="20" t="s">
        <v>81</v>
      </c>
      <c r="N191" s="23" t="s">
        <v>82</v>
      </c>
      <c r="O191" s="23" t="s">
        <v>83</v>
      </c>
      <c r="P191" s="23" t="s">
        <v>84</v>
      </c>
      <c r="Q191" s="23" t="str">
        <f aca="false">IF(A191="UNDATED LEAD","UNRESOLVED",IF(M191="N","EXCEPTION",IF(A191="SKIP",IF(ISNUMBER(SEARCH("_skip_justification.pdf",N191)),"CLEAR - FILE VERIFIED","CLEAR ON EXPORT"),"CLEAR ON LOG")))</f>
        <v>CLEAR ON EXPORT</v>
      </c>
      <c r="R191" s="23" t="str">
        <f aca="false">IF(Q191="UNRESOLVED","PRIORITY 1 - OBTAIN FILE",IF(Q191&lt;&gt;"EXCEPTION","NONE",IF(OR(AND(A191="LOA AMENDMENT",P191="UNRESOLVED USE"),AND(A191="SKIP",OR(E191="WL-02618",E191="WL-03044",E191="WL-03390"))),"PRIORITY 1",IF(A191="SKIP","PRIORITY 2","PRIORITY 3"))))</f>
        <v>NONE</v>
      </c>
      <c r="S191" s="23"/>
      <c r="T191" s="23" t="s">
        <v>1204</v>
      </c>
      <c r="U191" s="23" t="s">
        <v>86</v>
      </c>
    </row>
    <row r="192" customFormat="false" ht="17.9" hidden="false" customHeight="false" outlineLevel="0" collapsed="false">
      <c r="A192" s="20" t="s">
        <v>73</v>
      </c>
      <c r="B192" s="21" t="n">
        <v>45782</v>
      </c>
      <c r="C192" s="20" t="s">
        <v>1205</v>
      </c>
      <c r="D192" s="20" t="s">
        <v>1206</v>
      </c>
      <c r="E192" s="20" t="s">
        <v>1207</v>
      </c>
      <c r="F192" s="20" t="s">
        <v>1208</v>
      </c>
      <c r="G192" s="20" t="n">
        <v>2662</v>
      </c>
      <c r="H192" s="20" t="s">
        <v>1209</v>
      </c>
      <c r="I192" s="20" t="s">
        <v>99</v>
      </c>
      <c r="J192" s="20" t="s">
        <v>100</v>
      </c>
      <c r="K192" s="22"/>
      <c r="L192" s="22"/>
      <c r="M192" s="20" t="s">
        <v>81</v>
      </c>
      <c r="N192" s="23" t="s">
        <v>82</v>
      </c>
      <c r="O192" s="23" t="s">
        <v>102</v>
      </c>
      <c r="P192" s="23" t="s">
        <v>84</v>
      </c>
      <c r="Q192" s="23" t="str">
        <f aca="false">IF(A192="UNDATED LEAD","UNRESOLVED",IF(M192="N","EXCEPTION",IF(A192="SKIP",IF(ISNUMBER(SEARCH("_skip_justification.pdf",N192)),"CLEAR - FILE VERIFIED","CLEAR ON EXPORT"),"CLEAR ON LOG")))</f>
        <v>CLEAR ON EXPORT</v>
      </c>
      <c r="R192" s="23" t="str">
        <f aca="false">IF(Q192="UNRESOLVED","PRIORITY 1 - OBTAIN FILE",IF(Q192&lt;&gt;"EXCEPTION","NONE",IF(OR(AND(A192="LOA AMENDMENT",P192="UNRESOLVED USE"),AND(A192="SKIP",OR(E192="WL-02618",E192="WL-03044",E192="WL-03390"))),"PRIORITY 1",IF(A192="SKIP","PRIORITY 2","PRIORITY 3"))))</f>
        <v>NONE</v>
      </c>
      <c r="S192" s="23"/>
      <c r="T192" s="23" t="s">
        <v>1210</v>
      </c>
      <c r="U192" s="23" t="s">
        <v>86</v>
      </c>
    </row>
    <row r="193" customFormat="false" ht="17.9" hidden="false" customHeight="false" outlineLevel="0" collapsed="false">
      <c r="A193" s="20" t="s">
        <v>73</v>
      </c>
      <c r="B193" s="21" t="n">
        <v>45784</v>
      </c>
      <c r="C193" s="20" t="s">
        <v>1211</v>
      </c>
      <c r="D193" s="20" t="s">
        <v>1212</v>
      </c>
      <c r="E193" s="20" t="s">
        <v>1213</v>
      </c>
      <c r="F193" s="20" t="s">
        <v>1214</v>
      </c>
      <c r="G193" s="20" t="n">
        <v>2839</v>
      </c>
      <c r="H193" s="20" t="s">
        <v>1215</v>
      </c>
      <c r="I193" s="20" t="s">
        <v>109</v>
      </c>
      <c r="J193" s="20" t="s">
        <v>80</v>
      </c>
      <c r="K193" s="22"/>
      <c r="L193" s="22"/>
      <c r="M193" s="20" t="s">
        <v>81</v>
      </c>
      <c r="N193" s="23" t="s">
        <v>82</v>
      </c>
      <c r="O193" s="23" t="s">
        <v>83</v>
      </c>
      <c r="P193" s="23" t="s">
        <v>84</v>
      </c>
      <c r="Q193" s="23" t="str">
        <f aca="false">IF(A193="UNDATED LEAD","UNRESOLVED",IF(M193="N","EXCEPTION",IF(A193="SKIP",IF(ISNUMBER(SEARCH("_skip_justification.pdf",N193)),"CLEAR - FILE VERIFIED","CLEAR ON EXPORT"),"CLEAR ON LOG")))</f>
        <v>CLEAR ON EXPORT</v>
      </c>
      <c r="R193" s="23" t="str">
        <f aca="false">IF(Q193="UNRESOLVED","PRIORITY 1 - OBTAIN FILE",IF(Q193&lt;&gt;"EXCEPTION","NONE",IF(OR(AND(A193="LOA AMENDMENT",P193="UNRESOLVED USE"),AND(A193="SKIP",OR(E193="WL-02618",E193="WL-03044",E193="WL-03390"))),"PRIORITY 1",IF(A193="SKIP","PRIORITY 2","PRIORITY 3"))))</f>
        <v>NONE</v>
      </c>
      <c r="S193" s="23"/>
      <c r="T193" s="23" t="s">
        <v>1216</v>
      </c>
      <c r="U193" s="23" t="s">
        <v>86</v>
      </c>
    </row>
    <row r="194" customFormat="false" ht="17.9" hidden="false" customHeight="false" outlineLevel="0" collapsed="false">
      <c r="A194" s="20" t="s">
        <v>73</v>
      </c>
      <c r="B194" s="21" t="n">
        <v>45784</v>
      </c>
      <c r="C194" s="20" t="s">
        <v>1217</v>
      </c>
      <c r="D194" s="20" t="s">
        <v>1218</v>
      </c>
      <c r="E194" s="20" t="s">
        <v>1219</v>
      </c>
      <c r="F194" s="20" t="s">
        <v>1220</v>
      </c>
      <c r="G194" s="20" t="n">
        <v>472</v>
      </c>
      <c r="H194" s="20" t="s">
        <v>1221</v>
      </c>
      <c r="I194" s="20" t="s">
        <v>166</v>
      </c>
      <c r="J194" s="20" t="s">
        <v>147</v>
      </c>
      <c r="K194" s="22"/>
      <c r="L194" s="22"/>
      <c r="M194" s="20" t="s">
        <v>81</v>
      </c>
      <c r="N194" s="23" t="s">
        <v>82</v>
      </c>
      <c r="O194" s="23" t="s">
        <v>148</v>
      </c>
      <c r="P194" s="23" t="s">
        <v>84</v>
      </c>
      <c r="Q194" s="23" t="str">
        <f aca="false">IF(A194="UNDATED LEAD","UNRESOLVED",IF(M194="N","EXCEPTION",IF(A194="SKIP",IF(ISNUMBER(SEARCH("_skip_justification.pdf",N194)),"CLEAR - FILE VERIFIED","CLEAR ON EXPORT"),"CLEAR ON LOG")))</f>
        <v>CLEAR ON EXPORT</v>
      </c>
      <c r="R194" s="23" t="str">
        <f aca="false">IF(Q194="UNRESOLVED","PRIORITY 1 - OBTAIN FILE",IF(Q194&lt;&gt;"EXCEPTION","NONE",IF(OR(AND(A194="LOA AMENDMENT",P194="UNRESOLVED USE"),AND(A194="SKIP",OR(E194="WL-02618",E194="WL-03044",E194="WL-03390"))),"PRIORITY 1",IF(A194="SKIP","PRIORITY 2","PRIORITY 3"))))</f>
        <v>NONE</v>
      </c>
      <c r="S194" s="23"/>
      <c r="T194" s="23" t="s">
        <v>1222</v>
      </c>
      <c r="U194" s="23" t="s">
        <v>86</v>
      </c>
    </row>
    <row r="195" customFormat="false" ht="17.9" hidden="false" customHeight="false" outlineLevel="0" collapsed="false">
      <c r="A195" s="20" t="s">
        <v>73</v>
      </c>
      <c r="B195" s="21" t="n">
        <v>45787</v>
      </c>
      <c r="C195" s="20" t="s">
        <v>1223</v>
      </c>
      <c r="D195" s="20" t="s">
        <v>1224</v>
      </c>
      <c r="E195" s="20" t="s">
        <v>1225</v>
      </c>
      <c r="F195" s="20" t="s">
        <v>1226</v>
      </c>
      <c r="G195" s="20" t="n">
        <v>2360</v>
      </c>
      <c r="H195" s="20" t="s">
        <v>1227</v>
      </c>
      <c r="I195" s="20" t="s">
        <v>109</v>
      </c>
      <c r="J195" s="20" t="s">
        <v>100</v>
      </c>
      <c r="K195" s="22"/>
      <c r="L195" s="22"/>
      <c r="M195" s="20" t="s">
        <v>81</v>
      </c>
      <c r="N195" s="23" t="s">
        <v>140</v>
      </c>
      <c r="O195" s="23" t="s">
        <v>102</v>
      </c>
      <c r="P195" s="23" t="s">
        <v>84</v>
      </c>
      <c r="Q195" s="23" t="str">
        <f aca="false">IF(A195="UNDATED LEAD","UNRESOLVED",IF(M195="N","EXCEPTION",IF(A195="SKIP",IF(ISNUMBER(SEARCH("_skip_justification.pdf",N195)),"CLEAR - FILE VERIFIED","CLEAR ON EXPORT"),"CLEAR ON LOG")))</f>
        <v>CLEAR ON EXPORT</v>
      </c>
      <c r="R195" s="23" t="str">
        <f aca="false">IF(Q195="UNRESOLVED","PRIORITY 1 - OBTAIN FILE",IF(Q195&lt;&gt;"EXCEPTION","NONE",IF(OR(AND(A195="LOA AMENDMENT",P195="UNRESOLVED USE"),AND(A195="SKIP",OR(E195="WL-02618",E195="WL-03044",E195="WL-03390"))),"PRIORITY 1",IF(A195="SKIP","PRIORITY 2","PRIORITY 3"))))</f>
        <v>NONE</v>
      </c>
      <c r="S195" s="23"/>
      <c r="T195" s="23" t="s">
        <v>1228</v>
      </c>
      <c r="U195" s="23" t="s">
        <v>86</v>
      </c>
    </row>
    <row r="196" customFormat="false" ht="17.9" hidden="false" customHeight="false" outlineLevel="0" collapsed="false">
      <c r="A196" s="20" t="s">
        <v>73</v>
      </c>
      <c r="B196" s="21" t="n">
        <v>45794</v>
      </c>
      <c r="C196" s="20" t="s">
        <v>1229</v>
      </c>
      <c r="D196" s="20" t="s">
        <v>1230</v>
      </c>
      <c r="E196" s="20" t="s">
        <v>1231</v>
      </c>
      <c r="F196" s="20" t="s">
        <v>1232</v>
      </c>
      <c r="G196" s="20" t="n">
        <v>2094</v>
      </c>
      <c r="H196" s="20" t="s">
        <v>1170</v>
      </c>
      <c r="I196" s="20" t="s">
        <v>79</v>
      </c>
      <c r="J196" s="20" t="s">
        <v>80</v>
      </c>
      <c r="K196" s="22"/>
      <c r="L196" s="22"/>
      <c r="M196" s="20" t="s">
        <v>81</v>
      </c>
      <c r="N196" s="23" t="s">
        <v>82</v>
      </c>
      <c r="O196" s="23" t="s">
        <v>83</v>
      </c>
      <c r="P196" s="23" t="s">
        <v>84</v>
      </c>
      <c r="Q196" s="23" t="str">
        <f aca="false">IF(A196="UNDATED LEAD","UNRESOLVED",IF(M196="N","EXCEPTION",IF(A196="SKIP",IF(ISNUMBER(SEARCH("_skip_justification.pdf",N196)),"CLEAR - FILE VERIFIED","CLEAR ON EXPORT"),"CLEAR ON LOG")))</f>
        <v>CLEAR ON EXPORT</v>
      </c>
      <c r="R196" s="23" t="str">
        <f aca="false">IF(Q196="UNRESOLVED","PRIORITY 1 - OBTAIN FILE",IF(Q196&lt;&gt;"EXCEPTION","NONE",IF(OR(AND(A196="LOA AMENDMENT",P196="UNRESOLVED USE"),AND(A196="SKIP",OR(E196="WL-02618",E196="WL-03044",E196="WL-03390"))),"PRIORITY 1",IF(A196="SKIP","PRIORITY 2","PRIORITY 3"))))</f>
        <v>NONE</v>
      </c>
      <c r="S196" s="23"/>
      <c r="T196" s="23" t="s">
        <v>1233</v>
      </c>
      <c r="U196" s="23" t="s">
        <v>86</v>
      </c>
    </row>
    <row r="197" customFormat="false" ht="17.9" hidden="false" customHeight="false" outlineLevel="0" collapsed="false">
      <c r="A197" s="20" t="s">
        <v>73</v>
      </c>
      <c r="B197" s="21" t="n">
        <v>45810</v>
      </c>
      <c r="C197" s="20" t="s">
        <v>1234</v>
      </c>
      <c r="D197" s="20" t="s">
        <v>1235</v>
      </c>
      <c r="E197" s="20" t="s">
        <v>1236</v>
      </c>
      <c r="F197" s="20" t="s">
        <v>1237</v>
      </c>
      <c r="G197" s="20" t="n">
        <v>2047</v>
      </c>
      <c r="H197" s="20" t="s">
        <v>1238</v>
      </c>
      <c r="I197" s="20" t="s">
        <v>109</v>
      </c>
      <c r="J197" s="20" t="s">
        <v>147</v>
      </c>
      <c r="K197" s="22"/>
      <c r="L197" s="22"/>
      <c r="M197" s="20" t="s">
        <v>81</v>
      </c>
      <c r="N197" s="23" t="s">
        <v>140</v>
      </c>
      <c r="O197" s="23" t="s">
        <v>148</v>
      </c>
      <c r="P197" s="23" t="s">
        <v>84</v>
      </c>
      <c r="Q197" s="23" t="str">
        <f aca="false">IF(A197="UNDATED LEAD","UNRESOLVED",IF(M197="N","EXCEPTION",IF(A197="SKIP",IF(ISNUMBER(SEARCH("_skip_justification.pdf",N197)),"CLEAR - FILE VERIFIED","CLEAR ON EXPORT"),"CLEAR ON LOG")))</f>
        <v>CLEAR ON EXPORT</v>
      </c>
      <c r="R197" s="23" t="str">
        <f aca="false">IF(Q197="UNRESOLVED","PRIORITY 1 - OBTAIN FILE",IF(Q197&lt;&gt;"EXCEPTION","NONE",IF(OR(AND(A197="LOA AMENDMENT",P197="UNRESOLVED USE"),AND(A197="SKIP",OR(E197="WL-02618",E197="WL-03044",E197="WL-03390"))),"PRIORITY 1",IF(A197="SKIP","PRIORITY 2","PRIORITY 3"))))</f>
        <v>NONE</v>
      </c>
      <c r="S197" s="23"/>
      <c r="T197" s="23" t="s">
        <v>1239</v>
      </c>
      <c r="U197" s="23" t="s">
        <v>86</v>
      </c>
    </row>
    <row r="198" customFormat="false" ht="17.9" hidden="false" customHeight="false" outlineLevel="0" collapsed="false">
      <c r="A198" s="20" t="s">
        <v>73</v>
      </c>
      <c r="B198" s="21" t="n">
        <v>45810</v>
      </c>
      <c r="C198" s="20" t="s">
        <v>1240</v>
      </c>
      <c r="D198" s="20" t="s">
        <v>1241</v>
      </c>
      <c r="E198" s="20" t="s">
        <v>836</v>
      </c>
      <c r="F198" s="20" t="s">
        <v>837</v>
      </c>
      <c r="G198" s="20" t="n">
        <v>1013</v>
      </c>
      <c r="H198" s="20" t="s">
        <v>1242</v>
      </c>
      <c r="I198" s="20" t="s">
        <v>79</v>
      </c>
      <c r="J198" s="20" t="s">
        <v>100</v>
      </c>
      <c r="K198" s="22"/>
      <c r="L198" s="22"/>
      <c r="M198" s="20" t="s">
        <v>81</v>
      </c>
      <c r="N198" s="23" t="s">
        <v>82</v>
      </c>
      <c r="O198" s="23" t="s">
        <v>102</v>
      </c>
      <c r="P198" s="23" t="s">
        <v>84</v>
      </c>
      <c r="Q198" s="23" t="str">
        <f aca="false">IF(A198="UNDATED LEAD","UNRESOLVED",IF(M198="N","EXCEPTION",IF(A198="SKIP",IF(ISNUMBER(SEARCH("_skip_justification.pdf",N198)),"CLEAR - FILE VERIFIED","CLEAR ON EXPORT"),"CLEAR ON LOG")))</f>
        <v>CLEAR ON EXPORT</v>
      </c>
      <c r="R198" s="23" t="str">
        <f aca="false">IF(Q198="UNRESOLVED","PRIORITY 1 - OBTAIN FILE",IF(Q198&lt;&gt;"EXCEPTION","NONE",IF(OR(AND(A198="LOA AMENDMENT",P198="UNRESOLVED USE"),AND(A198="SKIP",OR(E198="WL-02618",E198="WL-03044",E198="WL-03390"))),"PRIORITY 1",IF(A198="SKIP","PRIORITY 2","PRIORITY 3"))))</f>
        <v>NONE</v>
      </c>
      <c r="S198" s="23"/>
      <c r="T198" s="23" t="s">
        <v>1243</v>
      </c>
      <c r="U198" s="23" t="s">
        <v>86</v>
      </c>
    </row>
    <row r="199" customFormat="false" ht="17.9" hidden="false" customHeight="false" outlineLevel="0" collapsed="false">
      <c r="A199" s="20" t="s">
        <v>73</v>
      </c>
      <c r="B199" s="21" t="n">
        <v>45817</v>
      </c>
      <c r="C199" s="20" t="s">
        <v>1244</v>
      </c>
      <c r="D199" s="20" t="s">
        <v>1245</v>
      </c>
      <c r="E199" s="20" t="s">
        <v>1246</v>
      </c>
      <c r="F199" s="20" t="s">
        <v>1247</v>
      </c>
      <c r="G199" s="20" t="n">
        <v>1356</v>
      </c>
      <c r="H199" s="20" t="s">
        <v>1248</v>
      </c>
      <c r="I199" s="20" t="s">
        <v>166</v>
      </c>
      <c r="J199" s="20" t="s">
        <v>147</v>
      </c>
      <c r="K199" s="22"/>
      <c r="L199" s="22"/>
      <c r="M199" s="20" t="s">
        <v>81</v>
      </c>
      <c r="N199" s="23" t="s">
        <v>92</v>
      </c>
      <c r="O199" s="23" t="s">
        <v>148</v>
      </c>
      <c r="P199" s="23" t="s">
        <v>84</v>
      </c>
      <c r="Q199" s="23" t="str">
        <f aca="false">IF(A199="UNDATED LEAD","UNRESOLVED",IF(M199="N","EXCEPTION",IF(A199="SKIP",IF(ISNUMBER(SEARCH("_skip_justification.pdf",N199)),"CLEAR - FILE VERIFIED","CLEAR ON EXPORT"),"CLEAR ON LOG")))</f>
        <v>CLEAR ON EXPORT</v>
      </c>
      <c r="R199" s="23" t="str">
        <f aca="false">IF(Q199="UNRESOLVED","PRIORITY 1 - OBTAIN FILE",IF(Q199&lt;&gt;"EXCEPTION","NONE",IF(OR(AND(A199="LOA AMENDMENT",P199="UNRESOLVED USE"),AND(A199="SKIP",OR(E199="WL-02618",E199="WL-03044",E199="WL-03390"))),"PRIORITY 1",IF(A199="SKIP","PRIORITY 2","PRIORITY 3"))))</f>
        <v>NONE</v>
      </c>
      <c r="S199" s="23"/>
      <c r="T199" s="23" t="s">
        <v>1249</v>
      </c>
      <c r="U199" s="23" t="s">
        <v>86</v>
      </c>
    </row>
    <row r="200" customFormat="false" ht="17.9" hidden="false" customHeight="false" outlineLevel="0" collapsed="false">
      <c r="A200" s="20" t="s">
        <v>73</v>
      </c>
      <c r="B200" s="21" t="n">
        <v>45822</v>
      </c>
      <c r="C200" s="20" t="s">
        <v>1250</v>
      </c>
      <c r="D200" s="20" t="s">
        <v>1251</v>
      </c>
      <c r="E200" s="20" t="s">
        <v>1252</v>
      </c>
      <c r="F200" s="20" t="s">
        <v>1253</v>
      </c>
      <c r="G200" s="20" t="n">
        <v>151</v>
      </c>
      <c r="H200" s="20" t="s">
        <v>1254</v>
      </c>
      <c r="I200" s="20" t="s">
        <v>166</v>
      </c>
      <c r="J200" s="20" t="s">
        <v>100</v>
      </c>
      <c r="K200" s="22"/>
      <c r="L200" s="22"/>
      <c r="M200" s="20" t="s">
        <v>81</v>
      </c>
      <c r="N200" s="23" t="s">
        <v>82</v>
      </c>
      <c r="O200" s="23" t="s">
        <v>102</v>
      </c>
      <c r="P200" s="23" t="s">
        <v>84</v>
      </c>
      <c r="Q200" s="23" t="str">
        <f aca="false">IF(A200="UNDATED LEAD","UNRESOLVED",IF(M200="N","EXCEPTION",IF(A200="SKIP",IF(ISNUMBER(SEARCH("_skip_justification.pdf",N200)),"CLEAR - FILE VERIFIED","CLEAR ON EXPORT"),"CLEAR ON LOG")))</f>
        <v>CLEAR ON EXPORT</v>
      </c>
      <c r="R200" s="23" t="str">
        <f aca="false">IF(Q200="UNRESOLVED","PRIORITY 1 - OBTAIN FILE",IF(Q200&lt;&gt;"EXCEPTION","NONE",IF(OR(AND(A200="LOA AMENDMENT",P200="UNRESOLVED USE"),AND(A200="SKIP",OR(E200="WL-02618",E200="WL-03044",E200="WL-03390"))),"PRIORITY 1",IF(A200="SKIP","PRIORITY 2","PRIORITY 3"))))</f>
        <v>NONE</v>
      </c>
      <c r="S200" s="23"/>
      <c r="T200" s="23" t="s">
        <v>1255</v>
      </c>
      <c r="U200" s="23" t="s">
        <v>86</v>
      </c>
    </row>
    <row r="201" customFormat="false" ht="17.9" hidden="false" customHeight="false" outlineLevel="0" collapsed="false">
      <c r="A201" s="20" t="s">
        <v>73</v>
      </c>
      <c r="B201" s="21" t="n">
        <v>45823</v>
      </c>
      <c r="C201" s="20" t="s">
        <v>1256</v>
      </c>
      <c r="D201" s="20" t="s">
        <v>1257</v>
      </c>
      <c r="E201" s="20" t="s">
        <v>1258</v>
      </c>
      <c r="F201" s="20" t="s">
        <v>1259</v>
      </c>
      <c r="G201" s="20" t="n">
        <v>1698</v>
      </c>
      <c r="H201" s="20" t="s">
        <v>1260</v>
      </c>
      <c r="I201" s="20" t="s">
        <v>99</v>
      </c>
      <c r="J201" s="20" t="s">
        <v>147</v>
      </c>
      <c r="K201" s="22"/>
      <c r="L201" s="22"/>
      <c r="M201" s="20" t="s">
        <v>81</v>
      </c>
      <c r="N201" s="23" t="s">
        <v>92</v>
      </c>
      <c r="O201" s="23" t="s">
        <v>148</v>
      </c>
      <c r="P201" s="23" t="s">
        <v>84</v>
      </c>
      <c r="Q201" s="23" t="str">
        <f aca="false">IF(A201="UNDATED LEAD","UNRESOLVED",IF(M201="N","EXCEPTION",IF(A201="SKIP",IF(ISNUMBER(SEARCH("_skip_justification.pdf",N201)),"CLEAR - FILE VERIFIED","CLEAR ON EXPORT"),"CLEAR ON LOG")))</f>
        <v>CLEAR ON EXPORT</v>
      </c>
      <c r="R201" s="23" t="str">
        <f aca="false">IF(Q201="UNRESOLVED","PRIORITY 1 - OBTAIN FILE",IF(Q201&lt;&gt;"EXCEPTION","NONE",IF(OR(AND(A201="LOA AMENDMENT",P201="UNRESOLVED USE"),AND(A201="SKIP",OR(E201="WL-02618",E201="WL-03044",E201="WL-03390"))),"PRIORITY 1",IF(A201="SKIP","PRIORITY 2","PRIORITY 3"))))</f>
        <v>NONE</v>
      </c>
      <c r="S201" s="23"/>
      <c r="T201" s="23" t="s">
        <v>1261</v>
      </c>
      <c r="U201" s="23" t="s">
        <v>86</v>
      </c>
    </row>
    <row r="202" customFormat="false" ht="17.9" hidden="false" customHeight="false" outlineLevel="0" collapsed="false">
      <c r="A202" s="20" t="s">
        <v>73</v>
      </c>
      <c r="B202" s="21" t="n">
        <v>45826</v>
      </c>
      <c r="C202" s="20" t="s">
        <v>1262</v>
      </c>
      <c r="D202" s="20" t="s">
        <v>1263</v>
      </c>
      <c r="E202" s="20" t="s">
        <v>1264</v>
      </c>
      <c r="F202" s="20" t="s">
        <v>1265</v>
      </c>
      <c r="G202" s="20" t="n">
        <v>1747</v>
      </c>
      <c r="H202" s="20" t="s">
        <v>1266</v>
      </c>
      <c r="I202" s="20" t="s">
        <v>119</v>
      </c>
      <c r="J202" s="20" t="s">
        <v>147</v>
      </c>
      <c r="K202" s="22"/>
      <c r="L202" s="22"/>
      <c r="M202" s="20" t="s">
        <v>81</v>
      </c>
      <c r="N202" s="23" t="s">
        <v>140</v>
      </c>
      <c r="O202" s="23" t="s">
        <v>148</v>
      </c>
      <c r="P202" s="23" t="s">
        <v>84</v>
      </c>
      <c r="Q202" s="23" t="str">
        <f aca="false">IF(A202="UNDATED LEAD","UNRESOLVED",IF(M202="N","EXCEPTION",IF(A202="SKIP",IF(ISNUMBER(SEARCH("_skip_justification.pdf",N202)),"CLEAR - FILE VERIFIED","CLEAR ON EXPORT"),"CLEAR ON LOG")))</f>
        <v>CLEAR ON EXPORT</v>
      </c>
      <c r="R202" s="23" t="str">
        <f aca="false">IF(Q202="UNRESOLVED","PRIORITY 1 - OBTAIN FILE",IF(Q202&lt;&gt;"EXCEPTION","NONE",IF(OR(AND(A202="LOA AMENDMENT",P202="UNRESOLVED USE"),AND(A202="SKIP",OR(E202="WL-02618",E202="WL-03044",E202="WL-03390"))),"PRIORITY 1",IF(A202="SKIP","PRIORITY 2","PRIORITY 3"))))</f>
        <v>NONE</v>
      </c>
      <c r="S202" s="23"/>
      <c r="T202" s="23" t="s">
        <v>1267</v>
      </c>
      <c r="U202" s="23" t="s">
        <v>86</v>
      </c>
    </row>
    <row r="203" customFormat="false" ht="17.9" hidden="false" customHeight="false" outlineLevel="0" collapsed="false">
      <c r="A203" s="20" t="s">
        <v>73</v>
      </c>
      <c r="B203" s="21" t="n">
        <v>45826</v>
      </c>
      <c r="C203" s="20" t="s">
        <v>1268</v>
      </c>
      <c r="D203" s="20" t="s">
        <v>1269</v>
      </c>
      <c r="E203" s="20" t="s">
        <v>1270</v>
      </c>
      <c r="F203" s="20" t="s">
        <v>1271</v>
      </c>
      <c r="G203" s="20" t="n">
        <v>333</v>
      </c>
      <c r="H203" s="20" t="s">
        <v>1272</v>
      </c>
      <c r="I203" s="20" t="s">
        <v>79</v>
      </c>
      <c r="J203" s="20" t="s">
        <v>100</v>
      </c>
      <c r="K203" s="22"/>
      <c r="L203" s="22"/>
      <c r="M203" s="20" t="s">
        <v>81</v>
      </c>
      <c r="N203" s="23" t="s">
        <v>101</v>
      </c>
      <c r="O203" s="23" t="s">
        <v>102</v>
      </c>
      <c r="P203" s="23" t="s">
        <v>84</v>
      </c>
      <c r="Q203" s="23" t="str">
        <f aca="false">IF(A203="UNDATED LEAD","UNRESOLVED",IF(M203="N","EXCEPTION",IF(A203="SKIP",IF(ISNUMBER(SEARCH("_skip_justification.pdf",N203)),"CLEAR - FILE VERIFIED","CLEAR ON EXPORT"),"CLEAR ON LOG")))</f>
        <v>CLEAR ON EXPORT</v>
      </c>
      <c r="R203" s="23" t="str">
        <f aca="false">IF(Q203="UNRESOLVED","PRIORITY 1 - OBTAIN FILE",IF(Q203&lt;&gt;"EXCEPTION","NONE",IF(OR(AND(A203="LOA AMENDMENT",P203="UNRESOLVED USE"),AND(A203="SKIP",OR(E203="WL-02618",E203="WL-03044",E203="WL-03390"))),"PRIORITY 1",IF(A203="SKIP","PRIORITY 2","PRIORITY 3"))))</f>
        <v>NONE</v>
      </c>
      <c r="S203" s="23"/>
      <c r="T203" s="23" t="s">
        <v>1273</v>
      </c>
      <c r="U203" s="23" t="s">
        <v>86</v>
      </c>
    </row>
    <row r="204" customFormat="false" ht="17.9" hidden="false" customHeight="false" outlineLevel="0" collapsed="false">
      <c r="A204" s="20" t="s">
        <v>73</v>
      </c>
      <c r="B204" s="21" t="n">
        <v>45827</v>
      </c>
      <c r="C204" s="20" t="s">
        <v>1274</v>
      </c>
      <c r="D204" s="20" t="s">
        <v>1275</v>
      </c>
      <c r="E204" s="20" t="s">
        <v>1276</v>
      </c>
      <c r="F204" s="20" t="s">
        <v>1277</v>
      </c>
      <c r="G204" s="20" t="n">
        <v>1314</v>
      </c>
      <c r="H204" s="20" t="s">
        <v>1278</v>
      </c>
      <c r="I204" s="20" t="s">
        <v>79</v>
      </c>
      <c r="J204" s="20" t="s">
        <v>100</v>
      </c>
      <c r="K204" s="22"/>
      <c r="L204" s="22"/>
      <c r="M204" s="20" t="s">
        <v>81</v>
      </c>
      <c r="N204" s="23" t="s">
        <v>101</v>
      </c>
      <c r="O204" s="23" t="s">
        <v>102</v>
      </c>
      <c r="P204" s="23" t="s">
        <v>84</v>
      </c>
      <c r="Q204" s="23" t="str">
        <f aca="false">IF(A204="UNDATED LEAD","UNRESOLVED",IF(M204="N","EXCEPTION",IF(A204="SKIP",IF(ISNUMBER(SEARCH("_skip_justification.pdf",N204)),"CLEAR - FILE VERIFIED","CLEAR ON EXPORT"),"CLEAR ON LOG")))</f>
        <v>CLEAR ON EXPORT</v>
      </c>
      <c r="R204" s="23" t="str">
        <f aca="false">IF(Q204="UNRESOLVED","PRIORITY 1 - OBTAIN FILE",IF(Q204&lt;&gt;"EXCEPTION","NONE",IF(OR(AND(A204="LOA AMENDMENT",P204="UNRESOLVED USE"),AND(A204="SKIP",OR(E204="WL-02618",E204="WL-03044",E204="WL-03390"))),"PRIORITY 1",IF(A204="SKIP","PRIORITY 2","PRIORITY 3"))))</f>
        <v>NONE</v>
      </c>
      <c r="S204" s="23"/>
      <c r="T204" s="23" t="s">
        <v>1279</v>
      </c>
      <c r="U204" s="23" t="s">
        <v>86</v>
      </c>
    </row>
    <row r="205" customFormat="false" ht="17.9" hidden="false" customHeight="false" outlineLevel="0" collapsed="false">
      <c r="A205" s="20" t="s">
        <v>73</v>
      </c>
      <c r="B205" s="21" t="n">
        <v>45844</v>
      </c>
      <c r="C205" s="20" t="s">
        <v>1280</v>
      </c>
      <c r="D205" s="20" t="s">
        <v>1281</v>
      </c>
      <c r="E205" s="20" t="s">
        <v>1282</v>
      </c>
      <c r="F205" s="20" t="s">
        <v>1283</v>
      </c>
      <c r="G205" s="20" t="n">
        <v>1298</v>
      </c>
      <c r="H205" s="20" t="s">
        <v>1284</v>
      </c>
      <c r="I205" s="20" t="s">
        <v>119</v>
      </c>
      <c r="J205" s="20" t="s">
        <v>80</v>
      </c>
      <c r="K205" s="22"/>
      <c r="L205" s="22"/>
      <c r="M205" s="20" t="s">
        <v>110</v>
      </c>
      <c r="N205" s="23" t="s">
        <v>1285</v>
      </c>
      <c r="O205" s="23" t="s">
        <v>83</v>
      </c>
      <c r="P205" s="23" t="s">
        <v>84</v>
      </c>
      <c r="Q205" s="23" t="str">
        <f aca="false">IF(A205="UNDATED LEAD","UNRESOLVED",IF(M205="N","EXCEPTION",IF(A205="SKIP",IF(ISNUMBER(SEARCH("_skip_justification.pdf",N205)),"CLEAR - FILE VERIFIED","CLEAR ON EXPORT"),"CLEAR ON LOG")))</f>
        <v>EXCEPTION</v>
      </c>
      <c r="R205" s="23" t="str">
        <f aca="false">IF(Q205="UNRESOLVED","PRIORITY 1 - OBTAIN FILE",IF(Q205&lt;&gt;"EXCEPTION","NONE",IF(OR(AND(A205="LOA AMENDMENT",P205="UNRESOLVED USE"),AND(A205="SKIP",OR(E205="WL-02618",E205="WL-03044",E205="WL-03390"))),"PRIORITY 1",IF(A205="SKIP","PRIORITY 2","PRIORITY 3"))))</f>
        <v>PRIORITY 2</v>
      </c>
      <c r="S205" s="23" t="s">
        <v>1286</v>
      </c>
      <c r="T205" s="23" t="s">
        <v>1287</v>
      </c>
      <c r="U205" s="23" t="s">
        <v>86</v>
      </c>
    </row>
    <row r="206" customFormat="false" ht="17.9" hidden="false" customHeight="false" outlineLevel="0" collapsed="false">
      <c r="A206" s="20" t="s">
        <v>73</v>
      </c>
      <c r="B206" s="21" t="n">
        <v>45848</v>
      </c>
      <c r="C206" s="20" t="s">
        <v>1288</v>
      </c>
      <c r="D206" s="20" t="s">
        <v>1289</v>
      </c>
      <c r="E206" s="20" t="s">
        <v>1290</v>
      </c>
      <c r="F206" s="20" t="s">
        <v>1291</v>
      </c>
      <c r="G206" s="20" t="n">
        <v>813</v>
      </c>
      <c r="H206" s="20" t="s">
        <v>1292</v>
      </c>
      <c r="I206" s="20" t="s">
        <v>119</v>
      </c>
      <c r="J206" s="20" t="s">
        <v>100</v>
      </c>
      <c r="K206" s="22"/>
      <c r="L206" s="22"/>
      <c r="M206" s="20" t="s">
        <v>81</v>
      </c>
      <c r="N206" s="23" t="s">
        <v>140</v>
      </c>
      <c r="O206" s="23" t="s">
        <v>102</v>
      </c>
      <c r="P206" s="23" t="s">
        <v>84</v>
      </c>
      <c r="Q206" s="23" t="str">
        <f aca="false">IF(A206="UNDATED LEAD","UNRESOLVED",IF(M206="N","EXCEPTION",IF(A206="SKIP",IF(ISNUMBER(SEARCH("_skip_justification.pdf",N206)),"CLEAR - FILE VERIFIED","CLEAR ON EXPORT"),"CLEAR ON LOG")))</f>
        <v>CLEAR ON EXPORT</v>
      </c>
      <c r="R206" s="23" t="str">
        <f aca="false">IF(Q206="UNRESOLVED","PRIORITY 1 - OBTAIN FILE",IF(Q206&lt;&gt;"EXCEPTION","NONE",IF(OR(AND(A206="LOA AMENDMENT",P206="UNRESOLVED USE"),AND(A206="SKIP",OR(E206="WL-02618",E206="WL-03044",E206="WL-03390"))),"PRIORITY 1",IF(A206="SKIP","PRIORITY 2","PRIORITY 3"))))</f>
        <v>NONE</v>
      </c>
      <c r="S206" s="23"/>
      <c r="T206" s="23" t="s">
        <v>1293</v>
      </c>
      <c r="U206" s="23" t="s">
        <v>86</v>
      </c>
    </row>
    <row r="207" customFormat="false" ht="17.9" hidden="false" customHeight="false" outlineLevel="0" collapsed="false">
      <c r="A207" s="20" t="s">
        <v>73</v>
      </c>
      <c r="B207" s="21" t="n">
        <v>45849</v>
      </c>
      <c r="C207" s="20" t="s">
        <v>1294</v>
      </c>
      <c r="D207" s="20" t="s">
        <v>1295</v>
      </c>
      <c r="E207" s="20" t="s">
        <v>1296</v>
      </c>
      <c r="F207" s="20" t="s">
        <v>1297</v>
      </c>
      <c r="G207" s="20" t="n">
        <v>2579</v>
      </c>
      <c r="H207" s="20" t="s">
        <v>1298</v>
      </c>
      <c r="I207" s="20" t="s">
        <v>79</v>
      </c>
      <c r="J207" s="20" t="s">
        <v>132</v>
      </c>
      <c r="K207" s="22"/>
      <c r="L207" s="22"/>
      <c r="M207" s="20" t="s">
        <v>81</v>
      </c>
      <c r="N207" s="23" t="s">
        <v>140</v>
      </c>
      <c r="O207" s="23" t="s">
        <v>133</v>
      </c>
      <c r="P207" s="23" t="s">
        <v>84</v>
      </c>
      <c r="Q207" s="23" t="str">
        <f aca="false">IF(A207="UNDATED LEAD","UNRESOLVED",IF(M207="N","EXCEPTION",IF(A207="SKIP",IF(ISNUMBER(SEARCH("_skip_justification.pdf",N207)),"CLEAR - FILE VERIFIED","CLEAR ON EXPORT"),"CLEAR ON LOG")))</f>
        <v>CLEAR ON EXPORT</v>
      </c>
      <c r="R207" s="23" t="str">
        <f aca="false">IF(Q207="UNRESOLVED","PRIORITY 1 - OBTAIN FILE",IF(Q207&lt;&gt;"EXCEPTION","NONE",IF(OR(AND(A207="LOA AMENDMENT",P207="UNRESOLVED USE"),AND(A207="SKIP",OR(E207="WL-02618",E207="WL-03044",E207="WL-03390"))),"PRIORITY 1",IF(A207="SKIP","PRIORITY 2","PRIORITY 3"))))</f>
        <v>NONE</v>
      </c>
      <c r="S207" s="23"/>
      <c r="T207" s="23" t="s">
        <v>1299</v>
      </c>
      <c r="U207" s="23" t="s">
        <v>86</v>
      </c>
    </row>
    <row r="208" customFormat="false" ht="17.9" hidden="false" customHeight="false" outlineLevel="0" collapsed="false">
      <c r="A208" s="20" t="s">
        <v>73</v>
      </c>
      <c r="B208" s="21" t="n">
        <v>45850</v>
      </c>
      <c r="C208" s="20" t="s">
        <v>1300</v>
      </c>
      <c r="D208" s="20" t="s">
        <v>1301</v>
      </c>
      <c r="E208" s="20" t="s">
        <v>1302</v>
      </c>
      <c r="F208" s="20" t="s">
        <v>1303</v>
      </c>
      <c r="G208" s="20" t="n">
        <v>2516</v>
      </c>
      <c r="H208" s="20" t="s">
        <v>1304</v>
      </c>
      <c r="I208" s="20" t="s">
        <v>99</v>
      </c>
      <c r="J208" s="20" t="s">
        <v>147</v>
      </c>
      <c r="K208" s="22"/>
      <c r="L208" s="22"/>
      <c r="M208" s="20" t="s">
        <v>81</v>
      </c>
      <c r="N208" s="23" t="s">
        <v>82</v>
      </c>
      <c r="O208" s="23" t="s">
        <v>148</v>
      </c>
      <c r="P208" s="23" t="s">
        <v>84</v>
      </c>
      <c r="Q208" s="23" t="str">
        <f aca="false">IF(A208="UNDATED LEAD","UNRESOLVED",IF(M208="N","EXCEPTION",IF(A208="SKIP",IF(ISNUMBER(SEARCH("_skip_justification.pdf",N208)),"CLEAR - FILE VERIFIED","CLEAR ON EXPORT"),"CLEAR ON LOG")))</f>
        <v>CLEAR ON EXPORT</v>
      </c>
      <c r="R208" s="23" t="str">
        <f aca="false">IF(Q208="UNRESOLVED","PRIORITY 1 - OBTAIN FILE",IF(Q208&lt;&gt;"EXCEPTION","NONE",IF(OR(AND(A208="LOA AMENDMENT",P208="UNRESOLVED USE"),AND(A208="SKIP",OR(E208="WL-02618",E208="WL-03044",E208="WL-03390"))),"PRIORITY 1",IF(A208="SKIP","PRIORITY 2","PRIORITY 3"))))</f>
        <v>NONE</v>
      </c>
      <c r="S208" s="23"/>
      <c r="T208" s="23" t="s">
        <v>1305</v>
      </c>
      <c r="U208" s="23" t="s">
        <v>86</v>
      </c>
    </row>
    <row r="209" customFormat="false" ht="17.9" hidden="false" customHeight="false" outlineLevel="0" collapsed="false">
      <c r="A209" s="20" t="s">
        <v>73</v>
      </c>
      <c r="B209" s="21" t="n">
        <v>45855</v>
      </c>
      <c r="C209" s="20" t="s">
        <v>1306</v>
      </c>
      <c r="D209" s="20" t="s">
        <v>1307</v>
      </c>
      <c r="E209" s="20" t="s">
        <v>1308</v>
      </c>
      <c r="F209" s="20" t="s">
        <v>1309</v>
      </c>
      <c r="G209" s="20" t="n">
        <v>2248</v>
      </c>
      <c r="H209" s="20" t="s">
        <v>1310</v>
      </c>
      <c r="I209" s="20" t="s">
        <v>79</v>
      </c>
      <c r="J209" s="20" t="s">
        <v>147</v>
      </c>
      <c r="K209" s="22"/>
      <c r="L209" s="22"/>
      <c r="M209" s="20" t="s">
        <v>81</v>
      </c>
      <c r="N209" s="23" t="s">
        <v>101</v>
      </c>
      <c r="O209" s="23" t="s">
        <v>148</v>
      </c>
      <c r="P209" s="23" t="s">
        <v>84</v>
      </c>
      <c r="Q209" s="23" t="str">
        <f aca="false">IF(A209="UNDATED LEAD","UNRESOLVED",IF(M209="N","EXCEPTION",IF(A209="SKIP",IF(ISNUMBER(SEARCH("_skip_justification.pdf",N209)),"CLEAR - FILE VERIFIED","CLEAR ON EXPORT"),"CLEAR ON LOG")))</f>
        <v>CLEAR ON EXPORT</v>
      </c>
      <c r="R209" s="23" t="str">
        <f aca="false">IF(Q209="UNRESOLVED","PRIORITY 1 - OBTAIN FILE",IF(Q209&lt;&gt;"EXCEPTION","NONE",IF(OR(AND(A209="LOA AMENDMENT",P209="UNRESOLVED USE"),AND(A209="SKIP",OR(E209="WL-02618",E209="WL-03044",E209="WL-03390"))),"PRIORITY 1",IF(A209="SKIP","PRIORITY 2","PRIORITY 3"))))</f>
        <v>NONE</v>
      </c>
      <c r="S209" s="23"/>
      <c r="T209" s="23" t="s">
        <v>1311</v>
      </c>
      <c r="U209" s="23" t="s">
        <v>86</v>
      </c>
    </row>
    <row r="210" customFormat="false" ht="17.9" hidden="false" customHeight="false" outlineLevel="0" collapsed="false">
      <c r="A210" s="20" t="s">
        <v>73</v>
      </c>
      <c r="B210" s="21" t="n">
        <v>45860</v>
      </c>
      <c r="C210" s="20" t="s">
        <v>1312</v>
      </c>
      <c r="D210" s="20" t="s">
        <v>1313</v>
      </c>
      <c r="E210" s="20" t="s">
        <v>1314</v>
      </c>
      <c r="F210" s="20" t="s">
        <v>1315</v>
      </c>
      <c r="G210" s="20" t="n">
        <v>2526</v>
      </c>
      <c r="H210" s="20" t="s">
        <v>1164</v>
      </c>
      <c r="I210" s="20" t="s">
        <v>166</v>
      </c>
      <c r="J210" s="20" t="s">
        <v>147</v>
      </c>
      <c r="K210" s="22"/>
      <c r="L210" s="22"/>
      <c r="M210" s="20" t="s">
        <v>81</v>
      </c>
      <c r="N210" s="23" t="s">
        <v>82</v>
      </c>
      <c r="O210" s="23" t="s">
        <v>148</v>
      </c>
      <c r="P210" s="23" t="s">
        <v>84</v>
      </c>
      <c r="Q210" s="23" t="str">
        <f aca="false">IF(A210="UNDATED LEAD","UNRESOLVED",IF(M210="N","EXCEPTION",IF(A210="SKIP",IF(ISNUMBER(SEARCH("_skip_justification.pdf",N210)),"CLEAR - FILE VERIFIED","CLEAR ON EXPORT"),"CLEAR ON LOG")))</f>
        <v>CLEAR ON EXPORT</v>
      </c>
      <c r="R210" s="23" t="str">
        <f aca="false">IF(Q210="UNRESOLVED","PRIORITY 1 - OBTAIN FILE",IF(Q210&lt;&gt;"EXCEPTION","NONE",IF(OR(AND(A210="LOA AMENDMENT",P210="UNRESOLVED USE"),AND(A210="SKIP",OR(E210="WL-02618",E210="WL-03044",E210="WL-03390"))),"PRIORITY 1",IF(A210="SKIP","PRIORITY 2","PRIORITY 3"))))</f>
        <v>NONE</v>
      </c>
      <c r="S210" s="23"/>
      <c r="T210" s="23" t="s">
        <v>1316</v>
      </c>
      <c r="U210" s="23" t="s">
        <v>86</v>
      </c>
    </row>
    <row r="211" customFormat="false" ht="17.9" hidden="false" customHeight="false" outlineLevel="0" collapsed="false">
      <c r="A211" s="20" t="s">
        <v>73</v>
      </c>
      <c r="B211" s="21" t="n">
        <v>45863</v>
      </c>
      <c r="C211" s="20" t="s">
        <v>1317</v>
      </c>
      <c r="D211" s="20" t="s">
        <v>1318</v>
      </c>
      <c r="E211" s="20" t="s">
        <v>1319</v>
      </c>
      <c r="F211" s="20" t="s">
        <v>1320</v>
      </c>
      <c r="G211" s="20" t="n">
        <v>2227</v>
      </c>
      <c r="H211" s="20" t="s">
        <v>1321</v>
      </c>
      <c r="I211" s="20" t="s">
        <v>79</v>
      </c>
      <c r="J211" s="20" t="s">
        <v>132</v>
      </c>
      <c r="K211" s="22"/>
      <c r="L211" s="22"/>
      <c r="M211" s="20" t="s">
        <v>81</v>
      </c>
      <c r="N211" s="23" t="s">
        <v>101</v>
      </c>
      <c r="O211" s="23" t="s">
        <v>133</v>
      </c>
      <c r="P211" s="23" t="s">
        <v>84</v>
      </c>
      <c r="Q211" s="23" t="str">
        <f aca="false">IF(A211="UNDATED LEAD","UNRESOLVED",IF(M211="N","EXCEPTION",IF(A211="SKIP",IF(ISNUMBER(SEARCH("_skip_justification.pdf",N211)),"CLEAR - FILE VERIFIED","CLEAR ON EXPORT"),"CLEAR ON LOG")))</f>
        <v>CLEAR ON EXPORT</v>
      </c>
      <c r="R211" s="23" t="str">
        <f aca="false">IF(Q211="UNRESOLVED","PRIORITY 1 - OBTAIN FILE",IF(Q211&lt;&gt;"EXCEPTION","NONE",IF(OR(AND(A211="LOA AMENDMENT",P211="UNRESOLVED USE"),AND(A211="SKIP",OR(E211="WL-02618",E211="WL-03044",E211="WL-03390"))),"PRIORITY 1",IF(A211="SKIP","PRIORITY 2","PRIORITY 3"))))</f>
        <v>NONE</v>
      </c>
      <c r="S211" s="23"/>
      <c r="T211" s="23" t="s">
        <v>1322</v>
      </c>
      <c r="U211" s="23" t="s">
        <v>86</v>
      </c>
    </row>
    <row r="212" customFormat="false" ht="17.9" hidden="false" customHeight="false" outlineLevel="0" collapsed="false">
      <c r="A212" s="20" t="s">
        <v>73</v>
      </c>
      <c r="B212" s="21" t="n">
        <v>45866</v>
      </c>
      <c r="C212" s="20" t="s">
        <v>1323</v>
      </c>
      <c r="D212" s="20" t="s">
        <v>1324</v>
      </c>
      <c r="E212" s="20" t="s">
        <v>1231</v>
      </c>
      <c r="F212" s="20" t="s">
        <v>1232</v>
      </c>
      <c r="G212" s="20" t="n">
        <v>2094</v>
      </c>
      <c r="H212" s="20" t="s">
        <v>1325</v>
      </c>
      <c r="I212" s="20" t="s">
        <v>119</v>
      </c>
      <c r="J212" s="20" t="s">
        <v>100</v>
      </c>
      <c r="K212" s="22"/>
      <c r="L212" s="22"/>
      <c r="M212" s="20" t="s">
        <v>110</v>
      </c>
      <c r="N212" s="23" t="s">
        <v>1285</v>
      </c>
      <c r="O212" s="23" t="s">
        <v>102</v>
      </c>
      <c r="P212" s="23" t="s">
        <v>84</v>
      </c>
      <c r="Q212" s="23" t="str">
        <f aca="false">IF(A212="UNDATED LEAD","UNRESOLVED",IF(M212="N","EXCEPTION",IF(A212="SKIP",IF(ISNUMBER(SEARCH("_skip_justification.pdf",N212)),"CLEAR - FILE VERIFIED","CLEAR ON EXPORT"),"CLEAR ON LOG")))</f>
        <v>EXCEPTION</v>
      </c>
      <c r="R212" s="23" t="str">
        <f aca="false">IF(Q212="UNRESOLVED","PRIORITY 1 - OBTAIN FILE",IF(Q212&lt;&gt;"EXCEPTION","NONE",IF(OR(AND(A212="LOA AMENDMENT",P212="UNRESOLVED USE"),AND(A212="SKIP",OR(E212="WL-02618",E212="WL-03044",E212="WL-03390"))),"PRIORITY 1",IF(A212="SKIP","PRIORITY 2","PRIORITY 3"))))</f>
        <v>PRIORITY 2</v>
      </c>
      <c r="S212" s="23" t="s">
        <v>1326</v>
      </c>
      <c r="T212" s="23" t="s">
        <v>1327</v>
      </c>
      <c r="U212" s="23" t="s">
        <v>86</v>
      </c>
    </row>
    <row r="213" customFormat="false" ht="17.9" hidden="false" customHeight="false" outlineLevel="0" collapsed="false">
      <c r="A213" s="20" t="s">
        <v>73</v>
      </c>
      <c r="B213" s="21" t="n">
        <v>45872</v>
      </c>
      <c r="C213" s="20" t="s">
        <v>1328</v>
      </c>
      <c r="D213" s="20" t="s">
        <v>1329</v>
      </c>
      <c r="E213" s="20" t="s">
        <v>1330</v>
      </c>
      <c r="F213" s="20" t="s">
        <v>1331</v>
      </c>
      <c r="G213" s="20" t="n">
        <v>2481</v>
      </c>
      <c r="H213" s="20" t="s">
        <v>1332</v>
      </c>
      <c r="I213" s="20" t="s">
        <v>119</v>
      </c>
      <c r="J213" s="20" t="s">
        <v>80</v>
      </c>
      <c r="K213" s="22"/>
      <c r="L213" s="22"/>
      <c r="M213" s="20" t="s">
        <v>81</v>
      </c>
      <c r="N213" s="23" t="s">
        <v>82</v>
      </c>
      <c r="O213" s="23" t="s">
        <v>83</v>
      </c>
      <c r="P213" s="23" t="s">
        <v>84</v>
      </c>
      <c r="Q213" s="23" t="str">
        <f aca="false">IF(A213="UNDATED LEAD","UNRESOLVED",IF(M213="N","EXCEPTION",IF(A213="SKIP",IF(ISNUMBER(SEARCH("_skip_justification.pdf",N213)),"CLEAR - FILE VERIFIED","CLEAR ON EXPORT"),"CLEAR ON LOG")))</f>
        <v>CLEAR ON EXPORT</v>
      </c>
      <c r="R213" s="23" t="str">
        <f aca="false">IF(Q213="UNRESOLVED","PRIORITY 1 - OBTAIN FILE",IF(Q213&lt;&gt;"EXCEPTION","NONE",IF(OR(AND(A213="LOA AMENDMENT",P213="UNRESOLVED USE"),AND(A213="SKIP",OR(E213="WL-02618",E213="WL-03044",E213="WL-03390"))),"PRIORITY 1",IF(A213="SKIP","PRIORITY 2","PRIORITY 3"))))</f>
        <v>NONE</v>
      </c>
      <c r="S213" s="23"/>
      <c r="T213" s="23" t="s">
        <v>1333</v>
      </c>
      <c r="U213" s="23" t="s">
        <v>86</v>
      </c>
    </row>
    <row r="214" customFormat="false" ht="17.9" hidden="false" customHeight="false" outlineLevel="0" collapsed="false">
      <c r="A214" s="20" t="s">
        <v>73</v>
      </c>
      <c r="B214" s="21" t="n">
        <v>45874</v>
      </c>
      <c r="C214" s="20" t="s">
        <v>1334</v>
      </c>
      <c r="D214" s="20" t="s">
        <v>1335</v>
      </c>
      <c r="E214" s="20" t="s">
        <v>1336</v>
      </c>
      <c r="F214" s="20" t="s">
        <v>1337</v>
      </c>
      <c r="G214" s="20" t="n">
        <v>1323</v>
      </c>
      <c r="H214" s="20" t="s">
        <v>937</v>
      </c>
      <c r="I214" s="20" t="s">
        <v>109</v>
      </c>
      <c r="J214" s="20" t="s">
        <v>100</v>
      </c>
      <c r="K214" s="22"/>
      <c r="L214" s="22"/>
      <c r="M214" s="20" t="s">
        <v>81</v>
      </c>
      <c r="N214" s="23" t="s">
        <v>92</v>
      </c>
      <c r="O214" s="23" t="s">
        <v>102</v>
      </c>
      <c r="P214" s="23" t="s">
        <v>84</v>
      </c>
      <c r="Q214" s="23" t="str">
        <f aca="false">IF(A214="UNDATED LEAD","UNRESOLVED",IF(M214="N","EXCEPTION",IF(A214="SKIP",IF(ISNUMBER(SEARCH("_skip_justification.pdf",N214)),"CLEAR - FILE VERIFIED","CLEAR ON EXPORT"),"CLEAR ON LOG")))</f>
        <v>CLEAR ON EXPORT</v>
      </c>
      <c r="R214" s="23" t="str">
        <f aca="false">IF(Q214="UNRESOLVED","PRIORITY 1 - OBTAIN FILE",IF(Q214&lt;&gt;"EXCEPTION","NONE",IF(OR(AND(A214="LOA AMENDMENT",P214="UNRESOLVED USE"),AND(A214="SKIP",OR(E214="WL-02618",E214="WL-03044",E214="WL-03390"))),"PRIORITY 1",IF(A214="SKIP","PRIORITY 2","PRIORITY 3"))))</f>
        <v>NONE</v>
      </c>
      <c r="S214" s="23"/>
      <c r="T214" s="23" t="s">
        <v>1338</v>
      </c>
      <c r="U214" s="23" t="s">
        <v>86</v>
      </c>
    </row>
    <row r="215" customFormat="false" ht="17.9" hidden="false" customHeight="false" outlineLevel="0" collapsed="false">
      <c r="A215" s="20" t="s">
        <v>73</v>
      </c>
      <c r="B215" s="21" t="n">
        <v>45877</v>
      </c>
      <c r="C215" s="20" t="s">
        <v>1339</v>
      </c>
      <c r="D215" s="20" t="s">
        <v>1340</v>
      </c>
      <c r="E215" s="20" t="s">
        <v>547</v>
      </c>
      <c r="F215" s="20" t="s">
        <v>548</v>
      </c>
      <c r="G215" s="20" t="n">
        <v>1912</v>
      </c>
      <c r="H215" s="20" t="s">
        <v>1341</v>
      </c>
      <c r="I215" s="20" t="s">
        <v>166</v>
      </c>
      <c r="J215" s="20" t="s">
        <v>147</v>
      </c>
      <c r="K215" s="22"/>
      <c r="L215" s="22"/>
      <c r="M215" s="20" t="s">
        <v>81</v>
      </c>
      <c r="N215" s="23" t="s">
        <v>82</v>
      </c>
      <c r="O215" s="23" t="s">
        <v>148</v>
      </c>
      <c r="P215" s="23" t="s">
        <v>84</v>
      </c>
      <c r="Q215" s="23" t="str">
        <f aca="false">IF(A215="UNDATED LEAD","UNRESOLVED",IF(M215="N","EXCEPTION",IF(A215="SKIP",IF(ISNUMBER(SEARCH("_skip_justification.pdf",N215)),"CLEAR - FILE VERIFIED","CLEAR ON EXPORT"),"CLEAR ON LOG")))</f>
        <v>CLEAR ON EXPORT</v>
      </c>
      <c r="R215" s="23" t="str">
        <f aca="false">IF(Q215="UNRESOLVED","PRIORITY 1 - OBTAIN FILE",IF(Q215&lt;&gt;"EXCEPTION","NONE",IF(OR(AND(A215="LOA AMENDMENT",P215="UNRESOLVED USE"),AND(A215="SKIP",OR(E215="WL-02618",E215="WL-03044",E215="WL-03390"))),"PRIORITY 1",IF(A215="SKIP","PRIORITY 2","PRIORITY 3"))))</f>
        <v>NONE</v>
      </c>
      <c r="S215" s="23"/>
      <c r="T215" s="23" t="s">
        <v>1342</v>
      </c>
      <c r="U215" s="23" t="s">
        <v>86</v>
      </c>
    </row>
    <row r="216" customFormat="false" ht="17.9" hidden="false" customHeight="false" outlineLevel="0" collapsed="false">
      <c r="A216" s="20" t="s">
        <v>73</v>
      </c>
      <c r="B216" s="21" t="n">
        <v>45879</v>
      </c>
      <c r="C216" s="20" t="s">
        <v>1343</v>
      </c>
      <c r="D216" s="20" t="s">
        <v>1344</v>
      </c>
      <c r="E216" s="20" t="s">
        <v>1345</v>
      </c>
      <c r="F216" s="20" t="s">
        <v>1346</v>
      </c>
      <c r="G216" s="20" t="n">
        <v>1607</v>
      </c>
      <c r="H216" s="20" t="s">
        <v>884</v>
      </c>
      <c r="I216" s="20" t="s">
        <v>79</v>
      </c>
      <c r="J216" s="20" t="s">
        <v>80</v>
      </c>
      <c r="K216" s="22"/>
      <c r="L216" s="22"/>
      <c r="M216" s="20" t="s">
        <v>81</v>
      </c>
      <c r="N216" s="23" t="s">
        <v>92</v>
      </c>
      <c r="O216" s="23" t="s">
        <v>83</v>
      </c>
      <c r="P216" s="23" t="s">
        <v>84</v>
      </c>
      <c r="Q216" s="23" t="str">
        <f aca="false">IF(A216="UNDATED LEAD","UNRESOLVED",IF(M216="N","EXCEPTION",IF(A216="SKIP",IF(ISNUMBER(SEARCH("_skip_justification.pdf",N216)),"CLEAR - FILE VERIFIED","CLEAR ON EXPORT"),"CLEAR ON LOG")))</f>
        <v>CLEAR ON EXPORT</v>
      </c>
      <c r="R216" s="23" t="str">
        <f aca="false">IF(Q216="UNRESOLVED","PRIORITY 1 - OBTAIN FILE",IF(Q216&lt;&gt;"EXCEPTION","NONE",IF(OR(AND(A216="LOA AMENDMENT",P216="UNRESOLVED USE"),AND(A216="SKIP",OR(E216="WL-02618",E216="WL-03044",E216="WL-03390"))),"PRIORITY 1",IF(A216="SKIP","PRIORITY 2","PRIORITY 3"))))</f>
        <v>NONE</v>
      </c>
      <c r="S216" s="23"/>
      <c r="T216" s="23" t="s">
        <v>1347</v>
      </c>
      <c r="U216" s="23" t="s">
        <v>86</v>
      </c>
    </row>
    <row r="217" customFormat="false" ht="17.9" hidden="false" customHeight="false" outlineLevel="0" collapsed="false">
      <c r="A217" s="20" t="s">
        <v>73</v>
      </c>
      <c r="B217" s="21" t="n">
        <v>45883</v>
      </c>
      <c r="C217" s="20" t="s">
        <v>1348</v>
      </c>
      <c r="D217" s="20" t="s">
        <v>1349</v>
      </c>
      <c r="E217" s="20" t="s">
        <v>1350</v>
      </c>
      <c r="F217" s="20" t="s">
        <v>1351</v>
      </c>
      <c r="G217" s="20" t="n">
        <v>2134</v>
      </c>
      <c r="H217" s="20" t="s">
        <v>1352</v>
      </c>
      <c r="I217" s="20" t="s">
        <v>166</v>
      </c>
      <c r="J217" s="20" t="s">
        <v>80</v>
      </c>
      <c r="K217" s="22"/>
      <c r="L217" s="22"/>
      <c r="M217" s="20" t="s">
        <v>81</v>
      </c>
      <c r="N217" s="23" t="s">
        <v>101</v>
      </c>
      <c r="O217" s="23" t="s">
        <v>83</v>
      </c>
      <c r="P217" s="23" t="s">
        <v>84</v>
      </c>
      <c r="Q217" s="23" t="str">
        <f aca="false">IF(A217="UNDATED LEAD","UNRESOLVED",IF(M217="N","EXCEPTION",IF(A217="SKIP",IF(ISNUMBER(SEARCH("_skip_justification.pdf",N217)),"CLEAR - FILE VERIFIED","CLEAR ON EXPORT"),"CLEAR ON LOG")))</f>
        <v>CLEAR ON EXPORT</v>
      </c>
      <c r="R217" s="23" t="str">
        <f aca="false">IF(Q217="UNRESOLVED","PRIORITY 1 - OBTAIN FILE",IF(Q217&lt;&gt;"EXCEPTION","NONE",IF(OR(AND(A217="LOA AMENDMENT",P217="UNRESOLVED USE"),AND(A217="SKIP",OR(E217="WL-02618",E217="WL-03044",E217="WL-03390"))),"PRIORITY 1",IF(A217="SKIP","PRIORITY 2","PRIORITY 3"))))</f>
        <v>NONE</v>
      </c>
      <c r="S217" s="23"/>
      <c r="T217" s="23" t="s">
        <v>1353</v>
      </c>
      <c r="U217" s="23" t="s">
        <v>86</v>
      </c>
    </row>
    <row r="218" customFormat="false" ht="17.9" hidden="false" customHeight="false" outlineLevel="0" collapsed="false">
      <c r="A218" s="20" t="s">
        <v>73</v>
      </c>
      <c r="B218" s="21" t="n">
        <v>45884</v>
      </c>
      <c r="C218" s="20" t="s">
        <v>1354</v>
      </c>
      <c r="D218" s="20" t="s">
        <v>1355</v>
      </c>
      <c r="E218" s="20" t="s">
        <v>1356</v>
      </c>
      <c r="F218" s="20" t="s">
        <v>1357</v>
      </c>
      <c r="G218" s="20" t="n">
        <v>2314</v>
      </c>
      <c r="H218" s="20" t="s">
        <v>1358</v>
      </c>
      <c r="I218" s="20" t="s">
        <v>79</v>
      </c>
      <c r="J218" s="20" t="s">
        <v>147</v>
      </c>
      <c r="K218" s="22"/>
      <c r="L218" s="22"/>
      <c r="M218" s="20" t="s">
        <v>81</v>
      </c>
      <c r="N218" s="23" t="s">
        <v>140</v>
      </c>
      <c r="O218" s="23" t="s">
        <v>148</v>
      </c>
      <c r="P218" s="23" t="s">
        <v>84</v>
      </c>
      <c r="Q218" s="23" t="str">
        <f aca="false">IF(A218="UNDATED LEAD","UNRESOLVED",IF(M218="N","EXCEPTION",IF(A218="SKIP",IF(ISNUMBER(SEARCH("_skip_justification.pdf",N218)),"CLEAR - FILE VERIFIED","CLEAR ON EXPORT"),"CLEAR ON LOG")))</f>
        <v>CLEAR ON EXPORT</v>
      </c>
      <c r="R218" s="23" t="str">
        <f aca="false">IF(Q218="UNRESOLVED","PRIORITY 1 - OBTAIN FILE",IF(Q218&lt;&gt;"EXCEPTION","NONE",IF(OR(AND(A218="LOA AMENDMENT",P218="UNRESOLVED USE"),AND(A218="SKIP",OR(E218="WL-02618",E218="WL-03044",E218="WL-03390"))),"PRIORITY 1",IF(A218="SKIP","PRIORITY 2","PRIORITY 3"))))</f>
        <v>NONE</v>
      </c>
      <c r="S218" s="23"/>
      <c r="T218" s="23" t="s">
        <v>1359</v>
      </c>
      <c r="U218" s="23" t="s">
        <v>86</v>
      </c>
    </row>
    <row r="219" customFormat="false" ht="17.9" hidden="false" customHeight="false" outlineLevel="0" collapsed="false">
      <c r="A219" s="20" t="s">
        <v>73</v>
      </c>
      <c r="B219" s="21" t="n">
        <v>45887</v>
      </c>
      <c r="C219" s="20" t="s">
        <v>1360</v>
      </c>
      <c r="D219" s="20" t="s">
        <v>1361</v>
      </c>
      <c r="E219" s="20" t="s">
        <v>1362</v>
      </c>
      <c r="F219" s="20" t="s">
        <v>1363</v>
      </c>
      <c r="G219" s="20" t="n">
        <v>537</v>
      </c>
      <c r="H219" s="20" t="s">
        <v>1364</v>
      </c>
      <c r="I219" s="20" t="s">
        <v>119</v>
      </c>
      <c r="J219" s="20" t="s">
        <v>80</v>
      </c>
      <c r="K219" s="22"/>
      <c r="L219" s="22"/>
      <c r="M219" s="20" t="s">
        <v>81</v>
      </c>
      <c r="N219" s="23" t="s">
        <v>82</v>
      </c>
      <c r="O219" s="23" t="s">
        <v>83</v>
      </c>
      <c r="P219" s="23" t="s">
        <v>84</v>
      </c>
      <c r="Q219" s="23" t="str">
        <f aca="false">IF(A219="UNDATED LEAD","UNRESOLVED",IF(M219="N","EXCEPTION",IF(A219="SKIP",IF(ISNUMBER(SEARCH("_skip_justification.pdf",N219)),"CLEAR - FILE VERIFIED","CLEAR ON EXPORT"),"CLEAR ON LOG")))</f>
        <v>CLEAR ON EXPORT</v>
      </c>
      <c r="R219" s="23" t="str">
        <f aca="false">IF(Q219="UNRESOLVED","PRIORITY 1 - OBTAIN FILE",IF(Q219&lt;&gt;"EXCEPTION","NONE",IF(OR(AND(A219="LOA AMENDMENT",P219="UNRESOLVED USE"),AND(A219="SKIP",OR(E219="WL-02618",E219="WL-03044",E219="WL-03390"))),"PRIORITY 1",IF(A219="SKIP","PRIORITY 2","PRIORITY 3"))))</f>
        <v>NONE</v>
      </c>
      <c r="S219" s="23"/>
      <c r="T219" s="23" t="s">
        <v>1365</v>
      </c>
      <c r="U219" s="23" t="s">
        <v>86</v>
      </c>
    </row>
    <row r="220" customFormat="false" ht="17.9" hidden="false" customHeight="false" outlineLevel="0" collapsed="false">
      <c r="A220" s="20" t="s">
        <v>73</v>
      </c>
      <c r="B220" s="21" t="n">
        <v>45888</v>
      </c>
      <c r="C220" s="20" t="s">
        <v>1366</v>
      </c>
      <c r="D220" s="20" t="s">
        <v>1367</v>
      </c>
      <c r="E220" s="20" t="s">
        <v>1368</v>
      </c>
      <c r="F220" s="20" t="s">
        <v>1369</v>
      </c>
      <c r="G220" s="20" t="n">
        <v>843</v>
      </c>
      <c r="H220" s="20" t="s">
        <v>227</v>
      </c>
      <c r="I220" s="20" t="s">
        <v>166</v>
      </c>
      <c r="J220" s="20" t="s">
        <v>147</v>
      </c>
      <c r="K220" s="22"/>
      <c r="L220" s="22"/>
      <c r="M220" s="20" t="s">
        <v>81</v>
      </c>
      <c r="N220" s="23" t="s">
        <v>92</v>
      </c>
      <c r="O220" s="23" t="s">
        <v>148</v>
      </c>
      <c r="P220" s="23" t="s">
        <v>84</v>
      </c>
      <c r="Q220" s="23" t="str">
        <f aca="false">IF(A220="UNDATED LEAD","UNRESOLVED",IF(M220="N","EXCEPTION",IF(A220="SKIP",IF(ISNUMBER(SEARCH("_skip_justification.pdf",N220)),"CLEAR - FILE VERIFIED","CLEAR ON EXPORT"),"CLEAR ON LOG")))</f>
        <v>CLEAR ON EXPORT</v>
      </c>
      <c r="R220" s="23" t="str">
        <f aca="false">IF(Q220="UNRESOLVED","PRIORITY 1 - OBTAIN FILE",IF(Q220&lt;&gt;"EXCEPTION","NONE",IF(OR(AND(A220="LOA AMENDMENT",P220="UNRESOLVED USE"),AND(A220="SKIP",OR(E220="WL-02618",E220="WL-03044",E220="WL-03390"))),"PRIORITY 1",IF(A220="SKIP","PRIORITY 2","PRIORITY 3"))))</f>
        <v>NONE</v>
      </c>
      <c r="S220" s="23"/>
      <c r="T220" s="23" t="s">
        <v>1370</v>
      </c>
      <c r="U220" s="23" t="s">
        <v>86</v>
      </c>
    </row>
    <row r="221" customFormat="false" ht="17.9" hidden="false" customHeight="false" outlineLevel="0" collapsed="false">
      <c r="A221" s="20" t="s">
        <v>73</v>
      </c>
      <c r="B221" s="21" t="n">
        <v>45891</v>
      </c>
      <c r="C221" s="20" t="s">
        <v>1371</v>
      </c>
      <c r="D221" s="20" t="s">
        <v>1372</v>
      </c>
      <c r="E221" s="20" t="s">
        <v>1373</v>
      </c>
      <c r="F221" s="20" t="s">
        <v>1374</v>
      </c>
      <c r="G221" s="20" t="n">
        <v>702</v>
      </c>
      <c r="H221" s="20" t="s">
        <v>1375</v>
      </c>
      <c r="I221" s="20" t="s">
        <v>99</v>
      </c>
      <c r="J221" s="20" t="s">
        <v>80</v>
      </c>
      <c r="K221" s="22"/>
      <c r="L221" s="22"/>
      <c r="M221" s="20" t="s">
        <v>81</v>
      </c>
      <c r="N221" s="23" t="s">
        <v>140</v>
      </c>
      <c r="O221" s="23" t="s">
        <v>83</v>
      </c>
      <c r="P221" s="23" t="s">
        <v>84</v>
      </c>
      <c r="Q221" s="23" t="str">
        <f aca="false">IF(A221="UNDATED LEAD","UNRESOLVED",IF(M221="N","EXCEPTION",IF(A221="SKIP",IF(ISNUMBER(SEARCH("_skip_justification.pdf",N221)),"CLEAR - FILE VERIFIED","CLEAR ON EXPORT"),"CLEAR ON LOG")))</f>
        <v>CLEAR ON EXPORT</v>
      </c>
      <c r="R221" s="23" t="str">
        <f aca="false">IF(Q221="UNRESOLVED","PRIORITY 1 - OBTAIN FILE",IF(Q221&lt;&gt;"EXCEPTION","NONE",IF(OR(AND(A221="LOA AMENDMENT",P221="UNRESOLVED USE"),AND(A221="SKIP",OR(E221="WL-02618",E221="WL-03044",E221="WL-03390"))),"PRIORITY 1",IF(A221="SKIP","PRIORITY 2","PRIORITY 3"))))</f>
        <v>NONE</v>
      </c>
      <c r="S221" s="23"/>
      <c r="T221" s="23" t="s">
        <v>1376</v>
      </c>
      <c r="U221" s="23" t="s">
        <v>86</v>
      </c>
    </row>
    <row r="222" customFormat="false" ht="17.9" hidden="false" customHeight="false" outlineLevel="0" collapsed="false">
      <c r="A222" s="20" t="s">
        <v>73</v>
      </c>
      <c r="B222" s="21" t="n">
        <v>45895</v>
      </c>
      <c r="C222" s="20" t="s">
        <v>1377</v>
      </c>
      <c r="D222" s="20" t="s">
        <v>1378</v>
      </c>
      <c r="E222" s="20" t="s">
        <v>1379</v>
      </c>
      <c r="F222" s="20" t="s">
        <v>1380</v>
      </c>
      <c r="G222" s="20" t="n">
        <v>1774</v>
      </c>
      <c r="H222" s="20" t="s">
        <v>1272</v>
      </c>
      <c r="I222" s="20" t="s">
        <v>79</v>
      </c>
      <c r="J222" s="20" t="s">
        <v>132</v>
      </c>
      <c r="K222" s="22"/>
      <c r="L222" s="22"/>
      <c r="M222" s="20" t="s">
        <v>81</v>
      </c>
      <c r="N222" s="23" t="s">
        <v>92</v>
      </c>
      <c r="O222" s="23" t="s">
        <v>133</v>
      </c>
      <c r="P222" s="23" t="s">
        <v>84</v>
      </c>
      <c r="Q222" s="23" t="str">
        <f aca="false">IF(A222="UNDATED LEAD","UNRESOLVED",IF(M222="N","EXCEPTION",IF(A222="SKIP",IF(ISNUMBER(SEARCH("_skip_justification.pdf",N222)),"CLEAR - FILE VERIFIED","CLEAR ON EXPORT"),"CLEAR ON LOG")))</f>
        <v>CLEAR ON EXPORT</v>
      </c>
      <c r="R222" s="23" t="str">
        <f aca="false">IF(Q222="UNRESOLVED","PRIORITY 1 - OBTAIN FILE",IF(Q222&lt;&gt;"EXCEPTION","NONE",IF(OR(AND(A222="LOA AMENDMENT",P222="UNRESOLVED USE"),AND(A222="SKIP",OR(E222="WL-02618",E222="WL-03044",E222="WL-03390"))),"PRIORITY 1",IF(A222="SKIP","PRIORITY 2","PRIORITY 3"))))</f>
        <v>NONE</v>
      </c>
      <c r="S222" s="23"/>
      <c r="T222" s="23" t="s">
        <v>1381</v>
      </c>
      <c r="U222" s="23" t="s">
        <v>86</v>
      </c>
    </row>
    <row r="223" customFormat="false" ht="17.9" hidden="false" customHeight="false" outlineLevel="0" collapsed="false">
      <c r="A223" s="20" t="s">
        <v>73</v>
      </c>
      <c r="B223" s="21" t="n">
        <v>45895</v>
      </c>
      <c r="C223" s="20" t="s">
        <v>1382</v>
      </c>
      <c r="D223" s="20" t="s">
        <v>1383</v>
      </c>
      <c r="E223" s="20" t="s">
        <v>1384</v>
      </c>
      <c r="F223" s="20" t="s">
        <v>1385</v>
      </c>
      <c r="G223" s="20" t="n">
        <v>2311</v>
      </c>
      <c r="H223" s="20" t="s">
        <v>139</v>
      </c>
      <c r="I223" s="20" t="s">
        <v>119</v>
      </c>
      <c r="J223" s="20" t="s">
        <v>147</v>
      </c>
      <c r="K223" s="22"/>
      <c r="L223" s="22"/>
      <c r="M223" s="20" t="s">
        <v>81</v>
      </c>
      <c r="N223" s="23" t="s">
        <v>140</v>
      </c>
      <c r="O223" s="23" t="s">
        <v>148</v>
      </c>
      <c r="P223" s="23" t="s">
        <v>84</v>
      </c>
      <c r="Q223" s="23" t="str">
        <f aca="false">IF(A223="UNDATED LEAD","UNRESOLVED",IF(M223="N","EXCEPTION",IF(A223="SKIP",IF(ISNUMBER(SEARCH("_skip_justification.pdf",N223)),"CLEAR - FILE VERIFIED","CLEAR ON EXPORT"),"CLEAR ON LOG")))</f>
        <v>CLEAR ON EXPORT</v>
      </c>
      <c r="R223" s="23" t="str">
        <f aca="false">IF(Q223="UNRESOLVED","PRIORITY 1 - OBTAIN FILE",IF(Q223&lt;&gt;"EXCEPTION","NONE",IF(OR(AND(A223="LOA AMENDMENT",P223="UNRESOLVED USE"),AND(A223="SKIP",OR(E223="WL-02618",E223="WL-03044",E223="WL-03390"))),"PRIORITY 1",IF(A223="SKIP","PRIORITY 2","PRIORITY 3"))))</f>
        <v>NONE</v>
      </c>
      <c r="S223" s="23"/>
      <c r="T223" s="23" t="s">
        <v>1386</v>
      </c>
      <c r="U223" s="23" t="s">
        <v>86</v>
      </c>
    </row>
    <row r="224" customFormat="false" ht="17.9" hidden="false" customHeight="false" outlineLevel="0" collapsed="false">
      <c r="A224" s="20" t="s">
        <v>73</v>
      </c>
      <c r="B224" s="21" t="n">
        <v>45895</v>
      </c>
      <c r="C224" s="20" t="s">
        <v>1387</v>
      </c>
      <c r="D224" s="20" t="s">
        <v>1388</v>
      </c>
      <c r="E224" s="20" t="s">
        <v>1389</v>
      </c>
      <c r="F224" s="20" t="s">
        <v>1390</v>
      </c>
      <c r="G224" s="20" t="n">
        <v>788</v>
      </c>
      <c r="H224" s="20" t="s">
        <v>1391</v>
      </c>
      <c r="I224" s="20" t="s">
        <v>119</v>
      </c>
      <c r="J224" s="20" t="s">
        <v>80</v>
      </c>
      <c r="K224" s="22"/>
      <c r="L224" s="22"/>
      <c r="M224" s="20" t="s">
        <v>81</v>
      </c>
      <c r="N224" s="23" t="s">
        <v>92</v>
      </c>
      <c r="O224" s="23" t="s">
        <v>83</v>
      </c>
      <c r="P224" s="23" t="s">
        <v>84</v>
      </c>
      <c r="Q224" s="23" t="str">
        <f aca="false">IF(A224="UNDATED LEAD","UNRESOLVED",IF(M224="N","EXCEPTION",IF(A224="SKIP",IF(ISNUMBER(SEARCH("_skip_justification.pdf",N224)),"CLEAR - FILE VERIFIED","CLEAR ON EXPORT"),"CLEAR ON LOG")))</f>
        <v>CLEAR ON EXPORT</v>
      </c>
      <c r="R224" s="23" t="str">
        <f aca="false">IF(Q224="UNRESOLVED","PRIORITY 1 - OBTAIN FILE",IF(Q224&lt;&gt;"EXCEPTION","NONE",IF(OR(AND(A224="LOA AMENDMENT",P224="UNRESOLVED USE"),AND(A224="SKIP",OR(E224="WL-02618",E224="WL-03044",E224="WL-03390"))),"PRIORITY 1",IF(A224="SKIP","PRIORITY 2","PRIORITY 3"))))</f>
        <v>NONE</v>
      </c>
      <c r="S224" s="23"/>
      <c r="T224" s="23" t="s">
        <v>1392</v>
      </c>
      <c r="U224" s="23" t="s">
        <v>86</v>
      </c>
    </row>
    <row r="225" customFormat="false" ht="17.9" hidden="false" customHeight="false" outlineLevel="0" collapsed="false">
      <c r="A225" s="20" t="s">
        <v>73</v>
      </c>
      <c r="B225" s="21" t="n">
        <v>45897</v>
      </c>
      <c r="C225" s="20" t="s">
        <v>1393</v>
      </c>
      <c r="D225" s="20" t="s">
        <v>1394</v>
      </c>
      <c r="E225" s="20" t="s">
        <v>1395</v>
      </c>
      <c r="F225" s="20" t="s">
        <v>1396</v>
      </c>
      <c r="G225" s="20" t="n">
        <v>1838</v>
      </c>
      <c r="H225" s="20" t="s">
        <v>1397</v>
      </c>
      <c r="I225" s="20" t="s">
        <v>79</v>
      </c>
      <c r="J225" s="20" t="s">
        <v>132</v>
      </c>
      <c r="K225" s="22"/>
      <c r="L225" s="22"/>
      <c r="M225" s="20" t="s">
        <v>110</v>
      </c>
      <c r="N225" s="23" t="s">
        <v>167</v>
      </c>
      <c r="O225" s="23" t="s">
        <v>133</v>
      </c>
      <c r="P225" s="23" t="s">
        <v>84</v>
      </c>
      <c r="Q225" s="23" t="str">
        <f aca="false">IF(A225="UNDATED LEAD","UNRESOLVED",IF(M225="N","EXCEPTION",IF(A225="SKIP",IF(ISNUMBER(SEARCH("_skip_justification.pdf",N225)),"CLEAR - FILE VERIFIED","CLEAR ON EXPORT"),"CLEAR ON LOG")))</f>
        <v>EXCEPTION</v>
      </c>
      <c r="R225" s="23" t="str">
        <f aca="false">IF(Q225="UNRESOLVED","PRIORITY 1 - OBTAIN FILE",IF(Q225&lt;&gt;"EXCEPTION","NONE",IF(OR(AND(A225="LOA AMENDMENT",P225="UNRESOLVED USE"),AND(A225="SKIP",OR(E225="WL-02618",E225="WL-03044",E225="WL-03390"))),"PRIORITY 1",IF(A225="SKIP","PRIORITY 2","PRIORITY 3"))))</f>
        <v>PRIORITY 2</v>
      </c>
      <c r="S225" s="23" t="s">
        <v>1398</v>
      </c>
      <c r="T225" s="23" t="s">
        <v>1399</v>
      </c>
      <c r="U225" s="23" t="s">
        <v>86</v>
      </c>
    </row>
    <row r="226" customFormat="false" ht="17.9" hidden="false" customHeight="false" outlineLevel="0" collapsed="false">
      <c r="A226" s="20" t="s">
        <v>73</v>
      </c>
      <c r="B226" s="21" t="n">
        <v>45897</v>
      </c>
      <c r="C226" s="20" t="s">
        <v>1400</v>
      </c>
      <c r="D226" s="20" t="s">
        <v>1401</v>
      </c>
      <c r="E226" s="20" t="s">
        <v>1402</v>
      </c>
      <c r="F226" s="20" t="s">
        <v>1403</v>
      </c>
      <c r="G226" s="20" t="n">
        <v>617</v>
      </c>
      <c r="H226" s="20" t="s">
        <v>1404</v>
      </c>
      <c r="I226" s="20" t="s">
        <v>99</v>
      </c>
      <c r="J226" s="20" t="s">
        <v>80</v>
      </c>
      <c r="K226" s="22"/>
      <c r="L226" s="22"/>
      <c r="M226" s="20" t="s">
        <v>81</v>
      </c>
      <c r="N226" s="23" t="s">
        <v>140</v>
      </c>
      <c r="O226" s="23" t="s">
        <v>83</v>
      </c>
      <c r="P226" s="23" t="s">
        <v>84</v>
      </c>
      <c r="Q226" s="23" t="str">
        <f aca="false">IF(A226="UNDATED LEAD","UNRESOLVED",IF(M226="N","EXCEPTION",IF(A226="SKIP",IF(ISNUMBER(SEARCH("_skip_justification.pdf",N226)),"CLEAR - FILE VERIFIED","CLEAR ON EXPORT"),"CLEAR ON LOG")))</f>
        <v>CLEAR ON EXPORT</v>
      </c>
      <c r="R226" s="23" t="str">
        <f aca="false">IF(Q226="UNRESOLVED","PRIORITY 1 - OBTAIN FILE",IF(Q226&lt;&gt;"EXCEPTION","NONE",IF(OR(AND(A226="LOA AMENDMENT",P226="UNRESOLVED USE"),AND(A226="SKIP",OR(E226="WL-02618",E226="WL-03044",E226="WL-03390"))),"PRIORITY 1",IF(A226="SKIP","PRIORITY 2","PRIORITY 3"))))</f>
        <v>NONE</v>
      </c>
      <c r="S226" s="23"/>
      <c r="T226" s="23" t="s">
        <v>1405</v>
      </c>
      <c r="U226" s="23" t="s">
        <v>86</v>
      </c>
    </row>
    <row r="227" customFormat="false" ht="17.9" hidden="false" customHeight="false" outlineLevel="0" collapsed="false">
      <c r="A227" s="20" t="s">
        <v>73</v>
      </c>
      <c r="B227" s="21" t="n">
        <v>45903</v>
      </c>
      <c r="C227" s="20" t="s">
        <v>1406</v>
      </c>
      <c r="D227" s="20" t="s">
        <v>1407</v>
      </c>
      <c r="E227" s="20" t="s">
        <v>1408</v>
      </c>
      <c r="F227" s="20" t="s">
        <v>1409</v>
      </c>
      <c r="G227" s="20" t="n">
        <v>334</v>
      </c>
      <c r="H227" s="20" t="s">
        <v>1410</v>
      </c>
      <c r="I227" s="20" t="s">
        <v>79</v>
      </c>
      <c r="J227" s="20" t="s">
        <v>100</v>
      </c>
      <c r="K227" s="22"/>
      <c r="L227" s="22"/>
      <c r="M227" s="20" t="s">
        <v>81</v>
      </c>
      <c r="N227" s="23" t="s">
        <v>92</v>
      </c>
      <c r="O227" s="23" t="s">
        <v>102</v>
      </c>
      <c r="P227" s="23" t="s">
        <v>84</v>
      </c>
      <c r="Q227" s="23" t="str">
        <f aca="false">IF(A227="UNDATED LEAD","UNRESOLVED",IF(M227="N","EXCEPTION",IF(A227="SKIP",IF(ISNUMBER(SEARCH("_skip_justification.pdf",N227)),"CLEAR - FILE VERIFIED","CLEAR ON EXPORT"),"CLEAR ON LOG")))</f>
        <v>CLEAR ON EXPORT</v>
      </c>
      <c r="R227" s="23" t="str">
        <f aca="false">IF(Q227="UNRESOLVED","PRIORITY 1 - OBTAIN FILE",IF(Q227&lt;&gt;"EXCEPTION","NONE",IF(OR(AND(A227="LOA AMENDMENT",P227="UNRESOLVED USE"),AND(A227="SKIP",OR(E227="WL-02618",E227="WL-03044",E227="WL-03390"))),"PRIORITY 1",IF(A227="SKIP","PRIORITY 2","PRIORITY 3"))))</f>
        <v>NONE</v>
      </c>
      <c r="S227" s="23"/>
      <c r="T227" s="23" t="s">
        <v>1411</v>
      </c>
      <c r="U227" s="23" t="s">
        <v>86</v>
      </c>
    </row>
    <row r="228" customFormat="false" ht="17.9" hidden="false" customHeight="false" outlineLevel="0" collapsed="false">
      <c r="A228" s="20" t="s">
        <v>73</v>
      </c>
      <c r="B228" s="21" t="n">
        <v>45905</v>
      </c>
      <c r="C228" s="20" t="s">
        <v>1412</v>
      </c>
      <c r="D228" s="20" t="s">
        <v>1413</v>
      </c>
      <c r="E228" s="20" t="s">
        <v>1414</v>
      </c>
      <c r="F228" s="20" t="s">
        <v>1415</v>
      </c>
      <c r="G228" s="20" t="n">
        <v>1002</v>
      </c>
      <c r="H228" s="20" t="s">
        <v>1078</v>
      </c>
      <c r="I228" s="20" t="s">
        <v>79</v>
      </c>
      <c r="J228" s="20" t="s">
        <v>100</v>
      </c>
      <c r="K228" s="22"/>
      <c r="L228" s="22"/>
      <c r="M228" s="20" t="s">
        <v>81</v>
      </c>
      <c r="N228" s="23" t="s">
        <v>140</v>
      </c>
      <c r="O228" s="23" t="s">
        <v>102</v>
      </c>
      <c r="P228" s="23" t="s">
        <v>84</v>
      </c>
      <c r="Q228" s="23" t="str">
        <f aca="false">IF(A228="UNDATED LEAD","UNRESOLVED",IF(M228="N","EXCEPTION",IF(A228="SKIP",IF(ISNUMBER(SEARCH("_skip_justification.pdf",N228)),"CLEAR - FILE VERIFIED","CLEAR ON EXPORT"),"CLEAR ON LOG")))</f>
        <v>CLEAR ON EXPORT</v>
      </c>
      <c r="R228" s="23" t="str">
        <f aca="false">IF(Q228="UNRESOLVED","PRIORITY 1 - OBTAIN FILE",IF(Q228&lt;&gt;"EXCEPTION","NONE",IF(OR(AND(A228="LOA AMENDMENT",P228="UNRESOLVED USE"),AND(A228="SKIP",OR(E228="WL-02618",E228="WL-03044",E228="WL-03390"))),"PRIORITY 1",IF(A228="SKIP","PRIORITY 2","PRIORITY 3"))))</f>
        <v>NONE</v>
      </c>
      <c r="S228" s="23"/>
      <c r="T228" s="23" t="s">
        <v>1416</v>
      </c>
      <c r="U228" s="23" t="s">
        <v>86</v>
      </c>
    </row>
    <row r="229" customFormat="false" ht="17.9" hidden="false" customHeight="false" outlineLevel="0" collapsed="false">
      <c r="A229" s="20" t="s">
        <v>73</v>
      </c>
      <c r="B229" s="21" t="n">
        <v>45909</v>
      </c>
      <c r="C229" s="20" t="s">
        <v>1417</v>
      </c>
      <c r="D229" s="20" t="s">
        <v>1418</v>
      </c>
      <c r="E229" s="20" t="s">
        <v>1419</v>
      </c>
      <c r="F229" s="20" t="s">
        <v>1420</v>
      </c>
      <c r="G229" s="20" t="n">
        <v>1167</v>
      </c>
      <c r="H229" s="20" t="s">
        <v>1421</v>
      </c>
      <c r="I229" s="20" t="s">
        <v>99</v>
      </c>
      <c r="J229" s="20" t="s">
        <v>80</v>
      </c>
      <c r="K229" s="22"/>
      <c r="L229" s="22"/>
      <c r="M229" s="20" t="s">
        <v>81</v>
      </c>
      <c r="N229" s="23" t="s">
        <v>82</v>
      </c>
      <c r="O229" s="23" t="s">
        <v>83</v>
      </c>
      <c r="P229" s="23" t="s">
        <v>84</v>
      </c>
      <c r="Q229" s="23" t="str">
        <f aca="false">IF(A229="UNDATED LEAD","UNRESOLVED",IF(M229="N","EXCEPTION",IF(A229="SKIP",IF(ISNUMBER(SEARCH("_skip_justification.pdf",N229)),"CLEAR - FILE VERIFIED","CLEAR ON EXPORT"),"CLEAR ON LOG")))</f>
        <v>CLEAR ON EXPORT</v>
      </c>
      <c r="R229" s="23" t="str">
        <f aca="false">IF(Q229="UNRESOLVED","PRIORITY 1 - OBTAIN FILE",IF(Q229&lt;&gt;"EXCEPTION","NONE",IF(OR(AND(A229="LOA AMENDMENT",P229="UNRESOLVED USE"),AND(A229="SKIP",OR(E229="WL-02618",E229="WL-03044",E229="WL-03390"))),"PRIORITY 1",IF(A229="SKIP","PRIORITY 2","PRIORITY 3"))))</f>
        <v>NONE</v>
      </c>
      <c r="S229" s="23"/>
      <c r="T229" s="23" t="s">
        <v>1422</v>
      </c>
      <c r="U229" s="23" t="s">
        <v>86</v>
      </c>
    </row>
    <row r="230" customFormat="false" ht="17.9" hidden="false" customHeight="false" outlineLevel="0" collapsed="false">
      <c r="A230" s="20" t="s">
        <v>73</v>
      </c>
      <c r="B230" s="21" t="n">
        <v>45909</v>
      </c>
      <c r="C230" s="20" t="s">
        <v>1423</v>
      </c>
      <c r="D230" s="20" t="s">
        <v>1424</v>
      </c>
      <c r="E230" s="20" t="s">
        <v>1425</v>
      </c>
      <c r="F230" s="20" t="s">
        <v>1426</v>
      </c>
      <c r="G230" s="20" t="n">
        <v>2102</v>
      </c>
      <c r="H230" s="20" t="s">
        <v>1427</v>
      </c>
      <c r="I230" s="20" t="s">
        <v>79</v>
      </c>
      <c r="J230" s="20" t="s">
        <v>147</v>
      </c>
      <c r="K230" s="22"/>
      <c r="L230" s="22"/>
      <c r="M230" s="20" t="s">
        <v>81</v>
      </c>
      <c r="N230" s="23" t="s">
        <v>1428</v>
      </c>
      <c r="O230" s="23" t="s">
        <v>148</v>
      </c>
      <c r="P230" s="23" t="s">
        <v>84</v>
      </c>
      <c r="Q230" s="23" t="str">
        <f aca="false">IF(A230="UNDATED LEAD","UNRESOLVED",IF(M230="N","EXCEPTION",IF(A230="SKIP",IF(ISNUMBER(SEARCH("_skip_justification.pdf",N230)),"CLEAR - FILE VERIFIED","CLEAR ON EXPORT"),"CLEAR ON LOG")))</f>
        <v>CLEAR - FILE VERIFIED</v>
      </c>
      <c r="R230" s="23" t="str">
        <f aca="false">IF(Q230="UNRESOLVED","PRIORITY 1 - OBTAIN FILE",IF(Q230&lt;&gt;"EXCEPTION","NONE",IF(OR(AND(A230="LOA AMENDMENT",P230="UNRESOLVED USE"),AND(A230="SKIP",OR(E230="WL-02618",E230="WL-03044",E230="WL-03390"))),"PRIORITY 1",IF(A230="SKIP","PRIORITY 2","PRIORITY 3"))))</f>
        <v>NONE</v>
      </c>
      <c r="S230" s="23" t="s">
        <v>1429</v>
      </c>
      <c r="T230" s="23" t="s">
        <v>1430</v>
      </c>
      <c r="U230" s="23" t="s">
        <v>86</v>
      </c>
    </row>
    <row r="231" customFormat="false" ht="17.9" hidden="false" customHeight="false" outlineLevel="0" collapsed="false">
      <c r="A231" s="20" t="s">
        <v>73</v>
      </c>
      <c r="B231" s="21" t="n">
        <v>45911</v>
      </c>
      <c r="C231" s="20" t="s">
        <v>1431</v>
      </c>
      <c r="D231" s="20" t="s">
        <v>1432</v>
      </c>
      <c r="E231" s="20" t="s">
        <v>1433</v>
      </c>
      <c r="F231" s="20" t="s">
        <v>1434</v>
      </c>
      <c r="G231" s="20" t="n">
        <v>2865</v>
      </c>
      <c r="H231" s="20" t="s">
        <v>1090</v>
      </c>
      <c r="I231" s="20" t="s">
        <v>166</v>
      </c>
      <c r="J231" s="20" t="s">
        <v>132</v>
      </c>
      <c r="K231" s="22"/>
      <c r="L231" s="22"/>
      <c r="M231" s="20" t="s">
        <v>81</v>
      </c>
      <c r="N231" s="23" t="s">
        <v>92</v>
      </c>
      <c r="O231" s="23" t="s">
        <v>133</v>
      </c>
      <c r="P231" s="23" t="s">
        <v>84</v>
      </c>
      <c r="Q231" s="23" t="str">
        <f aca="false">IF(A231="UNDATED LEAD","UNRESOLVED",IF(M231="N","EXCEPTION",IF(A231="SKIP",IF(ISNUMBER(SEARCH("_skip_justification.pdf",N231)),"CLEAR - FILE VERIFIED","CLEAR ON EXPORT"),"CLEAR ON LOG")))</f>
        <v>CLEAR ON EXPORT</v>
      </c>
      <c r="R231" s="23" t="str">
        <f aca="false">IF(Q231="UNRESOLVED","PRIORITY 1 - OBTAIN FILE",IF(Q231&lt;&gt;"EXCEPTION","NONE",IF(OR(AND(A231="LOA AMENDMENT",P231="UNRESOLVED USE"),AND(A231="SKIP",OR(E231="WL-02618",E231="WL-03044",E231="WL-03390"))),"PRIORITY 1",IF(A231="SKIP","PRIORITY 2","PRIORITY 3"))))</f>
        <v>NONE</v>
      </c>
      <c r="S231" s="23"/>
      <c r="T231" s="23" t="s">
        <v>1435</v>
      </c>
      <c r="U231" s="23" t="s">
        <v>86</v>
      </c>
    </row>
    <row r="232" customFormat="false" ht="17.9" hidden="false" customHeight="false" outlineLevel="0" collapsed="false">
      <c r="A232" s="20" t="s">
        <v>73</v>
      </c>
      <c r="B232" s="21" t="n">
        <v>45917</v>
      </c>
      <c r="C232" s="20" t="s">
        <v>1436</v>
      </c>
      <c r="D232" s="20" t="s">
        <v>1437</v>
      </c>
      <c r="E232" s="20" t="s">
        <v>1438</v>
      </c>
      <c r="F232" s="20" t="s">
        <v>1439</v>
      </c>
      <c r="G232" s="20" t="n">
        <v>715</v>
      </c>
      <c r="H232" s="20" t="s">
        <v>1440</v>
      </c>
      <c r="I232" s="20" t="s">
        <v>119</v>
      </c>
      <c r="J232" s="20" t="s">
        <v>80</v>
      </c>
      <c r="K232" s="22"/>
      <c r="L232" s="22"/>
      <c r="M232" s="20" t="s">
        <v>81</v>
      </c>
      <c r="N232" s="23" t="s">
        <v>140</v>
      </c>
      <c r="O232" s="23" t="s">
        <v>83</v>
      </c>
      <c r="P232" s="23" t="s">
        <v>84</v>
      </c>
      <c r="Q232" s="23" t="str">
        <f aca="false">IF(A232="UNDATED LEAD","UNRESOLVED",IF(M232="N","EXCEPTION",IF(A232="SKIP",IF(ISNUMBER(SEARCH("_skip_justification.pdf",N232)),"CLEAR - FILE VERIFIED","CLEAR ON EXPORT"),"CLEAR ON LOG")))</f>
        <v>CLEAR ON EXPORT</v>
      </c>
      <c r="R232" s="23" t="str">
        <f aca="false">IF(Q232="UNRESOLVED","PRIORITY 1 - OBTAIN FILE",IF(Q232&lt;&gt;"EXCEPTION","NONE",IF(OR(AND(A232="LOA AMENDMENT",P232="UNRESOLVED USE"),AND(A232="SKIP",OR(E232="WL-02618",E232="WL-03044",E232="WL-03390"))),"PRIORITY 1",IF(A232="SKIP","PRIORITY 2","PRIORITY 3"))))</f>
        <v>NONE</v>
      </c>
      <c r="S232" s="23"/>
      <c r="T232" s="23" t="s">
        <v>1441</v>
      </c>
      <c r="U232" s="23" t="s">
        <v>86</v>
      </c>
    </row>
    <row r="233" customFormat="false" ht="17.9" hidden="false" customHeight="false" outlineLevel="0" collapsed="false">
      <c r="A233" s="20" t="s">
        <v>73</v>
      </c>
      <c r="B233" s="21" t="n">
        <v>45917</v>
      </c>
      <c r="C233" s="20" t="s">
        <v>1442</v>
      </c>
      <c r="D233" s="20" t="s">
        <v>1443</v>
      </c>
      <c r="E233" s="20" t="s">
        <v>1444</v>
      </c>
      <c r="F233" s="20" t="s">
        <v>1445</v>
      </c>
      <c r="G233" s="20" t="n">
        <v>1428</v>
      </c>
      <c r="H233" s="20" t="s">
        <v>227</v>
      </c>
      <c r="I233" s="20" t="s">
        <v>166</v>
      </c>
      <c r="J233" s="20" t="s">
        <v>80</v>
      </c>
      <c r="K233" s="22"/>
      <c r="L233" s="22"/>
      <c r="M233" s="20" t="s">
        <v>81</v>
      </c>
      <c r="N233" s="23" t="s">
        <v>140</v>
      </c>
      <c r="O233" s="23" t="s">
        <v>83</v>
      </c>
      <c r="P233" s="23" t="s">
        <v>84</v>
      </c>
      <c r="Q233" s="23" t="str">
        <f aca="false">IF(A233="UNDATED LEAD","UNRESOLVED",IF(M233="N","EXCEPTION",IF(A233="SKIP",IF(ISNUMBER(SEARCH("_skip_justification.pdf",N233)),"CLEAR - FILE VERIFIED","CLEAR ON EXPORT"),"CLEAR ON LOG")))</f>
        <v>CLEAR ON EXPORT</v>
      </c>
      <c r="R233" s="23" t="str">
        <f aca="false">IF(Q233="UNRESOLVED","PRIORITY 1 - OBTAIN FILE",IF(Q233&lt;&gt;"EXCEPTION","NONE",IF(OR(AND(A233="LOA AMENDMENT",P233="UNRESOLVED USE"),AND(A233="SKIP",OR(E233="WL-02618",E233="WL-03044",E233="WL-03390"))),"PRIORITY 1",IF(A233="SKIP","PRIORITY 2","PRIORITY 3"))))</f>
        <v>NONE</v>
      </c>
      <c r="S233" s="23"/>
      <c r="T233" s="23" t="s">
        <v>1446</v>
      </c>
      <c r="U233" s="23" t="s">
        <v>86</v>
      </c>
    </row>
    <row r="234" customFormat="false" ht="17.9" hidden="false" customHeight="false" outlineLevel="0" collapsed="false">
      <c r="A234" s="20" t="s">
        <v>73</v>
      </c>
      <c r="B234" s="21" t="n">
        <v>45919</v>
      </c>
      <c r="C234" s="20" t="s">
        <v>1447</v>
      </c>
      <c r="D234" s="20" t="s">
        <v>1448</v>
      </c>
      <c r="E234" s="20" t="s">
        <v>1449</v>
      </c>
      <c r="F234" s="20" t="s">
        <v>1450</v>
      </c>
      <c r="G234" s="20" t="n">
        <v>1890</v>
      </c>
      <c r="H234" s="20" t="s">
        <v>1451</v>
      </c>
      <c r="I234" s="20" t="s">
        <v>109</v>
      </c>
      <c r="J234" s="20" t="s">
        <v>100</v>
      </c>
      <c r="K234" s="22"/>
      <c r="L234" s="22"/>
      <c r="M234" s="20" t="s">
        <v>81</v>
      </c>
      <c r="N234" s="23" t="s">
        <v>92</v>
      </c>
      <c r="O234" s="23" t="s">
        <v>102</v>
      </c>
      <c r="P234" s="23" t="s">
        <v>84</v>
      </c>
      <c r="Q234" s="23" t="str">
        <f aca="false">IF(A234="UNDATED LEAD","UNRESOLVED",IF(M234="N","EXCEPTION",IF(A234="SKIP",IF(ISNUMBER(SEARCH("_skip_justification.pdf",N234)),"CLEAR - FILE VERIFIED","CLEAR ON EXPORT"),"CLEAR ON LOG")))</f>
        <v>CLEAR ON EXPORT</v>
      </c>
      <c r="R234" s="23" t="str">
        <f aca="false">IF(Q234="UNRESOLVED","PRIORITY 1 - OBTAIN FILE",IF(Q234&lt;&gt;"EXCEPTION","NONE",IF(OR(AND(A234="LOA AMENDMENT",P234="UNRESOLVED USE"),AND(A234="SKIP",OR(E234="WL-02618",E234="WL-03044",E234="WL-03390"))),"PRIORITY 1",IF(A234="SKIP","PRIORITY 2","PRIORITY 3"))))</f>
        <v>NONE</v>
      </c>
      <c r="S234" s="23"/>
      <c r="T234" s="23" t="s">
        <v>1452</v>
      </c>
      <c r="U234" s="23" t="s">
        <v>86</v>
      </c>
    </row>
    <row r="235" customFormat="false" ht="17.9" hidden="false" customHeight="false" outlineLevel="0" collapsed="false">
      <c r="A235" s="20" t="s">
        <v>73</v>
      </c>
      <c r="B235" s="21" t="n">
        <v>45920</v>
      </c>
      <c r="C235" s="20" t="s">
        <v>1453</v>
      </c>
      <c r="D235" s="20" t="s">
        <v>1454</v>
      </c>
      <c r="E235" s="20" t="s">
        <v>1455</v>
      </c>
      <c r="F235" s="20" t="s">
        <v>1456</v>
      </c>
      <c r="G235" s="20" t="n">
        <v>1153</v>
      </c>
      <c r="H235" s="20" t="s">
        <v>301</v>
      </c>
      <c r="I235" s="20" t="s">
        <v>79</v>
      </c>
      <c r="J235" s="20" t="s">
        <v>147</v>
      </c>
      <c r="K235" s="22"/>
      <c r="L235" s="22"/>
      <c r="M235" s="20" t="s">
        <v>81</v>
      </c>
      <c r="N235" s="23" t="s">
        <v>92</v>
      </c>
      <c r="O235" s="23" t="s">
        <v>148</v>
      </c>
      <c r="P235" s="23" t="s">
        <v>84</v>
      </c>
      <c r="Q235" s="23" t="str">
        <f aca="false">IF(A235="UNDATED LEAD","UNRESOLVED",IF(M235="N","EXCEPTION",IF(A235="SKIP",IF(ISNUMBER(SEARCH("_skip_justification.pdf",N235)),"CLEAR - FILE VERIFIED","CLEAR ON EXPORT"),"CLEAR ON LOG")))</f>
        <v>CLEAR ON EXPORT</v>
      </c>
      <c r="R235" s="23" t="str">
        <f aca="false">IF(Q235="UNRESOLVED","PRIORITY 1 - OBTAIN FILE",IF(Q235&lt;&gt;"EXCEPTION","NONE",IF(OR(AND(A235="LOA AMENDMENT",P235="UNRESOLVED USE"),AND(A235="SKIP",OR(E235="WL-02618",E235="WL-03044",E235="WL-03390"))),"PRIORITY 1",IF(A235="SKIP","PRIORITY 2","PRIORITY 3"))))</f>
        <v>NONE</v>
      </c>
      <c r="S235" s="23"/>
      <c r="T235" s="23" t="s">
        <v>1457</v>
      </c>
      <c r="U235" s="23" t="s">
        <v>86</v>
      </c>
    </row>
    <row r="236" customFormat="false" ht="17.9" hidden="false" customHeight="false" outlineLevel="0" collapsed="false">
      <c r="A236" s="20" t="s">
        <v>73</v>
      </c>
      <c r="B236" s="21" t="n">
        <v>45920</v>
      </c>
      <c r="C236" s="20" t="s">
        <v>1458</v>
      </c>
      <c r="D236" s="20" t="s">
        <v>1459</v>
      </c>
      <c r="E236" s="20" t="s">
        <v>1460</v>
      </c>
      <c r="F236" s="20" t="s">
        <v>1461</v>
      </c>
      <c r="G236" s="20" t="n">
        <v>913</v>
      </c>
      <c r="H236" s="20" t="s">
        <v>1462</v>
      </c>
      <c r="I236" s="20" t="s">
        <v>109</v>
      </c>
      <c r="J236" s="20" t="s">
        <v>147</v>
      </c>
      <c r="K236" s="22"/>
      <c r="L236" s="22"/>
      <c r="M236" s="20" t="s">
        <v>81</v>
      </c>
      <c r="N236" s="23" t="s">
        <v>82</v>
      </c>
      <c r="O236" s="23" t="s">
        <v>148</v>
      </c>
      <c r="P236" s="23" t="s">
        <v>84</v>
      </c>
      <c r="Q236" s="23" t="str">
        <f aca="false">IF(A236="UNDATED LEAD","UNRESOLVED",IF(M236="N","EXCEPTION",IF(A236="SKIP",IF(ISNUMBER(SEARCH("_skip_justification.pdf",N236)),"CLEAR - FILE VERIFIED","CLEAR ON EXPORT"),"CLEAR ON LOG")))</f>
        <v>CLEAR ON EXPORT</v>
      </c>
      <c r="R236" s="23" t="str">
        <f aca="false">IF(Q236="UNRESOLVED","PRIORITY 1 - OBTAIN FILE",IF(Q236&lt;&gt;"EXCEPTION","NONE",IF(OR(AND(A236="LOA AMENDMENT",P236="UNRESOLVED USE"),AND(A236="SKIP",OR(E236="WL-02618",E236="WL-03044",E236="WL-03390"))),"PRIORITY 1",IF(A236="SKIP","PRIORITY 2","PRIORITY 3"))))</f>
        <v>NONE</v>
      </c>
      <c r="S236" s="23"/>
      <c r="T236" s="23" t="s">
        <v>1463</v>
      </c>
      <c r="U236" s="23" t="s">
        <v>86</v>
      </c>
    </row>
    <row r="237" customFormat="false" ht="17.9" hidden="false" customHeight="false" outlineLevel="0" collapsed="false">
      <c r="A237" s="20" t="s">
        <v>73</v>
      </c>
      <c r="B237" s="21" t="n">
        <v>45922</v>
      </c>
      <c r="C237" s="20" t="s">
        <v>1464</v>
      </c>
      <c r="D237" s="20" t="s">
        <v>1465</v>
      </c>
      <c r="E237" s="20" t="s">
        <v>1466</v>
      </c>
      <c r="F237" s="20" t="s">
        <v>1467</v>
      </c>
      <c r="G237" s="20" t="n">
        <v>2861</v>
      </c>
      <c r="H237" s="20" t="s">
        <v>1468</v>
      </c>
      <c r="I237" s="20" t="s">
        <v>99</v>
      </c>
      <c r="J237" s="20" t="s">
        <v>100</v>
      </c>
      <c r="K237" s="22"/>
      <c r="L237" s="22"/>
      <c r="M237" s="20" t="s">
        <v>81</v>
      </c>
      <c r="N237" s="23" t="s">
        <v>140</v>
      </c>
      <c r="O237" s="23" t="s">
        <v>102</v>
      </c>
      <c r="P237" s="23" t="s">
        <v>84</v>
      </c>
      <c r="Q237" s="23" t="str">
        <f aca="false">IF(A237="UNDATED LEAD","UNRESOLVED",IF(M237="N","EXCEPTION",IF(A237="SKIP",IF(ISNUMBER(SEARCH("_skip_justification.pdf",N237)),"CLEAR - FILE VERIFIED","CLEAR ON EXPORT"),"CLEAR ON LOG")))</f>
        <v>CLEAR ON EXPORT</v>
      </c>
      <c r="R237" s="23" t="str">
        <f aca="false">IF(Q237="UNRESOLVED","PRIORITY 1 - OBTAIN FILE",IF(Q237&lt;&gt;"EXCEPTION","NONE",IF(OR(AND(A237="LOA AMENDMENT",P237="UNRESOLVED USE"),AND(A237="SKIP",OR(E237="WL-02618",E237="WL-03044",E237="WL-03390"))),"PRIORITY 1",IF(A237="SKIP","PRIORITY 2","PRIORITY 3"))))</f>
        <v>NONE</v>
      </c>
      <c r="S237" s="23"/>
      <c r="T237" s="23" t="s">
        <v>1469</v>
      </c>
      <c r="U237" s="23" t="s">
        <v>86</v>
      </c>
    </row>
    <row r="238" customFormat="false" ht="17.9" hidden="false" customHeight="false" outlineLevel="0" collapsed="false">
      <c r="A238" s="20" t="s">
        <v>73</v>
      </c>
      <c r="B238" s="21" t="n">
        <v>45923</v>
      </c>
      <c r="C238" s="20" t="s">
        <v>1470</v>
      </c>
      <c r="D238" s="20" t="s">
        <v>1471</v>
      </c>
      <c r="E238" s="20" t="s">
        <v>1472</v>
      </c>
      <c r="F238" s="20" t="s">
        <v>1473</v>
      </c>
      <c r="G238" s="20" t="n">
        <v>1445</v>
      </c>
      <c r="H238" s="20" t="s">
        <v>1474</v>
      </c>
      <c r="I238" s="20" t="s">
        <v>166</v>
      </c>
      <c r="J238" s="20" t="s">
        <v>80</v>
      </c>
      <c r="K238" s="22"/>
      <c r="L238" s="22"/>
      <c r="M238" s="20" t="s">
        <v>81</v>
      </c>
      <c r="N238" s="23" t="s">
        <v>101</v>
      </c>
      <c r="O238" s="23" t="s">
        <v>83</v>
      </c>
      <c r="P238" s="23" t="s">
        <v>84</v>
      </c>
      <c r="Q238" s="23" t="str">
        <f aca="false">IF(A238="UNDATED LEAD","UNRESOLVED",IF(M238="N","EXCEPTION",IF(A238="SKIP",IF(ISNUMBER(SEARCH("_skip_justification.pdf",N238)),"CLEAR - FILE VERIFIED","CLEAR ON EXPORT"),"CLEAR ON LOG")))</f>
        <v>CLEAR ON EXPORT</v>
      </c>
      <c r="R238" s="23" t="str">
        <f aca="false">IF(Q238="UNRESOLVED","PRIORITY 1 - OBTAIN FILE",IF(Q238&lt;&gt;"EXCEPTION","NONE",IF(OR(AND(A238="LOA AMENDMENT",P238="UNRESOLVED USE"),AND(A238="SKIP",OR(E238="WL-02618",E238="WL-03044",E238="WL-03390"))),"PRIORITY 1",IF(A238="SKIP","PRIORITY 2","PRIORITY 3"))))</f>
        <v>NONE</v>
      </c>
      <c r="S238" s="23"/>
      <c r="T238" s="23" t="s">
        <v>1475</v>
      </c>
      <c r="U238" s="23" t="s">
        <v>86</v>
      </c>
    </row>
    <row r="239" customFormat="false" ht="17.9" hidden="false" customHeight="false" outlineLevel="0" collapsed="false">
      <c r="A239" s="20" t="s">
        <v>73</v>
      </c>
      <c r="B239" s="21" t="n">
        <v>45932</v>
      </c>
      <c r="C239" s="20" t="s">
        <v>1476</v>
      </c>
      <c r="D239" s="20" t="s">
        <v>1477</v>
      </c>
      <c r="E239" s="20" t="s">
        <v>1478</v>
      </c>
      <c r="F239" s="20" t="s">
        <v>1479</v>
      </c>
      <c r="G239" s="20" t="n">
        <v>1676</v>
      </c>
      <c r="H239" s="20" t="s">
        <v>1480</v>
      </c>
      <c r="I239" s="20" t="s">
        <v>109</v>
      </c>
      <c r="J239" s="20" t="s">
        <v>80</v>
      </c>
      <c r="K239" s="22"/>
      <c r="L239" s="22"/>
      <c r="M239" s="20" t="s">
        <v>81</v>
      </c>
      <c r="N239" s="23" t="s">
        <v>101</v>
      </c>
      <c r="O239" s="23" t="s">
        <v>83</v>
      </c>
      <c r="P239" s="23" t="s">
        <v>84</v>
      </c>
      <c r="Q239" s="23" t="str">
        <f aca="false">IF(A239="UNDATED LEAD","UNRESOLVED",IF(M239="N","EXCEPTION",IF(A239="SKIP",IF(ISNUMBER(SEARCH("_skip_justification.pdf",N239)),"CLEAR - FILE VERIFIED","CLEAR ON EXPORT"),"CLEAR ON LOG")))</f>
        <v>CLEAR ON EXPORT</v>
      </c>
      <c r="R239" s="23" t="str">
        <f aca="false">IF(Q239="UNRESOLVED","PRIORITY 1 - OBTAIN FILE",IF(Q239&lt;&gt;"EXCEPTION","NONE",IF(OR(AND(A239="LOA AMENDMENT",P239="UNRESOLVED USE"),AND(A239="SKIP",OR(E239="WL-02618",E239="WL-03044",E239="WL-03390"))),"PRIORITY 1",IF(A239="SKIP","PRIORITY 2","PRIORITY 3"))))</f>
        <v>NONE</v>
      </c>
      <c r="S239" s="23"/>
      <c r="T239" s="23" t="s">
        <v>1481</v>
      </c>
      <c r="U239" s="23" t="s">
        <v>86</v>
      </c>
    </row>
    <row r="240" customFormat="false" ht="17.9" hidden="false" customHeight="false" outlineLevel="0" collapsed="false">
      <c r="A240" s="20" t="s">
        <v>73</v>
      </c>
      <c r="B240" s="21" t="n">
        <v>45933</v>
      </c>
      <c r="C240" s="20" t="s">
        <v>1482</v>
      </c>
      <c r="D240" s="20" t="s">
        <v>1483</v>
      </c>
      <c r="E240" s="20" t="s">
        <v>1484</v>
      </c>
      <c r="F240" s="20" t="s">
        <v>1485</v>
      </c>
      <c r="G240" s="20" t="n">
        <v>2750</v>
      </c>
      <c r="H240" s="20" t="s">
        <v>1486</v>
      </c>
      <c r="I240" s="20" t="s">
        <v>119</v>
      </c>
      <c r="J240" s="20" t="s">
        <v>80</v>
      </c>
      <c r="K240" s="22"/>
      <c r="L240" s="22"/>
      <c r="M240" s="20" t="s">
        <v>81</v>
      </c>
      <c r="N240" s="23" t="s">
        <v>101</v>
      </c>
      <c r="O240" s="23" t="s">
        <v>83</v>
      </c>
      <c r="P240" s="23" t="s">
        <v>84</v>
      </c>
      <c r="Q240" s="23" t="str">
        <f aca="false">IF(A240="UNDATED LEAD","UNRESOLVED",IF(M240="N","EXCEPTION",IF(A240="SKIP",IF(ISNUMBER(SEARCH("_skip_justification.pdf",N240)),"CLEAR - FILE VERIFIED","CLEAR ON EXPORT"),"CLEAR ON LOG")))</f>
        <v>CLEAR ON EXPORT</v>
      </c>
      <c r="R240" s="23" t="str">
        <f aca="false">IF(Q240="UNRESOLVED","PRIORITY 1 - OBTAIN FILE",IF(Q240&lt;&gt;"EXCEPTION","NONE",IF(OR(AND(A240="LOA AMENDMENT",P240="UNRESOLVED USE"),AND(A240="SKIP",OR(E240="WL-02618",E240="WL-03044",E240="WL-03390"))),"PRIORITY 1",IF(A240="SKIP","PRIORITY 2","PRIORITY 3"))))</f>
        <v>NONE</v>
      </c>
      <c r="S240" s="23"/>
      <c r="T240" s="23" t="s">
        <v>1487</v>
      </c>
      <c r="U240" s="23" t="s">
        <v>86</v>
      </c>
    </row>
    <row r="241" customFormat="false" ht="17.9" hidden="false" customHeight="false" outlineLevel="0" collapsed="false">
      <c r="A241" s="20" t="s">
        <v>73</v>
      </c>
      <c r="B241" s="21" t="n">
        <v>45937</v>
      </c>
      <c r="C241" s="20" t="s">
        <v>1488</v>
      </c>
      <c r="D241" s="20" t="s">
        <v>1489</v>
      </c>
      <c r="E241" s="20" t="s">
        <v>1490</v>
      </c>
      <c r="F241" s="20" t="s">
        <v>1491</v>
      </c>
      <c r="G241" s="20" t="n">
        <v>2455</v>
      </c>
      <c r="H241" s="20" t="s">
        <v>1492</v>
      </c>
      <c r="I241" s="20" t="s">
        <v>166</v>
      </c>
      <c r="J241" s="20" t="s">
        <v>80</v>
      </c>
      <c r="K241" s="22"/>
      <c r="L241" s="22"/>
      <c r="M241" s="20" t="s">
        <v>81</v>
      </c>
      <c r="N241" s="23" t="s">
        <v>82</v>
      </c>
      <c r="O241" s="23" t="s">
        <v>83</v>
      </c>
      <c r="P241" s="23" t="s">
        <v>84</v>
      </c>
      <c r="Q241" s="23" t="str">
        <f aca="false">IF(A241="UNDATED LEAD","UNRESOLVED",IF(M241="N","EXCEPTION",IF(A241="SKIP",IF(ISNUMBER(SEARCH("_skip_justification.pdf",N241)),"CLEAR - FILE VERIFIED","CLEAR ON EXPORT"),"CLEAR ON LOG")))</f>
        <v>CLEAR ON EXPORT</v>
      </c>
      <c r="R241" s="23" t="str">
        <f aca="false">IF(Q241="UNRESOLVED","PRIORITY 1 - OBTAIN FILE",IF(Q241&lt;&gt;"EXCEPTION","NONE",IF(OR(AND(A241="LOA AMENDMENT",P241="UNRESOLVED USE"),AND(A241="SKIP",OR(E241="WL-02618",E241="WL-03044",E241="WL-03390"))),"PRIORITY 1",IF(A241="SKIP","PRIORITY 2","PRIORITY 3"))))</f>
        <v>NONE</v>
      </c>
      <c r="S241" s="23"/>
      <c r="T241" s="23" t="s">
        <v>1493</v>
      </c>
      <c r="U241" s="23" t="s">
        <v>86</v>
      </c>
    </row>
    <row r="242" customFormat="false" ht="17.9" hidden="false" customHeight="false" outlineLevel="0" collapsed="false">
      <c r="A242" s="20" t="s">
        <v>73</v>
      </c>
      <c r="B242" s="21" t="n">
        <v>45941</v>
      </c>
      <c r="C242" s="20" t="s">
        <v>1494</v>
      </c>
      <c r="D242" s="20" t="s">
        <v>1495</v>
      </c>
      <c r="E242" s="20" t="s">
        <v>190</v>
      </c>
      <c r="F242" s="20" t="s">
        <v>191</v>
      </c>
      <c r="G242" s="20" t="n">
        <v>89</v>
      </c>
      <c r="H242" s="20" t="s">
        <v>1496</v>
      </c>
      <c r="I242" s="20" t="s">
        <v>166</v>
      </c>
      <c r="J242" s="20" t="s">
        <v>80</v>
      </c>
      <c r="K242" s="22"/>
      <c r="L242" s="22"/>
      <c r="M242" s="20" t="s">
        <v>110</v>
      </c>
      <c r="N242" s="23" t="s">
        <v>1285</v>
      </c>
      <c r="O242" s="23" t="s">
        <v>83</v>
      </c>
      <c r="P242" s="23" t="s">
        <v>84</v>
      </c>
      <c r="Q242" s="23" t="str">
        <f aca="false">IF(A242="UNDATED LEAD","UNRESOLVED",IF(M242="N","EXCEPTION",IF(A242="SKIP",IF(ISNUMBER(SEARCH("_skip_justification.pdf",N242)),"CLEAR - FILE VERIFIED","CLEAR ON EXPORT"),"CLEAR ON LOG")))</f>
        <v>EXCEPTION</v>
      </c>
      <c r="R242" s="23" t="str">
        <f aca="false">IF(Q242="UNRESOLVED","PRIORITY 1 - OBTAIN FILE",IF(Q242&lt;&gt;"EXCEPTION","NONE",IF(OR(AND(A242="LOA AMENDMENT",P242="UNRESOLVED USE"),AND(A242="SKIP",OR(E242="WL-02618",E242="WL-03044",E242="WL-03390"))),"PRIORITY 1",IF(A242="SKIP","PRIORITY 2","PRIORITY 3"))))</f>
        <v>PRIORITY 2</v>
      </c>
      <c r="S242" s="23" t="s">
        <v>1497</v>
      </c>
      <c r="T242" s="23" t="s">
        <v>1498</v>
      </c>
      <c r="U242" s="23" t="s">
        <v>86</v>
      </c>
    </row>
    <row r="243" customFormat="false" ht="17.9" hidden="false" customHeight="false" outlineLevel="0" collapsed="false">
      <c r="A243" s="20" t="s">
        <v>73</v>
      </c>
      <c r="B243" s="21" t="n">
        <v>45943</v>
      </c>
      <c r="C243" s="20" t="s">
        <v>1499</v>
      </c>
      <c r="D243" s="20" t="s">
        <v>1500</v>
      </c>
      <c r="E243" s="20" t="s">
        <v>1501</v>
      </c>
      <c r="F243" s="20" t="s">
        <v>1502</v>
      </c>
      <c r="G243" s="20" t="n">
        <v>128</v>
      </c>
      <c r="H243" s="20" t="s">
        <v>1503</v>
      </c>
      <c r="I243" s="20" t="s">
        <v>79</v>
      </c>
      <c r="J243" s="20" t="s">
        <v>132</v>
      </c>
      <c r="K243" s="22"/>
      <c r="L243" s="22"/>
      <c r="M243" s="20" t="s">
        <v>81</v>
      </c>
      <c r="N243" s="23" t="s">
        <v>82</v>
      </c>
      <c r="O243" s="23" t="s">
        <v>133</v>
      </c>
      <c r="P243" s="23" t="s">
        <v>84</v>
      </c>
      <c r="Q243" s="23" t="str">
        <f aca="false">IF(A243="UNDATED LEAD","UNRESOLVED",IF(M243="N","EXCEPTION",IF(A243="SKIP",IF(ISNUMBER(SEARCH("_skip_justification.pdf",N243)),"CLEAR - FILE VERIFIED","CLEAR ON EXPORT"),"CLEAR ON LOG")))</f>
        <v>CLEAR ON EXPORT</v>
      </c>
      <c r="R243" s="23" t="str">
        <f aca="false">IF(Q243="UNRESOLVED","PRIORITY 1 - OBTAIN FILE",IF(Q243&lt;&gt;"EXCEPTION","NONE",IF(OR(AND(A243="LOA AMENDMENT",P243="UNRESOLVED USE"),AND(A243="SKIP",OR(E243="WL-02618",E243="WL-03044",E243="WL-03390"))),"PRIORITY 1",IF(A243="SKIP","PRIORITY 2","PRIORITY 3"))))</f>
        <v>NONE</v>
      </c>
      <c r="S243" s="23"/>
      <c r="T243" s="23" t="s">
        <v>1504</v>
      </c>
      <c r="U243" s="23" t="s">
        <v>86</v>
      </c>
    </row>
    <row r="244" customFormat="false" ht="17.9" hidden="false" customHeight="false" outlineLevel="0" collapsed="false">
      <c r="A244" s="20" t="s">
        <v>73</v>
      </c>
      <c r="B244" s="21" t="n">
        <v>45943</v>
      </c>
      <c r="C244" s="20" t="s">
        <v>1505</v>
      </c>
      <c r="D244" s="20" t="s">
        <v>1506</v>
      </c>
      <c r="E244" s="20" t="s">
        <v>1507</v>
      </c>
      <c r="F244" s="20" t="s">
        <v>1508</v>
      </c>
      <c r="G244" s="20" t="n">
        <v>1711</v>
      </c>
      <c r="H244" s="20" t="s">
        <v>1054</v>
      </c>
      <c r="I244" s="20" t="s">
        <v>79</v>
      </c>
      <c r="J244" s="20" t="s">
        <v>132</v>
      </c>
      <c r="K244" s="22"/>
      <c r="L244" s="22"/>
      <c r="M244" s="20" t="s">
        <v>81</v>
      </c>
      <c r="N244" s="23" t="s">
        <v>82</v>
      </c>
      <c r="O244" s="23" t="s">
        <v>133</v>
      </c>
      <c r="P244" s="23" t="s">
        <v>84</v>
      </c>
      <c r="Q244" s="23" t="str">
        <f aca="false">IF(A244="UNDATED LEAD","UNRESOLVED",IF(M244="N","EXCEPTION",IF(A244="SKIP",IF(ISNUMBER(SEARCH("_skip_justification.pdf",N244)),"CLEAR - FILE VERIFIED","CLEAR ON EXPORT"),"CLEAR ON LOG")))</f>
        <v>CLEAR ON EXPORT</v>
      </c>
      <c r="R244" s="23" t="str">
        <f aca="false">IF(Q244="UNRESOLVED","PRIORITY 1 - OBTAIN FILE",IF(Q244&lt;&gt;"EXCEPTION","NONE",IF(OR(AND(A244="LOA AMENDMENT",P244="UNRESOLVED USE"),AND(A244="SKIP",OR(E244="WL-02618",E244="WL-03044",E244="WL-03390"))),"PRIORITY 1",IF(A244="SKIP","PRIORITY 2","PRIORITY 3"))))</f>
        <v>NONE</v>
      </c>
      <c r="S244" s="23"/>
      <c r="T244" s="23" t="s">
        <v>1509</v>
      </c>
      <c r="U244" s="23" t="s">
        <v>86</v>
      </c>
    </row>
    <row r="245" customFormat="false" ht="17.9" hidden="false" customHeight="false" outlineLevel="0" collapsed="false">
      <c r="A245" s="20" t="s">
        <v>73</v>
      </c>
      <c r="B245" s="21" t="n">
        <v>45943</v>
      </c>
      <c r="C245" s="20" t="s">
        <v>1510</v>
      </c>
      <c r="D245" s="20" t="s">
        <v>1511</v>
      </c>
      <c r="E245" s="20" t="s">
        <v>1512</v>
      </c>
      <c r="F245" s="20" t="s">
        <v>1513</v>
      </c>
      <c r="G245" s="20" t="n">
        <v>1448</v>
      </c>
      <c r="H245" s="20" t="s">
        <v>1514</v>
      </c>
      <c r="I245" s="20" t="s">
        <v>79</v>
      </c>
      <c r="J245" s="20" t="s">
        <v>80</v>
      </c>
      <c r="K245" s="22"/>
      <c r="L245" s="22"/>
      <c r="M245" s="20" t="s">
        <v>81</v>
      </c>
      <c r="N245" s="23" t="s">
        <v>101</v>
      </c>
      <c r="O245" s="23" t="s">
        <v>83</v>
      </c>
      <c r="P245" s="23" t="s">
        <v>84</v>
      </c>
      <c r="Q245" s="23" t="str">
        <f aca="false">IF(A245="UNDATED LEAD","UNRESOLVED",IF(M245="N","EXCEPTION",IF(A245="SKIP",IF(ISNUMBER(SEARCH("_skip_justification.pdf",N245)),"CLEAR - FILE VERIFIED","CLEAR ON EXPORT"),"CLEAR ON LOG")))</f>
        <v>CLEAR ON EXPORT</v>
      </c>
      <c r="R245" s="23" t="str">
        <f aca="false">IF(Q245="UNRESOLVED","PRIORITY 1 - OBTAIN FILE",IF(Q245&lt;&gt;"EXCEPTION","NONE",IF(OR(AND(A245="LOA AMENDMENT",P245="UNRESOLVED USE"),AND(A245="SKIP",OR(E245="WL-02618",E245="WL-03044",E245="WL-03390"))),"PRIORITY 1",IF(A245="SKIP","PRIORITY 2","PRIORITY 3"))))</f>
        <v>NONE</v>
      </c>
      <c r="S245" s="23"/>
      <c r="T245" s="23" t="s">
        <v>1515</v>
      </c>
      <c r="U245" s="23" t="s">
        <v>86</v>
      </c>
    </row>
    <row r="246" customFormat="false" ht="17.9" hidden="false" customHeight="false" outlineLevel="0" collapsed="false">
      <c r="A246" s="20" t="s">
        <v>73</v>
      </c>
      <c r="B246" s="21" t="n">
        <v>45953</v>
      </c>
      <c r="C246" s="20" t="s">
        <v>1516</v>
      </c>
      <c r="D246" s="20" t="s">
        <v>1517</v>
      </c>
      <c r="E246" s="20" t="s">
        <v>1518</v>
      </c>
      <c r="F246" s="20" t="s">
        <v>1519</v>
      </c>
      <c r="G246" s="20" t="n">
        <v>645</v>
      </c>
      <c r="H246" s="20" t="s">
        <v>1520</v>
      </c>
      <c r="I246" s="20" t="s">
        <v>119</v>
      </c>
      <c r="J246" s="20" t="s">
        <v>132</v>
      </c>
      <c r="K246" s="22"/>
      <c r="L246" s="22"/>
      <c r="M246" s="20" t="s">
        <v>81</v>
      </c>
      <c r="N246" s="23" t="s">
        <v>82</v>
      </c>
      <c r="O246" s="23" t="s">
        <v>133</v>
      </c>
      <c r="P246" s="23" t="s">
        <v>84</v>
      </c>
      <c r="Q246" s="23" t="str">
        <f aca="false">IF(A246="UNDATED LEAD","UNRESOLVED",IF(M246="N","EXCEPTION",IF(A246="SKIP",IF(ISNUMBER(SEARCH("_skip_justification.pdf",N246)),"CLEAR - FILE VERIFIED","CLEAR ON EXPORT"),"CLEAR ON LOG")))</f>
        <v>CLEAR ON EXPORT</v>
      </c>
      <c r="R246" s="23" t="str">
        <f aca="false">IF(Q246="UNRESOLVED","PRIORITY 1 - OBTAIN FILE",IF(Q246&lt;&gt;"EXCEPTION","NONE",IF(OR(AND(A246="LOA AMENDMENT",P246="UNRESOLVED USE"),AND(A246="SKIP",OR(E246="WL-02618",E246="WL-03044",E246="WL-03390"))),"PRIORITY 1",IF(A246="SKIP","PRIORITY 2","PRIORITY 3"))))</f>
        <v>NONE</v>
      </c>
      <c r="S246" s="23"/>
      <c r="T246" s="23" t="s">
        <v>1521</v>
      </c>
      <c r="U246" s="23" t="s">
        <v>86</v>
      </c>
    </row>
    <row r="247" customFormat="false" ht="17.9" hidden="false" customHeight="false" outlineLevel="0" collapsed="false">
      <c r="A247" s="20" t="s">
        <v>73</v>
      </c>
      <c r="B247" s="21" t="n">
        <v>45956</v>
      </c>
      <c r="C247" s="20" t="s">
        <v>1522</v>
      </c>
      <c r="D247" s="20" t="s">
        <v>1523</v>
      </c>
      <c r="E247" s="20" t="s">
        <v>1524</v>
      </c>
      <c r="F247" s="20" t="s">
        <v>1525</v>
      </c>
      <c r="G247" s="20" t="n">
        <v>1284</v>
      </c>
      <c r="H247" s="20" t="s">
        <v>1526</v>
      </c>
      <c r="I247" s="20" t="s">
        <v>166</v>
      </c>
      <c r="J247" s="20" t="s">
        <v>80</v>
      </c>
      <c r="K247" s="22"/>
      <c r="L247" s="22"/>
      <c r="M247" s="20" t="s">
        <v>81</v>
      </c>
      <c r="N247" s="23" t="s">
        <v>82</v>
      </c>
      <c r="O247" s="23" t="s">
        <v>83</v>
      </c>
      <c r="P247" s="23" t="s">
        <v>84</v>
      </c>
      <c r="Q247" s="23" t="str">
        <f aca="false">IF(A247="UNDATED LEAD","UNRESOLVED",IF(M247="N","EXCEPTION",IF(A247="SKIP",IF(ISNUMBER(SEARCH("_skip_justification.pdf",N247)),"CLEAR - FILE VERIFIED","CLEAR ON EXPORT"),"CLEAR ON LOG")))</f>
        <v>CLEAR ON EXPORT</v>
      </c>
      <c r="R247" s="23" t="str">
        <f aca="false">IF(Q247="UNRESOLVED","PRIORITY 1 - OBTAIN FILE",IF(Q247&lt;&gt;"EXCEPTION","NONE",IF(OR(AND(A247="LOA AMENDMENT",P247="UNRESOLVED USE"),AND(A247="SKIP",OR(E247="WL-02618",E247="WL-03044",E247="WL-03390"))),"PRIORITY 1",IF(A247="SKIP","PRIORITY 2","PRIORITY 3"))))</f>
        <v>NONE</v>
      </c>
      <c r="S247" s="23"/>
      <c r="T247" s="23" t="s">
        <v>1527</v>
      </c>
      <c r="U247" s="23" t="s">
        <v>86</v>
      </c>
    </row>
    <row r="248" customFormat="false" ht="17.9" hidden="false" customHeight="false" outlineLevel="0" collapsed="false">
      <c r="A248" s="20" t="s">
        <v>73</v>
      </c>
      <c r="B248" s="21" t="n">
        <v>45956</v>
      </c>
      <c r="C248" s="20" t="s">
        <v>1528</v>
      </c>
      <c r="D248" s="20" t="s">
        <v>1529</v>
      </c>
      <c r="E248" s="20" t="s">
        <v>397</v>
      </c>
      <c r="F248" s="20" t="s">
        <v>398</v>
      </c>
      <c r="G248" s="20" t="n">
        <v>2857</v>
      </c>
      <c r="H248" s="20" t="s">
        <v>1530</v>
      </c>
      <c r="I248" s="20" t="s">
        <v>79</v>
      </c>
      <c r="J248" s="20" t="s">
        <v>100</v>
      </c>
      <c r="K248" s="22"/>
      <c r="L248" s="22"/>
      <c r="M248" s="20" t="s">
        <v>81</v>
      </c>
      <c r="N248" s="23" t="s">
        <v>101</v>
      </c>
      <c r="O248" s="23" t="s">
        <v>102</v>
      </c>
      <c r="P248" s="23" t="s">
        <v>84</v>
      </c>
      <c r="Q248" s="23" t="str">
        <f aca="false">IF(A248="UNDATED LEAD","UNRESOLVED",IF(M248="N","EXCEPTION",IF(A248="SKIP",IF(ISNUMBER(SEARCH("_skip_justification.pdf",N248)),"CLEAR - FILE VERIFIED","CLEAR ON EXPORT"),"CLEAR ON LOG")))</f>
        <v>CLEAR ON EXPORT</v>
      </c>
      <c r="R248" s="23" t="str">
        <f aca="false">IF(Q248="UNRESOLVED","PRIORITY 1 - OBTAIN FILE",IF(Q248&lt;&gt;"EXCEPTION","NONE",IF(OR(AND(A248="LOA AMENDMENT",P248="UNRESOLVED USE"),AND(A248="SKIP",OR(E248="WL-02618",E248="WL-03044",E248="WL-03390"))),"PRIORITY 1",IF(A248="SKIP","PRIORITY 2","PRIORITY 3"))))</f>
        <v>NONE</v>
      </c>
      <c r="S248" s="23"/>
      <c r="T248" s="23" t="s">
        <v>1531</v>
      </c>
      <c r="U248" s="23" t="s">
        <v>86</v>
      </c>
    </row>
    <row r="249" customFormat="false" ht="17.9" hidden="false" customHeight="false" outlineLevel="0" collapsed="false">
      <c r="A249" s="20" t="s">
        <v>73</v>
      </c>
      <c r="B249" s="21" t="n">
        <v>45958</v>
      </c>
      <c r="C249" s="20" t="s">
        <v>1532</v>
      </c>
      <c r="D249" s="20" t="s">
        <v>1533</v>
      </c>
      <c r="E249" s="20" t="s">
        <v>1534</v>
      </c>
      <c r="F249" s="20" t="s">
        <v>1535</v>
      </c>
      <c r="G249" s="20" t="n">
        <v>1187</v>
      </c>
      <c r="H249" s="20" t="s">
        <v>1536</v>
      </c>
      <c r="I249" s="20" t="s">
        <v>166</v>
      </c>
      <c r="J249" s="20" t="s">
        <v>80</v>
      </c>
      <c r="K249" s="22"/>
      <c r="L249" s="22"/>
      <c r="M249" s="20" t="s">
        <v>81</v>
      </c>
      <c r="N249" s="23" t="s">
        <v>92</v>
      </c>
      <c r="O249" s="23" t="s">
        <v>83</v>
      </c>
      <c r="P249" s="23" t="s">
        <v>84</v>
      </c>
      <c r="Q249" s="23" t="str">
        <f aca="false">IF(A249="UNDATED LEAD","UNRESOLVED",IF(M249="N","EXCEPTION",IF(A249="SKIP",IF(ISNUMBER(SEARCH("_skip_justification.pdf",N249)),"CLEAR - FILE VERIFIED","CLEAR ON EXPORT"),"CLEAR ON LOG")))</f>
        <v>CLEAR ON EXPORT</v>
      </c>
      <c r="R249" s="23" t="str">
        <f aca="false">IF(Q249="UNRESOLVED","PRIORITY 1 - OBTAIN FILE",IF(Q249&lt;&gt;"EXCEPTION","NONE",IF(OR(AND(A249="LOA AMENDMENT",P249="UNRESOLVED USE"),AND(A249="SKIP",OR(E249="WL-02618",E249="WL-03044",E249="WL-03390"))),"PRIORITY 1",IF(A249="SKIP","PRIORITY 2","PRIORITY 3"))))</f>
        <v>NONE</v>
      </c>
      <c r="S249" s="23"/>
      <c r="T249" s="23" t="s">
        <v>1537</v>
      </c>
      <c r="U249" s="23" t="s">
        <v>86</v>
      </c>
    </row>
    <row r="250" customFormat="false" ht="17.9" hidden="false" customHeight="false" outlineLevel="0" collapsed="false">
      <c r="A250" s="20" t="s">
        <v>73</v>
      </c>
      <c r="B250" s="21" t="n">
        <v>45978</v>
      </c>
      <c r="C250" s="20" t="s">
        <v>1538</v>
      </c>
      <c r="D250" s="20" t="s">
        <v>1539</v>
      </c>
      <c r="E250" s="20" t="s">
        <v>1540</v>
      </c>
      <c r="F250" s="20" t="s">
        <v>1541</v>
      </c>
      <c r="G250" s="20" t="n">
        <v>1404</v>
      </c>
      <c r="H250" s="20" t="s">
        <v>1542</v>
      </c>
      <c r="I250" s="20" t="s">
        <v>99</v>
      </c>
      <c r="J250" s="20" t="s">
        <v>100</v>
      </c>
      <c r="K250" s="22"/>
      <c r="L250" s="22"/>
      <c r="M250" s="20" t="s">
        <v>81</v>
      </c>
      <c r="N250" s="23" t="s">
        <v>101</v>
      </c>
      <c r="O250" s="23" t="s">
        <v>102</v>
      </c>
      <c r="P250" s="23" t="s">
        <v>84</v>
      </c>
      <c r="Q250" s="23" t="str">
        <f aca="false">IF(A250="UNDATED LEAD","UNRESOLVED",IF(M250="N","EXCEPTION",IF(A250="SKIP",IF(ISNUMBER(SEARCH("_skip_justification.pdf",N250)),"CLEAR - FILE VERIFIED","CLEAR ON EXPORT"),"CLEAR ON LOG")))</f>
        <v>CLEAR ON EXPORT</v>
      </c>
      <c r="R250" s="23" t="str">
        <f aca="false">IF(Q250="UNRESOLVED","PRIORITY 1 - OBTAIN FILE",IF(Q250&lt;&gt;"EXCEPTION","NONE",IF(OR(AND(A250="LOA AMENDMENT",P250="UNRESOLVED USE"),AND(A250="SKIP",OR(E250="WL-02618",E250="WL-03044",E250="WL-03390"))),"PRIORITY 1",IF(A250="SKIP","PRIORITY 2","PRIORITY 3"))))</f>
        <v>NONE</v>
      </c>
      <c r="S250" s="23"/>
      <c r="T250" s="23" t="s">
        <v>1543</v>
      </c>
      <c r="U250" s="23" t="s">
        <v>86</v>
      </c>
    </row>
    <row r="251" customFormat="false" ht="17.9" hidden="false" customHeight="false" outlineLevel="0" collapsed="false">
      <c r="A251" s="20" t="s">
        <v>73</v>
      </c>
      <c r="B251" s="21" t="n">
        <v>45988</v>
      </c>
      <c r="C251" s="20" t="s">
        <v>1544</v>
      </c>
      <c r="D251" s="20" t="s">
        <v>1545</v>
      </c>
      <c r="E251" s="20" t="s">
        <v>1012</v>
      </c>
      <c r="F251" s="20" t="s">
        <v>1013</v>
      </c>
      <c r="G251" s="20" t="n">
        <v>264</v>
      </c>
      <c r="H251" s="20" t="s">
        <v>221</v>
      </c>
      <c r="I251" s="20" t="s">
        <v>166</v>
      </c>
      <c r="J251" s="20" t="s">
        <v>80</v>
      </c>
      <c r="K251" s="22"/>
      <c r="L251" s="22"/>
      <c r="M251" s="20" t="s">
        <v>81</v>
      </c>
      <c r="N251" s="23" t="s">
        <v>140</v>
      </c>
      <c r="O251" s="23" t="s">
        <v>83</v>
      </c>
      <c r="P251" s="23" t="s">
        <v>84</v>
      </c>
      <c r="Q251" s="23" t="str">
        <f aca="false">IF(A251="UNDATED LEAD","UNRESOLVED",IF(M251="N","EXCEPTION",IF(A251="SKIP",IF(ISNUMBER(SEARCH("_skip_justification.pdf",N251)),"CLEAR - FILE VERIFIED","CLEAR ON EXPORT"),"CLEAR ON LOG")))</f>
        <v>CLEAR ON EXPORT</v>
      </c>
      <c r="R251" s="23" t="str">
        <f aca="false">IF(Q251="UNRESOLVED","PRIORITY 1 - OBTAIN FILE",IF(Q251&lt;&gt;"EXCEPTION","NONE",IF(OR(AND(A251="LOA AMENDMENT",P251="UNRESOLVED USE"),AND(A251="SKIP",OR(E251="WL-02618",E251="WL-03044",E251="WL-03390"))),"PRIORITY 1",IF(A251="SKIP","PRIORITY 2","PRIORITY 3"))))</f>
        <v>NONE</v>
      </c>
      <c r="S251" s="23"/>
      <c r="T251" s="23" t="s">
        <v>1546</v>
      </c>
      <c r="U251" s="23" t="s">
        <v>86</v>
      </c>
    </row>
    <row r="252" customFormat="false" ht="17.9" hidden="false" customHeight="false" outlineLevel="0" collapsed="false">
      <c r="A252" s="20" t="s">
        <v>73</v>
      </c>
      <c r="B252" s="21" t="n">
        <v>46006</v>
      </c>
      <c r="C252" s="20" t="s">
        <v>1547</v>
      </c>
      <c r="D252" s="20" t="s">
        <v>1548</v>
      </c>
      <c r="E252" s="20" t="s">
        <v>1549</v>
      </c>
      <c r="F252" s="20" t="s">
        <v>1550</v>
      </c>
      <c r="G252" s="20" t="n">
        <v>776</v>
      </c>
      <c r="H252" s="20" t="s">
        <v>1551</v>
      </c>
      <c r="I252" s="20" t="s">
        <v>119</v>
      </c>
      <c r="J252" s="20" t="s">
        <v>100</v>
      </c>
      <c r="K252" s="22"/>
      <c r="L252" s="22"/>
      <c r="M252" s="20" t="s">
        <v>81</v>
      </c>
      <c r="N252" s="23" t="s">
        <v>82</v>
      </c>
      <c r="O252" s="23" t="s">
        <v>102</v>
      </c>
      <c r="P252" s="23" t="s">
        <v>84</v>
      </c>
      <c r="Q252" s="23" t="str">
        <f aca="false">IF(A252="UNDATED LEAD","UNRESOLVED",IF(M252="N","EXCEPTION",IF(A252="SKIP",IF(ISNUMBER(SEARCH("_skip_justification.pdf",N252)),"CLEAR - FILE VERIFIED","CLEAR ON EXPORT"),"CLEAR ON LOG")))</f>
        <v>CLEAR ON EXPORT</v>
      </c>
      <c r="R252" s="23" t="str">
        <f aca="false">IF(Q252="UNRESOLVED","PRIORITY 1 - OBTAIN FILE",IF(Q252&lt;&gt;"EXCEPTION","NONE",IF(OR(AND(A252="LOA AMENDMENT",P252="UNRESOLVED USE"),AND(A252="SKIP",OR(E252="WL-02618",E252="WL-03044",E252="WL-03390"))),"PRIORITY 1",IF(A252="SKIP","PRIORITY 2","PRIORITY 3"))))</f>
        <v>NONE</v>
      </c>
      <c r="S252" s="23"/>
      <c r="T252" s="23" t="s">
        <v>1552</v>
      </c>
      <c r="U252" s="23" t="s">
        <v>86</v>
      </c>
    </row>
    <row r="253" customFormat="false" ht="17.9" hidden="false" customHeight="false" outlineLevel="0" collapsed="false">
      <c r="A253" s="20" t="s">
        <v>73</v>
      </c>
      <c r="B253" s="21" t="n">
        <v>46017</v>
      </c>
      <c r="C253" s="20" t="s">
        <v>1553</v>
      </c>
      <c r="D253" s="20" t="s">
        <v>1554</v>
      </c>
      <c r="E253" s="20" t="s">
        <v>1555</v>
      </c>
      <c r="F253" s="20" t="s">
        <v>1556</v>
      </c>
      <c r="G253" s="20" t="n">
        <v>1991</v>
      </c>
      <c r="H253" s="20" t="s">
        <v>1557</v>
      </c>
      <c r="I253" s="20" t="s">
        <v>166</v>
      </c>
      <c r="J253" s="20" t="s">
        <v>80</v>
      </c>
      <c r="K253" s="22"/>
      <c r="L253" s="22"/>
      <c r="M253" s="20" t="s">
        <v>81</v>
      </c>
      <c r="N253" s="23" t="s">
        <v>101</v>
      </c>
      <c r="O253" s="23" t="s">
        <v>83</v>
      </c>
      <c r="P253" s="23" t="s">
        <v>84</v>
      </c>
      <c r="Q253" s="23" t="str">
        <f aca="false">IF(A253="UNDATED LEAD","UNRESOLVED",IF(M253="N","EXCEPTION",IF(A253="SKIP",IF(ISNUMBER(SEARCH("_skip_justification.pdf",N253)),"CLEAR - FILE VERIFIED","CLEAR ON EXPORT"),"CLEAR ON LOG")))</f>
        <v>CLEAR ON EXPORT</v>
      </c>
      <c r="R253" s="23" t="str">
        <f aca="false">IF(Q253="UNRESOLVED","PRIORITY 1 - OBTAIN FILE",IF(Q253&lt;&gt;"EXCEPTION","NONE",IF(OR(AND(A253="LOA AMENDMENT",P253="UNRESOLVED USE"),AND(A253="SKIP",OR(E253="WL-02618",E253="WL-03044",E253="WL-03390"))),"PRIORITY 1",IF(A253="SKIP","PRIORITY 2","PRIORITY 3"))))</f>
        <v>NONE</v>
      </c>
      <c r="S253" s="23"/>
      <c r="T253" s="23" t="s">
        <v>1558</v>
      </c>
      <c r="U253" s="23" t="s">
        <v>86</v>
      </c>
    </row>
    <row r="254" customFormat="false" ht="17.9" hidden="false" customHeight="false" outlineLevel="0" collapsed="false">
      <c r="A254" s="20" t="s">
        <v>73</v>
      </c>
      <c r="B254" s="21" t="n">
        <v>46023</v>
      </c>
      <c r="C254" s="20" t="s">
        <v>1559</v>
      </c>
      <c r="D254" s="20" t="s">
        <v>1560</v>
      </c>
      <c r="E254" s="20" t="s">
        <v>1561</v>
      </c>
      <c r="F254" s="20" t="s">
        <v>1562</v>
      </c>
      <c r="G254" s="20" t="n">
        <v>558</v>
      </c>
      <c r="H254" s="20" t="s">
        <v>1563</v>
      </c>
      <c r="I254" s="20" t="s">
        <v>109</v>
      </c>
      <c r="J254" s="20" t="s">
        <v>80</v>
      </c>
      <c r="K254" s="22"/>
      <c r="L254" s="22"/>
      <c r="M254" s="20" t="s">
        <v>81</v>
      </c>
      <c r="N254" s="23" t="s">
        <v>101</v>
      </c>
      <c r="O254" s="23" t="s">
        <v>83</v>
      </c>
      <c r="P254" s="23" t="s">
        <v>84</v>
      </c>
      <c r="Q254" s="23" t="str">
        <f aca="false">IF(A254="UNDATED LEAD","UNRESOLVED",IF(M254="N","EXCEPTION",IF(A254="SKIP",IF(ISNUMBER(SEARCH("_skip_justification.pdf",N254)),"CLEAR - FILE VERIFIED","CLEAR ON EXPORT"),"CLEAR ON LOG")))</f>
        <v>CLEAR ON EXPORT</v>
      </c>
      <c r="R254" s="23" t="str">
        <f aca="false">IF(Q254="UNRESOLVED","PRIORITY 1 - OBTAIN FILE",IF(Q254&lt;&gt;"EXCEPTION","NONE",IF(OR(AND(A254="LOA AMENDMENT",P254="UNRESOLVED USE"),AND(A254="SKIP",OR(E254="WL-02618",E254="WL-03044",E254="WL-03390"))),"PRIORITY 1",IF(A254="SKIP","PRIORITY 2","PRIORITY 3"))))</f>
        <v>NONE</v>
      </c>
      <c r="S254" s="23"/>
      <c r="T254" s="23" t="s">
        <v>1564</v>
      </c>
      <c r="U254" s="23" t="s">
        <v>86</v>
      </c>
    </row>
    <row r="255" customFormat="false" ht="17.9" hidden="false" customHeight="false" outlineLevel="0" collapsed="false">
      <c r="A255" s="20" t="s">
        <v>73</v>
      </c>
      <c r="B255" s="21" t="n">
        <v>46023</v>
      </c>
      <c r="C255" s="20" t="s">
        <v>1565</v>
      </c>
      <c r="D255" s="20" t="s">
        <v>1566</v>
      </c>
      <c r="E255" s="20" t="s">
        <v>1567</v>
      </c>
      <c r="F255" s="20" t="s">
        <v>1568</v>
      </c>
      <c r="G255" s="20" t="n">
        <v>2054</v>
      </c>
      <c r="H255" s="20" t="s">
        <v>1569</v>
      </c>
      <c r="I255" s="20" t="s">
        <v>99</v>
      </c>
      <c r="J255" s="20" t="s">
        <v>80</v>
      </c>
      <c r="K255" s="22"/>
      <c r="L255" s="22"/>
      <c r="M255" s="20" t="s">
        <v>110</v>
      </c>
      <c r="N255" s="23" t="s">
        <v>368</v>
      </c>
      <c r="O255" s="23" t="s">
        <v>83</v>
      </c>
      <c r="P255" s="23" t="s">
        <v>84</v>
      </c>
      <c r="Q255" s="23" t="str">
        <f aca="false">IF(A255="UNDATED LEAD","UNRESOLVED",IF(M255="N","EXCEPTION",IF(A255="SKIP",IF(ISNUMBER(SEARCH("_skip_justification.pdf",N255)),"CLEAR - FILE VERIFIED","CLEAR ON EXPORT"),"CLEAR ON LOG")))</f>
        <v>EXCEPTION</v>
      </c>
      <c r="R255" s="23" t="str">
        <f aca="false">IF(Q255="UNRESOLVED","PRIORITY 1 - OBTAIN FILE",IF(Q255&lt;&gt;"EXCEPTION","NONE",IF(OR(AND(A255="LOA AMENDMENT",P255="UNRESOLVED USE"),AND(A255="SKIP",OR(E255="WL-02618",E255="WL-03044",E255="WL-03390"))),"PRIORITY 1",IF(A255="SKIP","PRIORITY 2","PRIORITY 3"))))</f>
        <v>PRIORITY 2</v>
      </c>
      <c r="S255" s="23" t="s">
        <v>1570</v>
      </c>
      <c r="T255" s="23" t="s">
        <v>1571</v>
      </c>
      <c r="U255" s="23" t="s">
        <v>86</v>
      </c>
    </row>
    <row r="256" customFormat="false" ht="17.9" hidden="false" customHeight="false" outlineLevel="0" collapsed="false">
      <c r="A256" s="20" t="s">
        <v>73</v>
      </c>
      <c r="B256" s="21" t="n">
        <v>46035</v>
      </c>
      <c r="C256" s="20" t="s">
        <v>1572</v>
      </c>
      <c r="D256" s="20" t="s">
        <v>1573</v>
      </c>
      <c r="E256" s="20" t="s">
        <v>1574</v>
      </c>
      <c r="F256" s="20" t="s">
        <v>1575</v>
      </c>
      <c r="G256" s="20" t="n">
        <v>2011</v>
      </c>
      <c r="H256" s="20" t="s">
        <v>1576</v>
      </c>
      <c r="I256" s="20" t="s">
        <v>166</v>
      </c>
      <c r="J256" s="20" t="s">
        <v>80</v>
      </c>
      <c r="K256" s="22"/>
      <c r="L256" s="22"/>
      <c r="M256" s="20" t="s">
        <v>81</v>
      </c>
      <c r="N256" s="23" t="s">
        <v>82</v>
      </c>
      <c r="O256" s="23" t="s">
        <v>83</v>
      </c>
      <c r="P256" s="23" t="s">
        <v>84</v>
      </c>
      <c r="Q256" s="23" t="str">
        <f aca="false">IF(A256="UNDATED LEAD","UNRESOLVED",IF(M256="N","EXCEPTION",IF(A256="SKIP",IF(ISNUMBER(SEARCH("_skip_justification.pdf",N256)),"CLEAR - FILE VERIFIED","CLEAR ON EXPORT"),"CLEAR ON LOG")))</f>
        <v>CLEAR ON EXPORT</v>
      </c>
      <c r="R256" s="23" t="str">
        <f aca="false">IF(Q256="UNRESOLVED","PRIORITY 1 - OBTAIN FILE",IF(Q256&lt;&gt;"EXCEPTION","NONE",IF(OR(AND(A256="LOA AMENDMENT",P256="UNRESOLVED USE"),AND(A256="SKIP",OR(E256="WL-02618",E256="WL-03044",E256="WL-03390"))),"PRIORITY 1",IF(A256="SKIP","PRIORITY 2","PRIORITY 3"))))</f>
        <v>NONE</v>
      </c>
      <c r="S256" s="23"/>
      <c r="T256" s="23" t="s">
        <v>1577</v>
      </c>
      <c r="U256" s="23" t="s">
        <v>86</v>
      </c>
    </row>
    <row r="257" customFormat="false" ht="17.9" hidden="false" customHeight="false" outlineLevel="0" collapsed="false">
      <c r="A257" s="20" t="s">
        <v>73</v>
      </c>
      <c r="B257" s="21" t="n">
        <v>46035</v>
      </c>
      <c r="C257" s="20" t="s">
        <v>1578</v>
      </c>
      <c r="D257" s="20" t="s">
        <v>1579</v>
      </c>
      <c r="E257" s="20" t="s">
        <v>858</v>
      </c>
      <c r="F257" s="20" t="s">
        <v>859</v>
      </c>
      <c r="G257" s="20" t="n">
        <v>368</v>
      </c>
      <c r="H257" s="20" t="s">
        <v>1580</v>
      </c>
      <c r="I257" s="20" t="s">
        <v>109</v>
      </c>
      <c r="J257" s="20" t="s">
        <v>147</v>
      </c>
      <c r="K257" s="22"/>
      <c r="L257" s="22"/>
      <c r="M257" s="20" t="s">
        <v>81</v>
      </c>
      <c r="N257" s="23" t="s">
        <v>140</v>
      </c>
      <c r="O257" s="23" t="s">
        <v>148</v>
      </c>
      <c r="P257" s="23" t="s">
        <v>84</v>
      </c>
      <c r="Q257" s="23" t="str">
        <f aca="false">IF(A257="UNDATED LEAD","UNRESOLVED",IF(M257="N","EXCEPTION",IF(A257="SKIP",IF(ISNUMBER(SEARCH("_skip_justification.pdf",N257)),"CLEAR - FILE VERIFIED","CLEAR ON EXPORT"),"CLEAR ON LOG")))</f>
        <v>CLEAR ON EXPORT</v>
      </c>
      <c r="R257" s="23" t="str">
        <f aca="false">IF(Q257="UNRESOLVED","PRIORITY 1 - OBTAIN FILE",IF(Q257&lt;&gt;"EXCEPTION","NONE",IF(OR(AND(A257="LOA AMENDMENT",P257="UNRESOLVED USE"),AND(A257="SKIP",OR(E257="WL-02618",E257="WL-03044",E257="WL-03390"))),"PRIORITY 1",IF(A257="SKIP","PRIORITY 2","PRIORITY 3"))))</f>
        <v>NONE</v>
      </c>
      <c r="S257" s="23"/>
      <c r="T257" s="23" t="s">
        <v>1581</v>
      </c>
      <c r="U257" s="23" t="s">
        <v>86</v>
      </c>
    </row>
    <row r="258" customFormat="false" ht="17.9" hidden="false" customHeight="false" outlineLevel="0" collapsed="false">
      <c r="A258" s="20" t="s">
        <v>73</v>
      </c>
      <c r="B258" s="21" t="n">
        <v>46043</v>
      </c>
      <c r="C258" s="20" t="s">
        <v>1582</v>
      </c>
      <c r="D258" s="20" t="s">
        <v>1583</v>
      </c>
      <c r="E258" s="20" t="s">
        <v>1584</v>
      </c>
      <c r="F258" s="20" t="s">
        <v>1585</v>
      </c>
      <c r="G258" s="20" t="n">
        <v>435</v>
      </c>
      <c r="H258" s="20" t="s">
        <v>118</v>
      </c>
      <c r="I258" s="20" t="s">
        <v>119</v>
      </c>
      <c r="J258" s="20" t="s">
        <v>100</v>
      </c>
      <c r="K258" s="22"/>
      <c r="L258" s="22"/>
      <c r="M258" s="20" t="s">
        <v>81</v>
      </c>
      <c r="N258" s="23" t="s">
        <v>92</v>
      </c>
      <c r="O258" s="23" t="s">
        <v>102</v>
      </c>
      <c r="P258" s="23" t="s">
        <v>84</v>
      </c>
      <c r="Q258" s="23" t="str">
        <f aca="false">IF(A258="UNDATED LEAD","UNRESOLVED",IF(M258="N","EXCEPTION",IF(A258="SKIP",IF(ISNUMBER(SEARCH("_skip_justification.pdf",N258)),"CLEAR - FILE VERIFIED","CLEAR ON EXPORT"),"CLEAR ON LOG")))</f>
        <v>CLEAR ON EXPORT</v>
      </c>
      <c r="R258" s="23" t="str">
        <f aca="false">IF(Q258="UNRESOLVED","PRIORITY 1 - OBTAIN FILE",IF(Q258&lt;&gt;"EXCEPTION","NONE",IF(OR(AND(A258="LOA AMENDMENT",P258="UNRESOLVED USE"),AND(A258="SKIP",OR(E258="WL-02618",E258="WL-03044",E258="WL-03390"))),"PRIORITY 1",IF(A258="SKIP","PRIORITY 2","PRIORITY 3"))))</f>
        <v>NONE</v>
      </c>
      <c r="S258" s="23"/>
      <c r="T258" s="23" t="s">
        <v>1586</v>
      </c>
      <c r="U258" s="23" t="s">
        <v>86</v>
      </c>
    </row>
    <row r="259" customFormat="false" ht="17.9" hidden="false" customHeight="false" outlineLevel="0" collapsed="false">
      <c r="A259" s="20" t="s">
        <v>73</v>
      </c>
      <c r="B259" s="21" t="n">
        <v>46049</v>
      </c>
      <c r="C259" s="20" t="s">
        <v>1587</v>
      </c>
      <c r="D259" s="20" t="s">
        <v>1588</v>
      </c>
      <c r="E259" s="20" t="s">
        <v>1589</v>
      </c>
      <c r="F259" s="20" t="s">
        <v>1590</v>
      </c>
      <c r="G259" s="20" t="n">
        <v>2197</v>
      </c>
      <c r="H259" s="20" t="s">
        <v>1591</v>
      </c>
      <c r="I259" s="20" t="s">
        <v>79</v>
      </c>
      <c r="J259" s="20" t="s">
        <v>132</v>
      </c>
      <c r="K259" s="22"/>
      <c r="L259" s="22"/>
      <c r="M259" s="20" t="s">
        <v>81</v>
      </c>
      <c r="N259" s="23" t="s">
        <v>140</v>
      </c>
      <c r="O259" s="23" t="s">
        <v>133</v>
      </c>
      <c r="P259" s="23" t="s">
        <v>84</v>
      </c>
      <c r="Q259" s="23" t="str">
        <f aca="false">IF(A259="UNDATED LEAD","UNRESOLVED",IF(M259="N","EXCEPTION",IF(A259="SKIP",IF(ISNUMBER(SEARCH("_skip_justification.pdf",N259)),"CLEAR - FILE VERIFIED","CLEAR ON EXPORT"),"CLEAR ON LOG")))</f>
        <v>CLEAR ON EXPORT</v>
      </c>
      <c r="R259" s="23" t="str">
        <f aca="false">IF(Q259="UNRESOLVED","PRIORITY 1 - OBTAIN FILE",IF(Q259&lt;&gt;"EXCEPTION","NONE",IF(OR(AND(A259="LOA AMENDMENT",P259="UNRESOLVED USE"),AND(A259="SKIP",OR(E259="WL-02618",E259="WL-03044",E259="WL-03390"))),"PRIORITY 1",IF(A259="SKIP","PRIORITY 2","PRIORITY 3"))))</f>
        <v>NONE</v>
      </c>
      <c r="S259" s="23"/>
      <c r="T259" s="23" t="s">
        <v>1592</v>
      </c>
      <c r="U259" s="23" t="s">
        <v>86</v>
      </c>
    </row>
    <row r="260" customFormat="false" ht="17.9" hidden="false" customHeight="false" outlineLevel="0" collapsed="false">
      <c r="A260" s="20" t="s">
        <v>73</v>
      </c>
      <c r="B260" s="21" t="n">
        <v>46060</v>
      </c>
      <c r="C260" s="20" t="s">
        <v>1593</v>
      </c>
      <c r="D260" s="20" t="s">
        <v>1594</v>
      </c>
      <c r="E260" s="20" t="s">
        <v>293</v>
      </c>
      <c r="F260" s="20" t="s">
        <v>294</v>
      </c>
      <c r="G260" s="20" t="n">
        <v>2816</v>
      </c>
      <c r="H260" s="20" t="s">
        <v>604</v>
      </c>
      <c r="I260" s="20" t="s">
        <v>109</v>
      </c>
      <c r="J260" s="20" t="s">
        <v>80</v>
      </c>
      <c r="K260" s="22"/>
      <c r="L260" s="22"/>
      <c r="M260" s="20" t="s">
        <v>81</v>
      </c>
      <c r="N260" s="23" t="s">
        <v>101</v>
      </c>
      <c r="O260" s="23" t="s">
        <v>83</v>
      </c>
      <c r="P260" s="23" t="s">
        <v>84</v>
      </c>
      <c r="Q260" s="23" t="str">
        <f aca="false">IF(A260="UNDATED LEAD","UNRESOLVED",IF(M260="N","EXCEPTION",IF(A260="SKIP",IF(ISNUMBER(SEARCH("_skip_justification.pdf",N260)),"CLEAR - FILE VERIFIED","CLEAR ON EXPORT"),"CLEAR ON LOG")))</f>
        <v>CLEAR ON EXPORT</v>
      </c>
      <c r="R260" s="23" t="str">
        <f aca="false">IF(Q260="UNRESOLVED","PRIORITY 1 - OBTAIN FILE",IF(Q260&lt;&gt;"EXCEPTION","NONE",IF(OR(AND(A260="LOA AMENDMENT",P260="UNRESOLVED USE"),AND(A260="SKIP",OR(E260="WL-02618",E260="WL-03044",E260="WL-03390"))),"PRIORITY 1",IF(A260="SKIP","PRIORITY 2","PRIORITY 3"))))</f>
        <v>NONE</v>
      </c>
      <c r="S260" s="23"/>
      <c r="T260" s="23" t="s">
        <v>1595</v>
      </c>
      <c r="U260" s="23" t="s">
        <v>86</v>
      </c>
    </row>
    <row r="261" customFormat="false" ht="17.9" hidden="false" customHeight="false" outlineLevel="0" collapsed="false">
      <c r="A261" s="20" t="s">
        <v>73</v>
      </c>
      <c r="B261" s="21" t="n">
        <v>46067</v>
      </c>
      <c r="C261" s="20" t="s">
        <v>1596</v>
      </c>
      <c r="D261" s="20" t="s">
        <v>1597</v>
      </c>
      <c r="E261" s="20" t="s">
        <v>1598</v>
      </c>
      <c r="F261" s="20" t="s">
        <v>1599</v>
      </c>
      <c r="G261" s="20" t="n">
        <v>605</v>
      </c>
      <c r="H261" s="20" t="s">
        <v>1600</v>
      </c>
      <c r="I261" s="20" t="s">
        <v>99</v>
      </c>
      <c r="J261" s="20" t="s">
        <v>147</v>
      </c>
      <c r="K261" s="22"/>
      <c r="L261" s="22"/>
      <c r="M261" s="20" t="s">
        <v>81</v>
      </c>
      <c r="N261" s="23" t="s">
        <v>140</v>
      </c>
      <c r="O261" s="23" t="s">
        <v>148</v>
      </c>
      <c r="P261" s="23" t="s">
        <v>84</v>
      </c>
      <c r="Q261" s="23" t="str">
        <f aca="false">IF(A261="UNDATED LEAD","UNRESOLVED",IF(M261="N","EXCEPTION",IF(A261="SKIP",IF(ISNUMBER(SEARCH("_skip_justification.pdf",N261)),"CLEAR - FILE VERIFIED","CLEAR ON EXPORT"),"CLEAR ON LOG")))</f>
        <v>CLEAR ON EXPORT</v>
      </c>
      <c r="R261" s="23" t="str">
        <f aca="false">IF(Q261="UNRESOLVED","PRIORITY 1 - OBTAIN FILE",IF(Q261&lt;&gt;"EXCEPTION","NONE",IF(OR(AND(A261="LOA AMENDMENT",P261="UNRESOLVED USE"),AND(A261="SKIP",OR(E261="WL-02618",E261="WL-03044",E261="WL-03390"))),"PRIORITY 1",IF(A261="SKIP","PRIORITY 2","PRIORITY 3"))))</f>
        <v>NONE</v>
      </c>
      <c r="S261" s="23"/>
      <c r="T261" s="23" t="s">
        <v>1601</v>
      </c>
      <c r="U261" s="23" t="s">
        <v>86</v>
      </c>
    </row>
    <row r="262" customFormat="false" ht="17.9" hidden="false" customHeight="false" outlineLevel="0" collapsed="false">
      <c r="A262" s="20" t="s">
        <v>73</v>
      </c>
      <c r="B262" s="21" t="n">
        <v>46075</v>
      </c>
      <c r="C262" s="20" t="s">
        <v>1602</v>
      </c>
      <c r="D262" s="20" t="s">
        <v>1603</v>
      </c>
      <c r="E262" s="20" t="s">
        <v>1604</v>
      </c>
      <c r="F262" s="20" t="s">
        <v>1605</v>
      </c>
      <c r="G262" s="20" t="n">
        <v>2817</v>
      </c>
      <c r="H262" s="20" t="s">
        <v>1606</v>
      </c>
      <c r="I262" s="20" t="s">
        <v>166</v>
      </c>
      <c r="J262" s="20" t="s">
        <v>80</v>
      </c>
      <c r="K262" s="22"/>
      <c r="L262" s="22"/>
      <c r="M262" s="20" t="s">
        <v>81</v>
      </c>
      <c r="N262" s="23" t="s">
        <v>92</v>
      </c>
      <c r="O262" s="23" t="s">
        <v>83</v>
      </c>
      <c r="P262" s="23" t="s">
        <v>84</v>
      </c>
      <c r="Q262" s="23" t="str">
        <f aca="false">IF(A262="UNDATED LEAD","UNRESOLVED",IF(M262="N","EXCEPTION",IF(A262="SKIP",IF(ISNUMBER(SEARCH("_skip_justification.pdf",N262)),"CLEAR - FILE VERIFIED","CLEAR ON EXPORT"),"CLEAR ON LOG")))</f>
        <v>CLEAR ON EXPORT</v>
      </c>
      <c r="R262" s="23" t="str">
        <f aca="false">IF(Q262="UNRESOLVED","PRIORITY 1 - OBTAIN FILE",IF(Q262&lt;&gt;"EXCEPTION","NONE",IF(OR(AND(A262="LOA AMENDMENT",P262="UNRESOLVED USE"),AND(A262="SKIP",OR(E262="WL-02618",E262="WL-03044",E262="WL-03390"))),"PRIORITY 1",IF(A262="SKIP","PRIORITY 2","PRIORITY 3"))))</f>
        <v>NONE</v>
      </c>
      <c r="S262" s="23"/>
      <c r="T262" s="23" t="s">
        <v>1607</v>
      </c>
      <c r="U262" s="23" t="s">
        <v>86</v>
      </c>
    </row>
    <row r="263" customFormat="false" ht="17.9" hidden="false" customHeight="false" outlineLevel="0" collapsed="false">
      <c r="A263" s="20" t="s">
        <v>73</v>
      </c>
      <c r="B263" s="21" t="n">
        <v>46075</v>
      </c>
      <c r="C263" s="20" t="s">
        <v>1608</v>
      </c>
      <c r="D263" s="20" t="s">
        <v>1609</v>
      </c>
      <c r="E263" s="20" t="s">
        <v>1610</v>
      </c>
      <c r="F263" s="20" t="s">
        <v>1611</v>
      </c>
      <c r="G263" s="20" t="n">
        <v>550</v>
      </c>
      <c r="H263" s="20" t="s">
        <v>1124</v>
      </c>
      <c r="I263" s="20" t="s">
        <v>109</v>
      </c>
      <c r="J263" s="20" t="s">
        <v>80</v>
      </c>
      <c r="K263" s="22"/>
      <c r="L263" s="22"/>
      <c r="M263" s="20" t="s">
        <v>81</v>
      </c>
      <c r="N263" s="23" t="s">
        <v>82</v>
      </c>
      <c r="O263" s="23" t="s">
        <v>83</v>
      </c>
      <c r="P263" s="23" t="s">
        <v>84</v>
      </c>
      <c r="Q263" s="23" t="str">
        <f aca="false">IF(A263="UNDATED LEAD","UNRESOLVED",IF(M263="N","EXCEPTION",IF(A263="SKIP",IF(ISNUMBER(SEARCH("_skip_justification.pdf",N263)),"CLEAR - FILE VERIFIED","CLEAR ON EXPORT"),"CLEAR ON LOG")))</f>
        <v>CLEAR ON EXPORT</v>
      </c>
      <c r="R263" s="23" t="str">
        <f aca="false">IF(Q263="UNRESOLVED","PRIORITY 1 - OBTAIN FILE",IF(Q263&lt;&gt;"EXCEPTION","NONE",IF(OR(AND(A263="LOA AMENDMENT",P263="UNRESOLVED USE"),AND(A263="SKIP",OR(E263="WL-02618",E263="WL-03044",E263="WL-03390"))),"PRIORITY 1",IF(A263="SKIP","PRIORITY 2","PRIORITY 3"))))</f>
        <v>NONE</v>
      </c>
      <c r="S263" s="23"/>
      <c r="T263" s="23" t="s">
        <v>1612</v>
      </c>
      <c r="U263" s="23" t="s">
        <v>86</v>
      </c>
    </row>
    <row r="264" customFormat="false" ht="17.9" hidden="false" customHeight="false" outlineLevel="0" collapsed="false">
      <c r="A264" s="20" t="s">
        <v>73</v>
      </c>
      <c r="B264" s="21" t="n">
        <v>46075</v>
      </c>
      <c r="C264" s="20" t="s">
        <v>1613</v>
      </c>
      <c r="D264" s="20" t="s">
        <v>1614</v>
      </c>
      <c r="E264" s="20" t="s">
        <v>1615</v>
      </c>
      <c r="F264" s="20" t="s">
        <v>1616</v>
      </c>
      <c r="G264" s="20" t="n">
        <v>1930</v>
      </c>
      <c r="H264" s="20" t="s">
        <v>1617</v>
      </c>
      <c r="I264" s="20" t="s">
        <v>79</v>
      </c>
      <c r="J264" s="20" t="s">
        <v>132</v>
      </c>
      <c r="K264" s="22"/>
      <c r="L264" s="22"/>
      <c r="M264" s="20" t="s">
        <v>81</v>
      </c>
      <c r="N264" s="23" t="s">
        <v>82</v>
      </c>
      <c r="O264" s="23" t="s">
        <v>133</v>
      </c>
      <c r="P264" s="23" t="s">
        <v>84</v>
      </c>
      <c r="Q264" s="23" t="str">
        <f aca="false">IF(A264="UNDATED LEAD","UNRESOLVED",IF(M264="N","EXCEPTION",IF(A264="SKIP",IF(ISNUMBER(SEARCH("_skip_justification.pdf",N264)),"CLEAR - FILE VERIFIED","CLEAR ON EXPORT"),"CLEAR ON LOG")))</f>
        <v>CLEAR ON EXPORT</v>
      </c>
      <c r="R264" s="23" t="str">
        <f aca="false">IF(Q264="UNRESOLVED","PRIORITY 1 - OBTAIN FILE",IF(Q264&lt;&gt;"EXCEPTION","NONE",IF(OR(AND(A264="LOA AMENDMENT",P264="UNRESOLVED USE"),AND(A264="SKIP",OR(E264="WL-02618",E264="WL-03044",E264="WL-03390"))),"PRIORITY 1",IF(A264="SKIP","PRIORITY 2","PRIORITY 3"))))</f>
        <v>NONE</v>
      </c>
      <c r="S264" s="23"/>
      <c r="T264" s="23" t="s">
        <v>1618</v>
      </c>
      <c r="U264" s="23" t="s">
        <v>86</v>
      </c>
    </row>
    <row r="265" customFormat="false" ht="17.9" hidden="false" customHeight="false" outlineLevel="0" collapsed="false">
      <c r="A265" s="20" t="s">
        <v>73</v>
      </c>
      <c r="B265" s="21" t="n">
        <v>46080</v>
      </c>
      <c r="C265" s="20" t="s">
        <v>1619</v>
      </c>
      <c r="D265" s="20" t="s">
        <v>1620</v>
      </c>
      <c r="E265" s="20" t="s">
        <v>1621</v>
      </c>
      <c r="F265" s="20" t="s">
        <v>1622</v>
      </c>
      <c r="G265" s="20" t="n">
        <v>2653</v>
      </c>
      <c r="H265" s="20" t="s">
        <v>1623</v>
      </c>
      <c r="I265" s="20" t="s">
        <v>79</v>
      </c>
      <c r="J265" s="20" t="s">
        <v>80</v>
      </c>
      <c r="K265" s="22"/>
      <c r="L265" s="22"/>
      <c r="M265" s="20" t="s">
        <v>81</v>
      </c>
      <c r="N265" s="23" t="s">
        <v>82</v>
      </c>
      <c r="O265" s="23" t="s">
        <v>83</v>
      </c>
      <c r="P265" s="23" t="s">
        <v>84</v>
      </c>
      <c r="Q265" s="23" t="str">
        <f aca="false">IF(A265="UNDATED LEAD","UNRESOLVED",IF(M265="N","EXCEPTION",IF(A265="SKIP",IF(ISNUMBER(SEARCH("_skip_justification.pdf",N265)),"CLEAR - FILE VERIFIED","CLEAR ON EXPORT"),"CLEAR ON LOG")))</f>
        <v>CLEAR ON EXPORT</v>
      </c>
      <c r="R265" s="23" t="str">
        <f aca="false">IF(Q265="UNRESOLVED","PRIORITY 1 - OBTAIN FILE",IF(Q265&lt;&gt;"EXCEPTION","NONE",IF(OR(AND(A265="LOA AMENDMENT",P265="UNRESOLVED USE"),AND(A265="SKIP",OR(E265="WL-02618",E265="WL-03044",E265="WL-03390"))),"PRIORITY 1",IF(A265="SKIP","PRIORITY 2","PRIORITY 3"))))</f>
        <v>NONE</v>
      </c>
      <c r="S265" s="23"/>
      <c r="T265" s="23" t="s">
        <v>1624</v>
      </c>
      <c r="U265" s="23" t="s">
        <v>86</v>
      </c>
    </row>
    <row r="266" customFormat="false" ht="17.9" hidden="false" customHeight="false" outlineLevel="0" collapsed="false">
      <c r="A266" s="20" t="s">
        <v>73</v>
      </c>
      <c r="B266" s="21" t="n">
        <v>46093</v>
      </c>
      <c r="C266" s="20" t="s">
        <v>1625</v>
      </c>
      <c r="D266" s="20" t="s">
        <v>1626</v>
      </c>
      <c r="E266" s="20" t="s">
        <v>1627</v>
      </c>
      <c r="F266" s="20" t="s">
        <v>1628</v>
      </c>
      <c r="G266" s="20" t="n">
        <v>38</v>
      </c>
      <c r="H266" s="20" t="s">
        <v>1629</v>
      </c>
      <c r="I266" s="20" t="s">
        <v>119</v>
      </c>
      <c r="J266" s="20" t="s">
        <v>100</v>
      </c>
      <c r="K266" s="22"/>
      <c r="L266" s="22"/>
      <c r="M266" s="20" t="s">
        <v>81</v>
      </c>
      <c r="N266" s="23" t="s">
        <v>82</v>
      </c>
      <c r="O266" s="23" t="s">
        <v>102</v>
      </c>
      <c r="P266" s="23" t="s">
        <v>84</v>
      </c>
      <c r="Q266" s="23" t="str">
        <f aca="false">IF(A266="UNDATED LEAD","UNRESOLVED",IF(M266="N","EXCEPTION",IF(A266="SKIP",IF(ISNUMBER(SEARCH("_skip_justification.pdf",N266)),"CLEAR - FILE VERIFIED","CLEAR ON EXPORT"),"CLEAR ON LOG")))</f>
        <v>CLEAR ON EXPORT</v>
      </c>
      <c r="R266" s="23" t="str">
        <f aca="false">IF(Q266="UNRESOLVED","PRIORITY 1 - OBTAIN FILE",IF(Q266&lt;&gt;"EXCEPTION","NONE",IF(OR(AND(A266="LOA AMENDMENT",P266="UNRESOLVED USE"),AND(A266="SKIP",OR(E266="WL-02618",E266="WL-03044",E266="WL-03390"))),"PRIORITY 1",IF(A266="SKIP","PRIORITY 2","PRIORITY 3"))))</f>
        <v>NONE</v>
      </c>
      <c r="S266" s="23"/>
      <c r="T266" s="23" t="s">
        <v>1630</v>
      </c>
      <c r="U266" s="23" t="s">
        <v>86</v>
      </c>
    </row>
    <row r="267" customFormat="false" ht="17.9" hidden="false" customHeight="false" outlineLevel="0" collapsed="false">
      <c r="A267" s="20" t="s">
        <v>73</v>
      </c>
      <c r="B267" s="21" t="n">
        <v>46094</v>
      </c>
      <c r="C267" s="20" t="s">
        <v>1631</v>
      </c>
      <c r="D267" s="20" t="s">
        <v>1632</v>
      </c>
      <c r="E267" s="20" t="s">
        <v>1633</v>
      </c>
      <c r="F267" s="20" t="s">
        <v>1634</v>
      </c>
      <c r="G267" s="20" t="n">
        <v>2279</v>
      </c>
      <c r="H267" s="20" t="s">
        <v>644</v>
      </c>
      <c r="I267" s="20" t="s">
        <v>109</v>
      </c>
      <c r="J267" s="20" t="s">
        <v>80</v>
      </c>
      <c r="K267" s="22"/>
      <c r="L267" s="22"/>
      <c r="M267" s="20" t="s">
        <v>81</v>
      </c>
      <c r="N267" s="23" t="s">
        <v>92</v>
      </c>
      <c r="O267" s="23" t="s">
        <v>83</v>
      </c>
      <c r="P267" s="23" t="s">
        <v>84</v>
      </c>
      <c r="Q267" s="23" t="str">
        <f aca="false">IF(A267="UNDATED LEAD","UNRESOLVED",IF(M267="N","EXCEPTION",IF(A267="SKIP",IF(ISNUMBER(SEARCH("_skip_justification.pdf",N267)),"CLEAR - FILE VERIFIED","CLEAR ON EXPORT"),"CLEAR ON LOG")))</f>
        <v>CLEAR ON EXPORT</v>
      </c>
      <c r="R267" s="23" t="str">
        <f aca="false">IF(Q267="UNRESOLVED","PRIORITY 1 - OBTAIN FILE",IF(Q267&lt;&gt;"EXCEPTION","NONE",IF(OR(AND(A267="LOA AMENDMENT",P267="UNRESOLVED USE"),AND(A267="SKIP",OR(E267="WL-02618",E267="WL-03044",E267="WL-03390"))),"PRIORITY 1",IF(A267="SKIP","PRIORITY 2","PRIORITY 3"))))</f>
        <v>NONE</v>
      </c>
      <c r="S267" s="23"/>
      <c r="T267" s="23" t="s">
        <v>1635</v>
      </c>
      <c r="U267" s="23" t="s">
        <v>86</v>
      </c>
    </row>
    <row r="268" customFormat="false" ht="17.9" hidden="false" customHeight="false" outlineLevel="0" collapsed="false">
      <c r="A268" s="20" t="s">
        <v>73</v>
      </c>
      <c r="B268" s="21" t="n">
        <v>46096</v>
      </c>
      <c r="C268" s="20" t="s">
        <v>1636</v>
      </c>
      <c r="D268" s="20" t="s">
        <v>1637</v>
      </c>
      <c r="E268" s="20" t="s">
        <v>1638</v>
      </c>
      <c r="F268" s="20" t="s">
        <v>1639</v>
      </c>
      <c r="G268" s="20" t="n">
        <v>1306</v>
      </c>
      <c r="H268" s="20" t="s">
        <v>1640</v>
      </c>
      <c r="I268" s="20" t="s">
        <v>166</v>
      </c>
      <c r="J268" s="20" t="s">
        <v>100</v>
      </c>
      <c r="K268" s="22"/>
      <c r="L268" s="22"/>
      <c r="M268" s="20" t="s">
        <v>81</v>
      </c>
      <c r="N268" s="23" t="s">
        <v>92</v>
      </c>
      <c r="O268" s="23" t="s">
        <v>102</v>
      </c>
      <c r="P268" s="23" t="s">
        <v>84</v>
      </c>
      <c r="Q268" s="23" t="str">
        <f aca="false">IF(A268="UNDATED LEAD","UNRESOLVED",IF(M268="N","EXCEPTION",IF(A268="SKIP",IF(ISNUMBER(SEARCH("_skip_justification.pdf",N268)),"CLEAR - FILE VERIFIED","CLEAR ON EXPORT"),"CLEAR ON LOG")))</f>
        <v>CLEAR ON EXPORT</v>
      </c>
      <c r="R268" s="23" t="str">
        <f aca="false">IF(Q268="UNRESOLVED","PRIORITY 1 - OBTAIN FILE",IF(Q268&lt;&gt;"EXCEPTION","NONE",IF(OR(AND(A268="LOA AMENDMENT",P268="UNRESOLVED USE"),AND(A268="SKIP",OR(E268="WL-02618",E268="WL-03044",E268="WL-03390"))),"PRIORITY 1",IF(A268="SKIP","PRIORITY 2","PRIORITY 3"))))</f>
        <v>NONE</v>
      </c>
      <c r="S268" s="23"/>
      <c r="T268" s="23" t="s">
        <v>1641</v>
      </c>
      <c r="U268" s="23" t="s">
        <v>86</v>
      </c>
    </row>
    <row r="269" customFormat="false" ht="17.9" hidden="false" customHeight="false" outlineLevel="0" collapsed="false">
      <c r="A269" s="20" t="s">
        <v>73</v>
      </c>
      <c r="B269" s="21" t="n">
        <v>46099</v>
      </c>
      <c r="C269" s="20" t="s">
        <v>1642</v>
      </c>
      <c r="D269" s="20" t="s">
        <v>1643</v>
      </c>
      <c r="E269" s="20" t="s">
        <v>1644</v>
      </c>
      <c r="F269" s="20" t="s">
        <v>1645</v>
      </c>
      <c r="G269" s="20" t="n">
        <v>1417</v>
      </c>
      <c r="H269" s="20" t="s">
        <v>1646</v>
      </c>
      <c r="I269" s="20" t="s">
        <v>119</v>
      </c>
      <c r="J269" s="20" t="s">
        <v>132</v>
      </c>
      <c r="K269" s="22"/>
      <c r="L269" s="22"/>
      <c r="M269" s="20" t="s">
        <v>81</v>
      </c>
      <c r="N269" s="23" t="s">
        <v>82</v>
      </c>
      <c r="O269" s="23" t="s">
        <v>133</v>
      </c>
      <c r="P269" s="23" t="s">
        <v>84</v>
      </c>
      <c r="Q269" s="23" t="str">
        <f aca="false">IF(A269="UNDATED LEAD","UNRESOLVED",IF(M269="N","EXCEPTION",IF(A269="SKIP",IF(ISNUMBER(SEARCH("_skip_justification.pdf",N269)),"CLEAR - FILE VERIFIED","CLEAR ON EXPORT"),"CLEAR ON LOG")))</f>
        <v>CLEAR ON EXPORT</v>
      </c>
      <c r="R269" s="23" t="str">
        <f aca="false">IF(Q269="UNRESOLVED","PRIORITY 1 - OBTAIN FILE",IF(Q269&lt;&gt;"EXCEPTION","NONE",IF(OR(AND(A269="LOA AMENDMENT",P269="UNRESOLVED USE"),AND(A269="SKIP",OR(E269="WL-02618",E269="WL-03044",E269="WL-03390"))),"PRIORITY 1",IF(A269="SKIP","PRIORITY 2","PRIORITY 3"))))</f>
        <v>NONE</v>
      </c>
      <c r="S269" s="23"/>
      <c r="T269" s="23" t="s">
        <v>1647</v>
      </c>
      <c r="U269" s="23" t="s">
        <v>86</v>
      </c>
    </row>
    <row r="270" customFormat="false" ht="17.9" hidden="false" customHeight="false" outlineLevel="0" collapsed="false">
      <c r="A270" s="20" t="s">
        <v>73</v>
      </c>
      <c r="B270" s="21" t="n">
        <v>46107</v>
      </c>
      <c r="C270" s="20" t="s">
        <v>1648</v>
      </c>
      <c r="D270" s="20" t="s">
        <v>1649</v>
      </c>
      <c r="E270" s="20" t="s">
        <v>1650</v>
      </c>
      <c r="F270" s="20" t="s">
        <v>1651</v>
      </c>
      <c r="G270" s="20" t="n">
        <v>139</v>
      </c>
      <c r="H270" s="20" t="s">
        <v>1652</v>
      </c>
      <c r="I270" s="20" t="s">
        <v>119</v>
      </c>
      <c r="J270" s="20" t="s">
        <v>80</v>
      </c>
      <c r="K270" s="22"/>
      <c r="L270" s="22"/>
      <c r="M270" s="20" t="s">
        <v>81</v>
      </c>
      <c r="N270" s="23" t="s">
        <v>101</v>
      </c>
      <c r="O270" s="23" t="s">
        <v>83</v>
      </c>
      <c r="P270" s="23" t="s">
        <v>84</v>
      </c>
      <c r="Q270" s="23" t="str">
        <f aca="false">IF(A270="UNDATED LEAD","UNRESOLVED",IF(M270="N","EXCEPTION",IF(A270="SKIP",IF(ISNUMBER(SEARCH("_skip_justification.pdf",N270)),"CLEAR - FILE VERIFIED","CLEAR ON EXPORT"),"CLEAR ON LOG")))</f>
        <v>CLEAR ON EXPORT</v>
      </c>
      <c r="R270" s="23" t="str">
        <f aca="false">IF(Q270="UNRESOLVED","PRIORITY 1 - OBTAIN FILE",IF(Q270&lt;&gt;"EXCEPTION","NONE",IF(OR(AND(A270="LOA AMENDMENT",P270="UNRESOLVED USE"),AND(A270="SKIP",OR(E270="WL-02618",E270="WL-03044",E270="WL-03390"))),"PRIORITY 1",IF(A270="SKIP","PRIORITY 2","PRIORITY 3"))))</f>
        <v>NONE</v>
      </c>
      <c r="S270" s="23"/>
      <c r="T270" s="23" t="s">
        <v>1653</v>
      </c>
      <c r="U270" s="23" t="s">
        <v>86</v>
      </c>
    </row>
    <row r="271" customFormat="false" ht="17.9" hidden="false" customHeight="false" outlineLevel="0" collapsed="false">
      <c r="A271" s="20" t="s">
        <v>73</v>
      </c>
      <c r="B271" s="21" t="n">
        <v>46107</v>
      </c>
      <c r="C271" s="20" t="s">
        <v>1654</v>
      </c>
      <c r="D271" s="20" t="s">
        <v>1655</v>
      </c>
      <c r="E271" s="20" t="s">
        <v>1656</v>
      </c>
      <c r="F271" s="20" t="s">
        <v>1657</v>
      </c>
      <c r="G271" s="20" t="n">
        <v>2305</v>
      </c>
      <c r="H271" s="20" t="s">
        <v>1658</v>
      </c>
      <c r="I271" s="20" t="s">
        <v>119</v>
      </c>
      <c r="J271" s="20" t="s">
        <v>132</v>
      </c>
      <c r="K271" s="22"/>
      <c r="L271" s="22"/>
      <c r="M271" s="20" t="s">
        <v>81</v>
      </c>
      <c r="N271" s="23" t="s">
        <v>101</v>
      </c>
      <c r="O271" s="23" t="s">
        <v>133</v>
      </c>
      <c r="P271" s="23" t="s">
        <v>84</v>
      </c>
      <c r="Q271" s="23" t="str">
        <f aca="false">IF(A271="UNDATED LEAD","UNRESOLVED",IF(M271="N","EXCEPTION",IF(A271="SKIP",IF(ISNUMBER(SEARCH("_skip_justification.pdf",N271)),"CLEAR - FILE VERIFIED","CLEAR ON EXPORT"),"CLEAR ON LOG")))</f>
        <v>CLEAR ON EXPORT</v>
      </c>
      <c r="R271" s="23" t="str">
        <f aca="false">IF(Q271="UNRESOLVED","PRIORITY 1 - OBTAIN FILE",IF(Q271&lt;&gt;"EXCEPTION","NONE",IF(OR(AND(A271="LOA AMENDMENT",P271="UNRESOLVED USE"),AND(A271="SKIP",OR(E271="WL-02618",E271="WL-03044",E271="WL-03390"))),"PRIORITY 1",IF(A271="SKIP","PRIORITY 2","PRIORITY 3"))))</f>
        <v>NONE</v>
      </c>
      <c r="S271" s="23"/>
      <c r="T271" s="23" t="s">
        <v>1659</v>
      </c>
      <c r="U271" s="23" t="s">
        <v>86</v>
      </c>
    </row>
    <row r="272" customFormat="false" ht="17.9" hidden="false" customHeight="false" outlineLevel="0" collapsed="false">
      <c r="A272" s="20" t="s">
        <v>73</v>
      </c>
      <c r="B272" s="21" t="n">
        <v>46113</v>
      </c>
      <c r="C272" s="20" t="s">
        <v>1660</v>
      </c>
      <c r="D272" s="20" t="s">
        <v>1661</v>
      </c>
      <c r="E272" s="20" t="s">
        <v>1662</v>
      </c>
      <c r="F272" s="20" t="s">
        <v>1663</v>
      </c>
      <c r="G272" s="20" t="n">
        <v>84</v>
      </c>
      <c r="H272" s="20" t="s">
        <v>1664</v>
      </c>
      <c r="I272" s="20" t="s">
        <v>166</v>
      </c>
      <c r="J272" s="20" t="s">
        <v>132</v>
      </c>
      <c r="K272" s="22"/>
      <c r="L272" s="22"/>
      <c r="M272" s="20" t="s">
        <v>81</v>
      </c>
      <c r="N272" s="23" t="s">
        <v>140</v>
      </c>
      <c r="O272" s="23" t="s">
        <v>133</v>
      </c>
      <c r="P272" s="23" t="s">
        <v>84</v>
      </c>
      <c r="Q272" s="23" t="str">
        <f aca="false">IF(A272="UNDATED LEAD","UNRESOLVED",IF(M272="N","EXCEPTION",IF(A272="SKIP",IF(ISNUMBER(SEARCH("_skip_justification.pdf",N272)),"CLEAR - FILE VERIFIED","CLEAR ON EXPORT"),"CLEAR ON LOG")))</f>
        <v>CLEAR ON EXPORT</v>
      </c>
      <c r="R272" s="23" t="str">
        <f aca="false">IF(Q272="UNRESOLVED","PRIORITY 1 - OBTAIN FILE",IF(Q272&lt;&gt;"EXCEPTION","NONE",IF(OR(AND(A272="LOA AMENDMENT",P272="UNRESOLVED USE"),AND(A272="SKIP",OR(E272="WL-02618",E272="WL-03044",E272="WL-03390"))),"PRIORITY 1",IF(A272="SKIP","PRIORITY 2","PRIORITY 3"))))</f>
        <v>NONE</v>
      </c>
      <c r="S272" s="23"/>
      <c r="T272" s="23" t="s">
        <v>1665</v>
      </c>
      <c r="U272" s="23" t="s">
        <v>86</v>
      </c>
    </row>
    <row r="273" customFormat="false" ht="17.9" hidden="false" customHeight="false" outlineLevel="0" collapsed="false">
      <c r="A273" s="20" t="s">
        <v>73</v>
      </c>
      <c r="B273" s="21" t="n">
        <v>46113</v>
      </c>
      <c r="C273" s="20" t="s">
        <v>1666</v>
      </c>
      <c r="D273" s="20" t="s">
        <v>1667</v>
      </c>
      <c r="E273" s="20" t="s">
        <v>1668</v>
      </c>
      <c r="F273" s="20" t="s">
        <v>1669</v>
      </c>
      <c r="G273" s="20" t="n">
        <v>1766</v>
      </c>
      <c r="H273" s="20" t="s">
        <v>1670</v>
      </c>
      <c r="I273" s="20" t="s">
        <v>166</v>
      </c>
      <c r="J273" s="20" t="s">
        <v>100</v>
      </c>
      <c r="K273" s="22"/>
      <c r="L273" s="22"/>
      <c r="M273" s="20" t="s">
        <v>81</v>
      </c>
      <c r="N273" s="23" t="s">
        <v>92</v>
      </c>
      <c r="O273" s="23" t="s">
        <v>102</v>
      </c>
      <c r="P273" s="23" t="s">
        <v>84</v>
      </c>
      <c r="Q273" s="23" t="str">
        <f aca="false">IF(A273="UNDATED LEAD","UNRESOLVED",IF(M273="N","EXCEPTION",IF(A273="SKIP",IF(ISNUMBER(SEARCH("_skip_justification.pdf",N273)),"CLEAR - FILE VERIFIED","CLEAR ON EXPORT"),"CLEAR ON LOG")))</f>
        <v>CLEAR ON EXPORT</v>
      </c>
      <c r="R273" s="23" t="str">
        <f aca="false">IF(Q273="UNRESOLVED","PRIORITY 1 - OBTAIN FILE",IF(Q273&lt;&gt;"EXCEPTION","NONE",IF(OR(AND(A273="LOA AMENDMENT",P273="UNRESOLVED USE"),AND(A273="SKIP",OR(E273="WL-02618",E273="WL-03044",E273="WL-03390"))),"PRIORITY 1",IF(A273="SKIP","PRIORITY 2","PRIORITY 3"))))</f>
        <v>NONE</v>
      </c>
      <c r="S273" s="23"/>
      <c r="T273" s="23" t="s">
        <v>1671</v>
      </c>
      <c r="U273" s="23" t="s">
        <v>86</v>
      </c>
    </row>
    <row r="274" customFormat="false" ht="17.9" hidden="false" customHeight="false" outlineLevel="0" collapsed="false">
      <c r="A274" s="20" t="s">
        <v>73</v>
      </c>
      <c r="B274" s="21" t="n">
        <v>46114</v>
      </c>
      <c r="C274" s="20" t="s">
        <v>1672</v>
      </c>
      <c r="D274" s="20" t="s">
        <v>1673</v>
      </c>
      <c r="E274" s="20" t="s">
        <v>1674</v>
      </c>
      <c r="F274" s="20" t="s">
        <v>1675</v>
      </c>
      <c r="G274" s="20" t="n">
        <v>288</v>
      </c>
      <c r="H274" s="20" t="s">
        <v>1676</v>
      </c>
      <c r="I274" s="20" t="s">
        <v>99</v>
      </c>
      <c r="J274" s="20" t="s">
        <v>132</v>
      </c>
      <c r="K274" s="22"/>
      <c r="L274" s="22"/>
      <c r="M274" s="20" t="s">
        <v>81</v>
      </c>
      <c r="N274" s="23" t="s">
        <v>92</v>
      </c>
      <c r="O274" s="23" t="s">
        <v>133</v>
      </c>
      <c r="P274" s="23" t="s">
        <v>84</v>
      </c>
      <c r="Q274" s="23" t="str">
        <f aca="false">IF(A274="UNDATED LEAD","UNRESOLVED",IF(M274="N","EXCEPTION",IF(A274="SKIP",IF(ISNUMBER(SEARCH("_skip_justification.pdf",N274)),"CLEAR - FILE VERIFIED","CLEAR ON EXPORT"),"CLEAR ON LOG")))</f>
        <v>CLEAR ON EXPORT</v>
      </c>
      <c r="R274" s="23" t="str">
        <f aca="false">IF(Q274="UNRESOLVED","PRIORITY 1 - OBTAIN FILE",IF(Q274&lt;&gt;"EXCEPTION","NONE",IF(OR(AND(A274="LOA AMENDMENT",P274="UNRESOLVED USE"),AND(A274="SKIP",OR(E274="WL-02618",E274="WL-03044",E274="WL-03390"))),"PRIORITY 1",IF(A274="SKIP","PRIORITY 2","PRIORITY 3"))))</f>
        <v>NONE</v>
      </c>
      <c r="S274" s="23"/>
      <c r="T274" s="23" t="s">
        <v>1677</v>
      </c>
      <c r="U274" s="23" t="s">
        <v>86</v>
      </c>
    </row>
    <row r="275" customFormat="false" ht="17.9" hidden="false" customHeight="false" outlineLevel="0" collapsed="false">
      <c r="A275" s="20" t="s">
        <v>73</v>
      </c>
      <c r="B275" s="21" t="n">
        <v>46116</v>
      </c>
      <c r="C275" s="20" t="s">
        <v>1678</v>
      </c>
      <c r="D275" s="20" t="s">
        <v>1679</v>
      </c>
      <c r="E275" s="20" t="s">
        <v>1680</v>
      </c>
      <c r="F275" s="20" t="s">
        <v>1681</v>
      </c>
      <c r="G275" s="20" t="n">
        <v>283</v>
      </c>
      <c r="H275" s="20" t="s">
        <v>1682</v>
      </c>
      <c r="I275" s="20" t="s">
        <v>166</v>
      </c>
      <c r="J275" s="20" t="s">
        <v>80</v>
      </c>
      <c r="K275" s="22"/>
      <c r="L275" s="22"/>
      <c r="M275" s="20" t="s">
        <v>81</v>
      </c>
      <c r="N275" s="23" t="s">
        <v>92</v>
      </c>
      <c r="O275" s="23" t="s">
        <v>83</v>
      </c>
      <c r="P275" s="23" t="s">
        <v>84</v>
      </c>
      <c r="Q275" s="23" t="str">
        <f aca="false">IF(A275="UNDATED LEAD","UNRESOLVED",IF(M275="N","EXCEPTION",IF(A275="SKIP",IF(ISNUMBER(SEARCH("_skip_justification.pdf",N275)),"CLEAR - FILE VERIFIED","CLEAR ON EXPORT"),"CLEAR ON LOG")))</f>
        <v>CLEAR ON EXPORT</v>
      </c>
      <c r="R275" s="23" t="str">
        <f aca="false">IF(Q275="UNRESOLVED","PRIORITY 1 - OBTAIN FILE",IF(Q275&lt;&gt;"EXCEPTION","NONE",IF(OR(AND(A275="LOA AMENDMENT",P275="UNRESOLVED USE"),AND(A275="SKIP",OR(E275="WL-02618",E275="WL-03044",E275="WL-03390"))),"PRIORITY 1",IF(A275="SKIP","PRIORITY 2","PRIORITY 3"))))</f>
        <v>NONE</v>
      </c>
      <c r="S275" s="23"/>
      <c r="T275" s="23" t="s">
        <v>1683</v>
      </c>
      <c r="U275" s="23" t="s">
        <v>86</v>
      </c>
    </row>
    <row r="276" customFormat="false" ht="17.9" hidden="false" customHeight="false" outlineLevel="0" collapsed="false">
      <c r="A276" s="20" t="s">
        <v>73</v>
      </c>
      <c r="B276" s="21" t="n">
        <v>46117</v>
      </c>
      <c r="C276" s="20" t="s">
        <v>1684</v>
      </c>
      <c r="D276" s="20" t="s">
        <v>1685</v>
      </c>
      <c r="E276" s="20" t="s">
        <v>1686</v>
      </c>
      <c r="F276" s="20" t="s">
        <v>1687</v>
      </c>
      <c r="G276" s="20" t="n">
        <v>2306</v>
      </c>
      <c r="H276" s="20" t="s">
        <v>1688</v>
      </c>
      <c r="I276" s="20" t="s">
        <v>166</v>
      </c>
      <c r="J276" s="20" t="s">
        <v>132</v>
      </c>
      <c r="K276" s="22"/>
      <c r="L276" s="22"/>
      <c r="M276" s="20" t="s">
        <v>81</v>
      </c>
      <c r="N276" s="23" t="s">
        <v>140</v>
      </c>
      <c r="O276" s="23" t="s">
        <v>133</v>
      </c>
      <c r="P276" s="23" t="s">
        <v>84</v>
      </c>
      <c r="Q276" s="23" t="str">
        <f aca="false">IF(A276="UNDATED LEAD","UNRESOLVED",IF(M276="N","EXCEPTION",IF(A276="SKIP",IF(ISNUMBER(SEARCH("_skip_justification.pdf",N276)),"CLEAR - FILE VERIFIED","CLEAR ON EXPORT"),"CLEAR ON LOG")))</f>
        <v>CLEAR ON EXPORT</v>
      </c>
      <c r="R276" s="23" t="str">
        <f aca="false">IF(Q276="UNRESOLVED","PRIORITY 1 - OBTAIN FILE",IF(Q276&lt;&gt;"EXCEPTION","NONE",IF(OR(AND(A276="LOA AMENDMENT",P276="UNRESOLVED USE"),AND(A276="SKIP",OR(E276="WL-02618",E276="WL-03044",E276="WL-03390"))),"PRIORITY 1",IF(A276="SKIP","PRIORITY 2","PRIORITY 3"))))</f>
        <v>NONE</v>
      </c>
      <c r="S276" s="23"/>
      <c r="T276" s="23" t="s">
        <v>1689</v>
      </c>
      <c r="U276" s="23" t="s">
        <v>86</v>
      </c>
    </row>
    <row r="277" customFormat="false" ht="17.9" hidden="false" customHeight="false" outlineLevel="0" collapsed="false">
      <c r="A277" s="20" t="s">
        <v>73</v>
      </c>
      <c r="B277" s="21" t="n">
        <v>46117</v>
      </c>
      <c r="C277" s="20" t="s">
        <v>1690</v>
      </c>
      <c r="D277" s="20" t="s">
        <v>1691</v>
      </c>
      <c r="E277" s="20" t="s">
        <v>1692</v>
      </c>
      <c r="F277" s="20" t="s">
        <v>1693</v>
      </c>
      <c r="G277" s="20" t="n">
        <v>2088</v>
      </c>
      <c r="H277" s="20" t="s">
        <v>1694</v>
      </c>
      <c r="I277" s="20" t="s">
        <v>166</v>
      </c>
      <c r="J277" s="20" t="s">
        <v>132</v>
      </c>
      <c r="K277" s="22"/>
      <c r="L277" s="22"/>
      <c r="M277" s="20" t="s">
        <v>81</v>
      </c>
      <c r="N277" s="23" t="s">
        <v>82</v>
      </c>
      <c r="O277" s="23" t="s">
        <v>133</v>
      </c>
      <c r="P277" s="23" t="s">
        <v>84</v>
      </c>
      <c r="Q277" s="23" t="str">
        <f aca="false">IF(A277="UNDATED LEAD","UNRESOLVED",IF(M277="N","EXCEPTION",IF(A277="SKIP",IF(ISNUMBER(SEARCH("_skip_justification.pdf",N277)),"CLEAR - FILE VERIFIED","CLEAR ON EXPORT"),"CLEAR ON LOG")))</f>
        <v>CLEAR ON EXPORT</v>
      </c>
      <c r="R277" s="23" t="str">
        <f aca="false">IF(Q277="UNRESOLVED","PRIORITY 1 - OBTAIN FILE",IF(Q277&lt;&gt;"EXCEPTION","NONE",IF(OR(AND(A277="LOA AMENDMENT",P277="UNRESOLVED USE"),AND(A277="SKIP",OR(E277="WL-02618",E277="WL-03044",E277="WL-03390"))),"PRIORITY 1",IF(A277="SKIP","PRIORITY 2","PRIORITY 3"))))</f>
        <v>NONE</v>
      </c>
      <c r="S277" s="23"/>
      <c r="T277" s="23" t="s">
        <v>1695</v>
      </c>
      <c r="U277" s="23" t="s">
        <v>86</v>
      </c>
    </row>
    <row r="278" customFormat="false" ht="17.9" hidden="false" customHeight="false" outlineLevel="0" collapsed="false">
      <c r="A278" s="20" t="s">
        <v>73</v>
      </c>
      <c r="B278" s="21" t="n">
        <v>46118</v>
      </c>
      <c r="C278" s="20" t="s">
        <v>1696</v>
      </c>
      <c r="D278" s="20" t="s">
        <v>1697</v>
      </c>
      <c r="E278" s="20" t="s">
        <v>1698</v>
      </c>
      <c r="F278" s="20" t="s">
        <v>1699</v>
      </c>
      <c r="G278" s="20" t="n">
        <v>1353</v>
      </c>
      <c r="H278" s="20" t="s">
        <v>1700</v>
      </c>
      <c r="I278" s="20" t="s">
        <v>79</v>
      </c>
      <c r="J278" s="20" t="s">
        <v>147</v>
      </c>
      <c r="K278" s="22"/>
      <c r="L278" s="22"/>
      <c r="M278" s="20" t="s">
        <v>81</v>
      </c>
      <c r="N278" s="23" t="s">
        <v>92</v>
      </c>
      <c r="O278" s="23" t="s">
        <v>148</v>
      </c>
      <c r="P278" s="23" t="s">
        <v>84</v>
      </c>
      <c r="Q278" s="23" t="str">
        <f aca="false">IF(A278="UNDATED LEAD","UNRESOLVED",IF(M278="N","EXCEPTION",IF(A278="SKIP",IF(ISNUMBER(SEARCH("_skip_justification.pdf",N278)),"CLEAR - FILE VERIFIED","CLEAR ON EXPORT"),"CLEAR ON LOG")))</f>
        <v>CLEAR ON EXPORT</v>
      </c>
      <c r="R278" s="23" t="str">
        <f aca="false">IF(Q278="UNRESOLVED","PRIORITY 1 - OBTAIN FILE",IF(Q278&lt;&gt;"EXCEPTION","NONE",IF(OR(AND(A278="LOA AMENDMENT",P278="UNRESOLVED USE"),AND(A278="SKIP",OR(E278="WL-02618",E278="WL-03044",E278="WL-03390"))),"PRIORITY 1",IF(A278="SKIP","PRIORITY 2","PRIORITY 3"))))</f>
        <v>NONE</v>
      </c>
      <c r="S278" s="23"/>
      <c r="T278" s="23" t="s">
        <v>1701</v>
      </c>
      <c r="U278" s="23" t="s">
        <v>86</v>
      </c>
    </row>
    <row r="279" customFormat="false" ht="17.9" hidden="false" customHeight="false" outlineLevel="0" collapsed="false">
      <c r="A279" s="20" t="s">
        <v>73</v>
      </c>
      <c r="B279" s="21" t="n">
        <v>46119</v>
      </c>
      <c r="C279" s="20" t="s">
        <v>1702</v>
      </c>
      <c r="D279" s="20" t="s">
        <v>1703</v>
      </c>
      <c r="E279" s="20" t="s">
        <v>1704</v>
      </c>
      <c r="F279" s="20" t="s">
        <v>1705</v>
      </c>
      <c r="G279" s="20" t="n">
        <v>1639</v>
      </c>
      <c r="H279" s="20" t="s">
        <v>1706</v>
      </c>
      <c r="I279" s="20" t="s">
        <v>79</v>
      </c>
      <c r="J279" s="20" t="s">
        <v>80</v>
      </c>
      <c r="K279" s="22"/>
      <c r="L279" s="22"/>
      <c r="M279" s="20" t="s">
        <v>81</v>
      </c>
      <c r="N279" s="23" t="s">
        <v>140</v>
      </c>
      <c r="O279" s="23" t="s">
        <v>83</v>
      </c>
      <c r="P279" s="23" t="s">
        <v>84</v>
      </c>
      <c r="Q279" s="23" t="str">
        <f aca="false">IF(A279="UNDATED LEAD","UNRESOLVED",IF(M279="N","EXCEPTION",IF(A279="SKIP",IF(ISNUMBER(SEARCH("_skip_justification.pdf",N279)),"CLEAR - FILE VERIFIED","CLEAR ON EXPORT"),"CLEAR ON LOG")))</f>
        <v>CLEAR ON EXPORT</v>
      </c>
      <c r="R279" s="23" t="str">
        <f aca="false">IF(Q279="UNRESOLVED","PRIORITY 1 - OBTAIN FILE",IF(Q279&lt;&gt;"EXCEPTION","NONE",IF(OR(AND(A279="LOA AMENDMENT",P279="UNRESOLVED USE"),AND(A279="SKIP",OR(E279="WL-02618",E279="WL-03044",E279="WL-03390"))),"PRIORITY 1",IF(A279="SKIP","PRIORITY 2","PRIORITY 3"))))</f>
        <v>NONE</v>
      </c>
      <c r="S279" s="23"/>
      <c r="T279" s="23" t="s">
        <v>1707</v>
      </c>
      <c r="U279" s="23" t="s">
        <v>86</v>
      </c>
    </row>
    <row r="280" customFormat="false" ht="17.9" hidden="false" customHeight="false" outlineLevel="0" collapsed="false">
      <c r="A280" s="20" t="s">
        <v>73</v>
      </c>
      <c r="B280" s="21" t="n">
        <v>46124</v>
      </c>
      <c r="C280" s="20" t="s">
        <v>1708</v>
      </c>
      <c r="D280" s="20" t="s">
        <v>1709</v>
      </c>
      <c r="E280" s="20" t="s">
        <v>1710</v>
      </c>
      <c r="F280" s="20" t="s">
        <v>1711</v>
      </c>
      <c r="G280" s="20" t="n">
        <v>2139</v>
      </c>
      <c r="H280" s="20" t="s">
        <v>1712</v>
      </c>
      <c r="I280" s="20" t="s">
        <v>119</v>
      </c>
      <c r="J280" s="20" t="s">
        <v>132</v>
      </c>
      <c r="K280" s="22"/>
      <c r="L280" s="22"/>
      <c r="M280" s="20" t="s">
        <v>81</v>
      </c>
      <c r="N280" s="23" t="s">
        <v>140</v>
      </c>
      <c r="O280" s="23" t="s">
        <v>133</v>
      </c>
      <c r="P280" s="23" t="s">
        <v>84</v>
      </c>
      <c r="Q280" s="23" t="str">
        <f aca="false">IF(A280="UNDATED LEAD","UNRESOLVED",IF(M280="N","EXCEPTION",IF(A280="SKIP",IF(ISNUMBER(SEARCH("_skip_justification.pdf",N280)),"CLEAR - FILE VERIFIED","CLEAR ON EXPORT"),"CLEAR ON LOG")))</f>
        <v>CLEAR ON EXPORT</v>
      </c>
      <c r="R280" s="23" t="str">
        <f aca="false">IF(Q280="UNRESOLVED","PRIORITY 1 - OBTAIN FILE",IF(Q280&lt;&gt;"EXCEPTION","NONE",IF(OR(AND(A280="LOA AMENDMENT",P280="UNRESOLVED USE"),AND(A280="SKIP",OR(E280="WL-02618",E280="WL-03044",E280="WL-03390"))),"PRIORITY 1",IF(A280="SKIP","PRIORITY 2","PRIORITY 3"))))</f>
        <v>NONE</v>
      </c>
      <c r="S280" s="23"/>
      <c r="T280" s="23" t="s">
        <v>1713</v>
      </c>
      <c r="U280" s="23" t="s">
        <v>86</v>
      </c>
    </row>
    <row r="281" customFormat="false" ht="17.9" hidden="false" customHeight="false" outlineLevel="0" collapsed="false">
      <c r="A281" s="20" t="s">
        <v>73</v>
      </c>
      <c r="B281" s="21" t="n">
        <v>46125</v>
      </c>
      <c r="C281" s="20" t="s">
        <v>1714</v>
      </c>
      <c r="D281" s="20" t="s">
        <v>1715</v>
      </c>
      <c r="E281" s="20" t="s">
        <v>1716</v>
      </c>
      <c r="F281" s="20" t="s">
        <v>1717</v>
      </c>
      <c r="G281" s="20" t="n">
        <v>1120</v>
      </c>
      <c r="H281" s="20" t="s">
        <v>1718</v>
      </c>
      <c r="I281" s="20" t="s">
        <v>79</v>
      </c>
      <c r="J281" s="20" t="s">
        <v>80</v>
      </c>
      <c r="K281" s="22"/>
      <c r="L281" s="22"/>
      <c r="M281" s="20" t="s">
        <v>81</v>
      </c>
      <c r="N281" s="23" t="s">
        <v>92</v>
      </c>
      <c r="O281" s="23" t="s">
        <v>83</v>
      </c>
      <c r="P281" s="23" t="s">
        <v>84</v>
      </c>
      <c r="Q281" s="23" t="str">
        <f aca="false">IF(A281="UNDATED LEAD","UNRESOLVED",IF(M281="N","EXCEPTION",IF(A281="SKIP",IF(ISNUMBER(SEARCH("_skip_justification.pdf",N281)),"CLEAR - FILE VERIFIED","CLEAR ON EXPORT"),"CLEAR ON LOG")))</f>
        <v>CLEAR ON EXPORT</v>
      </c>
      <c r="R281" s="23" t="str">
        <f aca="false">IF(Q281="UNRESOLVED","PRIORITY 1 - OBTAIN FILE",IF(Q281&lt;&gt;"EXCEPTION","NONE",IF(OR(AND(A281="LOA AMENDMENT",P281="UNRESOLVED USE"),AND(A281="SKIP",OR(E281="WL-02618",E281="WL-03044",E281="WL-03390"))),"PRIORITY 1",IF(A281="SKIP","PRIORITY 2","PRIORITY 3"))))</f>
        <v>NONE</v>
      </c>
      <c r="S281" s="23"/>
      <c r="T281" s="23" t="s">
        <v>1719</v>
      </c>
      <c r="U281" s="23" t="s">
        <v>86</v>
      </c>
    </row>
    <row r="282" customFormat="false" ht="17.9" hidden="false" customHeight="false" outlineLevel="0" collapsed="false">
      <c r="A282" s="20" t="s">
        <v>73</v>
      </c>
      <c r="B282" s="21" t="n">
        <v>46129</v>
      </c>
      <c r="C282" s="20" t="s">
        <v>1720</v>
      </c>
      <c r="D282" s="20" t="s">
        <v>1721</v>
      </c>
      <c r="E282" s="20" t="s">
        <v>445</v>
      </c>
      <c r="F282" s="20" t="s">
        <v>446</v>
      </c>
      <c r="G282" s="20" t="n">
        <v>1706</v>
      </c>
      <c r="H282" s="20" t="s">
        <v>1722</v>
      </c>
      <c r="I282" s="20" t="s">
        <v>119</v>
      </c>
      <c r="J282" s="20" t="s">
        <v>100</v>
      </c>
      <c r="K282" s="22"/>
      <c r="L282" s="22"/>
      <c r="M282" s="20" t="s">
        <v>81</v>
      </c>
      <c r="N282" s="23" t="s">
        <v>140</v>
      </c>
      <c r="O282" s="23" t="s">
        <v>102</v>
      </c>
      <c r="P282" s="23" t="s">
        <v>84</v>
      </c>
      <c r="Q282" s="23" t="str">
        <f aca="false">IF(A282="UNDATED LEAD","UNRESOLVED",IF(M282="N","EXCEPTION",IF(A282="SKIP",IF(ISNUMBER(SEARCH("_skip_justification.pdf",N282)),"CLEAR - FILE VERIFIED","CLEAR ON EXPORT"),"CLEAR ON LOG")))</f>
        <v>CLEAR ON EXPORT</v>
      </c>
      <c r="R282" s="23" t="str">
        <f aca="false">IF(Q282="UNRESOLVED","PRIORITY 1 - OBTAIN FILE",IF(Q282&lt;&gt;"EXCEPTION","NONE",IF(OR(AND(A282="LOA AMENDMENT",P282="UNRESOLVED USE"),AND(A282="SKIP",OR(E282="WL-02618",E282="WL-03044",E282="WL-03390"))),"PRIORITY 1",IF(A282="SKIP","PRIORITY 2","PRIORITY 3"))))</f>
        <v>NONE</v>
      </c>
      <c r="S282" s="23"/>
      <c r="T282" s="23" t="s">
        <v>1723</v>
      </c>
      <c r="U282" s="23" t="s">
        <v>86</v>
      </c>
    </row>
    <row r="283" customFormat="false" ht="17.9" hidden="false" customHeight="false" outlineLevel="0" collapsed="false">
      <c r="A283" s="20" t="s">
        <v>73</v>
      </c>
      <c r="B283" s="21" t="n">
        <v>46131</v>
      </c>
      <c r="C283" s="20" t="s">
        <v>1724</v>
      </c>
      <c r="D283" s="20" t="s">
        <v>1725</v>
      </c>
      <c r="E283" s="20" t="s">
        <v>1726</v>
      </c>
      <c r="F283" s="20" t="s">
        <v>1727</v>
      </c>
      <c r="G283" s="20" t="n">
        <v>1504</v>
      </c>
      <c r="H283" s="20" t="s">
        <v>1728</v>
      </c>
      <c r="I283" s="20" t="s">
        <v>166</v>
      </c>
      <c r="J283" s="20" t="s">
        <v>100</v>
      </c>
      <c r="K283" s="22"/>
      <c r="L283" s="22"/>
      <c r="M283" s="20" t="s">
        <v>81</v>
      </c>
      <c r="N283" s="23" t="s">
        <v>92</v>
      </c>
      <c r="O283" s="23" t="s">
        <v>102</v>
      </c>
      <c r="P283" s="23" t="s">
        <v>84</v>
      </c>
      <c r="Q283" s="23" t="str">
        <f aca="false">IF(A283="UNDATED LEAD","UNRESOLVED",IF(M283="N","EXCEPTION",IF(A283="SKIP",IF(ISNUMBER(SEARCH("_skip_justification.pdf",N283)),"CLEAR - FILE VERIFIED","CLEAR ON EXPORT"),"CLEAR ON LOG")))</f>
        <v>CLEAR ON EXPORT</v>
      </c>
      <c r="R283" s="23" t="str">
        <f aca="false">IF(Q283="UNRESOLVED","PRIORITY 1 - OBTAIN FILE",IF(Q283&lt;&gt;"EXCEPTION","NONE",IF(OR(AND(A283="LOA AMENDMENT",P283="UNRESOLVED USE"),AND(A283="SKIP",OR(E283="WL-02618",E283="WL-03044",E283="WL-03390"))),"PRIORITY 1",IF(A283="SKIP","PRIORITY 2","PRIORITY 3"))))</f>
        <v>NONE</v>
      </c>
      <c r="S283" s="23"/>
      <c r="T283" s="23" t="s">
        <v>1729</v>
      </c>
      <c r="U283" s="23" t="s">
        <v>86</v>
      </c>
    </row>
    <row r="284" customFormat="false" ht="17.9" hidden="false" customHeight="false" outlineLevel="0" collapsed="false">
      <c r="A284" s="20" t="s">
        <v>73</v>
      </c>
      <c r="B284" s="21" t="n">
        <v>46144</v>
      </c>
      <c r="C284" s="20" t="s">
        <v>1730</v>
      </c>
      <c r="D284" s="20" t="s">
        <v>1731</v>
      </c>
      <c r="E284" s="20" t="s">
        <v>1732</v>
      </c>
      <c r="F284" s="20" t="s">
        <v>1733</v>
      </c>
      <c r="G284" s="20" t="n">
        <v>1671</v>
      </c>
      <c r="H284" s="20" t="s">
        <v>1734</v>
      </c>
      <c r="I284" s="20" t="s">
        <v>79</v>
      </c>
      <c r="J284" s="20" t="s">
        <v>80</v>
      </c>
      <c r="K284" s="22"/>
      <c r="L284" s="22"/>
      <c r="M284" s="20" t="s">
        <v>81</v>
      </c>
      <c r="N284" s="23" t="s">
        <v>140</v>
      </c>
      <c r="O284" s="23" t="s">
        <v>83</v>
      </c>
      <c r="P284" s="23" t="s">
        <v>84</v>
      </c>
      <c r="Q284" s="23" t="str">
        <f aca="false">IF(A284="UNDATED LEAD","UNRESOLVED",IF(M284="N","EXCEPTION",IF(A284="SKIP",IF(ISNUMBER(SEARCH("_skip_justification.pdf",N284)),"CLEAR - FILE VERIFIED","CLEAR ON EXPORT"),"CLEAR ON LOG")))</f>
        <v>CLEAR ON EXPORT</v>
      </c>
      <c r="R284" s="23" t="str">
        <f aca="false">IF(Q284="UNRESOLVED","PRIORITY 1 - OBTAIN FILE",IF(Q284&lt;&gt;"EXCEPTION","NONE",IF(OR(AND(A284="LOA AMENDMENT",P284="UNRESOLVED USE"),AND(A284="SKIP",OR(E284="WL-02618",E284="WL-03044",E284="WL-03390"))),"PRIORITY 1",IF(A284="SKIP","PRIORITY 2","PRIORITY 3"))))</f>
        <v>NONE</v>
      </c>
      <c r="S284" s="23"/>
      <c r="T284" s="23" t="s">
        <v>1735</v>
      </c>
      <c r="U284" s="23" t="s">
        <v>86</v>
      </c>
    </row>
    <row r="285" customFormat="false" ht="17.9" hidden="false" customHeight="false" outlineLevel="0" collapsed="false">
      <c r="A285" s="20" t="s">
        <v>73</v>
      </c>
      <c r="B285" s="21" t="n">
        <v>46144</v>
      </c>
      <c r="C285" s="20" t="s">
        <v>1736</v>
      </c>
      <c r="D285" s="20" t="s">
        <v>1737</v>
      </c>
      <c r="E285" s="20" t="s">
        <v>1738</v>
      </c>
      <c r="F285" s="20" t="s">
        <v>1739</v>
      </c>
      <c r="G285" s="20" t="n">
        <v>2152</v>
      </c>
      <c r="H285" s="20" t="s">
        <v>447</v>
      </c>
      <c r="I285" s="20" t="s">
        <v>79</v>
      </c>
      <c r="J285" s="20" t="s">
        <v>147</v>
      </c>
      <c r="K285" s="22"/>
      <c r="L285" s="22"/>
      <c r="M285" s="20" t="s">
        <v>81</v>
      </c>
      <c r="N285" s="23" t="s">
        <v>82</v>
      </c>
      <c r="O285" s="23" t="s">
        <v>148</v>
      </c>
      <c r="P285" s="23" t="s">
        <v>84</v>
      </c>
      <c r="Q285" s="23" t="str">
        <f aca="false">IF(A285="UNDATED LEAD","UNRESOLVED",IF(M285="N","EXCEPTION",IF(A285="SKIP",IF(ISNUMBER(SEARCH("_skip_justification.pdf",N285)),"CLEAR - FILE VERIFIED","CLEAR ON EXPORT"),"CLEAR ON LOG")))</f>
        <v>CLEAR ON EXPORT</v>
      </c>
      <c r="R285" s="23" t="str">
        <f aca="false">IF(Q285="UNRESOLVED","PRIORITY 1 - OBTAIN FILE",IF(Q285&lt;&gt;"EXCEPTION","NONE",IF(OR(AND(A285="LOA AMENDMENT",P285="UNRESOLVED USE"),AND(A285="SKIP",OR(E285="WL-02618",E285="WL-03044",E285="WL-03390"))),"PRIORITY 1",IF(A285="SKIP","PRIORITY 2","PRIORITY 3"))))</f>
        <v>NONE</v>
      </c>
      <c r="S285" s="23"/>
      <c r="T285" s="23" t="s">
        <v>1740</v>
      </c>
      <c r="U285" s="23" t="s">
        <v>86</v>
      </c>
    </row>
    <row r="286" customFormat="false" ht="17.9" hidden="false" customHeight="false" outlineLevel="0" collapsed="false">
      <c r="A286" s="20" t="s">
        <v>73</v>
      </c>
      <c r="B286" s="21" t="n">
        <v>46148</v>
      </c>
      <c r="C286" s="20" t="s">
        <v>1741</v>
      </c>
      <c r="D286" s="20" t="s">
        <v>1742</v>
      </c>
      <c r="E286" s="20" t="s">
        <v>1743</v>
      </c>
      <c r="F286" s="20" t="s">
        <v>1744</v>
      </c>
      <c r="G286" s="20" t="n">
        <v>205</v>
      </c>
      <c r="H286" s="20" t="s">
        <v>1745</v>
      </c>
      <c r="I286" s="20" t="s">
        <v>119</v>
      </c>
      <c r="J286" s="20" t="s">
        <v>147</v>
      </c>
      <c r="K286" s="22"/>
      <c r="L286" s="22"/>
      <c r="M286" s="20" t="s">
        <v>81</v>
      </c>
      <c r="N286" s="23" t="s">
        <v>101</v>
      </c>
      <c r="O286" s="23" t="s">
        <v>148</v>
      </c>
      <c r="P286" s="23" t="s">
        <v>84</v>
      </c>
      <c r="Q286" s="23" t="str">
        <f aca="false">IF(A286="UNDATED LEAD","UNRESOLVED",IF(M286="N","EXCEPTION",IF(A286="SKIP",IF(ISNUMBER(SEARCH("_skip_justification.pdf",N286)),"CLEAR - FILE VERIFIED","CLEAR ON EXPORT"),"CLEAR ON LOG")))</f>
        <v>CLEAR ON EXPORT</v>
      </c>
      <c r="R286" s="23" t="str">
        <f aca="false">IF(Q286="UNRESOLVED","PRIORITY 1 - OBTAIN FILE",IF(Q286&lt;&gt;"EXCEPTION","NONE",IF(OR(AND(A286="LOA AMENDMENT",P286="UNRESOLVED USE"),AND(A286="SKIP",OR(E286="WL-02618",E286="WL-03044",E286="WL-03390"))),"PRIORITY 1",IF(A286="SKIP","PRIORITY 2","PRIORITY 3"))))</f>
        <v>NONE</v>
      </c>
      <c r="S286" s="23"/>
      <c r="T286" s="23" t="s">
        <v>1746</v>
      </c>
      <c r="U286" s="23" t="s">
        <v>86</v>
      </c>
    </row>
    <row r="287" customFormat="false" ht="17.9" hidden="false" customHeight="false" outlineLevel="0" collapsed="false">
      <c r="A287" s="20" t="s">
        <v>73</v>
      </c>
      <c r="B287" s="21" t="n">
        <v>46150</v>
      </c>
      <c r="C287" s="20" t="s">
        <v>1747</v>
      </c>
      <c r="D287" s="20" t="s">
        <v>1748</v>
      </c>
      <c r="E287" s="20" t="s">
        <v>1749</v>
      </c>
      <c r="F287" s="20" t="s">
        <v>1750</v>
      </c>
      <c r="G287" s="20" t="n">
        <v>2896</v>
      </c>
      <c r="H287" s="20" t="s">
        <v>367</v>
      </c>
      <c r="I287" s="20" t="s">
        <v>79</v>
      </c>
      <c r="J287" s="20" t="s">
        <v>80</v>
      </c>
      <c r="K287" s="22"/>
      <c r="L287" s="22"/>
      <c r="M287" s="20" t="s">
        <v>110</v>
      </c>
      <c r="N287" s="23" t="s">
        <v>167</v>
      </c>
      <c r="O287" s="23" t="s">
        <v>83</v>
      </c>
      <c r="P287" s="23" t="s">
        <v>84</v>
      </c>
      <c r="Q287" s="23" t="str">
        <f aca="false">IF(A287="UNDATED LEAD","UNRESOLVED",IF(M287="N","EXCEPTION",IF(A287="SKIP",IF(ISNUMBER(SEARCH("_skip_justification.pdf",N287)),"CLEAR - FILE VERIFIED","CLEAR ON EXPORT"),"CLEAR ON LOG")))</f>
        <v>EXCEPTION</v>
      </c>
      <c r="R287" s="23" t="str">
        <f aca="false">IF(Q287="UNRESOLVED","PRIORITY 1 - OBTAIN FILE",IF(Q287&lt;&gt;"EXCEPTION","NONE",IF(OR(AND(A287="LOA AMENDMENT",P287="UNRESOLVED USE"),AND(A287="SKIP",OR(E287="WL-02618",E287="WL-03044",E287="WL-03390"))),"PRIORITY 1",IF(A287="SKIP","PRIORITY 2","PRIORITY 3"))))</f>
        <v>PRIORITY 2</v>
      </c>
      <c r="S287" s="23" t="s">
        <v>1751</v>
      </c>
      <c r="T287" s="23" t="s">
        <v>1752</v>
      </c>
      <c r="U287" s="23" t="s">
        <v>86</v>
      </c>
    </row>
    <row r="288" customFormat="false" ht="17.9" hidden="false" customHeight="false" outlineLevel="0" collapsed="false">
      <c r="A288" s="20" t="s">
        <v>73</v>
      </c>
      <c r="B288" s="21" t="n">
        <v>46151</v>
      </c>
      <c r="C288" s="20" t="s">
        <v>1753</v>
      </c>
      <c r="D288" s="20" t="s">
        <v>1754</v>
      </c>
      <c r="E288" s="20" t="s">
        <v>1755</v>
      </c>
      <c r="F288" s="20" t="s">
        <v>1756</v>
      </c>
      <c r="G288" s="20" t="n">
        <v>2754</v>
      </c>
      <c r="H288" s="20" t="s">
        <v>1757</v>
      </c>
      <c r="I288" s="20" t="s">
        <v>79</v>
      </c>
      <c r="J288" s="20" t="s">
        <v>100</v>
      </c>
      <c r="K288" s="22"/>
      <c r="L288" s="22"/>
      <c r="M288" s="20" t="s">
        <v>81</v>
      </c>
      <c r="N288" s="23" t="s">
        <v>92</v>
      </c>
      <c r="O288" s="23" t="s">
        <v>102</v>
      </c>
      <c r="P288" s="23" t="s">
        <v>84</v>
      </c>
      <c r="Q288" s="23" t="str">
        <f aca="false">IF(A288="UNDATED LEAD","UNRESOLVED",IF(M288="N","EXCEPTION",IF(A288="SKIP",IF(ISNUMBER(SEARCH("_skip_justification.pdf",N288)),"CLEAR - FILE VERIFIED","CLEAR ON EXPORT"),"CLEAR ON LOG")))</f>
        <v>CLEAR ON EXPORT</v>
      </c>
      <c r="R288" s="23" t="str">
        <f aca="false">IF(Q288="UNRESOLVED","PRIORITY 1 - OBTAIN FILE",IF(Q288&lt;&gt;"EXCEPTION","NONE",IF(OR(AND(A288="LOA AMENDMENT",P288="UNRESOLVED USE"),AND(A288="SKIP",OR(E288="WL-02618",E288="WL-03044",E288="WL-03390"))),"PRIORITY 1",IF(A288="SKIP","PRIORITY 2","PRIORITY 3"))))</f>
        <v>NONE</v>
      </c>
      <c r="S288" s="23"/>
      <c r="T288" s="23" t="s">
        <v>1758</v>
      </c>
      <c r="U288" s="23" t="s">
        <v>86</v>
      </c>
    </row>
    <row r="289" customFormat="false" ht="17.9" hidden="false" customHeight="false" outlineLevel="0" collapsed="false">
      <c r="A289" s="20" t="s">
        <v>73</v>
      </c>
      <c r="B289" s="21" t="n">
        <v>46152</v>
      </c>
      <c r="C289" s="20" t="s">
        <v>1759</v>
      </c>
      <c r="D289" s="20" t="s">
        <v>1760</v>
      </c>
      <c r="E289" s="20" t="s">
        <v>1761</v>
      </c>
      <c r="F289" s="20" t="s">
        <v>1762</v>
      </c>
      <c r="G289" s="20" t="n">
        <v>109</v>
      </c>
      <c r="H289" s="20" t="s">
        <v>1763</v>
      </c>
      <c r="I289" s="20" t="s">
        <v>79</v>
      </c>
      <c r="J289" s="20" t="s">
        <v>147</v>
      </c>
      <c r="K289" s="22"/>
      <c r="L289" s="22"/>
      <c r="M289" s="20" t="s">
        <v>81</v>
      </c>
      <c r="N289" s="23" t="s">
        <v>140</v>
      </c>
      <c r="O289" s="23" t="s">
        <v>148</v>
      </c>
      <c r="P289" s="23" t="s">
        <v>84</v>
      </c>
      <c r="Q289" s="23" t="str">
        <f aca="false">IF(A289="UNDATED LEAD","UNRESOLVED",IF(M289="N","EXCEPTION",IF(A289="SKIP",IF(ISNUMBER(SEARCH("_skip_justification.pdf",N289)),"CLEAR - FILE VERIFIED","CLEAR ON EXPORT"),"CLEAR ON LOG")))</f>
        <v>CLEAR ON EXPORT</v>
      </c>
      <c r="R289" s="23" t="str">
        <f aca="false">IF(Q289="UNRESOLVED","PRIORITY 1 - OBTAIN FILE",IF(Q289&lt;&gt;"EXCEPTION","NONE",IF(OR(AND(A289="LOA AMENDMENT",P289="UNRESOLVED USE"),AND(A289="SKIP",OR(E289="WL-02618",E289="WL-03044",E289="WL-03390"))),"PRIORITY 1",IF(A289="SKIP","PRIORITY 2","PRIORITY 3"))))</f>
        <v>NONE</v>
      </c>
      <c r="S289" s="23"/>
      <c r="T289" s="23" t="s">
        <v>1764</v>
      </c>
      <c r="U289" s="23" t="s">
        <v>86</v>
      </c>
    </row>
    <row r="290" customFormat="false" ht="17.9" hidden="false" customHeight="false" outlineLevel="0" collapsed="false">
      <c r="A290" s="20" t="s">
        <v>73</v>
      </c>
      <c r="B290" s="21" t="n">
        <v>46153</v>
      </c>
      <c r="C290" s="20" t="s">
        <v>1765</v>
      </c>
      <c r="D290" s="20" t="s">
        <v>1766</v>
      </c>
      <c r="E290" s="20" t="s">
        <v>1767</v>
      </c>
      <c r="F290" s="20" t="s">
        <v>1768</v>
      </c>
      <c r="G290" s="20" t="n">
        <v>404</v>
      </c>
      <c r="H290" s="20" t="s">
        <v>1769</v>
      </c>
      <c r="I290" s="20" t="s">
        <v>99</v>
      </c>
      <c r="J290" s="20" t="s">
        <v>100</v>
      </c>
      <c r="K290" s="22"/>
      <c r="L290" s="22"/>
      <c r="M290" s="20" t="s">
        <v>81</v>
      </c>
      <c r="N290" s="23" t="s">
        <v>92</v>
      </c>
      <c r="O290" s="23" t="s">
        <v>102</v>
      </c>
      <c r="P290" s="23" t="s">
        <v>84</v>
      </c>
      <c r="Q290" s="23" t="str">
        <f aca="false">IF(A290="UNDATED LEAD","UNRESOLVED",IF(M290="N","EXCEPTION",IF(A290="SKIP",IF(ISNUMBER(SEARCH("_skip_justification.pdf",N290)),"CLEAR - FILE VERIFIED","CLEAR ON EXPORT"),"CLEAR ON LOG")))</f>
        <v>CLEAR ON EXPORT</v>
      </c>
      <c r="R290" s="23" t="str">
        <f aca="false">IF(Q290="UNRESOLVED","PRIORITY 1 - OBTAIN FILE",IF(Q290&lt;&gt;"EXCEPTION","NONE",IF(OR(AND(A290="LOA AMENDMENT",P290="UNRESOLVED USE"),AND(A290="SKIP",OR(E290="WL-02618",E290="WL-03044",E290="WL-03390"))),"PRIORITY 1",IF(A290="SKIP","PRIORITY 2","PRIORITY 3"))))</f>
        <v>NONE</v>
      </c>
      <c r="S290" s="23"/>
      <c r="T290" s="23" t="s">
        <v>1770</v>
      </c>
      <c r="U290" s="23" t="s">
        <v>86</v>
      </c>
    </row>
    <row r="291" customFormat="false" ht="17.9" hidden="false" customHeight="false" outlineLevel="0" collapsed="false">
      <c r="A291" s="20" t="s">
        <v>73</v>
      </c>
      <c r="B291" s="21" t="n">
        <v>46156</v>
      </c>
      <c r="C291" s="20" t="s">
        <v>1771</v>
      </c>
      <c r="D291" s="20" t="s">
        <v>1772</v>
      </c>
      <c r="E291" s="20" t="s">
        <v>1773</v>
      </c>
      <c r="F291" s="20" t="s">
        <v>1774</v>
      </c>
      <c r="G291" s="20" t="n">
        <v>255</v>
      </c>
      <c r="H291" s="20" t="s">
        <v>1775</v>
      </c>
      <c r="I291" s="20" t="s">
        <v>109</v>
      </c>
      <c r="J291" s="20" t="s">
        <v>100</v>
      </c>
      <c r="K291" s="22"/>
      <c r="L291" s="22"/>
      <c r="M291" s="20" t="s">
        <v>81</v>
      </c>
      <c r="N291" s="23" t="s">
        <v>101</v>
      </c>
      <c r="O291" s="23" t="s">
        <v>102</v>
      </c>
      <c r="P291" s="23" t="s">
        <v>84</v>
      </c>
      <c r="Q291" s="23" t="str">
        <f aca="false">IF(A291="UNDATED LEAD","UNRESOLVED",IF(M291="N","EXCEPTION",IF(A291="SKIP",IF(ISNUMBER(SEARCH("_skip_justification.pdf",N291)),"CLEAR - FILE VERIFIED","CLEAR ON EXPORT"),"CLEAR ON LOG")))</f>
        <v>CLEAR ON EXPORT</v>
      </c>
      <c r="R291" s="23" t="str">
        <f aca="false">IF(Q291="UNRESOLVED","PRIORITY 1 - OBTAIN FILE",IF(Q291&lt;&gt;"EXCEPTION","NONE",IF(OR(AND(A291="LOA AMENDMENT",P291="UNRESOLVED USE"),AND(A291="SKIP",OR(E291="WL-02618",E291="WL-03044",E291="WL-03390"))),"PRIORITY 1",IF(A291="SKIP","PRIORITY 2","PRIORITY 3"))))</f>
        <v>NONE</v>
      </c>
      <c r="S291" s="23"/>
      <c r="T291" s="23" t="s">
        <v>1776</v>
      </c>
      <c r="U291" s="23" t="s">
        <v>86</v>
      </c>
    </row>
    <row r="292" customFormat="false" ht="17.9" hidden="false" customHeight="false" outlineLevel="0" collapsed="false">
      <c r="A292" s="20" t="s">
        <v>73</v>
      </c>
      <c r="B292" s="21" t="n">
        <v>46160</v>
      </c>
      <c r="C292" s="20" t="s">
        <v>1777</v>
      </c>
      <c r="D292" s="20" t="s">
        <v>1778</v>
      </c>
      <c r="E292" s="20" t="s">
        <v>1779</v>
      </c>
      <c r="F292" s="20" t="s">
        <v>1780</v>
      </c>
      <c r="G292" s="20" t="n">
        <v>2607</v>
      </c>
      <c r="H292" s="20" t="s">
        <v>1781</v>
      </c>
      <c r="I292" s="20" t="s">
        <v>79</v>
      </c>
      <c r="J292" s="20" t="s">
        <v>100</v>
      </c>
      <c r="K292" s="22"/>
      <c r="L292" s="22"/>
      <c r="M292" s="20" t="s">
        <v>81</v>
      </c>
      <c r="N292" s="23" t="s">
        <v>82</v>
      </c>
      <c r="O292" s="23" t="s">
        <v>102</v>
      </c>
      <c r="P292" s="23" t="s">
        <v>84</v>
      </c>
      <c r="Q292" s="23" t="str">
        <f aca="false">IF(A292="UNDATED LEAD","UNRESOLVED",IF(M292="N","EXCEPTION",IF(A292="SKIP",IF(ISNUMBER(SEARCH("_skip_justification.pdf",N292)),"CLEAR - FILE VERIFIED","CLEAR ON EXPORT"),"CLEAR ON LOG")))</f>
        <v>CLEAR ON EXPORT</v>
      </c>
      <c r="R292" s="23" t="str">
        <f aca="false">IF(Q292="UNRESOLVED","PRIORITY 1 - OBTAIN FILE",IF(Q292&lt;&gt;"EXCEPTION","NONE",IF(OR(AND(A292="LOA AMENDMENT",P292="UNRESOLVED USE"),AND(A292="SKIP",OR(E292="WL-02618",E292="WL-03044",E292="WL-03390"))),"PRIORITY 1",IF(A292="SKIP","PRIORITY 2","PRIORITY 3"))))</f>
        <v>NONE</v>
      </c>
      <c r="S292" s="23"/>
      <c r="T292" s="23" t="s">
        <v>1782</v>
      </c>
      <c r="U292" s="23" t="s">
        <v>86</v>
      </c>
    </row>
    <row r="293" customFormat="false" ht="17.9" hidden="false" customHeight="false" outlineLevel="0" collapsed="false">
      <c r="A293" s="20" t="s">
        <v>73</v>
      </c>
      <c r="B293" s="21" t="n">
        <v>46160</v>
      </c>
      <c r="C293" s="20" t="s">
        <v>1783</v>
      </c>
      <c r="D293" s="20" t="s">
        <v>1784</v>
      </c>
      <c r="E293" s="20" t="s">
        <v>1785</v>
      </c>
      <c r="F293" s="20" t="s">
        <v>1786</v>
      </c>
      <c r="G293" s="20" t="n">
        <v>299</v>
      </c>
      <c r="H293" s="20" t="s">
        <v>1002</v>
      </c>
      <c r="I293" s="20" t="s">
        <v>119</v>
      </c>
      <c r="J293" s="20" t="s">
        <v>100</v>
      </c>
      <c r="K293" s="22"/>
      <c r="L293" s="22"/>
      <c r="M293" s="20" t="s">
        <v>81</v>
      </c>
      <c r="N293" s="23" t="s">
        <v>82</v>
      </c>
      <c r="O293" s="23" t="s">
        <v>102</v>
      </c>
      <c r="P293" s="23" t="s">
        <v>84</v>
      </c>
      <c r="Q293" s="23" t="str">
        <f aca="false">IF(A293="UNDATED LEAD","UNRESOLVED",IF(M293="N","EXCEPTION",IF(A293="SKIP",IF(ISNUMBER(SEARCH("_skip_justification.pdf",N293)),"CLEAR - FILE VERIFIED","CLEAR ON EXPORT"),"CLEAR ON LOG")))</f>
        <v>CLEAR ON EXPORT</v>
      </c>
      <c r="R293" s="23" t="str">
        <f aca="false">IF(Q293="UNRESOLVED","PRIORITY 1 - OBTAIN FILE",IF(Q293&lt;&gt;"EXCEPTION","NONE",IF(OR(AND(A293="LOA AMENDMENT",P293="UNRESOLVED USE"),AND(A293="SKIP",OR(E293="WL-02618",E293="WL-03044",E293="WL-03390"))),"PRIORITY 1",IF(A293="SKIP","PRIORITY 2","PRIORITY 3"))))</f>
        <v>NONE</v>
      </c>
      <c r="S293" s="23"/>
      <c r="T293" s="23" t="s">
        <v>1787</v>
      </c>
      <c r="U293" s="23" t="s">
        <v>86</v>
      </c>
    </row>
    <row r="294" customFormat="false" ht="17.9" hidden="false" customHeight="false" outlineLevel="0" collapsed="false">
      <c r="A294" s="20" t="s">
        <v>73</v>
      </c>
      <c r="B294" s="21" t="n">
        <v>46166</v>
      </c>
      <c r="C294" s="20" t="s">
        <v>1788</v>
      </c>
      <c r="D294" s="20" t="s">
        <v>1789</v>
      </c>
      <c r="E294" s="20" t="s">
        <v>1790</v>
      </c>
      <c r="F294" s="20" t="s">
        <v>1791</v>
      </c>
      <c r="G294" s="20" t="n">
        <v>2247</v>
      </c>
      <c r="H294" s="20" t="s">
        <v>1676</v>
      </c>
      <c r="I294" s="20" t="s">
        <v>99</v>
      </c>
      <c r="J294" s="20" t="s">
        <v>80</v>
      </c>
      <c r="K294" s="22"/>
      <c r="L294" s="22"/>
      <c r="M294" s="20" t="s">
        <v>81</v>
      </c>
      <c r="N294" s="23" t="s">
        <v>82</v>
      </c>
      <c r="O294" s="23" t="s">
        <v>83</v>
      </c>
      <c r="P294" s="23" t="s">
        <v>84</v>
      </c>
      <c r="Q294" s="23" t="str">
        <f aca="false">IF(A294="UNDATED LEAD","UNRESOLVED",IF(M294="N","EXCEPTION",IF(A294="SKIP",IF(ISNUMBER(SEARCH("_skip_justification.pdf",N294)),"CLEAR - FILE VERIFIED","CLEAR ON EXPORT"),"CLEAR ON LOG")))</f>
        <v>CLEAR ON EXPORT</v>
      </c>
      <c r="R294" s="23" t="str">
        <f aca="false">IF(Q294="UNRESOLVED","PRIORITY 1 - OBTAIN FILE",IF(Q294&lt;&gt;"EXCEPTION","NONE",IF(OR(AND(A294="LOA AMENDMENT",P294="UNRESOLVED USE"),AND(A294="SKIP",OR(E294="WL-02618",E294="WL-03044",E294="WL-03390"))),"PRIORITY 1",IF(A294="SKIP","PRIORITY 2","PRIORITY 3"))))</f>
        <v>NONE</v>
      </c>
      <c r="S294" s="23"/>
      <c r="T294" s="23" t="s">
        <v>1792</v>
      </c>
      <c r="U294" s="23" t="s">
        <v>86</v>
      </c>
    </row>
    <row r="295" customFormat="false" ht="17.9" hidden="false" customHeight="false" outlineLevel="0" collapsed="false">
      <c r="A295" s="20" t="s">
        <v>73</v>
      </c>
      <c r="B295" s="21" t="n">
        <v>46175</v>
      </c>
      <c r="C295" s="20" t="s">
        <v>1793</v>
      </c>
      <c r="D295" s="20" t="s">
        <v>1794</v>
      </c>
      <c r="E295" s="20" t="s">
        <v>1795</v>
      </c>
      <c r="F295" s="20" t="s">
        <v>1796</v>
      </c>
      <c r="G295" s="20" t="n">
        <v>1315</v>
      </c>
      <c r="H295" s="20" t="s">
        <v>854</v>
      </c>
      <c r="I295" s="20" t="s">
        <v>166</v>
      </c>
      <c r="J295" s="20" t="s">
        <v>100</v>
      </c>
      <c r="K295" s="22"/>
      <c r="L295" s="22"/>
      <c r="M295" s="20" t="s">
        <v>81</v>
      </c>
      <c r="N295" s="23" t="s">
        <v>92</v>
      </c>
      <c r="O295" s="23" t="s">
        <v>102</v>
      </c>
      <c r="P295" s="23" t="s">
        <v>84</v>
      </c>
      <c r="Q295" s="23" t="str">
        <f aca="false">IF(A295="UNDATED LEAD","UNRESOLVED",IF(M295="N","EXCEPTION",IF(A295="SKIP",IF(ISNUMBER(SEARCH("_skip_justification.pdf",N295)),"CLEAR - FILE VERIFIED","CLEAR ON EXPORT"),"CLEAR ON LOG")))</f>
        <v>CLEAR ON EXPORT</v>
      </c>
      <c r="R295" s="23" t="str">
        <f aca="false">IF(Q295="UNRESOLVED","PRIORITY 1 - OBTAIN FILE",IF(Q295&lt;&gt;"EXCEPTION","NONE",IF(OR(AND(A295="LOA AMENDMENT",P295="UNRESOLVED USE"),AND(A295="SKIP",OR(E295="WL-02618",E295="WL-03044",E295="WL-03390"))),"PRIORITY 1",IF(A295="SKIP","PRIORITY 2","PRIORITY 3"))))</f>
        <v>NONE</v>
      </c>
      <c r="S295" s="23"/>
      <c r="T295" s="23" t="s">
        <v>1797</v>
      </c>
      <c r="U295" s="23" t="s">
        <v>86</v>
      </c>
    </row>
    <row r="296" customFormat="false" ht="17.9" hidden="false" customHeight="false" outlineLevel="0" collapsed="false">
      <c r="A296" s="20" t="s">
        <v>73</v>
      </c>
      <c r="B296" s="21" t="n">
        <v>46176</v>
      </c>
      <c r="C296" s="20" t="s">
        <v>1798</v>
      </c>
      <c r="D296" s="20" t="s">
        <v>1799</v>
      </c>
      <c r="E296" s="20" t="s">
        <v>1800</v>
      </c>
      <c r="F296" s="20" t="s">
        <v>1801</v>
      </c>
      <c r="G296" s="20" t="n">
        <v>2787</v>
      </c>
      <c r="H296" s="20" t="s">
        <v>1802</v>
      </c>
      <c r="I296" s="20" t="s">
        <v>119</v>
      </c>
      <c r="J296" s="20" t="s">
        <v>132</v>
      </c>
      <c r="K296" s="22"/>
      <c r="L296" s="22"/>
      <c r="M296" s="20" t="s">
        <v>81</v>
      </c>
      <c r="N296" s="23" t="s">
        <v>140</v>
      </c>
      <c r="O296" s="23" t="s">
        <v>133</v>
      </c>
      <c r="P296" s="23" t="s">
        <v>84</v>
      </c>
      <c r="Q296" s="23" t="str">
        <f aca="false">IF(A296="UNDATED LEAD","UNRESOLVED",IF(M296="N","EXCEPTION",IF(A296="SKIP",IF(ISNUMBER(SEARCH("_skip_justification.pdf",N296)),"CLEAR - FILE VERIFIED","CLEAR ON EXPORT"),"CLEAR ON LOG")))</f>
        <v>CLEAR ON EXPORT</v>
      </c>
      <c r="R296" s="23" t="str">
        <f aca="false">IF(Q296="UNRESOLVED","PRIORITY 1 - OBTAIN FILE",IF(Q296&lt;&gt;"EXCEPTION","NONE",IF(OR(AND(A296="LOA AMENDMENT",P296="UNRESOLVED USE"),AND(A296="SKIP",OR(E296="WL-02618",E296="WL-03044",E296="WL-03390"))),"PRIORITY 1",IF(A296="SKIP","PRIORITY 2","PRIORITY 3"))))</f>
        <v>NONE</v>
      </c>
      <c r="S296" s="23"/>
      <c r="T296" s="23" t="s">
        <v>1803</v>
      </c>
      <c r="U296" s="23" t="s">
        <v>86</v>
      </c>
    </row>
    <row r="297" customFormat="false" ht="17.9" hidden="false" customHeight="false" outlineLevel="0" collapsed="false">
      <c r="A297" s="20" t="s">
        <v>73</v>
      </c>
      <c r="B297" s="21" t="n">
        <v>46177</v>
      </c>
      <c r="C297" s="20" t="s">
        <v>1804</v>
      </c>
      <c r="D297" s="20" t="s">
        <v>1805</v>
      </c>
      <c r="E297" s="20" t="s">
        <v>1806</v>
      </c>
      <c r="F297" s="20" t="s">
        <v>1807</v>
      </c>
      <c r="G297" s="20" t="n">
        <v>982</v>
      </c>
      <c r="H297" s="20" t="s">
        <v>1391</v>
      </c>
      <c r="I297" s="20" t="s">
        <v>119</v>
      </c>
      <c r="J297" s="20" t="s">
        <v>80</v>
      </c>
      <c r="K297" s="22"/>
      <c r="L297" s="22"/>
      <c r="M297" s="20" t="s">
        <v>81</v>
      </c>
      <c r="N297" s="23" t="s">
        <v>82</v>
      </c>
      <c r="O297" s="23" t="s">
        <v>83</v>
      </c>
      <c r="P297" s="23" t="s">
        <v>84</v>
      </c>
      <c r="Q297" s="23" t="str">
        <f aca="false">IF(A297="UNDATED LEAD","UNRESOLVED",IF(M297="N","EXCEPTION",IF(A297="SKIP",IF(ISNUMBER(SEARCH("_skip_justification.pdf",N297)),"CLEAR - FILE VERIFIED","CLEAR ON EXPORT"),"CLEAR ON LOG")))</f>
        <v>CLEAR ON EXPORT</v>
      </c>
      <c r="R297" s="23" t="str">
        <f aca="false">IF(Q297="UNRESOLVED","PRIORITY 1 - OBTAIN FILE",IF(Q297&lt;&gt;"EXCEPTION","NONE",IF(OR(AND(A297="LOA AMENDMENT",P297="UNRESOLVED USE"),AND(A297="SKIP",OR(E297="WL-02618",E297="WL-03044",E297="WL-03390"))),"PRIORITY 1",IF(A297="SKIP","PRIORITY 2","PRIORITY 3"))))</f>
        <v>NONE</v>
      </c>
      <c r="S297" s="23"/>
      <c r="T297" s="23" t="s">
        <v>1808</v>
      </c>
      <c r="U297" s="23" t="s">
        <v>86</v>
      </c>
    </row>
    <row r="298" customFormat="false" ht="17.9" hidden="false" customHeight="false" outlineLevel="0" collapsed="false">
      <c r="A298" s="20" t="s">
        <v>73</v>
      </c>
      <c r="B298" s="21" t="n">
        <v>46182</v>
      </c>
      <c r="C298" s="20" t="s">
        <v>1809</v>
      </c>
      <c r="D298" s="20" t="s">
        <v>1810</v>
      </c>
      <c r="E298" s="20" t="s">
        <v>1811</v>
      </c>
      <c r="F298" s="20" t="s">
        <v>1812</v>
      </c>
      <c r="G298" s="20" t="n">
        <v>954</v>
      </c>
      <c r="H298" s="20" t="s">
        <v>1813</v>
      </c>
      <c r="I298" s="20" t="s">
        <v>166</v>
      </c>
      <c r="J298" s="20" t="s">
        <v>147</v>
      </c>
      <c r="K298" s="22"/>
      <c r="L298" s="22"/>
      <c r="M298" s="20" t="s">
        <v>81</v>
      </c>
      <c r="N298" s="23" t="s">
        <v>82</v>
      </c>
      <c r="O298" s="23" t="s">
        <v>148</v>
      </c>
      <c r="P298" s="23" t="s">
        <v>84</v>
      </c>
      <c r="Q298" s="23" t="str">
        <f aca="false">IF(A298="UNDATED LEAD","UNRESOLVED",IF(M298="N","EXCEPTION",IF(A298="SKIP",IF(ISNUMBER(SEARCH("_skip_justification.pdf",N298)),"CLEAR - FILE VERIFIED","CLEAR ON EXPORT"),"CLEAR ON LOG")))</f>
        <v>CLEAR ON EXPORT</v>
      </c>
      <c r="R298" s="23" t="str">
        <f aca="false">IF(Q298="UNRESOLVED","PRIORITY 1 - OBTAIN FILE",IF(Q298&lt;&gt;"EXCEPTION","NONE",IF(OR(AND(A298="LOA AMENDMENT",P298="UNRESOLVED USE"),AND(A298="SKIP",OR(E298="WL-02618",E298="WL-03044",E298="WL-03390"))),"PRIORITY 1",IF(A298="SKIP","PRIORITY 2","PRIORITY 3"))))</f>
        <v>NONE</v>
      </c>
      <c r="S298" s="23"/>
      <c r="T298" s="23" t="s">
        <v>1814</v>
      </c>
      <c r="U298" s="23" t="s">
        <v>86</v>
      </c>
    </row>
    <row r="299" customFormat="false" ht="17.9" hidden="false" customHeight="false" outlineLevel="0" collapsed="false">
      <c r="A299" s="20" t="s">
        <v>73</v>
      </c>
      <c r="B299" s="21" t="n">
        <v>46193</v>
      </c>
      <c r="C299" s="20" t="s">
        <v>1815</v>
      </c>
      <c r="D299" s="20" t="s">
        <v>1816</v>
      </c>
      <c r="E299" s="20" t="s">
        <v>1817</v>
      </c>
      <c r="F299" s="20" t="s">
        <v>1818</v>
      </c>
      <c r="G299" s="20" t="n">
        <v>256</v>
      </c>
      <c r="H299" s="20" t="s">
        <v>1819</v>
      </c>
      <c r="I299" s="20" t="s">
        <v>79</v>
      </c>
      <c r="J299" s="20" t="s">
        <v>100</v>
      </c>
      <c r="K299" s="22"/>
      <c r="L299" s="22"/>
      <c r="M299" s="20" t="s">
        <v>81</v>
      </c>
      <c r="N299" s="23" t="s">
        <v>140</v>
      </c>
      <c r="O299" s="23" t="s">
        <v>102</v>
      </c>
      <c r="P299" s="23" t="s">
        <v>84</v>
      </c>
      <c r="Q299" s="23" t="str">
        <f aca="false">IF(A299="UNDATED LEAD","UNRESOLVED",IF(M299="N","EXCEPTION",IF(A299="SKIP",IF(ISNUMBER(SEARCH("_skip_justification.pdf",N299)),"CLEAR - FILE VERIFIED","CLEAR ON EXPORT"),"CLEAR ON LOG")))</f>
        <v>CLEAR ON EXPORT</v>
      </c>
      <c r="R299" s="23" t="str">
        <f aca="false">IF(Q299="UNRESOLVED","PRIORITY 1 - OBTAIN FILE",IF(Q299&lt;&gt;"EXCEPTION","NONE",IF(OR(AND(A299="LOA AMENDMENT",P299="UNRESOLVED USE"),AND(A299="SKIP",OR(E299="WL-02618",E299="WL-03044",E299="WL-03390"))),"PRIORITY 1",IF(A299="SKIP","PRIORITY 2","PRIORITY 3"))))</f>
        <v>NONE</v>
      </c>
      <c r="S299" s="23"/>
      <c r="T299" s="23" t="s">
        <v>1820</v>
      </c>
      <c r="U299" s="23" t="s">
        <v>86</v>
      </c>
    </row>
    <row r="300" customFormat="false" ht="17.9" hidden="false" customHeight="false" outlineLevel="0" collapsed="false">
      <c r="A300" s="20" t="s">
        <v>73</v>
      </c>
      <c r="B300" s="21" t="n">
        <v>46194</v>
      </c>
      <c r="C300" s="20" t="s">
        <v>1821</v>
      </c>
      <c r="D300" s="20" t="s">
        <v>1822</v>
      </c>
      <c r="E300" s="20" t="s">
        <v>1823</v>
      </c>
      <c r="F300" s="20" t="s">
        <v>1824</v>
      </c>
      <c r="G300" s="20" t="n">
        <v>2078</v>
      </c>
      <c r="H300" s="20" t="s">
        <v>1825</v>
      </c>
      <c r="I300" s="20" t="s">
        <v>99</v>
      </c>
      <c r="J300" s="20" t="s">
        <v>132</v>
      </c>
      <c r="K300" s="22"/>
      <c r="L300" s="22"/>
      <c r="M300" s="20" t="s">
        <v>81</v>
      </c>
      <c r="N300" s="23" t="s">
        <v>140</v>
      </c>
      <c r="O300" s="23" t="s">
        <v>133</v>
      </c>
      <c r="P300" s="23" t="s">
        <v>84</v>
      </c>
      <c r="Q300" s="23" t="str">
        <f aca="false">IF(A300="UNDATED LEAD","UNRESOLVED",IF(M300="N","EXCEPTION",IF(A300="SKIP",IF(ISNUMBER(SEARCH("_skip_justification.pdf",N300)),"CLEAR - FILE VERIFIED","CLEAR ON EXPORT"),"CLEAR ON LOG")))</f>
        <v>CLEAR ON EXPORT</v>
      </c>
      <c r="R300" s="23" t="str">
        <f aca="false">IF(Q300="UNRESOLVED","PRIORITY 1 - OBTAIN FILE",IF(Q300&lt;&gt;"EXCEPTION","NONE",IF(OR(AND(A300="LOA AMENDMENT",P300="UNRESOLVED USE"),AND(A300="SKIP",OR(E300="WL-02618",E300="WL-03044",E300="WL-03390"))),"PRIORITY 1",IF(A300="SKIP","PRIORITY 2","PRIORITY 3"))))</f>
        <v>NONE</v>
      </c>
      <c r="S300" s="23"/>
      <c r="T300" s="23" t="s">
        <v>1826</v>
      </c>
      <c r="U300" s="23" t="s">
        <v>86</v>
      </c>
    </row>
    <row r="301" customFormat="false" ht="17.9" hidden="false" customHeight="false" outlineLevel="0" collapsed="false">
      <c r="A301" s="20" t="s">
        <v>73</v>
      </c>
      <c r="B301" s="21" t="n">
        <v>46195</v>
      </c>
      <c r="C301" s="20" t="s">
        <v>1827</v>
      </c>
      <c r="D301" s="20" t="s">
        <v>1828</v>
      </c>
      <c r="E301" s="20" t="s">
        <v>1829</v>
      </c>
      <c r="F301" s="20" t="s">
        <v>1830</v>
      </c>
      <c r="G301" s="20" t="n">
        <v>936</v>
      </c>
      <c r="H301" s="20" t="s">
        <v>1831</v>
      </c>
      <c r="I301" s="20" t="s">
        <v>99</v>
      </c>
      <c r="J301" s="20" t="s">
        <v>100</v>
      </c>
      <c r="K301" s="22"/>
      <c r="L301" s="22"/>
      <c r="M301" s="20" t="s">
        <v>110</v>
      </c>
      <c r="N301" s="23" t="s">
        <v>167</v>
      </c>
      <c r="O301" s="23" t="s">
        <v>102</v>
      </c>
      <c r="P301" s="23" t="s">
        <v>84</v>
      </c>
      <c r="Q301" s="23" t="str">
        <f aca="false">IF(A301="UNDATED LEAD","UNRESOLVED",IF(M301="N","EXCEPTION",IF(A301="SKIP",IF(ISNUMBER(SEARCH("_skip_justification.pdf",N301)),"CLEAR - FILE VERIFIED","CLEAR ON EXPORT"),"CLEAR ON LOG")))</f>
        <v>EXCEPTION</v>
      </c>
      <c r="R301" s="23" t="str">
        <f aca="false">IF(Q301="UNRESOLVED","PRIORITY 1 - OBTAIN FILE",IF(Q301&lt;&gt;"EXCEPTION","NONE",IF(OR(AND(A301="LOA AMENDMENT",P301="UNRESOLVED USE"),AND(A301="SKIP",OR(E301="WL-02618",E301="WL-03044",E301="WL-03390"))),"PRIORITY 1",IF(A301="SKIP","PRIORITY 2","PRIORITY 3"))))</f>
        <v>PRIORITY 2</v>
      </c>
      <c r="S301" s="23" t="s">
        <v>1832</v>
      </c>
      <c r="T301" s="23" t="s">
        <v>1833</v>
      </c>
      <c r="U301" s="23" t="s">
        <v>86</v>
      </c>
    </row>
    <row r="302" customFormat="false" ht="17.9" hidden="false" customHeight="false" outlineLevel="0" collapsed="false">
      <c r="A302" s="20" t="s">
        <v>73</v>
      </c>
      <c r="B302" s="21" t="n">
        <v>46198</v>
      </c>
      <c r="C302" s="20" t="s">
        <v>1834</v>
      </c>
      <c r="D302" s="20" t="s">
        <v>1835</v>
      </c>
      <c r="E302" s="20" t="s">
        <v>1836</v>
      </c>
      <c r="F302" s="20" t="s">
        <v>808</v>
      </c>
      <c r="G302" s="20" t="n">
        <v>2690</v>
      </c>
      <c r="H302" s="20" t="s">
        <v>1837</v>
      </c>
      <c r="I302" s="20" t="s">
        <v>99</v>
      </c>
      <c r="J302" s="20" t="s">
        <v>80</v>
      </c>
      <c r="K302" s="22"/>
      <c r="L302" s="22"/>
      <c r="M302" s="20" t="s">
        <v>81</v>
      </c>
      <c r="N302" s="23" t="s">
        <v>101</v>
      </c>
      <c r="O302" s="23" t="s">
        <v>83</v>
      </c>
      <c r="P302" s="23" t="s">
        <v>84</v>
      </c>
      <c r="Q302" s="23" t="str">
        <f aca="false">IF(A302="UNDATED LEAD","UNRESOLVED",IF(M302="N","EXCEPTION",IF(A302="SKIP",IF(ISNUMBER(SEARCH("_skip_justification.pdf",N302)),"CLEAR - FILE VERIFIED","CLEAR ON EXPORT"),"CLEAR ON LOG")))</f>
        <v>CLEAR ON EXPORT</v>
      </c>
      <c r="R302" s="23" t="str">
        <f aca="false">IF(Q302="UNRESOLVED","PRIORITY 1 - OBTAIN FILE",IF(Q302&lt;&gt;"EXCEPTION","NONE",IF(OR(AND(A302="LOA AMENDMENT",P302="UNRESOLVED USE"),AND(A302="SKIP",OR(E302="WL-02618",E302="WL-03044",E302="WL-03390"))),"PRIORITY 1",IF(A302="SKIP","PRIORITY 2","PRIORITY 3"))))</f>
        <v>NONE</v>
      </c>
      <c r="S302" s="23"/>
      <c r="T302" s="23" t="s">
        <v>1838</v>
      </c>
      <c r="U302" s="23" t="s">
        <v>86</v>
      </c>
    </row>
    <row r="303" customFormat="false" ht="17.9" hidden="false" customHeight="false" outlineLevel="0" collapsed="false">
      <c r="A303" s="20" t="s">
        <v>73</v>
      </c>
      <c r="B303" s="21" t="n">
        <v>46198</v>
      </c>
      <c r="C303" s="20" t="s">
        <v>1839</v>
      </c>
      <c r="D303" s="20" t="s">
        <v>1840</v>
      </c>
      <c r="E303" s="20" t="s">
        <v>1368</v>
      </c>
      <c r="F303" s="20" t="s">
        <v>1369</v>
      </c>
      <c r="G303" s="20" t="n">
        <v>843</v>
      </c>
      <c r="H303" s="20" t="s">
        <v>1841</v>
      </c>
      <c r="I303" s="20" t="s">
        <v>99</v>
      </c>
      <c r="J303" s="20" t="s">
        <v>100</v>
      </c>
      <c r="K303" s="22"/>
      <c r="L303" s="22"/>
      <c r="M303" s="20" t="s">
        <v>81</v>
      </c>
      <c r="N303" s="23" t="s">
        <v>140</v>
      </c>
      <c r="O303" s="23" t="s">
        <v>102</v>
      </c>
      <c r="P303" s="23" t="s">
        <v>84</v>
      </c>
      <c r="Q303" s="23" t="str">
        <f aca="false">IF(A303="UNDATED LEAD","UNRESOLVED",IF(M303="N","EXCEPTION",IF(A303="SKIP",IF(ISNUMBER(SEARCH("_skip_justification.pdf",N303)),"CLEAR - FILE VERIFIED","CLEAR ON EXPORT"),"CLEAR ON LOG")))</f>
        <v>CLEAR ON EXPORT</v>
      </c>
      <c r="R303" s="23" t="str">
        <f aca="false">IF(Q303="UNRESOLVED","PRIORITY 1 - OBTAIN FILE",IF(Q303&lt;&gt;"EXCEPTION","NONE",IF(OR(AND(A303="LOA AMENDMENT",P303="UNRESOLVED USE"),AND(A303="SKIP",OR(E303="WL-02618",E303="WL-03044",E303="WL-03390"))),"PRIORITY 1",IF(A303="SKIP","PRIORITY 2","PRIORITY 3"))))</f>
        <v>NONE</v>
      </c>
      <c r="S303" s="23"/>
      <c r="T303" s="23" t="s">
        <v>1842</v>
      </c>
      <c r="U303" s="23" t="s">
        <v>86</v>
      </c>
    </row>
    <row r="304" customFormat="false" ht="17.9" hidden="false" customHeight="false" outlineLevel="0" collapsed="false">
      <c r="A304" s="20" t="s">
        <v>73</v>
      </c>
      <c r="B304" s="21" t="n">
        <v>46201</v>
      </c>
      <c r="C304" s="20" t="s">
        <v>1843</v>
      </c>
      <c r="D304" s="20" t="s">
        <v>1844</v>
      </c>
      <c r="E304" s="20" t="s">
        <v>1845</v>
      </c>
      <c r="F304" s="20" t="s">
        <v>1846</v>
      </c>
      <c r="G304" s="20" t="n">
        <v>1098</v>
      </c>
      <c r="H304" s="20" t="s">
        <v>1847</v>
      </c>
      <c r="I304" s="20" t="s">
        <v>99</v>
      </c>
      <c r="J304" s="20" t="s">
        <v>80</v>
      </c>
      <c r="K304" s="22"/>
      <c r="L304" s="22"/>
      <c r="M304" s="20" t="s">
        <v>81</v>
      </c>
      <c r="N304" s="23" t="s">
        <v>101</v>
      </c>
      <c r="O304" s="23" t="s">
        <v>83</v>
      </c>
      <c r="P304" s="23" t="s">
        <v>84</v>
      </c>
      <c r="Q304" s="23" t="str">
        <f aca="false">IF(A304="UNDATED LEAD","UNRESOLVED",IF(M304="N","EXCEPTION",IF(A304="SKIP",IF(ISNUMBER(SEARCH("_skip_justification.pdf",N304)),"CLEAR - FILE VERIFIED","CLEAR ON EXPORT"),"CLEAR ON LOG")))</f>
        <v>CLEAR ON EXPORT</v>
      </c>
      <c r="R304" s="23" t="str">
        <f aca="false">IF(Q304="UNRESOLVED","PRIORITY 1 - OBTAIN FILE",IF(Q304&lt;&gt;"EXCEPTION","NONE",IF(OR(AND(A304="LOA AMENDMENT",P304="UNRESOLVED USE"),AND(A304="SKIP",OR(E304="WL-02618",E304="WL-03044",E304="WL-03390"))),"PRIORITY 1",IF(A304="SKIP","PRIORITY 2","PRIORITY 3"))))</f>
        <v>NONE</v>
      </c>
      <c r="S304" s="23"/>
      <c r="T304" s="23" t="s">
        <v>1848</v>
      </c>
      <c r="U304" s="23" t="s">
        <v>86</v>
      </c>
    </row>
    <row r="305" customFormat="false" ht="17.9" hidden="false" customHeight="false" outlineLevel="0" collapsed="false">
      <c r="A305" s="20" t="s">
        <v>73</v>
      </c>
      <c r="B305" s="21" t="n">
        <v>46205</v>
      </c>
      <c r="C305" s="20" t="s">
        <v>1849</v>
      </c>
      <c r="D305" s="20" t="s">
        <v>1850</v>
      </c>
      <c r="E305" s="20" t="s">
        <v>1851</v>
      </c>
      <c r="F305" s="20" t="s">
        <v>1852</v>
      </c>
      <c r="G305" s="20" t="n">
        <v>2260</v>
      </c>
      <c r="H305" s="20" t="s">
        <v>1853</v>
      </c>
      <c r="I305" s="20" t="s">
        <v>109</v>
      </c>
      <c r="J305" s="20" t="s">
        <v>147</v>
      </c>
      <c r="K305" s="22"/>
      <c r="L305" s="22"/>
      <c r="M305" s="20" t="s">
        <v>81</v>
      </c>
      <c r="N305" s="23" t="s">
        <v>82</v>
      </c>
      <c r="O305" s="23" t="s">
        <v>148</v>
      </c>
      <c r="P305" s="23" t="s">
        <v>84</v>
      </c>
      <c r="Q305" s="23" t="str">
        <f aca="false">IF(A305="UNDATED LEAD","UNRESOLVED",IF(M305="N","EXCEPTION",IF(A305="SKIP",IF(ISNUMBER(SEARCH("_skip_justification.pdf",N305)),"CLEAR - FILE VERIFIED","CLEAR ON EXPORT"),"CLEAR ON LOG")))</f>
        <v>CLEAR ON EXPORT</v>
      </c>
      <c r="R305" s="23" t="str">
        <f aca="false">IF(Q305="UNRESOLVED","PRIORITY 1 - OBTAIN FILE",IF(Q305&lt;&gt;"EXCEPTION","NONE",IF(OR(AND(A305="LOA AMENDMENT",P305="UNRESOLVED USE"),AND(A305="SKIP",OR(E305="WL-02618",E305="WL-03044",E305="WL-03390"))),"PRIORITY 1",IF(A305="SKIP","PRIORITY 2","PRIORITY 3"))))</f>
        <v>NONE</v>
      </c>
      <c r="S305" s="23"/>
      <c r="T305" s="23" t="s">
        <v>1854</v>
      </c>
      <c r="U305" s="23" t="s">
        <v>86</v>
      </c>
    </row>
    <row r="306" customFormat="false" ht="17.9" hidden="false" customHeight="false" outlineLevel="0" collapsed="false">
      <c r="A306" s="20" t="s">
        <v>73</v>
      </c>
      <c r="B306" s="21" t="n">
        <v>46206</v>
      </c>
      <c r="C306" s="20" t="s">
        <v>1855</v>
      </c>
      <c r="D306" s="20" t="s">
        <v>1856</v>
      </c>
      <c r="E306" s="20" t="s">
        <v>1857</v>
      </c>
      <c r="F306" s="20" t="s">
        <v>1858</v>
      </c>
      <c r="G306" s="20" t="n">
        <v>2397</v>
      </c>
      <c r="H306" s="20" t="s">
        <v>447</v>
      </c>
      <c r="I306" s="20" t="s">
        <v>79</v>
      </c>
      <c r="J306" s="20" t="s">
        <v>132</v>
      </c>
      <c r="K306" s="22"/>
      <c r="L306" s="22"/>
      <c r="M306" s="20" t="s">
        <v>81</v>
      </c>
      <c r="N306" s="23" t="s">
        <v>140</v>
      </c>
      <c r="O306" s="23" t="s">
        <v>133</v>
      </c>
      <c r="P306" s="23" t="s">
        <v>84</v>
      </c>
      <c r="Q306" s="23" t="str">
        <f aca="false">IF(A306="UNDATED LEAD","UNRESOLVED",IF(M306="N","EXCEPTION",IF(A306="SKIP",IF(ISNUMBER(SEARCH("_skip_justification.pdf",N306)),"CLEAR - FILE VERIFIED","CLEAR ON EXPORT"),"CLEAR ON LOG")))</f>
        <v>CLEAR ON EXPORT</v>
      </c>
      <c r="R306" s="23" t="str">
        <f aca="false">IF(Q306="UNRESOLVED","PRIORITY 1 - OBTAIN FILE",IF(Q306&lt;&gt;"EXCEPTION","NONE",IF(OR(AND(A306="LOA AMENDMENT",P306="UNRESOLVED USE"),AND(A306="SKIP",OR(E306="WL-02618",E306="WL-03044",E306="WL-03390"))),"PRIORITY 1",IF(A306="SKIP","PRIORITY 2","PRIORITY 3"))))</f>
        <v>NONE</v>
      </c>
      <c r="S306" s="23"/>
      <c r="T306" s="23" t="s">
        <v>1859</v>
      </c>
      <c r="U306" s="23" t="s">
        <v>86</v>
      </c>
    </row>
    <row r="307" customFormat="false" ht="17.9" hidden="false" customHeight="false" outlineLevel="0" collapsed="false">
      <c r="A307" s="20" t="s">
        <v>73</v>
      </c>
      <c r="B307" s="21" t="n">
        <v>46208</v>
      </c>
      <c r="C307" s="20" t="s">
        <v>1860</v>
      </c>
      <c r="D307" s="20" t="s">
        <v>1861</v>
      </c>
      <c r="E307" s="20" t="s">
        <v>1862</v>
      </c>
      <c r="F307" s="20" t="s">
        <v>1863</v>
      </c>
      <c r="G307" s="20" t="n">
        <v>2059</v>
      </c>
      <c r="H307" s="20" t="s">
        <v>1864</v>
      </c>
      <c r="I307" s="20" t="s">
        <v>119</v>
      </c>
      <c r="J307" s="20" t="s">
        <v>100</v>
      </c>
      <c r="K307" s="22"/>
      <c r="L307" s="22"/>
      <c r="M307" s="20" t="s">
        <v>81</v>
      </c>
      <c r="N307" s="23" t="s">
        <v>101</v>
      </c>
      <c r="O307" s="23" t="s">
        <v>102</v>
      </c>
      <c r="P307" s="23" t="s">
        <v>84</v>
      </c>
      <c r="Q307" s="23" t="str">
        <f aca="false">IF(A307="UNDATED LEAD","UNRESOLVED",IF(M307="N","EXCEPTION",IF(A307="SKIP",IF(ISNUMBER(SEARCH("_skip_justification.pdf",N307)),"CLEAR - FILE VERIFIED","CLEAR ON EXPORT"),"CLEAR ON LOG")))</f>
        <v>CLEAR ON EXPORT</v>
      </c>
      <c r="R307" s="23" t="str">
        <f aca="false">IF(Q307="UNRESOLVED","PRIORITY 1 - OBTAIN FILE",IF(Q307&lt;&gt;"EXCEPTION","NONE",IF(OR(AND(A307="LOA AMENDMENT",P307="UNRESOLVED USE"),AND(A307="SKIP",OR(E307="WL-02618",E307="WL-03044",E307="WL-03390"))),"PRIORITY 1",IF(A307="SKIP","PRIORITY 2","PRIORITY 3"))))</f>
        <v>NONE</v>
      </c>
      <c r="S307" s="23"/>
      <c r="T307" s="23" t="s">
        <v>1865</v>
      </c>
      <c r="U307" s="23" t="s">
        <v>86</v>
      </c>
    </row>
    <row r="308" customFormat="false" ht="17.9" hidden="false" customHeight="false" outlineLevel="0" collapsed="false">
      <c r="A308" s="20" t="s">
        <v>73</v>
      </c>
      <c r="B308" s="21" t="n">
        <v>46210</v>
      </c>
      <c r="C308" s="20" t="s">
        <v>1866</v>
      </c>
      <c r="D308" s="20" t="s">
        <v>1867</v>
      </c>
      <c r="E308" s="20" t="s">
        <v>1868</v>
      </c>
      <c r="F308" s="20" t="s">
        <v>1869</v>
      </c>
      <c r="G308" s="20" t="n">
        <v>1900</v>
      </c>
      <c r="H308" s="20" t="s">
        <v>1870</v>
      </c>
      <c r="I308" s="20" t="s">
        <v>119</v>
      </c>
      <c r="J308" s="20" t="s">
        <v>147</v>
      </c>
      <c r="K308" s="22"/>
      <c r="L308" s="22"/>
      <c r="M308" s="20" t="s">
        <v>81</v>
      </c>
      <c r="N308" s="23" t="s">
        <v>92</v>
      </c>
      <c r="O308" s="23" t="s">
        <v>148</v>
      </c>
      <c r="P308" s="23" t="s">
        <v>84</v>
      </c>
      <c r="Q308" s="23" t="str">
        <f aca="false">IF(A308="UNDATED LEAD","UNRESOLVED",IF(M308="N","EXCEPTION",IF(A308="SKIP",IF(ISNUMBER(SEARCH("_skip_justification.pdf",N308)),"CLEAR - FILE VERIFIED","CLEAR ON EXPORT"),"CLEAR ON LOG")))</f>
        <v>CLEAR ON EXPORT</v>
      </c>
      <c r="R308" s="23" t="str">
        <f aca="false">IF(Q308="UNRESOLVED","PRIORITY 1 - OBTAIN FILE",IF(Q308&lt;&gt;"EXCEPTION","NONE",IF(OR(AND(A308="LOA AMENDMENT",P308="UNRESOLVED USE"),AND(A308="SKIP",OR(E308="WL-02618",E308="WL-03044",E308="WL-03390"))),"PRIORITY 1",IF(A308="SKIP","PRIORITY 2","PRIORITY 3"))))</f>
        <v>NONE</v>
      </c>
      <c r="S308" s="23"/>
      <c r="T308" s="23" t="s">
        <v>1871</v>
      </c>
      <c r="U308" s="23" t="s">
        <v>86</v>
      </c>
    </row>
    <row r="309" customFormat="false" ht="17.9" hidden="false" customHeight="false" outlineLevel="0" collapsed="false">
      <c r="A309" s="20" t="s">
        <v>73</v>
      </c>
      <c r="B309" s="21" t="n">
        <v>46217</v>
      </c>
      <c r="C309" s="20" t="s">
        <v>1872</v>
      </c>
      <c r="D309" s="20" t="s">
        <v>1873</v>
      </c>
      <c r="E309" s="20" t="s">
        <v>1874</v>
      </c>
      <c r="F309" s="20" t="s">
        <v>1875</v>
      </c>
      <c r="G309" s="20" t="n">
        <v>1358</v>
      </c>
      <c r="H309" s="20" t="s">
        <v>1876</v>
      </c>
      <c r="I309" s="20" t="s">
        <v>79</v>
      </c>
      <c r="J309" s="20" t="s">
        <v>132</v>
      </c>
      <c r="K309" s="22"/>
      <c r="L309" s="22"/>
      <c r="M309" s="20" t="s">
        <v>81</v>
      </c>
      <c r="N309" s="23" t="s">
        <v>140</v>
      </c>
      <c r="O309" s="23" t="s">
        <v>133</v>
      </c>
      <c r="P309" s="23" t="s">
        <v>84</v>
      </c>
      <c r="Q309" s="23" t="str">
        <f aca="false">IF(A309="UNDATED LEAD","UNRESOLVED",IF(M309="N","EXCEPTION",IF(A309="SKIP",IF(ISNUMBER(SEARCH("_skip_justification.pdf",N309)),"CLEAR - FILE VERIFIED","CLEAR ON EXPORT"),"CLEAR ON LOG")))</f>
        <v>CLEAR ON EXPORT</v>
      </c>
      <c r="R309" s="23" t="str">
        <f aca="false">IF(Q309="UNRESOLVED","PRIORITY 1 - OBTAIN FILE",IF(Q309&lt;&gt;"EXCEPTION","NONE",IF(OR(AND(A309="LOA AMENDMENT",P309="UNRESOLVED USE"),AND(A309="SKIP",OR(E309="WL-02618",E309="WL-03044",E309="WL-03390"))),"PRIORITY 1",IF(A309="SKIP","PRIORITY 2","PRIORITY 3"))))</f>
        <v>NONE</v>
      </c>
      <c r="S309" s="23"/>
      <c r="T309" s="23" t="s">
        <v>1877</v>
      </c>
      <c r="U309" s="23" t="s">
        <v>86</v>
      </c>
    </row>
    <row r="310" customFormat="false" ht="17.9" hidden="false" customHeight="false" outlineLevel="0" collapsed="false">
      <c r="A310" s="20" t="s">
        <v>73</v>
      </c>
      <c r="B310" s="21" t="n">
        <v>46218</v>
      </c>
      <c r="C310" s="20" t="s">
        <v>1878</v>
      </c>
      <c r="D310" s="20" t="s">
        <v>1879</v>
      </c>
      <c r="E310" s="20" t="s">
        <v>1880</v>
      </c>
      <c r="F310" s="20" t="s">
        <v>1881</v>
      </c>
      <c r="G310" s="20" t="n">
        <v>1436</v>
      </c>
      <c r="H310" s="20" t="s">
        <v>1882</v>
      </c>
      <c r="I310" s="20" t="s">
        <v>166</v>
      </c>
      <c r="J310" s="20" t="s">
        <v>147</v>
      </c>
      <c r="K310" s="22"/>
      <c r="L310" s="22"/>
      <c r="M310" s="20" t="s">
        <v>81</v>
      </c>
      <c r="N310" s="23" t="s">
        <v>140</v>
      </c>
      <c r="O310" s="23" t="s">
        <v>148</v>
      </c>
      <c r="P310" s="23" t="s">
        <v>84</v>
      </c>
      <c r="Q310" s="23" t="str">
        <f aca="false">IF(A310="UNDATED LEAD","UNRESOLVED",IF(M310="N","EXCEPTION",IF(A310="SKIP",IF(ISNUMBER(SEARCH("_skip_justification.pdf",N310)),"CLEAR - FILE VERIFIED","CLEAR ON EXPORT"),"CLEAR ON LOG")))</f>
        <v>CLEAR ON EXPORT</v>
      </c>
      <c r="R310" s="23" t="str">
        <f aca="false">IF(Q310="UNRESOLVED","PRIORITY 1 - OBTAIN FILE",IF(Q310&lt;&gt;"EXCEPTION","NONE",IF(OR(AND(A310="LOA AMENDMENT",P310="UNRESOLVED USE"),AND(A310="SKIP",OR(E310="WL-02618",E310="WL-03044",E310="WL-03390"))),"PRIORITY 1",IF(A310="SKIP","PRIORITY 2","PRIORITY 3"))))</f>
        <v>NONE</v>
      </c>
      <c r="S310" s="23"/>
      <c r="T310" s="23" t="s">
        <v>1883</v>
      </c>
      <c r="U310" s="23" t="s">
        <v>86</v>
      </c>
    </row>
    <row r="311" customFormat="false" ht="17.9" hidden="false" customHeight="false" outlineLevel="0" collapsed="false">
      <c r="A311" s="20" t="s">
        <v>73</v>
      </c>
      <c r="B311" s="21" t="n">
        <v>46220</v>
      </c>
      <c r="C311" s="20" t="s">
        <v>1884</v>
      </c>
      <c r="D311" s="20" t="s">
        <v>1885</v>
      </c>
      <c r="E311" s="20" t="s">
        <v>836</v>
      </c>
      <c r="F311" s="20" t="s">
        <v>837</v>
      </c>
      <c r="G311" s="20" t="n">
        <v>1013</v>
      </c>
      <c r="H311" s="20" t="s">
        <v>1886</v>
      </c>
      <c r="I311" s="20" t="s">
        <v>166</v>
      </c>
      <c r="J311" s="20" t="s">
        <v>100</v>
      </c>
      <c r="K311" s="22"/>
      <c r="L311" s="22"/>
      <c r="M311" s="20" t="s">
        <v>81</v>
      </c>
      <c r="N311" s="23" t="s">
        <v>101</v>
      </c>
      <c r="O311" s="23" t="s">
        <v>102</v>
      </c>
      <c r="P311" s="23" t="s">
        <v>84</v>
      </c>
      <c r="Q311" s="23" t="str">
        <f aca="false">IF(A311="UNDATED LEAD","UNRESOLVED",IF(M311="N","EXCEPTION",IF(A311="SKIP",IF(ISNUMBER(SEARCH("_skip_justification.pdf",N311)),"CLEAR - FILE VERIFIED","CLEAR ON EXPORT"),"CLEAR ON LOG")))</f>
        <v>CLEAR ON EXPORT</v>
      </c>
      <c r="R311" s="23" t="str">
        <f aca="false">IF(Q311="UNRESOLVED","PRIORITY 1 - OBTAIN FILE",IF(Q311&lt;&gt;"EXCEPTION","NONE",IF(OR(AND(A311="LOA AMENDMENT",P311="UNRESOLVED USE"),AND(A311="SKIP",OR(E311="WL-02618",E311="WL-03044",E311="WL-03390"))),"PRIORITY 1",IF(A311="SKIP","PRIORITY 2","PRIORITY 3"))))</f>
        <v>NONE</v>
      </c>
      <c r="S311" s="23"/>
      <c r="T311" s="23" t="s">
        <v>1887</v>
      </c>
      <c r="U311" s="23" t="s">
        <v>86</v>
      </c>
    </row>
    <row r="312" customFormat="false" ht="17.9" hidden="false" customHeight="false" outlineLevel="0" collapsed="false">
      <c r="A312" s="20" t="s">
        <v>73</v>
      </c>
      <c r="B312" s="21" t="n">
        <v>46224</v>
      </c>
      <c r="C312" s="20" t="s">
        <v>1888</v>
      </c>
      <c r="D312" s="20" t="s">
        <v>1889</v>
      </c>
      <c r="E312" s="20" t="s">
        <v>1890</v>
      </c>
      <c r="F312" s="20" t="s">
        <v>1891</v>
      </c>
      <c r="G312" s="20" t="n">
        <v>2106</v>
      </c>
      <c r="H312" s="20" t="s">
        <v>1892</v>
      </c>
      <c r="I312" s="20" t="s">
        <v>79</v>
      </c>
      <c r="J312" s="20" t="s">
        <v>100</v>
      </c>
      <c r="K312" s="22"/>
      <c r="L312" s="22"/>
      <c r="M312" s="20" t="s">
        <v>81</v>
      </c>
      <c r="N312" s="23" t="s">
        <v>140</v>
      </c>
      <c r="O312" s="23" t="s">
        <v>102</v>
      </c>
      <c r="P312" s="23" t="s">
        <v>84</v>
      </c>
      <c r="Q312" s="23" t="str">
        <f aca="false">IF(A312="UNDATED LEAD","UNRESOLVED",IF(M312="N","EXCEPTION",IF(A312="SKIP",IF(ISNUMBER(SEARCH("_skip_justification.pdf",N312)),"CLEAR - FILE VERIFIED","CLEAR ON EXPORT"),"CLEAR ON LOG")))</f>
        <v>CLEAR ON EXPORT</v>
      </c>
      <c r="R312" s="23" t="str">
        <f aca="false">IF(Q312="UNRESOLVED","PRIORITY 1 - OBTAIN FILE",IF(Q312&lt;&gt;"EXCEPTION","NONE",IF(OR(AND(A312="LOA AMENDMENT",P312="UNRESOLVED USE"),AND(A312="SKIP",OR(E312="WL-02618",E312="WL-03044",E312="WL-03390"))),"PRIORITY 1",IF(A312="SKIP","PRIORITY 2","PRIORITY 3"))))</f>
        <v>NONE</v>
      </c>
      <c r="S312" s="23"/>
      <c r="T312" s="23" t="s">
        <v>1893</v>
      </c>
      <c r="U312" s="23" t="s">
        <v>86</v>
      </c>
    </row>
    <row r="313" customFormat="false" ht="17.9" hidden="false" customHeight="false" outlineLevel="0" collapsed="false">
      <c r="A313" s="20" t="s">
        <v>73</v>
      </c>
      <c r="B313" s="21" t="n">
        <v>46224</v>
      </c>
      <c r="C313" s="20" t="s">
        <v>1894</v>
      </c>
      <c r="D313" s="20" t="s">
        <v>1895</v>
      </c>
      <c r="E313" s="20" t="s">
        <v>1896</v>
      </c>
      <c r="F313" s="20" t="s">
        <v>1897</v>
      </c>
      <c r="G313" s="20" t="n">
        <v>722</v>
      </c>
      <c r="H313" s="20" t="s">
        <v>1898</v>
      </c>
      <c r="I313" s="20" t="s">
        <v>99</v>
      </c>
      <c r="J313" s="20" t="s">
        <v>100</v>
      </c>
      <c r="K313" s="22"/>
      <c r="L313" s="22"/>
      <c r="M313" s="20" t="s">
        <v>81</v>
      </c>
      <c r="N313" s="23" t="s">
        <v>82</v>
      </c>
      <c r="O313" s="23" t="s">
        <v>102</v>
      </c>
      <c r="P313" s="23" t="s">
        <v>84</v>
      </c>
      <c r="Q313" s="23" t="str">
        <f aca="false">IF(A313="UNDATED LEAD","UNRESOLVED",IF(M313="N","EXCEPTION",IF(A313="SKIP",IF(ISNUMBER(SEARCH("_skip_justification.pdf",N313)),"CLEAR - FILE VERIFIED","CLEAR ON EXPORT"),"CLEAR ON LOG")))</f>
        <v>CLEAR ON EXPORT</v>
      </c>
      <c r="R313" s="23" t="str">
        <f aca="false">IF(Q313="UNRESOLVED","PRIORITY 1 - OBTAIN FILE",IF(Q313&lt;&gt;"EXCEPTION","NONE",IF(OR(AND(A313="LOA AMENDMENT",P313="UNRESOLVED USE"),AND(A313="SKIP",OR(E313="WL-02618",E313="WL-03044",E313="WL-03390"))),"PRIORITY 1",IF(A313="SKIP","PRIORITY 2","PRIORITY 3"))))</f>
        <v>NONE</v>
      </c>
      <c r="S313" s="23"/>
      <c r="T313" s="23" t="s">
        <v>1899</v>
      </c>
      <c r="U313" s="23" t="s">
        <v>86</v>
      </c>
    </row>
    <row r="314" customFormat="false" ht="17.9" hidden="false" customHeight="false" outlineLevel="0" collapsed="false">
      <c r="A314" s="20" t="s">
        <v>73</v>
      </c>
      <c r="B314" s="21" t="n">
        <v>46228</v>
      </c>
      <c r="C314" s="20" t="s">
        <v>1900</v>
      </c>
      <c r="D314" s="20" t="s">
        <v>1901</v>
      </c>
      <c r="E314" s="20" t="s">
        <v>1902</v>
      </c>
      <c r="F314" s="20" t="s">
        <v>1903</v>
      </c>
      <c r="G314" s="20" t="n">
        <v>2071</v>
      </c>
      <c r="H314" s="20" t="s">
        <v>1248</v>
      </c>
      <c r="I314" s="20" t="s">
        <v>166</v>
      </c>
      <c r="J314" s="20" t="s">
        <v>80</v>
      </c>
      <c r="K314" s="22"/>
      <c r="L314" s="22"/>
      <c r="M314" s="20" t="s">
        <v>81</v>
      </c>
      <c r="N314" s="23" t="s">
        <v>101</v>
      </c>
      <c r="O314" s="23" t="s">
        <v>83</v>
      </c>
      <c r="P314" s="23" t="s">
        <v>84</v>
      </c>
      <c r="Q314" s="23" t="str">
        <f aca="false">IF(A314="UNDATED LEAD","UNRESOLVED",IF(M314="N","EXCEPTION",IF(A314="SKIP",IF(ISNUMBER(SEARCH("_skip_justification.pdf",N314)),"CLEAR - FILE VERIFIED","CLEAR ON EXPORT"),"CLEAR ON LOG")))</f>
        <v>CLEAR ON EXPORT</v>
      </c>
      <c r="R314" s="23" t="str">
        <f aca="false">IF(Q314="UNRESOLVED","PRIORITY 1 - OBTAIN FILE",IF(Q314&lt;&gt;"EXCEPTION","NONE",IF(OR(AND(A314="LOA AMENDMENT",P314="UNRESOLVED USE"),AND(A314="SKIP",OR(E314="WL-02618",E314="WL-03044",E314="WL-03390"))),"PRIORITY 1",IF(A314="SKIP","PRIORITY 2","PRIORITY 3"))))</f>
        <v>NONE</v>
      </c>
      <c r="S314" s="23"/>
      <c r="T314" s="23" t="s">
        <v>1904</v>
      </c>
      <c r="U314" s="23" t="s">
        <v>86</v>
      </c>
    </row>
    <row r="315" customFormat="false" ht="17.9" hidden="false" customHeight="false" outlineLevel="0" collapsed="false">
      <c r="A315" s="20" t="s">
        <v>1905</v>
      </c>
      <c r="B315" s="21" t="n">
        <v>44927</v>
      </c>
      <c r="C315" s="20" t="s">
        <v>1906</v>
      </c>
      <c r="D315" s="20"/>
      <c r="E315" s="20" t="s">
        <v>1907</v>
      </c>
      <c r="F315" s="20" t="s">
        <v>1908</v>
      </c>
      <c r="G315" s="20"/>
      <c r="H315" s="20"/>
      <c r="I315" s="20"/>
      <c r="J315" s="20" t="s">
        <v>1909</v>
      </c>
      <c r="K315" s="22" t="n">
        <v>23.8</v>
      </c>
      <c r="L315" s="22" t="n">
        <v>24</v>
      </c>
      <c r="M315" s="20" t="s">
        <v>81</v>
      </c>
      <c r="N315" s="23" t="s">
        <v>1910</v>
      </c>
      <c r="O315" s="23" t="s">
        <v>1911</v>
      </c>
      <c r="P315" s="23" t="s">
        <v>1912</v>
      </c>
      <c r="Q315" s="23" t="str">
        <f aca="false">IF(A315="UNDATED LEAD","UNRESOLVED",IF(M315="N","EXCEPTION",IF(A315="SKIP",IF(ISNUMBER(SEARCH("_skip_justification.pdf",N315)),"CLEAR - FILE VERIFIED","CLEAR ON EXPORT"),"CLEAR ON LOG")))</f>
        <v>CLEAR ON LOG</v>
      </c>
      <c r="R315" s="23" t="str">
        <f aca="false">IF(Q315="UNRESOLVED","PRIORITY 1 - OBTAIN FILE",IF(Q315&lt;&gt;"EXCEPTION","NONE",IF(OR(AND(A315="LOA AMENDMENT",P315="UNRESOLVED USE"),AND(A315="SKIP",OR(E315="WL-02618",E315="WL-03044",E315="WL-03390"))),"PRIORITY 1",IF(A315="SKIP","PRIORITY 2","PRIORITY 3"))))</f>
        <v>NONE</v>
      </c>
      <c r="S315" s="23" t="s">
        <v>1913</v>
      </c>
      <c r="T315" s="23" t="s">
        <v>1914</v>
      </c>
      <c r="U315" s="23" t="s">
        <v>1915</v>
      </c>
    </row>
    <row r="316" customFormat="false" ht="17.9" hidden="false" customHeight="false" outlineLevel="0" collapsed="false">
      <c r="A316" s="20" t="s">
        <v>1905</v>
      </c>
      <c r="B316" s="21" t="n">
        <v>44948</v>
      </c>
      <c r="C316" s="20" t="s">
        <v>1916</v>
      </c>
      <c r="D316" s="20"/>
      <c r="E316" s="20" t="s">
        <v>1917</v>
      </c>
      <c r="F316" s="20" t="s">
        <v>1918</v>
      </c>
      <c r="G316" s="20"/>
      <c r="H316" s="20"/>
      <c r="I316" s="20"/>
      <c r="J316" s="20" t="s">
        <v>1909</v>
      </c>
      <c r="K316" s="22" t="n">
        <v>45.4</v>
      </c>
      <c r="L316" s="22" t="n">
        <v>44.5</v>
      </c>
      <c r="M316" s="20" t="s">
        <v>81</v>
      </c>
      <c r="N316" s="23" t="s">
        <v>1919</v>
      </c>
      <c r="O316" s="23" t="s">
        <v>1911</v>
      </c>
      <c r="P316" s="23" t="s">
        <v>1912</v>
      </c>
      <c r="Q316" s="23" t="str">
        <f aca="false">IF(A316="UNDATED LEAD","UNRESOLVED",IF(M316="N","EXCEPTION",IF(A316="SKIP",IF(ISNUMBER(SEARCH("_skip_justification.pdf",N316)),"CLEAR - FILE VERIFIED","CLEAR ON EXPORT"),"CLEAR ON LOG")))</f>
        <v>CLEAR ON LOG</v>
      </c>
      <c r="R316" s="23" t="str">
        <f aca="false">IF(Q316="UNRESOLVED","PRIORITY 1 - OBTAIN FILE",IF(Q316&lt;&gt;"EXCEPTION","NONE",IF(OR(AND(A316="LOA AMENDMENT",P316="UNRESOLVED USE"),AND(A316="SKIP",OR(E316="WL-02618",E316="WL-03044",E316="WL-03390"))),"PRIORITY 1",IF(A316="SKIP","PRIORITY 2","PRIORITY 3"))))</f>
        <v>NONE</v>
      </c>
      <c r="S316" s="23" t="s">
        <v>1913</v>
      </c>
      <c r="T316" s="23" t="s">
        <v>1920</v>
      </c>
      <c r="U316" s="23" t="s">
        <v>1915</v>
      </c>
    </row>
    <row r="317" customFormat="false" ht="17.9" hidden="false" customHeight="false" outlineLevel="0" collapsed="false">
      <c r="A317" s="20" t="s">
        <v>1905</v>
      </c>
      <c r="B317" s="21" t="n">
        <v>44960</v>
      </c>
      <c r="C317" s="20" t="s">
        <v>1921</v>
      </c>
      <c r="D317" s="20"/>
      <c r="E317" s="20" t="s">
        <v>1922</v>
      </c>
      <c r="F317" s="20" t="s">
        <v>1923</v>
      </c>
      <c r="G317" s="20"/>
      <c r="H317" s="20"/>
      <c r="I317" s="20"/>
      <c r="J317" s="20" t="s">
        <v>1909</v>
      </c>
      <c r="K317" s="22" t="n">
        <v>20.4</v>
      </c>
      <c r="L317" s="22" t="n">
        <v>23.1</v>
      </c>
      <c r="M317" s="20" t="s">
        <v>81</v>
      </c>
      <c r="N317" s="23" t="s">
        <v>1924</v>
      </c>
      <c r="O317" s="23" t="s">
        <v>1911</v>
      </c>
      <c r="P317" s="23" t="s">
        <v>1912</v>
      </c>
      <c r="Q317" s="23" t="str">
        <f aca="false">IF(A317="UNDATED LEAD","UNRESOLVED",IF(M317="N","EXCEPTION",IF(A317="SKIP",IF(ISNUMBER(SEARCH("_skip_justification.pdf",N317)),"CLEAR - FILE VERIFIED","CLEAR ON EXPORT"),"CLEAR ON LOG")))</f>
        <v>CLEAR ON LOG</v>
      </c>
      <c r="R317" s="23" t="str">
        <f aca="false">IF(Q317="UNRESOLVED","PRIORITY 1 - OBTAIN FILE",IF(Q317&lt;&gt;"EXCEPTION","NONE",IF(OR(AND(A317="LOA AMENDMENT",P317="UNRESOLVED USE"),AND(A317="SKIP",OR(E317="WL-02618",E317="WL-03044",E317="WL-03390"))),"PRIORITY 1",IF(A317="SKIP","PRIORITY 2","PRIORITY 3"))))</f>
        <v>NONE</v>
      </c>
      <c r="S317" s="23" t="s">
        <v>1913</v>
      </c>
      <c r="T317" s="23" t="s">
        <v>1925</v>
      </c>
      <c r="U317" s="23" t="s">
        <v>1915</v>
      </c>
    </row>
    <row r="318" customFormat="false" ht="17.9" hidden="false" customHeight="false" outlineLevel="0" collapsed="false">
      <c r="A318" s="20" t="s">
        <v>1905</v>
      </c>
      <c r="B318" s="21" t="n">
        <v>44960</v>
      </c>
      <c r="C318" s="20" t="s">
        <v>1926</v>
      </c>
      <c r="D318" s="20"/>
      <c r="E318" s="20" t="s">
        <v>529</v>
      </c>
      <c r="F318" s="20" t="s">
        <v>530</v>
      </c>
      <c r="G318" s="20"/>
      <c r="H318" s="20"/>
      <c r="I318" s="20"/>
      <c r="J318" s="20" t="s">
        <v>1909</v>
      </c>
      <c r="K318" s="22" t="n">
        <v>53.7</v>
      </c>
      <c r="L318" s="22" t="n">
        <v>54.4</v>
      </c>
      <c r="M318" s="20" t="s">
        <v>81</v>
      </c>
      <c r="N318" s="23" t="s">
        <v>1927</v>
      </c>
      <c r="O318" s="23" t="s">
        <v>1911</v>
      </c>
      <c r="P318" s="23" t="s">
        <v>1912</v>
      </c>
      <c r="Q318" s="23" t="str">
        <f aca="false">IF(A318="UNDATED LEAD","UNRESOLVED",IF(M318="N","EXCEPTION",IF(A318="SKIP",IF(ISNUMBER(SEARCH("_skip_justification.pdf",N318)),"CLEAR - FILE VERIFIED","CLEAR ON EXPORT"),"CLEAR ON LOG")))</f>
        <v>CLEAR ON LOG</v>
      </c>
      <c r="R318" s="23" t="str">
        <f aca="false">IF(Q318="UNRESOLVED","PRIORITY 1 - OBTAIN FILE",IF(Q318&lt;&gt;"EXCEPTION","NONE",IF(OR(AND(A318="LOA AMENDMENT",P318="UNRESOLVED USE"),AND(A318="SKIP",OR(E318="WL-02618",E318="WL-03044",E318="WL-03390"))),"PRIORITY 1",IF(A318="SKIP","PRIORITY 2","PRIORITY 3"))))</f>
        <v>NONE</v>
      </c>
      <c r="S318" s="23" t="s">
        <v>1913</v>
      </c>
      <c r="T318" s="23" t="s">
        <v>1928</v>
      </c>
      <c r="U318" s="23" t="s">
        <v>1915</v>
      </c>
    </row>
    <row r="319" customFormat="false" ht="17.9" hidden="false" customHeight="false" outlineLevel="0" collapsed="false">
      <c r="A319" s="20" t="s">
        <v>1905</v>
      </c>
      <c r="B319" s="21" t="n">
        <v>44996</v>
      </c>
      <c r="C319" s="20" t="s">
        <v>1929</v>
      </c>
      <c r="D319" s="20"/>
      <c r="E319" s="20" t="s">
        <v>1930</v>
      </c>
      <c r="F319" s="20" t="s">
        <v>1931</v>
      </c>
      <c r="G319" s="20"/>
      <c r="H319" s="20"/>
      <c r="I319" s="20"/>
      <c r="J319" s="20" t="s">
        <v>1909</v>
      </c>
      <c r="K319" s="22" t="n">
        <v>53.7</v>
      </c>
      <c r="L319" s="22" t="n">
        <v>51.8</v>
      </c>
      <c r="M319" s="20" t="s">
        <v>81</v>
      </c>
      <c r="N319" s="23" t="s">
        <v>1932</v>
      </c>
      <c r="O319" s="23" t="s">
        <v>1911</v>
      </c>
      <c r="P319" s="23" t="s">
        <v>1912</v>
      </c>
      <c r="Q319" s="23" t="str">
        <f aca="false">IF(A319="UNDATED LEAD","UNRESOLVED",IF(M319="N","EXCEPTION",IF(A319="SKIP",IF(ISNUMBER(SEARCH("_skip_justification.pdf",N319)),"CLEAR - FILE VERIFIED","CLEAR ON EXPORT"),"CLEAR ON LOG")))</f>
        <v>CLEAR ON LOG</v>
      </c>
      <c r="R319" s="23" t="str">
        <f aca="false">IF(Q319="UNRESOLVED","PRIORITY 1 - OBTAIN FILE",IF(Q319&lt;&gt;"EXCEPTION","NONE",IF(OR(AND(A319="LOA AMENDMENT",P319="UNRESOLVED USE"),AND(A319="SKIP",OR(E319="WL-02618",E319="WL-03044",E319="WL-03390"))),"PRIORITY 1",IF(A319="SKIP","PRIORITY 2","PRIORITY 3"))))</f>
        <v>NONE</v>
      </c>
      <c r="S319" s="23" t="s">
        <v>1913</v>
      </c>
      <c r="T319" s="23" t="s">
        <v>1933</v>
      </c>
      <c r="U319" s="23" t="s">
        <v>1915</v>
      </c>
    </row>
    <row r="320" customFormat="false" ht="17.9" hidden="false" customHeight="false" outlineLevel="0" collapsed="false">
      <c r="A320" s="20" t="s">
        <v>1905</v>
      </c>
      <c r="B320" s="21" t="n">
        <v>44999</v>
      </c>
      <c r="C320" s="20" t="s">
        <v>1934</v>
      </c>
      <c r="D320" s="20"/>
      <c r="E320" s="20" t="s">
        <v>1935</v>
      </c>
      <c r="F320" s="20" t="s">
        <v>1936</v>
      </c>
      <c r="G320" s="20"/>
      <c r="H320" s="20"/>
      <c r="I320" s="20"/>
      <c r="J320" s="20" t="s">
        <v>1909</v>
      </c>
      <c r="K320" s="22" t="n">
        <v>25.5</v>
      </c>
      <c r="L320" s="22" t="n">
        <v>26.7</v>
      </c>
      <c r="M320" s="20" t="s">
        <v>81</v>
      </c>
      <c r="N320" s="23" t="s">
        <v>1937</v>
      </c>
      <c r="O320" s="23" t="s">
        <v>1911</v>
      </c>
      <c r="P320" s="23" t="s">
        <v>1912</v>
      </c>
      <c r="Q320" s="23" t="str">
        <f aca="false">IF(A320="UNDATED LEAD","UNRESOLVED",IF(M320="N","EXCEPTION",IF(A320="SKIP",IF(ISNUMBER(SEARCH("_skip_justification.pdf",N320)),"CLEAR - FILE VERIFIED","CLEAR ON EXPORT"),"CLEAR ON LOG")))</f>
        <v>CLEAR ON LOG</v>
      </c>
      <c r="R320" s="23" t="str">
        <f aca="false">IF(Q320="UNRESOLVED","PRIORITY 1 - OBTAIN FILE",IF(Q320&lt;&gt;"EXCEPTION","NONE",IF(OR(AND(A320="LOA AMENDMENT",P320="UNRESOLVED USE"),AND(A320="SKIP",OR(E320="WL-02618",E320="WL-03044",E320="WL-03390"))),"PRIORITY 1",IF(A320="SKIP","PRIORITY 2","PRIORITY 3"))))</f>
        <v>NONE</v>
      </c>
      <c r="S320" s="23" t="s">
        <v>1913</v>
      </c>
      <c r="T320" s="23" t="s">
        <v>1938</v>
      </c>
      <c r="U320" s="23" t="s">
        <v>1915</v>
      </c>
    </row>
    <row r="321" customFormat="false" ht="17.9" hidden="false" customHeight="false" outlineLevel="0" collapsed="false">
      <c r="A321" s="20" t="s">
        <v>1905</v>
      </c>
      <c r="B321" s="21" t="n">
        <v>45010</v>
      </c>
      <c r="C321" s="20" t="s">
        <v>1939</v>
      </c>
      <c r="D321" s="20"/>
      <c r="E321" s="20" t="s">
        <v>1940</v>
      </c>
      <c r="F321" s="20" t="s">
        <v>1941</v>
      </c>
      <c r="G321" s="20"/>
      <c r="H321" s="20"/>
      <c r="I321" s="20"/>
      <c r="J321" s="20" t="s">
        <v>1909</v>
      </c>
      <c r="K321" s="22" t="n">
        <v>28.8</v>
      </c>
      <c r="L321" s="22" t="n">
        <v>29.6</v>
      </c>
      <c r="M321" s="20" t="s">
        <v>81</v>
      </c>
      <c r="N321" s="23" t="s">
        <v>1942</v>
      </c>
      <c r="O321" s="23" t="s">
        <v>1911</v>
      </c>
      <c r="P321" s="23" t="s">
        <v>1912</v>
      </c>
      <c r="Q321" s="23" t="str">
        <f aca="false">IF(A321="UNDATED LEAD","UNRESOLVED",IF(M321="N","EXCEPTION",IF(A321="SKIP",IF(ISNUMBER(SEARCH("_skip_justification.pdf",N321)),"CLEAR - FILE VERIFIED","CLEAR ON EXPORT"),"CLEAR ON LOG")))</f>
        <v>CLEAR ON LOG</v>
      </c>
      <c r="R321" s="23" t="str">
        <f aca="false">IF(Q321="UNRESOLVED","PRIORITY 1 - OBTAIN FILE",IF(Q321&lt;&gt;"EXCEPTION","NONE",IF(OR(AND(A321="LOA AMENDMENT",P321="UNRESOLVED USE"),AND(A321="SKIP",OR(E321="WL-02618",E321="WL-03044",E321="WL-03390"))),"PRIORITY 1",IF(A321="SKIP","PRIORITY 2","PRIORITY 3"))))</f>
        <v>NONE</v>
      </c>
      <c r="S321" s="23" t="s">
        <v>1913</v>
      </c>
      <c r="T321" s="23" t="s">
        <v>1943</v>
      </c>
      <c r="U321" s="23" t="s">
        <v>1915</v>
      </c>
    </row>
    <row r="322" customFormat="false" ht="17.9" hidden="false" customHeight="false" outlineLevel="0" collapsed="false">
      <c r="A322" s="20" t="s">
        <v>1905</v>
      </c>
      <c r="B322" s="21" t="n">
        <v>45023</v>
      </c>
      <c r="C322" s="20" t="s">
        <v>1944</v>
      </c>
      <c r="D322" s="20"/>
      <c r="E322" s="20" t="s">
        <v>1945</v>
      </c>
      <c r="F322" s="20" t="s">
        <v>1946</v>
      </c>
      <c r="G322" s="20"/>
      <c r="H322" s="20"/>
      <c r="I322" s="20"/>
      <c r="J322" s="20" t="s">
        <v>1909</v>
      </c>
      <c r="K322" s="22" t="n">
        <v>52.1</v>
      </c>
      <c r="L322" s="22" t="n">
        <v>52.5</v>
      </c>
      <c r="M322" s="20" t="s">
        <v>81</v>
      </c>
      <c r="N322" s="23" t="s">
        <v>1947</v>
      </c>
      <c r="O322" s="23" t="s">
        <v>1911</v>
      </c>
      <c r="P322" s="23" t="s">
        <v>1912</v>
      </c>
      <c r="Q322" s="23" t="str">
        <f aca="false">IF(A322="UNDATED LEAD","UNRESOLVED",IF(M322="N","EXCEPTION",IF(A322="SKIP",IF(ISNUMBER(SEARCH("_skip_justification.pdf",N322)),"CLEAR - FILE VERIFIED","CLEAR ON EXPORT"),"CLEAR ON LOG")))</f>
        <v>CLEAR ON LOG</v>
      </c>
      <c r="R322" s="23" t="str">
        <f aca="false">IF(Q322="UNRESOLVED","PRIORITY 1 - OBTAIN FILE",IF(Q322&lt;&gt;"EXCEPTION","NONE",IF(OR(AND(A322="LOA AMENDMENT",P322="UNRESOLVED USE"),AND(A322="SKIP",OR(E322="WL-02618",E322="WL-03044",E322="WL-03390"))),"PRIORITY 1",IF(A322="SKIP","PRIORITY 2","PRIORITY 3"))))</f>
        <v>NONE</v>
      </c>
      <c r="S322" s="23" t="s">
        <v>1913</v>
      </c>
      <c r="T322" s="23" t="s">
        <v>1948</v>
      </c>
      <c r="U322" s="23" t="s">
        <v>1915</v>
      </c>
    </row>
    <row r="323" customFormat="false" ht="17.9" hidden="false" customHeight="false" outlineLevel="0" collapsed="false">
      <c r="A323" s="20" t="s">
        <v>1905</v>
      </c>
      <c r="B323" s="21" t="n">
        <v>45038</v>
      </c>
      <c r="C323" s="20" t="s">
        <v>1949</v>
      </c>
      <c r="D323" s="20"/>
      <c r="E323" s="20" t="s">
        <v>1950</v>
      </c>
      <c r="F323" s="20" t="s">
        <v>1951</v>
      </c>
      <c r="G323" s="20"/>
      <c r="H323" s="20"/>
      <c r="I323" s="20"/>
      <c r="J323" s="20" t="s">
        <v>1909</v>
      </c>
      <c r="K323" s="22" t="n">
        <v>21.7</v>
      </c>
      <c r="L323" s="22" t="n">
        <v>21.3</v>
      </c>
      <c r="M323" s="20" t="s">
        <v>81</v>
      </c>
      <c r="N323" s="23" t="s">
        <v>1952</v>
      </c>
      <c r="O323" s="23" t="s">
        <v>1911</v>
      </c>
      <c r="P323" s="23" t="s">
        <v>1912</v>
      </c>
      <c r="Q323" s="23" t="str">
        <f aca="false">IF(A323="UNDATED LEAD","UNRESOLVED",IF(M323="N","EXCEPTION",IF(A323="SKIP",IF(ISNUMBER(SEARCH("_skip_justification.pdf",N323)),"CLEAR - FILE VERIFIED","CLEAR ON EXPORT"),"CLEAR ON LOG")))</f>
        <v>CLEAR ON LOG</v>
      </c>
      <c r="R323" s="23" t="str">
        <f aca="false">IF(Q323="UNRESOLVED","PRIORITY 1 - OBTAIN FILE",IF(Q323&lt;&gt;"EXCEPTION","NONE",IF(OR(AND(A323="LOA AMENDMENT",P323="UNRESOLVED USE"),AND(A323="SKIP",OR(E323="WL-02618",E323="WL-03044",E323="WL-03390"))),"PRIORITY 1",IF(A323="SKIP","PRIORITY 2","PRIORITY 3"))))</f>
        <v>NONE</v>
      </c>
      <c r="S323" s="23" t="s">
        <v>1913</v>
      </c>
      <c r="T323" s="23" t="s">
        <v>1953</v>
      </c>
      <c r="U323" s="23" t="s">
        <v>1915</v>
      </c>
    </row>
    <row r="324" customFormat="false" ht="17.9" hidden="false" customHeight="false" outlineLevel="0" collapsed="false">
      <c r="A324" s="20" t="s">
        <v>1905</v>
      </c>
      <c r="B324" s="21" t="n">
        <v>45050</v>
      </c>
      <c r="C324" s="20" t="s">
        <v>1954</v>
      </c>
      <c r="D324" s="20"/>
      <c r="E324" s="20" t="s">
        <v>1955</v>
      </c>
      <c r="F324" s="20" t="s">
        <v>1956</v>
      </c>
      <c r="G324" s="20"/>
      <c r="H324" s="20"/>
      <c r="I324" s="20"/>
      <c r="J324" s="20" t="s">
        <v>1909</v>
      </c>
      <c r="K324" s="22" t="n">
        <v>24.2</v>
      </c>
      <c r="L324" s="22" t="n">
        <v>24.3</v>
      </c>
      <c r="M324" s="20" t="s">
        <v>110</v>
      </c>
      <c r="N324" s="23" t="s">
        <v>1957</v>
      </c>
      <c r="O324" s="23" t="s">
        <v>1911</v>
      </c>
      <c r="P324" s="23" t="s">
        <v>1958</v>
      </c>
      <c r="Q324" s="23" t="str">
        <f aca="false">IF(A324="UNDATED LEAD","UNRESOLVED",IF(M324="N","EXCEPTION",IF(A324="SKIP",IF(ISNUMBER(SEARCH("_skip_justification.pdf",N324)),"CLEAR - FILE VERIFIED","CLEAR ON EXPORT"),"CLEAR ON LOG")))</f>
        <v>EXCEPTION</v>
      </c>
      <c r="R324" s="23" t="str">
        <f aca="false">IF(Q324="UNRESOLVED","PRIORITY 1 - OBTAIN FILE",IF(Q324&lt;&gt;"EXCEPTION","NONE",IF(OR(AND(A324="LOA AMENDMENT",P324="UNRESOLVED USE"),AND(A324="SKIP",OR(E324="WL-02618",E324="WL-03044",E324="WL-03390"))),"PRIORITY 1",IF(A324="SKIP","PRIORITY 2","PRIORITY 3"))))</f>
        <v>PRIORITY 3</v>
      </c>
      <c r="S324" s="23" t="s">
        <v>1959</v>
      </c>
      <c r="T324" s="23" t="s">
        <v>1960</v>
      </c>
      <c r="U324" s="23" t="s">
        <v>1915</v>
      </c>
    </row>
    <row r="325" customFormat="false" ht="17.9" hidden="false" customHeight="false" outlineLevel="0" collapsed="false">
      <c r="A325" s="20" t="s">
        <v>1905</v>
      </c>
      <c r="B325" s="21" t="n">
        <v>45067</v>
      </c>
      <c r="C325" s="20" t="s">
        <v>1961</v>
      </c>
      <c r="D325" s="20"/>
      <c r="E325" s="20" t="s">
        <v>1962</v>
      </c>
      <c r="F325" s="20" t="s">
        <v>1963</v>
      </c>
      <c r="G325" s="20"/>
      <c r="H325" s="20"/>
      <c r="I325" s="20"/>
      <c r="J325" s="20" t="s">
        <v>1909</v>
      </c>
      <c r="K325" s="22" t="n">
        <v>54</v>
      </c>
      <c r="L325" s="22" t="n">
        <v>53.9</v>
      </c>
      <c r="M325" s="20" t="s">
        <v>81</v>
      </c>
      <c r="N325" s="23" t="s">
        <v>1964</v>
      </c>
      <c r="O325" s="23" t="s">
        <v>1911</v>
      </c>
      <c r="P325" s="23" t="s">
        <v>1912</v>
      </c>
      <c r="Q325" s="23" t="str">
        <f aca="false">IF(A325="UNDATED LEAD","UNRESOLVED",IF(M325="N","EXCEPTION",IF(A325="SKIP",IF(ISNUMBER(SEARCH("_skip_justification.pdf",N325)),"CLEAR - FILE VERIFIED","CLEAR ON EXPORT"),"CLEAR ON LOG")))</f>
        <v>CLEAR ON LOG</v>
      </c>
      <c r="R325" s="23" t="str">
        <f aca="false">IF(Q325="UNRESOLVED","PRIORITY 1 - OBTAIN FILE",IF(Q325&lt;&gt;"EXCEPTION","NONE",IF(OR(AND(A325="LOA AMENDMENT",P325="UNRESOLVED USE"),AND(A325="SKIP",OR(E325="WL-02618",E325="WL-03044",E325="WL-03390"))),"PRIORITY 1",IF(A325="SKIP","PRIORITY 2","PRIORITY 3"))))</f>
        <v>NONE</v>
      </c>
      <c r="S325" s="23" t="s">
        <v>1913</v>
      </c>
      <c r="T325" s="23" t="s">
        <v>1965</v>
      </c>
      <c r="U325" s="23" t="s">
        <v>1915</v>
      </c>
    </row>
    <row r="326" customFormat="false" ht="17.9" hidden="false" customHeight="false" outlineLevel="0" collapsed="false">
      <c r="A326" s="20" t="s">
        <v>1905</v>
      </c>
      <c r="B326" s="21" t="n">
        <v>45067</v>
      </c>
      <c r="C326" s="20" t="s">
        <v>1966</v>
      </c>
      <c r="D326" s="20"/>
      <c r="E326" s="20" t="s">
        <v>1967</v>
      </c>
      <c r="F326" s="20" t="s">
        <v>1968</v>
      </c>
      <c r="G326" s="20"/>
      <c r="H326" s="20"/>
      <c r="I326" s="20"/>
      <c r="J326" s="20" t="s">
        <v>1909</v>
      </c>
      <c r="K326" s="22" t="n">
        <v>44.4</v>
      </c>
      <c r="L326" s="22" t="n">
        <v>44.9</v>
      </c>
      <c r="M326" s="20" t="s">
        <v>81</v>
      </c>
      <c r="N326" s="23" t="s">
        <v>1969</v>
      </c>
      <c r="O326" s="23" t="s">
        <v>1911</v>
      </c>
      <c r="P326" s="23" t="s">
        <v>1912</v>
      </c>
      <c r="Q326" s="23" t="str">
        <f aca="false">IF(A326="UNDATED LEAD","UNRESOLVED",IF(M326="N","EXCEPTION",IF(A326="SKIP",IF(ISNUMBER(SEARCH("_skip_justification.pdf",N326)),"CLEAR - FILE VERIFIED","CLEAR ON EXPORT"),"CLEAR ON LOG")))</f>
        <v>CLEAR ON LOG</v>
      </c>
      <c r="R326" s="23" t="str">
        <f aca="false">IF(Q326="UNRESOLVED","PRIORITY 1 - OBTAIN FILE",IF(Q326&lt;&gt;"EXCEPTION","NONE",IF(OR(AND(A326="LOA AMENDMENT",P326="UNRESOLVED USE"),AND(A326="SKIP",OR(E326="WL-02618",E326="WL-03044",E326="WL-03390"))),"PRIORITY 1",IF(A326="SKIP","PRIORITY 2","PRIORITY 3"))))</f>
        <v>NONE</v>
      </c>
      <c r="S326" s="23" t="s">
        <v>1913</v>
      </c>
      <c r="T326" s="23" t="s">
        <v>1970</v>
      </c>
      <c r="U326" s="23" t="s">
        <v>1915</v>
      </c>
    </row>
    <row r="327" customFormat="false" ht="17.9" hidden="false" customHeight="false" outlineLevel="0" collapsed="false">
      <c r="A327" s="20" t="s">
        <v>1905</v>
      </c>
      <c r="B327" s="21" t="n">
        <v>45081</v>
      </c>
      <c r="C327" s="20" t="s">
        <v>1971</v>
      </c>
      <c r="D327" s="20"/>
      <c r="E327" s="20" t="s">
        <v>1972</v>
      </c>
      <c r="F327" s="20" t="s">
        <v>1973</v>
      </c>
      <c r="G327" s="20"/>
      <c r="H327" s="20"/>
      <c r="I327" s="20"/>
      <c r="J327" s="20" t="s">
        <v>1909</v>
      </c>
      <c r="K327" s="22" t="n">
        <v>35.5</v>
      </c>
      <c r="L327" s="22" t="n">
        <v>37.5</v>
      </c>
      <c r="M327" s="20" t="s">
        <v>81</v>
      </c>
      <c r="N327" s="23" t="s">
        <v>1974</v>
      </c>
      <c r="O327" s="23" t="s">
        <v>1911</v>
      </c>
      <c r="P327" s="23" t="s">
        <v>1912</v>
      </c>
      <c r="Q327" s="23" t="str">
        <f aca="false">IF(A327="UNDATED LEAD","UNRESOLVED",IF(M327="N","EXCEPTION",IF(A327="SKIP",IF(ISNUMBER(SEARCH("_skip_justification.pdf",N327)),"CLEAR - FILE VERIFIED","CLEAR ON EXPORT"),"CLEAR ON LOG")))</f>
        <v>CLEAR ON LOG</v>
      </c>
      <c r="R327" s="23" t="str">
        <f aca="false">IF(Q327="UNRESOLVED","PRIORITY 1 - OBTAIN FILE",IF(Q327&lt;&gt;"EXCEPTION","NONE",IF(OR(AND(A327="LOA AMENDMENT",P327="UNRESOLVED USE"),AND(A327="SKIP",OR(E327="WL-02618",E327="WL-03044",E327="WL-03390"))),"PRIORITY 1",IF(A327="SKIP","PRIORITY 2","PRIORITY 3"))))</f>
        <v>NONE</v>
      </c>
      <c r="S327" s="23" t="s">
        <v>1913</v>
      </c>
      <c r="T327" s="23" t="s">
        <v>1975</v>
      </c>
      <c r="U327" s="23" t="s">
        <v>1915</v>
      </c>
    </row>
    <row r="328" customFormat="false" ht="17.9" hidden="false" customHeight="false" outlineLevel="0" collapsed="false">
      <c r="A328" s="20" t="s">
        <v>1905</v>
      </c>
      <c r="B328" s="21" t="n">
        <v>45085</v>
      </c>
      <c r="C328" s="20" t="s">
        <v>1976</v>
      </c>
      <c r="D328" s="20"/>
      <c r="E328" s="20" t="s">
        <v>1490</v>
      </c>
      <c r="F328" s="20" t="s">
        <v>1491</v>
      </c>
      <c r="G328" s="20"/>
      <c r="H328" s="20"/>
      <c r="I328" s="20"/>
      <c r="J328" s="20" t="s">
        <v>1909</v>
      </c>
      <c r="K328" s="22" t="n">
        <v>36.5</v>
      </c>
      <c r="L328" s="22" t="n">
        <v>39</v>
      </c>
      <c r="M328" s="20" t="s">
        <v>81</v>
      </c>
      <c r="N328" s="23" t="s">
        <v>1977</v>
      </c>
      <c r="O328" s="23" t="s">
        <v>1911</v>
      </c>
      <c r="P328" s="23" t="s">
        <v>1912</v>
      </c>
      <c r="Q328" s="23" t="str">
        <f aca="false">IF(A328="UNDATED LEAD","UNRESOLVED",IF(M328="N","EXCEPTION",IF(A328="SKIP",IF(ISNUMBER(SEARCH("_skip_justification.pdf",N328)),"CLEAR - FILE VERIFIED","CLEAR ON EXPORT"),"CLEAR ON LOG")))</f>
        <v>CLEAR ON LOG</v>
      </c>
      <c r="R328" s="23" t="str">
        <f aca="false">IF(Q328="UNRESOLVED","PRIORITY 1 - OBTAIN FILE",IF(Q328&lt;&gt;"EXCEPTION","NONE",IF(OR(AND(A328="LOA AMENDMENT",P328="UNRESOLVED USE"),AND(A328="SKIP",OR(E328="WL-02618",E328="WL-03044",E328="WL-03390"))),"PRIORITY 1",IF(A328="SKIP","PRIORITY 2","PRIORITY 3"))))</f>
        <v>NONE</v>
      </c>
      <c r="S328" s="23" t="s">
        <v>1913</v>
      </c>
      <c r="T328" s="23" t="s">
        <v>1978</v>
      </c>
      <c r="U328" s="23" t="s">
        <v>1915</v>
      </c>
    </row>
    <row r="329" customFormat="false" ht="17.9" hidden="false" customHeight="false" outlineLevel="0" collapsed="false">
      <c r="A329" s="20" t="s">
        <v>1905</v>
      </c>
      <c r="B329" s="21" t="n">
        <v>45086</v>
      </c>
      <c r="C329" s="20" t="s">
        <v>1979</v>
      </c>
      <c r="D329" s="20"/>
      <c r="E329" s="20" t="s">
        <v>1980</v>
      </c>
      <c r="F329" s="20" t="s">
        <v>1981</v>
      </c>
      <c r="G329" s="20"/>
      <c r="H329" s="20"/>
      <c r="I329" s="20"/>
      <c r="J329" s="20" t="s">
        <v>1909</v>
      </c>
      <c r="K329" s="22" t="n">
        <v>38</v>
      </c>
      <c r="L329" s="22" t="n">
        <v>37.8</v>
      </c>
      <c r="M329" s="20" t="s">
        <v>81</v>
      </c>
      <c r="N329" s="23" t="s">
        <v>1982</v>
      </c>
      <c r="O329" s="23" t="s">
        <v>1911</v>
      </c>
      <c r="P329" s="23" t="s">
        <v>1912</v>
      </c>
      <c r="Q329" s="23" t="str">
        <f aca="false">IF(A329="UNDATED LEAD","UNRESOLVED",IF(M329="N","EXCEPTION",IF(A329="SKIP",IF(ISNUMBER(SEARCH("_skip_justification.pdf",N329)),"CLEAR - FILE VERIFIED","CLEAR ON EXPORT"),"CLEAR ON LOG")))</f>
        <v>CLEAR ON LOG</v>
      </c>
      <c r="R329" s="23" t="str">
        <f aca="false">IF(Q329="UNRESOLVED","PRIORITY 1 - OBTAIN FILE",IF(Q329&lt;&gt;"EXCEPTION","NONE",IF(OR(AND(A329="LOA AMENDMENT",P329="UNRESOLVED USE"),AND(A329="SKIP",OR(E329="WL-02618",E329="WL-03044",E329="WL-03390"))),"PRIORITY 1",IF(A329="SKIP","PRIORITY 2","PRIORITY 3"))))</f>
        <v>NONE</v>
      </c>
      <c r="S329" s="23" t="s">
        <v>1913</v>
      </c>
      <c r="T329" s="23" t="s">
        <v>1983</v>
      </c>
      <c r="U329" s="23" t="s">
        <v>1915</v>
      </c>
    </row>
    <row r="330" customFormat="false" ht="17.9" hidden="false" customHeight="false" outlineLevel="0" collapsed="false">
      <c r="A330" s="20" t="s">
        <v>1905</v>
      </c>
      <c r="B330" s="21" t="n">
        <v>45095</v>
      </c>
      <c r="C330" s="20" t="s">
        <v>1984</v>
      </c>
      <c r="D330" s="20"/>
      <c r="E330" s="20" t="s">
        <v>1264</v>
      </c>
      <c r="F330" s="20" t="s">
        <v>1265</v>
      </c>
      <c r="G330" s="20"/>
      <c r="H330" s="20"/>
      <c r="I330" s="20"/>
      <c r="J330" s="20" t="s">
        <v>1909</v>
      </c>
      <c r="K330" s="22" t="n">
        <v>53.3</v>
      </c>
      <c r="L330" s="22" t="n">
        <v>51.8</v>
      </c>
      <c r="M330" s="20" t="s">
        <v>81</v>
      </c>
      <c r="N330" s="23" t="s">
        <v>1985</v>
      </c>
      <c r="O330" s="23" t="s">
        <v>1911</v>
      </c>
      <c r="P330" s="23" t="s">
        <v>1912</v>
      </c>
      <c r="Q330" s="23" t="str">
        <f aca="false">IF(A330="UNDATED LEAD","UNRESOLVED",IF(M330="N","EXCEPTION",IF(A330="SKIP",IF(ISNUMBER(SEARCH("_skip_justification.pdf",N330)),"CLEAR - FILE VERIFIED","CLEAR ON EXPORT"),"CLEAR ON LOG")))</f>
        <v>CLEAR ON LOG</v>
      </c>
      <c r="R330" s="23" t="str">
        <f aca="false">IF(Q330="UNRESOLVED","PRIORITY 1 - OBTAIN FILE",IF(Q330&lt;&gt;"EXCEPTION","NONE",IF(OR(AND(A330="LOA AMENDMENT",P330="UNRESOLVED USE"),AND(A330="SKIP",OR(E330="WL-02618",E330="WL-03044",E330="WL-03390"))),"PRIORITY 1",IF(A330="SKIP","PRIORITY 2","PRIORITY 3"))))</f>
        <v>NONE</v>
      </c>
      <c r="S330" s="23" t="s">
        <v>1913</v>
      </c>
      <c r="T330" s="23" t="s">
        <v>1986</v>
      </c>
      <c r="U330" s="23" t="s">
        <v>1915</v>
      </c>
    </row>
    <row r="331" customFormat="false" ht="17.9" hidden="false" customHeight="false" outlineLevel="0" collapsed="false">
      <c r="A331" s="20" t="s">
        <v>1905</v>
      </c>
      <c r="B331" s="21" t="n">
        <v>45097</v>
      </c>
      <c r="C331" s="20" t="s">
        <v>1987</v>
      </c>
      <c r="D331" s="20"/>
      <c r="E331" s="20" t="s">
        <v>1988</v>
      </c>
      <c r="F331" s="20" t="s">
        <v>1989</v>
      </c>
      <c r="G331" s="20"/>
      <c r="H331" s="20"/>
      <c r="I331" s="20"/>
      <c r="J331" s="20" t="s">
        <v>1909</v>
      </c>
      <c r="K331" s="22" t="n">
        <v>25.2</v>
      </c>
      <c r="L331" s="22" t="n">
        <v>26.6</v>
      </c>
      <c r="M331" s="20" t="s">
        <v>81</v>
      </c>
      <c r="N331" s="23" t="s">
        <v>1990</v>
      </c>
      <c r="O331" s="23" t="s">
        <v>1911</v>
      </c>
      <c r="P331" s="23" t="s">
        <v>1912</v>
      </c>
      <c r="Q331" s="23" t="str">
        <f aca="false">IF(A331="UNDATED LEAD","UNRESOLVED",IF(M331="N","EXCEPTION",IF(A331="SKIP",IF(ISNUMBER(SEARCH("_skip_justification.pdf",N331)),"CLEAR - FILE VERIFIED","CLEAR ON EXPORT"),"CLEAR ON LOG")))</f>
        <v>CLEAR ON LOG</v>
      </c>
      <c r="R331" s="23" t="str">
        <f aca="false">IF(Q331="UNRESOLVED","PRIORITY 1 - OBTAIN FILE",IF(Q331&lt;&gt;"EXCEPTION","NONE",IF(OR(AND(A331="LOA AMENDMENT",P331="UNRESOLVED USE"),AND(A331="SKIP",OR(E331="WL-02618",E331="WL-03044",E331="WL-03390"))),"PRIORITY 1",IF(A331="SKIP","PRIORITY 2","PRIORITY 3"))))</f>
        <v>NONE</v>
      </c>
      <c r="S331" s="23" t="s">
        <v>1913</v>
      </c>
      <c r="T331" s="23" t="s">
        <v>1991</v>
      </c>
      <c r="U331" s="23" t="s">
        <v>1915</v>
      </c>
    </row>
    <row r="332" customFormat="false" ht="17.9" hidden="false" customHeight="false" outlineLevel="0" collapsed="false">
      <c r="A332" s="20" t="s">
        <v>1905</v>
      </c>
      <c r="B332" s="21" t="n">
        <v>45100</v>
      </c>
      <c r="C332" s="20" t="s">
        <v>1992</v>
      </c>
      <c r="D332" s="20"/>
      <c r="E332" s="20" t="s">
        <v>1993</v>
      </c>
      <c r="F332" s="20" t="s">
        <v>1994</v>
      </c>
      <c r="G332" s="20"/>
      <c r="H332" s="20"/>
      <c r="I332" s="20"/>
      <c r="J332" s="20" t="s">
        <v>1909</v>
      </c>
      <c r="K332" s="22" t="n">
        <v>33.5</v>
      </c>
      <c r="L332" s="22" t="n">
        <v>34.3</v>
      </c>
      <c r="M332" s="20" t="s">
        <v>81</v>
      </c>
      <c r="N332" s="23" t="s">
        <v>1995</v>
      </c>
      <c r="O332" s="23" t="s">
        <v>1911</v>
      </c>
      <c r="P332" s="23" t="s">
        <v>1912</v>
      </c>
      <c r="Q332" s="23" t="str">
        <f aca="false">IF(A332="UNDATED LEAD","UNRESOLVED",IF(M332="N","EXCEPTION",IF(A332="SKIP",IF(ISNUMBER(SEARCH("_skip_justification.pdf",N332)),"CLEAR - FILE VERIFIED","CLEAR ON EXPORT"),"CLEAR ON LOG")))</f>
        <v>CLEAR ON LOG</v>
      </c>
      <c r="R332" s="23" t="str">
        <f aca="false">IF(Q332="UNRESOLVED","PRIORITY 1 - OBTAIN FILE",IF(Q332&lt;&gt;"EXCEPTION","NONE",IF(OR(AND(A332="LOA AMENDMENT",P332="UNRESOLVED USE"),AND(A332="SKIP",OR(E332="WL-02618",E332="WL-03044",E332="WL-03390"))),"PRIORITY 1",IF(A332="SKIP","PRIORITY 2","PRIORITY 3"))))</f>
        <v>NONE</v>
      </c>
      <c r="S332" s="23" t="s">
        <v>1913</v>
      </c>
      <c r="T332" s="23" t="s">
        <v>1996</v>
      </c>
      <c r="U332" s="23" t="s">
        <v>1915</v>
      </c>
    </row>
    <row r="333" customFormat="false" ht="17.9" hidden="false" customHeight="false" outlineLevel="0" collapsed="false">
      <c r="A333" s="20" t="s">
        <v>1905</v>
      </c>
      <c r="B333" s="21" t="n">
        <v>45101</v>
      </c>
      <c r="C333" s="20" t="s">
        <v>1997</v>
      </c>
      <c r="D333" s="20"/>
      <c r="E333" s="20" t="s">
        <v>96</v>
      </c>
      <c r="F333" s="20" t="s">
        <v>97</v>
      </c>
      <c r="G333" s="20"/>
      <c r="H333" s="20"/>
      <c r="I333" s="20"/>
      <c r="J333" s="20" t="s">
        <v>1909</v>
      </c>
      <c r="K333" s="22" t="n">
        <v>32.3</v>
      </c>
      <c r="L333" s="22" t="n">
        <v>34.6</v>
      </c>
      <c r="M333" s="20" t="s">
        <v>81</v>
      </c>
      <c r="N333" s="23" t="s">
        <v>1998</v>
      </c>
      <c r="O333" s="23" t="s">
        <v>1911</v>
      </c>
      <c r="P333" s="23" t="s">
        <v>1912</v>
      </c>
      <c r="Q333" s="23" t="str">
        <f aca="false">IF(A333="UNDATED LEAD","UNRESOLVED",IF(M333="N","EXCEPTION",IF(A333="SKIP",IF(ISNUMBER(SEARCH("_skip_justification.pdf",N333)),"CLEAR - FILE VERIFIED","CLEAR ON EXPORT"),"CLEAR ON LOG")))</f>
        <v>CLEAR ON LOG</v>
      </c>
      <c r="R333" s="23" t="str">
        <f aca="false">IF(Q333="UNRESOLVED","PRIORITY 1 - OBTAIN FILE",IF(Q333&lt;&gt;"EXCEPTION","NONE",IF(OR(AND(A333="LOA AMENDMENT",P333="UNRESOLVED USE"),AND(A333="SKIP",OR(E333="WL-02618",E333="WL-03044",E333="WL-03390"))),"PRIORITY 1",IF(A333="SKIP","PRIORITY 2","PRIORITY 3"))))</f>
        <v>NONE</v>
      </c>
      <c r="S333" s="23" t="s">
        <v>1913</v>
      </c>
      <c r="T333" s="23" t="s">
        <v>1999</v>
      </c>
      <c r="U333" s="23" t="s">
        <v>1915</v>
      </c>
    </row>
    <row r="334" customFormat="false" ht="17.9" hidden="false" customHeight="false" outlineLevel="0" collapsed="false">
      <c r="A334" s="20" t="s">
        <v>1905</v>
      </c>
      <c r="B334" s="21" t="n">
        <v>45132</v>
      </c>
      <c r="C334" s="20" t="s">
        <v>2000</v>
      </c>
      <c r="D334" s="20"/>
      <c r="E334" s="20" t="s">
        <v>2001</v>
      </c>
      <c r="F334" s="20" t="s">
        <v>2002</v>
      </c>
      <c r="G334" s="20"/>
      <c r="H334" s="20"/>
      <c r="I334" s="20"/>
      <c r="J334" s="20" t="s">
        <v>1909</v>
      </c>
      <c r="K334" s="22" t="n">
        <v>29.1</v>
      </c>
      <c r="L334" s="22" t="n">
        <v>26.9</v>
      </c>
      <c r="M334" s="20" t="s">
        <v>81</v>
      </c>
      <c r="N334" s="23" t="s">
        <v>2003</v>
      </c>
      <c r="O334" s="23" t="s">
        <v>1911</v>
      </c>
      <c r="P334" s="23" t="s">
        <v>1912</v>
      </c>
      <c r="Q334" s="23" t="str">
        <f aca="false">IF(A334="UNDATED LEAD","UNRESOLVED",IF(M334="N","EXCEPTION",IF(A334="SKIP",IF(ISNUMBER(SEARCH("_skip_justification.pdf",N334)),"CLEAR - FILE VERIFIED","CLEAR ON EXPORT"),"CLEAR ON LOG")))</f>
        <v>CLEAR ON LOG</v>
      </c>
      <c r="R334" s="23" t="str">
        <f aca="false">IF(Q334="UNRESOLVED","PRIORITY 1 - OBTAIN FILE",IF(Q334&lt;&gt;"EXCEPTION","NONE",IF(OR(AND(A334="LOA AMENDMENT",P334="UNRESOLVED USE"),AND(A334="SKIP",OR(E334="WL-02618",E334="WL-03044",E334="WL-03390"))),"PRIORITY 1",IF(A334="SKIP","PRIORITY 2","PRIORITY 3"))))</f>
        <v>NONE</v>
      </c>
      <c r="S334" s="23" t="s">
        <v>1913</v>
      </c>
      <c r="T334" s="23" t="s">
        <v>2004</v>
      </c>
      <c r="U334" s="23" t="s">
        <v>1915</v>
      </c>
    </row>
    <row r="335" customFormat="false" ht="17.9" hidden="false" customHeight="false" outlineLevel="0" collapsed="false">
      <c r="A335" s="20" t="s">
        <v>1905</v>
      </c>
      <c r="B335" s="21" t="n">
        <v>45141</v>
      </c>
      <c r="C335" s="20" t="s">
        <v>2005</v>
      </c>
      <c r="D335" s="20"/>
      <c r="E335" s="20" t="s">
        <v>2006</v>
      </c>
      <c r="F335" s="20" t="s">
        <v>2007</v>
      </c>
      <c r="G335" s="20"/>
      <c r="H335" s="20"/>
      <c r="I335" s="20"/>
      <c r="J335" s="20" t="s">
        <v>1909</v>
      </c>
      <c r="K335" s="22" t="n">
        <v>38.8</v>
      </c>
      <c r="L335" s="22" t="n">
        <v>39.8</v>
      </c>
      <c r="M335" s="20" t="s">
        <v>81</v>
      </c>
      <c r="N335" s="23" t="s">
        <v>2008</v>
      </c>
      <c r="O335" s="23" t="s">
        <v>1911</v>
      </c>
      <c r="P335" s="23" t="s">
        <v>1912</v>
      </c>
      <c r="Q335" s="23" t="str">
        <f aca="false">IF(A335="UNDATED LEAD","UNRESOLVED",IF(M335="N","EXCEPTION",IF(A335="SKIP",IF(ISNUMBER(SEARCH("_skip_justification.pdf",N335)),"CLEAR - FILE VERIFIED","CLEAR ON EXPORT"),"CLEAR ON LOG")))</f>
        <v>CLEAR ON LOG</v>
      </c>
      <c r="R335" s="23" t="str">
        <f aca="false">IF(Q335="UNRESOLVED","PRIORITY 1 - OBTAIN FILE",IF(Q335&lt;&gt;"EXCEPTION","NONE",IF(OR(AND(A335="LOA AMENDMENT",P335="UNRESOLVED USE"),AND(A335="SKIP",OR(E335="WL-02618",E335="WL-03044",E335="WL-03390"))),"PRIORITY 1",IF(A335="SKIP","PRIORITY 2","PRIORITY 3"))))</f>
        <v>NONE</v>
      </c>
      <c r="S335" s="23" t="s">
        <v>1913</v>
      </c>
      <c r="T335" s="23" t="s">
        <v>2009</v>
      </c>
      <c r="U335" s="23" t="s">
        <v>1915</v>
      </c>
    </row>
    <row r="336" customFormat="false" ht="17.9" hidden="false" customHeight="false" outlineLevel="0" collapsed="false">
      <c r="A336" s="20" t="s">
        <v>1905</v>
      </c>
      <c r="B336" s="21" t="n">
        <v>45142</v>
      </c>
      <c r="C336" s="20" t="s">
        <v>2010</v>
      </c>
      <c r="D336" s="20"/>
      <c r="E336" s="20" t="s">
        <v>2011</v>
      </c>
      <c r="F336" s="20" t="s">
        <v>2012</v>
      </c>
      <c r="G336" s="20"/>
      <c r="H336" s="20"/>
      <c r="I336" s="20"/>
      <c r="J336" s="20" t="s">
        <v>1909</v>
      </c>
      <c r="K336" s="22" t="n">
        <v>38.6</v>
      </c>
      <c r="L336" s="22" t="n">
        <v>37.8</v>
      </c>
      <c r="M336" s="20" t="s">
        <v>81</v>
      </c>
      <c r="N336" s="23" t="s">
        <v>2013</v>
      </c>
      <c r="O336" s="23" t="s">
        <v>1911</v>
      </c>
      <c r="P336" s="23" t="s">
        <v>1912</v>
      </c>
      <c r="Q336" s="23" t="str">
        <f aca="false">IF(A336="UNDATED LEAD","UNRESOLVED",IF(M336="N","EXCEPTION",IF(A336="SKIP",IF(ISNUMBER(SEARCH("_skip_justification.pdf",N336)),"CLEAR - FILE VERIFIED","CLEAR ON EXPORT"),"CLEAR ON LOG")))</f>
        <v>CLEAR ON LOG</v>
      </c>
      <c r="R336" s="23" t="str">
        <f aca="false">IF(Q336="UNRESOLVED","PRIORITY 1 - OBTAIN FILE",IF(Q336&lt;&gt;"EXCEPTION","NONE",IF(OR(AND(A336="LOA AMENDMENT",P336="UNRESOLVED USE"),AND(A336="SKIP",OR(E336="WL-02618",E336="WL-03044",E336="WL-03390"))),"PRIORITY 1",IF(A336="SKIP","PRIORITY 2","PRIORITY 3"))))</f>
        <v>NONE</v>
      </c>
      <c r="S336" s="23" t="s">
        <v>1913</v>
      </c>
      <c r="T336" s="23" t="s">
        <v>2014</v>
      </c>
      <c r="U336" s="23" t="s">
        <v>1915</v>
      </c>
    </row>
    <row r="337" customFormat="false" ht="17.9" hidden="false" customHeight="false" outlineLevel="0" collapsed="false">
      <c r="A337" s="20" t="s">
        <v>1905</v>
      </c>
      <c r="B337" s="21" t="n">
        <v>45148</v>
      </c>
      <c r="C337" s="20" t="s">
        <v>2015</v>
      </c>
      <c r="D337" s="20"/>
      <c r="E337" s="20" t="s">
        <v>590</v>
      </c>
      <c r="F337" s="20" t="s">
        <v>591</v>
      </c>
      <c r="G337" s="20"/>
      <c r="H337" s="20"/>
      <c r="I337" s="20"/>
      <c r="J337" s="20" t="s">
        <v>1909</v>
      </c>
      <c r="K337" s="22" t="n">
        <v>24</v>
      </c>
      <c r="L337" s="22" t="n">
        <v>23.5</v>
      </c>
      <c r="M337" s="20" t="s">
        <v>81</v>
      </c>
      <c r="N337" s="23" t="s">
        <v>2016</v>
      </c>
      <c r="O337" s="23" t="s">
        <v>1911</v>
      </c>
      <c r="P337" s="23" t="s">
        <v>1912</v>
      </c>
      <c r="Q337" s="23" t="str">
        <f aca="false">IF(A337="UNDATED LEAD","UNRESOLVED",IF(M337="N","EXCEPTION",IF(A337="SKIP",IF(ISNUMBER(SEARCH("_skip_justification.pdf",N337)),"CLEAR - FILE VERIFIED","CLEAR ON EXPORT"),"CLEAR ON LOG")))</f>
        <v>CLEAR ON LOG</v>
      </c>
      <c r="R337" s="23" t="str">
        <f aca="false">IF(Q337="UNRESOLVED","PRIORITY 1 - OBTAIN FILE",IF(Q337&lt;&gt;"EXCEPTION","NONE",IF(OR(AND(A337="LOA AMENDMENT",P337="UNRESOLVED USE"),AND(A337="SKIP",OR(E337="WL-02618",E337="WL-03044",E337="WL-03390"))),"PRIORITY 1",IF(A337="SKIP","PRIORITY 2","PRIORITY 3"))))</f>
        <v>NONE</v>
      </c>
      <c r="S337" s="23" t="s">
        <v>1913</v>
      </c>
      <c r="T337" s="23" t="s">
        <v>2017</v>
      </c>
      <c r="U337" s="23" t="s">
        <v>1915</v>
      </c>
    </row>
    <row r="338" customFormat="false" ht="17.9" hidden="false" customHeight="false" outlineLevel="0" collapsed="false">
      <c r="A338" s="20" t="s">
        <v>1905</v>
      </c>
      <c r="B338" s="21" t="n">
        <v>45152</v>
      </c>
      <c r="C338" s="20" t="s">
        <v>2018</v>
      </c>
      <c r="D338" s="20"/>
      <c r="E338" s="20" t="s">
        <v>2019</v>
      </c>
      <c r="F338" s="20" t="s">
        <v>2020</v>
      </c>
      <c r="G338" s="20"/>
      <c r="H338" s="20"/>
      <c r="I338" s="20"/>
      <c r="J338" s="20" t="s">
        <v>1909</v>
      </c>
      <c r="K338" s="22" t="n">
        <v>40.5</v>
      </c>
      <c r="L338" s="22" t="n">
        <v>42.8</v>
      </c>
      <c r="M338" s="20" t="s">
        <v>81</v>
      </c>
      <c r="N338" s="23" t="s">
        <v>2021</v>
      </c>
      <c r="O338" s="23" t="s">
        <v>1911</v>
      </c>
      <c r="P338" s="23" t="s">
        <v>1912</v>
      </c>
      <c r="Q338" s="23" t="str">
        <f aca="false">IF(A338="UNDATED LEAD","UNRESOLVED",IF(M338="N","EXCEPTION",IF(A338="SKIP",IF(ISNUMBER(SEARCH("_skip_justification.pdf",N338)),"CLEAR - FILE VERIFIED","CLEAR ON EXPORT"),"CLEAR ON LOG")))</f>
        <v>CLEAR ON LOG</v>
      </c>
      <c r="R338" s="23" t="str">
        <f aca="false">IF(Q338="UNRESOLVED","PRIORITY 1 - OBTAIN FILE",IF(Q338&lt;&gt;"EXCEPTION","NONE",IF(OR(AND(A338="LOA AMENDMENT",P338="UNRESOLVED USE"),AND(A338="SKIP",OR(E338="WL-02618",E338="WL-03044",E338="WL-03390"))),"PRIORITY 1",IF(A338="SKIP","PRIORITY 2","PRIORITY 3"))))</f>
        <v>NONE</v>
      </c>
      <c r="S338" s="23" t="s">
        <v>1913</v>
      </c>
      <c r="T338" s="23" t="s">
        <v>2022</v>
      </c>
      <c r="U338" s="23" t="s">
        <v>1915</v>
      </c>
    </row>
    <row r="339" customFormat="false" ht="17.9" hidden="false" customHeight="false" outlineLevel="0" collapsed="false">
      <c r="A339" s="20" t="s">
        <v>1905</v>
      </c>
      <c r="B339" s="21" t="n">
        <v>45154</v>
      </c>
      <c r="C339" s="20" t="s">
        <v>2023</v>
      </c>
      <c r="D339" s="20"/>
      <c r="E339" s="20" t="s">
        <v>2024</v>
      </c>
      <c r="F339" s="20" t="s">
        <v>2025</v>
      </c>
      <c r="G339" s="20"/>
      <c r="H339" s="20"/>
      <c r="I339" s="20"/>
      <c r="J339" s="20" t="s">
        <v>1909</v>
      </c>
      <c r="K339" s="22" t="n">
        <v>39.5</v>
      </c>
      <c r="L339" s="22" t="n">
        <v>41.3</v>
      </c>
      <c r="M339" s="20" t="s">
        <v>81</v>
      </c>
      <c r="N339" s="23" t="s">
        <v>2026</v>
      </c>
      <c r="O339" s="23" t="s">
        <v>1911</v>
      </c>
      <c r="P339" s="23" t="s">
        <v>1912</v>
      </c>
      <c r="Q339" s="23" t="str">
        <f aca="false">IF(A339="UNDATED LEAD","UNRESOLVED",IF(M339="N","EXCEPTION",IF(A339="SKIP",IF(ISNUMBER(SEARCH("_skip_justification.pdf",N339)),"CLEAR - FILE VERIFIED","CLEAR ON EXPORT"),"CLEAR ON LOG")))</f>
        <v>CLEAR ON LOG</v>
      </c>
      <c r="R339" s="23" t="str">
        <f aca="false">IF(Q339="UNRESOLVED","PRIORITY 1 - OBTAIN FILE",IF(Q339&lt;&gt;"EXCEPTION","NONE",IF(OR(AND(A339="LOA AMENDMENT",P339="UNRESOLVED USE"),AND(A339="SKIP",OR(E339="WL-02618",E339="WL-03044",E339="WL-03390"))),"PRIORITY 1",IF(A339="SKIP","PRIORITY 2","PRIORITY 3"))))</f>
        <v>NONE</v>
      </c>
      <c r="S339" s="23" t="s">
        <v>1913</v>
      </c>
      <c r="T339" s="23" t="s">
        <v>2027</v>
      </c>
      <c r="U339" s="23" t="s">
        <v>1915</v>
      </c>
    </row>
    <row r="340" customFormat="false" ht="17.9" hidden="false" customHeight="false" outlineLevel="0" collapsed="false">
      <c r="A340" s="20" t="s">
        <v>1905</v>
      </c>
      <c r="B340" s="21" t="n">
        <v>45156</v>
      </c>
      <c r="C340" s="20" t="s">
        <v>2028</v>
      </c>
      <c r="D340" s="20"/>
      <c r="E340" s="20" t="s">
        <v>2029</v>
      </c>
      <c r="F340" s="20" t="s">
        <v>2030</v>
      </c>
      <c r="G340" s="20"/>
      <c r="H340" s="20"/>
      <c r="I340" s="20"/>
      <c r="J340" s="20" t="s">
        <v>1909</v>
      </c>
      <c r="K340" s="22" t="n">
        <v>49</v>
      </c>
      <c r="L340" s="22" t="n">
        <v>51.2</v>
      </c>
      <c r="M340" s="20" t="s">
        <v>81</v>
      </c>
      <c r="N340" s="23" t="s">
        <v>2031</v>
      </c>
      <c r="O340" s="23" t="s">
        <v>1911</v>
      </c>
      <c r="P340" s="23" t="s">
        <v>1912</v>
      </c>
      <c r="Q340" s="23" t="str">
        <f aca="false">IF(A340="UNDATED LEAD","UNRESOLVED",IF(M340="N","EXCEPTION",IF(A340="SKIP",IF(ISNUMBER(SEARCH("_skip_justification.pdf",N340)),"CLEAR - FILE VERIFIED","CLEAR ON EXPORT"),"CLEAR ON LOG")))</f>
        <v>CLEAR ON LOG</v>
      </c>
      <c r="R340" s="23" t="str">
        <f aca="false">IF(Q340="UNRESOLVED","PRIORITY 1 - OBTAIN FILE",IF(Q340&lt;&gt;"EXCEPTION","NONE",IF(OR(AND(A340="LOA AMENDMENT",P340="UNRESOLVED USE"),AND(A340="SKIP",OR(E340="WL-02618",E340="WL-03044",E340="WL-03390"))),"PRIORITY 1",IF(A340="SKIP","PRIORITY 2","PRIORITY 3"))))</f>
        <v>NONE</v>
      </c>
      <c r="S340" s="23" t="s">
        <v>1913</v>
      </c>
      <c r="T340" s="23" t="s">
        <v>2032</v>
      </c>
      <c r="U340" s="23" t="s">
        <v>1915</v>
      </c>
    </row>
    <row r="341" customFormat="false" ht="17.9" hidden="false" customHeight="false" outlineLevel="0" collapsed="false">
      <c r="A341" s="20" t="s">
        <v>1905</v>
      </c>
      <c r="B341" s="21" t="n">
        <v>45158</v>
      </c>
      <c r="C341" s="20" t="s">
        <v>2033</v>
      </c>
      <c r="D341" s="20"/>
      <c r="E341" s="20" t="s">
        <v>2034</v>
      </c>
      <c r="F341" s="20" t="s">
        <v>2035</v>
      </c>
      <c r="G341" s="20"/>
      <c r="H341" s="20"/>
      <c r="I341" s="20"/>
      <c r="J341" s="20" t="s">
        <v>1909</v>
      </c>
      <c r="K341" s="22" t="n">
        <v>39.4</v>
      </c>
      <c r="L341" s="22" t="n">
        <v>39.3</v>
      </c>
      <c r="M341" s="20" t="s">
        <v>81</v>
      </c>
      <c r="N341" s="23" t="s">
        <v>2036</v>
      </c>
      <c r="O341" s="23" t="s">
        <v>1911</v>
      </c>
      <c r="P341" s="23" t="s">
        <v>1912</v>
      </c>
      <c r="Q341" s="23" t="str">
        <f aca="false">IF(A341="UNDATED LEAD","UNRESOLVED",IF(M341="N","EXCEPTION",IF(A341="SKIP",IF(ISNUMBER(SEARCH("_skip_justification.pdf",N341)),"CLEAR - FILE VERIFIED","CLEAR ON EXPORT"),"CLEAR ON LOG")))</f>
        <v>CLEAR ON LOG</v>
      </c>
      <c r="R341" s="23" t="str">
        <f aca="false">IF(Q341="UNRESOLVED","PRIORITY 1 - OBTAIN FILE",IF(Q341&lt;&gt;"EXCEPTION","NONE",IF(OR(AND(A341="LOA AMENDMENT",P341="UNRESOLVED USE"),AND(A341="SKIP",OR(E341="WL-02618",E341="WL-03044",E341="WL-03390"))),"PRIORITY 1",IF(A341="SKIP","PRIORITY 2","PRIORITY 3"))))</f>
        <v>NONE</v>
      </c>
      <c r="S341" s="23" t="s">
        <v>1913</v>
      </c>
      <c r="T341" s="23" t="s">
        <v>2037</v>
      </c>
      <c r="U341" s="23" t="s">
        <v>1915</v>
      </c>
    </row>
    <row r="342" customFormat="false" ht="17.9" hidden="false" customHeight="false" outlineLevel="0" collapsed="false">
      <c r="A342" s="20" t="s">
        <v>1905</v>
      </c>
      <c r="B342" s="21" t="n">
        <v>45169</v>
      </c>
      <c r="C342" s="20" t="s">
        <v>2038</v>
      </c>
      <c r="D342" s="20"/>
      <c r="E342" s="20" t="s">
        <v>2039</v>
      </c>
      <c r="F342" s="20" t="s">
        <v>2040</v>
      </c>
      <c r="G342" s="20"/>
      <c r="H342" s="20"/>
      <c r="I342" s="20"/>
      <c r="J342" s="20" t="s">
        <v>1909</v>
      </c>
      <c r="K342" s="22" t="n">
        <v>20.8</v>
      </c>
      <c r="L342" s="22" t="n">
        <v>23.7</v>
      </c>
      <c r="M342" s="20" t="s">
        <v>81</v>
      </c>
      <c r="N342" s="23" t="s">
        <v>2041</v>
      </c>
      <c r="O342" s="23" t="s">
        <v>1911</v>
      </c>
      <c r="P342" s="23" t="s">
        <v>1912</v>
      </c>
      <c r="Q342" s="23" t="str">
        <f aca="false">IF(A342="UNDATED LEAD","UNRESOLVED",IF(M342="N","EXCEPTION",IF(A342="SKIP",IF(ISNUMBER(SEARCH("_skip_justification.pdf",N342)),"CLEAR - FILE VERIFIED","CLEAR ON EXPORT"),"CLEAR ON LOG")))</f>
        <v>CLEAR ON LOG</v>
      </c>
      <c r="R342" s="23" t="str">
        <f aca="false">IF(Q342="UNRESOLVED","PRIORITY 1 - OBTAIN FILE",IF(Q342&lt;&gt;"EXCEPTION","NONE",IF(OR(AND(A342="LOA AMENDMENT",P342="UNRESOLVED USE"),AND(A342="SKIP",OR(E342="WL-02618",E342="WL-03044",E342="WL-03390"))),"PRIORITY 1",IF(A342="SKIP","PRIORITY 2","PRIORITY 3"))))</f>
        <v>NONE</v>
      </c>
      <c r="S342" s="23" t="s">
        <v>1913</v>
      </c>
      <c r="T342" s="23" t="s">
        <v>2042</v>
      </c>
      <c r="U342" s="23" t="s">
        <v>1915</v>
      </c>
    </row>
    <row r="343" customFormat="false" ht="17.9" hidden="false" customHeight="false" outlineLevel="0" collapsed="false">
      <c r="A343" s="20" t="s">
        <v>1905</v>
      </c>
      <c r="B343" s="21" t="n">
        <v>45172</v>
      </c>
      <c r="C343" s="20" t="s">
        <v>2043</v>
      </c>
      <c r="D343" s="20"/>
      <c r="E343" s="20" t="s">
        <v>2044</v>
      </c>
      <c r="F343" s="20" t="s">
        <v>2045</v>
      </c>
      <c r="G343" s="20"/>
      <c r="H343" s="20"/>
      <c r="I343" s="20"/>
      <c r="J343" s="20" t="s">
        <v>1909</v>
      </c>
      <c r="K343" s="22" t="n">
        <v>38.6</v>
      </c>
      <c r="L343" s="22" t="n">
        <v>37.8</v>
      </c>
      <c r="M343" s="20" t="s">
        <v>110</v>
      </c>
      <c r="N343" s="23" t="s">
        <v>1957</v>
      </c>
      <c r="O343" s="23" t="s">
        <v>1911</v>
      </c>
      <c r="P343" s="23" t="s">
        <v>1958</v>
      </c>
      <c r="Q343" s="23" t="str">
        <f aca="false">IF(A343="UNDATED LEAD","UNRESOLVED",IF(M343="N","EXCEPTION",IF(A343="SKIP",IF(ISNUMBER(SEARCH("_skip_justification.pdf",N343)),"CLEAR - FILE VERIFIED","CLEAR ON EXPORT"),"CLEAR ON LOG")))</f>
        <v>EXCEPTION</v>
      </c>
      <c r="R343" s="23" t="str">
        <f aca="false">IF(Q343="UNRESOLVED","PRIORITY 1 - OBTAIN FILE",IF(Q343&lt;&gt;"EXCEPTION","NONE",IF(OR(AND(A343="LOA AMENDMENT",P343="UNRESOLVED USE"),AND(A343="SKIP",OR(E343="WL-02618",E343="WL-03044",E343="WL-03390"))),"PRIORITY 1",IF(A343="SKIP","PRIORITY 2","PRIORITY 3"))))</f>
        <v>PRIORITY 3</v>
      </c>
      <c r="S343" s="23" t="s">
        <v>2046</v>
      </c>
      <c r="T343" s="23" t="s">
        <v>2047</v>
      </c>
      <c r="U343" s="23" t="s">
        <v>1915</v>
      </c>
    </row>
    <row r="344" customFormat="false" ht="17.9" hidden="false" customHeight="false" outlineLevel="0" collapsed="false">
      <c r="A344" s="20" t="s">
        <v>1905</v>
      </c>
      <c r="B344" s="21" t="n">
        <v>45213</v>
      </c>
      <c r="C344" s="20" t="s">
        <v>2048</v>
      </c>
      <c r="D344" s="20"/>
      <c r="E344" s="20" t="s">
        <v>2049</v>
      </c>
      <c r="F344" s="20" t="s">
        <v>2050</v>
      </c>
      <c r="G344" s="20"/>
      <c r="H344" s="20"/>
      <c r="I344" s="20"/>
      <c r="J344" s="20" t="s">
        <v>1909</v>
      </c>
      <c r="K344" s="22" t="n">
        <v>38.1</v>
      </c>
      <c r="L344" s="22" t="n">
        <v>35.9</v>
      </c>
      <c r="M344" s="20" t="s">
        <v>81</v>
      </c>
      <c r="N344" s="23" t="s">
        <v>2051</v>
      </c>
      <c r="O344" s="23" t="s">
        <v>1911</v>
      </c>
      <c r="P344" s="23" t="s">
        <v>1912</v>
      </c>
      <c r="Q344" s="23" t="str">
        <f aca="false">IF(A344="UNDATED LEAD","UNRESOLVED",IF(M344="N","EXCEPTION",IF(A344="SKIP",IF(ISNUMBER(SEARCH("_skip_justification.pdf",N344)),"CLEAR - FILE VERIFIED","CLEAR ON EXPORT"),"CLEAR ON LOG")))</f>
        <v>CLEAR ON LOG</v>
      </c>
      <c r="R344" s="23" t="str">
        <f aca="false">IF(Q344="UNRESOLVED","PRIORITY 1 - OBTAIN FILE",IF(Q344&lt;&gt;"EXCEPTION","NONE",IF(OR(AND(A344="LOA AMENDMENT",P344="UNRESOLVED USE"),AND(A344="SKIP",OR(E344="WL-02618",E344="WL-03044",E344="WL-03390"))),"PRIORITY 1",IF(A344="SKIP","PRIORITY 2","PRIORITY 3"))))</f>
        <v>NONE</v>
      </c>
      <c r="S344" s="23" t="s">
        <v>1913</v>
      </c>
      <c r="T344" s="23" t="s">
        <v>2052</v>
      </c>
      <c r="U344" s="23" t="s">
        <v>1915</v>
      </c>
    </row>
    <row r="345" customFormat="false" ht="17.9" hidden="false" customHeight="false" outlineLevel="0" collapsed="false">
      <c r="A345" s="20" t="s">
        <v>1905</v>
      </c>
      <c r="B345" s="21" t="n">
        <v>45237</v>
      </c>
      <c r="C345" s="20" t="s">
        <v>2053</v>
      </c>
      <c r="D345" s="20"/>
      <c r="E345" s="20" t="s">
        <v>2054</v>
      </c>
      <c r="F345" s="20" t="s">
        <v>2055</v>
      </c>
      <c r="G345" s="20"/>
      <c r="H345" s="20"/>
      <c r="I345" s="20"/>
      <c r="J345" s="20" t="s">
        <v>1909</v>
      </c>
      <c r="K345" s="22" t="n">
        <v>33.9</v>
      </c>
      <c r="L345" s="22" t="n">
        <v>31.8</v>
      </c>
      <c r="M345" s="20" t="s">
        <v>81</v>
      </c>
      <c r="N345" s="23" t="s">
        <v>2056</v>
      </c>
      <c r="O345" s="23" t="s">
        <v>1911</v>
      </c>
      <c r="P345" s="23" t="s">
        <v>1912</v>
      </c>
      <c r="Q345" s="23" t="str">
        <f aca="false">IF(A345="UNDATED LEAD","UNRESOLVED",IF(M345="N","EXCEPTION",IF(A345="SKIP",IF(ISNUMBER(SEARCH("_skip_justification.pdf",N345)),"CLEAR - FILE VERIFIED","CLEAR ON EXPORT"),"CLEAR ON LOG")))</f>
        <v>CLEAR ON LOG</v>
      </c>
      <c r="R345" s="23" t="str">
        <f aca="false">IF(Q345="UNRESOLVED","PRIORITY 1 - OBTAIN FILE",IF(Q345&lt;&gt;"EXCEPTION","NONE",IF(OR(AND(A345="LOA AMENDMENT",P345="UNRESOLVED USE"),AND(A345="SKIP",OR(E345="WL-02618",E345="WL-03044",E345="WL-03390"))),"PRIORITY 1",IF(A345="SKIP","PRIORITY 2","PRIORITY 3"))))</f>
        <v>NONE</v>
      </c>
      <c r="S345" s="23" t="s">
        <v>1913</v>
      </c>
      <c r="T345" s="23" t="s">
        <v>2057</v>
      </c>
      <c r="U345" s="23" t="s">
        <v>1915</v>
      </c>
    </row>
    <row r="346" customFormat="false" ht="17.9" hidden="false" customHeight="false" outlineLevel="0" collapsed="false">
      <c r="A346" s="20" t="s">
        <v>1905</v>
      </c>
      <c r="B346" s="21" t="n">
        <v>45244</v>
      </c>
      <c r="C346" s="20" t="s">
        <v>2058</v>
      </c>
      <c r="D346" s="20"/>
      <c r="E346" s="20" t="s">
        <v>2059</v>
      </c>
      <c r="F346" s="20" t="s">
        <v>2060</v>
      </c>
      <c r="G346" s="20"/>
      <c r="H346" s="20"/>
      <c r="I346" s="20"/>
      <c r="J346" s="20" t="s">
        <v>1909</v>
      </c>
      <c r="K346" s="22" t="n">
        <v>50.4</v>
      </c>
      <c r="L346" s="22" t="n">
        <v>50.5</v>
      </c>
      <c r="M346" s="20" t="s">
        <v>81</v>
      </c>
      <c r="N346" s="23" t="s">
        <v>2061</v>
      </c>
      <c r="O346" s="23" t="s">
        <v>1911</v>
      </c>
      <c r="P346" s="23" t="s">
        <v>1912</v>
      </c>
      <c r="Q346" s="23" t="str">
        <f aca="false">IF(A346="UNDATED LEAD","UNRESOLVED",IF(M346="N","EXCEPTION",IF(A346="SKIP",IF(ISNUMBER(SEARCH("_skip_justification.pdf",N346)),"CLEAR - FILE VERIFIED","CLEAR ON EXPORT"),"CLEAR ON LOG")))</f>
        <v>CLEAR ON LOG</v>
      </c>
      <c r="R346" s="23" t="str">
        <f aca="false">IF(Q346="UNRESOLVED","PRIORITY 1 - OBTAIN FILE",IF(Q346&lt;&gt;"EXCEPTION","NONE",IF(OR(AND(A346="LOA AMENDMENT",P346="UNRESOLVED USE"),AND(A346="SKIP",OR(E346="WL-02618",E346="WL-03044",E346="WL-03390"))),"PRIORITY 1",IF(A346="SKIP","PRIORITY 2","PRIORITY 3"))))</f>
        <v>NONE</v>
      </c>
      <c r="S346" s="23" t="s">
        <v>1913</v>
      </c>
      <c r="T346" s="23" t="s">
        <v>2062</v>
      </c>
      <c r="U346" s="23" t="s">
        <v>1915</v>
      </c>
    </row>
    <row r="347" customFormat="false" ht="17.9" hidden="false" customHeight="false" outlineLevel="0" collapsed="false">
      <c r="A347" s="20" t="s">
        <v>1905</v>
      </c>
      <c r="B347" s="21" t="n">
        <v>45246</v>
      </c>
      <c r="C347" s="20" t="s">
        <v>2063</v>
      </c>
      <c r="D347" s="20"/>
      <c r="E347" s="20" t="s">
        <v>2064</v>
      </c>
      <c r="F347" s="20" t="s">
        <v>2065</v>
      </c>
      <c r="G347" s="20"/>
      <c r="H347" s="20"/>
      <c r="I347" s="20"/>
      <c r="J347" s="20" t="s">
        <v>1909</v>
      </c>
      <c r="K347" s="22" t="n">
        <v>50</v>
      </c>
      <c r="L347" s="22" t="n">
        <v>47.1</v>
      </c>
      <c r="M347" s="20" t="s">
        <v>81</v>
      </c>
      <c r="N347" s="23" t="s">
        <v>2066</v>
      </c>
      <c r="O347" s="23" t="s">
        <v>1911</v>
      </c>
      <c r="P347" s="23" t="s">
        <v>1912</v>
      </c>
      <c r="Q347" s="23" t="str">
        <f aca="false">IF(A347="UNDATED LEAD","UNRESOLVED",IF(M347="N","EXCEPTION",IF(A347="SKIP",IF(ISNUMBER(SEARCH("_skip_justification.pdf",N347)),"CLEAR - FILE VERIFIED","CLEAR ON EXPORT"),"CLEAR ON LOG")))</f>
        <v>CLEAR ON LOG</v>
      </c>
      <c r="R347" s="23" t="str">
        <f aca="false">IF(Q347="UNRESOLVED","PRIORITY 1 - OBTAIN FILE",IF(Q347&lt;&gt;"EXCEPTION","NONE",IF(OR(AND(A347="LOA AMENDMENT",P347="UNRESOLVED USE"),AND(A347="SKIP",OR(E347="WL-02618",E347="WL-03044",E347="WL-03390"))),"PRIORITY 1",IF(A347="SKIP","PRIORITY 2","PRIORITY 3"))))</f>
        <v>NONE</v>
      </c>
      <c r="S347" s="23" t="s">
        <v>1913</v>
      </c>
      <c r="T347" s="23" t="s">
        <v>2067</v>
      </c>
      <c r="U347" s="23" t="s">
        <v>1915</v>
      </c>
    </row>
    <row r="348" customFormat="false" ht="17.9" hidden="false" customHeight="false" outlineLevel="0" collapsed="false">
      <c r="A348" s="20" t="s">
        <v>1905</v>
      </c>
      <c r="B348" s="21" t="n">
        <v>45246</v>
      </c>
      <c r="C348" s="20" t="s">
        <v>2068</v>
      </c>
      <c r="D348" s="20"/>
      <c r="E348" s="20" t="s">
        <v>2069</v>
      </c>
      <c r="F348" s="20" t="s">
        <v>2070</v>
      </c>
      <c r="G348" s="20"/>
      <c r="H348" s="20"/>
      <c r="I348" s="20"/>
      <c r="J348" s="20" t="s">
        <v>1909</v>
      </c>
      <c r="K348" s="22" t="n">
        <v>47.3</v>
      </c>
      <c r="L348" s="22" t="n">
        <v>45.3</v>
      </c>
      <c r="M348" s="20" t="s">
        <v>81</v>
      </c>
      <c r="N348" s="23" t="s">
        <v>2071</v>
      </c>
      <c r="O348" s="23" t="s">
        <v>1911</v>
      </c>
      <c r="P348" s="23" t="s">
        <v>1912</v>
      </c>
      <c r="Q348" s="23" t="str">
        <f aca="false">IF(A348="UNDATED LEAD","UNRESOLVED",IF(M348="N","EXCEPTION",IF(A348="SKIP",IF(ISNUMBER(SEARCH("_skip_justification.pdf",N348)),"CLEAR - FILE VERIFIED","CLEAR ON EXPORT"),"CLEAR ON LOG")))</f>
        <v>CLEAR ON LOG</v>
      </c>
      <c r="R348" s="23" t="str">
        <f aca="false">IF(Q348="UNRESOLVED","PRIORITY 1 - OBTAIN FILE",IF(Q348&lt;&gt;"EXCEPTION","NONE",IF(OR(AND(A348="LOA AMENDMENT",P348="UNRESOLVED USE"),AND(A348="SKIP",OR(E348="WL-02618",E348="WL-03044",E348="WL-03390"))),"PRIORITY 1",IF(A348="SKIP","PRIORITY 2","PRIORITY 3"))))</f>
        <v>NONE</v>
      </c>
      <c r="S348" s="23" t="s">
        <v>1913</v>
      </c>
      <c r="T348" s="23" t="s">
        <v>2072</v>
      </c>
      <c r="U348" s="23" t="s">
        <v>1915</v>
      </c>
    </row>
    <row r="349" customFormat="false" ht="17.9" hidden="false" customHeight="false" outlineLevel="0" collapsed="false">
      <c r="A349" s="20" t="s">
        <v>1905</v>
      </c>
      <c r="B349" s="21" t="n">
        <v>45255</v>
      </c>
      <c r="C349" s="20" t="s">
        <v>2073</v>
      </c>
      <c r="D349" s="20"/>
      <c r="E349" s="20" t="s">
        <v>2074</v>
      </c>
      <c r="F349" s="20" t="s">
        <v>2075</v>
      </c>
      <c r="G349" s="20"/>
      <c r="H349" s="20"/>
      <c r="I349" s="20"/>
      <c r="J349" s="20" t="s">
        <v>1909</v>
      </c>
      <c r="K349" s="22" t="n">
        <v>44.9</v>
      </c>
      <c r="L349" s="22" t="n">
        <v>47.4</v>
      </c>
      <c r="M349" s="20" t="s">
        <v>81</v>
      </c>
      <c r="N349" s="23" t="s">
        <v>2076</v>
      </c>
      <c r="O349" s="23" t="s">
        <v>1911</v>
      </c>
      <c r="P349" s="23" t="s">
        <v>1912</v>
      </c>
      <c r="Q349" s="23" t="str">
        <f aca="false">IF(A349="UNDATED LEAD","UNRESOLVED",IF(M349="N","EXCEPTION",IF(A349="SKIP",IF(ISNUMBER(SEARCH("_skip_justification.pdf",N349)),"CLEAR - FILE VERIFIED","CLEAR ON EXPORT"),"CLEAR ON LOG")))</f>
        <v>CLEAR ON LOG</v>
      </c>
      <c r="R349" s="23" t="str">
        <f aca="false">IF(Q349="UNRESOLVED","PRIORITY 1 - OBTAIN FILE",IF(Q349&lt;&gt;"EXCEPTION","NONE",IF(OR(AND(A349="LOA AMENDMENT",P349="UNRESOLVED USE"),AND(A349="SKIP",OR(E349="WL-02618",E349="WL-03044",E349="WL-03390"))),"PRIORITY 1",IF(A349="SKIP","PRIORITY 2","PRIORITY 3"))))</f>
        <v>NONE</v>
      </c>
      <c r="S349" s="23" t="s">
        <v>1913</v>
      </c>
      <c r="T349" s="23" t="s">
        <v>2077</v>
      </c>
      <c r="U349" s="23" t="s">
        <v>1915</v>
      </c>
    </row>
    <row r="350" customFormat="false" ht="17.9" hidden="false" customHeight="false" outlineLevel="0" collapsed="false">
      <c r="A350" s="20" t="s">
        <v>1905</v>
      </c>
      <c r="B350" s="21" t="n">
        <v>45265</v>
      </c>
      <c r="C350" s="20" t="s">
        <v>2078</v>
      </c>
      <c r="D350" s="20"/>
      <c r="E350" s="20" t="s">
        <v>2079</v>
      </c>
      <c r="F350" s="20" t="s">
        <v>2080</v>
      </c>
      <c r="G350" s="20"/>
      <c r="H350" s="20"/>
      <c r="I350" s="20"/>
      <c r="J350" s="20" t="s">
        <v>1909</v>
      </c>
      <c r="K350" s="22" t="n">
        <v>48.8</v>
      </c>
      <c r="L350" s="22" t="n">
        <v>47.6</v>
      </c>
      <c r="M350" s="20" t="s">
        <v>81</v>
      </c>
      <c r="N350" s="23" t="s">
        <v>2081</v>
      </c>
      <c r="O350" s="23" t="s">
        <v>1911</v>
      </c>
      <c r="P350" s="23" t="s">
        <v>1912</v>
      </c>
      <c r="Q350" s="23" t="str">
        <f aca="false">IF(A350="UNDATED LEAD","UNRESOLVED",IF(M350="N","EXCEPTION",IF(A350="SKIP",IF(ISNUMBER(SEARCH("_skip_justification.pdf",N350)),"CLEAR - FILE VERIFIED","CLEAR ON EXPORT"),"CLEAR ON LOG")))</f>
        <v>CLEAR ON LOG</v>
      </c>
      <c r="R350" s="23" t="str">
        <f aca="false">IF(Q350="UNRESOLVED","PRIORITY 1 - OBTAIN FILE",IF(Q350&lt;&gt;"EXCEPTION","NONE",IF(OR(AND(A350="LOA AMENDMENT",P350="UNRESOLVED USE"),AND(A350="SKIP",OR(E350="WL-02618",E350="WL-03044",E350="WL-03390"))),"PRIORITY 1",IF(A350="SKIP","PRIORITY 2","PRIORITY 3"))))</f>
        <v>NONE</v>
      </c>
      <c r="S350" s="23" t="s">
        <v>1913</v>
      </c>
      <c r="T350" s="23" t="s">
        <v>2082</v>
      </c>
      <c r="U350" s="23" t="s">
        <v>1915</v>
      </c>
    </row>
    <row r="351" customFormat="false" ht="17.9" hidden="false" customHeight="false" outlineLevel="0" collapsed="false">
      <c r="A351" s="20" t="s">
        <v>1905</v>
      </c>
      <c r="B351" s="21" t="n">
        <v>45269</v>
      </c>
      <c r="C351" s="20" t="s">
        <v>2083</v>
      </c>
      <c r="D351" s="20"/>
      <c r="E351" s="20" t="s">
        <v>2084</v>
      </c>
      <c r="F351" s="20" t="s">
        <v>2085</v>
      </c>
      <c r="G351" s="20"/>
      <c r="H351" s="20"/>
      <c r="I351" s="20"/>
      <c r="J351" s="20" t="s">
        <v>1909</v>
      </c>
      <c r="K351" s="22" t="n">
        <v>30</v>
      </c>
      <c r="L351" s="22" t="n">
        <v>28.6</v>
      </c>
      <c r="M351" s="20" t="s">
        <v>81</v>
      </c>
      <c r="N351" s="23" t="s">
        <v>2086</v>
      </c>
      <c r="O351" s="23" t="s">
        <v>1911</v>
      </c>
      <c r="P351" s="23" t="s">
        <v>1912</v>
      </c>
      <c r="Q351" s="23" t="str">
        <f aca="false">IF(A351="UNDATED LEAD","UNRESOLVED",IF(M351="N","EXCEPTION",IF(A351="SKIP",IF(ISNUMBER(SEARCH("_skip_justification.pdf",N351)),"CLEAR - FILE VERIFIED","CLEAR ON EXPORT"),"CLEAR ON LOG")))</f>
        <v>CLEAR ON LOG</v>
      </c>
      <c r="R351" s="23" t="str">
        <f aca="false">IF(Q351="UNRESOLVED","PRIORITY 1 - OBTAIN FILE",IF(Q351&lt;&gt;"EXCEPTION","NONE",IF(OR(AND(A351="LOA AMENDMENT",P351="UNRESOLVED USE"),AND(A351="SKIP",OR(E351="WL-02618",E351="WL-03044",E351="WL-03390"))),"PRIORITY 1",IF(A351="SKIP","PRIORITY 2","PRIORITY 3"))))</f>
        <v>NONE</v>
      </c>
      <c r="S351" s="23" t="s">
        <v>1913</v>
      </c>
      <c r="T351" s="23" t="s">
        <v>2087</v>
      </c>
      <c r="U351" s="23" t="s">
        <v>1915</v>
      </c>
    </row>
    <row r="352" customFormat="false" ht="17.9" hidden="false" customHeight="false" outlineLevel="0" collapsed="false">
      <c r="A352" s="20" t="s">
        <v>1905</v>
      </c>
      <c r="B352" s="21" t="n">
        <v>45291</v>
      </c>
      <c r="C352" s="20" t="s">
        <v>2088</v>
      </c>
      <c r="D352" s="20"/>
      <c r="E352" s="20" t="s">
        <v>813</v>
      </c>
      <c r="F352" s="20" t="s">
        <v>138</v>
      </c>
      <c r="G352" s="20"/>
      <c r="H352" s="20"/>
      <c r="I352" s="20"/>
      <c r="J352" s="20" t="s">
        <v>1909</v>
      </c>
      <c r="K352" s="22" t="n">
        <v>31.4</v>
      </c>
      <c r="L352" s="22" t="n">
        <v>34</v>
      </c>
      <c r="M352" s="20" t="s">
        <v>81</v>
      </c>
      <c r="N352" s="23" t="s">
        <v>2089</v>
      </c>
      <c r="O352" s="23" t="s">
        <v>1911</v>
      </c>
      <c r="P352" s="23" t="s">
        <v>1912</v>
      </c>
      <c r="Q352" s="23" t="str">
        <f aca="false">IF(A352="UNDATED LEAD","UNRESOLVED",IF(M352="N","EXCEPTION",IF(A352="SKIP",IF(ISNUMBER(SEARCH("_skip_justification.pdf",N352)),"CLEAR - FILE VERIFIED","CLEAR ON EXPORT"),"CLEAR ON LOG")))</f>
        <v>CLEAR ON LOG</v>
      </c>
      <c r="R352" s="23" t="str">
        <f aca="false">IF(Q352="UNRESOLVED","PRIORITY 1 - OBTAIN FILE",IF(Q352&lt;&gt;"EXCEPTION","NONE",IF(OR(AND(A352="LOA AMENDMENT",P352="UNRESOLVED USE"),AND(A352="SKIP",OR(E352="WL-02618",E352="WL-03044",E352="WL-03390"))),"PRIORITY 1",IF(A352="SKIP","PRIORITY 2","PRIORITY 3"))))</f>
        <v>NONE</v>
      </c>
      <c r="S352" s="23" t="s">
        <v>1913</v>
      </c>
      <c r="T352" s="23" t="s">
        <v>2090</v>
      </c>
      <c r="U352" s="23" t="s">
        <v>1915</v>
      </c>
    </row>
    <row r="353" customFormat="false" ht="17.9" hidden="false" customHeight="false" outlineLevel="0" collapsed="false">
      <c r="A353" s="20" t="s">
        <v>1905</v>
      </c>
      <c r="B353" s="21" t="n">
        <v>45294</v>
      </c>
      <c r="C353" s="20" t="s">
        <v>2091</v>
      </c>
      <c r="D353" s="20"/>
      <c r="E353" s="20" t="s">
        <v>2092</v>
      </c>
      <c r="F353" s="20" t="s">
        <v>2093</v>
      </c>
      <c r="G353" s="20"/>
      <c r="H353" s="20"/>
      <c r="I353" s="20"/>
      <c r="J353" s="20" t="s">
        <v>1909</v>
      </c>
      <c r="K353" s="22" t="n">
        <v>41.1</v>
      </c>
      <c r="L353" s="22" t="n">
        <v>38.9</v>
      </c>
      <c r="M353" s="20" t="s">
        <v>81</v>
      </c>
      <c r="N353" s="23" t="s">
        <v>2094</v>
      </c>
      <c r="O353" s="23" t="s">
        <v>1911</v>
      </c>
      <c r="P353" s="23" t="s">
        <v>1912</v>
      </c>
      <c r="Q353" s="23" t="str">
        <f aca="false">IF(A353="UNDATED LEAD","UNRESOLVED",IF(M353="N","EXCEPTION",IF(A353="SKIP",IF(ISNUMBER(SEARCH("_skip_justification.pdf",N353)),"CLEAR - FILE VERIFIED","CLEAR ON EXPORT"),"CLEAR ON LOG")))</f>
        <v>CLEAR ON LOG</v>
      </c>
      <c r="R353" s="23" t="str">
        <f aca="false">IF(Q353="UNRESOLVED","PRIORITY 1 - OBTAIN FILE",IF(Q353&lt;&gt;"EXCEPTION","NONE",IF(OR(AND(A353="LOA AMENDMENT",P353="UNRESOLVED USE"),AND(A353="SKIP",OR(E353="WL-02618",E353="WL-03044",E353="WL-03390"))),"PRIORITY 1",IF(A353="SKIP","PRIORITY 2","PRIORITY 3"))))</f>
        <v>NONE</v>
      </c>
      <c r="S353" s="23" t="s">
        <v>1913</v>
      </c>
      <c r="T353" s="23" t="s">
        <v>2095</v>
      </c>
      <c r="U353" s="23" t="s">
        <v>1915</v>
      </c>
    </row>
    <row r="354" customFormat="false" ht="17.9" hidden="false" customHeight="false" outlineLevel="0" collapsed="false">
      <c r="A354" s="20" t="s">
        <v>1905</v>
      </c>
      <c r="B354" s="21" t="n">
        <v>45298</v>
      </c>
      <c r="C354" s="20" t="s">
        <v>2096</v>
      </c>
      <c r="D354" s="20"/>
      <c r="E354" s="20" t="s">
        <v>2097</v>
      </c>
      <c r="F354" s="20" t="s">
        <v>2098</v>
      </c>
      <c r="G354" s="20"/>
      <c r="H354" s="20"/>
      <c r="I354" s="20"/>
      <c r="J354" s="20" t="s">
        <v>1909</v>
      </c>
      <c r="K354" s="22" t="n">
        <v>35.4</v>
      </c>
      <c r="L354" s="22" t="n">
        <v>34.3</v>
      </c>
      <c r="M354" s="20" t="s">
        <v>81</v>
      </c>
      <c r="N354" s="23" t="s">
        <v>2099</v>
      </c>
      <c r="O354" s="23" t="s">
        <v>1911</v>
      </c>
      <c r="P354" s="23" t="s">
        <v>1912</v>
      </c>
      <c r="Q354" s="23" t="str">
        <f aca="false">IF(A354="UNDATED LEAD","UNRESOLVED",IF(M354="N","EXCEPTION",IF(A354="SKIP",IF(ISNUMBER(SEARCH("_skip_justification.pdf",N354)),"CLEAR - FILE VERIFIED","CLEAR ON EXPORT"),"CLEAR ON LOG")))</f>
        <v>CLEAR ON LOG</v>
      </c>
      <c r="R354" s="23" t="str">
        <f aca="false">IF(Q354="UNRESOLVED","PRIORITY 1 - OBTAIN FILE",IF(Q354&lt;&gt;"EXCEPTION","NONE",IF(OR(AND(A354="LOA AMENDMENT",P354="UNRESOLVED USE"),AND(A354="SKIP",OR(E354="WL-02618",E354="WL-03044",E354="WL-03390"))),"PRIORITY 1",IF(A354="SKIP","PRIORITY 2","PRIORITY 3"))))</f>
        <v>NONE</v>
      </c>
      <c r="S354" s="23" t="s">
        <v>1913</v>
      </c>
      <c r="T354" s="23" t="s">
        <v>2100</v>
      </c>
      <c r="U354" s="23" t="s">
        <v>1915</v>
      </c>
    </row>
    <row r="355" customFormat="false" ht="17.9" hidden="false" customHeight="false" outlineLevel="0" collapsed="false">
      <c r="A355" s="20" t="s">
        <v>1905</v>
      </c>
      <c r="B355" s="21" t="n">
        <v>45302</v>
      </c>
      <c r="C355" s="20" t="s">
        <v>2101</v>
      </c>
      <c r="D355" s="20"/>
      <c r="E355" s="20" t="s">
        <v>2102</v>
      </c>
      <c r="F355" s="20" t="s">
        <v>2103</v>
      </c>
      <c r="G355" s="20"/>
      <c r="H355" s="20"/>
      <c r="I355" s="20"/>
      <c r="J355" s="20" t="s">
        <v>1909</v>
      </c>
      <c r="K355" s="22" t="n">
        <v>45.3</v>
      </c>
      <c r="L355" s="22" t="n">
        <v>47</v>
      </c>
      <c r="M355" s="20" t="s">
        <v>81</v>
      </c>
      <c r="N355" s="23" t="s">
        <v>2104</v>
      </c>
      <c r="O355" s="23" t="s">
        <v>1911</v>
      </c>
      <c r="P355" s="23" t="s">
        <v>1912</v>
      </c>
      <c r="Q355" s="23" t="str">
        <f aca="false">IF(A355="UNDATED LEAD","UNRESOLVED",IF(M355="N","EXCEPTION",IF(A355="SKIP",IF(ISNUMBER(SEARCH("_skip_justification.pdf",N355)),"CLEAR - FILE VERIFIED","CLEAR ON EXPORT"),"CLEAR ON LOG")))</f>
        <v>CLEAR ON LOG</v>
      </c>
      <c r="R355" s="23" t="str">
        <f aca="false">IF(Q355="UNRESOLVED","PRIORITY 1 - OBTAIN FILE",IF(Q355&lt;&gt;"EXCEPTION","NONE",IF(OR(AND(A355="LOA AMENDMENT",P355="UNRESOLVED USE"),AND(A355="SKIP",OR(E355="WL-02618",E355="WL-03044",E355="WL-03390"))),"PRIORITY 1",IF(A355="SKIP","PRIORITY 2","PRIORITY 3"))))</f>
        <v>NONE</v>
      </c>
      <c r="S355" s="23" t="s">
        <v>1913</v>
      </c>
      <c r="T355" s="23" t="s">
        <v>2105</v>
      </c>
      <c r="U355" s="23" t="s">
        <v>1915</v>
      </c>
    </row>
    <row r="356" customFormat="false" ht="17.9" hidden="false" customHeight="false" outlineLevel="0" collapsed="false">
      <c r="A356" s="20" t="s">
        <v>1905</v>
      </c>
      <c r="B356" s="21" t="n">
        <v>45314</v>
      </c>
      <c r="C356" s="20" t="s">
        <v>2106</v>
      </c>
      <c r="D356" s="20"/>
      <c r="E356" s="20" t="s">
        <v>2107</v>
      </c>
      <c r="F356" s="20" t="s">
        <v>2108</v>
      </c>
      <c r="G356" s="20"/>
      <c r="H356" s="20"/>
      <c r="I356" s="20"/>
      <c r="J356" s="20" t="s">
        <v>1909</v>
      </c>
      <c r="K356" s="22" t="n">
        <v>21.2</v>
      </c>
      <c r="L356" s="22" t="n">
        <v>18.8</v>
      </c>
      <c r="M356" s="20" t="s">
        <v>81</v>
      </c>
      <c r="N356" s="23" t="s">
        <v>2109</v>
      </c>
      <c r="O356" s="23" t="s">
        <v>1911</v>
      </c>
      <c r="P356" s="23" t="s">
        <v>1912</v>
      </c>
      <c r="Q356" s="23" t="str">
        <f aca="false">IF(A356="UNDATED LEAD","UNRESOLVED",IF(M356="N","EXCEPTION",IF(A356="SKIP",IF(ISNUMBER(SEARCH("_skip_justification.pdf",N356)),"CLEAR - FILE VERIFIED","CLEAR ON EXPORT"),"CLEAR ON LOG")))</f>
        <v>CLEAR ON LOG</v>
      </c>
      <c r="R356" s="23" t="str">
        <f aca="false">IF(Q356="UNRESOLVED","PRIORITY 1 - OBTAIN FILE",IF(Q356&lt;&gt;"EXCEPTION","NONE",IF(OR(AND(A356="LOA AMENDMENT",P356="UNRESOLVED USE"),AND(A356="SKIP",OR(E356="WL-02618",E356="WL-03044",E356="WL-03390"))),"PRIORITY 1",IF(A356="SKIP","PRIORITY 2","PRIORITY 3"))))</f>
        <v>NONE</v>
      </c>
      <c r="S356" s="23" t="s">
        <v>1913</v>
      </c>
      <c r="T356" s="23" t="s">
        <v>2110</v>
      </c>
      <c r="U356" s="23" t="s">
        <v>1915</v>
      </c>
    </row>
    <row r="357" customFormat="false" ht="17.9" hidden="false" customHeight="false" outlineLevel="0" collapsed="false">
      <c r="A357" s="20" t="s">
        <v>1905</v>
      </c>
      <c r="B357" s="21" t="n">
        <v>45329</v>
      </c>
      <c r="C357" s="20" t="s">
        <v>2111</v>
      </c>
      <c r="D357" s="20"/>
      <c r="E357" s="20" t="s">
        <v>2112</v>
      </c>
      <c r="F357" s="20" t="s">
        <v>2113</v>
      </c>
      <c r="G357" s="20"/>
      <c r="H357" s="20"/>
      <c r="I357" s="20"/>
      <c r="J357" s="20" t="s">
        <v>1909</v>
      </c>
      <c r="K357" s="22" t="n">
        <v>30.3</v>
      </c>
      <c r="L357" s="22" t="n">
        <v>30</v>
      </c>
      <c r="M357" s="20" t="s">
        <v>81</v>
      </c>
      <c r="N357" s="23" t="s">
        <v>2114</v>
      </c>
      <c r="O357" s="23" t="s">
        <v>1911</v>
      </c>
      <c r="P357" s="23" t="s">
        <v>1912</v>
      </c>
      <c r="Q357" s="23" t="str">
        <f aca="false">IF(A357="UNDATED LEAD","UNRESOLVED",IF(M357="N","EXCEPTION",IF(A357="SKIP",IF(ISNUMBER(SEARCH("_skip_justification.pdf",N357)),"CLEAR - FILE VERIFIED","CLEAR ON EXPORT"),"CLEAR ON LOG")))</f>
        <v>CLEAR ON LOG</v>
      </c>
      <c r="R357" s="23" t="str">
        <f aca="false">IF(Q357="UNRESOLVED","PRIORITY 1 - OBTAIN FILE",IF(Q357&lt;&gt;"EXCEPTION","NONE",IF(OR(AND(A357="LOA AMENDMENT",P357="UNRESOLVED USE"),AND(A357="SKIP",OR(E357="WL-02618",E357="WL-03044",E357="WL-03390"))),"PRIORITY 1",IF(A357="SKIP","PRIORITY 2","PRIORITY 3"))))</f>
        <v>NONE</v>
      </c>
      <c r="S357" s="23" t="s">
        <v>1913</v>
      </c>
      <c r="T357" s="23" t="s">
        <v>2115</v>
      </c>
      <c r="U357" s="23" t="s">
        <v>1915</v>
      </c>
    </row>
    <row r="358" customFormat="false" ht="17.9" hidden="false" customHeight="false" outlineLevel="0" collapsed="false">
      <c r="A358" s="20" t="s">
        <v>1905</v>
      </c>
      <c r="B358" s="21" t="n">
        <v>45340</v>
      </c>
      <c r="C358" s="20" t="s">
        <v>2116</v>
      </c>
      <c r="D358" s="20"/>
      <c r="E358" s="20" t="s">
        <v>2117</v>
      </c>
      <c r="F358" s="20" t="s">
        <v>2118</v>
      </c>
      <c r="G358" s="20"/>
      <c r="H358" s="20"/>
      <c r="I358" s="20"/>
      <c r="J358" s="20" t="s">
        <v>1909</v>
      </c>
      <c r="K358" s="22" t="n">
        <v>49.1</v>
      </c>
      <c r="L358" s="22" t="n">
        <v>50.4</v>
      </c>
      <c r="M358" s="20" t="s">
        <v>81</v>
      </c>
      <c r="N358" s="23" t="s">
        <v>2119</v>
      </c>
      <c r="O358" s="23" t="s">
        <v>1911</v>
      </c>
      <c r="P358" s="23" t="s">
        <v>1912</v>
      </c>
      <c r="Q358" s="23" t="str">
        <f aca="false">IF(A358="UNDATED LEAD","UNRESOLVED",IF(M358="N","EXCEPTION",IF(A358="SKIP",IF(ISNUMBER(SEARCH("_skip_justification.pdf",N358)),"CLEAR - FILE VERIFIED","CLEAR ON EXPORT"),"CLEAR ON LOG")))</f>
        <v>CLEAR ON LOG</v>
      </c>
      <c r="R358" s="23" t="str">
        <f aca="false">IF(Q358="UNRESOLVED","PRIORITY 1 - OBTAIN FILE",IF(Q358&lt;&gt;"EXCEPTION","NONE",IF(OR(AND(A358="LOA AMENDMENT",P358="UNRESOLVED USE"),AND(A358="SKIP",OR(E358="WL-02618",E358="WL-03044",E358="WL-03390"))),"PRIORITY 1",IF(A358="SKIP","PRIORITY 2","PRIORITY 3"))))</f>
        <v>NONE</v>
      </c>
      <c r="S358" s="23" t="s">
        <v>1913</v>
      </c>
      <c r="T358" s="23" t="s">
        <v>2120</v>
      </c>
      <c r="U358" s="23" t="s">
        <v>1915</v>
      </c>
    </row>
    <row r="359" customFormat="false" ht="17.9" hidden="false" customHeight="false" outlineLevel="0" collapsed="false">
      <c r="A359" s="20" t="s">
        <v>1905</v>
      </c>
      <c r="B359" s="21" t="n">
        <v>45360</v>
      </c>
      <c r="C359" s="20" t="s">
        <v>2121</v>
      </c>
      <c r="D359" s="20"/>
      <c r="E359" s="20" t="s">
        <v>2122</v>
      </c>
      <c r="F359" s="20" t="s">
        <v>2123</v>
      </c>
      <c r="G359" s="20"/>
      <c r="H359" s="20"/>
      <c r="I359" s="20"/>
      <c r="J359" s="20" t="s">
        <v>1909</v>
      </c>
      <c r="K359" s="22" t="n">
        <v>48.8</v>
      </c>
      <c r="L359" s="22" t="n">
        <v>48.7</v>
      </c>
      <c r="M359" s="20" t="s">
        <v>81</v>
      </c>
      <c r="N359" s="23" t="s">
        <v>2124</v>
      </c>
      <c r="O359" s="23" t="s">
        <v>1911</v>
      </c>
      <c r="P359" s="23" t="s">
        <v>1912</v>
      </c>
      <c r="Q359" s="23" t="str">
        <f aca="false">IF(A359="UNDATED LEAD","UNRESOLVED",IF(M359="N","EXCEPTION",IF(A359="SKIP",IF(ISNUMBER(SEARCH("_skip_justification.pdf",N359)),"CLEAR - FILE VERIFIED","CLEAR ON EXPORT"),"CLEAR ON LOG")))</f>
        <v>CLEAR ON LOG</v>
      </c>
      <c r="R359" s="23" t="str">
        <f aca="false">IF(Q359="UNRESOLVED","PRIORITY 1 - OBTAIN FILE",IF(Q359&lt;&gt;"EXCEPTION","NONE",IF(OR(AND(A359="LOA AMENDMENT",P359="UNRESOLVED USE"),AND(A359="SKIP",OR(E359="WL-02618",E359="WL-03044",E359="WL-03390"))),"PRIORITY 1",IF(A359="SKIP","PRIORITY 2","PRIORITY 3"))))</f>
        <v>NONE</v>
      </c>
      <c r="S359" s="23" t="s">
        <v>1913</v>
      </c>
      <c r="T359" s="23" t="s">
        <v>2125</v>
      </c>
      <c r="U359" s="23" t="s">
        <v>1915</v>
      </c>
    </row>
    <row r="360" customFormat="false" ht="17.9" hidden="false" customHeight="false" outlineLevel="0" collapsed="false">
      <c r="A360" s="20" t="s">
        <v>1905</v>
      </c>
      <c r="B360" s="21" t="n">
        <v>45381</v>
      </c>
      <c r="C360" s="20" t="s">
        <v>2126</v>
      </c>
      <c r="D360" s="20"/>
      <c r="E360" s="20" t="s">
        <v>2127</v>
      </c>
      <c r="F360" s="20" t="s">
        <v>2128</v>
      </c>
      <c r="G360" s="20"/>
      <c r="H360" s="20"/>
      <c r="I360" s="20"/>
      <c r="J360" s="20" t="s">
        <v>1909</v>
      </c>
      <c r="K360" s="22" t="n">
        <v>22.8</v>
      </c>
      <c r="L360" s="22" t="n">
        <v>19.9</v>
      </c>
      <c r="M360" s="20" t="s">
        <v>110</v>
      </c>
      <c r="N360" s="23" t="s">
        <v>1957</v>
      </c>
      <c r="O360" s="23" t="s">
        <v>1911</v>
      </c>
      <c r="P360" s="23" t="s">
        <v>2129</v>
      </c>
      <c r="Q360" s="23" t="str">
        <f aca="false">IF(A360="UNDATED LEAD","UNRESOLVED",IF(M360="N","EXCEPTION",IF(A360="SKIP",IF(ISNUMBER(SEARCH("_skip_justification.pdf",N360)),"CLEAR - FILE VERIFIED","CLEAR ON EXPORT"),"CLEAR ON LOG")))</f>
        <v>EXCEPTION</v>
      </c>
      <c r="R360" s="23" t="str">
        <f aca="false">IF(Q360="UNRESOLVED","PRIORITY 1 - OBTAIN FILE",IF(Q360&lt;&gt;"EXCEPTION","NONE",IF(OR(AND(A360="LOA AMENDMENT",P360="UNRESOLVED USE"),AND(A360="SKIP",OR(E360="WL-02618",E360="WL-03044",E360="WL-03390"))),"PRIORITY 1",IF(A360="SKIP","PRIORITY 2","PRIORITY 3"))))</f>
        <v>PRIORITY 1</v>
      </c>
      <c r="S360" s="23" t="s">
        <v>2130</v>
      </c>
      <c r="T360" s="23" t="s">
        <v>2131</v>
      </c>
      <c r="U360" s="23" t="s">
        <v>1915</v>
      </c>
    </row>
    <row r="361" customFormat="false" ht="17.9" hidden="false" customHeight="false" outlineLevel="0" collapsed="false">
      <c r="A361" s="20" t="s">
        <v>1905</v>
      </c>
      <c r="B361" s="21" t="n">
        <v>45383</v>
      </c>
      <c r="C361" s="20" t="s">
        <v>2132</v>
      </c>
      <c r="D361" s="20"/>
      <c r="E361" s="20" t="s">
        <v>2133</v>
      </c>
      <c r="F361" s="20" t="s">
        <v>2134</v>
      </c>
      <c r="G361" s="20"/>
      <c r="H361" s="20"/>
      <c r="I361" s="20"/>
      <c r="J361" s="20" t="s">
        <v>1909</v>
      </c>
      <c r="K361" s="22" t="n">
        <v>22.4</v>
      </c>
      <c r="L361" s="22" t="n">
        <v>23</v>
      </c>
      <c r="M361" s="20" t="s">
        <v>81</v>
      </c>
      <c r="N361" s="23" t="s">
        <v>2135</v>
      </c>
      <c r="O361" s="23" t="s">
        <v>1911</v>
      </c>
      <c r="P361" s="23" t="s">
        <v>1912</v>
      </c>
      <c r="Q361" s="23" t="str">
        <f aca="false">IF(A361="UNDATED LEAD","UNRESOLVED",IF(M361="N","EXCEPTION",IF(A361="SKIP",IF(ISNUMBER(SEARCH("_skip_justification.pdf",N361)),"CLEAR - FILE VERIFIED","CLEAR ON EXPORT"),"CLEAR ON LOG")))</f>
        <v>CLEAR ON LOG</v>
      </c>
      <c r="R361" s="23" t="str">
        <f aca="false">IF(Q361="UNRESOLVED","PRIORITY 1 - OBTAIN FILE",IF(Q361&lt;&gt;"EXCEPTION","NONE",IF(OR(AND(A361="LOA AMENDMENT",P361="UNRESOLVED USE"),AND(A361="SKIP",OR(E361="WL-02618",E361="WL-03044",E361="WL-03390"))),"PRIORITY 1",IF(A361="SKIP","PRIORITY 2","PRIORITY 3"))))</f>
        <v>NONE</v>
      </c>
      <c r="S361" s="23" t="s">
        <v>1913</v>
      </c>
      <c r="T361" s="23" t="s">
        <v>2136</v>
      </c>
      <c r="U361" s="23" t="s">
        <v>1915</v>
      </c>
    </row>
    <row r="362" customFormat="false" ht="17.9" hidden="false" customHeight="false" outlineLevel="0" collapsed="false">
      <c r="A362" s="20" t="s">
        <v>1905</v>
      </c>
      <c r="B362" s="21" t="n">
        <v>45393</v>
      </c>
      <c r="C362" s="20" t="s">
        <v>2137</v>
      </c>
      <c r="D362" s="20"/>
      <c r="E362" s="20" t="s">
        <v>2138</v>
      </c>
      <c r="F362" s="20" t="s">
        <v>2139</v>
      </c>
      <c r="G362" s="20"/>
      <c r="H362" s="20"/>
      <c r="I362" s="20"/>
      <c r="J362" s="20" t="s">
        <v>1909</v>
      </c>
      <c r="K362" s="22" t="n">
        <v>32.2</v>
      </c>
      <c r="L362" s="22" t="n">
        <v>29.9</v>
      </c>
      <c r="M362" s="20" t="s">
        <v>81</v>
      </c>
      <c r="N362" s="23" t="s">
        <v>2140</v>
      </c>
      <c r="O362" s="23" t="s">
        <v>1911</v>
      </c>
      <c r="P362" s="23" t="s">
        <v>1912</v>
      </c>
      <c r="Q362" s="23" t="str">
        <f aca="false">IF(A362="UNDATED LEAD","UNRESOLVED",IF(M362="N","EXCEPTION",IF(A362="SKIP",IF(ISNUMBER(SEARCH("_skip_justification.pdf",N362)),"CLEAR - FILE VERIFIED","CLEAR ON EXPORT"),"CLEAR ON LOG")))</f>
        <v>CLEAR ON LOG</v>
      </c>
      <c r="R362" s="23" t="str">
        <f aca="false">IF(Q362="UNRESOLVED","PRIORITY 1 - OBTAIN FILE",IF(Q362&lt;&gt;"EXCEPTION","NONE",IF(OR(AND(A362="LOA AMENDMENT",P362="UNRESOLVED USE"),AND(A362="SKIP",OR(E362="WL-02618",E362="WL-03044",E362="WL-03390"))),"PRIORITY 1",IF(A362="SKIP","PRIORITY 2","PRIORITY 3"))))</f>
        <v>NONE</v>
      </c>
      <c r="S362" s="23" t="s">
        <v>1913</v>
      </c>
      <c r="T362" s="23" t="s">
        <v>2141</v>
      </c>
      <c r="U362" s="23" t="s">
        <v>1915</v>
      </c>
    </row>
    <row r="363" customFormat="false" ht="17.9" hidden="false" customHeight="false" outlineLevel="0" collapsed="false">
      <c r="A363" s="20" t="s">
        <v>1905</v>
      </c>
      <c r="B363" s="21" t="n">
        <v>45395</v>
      </c>
      <c r="C363" s="20" t="s">
        <v>2142</v>
      </c>
      <c r="D363" s="20"/>
      <c r="E363" s="20" t="s">
        <v>1419</v>
      </c>
      <c r="F363" s="20" t="s">
        <v>1420</v>
      </c>
      <c r="G363" s="20"/>
      <c r="H363" s="20"/>
      <c r="I363" s="20"/>
      <c r="J363" s="20" t="s">
        <v>1909</v>
      </c>
      <c r="K363" s="22" t="n">
        <v>34.8</v>
      </c>
      <c r="L363" s="22" t="n">
        <v>34.9</v>
      </c>
      <c r="M363" s="20" t="s">
        <v>81</v>
      </c>
      <c r="N363" s="23" t="s">
        <v>2143</v>
      </c>
      <c r="O363" s="23" t="s">
        <v>1911</v>
      </c>
      <c r="P363" s="23" t="s">
        <v>1912</v>
      </c>
      <c r="Q363" s="23" t="str">
        <f aca="false">IF(A363="UNDATED LEAD","UNRESOLVED",IF(M363="N","EXCEPTION",IF(A363="SKIP",IF(ISNUMBER(SEARCH("_skip_justification.pdf",N363)),"CLEAR - FILE VERIFIED","CLEAR ON EXPORT"),"CLEAR ON LOG")))</f>
        <v>CLEAR ON LOG</v>
      </c>
      <c r="R363" s="23" t="str">
        <f aca="false">IF(Q363="UNRESOLVED","PRIORITY 1 - OBTAIN FILE",IF(Q363&lt;&gt;"EXCEPTION","NONE",IF(OR(AND(A363="LOA AMENDMENT",P363="UNRESOLVED USE"),AND(A363="SKIP",OR(E363="WL-02618",E363="WL-03044",E363="WL-03390"))),"PRIORITY 1",IF(A363="SKIP","PRIORITY 2","PRIORITY 3"))))</f>
        <v>NONE</v>
      </c>
      <c r="S363" s="23" t="s">
        <v>1913</v>
      </c>
      <c r="T363" s="23" t="s">
        <v>2144</v>
      </c>
      <c r="U363" s="23" t="s">
        <v>1915</v>
      </c>
    </row>
    <row r="364" customFormat="false" ht="17.9" hidden="false" customHeight="false" outlineLevel="0" collapsed="false">
      <c r="A364" s="20" t="s">
        <v>1905</v>
      </c>
      <c r="B364" s="21" t="n">
        <v>45399</v>
      </c>
      <c r="C364" s="20" t="s">
        <v>2145</v>
      </c>
      <c r="D364" s="20"/>
      <c r="E364" s="20" t="s">
        <v>2146</v>
      </c>
      <c r="F364" s="20" t="s">
        <v>2147</v>
      </c>
      <c r="G364" s="20"/>
      <c r="H364" s="20"/>
      <c r="I364" s="20"/>
      <c r="J364" s="20" t="s">
        <v>1909</v>
      </c>
      <c r="K364" s="22" t="n">
        <v>27.4</v>
      </c>
      <c r="L364" s="22" t="n">
        <v>26.4</v>
      </c>
      <c r="M364" s="20" t="s">
        <v>81</v>
      </c>
      <c r="N364" s="23" t="s">
        <v>2148</v>
      </c>
      <c r="O364" s="23" t="s">
        <v>1911</v>
      </c>
      <c r="P364" s="23" t="s">
        <v>1912</v>
      </c>
      <c r="Q364" s="23" t="str">
        <f aca="false">IF(A364="UNDATED LEAD","UNRESOLVED",IF(M364="N","EXCEPTION",IF(A364="SKIP",IF(ISNUMBER(SEARCH("_skip_justification.pdf",N364)),"CLEAR - FILE VERIFIED","CLEAR ON EXPORT"),"CLEAR ON LOG")))</f>
        <v>CLEAR ON LOG</v>
      </c>
      <c r="R364" s="23" t="str">
        <f aca="false">IF(Q364="UNRESOLVED","PRIORITY 1 - OBTAIN FILE",IF(Q364&lt;&gt;"EXCEPTION","NONE",IF(OR(AND(A364="LOA AMENDMENT",P364="UNRESOLVED USE"),AND(A364="SKIP",OR(E364="WL-02618",E364="WL-03044",E364="WL-03390"))),"PRIORITY 1",IF(A364="SKIP","PRIORITY 2","PRIORITY 3"))))</f>
        <v>NONE</v>
      </c>
      <c r="S364" s="23" t="s">
        <v>1913</v>
      </c>
      <c r="T364" s="23" t="s">
        <v>2149</v>
      </c>
      <c r="U364" s="23" t="s">
        <v>1915</v>
      </c>
    </row>
    <row r="365" customFormat="false" ht="17.9" hidden="false" customHeight="false" outlineLevel="0" collapsed="false">
      <c r="A365" s="20" t="s">
        <v>1905</v>
      </c>
      <c r="B365" s="21" t="n">
        <v>45402</v>
      </c>
      <c r="C365" s="20" t="s">
        <v>2150</v>
      </c>
      <c r="D365" s="20"/>
      <c r="E365" s="20" t="s">
        <v>2151</v>
      </c>
      <c r="F365" s="20" t="s">
        <v>2152</v>
      </c>
      <c r="G365" s="20"/>
      <c r="H365" s="20"/>
      <c r="I365" s="20"/>
      <c r="J365" s="20" t="s">
        <v>1909</v>
      </c>
      <c r="K365" s="22" t="n">
        <v>39.3</v>
      </c>
      <c r="L365" s="22" t="n">
        <v>42.2</v>
      </c>
      <c r="M365" s="20" t="s">
        <v>81</v>
      </c>
      <c r="N365" s="23" t="s">
        <v>2153</v>
      </c>
      <c r="O365" s="23" t="s">
        <v>1911</v>
      </c>
      <c r="P365" s="23" t="s">
        <v>1912</v>
      </c>
      <c r="Q365" s="23" t="str">
        <f aca="false">IF(A365="UNDATED LEAD","UNRESOLVED",IF(M365="N","EXCEPTION",IF(A365="SKIP",IF(ISNUMBER(SEARCH("_skip_justification.pdf",N365)),"CLEAR - FILE VERIFIED","CLEAR ON EXPORT"),"CLEAR ON LOG")))</f>
        <v>CLEAR ON LOG</v>
      </c>
      <c r="R365" s="23" t="str">
        <f aca="false">IF(Q365="UNRESOLVED","PRIORITY 1 - OBTAIN FILE",IF(Q365&lt;&gt;"EXCEPTION","NONE",IF(OR(AND(A365="LOA AMENDMENT",P365="UNRESOLVED USE"),AND(A365="SKIP",OR(E365="WL-02618",E365="WL-03044",E365="WL-03390"))),"PRIORITY 1",IF(A365="SKIP","PRIORITY 2","PRIORITY 3"))))</f>
        <v>NONE</v>
      </c>
      <c r="S365" s="23" t="s">
        <v>1913</v>
      </c>
      <c r="T365" s="23" t="s">
        <v>2154</v>
      </c>
      <c r="U365" s="23" t="s">
        <v>1915</v>
      </c>
    </row>
    <row r="366" customFormat="false" ht="17.9" hidden="false" customHeight="false" outlineLevel="0" collapsed="false">
      <c r="A366" s="20" t="s">
        <v>1905</v>
      </c>
      <c r="B366" s="21" t="n">
        <v>45426</v>
      </c>
      <c r="C366" s="20" t="s">
        <v>2155</v>
      </c>
      <c r="D366" s="20"/>
      <c r="E366" s="20" t="s">
        <v>2156</v>
      </c>
      <c r="F366" s="20" t="s">
        <v>2157</v>
      </c>
      <c r="G366" s="20"/>
      <c r="H366" s="20"/>
      <c r="I366" s="20"/>
      <c r="J366" s="20" t="s">
        <v>1909</v>
      </c>
      <c r="K366" s="22" t="n">
        <v>44.6</v>
      </c>
      <c r="L366" s="22" t="n">
        <v>41.8</v>
      </c>
      <c r="M366" s="20" t="s">
        <v>81</v>
      </c>
      <c r="N366" s="23" t="s">
        <v>2158</v>
      </c>
      <c r="O366" s="23" t="s">
        <v>1911</v>
      </c>
      <c r="P366" s="23" t="s">
        <v>1912</v>
      </c>
      <c r="Q366" s="23" t="str">
        <f aca="false">IF(A366="UNDATED LEAD","UNRESOLVED",IF(M366="N","EXCEPTION",IF(A366="SKIP",IF(ISNUMBER(SEARCH("_skip_justification.pdf",N366)),"CLEAR - FILE VERIFIED","CLEAR ON EXPORT"),"CLEAR ON LOG")))</f>
        <v>CLEAR ON LOG</v>
      </c>
      <c r="R366" s="23" t="str">
        <f aca="false">IF(Q366="UNRESOLVED","PRIORITY 1 - OBTAIN FILE",IF(Q366&lt;&gt;"EXCEPTION","NONE",IF(OR(AND(A366="LOA AMENDMENT",P366="UNRESOLVED USE"),AND(A366="SKIP",OR(E366="WL-02618",E366="WL-03044",E366="WL-03390"))),"PRIORITY 1",IF(A366="SKIP","PRIORITY 2","PRIORITY 3"))))</f>
        <v>NONE</v>
      </c>
      <c r="S366" s="23" t="s">
        <v>1913</v>
      </c>
      <c r="T366" s="23" t="s">
        <v>2159</v>
      </c>
      <c r="U366" s="23" t="s">
        <v>1915</v>
      </c>
    </row>
    <row r="367" customFormat="false" ht="17.9" hidden="false" customHeight="false" outlineLevel="0" collapsed="false">
      <c r="A367" s="20" t="s">
        <v>1905</v>
      </c>
      <c r="B367" s="21" t="n">
        <v>45439</v>
      </c>
      <c r="C367" s="20" t="s">
        <v>2160</v>
      </c>
      <c r="D367" s="20"/>
      <c r="E367" s="20" t="s">
        <v>421</v>
      </c>
      <c r="F367" s="20" t="s">
        <v>422</v>
      </c>
      <c r="G367" s="20"/>
      <c r="H367" s="20"/>
      <c r="I367" s="20"/>
      <c r="J367" s="20" t="s">
        <v>1909</v>
      </c>
      <c r="K367" s="22" t="n">
        <v>37.1</v>
      </c>
      <c r="L367" s="22" t="n">
        <v>34.5</v>
      </c>
      <c r="M367" s="20" t="s">
        <v>81</v>
      </c>
      <c r="N367" s="23" t="s">
        <v>2161</v>
      </c>
      <c r="O367" s="23" t="s">
        <v>1911</v>
      </c>
      <c r="P367" s="23" t="s">
        <v>1912</v>
      </c>
      <c r="Q367" s="23" t="str">
        <f aca="false">IF(A367="UNDATED LEAD","UNRESOLVED",IF(M367="N","EXCEPTION",IF(A367="SKIP",IF(ISNUMBER(SEARCH("_skip_justification.pdf",N367)),"CLEAR - FILE VERIFIED","CLEAR ON EXPORT"),"CLEAR ON LOG")))</f>
        <v>CLEAR ON LOG</v>
      </c>
      <c r="R367" s="23" t="str">
        <f aca="false">IF(Q367="UNRESOLVED","PRIORITY 1 - OBTAIN FILE",IF(Q367&lt;&gt;"EXCEPTION","NONE",IF(OR(AND(A367="LOA AMENDMENT",P367="UNRESOLVED USE"),AND(A367="SKIP",OR(E367="WL-02618",E367="WL-03044",E367="WL-03390"))),"PRIORITY 1",IF(A367="SKIP","PRIORITY 2","PRIORITY 3"))))</f>
        <v>NONE</v>
      </c>
      <c r="S367" s="23" t="s">
        <v>1913</v>
      </c>
      <c r="T367" s="23" t="s">
        <v>2162</v>
      </c>
      <c r="U367" s="23" t="s">
        <v>1915</v>
      </c>
    </row>
    <row r="368" customFormat="false" ht="17.9" hidden="false" customHeight="false" outlineLevel="0" collapsed="false">
      <c r="A368" s="20" t="s">
        <v>1905</v>
      </c>
      <c r="B368" s="21" t="n">
        <v>45440</v>
      </c>
      <c r="C368" s="20" t="s">
        <v>2163</v>
      </c>
      <c r="D368" s="20"/>
      <c r="E368" s="20" t="s">
        <v>2164</v>
      </c>
      <c r="F368" s="20" t="s">
        <v>2165</v>
      </c>
      <c r="G368" s="20"/>
      <c r="H368" s="20"/>
      <c r="I368" s="20"/>
      <c r="J368" s="20" t="s">
        <v>1909</v>
      </c>
      <c r="K368" s="22" t="n">
        <v>33</v>
      </c>
      <c r="L368" s="22" t="n">
        <v>34.8</v>
      </c>
      <c r="M368" s="20" t="s">
        <v>81</v>
      </c>
      <c r="N368" s="23" t="s">
        <v>2166</v>
      </c>
      <c r="O368" s="23" t="s">
        <v>1911</v>
      </c>
      <c r="P368" s="23" t="s">
        <v>1912</v>
      </c>
      <c r="Q368" s="23" t="str">
        <f aca="false">IF(A368="UNDATED LEAD","UNRESOLVED",IF(M368="N","EXCEPTION",IF(A368="SKIP",IF(ISNUMBER(SEARCH("_skip_justification.pdf",N368)),"CLEAR - FILE VERIFIED","CLEAR ON EXPORT"),"CLEAR ON LOG")))</f>
        <v>CLEAR ON LOG</v>
      </c>
      <c r="R368" s="23" t="str">
        <f aca="false">IF(Q368="UNRESOLVED","PRIORITY 1 - OBTAIN FILE",IF(Q368&lt;&gt;"EXCEPTION","NONE",IF(OR(AND(A368="LOA AMENDMENT",P368="UNRESOLVED USE"),AND(A368="SKIP",OR(E368="WL-02618",E368="WL-03044",E368="WL-03390"))),"PRIORITY 1",IF(A368="SKIP","PRIORITY 2","PRIORITY 3"))))</f>
        <v>NONE</v>
      </c>
      <c r="S368" s="23" t="s">
        <v>1913</v>
      </c>
      <c r="T368" s="23" t="s">
        <v>2167</v>
      </c>
      <c r="U368" s="23" t="s">
        <v>1915</v>
      </c>
    </row>
    <row r="369" customFormat="false" ht="17.9" hidden="false" customHeight="false" outlineLevel="0" collapsed="false">
      <c r="A369" s="20" t="s">
        <v>1905</v>
      </c>
      <c r="B369" s="21" t="n">
        <v>45441</v>
      </c>
      <c r="C369" s="20" t="s">
        <v>2168</v>
      </c>
      <c r="D369" s="20"/>
      <c r="E369" s="20" t="s">
        <v>2169</v>
      </c>
      <c r="F369" s="20" t="s">
        <v>2170</v>
      </c>
      <c r="G369" s="20"/>
      <c r="H369" s="20"/>
      <c r="I369" s="20"/>
      <c r="J369" s="20" t="s">
        <v>1909</v>
      </c>
      <c r="K369" s="22" t="n">
        <v>42.5</v>
      </c>
      <c r="L369" s="22" t="n">
        <v>41.8</v>
      </c>
      <c r="M369" s="20" t="s">
        <v>81</v>
      </c>
      <c r="N369" s="23" t="s">
        <v>2171</v>
      </c>
      <c r="O369" s="23" t="s">
        <v>1911</v>
      </c>
      <c r="P369" s="23" t="s">
        <v>1912</v>
      </c>
      <c r="Q369" s="23" t="str">
        <f aca="false">IF(A369="UNDATED LEAD","UNRESOLVED",IF(M369="N","EXCEPTION",IF(A369="SKIP",IF(ISNUMBER(SEARCH("_skip_justification.pdf",N369)),"CLEAR - FILE VERIFIED","CLEAR ON EXPORT"),"CLEAR ON LOG")))</f>
        <v>CLEAR ON LOG</v>
      </c>
      <c r="R369" s="23" t="str">
        <f aca="false">IF(Q369="UNRESOLVED","PRIORITY 1 - OBTAIN FILE",IF(Q369&lt;&gt;"EXCEPTION","NONE",IF(OR(AND(A369="LOA AMENDMENT",P369="UNRESOLVED USE"),AND(A369="SKIP",OR(E369="WL-02618",E369="WL-03044",E369="WL-03390"))),"PRIORITY 1",IF(A369="SKIP","PRIORITY 2","PRIORITY 3"))))</f>
        <v>NONE</v>
      </c>
      <c r="S369" s="23" t="s">
        <v>1913</v>
      </c>
      <c r="T369" s="23" t="s">
        <v>2172</v>
      </c>
      <c r="U369" s="23" t="s">
        <v>1915</v>
      </c>
    </row>
    <row r="370" customFormat="false" ht="17.9" hidden="false" customHeight="false" outlineLevel="0" collapsed="false">
      <c r="A370" s="20" t="s">
        <v>1905</v>
      </c>
      <c r="B370" s="21" t="n">
        <v>45464</v>
      </c>
      <c r="C370" s="20" t="s">
        <v>2173</v>
      </c>
      <c r="D370" s="20"/>
      <c r="E370" s="20" t="s">
        <v>912</v>
      </c>
      <c r="F370" s="20" t="s">
        <v>913</v>
      </c>
      <c r="G370" s="20"/>
      <c r="H370" s="20"/>
      <c r="I370" s="20"/>
      <c r="J370" s="20" t="s">
        <v>1909</v>
      </c>
      <c r="K370" s="22" t="n">
        <v>50.6</v>
      </c>
      <c r="L370" s="22" t="n">
        <v>50.8</v>
      </c>
      <c r="M370" s="20" t="s">
        <v>81</v>
      </c>
      <c r="N370" s="23" t="s">
        <v>2174</v>
      </c>
      <c r="O370" s="23" t="s">
        <v>1911</v>
      </c>
      <c r="P370" s="23" t="s">
        <v>1912</v>
      </c>
      <c r="Q370" s="23" t="str">
        <f aca="false">IF(A370="UNDATED LEAD","UNRESOLVED",IF(M370="N","EXCEPTION",IF(A370="SKIP",IF(ISNUMBER(SEARCH("_skip_justification.pdf",N370)),"CLEAR - FILE VERIFIED","CLEAR ON EXPORT"),"CLEAR ON LOG")))</f>
        <v>CLEAR ON LOG</v>
      </c>
      <c r="R370" s="23" t="str">
        <f aca="false">IF(Q370="UNRESOLVED","PRIORITY 1 - OBTAIN FILE",IF(Q370&lt;&gt;"EXCEPTION","NONE",IF(OR(AND(A370="LOA AMENDMENT",P370="UNRESOLVED USE"),AND(A370="SKIP",OR(E370="WL-02618",E370="WL-03044",E370="WL-03390"))),"PRIORITY 1",IF(A370="SKIP","PRIORITY 2","PRIORITY 3"))))</f>
        <v>NONE</v>
      </c>
      <c r="S370" s="23" t="s">
        <v>1913</v>
      </c>
      <c r="T370" s="23" t="s">
        <v>2175</v>
      </c>
      <c r="U370" s="23" t="s">
        <v>1915</v>
      </c>
    </row>
    <row r="371" customFormat="false" ht="17.9" hidden="false" customHeight="false" outlineLevel="0" collapsed="false">
      <c r="A371" s="20" t="s">
        <v>1905</v>
      </c>
      <c r="B371" s="21" t="n">
        <v>45471</v>
      </c>
      <c r="C371" s="20" t="s">
        <v>2176</v>
      </c>
      <c r="D371" s="20"/>
      <c r="E371" s="20" t="s">
        <v>359</v>
      </c>
      <c r="F371" s="20" t="s">
        <v>360</v>
      </c>
      <c r="G371" s="20"/>
      <c r="H371" s="20"/>
      <c r="I371" s="20"/>
      <c r="J371" s="20" t="s">
        <v>1909</v>
      </c>
      <c r="K371" s="22" t="n">
        <v>39.6</v>
      </c>
      <c r="L371" s="22" t="n">
        <v>37.7</v>
      </c>
      <c r="M371" s="20" t="s">
        <v>81</v>
      </c>
      <c r="N371" s="23" t="s">
        <v>2177</v>
      </c>
      <c r="O371" s="23" t="s">
        <v>1911</v>
      </c>
      <c r="P371" s="23" t="s">
        <v>1912</v>
      </c>
      <c r="Q371" s="23" t="str">
        <f aca="false">IF(A371="UNDATED LEAD","UNRESOLVED",IF(M371="N","EXCEPTION",IF(A371="SKIP",IF(ISNUMBER(SEARCH("_skip_justification.pdf",N371)),"CLEAR - FILE VERIFIED","CLEAR ON EXPORT"),"CLEAR ON LOG")))</f>
        <v>CLEAR ON LOG</v>
      </c>
      <c r="R371" s="23" t="str">
        <f aca="false">IF(Q371="UNRESOLVED","PRIORITY 1 - OBTAIN FILE",IF(Q371&lt;&gt;"EXCEPTION","NONE",IF(OR(AND(A371="LOA AMENDMENT",P371="UNRESOLVED USE"),AND(A371="SKIP",OR(E371="WL-02618",E371="WL-03044",E371="WL-03390"))),"PRIORITY 1",IF(A371="SKIP","PRIORITY 2","PRIORITY 3"))))</f>
        <v>NONE</v>
      </c>
      <c r="S371" s="23" t="s">
        <v>1913</v>
      </c>
      <c r="T371" s="23" t="s">
        <v>2178</v>
      </c>
      <c r="U371" s="23" t="s">
        <v>1915</v>
      </c>
    </row>
    <row r="372" customFormat="false" ht="17.9" hidden="false" customHeight="false" outlineLevel="0" collapsed="false">
      <c r="A372" s="20" t="s">
        <v>1905</v>
      </c>
      <c r="B372" s="21" t="n">
        <v>45474</v>
      </c>
      <c r="C372" s="20" t="s">
        <v>2179</v>
      </c>
      <c r="D372" s="20"/>
      <c r="E372" s="20" t="s">
        <v>1610</v>
      </c>
      <c r="F372" s="20" t="s">
        <v>1611</v>
      </c>
      <c r="G372" s="20"/>
      <c r="H372" s="20"/>
      <c r="I372" s="20"/>
      <c r="J372" s="20" t="s">
        <v>1909</v>
      </c>
      <c r="K372" s="22" t="n">
        <v>44.2</v>
      </c>
      <c r="L372" s="22" t="n">
        <v>43</v>
      </c>
      <c r="M372" s="20" t="s">
        <v>81</v>
      </c>
      <c r="N372" s="23" t="s">
        <v>2180</v>
      </c>
      <c r="O372" s="23" t="s">
        <v>1911</v>
      </c>
      <c r="P372" s="23" t="s">
        <v>1912</v>
      </c>
      <c r="Q372" s="23" t="str">
        <f aca="false">IF(A372="UNDATED LEAD","UNRESOLVED",IF(M372="N","EXCEPTION",IF(A372="SKIP",IF(ISNUMBER(SEARCH("_skip_justification.pdf",N372)),"CLEAR - FILE VERIFIED","CLEAR ON EXPORT"),"CLEAR ON LOG")))</f>
        <v>CLEAR ON LOG</v>
      </c>
      <c r="R372" s="23" t="str">
        <f aca="false">IF(Q372="UNRESOLVED","PRIORITY 1 - OBTAIN FILE",IF(Q372&lt;&gt;"EXCEPTION","NONE",IF(OR(AND(A372="LOA AMENDMENT",P372="UNRESOLVED USE"),AND(A372="SKIP",OR(E372="WL-02618",E372="WL-03044",E372="WL-03390"))),"PRIORITY 1",IF(A372="SKIP","PRIORITY 2","PRIORITY 3"))))</f>
        <v>NONE</v>
      </c>
      <c r="S372" s="23" t="s">
        <v>1913</v>
      </c>
      <c r="T372" s="23" t="s">
        <v>2181</v>
      </c>
      <c r="U372" s="23" t="s">
        <v>1915</v>
      </c>
    </row>
    <row r="373" customFormat="false" ht="17.9" hidden="false" customHeight="false" outlineLevel="0" collapsed="false">
      <c r="A373" s="20" t="s">
        <v>1905</v>
      </c>
      <c r="B373" s="21" t="n">
        <v>45496</v>
      </c>
      <c r="C373" s="20" t="s">
        <v>2182</v>
      </c>
      <c r="D373" s="20"/>
      <c r="E373" s="20" t="s">
        <v>2183</v>
      </c>
      <c r="F373" s="20" t="s">
        <v>2184</v>
      </c>
      <c r="G373" s="20"/>
      <c r="H373" s="20"/>
      <c r="I373" s="20"/>
      <c r="J373" s="20" t="s">
        <v>1909</v>
      </c>
      <c r="K373" s="22" t="n">
        <v>54.1</v>
      </c>
      <c r="L373" s="22" t="n">
        <v>54.8</v>
      </c>
      <c r="M373" s="20" t="s">
        <v>81</v>
      </c>
      <c r="N373" s="23" t="s">
        <v>2185</v>
      </c>
      <c r="O373" s="23" t="s">
        <v>1911</v>
      </c>
      <c r="P373" s="23" t="s">
        <v>1912</v>
      </c>
      <c r="Q373" s="23" t="str">
        <f aca="false">IF(A373="UNDATED LEAD","UNRESOLVED",IF(M373="N","EXCEPTION",IF(A373="SKIP",IF(ISNUMBER(SEARCH("_skip_justification.pdf",N373)),"CLEAR - FILE VERIFIED","CLEAR ON EXPORT"),"CLEAR ON LOG")))</f>
        <v>CLEAR ON LOG</v>
      </c>
      <c r="R373" s="23" t="str">
        <f aca="false">IF(Q373="UNRESOLVED","PRIORITY 1 - OBTAIN FILE",IF(Q373&lt;&gt;"EXCEPTION","NONE",IF(OR(AND(A373="LOA AMENDMENT",P373="UNRESOLVED USE"),AND(A373="SKIP",OR(E373="WL-02618",E373="WL-03044",E373="WL-03390"))),"PRIORITY 1",IF(A373="SKIP","PRIORITY 2","PRIORITY 3"))))</f>
        <v>NONE</v>
      </c>
      <c r="S373" s="23" t="s">
        <v>1913</v>
      </c>
      <c r="T373" s="23" t="s">
        <v>2186</v>
      </c>
      <c r="U373" s="23" t="s">
        <v>1915</v>
      </c>
    </row>
    <row r="374" customFormat="false" ht="17.9" hidden="false" customHeight="false" outlineLevel="0" collapsed="false">
      <c r="A374" s="20" t="s">
        <v>1905</v>
      </c>
      <c r="B374" s="21" t="n">
        <v>45501</v>
      </c>
      <c r="C374" s="20" t="s">
        <v>2187</v>
      </c>
      <c r="D374" s="20"/>
      <c r="E374" s="20" t="s">
        <v>2188</v>
      </c>
      <c r="F374" s="20" t="s">
        <v>2189</v>
      </c>
      <c r="G374" s="20"/>
      <c r="H374" s="20"/>
      <c r="I374" s="20"/>
      <c r="J374" s="20" t="s">
        <v>1909</v>
      </c>
      <c r="K374" s="22" t="n">
        <v>21.1</v>
      </c>
      <c r="L374" s="22" t="n">
        <v>21.4</v>
      </c>
      <c r="M374" s="20" t="s">
        <v>81</v>
      </c>
      <c r="N374" s="23" t="s">
        <v>2190</v>
      </c>
      <c r="O374" s="23" t="s">
        <v>1911</v>
      </c>
      <c r="P374" s="23" t="s">
        <v>1912</v>
      </c>
      <c r="Q374" s="23" t="str">
        <f aca="false">IF(A374="UNDATED LEAD","UNRESOLVED",IF(M374="N","EXCEPTION",IF(A374="SKIP",IF(ISNUMBER(SEARCH("_skip_justification.pdf",N374)),"CLEAR - FILE VERIFIED","CLEAR ON EXPORT"),"CLEAR ON LOG")))</f>
        <v>CLEAR ON LOG</v>
      </c>
      <c r="R374" s="23" t="str">
        <f aca="false">IF(Q374="UNRESOLVED","PRIORITY 1 - OBTAIN FILE",IF(Q374&lt;&gt;"EXCEPTION","NONE",IF(OR(AND(A374="LOA AMENDMENT",P374="UNRESOLVED USE"),AND(A374="SKIP",OR(E374="WL-02618",E374="WL-03044",E374="WL-03390"))),"PRIORITY 1",IF(A374="SKIP","PRIORITY 2","PRIORITY 3"))))</f>
        <v>NONE</v>
      </c>
      <c r="S374" s="23" t="s">
        <v>1913</v>
      </c>
      <c r="T374" s="23" t="s">
        <v>2191</v>
      </c>
      <c r="U374" s="23" t="s">
        <v>1915</v>
      </c>
    </row>
    <row r="375" customFormat="false" ht="17.9" hidden="false" customHeight="false" outlineLevel="0" collapsed="false">
      <c r="A375" s="20" t="s">
        <v>1905</v>
      </c>
      <c r="B375" s="21" t="n">
        <v>45504</v>
      </c>
      <c r="C375" s="20" t="s">
        <v>2192</v>
      </c>
      <c r="D375" s="20"/>
      <c r="E375" s="20" t="s">
        <v>2193</v>
      </c>
      <c r="F375" s="20" t="s">
        <v>2194</v>
      </c>
      <c r="G375" s="20"/>
      <c r="H375" s="20"/>
      <c r="I375" s="20"/>
      <c r="J375" s="20" t="s">
        <v>1909</v>
      </c>
      <c r="K375" s="22" t="n">
        <v>40.3</v>
      </c>
      <c r="L375" s="22" t="n">
        <v>37.3</v>
      </c>
      <c r="M375" s="20" t="s">
        <v>81</v>
      </c>
      <c r="N375" s="23" t="s">
        <v>2195</v>
      </c>
      <c r="O375" s="23" t="s">
        <v>1911</v>
      </c>
      <c r="P375" s="23" t="s">
        <v>1912</v>
      </c>
      <c r="Q375" s="23" t="str">
        <f aca="false">IF(A375="UNDATED LEAD","UNRESOLVED",IF(M375="N","EXCEPTION",IF(A375="SKIP",IF(ISNUMBER(SEARCH("_skip_justification.pdf",N375)),"CLEAR - FILE VERIFIED","CLEAR ON EXPORT"),"CLEAR ON LOG")))</f>
        <v>CLEAR ON LOG</v>
      </c>
      <c r="R375" s="23" t="str">
        <f aca="false">IF(Q375="UNRESOLVED","PRIORITY 1 - OBTAIN FILE",IF(Q375&lt;&gt;"EXCEPTION","NONE",IF(OR(AND(A375="LOA AMENDMENT",P375="UNRESOLVED USE"),AND(A375="SKIP",OR(E375="WL-02618",E375="WL-03044",E375="WL-03390"))),"PRIORITY 1",IF(A375="SKIP","PRIORITY 2","PRIORITY 3"))))</f>
        <v>NONE</v>
      </c>
      <c r="S375" s="23" t="s">
        <v>1913</v>
      </c>
      <c r="T375" s="23" t="s">
        <v>2196</v>
      </c>
      <c r="U375" s="23" t="s">
        <v>1915</v>
      </c>
    </row>
    <row r="376" customFormat="false" ht="17.9" hidden="false" customHeight="false" outlineLevel="0" collapsed="false">
      <c r="A376" s="20" t="s">
        <v>1905</v>
      </c>
      <c r="B376" s="21" t="n">
        <v>45509</v>
      </c>
      <c r="C376" s="20" t="s">
        <v>2197</v>
      </c>
      <c r="D376" s="20"/>
      <c r="E376" s="20" t="s">
        <v>2198</v>
      </c>
      <c r="F376" s="20" t="s">
        <v>2199</v>
      </c>
      <c r="G376" s="20"/>
      <c r="H376" s="20"/>
      <c r="I376" s="20"/>
      <c r="J376" s="20" t="s">
        <v>1909</v>
      </c>
      <c r="K376" s="22" t="n">
        <v>22.4</v>
      </c>
      <c r="L376" s="22" t="n">
        <v>20.1</v>
      </c>
      <c r="M376" s="20" t="s">
        <v>81</v>
      </c>
      <c r="N376" s="23" t="s">
        <v>2200</v>
      </c>
      <c r="O376" s="23" t="s">
        <v>1911</v>
      </c>
      <c r="P376" s="23" t="s">
        <v>1912</v>
      </c>
      <c r="Q376" s="23" t="str">
        <f aca="false">IF(A376="UNDATED LEAD","UNRESOLVED",IF(M376="N","EXCEPTION",IF(A376="SKIP",IF(ISNUMBER(SEARCH("_skip_justification.pdf",N376)),"CLEAR - FILE VERIFIED","CLEAR ON EXPORT"),"CLEAR ON LOG")))</f>
        <v>CLEAR ON LOG</v>
      </c>
      <c r="R376" s="23" t="str">
        <f aca="false">IF(Q376="UNRESOLVED","PRIORITY 1 - OBTAIN FILE",IF(Q376&lt;&gt;"EXCEPTION","NONE",IF(OR(AND(A376="LOA AMENDMENT",P376="UNRESOLVED USE"),AND(A376="SKIP",OR(E376="WL-02618",E376="WL-03044",E376="WL-03390"))),"PRIORITY 1",IF(A376="SKIP","PRIORITY 2","PRIORITY 3"))))</f>
        <v>NONE</v>
      </c>
      <c r="S376" s="23" t="s">
        <v>1913</v>
      </c>
      <c r="T376" s="23" t="s">
        <v>2201</v>
      </c>
      <c r="U376" s="23" t="s">
        <v>1915</v>
      </c>
    </row>
    <row r="377" customFormat="false" ht="17.9" hidden="false" customHeight="false" outlineLevel="0" collapsed="false">
      <c r="A377" s="20" t="s">
        <v>1905</v>
      </c>
      <c r="B377" s="21" t="n">
        <v>45510</v>
      </c>
      <c r="C377" s="20" t="s">
        <v>2202</v>
      </c>
      <c r="D377" s="20"/>
      <c r="E377" s="20" t="s">
        <v>2203</v>
      </c>
      <c r="F377" s="20" t="s">
        <v>2204</v>
      </c>
      <c r="G377" s="20"/>
      <c r="H377" s="20"/>
      <c r="I377" s="20"/>
      <c r="J377" s="20" t="s">
        <v>1909</v>
      </c>
      <c r="K377" s="22" t="n">
        <v>51.6</v>
      </c>
      <c r="L377" s="22" t="n">
        <v>49</v>
      </c>
      <c r="M377" s="20" t="s">
        <v>81</v>
      </c>
      <c r="N377" s="23" t="s">
        <v>2205</v>
      </c>
      <c r="O377" s="23" t="s">
        <v>1911</v>
      </c>
      <c r="P377" s="23" t="s">
        <v>1912</v>
      </c>
      <c r="Q377" s="23" t="str">
        <f aca="false">IF(A377="UNDATED LEAD","UNRESOLVED",IF(M377="N","EXCEPTION",IF(A377="SKIP",IF(ISNUMBER(SEARCH("_skip_justification.pdf",N377)),"CLEAR - FILE VERIFIED","CLEAR ON EXPORT"),"CLEAR ON LOG")))</f>
        <v>CLEAR ON LOG</v>
      </c>
      <c r="R377" s="23" t="str">
        <f aca="false">IF(Q377="UNRESOLVED","PRIORITY 1 - OBTAIN FILE",IF(Q377&lt;&gt;"EXCEPTION","NONE",IF(OR(AND(A377="LOA AMENDMENT",P377="UNRESOLVED USE"),AND(A377="SKIP",OR(E377="WL-02618",E377="WL-03044",E377="WL-03390"))),"PRIORITY 1",IF(A377="SKIP","PRIORITY 2","PRIORITY 3"))))</f>
        <v>NONE</v>
      </c>
      <c r="S377" s="23" t="s">
        <v>1913</v>
      </c>
      <c r="T377" s="23" t="s">
        <v>2206</v>
      </c>
      <c r="U377" s="23" t="s">
        <v>1915</v>
      </c>
    </row>
    <row r="378" customFormat="false" ht="17.9" hidden="false" customHeight="false" outlineLevel="0" collapsed="false">
      <c r="A378" s="20" t="s">
        <v>1905</v>
      </c>
      <c r="B378" s="21" t="n">
        <v>45518</v>
      </c>
      <c r="C378" s="20" t="s">
        <v>2207</v>
      </c>
      <c r="D378" s="20"/>
      <c r="E378" s="20" t="s">
        <v>2208</v>
      </c>
      <c r="F378" s="20" t="s">
        <v>2209</v>
      </c>
      <c r="G378" s="20"/>
      <c r="H378" s="20"/>
      <c r="I378" s="20"/>
      <c r="J378" s="20" t="s">
        <v>1909</v>
      </c>
      <c r="K378" s="22" t="n">
        <v>31.3</v>
      </c>
      <c r="L378" s="22" t="n">
        <v>29.7</v>
      </c>
      <c r="M378" s="20" t="s">
        <v>81</v>
      </c>
      <c r="N378" s="23" t="s">
        <v>2210</v>
      </c>
      <c r="O378" s="23" t="s">
        <v>1911</v>
      </c>
      <c r="P378" s="23" t="s">
        <v>1912</v>
      </c>
      <c r="Q378" s="23" t="str">
        <f aca="false">IF(A378="UNDATED LEAD","UNRESOLVED",IF(M378="N","EXCEPTION",IF(A378="SKIP",IF(ISNUMBER(SEARCH("_skip_justification.pdf",N378)),"CLEAR - FILE VERIFIED","CLEAR ON EXPORT"),"CLEAR ON LOG")))</f>
        <v>CLEAR ON LOG</v>
      </c>
      <c r="R378" s="23" t="str">
        <f aca="false">IF(Q378="UNRESOLVED","PRIORITY 1 - OBTAIN FILE",IF(Q378&lt;&gt;"EXCEPTION","NONE",IF(OR(AND(A378="LOA AMENDMENT",P378="UNRESOLVED USE"),AND(A378="SKIP",OR(E378="WL-02618",E378="WL-03044",E378="WL-03390"))),"PRIORITY 1",IF(A378="SKIP","PRIORITY 2","PRIORITY 3"))))</f>
        <v>NONE</v>
      </c>
      <c r="S378" s="23" t="s">
        <v>1913</v>
      </c>
      <c r="T378" s="23" t="s">
        <v>2211</v>
      </c>
      <c r="U378" s="23" t="s">
        <v>1915</v>
      </c>
    </row>
    <row r="379" customFormat="false" ht="17.9" hidden="false" customHeight="false" outlineLevel="0" collapsed="false">
      <c r="A379" s="20" t="s">
        <v>1905</v>
      </c>
      <c r="B379" s="21" t="n">
        <v>45522</v>
      </c>
      <c r="C379" s="20" t="s">
        <v>2212</v>
      </c>
      <c r="D379" s="20"/>
      <c r="E379" s="20" t="s">
        <v>2213</v>
      </c>
      <c r="F379" s="20" t="s">
        <v>2214</v>
      </c>
      <c r="G379" s="20"/>
      <c r="H379" s="20"/>
      <c r="I379" s="20"/>
      <c r="J379" s="20" t="s">
        <v>1909</v>
      </c>
      <c r="K379" s="22" t="n">
        <v>35.4</v>
      </c>
      <c r="L379" s="22" t="n">
        <v>32.5</v>
      </c>
      <c r="M379" s="20" t="s">
        <v>81</v>
      </c>
      <c r="N379" s="23" t="s">
        <v>2215</v>
      </c>
      <c r="O379" s="23" t="s">
        <v>1911</v>
      </c>
      <c r="P379" s="23" t="s">
        <v>1912</v>
      </c>
      <c r="Q379" s="23" t="str">
        <f aca="false">IF(A379="UNDATED LEAD","UNRESOLVED",IF(M379="N","EXCEPTION",IF(A379="SKIP",IF(ISNUMBER(SEARCH("_skip_justification.pdf",N379)),"CLEAR - FILE VERIFIED","CLEAR ON EXPORT"),"CLEAR ON LOG")))</f>
        <v>CLEAR ON LOG</v>
      </c>
      <c r="R379" s="23" t="str">
        <f aca="false">IF(Q379="UNRESOLVED","PRIORITY 1 - OBTAIN FILE",IF(Q379&lt;&gt;"EXCEPTION","NONE",IF(OR(AND(A379="LOA AMENDMENT",P379="UNRESOLVED USE"),AND(A379="SKIP",OR(E379="WL-02618",E379="WL-03044",E379="WL-03390"))),"PRIORITY 1",IF(A379="SKIP","PRIORITY 2","PRIORITY 3"))))</f>
        <v>NONE</v>
      </c>
      <c r="S379" s="23" t="s">
        <v>1913</v>
      </c>
      <c r="T379" s="23" t="s">
        <v>2216</v>
      </c>
      <c r="U379" s="23" t="s">
        <v>1915</v>
      </c>
    </row>
    <row r="380" customFormat="false" ht="17.9" hidden="false" customHeight="false" outlineLevel="0" collapsed="false">
      <c r="A380" s="20" t="s">
        <v>1905</v>
      </c>
      <c r="B380" s="21" t="n">
        <v>45524</v>
      </c>
      <c r="C380" s="20" t="s">
        <v>2217</v>
      </c>
      <c r="D380" s="20"/>
      <c r="E380" s="20" t="s">
        <v>2218</v>
      </c>
      <c r="F380" s="20" t="s">
        <v>2219</v>
      </c>
      <c r="G380" s="20"/>
      <c r="H380" s="20"/>
      <c r="I380" s="20"/>
      <c r="J380" s="20" t="s">
        <v>1909</v>
      </c>
      <c r="K380" s="22" t="n">
        <v>45.4</v>
      </c>
      <c r="L380" s="22" t="n">
        <v>43.4</v>
      </c>
      <c r="M380" s="20" t="s">
        <v>81</v>
      </c>
      <c r="N380" s="23" t="s">
        <v>2220</v>
      </c>
      <c r="O380" s="23" t="s">
        <v>1911</v>
      </c>
      <c r="P380" s="23" t="s">
        <v>1912</v>
      </c>
      <c r="Q380" s="23" t="str">
        <f aca="false">IF(A380="UNDATED LEAD","UNRESOLVED",IF(M380="N","EXCEPTION",IF(A380="SKIP",IF(ISNUMBER(SEARCH("_skip_justification.pdf",N380)),"CLEAR - FILE VERIFIED","CLEAR ON EXPORT"),"CLEAR ON LOG")))</f>
        <v>CLEAR ON LOG</v>
      </c>
      <c r="R380" s="23" t="str">
        <f aca="false">IF(Q380="UNRESOLVED","PRIORITY 1 - OBTAIN FILE",IF(Q380&lt;&gt;"EXCEPTION","NONE",IF(OR(AND(A380="LOA AMENDMENT",P380="UNRESOLVED USE"),AND(A380="SKIP",OR(E380="WL-02618",E380="WL-03044",E380="WL-03390"))),"PRIORITY 1",IF(A380="SKIP","PRIORITY 2","PRIORITY 3"))))</f>
        <v>NONE</v>
      </c>
      <c r="S380" s="23" t="s">
        <v>1913</v>
      </c>
      <c r="T380" s="23" t="s">
        <v>2221</v>
      </c>
      <c r="U380" s="23" t="s">
        <v>1915</v>
      </c>
    </row>
    <row r="381" customFormat="false" ht="17.9" hidden="false" customHeight="false" outlineLevel="0" collapsed="false">
      <c r="A381" s="20" t="s">
        <v>1905</v>
      </c>
      <c r="B381" s="21" t="n">
        <v>45533</v>
      </c>
      <c r="C381" s="20" t="s">
        <v>2222</v>
      </c>
      <c r="D381" s="20"/>
      <c r="E381" s="20" t="s">
        <v>2223</v>
      </c>
      <c r="F381" s="20" t="s">
        <v>2224</v>
      </c>
      <c r="G381" s="20"/>
      <c r="H381" s="20"/>
      <c r="I381" s="20"/>
      <c r="J381" s="20" t="s">
        <v>1909</v>
      </c>
      <c r="K381" s="22" t="n">
        <v>40.6</v>
      </c>
      <c r="L381" s="22" t="n">
        <v>39.8</v>
      </c>
      <c r="M381" s="20" t="s">
        <v>81</v>
      </c>
      <c r="N381" s="23" t="s">
        <v>2225</v>
      </c>
      <c r="O381" s="23" t="s">
        <v>1911</v>
      </c>
      <c r="P381" s="23" t="s">
        <v>1912</v>
      </c>
      <c r="Q381" s="23" t="str">
        <f aca="false">IF(A381="UNDATED LEAD","UNRESOLVED",IF(M381="N","EXCEPTION",IF(A381="SKIP",IF(ISNUMBER(SEARCH("_skip_justification.pdf",N381)),"CLEAR - FILE VERIFIED","CLEAR ON EXPORT"),"CLEAR ON LOG")))</f>
        <v>CLEAR ON LOG</v>
      </c>
      <c r="R381" s="23" t="str">
        <f aca="false">IF(Q381="UNRESOLVED","PRIORITY 1 - OBTAIN FILE",IF(Q381&lt;&gt;"EXCEPTION","NONE",IF(OR(AND(A381="LOA AMENDMENT",P381="UNRESOLVED USE"),AND(A381="SKIP",OR(E381="WL-02618",E381="WL-03044",E381="WL-03390"))),"PRIORITY 1",IF(A381="SKIP","PRIORITY 2","PRIORITY 3"))))</f>
        <v>NONE</v>
      </c>
      <c r="S381" s="23" t="s">
        <v>1913</v>
      </c>
      <c r="T381" s="23" t="s">
        <v>2226</v>
      </c>
      <c r="U381" s="23" t="s">
        <v>1915</v>
      </c>
    </row>
    <row r="382" customFormat="false" ht="17.9" hidden="false" customHeight="false" outlineLevel="0" collapsed="false">
      <c r="A382" s="20" t="s">
        <v>1905</v>
      </c>
      <c r="B382" s="21" t="n">
        <v>45534</v>
      </c>
      <c r="C382" s="20" t="s">
        <v>2227</v>
      </c>
      <c r="D382" s="20"/>
      <c r="E382" s="20" t="s">
        <v>2228</v>
      </c>
      <c r="F382" s="20" t="s">
        <v>2229</v>
      </c>
      <c r="G382" s="20"/>
      <c r="H382" s="20"/>
      <c r="I382" s="20"/>
      <c r="J382" s="20" t="s">
        <v>1909</v>
      </c>
      <c r="K382" s="22" t="n">
        <v>30.8</v>
      </c>
      <c r="L382" s="22" t="n">
        <v>32.3</v>
      </c>
      <c r="M382" s="20" t="s">
        <v>81</v>
      </c>
      <c r="N382" s="23" t="s">
        <v>2230</v>
      </c>
      <c r="O382" s="23" t="s">
        <v>1911</v>
      </c>
      <c r="P382" s="23" t="s">
        <v>1912</v>
      </c>
      <c r="Q382" s="23" t="str">
        <f aca="false">IF(A382="UNDATED LEAD","UNRESOLVED",IF(M382="N","EXCEPTION",IF(A382="SKIP",IF(ISNUMBER(SEARCH("_skip_justification.pdf",N382)),"CLEAR - FILE VERIFIED","CLEAR ON EXPORT"),"CLEAR ON LOG")))</f>
        <v>CLEAR ON LOG</v>
      </c>
      <c r="R382" s="23" t="str">
        <f aca="false">IF(Q382="UNRESOLVED","PRIORITY 1 - OBTAIN FILE",IF(Q382&lt;&gt;"EXCEPTION","NONE",IF(OR(AND(A382="LOA AMENDMENT",P382="UNRESOLVED USE"),AND(A382="SKIP",OR(E382="WL-02618",E382="WL-03044",E382="WL-03390"))),"PRIORITY 1",IF(A382="SKIP","PRIORITY 2","PRIORITY 3"))))</f>
        <v>NONE</v>
      </c>
      <c r="S382" s="23" t="s">
        <v>1913</v>
      </c>
      <c r="T382" s="23" t="s">
        <v>2231</v>
      </c>
      <c r="U382" s="23" t="s">
        <v>1915</v>
      </c>
    </row>
    <row r="383" customFormat="false" ht="17.9" hidden="false" customHeight="false" outlineLevel="0" collapsed="false">
      <c r="A383" s="20" t="s">
        <v>1905</v>
      </c>
      <c r="B383" s="21" t="n">
        <v>45539</v>
      </c>
      <c r="C383" s="20" t="s">
        <v>2232</v>
      </c>
      <c r="D383" s="20"/>
      <c r="E383" s="20" t="s">
        <v>2233</v>
      </c>
      <c r="F383" s="20" t="s">
        <v>2234</v>
      </c>
      <c r="G383" s="20"/>
      <c r="H383" s="20"/>
      <c r="I383" s="20"/>
      <c r="J383" s="20" t="s">
        <v>1909</v>
      </c>
      <c r="K383" s="22" t="n">
        <v>44.7</v>
      </c>
      <c r="L383" s="22" t="n">
        <v>42.9</v>
      </c>
      <c r="M383" s="20" t="s">
        <v>81</v>
      </c>
      <c r="N383" s="23" t="s">
        <v>2235</v>
      </c>
      <c r="O383" s="23" t="s">
        <v>1911</v>
      </c>
      <c r="P383" s="23" t="s">
        <v>1912</v>
      </c>
      <c r="Q383" s="23" t="str">
        <f aca="false">IF(A383="UNDATED LEAD","UNRESOLVED",IF(M383="N","EXCEPTION",IF(A383="SKIP",IF(ISNUMBER(SEARCH("_skip_justification.pdf",N383)),"CLEAR - FILE VERIFIED","CLEAR ON EXPORT"),"CLEAR ON LOG")))</f>
        <v>CLEAR ON LOG</v>
      </c>
      <c r="R383" s="23" t="str">
        <f aca="false">IF(Q383="UNRESOLVED","PRIORITY 1 - OBTAIN FILE",IF(Q383&lt;&gt;"EXCEPTION","NONE",IF(OR(AND(A383="LOA AMENDMENT",P383="UNRESOLVED USE"),AND(A383="SKIP",OR(E383="WL-02618",E383="WL-03044",E383="WL-03390"))),"PRIORITY 1",IF(A383="SKIP","PRIORITY 2","PRIORITY 3"))))</f>
        <v>NONE</v>
      </c>
      <c r="S383" s="23" t="s">
        <v>1913</v>
      </c>
      <c r="T383" s="23" t="s">
        <v>2236</v>
      </c>
      <c r="U383" s="23" t="s">
        <v>1915</v>
      </c>
    </row>
    <row r="384" customFormat="false" ht="17.9" hidden="false" customHeight="false" outlineLevel="0" collapsed="false">
      <c r="A384" s="20" t="s">
        <v>1905</v>
      </c>
      <c r="B384" s="21" t="n">
        <v>45540</v>
      </c>
      <c r="C384" s="20" t="s">
        <v>2237</v>
      </c>
      <c r="D384" s="20"/>
      <c r="E384" s="20" t="s">
        <v>2238</v>
      </c>
      <c r="F384" s="20" t="s">
        <v>2239</v>
      </c>
      <c r="G384" s="20"/>
      <c r="H384" s="20"/>
      <c r="I384" s="20"/>
      <c r="J384" s="20" t="s">
        <v>1909</v>
      </c>
      <c r="K384" s="22" t="n">
        <v>31.2</v>
      </c>
      <c r="L384" s="22" t="n">
        <v>31.7</v>
      </c>
      <c r="M384" s="20" t="s">
        <v>81</v>
      </c>
      <c r="N384" s="23" t="s">
        <v>2240</v>
      </c>
      <c r="O384" s="23" t="s">
        <v>1911</v>
      </c>
      <c r="P384" s="23" t="s">
        <v>1912</v>
      </c>
      <c r="Q384" s="23" t="str">
        <f aca="false">IF(A384="UNDATED LEAD","UNRESOLVED",IF(M384="N","EXCEPTION",IF(A384="SKIP",IF(ISNUMBER(SEARCH("_skip_justification.pdf",N384)),"CLEAR - FILE VERIFIED","CLEAR ON EXPORT"),"CLEAR ON LOG")))</f>
        <v>CLEAR ON LOG</v>
      </c>
      <c r="R384" s="23" t="str">
        <f aca="false">IF(Q384="UNRESOLVED","PRIORITY 1 - OBTAIN FILE",IF(Q384&lt;&gt;"EXCEPTION","NONE",IF(OR(AND(A384="LOA AMENDMENT",P384="UNRESOLVED USE"),AND(A384="SKIP",OR(E384="WL-02618",E384="WL-03044",E384="WL-03390"))),"PRIORITY 1",IF(A384="SKIP","PRIORITY 2","PRIORITY 3"))))</f>
        <v>NONE</v>
      </c>
      <c r="S384" s="23" t="s">
        <v>1913</v>
      </c>
      <c r="T384" s="23" t="s">
        <v>2241</v>
      </c>
      <c r="U384" s="23" t="s">
        <v>1915</v>
      </c>
    </row>
    <row r="385" customFormat="false" ht="17.9" hidden="false" customHeight="false" outlineLevel="0" collapsed="false">
      <c r="A385" s="20" t="s">
        <v>1905</v>
      </c>
      <c r="B385" s="21" t="n">
        <v>45543</v>
      </c>
      <c r="C385" s="20" t="s">
        <v>2242</v>
      </c>
      <c r="D385" s="20"/>
      <c r="E385" s="20" t="s">
        <v>2243</v>
      </c>
      <c r="F385" s="20" t="s">
        <v>2244</v>
      </c>
      <c r="G385" s="20"/>
      <c r="H385" s="20"/>
      <c r="I385" s="20"/>
      <c r="J385" s="20" t="s">
        <v>1909</v>
      </c>
      <c r="K385" s="22" t="n">
        <v>33.7</v>
      </c>
      <c r="L385" s="22" t="n">
        <v>32.4</v>
      </c>
      <c r="M385" s="20" t="s">
        <v>81</v>
      </c>
      <c r="N385" s="23" t="s">
        <v>2245</v>
      </c>
      <c r="O385" s="23" t="s">
        <v>1911</v>
      </c>
      <c r="P385" s="23" t="s">
        <v>1912</v>
      </c>
      <c r="Q385" s="23" t="str">
        <f aca="false">IF(A385="UNDATED LEAD","UNRESOLVED",IF(M385="N","EXCEPTION",IF(A385="SKIP",IF(ISNUMBER(SEARCH("_skip_justification.pdf",N385)),"CLEAR - FILE VERIFIED","CLEAR ON EXPORT"),"CLEAR ON LOG")))</f>
        <v>CLEAR ON LOG</v>
      </c>
      <c r="R385" s="23" t="str">
        <f aca="false">IF(Q385="UNRESOLVED","PRIORITY 1 - OBTAIN FILE",IF(Q385&lt;&gt;"EXCEPTION","NONE",IF(OR(AND(A385="LOA AMENDMENT",P385="UNRESOLVED USE"),AND(A385="SKIP",OR(E385="WL-02618",E385="WL-03044",E385="WL-03390"))),"PRIORITY 1",IF(A385="SKIP","PRIORITY 2","PRIORITY 3"))))</f>
        <v>NONE</v>
      </c>
      <c r="S385" s="23" t="s">
        <v>1913</v>
      </c>
      <c r="T385" s="23" t="s">
        <v>2246</v>
      </c>
      <c r="U385" s="23" t="s">
        <v>1915</v>
      </c>
    </row>
    <row r="386" customFormat="false" ht="17.9" hidden="false" customHeight="false" outlineLevel="0" collapsed="false">
      <c r="A386" s="20" t="s">
        <v>1905</v>
      </c>
      <c r="B386" s="21" t="n">
        <v>45555</v>
      </c>
      <c r="C386" s="20" t="s">
        <v>2247</v>
      </c>
      <c r="D386" s="20"/>
      <c r="E386" s="20" t="s">
        <v>2248</v>
      </c>
      <c r="F386" s="20" t="s">
        <v>2249</v>
      </c>
      <c r="G386" s="20"/>
      <c r="H386" s="20"/>
      <c r="I386" s="20"/>
      <c r="J386" s="20" t="s">
        <v>1909</v>
      </c>
      <c r="K386" s="22" t="n">
        <v>23.8</v>
      </c>
      <c r="L386" s="22" t="n">
        <v>24.4</v>
      </c>
      <c r="M386" s="20" t="s">
        <v>81</v>
      </c>
      <c r="N386" s="23" t="s">
        <v>2250</v>
      </c>
      <c r="O386" s="23" t="s">
        <v>1911</v>
      </c>
      <c r="P386" s="23" t="s">
        <v>1912</v>
      </c>
      <c r="Q386" s="23" t="str">
        <f aca="false">IF(A386="UNDATED LEAD","UNRESOLVED",IF(M386="N","EXCEPTION",IF(A386="SKIP",IF(ISNUMBER(SEARCH("_skip_justification.pdf",N386)),"CLEAR - FILE VERIFIED","CLEAR ON EXPORT"),"CLEAR ON LOG")))</f>
        <v>CLEAR ON LOG</v>
      </c>
      <c r="R386" s="23" t="str">
        <f aca="false">IF(Q386="UNRESOLVED","PRIORITY 1 - OBTAIN FILE",IF(Q386&lt;&gt;"EXCEPTION","NONE",IF(OR(AND(A386="LOA AMENDMENT",P386="UNRESOLVED USE"),AND(A386="SKIP",OR(E386="WL-02618",E386="WL-03044",E386="WL-03390"))),"PRIORITY 1",IF(A386="SKIP","PRIORITY 2","PRIORITY 3"))))</f>
        <v>NONE</v>
      </c>
      <c r="S386" s="23" t="s">
        <v>1913</v>
      </c>
      <c r="T386" s="23" t="s">
        <v>2251</v>
      </c>
      <c r="U386" s="23" t="s">
        <v>1915</v>
      </c>
    </row>
    <row r="387" customFormat="false" ht="17.9" hidden="false" customHeight="false" outlineLevel="0" collapsed="false">
      <c r="A387" s="20" t="s">
        <v>1905</v>
      </c>
      <c r="B387" s="21" t="n">
        <v>45556</v>
      </c>
      <c r="C387" s="20" t="s">
        <v>2252</v>
      </c>
      <c r="D387" s="20"/>
      <c r="E387" s="20" t="s">
        <v>2253</v>
      </c>
      <c r="F387" s="20" t="s">
        <v>2254</v>
      </c>
      <c r="G387" s="20"/>
      <c r="H387" s="20"/>
      <c r="I387" s="20"/>
      <c r="J387" s="20" t="s">
        <v>1909</v>
      </c>
      <c r="K387" s="22" t="n">
        <v>29.5</v>
      </c>
      <c r="L387" s="22" t="n">
        <v>28</v>
      </c>
      <c r="M387" s="20" t="s">
        <v>81</v>
      </c>
      <c r="N387" s="23" t="s">
        <v>2255</v>
      </c>
      <c r="O387" s="23" t="s">
        <v>1911</v>
      </c>
      <c r="P387" s="23" t="s">
        <v>1912</v>
      </c>
      <c r="Q387" s="23" t="str">
        <f aca="false">IF(A387="UNDATED LEAD","UNRESOLVED",IF(M387="N","EXCEPTION",IF(A387="SKIP",IF(ISNUMBER(SEARCH("_skip_justification.pdf",N387)),"CLEAR - FILE VERIFIED","CLEAR ON EXPORT"),"CLEAR ON LOG")))</f>
        <v>CLEAR ON LOG</v>
      </c>
      <c r="R387" s="23" t="str">
        <f aca="false">IF(Q387="UNRESOLVED","PRIORITY 1 - OBTAIN FILE",IF(Q387&lt;&gt;"EXCEPTION","NONE",IF(OR(AND(A387="LOA AMENDMENT",P387="UNRESOLVED USE"),AND(A387="SKIP",OR(E387="WL-02618",E387="WL-03044",E387="WL-03390"))),"PRIORITY 1",IF(A387="SKIP","PRIORITY 2","PRIORITY 3"))))</f>
        <v>NONE</v>
      </c>
      <c r="S387" s="23" t="s">
        <v>1913</v>
      </c>
      <c r="T387" s="23" t="s">
        <v>2256</v>
      </c>
      <c r="U387" s="23" t="s">
        <v>1915</v>
      </c>
    </row>
    <row r="388" customFormat="false" ht="17.9" hidden="false" customHeight="false" outlineLevel="0" collapsed="false">
      <c r="A388" s="20" t="s">
        <v>1905</v>
      </c>
      <c r="B388" s="21" t="n">
        <v>45569</v>
      </c>
      <c r="C388" s="20" t="s">
        <v>2257</v>
      </c>
      <c r="D388" s="20"/>
      <c r="E388" s="20" t="s">
        <v>2258</v>
      </c>
      <c r="F388" s="20" t="s">
        <v>2259</v>
      </c>
      <c r="G388" s="20"/>
      <c r="H388" s="20"/>
      <c r="I388" s="20"/>
      <c r="J388" s="20" t="s">
        <v>1909</v>
      </c>
      <c r="K388" s="22" t="n">
        <v>27.2</v>
      </c>
      <c r="L388" s="22" t="n">
        <v>27.1</v>
      </c>
      <c r="M388" s="20" t="s">
        <v>81</v>
      </c>
      <c r="N388" s="23" t="s">
        <v>2260</v>
      </c>
      <c r="O388" s="23" t="s">
        <v>1911</v>
      </c>
      <c r="P388" s="23" t="s">
        <v>1912</v>
      </c>
      <c r="Q388" s="23" t="str">
        <f aca="false">IF(A388="UNDATED LEAD","UNRESOLVED",IF(M388="N","EXCEPTION",IF(A388="SKIP",IF(ISNUMBER(SEARCH("_skip_justification.pdf",N388)),"CLEAR - FILE VERIFIED","CLEAR ON EXPORT"),"CLEAR ON LOG")))</f>
        <v>CLEAR ON LOG</v>
      </c>
      <c r="R388" s="23" t="str">
        <f aca="false">IF(Q388="UNRESOLVED","PRIORITY 1 - OBTAIN FILE",IF(Q388&lt;&gt;"EXCEPTION","NONE",IF(OR(AND(A388="LOA AMENDMENT",P388="UNRESOLVED USE"),AND(A388="SKIP",OR(E388="WL-02618",E388="WL-03044",E388="WL-03390"))),"PRIORITY 1",IF(A388="SKIP","PRIORITY 2","PRIORITY 3"))))</f>
        <v>NONE</v>
      </c>
      <c r="S388" s="23" t="s">
        <v>1913</v>
      </c>
      <c r="T388" s="23" t="s">
        <v>2261</v>
      </c>
      <c r="U388" s="23" t="s">
        <v>1915</v>
      </c>
    </row>
    <row r="389" customFormat="false" ht="17.9" hidden="false" customHeight="false" outlineLevel="0" collapsed="false">
      <c r="A389" s="20" t="s">
        <v>1905</v>
      </c>
      <c r="B389" s="21" t="n">
        <v>45573</v>
      </c>
      <c r="C389" s="20" t="s">
        <v>2262</v>
      </c>
      <c r="D389" s="20"/>
      <c r="E389" s="20" t="s">
        <v>1345</v>
      </c>
      <c r="F389" s="20" t="s">
        <v>1346</v>
      </c>
      <c r="G389" s="20"/>
      <c r="H389" s="20"/>
      <c r="I389" s="20"/>
      <c r="J389" s="20" t="s">
        <v>1909</v>
      </c>
      <c r="K389" s="22" t="n">
        <v>24.7</v>
      </c>
      <c r="L389" s="22" t="n">
        <v>27.7</v>
      </c>
      <c r="M389" s="20" t="s">
        <v>81</v>
      </c>
      <c r="N389" s="23" t="s">
        <v>2263</v>
      </c>
      <c r="O389" s="23" t="s">
        <v>1911</v>
      </c>
      <c r="P389" s="23" t="s">
        <v>1912</v>
      </c>
      <c r="Q389" s="23" t="str">
        <f aca="false">IF(A389="UNDATED LEAD","UNRESOLVED",IF(M389="N","EXCEPTION",IF(A389="SKIP",IF(ISNUMBER(SEARCH("_skip_justification.pdf",N389)),"CLEAR - FILE VERIFIED","CLEAR ON EXPORT"),"CLEAR ON LOG")))</f>
        <v>CLEAR ON LOG</v>
      </c>
      <c r="R389" s="23" t="str">
        <f aca="false">IF(Q389="UNRESOLVED","PRIORITY 1 - OBTAIN FILE",IF(Q389&lt;&gt;"EXCEPTION","NONE",IF(OR(AND(A389="LOA AMENDMENT",P389="UNRESOLVED USE"),AND(A389="SKIP",OR(E389="WL-02618",E389="WL-03044",E389="WL-03390"))),"PRIORITY 1",IF(A389="SKIP","PRIORITY 2","PRIORITY 3"))))</f>
        <v>NONE</v>
      </c>
      <c r="S389" s="23" t="s">
        <v>1913</v>
      </c>
      <c r="T389" s="23" t="s">
        <v>2264</v>
      </c>
      <c r="U389" s="23" t="s">
        <v>1915</v>
      </c>
    </row>
    <row r="390" customFormat="false" ht="17.9" hidden="false" customHeight="false" outlineLevel="0" collapsed="false">
      <c r="A390" s="20" t="s">
        <v>1905</v>
      </c>
      <c r="B390" s="21" t="n">
        <v>45573</v>
      </c>
      <c r="C390" s="20" t="s">
        <v>2265</v>
      </c>
      <c r="D390" s="20"/>
      <c r="E390" s="20" t="s">
        <v>2266</v>
      </c>
      <c r="F390" s="20" t="s">
        <v>2267</v>
      </c>
      <c r="G390" s="20"/>
      <c r="H390" s="20"/>
      <c r="I390" s="20"/>
      <c r="J390" s="20" t="s">
        <v>1909</v>
      </c>
      <c r="K390" s="22" t="n">
        <v>44.9</v>
      </c>
      <c r="L390" s="22" t="n">
        <v>44.6</v>
      </c>
      <c r="M390" s="20" t="s">
        <v>81</v>
      </c>
      <c r="N390" s="23" t="s">
        <v>2268</v>
      </c>
      <c r="O390" s="23" t="s">
        <v>1911</v>
      </c>
      <c r="P390" s="23" t="s">
        <v>1912</v>
      </c>
      <c r="Q390" s="23" t="str">
        <f aca="false">IF(A390="UNDATED LEAD","UNRESOLVED",IF(M390="N","EXCEPTION",IF(A390="SKIP",IF(ISNUMBER(SEARCH("_skip_justification.pdf",N390)),"CLEAR - FILE VERIFIED","CLEAR ON EXPORT"),"CLEAR ON LOG")))</f>
        <v>CLEAR ON LOG</v>
      </c>
      <c r="R390" s="23" t="str">
        <f aca="false">IF(Q390="UNRESOLVED","PRIORITY 1 - OBTAIN FILE",IF(Q390&lt;&gt;"EXCEPTION","NONE",IF(OR(AND(A390="LOA AMENDMENT",P390="UNRESOLVED USE"),AND(A390="SKIP",OR(E390="WL-02618",E390="WL-03044",E390="WL-03390"))),"PRIORITY 1",IF(A390="SKIP","PRIORITY 2","PRIORITY 3"))))</f>
        <v>NONE</v>
      </c>
      <c r="S390" s="23" t="s">
        <v>1913</v>
      </c>
      <c r="T390" s="23" t="s">
        <v>2269</v>
      </c>
      <c r="U390" s="23" t="s">
        <v>1915</v>
      </c>
    </row>
    <row r="391" customFormat="false" ht="17.9" hidden="false" customHeight="false" outlineLevel="0" collapsed="false">
      <c r="A391" s="20" t="s">
        <v>1905</v>
      </c>
      <c r="B391" s="21" t="n">
        <v>45576</v>
      </c>
      <c r="C391" s="20" t="s">
        <v>2270</v>
      </c>
      <c r="D391" s="20"/>
      <c r="E391" s="20" t="s">
        <v>2271</v>
      </c>
      <c r="F391" s="20" t="s">
        <v>2272</v>
      </c>
      <c r="G391" s="20"/>
      <c r="H391" s="20"/>
      <c r="I391" s="20"/>
      <c r="J391" s="20" t="s">
        <v>1909</v>
      </c>
      <c r="K391" s="22" t="n">
        <v>52.8</v>
      </c>
      <c r="L391" s="22" t="n">
        <v>52.7</v>
      </c>
      <c r="M391" s="20" t="s">
        <v>81</v>
      </c>
      <c r="N391" s="23" t="s">
        <v>2273</v>
      </c>
      <c r="O391" s="23" t="s">
        <v>1911</v>
      </c>
      <c r="P391" s="23" t="s">
        <v>1912</v>
      </c>
      <c r="Q391" s="23" t="str">
        <f aca="false">IF(A391="UNDATED LEAD","UNRESOLVED",IF(M391="N","EXCEPTION",IF(A391="SKIP",IF(ISNUMBER(SEARCH("_skip_justification.pdf",N391)),"CLEAR - FILE VERIFIED","CLEAR ON EXPORT"),"CLEAR ON LOG")))</f>
        <v>CLEAR ON LOG</v>
      </c>
      <c r="R391" s="23" t="str">
        <f aca="false">IF(Q391="UNRESOLVED","PRIORITY 1 - OBTAIN FILE",IF(Q391&lt;&gt;"EXCEPTION","NONE",IF(OR(AND(A391="LOA AMENDMENT",P391="UNRESOLVED USE"),AND(A391="SKIP",OR(E391="WL-02618",E391="WL-03044",E391="WL-03390"))),"PRIORITY 1",IF(A391="SKIP","PRIORITY 2","PRIORITY 3"))))</f>
        <v>NONE</v>
      </c>
      <c r="S391" s="23" t="s">
        <v>1913</v>
      </c>
      <c r="T391" s="23" t="s">
        <v>2274</v>
      </c>
      <c r="U391" s="23" t="s">
        <v>1915</v>
      </c>
    </row>
    <row r="392" customFormat="false" ht="17.9" hidden="false" customHeight="false" outlineLevel="0" collapsed="false">
      <c r="A392" s="20" t="s">
        <v>1905</v>
      </c>
      <c r="B392" s="21" t="n">
        <v>45594</v>
      </c>
      <c r="C392" s="20" t="s">
        <v>2275</v>
      </c>
      <c r="D392" s="20"/>
      <c r="E392" s="20" t="s">
        <v>2276</v>
      </c>
      <c r="F392" s="20" t="s">
        <v>2277</v>
      </c>
      <c r="G392" s="20"/>
      <c r="H392" s="20"/>
      <c r="I392" s="20"/>
      <c r="J392" s="20" t="s">
        <v>1909</v>
      </c>
      <c r="K392" s="22" t="n">
        <v>38.6</v>
      </c>
      <c r="L392" s="22" t="n">
        <v>36.6</v>
      </c>
      <c r="M392" s="20" t="s">
        <v>81</v>
      </c>
      <c r="N392" s="23" t="s">
        <v>2278</v>
      </c>
      <c r="O392" s="23" t="s">
        <v>1911</v>
      </c>
      <c r="P392" s="23" t="s">
        <v>1912</v>
      </c>
      <c r="Q392" s="23" t="str">
        <f aca="false">IF(A392="UNDATED LEAD","UNRESOLVED",IF(M392="N","EXCEPTION",IF(A392="SKIP",IF(ISNUMBER(SEARCH("_skip_justification.pdf",N392)),"CLEAR - FILE VERIFIED","CLEAR ON EXPORT"),"CLEAR ON LOG")))</f>
        <v>CLEAR ON LOG</v>
      </c>
      <c r="R392" s="23" t="str">
        <f aca="false">IF(Q392="UNRESOLVED","PRIORITY 1 - OBTAIN FILE",IF(Q392&lt;&gt;"EXCEPTION","NONE",IF(OR(AND(A392="LOA AMENDMENT",P392="UNRESOLVED USE"),AND(A392="SKIP",OR(E392="WL-02618",E392="WL-03044",E392="WL-03390"))),"PRIORITY 1",IF(A392="SKIP","PRIORITY 2","PRIORITY 3"))))</f>
        <v>NONE</v>
      </c>
      <c r="S392" s="23" t="s">
        <v>1913</v>
      </c>
      <c r="T392" s="23" t="s">
        <v>2279</v>
      </c>
      <c r="U392" s="23" t="s">
        <v>1915</v>
      </c>
    </row>
    <row r="393" customFormat="false" ht="17.9" hidden="false" customHeight="false" outlineLevel="0" collapsed="false">
      <c r="A393" s="20" t="s">
        <v>1905</v>
      </c>
      <c r="B393" s="21" t="n">
        <v>45601</v>
      </c>
      <c r="C393" s="20" t="s">
        <v>2280</v>
      </c>
      <c r="D393" s="20"/>
      <c r="E393" s="20" t="s">
        <v>2281</v>
      </c>
      <c r="F393" s="20" t="s">
        <v>2282</v>
      </c>
      <c r="G393" s="20"/>
      <c r="H393" s="20"/>
      <c r="I393" s="20"/>
      <c r="J393" s="20" t="s">
        <v>1909</v>
      </c>
      <c r="K393" s="22" t="n">
        <v>39.5</v>
      </c>
      <c r="L393" s="22" t="n">
        <v>42.3</v>
      </c>
      <c r="M393" s="20" t="s">
        <v>81</v>
      </c>
      <c r="N393" s="23" t="s">
        <v>2161</v>
      </c>
      <c r="O393" s="23" t="s">
        <v>1911</v>
      </c>
      <c r="P393" s="23" t="s">
        <v>1912</v>
      </c>
      <c r="Q393" s="23" t="str">
        <f aca="false">IF(A393="UNDATED LEAD","UNRESOLVED",IF(M393="N","EXCEPTION",IF(A393="SKIP",IF(ISNUMBER(SEARCH("_skip_justification.pdf",N393)),"CLEAR - FILE VERIFIED","CLEAR ON EXPORT"),"CLEAR ON LOG")))</f>
        <v>CLEAR ON LOG</v>
      </c>
      <c r="R393" s="23" t="str">
        <f aca="false">IF(Q393="UNRESOLVED","PRIORITY 1 - OBTAIN FILE",IF(Q393&lt;&gt;"EXCEPTION","NONE",IF(OR(AND(A393="LOA AMENDMENT",P393="UNRESOLVED USE"),AND(A393="SKIP",OR(E393="WL-02618",E393="WL-03044",E393="WL-03390"))),"PRIORITY 1",IF(A393="SKIP","PRIORITY 2","PRIORITY 3"))))</f>
        <v>NONE</v>
      </c>
      <c r="S393" s="23" t="s">
        <v>1913</v>
      </c>
      <c r="T393" s="23" t="s">
        <v>2283</v>
      </c>
      <c r="U393" s="23" t="s">
        <v>1915</v>
      </c>
    </row>
    <row r="394" customFormat="false" ht="17.9" hidden="false" customHeight="false" outlineLevel="0" collapsed="false">
      <c r="A394" s="20" t="s">
        <v>1905</v>
      </c>
      <c r="B394" s="21" t="n">
        <v>45615</v>
      </c>
      <c r="C394" s="20" t="s">
        <v>2284</v>
      </c>
      <c r="D394" s="20"/>
      <c r="E394" s="20" t="s">
        <v>2285</v>
      </c>
      <c r="F394" s="20" t="s">
        <v>2286</v>
      </c>
      <c r="G394" s="20"/>
      <c r="H394" s="20"/>
      <c r="I394" s="20"/>
      <c r="J394" s="20" t="s">
        <v>1909</v>
      </c>
      <c r="K394" s="22" t="n">
        <v>37.6</v>
      </c>
      <c r="L394" s="22" t="n">
        <v>38.1</v>
      </c>
      <c r="M394" s="20" t="s">
        <v>81</v>
      </c>
      <c r="N394" s="23" t="s">
        <v>2287</v>
      </c>
      <c r="O394" s="23" t="s">
        <v>1911</v>
      </c>
      <c r="P394" s="23" t="s">
        <v>1912</v>
      </c>
      <c r="Q394" s="23" t="str">
        <f aca="false">IF(A394="UNDATED LEAD","UNRESOLVED",IF(M394="N","EXCEPTION",IF(A394="SKIP",IF(ISNUMBER(SEARCH("_skip_justification.pdf",N394)),"CLEAR - FILE VERIFIED","CLEAR ON EXPORT"),"CLEAR ON LOG")))</f>
        <v>CLEAR ON LOG</v>
      </c>
      <c r="R394" s="23" t="str">
        <f aca="false">IF(Q394="UNRESOLVED","PRIORITY 1 - OBTAIN FILE",IF(Q394&lt;&gt;"EXCEPTION","NONE",IF(OR(AND(A394="LOA AMENDMENT",P394="UNRESOLVED USE"),AND(A394="SKIP",OR(E394="WL-02618",E394="WL-03044",E394="WL-03390"))),"PRIORITY 1",IF(A394="SKIP","PRIORITY 2","PRIORITY 3"))))</f>
        <v>NONE</v>
      </c>
      <c r="S394" s="23" t="s">
        <v>1913</v>
      </c>
      <c r="T394" s="23" t="s">
        <v>2288</v>
      </c>
      <c r="U394" s="23" t="s">
        <v>1915</v>
      </c>
    </row>
    <row r="395" customFormat="false" ht="17.9" hidden="false" customHeight="false" outlineLevel="0" collapsed="false">
      <c r="A395" s="20" t="s">
        <v>1905</v>
      </c>
      <c r="B395" s="21" t="n">
        <v>45624</v>
      </c>
      <c r="C395" s="20" t="s">
        <v>2289</v>
      </c>
      <c r="D395" s="20"/>
      <c r="E395" s="20" t="s">
        <v>2290</v>
      </c>
      <c r="F395" s="20" t="s">
        <v>2291</v>
      </c>
      <c r="G395" s="20"/>
      <c r="H395" s="20"/>
      <c r="I395" s="20"/>
      <c r="J395" s="20" t="s">
        <v>1909</v>
      </c>
      <c r="K395" s="22" t="n">
        <v>24.5</v>
      </c>
      <c r="L395" s="22" t="n">
        <v>22.8</v>
      </c>
      <c r="M395" s="20" t="s">
        <v>81</v>
      </c>
      <c r="N395" s="23" t="s">
        <v>2292</v>
      </c>
      <c r="O395" s="23" t="s">
        <v>1911</v>
      </c>
      <c r="P395" s="23" t="s">
        <v>1912</v>
      </c>
      <c r="Q395" s="23" t="str">
        <f aca="false">IF(A395="UNDATED LEAD","UNRESOLVED",IF(M395="N","EXCEPTION",IF(A395="SKIP",IF(ISNUMBER(SEARCH("_skip_justification.pdf",N395)),"CLEAR - FILE VERIFIED","CLEAR ON EXPORT"),"CLEAR ON LOG")))</f>
        <v>CLEAR ON LOG</v>
      </c>
      <c r="R395" s="23" t="str">
        <f aca="false">IF(Q395="UNRESOLVED","PRIORITY 1 - OBTAIN FILE",IF(Q395&lt;&gt;"EXCEPTION","NONE",IF(OR(AND(A395="LOA AMENDMENT",P395="UNRESOLVED USE"),AND(A395="SKIP",OR(E395="WL-02618",E395="WL-03044",E395="WL-03390"))),"PRIORITY 1",IF(A395="SKIP","PRIORITY 2","PRIORITY 3"))))</f>
        <v>NONE</v>
      </c>
      <c r="S395" s="23" t="s">
        <v>1913</v>
      </c>
      <c r="T395" s="23" t="s">
        <v>2293</v>
      </c>
      <c r="U395" s="23" t="s">
        <v>1915</v>
      </c>
    </row>
    <row r="396" customFormat="false" ht="17.9" hidden="false" customHeight="false" outlineLevel="0" collapsed="false">
      <c r="A396" s="20" t="s">
        <v>1905</v>
      </c>
      <c r="B396" s="21" t="n">
        <v>45626</v>
      </c>
      <c r="C396" s="20" t="s">
        <v>2294</v>
      </c>
      <c r="D396" s="20"/>
      <c r="E396" s="20" t="s">
        <v>2295</v>
      </c>
      <c r="F396" s="20" t="s">
        <v>2296</v>
      </c>
      <c r="G396" s="20"/>
      <c r="H396" s="20"/>
      <c r="I396" s="20"/>
      <c r="J396" s="20" t="s">
        <v>1909</v>
      </c>
      <c r="K396" s="22" t="n">
        <v>34.3</v>
      </c>
      <c r="L396" s="22" t="n">
        <v>32.9</v>
      </c>
      <c r="M396" s="20" t="s">
        <v>81</v>
      </c>
      <c r="N396" s="23" t="s">
        <v>2297</v>
      </c>
      <c r="O396" s="23" t="s">
        <v>1911</v>
      </c>
      <c r="P396" s="23" t="s">
        <v>1912</v>
      </c>
      <c r="Q396" s="23" t="str">
        <f aca="false">IF(A396="UNDATED LEAD","UNRESOLVED",IF(M396="N","EXCEPTION",IF(A396="SKIP",IF(ISNUMBER(SEARCH("_skip_justification.pdf",N396)),"CLEAR - FILE VERIFIED","CLEAR ON EXPORT"),"CLEAR ON LOG")))</f>
        <v>CLEAR ON LOG</v>
      </c>
      <c r="R396" s="23" t="str">
        <f aca="false">IF(Q396="UNRESOLVED","PRIORITY 1 - OBTAIN FILE",IF(Q396&lt;&gt;"EXCEPTION","NONE",IF(OR(AND(A396="LOA AMENDMENT",P396="UNRESOLVED USE"),AND(A396="SKIP",OR(E396="WL-02618",E396="WL-03044",E396="WL-03390"))),"PRIORITY 1",IF(A396="SKIP","PRIORITY 2","PRIORITY 3"))))</f>
        <v>NONE</v>
      </c>
      <c r="S396" s="23" t="s">
        <v>1913</v>
      </c>
      <c r="T396" s="23" t="s">
        <v>2298</v>
      </c>
      <c r="U396" s="23" t="s">
        <v>1915</v>
      </c>
    </row>
    <row r="397" customFormat="false" ht="17.9" hidden="false" customHeight="false" outlineLevel="0" collapsed="false">
      <c r="A397" s="20" t="s">
        <v>1905</v>
      </c>
      <c r="B397" s="21" t="n">
        <v>45628</v>
      </c>
      <c r="C397" s="20" t="s">
        <v>2299</v>
      </c>
      <c r="D397" s="20"/>
      <c r="E397" s="20" t="s">
        <v>2300</v>
      </c>
      <c r="F397" s="20" t="s">
        <v>2301</v>
      </c>
      <c r="G397" s="20"/>
      <c r="H397" s="20"/>
      <c r="I397" s="20"/>
      <c r="J397" s="20" t="s">
        <v>1909</v>
      </c>
      <c r="K397" s="22" t="n">
        <v>50.6</v>
      </c>
      <c r="L397" s="22" t="n">
        <v>49</v>
      </c>
      <c r="M397" s="20" t="s">
        <v>81</v>
      </c>
      <c r="N397" s="23" t="s">
        <v>2302</v>
      </c>
      <c r="O397" s="23" t="s">
        <v>1911</v>
      </c>
      <c r="P397" s="23" t="s">
        <v>1912</v>
      </c>
      <c r="Q397" s="23" t="str">
        <f aca="false">IF(A397="UNDATED LEAD","UNRESOLVED",IF(M397="N","EXCEPTION",IF(A397="SKIP",IF(ISNUMBER(SEARCH("_skip_justification.pdf",N397)),"CLEAR - FILE VERIFIED","CLEAR ON EXPORT"),"CLEAR ON LOG")))</f>
        <v>CLEAR ON LOG</v>
      </c>
      <c r="R397" s="23" t="str">
        <f aca="false">IF(Q397="UNRESOLVED","PRIORITY 1 - OBTAIN FILE",IF(Q397&lt;&gt;"EXCEPTION","NONE",IF(OR(AND(A397="LOA AMENDMENT",P397="UNRESOLVED USE"),AND(A397="SKIP",OR(E397="WL-02618",E397="WL-03044",E397="WL-03390"))),"PRIORITY 1",IF(A397="SKIP","PRIORITY 2","PRIORITY 3"))))</f>
        <v>NONE</v>
      </c>
      <c r="S397" s="23" t="s">
        <v>1913</v>
      </c>
      <c r="T397" s="23" t="s">
        <v>2303</v>
      </c>
      <c r="U397" s="23" t="s">
        <v>1915</v>
      </c>
    </row>
    <row r="398" customFormat="false" ht="17.9" hidden="false" customHeight="false" outlineLevel="0" collapsed="false">
      <c r="A398" s="20" t="s">
        <v>1905</v>
      </c>
      <c r="B398" s="21" t="n">
        <v>45631</v>
      </c>
      <c r="C398" s="20" t="s">
        <v>2304</v>
      </c>
      <c r="D398" s="20"/>
      <c r="E398" s="20" t="s">
        <v>2305</v>
      </c>
      <c r="F398" s="20" t="s">
        <v>2306</v>
      </c>
      <c r="G398" s="20"/>
      <c r="H398" s="20"/>
      <c r="I398" s="20"/>
      <c r="J398" s="20" t="s">
        <v>1909</v>
      </c>
      <c r="K398" s="22" t="n">
        <v>46.3</v>
      </c>
      <c r="L398" s="22" t="n">
        <v>46.8</v>
      </c>
      <c r="M398" s="20" t="s">
        <v>81</v>
      </c>
      <c r="N398" s="23" t="s">
        <v>2307</v>
      </c>
      <c r="O398" s="23" t="s">
        <v>1911</v>
      </c>
      <c r="P398" s="23" t="s">
        <v>1912</v>
      </c>
      <c r="Q398" s="23" t="str">
        <f aca="false">IF(A398="UNDATED LEAD","UNRESOLVED",IF(M398="N","EXCEPTION",IF(A398="SKIP",IF(ISNUMBER(SEARCH("_skip_justification.pdf",N398)),"CLEAR - FILE VERIFIED","CLEAR ON EXPORT"),"CLEAR ON LOG")))</f>
        <v>CLEAR ON LOG</v>
      </c>
      <c r="R398" s="23" t="str">
        <f aca="false">IF(Q398="UNRESOLVED","PRIORITY 1 - OBTAIN FILE",IF(Q398&lt;&gt;"EXCEPTION","NONE",IF(OR(AND(A398="LOA AMENDMENT",P398="UNRESOLVED USE"),AND(A398="SKIP",OR(E398="WL-02618",E398="WL-03044",E398="WL-03390"))),"PRIORITY 1",IF(A398="SKIP","PRIORITY 2","PRIORITY 3"))))</f>
        <v>NONE</v>
      </c>
      <c r="S398" s="23" t="s">
        <v>1913</v>
      </c>
      <c r="T398" s="23" t="s">
        <v>2308</v>
      </c>
      <c r="U398" s="23" t="s">
        <v>1915</v>
      </c>
    </row>
    <row r="399" customFormat="false" ht="17.9" hidden="false" customHeight="false" outlineLevel="0" collapsed="false">
      <c r="A399" s="20" t="s">
        <v>1905</v>
      </c>
      <c r="B399" s="21" t="n">
        <v>45631</v>
      </c>
      <c r="C399" s="20" t="s">
        <v>2309</v>
      </c>
      <c r="D399" s="20"/>
      <c r="E399" s="20" t="s">
        <v>2310</v>
      </c>
      <c r="F399" s="20" t="s">
        <v>2311</v>
      </c>
      <c r="G399" s="20"/>
      <c r="H399" s="20"/>
      <c r="I399" s="20"/>
      <c r="J399" s="20" t="s">
        <v>1909</v>
      </c>
      <c r="K399" s="22" t="n">
        <v>28.2</v>
      </c>
      <c r="L399" s="22" t="n">
        <v>28.4</v>
      </c>
      <c r="M399" s="20" t="s">
        <v>81</v>
      </c>
      <c r="N399" s="23" t="s">
        <v>2312</v>
      </c>
      <c r="O399" s="23" t="s">
        <v>1911</v>
      </c>
      <c r="P399" s="23" t="s">
        <v>1912</v>
      </c>
      <c r="Q399" s="23" t="str">
        <f aca="false">IF(A399="UNDATED LEAD","UNRESOLVED",IF(M399="N","EXCEPTION",IF(A399="SKIP",IF(ISNUMBER(SEARCH("_skip_justification.pdf",N399)),"CLEAR - FILE VERIFIED","CLEAR ON EXPORT"),"CLEAR ON LOG")))</f>
        <v>CLEAR ON LOG</v>
      </c>
      <c r="R399" s="23" t="str">
        <f aca="false">IF(Q399="UNRESOLVED","PRIORITY 1 - OBTAIN FILE",IF(Q399&lt;&gt;"EXCEPTION","NONE",IF(OR(AND(A399="LOA AMENDMENT",P399="UNRESOLVED USE"),AND(A399="SKIP",OR(E399="WL-02618",E399="WL-03044",E399="WL-03390"))),"PRIORITY 1",IF(A399="SKIP","PRIORITY 2","PRIORITY 3"))))</f>
        <v>NONE</v>
      </c>
      <c r="S399" s="23" t="s">
        <v>1913</v>
      </c>
      <c r="T399" s="23" t="s">
        <v>2313</v>
      </c>
      <c r="U399" s="23" t="s">
        <v>1915</v>
      </c>
    </row>
    <row r="400" customFormat="false" ht="17.9" hidden="false" customHeight="false" outlineLevel="0" collapsed="false">
      <c r="A400" s="20" t="s">
        <v>1905</v>
      </c>
      <c r="B400" s="21" t="n">
        <v>45633</v>
      </c>
      <c r="C400" s="20" t="s">
        <v>2314</v>
      </c>
      <c r="D400" s="20"/>
      <c r="E400" s="20" t="s">
        <v>2315</v>
      </c>
      <c r="F400" s="20" t="s">
        <v>2316</v>
      </c>
      <c r="G400" s="20"/>
      <c r="H400" s="20"/>
      <c r="I400" s="20"/>
      <c r="J400" s="20" t="s">
        <v>1909</v>
      </c>
      <c r="K400" s="22" t="n">
        <v>25.7</v>
      </c>
      <c r="L400" s="22" t="n">
        <v>23</v>
      </c>
      <c r="M400" s="20" t="s">
        <v>81</v>
      </c>
      <c r="N400" s="23" t="s">
        <v>2317</v>
      </c>
      <c r="O400" s="23" t="s">
        <v>1911</v>
      </c>
      <c r="P400" s="23" t="s">
        <v>1912</v>
      </c>
      <c r="Q400" s="23" t="str">
        <f aca="false">IF(A400="UNDATED LEAD","UNRESOLVED",IF(M400="N","EXCEPTION",IF(A400="SKIP",IF(ISNUMBER(SEARCH("_skip_justification.pdf",N400)),"CLEAR - FILE VERIFIED","CLEAR ON EXPORT"),"CLEAR ON LOG")))</f>
        <v>CLEAR ON LOG</v>
      </c>
      <c r="R400" s="23" t="str">
        <f aca="false">IF(Q400="UNRESOLVED","PRIORITY 1 - OBTAIN FILE",IF(Q400&lt;&gt;"EXCEPTION","NONE",IF(OR(AND(A400="LOA AMENDMENT",P400="UNRESOLVED USE"),AND(A400="SKIP",OR(E400="WL-02618",E400="WL-03044",E400="WL-03390"))),"PRIORITY 1",IF(A400="SKIP","PRIORITY 2","PRIORITY 3"))))</f>
        <v>NONE</v>
      </c>
      <c r="S400" s="23" t="s">
        <v>1913</v>
      </c>
      <c r="T400" s="23" t="s">
        <v>2318</v>
      </c>
      <c r="U400" s="23" t="s">
        <v>1915</v>
      </c>
    </row>
    <row r="401" customFormat="false" ht="17.9" hidden="false" customHeight="false" outlineLevel="0" collapsed="false">
      <c r="A401" s="20" t="s">
        <v>1905</v>
      </c>
      <c r="B401" s="21" t="n">
        <v>45637</v>
      </c>
      <c r="C401" s="20" t="s">
        <v>2319</v>
      </c>
      <c r="D401" s="20"/>
      <c r="E401" s="20" t="s">
        <v>2320</v>
      </c>
      <c r="F401" s="20" t="s">
        <v>2321</v>
      </c>
      <c r="G401" s="20"/>
      <c r="H401" s="20"/>
      <c r="I401" s="20"/>
      <c r="J401" s="20" t="s">
        <v>1909</v>
      </c>
      <c r="K401" s="22" t="n">
        <v>51.3</v>
      </c>
      <c r="L401" s="22" t="n">
        <v>49.6</v>
      </c>
      <c r="M401" s="20" t="s">
        <v>81</v>
      </c>
      <c r="N401" s="23" t="s">
        <v>2322</v>
      </c>
      <c r="O401" s="23" t="s">
        <v>1911</v>
      </c>
      <c r="P401" s="23" t="s">
        <v>1912</v>
      </c>
      <c r="Q401" s="23" t="str">
        <f aca="false">IF(A401="UNDATED LEAD","UNRESOLVED",IF(M401="N","EXCEPTION",IF(A401="SKIP",IF(ISNUMBER(SEARCH("_skip_justification.pdf",N401)),"CLEAR - FILE VERIFIED","CLEAR ON EXPORT"),"CLEAR ON LOG")))</f>
        <v>CLEAR ON LOG</v>
      </c>
      <c r="R401" s="23" t="str">
        <f aca="false">IF(Q401="UNRESOLVED","PRIORITY 1 - OBTAIN FILE",IF(Q401&lt;&gt;"EXCEPTION","NONE",IF(OR(AND(A401="LOA AMENDMENT",P401="UNRESOLVED USE"),AND(A401="SKIP",OR(E401="WL-02618",E401="WL-03044",E401="WL-03390"))),"PRIORITY 1",IF(A401="SKIP","PRIORITY 2","PRIORITY 3"))))</f>
        <v>NONE</v>
      </c>
      <c r="S401" s="23" t="s">
        <v>1913</v>
      </c>
      <c r="T401" s="23" t="s">
        <v>2323</v>
      </c>
      <c r="U401" s="23" t="s">
        <v>1915</v>
      </c>
    </row>
    <row r="402" customFormat="false" ht="17.9" hidden="false" customHeight="false" outlineLevel="0" collapsed="false">
      <c r="A402" s="20" t="s">
        <v>1905</v>
      </c>
      <c r="B402" s="21" t="n">
        <v>45648</v>
      </c>
      <c r="C402" s="20" t="s">
        <v>2324</v>
      </c>
      <c r="D402" s="20"/>
      <c r="E402" s="20" t="s">
        <v>2325</v>
      </c>
      <c r="F402" s="20" t="s">
        <v>2326</v>
      </c>
      <c r="G402" s="20"/>
      <c r="H402" s="20"/>
      <c r="I402" s="20"/>
      <c r="J402" s="20" t="s">
        <v>1909</v>
      </c>
      <c r="K402" s="22" t="n">
        <v>37</v>
      </c>
      <c r="L402" s="22" t="n">
        <v>36.4</v>
      </c>
      <c r="M402" s="20" t="s">
        <v>81</v>
      </c>
      <c r="N402" s="23" t="s">
        <v>2327</v>
      </c>
      <c r="O402" s="23" t="s">
        <v>1911</v>
      </c>
      <c r="P402" s="23" t="s">
        <v>1912</v>
      </c>
      <c r="Q402" s="23" t="str">
        <f aca="false">IF(A402="UNDATED LEAD","UNRESOLVED",IF(M402="N","EXCEPTION",IF(A402="SKIP",IF(ISNUMBER(SEARCH("_skip_justification.pdf",N402)),"CLEAR - FILE VERIFIED","CLEAR ON EXPORT"),"CLEAR ON LOG")))</f>
        <v>CLEAR ON LOG</v>
      </c>
      <c r="R402" s="23" t="str">
        <f aca="false">IF(Q402="UNRESOLVED","PRIORITY 1 - OBTAIN FILE",IF(Q402&lt;&gt;"EXCEPTION","NONE",IF(OR(AND(A402="LOA AMENDMENT",P402="UNRESOLVED USE"),AND(A402="SKIP",OR(E402="WL-02618",E402="WL-03044",E402="WL-03390"))),"PRIORITY 1",IF(A402="SKIP","PRIORITY 2","PRIORITY 3"))))</f>
        <v>NONE</v>
      </c>
      <c r="S402" s="23" t="s">
        <v>1913</v>
      </c>
      <c r="T402" s="23" t="s">
        <v>2328</v>
      </c>
      <c r="U402" s="23" t="s">
        <v>1915</v>
      </c>
    </row>
    <row r="403" customFormat="false" ht="17.9" hidden="false" customHeight="false" outlineLevel="0" collapsed="false">
      <c r="A403" s="20" t="s">
        <v>1905</v>
      </c>
      <c r="B403" s="21" t="n">
        <v>45650</v>
      </c>
      <c r="C403" s="20" t="s">
        <v>2329</v>
      </c>
      <c r="D403" s="20"/>
      <c r="E403" s="20" t="s">
        <v>2330</v>
      </c>
      <c r="F403" s="20" t="s">
        <v>2331</v>
      </c>
      <c r="G403" s="20"/>
      <c r="H403" s="20"/>
      <c r="I403" s="20"/>
      <c r="J403" s="20" t="s">
        <v>1909</v>
      </c>
      <c r="K403" s="22" t="n">
        <v>54.8</v>
      </c>
      <c r="L403" s="22" t="n">
        <v>52</v>
      </c>
      <c r="M403" s="20" t="s">
        <v>81</v>
      </c>
      <c r="N403" s="23" t="s">
        <v>2332</v>
      </c>
      <c r="O403" s="23" t="s">
        <v>1911</v>
      </c>
      <c r="P403" s="23" t="s">
        <v>1912</v>
      </c>
      <c r="Q403" s="23" t="str">
        <f aca="false">IF(A403="UNDATED LEAD","UNRESOLVED",IF(M403="N","EXCEPTION",IF(A403="SKIP",IF(ISNUMBER(SEARCH("_skip_justification.pdf",N403)),"CLEAR - FILE VERIFIED","CLEAR ON EXPORT"),"CLEAR ON LOG")))</f>
        <v>CLEAR ON LOG</v>
      </c>
      <c r="R403" s="23" t="str">
        <f aca="false">IF(Q403="UNRESOLVED","PRIORITY 1 - OBTAIN FILE",IF(Q403&lt;&gt;"EXCEPTION","NONE",IF(OR(AND(A403="LOA AMENDMENT",P403="UNRESOLVED USE"),AND(A403="SKIP",OR(E403="WL-02618",E403="WL-03044",E403="WL-03390"))),"PRIORITY 1",IF(A403="SKIP","PRIORITY 2","PRIORITY 3"))))</f>
        <v>NONE</v>
      </c>
      <c r="S403" s="23" t="s">
        <v>1913</v>
      </c>
      <c r="T403" s="23" t="s">
        <v>2333</v>
      </c>
      <c r="U403" s="23" t="s">
        <v>1915</v>
      </c>
    </row>
    <row r="404" customFormat="false" ht="17.9" hidden="false" customHeight="false" outlineLevel="0" collapsed="false">
      <c r="A404" s="20" t="s">
        <v>1905</v>
      </c>
      <c r="B404" s="21" t="n">
        <v>45666</v>
      </c>
      <c r="C404" s="20" t="s">
        <v>2334</v>
      </c>
      <c r="D404" s="20"/>
      <c r="E404" s="20" t="s">
        <v>2335</v>
      </c>
      <c r="F404" s="20" t="s">
        <v>2336</v>
      </c>
      <c r="G404" s="20"/>
      <c r="H404" s="20"/>
      <c r="I404" s="20"/>
      <c r="J404" s="20" t="s">
        <v>1909</v>
      </c>
      <c r="K404" s="22" t="n">
        <v>26.7</v>
      </c>
      <c r="L404" s="22" t="n">
        <v>25</v>
      </c>
      <c r="M404" s="20" t="s">
        <v>81</v>
      </c>
      <c r="N404" s="23" t="s">
        <v>2337</v>
      </c>
      <c r="O404" s="23" t="s">
        <v>1911</v>
      </c>
      <c r="P404" s="23" t="s">
        <v>1912</v>
      </c>
      <c r="Q404" s="23" t="str">
        <f aca="false">IF(A404="UNDATED LEAD","UNRESOLVED",IF(M404="N","EXCEPTION",IF(A404="SKIP",IF(ISNUMBER(SEARCH("_skip_justification.pdf",N404)),"CLEAR - FILE VERIFIED","CLEAR ON EXPORT"),"CLEAR ON LOG")))</f>
        <v>CLEAR ON LOG</v>
      </c>
      <c r="R404" s="23" t="str">
        <f aca="false">IF(Q404="UNRESOLVED","PRIORITY 1 - OBTAIN FILE",IF(Q404&lt;&gt;"EXCEPTION","NONE",IF(OR(AND(A404="LOA AMENDMENT",P404="UNRESOLVED USE"),AND(A404="SKIP",OR(E404="WL-02618",E404="WL-03044",E404="WL-03390"))),"PRIORITY 1",IF(A404="SKIP","PRIORITY 2","PRIORITY 3"))))</f>
        <v>NONE</v>
      </c>
      <c r="S404" s="23" t="s">
        <v>1913</v>
      </c>
      <c r="T404" s="23" t="s">
        <v>2338</v>
      </c>
      <c r="U404" s="23" t="s">
        <v>1915</v>
      </c>
    </row>
    <row r="405" customFormat="false" ht="17.9" hidden="false" customHeight="false" outlineLevel="0" collapsed="false">
      <c r="A405" s="20" t="s">
        <v>1905</v>
      </c>
      <c r="B405" s="21" t="n">
        <v>45670</v>
      </c>
      <c r="C405" s="20" t="s">
        <v>2339</v>
      </c>
      <c r="D405" s="20"/>
      <c r="E405" s="20" t="s">
        <v>2340</v>
      </c>
      <c r="F405" s="20" t="s">
        <v>2341</v>
      </c>
      <c r="G405" s="20"/>
      <c r="H405" s="20"/>
      <c r="I405" s="20"/>
      <c r="J405" s="20" t="s">
        <v>1909</v>
      </c>
      <c r="K405" s="22" t="n">
        <v>31.7</v>
      </c>
      <c r="L405" s="22" t="n">
        <v>34.4</v>
      </c>
      <c r="M405" s="20" t="s">
        <v>81</v>
      </c>
      <c r="N405" s="23" t="s">
        <v>2342</v>
      </c>
      <c r="O405" s="23" t="s">
        <v>1911</v>
      </c>
      <c r="P405" s="23" t="s">
        <v>1912</v>
      </c>
      <c r="Q405" s="23" t="str">
        <f aca="false">IF(A405="UNDATED LEAD","UNRESOLVED",IF(M405="N","EXCEPTION",IF(A405="SKIP",IF(ISNUMBER(SEARCH("_skip_justification.pdf",N405)),"CLEAR - FILE VERIFIED","CLEAR ON EXPORT"),"CLEAR ON LOG")))</f>
        <v>CLEAR ON LOG</v>
      </c>
      <c r="R405" s="23" t="str">
        <f aca="false">IF(Q405="UNRESOLVED","PRIORITY 1 - OBTAIN FILE",IF(Q405&lt;&gt;"EXCEPTION","NONE",IF(OR(AND(A405="LOA AMENDMENT",P405="UNRESOLVED USE"),AND(A405="SKIP",OR(E405="WL-02618",E405="WL-03044",E405="WL-03390"))),"PRIORITY 1",IF(A405="SKIP","PRIORITY 2","PRIORITY 3"))))</f>
        <v>NONE</v>
      </c>
      <c r="S405" s="23" t="s">
        <v>1913</v>
      </c>
      <c r="T405" s="23" t="s">
        <v>2343</v>
      </c>
      <c r="U405" s="23" t="s">
        <v>1915</v>
      </c>
    </row>
    <row r="406" customFormat="false" ht="17.9" hidden="false" customHeight="false" outlineLevel="0" collapsed="false">
      <c r="A406" s="20" t="s">
        <v>1905</v>
      </c>
      <c r="B406" s="21" t="n">
        <v>45671</v>
      </c>
      <c r="C406" s="20" t="s">
        <v>2344</v>
      </c>
      <c r="D406" s="20"/>
      <c r="E406" s="20" t="s">
        <v>2345</v>
      </c>
      <c r="F406" s="20" t="s">
        <v>2346</v>
      </c>
      <c r="G406" s="20"/>
      <c r="H406" s="20"/>
      <c r="I406" s="20"/>
      <c r="J406" s="20" t="s">
        <v>1909</v>
      </c>
      <c r="K406" s="22" t="n">
        <v>49.2</v>
      </c>
      <c r="L406" s="22" t="n">
        <v>47.5</v>
      </c>
      <c r="M406" s="20" t="s">
        <v>110</v>
      </c>
      <c r="N406" s="23" t="s">
        <v>1957</v>
      </c>
      <c r="O406" s="23" t="s">
        <v>1911</v>
      </c>
      <c r="P406" s="23" t="s">
        <v>1958</v>
      </c>
      <c r="Q406" s="23" t="str">
        <f aca="false">IF(A406="UNDATED LEAD","UNRESOLVED",IF(M406="N","EXCEPTION",IF(A406="SKIP",IF(ISNUMBER(SEARCH("_skip_justification.pdf",N406)),"CLEAR - FILE VERIFIED","CLEAR ON EXPORT"),"CLEAR ON LOG")))</f>
        <v>EXCEPTION</v>
      </c>
      <c r="R406" s="23" t="str">
        <f aca="false">IF(Q406="UNRESOLVED","PRIORITY 1 - OBTAIN FILE",IF(Q406&lt;&gt;"EXCEPTION","NONE",IF(OR(AND(A406="LOA AMENDMENT",P406="UNRESOLVED USE"),AND(A406="SKIP",OR(E406="WL-02618",E406="WL-03044",E406="WL-03390"))),"PRIORITY 1",IF(A406="SKIP","PRIORITY 2","PRIORITY 3"))))</f>
        <v>PRIORITY 3</v>
      </c>
      <c r="S406" s="23" t="s">
        <v>2347</v>
      </c>
      <c r="T406" s="23" t="s">
        <v>2348</v>
      </c>
      <c r="U406" s="23" t="s">
        <v>1915</v>
      </c>
    </row>
    <row r="407" customFormat="false" ht="17.9" hidden="false" customHeight="false" outlineLevel="0" collapsed="false">
      <c r="A407" s="20" t="s">
        <v>1905</v>
      </c>
      <c r="B407" s="21" t="n">
        <v>45674</v>
      </c>
      <c r="C407" s="20" t="s">
        <v>2349</v>
      </c>
      <c r="D407" s="20"/>
      <c r="E407" s="20" t="s">
        <v>2350</v>
      </c>
      <c r="F407" s="20" t="s">
        <v>2351</v>
      </c>
      <c r="G407" s="20"/>
      <c r="H407" s="20"/>
      <c r="I407" s="20"/>
      <c r="J407" s="20" t="s">
        <v>1909</v>
      </c>
      <c r="K407" s="22" t="n">
        <v>22.6</v>
      </c>
      <c r="L407" s="22" t="n">
        <v>24.1</v>
      </c>
      <c r="M407" s="20" t="s">
        <v>81</v>
      </c>
      <c r="N407" s="23" t="s">
        <v>2352</v>
      </c>
      <c r="O407" s="23" t="s">
        <v>1911</v>
      </c>
      <c r="P407" s="23" t="s">
        <v>1912</v>
      </c>
      <c r="Q407" s="23" t="str">
        <f aca="false">IF(A407="UNDATED LEAD","UNRESOLVED",IF(M407="N","EXCEPTION",IF(A407="SKIP",IF(ISNUMBER(SEARCH("_skip_justification.pdf",N407)),"CLEAR - FILE VERIFIED","CLEAR ON EXPORT"),"CLEAR ON LOG")))</f>
        <v>CLEAR ON LOG</v>
      </c>
      <c r="R407" s="23" t="str">
        <f aca="false">IF(Q407="UNRESOLVED","PRIORITY 1 - OBTAIN FILE",IF(Q407&lt;&gt;"EXCEPTION","NONE",IF(OR(AND(A407="LOA AMENDMENT",P407="UNRESOLVED USE"),AND(A407="SKIP",OR(E407="WL-02618",E407="WL-03044",E407="WL-03390"))),"PRIORITY 1",IF(A407="SKIP","PRIORITY 2","PRIORITY 3"))))</f>
        <v>NONE</v>
      </c>
      <c r="S407" s="23" t="s">
        <v>1913</v>
      </c>
      <c r="T407" s="23" t="s">
        <v>2353</v>
      </c>
      <c r="U407" s="23" t="s">
        <v>1915</v>
      </c>
    </row>
    <row r="408" customFormat="false" ht="17.9" hidden="false" customHeight="false" outlineLevel="0" collapsed="false">
      <c r="A408" s="20" t="s">
        <v>1905</v>
      </c>
      <c r="B408" s="21" t="n">
        <v>45680</v>
      </c>
      <c r="C408" s="20" t="s">
        <v>2354</v>
      </c>
      <c r="D408" s="20"/>
      <c r="E408" s="20" t="s">
        <v>2355</v>
      </c>
      <c r="F408" s="20" t="s">
        <v>2356</v>
      </c>
      <c r="G408" s="20"/>
      <c r="H408" s="20"/>
      <c r="I408" s="20"/>
      <c r="J408" s="20" t="s">
        <v>1909</v>
      </c>
      <c r="K408" s="22" t="n">
        <v>24.1</v>
      </c>
      <c r="L408" s="22" t="n">
        <v>21.5</v>
      </c>
      <c r="M408" s="20" t="s">
        <v>81</v>
      </c>
      <c r="N408" s="23" t="s">
        <v>2357</v>
      </c>
      <c r="O408" s="23" t="s">
        <v>1911</v>
      </c>
      <c r="P408" s="23" t="s">
        <v>1912</v>
      </c>
      <c r="Q408" s="23" t="str">
        <f aca="false">IF(A408="UNDATED LEAD","UNRESOLVED",IF(M408="N","EXCEPTION",IF(A408="SKIP",IF(ISNUMBER(SEARCH("_skip_justification.pdf",N408)),"CLEAR - FILE VERIFIED","CLEAR ON EXPORT"),"CLEAR ON LOG")))</f>
        <v>CLEAR ON LOG</v>
      </c>
      <c r="R408" s="23" t="str">
        <f aca="false">IF(Q408="UNRESOLVED","PRIORITY 1 - OBTAIN FILE",IF(Q408&lt;&gt;"EXCEPTION","NONE",IF(OR(AND(A408="LOA AMENDMENT",P408="UNRESOLVED USE"),AND(A408="SKIP",OR(E408="WL-02618",E408="WL-03044",E408="WL-03390"))),"PRIORITY 1",IF(A408="SKIP","PRIORITY 2","PRIORITY 3"))))</f>
        <v>NONE</v>
      </c>
      <c r="S408" s="23" t="s">
        <v>1913</v>
      </c>
      <c r="T408" s="23" t="s">
        <v>2358</v>
      </c>
      <c r="U408" s="23" t="s">
        <v>1915</v>
      </c>
    </row>
    <row r="409" customFormat="false" ht="17.9" hidden="false" customHeight="false" outlineLevel="0" collapsed="false">
      <c r="A409" s="20" t="s">
        <v>1905</v>
      </c>
      <c r="B409" s="21" t="n">
        <v>45687</v>
      </c>
      <c r="C409" s="20" t="s">
        <v>2359</v>
      </c>
      <c r="D409" s="20"/>
      <c r="E409" s="20" t="s">
        <v>2360</v>
      </c>
      <c r="F409" s="20" t="s">
        <v>2361</v>
      </c>
      <c r="G409" s="20"/>
      <c r="H409" s="20"/>
      <c r="I409" s="20"/>
      <c r="J409" s="20" t="s">
        <v>1909</v>
      </c>
      <c r="K409" s="22" t="n">
        <v>49.6</v>
      </c>
      <c r="L409" s="22" t="n">
        <v>48.4</v>
      </c>
      <c r="M409" s="20" t="s">
        <v>81</v>
      </c>
      <c r="N409" s="23" t="s">
        <v>2362</v>
      </c>
      <c r="O409" s="23" t="s">
        <v>1911</v>
      </c>
      <c r="P409" s="23" t="s">
        <v>1912</v>
      </c>
      <c r="Q409" s="23" t="str">
        <f aca="false">IF(A409="UNDATED LEAD","UNRESOLVED",IF(M409="N","EXCEPTION",IF(A409="SKIP",IF(ISNUMBER(SEARCH("_skip_justification.pdf",N409)),"CLEAR - FILE VERIFIED","CLEAR ON EXPORT"),"CLEAR ON LOG")))</f>
        <v>CLEAR ON LOG</v>
      </c>
      <c r="R409" s="23" t="str">
        <f aca="false">IF(Q409="UNRESOLVED","PRIORITY 1 - OBTAIN FILE",IF(Q409&lt;&gt;"EXCEPTION","NONE",IF(OR(AND(A409="LOA AMENDMENT",P409="UNRESOLVED USE"),AND(A409="SKIP",OR(E409="WL-02618",E409="WL-03044",E409="WL-03390"))),"PRIORITY 1",IF(A409="SKIP","PRIORITY 2","PRIORITY 3"))))</f>
        <v>NONE</v>
      </c>
      <c r="S409" s="23" t="s">
        <v>1913</v>
      </c>
      <c r="T409" s="23" t="s">
        <v>2363</v>
      </c>
      <c r="U409" s="23" t="s">
        <v>1915</v>
      </c>
    </row>
    <row r="410" customFormat="false" ht="17.9" hidden="false" customHeight="false" outlineLevel="0" collapsed="false">
      <c r="A410" s="20" t="s">
        <v>1905</v>
      </c>
      <c r="B410" s="21" t="n">
        <v>45710</v>
      </c>
      <c r="C410" s="20" t="s">
        <v>2364</v>
      </c>
      <c r="D410" s="20"/>
      <c r="E410" s="20" t="s">
        <v>2365</v>
      </c>
      <c r="F410" s="20" t="s">
        <v>2366</v>
      </c>
      <c r="G410" s="20"/>
      <c r="H410" s="20"/>
      <c r="I410" s="20"/>
      <c r="J410" s="20" t="s">
        <v>1909</v>
      </c>
      <c r="K410" s="22" t="n">
        <v>31.1</v>
      </c>
      <c r="L410" s="22" t="n">
        <v>29.6</v>
      </c>
      <c r="M410" s="20" t="s">
        <v>81</v>
      </c>
      <c r="N410" s="23" t="s">
        <v>2367</v>
      </c>
      <c r="O410" s="23" t="s">
        <v>1911</v>
      </c>
      <c r="P410" s="23" t="s">
        <v>1912</v>
      </c>
      <c r="Q410" s="23" t="str">
        <f aca="false">IF(A410="UNDATED LEAD","UNRESOLVED",IF(M410="N","EXCEPTION",IF(A410="SKIP",IF(ISNUMBER(SEARCH("_skip_justification.pdf",N410)),"CLEAR - FILE VERIFIED","CLEAR ON EXPORT"),"CLEAR ON LOG")))</f>
        <v>CLEAR ON LOG</v>
      </c>
      <c r="R410" s="23" t="str">
        <f aca="false">IF(Q410="UNRESOLVED","PRIORITY 1 - OBTAIN FILE",IF(Q410&lt;&gt;"EXCEPTION","NONE",IF(OR(AND(A410="LOA AMENDMENT",P410="UNRESOLVED USE"),AND(A410="SKIP",OR(E410="WL-02618",E410="WL-03044",E410="WL-03390"))),"PRIORITY 1",IF(A410="SKIP","PRIORITY 2","PRIORITY 3"))))</f>
        <v>NONE</v>
      </c>
      <c r="S410" s="23" t="s">
        <v>1913</v>
      </c>
      <c r="T410" s="23" t="s">
        <v>2368</v>
      </c>
      <c r="U410" s="23" t="s">
        <v>1915</v>
      </c>
    </row>
    <row r="411" customFormat="false" ht="17.9" hidden="false" customHeight="false" outlineLevel="0" collapsed="false">
      <c r="A411" s="20" t="s">
        <v>1905</v>
      </c>
      <c r="B411" s="21" t="n">
        <v>45716</v>
      </c>
      <c r="C411" s="20" t="s">
        <v>2369</v>
      </c>
      <c r="D411" s="20"/>
      <c r="E411" s="20" t="s">
        <v>2370</v>
      </c>
      <c r="F411" s="20" t="s">
        <v>2371</v>
      </c>
      <c r="G411" s="20"/>
      <c r="H411" s="20"/>
      <c r="I411" s="20"/>
      <c r="J411" s="20" t="s">
        <v>1909</v>
      </c>
      <c r="K411" s="22" t="n">
        <v>29.6</v>
      </c>
      <c r="L411" s="22" t="n">
        <v>27.6</v>
      </c>
      <c r="M411" s="20" t="s">
        <v>81</v>
      </c>
      <c r="N411" s="23" t="s">
        <v>2372</v>
      </c>
      <c r="O411" s="23" t="s">
        <v>1911</v>
      </c>
      <c r="P411" s="23" t="s">
        <v>1912</v>
      </c>
      <c r="Q411" s="23" t="str">
        <f aca="false">IF(A411="UNDATED LEAD","UNRESOLVED",IF(M411="N","EXCEPTION",IF(A411="SKIP",IF(ISNUMBER(SEARCH("_skip_justification.pdf",N411)),"CLEAR - FILE VERIFIED","CLEAR ON EXPORT"),"CLEAR ON LOG")))</f>
        <v>CLEAR ON LOG</v>
      </c>
      <c r="R411" s="23" t="str">
        <f aca="false">IF(Q411="UNRESOLVED","PRIORITY 1 - OBTAIN FILE",IF(Q411&lt;&gt;"EXCEPTION","NONE",IF(OR(AND(A411="LOA AMENDMENT",P411="UNRESOLVED USE"),AND(A411="SKIP",OR(E411="WL-02618",E411="WL-03044",E411="WL-03390"))),"PRIORITY 1",IF(A411="SKIP","PRIORITY 2","PRIORITY 3"))))</f>
        <v>NONE</v>
      </c>
      <c r="S411" s="23" t="s">
        <v>1913</v>
      </c>
      <c r="T411" s="23" t="s">
        <v>2373</v>
      </c>
      <c r="U411" s="23" t="s">
        <v>1915</v>
      </c>
    </row>
    <row r="412" customFormat="false" ht="17.9" hidden="false" customHeight="false" outlineLevel="0" collapsed="false">
      <c r="A412" s="20" t="s">
        <v>1905</v>
      </c>
      <c r="B412" s="21" t="n">
        <v>45725</v>
      </c>
      <c r="C412" s="20" t="s">
        <v>2374</v>
      </c>
      <c r="D412" s="20"/>
      <c r="E412" s="20" t="s">
        <v>2375</v>
      </c>
      <c r="F412" s="20" t="s">
        <v>2376</v>
      </c>
      <c r="G412" s="20"/>
      <c r="H412" s="20"/>
      <c r="I412" s="20"/>
      <c r="J412" s="20" t="s">
        <v>1909</v>
      </c>
      <c r="K412" s="22" t="n">
        <v>26.7</v>
      </c>
      <c r="L412" s="22" t="n">
        <v>29.1</v>
      </c>
      <c r="M412" s="20" t="s">
        <v>81</v>
      </c>
      <c r="N412" s="23" t="s">
        <v>2377</v>
      </c>
      <c r="O412" s="23" t="s">
        <v>1911</v>
      </c>
      <c r="P412" s="23" t="s">
        <v>1912</v>
      </c>
      <c r="Q412" s="23" t="str">
        <f aca="false">IF(A412="UNDATED LEAD","UNRESOLVED",IF(M412="N","EXCEPTION",IF(A412="SKIP",IF(ISNUMBER(SEARCH("_skip_justification.pdf",N412)),"CLEAR - FILE VERIFIED","CLEAR ON EXPORT"),"CLEAR ON LOG")))</f>
        <v>CLEAR ON LOG</v>
      </c>
      <c r="R412" s="23" t="str">
        <f aca="false">IF(Q412="UNRESOLVED","PRIORITY 1 - OBTAIN FILE",IF(Q412&lt;&gt;"EXCEPTION","NONE",IF(OR(AND(A412="LOA AMENDMENT",P412="UNRESOLVED USE"),AND(A412="SKIP",OR(E412="WL-02618",E412="WL-03044",E412="WL-03390"))),"PRIORITY 1",IF(A412="SKIP","PRIORITY 2","PRIORITY 3"))))</f>
        <v>NONE</v>
      </c>
      <c r="S412" s="23" t="s">
        <v>1913</v>
      </c>
      <c r="T412" s="23" t="s">
        <v>2378</v>
      </c>
      <c r="U412" s="23" t="s">
        <v>1915</v>
      </c>
    </row>
    <row r="413" customFormat="false" ht="17.9" hidden="false" customHeight="false" outlineLevel="0" collapsed="false">
      <c r="A413" s="20" t="s">
        <v>1905</v>
      </c>
      <c r="B413" s="21" t="n">
        <v>45731</v>
      </c>
      <c r="C413" s="20" t="s">
        <v>2379</v>
      </c>
      <c r="D413" s="20"/>
      <c r="E413" s="20" t="s">
        <v>2295</v>
      </c>
      <c r="F413" s="20" t="s">
        <v>2296</v>
      </c>
      <c r="G413" s="20"/>
      <c r="H413" s="20"/>
      <c r="I413" s="20"/>
      <c r="J413" s="20" t="s">
        <v>1909</v>
      </c>
      <c r="K413" s="22" t="n">
        <v>33.7</v>
      </c>
      <c r="L413" s="22" t="n">
        <v>36.3</v>
      </c>
      <c r="M413" s="20" t="s">
        <v>81</v>
      </c>
      <c r="N413" s="23" t="s">
        <v>2380</v>
      </c>
      <c r="O413" s="23" t="s">
        <v>1911</v>
      </c>
      <c r="P413" s="23" t="s">
        <v>1912</v>
      </c>
      <c r="Q413" s="23" t="str">
        <f aca="false">IF(A413="UNDATED LEAD","UNRESOLVED",IF(M413="N","EXCEPTION",IF(A413="SKIP",IF(ISNUMBER(SEARCH("_skip_justification.pdf",N413)),"CLEAR - FILE VERIFIED","CLEAR ON EXPORT"),"CLEAR ON LOG")))</f>
        <v>CLEAR ON LOG</v>
      </c>
      <c r="R413" s="23" t="str">
        <f aca="false">IF(Q413="UNRESOLVED","PRIORITY 1 - OBTAIN FILE",IF(Q413&lt;&gt;"EXCEPTION","NONE",IF(OR(AND(A413="LOA AMENDMENT",P413="UNRESOLVED USE"),AND(A413="SKIP",OR(E413="WL-02618",E413="WL-03044",E413="WL-03390"))),"PRIORITY 1",IF(A413="SKIP","PRIORITY 2","PRIORITY 3"))))</f>
        <v>NONE</v>
      </c>
      <c r="S413" s="23" t="s">
        <v>1913</v>
      </c>
      <c r="T413" s="23" t="s">
        <v>2381</v>
      </c>
      <c r="U413" s="23" t="s">
        <v>1915</v>
      </c>
    </row>
    <row r="414" customFormat="false" ht="17.9" hidden="false" customHeight="false" outlineLevel="0" collapsed="false">
      <c r="A414" s="20" t="s">
        <v>1905</v>
      </c>
      <c r="B414" s="21" t="n">
        <v>45742</v>
      </c>
      <c r="C414" s="20" t="s">
        <v>2382</v>
      </c>
      <c r="D414" s="20"/>
      <c r="E414" s="20" t="s">
        <v>2383</v>
      </c>
      <c r="F414" s="20" t="s">
        <v>2384</v>
      </c>
      <c r="G414" s="20"/>
      <c r="H414" s="20"/>
      <c r="I414" s="20"/>
      <c r="J414" s="20" t="s">
        <v>1909</v>
      </c>
      <c r="K414" s="22" t="n">
        <v>20.5</v>
      </c>
      <c r="L414" s="22" t="n">
        <v>20.8</v>
      </c>
      <c r="M414" s="20" t="s">
        <v>81</v>
      </c>
      <c r="N414" s="23" t="s">
        <v>2385</v>
      </c>
      <c r="O414" s="23" t="s">
        <v>1911</v>
      </c>
      <c r="P414" s="23" t="s">
        <v>1912</v>
      </c>
      <c r="Q414" s="23" t="str">
        <f aca="false">IF(A414="UNDATED LEAD","UNRESOLVED",IF(M414="N","EXCEPTION",IF(A414="SKIP",IF(ISNUMBER(SEARCH("_skip_justification.pdf",N414)),"CLEAR - FILE VERIFIED","CLEAR ON EXPORT"),"CLEAR ON LOG")))</f>
        <v>CLEAR ON LOG</v>
      </c>
      <c r="R414" s="23" t="str">
        <f aca="false">IF(Q414="UNRESOLVED","PRIORITY 1 - OBTAIN FILE",IF(Q414&lt;&gt;"EXCEPTION","NONE",IF(OR(AND(A414="LOA AMENDMENT",P414="UNRESOLVED USE"),AND(A414="SKIP",OR(E414="WL-02618",E414="WL-03044",E414="WL-03390"))),"PRIORITY 1",IF(A414="SKIP","PRIORITY 2","PRIORITY 3"))))</f>
        <v>NONE</v>
      </c>
      <c r="S414" s="23" t="s">
        <v>1913</v>
      </c>
      <c r="T414" s="23" t="s">
        <v>2386</v>
      </c>
      <c r="U414" s="23" t="s">
        <v>1915</v>
      </c>
    </row>
    <row r="415" customFormat="false" ht="17.9" hidden="false" customHeight="false" outlineLevel="0" collapsed="false">
      <c r="A415" s="20" t="s">
        <v>1905</v>
      </c>
      <c r="B415" s="21" t="n">
        <v>45745</v>
      </c>
      <c r="C415" s="20" t="s">
        <v>2387</v>
      </c>
      <c r="D415" s="20"/>
      <c r="E415" s="20" t="s">
        <v>2388</v>
      </c>
      <c r="F415" s="20" t="s">
        <v>2389</v>
      </c>
      <c r="G415" s="20"/>
      <c r="H415" s="20"/>
      <c r="I415" s="20"/>
      <c r="J415" s="20" t="s">
        <v>1909</v>
      </c>
      <c r="K415" s="22" t="n">
        <v>38</v>
      </c>
      <c r="L415" s="22" t="n">
        <v>38.8</v>
      </c>
      <c r="M415" s="20" t="s">
        <v>81</v>
      </c>
      <c r="N415" s="23" t="s">
        <v>2390</v>
      </c>
      <c r="O415" s="23" t="s">
        <v>1911</v>
      </c>
      <c r="P415" s="23" t="s">
        <v>1912</v>
      </c>
      <c r="Q415" s="23" t="str">
        <f aca="false">IF(A415="UNDATED LEAD","UNRESOLVED",IF(M415="N","EXCEPTION",IF(A415="SKIP",IF(ISNUMBER(SEARCH("_skip_justification.pdf",N415)),"CLEAR - FILE VERIFIED","CLEAR ON EXPORT"),"CLEAR ON LOG")))</f>
        <v>CLEAR ON LOG</v>
      </c>
      <c r="R415" s="23" t="str">
        <f aca="false">IF(Q415="UNRESOLVED","PRIORITY 1 - OBTAIN FILE",IF(Q415&lt;&gt;"EXCEPTION","NONE",IF(OR(AND(A415="LOA AMENDMENT",P415="UNRESOLVED USE"),AND(A415="SKIP",OR(E415="WL-02618",E415="WL-03044",E415="WL-03390"))),"PRIORITY 1",IF(A415="SKIP","PRIORITY 2","PRIORITY 3"))))</f>
        <v>NONE</v>
      </c>
      <c r="S415" s="23" t="s">
        <v>1913</v>
      </c>
      <c r="T415" s="23" t="s">
        <v>2391</v>
      </c>
      <c r="U415" s="23" t="s">
        <v>1915</v>
      </c>
    </row>
    <row r="416" customFormat="false" ht="17.9" hidden="false" customHeight="false" outlineLevel="0" collapsed="false">
      <c r="A416" s="20" t="s">
        <v>1905</v>
      </c>
      <c r="B416" s="21" t="n">
        <v>45746</v>
      </c>
      <c r="C416" s="20" t="s">
        <v>2392</v>
      </c>
      <c r="D416" s="20"/>
      <c r="E416" s="20" t="s">
        <v>2393</v>
      </c>
      <c r="F416" s="20" t="s">
        <v>2394</v>
      </c>
      <c r="G416" s="20"/>
      <c r="H416" s="20"/>
      <c r="I416" s="20"/>
      <c r="J416" s="20" t="s">
        <v>1909</v>
      </c>
      <c r="K416" s="22" t="n">
        <v>32.9</v>
      </c>
      <c r="L416" s="22" t="n">
        <v>32.4</v>
      </c>
      <c r="M416" s="20" t="s">
        <v>81</v>
      </c>
      <c r="N416" s="23" t="s">
        <v>2395</v>
      </c>
      <c r="O416" s="23" t="s">
        <v>1911</v>
      </c>
      <c r="P416" s="23" t="s">
        <v>1912</v>
      </c>
      <c r="Q416" s="23" t="str">
        <f aca="false">IF(A416="UNDATED LEAD","UNRESOLVED",IF(M416="N","EXCEPTION",IF(A416="SKIP",IF(ISNUMBER(SEARCH("_skip_justification.pdf",N416)),"CLEAR - FILE VERIFIED","CLEAR ON EXPORT"),"CLEAR ON LOG")))</f>
        <v>CLEAR ON LOG</v>
      </c>
      <c r="R416" s="23" t="str">
        <f aca="false">IF(Q416="UNRESOLVED","PRIORITY 1 - OBTAIN FILE",IF(Q416&lt;&gt;"EXCEPTION","NONE",IF(OR(AND(A416="LOA AMENDMENT",P416="UNRESOLVED USE"),AND(A416="SKIP",OR(E416="WL-02618",E416="WL-03044",E416="WL-03390"))),"PRIORITY 1",IF(A416="SKIP","PRIORITY 2","PRIORITY 3"))))</f>
        <v>NONE</v>
      </c>
      <c r="S416" s="23" t="s">
        <v>1913</v>
      </c>
      <c r="T416" s="23" t="s">
        <v>2396</v>
      </c>
      <c r="U416" s="23" t="s">
        <v>1915</v>
      </c>
    </row>
    <row r="417" customFormat="false" ht="17.9" hidden="false" customHeight="false" outlineLevel="0" collapsed="false">
      <c r="A417" s="20" t="s">
        <v>1905</v>
      </c>
      <c r="B417" s="21" t="n">
        <v>45747</v>
      </c>
      <c r="C417" s="20" t="s">
        <v>2397</v>
      </c>
      <c r="D417" s="20"/>
      <c r="E417" s="20" t="s">
        <v>876</v>
      </c>
      <c r="F417" s="20" t="s">
        <v>877</v>
      </c>
      <c r="G417" s="20"/>
      <c r="H417" s="20"/>
      <c r="I417" s="20"/>
      <c r="J417" s="20" t="s">
        <v>1909</v>
      </c>
      <c r="K417" s="22" t="n">
        <v>33</v>
      </c>
      <c r="L417" s="22" t="n">
        <v>32.2</v>
      </c>
      <c r="M417" s="20" t="s">
        <v>81</v>
      </c>
      <c r="N417" s="23" t="s">
        <v>2398</v>
      </c>
      <c r="O417" s="23" t="s">
        <v>1911</v>
      </c>
      <c r="P417" s="23" t="s">
        <v>1912</v>
      </c>
      <c r="Q417" s="23" t="str">
        <f aca="false">IF(A417="UNDATED LEAD","UNRESOLVED",IF(M417="N","EXCEPTION",IF(A417="SKIP",IF(ISNUMBER(SEARCH("_skip_justification.pdf",N417)),"CLEAR - FILE VERIFIED","CLEAR ON EXPORT"),"CLEAR ON LOG")))</f>
        <v>CLEAR ON LOG</v>
      </c>
      <c r="R417" s="23" t="str">
        <f aca="false">IF(Q417="UNRESOLVED","PRIORITY 1 - OBTAIN FILE",IF(Q417&lt;&gt;"EXCEPTION","NONE",IF(OR(AND(A417="LOA AMENDMENT",P417="UNRESOLVED USE"),AND(A417="SKIP",OR(E417="WL-02618",E417="WL-03044",E417="WL-03390"))),"PRIORITY 1",IF(A417="SKIP","PRIORITY 2","PRIORITY 3"))))</f>
        <v>NONE</v>
      </c>
      <c r="S417" s="23" t="s">
        <v>1913</v>
      </c>
      <c r="T417" s="23" t="s">
        <v>2399</v>
      </c>
      <c r="U417" s="23" t="s">
        <v>1915</v>
      </c>
    </row>
    <row r="418" customFormat="false" ht="17.9" hidden="false" customHeight="false" outlineLevel="0" collapsed="false">
      <c r="A418" s="20" t="s">
        <v>1905</v>
      </c>
      <c r="B418" s="21" t="n">
        <v>45748</v>
      </c>
      <c r="C418" s="20" t="s">
        <v>2400</v>
      </c>
      <c r="D418" s="20"/>
      <c r="E418" s="20" t="s">
        <v>2401</v>
      </c>
      <c r="F418" s="20" t="s">
        <v>2402</v>
      </c>
      <c r="G418" s="20"/>
      <c r="H418" s="20"/>
      <c r="I418" s="20"/>
      <c r="J418" s="20" t="s">
        <v>1909</v>
      </c>
      <c r="K418" s="22" t="n">
        <v>48.5</v>
      </c>
      <c r="L418" s="22" t="n">
        <v>46.4</v>
      </c>
      <c r="M418" s="20" t="s">
        <v>81</v>
      </c>
      <c r="N418" s="23" t="s">
        <v>2403</v>
      </c>
      <c r="O418" s="23" t="s">
        <v>1911</v>
      </c>
      <c r="P418" s="23" t="s">
        <v>1912</v>
      </c>
      <c r="Q418" s="23" t="str">
        <f aca="false">IF(A418="UNDATED LEAD","UNRESOLVED",IF(M418="N","EXCEPTION",IF(A418="SKIP",IF(ISNUMBER(SEARCH("_skip_justification.pdf",N418)),"CLEAR - FILE VERIFIED","CLEAR ON EXPORT"),"CLEAR ON LOG")))</f>
        <v>CLEAR ON LOG</v>
      </c>
      <c r="R418" s="23" t="str">
        <f aca="false">IF(Q418="UNRESOLVED","PRIORITY 1 - OBTAIN FILE",IF(Q418&lt;&gt;"EXCEPTION","NONE",IF(OR(AND(A418="LOA AMENDMENT",P418="UNRESOLVED USE"),AND(A418="SKIP",OR(E418="WL-02618",E418="WL-03044",E418="WL-03390"))),"PRIORITY 1",IF(A418="SKIP","PRIORITY 2","PRIORITY 3"))))</f>
        <v>NONE</v>
      </c>
      <c r="S418" s="23" t="s">
        <v>1913</v>
      </c>
      <c r="T418" s="23" t="s">
        <v>2404</v>
      </c>
      <c r="U418" s="23" t="s">
        <v>1915</v>
      </c>
    </row>
    <row r="419" customFormat="false" ht="17.9" hidden="false" customHeight="false" outlineLevel="0" collapsed="false">
      <c r="A419" s="20" t="s">
        <v>1905</v>
      </c>
      <c r="B419" s="21" t="n">
        <v>45756</v>
      </c>
      <c r="C419" s="20" t="s">
        <v>2405</v>
      </c>
      <c r="D419" s="20"/>
      <c r="E419" s="20" t="s">
        <v>2406</v>
      </c>
      <c r="F419" s="20" t="s">
        <v>2407</v>
      </c>
      <c r="G419" s="20"/>
      <c r="H419" s="20"/>
      <c r="I419" s="20"/>
      <c r="J419" s="20" t="s">
        <v>1909</v>
      </c>
      <c r="K419" s="22" t="n">
        <v>28</v>
      </c>
      <c r="L419" s="22" t="n">
        <v>28.8</v>
      </c>
      <c r="M419" s="20" t="s">
        <v>81</v>
      </c>
      <c r="N419" s="23" t="s">
        <v>2408</v>
      </c>
      <c r="O419" s="23" t="s">
        <v>1911</v>
      </c>
      <c r="P419" s="23" t="s">
        <v>1912</v>
      </c>
      <c r="Q419" s="23" t="str">
        <f aca="false">IF(A419="UNDATED LEAD","UNRESOLVED",IF(M419="N","EXCEPTION",IF(A419="SKIP",IF(ISNUMBER(SEARCH("_skip_justification.pdf",N419)),"CLEAR - FILE VERIFIED","CLEAR ON EXPORT"),"CLEAR ON LOG")))</f>
        <v>CLEAR ON LOG</v>
      </c>
      <c r="R419" s="23" t="str">
        <f aca="false">IF(Q419="UNRESOLVED","PRIORITY 1 - OBTAIN FILE",IF(Q419&lt;&gt;"EXCEPTION","NONE",IF(OR(AND(A419="LOA AMENDMENT",P419="UNRESOLVED USE"),AND(A419="SKIP",OR(E419="WL-02618",E419="WL-03044",E419="WL-03390"))),"PRIORITY 1",IF(A419="SKIP","PRIORITY 2","PRIORITY 3"))))</f>
        <v>NONE</v>
      </c>
      <c r="S419" s="23" t="s">
        <v>1913</v>
      </c>
      <c r="T419" s="23" t="s">
        <v>2409</v>
      </c>
      <c r="U419" s="23" t="s">
        <v>1915</v>
      </c>
    </row>
    <row r="420" customFormat="false" ht="17.9" hidden="false" customHeight="false" outlineLevel="0" collapsed="false">
      <c r="A420" s="20" t="s">
        <v>1905</v>
      </c>
      <c r="B420" s="21" t="n">
        <v>45765</v>
      </c>
      <c r="C420" s="20" t="s">
        <v>2410</v>
      </c>
      <c r="D420" s="20"/>
      <c r="E420" s="20" t="s">
        <v>2411</v>
      </c>
      <c r="F420" s="20" t="s">
        <v>2412</v>
      </c>
      <c r="G420" s="20"/>
      <c r="H420" s="20"/>
      <c r="I420" s="20"/>
      <c r="J420" s="20" t="s">
        <v>1909</v>
      </c>
      <c r="K420" s="22" t="n">
        <v>48.4</v>
      </c>
      <c r="L420" s="22" t="n">
        <v>48.5</v>
      </c>
      <c r="M420" s="20" t="s">
        <v>81</v>
      </c>
      <c r="N420" s="23" t="s">
        <v>2413</v>
      </c>
      <c r="O420" s="23" t="s">
        <v>1911</v>
      </c>
      <c r="P420" s="23" t="s">
        <v>1912</v>
      </c>
      <c r="Q420" s="23" t="str">
        <f aca="false">IF(A420="UNDATED LEAD","UNRESOLVED",IF(M420="N","EXCEPTION",IF(A420="SKIP",IF(ISNUMBER(SEARCH("_skip_justification.pdf",N420)),"CLEAR - FILE VERIFIED","CLEAR ON EXPORT"),"CLEAR ON LOG")))</f>
        <v>CLEAR ON LOG</v>
      </c>
      <c r="R420" s="23" t="str">
        <f aca="false">IF(Q420="UNRESOLVED","PRIORITY 1 - OBTAIN FILE",IF(Q420&lt;&gt;"EXCEPTION","NONE",IF(OR(AND(A420="LOA AMENDMENT",P420="UNRESOLVED USE"),AND(A420="SKIP",OR(E420="WL-02618",E420="WL-03044",E420="WL-03390"))),"PRIORITY 1",IF(A420="SKIP","PRIORITY 2","PRIORITY 3"))))</f>
        <v>NONE</v>
      </c>
      <c r="S420" s="23" t="s">
        <v>1913</v>
      </c>
      <c r="T420" s="23" t="s">
        <v>2414</v>
      </c>
      <c r="U420" s="23" t="s">
        <v>1915</v>
      </c>
    </row>
    <row r="421" customFormat="false" ht="17.9" hidden="false" customHeight="false" outlineLevel="0" collapsed="false">
      <c r="A421" s="20" t="s">
        <v>1905</v>
      </c>
      <c r="B421" s="21" t="n">
        <v>45770</v>
      </c>
      <c r="C421" s="20" t="s">
        <v>2415</v>
      </c>
      <c r="D421" s="20"/>
      <c r="E421" s="20" t="s">
        <v>2416</v>
      </c>
      <c r="F421" s="20" t="s">
        <v>2417</v>
      </c>
      <c r="G421" s="20"/>
      <c r="H421" s="20"/>
      <c r="I421" s="20"/>
      <c r="J421" s="20" t="s">
        <v>1909</v>
      </c>
      <c r="K421" s="22" t="n">
        <v>33.9</v>
      </c>
      <c r="L421" s="22" t="n">
        <v>34.4</v>
      </c>
      <c r="M421" s="20" t="s">
        <v>81</v>
      </c>
      <c r="N421" s="23" t="s">
        <v>2418</v>
      </c>
      <c r="O421" s="23" t="s">
        <v>1911</v>
      </c>
      <c r="P421" s="23" t="s">
        <v>1912</v>
      </c>
      <c r="Q421" s="23" t="str">
        <f aca="false">IF(A421="UNDATED LEAD","UNRESOLVED",IF(M421="N","EXCEPTION",IF(A421="SKIP",IF(ISNUMBER(SEARCH("_skip_justification.pdf",N421)),"CLEAR - FILE VERIFIED","CLEAR ON EXPORT"),"CLEAR ON LOG")))</f>
        <v>CLEAR ON LOG</v>
      </c>
      <c r="R421" s="23" t="str">
        <f aca="false">IF(Q421="UNRESOLVED","PRIORITY 1 - OBTAIN FILE",IF(Q421&lt;&gt;"EXCEPTION","NONE",IF(OR(AND(A421="LOA AMENDMENT",P421="UNRESOLVED USE"),AND(A421="SKIP",OR(E421="WL-02618",E421="WL-03044",E421="WL-03390"))),"PRIORITY 1",IF(A421="SKIP","PRIORITY 2","PRIORITY 3"))))</f>
        <v>NONE</v>
      </c>
      <c r="S421" s="23" t="s">
        <v>1913</v>
      </c>
      <c r="T421" s="23" t="s">
        <v>2419</v>
      </c>
      <c r="U421" s="23" t="s">
        <v>1915</v>
      </c>
    </row>
    <row r="422" customFormat="false" ht="17.9" hidden="false" customHeight="false" outlineLevel="0" collapsed="false">
      <c r="A422" s="20" t="s">
        <v>1905</v>
      </c>
      <c r="B422" s="21" t="n">
        <v>45770</v>
      </c>
      <c r="C422" s="20" t="s">
        <v>2420</v>
      </c>
      <c r="D422" s="20"/>
      <c r="E422" s="20" t="s">
        <v>2421</v>
      </c>
      <c r="F422" s="20" t="s">
        <v>2422</v>
      </c>
      <c r="G422" s="20"/>
      <c r="H422" s="20"/>
      <c r="I422" s="20"/>
      <c r="J422" s="20" t="s">
        <v>1909</v>
      </c>
      <c r="K422" s="22" t="n">
        <v>25.5</v>
      </c>
      <c r="L422" s="22" t="n">
        <v>27</v>
      </c>
      <c r="M422" s="20" t="s">
        <v>81</v>
      </c>
      <c r="N422" s="23" t="s">
        <v>2423</v>
      </c>
      <c r="O422" s="23" t="s">
        <v>1911</v>
      </c>
      <c r="P422" s="23" t="s">
        <v>1912</v>
      </c>
      <c r="Q422" s="23" t="str">
        <f aca="false">IF(A422="UNDATED LEAD","UNRESOLVED",IF(M422="N","EXCEPTION",IF(A422="SKIP",IF(ISNUMBER(SEARCH("_skip_justification.pdf",N422)),"CLEAR - FILE VERIFIED","CLEAR ON EXPORT"),"CLEAR ON LOG")))</f>
        <v>CLEAR ON LOG</v>
      </c>
      <c r="R422" s="23" t="str">
        <f aca="false">IF(Q422="UNRESOLVED","PRIORITY 1 - OBTAIN FILE",IF(Q422&lt;&gt;"EXCEPTION","NONE",IF(OR(AND(A422="LOA AMENDMENT",P422="UNRESOLVED USE"),AND(A422="SKIP",OR(E422="WL-02618",E422="WL-03044",E422="WL-03390"))),"PRIORITY 1",IF(A422="SKIP","PRIORITY 2","PRIORITY 3"))))</f>
        <v>NONE</v>
      </c>
      <c r="S422" s="23" t="s">
        <v>1913</v>
      </c>
      <c r="T422" s="23" t="s">
        <v>2424</v>
      </c>
      <c r="U422" s="23" t="s">
        <v>1915</v>
      </c>
    </row>
    <row r="423" customFormat="false" ht="17.9" hidden="false" customHeight="false" outlineLevel="0" collapsed="false">
      <c r="A423" s="20" t="s">
        <v>1905</v>
      </c>
      <c r="B423" s="21" t="n">
        <v>45773</v>
      </c>
      <c r="C423" s="20" t="s">
        <v>2425</v>
      </c>
      <c r="D423" s="20"/>
      <c r="E423" s="20" t="s">
        <v>2426</v>
      </c>
      <c r="F423" s="20" t="s">
        <v>2427</v>
      </c>
      <c r="G423" s="20"/>
      <c r="H423" s="20"/>
      <c r="I423" s="20"/>
      <c r="J423" s="20" t="s">
        <v>1909</v>
      </c>
      <c r="K423" s="22" t="n">
        <v>33.2</v>
      </c>
      <c r="L423" s="22" t="n">
        <v>31.7</v>
      </c>
      <c r="M423" s="20" t="s">
        <v>81</v>
      </c>
      <c r="N423" s="23" t="s">
        <v>2428</v>
      </c>
      <c r="O423" s="23" t="s">
        <v>1911</v>
      </c>
      <c r="P423" s="23" t="s">
        <v>1912</v>
      </c>
      <c r="Q423" s="23" t="str">
        <f aca="false">IF(A423="UNDATED LEAD","UNRESOLVED",IF(M423="N","EXCEPTION",IF(A423="SKIP",IF(ISNUMBER(SEARCH("_skip_justification.pdf",N423)),"CLEAR - FILE VERIFIED","CLEAR ON EXPORT"),"CLEAR ON LOG")))</f>
        <v>CLEAR ON LOG</v>
      </c>
      <c r="R423" s="23" t="str">
        <f aca="false">IF(Q423="UNRESOLVED","PRIORITY 1 - OBTAIN FILE",IF(Q423&lt;&gt;"EXCEPTION","NONE",IF(OR(AND(A423="LOA AMENDMENT",P423="UNRESOLVED USE"),AND(A423="SKIP",OR(E423="WL-02618",E423="WL-03044",E423="WL-03390"))),"PRIORITY 1",IF(A423="SKIP","PRIORITY 2","PRIORITY 3"))))</f>
        <v>NONE</v>
      </c>
      <c r="S423" s="23" t="s">
        <v>1913</v>
      </c>
      <c r="T423" s="23" t="s">
        <v>2429</v>
      </c>
      <c r="U423" s="23" t="s">
        <v>1915</v>
      </c>
    </row>
    <row r="424" customFormat="false" ht="17.9" hidden="false" customHeight="false" outlineLevel="0" collapsed="false">
      <c r="A424" s="20" t="s">
        <v>1905</v>
      </c>
      <c r="B424" s="21" t="n">
        <v>45775</v>
      </c>
      <c r="C424" s="20" t="s">
        <v>2430</v>
      </c>
      <c r="D424" s="20"/>
      <c r="E424" s="20" t="s">
        <v>2431</v>
      </c>
      <c r="F424" s="20" t="s">
        <v>2432</v>
      </c>
      <c r="G424" s="20"/>
      <c r="H424" s="20"/>
      <c r="I424" s="20"/>
      <c r="J424" s="20" t="s">
        <v>1909</v>
      </c>
      <c r="K424" s="22" t="n">
        <v>20.7</v>
      </c>
      <c r="L424" s="22" t="n">
        <v>18.1</v>
      </c>
      <c r="M424" s="20" t="s">
        <v>81</v>
      </c>
      <c r="N424" s="23" t="s">
        <v>2433</v>
      </c>
      <c r="O424" s="23" t="s">
        <v>1911</v>
      </c>
      <c r="P424" s="23" t="s">
        <v>1912</v>
      </c>
      <c r="Q424" s="23" t="str">
        <f aca="false">IF(A424="UNDATED LEAD","UNRESOLVED",IF(M424="N","EXCEPTION",IF(A424="SKIP",IF(ISNUMBER(SEARCH("_skip_justification.pdf",N424)),"CLEAR - FILE VERIFIED","CLEAR ON EXPORT"),"CLEAR ON LOG")))</f>
        <v>CLEAR ON LOG</v>
      </c>
      <c r="R424" s="23" t="str">
        <f aca="false">IF(Q424="UNRESOLVED","PRIORITY 1 - OBTAIN FILE",IF(Q424&lt;&gt;"EXCEPTION","NONE",IF(OR(AND(A424="LOA AMENDMENT",P424="UNRESOLVED USE"),AND(A424="SKIP",OR(E424="WL-02618",E424="WL-03044",E424="WL-03390"))),"PRIORITY 1",IF(A424="SKIP","PRIORITY 2","PRIORITY 3"))))</f>
        <v>NONE</v>
      </c>
      <c r="S424" s="23" t="s">
        <v>1913</v>
      </c>
      <c r="T424" s="23" t="s">
        <v>2434</v>
      </c>
      <c r="U424" s="23" t="s">
        <v>1915</v>
      </c>
    </row>
    <row r="425" customFormat="false" ht="17.9" hidden="false" customHeight="false" outlineLevel="0" collapsed="false">
      <c r="A425" s="20" t="s">
        <v>1905</v>
      </c>
      <c r="B425" s="21" t="n">
        <v>45778</v>
      </c>
      <c r="C425" s="20" t="s">
        <v>2435</v>
      </c>
      <c r="D425" s="20"/>
      <c r="E425" s="20" t="s">
        <v>2436</v>
      </c>
      <c r="F425" s="20" t="s">
        <v>2437</v>
      </c>
      <c r="G425" s="20"/>
      <c r="H425" s="20"/>
      <c r="I425" s="20"/>
      <c r="J425" s="20" t="s">
        <v>1909</v>
      </c>
      <c r="K425" s="22" t="n">
        <v>40.9</v>
      </c>
      <c r="L425" s="22" t="n">
        <v>40.4</v>
      </c>
      <c r="M425" s="20" t="s">
        <v>81</v>
      </c>
      <c r="N425" s="23" t="s">
        <v>2438</v>
      </c>
      <c r="O425" s="23" t="s">
        <v>1911</v>
      </c>
      <c r="P425" s="23" t="s">
        <v>1912</v>
      </c>
      <c r="Q425" s="23" t="str">
        <f aca="false">IF(A425="UNDATED LEAD","UNRESOLVED",IF(M425="N","EXCEPTION",IF(A425="SKIP",IF(ISNUMBER(SEARCH("_skip_justification.pdf",N425)),"CLEAR - FILE VERIFIED","CLEAR ON EXPORT"),"CLEAR ON LOG")))</f>
        <v>CLEAR ON LOG</v>
      </c>
      <c r="R425" s="23" t="str">
        <f aca="false">IF(Q425="UNRESOLVED","PRIORITY 1 - OBTAIN FILE",IF(Q425&lt;&gt;"EXCEPTION","NONE",IF(OR(AND(A425="LOA AMENDMENT",P425="UNRESOLVED USE"),AND(A425="SKIP",OR(E425="WL-02618",E425="WL-03044",E425="WL-03390"))),"PRIORITY 1",IF(A425="SKIP","PRIORITY 2","PRIORITY 3"))))</f>
        <v>NONE</v>
      </c>
      <c r="S425" s="23" t="s">
        <v>1913</v>
      </c>
      <c r="T425" s="23" t="s">
        <v>2439</v>
      </c>
      <c r="U425" s="23" t="s">
        <v>1915</v>
      </c>
    </row>
    <row r="426" customFormat="false" ht="17.9" hidden="false" customHeight="false" outlineLevel="0" collapsed="false">
      <c r="A426" s="20" t="s">
        <v>1905</v>
      </c>
      <c r="B426" s="21" t="n">
        <v>45783</v>
      </c>
      <c r="C426" s="20" t="s">
        <v>2440</v>
      </c>
      <c r="D426" s="20"/>
      <c r="E426" s="20" t="s">
        <v>1201</v>
      </c>
      <c r="F426" s="20" t="s">
        <v>1202</v>
      </c>
      <c r="G426" s="20"/>
      <c r="H426" s="20"/>
      <c r="I426" s="20"/>
      <c r="J426" s="20" t="s">
        <v>1909</v>
      </c>
      <c r="K426" s="22" t="n">
        <v>41.9</v>
      </c>
      <c r="L426" s="22" t="n">
        <v>43</v>
      </c>
      <c r="M426" s="20" t="s">
        <v>81</v>
      </c>
      <c r="N426" s="23" t="s">
        <v>2441</v>
      </c>
      <c r="O426" s="23" t="s">
        <v>1911</v>
      </c>
      <c r="P426" s="23" t="s">
        <v>1912</v>
      </c>
      <c r="Q426" s="23" t="str">
        <f aca="false">IF(A426="UNDATED LEAD","UNRESOLVED",IF(M426="N","EXCEPTION",IF(A426="SKIP",IF(ISNUMBER(SEARCH("_skip_justification.pdf",N426)),"CLEAR - FILE VERIFIED","CLEAR ON EXPORT"),"CLEAR ON LOG")))</f>
        <v>CLEAR ON LOG</v>
      </c>
      <c r="R426" s="23" t="str">
        <f aca="false">IF(Q426="UNRESOLVED","PRIORITY 1 - OBTAIN FILE",IF(Q426&lt;&gt;"EXCEPTION","NONE",IF(OR(AND(A426="LOA AMENDMENT",P426="UNRESOLVED USE"),AND(A426="SKIP",OR(E426="WL-02618",E426="WL-03044",E426="WL-03390"))),"PRIORITY 1",IF(A426="SKIP","PRIORITY 2","PRIORITY 3"))))</f>
        <v>NONE</v>
      </c>
      <c r="S426" s="23" t="s">
        <v>1913</v>
      </c>
      <c r="T426" s="23" t="s">
        <v>2442</v>
      </c>
      <c r="U426" s="23" t="s">
        <v>1915</v>
      </c>
    </row>
    <row r="427" customFormat="false" ht="17.9" hidden="false" customHeight="false" outlineLevel="0" collapsed="false">
      <c r="A427" s="20" t="s">
        <v>1905</v>
      </c>
      <c r="B427" s="21" t="n">
        <v>45793</v>
      </c>
      <c r="C427" s="20" t="s">
        <v>2443</v>
      </c>
      <c r="D427" s="20"/>
      <c r="E427" s="20" t="s">
        <v>2444</v>
      </c>
      <c r="F427" s="20" t="s">
        <v>2445</v>
      </c>
      <c r="G427" s="20"/>
      <c r="H427" s="20"/>
      <c r="I427" s="20"/>
      <c r="J427" s="20" t="s">
        <v>1909</v>
      </c>
      <c r="K427" s="22" t="n">
        <v>49.6</v>
      </c>
      <c r="L427" s="22" t="n">
        <v>47.6</v>
      </c>
      <c r="M427" s="20" t="s">
        <v>81</v>
      </c>
      <c r="N427" s="23" t="s">
        <v>2446</v>
      </c>
      <c r="O427" s="23" t="s">
        <v>1911</v>
      </c>
      <c r="P427" s="23" t="s">
        <v>1912</v>
      </c>
      <c r="Q427" s="23" t="str">
        <f aca="false">IF(A427="UNDATED LEAD","UNRESOLVED",IF(M427="N","EXCEPTION",IF(A427="SKIP",IF(ISNUMBER(SEARCH("_skip_justification.pdf",N427)),"CLEAR - FILE VERIFIED","CLEAR ON EXPORT"),"CLEAR ON LOG")))</f>
        <v>CLEAR ON LOG</v>
      </c>
      <c r="R427" s="23" t="str">
        <f aca="false">IF(Q427="UNRESOLVED","PRIORITY 1 - OBTAIN FILE",IF(Q427&lt;&gt;"EXCEPTION","NONE",IF(OR(AND(A427="LOA AMENDMENT",P427="UNRESOLVED USE"),AND(A427="SKIP",OR(E427="WL-02618",E427="WL-03044",E427="WL-03390"))),"PRIORITY 1",IF(A427="SKIP","PRIORITY 2","PRIORITY 3"))))</f>
        <v>NONE</v>
      </c>
      <c r="S427" s="23" t="s">
        <v>1913</v>
      </c>
      <c r="T427" s="23" t="s">
        <v>2447</v>
      </c>
      <c r="U427" s="23" t="s">
        <v>1915</v>
      </c>
    </row>
    <row r="428" customFormat="false" ht="17.9" hidden="false" customHeight="false" outlineLevel="0" collapsed="false">
      <c r="A428" s="20" t="s">
        <v>1905</v>
      </c>
      <c r="B428" s="21" t="n">
        <v>45800</v>
      </c>
      <c r="C428" s="20" t="s">
        <v>2448</v>
      </c>
      <c r="D428" s="20"/>
      <c r="E428" s="20" t="s">
        <v>2449</v>
      </c>
      <c r="F428" s="20" t="s">
        <v>2450</v>
      </c>
      <c r="G428" s="20"/>
      <c r="H428" s="20"/>
      <c r="I428" s="20"/>
      <c r="J428" s="20" t="s">
        <v>1909</v>
      </c>
      <c r="K428" s="22" t="n">
        <v>20.4</v>
      </c>
      <c r="L428" s="22" t="n">
        <v>20.3</v>
      </c>
      <c r="M428" s="20" t="s">
        <v>81</v>
      </c>
      <c r="N428" s="23" t="s">
        <v>2451</v>
      </c>
      <c r="O428" s="23" t="s">
        <v>1911</v>
      </c>
      <c r="P428" s="23" t="s">
        <v>1912</v>
      </c>
      <c r="Q428" s="23" t="str">
        <f aca="false">IF(A428="UNDATED LEAD","UNRESOLVED",IF(M428="N","EXCEPTION",IF(A428="SKIP",IF(ISNUMBER(SEARCH("_skip_justification.pdf",N428)),"CLEAR - FILE VERIFIED","CLEAR ON EXPORT"),"CLEAR ON LOG")))</f>
        <v>CLEAR ON LOG</v>
      </c>
      <c r="R428" s="23" t="str">
        <f aca="false">IF(Q428="UNRESOLVED","PRIORITY 1 - OBTAIN FILE",IF(Q428&lt;&gt;"EXCEPTION","NONE",IF(OR(AND(A428="LOA AMENDMENT",P428="UNRESOLVED USE"),AND(A428="SKIP",OR(E428="WL-02618",E428="WL-03044",E428="WL-03390"))),"PRIORITY 1",IF(A428="SKIP","PRIORITY 2","PRIORITY 3"))))</f>
        <v>NONE</v>
      </c>
      <c r="S428" s="23" t="s">
        <v>1913</v>
      </c>
      <c r="T428" s="23" t="s">
        <v>2452</v>
      </c>
      <c r="U428" s="23" t="s">
        <v>1915</v>
      </c>
    </row>
    <row r="429" customFormat="false" ht="17.9" hidden="false" customHeight="false" outlineLevel="0" collapsed="false">
      <c r="A429" s="20" t="s">
        <v>1905</v>
      </c>
      <c r="B429" s="21" t="n">
        <v>45800</v>
      </c>
      <c r="C429" s="20" t="s">
        <v>2453</v>
      </c>
      <c r="D429" s="20"/>
      <c r="E429" s="20" t="s">
        <v>2454</v>
      </c>
      <c r="F429" s="20" t="s">
        <v>2455</v>
      </c>
      <c r="G429" s="20"/>
      <c r="H429" s="20"/>
      <c r="I429" s="20"/>
      <c r="J429" s="20" t="s">
        <v>1909</v>
      </c>
      <c r="K429" s="22" t="n">
        <v>37.1</v>
      </c>
      <c r="L429" s="22" t="n">
        <v>35</v>
      </c>
      <c r="M429" s="20" t="s">
        <v>81</v>
      </c>
      <c r="N429" s="23" t="s">
        <v>2456</v>
      </c>
      <c r="O429" s="23" t="s">
        <v>1911</v>
      </c>
      <c r="P429" s="23" t="s">
        <v>1912</v>
      </c>
      <c r="Q429" s="23" t="str">
        <f aca="false">IF(A429="UNDATED LEAD","UNRESOLVED",IF(M429="N","EXCEPTION",IF(A429="SKIP",IF(ISNUMBER(SEARCH("_skip_justification.pdf",N429)),"CLEAR - FILE VERIFIED","CLEAR ON EXPORT"),"CLEAR ON LOG")))</f>
        <v>CLEAR ON LOG</v>
      </c>
      <c r="R429" s="23" t="str">
        <f aca="false">IF(Q429="UNRESOLVED","PRIORITY 1 - OBTAIN FILE",IF(Q429&lt;&gt;"EXCEPTION","NONE",IF(OR(AND(A429="LOA AMENDMENT",P429="UNRESOLVED USE"),AND(A429="SKIP",OR(E429="WL-02618",E429="WL-03044",E429="WL-03390"))),"PRIORITY 1",IF(A429="SKIP","PRIORITY 2","PRIORITY 3"))))</f>
        <v>NONE</v>
      </c>
      <c r="S429" s="23" t="s">
        <v>1913</v>
      </c>
      <c r="T429" s="23" t="s">
        <v>2457</v>
      </c>
      <c r="U429" s="23" t="s">
        <v>1915</v>
      </c>
    </row>
    <row r="430" customFormat="false" ht="17.9" hidden="false" customHeight="false" outlineLevel="0" collapsed="false">
      <c r="A430" s="20" t="s">
        <v>1905</v>
      </c>
      <c r="B430" s="21" t="n">
        <v>45803</v>
      </c>
      <c r="C430" s="20" t="s">
        <v>2458</v>
      </c>
      <c r="D430" s="20"/>
      <c r="E430" s="20" t="s">
        <v>2459</v>
      </c>
      <c r="F430" s="20" t="s">
        <v>2460</v>
      </c>
      <c r="G430" s="20"/>
      <c r="H430" s="20"/>
      <c r="I430" s="20"/>
      <c r="J430" s="20" t="s">
        <v>1909</v>
      </c>
      <c r="K430" s="22" t="n">
        <v>46.2</v>
      </c>
      <c r="L430" s="22" t="n">
        <v>48.2</v>
      </c>
      <c r="M430" s="20" t="s">
        <v>81</v>
      </c>
      <c r="N430" s="23" t="s">
        <v>2461</v>
      </c>
      <c r="O430" s="23" t="s">
        <v>1911</v>
      </c>
      <c r="P430" s="23" t="s">
        <v>1912</v>
      </c>
      <c r="Q430" s="23" t="str">
        <f aca="false">IF(A430="UNDATED LEAD","UNRESOLVED",IF(M430="N","EXCEPTION",IF(A430="SKIP",IF(ISNUMBER(SEARCH("_skip_justification.pdf",N430)),"CLEAR - FILE VERIFIED","CLEAR ON EXPORT"),"CLEAR ON LOG")))</f>
        <v>CLEAR ON LOG</v>
      </c>
      <c r="R430" s="23" t="str">
        <f aca="false">IF(Q430="UNRESOLVED","PRIORITY 1 - OBTAIN FILE",IF(Q430&lt;&gt;"EXCEPTION","NONE",IF(OR(AND(A430="LOA AMENDMENT",P430="UNRESOLVED USE"),AND(A430="SKIP",OR(E430="WL-02618",E430="WL-03044",E430="WL-03390"))),"PRIORITY 1",IF(A430="SKIP","PRIORITY 2","PRIORITY 3"))))</f>
        <v>NONE</v>
      </c>
      <c r="S430" s="23" t="s">
        <v>1913</v>
      </c>
      <c r="T430" s="23" t="s">
        <v>2462</v>
      </c>
      <c r="U430" s="23" t="s">
        <v>1915</v>
      </c>
    </row>
    <row r="431" customFormat="false" ht="17.9" hidden="false" customHeight="false" outlineLevel="0" collapsed="false">
      <c r="A431" s="20" t="s">
        <v>1905</v>
      </c>
      <c r="B431" s="21" t="n">
        <v>45804</v>
      </c>
      <c r="C431" s="20" t="s">
        <v>2463</v>
      </c>
      <c r="D431" s="20"/>
      <c r="E431" s="20" t="s">
        <v>2464</v>
      </c>
      <c r="F431" s="20" t="s">
        <v>2465</v>
      </c>
      <c r="G431" s="20"/>
      <c r="H431" s="20"/>
      <c r="I431" s="20"/>
      <c r="J431" s="20" t="s">
        <v>1909</v>
      </c>
      <c r="K431" s="22" t="n">
        <v>23.5</v>
      </c>
      <c r="L431" s="22" t="n">
        <v>23.3</v>
      </c>
      <c r="M431" s="20" t="s">
        <v>81</v>
      </c>
      <c r="N431" s="23" t="s">
        <v>2466</v>
      </c>
      <c r="O431" s="23" t="s">
        <v>1911</v>
      </c>
      <c r="P431" s="23" t="s">
        <v>1912</v>
      </c>
      <c r="Q431" s="23" t="str">
        <f aca="false">IF(A431="UNDATED LEAD","UNRESOLVED",IF(M431="N","EXCEPTION",IF(A431="SKIP",IF(ISNUMBER(SEARCH("_skip_justification.pdf",N431)),"CLEAR - FILE VERIFIED","CLEAR ON EXPORT"),"CLEAR ON LOG")))</f>
        <v>CLEAR ON LOG</v>
      </c>
      <c r="R431" s="23" t="str">
        <f aca="false">IF(Q431="UNRESOLVED","PRIORITY 1 - OBTAIN FILE",IF(Q431&lt;&gt;"EXCEPTION","NONE",IF(OR(AND(A431="LOA AMENDMENT",P431="UNRESOLVED USE"),AND(A431="SKIP",OR(E431="WL-02618",E431="WL-03044",E431="WL-03390"))),"PRIORITY 1",IF(A431="SKIP","PRIORITY 2","PRIORITY 3"))))</f>
        <v>NONE</v>
      </c>
      <c r="S431" s="23" t="s">
        <v>1913</v>
      </c>
      <c r="T431" s="23" t="s">
        <v>2467</v>
      </c>
      <c r="U431" s="23" t="s">
        <v>1915</v>
      </c>
    </row>
    <row r="432" customFormat="false" ht="17.9" hidden="false" customHeight="false" outlineLevel="0" collapsed="false">
      <c r="A432" s="20" t="s">
        <v>1905</v>
      </c>
      <c r="B432" s="21" t="n">
        <v>45826</v>
      </c>
      <c r="C432" s="20" t="s">
        <v>2468</v>
      </c>
      <c r="D432" s="20"/>
      <c r="E432" s="20" t="s">
        <v>2469</v>
      </c>
      <c r="F432" s="20" t="s">
        <v>2470</v>
      </c>
      <c r="G432" s="20"/>
      <c r="H432" s="20"/>
      <c r="I432" s="20"/>
      <c r="J432" s="20" t="s">
        <v>1909</v>
      </c>
      <c r="K432" s="22" t="n">
        <v>25.6</v>
      </c>
      <c r="L432" s="22" t="n">
        <v>27.3</v>
      </c>
      <c r="M432" s="20" t="s">
        <v>81</v>
      </c>
      <c r="N432" s="23" t="s">
        <v>2471</v>
      </c>
      <c r="O432" s="23" t="s">
        <v>1911</v>
      </c>
      <c r="P432" s="23" t="s">
        <v>1912</v>
      </c>
      <c r="Q432" s="23" t="str">
        <f aca="false">IF(A432="UNDATED LEAD","UNRESOLVED",IF(M432="N","EXCEPTION",IF(A432="SKIP",IF(ISNUMBER(SEARCH("_skip_justification.pdf",N432)),"CLEAR - FILE VERIFIED","CLEAR ON EXPORT"),"CLEAR ON LOG")))</f>
        <v>CLEAR ON LOG</v>
      </c>
      <c r="R432" s="23" t="str">
        <f aca="false">IF(Q432="UNRESOLVED","PRIORITY 1 - OBTAIN FILE",IF(Q432&lt;&gt;"EXCEPTION","NONE",IF(OR(AND(A432="LOA AMENDMENT",P432="UNRESOLVED USE"),AND(A432="SKIP",OR(E432="WL-02618",E432="WL-03044",E432="WL-03390"))),"PRIORITY 1",IF(A432="SKIP","PRIORITY 2","PRIORITY 3"))))</f>
        <v>NONE</v>
      </c>
      <c r="S432" s="23" t="s">
        <v>1913</v>
      </c>
      <c r="T432" s="23" t="s">
        <v>2472</v>
      </c>
      <c r="U432" s="23" t="s">
        <v>1915</v>
      </c>
    </row>
    <row r="433" customFormat="false" ht="17.9" hidden="false" customHeight="false" outlineLevel="0" collapsed="false">
      <c r="A433" s="20" t="s">
        <v>1905</v>
      </c>
      <c r="B433" s="21" t="n">
        <v>45833</v>
      </c>
      <c r="C433" s="20" t="s">
        <v>2473</v>
      </c>
      <c r="D433" s="20"/>
      <c r="E433" s="20" t="s">
        <v>2474</v>
      </c>
      <c r="F433" s="20" t="s">
        <v>2475</v>
      </c>
      <c r="G433" s="20"/>
      <c r="H433" s="20"/>
      <c r="I433" s="20"/>
      <c r="J433" s="20" t="s">
        <v>1909</v>
      </c>
      <c r="K433" s="22" t="n">
        <v>28</v>
      </c>
      <c r="L433" s="22" t="n">
        <v>30.9</v>
      </c>
      <c r="M433" s="20" t="s">
        <v>81</v>
      </c>
      <c r="N433" s="23" t="s">
        <v>2476</v>
      </c>
      <c r="O433" s="23" t="s">
        <v>1911</v>
      </c>
      <c r="P433" s="23" t="s">
        <v>1912</v>
      </c>
      <c r="Q433" s="23" t="str">
        <f aca="false">IF(A433="UNDATED LEAD","UNRESOLVED",IF(M433="N","EXCEPTION",IF(A433="SKIP",IF(ISNUMBER(SEARCH("_skip_justification.pdf",N433)),"CLEAR - FILE VERIFIED","CLEAR ON EXPORT"),"CLEAR ON LOG")))</f>
        <v>CLEAR ON LOG</v>
      </c>
      <c r="R433" s="23" t="str">
        <f aca="false">IF(Q433="UNRESOLVED","PRIORITY 1 - OBTAIN FILE",IF(Q433&lt;&gt;"EXCEPTION","NONE",IF(OR(AND(A433="LOA AMENDMENT",P433="UNRESOLVED USE"),AND(A433="SKIP",OR(E433="WL-02618",E433="WL-03044",E433="WL-03390"))),"PRIORITY 1",IF(A433="SKIP","PRIORITY 2","PRIORITY 3"))))</f>
        <v>NONE</v>
      </c>
      <c r="S433" s="23" t="s">
        <v>1913</v>
      </c>
      <c r="T433" s="23" t="s">
        <v>2477</v>
      </c>
      <c r="U433" s="23" t="s">
        <v>1915</v>
      </c>
    </row>
    <row r="434" customFormat="false" ht="17.9" hidden="false" customHeight="false" outlineLevel="0" collapsed="false">
      <c r="A434" s="20" t="s">
        <v>1905</v>
      </c>
      <c r="B434" s="21" t="n">
        <v>45834</v>
      </c>
      <c r="C434" s="20" t="s">
        <v>2478</v>
      </c>
      <c r="D434" s="20"/>
      <c r="E434" s="20" t="s">
        <v>2479</v>
      </c>
      <c r="F434" s="20" t="s">
        <v>2480</v>
      </c>
      <c r="G434" s="20"/>
      <c r="H434" s="20"/>
      <c r="I434" s="20"/>
      <c r="J434" s="20" t="s">
        <v>1909</v>
      </c>
      <c r="K434" s="22" t="n">
        <v>52.8</v>
      </c>
      <c r="L434" s="22" t="n">
        <v>52</v>
      </c>
      <c r="M434" s="20" t="s">
        <v>81</v>
      </c>
      <c r="N434" s="23" t="s">
        <v>2481</v>
      </c>
      <c r="O434" s="23" t="s">
        <v>1911</v>
      </c>
      <c r="P434" s="23" t="s">
        <v>1912</v>
      </c>
      <c r="Q434" s="23" t="str">
        <f aca="false">IF(A434="UNDATED LEAD","UNRESOLVED",IF(M434="N","EXCEPTION",IF(A434="SKIP",IF(ISNUMBER(SEARCH("_skip_justification.pdf",N434)),"CLEAR - FILE VERIFIED","CLEAR ON EXPORT"),"CLEAR ON LOG")))</f>
        <v>CLEAR ON LOG</v>
      </c>
      <c r="R434" s="23" t="str">
        <f aca="false">IF(Q434="UNRESOLVED","PRIORITY 1 - OBTAIN FILE",IF(Q434&lt;&gt;"EXCEPTION","NONE",IF(OR(AND(A434="LOA AMENDMENT",P434="UNRESOLVED USE"),AND(A434="SKIP",OR(E434="WL-02618",E434="WL-03044",E434="WL-03390"))),"PRIORITY 1",IF(A434="SKIP","PRIORITY 2","PRIORITY 3"))))</f>
        <v>NONE</v>
      </c>
      <c r="S434" s="23" t="s">
        <v>1913</v>
      </c>
      <c r="T434" s="23" t="s">
        <v>2482</v>
      </c>
      <c r="U434" s="23" t="s">
        <v>1915</v>
      </c>
    </row>
    <row r="435" customFormat="false" ht="17.9" hidden="false" customHeight="false" outlineLevel="0" collapsed="false">
      <c r="A435" s="20" t="s">
        <v>1905</v>
      </c>
      <c r="B435" s="21" t="n">
        <v>45838</v>
      </c>
      <c r="C435" s="20" t="s">
        <v>2483</v>
      </c>
      <c r="D435" s="20"/>
      <c r="E435" s="20" t="s">
        <v>2484</v>
      </c>
      <c r="F435" s="20" t="s">
        <v>2485</v>
      </c>
      <c r="G435" s="20"/>
      <c r="H435" s="20"/>
      <c r="I435" s="20"/>
      <c r="J435" s="20" t="s">
        <v>1909</v>
      </c>
      <c r="K435" s="22" t="n">
        <v>37.7</v>
      </c>
      <c r="L435" s="22" t="n">
        <v>40.2</v>
      </c>
      <c r="M435" s="20" t="s">
        <v>81</v>
      </c>
      <c r="N435" s="23" t="s">
        <v>2486</v>
      </c>
      <c r="O435" s="23" t="s">
        <v>1911</v>
      </c>
      <c r="P435" s="23" t="s">
        <v>1912</v>
      </c>
      <c r="Q435" s="23" t="str">
        <f aca="false">IF(A435="UNDATED LEAD","UNRESOLVED",IF(M435="N","EXCEPTION",IF(A435="SKIP",IF(ISNUMBER(SEARCH("_skip_justification.pdf",N435)),"CLEAR - FILE VERIFIED","CLEAR ON EXPORT"),"CLEAR ON LOG")))</f>
        <v>CLEAR ON LOG</v>
      </c>
      <c r="R435" s="23" t="str">
        <f aca="false">IF(Q435="UNRESOLVED","PRIORITY 1 - OBTAIN FILE",IF(Q435&lt;&gt;"EXCEPTION","NONE",IF(OR(AND(A435="LOA AMENDMENT",P435="UNRESOLVED USE"),AND(A435="SKIP",OR(E435="WL-02618",E435="WL-03044",E435="WL-03390"))),"PRIORITY 1",IF(A435="SKIP","PRIORITY 2","PRIORITY 3"))))</f>
        <v>NONE</v>
      </c>
      <c r="S435" s="23" t="s">
        <v>1913</v>
      </c>
      <c r="T435" s="23" t="s">
        <v>2487</v>
      </c>
      <c r="U435" s="23" t="s">
        <v>1915</v>
      </c>
    </row>
    <row r="436" customFormat="false" ht="17.9" hidden="false" customHeight="false" outlineLevel="0" collapsed="false">
      <c r="A436" s="20" t="s">
        <v>1905</v>
      </c>
      <c r="B436" s="21" t="n">
        <v>45839</v>
      </c>
      <c r="C436" s="20" t="s">
        <v>2488</v>
      </c>
      <c r="D436" s="20"/>
      <c r="E436" s="20" t="s">
        <v>1425</v>
      </c>
      <c r="F436" s="20" t="s">
        <v>1426</v>
      </c>
      <c r="G436" s="20"/>
      <c r="H436" s="20"/>
      <c r="I436" s="20"/>
      <c r="J436" s="20" t="s">
        <v>1909</v>
      </c>
      <c r="K436" s="22" t="n">
        <v>36.4</v>
      </c>
      <c r="L436" s="22" t="n">
        <v>35.8</v>
      </c>
      <c r="M436" s="20" t="s">
        <v>81</v>
      </c>
      <c r="N436" s="23" t="s">
        <v>2489</v>
      </c>
      <c r="O436" s="23" t="s">
        <v>1911</v>
      </c>
      <c r="P436" s="23" t="s">
        <v>1912</v>
      </c>
      <c r="Q436" s="23" t="str">
        <f aca="false">IF(A436="UNDATED LEAD","UNRESOLVED",IF(M436="N","EXCEPTION",IF(A436="SKIP",IF(ISNUMBER(SEARCH("_skip_justification.pdf",N436)),"CLEAR - FILE VERIFIED","CLEAR ON EXPORT"),"CLEAR ON LOG")))</f>
        <v>CLEAR ON LOG</v>
      </c>
      <c r="R436" s="23" t="str">
        <f aca="false">IF(Q436="UNRESOLVED","PRIORITY 1 - OBTAIN FILE",IF(Q436&lt;&gt;"EXCEPTION","NONE",IF(OR(AND(A436="LOA AMENDMENT",P436="UNRESOLVED USE"),AND(A436="SKIP",OR(E436="WL-02618",E436="WL-03044",E436="WL-03390"))),"PRIORITY 1",IF(A436="SKIP","PRIORITY 2","PRIORITY 3"))))</f>
        <v>NONE</v>
      </c>
      <c r="S436" s="23" t="s">
        <v>1913</v>
      </c>
      <c r="T436" s="23" t="s">
        <v>2490</v>
      </c>
      <c r="U436" s="23" t="s">
        <v>1915</v>
      </c>
    </row>
    <row r="437" customFormat="false" ht="17.9" hidden="false" customHeight="false" outlineLevel="0" collapsed="false">
      <c r="A437" s="20" t="s">
        <v>1905</v>
      </c>
      <c r="B437" s="21" t="n">
        <v>45842</v>
      </c>
      <c r="C437" s="20" t="s">
        <v>2491</v>
      </c>
      <c r="D437" s="20"/>
      <c r="E437" s="20" t="s">
        <v>2492</v>
      </c>
      <c r="F437" s="20" t="s">
        <v>2493</v>
      </c>
      <c r="G437" s="20"/>
      <c r="H437" s="20"/>
      <c r="I437" s="20"/>
      <c r="J437" s="20" t="s">
        <v>1909</v>
      </c>
      <c r="K437" s="22" t="n">
        <v>44.3</v>
      </c>
      <c r="L437" s="22" t="n">
        <v>41.7</v>
      </c>
      <c r="M437" s="20" t="s">
        <v>81</v>
      </c>
      <c r="N437" s="23" t="s">
        <v>2494</v>
      </c>
      <c r="O437" s="23" t="s">
        <v>1911</v>
      </c>
      <c r="P437" s="23" t="s">
        <v>1912</v>
      </c>
      <c r="Q437" s="23" t="str">
        <f aca="false">IF(A437="UNDATED LEAD","UNRESOLVED",IF(M437="N","EXCEPTION",IF(A437="SKIP",IF(ISNUMBER(SEARCH("_skip_justification.pdf",N437)),"CLEAR - FILE VERIFIED","CLEAR ON EXPORT"),"CLEAR ON LOG")))</f>
        <v>CLEAR ON LOG</v>
      </c>
      <c r="R437" s="23" t="str">
        <f aca="false">IF(Q437="UNRESOLVED","PRIORITY 1 - OBTAIN FILE",IF(Q437&lt;&gt;"EXCEPTION","NONE",IF(OR(AND(A437="LOA AMENDMENT",P437="UNRESOLVED USE"),AND(A437="SKIP",OR(E437="WL-02618",E437="WL-03044",E437="WL-03390"))),"PRIORITY 1",IF(A437="SKIP","PRIORITY 2","PRIORITY 3"))))</f>
        <v>NONE</v>
      </c>
      <c r="S437" s="23" t="s">
        <v>1913</v>
      </c>
      <c r="T437" s="23" t="s">
        <v>2495</v>
      </c>
      <c r="U437" s="23" t="s">
        <v>1915</v>
      </c>
    </row>
    <row r="438" customFormat="false" ht="17.9" hidden="false" customHeight="false" outlineLevel="0" collapsed="false">
      <c r="A438" s="20" t="s">
        <v>1905</v>
      </c>
      <c r="B438" s="21" t="n">
        <v>45861</v>
      </c>
      <c r="C438" s="20" t="s">
        <v>2496</v>
      </c>
      <c r="D438" s="20"/>
      <c r="E438" s="20" t="s">
        <v>2497</v>
      </c>
      <c r="F438" s="20" t="s">
        <v>2498</v>
      </c>
      <c r="G438" s="20"/>
      <c r="H438" s="20"/>
      <c r="I438" s="20"/>
      <c r="J438" s="20" t="s">
        <v>1909</v>
      </c>
      <c r="K438" s="22" t="n">
        <v>26.3</v>
      </c>
      <c r="L438" s="22" t="n">
        <v>28.5</v>
      </c>
      <c r="M438" s="20" t="s">
        <v>81</v>
      </c>
      <c r="N438" s="23" t="s">
        <v>2499</v>
      </c>
      <c r="O438" s="23" t="s">
        <v>1911</v>
      </c>
      <c r="P438" s="23" t="s">
        <v>1912</v>
      </c>
      <c r="Q438" s="23" t="str">
        <f aca="false">IF(A438="UNDATED LEAD","UNRESOLVED",IF(M438="N","EXCEPTION",IF(A438="SKIP",IF(ISNUMBER(SEARCH("_skip_justification.pdf",N438)),"CLEAR - FILE VERIFIED","CLEAR ON EXPORT"),"CLEAR ON LOG")))</f>
        <v>CLEAR ON LOG</v>
      </c>
      <c r="R438" s="23" t="str">
        <f aca="false">IF(Q438="UNRESOLVED","PRIORITY 1 - OBTAIN FILE",IF(Q438&lt;&gt;"EXCEPTION","NONE",IF(OR(AND(A438="LOA AMENDMENT",P438="UNRESOLVED USE"),AND(A438="SKIP",OR(E438="WL-02618",E438="WL-03044",E438="WL-03390"))),"PRIORITY 1",IF(A438="SKIP","PRIORITY 2","PRIORITY 3"))))</f>
        <v>NONE</v>
      </c>
      <c r="S438" s="23" t="s">
        <v>1913</v>
      </c>
      <c r="T438" s="23" t="s">
        <v>2500</v>
      </c>
      <c r="U438" s="23" t="s">
        <v>1915</v>
      </c>
    </row>
    <row r="439" customFormat="false" ht="17.9" hidden="false" customHeight="false" outlineLevel="0" collapsed="false">
      <c r="A439" s="20" t="s">
        <v>1905</v>
      </c>
      <c r="B439" s="21" t="n">
        <v>45878</v>
      </c>
      <c r="C439" s="20" t="s">
        <v>2501</v>
      </c>
      <c r="D439" s="20"/>
      <c r="E439" s="20" t="s">
        <v>2502</v>
      </c>
      <c r="F439" s="20" t="s">
        <v>2503</v>
      </c>
      <c r="G439" s="20"/>
      <c r="H439" s="20"/>
      <c r="I439" s="20"/>
      <c r="J439" s="20" t="s">
        <v>1909</v>
      </c>
      <c r="K439" s="22" t="n">
        <v>48.9</v>
      </c>
      <c r="L439" s="22" t="n">
        <v>49.3</v>
      </c>
      <c r="M439" s="20" t="s">
        <v>81</v>
      </c>
      <c r="N439" s="23" t="s">
        <v>2504</v>
      </c>
      <c r="O439" s="23" t="s">
        <v>1911</v>
      </c>
      <c r="P439" s="23" t="s">
        <v>1912</v>
      </c>
      <c r="Q439" s="23" t="str">
        <f aca="false">IF(A439="UNDATED LEAD","UNRESOLVED",IF(M439="N","EXCEPTION",IF(A439="SKIP",IF(ISNUMBER(SEARCH("_skip_justification.pdf",N439)),"CLEAR - FILE VERIFIED","CLEAR ON EXPORT"),"CLEAR ON LOG")))</f>
        <v>CLEAR ON LOG</v>
      </c>
      <c r="R439" s="23" t="str">
        <f aca="false">IF(Q439="UNRESOLVED","PRIORITY 1 - OBTAIN FILE",IF(Q439&lt;&gt;"EXCEPTION","NONE",IF(OR(AND(A439="LOA AMENDMENT",P439="UNRESOLVED USE"),AND(A439="SKIP",OR(E439="WL-02618",E439="WL-03044",E439="WL-03390"))),"PRIORITY 1",IF(A439="SKIP","PRIORITY 2","PRIORITY 3"))))</f>
        <v>NONE</v>
      </c>
      <c r="S439" s="23" t="s">
        <v>1913</v>
      </c>
      <c r="T439" s="23" t="s">
        <v>2505</v>
      </c>
      <c r="U439" s="23" t="s">
        <v>1915</v>
      </c>
    </row>
    <row r="440" customFormat="false" ht="17.9" hidden="false" customHeight="false" outlineLevel="0" collapsed="false">
      <c r="A440" s="20" t="s">
        <v>1905</v>
      </c>
      <c r="B440" s="21" t="n">
        <v>45903</v>
      </c>
      <c r="C440" s="20" t="s">
        <v>2506</v>
      </c>
      <c r="D440" s="20"/>
      <c r="E440" s="20" t="s">
        <v>2507</v>
      </c>
      <c r="F440" s="20" t="s">
        <v>2508</v>
      </c>
      <c r="G440" s="20"/>
      <c r="H440" s="20"/>
      <c r="I440" s="20"/>
      <c r="J440" s="20" t="s">
        <v>1909</v>
      </c>
      <c r="K440" s="22" t="n">
        <v>22.5</v>
      </c>
      <c r="L440" s="22" t="n">
        <v>22.1</v>
      </c>
      <c r="M440" s="20" t="s">
        <v>81</v>
      </c>
      <c r="N440" s="23" t="s">
        <v>2509</v>
      </c>
      <c r="O440" s="23" t="s">
        <v>1911</v>
      </c>
      <c r="P440" s="23" t="s">
        <v>1912</v>
      </c>
      <c r="Q440" s="23" t="str">
        <f aca="false">IF(A440="UNDATED LEAD","UNRESOLVED",IF(M440="N","EXCEPTION",IF(A440="SKIP",IF(ISNUMBER(SEARCH("_skip_justification.pdf",N440)),"CLEAR - FILE VERIFIED","CLEAR ON EXPORT"),"CLEAR ON LOG")))</f>
        <v>CLEAR ON LOG</v>
      </c>
      <c r="R440" s="23" t="str">
        <f aca="false">IF(Q440="UNRESOLVED","PRIORITY 1 - OBTAIN FILE",IF(Q440&lt;&gt;"EXCEPTION","NONE",IF(OR(AND(A440="LOA AMENDMENT",P440="UNRESOLVED USE"),AND(A440="SKIP",OR(E440="WL-02618",E440="WL-03044",E440="WL-03390"))),"PRIORITY 1",IF(A440="SKIP","PRIORITY 2","PRIORITY 3"))))</f>
        <v>NONE</v>
      </c>
      <c r="S440" s="23" t="s">
        <v>1913</v>
      </c>
      <c r="T440" s="23" t="s">
        <v>2510</v>
      </c>
      <c r="U440" s="23" t="s">
        <v>1915</v>
      </c>
    </row>
    <row r="441" customFormat="false" ht="17.9" hidden="false" customHeight="false" outlineLevel="0" collapsed="false">
      <c r="A441" s="20" t="s">
        <v>1905</v>
      </c>
      <c r="B441" s="21" t="n">
        <v>45903</v>
      </c>
      <c r="C441" s="20" t="s">
        <v>2511</v>
      </c>
      <c r="D441" s="20"/>
      <c r="E441" s="20" t="s">
        <v>2512</v>
      </c>
      <c r="F441" s="20" t="s">
        <v>2513</v>
      </c>
      <c r="G441" s="20"/>
      <c r="H441" s="20"/>
      <c r="I441" s="20"/>
      <c r="J441" s="20" t="s">
        <v>1909</v>
      </c>
      <c r="K441" s="22" t="n">
        <v>33</v>
      </c>
      <c r="L441" s="22" t="n">
        <v>34</v>
      </c>
      <c r="M441" s="20" t="s">
        <v>81</v>
      </c>
      <c r="N441" s="23" t="s">
        <v>2514</v>
      </c>
      <c r="O441" s="23" t="s">
        <v>1911</v>
      </c>
      <c r="P441" s="23" t="s">
        <v>1912</v>
      </c>
      <c r="Q441" s="23" t="str">
        <f aca="false">IF(A441="UNDATED LEAD","UNRESOLVED",IF(M441="N","EXCEPTION",IF(A441="SKIP",IF(ISNUMBER(SEARCH("_skip_justification.pdf",N441)),"CLEAR - FILE VERIFIED","CLEAR ON EXPORT"),"CLEAR ON LOG")))</f>
        <v>CLEAR ON LOG</v>
      </c>
      <c r="R441" s="23" t="str">
        <f aca="false">IF(Q441="UNRESOLVED","PRIORITY 1 - OBTAIN FILE",IF(Q441&lt;&gt;"EXCEPTION","NONE",IF(OR(AND(A441="LOA AMENDMENT",P441="UNRESOLVED USE"),AND(A441="SKIP",OR(E441="WL-02618",E441="WL-03044",E441="WL-03390"))),"PRIORITY 1",IF(A441="SKIP","PRIORITY 2","PRIORITY 3"))))</f>
        <v>NONE</v>
      </c>
      <c r="S441" s="23" t="s">
        <v>1913</v>
      </c>
      <c r="T441" s="23" t="s">
        <v>2515</v>
      </c>
      <c r="U441" s="23" t="s">
        <v>1915</v>
      </c>
    </row>
    <row r="442" customFormat="false" ht="17.9" hidden="false" customHeight="false" outlineLevel="0" collapsed="false">
      <c r="A442" s="20" t="s">
        <v>1905</v>
      </c>
      <c r="B442" s="21" t="n">
        <v>45915</v>
      </c>
      <c r="C442" s="20" t="s">
        <v>2516</v>
      </c>
      <c r="D442" s="20"/>
      <c r="E442" s="20" t="s">
        <v>2517</v>
      </c>
      <c r="F442" s="20" t="s">
        <v>2518</v>
      </c>
      <c r="G442" s="20"/>
      <c r="H442" s="20"/>
      <c r="I442" s="20"/>
      <c r="J442" s="20" t="s">
        <v>1909</v>
      </c>
      <c r="K442" s="22" t="n">
        <v>49.8</v>
      </c>
      <c r="L442" s="22" t="n">
        <v>47.9</v>
      </c>
      <c r="M442" s="20" t="s">
        <v>81</v>
      </c>
      <c r="N442" s="23" t="s">
        <v>2519</v>
      </c>
      <c r="O442" s="23" t="s">
        <v>1911</v>
      </c>
      <c r="P442" s="23" t="s">
        <v>1912</v>
      </c>
      <c r="Q442" s="23" t="str">
        <f aca="false">IF(A442="UNDATED LEAD","UNRESOLVED",IF(M442="N","EXCEPTION",IF(A442="SKIP",IF(ISNUMBER(SEARCH("_skip_justification.pdf",N442)),"CLEAR - FILE VERIFIED","CLEAR ON EXPORT"),"CLEAR ON LOG")))</f>
        <v>CLEAR ON LOG</v>
      </c>
      <c r="R442" s="23" t="str">
        <f aca="false">IF(Q442="UNRESOLVED","PRIORITY 1 - OBTAIN FILE",IF(Q442&lt;&gt;"EXCEPTION","NONE",IF(OR(AND(A442="LOA AMENDMENT",P442="UNRESOLVED USE"),AND(A442="SKIP",OR(E442="WL-02618",E442="WL-03044",E442="WL-03390"))),"PRIORITY 1",IF(A442="SKIP","PRIORITY 2","PRIORITY 3"))))</f>
        <v>NONE</v>
      </c>
      <c r="S442" s="23" t="s">
        <v>1913</v>
      </c>
      <c r="T442" s="23" t="s">
        <v>2520</v>
      </c>
      <c r="U442" s="23" t="s">
        <v>1915</v>
      </c>
    </row>
    <row r="443" customFormat="false" ht="17.9" hidden="false" customHeight="false" outlineLevel="0" collapsed="false">
      <c r="A443" s="20" t="s">
        <v>1905</v>
      </c>
      <c r="B443" s="21" t="n">
        <v>45917</v>
      </c>
      <c r="C443" s="20" t="s">
        <v>2521</v>
      </c>
      <c r="D443" s="20"/>
      <c r="E443" s="20" t="s">
        <v>2522</v>
      </c>
      <c r="F443" s="20" t="s">
        <v>2523</v>
      </c>
      <c r="G443" s="20"/>
      <c r="H443" s="20"/>
      <c r="I443" s="20"/>
      <c r="J443" s="20" t="s">
        <v>1909</v>
      </c>
      <c r="K443" s="22" t="n">
        <v>49.3</v>
      </c>
      <c r="L443" s="22" t="n">
        <v>51.7</v>
      </c>
      <c r="M443" s="20" t="s">
        <v>81</v>
      </c>
      <c r="N443" s="23" t="s">
        <v>2524</v>
      </c>
      <c r="O443" s="23" t="s">
        <v>1911</v>
      </c>
      <c r="P443" s="23" t="s">
        <v>1912</v>
      </c>
      <c r="Q443" s="23" t="str">
        <f aca="false">IF(A443="UNDATED LEAD","UNRESOLVED",IF(M443="N","EXCEPTION",IF(A443="SKIP",IF(ISNUMBER(SEARCH("_skip_justification.pdf",N443)),"CLEAR - FILE VERIFIED","CLEAR ON EXPORT"),"CLEAR ON LOG")))</f>
        <v>CLEAR ON LOG</v>
      </c>
      <c r="R443" s="23" t="str">
        <f aca="false">IF(Q443="UNRESOLVED","PRIORITY 1 - OBTAIN FILE",IF(Q443&lt;&gt;"EXCEPTION","NONE",IF(OR(AND(A443="LOA AMENDMENT",P443="UNRESOLVED USE"),AND(A443="SKIP",OR(E443="WL-02618",E443="WL-03044",E443="WL-03390"))),"PRIORITY 1",IF(A443="SKIP","PRIORITY 2","PRIORITY 3"))))</f>
        <v>NONE</v>
      </c>
      <c r="S443" s="23" t="s">
        <v>1913</v>
      </c>
      <c r="T443" s="23" t="s">
        <v>2525</v>
      </c>
      <c r="U443" s="23" t="s">
        <v>1915</v>
      </c>
    </row>
    <row r="444" customFormat="false" ht="17.9" hidden="false" customHeight="false" outlineLevel="0" collapsed="false">
      <c r="A444" s="20" t="s">
        <v>1905</v>
      </c>
      <c r="B444" s="21" t="n">
        <v>45936</v>
      </c>
      <c r="C444" s="20" t="s">
        <v>2526</v>
      </c>
      <c r="D444" s="20"/>
      <c r="E444" s="20" t="s">
        <v>2527</v>
      </c>
      <c r="F444" s="20" t="s">
        <v>2528</v>
      </c>
      <c r="G444" s="20"/>
      <c r="H444" s="20"/>
      <c r="I444" s="20"/>
      <c r="J444" s="20" t="s">
        <v>1909</v>
      </c>
      <c r="K444" s="22" t="n">
        <v>54.5</v>
      </c>
      <c r="L444" s="22" t="n">
        <v>55.6</v>
      </c>
      <c r="M444" s="20" t="s">
        <v>81</v>
      </c>
      <c r="N444" s="23" t="s">
        <v>2529</v>
      </c>
      <c r="O444" s="23" t="s">
        <v>1911</v>
      </c>
      <c r="P444" s="23" t="s">
        <v>1912</v>
      </c>
      <c r="Q444" s="23" t="str">
        <f aca="false">IF(A444="UNDATED LEAD","UNRESOLVED",IF(M444="N","EXCEPTION",IF(A444="SKIP",IF(ISNUMBER(SEARCH("_skip_justification.pdf",N444)),"CLEAR - FILE VERIFIED","CLEAR ON EXPORT"),"CLEAR ON LOG")))</f>
        <v>CLEAR ON LOG</v>
      </c>
      <c r="R444" s="23" t="str">
        <f aca="false">IF(Q444="UNRESOLVED","PRIORITY 1 - OBTAIN FILE",IF(Q444&lt;&gt;"EXCEPTION","NONE",IF(OR(AND(A444="LOA AMENDMENT",P444="UNRESOLVED USE"),AND(A444="SKIP",OR(E444="WL-02618",E444="WL-03044",E444="WL-03390"))),"PRIORITY 1",IF(A444="SKIP","PRIORITY 2","PRIORITY 3"))))</f>
        <v>NONE</v>
      </c>
      <c r="S444" s="23" t="s">
        <v>1913</v>
      </c>
      <c r="T444" s="23" t="s">
        <v>2530</v>
      </c>
      <c r="U444" s="23" t="s">
        <v>1915</v>
      </c>
    </row>
    <row r="445" customFormat="false" ht="17.9" hidden="false" customHeight="false" outlineLevel="0" collapsed="false">
      <c r="A445" s="20" t="s">
        <v>1905</v>
      </c>
      <c r="B445" s="21" t="n">
        <v>45937</v>
      </c>
      <c r="C445" s="20" t="s">
        <v>2531</v>
      </c>
      <c r="D445" s="20"/>
      <c r="E445" s="20" t="s">
        <v>2532</v>
      </c>
      <c r="F445" s="20" t="s">
        <v>2533</v>
      </c>
      <c r="G445" s="20"/>
      <c r="H445" s="20"/>
      <c r="I445" s="20"/>
      <c r="J445" s="20" t="s">
        <v>1909</v>
      </c>
      <c r="K445" s="22" t="n">
        <v>53.7</v>
      </c>
      <c r="L445" s="22" t="n">
        <v>56.3</v>
      </c>
      <c r="M445" s="20" t="s">
        <v>81</v>
      </c>
      <c r="N445" s="23" t="s">
        <v>2534</v>
      </c>
      <c r="O445" s="23" t="s">
        <v>1911</v>
      </c>
      <c r="P445" s="23" t="s">
        <v>1912</v>
      </c>
      <c r="Q445" s="23" t="str">
        <f aca="false">IF(A445="UNDATED LEAD","UNRESOLVED",IF(M445="N","EXCEPTION",IF(A445="SKIP",IF(ISNUMBER(SEARCH("_skip_justification.pdf",N445)),"CLEAR - FILE VERIFIED","CLEAR ON EXPORT"),"CLEAR ON LOG")))</f>
        <v>CLEAR ON LOG</v>
      </c>
      <c r="R445" s="23" t="str">
        <f aca="false">IF(Q445="UNRESOLVED","PRIORITY 1 - OBTAIN FILE",IF(Q445&lt;&gt;"EXCEPTION","NONE",IF(OR(AND(A445="LOA AMENDMENT",P445="UNRESOLVED USE"),AND(A445="SKIP",OR(E445="WL-02618",E445="WL-03044",E445="WL-03390"))),"PRIORITY 1",IF(A445="SKIP","PRIORITY 2","PRIORITY 3"))))</f>
        <v>NONE</v>
      </c>
      <c r="S445" s="23" t="s">
        <v>1913</v>
      </c>
      <c r="T445" s="23" t="s">
        <v>2535</v>
      </c>
      <c r="U445" s="23" t="s">
        <v>1915</v>
      </c>
    </row>
    <row r="446" customFormat="false" ht="17.9" hidden="false" customHeight="false" outlineLevel="0" collapsed="false">
      <c r="A446" s="20" t="s">
        <v>1905</v>
      </c>
      <c r="B446" s="21" t="n">
        <v>45941</v>
      </c>
      <c r="C446" s="20" t="s">
        <v>2536</v>
      </c>
      <c r="D446" s="20"/>
      <c r="E446" s="20" t="s">
        <v>2537</v>
      </c>
      <c r="F446" s="20" t="s">
        <v>2538</v>
      </c>
      <c r="G446" s="20"/>
      <c r="H446" s="20"/>
      <c r="I446" s="20"/>
      <c r="J446" s="20" t="s">
        <v>1909</v>
      </c>
      <c r="K446" s="22" t="n">
        <v>54.2</v>
      </c>
      <c r="L446" s="22" t="n">
        <v>53.2</v>
      </c>
      <c r="M446" s="20" t="s">
        <v>110</v>
      </c>
      <c r="N446" s="23" t="s">
        <v>1957</v>
      </c>
      <c r="O446" s="23" t="s">
        <v>1911</v>
      </c>
      <c r="P446" s="23" t="s">
        <v>1958</v>
      </c>
      <c r="Q446" s="23" t="str">
        <f aca="false">IF(A446="UNDATED LEAD","UNRESOLVED",IF(M446="N","EXCEPTION",IF(A446="SKIP",IF(ISNUMBER(SEARCH("_skip_justification.pdf",N446)),"CLEAR - FILE VERIFIED","CLEAR ON EXPORT"),"CLEAR ON LOG")))</f>
        <v>EXCEPTION</v>
      </c>
      <c r="R446" s="23" t="str">
        <f aca="false">IF(Q446="UNRESOLVED","PRIORITY 1 - OBTAIN FILE",IF(Q446&lt;&gt;"EXCEPTION","NONE",IF(OR(AND(A446="LOA AMENDMENT",P446="UNRESOLVED USE"),AND(A446="SKIP",OR(E446="WL-02618",E446="WL-03044",E446="WL-03390"))),"PRIORITY 1",IF(A446="SKIP","PRIORITY 2","PRIORITY 3"))))</f>
        <v>PRIORITY 3</v>
      </c>
      <c r="S446" s="23" t="s">
        <v>2539</v>
      </c>
      <c r="T446" s="23" t="s">
        <v>2540</v>
      </c>
      <c r="U446" s="23" t="s">
        <v>1915</v>
      </c>
    </row>
    <row r="447" customFormat="false" ht="17.9" hidden="false" customHeight="false" outlineLevel="0" collapsed="false">
      <c r="A447" s="20" t="s">
        <v>1905</v>
      </c>
      <c r="B447" s="21" t="n">
        <v>45943</v>
      </c>
      <c r="C447" s="20" t="s">
        <v>2541</v>
      </c>
      <c r="D447" s="20"/>
      <c r="E447" s="20" t="s">
        <v>2542</v>
      </c>
      <c r="F447" s="20" t="s">
        <v>2543</v>
      </c>
      <c r="G447" s="20"/>
      <c r="H447" s="20"/>
      <c r="I447" s="20"/>
      <c r="J447" s="20" t="s">
        <v>1909</v>
      </c>
      <c r="K447" s="22" t="n">
        <v>25.5</v>
      </c>
      <c r="L447" s="22" t="n">
        <v>27.2</v>
      </c>
      <c r="M447" s="20" t="s">
        <v>81</v>
      </c>
      <c r="N447" s="23" t="s">
        <v>2544</v>
      </c>
      <c r="O447" s="23" t="s">
        <v>1911</v>
      </c>
      <c r="P447" s="23" t="s">
        <v>1912</v>
      </c>
      <c r="Q447" s="23" t="str">
        <f aca="false">IF(A447="UNDATED LEAD","UNRESOLVED",IF(M447="N","EXCEPTION",IF(A447="SKIP",IF(ISNUMBER(SEARCH("_skip_justification.pdf",N447)),"CLEAR - FILE VERIFIED","CLEAR ON EXPORT"),"CLEAR ON LOG")))</f>
        <v>CLEAR ON LOG</v>
      </c>
      <c r="R447" s="23" t="str">
        <f aca="false">IF(Q447="UNRESOLVED","PRIORITY 1 - OBTAIN FILE",IF(Q447&lt;&gt;"EXCEPTION","NONE",IF(OR(AND(A447="LOA AMENDMENT",P447="UNRESOLVED USE"),AND(A447="SKIP",OR(E447="WL-02618",E447="WL-03044",E447="WL-03390"))),"PRIORITY 1",IF(A447="SKIP","PRIORITY 2","PRIORITY 3"))))</f>
        <v>NONE</v>
      </c>
      <c r="S447" s="23" t="s">
        <v>1913</v>
      </c>
      <c r="T447" s="23" t="s">
        <v>2545</v>
      </c>
      <c r="U447" s="23" t="s">
        <v>1915</v>
      </c>
    </row>
    <row r="448" customFormat="false" ht="17.9" hidden="false" customHeight="false" outlineLevel="0" collapsed="false">
      <c r="A448" s="20" t="s">
        <v>1905</v>
      </c>
      <c r="B448" s="21" t="n">
        <v>45944</v>
      </c>
      <c r="C448" s="20" t="s">
        <v>2546</v>
      </c>
      <c r="D448" s="20"/>
      <c r="E448" s="20" t="s">
        <v>2547</v>
      </c>
      <c r="F448" s="20" t="s">
        <v>2548</v>
      </c>
      <c r="G448" s="20"/>
      <c r="H448" s="20"/>
      <c r="I448" s="20"/>
      <c r="J448" s="20" t="s">
        <v>1909</v>
      </c>
      <c r="K448" s="22" t="n">
        <v>42.8</v>
      </c>
      <c r="L448" s="22" t="n">
        <v>41.9</v>
      </c>
      <c r="M448" s="20" t="s">
        <v>81</v>
      </c>
      <c r="N448" s="23" t="s">
        <v>2549</v>
      </c>
      <c r="O448" s="23" t="s">
        <v>1911</v>
      </c>
      <c r="P448" s="23" t="s">
        <v>1912</v>
      </c>
      <c r="Q448" s="23" t="str">
        <f aca="false">IF(A448="UNDATED LEAD","UNRESOLVED",IF(M448="N","EXCEPTION",IF(A448="SKIP",IF(ISNUMBER(SEARCH("_skip_justification.pdf",N448)),"CLEAR - FILE VERIFIED","CLEAR ON EXPORT"),"CLEAR ON LOG")))</f>
        <v>CLEAR ON LOG</v>
      </c>
      <c r="R448" s="23" t="str">
        <f aca="false">IF(Q448="UNRESOLVED","PRIORITY 1 - OBTAIN FILE",IF(Q448&lt;&gt;"EXCEPTION","NONE",IF(OR(AND(A448="LOA AMENDMENT",P448="UNRESOLVED USE"),AND(A448="SKIP",OR(E448="WL-02618",E448="WL-03044",E448="WL-03390"))),"PRIORITY 1",IF(A448="SKIP","PRIORITY 2","PRIORITY 3"))))</f>
        <v>NONE</v>
      </c>
      <c r="S448" s="23" t="s">
        <v>1913</v>
      </c>
      <c r="T448" s="23" t="s">
        <v>2550</v>
      </c>
      <c r="U448" s="23" t="s">
        <v>1915</v>
      </c>
    </row>
    <row r="449" customFormat="false" ht="17.9" hidden="false" customHeight="false" outlineLevel="0" collapsed="false">
      <c r="A449" s="20" t="s">
        <v>1905</v>
      </c>
      <c r="B449" s="21" t="n">
        <v>45944</v>
      </c>
      <c r="C449" s="20" t="s">
        <v>2551</v>
      </c>
      <c r="D449" s="20"/>
      <c r="E449" s="20" t="s">
        <v>275</v>
      </c>
      <c r="F449" s="20" t="s">
        <v>276</v>
      </c>
      <c r="G449" s="20"/>
      <c r="H449" s="20"/>
      <c r="I449" s="20"/>
      <c r="J449" s="20" t="s">
        <v>1909</v>
      </c>
      <c r="K449" s="22" t="n">
        <v>46.6</v>
      </c>
      <c r="L449" s="22" t="n">
        <v>47.1</v>
      </c>
      <c r="M449" s="20" t="s">
        <v>81</v>
      </c>
      <c r="N449" s="23" t="s">
        <v>2552</v>
      </c>
      <c r="O449" s="23" t="s">
        <v>1911</v>
      </c>
      <c r="P449" s="23" t="s">
        <v>1912</v>
      </c>
      <c r="Q449" s="23" t="str">
        <f aca="false">IF(A449="UNDATED LEAD","UNRESOLVED",IF(M449="N","EXCEPTION",IF(A449="SKIP",IF(ISNUMBER(SEARCH("_skip_justification.pdf",N449)),"CLEAR - FILE VERIFIED","CLEAR ON EXPORT"),"CLEAR ON LOG")))</f>
        <v>CLEAR ON LOG</v>
      </c>
      <c r="R449" s="23" t="str">
        <f aca="false">IF(Q449="UNRESOLVED","PRIORITY 1 - OBTAIN FILE",IF(Q449&lt;&gt;"EXCEPTION","NONE",IF(OR(AND(A449="LOA AMENDMENT",P449="UNRESOLVED USE"),AND(A449="SKIP",OR(E449="WL-02618",E449="WL-03044",E449="WL-03390"))),"PRIORITY 1",IF(A449="SKIP","PRIORITY 2","PRIORITY 3"))))</f>
        <v>NONE</v>
      </c>
      <c r="S449" s="23" t="s">
        <v>1913</v>
      </c>
      <c r="T449" s="23" t="s">
        <v>2553</v>
      </c>
      <c r="U449" s="23" t="s">
        <v>1915</v>
      </c>
    </row>
    <row r="450" customFormat="false" ht="17.9" hidden="false" customHeight="false" outlineLevel="0" collapsed="false">
      <c r="A450" s="20" t="s">
        <v>1905</v>
      </c>
      <c r="B450" s="21" t="n">
        <v>45945</v>
      </c>
      <c r="C450" s="20" t="s">
        <v>2554</v>
      </c>
      <c r="D450" s="20"/>
      <c r="E450" s="20" t="s">
        <v>2555</v>
      </c>
      <c r="F450" s="20" t="s">
        <v>2556</v>
      </c>
      <c r="G450" s="20"/>
      <c r="H450" s="20"/>
      <c r="I450" s="20"/>
      <c r="J450" s="20" t="s">
        <v>1909</v>
      </c>
      <c r="K450" s="22" t="n">
        <v>23</v>
      </c>
      <c r="L450" s="22" t="n">
        <v>23</v>
      </c>
      <c r="M450" s="20" t="s">
        <v>81</v>
      </c>
      <c r="N450" s="23" t="s">
        <v>2557</v>
      </c>
      <c r="O450" s="23" t="s">
        <v>1911</v>
      </c>
      <c r="P450" s="23" t="s">
        <v>1912</v>
      </c>
      <c r="Q450" s="23" t="str">
        <f aca="false">IF(A450="UNDATED LEAD","UNRESOLVED",IF(M450="N","EXCEPTION",IF(A450="SKIP",IF(ISNUMBER(SEARCH("_skip_justification.pdf",N450)),"CLEAR - FILE VERIFIED","CLEAR ON EXPORT"),"CLEAR ON LOG")))</f>
        <v>CLEAR ON LOG</v>
      </c>
      <c r="R450" s="23" t="str">
        <f aca="false">IF(Q450="UNRESOLVED","PRIORITY 1 - OBTAIN FILE",IF(Q450&lt;&gt;"EXCEPTION","NONE",IF(OR(AND(A450="LOA AMENDMENT",P450="UNRESOLVED USE"),AND(A450="SKIP",OR(E450="WL-02618",E450="WL-03044",E450="WL-03390"))),"PRIORITY 1",IF(A450="SKIP","PRIORITY 2","PRIORITY 3"))))</f>
        <v>NONE</v>
      </c>
      <c r="S450" s="23" t="s">
        <v>1913</v>
      </c>
      <c r="T450" s="23" t="s">
        <v>2558</v>
      </c>
      <c r="U450" s="23" t="s">
        <v>1915</v>
      </c>
    </row>
    <row r="451" customFormat="false" ht="17.9" hidden="false" customHeight="false" outlineLevel="0" collapsed="false">
      <c r="A451" s="20" t="s">
        <v>1905</v>
      </c>
      <c r="B451" s="21" t="n">
        <v>45949</v>
      </c>
      <c r="C451" s="20" t="s">
        <v>2559</v>
      </c>
      <c r="D451" s="20"/>
      <c r="E451" s="20" t="s">
        <v>2560</v>
      </c>
      <c r="F451" s="20" t="s">
        <v>2561</v>
      </c>
      <c r="G451" s="20"/>
      <c r="H451" s="20"/>
      <c r="I451" s="20"/>
      <c r="J451" s="20" t="s">
        <v>1909</v>
      </c>
      <c r="K451" s="22" t="n">
        <v>52.5</v>
      </c>
      <c r="L451" s="22" t="n">
        <v>51</v>
      </c>
      <c r="M451" s="20" t="s">
        <v>81</v>
      </c>
      <c r="N451" s="23" t="s">
        <v>2562</v>
      </c>
      <c r="O451" s="23" t="s">
        <v>1911</v>
      </c>
      <c r="P451" s="23" t="s">
        <v>1912</v>
      </c>
      <c r="Q451" s="23" t="str">
        <f aca="false">IF(A451="UNDATED LEAD","UNRESOLVED",IF(M451="N","EXCEPTION",IF(A451="SKIP",IF(ISNUMBER(SEARCH("_skip_justification.pdf",N451)),"CLEAR - FILE VERIFIED","CLEAR ON EXPORT"),"CLEAR ON LOG")))</f>
        <v>CLEAR ON LOG</v>
      </c>
      <c r="R451" s="23" t="str">
        <f aca="false">IF(Q451="UNRESOLVED","PRIORITY 1 - OBTAIN FILE",IF(Q451&lt;&gt;"EXCEPTION","NONE",IF(OR(AND(A451="LOA AMENDMENT",P451="UNRESOLVED USE"),AND(A451="SKIP",OR(E451="WL-02618",E451="WL-03044",E451="WL-03390"))),"PRIORITY 1",IF(A451="SKIP","PRIORITY 2","PRIORITY 3"))))</f>
        <v>NONE</v>
      </c>
      <c r="S451" s="23" t="s">
        <v>1913</v>
      </c>
      <c r="T451" s="23" t="s">
        <v>2563</v>
      </c>
      <c r="U451" s="23" t="s">
        <v>1915</v>
      </c>
    </row>
    <row r="452" customFormat="false" ht="17.9" hidden="false" customHeight="false" outlineLevel="0" collapsed="false">
      <c r="A452" s="20" t="s">
        <v>1905</v>
      </c>
      <c r="B452" s="21" t="n">
        <v>45956</v>
      </c>
      <c r="C452" s="20" t="s">
        <v>2564</v>
      </c>
      <c r="D452" s="20"/>
      <c r="E452" s="20" t="s">
        <v>2565</v>
      </c>
      <c r="F452" s="20" t="s">
        <v>2566</v>
      </c>
      <c r="G452" s="20"/>
      <c r="H452" s="20"/>
      <c r="I452" s="20"/>
      <c r="J452" s="20" t="s">
        <v>1909</v>
      </c>
      <c r="K452" s="22" t="n">
        <v>43.6</v>
      </c>
      <c r="L452" s="22" t="n">
        <v>46</v>
      </c>
      <c r="M452" s="20" t="s">
        <v>81</v>
      </c>
      <c r="N452" s="23" t="s">
        <v>2567</v>
      </c>
      <c r="O452" s="23" t="s">
        <v>1911</v>
      </c>
      <c r="P452" s="23" t="s">
        <v>1912</v>
      </c>
      <c r="Q452" s="23" t="str">
        <f aca="false">IF(A452="UNDATED LEAD","UNRESOLVED",IF(M452="N","EXCEPTION",IF(A452="SKIP",IF(ISNUMBER(SEARCH("_skip_justification.pdf",N452)),"CLEAR - FILE VERIFIED","CLEAR ON EXPORT"),"CLEAR ON LOG")))</f>
        <v>CLEAR ON LOG</v>
      </c>
      <c r="R452" s="23" t="str">
        <f aca="false">IF(Q452="UNRESOLVED","PRIORITY 1 - OBTAIN FILE",IF(Q452&lt;&gt;"EXCEPTION","NONE",IF(OR(AND(A452="LOA AMENDMENT",P452="UNRESOLVED USE"),AND(A452="SKIP",OR(E452="WL-02618",E452="WL-03044",E452="WL-03390"))),"PRIORITY 1",IF(A452="SKIP","PRIORITY 2","PRIORITY 3"))))</f>
        <v>NONE</v>
      </c>
      <c r="S452" s="23" t="s">
        <v>1913</v>
      </c>
      <c r="T452" s="23" t="s">
        <v>2568</v>
      </c>
      <c r="U452" s="23" t="s">
        <v>1915</v>
      </c>
    </row>
    <row r="453" customFormat="false" ht="17.9" hidden="false" customHeight="false" outlineLevel="0" collapsed="false">
      <c r="A453" s="20" t="s">
        <v>1905</v>
      </c>
      <c r="B453" s="21" t="n">
        <v>45960</v>
      </c>
      <c r="C453" s="20" t="s">
        <v>2569</v>
      </c>
      <c r="D453" s="20"/>
      <c r="E453" s="20" t="s">
        <v>2570</v>
      </c>
      <c r="F453" s="20" t="s">
        <v>2571</v>
      </c>
      <c r="G453" s="20"/>
      <c r="H453" s="20"/>
      <c r="I453" s="20"/>
      <c r="J453" s="20" t="s">
        <v>1909</v>
      </c>
      <c r="K453" s="22" t="n">
        <v>48.6</v>
      </c>
      <c r="L453" s="22" t="n">
        <v>49</v>
      </c>
      <c r="M453" s="20" t="s">
        <v>110</v>
      </c>
      <c r="N453" s="23" t="s">
        <v>1957</v>
      </c>
      <c r="O453" s="23" t="s">
        <v>1911</v>
      </c>
      <c r="P453" s="23" t="s">
        <v>2129</v>
      </c>
      <c r="Q453" s="23" t="str">
        <f aca="false">IF(A453="UNDATED LEAD","UNRESOLVED",IF(M453="N","EXCEPTION",IF(A453="SKIP",IF(ISNUMBER(SEARCH("_skip_justification.pdf",N453)),"CLEAR - FILE VERIFIED","CLEAR ON EXPORT"),"CLEAR ON LOG")))</f>
        <v>EXCEPTION</v>
      </c>
      <c r="R453" s="23" t="str">
        <f aca="false">IF(Q453="UNRESOLVED","PRIORITY 1 - OBTAIN FILE",IF(Q453&lt;&gt;"EXCEPTION","NONE",IF(OR(AND(A453="LOA AMENDMENT",P453="UNRESOLVED USE"),AND(A453="SKIP",OR(E453="WL-02618",E453="WL-03044",E453="WL-03390"))),"PRIORITY 1",IF(A453="SKIP","PRIORITY 2","PRIORITY 3"))))</f>
        <v>PRIORITY 1</v>
      </c>
      <c r="S453" s="23" t="s">
        <v>2572</v>
      </c>
      <c r="T453" s="23" t="s">
        <v>2573</v>
      </c>
      <c r="U453" s="23" t="s">
        <v>1915</v>
      </c>
    </row>
    <row r="454" customFormat="false" ht="17.9" hidden="false" customHeight="false" outlineLevel="0" collapsed="false">
      <c r="A454" s="20" t="s">
        <v>1905</v>
      </c>
      <c r="B454" s="21" t="n">
        <v>45960</v>
      </c>
      <c r="C454" s="20" t="s">
        <v>2574</v>
      </c>
      <c r="D454" s="20"/>
      <c r="E454" s="20" t="s">
        <v>2575</v>
      </c>
      <c r="F454" s="20" t="s">
        <v>2576</v>
      </c>
      <c r="G454" s="20"/>
      <c r="H454" s="20"/>
      <c r="I454" s="20"/>
      <c r="J454" s="20" t="s">
        <v>1909</v>
      </c>
      <c r="K454" s="22" t="n">
        <v>53.2</v>
      </c>
      <c r="L454" s="22" t="n">
        <v>50.3</v>
      </c>
      <c r="M454" s="20" t="s">
        <v>81</v>
      </c>
      <c r="N454" s="23" t="s">
        <v>2577</v>
      </c>
      <c r="O454" s="23" t="s">
        <v>1911</v>
      </c>
      <c r="P454" s="23" t="s">
        <v>1912</v>
      </c>
      <c r="Q454" s="23" t="str">
        <f aca="false">IF(A454="UNDATED LEAD","UNRESOLVED",IF(M454="N","EXCEPTION",IF(A454="SKIP",IF(ISNUMBER(SEARCH("_skip_justification.pdf",N454)),"CLEAR - FILE VERIFIED","CLEAR ON EXPORT"),"CLEAR ON LOG")))</f>
        <v>CLEAR ON LOG</v>
      </c>
      <c r="R454" s="23" t="str">
        <f aca="false">IF(Q454="UNRESOLVED","PRIORITY 1 - OBTAIN FILE",IF(Q454&lt;&gt;"EXCEPTION","NONE",IF(OR(AND(A454="LOA AMENDMENT",P454="UNRESOLVED USE"),AND(A454="SKIP",OR(E454="WL-02618",E454="WL-03044",E454="WL-03390"))),"PRIORITY 1",IF(A454="SKIP","PRIORITY 2","PRIORITY 3"))))</f>
        <v>NONE</v>
      </c>
      <c r="S454" s="23" t="s">
        <v>1913</v>
      </c>
      <c r="T454" s="23" t="s">
        <v>2578</v>
      </c>
      <c r="U454" s="23" t="s">
        <v>1915</v>
      </c>
    </row>
    <row r="455" customFormat="false" ht="17.9" hidden="false" customHeight="false" outlineLevel="0" collapsed="false">
      <c r="A455" s="20" t="s">
        <v>1905</v>
      </c>
      <c r="B455" s="21" t="n">
        <v>45962</v>
      </c>
      <c r="C455" s="20" t="s">
        <v>2579</v>
      </c>
      <c r="D455" s="20"/>
      <c r="E455" s="20" t="s">
        <v>2580</v>
      </c>
      <c r="F455" s="20" t="s">
        <v>2581</v>
      </c>
      <c r="G455" s="20"/>
      <c r="H455" s="20"/>
      <c r="I455" s="20"/>
      <c r="J455" s="20" t="s">
        <v>1909</v>
      </c>
      <c r="K455" s="22" t="n">
        <v>46.5</v>
      </c>
      <c r="L455" s="22" t="n">
        <v>48</v>
      </c>
      <c r="M455" s="20" t="s">
        <v>81</v>
      </c>
      <c r="N455" s="23" t="s">
        <v>2582</v>
      </c>
      <c r="O455" s="23" t="s">
        <v>1911</v>
      </c>
      <c r="P455" s="23" t="s">
        <v>1912</v>
      </c>
      <c r="Q455" s="23" t="str">
        <f aca="false">IF(A455="UNDATED LEAD","UNRESOLVED",IF(M455="N","EXCEPTION",IF(A455="SKIP",IF(ISNUMBER(SEARCH("_skip_justification.pdf",N455)),"CLEAR - FILE VERIFIED","CLEAR ON EXPORT"),"CLEAR ON LOG")))</f>
        <v>CLEAR ON LOG</v>
      </c>
      <c r="R455" s="23" t="str">
        <f aca="false">IF(Q455="UNRESOLVED","PRIORITY 1 - OBTAIN FILE",IF(Q455&lt;&gt;"EXCEPTION","NONE",IF(OR(AND(A455="LOA AMENDMENT",P455="UNRESOLVED USE"),AND(A455="SKIP",OR(E455="WL-02618",E455="WL-03044",E455="WL-03390"))),"PRIORITY 1",IF(A455="SKIP","PRIORITY 2","PRIORITY 3"))))</f>
        <v>NONE</v>
      </c>
      <c r="S455" s="23" t="s">
        <v>1913</v>
      </c>
      <c r="T455" s="23" t="s">
        <v>2583</v>
      </c>
      <c r="U455" s="23" t="s">
        <v>1915</v>
      </c>
    </row>
    <row r="456" customFormat="false" ht="17.9" hidden="false" customHeight="false" outlineLevel="0" collapsed="false">
      <c r="A456" s="20" t="s">
        <v>1905</v>
      </c>
      <c r="B456" s="21" t="n">
        <v>45973</v>
      </c>
      <c r="C456" s="20" t="s">
        <v>2584</v>
      </c>
      <c r="D456" s="20"/>
      <c r="E456" s="20" t="s">
        <v>2585</v>
      </c>
      <c r="F456" s="20" t="s">
        <v>2586</v>
      </c>
      <c r="G456" s="20"/>
      <c r="H456" s="20"/>
      <c r="I456" s="20"/>
      <c r="J456" s="20" t="s">
        <v>1909</v>
      </c>
      <c r="K456" s="22" t="n">
        <v>34.8</v>
      </c>
      <c r="L456" s="22" t="n">
        <v>37.3</v>
      </c>
      <c r="M456" s="20" t="s">
        <v>81</v>
      </c>
      <c r="N456" s="23" t="s">
        <v>2587</v>
      </c>
      <c r="O456" s="23" t="s">
        <v>1911</v>
      </c>
      <c r="P456" s="23" t="s">
        <v>1912</v>
      </c>
      <c r="Q456" s="23" t="str">
        <f aca="false">IF(A456="UNDATED LEAD","UNRESOLVED",IF(M456="N","EXCEPTION",IF(A456="SKIP",IF(ISNUMBER(SEARCH("_skip_justification.pdf",N456)),"CLEAR - FILE VERIFIED","CLEAR ON EXPORT"),"CLEAR ON LOG")))</f>
        <v>CLEAR ON LOG</v>
      </c>
      <c r="R456" s="23" t="str">
        <f aca="false">IF(Q456="UNRESOLVED","PRIORITY 1 - OBTAIN FILE",IF(Q456&lt;&gt;"EXCEPTION","NONE",IF(OR(AND(A456="LOA AMENDMENT",P456="UNRESOLVED USE"),AND(A456="SKIP",OR(E456="WL-02618",E456="WL-03044",E456="WL-03390"))),"PRIORITY 1",IF(A456="SKIP","PRIORITY 2","PRIORITY 3"))))</f>
        <v>NONE</v>
      </c>
      <c r="S456" s="23" t="s">
        <v>1913</v>
      </c>
      <c r="T456" s="23" t="s">
        <v>2588</v>
      </c>
      <c r="U456" s="23" t="s">
        <v>1915</v>
      </c>
    </row>
    <row r="457" customFormat="false" ht="17.9" hidden="false" customHeight="false" outlineLevel="0" collapsed="false">
      <c r="A457" s="20" t="s">
        <v>1905</v>
      </c>
      <c r="B457" s="21" t="n">
        <v>45973</v>
      </c>
      <c r="C457" s="20" t="s">
        <v>2589</v>
      </c>
      <c r="D457" s="20"/>
      <c r="E457" s="20" t="s">
        <v>2590</v>
      </c>
      <c r="F457" s="20" t="s">
        <v>2591</v>
      </c>
      <c r="G457" s="20"/>
      <c r="H457" s="20"/>
      <c r="I457" s="20"/>
      <c r="J457" s="20" t="s">
        <v>1909</v>
      </c>
      <c r="K457" s="22" t="n">
        <v>26.7</v>
      </c>
      <c r="L457" s="22" t="n">
        <v>24</v>
      </c>
      <c r="M457" s="20" t="s">
        <v>81</v>
      </c>
      <c r="N457" s="23" t="s">
        <v>2592</v>
      </c>
      <c r="O457" s="23" t="s">
        <v>1911</v>
      </c>
      <c r="P457" s="23" t="s">
        <v>1912</v>
      </c>
      <c r="Q457" s="23" t="str">
        <f aca="false">IF(A457="UNDATED LEAD","UNRESOLVED",IF(M457="N","EXCEPTION",IF(A457="SKIP",IF(ISNUMBER(SEARCH("_skip_justification.pdf",N457)),"CLEAR - FILE VERIFIED","CLEAR ON EXPORT"),"CLEAR ON LOG")))</f>
        <v>CLEAR ON LOG</v>
      </c>
      <c r="R457" s="23" t="str">
        <f aca="false">IF(Q457="UNRESOLVED","PRIORITY 1 - OBTAIN FILE",IF(Q457&lt;&gt;"EXCEPTION","NONE",IF(OR(AND(A457="LOA AMENDMENT",P457="UNRESOLVED USE"),AND(A457="SKIP",OR(E457="WL-02618",E457="WL-03044",E457="WL-03390"))),"PRIORITY 1",IF(A457="SKIP","PRIORITY 2","PRIORITY 3"))))</f>
        <v>NONE</v>
      </c>
      <c r="S457" s="23" t="s">
        <v>1913</v>
      </c>
      <c r="T457" s="23" t="s">
        <v>2593</v>
      </c>
      <c r="U457" s="23" t="s">
        <v>1915</v>
      </c>
    </row>
    <row r="458" customFormat="false" ht="17.9" hidden="false" customHeight="false" outlineLevel="0" collapsed="false">
      <c r="A458" s="20" t="s">
        <v>1905</v>
      </c>
      <c r="B458" s="21" t="n">
        <v>45976</v>
      </c>
      <c r="C458" s="20" t="s">
        <v>2594</v>
      </c>
      <c r="D458" s="20"/>
      <c r="E458" s="20" t="s">
        <v>2146</v>
      </c>
      <c r="F458" s="20" t="s">
        <v>2147</v>
      </c>
      <c r="G458" s="20"/>
      <c r="H458" s="20"/>
      <c r="I458" s="20"/>
      <c r="J458" s="20" t="s">
        <v>1909</v>
      </c>
      <c r="K458" s="22" t="n">
        <v>45.2</v>
      </c>
      <c r="L458" s="22" t="n">
        <v>44.2</v>
      </c>
      <c r="M458" s="20" t="s">
        <v>81</v>
      </c>
      <c r="N458" s="23" t="s">
        <v>2595</v>
      </c>
      <c r="O458" s="23" t="s">
        <v>1911</v>
      </c>
      <c r="P458" s="23" t="s">
        <v>1912</v>
      </c>
      <c r="Q458" s="23" t="str">
        <f aca="false">IF(A458="UNDATED LEAD","UNRESOLVED",IF(M458="N","EXCEPTION",IF(A458="SKIP",IF(ISNUMBER(SEARCH("_skip_justification.pdf",N458)),"CLEAR - FILE VERIFIED","CLEAR ON EXPORT"),"CLEAR ON LOG")))</f>
        <v>CLEAR ON LOG</v>
      </c>
      <c r="R458" s="23" t="str">
        <f aca="false">IF(Q458="UNRESOLVED","PRIORITY 1 - OBTAIN FILE",IF(Q458&lt;&gt;"EXCEPTION","NONE",IF(OR(AND(A458="LOA AMENDMENT",P458="UNRESOLVED USE"),AND(A458="SKIP",OR(E458="WL-02618",E458="WL-03044",E458="WL-03390"))),"PRIORITY 1",IF(A458="SKIP","PRIORITY 2","PRIORITY 3"))))</f>
        <v>NONE</v>
      </c>
      <c r="S458" s="23" t="s">
        <v>1913</v>
      </c>
      <c r="T458" s="23" t="s">
        <v>2596</v>
      </c>
      <c r="U458" s="23" t="s">
        <v>1915</v>
      </c>
    </row>
    <row r="459" customFormat="false" ht="17.9" hidden="false" customHeight="false" outlineLevel="0" collapsed="false">
      <c r="A459" s="20" t="s">
        <v>1905</v>
      </c>
      <c r="B459" s="21" t="n">
        <v>45978</v>
      </c>
      <c r="C459" s="20" t="s">
        <v>2597</v>
      </c>
      <c r="D459" s="20"/>
      <c r="E459" s="20" t="s">
        <v>2598</v>
      </c>
      <c r="F459" s="20" t="s">
        <v>2599</v>
      </c>
      <c r="G459" s="20"/>
      <c r="H459" s="20"/>
      <c r="I459" s="20"/>
      <c r="J459" s="20" t="s">
        <v>1909</v>
      </c>
      <c r="K459" s="22" t="n">
        <v>32.7</v>
      </c>
      <c r="L459" s="22" t="n">
        <v>32.1</v>
      </c>
      <c r="M459" s="20" t="s">
        <v>81</v>
      </c>
      <c r="N459" s="23" t="s">
        <v>2600</v>
      </c>
      <c r="O459" s="23" t="s">
        <v>1911</v>
      </c>
      <c r="P459" s="23" t="s">
        <v>1912</v>
      </c>
      <c r="Q459" s="23" t="str">
        <f aca="false">IF(A459="UNDATED LEAD","UNRESOLVED",IF(M459="N","EXCEPTION",IF(A459="SKIP",IF(ISNUMBER(SEARCH("_skip_justification.pdf",N459)),"CLEAR - FILE VERIFIED","CLEAR ON EXPORT"),"CLEAR ON LOG")))</f>
        <v>CLEAR ON LOG</v>
      </c>
      <c r="R459" s="23" t="str">
        <f aca="false">IF(Q459="UNRESOLVED","PRIORITY 1 - OBTAIN FILE",IF(Q459&lt;&gt;"EXCEPTION","NONE",IF(OR(AND(A459="LOA AMENDMENT",P459="UNRESOLVED USE"),AND(A459="SKIP",OR(E459="WL-02618",E459="WL-03044",E459="WL-03390"))),"PRIORITY 1",IF(A459="SKIP","PRIORITY 2","PRIORITY 3"))))</f>
        <v>NONE</v>
      </c>
      <c r="S459" s="23" t="s">
        <v>1913</v>
      </c>
      <c r="T459" s="23" t="s">
        <v>2601</v>
      </c>
      <c r="U459" s="23" t="s">
        <v>1915</v>
      </c>
    </row>
    <row r="460" customFormat="false" ht="17.9" hidden="false" customHeight="false" outlineLevel="0" collapsed="false">
      <c r="A460" s="20" t="s">
        <v>1905</v>
      </c>
      <c r="B460" s="21" t="n">
        <v>45984</v>
      </c>
      <c r="C460" s="20" t="s">
        <v>2602</v>
      </c>
      <c r="D460" s="20"/>
      <c r="E460" s="20" t="s">
        <v>2603</v>
      </c>
      <c r="F460" s="20" t="s">
        <v>2604</v>
      </c>
      <c r="G460" s="20"/>
      <c r="H460" s="20"/>
      <c r="I460" s="20"/>
      <c r="J460" s="20" t="s">
        <v>1909</v>
      </c>
      <c r="K460" s="22" t="n">
        <v>29.9</v>
      </c>
      <c r="L460" s="22" t="n">
        <v>30.2</v>
      </c>
      <c r="M460" s="20" t="s">
        <v>81</v>
      </c>
      <c r="N460" s="23" t="s">
        <v>2605</v>
      </c>
      <c r="O460" s="23" t="s">
        <v>1911</v>
      </c>
      <c r="P460" s="23" t="s">
        <v>1912</v>
      </c>
      <c r="Q460" s="23" t="str">
        <f aca="false">IF(A460="UNDATED LEAD","UNRESOLVED",IF(M460="N","EXCEPTION",IF(A460="SKIP",IF(ISNUMBER(SEARCH("_skip_justification.pdf",N460)),"CLEAR - FILE VERIFIED","CLEAR ON EXPORT"),"CLEAR ON LOG")))</f>
        <v>CLEAR ON LOG</v>
      </c>
      <c r="R460" s="23" t="str">
        <f aca="false">IF(Q460="UNRESOLVED","PRIORITY 1 - OBTAIN FILE",IF(Q460&lt;&gt;"EXCEPTION","NONE",IF(OR(AND(A460="LOA AMENDMENT",P460="UNRESOLVED USE"),AND(A460="SKIP",OR(E460="WL-02618",E460="WL-03044",E460="WL-03390"))),"PRIORITY 1",IF(A460="SKIP","PRIORITY 2","PRIORITY 3"))))</f>
        <v>NONE</v>
      </c>
      <c r="S460" s="23" t="s">
        <v>1913</v>
      </c>
      <c r="T460" s="23" t="s">
        <v>2606</v>
      </c>
      <c r="U460" s="23" t="s">
        <v>1915</v>
      </c>
    </row>
    <row r="461" customFormat="false" ht="17.9" hidden="false" customHeight="false" outlineLevel="0" collapsed="false">
      <c r="A461" s="20" t="s">
        <v>1905</v>
      </c>
      <c r="B461" s="21" t="n">
        <v>46005</v>
      </c>
      <c r="C461" s="20" t="s">
        <v>2607</v>
      </c>
      <c r="D461" s="20"/>
      <c r="E461" s="20" t="s">
        <v>1800</v>
      </c>
      <c r="F461" s="20" t="s">
        <v>1801</v>
      </c>
      <c r="G461" s="20"/>
      <c r="H461" s="20"/>
      <c r="I461" s="20"/>
      <c r="J461" s="20" t="s">
        <v>1909</v>
      </c>
      <c r="K461" s="22" t="n">
        <v>48.4</v>
      </c>
      <c r="L461" s="22" t="n">
        <v>51</v>
      </c>
      <c r="M461" s="20" t="s">
        <v>81</v>
      </c>
      <c r="N461" s="23" t="s">
        <v>2608</v>
      </c>
      <c r="O461" s="23" t="s">
        <v>1911</v>
      </c>
      <c r="P461" s="23" t="s">
        <v>1912</v>
      </c>
      <c r="Q461" s="23" t="str">
        <f aca="false">IF(A461="UNDATED LEAD","UNRESOLVED",IF(M461="N","EXCEPTION",IF(A461="SKIP",IF(ISNUMBER(SEARCH("_skip_justification.pdf",N461)),"CLEAR - FILE VERIFIED","CLEAR ON EXPORT"),"CLEAR ON LOG")))</f>
        <v>CLEAR ON LOG</v>
      </c>
      <c r="R461" s="23" t="str">
        <f aca="false">IF(Q461="UNRESOLVED","PRIORITY 1 - OBTAIN FILE",IF(Q461&lt;&gt;"EXCEPTION","NONE",IF(OR(AND(A461="LOA AMENDMENT",P461="UNRESOLVED USE"),AND(A461="SKIP",OR(E461="WL-02618",E461="WL-03044",E461="WL-03390"))),"PRIORITY 1",IF(A461="SKIP","PRIORITY 2","PRIORITY 3"))))</f>
        <v>NONE</v>
      </c>
      <c r="S461" s="23" t="s">
        <v>1913</v>
      </c>
      <c r="T461" s="23" t="s">
        <v>2609</v>
      </c>
      <c r="U461" s="23" t="s">
        <v>1915</v>
      </c>
    </row>
    <row r="462" customFormat="false" ht="17.9" hidden="false" customHeight="false" outlineLevel="0" collapsed="false">
      <c r="A462" s="20" t="s">
        <v>1905</v>
      </c>
      <c r="B462" s="21" t="n">
        <v>46020</v>
      </c>
      <c r="C462" s="20" t="s">
        <v>2610</v>
      </c>
      <c r="D462" s="20"/>
      <c r="E462" s="20" t="s">
        <v>2611</v>
      </c>
      <c r="F462" s="20" t="s">
        <v>2612</v>
      </c>
      <c r="G462" s="20"/>
      <c r="H462" s="20"/>
      <c r="I462" s="20"/>
      <c r="J462" s="20" t="s">
        <v>1909</v>
      </c>
      <c r="K462" s="22" t="n">
        <v>42.4</v>
      </c>
      <c r="L462" s="22" t="n">
        <v>44.1</v>
      </c>
      <c r="M462" s="20" t="s">
        <v>81</v>
      </c>
      <c r="N462" s="23" t="s">
        <v>2613</v>
      </c>
      <c r="O462" s="23" t="s">
        <v>1911</v>
      </c>
      <c r="P462" s="23" t="s">
        <v>1912</v>
      </c>
      <c r="Q462" s="23" t="str">
        <f aca="false">IF(A462="UNDATED LEAD","UNRESOLVED",IF(M462="N","EXCEPTION",IF(A462="SKIP",IF(ISNUMBER(SEARCH("_skip_justification.pdf",N462)),"CLEAR - FILE VERIFIED","CLEAR ON EXPORT"),"CLEAR ON LOG")))</f>
        <v>CLEAR ON LOG</v>
      </c>
      <c r="R462" s="23" t="str">
        <f aca="false">IF(Q462="UNRESOLVED","PRIORITY 1 - OBTAIN FILE",IF(Q462&lt;&gt;"EXCEPTION","NONE",IF(OR(AND(A462="LOA AMENDMENT",P462="UNRESOLVED USE"),AND(A462="SKIP",OR(E462="WL-02618",E462="WL-03044",E462="WL-03390"))),"PRIORITY 1",IF(A462="SKIP","PRIORITY 2","PRIORITY 3"))))</f>
        <v>NONE</v>
      </c>
      <c r="S462" s="23" t="s">
        <v>1913</v>
      </c>
      <c r="T462" s="23" t="s">
        <v>2614</v>
      </c>
      <c r="U462" s="23" t="s">
        <v>1915</v>
      </c>
    </row>
    <row r="463" customFormat="false" ht="17.9" hidden="false" customHeight="false" outlineLevel="0" collapsed="false">
      <c r="A463" s="20" t="s">
        <v>1905</v>
      </c>
      <c r="B463" s="21" t="n">
        <v>46026</v>
      </c>
      <c r="C463" s="20" t="s">
        <v>2615</v>
      </c>
      <c r="D463" s="20"/>
      <c r="E463" s="20" t="s">
        <v>2616</v>
      </c>
      <c r="F463" s="20" t="s">
        <v>2617</v>
      </c>
      <c r="G463" s="20"/>
      <c r="H463" s="20"/>
      <c r="I463" s="20"/>
      <c r="J463" s="20" t="s">
        <v>1909</v>
      </c>
      <c r="K463" s="22" t="n">
        <v>49</v>
      </c>
      <c r="L463" s="22" t="n">
        <v>49.8</v>
      </c>
      <c r="M463" s="20" t="s">
        <v>110</v>
      </c>
      <c r="N463" s="23" t="s">
        <v>1957</v>
      </c>
      <c r="O463" s="23" t="s">
        <v>1911</v>
      </c>
      <c r="P463" s="23" t="s">
        <v>1958</v>
      </c>
      <c r="Q463" s="23" t="str">
        <f aca="false">IF(A463="UNDATED LEAD","UNRESOLVED",IF(M463="N","EXCEPTION",IF(A463="SKIP",IF(ISNUMBER(SEARCH("_skip_justification.pdf",N463)),"CLEAR - FILE VERIFIED","CLEAR ON EXPORT"),"CLEAR ON LOG")))</f>
        <v>EXCEPTION</v>
      </c>
      <c r="R463" s="23" t="str">
        <f aca="false">IF(Q463="UNRESOLVED","PRIORITY 1 - OBTAIN FILE",IF(Q463&lt;&gt;"EXCEPTION","NONE",IF(OR(AND(A463="LOA AMENDMENT",P463="UNRESOLVED USE"),AND(A463="SKIP",OR(E463="WL-02618",E463="WL-03044",E463="WL-03390"))),"PRIORITY 1",IF(A463="SKIP","PRIORITY 2","PRIORITY 3"))))</f>
        <v>PRIORITY 3</v>
      </c>
      <c r="S463" s="23" t="s">
        <v>2618</v>
      </c>
      <c r="T463" s="23" t="s">
        <v>2619</v>
      </c>
      <c r="U463" s="23" t="s">
        <v>1915</v>
      </c>
    </row>
    <row r="464" customFormat="false" ht="17.9" hidden="false" customHeight="false" outlineLevel="0" collapsed="false">
      <c r="A464" s="20" t="s">
        <v>1905</v>
      </c>
      <c r="B464" s="21" t="n">
        <v>46027</v>
      </c>
      <c r="C464" s="20" t="s">
        <v>2620</v>
      </c>
      <c r="D464" s="20"/>
      <c r="E464" s="20" t="s">
        <v>2621</v>
      </c>
      <c r="F464" s="20" t="s">
        <v>2622</v>
      </c>
      <c r="G464" s="20"/>
      <c r="H464" s="20"/>
      <c r="I464" s="20"/>
      <c r="J464" s="20" t="s">
        <v>1909</v>
      </c>
      <c r="K464" s="22" t="n">
        <v>40.2</v>
      </c>
      <c r="L464" s="22" t="n">
        <v>37.5</v>
      </c>
      <c r="M464" s="20" t="s">
        <v>81</v>
      </c>
      <c r="N464" s="23" t="s">
        <v>2623</v>
      </c>
      <c r="O464" s="23" t="s">
        <v>1911</v>
      </c>
      <c r="P464" s="23" t="s">
        <v>1912</v>
      </c>
      <c r="Q464" s="23" t="str">
        <f aca="false">IF(A464="UNDATED LEAD","UNRESOLVED",IF(M464="N","EXCEPTION",IF(A464="SKIP",IF(ISNUMBER(SEARCH("_skip_justification.pdf",N464)),"CLEAR - FILE VERIFIED","CLEAR ON EXPORT"),"CLEAR ON LOG")))</f>
        <v>CLEAR ON LOG</v>
      </c>
      <c r="R464" s="23" t="str">
        <f aca="false">IF(Q464="UNRESOLVED","PRIORITY 1 - OBTAIN FILE",IF(Q464&lt;&gt;"EXCEPTION","NONE",IF(OR(AND(A464="LOA AMENDMENT",P464="UNRESOLVED USE"),AND(A464="SKIP",OR(E464="WL-02618",E464="WL-03044",E464="WL-03390"))),"PRIORITY 1",IF(A464="SKIP","PRIORITY 2","PRIORITY 3"))))</f>
        <v>NONE</v>
      </c>
      <c r="S464" s="23" t="s">
        <v>1913</v>
      </c>
      <c r="T464" s="23" t="s">
        <v>2624</v>
      </c>
      <c r="U464" s="23" t="s">
        <v>1915</v>
      </c>
    </row>
    <row r="465" customFormat="false" ht="17.9" hidden="false" customHeight="false" outlineLevel="0" collapsed="false">
      <c r="A465" s="20" t="s">
        <v>1905</v>
      </c>
      <c r="B465" s="21" t="n">
        <v>46046</v>
      </c>
      <c r="C465" s="20" t="s">
        <v>2625</v>
      </c>
      <c r="D465" s="20"/>
      <c r="E465" s="20" t="s">
        <v>2626</v>
      </c>
      <c r="F465" s="20" t="s">
        <v>2627</v>
      </c>
      <c r="G465" s="20"/>
      <c r="H465" s="20"/>
      <c r="I465" s="20"/>
      <c r="J465" s="20" t="s">
        <v>1909</v>
      </c>
      <c r="K465" s="22" t="n">
        <v>30.3</v>
      </c>
      <c r="L465" s="22" t="n">
        <v>27.7</v>
      </c>
      <c r="M465" s="20" t="s">
        <v>110</v>
      </c>
      <c r="N465" s="23" t="s">
        <v>1957</v>
      </c>
      <c r="O465" s="23" t="s">
        <v>1911</v>
      </c>
      <c r="P465" s="23" t="s">
        <v>1958</v>
      </c>
      <c r="Q465" s="23" t="str">
        <f aca="false">IF(A465="UNDATED LEAD","UNRESOLVED",IF(M465="N","EXCEPTION",IF(A465="SKIP",IF(ISNUMBER(SEARCH("_skip_justification.pdf",N465)),"CLEAR - FILE VERIFIED","CLEAR ON EXPORT"),"CLEAR ON LOG")))</f>
        <v>EXCEPTION</v>
      </c>
      <c r="R465" s="23" t="str">
        <f aca="false">IF(Q465="UNRESOLVED","PRIORITY 1 - OBTAIN FILE",IF(Q465&lt;&gt;"EXCEPTION","NONE",IF(OR(AND(A465="LOA AMENDMENT",P465="UNRESOLVED USE"),AND(A465="SKIP",OR(E465="WL-02618",E465="WL-03044",E465="WL-03390"))),"PRIORITY 1",IF(A465="SKIP","PRIORITY 2","PRIORITY 3"))))</f>
        <v>PRIORITY 3</v>
      </c>
      <c r="S465" s="23" t="s">
        <v>2628</v>
      </c>
      <c r="T465" s="23" t="s">
        <v>2629</v>
      </c>
      <c r="U465" s="23" t="s">
        <v>1915</v>
      </c>
    </row>
    <row r="466" customFormat="false" ht="17.9" hidden="false" customHeight="false" outlineLevel="0" collapsed="false">
      <c r="A466" s="20" t="s">
        <v>1905</v>
      </c>
      <c r="B466" s="21" t="n">
        <v>46047</v>
      </c>
      <c r="C466" s="20" t="s">
        <v>2630</v>
      </c>
      <c r="D466" s="20"/>
      <c r="E466" s="20" t="s">
        <v>2631</v>
      </c>
      <c r="F466" s="20" t="s">
        <v>2632</v>
      </c>
      <c r="G466" s="20"/>
      <c r="H466" s="20"/>
      <c r="I466" s="20"/>
      <c r="J466" s="20" t="s">
        <v>1909</v>
      </c>
      <c r="K466" s="22" t="n">
        <v>53.4</v>
      </c>
      <c r="L466" s="22" t="n">
        <v>54</v>
      </c>
      <c r="M466" s="20" t="s">
        <v>81</v>
      </c>
      <c r="N466" s="23" t="s">
        <v>2114</v>
      </c>
      <c r="O466" s="23" t="s">
        <v>1911</v>
      </c>
      <c r="P466" s="23" t="s">
        <v>1912</v>
      </c>
      <c r="Q466" s="23" t="str">
        <f aca="false">IF(A466="UNDATED LEAD","UNRESOLVED",IF(M466="N","EXCEPTION",IF(A466="SKIP",IF(ISNUMBER(SEARCH("_skip_justification.pdf",N466)),"CLEAR - FILE VERIFIED","CLEAR ON EXPORT"),"CLEAR ON LOG")))</f>
        <v>CLEAR ON LOG</v>
      </c>
      <c r="R466" s="23" t="str">
        <f aca="false">IF(Q466="UNRESOLVED","PRIORITY 1 - OBTAIN FILE",IF(Q466&lt;&gt;"EXCEPTION","NONE",IF(OR(AND(A466="LOA AMENDMENT",P466="UNRESOLVED USE"),AND(A466="SKIP",OR(E466="WL-02618",E466="WL-03044",E466="WL-03390"))),"PRIORITY 1",IF(A466="SKIP","PRIORITY 2","PRIORITY 3"))))</f>
        <v>NONE</v>
      </c>
      <c r="S466" s="23" t="s">
        <v>1913</v>
      </c>
      <c r="T466" s="23" t="s">
        <v>2633</v>
      </c>
      <c r="U466" s="23" t="s">
        <v>1915</v>
      </c>
    </row>
    <row r="467" customFormat="false" ht="17.9" hidden="false" customHeight="false" outlineLevel="0" collapsed="false">
      <c r="A467" s="20" t="s">
        <v>1905</v>
      </c>
      <c r="B467" s="21" t="n">
        <v>46049</v>
      </c>
      <c r="C467" s="20" t="s">
        <v>2634</v>
      </c>
      <c r="D467" s="20"/>
      <c r="E467" s="20" t="s">
        <v>2635</v>
      </c>
      <c r="F467" s="20" t="s">
        <v>2636</v>
      </c>
      <c r="G467" s="20"/>
      <c r="H467" s="20"/>
      <c r="I467" s="20"/>
      <c r="J467" s="20" t="s">
        <v>1909</v>
      </c>
      <c r="K467" s="22" t="n">
        <v>32.9</v>
      </c>
      <c r="L467" s="22" t="n">
        <v>35.5</v>
      </c>
      <c r="M467" s="20" t="s">
        <v>110</v>
      </c>
      <c r="N467" s="23" t="s">
        <v>1957</v>
      </c>
      <c r="O467" s="23" t="s">
        <v>1911</v>
      </c>
      <c r="P467" s="23" t="s">
        <v>1958</v>
      </c>
      <c r="Q467" s="23" t="str">
        <f aca="false">IF(A467="UNDATED LEAD","UNRESOLVED",IF(M467="N","EXCEPTION",IF(A467="SKIP",IF(ISNUMBER(SEARCH("_skip_justification.pdf",N467)),"CLEAR - FILE VERIFIED","CLEAR ON EXPORT"),"CLEAR ON LOG")))</f>
        <v>EXCEPTION</v>
      </c>
      <c r="R467" s="23" t="str">
        <f aca="false">IF(Q467="UNRESOLVED","PRIORITY 1 - OBTAIN FILE",IF(Q467&lt;&gt;"EXCEPTION","NONE",IF(OR(AND(A467="LOA AMENDMENT",P467="UNRESOLVED USE"),AND(A467="SKIP",OR(E467="WL-02618",E467="WL-03044",E467="WL-03390"))),"PRIORITY 1",IF(A467="SKIP","PRIORITY 2","PRIORITY 3"))))</f>
        <v>PRIORITY 3</v>
      </c>
      <c r="S467" s="23" t="s">
        <v>2637</v>
      </c>
      <c r="T467" s="23" t="s">
        <v>2638</v>
      </c>
      <c r="U467" s="23" t="s">
        <v>1915</v>
      </c>
    </row>
    <row r="468" customFormat="false" ht="17.9" hidden="false" customHeight="false" outlineLevel="0" collapsed="false">
      <c r="A468" s="20" t="s">
        <v>1905</v>
      </c>
      <c r="B468" s="21" t="n">
        <v>46049</v>
      </c>
      <c r="C468" s="20" t="s">
        <v>2639</v>
      </c>
      <c r="D468" s="20"/>
      <c r="E468" s="20" t="s">
        <v>2640</v>
      </c>
      <c r="F468" s="20" t="s">
        <v>2641</v>
      </c>
      <c r="G468" s="20"/>
      <c r="H468" s="20"/>
      <c r="I468" s="20"/>
      <c r="J468" s="20" t="s">
        <v>1909</v>
      </c>
      <c r="K468" s="22" t="n">
        <v>51.2</v>
      </c>
      <c r="L468" s="22" t="n">
        <v>53.5</v>
      </c>
      <c r="M468" s="20" t="s">
        <v>81</v>
      </c>
      <c r="N468" s="23" t="s">
        <v>2642</v>
      </c>
      <c r="O468" s="23" t="s">
        <v>1911</v>
      </c>
      <c r="P468" s="23" t="s">
        <v>1912</v>
      </c>
      <c r="Q468" s="23" t="str">
        <f aca="false">IF(A468="UNDATED LEAD","UNRESOLVED",IF(M468="N","EXCEPTION",IF(A468="SKIP",IF(ISNUMBER(SEARCH("_skip_justification.pdf",N468)),"CLEAR - FILE VERIFIED","CLEAR ON EXPORT"),"CLEAR ON LOG")))</f>
        <v>CLEAR ON LOG</v>
      </c>
      <c r="R468" s="23" t="str">
        <f aca="false">IF(Q468="UNRESOLVED","PRIORITY 1 - OBTAIN FILE",IF(Q468&lt;&gt;"EXCEPTION","NONE",IF(OR(AND(A468="LOA AMENDMENT",P468="UNRESOLVED USE"),AND(A468="SKIP",OR(E468="WL-02618",E468="WL-03044",E468="WL-03390"))),"PRIORITY 1",IF(A468="SKIP","PRIORITY 2","PRIORITY 3"))))</f>
        <v>NONE</v>
      </c>
      <c r="S468" s="23" t="s">
        <v>1913</v>
      </c>
      <c r="T468" s="23" t="s">
        <v>2643</v>
      </c>
      <c r="U468" s="23" t="s">
        <v>1915</v>
      </c>
    </row>
    <row r="469" customFormat="false" ht="17.9" hidden="false" customHeight="false" outlineLevel="0" collapsed="false">
      <c r="A469" s="20" t="s">
        <v>1905</v>
      </c>
      <c r="B469" s="21" t="n">
        <v>46062</v>
      </c>
      <c r="C469" s="20" t="s">
        <v>2644</v>
      </c>
      <c r="D469" s="20"/>
      <c r="E469" s="20" t="s">
        <v>2645</v>
      </c>
      <c r="F469" s="20" t="s">
        <v>2646</v>
      </c>
      <c r="G469" s="20"/>
      <c r="H469" s="20"/>
      <c r="I469" s="20"/>
      <c r="J469" s="20" t="s">
        <v>1909</v>
      </c>
      <c r="K469" s="22" t="n">
        <v>46.4</v>
      </c>
      <c r="L469" s="22" t="n">
        <v>49.3</v>
      </c>
      <c r="M469" s="20" t="s">
        <v>81</v>
      </c>
      <c r="N469" s="23" t="s">
        <v>2647</v>
      </c>
      <c r="O469" s="23" t="s">
        <v>1911</v>
      </c>
      <c r="P469" s="23" t="s">
        <v>1912</v>
      </c>
      <c r="Q469" s="23" t="str">
        <f aca="false">IF(A469="UNDATED LEAD","UNRESOLVED",IF(M469="N","EXCEPTION",IF(A469="SKIP",IF(ISNUMBER(SEARCH("_skip_justification.pdf",N469)),"CLEAR - FILE VERIFIED","CLEAR ON EXPORT"),"CLEAR ON LOG")))</f>
        <v>CLEAR ON LOG</v>
      </c>
      <c r="R469" s="23" t="str">
        <f aca="false">IF(Q469="UNRESOLVED","PRIORITY 1 - OBTAIN FILE",IF(Q469&lt;&gt;"EXCEPTION","NONE",IF(OR(AND(A469="LOA AMENDMENT",P469="UNRESOLVED USE"),AND(A469="SKIP",OR(E469="WL-02618",E469="WL-03044",E469="WL-03390"))),"PRIORITY 1",IF(A469="SKIP","PRIORITY 2","PRIORITY 3"))))</f>
        <v>NONE</v>
      </c>
      <c r="S469" s="23" t="s">
        <v>1913</v>
      </c>
      <c r="T469" s="23" t="s">
        <v>2648</v>
      </c>
      <c r="U469" s="23" t="s">
        <v>1915</v>
      </c>
    </row>
    <row r="470" customFormat="false" ht="17.9" hidden="false" customHeight="false" outlineLevel="0" collapsed="false">
      <c r="A470" s="20" t="s">
        <v>1905</v>
      </c>
      <c r="B470" s="21" t="n">
        <v>46062</v>
      </c>
      <c r="C470" s="20" t="s">
        <v>2649</v>
      </c>
      <c r="D470" s="20"/>
      <c r="E470" s="20" t="s">
        <v>2650</v>
      </c>
      <c r="F470" s="20" t="s">
        <v>2651</v>
      </c>
      <c r="G470" s="20"/>
      <c r="H470" s="20"/>
      <c r="I470" s="20"/>
      <c r="J470" s="20" t="s">
        <v>1909</v>
      </c>
      <c r="K470" s="22" t="n">
        <v>42.6</v>
      </c>
      <c r="L470" s="22" t="n">
        <v>43.4</v>
      </c>
      <c r="M470" s="20" t="s">
        <v>81</v>
      </c>
      <c r="N470" s="23" t="s">
        <v>2652</v>
      </c>
      <c r="O470" s="23" t="s">
        <v>1911</v>
      </c>
      <c r="P470" s="23" t="s">
        <v>1912</v>
      </c>
      <c r="Q470" s="23" t="str">
        <f aca="false">IF(A470="UNDATED LEAD","UNRESOLVED",IF(M470="N","EXCEPTION",IF(A470="SKIP",IF(ISNUMBER(SEARCH("_skip_justification.pdf",N470)),"CLEAR - FILE VERIFIED","CLEAR ON EXPORT"),"CLEAR ON LOG")))</f>
        <v>CLEAR ON LOG</v>
      </c>
      <c r="R470" s="23" t="str">
        <f aca="false">IF(Q470="UNRESOLVED","PRIORITY 1 - OBTAIN FILE",IF(Q470&lt;&gt;"EXCEPTION","NONE",IF(OR(AND(A470="LOA AMENDMENT",P470="UNRESOLVED USE"),AND(A470="SKIP",OR(E470="WL-02618",E470="WL-03044",E470="WL-03390"))),"PRIORITY 1",IF(A470="SKIP","PRIORITY 2","PRIORITY 3"))))</f>
        <v>NONE</v>
      </c>
      <c r="S470" s="23" t="s">
        <v>1913</v>
      </c>
      <c r="T470" s="23" t="s">
        <v>2653</v>
      </c>
      <c r="U470" s="23" t="s">
        <v>1915</v>
      </c>
    </row>
    <row r="471" customFormat="false" ht="17.9" hidden="false" customHeight="false" outlineLevel="0" collapsed="false">
      <c r="A471" s="20" t="s">
        <v>1905</v>
      </c>
      <c r="B471" s="21" t="n">
        <v>46071</v>
      </c>
      <c r="C471" s="20" t="s">
        <v>2654</v>
      </c>
      <c r="D471" s="20"/>
      <c r="E471" s="20" t="s">
        <v>2655</v>
      </c>
      <c r="F471" s="20" t="s">
        <v>2656</v>
      </c>
      <c r="G471" s="20"/>
      <c r="H471" s="20"/>
      <c r="I471" s="20"/>
      <c r="J471" s="20" t="s">
        <v>1909</v>
      </c>
      <c r="K471" s="22" t="n">
        <v>50.4</v>
      </c>
      <c r="L471" s="22" t="n">
        <v>51.6</v>
      </c>
      <c r="M471" s="20" t="s">
        <v>81</v>
      </c>
      <c r="N471" s="23" t="s">
        <v>2657</v>
      </c>
      <c r="O471" s="23" t="s">
        <v>1911</v>
      </c>
      <c r="P471" s="23" t="s">
        <v>1912</v>
      </c>
      <c r="Q471" s="23" t="str">
        <f aca="false">IF(A471="UNDATED LEAD","UNRESOLVED",IF(M471="N","EXCEPTION",IF(A471="SKIP",IF(ISNUMBER(SEARCH("_skip_justification.pdf",N471)),"CLEAR - FILE VERIFIED","CLEAR ON EXPORT"),"CLEAR ON LOG")))</f>
        <v>CLEAR ON LOG</v>
      </c>
      <c r="R471" s="23" t="str">
        <f aca="false">IF(Q471="UNRESOLVED","PRIORITY 1 - OBTAIN FILE",IF(Q471&lt;&gt;"EXCEPTION","NONE",IF(OR(AND(A471="LOA AMENDMENT",P471="UNRESOLVED USE"),AND(A471="SKIP",OR(E471="WL-02618",E471="WL-03044",E471="WL-03390"))),"PRIORITY 1",IF(A471="SKIP","PRIORITY 2","PRIORITY 3"))))</f>
        <v>NONE</v>
      </c>
      <c r="S471" s="23" t="s">
        <v>1913</v>
      </c>
      <c r="T471" s="23" t="s">
        <v>2658</v>
      </c>
      <c r="U471" s="23" t="s">
        <v>1915</v>
      </c>
    </row>
    <row r="472" customFormat="false" ht="17.9" hidden="false" customHeight="false" outlineLevel="0" collapsed="false">
      <c r="A472" s="20" t="s">
        <v>1905</v>
      </c>
      <c r="B472" s="21" t="n">
        <v>46073</v>
      </c>
      <c r="C472" s="20" t="s">
        <v>2659</v>
      </c>
      <c r="D472" s="20"/>
      <c r="E472" s="20" t="s">
        <v>2660</v>
      </c>
      <c r="F472" s="20" t="s">
        <v>2661</v>
      </c>
      <c r="G472" s="20"/>
      <c r="H472" s="20"/>
      <c r="I472" s="20"/>
      <c r="J472" s="20" t="s">
        <v>1909</v>
      </c>
      <c r="K472" s="22" t="n">
        <v>54.2</v>
      </c>
      <c r="L472" s="22" t="n">
        <v>56.1</v>
      </c>
      <c r="M472" s="20" t="s">
        <v>81</v>
      </c>
      <c r="N472" s="23" t="s">
        <v>2662</v>
      </c>
      <c r="O472" s="23" t="s">
        <v>1911</v>
      </c>
      <c r="P472" s="23" t="s">
        <v>1912</v>
      </c>
      <c r="Q472" s="23" t="str">
        <f aca="false">IF(A472="UNDATED LEAD","UNRESOLVED",IF(M472="N","EXCEPTION",IF(A472="SKIP",IF(ISNUMBER(SEARCH("_skip_justification.pdf",N472)),"CLEAR - FILE VERIFIED","CLEAR ON EXPORT"),"CLEAR ON LOG")))</f>
        <v>CLEAR ON LOG</v>
      </c>
      <c r="R472" s="23" t="str">
        <f aca="false">IF(Q472="UNRESOLVED","PRIORITY 1 - OBTAIN FILE",IF(Q472&lt;&gt;"EXCEPTION","NONE",IF(OR(AND(A472="LOA AMENDMENT",P472="UNRESOLVED USE"),AND(A472="SKIP",OR(E472="WL-02618",E472="WL-03044",E472="WL-03390"))),"PRIORITY 1",IF(A472="SKIP","PRIORITY 2","PRIORITY 3"))))</f>
        <v>NONE</v>
      </c>
      <c r="S472" s="23" t="s">
        <v>1913</v>
      </c>
      <c r="T472" s="23" t="s">
        <v>2663</v>
      </c>
      <c r="U472" s="23" t="s">
        <v>1915</v>
      </c>
    </row>
    <row r="473" customFormat="false" ht="17.9" hidden="false" customHeight="false" outlineLevel="0" collapsed="false">
      <c r="A473" s="20" t="s">
        <v>1905</v>
      </c>
      <c r="B473" s="21" t="n">
        <v>46081</v>
      </c>
      <c r="C473" s="20" t="s">
        <v>2664</v>
      </c>
      <c r="D473" s="20"/>
      <c r="E473" s="20" t="s">
        <v>2665</v>
      </c>
      <c r="F473" s="20" t="s">
        <v>2666</v>
      </c>
      <c r="G473" s="20"/>
      <c r="H473" s="20"/>
      <c r="I473" s="20"/>
      <c r="J473" s="20" t="s">
        <v>1909</v>
      </c>
      <c r="K473" s="22" t="n">
        <v>37.5</v>
      </c>
      <c r="L473" s="22" t="n">
        <v>37.5</v>
      </c>
      <c r="M473" s="20" t="s">
        <v>81</v>
      </c>
      <c r="N473" s="23" t="s">
        <v>2667</v>
      </c>
      <c r="O473" s="23" t="s">
        <v>1911</v>
      </c>
      <c r="P473" s="23" t="s">
        <v>1912</v>
      </c>
      <c r="Q473" s="23" t="str">
        <f aca="false">IF(A473="UNDATED LEAD","UNRESOLVED",IF(M473="N","EXCEPTION",IF(A473="SKIP",IF(ISNUMBER(SEARCH("_skip_justification.pdf",N473)),"CLEAR - FILE VERIFIED","CLEAR ON EXPORT"),"CLEAR ON LOG")))</f>
        <v>CLEAR ON LOG</v>
      </c>
      <c r="R473" s="23" t="str">
        <f aca="false">IF(Q473="UNRESOLVED","PRIORITY 1 - OBTAIN FILE",IF(Q473&lt;&gt;"EXCEPTION","NONE",IF(OR(AND(A473="LOA AMENDMENT",P473="UNRESOLVED USE"),AND(A473="SKIP",OR(E473="WL-02618",E473="WL-03044",E473="WL-03390"))),"PRIORITY 1",IF(A473="SKIP","PRIORITY 2","PRIORITY 3"))))</f>
        <v>NONE</v>
      </c>
      <c r="S473" s="23" t="s">
        <v>1913</v>
      </c>
      <c r="T473" s="23" t="s">
        <v>2668</v>
      </c>
      <c r="U473" s="23" t="s">
        <v>1915</v>
      </c>
    </row>
    <row r="474" customFormat="false" ht="17.9" hidden="false" customHeight="false" outlineLevel="0" collapsed="false">
      <c r="A474" s="20" t="s">
        <v>1905</v>
      </c>
      <c r="B474" s="21" t="n">
        <v>46095</v>
      </c>
      <c r="C474" s="20" t="s">
        <v>2669</v>
      </c>
      <c r="D474" s="20"/>
      <c r="E474" s="20" t="s">
        <v>2670</v>
      </c>
      <c r="F474" s="20" t="s">
        <v>2671</v>
      </c>
      <c r="G474" s="20"/>
      <c r="H474" s="20"/>
      <c r="I474" s="20"/>
      <c r="J474" s="20" t="s">
        <v>1909</v>
      </c>
      <c r="K474" s="22" t="n">
        <v>28.3</v>
      </c>
      <c r="L474" s="22" t="n">
        <v>26.6</v>
      </c>
      <c r="M474" s="20" t="s">
        <v>81</v>
      </c>
      <c r="N474" s="23" t="s">
        <v>2672</v>
      </c>
      <c r="O474" s="23" t="s">
        <v>1911</v>
      </c>
      <c r="P474" s="23" t="s">
        <v>1912</v>
      </c>
      <c r="Q474" s="23" t="str">
        <f aca="false">IF(A474="UNDATED LEAD","UNRESOLVED",IF(M474="N","EXCEPTION",IF(A474="SKIP",IF(ISNUMBER(SEARCH("_skip_justification.pdf",N474)),"CLEAR - FILE VERIFIED","CLEAR ON EXPORT"),"CLEAR ON LOG")))</f>
        <v>CLEAR ON LOG</v>
      </c>
      <c r="R474" s="23" t="str">
        <f aca="false">IF(Q474="UNRESOLVED","PRIORITY 1 - OBTAIN FILE",IF(Q474&lt;&gt;"EXCEPTION","NONE",IF(OR(AND(A474="LOA AMENDMENT",P474="UNRESOLVED USE"),AND(A474="SKIP",OR(E474="WL-02618",E474="WL-03044",E474="WL-03390"))),"PRIORITY 1",IF(A474="SKIP","PRIORITY 2","PRIORITY 3"))))</f>
        <v>NONE</v>
      </c>
      <c r="S474" s="23" t="s">
        <v>1913</v>
      </c>
      <c r="T474" s="23" t="s">
        <v>2673</v>
      </c>
      <c r="U474" s="23" t="s">
        <v>1915</v>
      </c>
    </row>
    <row r="475" customFormat="false" ht="17.9" hidden="false" customHeight="false" outlineLevel="0" collapsed="false">
      <c r="A475" s="20" t="s">
        <v>1905</v>
      </c>
      <c r="B475" s="21" t="n">
        <v>46116</v>
      </c>
      <c r="C475" s="20" t="s">
        <v>2674</v>
      </c>
      <c r="D475" s="20"/>
      <c r="E475" s="20" t="s">
        <v>2675</v>
      </c>
      <c r="F475" s="20" t="s">
        <v>2676</v>
      </c>
      <c r="G475" s="20"/>
      <c r="H475" s="20"/>
      <c r="I475" s="20"/>
      <c r="J475" s="20" t="s">
        <v>1909</v>
      </c>
      <c r="K475" s="22" t="n">
        <v>52.9</v>
      </c>
      <c r="L475" s="22" t="n">
        <v>52.8</v>
      </c>
      <c r="M475" s="20" t="s">
        <v>81</v>
      </c>
      <c r="N475" s="23" t="s">
        <v>2677</v>
      </c>
      <c r="O475" s="23" t="s">
        <v>1911</v>
      </c>
      <c r="P475" s="23" t="s">
        <v>1912</v>
      </c>
      <c r="Q475" s="23" t="str">
        <f aca="false">IF(A475="UNDATED LEAD","UNRESOLVED",IF(M475="N","EXCEPTION",IF(A475="SKIP",IF(ISNUMBER(SEARCH("_skip_justification.pdf",N475)),"CLEAR - FILE VERIFIED","CLEAR ON EXPORT"),"CLEAR ON LOG")))</f>
        <v>CLEAR ON LOG</v>
      </c>
      <c r="R475" s="23" t="str">
        <f aca="false">IF(Q475="UNRESOLVED","PRIORITY 1 - OBTAIN FILE",IF(Q475&lt;&gt;"EXCEPTION","NONE",IF(OR(AND(A475="LOA AMENDMENT",P475="UNRESOLVED USE"),AND(A475="SKIP",OR(E475="WL-02618",E475="WL-03044",E475="WL-03390"))),"PRIORITY 1",IF(A475="SKIP","PRIORITY 2","PRIORITY 3"))))</f>
        <v>NONE</v>
      </c>
      <c r="S475" s="23" t="s">
        <v>1913</v>
      </c>
      <c r="T475" s="23" t="s">
        <v>2678</v>
      </c>
      <c r="U475" s="23" t="s">
        <v>1915</v>
      </c>
    </row>
    <row r="476" customFormat="false" ht="17.9" hidden="false" customHeight="false" outlineLevel="0" collapsed="false">
      <c r="A476" s="20" t="s">
        <v>1905</v>
      </c>
      <c r="B476" s="21" t="n">
        <v>46117</v>
      </c>
      <c r="C476" s="20" t="s">
        <v>2679</v>
      </c>
      <c r="D476" s="20"/>
      <c r="E476" s="20" t="s">
        <v>2680</v>
      </c>
      <c r="F476" s="20" t="s">
        <v>2681</v>
      </c>
      <c r="G476" s="20"/>
      <c r="H476" s="20"/>
      <c r="I476" s="20"/>
      <c r="J476" s="20" t="s">
        <v>1909</v>
      </c>
      <c r="K476" s="22" t="n">
        <v>46</v>
      </c>
      <c r="L476" s="22" t="n">
        <v>47.3</v>
      </c>
      <c r="M476" s="20" t="s">
        <v>81</v>
      </c>
      <c r="N476" s="23" t="s">
        <v>2682</v>
      </c>
      <c r="O476" s="23" t="s">
        <v>1911</v>
      </c>
      <c r="P476" s="23" t="s">
        <v>1912</v>
      </c>
      <c r="Q476" s="23" t="str">
        <f aca="false">IF(A476="UNDATED LEAD","UNRESOLVED",IF(M476="N","EXCEPTION",IF(A476="SKIP",IF(ISNUMBER(SEARCH("_skip_justification.pdf",N476)),"CLEAR - FILE VERIFIED","CLEAR ON EXPORT"),"CLEAR ON LOG")))</f>
        <v>CLEAR ON LOG</v>
      </c>
      <c r="R476" s="23" t="str">
        <f aca="false">IF(Q476="UNRESOLVED","PRIORITY 1 - OBTAIN FILE",IF(Q476&lt;&gt;"EXCEPTION","NONE",IF(OR(AND(A476="LOA AMENDMENT",P476="UNRESOLVED USE"),AND(A476="SKIP",OR(E476="WL-02618",E476="WL-03044",E476="WL-03390"))),"PRIORITY 1",IF(A476="SKIP","PRIORITY 2","PRIORITY 3"))))</f>
        <v>NONE</v>
      </c>
      <c r="S476" s="23" t="s">
        <v>1913</v>
      </c>
      <c r="T476" s="23" t="s">
        <v>2683</v>
      </c>
      <c r="U476" s="23" t="s">
        <v>1915</v>
      </c>
    </row>
    <row r="477" customFormat="false" ht="17.9" hidden="false" customHeight="false" outlineLevel="0" collapsed="false">
      <c r="A477" s="20" t="s">
        <v>1905</v>
      </c>
      <c r="B477" s="21" t="n">
        <v>46133</v>
      </c>
      <c r="C477" s="20" t="s">
        <v>2684</v>
      </c>
      <c r="D477" s="20"/>
      <c r="E477" s="20" t="s">
        <v>2685</v>
      </c>
      <c r="F477" s="20" t="s">
        <v>2686</v>
      </c>
      <c r="G477" s="20"/>
      <c r="H477" s="20"/>
      <c r="I477" s="20"/>
      <c r="J477" s="20" t="s">
        <v>1909</v>
      </c>
      <c r="K477" s="22" t="n">
        <v>28</v>
      </c>
      <c r="L477" s="22" t="n">
        <v>30.1</v>
      </c>
      <c r="M477" s="20" t="s">
        <v>110</v>
      </c>
      <c r="N477" s="23" t="s">
        <v>1957</v>
      </c>
      <c r="O477" s="23" t="s">
        <v>1911</v>
      </c>
      <c r="P477" s="23" t="s">
        <v>1958</v>
      </c>
      <c r="Q477" s="23" t="str">
        <f aca="false">IF(A477="UNDATED LEAD","UNRESOLVED",IF(M477="N","EXCEPTION",IF(A477="SKIP",IF(ISNUMBER(SEARCH("_skip_justification.pdf",N477)),"CLEAR - FILE VERIFIED","CLEAR ON EXPORT"),"CLEAR ON LOG")))</f>
        <v>EXCEPTION</v>
      </c>
      <c r="R477" s="23" t="str">
        <f aca="false">IF(Q477="UNRESOLVED","PRIORITY 1 - OBTAIN FILE",IF(Q477&lt;&gt;"EXCEPTION","NONE",IF(OR(AND(A477="LOA AMENDMENT",P477="UNRESOLVED USE"),AND(A477="SKIP",OR(E477="WL-02618",E477="WL-03044",E477="WL-03390"))),"PRIORITY 1",IF(A477="SKIP","PRIORITY 2","PRIORITY 3"))))</f>
        <v>PRIORITY 3</v>
      </c>
      <c r="S477" s="23" t="s">
        <v>2687</v>
      </c>
      <c r="T477" s="23" t="s">
        <v>2688</v>
      </c>
      <c r="U477" s="23" t="s">
        <v>1915</v>
      </c>
    </row>
    <row r="478" customFormat="false" ht="17.9" hidden="false" customHeight="false" outlineLevel="0" collapsed="false">
      <c r="A478" s="20" t="s">
        <v>1905</v>
      </c>
      <c r="B478" s="21" t="n">
        <v>46143</v>
      </c>
      <c r="C478" s="20" t="s">
        <v>2689</v>
      </c>
      <c r="D478" s="20"/>
      <c r="E478" s="20" t="s">
        <v>2690</v>
      </c>
      <c r="F478" s="20" t="s">
        <v>2691</v>
      </c>
      <c r="G478" s="20"/>
      <c r="H478" s="20"/>
      <c r="I478" s="20"/>
      <c r="J478" s="20" t="s">
        <v>1909</v>
      </c>
      <c r="K478" s="22" t="n">
        <v>47</v>
      </c>
      <c r="L478" s="22" t="n">
        <v>49.4</v>
      </c>
      <c r="M478" s="20" t="s">
        <v>81</v>
      </c>
      <c r="N478" s="23" t="s">
        <v>2692</v>
      </c>
      <c r="O478" s="23" t="s">
        <v>1911</v>
      </c>
      <c r="P478" s="23" t="s">
        <v>1912</v>
      </c>
      <c r="Q478" s="23" t="str">
        <f aca="false">IF(A478="UNDATED LEAD","UNRESOLVED",IF(M478="N","EXCEPTION",IF(A478="SKIP",IF(ISNUMBER(SEARCH("_skip_justification.pdf",N478)),"CLEAR - FILE VERIFIED","CLEAR ON EXPORT"),"CLEAR ON LOG")))</f>
        <v>CLEAR ON LOG</v>
      </c>
      <c r="R478" s="23" t="str">
        <f aca="false">IF(Q478="UNRESOLVED","PRIORITY 1 - OBTAIN FILE",IF(Q478&lt;&gt;"EXCEPTION","NONE",IF(OR(AND(A478="LOA AMENDMENT",P478="UNRESOLVED USE"),AND(A478="SKIP",OR(E478="WL-02618",E478="WL-03044",E478="WL-03390"))),"PRIORITY 1",IF(A478="SKIP","PRIORITY 2","PRIORITY 3"))))</f>
        <v>NONE</v>
      </c>
      <c r="S478" s="23" t="s">
        <v>1913</v>
      </c>
      <c r="T478" s="23" t="s">
        <v>2693</v>
      </c>
      <c r="U478" s="23" t="s">
        <v>1915</v>
      </c>
    </row>
    <row r="479" customFormat="false" ht="17.9" hidden="false" customHeight="false" outlineLevel="0" collapsed="false">
      <c r="A479" s="20" t="s">
        <v>1905</v>
      </c>
      <c r="B479" s="21" t="n">
        <v>46147</v>
      </c>
      <c r="C479" s="20" t="s">
        <v>2694</v>
      </c>
      <c r="D479" s="20"/>
      <c r="E479" s="20" t="s">
        <v>1950</v>
      </c>
      <c r="F479" s="20" t="s">
        <v>1951</v>
      </c>
      <c r="G479" s="20"/>
      <c r="H479" s="20"/>
      <c r="I479" s="20"/>
      <c r="J479" s="20" t="s">
        <v>1909</v>
      </c>
      <c r="K479" s="22" t="n">
        <v>23.9</v>
      </c>
      <c r="L479" s="22" t="n">
        <v>21.8</v>
      </c>
      <c r="M479" s="20" t="s">
        <v>81</v>
      </c>
      <c r="N479" s="23" t="s">
        <v>2695</v>
      </c>
      <c r="O479" s="23" t="s">
        <v>1911</v>
      </c>
      <c r="P479" s="23" t="s">
        <v>1912</v>
      </c>
      <c r="Q479" s="23" t="str">
        <f aca="false">IF(A479="UNDATED LEAD","UNRESOLVED",IF(M479="N","EXCEPTION",IF(A479="SKIP",IF(ISNUMBER(SEARCH("_skip_justification.pdf",N479)),"CLEAR - FILE VERIFIED","CLEAR ON EXPORT"),"CLEAR ON LOG")))</f>
        <v>CLEAR ON LOG</v>
      </c>
      <c r="R479" s="23" t="str">
        <f aca="false">IF(Q479="UNRESOLVED","PRIORITY 1 - OBTAIN FILE",IF(Q479&lt;&gt;"EXCEPTION","NONE",IF(OR(AND(A479="LOA AMENDMENT",P479="UNRESOLVED USE"),AND(A479="SKIP",OR(E479="WL-02618",E479="WL-03044",E479="WL-03390"))),"PRIORITY 1",IF(A479="SKIP","PRIORITY 2","PRIORITY 3"))))</f>
        <v>NONE</v>
      </c>
      <c r="S479" s="23" t="s">
        <v>1913</v>
      </c>
      <c r="T479" s="23" t="s">
        <v>2696</v>
      </c>
      <c r="U479" s="23" t="s">
        <v>1915</v>
      </c>
    </row>
    <row r="480" customFormat="false" ht="17.9" hidden="false" customHeight="false" outlineLevel="0" collapsed="false">
      <c r="A480" s="20" t="s">
        <v>1905</v>
      </c>
      <c r="B480" s="21" t="n">
        <v>46155</v>
      </c>
      <c r="C480" s="20" t="s">
        <v>2697</v>
      </c>
      <c r="D480" s="20"/>
      <c r="E480" s="20" t="s">
        <v>2698</v>
      </c>
      <c r="F480" s="20" t="s">
        <v>2699</v>
      </c>
      <c r="G480" s="20"/>
      <c r="H480" s="20"/>
      <c r="I480" s="20"/>
      <c r="J480" s="20" t="s">
        <v>1909</v>
      </c>
      <c r="K480" s="22" t="n">
        <v>48.4</v>
      </c>
      <c r="L480" s="22" t="n">
        <v>45.8</v>
      </c>
      <c r="M480" s="20" t="s">
        <v>81</v>
      </c>
      <c r="N480" s="23" t="s">
        <v>2700</v>
      </c>
      <c r="O480" s="23" t="s">
        <v>1911</v>
      </c>
      <c r="P480" s="23" t="s">
        <v>1912</v>
      </c>
      <c r="Q480" s="23" t="str">
        <f aca="false">IF(A480="UNDATED LEAD","UNRESOLVED",IF(M480="N","EXCEPTION",IF(A480="SKIP",IF(ISNUMBER(SEARCH("_skip_justification.pdf",N480)),"CLEAR - FILE VERIFIED","CLEAR ON EXPORT"),"CLEAR ON LOG")))</f>
        <v>CLEAR ON LOG</v>
      </c>
      <c r="R480" s="23" t="str">
        <f aca="false">IF(Q480="UNRESOLVED","PRIORITY 1 - OBTAIN FILE",IF(Q480&lt;&gt;"EXCEPTION","NONE",IF(OR(AND(A480="LOA AMENDMENT",P480="UNRESOLVED USE"),AND(A480="SKIP",OR(E480="WL-02618",E480="WL-03044",E480="WL-03390"))),"PRIORITY 1",IF(A480="SKIP","PRIORITY 2","PRIORITY 3"))))</f>
        <v>NONE</v>
      </c>
      <c r="S480" s="23" t="s">
        <v>1913</v>
      </c>
      <c r="T480" s="23" t="s">
        <v>2701</v>
      </c>
      <c r="U480" s="23" t="s">
        <v>1915</v>
      </c>
    </row>
    <row r="481" customFormat="false" ht="17.9" hidden="false" customHeight="false" outlineLevel="0" collapsed="false">
      <c r="A481" s="20" t="s">
        <v>1905</v>
      </c>
      <c r="B481" s="21" t="n">
        <v>46159</v>
      </c>
      <c r="C481" s="20" t="s">
        <v>2702</v>
      </c>
      <c r="D481" s="20"/>
      <c r="E481" s="20" t="s">
        <v>2703</v>
      </c>
      <c r="F481" s="20" t="s">
        <v>2704</v>
      </c>
      <c r="G481" s="20"/>
      <c r="H481" s="20"/>
      <c r="I481" s="20"/>
      <c r="J481" s="20" t="s">
        <v>1909</v>
      </c>
      <c r="K481" s="22" t="n">
        <v>53.1</v>
      </c>
      <c r="L481" s="22" t="n">
        <v>55.6</v>
      </c>
      <c r="M481" s="20" t="s">
        <v>81</v>
      </c>
      <c r="N481" s="23" t="s">
        <v>2705</v>
      </c>
      <c r="O481" s="23" t="s">
        <v>1911</v>
      </c>
      <c r="P481" s="23" t="s">
        <v>1912</v>
      </c>
      <c r="Q481" s="23" t="str">
        <f aca="false">IF(A481="UNDATED LEAD","UNRESOLVED",IF(M481="N","EXCEPTION",IF(A481="SKIP",IF(ISNUMBER(SEARCH("_skip_justification.pdf",N481)),"CLEAR - FILE VERIFIED","CLEAR ON EXPORT"),"CLEAR ON LOG")))</f>
        <v>CLEAR ON LOG</v>
      </c>
      <c r="R481" s="23" t="str">
        <f aca="false">IF(Q481="UNRESOLVED","PRIORITY 1 - OBTAIN FILE",IF(Q481&lt;&gt;"EXCEPTION","NONE",IF(OR(AND(A481="LOA AMENDMENT",P481="UNRESOLVED USE"),AND(A481="SKIP",OR(E481="WL-02618",E481="WL-03044",E481="WL-03390"))),"PRIORITY 1",IF(A481="SKIP","PRIORITY 2","PRIORITY 3"))))</f>
        <v>NONE</v>
      </c>
      <c r="S481" s="23" t="s">
        <v>1913</v>
      </c>
      <c r="T481" s="23" t="s">
        <v>2706</v>
      </c>
      <c r="U481" s="23" t="s">
        <v>1915</v>
      </c>
    </row>
    <row r="482" customFormat="false" ht="17.9" hidden="false" customHeight="false" outlineLevel="0" collapsed="false">
      <c r="A482" s="20" t="s">
        <v>1905</v>
      </c>
      <c r="B482" s="21" t="n">
        <v>46166</v>
      </c>
      <c r="C482" s="20" t="s">
        <v>2707</v>
      </c>
      <c r="D482" s="20"/>
      <c r="E482" s="20" t="s">
        <v>2708</v>
      </c>
      <c r="F482" s="20" t="s">
        <v>2709</v>
      </c>
      <c r="G482" s="20"/>
      <c r="H482" s="20"/>
      <c r="I482" s="20"/>
      <c r="J482" s="20" t="s">
        <v>1909</v>
      </c>
      <c r="K482" s="22" t="n">
        <v>22.7</v>
      </c>
      <c r="L482" s="22" t="n">
        <v>24.3</v>
      </c>
      <c r="M482" s="20" t="s">
        <v>81</v>
      </c>
      <c r="N482" s="23" t="s">
        <v>2710</v>
      </c>
      <c r="O482" s="23" t="s">
        <v>1911</v>
      </c>
      <c r="P482" s="23" t="s">
        <v>1912</v>
      </c>
      <c r="Q482" s="23" t="str">
        <f aca="false">IF(A482="UNDATED LEAD","UNRESOLVED",IF(M482="N","EXCEPTION",IF(A482="SKIP",IF(ISNUMBER(SEARCH("_skip_justification.pdf",N482)),"CLEAR - FILE VERIFIED","CLEAR ON EXPORT"),"CLEAR ON LOG")))</f>
        <v>CLEAR ON LOG</v>
      </c>
      <c r="R482" s="23" t="str">
        <f aca="false">IF(Q482="UNRESOLVED","PRIORITY 1 - OBTAIN FILE",IF(Q482&lt;&gt;"EXCEPTION","NONE",IF(OR(AND(A482="LOA AMENDMENT",P482="UNRESOLVED USE"),AND(A482="SKIP",OR(E482="WL-02618",E482="WL-03044",E482="WL-03390"))),"PRIORITY 1",IF(A482="SKIP","PRIORITY 2","PRIORITY 3"))))</f>
        <v>NONE</v>
      </c>
      <c r="S482" s="23" t="s">
        <v>1913</v>
      </c>
      <c r="T482" s="23" t="s">
        <v>2711</v>
      </c>
      <c r="U482" s="23" t="s">
        <v>1915</v>
      </c>
    </row>
    <row r="483" customFormat="false" ht="17.9" hidden="false" customHeight="false" outlineLevel="0" collapsed="false">
      <c r="A483" s="20" t="s">
        <v>1905</v>
      </c>
      <c r="B483" s="21" t="n">
        <v>46167</v>
      </c>
      <c r="C483" s="20" t="s">
        <v>2712</v>
      </c>
      <c r="D483" s="20"/>
      <c r="E483" s="20" t="s">
        <v>2713</v>
      </c>
      <c r="F483" s="20" t="s">
        <v>2714</v>
      </c>
      <c r="G483" s="20"/>
      <c r="H483" s="20"/>
      <c r="I483" s="20"/>
      <c r="J483" s="20" t="s">
        <v>1909</v>
      </c>
      <c r="K483" s="22" t="n">
        <v>45.6</v>
      </c>
      <c r="L483" s="22" t="n">
        <v>46.7</v>
      </c>
      <c r="M483" s="20" t="s">
        <v>81</v>
      </c>
      <c r="N483" s="23" t="s">
        <v>2089</v>
      </c>
      <c r="O483" s="23" t="s">
        <v>1911</v>
      </c>
      <c r="P483" s="23" t="s">
        <v>1912</v>
      </c>
      <c r="Q483" s="23" t="str">
        <f aca="false">IF(A483="UNDATED LEAD","UNRESOLVED",IF(M483="N","EXCEPTION",IF(A483="SKIP",IF(ISNUMBER(SEARCH("_skip_justification.pdf",N483)),"CLEAR - FILE VERIFIED","CLEAR ON EXPORT"),"CLEAR ON LOG")))</f>
        <v>CLEAR ON LOG</v>
      </c>
      <c r="R483" s="23" t="str">
        <f aca="false">IF(Q483="UNRESOLVED","PRIORITY 1 - OBTAIN FILE",IF(Q483&lt;&gt;"EXCEPTION","NONE",IF(OR(AND(A483="LOA AMENDMENT",P483="UNRESOLVED USE"),AND(A483="SKIP",OR(E483="WL-02618",E483="WL-03044",E483="WL-03390"))),"PRIORITY 1",IF(A483="SKIP","PRIORITY 2","PRIORITY 3"))))</f>
        <v>NONE</v>
      </c>
      <c r="S483" s="23" t="s">
        <v>1913</v>
      </c>
      <c r="T483" s="23" t="s">
        <v>2715</v>
      </c>
      <c r="U483" s="23" t="s">
        <v>1915</v>
      </c>
    </row>
    <row r="484" customFormat="false" ht="17.9" hidden="false" customHeight="false" outlineLevel="0" collapsed="false">
      <c r="A484" s="20" t="s">
        <v>1905</v>
      </c>
      <c r="B484" s="21" t="n">
        <v>46170</v>
      </c>
      <c r="C484" s="20" t="s">
        <v>2716</v>
      </c>
      <c r="D484" s="20"/>
      <c r="E484" s="20" t="s">
        <v>2717</v>
      </c>
      <c r="F484" s="20" t="s">
        <v>2718</v>
      </c>
      <c r="G484" s="20"/>
      <c r="H484" s="20"/>
      <c r="I484" s="20"/>
      <c r="J484" s="20" t="s">
        <v>1909</v>
      </c>
      <c r="K484" s="22" t="n">
        <v>45.6</v>
      </c>
      <c r="L484" s="22" t="n">
        <v>43.7</v>
      </c>
      <c r="M484" s="20" t="s">
        <v>81</v>
      </c>
      <c r="N484" s="23" t="s">
        <v>2719</v>
      </c>
      <c r="O484" s="23" t="s">
        <v>1911</v>
      </c>
      <c r="P484" s="23" t="s">
        <v>1912</v>
      </c>
      <c r="Q484" s="23" t="str">
        <f aca="false">IF(A484="UNDATED LEAD","UNRESOLVED",IF(M484="N","EXCEPTION",IF(A484="SKIP",IF(ISNUMBER(SEARCH("_skip_justification.pdf",N484)),"CLEAR - FILE VERIFIED","CLEAR ON EXPORT"),"CLEAR ON LOG")))</f>
        <v>CLEAR ON LOG</v>
      </c>
      <c r="R484" s="23" t="str">
        <f aca="false">IF(Q484="UNRESOLVED","PRIORITY 1 - OBTAIN FILE",IF(Q484&lt;&gt;"EXCEPTION","NONE",IF(OR(AND(A484="LOA AMENDMENT",P484="UNRESOLVED USE"),AND(A484="SKIP",OR(E484="WL-02618",E484="WL-03044",E484="WL-03390"))),"PRIORITY 1",IF(A484="SKIP","PRIORITY 2","PRIORITY 3"))))</f>
        <v>NONE</v>
      </c>
      <c r="S484" s="23" t="s">
        <v>1913</v>
      </c>
      <c r="T484" s="23" t="s">
        <v>2720</v>
      </c>
      <c r="U484" s="23" t="s">
        <v>1915</v>
      </c>
    </row>
    <row r="485" customFormat="false" ht="17.9" hidden="false" customHeight="false" outlineLevel="0" collapsed="false">
      <c r="A485" s="20" t="s">
        <v>1905</v>
      </c>
      <c r="B485" s="21" t="n">
        <v>46180</v>
      </c>
      <c r="C485" s="20" t="s">
        <v>2721</v>
      </c>
      <c r="D485" s="20"/>
      <c r="E485" s="20" t="s">
        <v>2722</v>
      </c>
      <c r="F485" s="20" t="s">
        <v>2723</v>
      </c>
      <c r="G485" s="20"/>
      <c r="H485" s="20"/>
      <c r="I485" s="20"/>
      <c r="J485" s="20" t="s">
        <v>1909</v>
      </c>
      <c r="K485" s="22" t="n">
        <v>48.2</v>
      </c>
      <c r="L485" s="22" t="n">
        <v>46.8</v>
      </c>
      <c r="M485" s="20" t="s">
        <v>81</v>
      </c>
      <c r="N485" s="23" t="s">
        <v>2724</v>
      </c>
      <c r="O485" s="23" t="s">
        <v>1911</v>
      </c>
      <c r="P485" s="23" t="s">
        <v>1912</v>
      </c>
      <c r="Q485" s="23" t="str">
        <f aca="false">IF(A485="UNDATED LEAD","UNRESOLVED",IF(M485="N","EXCEPTION",IF(A485="SKIP",IF(ISNUMBER(SEARCH("_skip_justification.pdf",N485)),"CLEAR - FILE VERIFIED","CLEAR ON EXPORT"),"CLEAR ON LOG")))</f>
        <v>CLEAR ON LOG</v>
      </c>
      <c r="R485" s="23" t="str">
        <f aca="false">IF(Q485="UNRESOLVED","PRIORITY 1 - OBTAIN FILE",IF(Q485&lt;&gt;"EXCEPTION","NONE",IF(OR(AND(A485="LOA AMENDMENT",P485="UNRESOLVED USE"),AND(A485="SKIP",OR(E485="WL-02618",E485="WL-03044",E485="WL-03390"))),"PRIORITY 1",IF(A485="SKIP","PRIORITY 2","PRIORITY 3"))))</f>
        <v>NONE</v>
      </c>
      <c r="S485" s="23" t="s">
        <v>1913</v>
      </c>
      <c r="T485" s="23" t="s">
        <v>2725</v>
      </c>
      <c r="U485" s="23" t="s">
        <v>1915</v>
      </c>
    </row>
    <row r="486" customFormat="false" ht="17.9" hidden="false" customHeight="false" outlineLevel="0" collapsed="false">
      <c r="A486" s="20" t="s">
        <v>1905</v>
      </c>
      <c r="B486" s="21" t="n">
        <v>46191</v>
      </c>
      <c r="C486" s="20" t="s">
        <v>2726</v>
      </c>
      <c r="D486" s="20"/>
      <c r="E486" s="20" t="s">
        <v>2727</v>
      </c>
      <c r="F486" s="20" t="s">
        <v>2728</v>
      </c>
      <c r="G486" s="20"/>
      <c r="H486" s="20"/>
      <c r="I486" s="20"/>
      <c r="J486" s="20" t="s">
        <v>1909</v>
      </c>
      <c r="K486" s="22" t="n">
        <v>31.4</v>
      </c>
      <c r="L486" s="22" t="n">
        <v>28.5</v>
      </c>
      <c r="M486" s="20" t="s">
        <v>81</v>
      </c>
      <c r="N486" s="23" t="s">
        <v>2729</v>
      </c>
      <c r="O486" s="23" t="s">
        <v>1911</v>
      </c>
      <c r="P486" s="23" t="s">
        <v>1912</v>
      </c>
      <c r="Q486" s="23" t="str">
        <f aca="false">IF(A486="UNDATED LEAD","UNRESOLVED",IF(M486="N","EXCEPTION",IF(A486="SKIP",IF(ISNUMBER(SEARCH("_skip_justification.pdf",N486)),"CLEAR - FILE VERIFIED","CLEAR ON EXPORT"),"CLEAR ON LOG")))</f>
        <v>CLEAR ON LOG</v>
      </c>
      <c r="R486" s="23" t="str">
        <f aca="false">IF(Q486="UNRESOLVED","PRIORITY 1 - OBTAIN FILE",IF(Q486&lt;&gt;"EXCEPTION","NONE",IF(OR(AND(A486="LOA AMENDMENT",P486="UNRESOLVED USE"),AND(A486="SKIP",OR(E486="WL-02618",E486="WL-03044",E486="WL-03390"))),"PRIORITY 1",IF(A486="SKIP","PRIORITY 2","PRIORITY 3"))))</f>
        <v>NONE</v>
      </c>
      <c r="S486" s="23" t="s">
        <v>1913</v>
      </c>
      <c r="T486" s="23" t="s">
        <v>2730</v>
      </c>
      <c r="U486" s="23" t="s">
        <v>1915</v>
      </c>
    </row>
    <row r="487" customFormat="false" ht="17.9" hidden="false" customHeight="false" outlineLevel="0" collapsed="false">
      <c r="A487" s="20" t="s">
        <v>1905</v>
      </c>
      <c r="B487" s="21" t="n">
        <v>46201</v>
      </c>
      <c r="C487" s="20" t="s">
        <v>2731</v>
      </c>
      <c r="D487" s="20"/>
      <c r="E487" s="20" t="s">
        <v>2732</v>
      </c>
      <c r="F487" s="20" t="s">
        <v>2733</v>
      </c>
      <c r="G487" s="20"/>
      <c r="H487" s="20"/>
      <c r="I487" s="20"/>
      <c r="J487" s="20" t="s">
        <v>1909</v>
      </c>
      <c r="K487" s="22" t="n">
        <v>47.6</v>
      </c>
      <c r="L487" s="22" t="n">
        <v>48.8</v>
      </c>
      <c r="M487" s="20" t="s">
        <v>81</v>
      </c>
      <c r="N487" s="23" t="s">
        <v>2734</v>
      </c>
      <c r="O487" s="23" t="s">
        <v>1911</v>
      </c>
      <c r="P487" s="23" t="s">
        <v>1912</v>
      </c>
      <c r="Q487" s="23" t="str">
        <f aca="false">IF(A487="UNDATED LEAD","UNRESOLVED",IF(M487="N","EXCEPTION",IF(A487="SKIP",IF(ISNUMBER(SEARCH("_skip_justification.pdf",N487)),"CLEAR - FILE VERIFIED","CLEAR ON EXPORT"),"CLEAR ON LOG")))</f>
        <v>CLEAR ON LOG</v>
      </c>
      <c r="R487" s="23" t="str">
        <f aca="false">IF(Q487="UNRESOLVED","PRIORITY 1 - OBTAIN FILE",IF(Q487&lt;&gt;"EXCEPTION","NONE",IF(OR(AND(A487="LOA AMENDMENT",P487="UNRESOLVED USE"),AND(A487="SKIP",OR(E487="WL-02618",E487="WL-03044",E487="WL-03390"))),"PRIORITY 1",IF(A487="SKIP","PRIORITY 2","PRIORITY 3"))))</f>
        <v>NONE</v>
      </c>
      <c r="S487" s="23" t="s">
        <v>1913</v>
      </c>
      <c r="T487" s="23" t="s">
        <v>2735</v>
      </c>
      <c r="U487" s="23" t="s">
        <v>1915</v>
      </c>
    </row>
    <row r="488" customFormat="false" ht="17.9" hidden="false" customHeight="false" outlineLevel="0" collapsed="false">
      <c r="A488" s="20" t="s">
        <v>1905</v>
      </c>
      <c r="B488" s="21" t="n">
        <v>46203</v>
      </c>
      <c r="C488" s="20" t="s">
        <v>2736</v>
      </c>
      <c r="D488" s="20"/>
      <c r="E488" s="20" t="s">
        <v>1692</v>
      </c>
      <c r="F488" s="20" t="s">
        <v>1693</v>
      </c>
      <c r="G488" s="20"/>
      <c r="H488" s="20"/>
      <c r="I488" s="20"/>
      <c r="J488" s="20" t="s">
        <v>1909</v>
      </c>
      <c r="K488" s="22" t="n">
        <v>31.5</v>
      </c>
      <c r="L488" s="22" t="n">
        <v>33.6</v>
      </c>
      <c r="M488" s="20" t="s">
        <v>110</v>
      </c>
      <c r="N488" s="23" t="s">
        <v>1957</v>
      </c>
      <c r="O488" s="23" t="s">
        <v>1911</v>
      </c>
      <c r="P488" s="23" t="s">
        <v>1958</v>
      </c>
      <c r="Q488" s="23" t="str">
        <f aca="false">IF(A488="UNDATED LEAD","UNRESOLVED",IF(M488="N","EXCEPTION",IF(A488="SKIP",IF(ISNUMBER(SEARCH("_skip_justification.pdf",N488)),"CLEAR - FILE VERIFIED","CLEAR ON EXPORT"),"CLEAR ON LOG")))</f>
        <v>EXCEPTION</v>
      </c>
      <c r="R488" s="23" t="str">
        <f aca="false">IF(Q488="UNRESOLVED","PRIORITY 1 - OBTAIN FILE",IF(Q488&lt;&gt;"EXCEPTION","NONE",IF(OR(AND(A488="LOA AMENDMENT",P488="UNRESOLVED USE"),AND(A488="SKIP",OR(E488="WL-02618",E488="WL-03044",E488="WL-03390"))),"PRIORITY 1",IF(A488="SKIP","PRIORITY 2","PRIORITY 3"))))</f>
        <v>PRIORITY 3</v>
      </c>
      <c r="S488" s="23" t="s">
        <v>2737</v>
      </c>
      <c r="T488" s="23" t="s">
        <v>2738</v>
      </c>
      <c r="U488" s="23" t="s">
        <v>1915</v>
      </c>
    </row>
    <row r="489" customFormat="false" ht="17.9" hidden="false" customHeight="false" outlineLevel="0" collapsed="false">
      <c r="A489" s="20" t="s">
        <v>1905</v>
      </c>
      <c r="B489" s="21" t="n">
        <v>46205</v>
      </c>
      <c r="C489" s="20" t="s">
        <v>2739</v>
      </c>
      <c r="D489" s="20"/>
      <c r="E489" s="20" t="s">
        <v>2740</v>
      </c>
      <c r="F489" s="20" t="s">
        <v>2741</v>
      </c>
      <c r="G489" s="20"/>
      <c r="H489" s="20"/>
      <c r="I489" s="20"/>
      <c r="J489" s="20" t="s">
        <v>1909</v>
      </c>
      <c r="K489" s="22" t="n">
        <v>30.2</v>
      </c>
      <c r="L489" s="22" t="n">
        <v>29.2</v>
      </c>
      <c r="M489" s="20" t="s">
        <v>81</v>
      </c>
      <c r="N489" s="23" t="s">
        <v>2742</v>
      </c>
      <c r="O489" s="23" t="s">
        <v>1911</v>
      </c>
      <c r="P489" s="23" t="s">
        <v>1912</v>
      </c>
      <c r="Q489" s="23" t="str">
        <f aca="false">IF(A489="UNDATED LEAD","UNRESOLVED",IF(M489="N","EXCEPTION",IF(A489="SKIP",IF(ISNUMBER(SEARCH("_skip_justification.pdf",N489)),"CLEAR - FILE VERIFIED","CLEAR ON EXPORT"),"CLEAR ON LOG")))</f>
        <v>CLEAR ON LOG</v>
      </c>
      <c r="R489" s="23" t="str">
        <f aca="false">IF(Q489="UNRESOLVED","PRIORITY 1 - OBTAIN FILE",IF(Q489&lt;&gt;"EXCEPTION","NONE",IF(OR(AND(A489="LOA AMENDMENT",P489="UNRESOLVED USE"),AND(A489="SKIP",OR(E489="WL-02618",E489="WL-03044",E489="WL-03390"))),"PRIORITY 1",IF(A489="SKIP","PRIORITY 2","PRIORITY 3"))))</f>
        <v>NONE</v>
      </c>
      <c r="S489" s="23" t="s">
        <v>1913</v>
      </c>
      <c r="T489" s="23" t="s">
        <v>2743</v>
      </c>
      <c r="U489" s="23" t="s">
        <v>1915</v>
      </c>
    </row>
    <row r="490" customFormat="false" ht="17.9" hidden="false" customHeight="false" outlineLevel="0" collapsed="false">
      <c r="A490" s="20" t="s">
        <v>1905</v>
      </c>
      <c r="B490" s="21" t="n">
        <v>46222</v>
      </c>
      <c r="C490" s="20" t="s">
        <v>2744</v>
      </c>
      <c r="D490" s="20"/>
      <c r="E490" s="20" t="s">
        <v>1030</v>
      </c>
      <c r="F490" s="20" t="s">
        <v>1031</v>
      </c>
      <c r="G490" s="20"/>
      <c r="H490" s="20"/>
      <c r="I490" s="20"/>
      <c r="J490" s="20" t="s">
        <v>1909</v>
      </c>
      <c r="K490" s="22" t="n">
        <v>26</v>
      </c>
      <c r="L490" s="22" t="n">
        <v>24.3</v>
      </c>
      <c r="M490" s="20" t="s">
        <v>81</v>
      </c>
      <c r="N490" s="23" t="s">
        <v>2745</v>
      </c>
      <c r="O490" s="23" t="s">
        <v>1911</v>
      </c>
      <c r="P490" s="23" t="s">
        <v>1912</v>
      </c>
      <c r="Q490" s="23" t="str">
        <f aca="false">IF(A490="UNDATED LEAD","UNRESOLVED",IF(M490="N","EXCEPTION",IF(A490="SKIP",IF(ISNUMBER(SEARCH("_skip_justification.pdf",N490)),"CLEAR - FILE VERIFIED","CLEAR ON EXPORT"),"CLEAR ON LOG")))</f>
        <v>CLEAR ON LOG</v>
      </c>
      <c r="R490" s="23" t="str">
        <f aca="false">IF(Q490="UNRESOLVED","PRIORITY 1 - OBTAIN FILE",IF(Q490&lt;&gt;"EXCEPTION","NONE",IF(OR(AND(A490="LOA AMENDMENT",P490="UNRESOLVED USE"),AND(A490="SKIP",OR(E490="WL-02618",E490="WL-03044",E490="WL-03390"))),"PRIORITY 1",IF(A490="SKIP","PRIORITY 2","PRIORITY 3"))))</f>
        <v>NONE</v>
      </c>
      <c r="S490" s="23" t="s">
        <v>1913</v>
      </c>
      <c r="T490" s="23" t="s">
        <v>2746</v>
      </c>
      <c r="U490" s="23" t="s">
        <v>1915</v>
      </c>
    </row>
    <row r="491" customFormat="false" ht="17.9" hidden="false" customHeight="false" outlineLevel="0" collapsed="false">
      <c r="A491" s="20" t="s">
        <v>2747</v>
      </c>
      <c r="B491" s="20"/>
      <c r="C491" s="20"/>
      <c r="D491" s="20"/>
      <c r="E491" s="20" t="s">
        <v>2748</v>
      </c>
      <c r="F491" s="20" t="s">
        <v>2749</v>
      </c>
      <c r="G491" s="20"/>
      <c r="H491" s="20"/>
      <c r="I491" s="20"/>
      <c r="J491" s="20" t="s">
        <v>2750</v>
      </c>
      <c r="K491" s="22"/>
      <c r="L491" s="22"/>
      <c r="M491" s="20" t="s">
        <v>2751</v>
      </c>
      <c r="N491" s="23" t="s">
        <v>2752</v>
      </c>
      <c r="O491" s="23" t="s">
        <v>2753</v>
      </c>
      <c r="P491" s="23" t="s">
        <v>2754</v>
      </c>
      <c r="Q491" s="23" t="str">
        <f aca="false">IF(A491="UNDATED LEAD","UNRESOLVED",IF(M491="N","EXCEPTION",IF(A491="SKIP",IF(ISNUMBER(SEARCH("_skip_justification.pdf",N491)),"CLEAR - FILE VERIFIED","CLEAR ON EXPORT"),"CLEAR ON LOG")))</f>
        <v>UNRESOLVED</v>
      </c>
      <c r="R491" s="23" t="str">
        <f aca="false">IF(Q491="UNRESOLVED","PRIORITY 1 - OBTAIN FILE",IF(Q491&lt;&gt;"EXCEPTION","NONE",IF(OR(AND(A491="LOA AMENDMENT",P491="UNRESOLVED USE"),AND(A491="SKIP",OR(E491="WL-02618",E491="WL-03044",E491="WL-03390"))),"PRIORITY 1",IF(A491="SKIP","PRIORITY 2","PRIORITY 3"))))</f>
        <v>PRIORITY 1 - OBTAIN FILE</v>
      </c>
      <c r="S491" s="23" t="s">
        <v>2755</v>
      </c>
      <c r="T491" s="23" t="s">
        <v>2756</v>
      </c>
      <c r="U491" s="23" t="s">
        <v>2757</v>
      </c>
    </row>
    <row r="492" customFormat="false" ht="17.9" hidden="false" customHeight="false" outlineLevel="0" collapsed="false">
      <c r="A492" s="20" t="s">
        <v>2747</v>
      </c>
      <c r="B492" s="20"/>
      <c r="C492" s="20"/>
      <c r="D492" s="20"/>
      <c r="E492" s="20" t="s">
        <v>2758</v>
      </c>
      <c r="F492" s="20" t="s">
        <v>2759</v>
      </c>
      <c r="G492" s="20"/>
      <c r="H492" s="20"/>
      <c r="I492" s="20"/>
      <c r="J492" s="20" t="s">
        <v>2760</v>
      </c>
      <c r="K492" s="22"/>
      <c r="L492" s="22"/>
      <c r="M492" s="20" t="s">
        <v>2751</v>
      </c>
      <c r="N492" s="23" t="s">
        <v>2761</v>
      </c>
      <c r="O492" s="23" t="s">
        <v>2762</v>
      </c>
      <c r="P492" s="23" t="s">
        <v>2754</v>
      </c>
      <c r="Q492" s="23" t="str">
        <f aca="false">IF(A492="UNDATED LEAD","UNRESOLVED",IF(M492="N","EXCEPTION",IF(A492="SKIP",IF(ISNUMBER(SEARCH("_skip_justification.pdf",N492)),"CLEAR - FILE VERIFIED","CLEAR ON EXPORT"),"CLEAR ON LOG")))</f>
        <v>UNRESOLVED</v>
      </c>
      <c r="R492" s="23" t="str">
        <f aca="false">IF(Q492="UNRESOLVED","PRIORITY 1 - OBTAIN FILE",IF(Q492&lt;&gt;"EXCEPTION","NONE",IF(OR(AND(A492="LOA AMENDMENT",P492="UNRESOLVED USE"),AND(A492="SKIP",OR(E492="WL-02618",E492="WL-03044",E492="WL-03390"))),"PRIORITY 1",IF(A492="SKIP","PRIORITY 2","PRIORITY 3"))))</f>
        <v>PRIORITY 1 - OBTAIN FILE</v>
      </c>
      <c r="S492" s="23" t="s">
        <v>2763</v>
      </c>
      <c r="T492" s="23" t="s">
        <v>2764</v>
      </c>
      <c r="U492" s="23" t="s">
        <v>2765</v>
      </c>
    </row>
  </sheetData>
  <autoFilter ref="A5:U492"/>
  <mergeCells count="4">
    <mergeCell ref="A1:U1"/>
    <mergeCell ref="A2:U2"/>
    <mergeCell ref="A3:U3"/>
    <mergeCell ref="A4:U4"/>
  </mergeCells>
  <conditionalFormatting sqref="Q6:Q492">
    <cfRule type="expression" priority="2" aboveAverage="0" equalAverage="0" bottom="0" percent="0" rank="0" text="" dxfId="7">
      <formula>$Q6="EXCEPTION"</formula>
    </cfRule>
    <cfRule type="expression" priority="3" aboveAverage="0" equalAverage="0" bottom="0" percent="0" rank="0" text="" dxfId="8">
      <formula>$Q6="UNRESOLVED"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&amp;C&amp;"Noto Sans,Regular"&amp;8 Chaldale Harbor District | Prepared 2026-08-01 | Page &amp;P of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D"/>
    <pageSetUpPr fitToPage="true"/>
  </sheetPr>
  <dimension ref="A1:AD10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10" min="8" style="0" width="13"/>
    <col collapsed="false" customWidth="true" hidden="false" outlineLevel="0" max="11" min="11" style="0" width="31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18"/>
    <col collapsed="false" customWidth="true" hidden="false" outlineLevel="0" max="16" min="16" style="0" width="19"/>
    <col collapsed="false" customWidth="true" hidden="false" outlineLevel="0" max="17" min="17" style="0" width="22"/>
    <col collapsed="false" customWidth="true" hidden="false" outlineLevel="0" max="18" min="18" style="0" width="20"/>
    <col collapsed="false" customWidth="true" hidden="false" outlineLevel="0" max="19" min="19" style="0" width="18"/>
    <col collapsed="false" customWidth="true" hidden="false" outlineLevel="0" max="20" min="20" style="0" width="13"/>
    <col collapsed="false" customWidth="true" hidden="false" outlineLevel="0" max="21" min="21" style="0" width="18"/>
    <col collapsed="false" customWidth="true" hidden="false" outlineLevel="0" max="22" min="22" style="0" width="17"/>
    <col collapsed="false" customWidth="true" hidden="false" outlineLevel="0" max="23" min="23" style="0" width="19"/>
    <col collapsed="false" customWidth="true" hidden="false" outlineLevel="0" max="25" min="24" style="0" width="22"/>
    <col collapsed="false" customWidth="true" hidden="false" outlineLevel="0" max="26" min="26" style="0" width="23"/>
    <col collapsed="false" customWidth="true" hidden="false" outlineLevel="0" max="27" min="27" style="0" width="18"/>
    <col collapsed="false" customWidth="true" hidden="false" outlineLevel="0" max="28" min="28" style="0" width="48"/>
    <col collapsed="false" customWidth="true" hidden="false" outlineLevel="0" max="29" min="29" style="0" width="52"/>
    <col collapsed="false" customWidth="true" hidden="false" outlineLevel="0" max="30" min="30" style="0" width="54"/>
  </cols>
  <sheetData>
    <row r="1" customFormat="false" ht="31.5" hidden="false" customHeight="true" outlineLevel="0" collapsed="false">
      <c r="A1" s="15" t="s">
        <v>2766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customFormat="false" ht="15" hidden="false" customHeight="false" outlineLevel="0" collapsed="false">
      <c r="A2" s="16" t="s">
        <v>2767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customFormat="false" ht="24.75" hidden="false" customHeight="true" outlineLevel="0" collapsed="false">
      <c r="A3" s="17" t="s">
        <v>2768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customFormat="false" ht="24.75" hidden="false" customHeight="true" outlineLevel="0" collapsed="false">
      <c r="A4" s="18" t="s">
        <v>2769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customFormat="false" ht="34.5" hidden="false" customHeight="true" outlineLevel="0" collapsed="false">
      <c r="A5" s="19" t="s">
        <v>59</v>
      </c>
      <c r="B5" s="19" t="s">
        <v>60</v>
      </c>
      <c r="C5" s="19" t="s">
        <v>2770</v>
      </c>
      <c r="D5" s="19" t="s">
        <v>2771</v>
      </c>
      <c r="E5" s="19" t="s">
        <v>2772</v>
      </c>
      <c r="F5" s="19" t="s">
        <v>2773</v>
      </c>
      <c r="G5" s="19" t="s">
        <v>2774</v>
      </c>
      <c r="H5" s="19" t="s">
        <v>2775</v>
      </c>
      <c r="I5" s="19" t="s">
        <v>2776</v>
      </c>
      <c r="J5" s="19" t="s">
        <v>2777</v>
      </c>
      <c r="K5" s="19" t="s">
        <v>2778</v>
      </c>
      <c r="L5" s="19" t="s">
        <v>2779</v>
      </c>
      <c r="M5" s="19" t="s">
        <v>2780</v>
      </c>
      <c r="N5" s="19" t="s">
        <v>2781</v>
      </c>
      <c r="O5" s="19" t="s">
        <v>2782</v>
      </c>
      <c r="P5" s="19" t="s">
        <v>2783</v>
      </c>
      <c r="Q5" s="19" t="s">
        <v>2784</v>
      </c>
      <c r="R5" s="19" t="s">
        <v>2785</v>
      </c>
      <c r="S5" s="19" t="s">
        <v>2786</v>
      </c>
      <c r="T5" s="19" t="s">
        <v>2787</v>
      </c>
      <c r="U5" s="19" t="s">
        <v>2788</v>
      </c>
      <c r="V5" s="19" t="s">
        <v>2789</v>
      </c>
      <c r="W5" s="19" t="s">
        <v>2790</v>
      </c>
      <c r="X5" s="19" t="s">
        <v>2791</v>
      </c>
      <c r="Y5" s="19" t="s">
        <v>2792</v>
      </c>
      <c r="Z5" s="19" t="s">
        <v>2793</v>
      </c>
      <c r="AA5" s="19" t="s">
        <v>2794</v>
      </c>
      <c r="AB5" s="19" t="s">
        <v>2795</v>
      </c>
      <c r="AC5" s="19" t="s">
        <v>2796</v>
      </c>
      <c r="AD5" s="19" t="s">
        <v>72</v>
      </c>
    </row>
    <row r="6" customFormat="false" ht="17.9" hidden="false" customHeight="false" outlineLevel="0" collapsed="false">
      <c r="A6" s="20" t="s">
        <v>2797</v>
      </c>
      <c r="B6" s="20" t="s">
        <v>109</v>
      </c>
      <c r="C6" s="20" t="s">
        <v>2798</v>
      </c>
      <c r="D6" s="20" t="s">
        <v>2799</v>
      </c>
      <c r="E6" s="20" t="s">
        <v>2800</v>
      </c>
      <c r="F6" s="20" t="s">
        <v>2801</v>
      </c>
      <c r="G6" s="20" t="s">
        <v>2802</v>
      </c>
      <c r="H6" s="22" t="n">
        <v>29.3</v>
      </c>
      <c r="I6" s="22" t="n">
        <v>29.3</v>
      </c>
      <c r="J6" s="22" t="n">
        <f aca="false">H6-I6</f>
        <v>0</v>
      </c>
      <c r="K6" s="20" t="str">
        <f aca="false">IF(ABS(J6)&lt;0.001,"MATCH - PAPER CHECK-IN NOT SUPPLIED","DATA MISMATCH")</f>
        <v>MATCH - PAPER CHECK-IN NOT SUPPLIED</v>
      </c>
      <c r="L6" s="22" t="n">
        <v>80</v>
      </c>
      <c r="M6" s="22" t="n">
        <f aca="false">ROUNDUP(H6,0)</f>
        <v>30</v>
      </c>
      <c r="N6" s="24" t="n">
        <f aca="false">MAX(L6,M6)</f>
        <v>80</v>
      </c>
      <c r="O6" s="25" t="n">
        <v>7.55</v>
      </c>
      <c r="P6" s="25" t="n">
        <f aca="false">N6*O6</f>
        <v>604</v>
      </c>
      <c r="Q6" s="23" t="s">
        <v>2803</v>
      </c>
      <c r="R6" s="23" t="s">
        <v>2804</v>
      </c>
      <c r="S6" s="24" t="n">
        <v>80</v>
      </c>
      <c r="T6" s="25" t="n">
        <v>7.55</v>
      </c>
      <c r="U6" s="25" t="n">
        <v>604</v>
      </c>
      <c r="V6" s="25" t="n">
        <f aca="false">P6-U6</f>
        <v>0</v>
      </c>
      <c r="W6" s="25" t="n">
        <f aca="false">V6*12</f>
        <v>0</v>
      </c>
      <c r="X6" s="23" t="str">
        <f aca="false">IF(Q6="","MISSING FROM EXPORT",IF(ABS(V6)&lt;0.005,"CLEAR",IF(V6&gt;0,"UNDERBILLING","OVERBILLING")))</f>
        <v>CLEAR</v>
      </c>
      <c r="Y6" s="25" t="n">
        <f aca="false">IF(F6="COMMERCIAL",ROUND(P6*0.35,2),0)</f>
        <v>0</v>
      </c>
      <c r="Z6" s="23" t="str">
        <f aca="false">IF(F6="COMMERCIAL","VERIFY SIGNED AGREEMENT","NO EXCEPTION")</f>
        <v>NO EXCEPTION</v>
      </c>
      <c r="AA6" s="23" t="str">
        <f aca="false">IF(AND(C6="covered",N6&gt;40),"COVERED &gt;40 FT","")</f>
        <v/>
      </c>
      <c r="AB6" s="23" t="s">
        <v>2805</v>
      </c>
      <c r="AC6" s="23" t="s">
        <v>2806</v>
      </c>
      <c r="AD6" s="23" t="s">
        <v>2807</v>
      </c>
    </row>
    <row r="7" customFormat="false" ht="17.9" hidden="false" customHeight="false" outlineLevel="0" collapsed="false">
      <c r="A7" s="20" t="s">
        <v>2808</v>
      </c>
      <c r="B7" s="20" t="s">
        <v>109</v>
      </c>
      <c r="C7" s="20" t="s">
        <v>2798</v>
      </c>
      <c r="D7" s="20" t="s">
        <v>2039</v>
      </c>
      <c r="E7" s="20" t="s">
        <v>2809</v>
      </c>
      <c r="F7" s="20" t="s">
        <v>2810</v>
      </c>
      <c r="G7" s="20" t="s">
        <v>2811</v>
      </c>
      <c r="H7" s="22" t="n">
        <v>55.3</v>
      </c>
      <c r="I7" s="22" t="n">
        <v>55.3</v>
      </c>
      <c r="J7" s="22" t="n">
        <f aca="false">H7-I7</f>
        <v>0</v>
      </c>
      <c r="K7" s="20" t="str">
        <f aca="false">IF(ABS(J7)&lt;0.001,"MATCH - PAPER CHECK-IN NOT SUPPLIED","DATA MISMATCH")</f>
        <v>MATCH - PAPER CHECK-IN NOT SUPPLIED</v>
      </c>
      <c r="L7" s="22" t="n">
        <v>24</v>
      </c>
      <c r="M7" s="22" t="n">
        <f aca="false">ROUNDUP(H7,0)</f>
        <v>56</v>
      </c>
      <c r="N7" s="24" t="n">
        <f aca="false">MAX(L7,M7)</f>
        <v>56</v>
      </c>
      <c r="O7" s="25" t="n">
        <v>7.55</v>
      </c>
      <c r="P7" s="25" t="n">
        <f aca="false">N7*O7</f>
        <v>422.8</v>
      </c>
      <c r="Q7" s="23" t="s">
        <v>2812</v>
      </c>
      <c r="R7" s="23" t="s">
        <v>2804</v>
      </c>
      <c r="S7" s="24" t="n">
        <v>56</v>
      </c>
      <c r="T7" s="25" t="n">
        <v>7.55</v>
      </c>
      <c r="U7" s="25" t="n">
        <v>422.8</v>
      </c>
      <c r="V7" s="25" t="n">
        <f aca="false">P7-U7</f>
        <v>0</v>
      </c>
      <c r="W7" s="25" t="n">
        <f aca="false">V7*12</f>
        <v>0</v>
      </c>
      <c r="X7" s="23" t="str">
        <f aca="false">IF(Q7="","MISSING FROM EXPORT",IF(ABS(V7)&lt;0.005,"CLEAR",IF(V7&gt;0,"UNDERBILLING","OVERBILLING")))</f>
        <v>CLEAR</v>
      </c>
      <c r="Y7" s="25" t="n">
        <f aca="false">IF(F7="COMMERCIAL",ROUND(P7*0.35,2),0)</f>
        <v>0</v>
      </c>
      <c r="Z7" s="23" t="str">
        <f aca="false">IF(F7="COMMERCIAL","VERIFY SIGNED AGREEMENT","NO EXCEPTION")</f>
        <v>NO EXCEPTION</v>
      </c>
      <c r="AA7" s="23" t="str">
        <f aca="false">IF(AND(C7="covered",N7&gt;40),"COVERED &gt;40 FT","")</f>
        <v/>
      </c>
      <c r="AB7" s="23" t="s">
        <v>2813</v>
      </c>
      <c r="AC7" s="23" t="s">
        <v>2814</v>
      </c>
      <c r="AD7" s="23" t="s">
        <v>2807</v>
      </c>
    </row>
    <row r="8" customFormat="false" ht="17.9" hidden="false" customHeight="false" outlineLevel="0" collapsed="false">
      <c r="A8" s="20" t="s">
        <v>2815</v>
      </c>
      <c r="B8" s="20" t="s">
        <v>109</v>
      </c>
      <c r="C8" s="20" t="s">
        <v>2798</v>
      </c>
      <c r="D8" s="20" t="s">
        <v>2816</v>
      </c>
      <c r="E8" s="20" t="s">
        <v>2817</v>
      </c>
      <c r="F8" s="20" t="s">
        <v>2818</v>
      </c>
      <c r="G8" s="20" t="s">
        <v>2819</v>
      </c>
      <c r="H8" s="22" t="n">
        <v>42.6</v>
      </c>
      <c r="I8" s="22" t="n">
        <v>42.6</v>
      </c>
      <c r="J8" s="22" t="n">
        <f aca="false">H8-I8</f>
        <v>0</v>
      </c>
      <c r="K8" s="20" t="str">
        <f aca="false">IF(ABS(J8)&lt;0.001,"MATCH - PAPER CHECK-IN NOT SUPPLIED","DATA MISMATCH")</f>
        <v>MATCH - PAPER CHECK-IN NOT SUPPLIED</v>
      </c>
      <c r="L8" s="22" t="n">
        <v>36</v>
      </c>
      <c r="M8" s="22" t="n">
        <f aca="false">ROUNDUP(H8,0)</f>
        <v>43</v>
      </c>
      <c r="N8" s="24" t="n">
        <f aca="false">MAX(L8,M8)</f>
        <v>43</v>
      </c>
      <c r="O8" s="25" t="n">
        <v>7.55</v>
      </c>
      <c r="P8" s="25" t="n">
        <f aca="false">N8*O8</f>
        <v>324.65</v>
      </c>
      <c r="Q8" s="23" t="s">
        <v>2820</v>
      </c>
      <c r="R8" s="23" t="s">
        <v>2804</v>
      </c>
      <c r="S8" s="24" t="n">
        <v>43</v>
      </c>
      <c r="T8" s="25" t="n">
        <v>7.55</v>
      </c>
      <c r="U8" s="25" t="n">
        <v>324.65</v>
      </c>
      <c r="V8" s="25" t="n">
        <f aca="false">P8-U8</f>
        <v>0</v>
      </c>
      <c r="W8" s="25" t="n">
        <f aca="false">V8*12</f>
        <v>0</v>
      </c>
      <c r="X8" s="23" t="str">
        <f aca="false">IF(Q8="","MISSING FROM EXPORT",IF(ABS(V8)&lt;0.005,"CLEAR",IF(V8&gt;0,"UNDERBILLING","OVERBILLING")))</f>
        <v>CLEAR</v>
      </c>
      <c r="Y8" s="25" t="n">
        <f aca="false">IF(F8="COMMERCIAL",ROUND(P8*0.35,2),0)</f>
        <v>0</v>
      </c>
      <c r="Z8" s="23" t="str">
        <f aca="false">IF(F8="COMMERCIAL","VERIFY SIGNED AGREEMENT","NO EXCEPTION")</f>
        <v>NO EXCEPTION</v>
      </c>
      <c r="AA8" s="23" t="str">
        <f aca="false">IF(AND(C8="covered",N8&gt;40),"COVERED &gt;40 FT","")</f>
        <v/>
      </c>
      <c r="AB8" s="23" t="s">
        <v>2821</v>
      </c>
      <c r="AC8" s="23" t="s">
        <v>2822</v>
      </c>
      <c r="AD8" s="23" t="s">
        <v>2807</v>
      </c>
    </row>
    <row r="9" customFormat="false" ht="17.9" hidden="false" customHeight="false" outlineLevel="0" collapsed="false">
      <c r="A9" s="20" t="s">
        <v>2823</v>
      </c>
      <c r="B9" s="20" t="s">
        <v>109</v>
      </c>
      <c r="C9" s="20" t="s">
        <v>2798</v>
      </c>
      <c r="D9" s="20" t="s">
        <v>2824</v>
      </c>
      <c r="E9" s="20" t="s">
        <v>2825</v>
      </c>
      <c r="F9" s="20" t="s">
        <v>2810</v>
      </c>
      <c r="G9" s="20" t="s">
        <v>2826</v>
      </c>
      <c r="H9" s="22" t="n">
        <v>60.2</v>
      </c>
      <c r="I9" s="22" t="n">
        <v>60.2</v>
      </c>
      <c r="J9" s="22" t="n">
        <f aca="false">H9-I9</f>
        <v>0</v>
      </c>
      <c r="K9" s="20" t="str">
        <f aca="false">IF(ABS(J9)&lt;0.001,"MATCH - PAPER CHECK-IN NOT SUPPLIED","DATA MISMATCH")</f>
        <v>MATCH - PAPER CHECK-IN NOT SUPPLIED</v>
      </c>
      <c r="L9" s="22" t="n">
        <v>36</v>
      </c>
      <c r="M9" s="22" t="n">
        <f aca="false">ROUNDUP(H9,0)</f>
        <v>61</v>
      </c>
      <c r="N9" s="24" t="n">
        <f aca="false">MAX(L9,M9)</f>
        <v>61</v>
      </c>
      <c r="O9" s="25" t="n">
        <v>7.55</v>
      </c>
      <c r="P9" s="25" t="n">
        <f aca="false">N9*O9</f>
        <v>460.55</v>
      </c>
      <c r="Q9" s="23" t="s">
        <v>2827</v>
      </c>
      <c r="R9" s="23" t="s">
        <v>2804</v>
      </c>
      <c r="S9" s="24" t="n">
        <v>61</v>
      </c>
      <c r="T9" s="25" t="n">
        <v>7.55</v>
      </c>
      <c r="U9" s="25" t="n">
        <v>460.55</v>
      </c>
      <c r="V9" s="25" t="n">
        <f aca="false">P9-U9</f>
        <v>0</v>
      </c>
      <c r="W9" s="25" t="n">
        <f aca="false">V9*12</f>
        <v>0</v>
      </c>
      <c r="X9" s="23" t="str">
        <f aca="false">IF(Q9="","MISSING FROM EXPORT",IF(ABS(V9)&lt;0.005,"CLEAR",IF(V9&gt;0,"UNDERBILLING","OVERBILLING")))</f>
        <v>CLEAR</v>
      </c>
      <c r="Y9" s="25" t="n">
        <f aca="false">IF(F9="COMMERCIAL",ROUND(P9*0.35,2),0)</f>
        <v>0</v>
      </c>
      <c r="Z9" s="23" t="str">
        <f aca="false">IF(F9="COMMERCIAL","VERIFY SIGNED AGREEMENT","NO EXCEPTION")</f>
        <v>NO EXCEPTION</v>
      </c>
      <c r="AA9" s="23" t="str">
        <f aca="false">IF(AND(C9="covered",N9&gt;40),"COVERED &gt;40 FT","")</f>
        <v/>
      </c>
      <c r="AB9" s="23" t="s">
        <v>2828</v>
      </c>
      <c r="AC9" s="23" t="s">
        <v>2829</v>
      </c>
      <c r="AD9" s="23" t="s">
        <v>2807</v>
      </c>
    </row>
    <row r="10" customFormat="false" ht="17.9" hidden="false" customHeight="false" outlineLevel="0" collapsed="false">
      <c r="A10" s="20" t="s">
        <v>2830</v>
      </c>
      <c r="B10" s="20" t="s">
        <v>109</v>
      </c>
      <c r="C10" s="20" t="s">
        <v>2798</v>
      </c>
      <c r="D10" s="20" t="s">
        <v>2831</v>
      </c>
      <c r="E10" s="20" t="s">
        <v>2832</v>
      </c>
      <c r="F10" s="20" t="s">
        <v>2833</v>
      </c>
      <c r="G10" s="20" t="s">
        <v>2834</v>
      </c>
      <c r="H10" s="22" t="n">
        <v>47.5</v>
      </c>
      <c r="I10" s="22" t="n">
        <v>47.5</v>
      </c>
      <c r="J10" s="22" t="n">
        <f aca="false">H10-I10</f>
        <v>0</v>
      </c>
      <c r="K10" s="20" t="str">
        <f aca="false">IF(ABS(J10)&lt;0.001,"MATCH - PAPER CHECK-IN NOT SUPPLIED","DATA MISMATCH")</f>
        <v>MATCH - PAPER CHECK-IN NOT SUPPLIED</v>
      </c>
      <c r="L10" s="22" t="n">
        <v>45</v>
      </c>
      <c r="M10" s="22" t="n">
        <f aca="false">ROUNDUP(H10,0)</f>
        <v>48</v>
      </c>
      <c r="N10" s="24" t="n">
        <f aca="false">MAX(L10,M10)</f>
        <v>48</v>
      </c>
      <c r="O10" s="25" t="n">
        <v>7.55</v>
      </c>
      <c r="P10" s="25" t="n">
        <f aca="false">N10*O10</f>
        <v>362.4</v>
      </c>
      <c r="Q10" s="23" t="s">
        <v>2835</v>
      </c>
      <c r="R10" s="23" t="s">
        <v>2804</v>
      </c>
      <c r="S10" s="24" t="n">
        <v>48</v>
      </c>
      <c r="T10" s="25" t="n">
        <v>7.55</v>
      </c>
      <c r="U10" s="25" t="n">
        <v>362.4</v>
      </c>
      <c r="V10" s="25" t="n">
        <f aca="false">P10-U10</f>
        <v>0</v>
      </c>
      <c r="W10" s="25" t="n">
        <f aca="false">V10*12</f>
        <v>0</v>
      </c>
      <c r="X10" s="23" t="str">
        <f aca="false">IF(Q10="","MISSING FROM EXPORT",IF(ABS(V10)&lt;0.005,"CLEAR",IF(V10&gt;0,"UNDERBILLING","OVERBILLING")))</f>
        <v>CLEAR</v>
      </c>
      <c r="Y10" s="25" t="n">
        <f aca="false">IF(F10="COMMERCIAL",ROUND(P10*0.35,2),0)</f>
        <v>0</v>
      </c>
      <c r="Z10" s="23" t="str">
        <f aca="false">IF(F10="COMMERCIAL","VERIFY SIGNED AGREEMENT","NO EXCEPTION")</f>
        <v>NO EXCEPTION</v>
      </c>
      <c r="AA10" s="23" t="str">
        <f aca="false">IF(AND(C10="covered",N10&gt;40),"COVERED &gt;40 FT","")</f>
        <v/>
      </c>
      <c r="AB10" s="23" t="s">
        <v>2836</v>
      </c>
      <c r="AC10" s="23" t="s">
        <v>2837</v>
      </c>
      <c r="AD10" s="23" t="s">
        <v>2807</v>
      </c>
    </row>
    <row r="11" customFormat="false" ht="17.9" hidden="false" customHeight="false" outlineLevel="0" collapsed="false">
      <c r="A11" s="20" t="s">
        <v>542</v>
      </c>
      <c r="B11" s="20" t="s">
        <v>109</v>
      </c>
      <c r="C11" s="20" t="s">
        <v>2798</v>
      </c>
      <c r="D11" s="20" t="s">
        <v>858</v>
      </c>
      <c r="E11" s="20" t="s">
        <v>859</v>
      </c>
      <c r="F11" s="20" t="s">
        <v>2833</v>
      </c>
      <c r="G11" s="20" t="s">
        <v>2838</v>
      </c>
      <c r="H11" s="22" t="n">
        <v>23.7</v>
      </c>
      <c r="I11" s="22" t="n">
        <v>23.7</v>
      </c>
      <c r="J11" s="22" t="n">
        <f aca="false">H11-I11</f>
        <v>0</v>
      </c>
      <c r="K11" s="20" t="str">
        <f aca="false">IF(ABS(J11)&lt;0.001,"MATCH - PAPER CHECK-IN NOT SUPPLIED","DATA MISMATCH")</f>
        <v>MATCH - PAPER CHECK-IN NOT SUPPLIED</v>
      </c>
      <c r="L11" s="22" t="n">
        <v>28</v>
      </c>
      <c r="M11" s="22" t="n">
        <f aca="false">ROUNDUP(H11,0)</f>
        <v>24</v>
      </c>
      <c r="N11" s="24" t="n">
        <f aca="false">MAX(L11,M11)</f>
        <v>28</v>
      </c>
      <c r="O11" s="25" t="n">
        <v>7.55</v>
      </c>
      <c r="P11" s="25" t="n">
        <f aca="false">N11*O11</f>
        <v>211.4</v>
      </c>
      <c r="Q11" s="23" t="s">
        <v>2839</v>
      </c>
      <c r="R11" s="23" t="s">
        <v>2804</v>
      </c>
      <c r="S11" s="24" t="n">
        <v>28</v>
      </c>
      <c r="T11" s="25" t="n">
        <v>7.55</v>
      </c>
      <c r="U11" s="25" t="n">
        <v>211.4</v>
      </c>
      <c r="V11" s="25" t="n">
        <f aca="false">P11-U11</f>
        <v>0</v>
      </c>
      <c r="W11" s="25" t="n">
        <f aca="false">V11*12</f>
        <v>0</v>
      </c>
      <c r="X11" s="23" t="str">
        <f aca="false">IF(Q11="","MISSING FROM EXPORT",IF(ABS(V11)&lt;0.005,"CLEAR",IF(V11&gt;0,"UNDERBILLING","OVERBILLING")))</f>
        <v>CLEAR</v>
      </c>
      <c r="Y11" s="25" t="n">
        <f aca="false">IF(F11="COMMERCIAL",ROUND(P11*0.35,2),0)</f>
        <v>0</v>
      </c>
      <c r="Z11" s="23" t="str">
        <f aca="false">IF(F11="COMMERCIAL","VERIFY SIGNED AGREEMENT","NO EXCEPTION")</f>
        <v>NO EXCEPTION</v>
      </c>
      <c r="AA11" s="23" t="str">
        <f aca="false">IF(AND(C11="covered",N11&gt;40),"COVERED &gt;40 FT","")</f>
        <v/>
      </c>
      <c r="AB11" s="23" t="s">
        <v>2840</v>
      </c>
      <c r="AC11" s="23" t="s">
        <v>2841</v>
      </c>
      <c r="AD11" s="23" t="s">
        <v>2807</v>
      </c>
    </row>
    <row r="12" customFormat="false" ht="17.9" hidden="false" customHeight="false" outlineLevel="0" collapsed="false">
      <c r="A12" s="20" t="s">
        <v>2842</v>
      </c>
      <c r="B12" s="20" t="s">
        <v>109</v>
      </c>
      <c r="C12" s="20" t="s">
        <v>2798</v>
      </c>
      <c r="D12" s="20" t="s">
        <v>2843</v>
      </c>
      <c r="E12" s="20" t="s">
        <v>2844</v>
      </c>
      <c r="F12" s="20" t="s">
        <v>2833</v>
      </c>
      <c r="G12" s="20" t="s">
        <v>2845</v>
      </c>
      <c r="H12" s="22" t="n">
        <v>59.3</v>
      </c>
      <c r="I12" s="22" t="n">
        <v>59.3</v>
      </c>
      <c r="J12" s="22" t="n">
        <f aca="false">H12-I12</f>
        <v>0</v>
      </c>
      <c r="K12" s="20" t="str">
        <f aca="false">IF(ABS(J12)&lt;0.001,"MATCH - PAPER CHECK-IN NOT SUPPLIED","DATA MISMATCH")</f>
        <v>MATCH - PAPER CHECK-IN NOT SUPPLIED</v>
      </c>
      <c r="L12" s="22" t="n">
        <v>40</v>
      </c>
      <c r="M12" s="22" t="n">
        <f aca="false">ROUNDUP(H12,0)</f>
        <v>60</v>
      </c>
      <c r="N12" s="24" t="n">
        <f aca="false">MAX(L12,M12)</f>
        <v>60</v>
      </c>
      <c r="O12" s="25" t="n">
        <v>7.55</v>
      </c>
      <c r="P12" s="25" t="n">
        <f aca="false">N12*O12</f>
        <v>453</v>
      </c>
      <c r="Q12" s="23" t="s">
        <v>2846</v>
      </c>
      <c r="R12" s="23" t="s">
        <v>2804</v>
      </c>
      <c r="S12" s="24" t="n">
        <v>60</v>
      </c>
      <c r="T12" s="25" t="n">
        <v>7.55</v>
      </c>
      <c r="U12" s="25" t="n">
        <v>453</v>
      </c>
      <c r="V12" s="25" t="n">
        <f aca="false">P12-U12</f>
        <v>0</v>
      </c>
      <c r="W12" s="25" t="n">
        <f aca="false">V12*12</f>
        <v>0</v>
      </c>
      <c r="X12" s="23" t="str">
        <f aca="false">IF(Q12="","MISSING FROM EXPORT",IF(ABS(V12)&lt;0.005,"CLEAR",IF(V12&gt;0,"UNDERBILLING","OVERBILLING")))</f>
        <v>CLEAR</v>
      </c>
      <c r="Y12" s="25" t="n">
        <f aca="false">IF(F12="COMMERCIAL",ROUND(P12*0.35,2),0)</f>
        <v>0</v>
      </c>
      <c r="Z12" s="23" t="str">
        <f aca="false">IF(F12="COMMERCIAL","VERIFY SIGNED AGREEMENT","NO EXCEPTION")</f>
        <v>NO EXCEPTION</v>
      </c>
      <c r="AA12" s="23" t="str">
        <f aca="false">IF(AND(C12="covered",N12&gt;40),"COVERED &gt;40 FT","")</f>
        <v/>
      </c>
      <c r="AB12" s="23" t="s">
        <v>2847</v>
      </c>
      <c r="AC12" s="23" t="s">
        <v>2848</v>
      </c>
      <c r="AD12" s="23" t="s">
        <v>2807</v>
      </c>
    </row>
    <row r="13" customFormat="false" ht="17.9" hidden="false" customHeight="false" outlineLevel="0" collapsed="false">
      <c r="A13" s="20" t="s">
        <v>555</v>
      </c>
      <c r="B13" s="20" t="s">
        <v>109</v>
      </c>
      <c r="C13" s="20" t="s">
        <v>2798</v>
      </c>
      <c r="D13" s="20" t="s">
        <v>2849</v>
      </c>
      <c r="E13" s="20" t="s">
        <v>2850</v>
      </c>
      <c r="F13" s="20" t="s">
        <v>2833</v>
      </c>
      <c r="G13" s="20" t="s">
        <v>2851</v>
      </c>
      <c r="H13" s="22" t="n">
        <v>30.9</v>
      </c>
      <c r="I13" s="22" t="n">
        <v>30.9</v>
      </c>
      <c r="J13" s="22" t="n">
        <f aca="false">H13-I13</f>
        <v>0</v>
      </c>
      <c r="K13" s="20" t="str">
        <f aca="false">IF(ABS(J13)&lt;0.001,"MATCH - PAPER CHECK-IN NOT SUPPLIED","DATA MISMATCH")</f>
        <v>MATCH - PAPER CHECK-IN NOT SUPPLIED</v>
      </c>
      <c r="L13" s="22" t="n">
        <v>60</v>
      </c>
      <c r="M13" s="22" t="n">
        <f aca="false">ROUNDUP(H13,0)</f>
        <v>31</v>
      </c>
      <c r="N13" s="24" t="n">
        <f aca="false">MAX(L13,M13)</f>
        <v>60</v>
      </c>
      <c r="O13" s="25" t="n">
        <v>7.55</v>
      </c>
      <c r="P13" s="25" t="n">
        <f aca="false">N13*O13</f>
        <v>453</v>
      </c>
      <c r="Q13" s="23" t="s">
        <v>2852</v>
      </c>
      <c r="R13" s="23" t="s">
        <v>2804</v>
      </c>
      <c r="S13" s="24" t="n">
        <v>60</v>
      </c>
      <c r="T13" s="25" t="n">
        <v>7.55</v>
      </c>
      <c r="U13" s="25" t="n">
        <v>453</v>
      </c>
      <c r="V13" s="25" t="n">
        <f aca="false">P13-U13</f>
        <v>0</v>
      </c>
      <c r="W13" s="25" t="n">
        <f aca="false">V13*12</f>
        <v>0</v>
      </c>
      <c r="X13" s="23" t="str">
        <f aca="false">IF(Q13="","MISSING FROM EXPORT",IF(ABS(V13)&lt;0.005,"CLEAR",IF(V13&gt;0,"UNDERBILLING","OVERBILLING")))</f>
        <v>CLEAR</v>
      </c>
      <c r="Y13" s="25" t="n">
        <f aca="false">IF(F13="COMMERCIAL",ROUND(P13*0.35,2),0)</f>
        <v>0</v>
      </c>
      <c r="Z13" s="23" t="str">
        <f aca="false">IF(F13="COMMERCIAL","VERIFY SIGNED AGREEMENT","NO EXCEPTION")</f>
        <v>NO EXCEPTION</v>
      </c>
      <c r="AA13" s="23" t="str">
        <f aca="false">IF(AND(C13="covered",N13&gt;40),"COVERED &gt;40 FT","")</f>
        <v/>
      </c>
      <c r="AB13" s="23" t="s">
        <v>2853</v>
      </c>
      <c r="AC13" s="23" t="s">
        <v>2854</v>
      </c>
      <c r="AD13" s="23" t="s">
        <v>2807</v>
      </c>
    </row>
    <row r="14" customFormat="false" ht="17.9" hidden="false" customHeight="false" outlineLevel="0" collapsed="false">
      <c r="A14" s="20" t="s">
        <v>489</v>
      </c>
      <c r="B14" s="20" t="s">
        <v>109</v>
      </c>
      <c r="C14" s="20" t="s">
        <v>2798</v>
      </c>
      <c r="D14" s="20" t="s">
        <v>2855</v>
      </c>
      <c r="E14" s="20" t="s">
        <v>2856</v>
      </c>
      <c r="F14" s="20" t="s">
        <v>2857</v>
      </c>
      <c r="G14" s="20" t="s">
        <v>2858</v>
      </c>
      <c r="H14" s="22" t="n">
        <v>36.3</v>
      </c>
      <c r="I14" s="22" t="n">
        <v>36.3</v>
      </c>
      <c r="J14" s="22" t="n">
        <f aca="false">H14-I14</f>
        <v>0</v>
      </c>
      <c r="K14" s="20" t="str">
        <f aca="false">IF(ABS(J14)&lt;0.001,"MATCH - PAPER CHECK-IN NOT SUPPLIED","DATA MISMATCH")</f>
        <v>MATCH - PAPER CHECK-IN NOT SUPPLIED</v>
      </c>
      <c r="L14" s="22" t="n">
        <v>28</v>
      </c>
      <c r="M14" s="22" t="n">
        <f aca="false">ROUNDUP(H14,0)</f>
        <v>37</v>
      </c>
      <c r="N14" s="24" t="n">
        <f aca="false">MAX(L14,M14)</f>
        <v>37</v>
      </c>
      <c r="O14" s="25" t="n">
        <v>7.55</v>
      </c>
      <c r="P14" s="25" t="n">
        <f aca="false">N14*O14</f>
        <v>279.35</v>
      </c>
      <c r="Q14" s="23" t="s">
        <v>2859</v>
      </c>
      <c r="R14" s="23" t="s">
        <v>2804</v>
      </c>
      <c r="S14" s="24" t="n">
        <v>37</v>
      </c>
      <c r="T14" s="25" t="n">
        <v>7.55</v>
      </c>
      <c r="U14" s="25" t="n">
        <v>279.35</v>
      </c>
      <c r="V14" s="25" t="n">
        <f aca="false">P14-U14</f>
        <v>0</v>
      </c>
      <c r="W14" s="25" t="n">
        <f aca="false">V14*12</f>
        <v>0</v>
      </c>
      <c r="X14" s="23" t="str">
        <f aca="false">IF(Q14="","MISSING FROM EXPORT",IF(ABS(V14)&lt;0.005,"CLEAR",IF(V14&gt;0,"UNDERBILLING","OVERBILLING")))</f>
        <v>CLEAR</v>
      </c>
      <c r="Y14" s="25" t="n">
        <f aca="false">IF(F14="COMMERCIAL",ROUND(P14*0.35,2),0)</f>
        <v>0</v>
      </c>
      <c r="Z14" s="23" t="str">
        <f aca="false">IF(F14="COMMERCIAL","VERIFY SIGNED AGREEMENT","NO EXCEPTION")</f>
        <v>NO EXCEPTION</v>
      </c>
      <c r="AA14" s="23" t="str">
        <f aca="false">IF(AND(C14="covered",N14&gt;40),"COVERED &gt;40 FT","")</f>
        <v/>
      </c>
      <c r="AB14" s="23" t="s">
        <v>2860</v>
      </c>
      <c r="AC14" s="23" t="s">
        <v>2861</v>
      </c>
      <c r="AD14" s="23" t="s">
        <v>2807</v>
      </c>
    </row>
    <row r="15" customFormat="false" ht="17.9" hidden="false" customHeight="false" outlineLevel="0" collapsed="false">
      <c r="A15" s="20" t="s">
        <v>393</v>
      </c>
      <c r="B15" s="20" t="s">
        <v>109</v>
      </c>
      <c r="C15" s="20" t="s">
        <v>2798</v>
      </c>
      <c r="D15" s="20" t="s">
        <v>1402</v>
      </c>
      <c r="E15" s="20" t="s">
        <v>1403</v>
      </c>
      <c r="F15" s="20" t="s">
        <v>2857</v>
      </c>
      <c r="G15" s="20" t="s">
        <v>2862</v>
      </c>
      <c r="H15" s="22" t="n">
        <v>43.9</v>
      </c>
      <c r="I15" s="22" t="n">
        <v>43.9</v>
      </c>
      <c r="J15" s="22" t="n">
        <f aca="false">H15-I15</f>
        <v>0</v>
      </c>
      <c r="K15" s="20" t="str">
        <f aca="false">IF(ABS(J15)&lt;0.001,"MATCH - PAPER CHECK-IN NOT SUPPLIED","DATA MISMATCH")</f>
        <v>MATCH - PAPER CHECK-IN NOT SUPPLIED</v>
      </c>
      <c r="L15" s="22" t="n">
        <v>28</v>
      </c>
      <c r="M15" s="22" t="n">
        <f aca="false">ROUNDUP(H15,0)</f>
        <v>44</v>
      </c>
      <c r="N15" s="24" t="n">
        <f aca="false">MAX(L15,M15)</f>
        <v>44</v>
      </c>
      <c r="O15" s="25" t="n">
        <v>7.55</v>
      </c>
      <c r="P15" s="25" t="n">
        <f aca="false">N15*O15</f>
        <v>332.2</v>
      </c>
      <c r="Q15" s="23" t="s">
        <v>2863</v>
      </c>
      <c r="R15" s="23" t="s">
        <v>2804</v>
      </c>
      <c r="S15" s="24" t="n">
        <v>44</v>
      </c>
      <c r="T15" s="25" t="n">
        <v>7.55</v>
      </c>
      <c r="U15" s="25" t="n">
        <v>332.2</v>
      </c>
      <c r="V15" s="25" t="n">
        <f aca="false">P15-U15</f>
        <v>0</v>
      </c>
      <c r="W15" s="25" t="n">
        <f aca="false">V15*12</f>
        <v>0</v>
      </c>
      <c r="X15" s="23" t="str">
        <f aca="false">IF(Q15="","MISSING FROM EXPORT",IF(ABS(V15)&lt;0.005,"CLEAR",IF(V15&gt;0,"UNDERBILLING","OVERBILLING")))</f>
        <v>CLEAR</v>
      </c>
      <c r="Y15" s="25" t="n">
        <f aca="false">IF(F15="COMMERCIAL",ROUND(P15*0.35,2),0)</f>
        <v>0</v>
      </c>
      <c r="Z15" s="23" t="str">
        <f aca="false">IF(F15="COMMERCIAL","VERIFY SIGNED AGREEMENT","NO EXCEPTION")</f>
        <v>NO EXCEPTION</v>
      </c>
      <c r="AA15" s="23" t="str">
        <f aca="false">IF(AND(C15="covered",N15&gt;40),"COVERED &gt;40 FT","")</f>
        <v/>
      </c>
      <c r="AB15" s="23" t="s">
        <v>2864</v>
      </c>
      <c r="AC15" s="23" t="s">
        <v>2865</v>
      </c>
      <c r="AD15" s="23" t="s">
        <v>2807</v>
      </c>
    </row>
    <row r="16" customFormat="false" ht="17.9" hidden="false" customHeight="false" outlineLevel="0" collapsed="false">
      <c r="A16" s="20" t="s">
        <v>2866</v>
      </c>
      <c r="B16" s="20" t="s">
        <v>109</v>
      </c>
      <c r="C16" s="20" t="s">
        <v>2798</v>
      </c>
      <c r="D16" s="20" t="s">
        <v>2867</v>
      </c>
      <c r="E16" s="20" t="s">
        <v>2868</v>
      </c>
      <c r="F16" s="20" t="s">
        <v>2869</v>
      </c>
      <c r="G16" s="20" t="s">
        <v>2870</v>
      </c>
      <c r="H16" s="22" t="n">
        <v>38.7</v>
      </c>
      <c r="I16" s="22" t="n">
        <v>38.7</v>
      </c>
      <c r="J16" s="22" t="n">
        <f aca="false">H16-I16</f>
        <v>0</v>
      </c>
      <c r="K16" s="20" t="str">
        <f aca="false">IF(ABS(J16)&lt;0.001,"MATCH - PAPER CHECK-IN NOT SUPPLIED","DATA MISMATCH")</f>
        <v>MATCH - PAPER CHECK-IN NOT SUPPLIED</v>
      </c>
      <c r="L16" s="22" t="n">
        <v>70</v>
      </c>
      <c r="M16" s="22" t="n">
        <f aca="false">ROUNDUP(H16,0)</f>
        <v>39</v>
      </c>
      <c r="N16" s="24" t="n">
        <f aca="false">MAX(L16,M16)</f>
        <v>70</v>
      </c>
      <c r="O16" s="25" t="n">
        <v>7.55</v>
      </c>
      <c r="P16" s="25" t="n">
        <f aca="false">N16*O16</f>
        <v>528.5</v>
      </c>
      <c r="Q16" s="23" t="s">
        <v>2871</v>
      </c>
      <c r="R16" s="23" t="s">
        <v>2804</v>
      </c>
      <c r="S16" s="24" t="n">
        <v>70</v>
      </c>
      <c r="T16" s="25" t="n">
        <v>7.55</v>
      </c>
      <c r="U16" s="25" t="n">
        <v>528.5</v>
      </c>
      <c r="V16" s="25" t="n">
        <f aca="false">P16-U16</f>
        <v>0</v>
      </c>
      <c r="W16" s="25" t="n">
        <f aca="false">V16*12</f>
        <v>0</v>
      </c>
      <c r="X16" s="23" t="str">
        <f aca="false">IF(Q16="","MISSING FROM EXPORT",IF(ABS(V16)&lt;0.005,"CLEAR",IF(V16&gt;0,"UNDERBILLING","OVERBILLING")))</f>
        <v>CLEAR</v>
      </c>
      <c r="Y16" s="25" t="n">
        <f aca="false">IF(F16="COMMERCIAL",ROUND(P16*0.35,2),0)</f>
        <v>0</v>
      </c>
      <c r="Z16" s="23" t="str">
        <f aca="false">IF(F16="COMMERCIAL","VERIFY SIGNED AGREEMENT","NO EXCEPTION")</f>
        <v>NO EXCEPTION</v>
      </c>
      <c r="AA16" s="23" t="str">
        <f aca="false">IF(AND(C16="covered",N16&gt;40),"COVERED &gt;40 FT","")</f>
        <v/>
      </c>
      <c r="AB16" s="23" t="s">
        <v>2872</v>
      </c>
      <c r="AC16" s="23" t="s">
        <v>2873</v>
      </c>
      <c r="AD16" s="23" t="s">
        <v>2807</v>
      </c>
    </row>
    <row r="17" customFormat="false" ht="17.9" hidden="false" customHeight="false" outlineLevel="0" collapsed="false">
      <c r="A17" s="20" t="s">
        <v>2874</v>
      </c>
      <c r="B17" s="20" t="s">
        <v>109</v>
      </c>
      <c r="C17" s="20" t="s">
        <v>2798</v>
      </c>
      <c r="D17" s="20" t="s">
        <v>2875</v>
      </c>
      <c r="E17" s="20" t="s">
        <v>2876</v>
      </c>
      <c r="F17" s="20" t="s">
        <v>2801</v>
      </c>
      <c r="G17" s="20" t="s">
        <v>2877</v>
      </c>
      <c r="H17" s="22" t="n">
        <v>61.3</v>
      </c>
      <c r="I17" s="22" t="n">
        <v>61.3</v>
      </c>
      <c r="J17" s="22" t="n">
        <f aca="false">H17-I17</f>
        <v>0</v>
      </c>
      <c r="K17" s="20" t="str">
        <f aca="false">IF(ABS(J17)&lt;0.001,"MATCH - PAPER CHECK-IN NOT SUPPLIED","DATA MISMATCH")</f>
        <v>MATCH - PAPER CHECK-IN NOT SUPPLIED</v>
      </c>
      <c r="L17" s="22" t="n">
        <v>45</v>
      </c>
      <c r="M17" s="22" t="n">
        <f aca="false">ROUNDUP(H17,0)</f>
        <v>62</v>
      </c>
      <c r="N17" s="24" t="n">
        <f aca="false">MAX(L17,M17)</f>
        <v>62</v>
      </c>
      <c r="O17" s="25" t="n">
        <v>7.55</v>
      </c>
      <c r="P17" s="25" t="n">
        <f aca="false">N17*O17</f>
        <v>468.1</v>
      </c>
      <c r="Q17" s="23" t="s">
        <v>2878</v>
      </c>
      <c r="R17" s="23" t="s">
        <v>2804</v>
      </c>
      <c r="S17" s="24" t="n">
        <v>62</v>
      </c>
      <c r="T17" s="25" t="n">
        <v>7.55</v>
      </c>
      <c r="U17" s="25" t="n">
        <v>468.1</v>
      </c>
      <c r="V17" s="25" t="n">
        <f aca="false">P17-U17</f>
        <v>0</v>
      </c>
      <c r="W17" s="25" t="n">
        <f aca="false">V17*12</f>
        <v>0</v>
      </c>
      <c r="X17" s="23" t="str">
        <f aca="false">IF(Q17="","MISSING FROM EXPORT",IF(ABS(V17)&lt;0.005,"CLEAR",IF(V17&gt;0,"UNDERBILLING","OVERBILLING")))</f>
        <v>CLEAR</v>
      </c>
      <c r="Y17" s="25" t="n">
        <f aca="false">IF(F17="COMMERCIAL",ROUND(P17*0.35,2),0)</f>
        <v>0</v>
      </c>
      <c r="Z17" s="23" t="str">
        <f aca="false">IF(F17="COMMERCIAL","VERIFY SIGNED AGREEMENT","NO EXCEPTION")</f>
        <v>NO EXCEPTION</v>
      </c>
      <c r="AA17" s="23" t="str">
        <f aca="false">IF(AND(C17="covered",N17&gt;40),"COVERED &gt;40 FT","")</f>
        <v/>
      </c>
      <c r="AB17" s="23" t="s">
        <v>2879</v>
      </c>
      <c r="AC17" s="23" t="s">
        <v>2880</v>
      </c>
      <c r="AD17" s="23" t="s">
        <v>2807</v>
      </c>
    </row>
    <row r="18" customFormat="false" ht="17.9" hidden="false" customHeight="false" outlineLevel="0" collapsed="false">
      <c r="A18" s="20" t="s">
        <v>2881</v>
      </c>
      <c r="B18" s="20" t="s">
        <v>109</v>
      </c>
      <c r="C18" s="20" t="s">
        <v>2798</v>
      </c>
      <c r="D18" s="20" t="s">
        <v>2882</v>
      </c>
      <c r="E18" s="20" t="s">
        <v>2883</v>
      </c>
      <c r="F18" s="20" t="s">
        <v>2833</v>
      </c>
      <c r="G18" s="20" t="s">
        <v>2884</v>
      </c>
      <c r="H18" s="22" t="n">
        <v>41.6</v>
      </c>
      <c r="I18" s="22" t="n">
        <v>41.6</v>
      </c>
      <c r="J18" s="22" t="n">
        <f aca="false">H18-I18</f>
        <v>0</v>
      </c>
      <c r="K18" s="20" t="str">
        <f aca="false">IF(ABS(J18)&lt;0.001,"MATCH - PAPER CHECK-IN NOT SUPPLIED","DATA MISMATCH")</f>
        <v>MATCH - PAPER CHECK-IN NOT SUPPLIED</v>
      </c>
      <c r="L18" s="22" t="n">
        <v>24</v>
      </c>
      <c r="M18" s="22" t="n">
        <f aca="false">ROUNDUP(H18,0)</f>
        <v>42</v>
      </c>
      <c r="N18" s="24" t="n">
        <f aca="false">MAX(L18,M18)</f>
        <v>42</v>
      </c>
      <c r="O18" s="25" t="n">
        <v>7.55</v>
      </c>
      <c r="P18" s="25" t="n">
        <f aca="false">N18*O18</f>
        <v>317.1</v>
      </c>
      <c r="Q18" s="23" t="s">
        <v>2885</v>
      </c>
      <c r="R18" s="23" t="s">
        <v>2804</v>
      </c>
      <c r="S18" s="24" t="n">
        <v>42</v>
      </c>
      <c r="T18" s="25" t="n">
        <v>7.55</v>
      </c>
      <c r="U18" s="25" t="n">
        <v>317.1</v>
      </c>
      <c r="V18" s="25" t="n">
        <f aca="false">P18-U18</f>
        <v>0</v>
      </c>
      <c r="W18" s="25" t="n">
        <f aca="false">V18*12</f>
        <v>0</v>
      </c>
      <c r="X18" s="23" t="str">
        <f aca="false">IF(Q18="","MISSING FROM EXPORT",IF(ABS(V18)&lt;0.005,"CLEAR",IF(V18&gt;0,"UNDERBILLING","OVERBILLING")))</f>
        <v>CLEAR</v>
      </c>
      <c r="Y18" s="25" t="n">
        <f aca="false">IF(F18="COMMERCIAL",ROUND(P18*0.35,2),0)</f>
        <v>0</v>
      </c>
      <c r="Z18" s="23" t="str">
        <f aca="false">IF(F18="COMMERCIAL","VERIFY SIGNED AGREEMENT","NO EXCEPTION")</f>
        <v>NO EXCEPTION</v>
      </c>
      <c r="AA18" s="23" t="str">
        <f aca="false">IF(AND(C18="covered",N18&gt;40),"COVERED &gt;40 FT","")</f>
        <v/>
      </c>
      <c r="AB18" s="23" t="s">
        <v>2886</v>
      </c>
      <c r="AC18" s="23" t="s">
        <v>2887</v>
      </c>
      <c r="AD18" s="23" t="s">
        <v>2807</v>
      </c>
    </row>
    <row r="19" customFormat="false" ht="17.9" hidden="false" customHeight="false" outlineLevel="0" collapsed="false">
      <c r="A19" s="20" t="s">
        <v>2888</v>
      </c>
      <c r="B19" s="20" t="s">
        <v>109</v>
      </c>
      <c r="C19" s="20" t="s">
        <v>2798</v>
      </c>
      <c r="D19" s="20" t="s">
        <v>2889</v>
      </c>
      <c r="E19" s="20" t="s">
        <v>2890</v>
      </c>
      <c r="F19" s="20" t="s">
        <v>2833</v>
      </c>
      <c r="G19" s="20" t="s">
        <v>2891</v>
      </c>
      <c r="H19" s="22" t="n">
        <v>38.4</v>
      </c>
      <c r="I19" s="22" t="n">
        <v>38.4</v>
      </c>
      <c r="J19" s="22" t="n">
        <f aca="false">H19-I19</f>
        <v>0</v>
      </c>
      <c r="K19" s="20" t="str">
        <f aca="false">IF(ABS(J19)&lt;0.001,"MATCH - PAPER CHECK-IN NOT SUPPLIED","DATA MISMATCH")</f>
        <v>MATCH - PAPER CHECK-IN NOT SUPPLIED</v>
      </c>
      <c r="L19" s="22" t="n">
        <v>32</v>
      </c>
      <c r="M19" s="22" t="n">
        <f aca="false">ROUNDUP(H19,0)</f>
        <v>39</v>
      </c>
      <c r="N19" s="24" t="n">
        <f aca="false">MAX(L19,M19)</f>
        <v>39</v>
      </c>
      <c r="O19" s="25" t="n">
        <v>7.55</v>
      </c>
      <c r="P19" s="25" t="n">
        <f aca="false">N19*O19</f>
        <v>294.45</v>
      </c>
      <c r="Q19" s="23" t="s">
        <v>2892</v>
      </c>
      <c r="R19" s="23" t="s">
        <v>2804</v>
      </c>
      <c r="S19" s="24" t="n">
        <v>39</v>
      </c>
      <c r="T19" s="25" t="n">
        <v>7.55</v>
      </c>
      <c r="U19" s="25" t="n">
        <v>294.45</v>
      </c>
      <c r="V19" s="25" t="n">
        <f aca="false">P19-U19</f>
        <v>0</v>
      </c>
      <c r="W19" s="25" t="n">
        <f aca="false">V19*12</f>
        <v>0</v>
      </c>
      <c r="X19" s="23" t="str">
        <f aca="false">IF(Q19="","MISSING FROM EXPORT",IF(ABS(V19)&lt;0.005,"CLEAR",IF(V19&gt;0,"UNDERBILLING","OVERBILLING")))</f>
        <v>CLEAR</v>
      </c>
      <c r="Y19" s="25" t="n">
        <f aca="false">IF(F19="COMMERCIAL",ROUND(P19*0.35,2),0)</f>
        <v>0</v>
      </c>
      <c r="Z19" s="23" t="str">
        <f aca="false">IF(F19="COMMERCIAL","VERIFY SIGNED AGREEMENT","NO EXCEPTION")</f>
        <v>NO EXCEPTION</v>
      </c>
      <c r="AA19" s="23" t="str">
        <f aca="false">IF(AND(C19="covered",N19&gt;40),"COVERED &gt;40 FT","")</f>
        <v/>
      </c>
      <c r="AB19" s="23" t="s">
        <v>2893</v>
      </c>
      <c r="AC19" s="23" t="s">
        <v>2894</v>
      </c>
      <c r="AD19" s="23" t="s">
        <v>2807</v>
      </c>
    </row>
    <row r="20" customFormat="false" ht="17.9" hidden="false" customHeight="false" outlineLevel="0" collapsed="false">
      <c r="A20" s="20" t="s">
        <v>2895</v>
      </c>
      <c r="B20" s="20" t="s">
        <v>109</v>
      </c>
      <c r="C20" s="20" t="s">
        <v>2798</v>
      </c>
      <c r="D20" s="20" t="s">
        <v>2896</v>
      </c>
      <c r="E20" s="20" t="s">
        <v>2897</v>
      </c>
      <c r="F20" s="20" t="s">
        <v>2898</v>
      </c>
      <c r="G20" s="20" t="s">
        <v>2899</v>
      </c>
      <c r="H20" s="22" t="n">
        <v>25.7</v>
      </c>
      <c r="I20" s="22" t="n">
        <v>25.7</v>
      </c>
      <c r="J20" s="22" t="n">
        <f aca="false">H20-I20</f>
        <v>0</v>
      </c>
      <c r="K20" s="20" t="str">
        <f aca="false">IF(ABS(J20)&lt;0.001,"MATCH - PAPER CHECK-IN NOT SUPPLIED","DATA MISMATCH")</f>
        <v>MATCH - PAPER CHECK-IN NOT SUPPLIED</v>
      </c>
      <c r="L20" s="22" t="n">
        <v>32</v>
      </c>
      <c r="M20" s="22" t="n">
        <f aca="false">ROUNDUP(H20,0)</f>
        <v>26</v>
      </c>
      <c r="N20" s="24" t="n">
        <f aca="false">MAX(L20,M20)</f>
        <v>32</v>
      </c>
      <c r="O20" s="25" t="n">
        <v>7.55</v>
      </c>
      <c r="P20" s="25" t="n">
        <f aca="false">N20*O20</f>
        <v>241.6</v>
      </c>
      <c r="Q20" s="23" t="s">
        <v>2900</v>
      </c>
      <c r="R20" s="23" t="s">
        <v>2804</v>
      </c>
      <c r="S20" s="24" t="n">
        <v>32</v>
      </c>
      <c r="T20" s="25" t="n">
        <v>7.55</v>
      </c>
      <c r="U20" s="25" t="n">
        <v>241.6</v>
      </c>
      <c r="V20" s="25" t="n">
        <f aca="false">P20-U20</f>
        <v>0</v>
      </c>
      <c r="W20" s="25" t="n">
        <f aca="false">V20*12</f>
        <v>0</v>
      </c>
      <c r="X20" s="23" t="str">
        <f aca="false">IF(Q20="","MISSING FROM EXPORT",IF(ABS(V20)&lt;0.005,"CLEAR",IF(V20&gt;0,"UNDERBILLING","OVERBILLING")))</f>
        <v>CLEAR</v>
      </c>
      <c r="Y20" s="25" t="n">
        <f aca="false">IF(F20="COMMERCIAL",ROUND(P20*0.35,2),0)</f>
        <v>0</v>
      </c>
      <c r="Z20" s="23" t="str">
        <f aca="false">IF(F20="COMMERCIAL","VERIFY SIGNED AGREEMENT","NO EXCEPTION")</f>
        <v>NO EXCEPTION</v>
      </c>
      <c r="AA20" s="23" t="str">
        <f aca="false">IF(AND(C20="covered",N20&gt;40),"COVERED &gt;40 FT","")</f>
        <v/>
      </c>
      <c r="AB20" s="23" t="s">
        <v>2901</v>
      </c>
      <c r="AC20" s="23" t="s">
        <v>2902</v>
      </c>
      <c r="AD20" s="23" t="s">
        <v>2807</v>
      </c>
    </row>
    <row r="21" customFormat="false" ht="17.9" hidden="false" customHeight="false" outlineLevel="0" collapsed="false">
      <c r="A21" s="20" t="s">
        <v>937</v>
      </c>
      <c r="B21" s="20" t="s">
        <v>109</v>
      </c>
      <c r="C21" s="20" t="s">
        <v>2798</v>
      </c>
      <c r="D21" s="20" t="s">
        <v>2722</v>
      </c>
      <c r="E21" s="20" t="s">
        <v>2723</v>
      </c>
      <c r="F21" s="20" t="s">
        <v>2833</v>
      </c>
      <c r="G21" s="20" t="s">
        <v>2903</v>
      </c>
      <c r="H21" s="22" t="n">
        <v>48.3</v>
      </c>
      <c r="I21" s="22" t="n">
        <v>48.3</v>
      </c>
      <c r="J21" s="22" t="n">
        <f aca="false">H21-I21</f>
        <v>0</v>
      </c>
      <c r="K21" s="20" t="str">
        <f aca="false">IF(ABS(J21)&lt;0.001,"MATCH - PAPER CHECK-IN NOT SUPPLIED","DATA MISMATCH")</f>
        <v>MATCH - PAPER CHECK-IN NOT SUPPLIED</v>
      </c>
      <c r="L21" s="22" t="n">
        <v>45</v>
      </c>
      <c r="M21" s="22" t="n">
        <f aca="false">ROUNDUP(H21,0)</f>
        <v>49</v>
      </c>
      <c r="N21" s="24" t="n">
        <f aca="false">MAX(L21,M21)</f>
        <v>49</v>
      </c>
      <c r="O21" s="25" t="n">
        <v>7.55</v>
      </c>
      <c r="P21" s="25" t="n">
        <f aca="false">N21*O21</f>
        <v>369.95</v>
      </c>
      <c r="Q21" s="23" t="s">
        <v>2904</v>
      </c>
      <c r="R21" s="23" t="s">
        <v>2804</v>
      </c>
      <c r="S21" s="24" t="n">
        <v>49</v>
      </c>
      <c r="T21" s="25" t="n">
        <v>7.55</v>
      </c>
      <c r="U21" s="25" t="n">
        <v>369.95</v>
      </c>
      <c r="V21" s="25" t="n">
        <f aca="false">P21-U21</f>
        <v>0</v>
      </c>
      <c r="W21" s="25" t="n">
        <f aca="false">V21*12</f>
        <v>0</v>
      </c>
      <c r="X21" s="23" t="str">
        <f aca="false">IF(Q21="","MISSING FROM EXPORT",IF(ABS(V21)&lt;0.005,"CLEAR",IF(V21&gt;0,"UNDERBILLING","OVERBILLING")))</f>
        <v>CLEAR</v>
      </c>
      <c r="Y21" s="25" t="n">
        <f aca="false">IF(F21="COMMERCIAL",ROUND(P21*0.35,2),0)</f>
        <v>0</v>
      </c>
      <c r="Z21" s="23" t="str">
        <f aca="false">IF(F21="COMMERCIAL","VERIFY SIGNED AGREEMENT","NO EXCEPTION")</f>
        <v>NO EXCEPTION</v>
      </c>
      <c r="AA21" s="23" t="str">
        <f aca="false">IF(AND(C21="covered",N21&gt;40),"COVERED &gt;40 FT","")</f>
        <v/>
      </c>
      <c r="AB21" s="23" t="s">
        <v>2905</v>
      </c>
      <c r="AC21" s="23" t="s">
        <v>2906</v>
      </c>
      <c r="AD21" s="23" t="s">
        <v>2807</v>
      </c>
    </row>
    <row r="22" customFormat="false" ht="17.9" hidden="false" customHeight="false" outlineLevel="0" collapsed="false">
      <c r="A22" s="20" t="s">
        <v>471</v>
      </c>
      <c r="B22" s="20" t="s">
        <v>109</v>
      </c>
      <c r="C22" s="20" t="s">
        <v>2798</v>
      </c>
      <c r="D22" s="20" t="s">
        <v>1644</v>
      </c>
      <c r="E22" s="20" t="s">
        <v>1645</v>
      </c>
      <c r="F22" s="20" t="s">
        <v>2833</v>
      </c>
      <c r="G22" s="20" t="s">
        <v>2907</v>
      </c>
      <c r="H22" s="22" t="n">
        <v>48.3</v>
      </c>
      <c r="I22" s="22" t="n">
        <v>48.3</v>
      </c>
      <c r="J22" s="22" t="n">
        <f aca="false">H22-I22</f>
        <v>0</v>
      </c>
      <c r="K22" s="20" t="str">
        <f aca="false">IF(ABS(J22)&lt;0.001,"MATCH - PAPER CHECK-IN NOT SUPPLIED","DATA MISMATCH")</f>
        <v>MATCH - PAPER CHECK-IN NOT SUPPLIED</v>
      </c>
      <c r="L22" s="22" t="n">
        <v>32</v>
      </c>
      <c r="M22" s="22" t="n">
        <f aca="false">ROUNDUP(H22,0)</f>
        <v>49</v>
      </c>
      <c r="N22" s="24" t="n">
        <f aca="false">MAX(L22,M22)</f>
        <v>49</v>
      </c>
      <c r="O22" s="25" t="n">
        <v>7.55</v>
      </c>
      <c r="P22" s="25" t="n">
        <f aca="false">N22*O22</f>
        <v>369.95</v>
      </c>
      <c r="Q22" s="23" t="s">
        <v>2908</v>
      </c>
      <c r="R22" s="23" t="s">
        <v>2804</v>
      </c>
      <c r="S22" s="24" t="n">
        <v>49</v>
      </c>
      <c r="T22" s="25" t="n">
        <v>7.55</v>
      </c>
      <c r="U22" s="25" t="n">
        <v>369.95</v>
      </c>
      <c r="V22" s="25" t="n">
        <f aca="false">P22-U22</f>
        <v>0</v>
      </c>
      <c r="W22" s="25" t="n">
        <f aca="false">V22*12</f>
        <v>0</v>
      </c>
      <c r="X22" s="23" t="str">
        <f aca="false">IF(Q22="","MISSING FROM EXPORT",IF(ABS(V22)&lt;0.005,"CLEAR",IF(V22&gt;0,"UNDERBILLING","OVERBILLING")))</f>
        <v>CLEAR</v>
      </c>
      <c r="Y22" s="25" t="n">
        <f aca="false">IF(F22="COMMERCIAL",ROUND(P22*0.35,2),0)</f>
        <v>0</v>
      </c>
      <c r="Z22" s="23" t="str">
        <f aca="false">IF(F22="COMMERCIAL","VERIFY SIGNED AGREEMENT","NO EXCEPTION")</f>
        <v>NO EXCEPTION</v>
      </c>
      <c r="AA22" s="23" t="str">
        <f aca="false">IF(AND(C22="covered",N22&gt;40),"COVERED &gt;40 FT","")</f>
        <v/>
      </c>
      <c r="AB22" s="23" t="s">
        <v>2909</v>
      </c>
      <c r="AC22" s="23" t="s">
        <v>2910</v>
      </c>
      <c r="AD22" s="23" t="s">
        <v>2807</v>
      </c>
    </row>
    <row r="23" customFormat="false" ht="17.9" hidden="false" customHeight="false" outlineLevel="0" collapsed="false">
      <c r="A23" s="20" t="s">
        <v>2911</v>
      </c>
      <c r="B23" s="20" t="s">
        <v>109</v>
      </c>
      <c r="C23" s="20" t="s">
        <v>2798</v>
      </c>
      <c r="D23" s="20" t="s">
        <v>2912</v>
      </c>
      <c r="E23" s="20" t="s">
        <v>2913</v>
      </c>
      <c r="F23" s="20" t="s">
        <v>2833</v>
      </c>
      <c r="G23" s="20" t="s">
        <v>2914</v>
      </c>
      <c r="H23" s="22" t="n">
        <v>59.3</v>
      </c>
      <c r="I23" s="22" t="n">
        <v>59.3</v>
      </c>
      <c r="J23" s="22" t="n">
        <f aca="false">H23-I23</f>
        <v>0</v>
      </c>
      <c r="K23" s="20" t="str">
        <f aca="false">IF(ABS(J23)&lt;0.001,"MATCH - PAPER CHECK-IN NOT SUPPLIED","DATA MISMATCH")</f>
        <v>MATCH - PAPER CHECK-IN NOT SUPPLIED</v>
      </c>
      <c r="L23" s="22" t="n">
        <v>80</v>
      </c>
      <c r="M23" s="22" t="n">
        <f aca="false">ROUNDUP(H23,0)</f>
        <v>60</v>
      </c>
      <c r="N23" s="24" t="n">
        <f aca="false">MAX(L23,M23)</f>
        <v>80</v>
      </c>
      <c r="O23" s="25" t="n">
        <v>7.55</v>
      </c>
      <c r="P23" s="25" t="n">
        <f aca="false">N23*O23</f>
        <v>604</v>
      </c>
      <c r="Q23" s="23" t="s">
        <v>2915</v>
      </c>
      <c r="R23" s="23" t="s">
        <v>2804</v>
      </c>
      <c r="S23" s="24" t="n">
        <v>80</v>
      </c>
      <c r="T23" s="25" t="n">
        <v>7.55</v>
      </c>
      <c r="U23" s="25" t="n">
        <v>604</v>
      </c>
      <c r="V23" s="25" t="n">
        <f aca="false">P23-U23</f>
        <v>0</v>
      </c>
      <c r="W23" s="25" t="n">
        <f aca="false">V23*12</f>
        <v>0</v>
      </c>
      <c r="X23" s="23" t="str">
        <f aca="false">IF(Q23="","MISSING FROM EXPORT",IF(ABS(V23)&lt;0.005,"CLEAR",IF(V23&gt;0,"UNDERBILLING","OVERBILLING")))</f>
        <v>CLEAR</v>
      </c>
      <c r="Y23" s="25" t="n">
        <f aca="false">IF(F23="COMMERCIAL",ROUND(P23*0.35,2),0)</f>
        <v>0</v>
      </c>
      <c r="Z23" s="23" t="str">
        <f aca="false">IF(F23="COMMERCIAL","VERIFY SIGNED AGREEMENT","NO EXCEPTION")</f>
        <v>NO EXCEPTION</v>
      </c>
      <c r="AA23" s="23" t="str">
        <f aca="false">IF(AND(C23="covered",N23&gt;40),"COVERED &gt;40 FT","")</f>
        <v/>
      </c>
      <c r="AB23" s="23" t="s">
        <v>2916</v>
      </c>
      <c r="AC23" s="23" t="s">
        <v>2917</v>
      </c>
      <c r="AD23" s="23" t="s">
        <v>2807</v>
      </c>
    </row>
    <row r="24" customFormat="false" ht="17.9" hidden="false" customHeight="false" outlineLevel="0" collapsed="false">
      <c r="A24" s="20" t="s">
        <v>2918</v>
      </c>
      <c r="B24" s="20" t="s">
        <v>109</v>
      </c>
      <c r="C24" s="20" t="s">
        <v>2798</v>
      </c>
      <c r="D24" s="20" t="s">
        <v>2919</v>
      </c>
      <c r="E24" s="20" t="s">
        <v>2920</v>
      </c>
      <c r="F24" s="20" t="s">
        <v>2833</v>
      </c>
      <c r="G24" s="20" t="s">
        <v>2921</v>
      </c>
      <c r="H24" s="22" t="n">
        <v>37.9</v>
      </c>
      <c r="I24" s="22" t="n">
        <v>37.9</v>
      </c>
      <c r="J24" s="22" t="n">
        <f aca="false">H24-I24</f>
        <v>0</v>
      </c>
      <c r="K24" s="20" t="str">
        <f aca="false">IF(ABS(J24)&lt;0.001,"MATCH - PAPER CHECK-IN NOT SUPPLIED","DATA MISMATCH")</f>
        <v>MATCH - PAPER CHECK-IN NOT SUPPLIED</v>
      </c>
      <c r="L24" s="22" t="n">
        <v>28</v>
      </c>
      <c r="M24" s="22" t="n">
        <f aca="false">ROUNDUP(H24,0)</f>
        <v>38</v>
      </c>
      <c r="N24" s="24" t="n">
        <f aca="false">MAX(L24,M24)</f>
        <v>38</v>
      </c>
      <c r="O24" s="25" t="n">
        <v>7.55</v>
      </c>
      <c r="P24" s="25" t="n">
        <f aca="false">N24*O24</f>
        <v>286.9</v>
      </c>
      <c r="Q24" s="23" t="s">
        <v>2922</v>
      </c>
      <c r="R24" s="23" t="s">
        <v>2804</v>
      </c>
      <c r="S24" s="24" t="n">
        <v>38</v>
      </c>
      <c r="T24" s="25" t="n">
        <v>7.55</v>
      </c>
      <c r="U24" s="25" t="n">
        <v>286.9</v>
      </c>
      <c r="V24" s="25" t="n">
        <f aca="false">P24-U24</f>
        <v>0</v>
      </c>
      <c r="W24" s="25" t="n">
        <f aca="false">V24*12</f>
        <v>0</v>
      </c>
      <c r="X24" s="23" t="str">
        <f aca="false">IF(Q24="","MISSING FROM EXPORT",IF(ABS(V24)&lt;0.005,"CLEAR",IF(V24&gt;0,"UNDERBILLING","OVERBILLING")))</f>
        <v>CLEAR</v>
      </c>
      <c r="Y24" s="25" t="n">
        <f aca="false">IF(F24="COMMERCIAL",ROUND(P24*0.35,2),0)</f>
        <v>0</v>
      </c>
      <c r="Z24" s="23" t="str">
        <f aca="false">IF(F24="COMMERCIAL","VERIFY SIGNED AGREEMENT","NO EXCEPTION")</f>
        <v>NO EXCEPTION</v>
      </c>
      <c r="AA24" s="23" t="str">
        <f aca="false">IF(AND(C24="covered",N24&gt;40),"COVERED &gt;40 FT","")</f>
        <v/>
      </c>
      <c r="AB24" s="23" t="s">
        <v>2923</v>
      </c>
      <c r="AC24" s="23" t="s">
        <v>2924</v>
      </c>
      <c r="AD24" s="23" t="s">
        <v>2807</v>
      </c>
    </row>
    <row r="25" customFormat="false" ht="17.9" hidden="false" customHeight="false" outlineLevel="0" collapsed="false">
      <c r="A25" s="20" t="s">
        <v>2925</v>
      </c>
      <c r="B25" s="20" t="s">
        <v>109</v>
      </c>
      <c r="C25" s="20" t="s">
        <v>2798</v>
      </c>
      <c r="D25" s="20" t="s">
        <v>293</v>
      </c>
      <c r="E25" s="20" t="s">
        <v>2926</v>
      </c>
      <c r="F25" s="20" t="s">
        <v>2898</v>
      </c>
      <c r="G25" s="20" t="s">
        <v>2927</v>
      </c>
      <c r="H25" s="22" t="n">
        <v>25.7</v>
      </c>
      <c r="I25" s="22" t="n">
        <v>25.7</v>
      </c>
      <c r="J25" s="22" t="n">
        <f aca="false">H25-I25</f>
        <v>0</v>
      </c>
      <c r="K25" s="20" t="str">
        <f aca="false">IF(ABS(J25)&lt;0.001,"MATCH - PAPER CHECK-IN NOT SUPPLIED","DATA MISMATCH")</f>
        <v>MATCH - PAPER CHECK-IN NOT SUPPLIED</v>
      </c>
      <c r="L25" s="22" t="n">
        <v>70</v>
      </c>
      <c r="M25" s="22" t="n">
        <f aca="false">ROUNDUP(H25,0)</f>
        <v>26</v>
      </c>
      <c r="N25" s="24" t="n">
        <f aca="false">MAX(L25,M25)</f>
        <v>70</v>
      </c>
      <c r="O25" s="25" t="n">
        <v>7.55</v>
      </c>
      <c r="P25" s="25" t="n">
        <f aca="false">N25*O25</f>
        <v>528.5</v>
      </c>
      <c r="Q25" s="23" t="s">
        <v>2928</v>
      </c>
      <c r="R25" s="23" t="s">
        <v>2804</v>
      </c>
      <c r="S25" s="24" t="n">
        <v>70</v>
      </c>
      <c r="T25" s="25" t="n">
        <v>7.55</v>
      </c>
      <c r="U25" s="25" t="n">
        <v>528.5</v>
      </c>
      <c r="V25" s="25" t="n">
        <f aca="false">P25-U25</f>
        <v>0</v>
      </c>
      <c r="W25" s="25" t="n">
        <f aca="false">V25*12</f>
        <v>0</v>
      </c>
      <c r="X25" s="23" t="str">
        <f aca="false">IF(Q25="","MISSING FROM EXPORT",IF(ABS(V25)&lt;0.005,"CLEAR",IF(V25&gt;0,"UNDERBILLING","OVERBILLING")))</f>
        <v>CLEAR</v>
      </c>
      <c r="Y25" s="25" t="n">
        <f aca="false">IF(F25="COMMERCIAL",ROUND(P25*0.35,2),0)</f>
        <v>0</v>
      </c>
      <c r="Z25" s="23" t="str">
        <f aca="false">IF(F25="COMMERCIAL","VERIFY SIGNED AGREEMENT","NO EXCEPTION")</f>
        <v>NO EXCEPTION</v>
      </c>
      <c r="AA25" s="23" t="str">
        <f aca="false">IF(AND(C25="covered",N25&gt;40),"COVERED &gt;40 FT","")</f>
        <v/>
      </c>
      <c r="AB25" s="23" t="s">
        <v>2929</v>
      </c>
      <c r="AC25" s="23" t="s">
        <v>2930</v>
      </c>
      <c r="AD25" s="23" t="s">
        <v>2807</v>
      </c>
    </row>
    <row r="26" customFormat="false" ht="17.9" hidden="false" customHeight="false" outlineLevel="0" collapsed="false">
      <c r="A26" s="20" t="s">
        <v>2931</v>
      </c>
      <c r="B26" s="20" t="s">
        <v>109</v>
      </c>
      <c r="C26" s="20" t="s">
        <v>2798</v>
      </c>
      <c r="D26" s="20" t="s">
        <v>2932</v>
      </c>
      <c r="E26" s="20" t="s">
        <v>2933</v>
      </c>
      <c r="F26" s="20" t="s">
        <v>2934</v>
      </c>
      <c r="G26" s="20" t="s">
        <v>2935</v>
      </c>
      <c r="H26" s="22" t="n">
        <v>44.4</v>
      </c>
      <c r="I26" s="22" t="n">
        <v>44.4</v>
      </c>
      <c r="J26" s="22" t="n">
        <f aca="false">H26-I26</f>
        <v>0</v>
      </c>
      <c r="K26" s="20" t="str">
        <f aca="false">IF(ABS(J26)&lt;0.001,"MATCH - PAPER CHECK-IN NOT SUPPLIED","DATA MISMATCH")</f>
        <v>MATCH - PAPER CHECK-IN NOT SUPPLIED</v>
      </c>
      <c r="L26" s="22" t="n">
        <v>28</v>
      </c>
      <c r="M26" s="22" t="n">
        <f aca="false">ROUNDUP(H26,0)</f>
        <v>45</v>
      </c>
      <c r="N26" s="24" t="n">
        <f aca="false">MAX(L26,M26)</f>
        <v>45</v>
      </c>
      <c r="O26" s="25" t="n">
        <v>7.55</v>
      </c>
      <c r="P26" s="25" t="n">
        <f aca="false">N26*O26</f>
        <v>339.75</v>
      </c>
      <c r="Q26" s="23" t="s">
        <v>2936</v>
      </c>
      <c r="R26" s="23" t="s">
        <v>2804</v>
      </c>
      <c r="S26" s="24" t="n">
        <v>45</v>
      </c>
      <c r="T26" s="25" t="n">
        <v>7.55</v>
      </c>
      <c r="U26" s="25" t="n">
        <v>339.75</v>
      </c>
      <c r="V26" s="25" t="n">
        <f aca="false">P26-U26</f>
        <v>0</v>
      </c>
      <c r="W26" s="25" t="n">
        <f aca="false">V26*12</f>
        <v>0</v>
      </c>
      <c r="X26" s="23" t="str">
        <f aca="false">IF(Q26="","MISSING FROM EXPORT",IF(ABS(V26)&lt;0.005,"CLEAR",IF(V26&gt;0,"UNDERBILLING","OVERBILLING")))</f>
        <v>CLEAR</v>
      </c>
      <c r="Y26" s="25" t="n">
        <f aca="false">IF(F26="COMMERCIAL",ROUND(P26*0.35,2),0)</f>
        <v>118.91</v>
      </c>
      <c r="Z26" s="23" t="str">
        <f aca="false">IF(F26="COMMERCIAL","VERIFY SIGNED AGREEMENT","NO EXCEPTION")</f>
        <v>VERIFY SIGNED AGREEMENT</v>
      </c>
      <c r="AA26" s="23" t="str">
        <f aca="false">IF(AND(C26="covered",N26&gt;40),"COVERED &gt;40 FT","")</f>
        <v/>
      </c>
      <c r="AB26" s="23" t="s">
        <v>2937</v>
      </c>
      <c r="AC26" s="23" t="s">
        <v>2938</v>
      </c>
      <c r="AD26" s="23" t="s">
        <v>2807</v>
      </c>
    </row>
    <row r="27" customFormat="false" ht="17.9" hidden="false" customHeight="false" outlineLevel="0" collapsed="false">
      <c r="A27" s="20" t="s">
        <v>1480</v>
      </c>
      <c r="B27" s="20" t="s">
        <v>109</v>
      </c>
      <c r="C27" s="20" t="s">
        <v>2798</v>
      </c>
      <c r="D27" s="20" t="s">
        <v>2939</v>
      </c>
      <c r="E27" s="20" t="s">
        <v>2940</v>
      </c>
      <c r="F27" s="20" t="s">
        <v>2833</v>
      </c>
      <c r="G27" s="20" t="s">
        <v>2941</v>
      </c>
      <c r="H27" s="22" t="n">
        <v>55.7</v>
      </c>
      <c r="I27" s="22" t="n">
        <v>55.7</v>
      </c>
      <c r="J27" s="22" t="n">
        <f aca="false">H27-I27</f>
        <v>0</v>
      </c>
      <c r="K27" s="20" t="str">
        <f aca="false">IF(ABS(J27)&lt;0.001,"MATCH - PAPER CHECK-IN NOT SUPPLIED","DATA MISMATCH")</f>
        <v>MATCH - PAPER CHECK-IN NOT SUPPLIED</v>
      </c>
      <c r="L27" s="22" t="n">
        <v>32</v>
      </c>
      <c r="M27" s="22" t="n">
        <f aca="false">ROUNDUP(H27,0)</f>
        <v>56</v>
      </c>
      <c r="N27" s="24" t="n">
        <f aca="false">MAX(L27,M27)</f>
        <v>56</v>
      </c>
      <c r="O27" s="25" t="n">
        <v>7.55</v>
      </c>
      <c r="P27" s="25" t="n">
        <f aca="false">N27*O27</f>
        <v>422.8</v>
      </c>
      <c r="Q27" s="23" t="s">
        <v>2942</v>
      </c>
      <c r="R27" s="23" t="s">
        <v>2804</v>
      </c>
      <c r="S27" s="24" t="n">
        <v>56</v>
      </c>
      <c r="T27" s="25" t="n">
        <v>7.55</v>
      </c>
      <c r="U27" s="25" t="n">
        <v>422.8</v>
      </c>
      <c r="V27" s="25" t="n">
        <f aca="false">P27-U27</f>
        <v>0</v>
      </c>
      <c r="W27" s="25" t="n">
        <f aca="false">V27*12</f>
        <v>0</v>
      </c>
      <c r="X27" s="23" t="str">
        <f aca="false">IF(Q27="","MISSING FROM EXPORT",IF(ABS(V27)&lt;0.005,"CLEAR",IF(V27&gt;0,"UNDERBILLING","OVERBILLING")))</f>
        <v>CLEAR</v>
      </c>
      <c r="Y27" s="25" t="n">
        <f aca="false">IF(F27="COMMERCIAL",ROUND(P27*0.35,2),0)</f>
        <v>0</v>
      </c>
      <c r="Z27" s="23" t="str">
        <f aca="false">IF(F27="COMMERCIAL","VERIFY SIGNED AGREEMENT","NO EXCEPTION")</f>
        <v>NO EXCEPTION</v>
      </c>
      <c r="AA27" s="23" t="str">
        <f aca="false">IF(AND(C27="covered",N27&gt;40),"COVERED &gt;40 FT","")</f>
        <v/>
      </c>
      <c r="AB27" s="23" t="s">
        <v>2943</v>
      </c>
      <c r="AC27" s="23" t="s">
        <v>2944</v>
      </c>
      <c r="AD27" s="23" t="s">
        <v>2807</v>
      </c>
    </row>
    <row r="28" customFormat="false" ht="17.9" hidden="false" customHeight="false" outlineLevel="0" collapsed="false">
      <c r="A28" s="20" t="s">
        <v>2945</v>
      </c>
      <c r="B28" s="20" t="s">
        <v>109</v>
      </c>
      <c r="C28" s="20" t="s">
        <v>2798</v>
      </c>
      <c r="D28" s="20" t="s">
        <v>2946</v>
      </c>
      <c r="E28" s="20" t="s">
        <v>2947</v>
      </c>
      <c r="F28" s="20" t="s">
        <v>2833</v>
      </c>
      <c r="G28" s="20" t="s">
        <v>2948</v>
      </c>
      <c r="H28" s="22" t="n">
        <v>39.3</v>
      </c>
      <c r="I28" s="22" t="n">
        <v>39.3</v>
      </c>
      <c r="J28" s="22" t="n">
        <f aca="false">H28-I28</f>
        <v>0</v>
      </c>
      <c r="K28" s="20" t="str">
        <f aca="false">IF(ABS(J28)&lt;0.001,"MATCH - PAPER CHECK-IN NOT SUPPLIED","DATA MISMATCH")</f>
        <v>MATCH - PAPER CHECK-IN NOT SUPPLIED</v>
      </c>
      <c r="L28" s="22" t="n">
        <v>36</v>
      </c>
      <c r="M28" s="22" t="n">
        <f aca="false">ROUNDUP(H28,0)</f>
        <v>40</v>
      </c>
      <c r="N28" s="24" t="n">
        <f aca="false">MAX(L28,M28)</f>
        <v>40</v>
      </c>
      <c r="O28" s="25" t="n">
        <v>7.55</v>
      </c>
      <c r="P28" s="25" t="n">
        <f aca="false">N28*O28</f>
        <v>302</v>
      </c>
      <c r="Q28" s="23" t="s">
        <v>2949</v>
      </c>
      <c r="R28" s="23" t="s">
        <v>2804</v>
      </c>
      <c r="S28" s="24" t="n">
        <v>40</v>
      </c>
      <c r="T28" s="25" t="n">
        <v>7.55</v>
      </c>
      <c r="U28" s="25" t="n">
        <v>302</v>
      </c>
      <c r="V28" s="25" t="n">
        <f aca="false">P28-U28</f>
        <v>0</v>
      </c>
      <c r="W28" s="25" t="n">
        <f aca="false">V28*12</f>
        <v>0</v>
      </c>
      <c r="X28" s="23" t="str">
        <f aca="false">IF(Q28="","MISSING FROM EXPORT",IF(ABS(V28)&lt;0.005,"CLEAR",IF(V28&gt;0,"UNDERBILLING","OVERBILLING")))</f>
        <v>CLEAR</v>
      </c>
      <c r="Y28" s="25" t="n">
        <f aca="false">IF(F28="COMMERCIAL",ROUND(P28*0.35,2),0)</f>
        <v>0</v>
      </c>
      <c r="Z28" s="23" t="str">
        <f aca="false">IF(F28="COMMERCIAL","VERIFY SIGNED AGREEMENT","NO EXCEPTION")</f>
        <v>NO EXCEPTION</v>
      </c>
      <c r="AA28" s="23" t="str">
        <f aca="false">IF(AND(C28="covered",N28&gt;40),"COVERED &gt;40 FT","")</f>
        <v/>
      </c>
      <c r="AB28" s="23" t="s">
        <v>2950</v>
      </c>
      <c r="AC28" s="23" t="s">
        <v>2951</v>
      </c>
      <c r="AD28" s="23" t="s">
        <v>2807</v>
      </c>
    </row>
    <row r="29" customFormat="false" ht="17.9" hidden="false" customHeight="false" outlineLevel="0" collapsed="false">
      <c r="A29" s="20" t="s">
        <v>2952</v>
      </c>
      <c r="B29" s="20" t="s">
        <v>109</v>
      </c>
      <c r="C29" s="20" t="s">
        <v>2798</v>
      </c>
      <c r="D29" s="20" t="s">
        <v>2953</v>
      </c>
      <c r="E29" s="20" t="s">
        <v>2954</v>
      </c>
      <c r="F29" s="20" t="s">
        <v>2833</v>
      </c>
      <c r="G29" s="20" t="s">
        <v>2955</v>
      </c>
      <c r="H29" s="22" t="n">
        <v>49.2</v>
      </c>
      <c r="I29" s="22" t="n">
        <v>49.2</v>
      </c>
      <c r="J29" s="22" t="n">
        <f aca="false">H29-I29</f>
        <v>0</v>
      </c>
      <c r="K29" s="20" t="str">
        <f aca="false">IF(ABS(J29)&lt;0.001,"MATCH - PAPER CHECK-IN NOT SUPPLIED","DATA MISMATCH")</f>
        <v>MATCH - PAPER CHECK-IN NOT SUPPLIED</v>
      </c>
      <c r="L29" s="22" t="n">
        <v>32</v>
      </c>
      <c r="M29" s="22" t="n">
        <f aca="false">ROUNDUP(H29,0)</f>
        <v>50</v>
      </c>
      <c r="N29" s="24" t="n">
        <f aca="false">MAX(L29,M29)</f>
        <v>50</v>
      </c>
      <c r="O29" s="25" t="n">
        <v>7.55</v>
      </c>
      <c r="P29" s="25" t="n">
        <f aca="false">N29*O29</f>
        <v>377.5</v>
      </c>
      <c r="Q29" s="23" t="s">
        <v>2956</v>
      </c>
      <c r="R29" s="23" t="s">
        <v>2804</v>
      </c>
      <c r="S29" s="24" t="n">
        <v>50</v>
      </c>
      <c r="T29" s="25" t="n">
        <v>7.55</v>
      </c>
      <c r="U29" s="25" t="n">
        <v>377.5</v>
      </c>
      <c r="V29" s="25" t="n">
        <f aca="false">P29-U29</f>
        <v>0</v>
      </c>
      <c r="W29" s="25" t="n">
        <f aca="false">V29*12</f>
        <v>0</v>
      </c>
      <c r="X29" s="23" t="str">
        <f aca="false">IF(Q29="","MISSING FROM EXPORT",IF(ABS(V29)&lt;0.005,"CLEAR",IF(V29&gt;0,"UNDERBILLING","OVERBILLING")))</f>
        <v>CLEAR</v>
      </c>
      <c r="Y29" s="25" t="n">
        <f aca="false">IF(F29="COMMERCIAL",ROUND(P29*0.35,2),0)</f>
        <v>0</v>
      </c>
      <c r="Z29" s="23" t="str">
        <f aca="false">IF(F29="COMMERCIAL","VERIFY SIGNED AGREEMENT","NO EXCEPTION")</f>
        <v>NO EXCEPTION</v>
      </c>
      <c r="AA29" s="23" t="str">
        <f aca="false">IF(AND(C29="covered",N29&gt;40),"COVERED &gt;40 FT","")</f>
        <v/>
      </c>
      <c r="AB29" s="23" t="s">
        <v>2957</v>
      </c>
      <c r="AC29" s="23" t="s">
        <v>2958</v>
      </c>
      <c r="AD29" s="23" t="s">
        <v>2807</v>
      </c>
    </row>
    <row r="30" customFormat="false" ht="17.9" hidden="false" customHeight="false" outlineLevel="0" collapsed="false">
      <c r="A30" s="20" t="s">
        <v>108</v>
      </c>
      <c r="B30" s="20" t="s">
        <v>109</v>
      </c>
      <c r="C30" s="20" t="s">
        <v>2798</v>
      </c>
      <c r="D30" s="20" t="s">
        <v>1478</v>
      </c>
      <c r="E30" s="20" t="s">
        <v>2959</v>
      </c>
      <c r="F30" s="20" t="s">
        <v>2934</v>
      </c>
      <c r="G30" s="20" t="s">
        <v>2960</v>
      </c>
      <c r="H30" s="22" t="n">
        <v>34.1</v>
      </c>
      <c r="I30" s="22" t="n">
        <v>34.1</v>
      </c>
      <c r="J30" s="22" t="n">
        <f aca="false">H30-I30</f>
        <v>0</v>
      </c>
      <c r="K30" s="20" t="str">
        <f aca="false">IF(ABS(J30)&lt;0.001,"MATCH - PAPER CHECK-IN NOT SUPPLIED","DATA MISMATCH")</f>
        <v>MATCH - PAPER CHECK-IN NOT SUPPLIED</v>
      </c>
      <c r="L30" s="22" t="n">
        <v>28</v>
      </c>
      <c r="M30" s="22" t="n">
        <f aca="false">ROUNDUP(H30,0)</f>
        <v>35</v>
      </c>
      <c r="N30" s="24" t="n">
        <f aca="false">MAX(L30,M30)</f>
        <v>35</v>
      </c>
      <c r="O30" s="25" t="n">
        <v>7.55</v>
      </c>
      <c r="P30" s="25" t="n">
        <f aca="false">N30*O30</f>
        <v>264.25</v>
      </c>
      <c r="Q30" s="23" t="s">
        <v>2961</v>
      </c>
      <c r="R30" s="23" t="s">
        <v>2804</v>
      </c>
      <c r="S30" s="24" t="n">
        <v>35</v>
      </c>
      <c r="T30" s="25" t="n">
        <v>7.55</v>
      </c>
      <c r="U30" s="25" t="n">
        <v>264.25</v>
      </c>
      <c r="V30" s="25" t="n">
        <f aca="false">P30-U30</f>
        <v>0</v>
      </c>
      <c r="W30" s="25" t="n">
        <f aca="false">V30*12</f>
        <v>0</v>
      </c>
      <c r="X30" s="23" t="str">
        <f aca="false">IF(Q30="","MISSING FROM EXPORT",IF(ABS(V30)&lt;0.005,"CLEAR",IF(V30&gt;0,"UNDERBILLING","OVERBILLING")))</f>
        <v>CLEAR</v>
      </c>
      <c r="Y30" s="25" t="n">
        <f aca="false">IF(F30="COMMERCIAL",ROUND(P30*0.35,2),0)</f>
        <v>92.49</v>
      </c>
      <c r="Z30" s="23" t="str">
        <f aca="false">IF(F30="COMMERCIAL","VERIFY SIGNED AGREEMENT","NO EXCEPTION")</f>
        <v>VERIFY SIGNED AGREEMENT</v>
      </c>
      <c r="AA30" s="23" t="str">
        <f aca="false">IF(AND(C30="covered",N30&gt;40),"COVERED &gt;40 FT","")</f>
        <v/>
      </c>
      <c r="AB30" s="23" t="s">
        <v>2962</v>
      </c>
      <c r="AC30" s="23" t="s">
        <v>2963</v>
      </c>
      <c r="AD30" s="23" t="s">
        <v>2807</v>
      </c>
    </row>
    <row r="31" customFormat="false" ht="17.9" hidden="false" customHeight="false" outlineLevel="0" collapsed="false">
      <c r="A31" s="20" t="s">
        <v>2964</v>
      </c>
      <c r="B31" s="20" t="s">
        <v>109</v>
      </c>
      <c r="C31" s="20" t="s">
        <v>2798</v>
      </c>
      <c r="D31" s="20" t="s">
        <v>2965</v>
      </c>
      <c r="E31" s="20" t="s">
        <v>2966</v>
      </c>
      <c r="F31" s="20" t="s">
        <v>2833</v>
      </c>
      <c r="G31" s="20" t="s">
        <v>2967</v>
      </c>
      <c r="H31" s="22" t="n">
        <v>21.1</v>
      </c>
      <c r="I31" s="22" t="n">
        <v>21.1</v>
      </c>
      <c r="J31" s="22" t="n">
        <f aca="false">H31-I31</f>
        <v>0</v>
      </c>
      <c r="K31" s="20" t="str">
        <f aca="false">IF(ABS(J31)&lt;0.001,"MATCH - PAPER CHECK-IN NOT SUPPLIED","DATA MISMATCH")</f>
        <v>MATCH - PAPER CHECK-IN NOT SUPPLIED</v>
      </c>
      <c r="L31" s="22" t="n">
        <v>40</v>
      </c>
      <c r="M31" s="22" t="n">
        <f aca="false">ROUNDUP(H31,0)</f>
        <v>22</v>
      </c>
      <c r="N31" s="24" t="n">
        <f aca="false">MAX(L31,M31)</f>
        <v>40</v>
      </c>
      <c r="O31" s="25" t="n">
        <v>7.55</v>
      </c>
      <c r="P31" s="25" t="n">
        <f aca="false">N31*O31</f>
        <v>302</v>
      </c>
      <c r="Q31" s="23" t="s">
        <v>2968</v>
      </c>
      <c r="R31" s="23" t="s">
        <v>2804</v>
      </c>
      <c r="S31" s="24" t="n">
        <v>40</v>
      </c>
      <c r="T31" s="25" t="n">
        <v>7.55</v>
      </c>
      <c r="U31" s="25" t="n">
        <v>302</v>
      </c>
      <c r="V31" s="25" t="n">
        <f aca="false">P31-U31</f>
        <v>0</v>
      </c>
      <c r="W31" s="25" t="n">
        <f aca="false">V31*12</f>
        <v>0</v>
      </c>
      <c r="X31" s="23" t="str">
        <f aca="false">IF(Q31="","MISSING FROM EXPORT",IF(ABS(V31)&lt;0.005,"CLEAR",IF(V31&gt;0,"UNDERBILLING","OVERBILLING")))</f>
        <v>CLEAR</v>
      </c>
      <c r="Y31" s="25" t="n">
        <f aca="false">IF(F31="COMMERCIAL",ROUND(P31*0.35,2),0)</f>
        <v>0</v>
      </c>
      <c r="Z31" s="23" t="str">
        <f aca="false">IF(F31="COMMERCIAL","VERIFY SIGNED AGREEMENT","NO EXCEPTION")</f>
        <v>NO EXCEPTION</v>
      </c>
      <c r="AA31" s="23" t="str">
        <f aca="false">IF(AND(C31="covered",N31&gt;40),"COVERED &gt;40 FT","")</f>
        <v/>
      </c>
      <c r="AB31" s="23" t="s">
        <v>2969</v>
      </c>
      <c r="AC31" s="23" t="s">
        <v>2970</v>
      </c>
      <c r="AD31" s="23" t="s">
        <v>2807</v>
      </c>
    </row>
    <row r="32" customFormat="false" ht="17.9" hidden="false" customHeight="false" outlineLevel="0" collapsed="false">
      <c r="A32" s="20" t="s">
        <v>2971</v>
      </c>
      <c r="B32" s="20" t="s">
        <v>109</v>
      </c>
      <c r="C32" s="20" t="s">
        <v>2798</v>
      </c>
      <c r="D32" s="20" t="s">
        <v>2972</v>
      </c>
      <c r="E32" s="20" t="s">
        <v>2973</v>
      </c>
      <c r="F32" s="20" t="s">
        <v>2833</v>
      </c>
      <c r="G32" s="20" t="s">
        <v>2974</v>
      </c>
      <c r="H32" s="22" t="n">
        <v>35.2</v>
      </c>
      <c r="I32" s="22" t="n">
        <v>35.2</v>
      </c>
      <c r="J32" s="22" t="n">
        <f aca="false">H32-I32</f>
        <v>0</v>
      </c>
      <c r="K32" s="20" t="str">
        <f aca="false">IF(ABS(J32)&lt;0.001,"MATCH - PAPER CHECK-IN NOT SUPPLIED","DATA MISMATCH")</f>
        <v>MATCH - PAPER CHECK-IN NOT SUPPLIED</v>
      </c>
      <c r="L32" s="22" t="n">
        <v>24</v>
      </c>
      <c r="M32" s="22" t="n">
        <f aca="false">ROUNDUP(H32,0)</f>
        <v>36</v>
      </c>
      <c r="N32" s="24" t="n">
        <f aca="false">MAX(L32,M32)</f>
        <v>36</v>
      </c>
      <c r="O32" s="25" t="n">
        <v>7.55</v>
      </c>
      <c r="P32" s="25" t="n">
        <f aca="false">N32*O32</f>
        <v>271.8</v>
      </c>
      <c r="Q32" s="23" t="s">
        <v>2975</v>
      </c>
      <c r="R32" s="23" t="s">
        <v>2804</v>
      </c>
      <c r="S32" s="24" t="n">
        <v>36</v>
      </c>
      <c r="T32" s="25" t="n">
        <v>7.55</v>
      </c>
      <c r="U32" s="25" t="n">
        <v>271.8</v>
      </c>
      <c r="V32" s="25" t="n">
        <f aca="false">P32-U32</f>
        <v>0</v>
      </c>
      <c r="W32" s="25" t="n">
        <f aca="false">V32*12</f>
        <v>0</v>
      </c>
      <c r="X32" s="23" t="str">
        <f aca="false">IF(Q32="","MISSING FROM EXPORT",IF(ABS(V32)&lt;0.005,"CLEAR",IF(V32&gt;0,"UNDERBILLING","OVERBILLING")))</f>
        <v>CLEAR</v>
      </c>
      <c r="Y32" s="25" t="n">
        <f aca="false">IF(F32="COMMERCIAL",ROUND(P32*0.35,2),0)</f>
        <v>0</v>
      </c>
      <c r="Z32" s="23" t="str">
        <f aca="false">IF(F32="COMMERCIAL","VERIFY SIGNED AGREEMENT","NO EXCEPTION")</f>
        <v>NO EXCEPTION</v>
      </c>
      <c r="AA32" s="23" t="str">
        <f aca="false">IF(AND(C32="covered",N32&gt;40),"COVERED &gt;40 FT","")</f>
        <v/>
      </c>
      <c r="AB32" s="23" t="s">
        <v>2976</v>
      </c>
      <c r="AC32" s="23" t="s">
        <v>2977</v>
      </c>
      <c r="AD32" s="23" t="s">
        <v>2807</v>
      </c>
    </row>
    <row r="33" customFormat="false" ht="17.9" hidden="false" customHeight="false" outlineLevel="0" collapsed="false">
      <c r="A33" s="20" t="s">
        <v>2978</v>
      </c>
      <c r="B33" s="20" t="s">
        <v>109</v>
      </c>
      <c r="C33" s="20" t="s">
        <v>2798</v>
      </c>
      <c r="D33" s="20" t="s">
        <v>2979</v>
      </c>
      <c r="E33" s="20" t="s">
        <v>2980</v>
      </c>
      <c r="F33" s="20" t="s">
        <v>2869</v>
      </c>
      <c r="G33" s="20" t="s">
        <v>2981</v>
      </c>
      <c r="H33" s="22" t="n">
        <v>42.1</v>
      </c>
      <c r="I33" s="22" t="n">
        <v>42.1</v>
      </c>
      <c r="J33" s="22" t="n">
        <f aca="false">H33-I33</f>
        <v>0</v>
      </c>
      <c r="K33" s="20" t="str">
        <f aca="false">IF(ABS(J33)&lt;0.001,"MATCH - PAPER CHECK-IN NOT SUPPLIED","DATA MISMATCH")</f>
        <v>MATCH - PAPER CHECK-IN NOT SUPPLIED</v>
      </c>
      <c r="L33" s="22" t="n">
        <v>45</v>
      </c>
      <c r="M33" s="22" t="n">
        <f aca="false">ROUNDUP(H33,0)</f>
        <v>43</v>
      </c>
      <c r="N33" s="24" t="n">
        <f aca="false">MAX(L33,M33)</f>
        <v>45</v>
      </c>
      <c r="O33" s="25" t="n">
        <v>7.55</v>
      </c>
      <c r="P33" s="25" t="n">
        <f aca="false">N33*O33</f>
        <v>339.75</v>
      </c>
      <c r="Q33" s="23" t="s">
        <v>2982</v>
      </c>
      <c r="R33" s="23" t="s">
        <v>2804</v>
      </c>
      <c r="S33" s="24" t="n">
        <v>45</v>
      </c>
      <c r="T33" s="25" t="n">
        <v>7.55</v>
      </c>
      <c r="U33" s="25" t="n">
        <v>339.75</v>
      </c>
      <c r="V33" s="25" t="n">
        <f aca="false">P33-U33</f>
        <v>0</v>
      </c>
      <c r="W33" s="25" t="n">
        <f aca="false">V33*12</f>
        <v>0</v>
      </c>
      <c r="X33" s="23" t="str">
        <f aca="false">IF(Q33="","MISSING FROM EXPORT",IF(ABS(V33)&lt;0.005,"CLEAR",IF(V33&gt;0,"UNDERBILLING","OVERBILLING")))</f>
        <v>CLEAR</v>
      </c>
      <c r="Y33" s="25" t="n">
        <f aca="false">IF(F33="COMMERCIAL",ROUND(P33*0.35,2),0)</f>
        <v>0</v>
      </c>
      <c r="Z33" s="23" t="str">
        <f aca="false">IF(F33="COMMERCIAL","VERIFY SIGNED AGREEMENT","NO EXCEPTION")</f>
        <v>NO EXCEPTION</v>
      </c>
      <c r="AA33" s="23" t="str">
        <f aca="false">IF(AND(C33="covered",N33&gt;40),"COVERED &gt;40 FT","")</f>
        <v/>
      </c>
      <c r="AB33" s="23" t="s">
        <v>2983</v>
      </c>
      <c r="AC33" s="23" t="s">
        <v>2984</v>
      </c>
      <c r="AD33" s="23" t="s">
        <v>2807</v>
      </c>
    </row>
    <row r="34" customFormat="false" ht="17.9" hidden="false" customHeight="false" outlineLevel="0" collapsed="false">
      <c r="A34" s="20" t="s">
        <v>2985</v>
      </c>
      <c r="B34" s="20" t="s">
        <v>109</v>
      </c>
      <c r="C34" s="20" t="s">
        <v>2798</v>
      </c>
      <c r="D34" s="20" t="s">
        <v>2986</v>
      </c>
      <c r="E34" s="20" t="s">
        <v>2987</v>
      </c>
      <c r="F34" s="20" t="s">
        <v>2898</v>
      </c>
      <c r="G34" s="20" t="s">
        <v>2988</v>
      </c>
      <c r="H34" s="22" t="n">
        <v>24.5</v>
      </c>
      <c r="I34" s="22" t="n">
        <v>24.5</v>
      </c>
      <c r="J34" s="22" t="n">
        <f aca="false">H34-I34</f>
        <v>0</v>
      </c>
      <c r="K34" s="20" t="str">
        <f aca="false">IF(ABS(J34)&lt;0.001,"MATCH - PAPER CHECK-IN NOT SUPPLIED","DATA MISMATCH")</f>
        <v>MATCH - PAPER CHECK-IN NOT SUPPLIED</v>
      </c>
      <c r="L34" s="22" t="n">
        <v>32</v>
      </c>
      <c r="M34" s="22" t="n">
        <f aca="false">ROUNDUP(H34,0)</f>
        <v>25</v>
      </c>
      <c r="N34" s="24" t="n">
        <f aca="false">MAX(L34,M34)</f>
        <v>32</v>
      </c>
      <c r="O34" s="25" t="n">
        <v>7.55</v>
      </c>
      <c r="P34" s="25" t="n">
        <f aca="false">N34*O34</f>
        <v>241.6</v>
      </c>
      <c r="Q34" s="23" t="s">
        <v>2989</v>
      </c>
      <c r="R34" s="23" t="s">
        <v>2804</v>
      </c>
      <c r="S34" s="24" t="n">
        <v>32</v>
      </c>
      <c r="T34" s="25" t="n">
        <v>7.55</v>
      </c>
      <c r="U34" s="25" t="n">
        <v>241.6</v>
      </c>
      <c r="V34" s="25" t="n">
        <f aca="false">P34-U34</f>
        <v>0</v>
      </c>
      <c r="W34" s="25" t="n">
        <f aca="false">V34*12</f>
        <v>0</v>
      </c>
      <c r="X34" s="23" t="str">
        <f aca="false">IF(Q34="","MISSING FROM EXPORT",IF(ABS(V34)&lt;0.005,"CLEAR",IF(V34&gt;0,"UNDERBILLING","OVERBILLING")))</f>
        <v>CLEAR</v>
      </c>
      <c r="Y34" s="25" t="n">
        <f aca="false">IF(F34="COMMERCIAL",ROUND(P34*0.35,2),0)</f>
        <v>0</v>
      </c>
      <c r="Z34" s="23" t="str">
        <f aca="false">IF(F34="COMMERCIAL","VERIFY SIGNED AGREEMENT","NO EXCEPTION")</f>
        <v>NO EXCEPTION</v>
      </c>
      <c r="AA34" s="23" t="str">
        <f aca="false">IF(AND(C34="covered",N34&gt;40),"COVERED &gt;40 FT","")</f>
        <v/>
      </c>
      <c r="AB34" s="23" t="s">
        <v>2990</v>
      </c>
      <c r="AC34" s="23" t="s">
        <v>2991</v>
      </c>
      <c r="AD34" s="23" t="s">
        <v>2807</v>
      </c>
    </row>
    <row r="35" customFormat="false" ht="17.9" hidden="false" customHeight="false" outlineLevel="0" collapsed="false">
      <c r="A35" s="20" t="s">
        <v>1215</v>
      </c>
      <c r="B35" s="20" t="s">
        <v>109</v>
      </c>
      <c r="C35" s="20" t="s">
        <v>2798</v>
      </c>
      <c r="D35" s="20" t="s">
        <v>2992</v>
      </c>
      <c r="E35" s="20" t="s">
        <v>2993</v>
      </c>
      <c r="F35" s="20" t="s">
        <v>2833</v>
      </c>
      <c r="G35" s="20" t="s">
        <v>2994</v>
      </c>
      <c r="H35" s="22" t="n">
        <v>30.4</v>
      </c>
      <c r="I35" s="22" t="n">
        <v>30.4</v>
      </c>
      <c r="J35" s="22" t="n">
        <f aca="false">H35-I35</f>
        <v>0</v>
      </c>
      <c r="K35" s="20" t="str">
        <f aca="false">IF(ABS(J35)&lt;0.001,"MATCH - PAPER CHECK-IN NOT SUPPLIED","DATA MISMATCH")</f>
        <v>MATCH - PAPER CHECK-IN NOT SUPPLIED</v>
      </c>
      <c r="L35" s="22" t="n">
        <v>36</v>
      </c>
      <c r="M35" s="22" t="n">
        <f aca="false">ROUNDUP(H35,0)</f>
        <v>31</v>
      </c>
      <c r="N35" s="24" t="n">
        <f aca="false">MAX(L35,M35)</f>
        <v>36</v>
      </c>
      <c r="O35" s="25" t="n">
        <v>7.55</v>
      </c>
      <c r="P35" s="25" t="n">
        <f aca="false">N35*O35</f>
        <v>271.8</v>
      </c>
      <c r="Q35" s="23" t="s">
        <v>2995</v>
      </c>
      <c r="R35" s="23" t="s">
        <v>2804</v>
      </c>
      <c r="S35" s="24" t="n">
        <v>36</v>
      </c>
      <c r="T35" s="25" t="n">
        <v>7.55</v>
      </c>
      <c r="U35" s="25" t="n">
        <v>271.8</v>
      </c>
      <c r="V35" s="25" t="n">
        <f aca="false">P35-U35</f>
        <v>0</v>
      </c>
      <c r="W35" s="25" t="n">
        <f aca="false">V35*12</f>
        <v>0</v>
      </c>
      <c r="X35" s="23" t="str">
        <f aca="false">IF(Q35="","MISSING FROM EXPORT",IF(ABS(V35)&lt;0.005,"CLEAR",IF(V35&gt;0,"UNDERBILLING","OVERBILLING")))</f>
        <v>CLEAR</v>
      </c>
      <c r="Y35" s="25" t="n">
        <f aca="false">IF(F35="COMMERCIAL",ROUND(P35*0.35,2),0)</f>
        <v>0</v>
      </c>
      <c r="Z35" s="23" t="str">
        <f aca="false">IF(F35="COMMERCIAL","VERIFY SIGNED AGREEMENT","NO EXCEPTION")</f>
        <v>NO EXCEPTION</v>
      </c>
      <c r="AA35" s="23" t="str">
        <f aca="false">IF(AND(C35="covered",N35&gt;40),"COVERED &gt;40 FT","")</f>
        <v/>
      </c>
      <c r="AB35" s="23" t="s">
        <v>2996</v>
      </c>
      <c r="AC35" s="23" t="s">
        <v>2997</v>
      </c>
      <c r="AD35" s="23" t="s">
        <v>2807</v>
      </c>
    </row>
    <row r="36" customFormat="false" ht="17.9" hidden="false" customHeight="false" outlineLevel="0" collapsed="false">
      <c r="A36" s="20" t="s">
        <v>2998</v>
      </c>
      <c r="B36" s="20" t="s">
        <v>109</v>
      </c>
      <c r="C36" s="20" t="s">
        <v>2798</v>
      </c>
      <c r="D36" s="20" t="s">
        <v>2999</v>
      </c>
      <c r="E36" s="20" t="s">
        <v>3000</v>
      </c>
      <c r="F36" s="20" t="s">
        <v>2818</v>
      </c>
      <c r="G36" s="20" t="s">
        <v>3001</v>
      </c>
      <c r="H36" s="22" t="n">
        <v>39.6</v>
      </c>
      <c r="I36" s="22" t="n">
        <v>39.6</v>
      </c>
      <c r="J36" s="22" t="n">
        <f aca="false">H36-I36</f>
        <v>0</v>
      </c>
      <c r="K36" s="20" t="str">
        <f aca="false">IF(ABS(J36)&lt;0.001,"MATCH - PAPER CHECK-IN NOT SUPPLIED","DATA MISMATCH")</f>
        <v>MATCH - PAPER CHECK-IN NOT SUPPLIED</v>
      </c>
      <c r="L36" s="22" t="n">
        <v>24</v>
      </c>
      <c r="M36" s="22" t="n">
        <f aca="false">ROUNDUP(H36,0)</f>
        <v>40</v>
      </c>
      <c r="N36" s="24" t="n">
        <f aca="false">MAX(L36,M36)</f>
        <v>40</v>
      </c>
      <c r="O36" s="25" t="n">
        <v>7.55</v>
      </c>
      <c r="P36" s="25" t="n">
        <f aca="false">N36*O36</f>
        <v>302</v>
      </c>
      <c r="Q36" s="23" t="s">
        <v>3002</v>
      </c>
      <c r="R36" s="23" t="s">
        <v>2804</v>
      </c>
      <c r="S36" s="24" t="n">
        <v>40</v>
      </c>
      <c r="T36" s="25" t="n">
        <v>7.55</v>
      </c>
      <c r="U36" s="25" t="n">
        <v>302</v>
      </c>
      <c r="V36" s="25" t="n">
        <f aca="false">P36-U36</f>
        <v>0</v>
      </c>
      <c r="W36" s="25" t="n">
        <f aca="false">V36*12</f>
        <v>0</v>
      </c>
      <c r="X36" s="23" t="str">
        <f aca="false">IF(Q36="","MISSING FROM EXPORT",IF(ABS(V36)&lt;0.005,"CLEAR",IF(V36&gt;0,"UNDERBILLING","OVERBILLING")))</f>
        <v>CLEAR</v>
      </c>
      <c r="Y36" s="25" t="n">
        <f aca="false">IF(F36="COMMERCIAL",ROUND(P36*0.35,2),0)</f>
        <v>0</v>
      </c>
      <c r="Z36" s="23" t="str">
        <f aca="false">IF(F36="COMMERCIAL","VERIFY SIGNED AGREEMENT","NO EXCEPTION")</f>
        <v>NO EXCEPTION</v>
      </c>
      <c r="AA36" s="23" t="str">
        <f aca="false">IF(AND(C36="covered",N36&gt;40),"COVERED &gt;40 FT","")</f>
        <v/>
      </c>
      <c r="AB36" s="23" t="s">
        <v>3003</v>
      </c>
      <c r="AC36" s="23" t="s">
        <v>3004</v>
      </c>
      <c r="AD36" s="23" t="s">
        <v>2807</v>
      </c>
    </row>
    <row r="37" customFormat="false" ht="17.9" hidden="false" customHeight="false" outlineLevel="0" collapsed="false">
      <c r="A37" s="20" t="s">
        <v>3005</v>
      </c>
      <c r="B37" s="20" t="s">
        <v>109</v>
      </c>
      <c r="C37" s="20" t="s">
        <v>2798</v>
      </c>
      <c r="D37" s="20" t="s">
        <v>3006</v>
      </c>
      <c r="E37" s="20" t="s">
        <v>3007</v>
      </c>
      <c r="F37" s="20" t="s">
        <v>2833</v>
      </c>
      <c r="G37" s="20" t="s">
        <v>3008</v>
      </c>
      <c r="H37" s="22" t="n">
        <v>41.5</v>
      </c>
      <c r="I37" s="22" t="n">
        <v>41.5</v>
      </c>
      <c r="J37" s="22" t="n">
        <f aca="false">H37-I37</f>
        <v>0</v>
      </c>
      <c r="K37" s="20" t="str">
        <f aca="false">IF(ABS(J37)&lt;0.001,"MATCH - PAPER CHECK-IN NOT SUPPLIED","DATA MISMATCH")</f>
        <v>MATCH - PAPER CHECK-IN NOT SUPPLIED</v>
      </c>
      <c r="L37" s="22" t="n">
        <v>50</v>
      </c>
      <c r="M37" s="22" t="n">
        <f aca="false">ROUNDUP(H37,0)</f>
        <v>42</v>
      </c>
      <c r="N37" s="24" t="n">
        <f aca="false">MAX(L37,M37)</f>
        <v>50</v>
      </c>
      <c r="O37" s="25" t="n">
        <v>7.55</v>
      </c>
      <c r="P37" s="25" t="n">
        <f aca="false">N37*O37</f>
        <v>377.5</v>
      </c>
      <c r="Q37" s="23" t="s">
        <v>3009</v>
      </c>
      <c r="R37" s="23" t="s">
        <v>2804</v>
      </c>
      <c r="S37" s="24" t="n">
        <v>50</v>
      </c>
      <c r="T37" s="25" t="n">
        <v>7.55</v>
      </c>
      <c r="U37" s="25" t="n">
        <v>377.5</v>
      </c>
      <c r="V37" s="25" t="n">
        <f aca="false">P37-U37</f>
        <v>0</v>
      </c>
      <c r="W37" s="25" t="n">
        <f aca="false">V37*12</f>
        <v>0</v>
      </c>
      <c r="X37" s="23" t="str">
        <f aca="false">IF(Q37="","MISSING FROM EXPORT",IF(ABS(V37)&lt;0.005,"CLEAR",IF(V37&gt;0,"UNDERBILLING","OVERBILLING")))</f>
        <v>CLEAR</v>
      </c>
      <c r="Y37" s="25" t="n">
        <f aca="false">IF(F37="COMMERCIAL",ROUND(P37*0.35,2),0)</f>
        <v>0</v>
      </c>
      <c r="Z37" s="23" t="str">
        <f aca="false">IF(F37="COMMERCIAL","VERIFY SIGNED AGREEMENT","NO EXCEPTION")</f>
        <v>NO EXCEPTION</v>
      </c>
      <c r="AA37" s="23" t="str">
        <f aca="false">IF(AND(C37="covered",N37&gt;40),"COVERED &gt;40 FT","")</f>
        <v/>
      </c>
      <c r="AB37" s="23" t="s">
        <v>3010</v>
      </c>
      <c r="AC37" s="23" t="s">
        <v>3011</v>
      </c>
      <c r="AD37" s="23" t="s">
        <v>2807</v>
      </c>
    </row>
    <row r="38" customFormat="false" ht="17.9" hidden="false" customHeight="false" outlineLevel="0" collapsed="false">
      <c r="A38" s="20" t="s">
        <v>3012</v>
      </c>
      <c r="B38" s="20" t="s">
        <v>109</v>
      </c>
      <c r="C38" s="20" t="s">
        <v>2798</v>
      </c>
      <c r="D38" s="20" t="s">
        <v>3013</v>
      </c>
      <c r="E38" s="20" t="s">
        <v>3014</v>
      </c>
      <c r="F38" s="20" t="s">
        <v>2833</v>
      </c>
      <c r="G38" s="20" t="s">
        <v>3015</v>
      </c>
      <c r="H38" s="22" t="n">
        <v>19.5</v>
      </c>
      <c r="I38" s="22" t="n">
        <v>19.5</v>
      </c>
      <c r="J38" s="22" t="n">
        <f aca="false">H38-I38</f>
        <v>0</v>
      </c>
      <c r="K38" s="20" t="str">
        <f aca="false">IF(ABS(J38)&lt;0.001,"MATCH - PAPER CHECK-IN NOT SUPPLIED","DATA MISMATCH")</f>
        <v>MATCH - PAPER CHECK-IN NOT SUPPLIED</v>
      </c>
      <c r="L38" s="22" t="n">
        <v>32</v>
      </c>
      <c r="M38" s="22" t="n">
        <f aca="false">ROUNDUP(H38,0)</f>
        <v>20</v>
      </c>
      <c r="N38" s="24" t="n">
        <f aca="false">MAX(L38,M38)</f>
        <v>32</v>
      </c>
      <c r="O38" s="25" t="n">
        <v>7.55</v>
      </c>
      <c r="P38" s="25" t="n">
        <f aca="false">N38*O38</f>
        <v>241.6</v>
      </c>
      <c r="Q38" s="23" t="s">
        <v>3016</v>
      </c>
      <c r="R38" s="23" t="s">
        <v>2804</v>
      </c>
      <c r="S38" s="24" t="n">
        <v>32</v>
      </c>
      <c r="T38" s="25" t="n">
        <v>7.55</v>
      </c>
      <c r="U38" s="25" t="n">
        <v>241.6</v>
      </c>
      <c r="V38" s="25" t="n">
        <f aca="false">P38-U38</f>
        <v>0</v>
      </c>
      <c r="W38" s="25" t="n">
        <f aca="false">V38*12</f>
        <v>0</v>
      </c>
      <c r="X38" s="23" t="str">
        <f aca="false">IF(Q38="","MISSING FROM EXPORT",IF(ABS(V38)&lt;0.005,"CLEAR",IF(V38&gt;0,"UNDERBILLING","OVERBILLING")))</f>
        <v>CLEAR</v>
      </c>
      <c r="Y38" s="25" t="n">
        <f aca="false">IF(F38="COMMERCIAL",ROUND(P38*0.35,2),0)</f>
        <v>0</v>
      </c>
      <c r="Z38" s="23" t="str">
        <f aca="false">IF(F38="COMMERCIAL","VERIFY SIGNED AGREEMENT","NO EXCEPTION")</f>
        <v>NO EXCEPTION</v>
      </c>
      <c r="AA38" s="23" t="str">
        <f aca="false">IF(AND(C38="covered",N38&gt;40),"COVERED &gt;40 FT","")</f>
        <v/>
      </c>
      <c r="AB38" s="23" t="s">
        <v>3017</v>
      </c>
      <c r="AC38" s="23" t="s">
        <v>3018</v>
      </c>
      <c r="AD38" s="23" t="s">
        <v>2807</v>
      </c>
    </row>
    <row r="39" customFormat="false" ht="17.9" hidden="false" customHeight="false" outlineLevel="0" collapsed="false">
      <c r="A39" s="20" t="s">
        <v>3019</v>
      </c>
      <c r="B39" s="20" t="s">
        <v>109</v>
      </c>
      <c r="C39" s="20" t="s">
        <v>2798</v>
      </c>
      <c r="D39" s="20" t="s">
        <v>3020</v>
      </c>
      <c r="E39" s="20" t="s">
        <v>3021</v>
      </c>
      <c r="F39" s="20" t="s">
        <v>2934</v>
      </c>
      <c r="G39" s="20" t="s">
        <v>3022</v>
      </c>
      <c r="H39" s="22" t="n">
        <v>23.2</v>
      </c>
      <c r="I39" s="22" t="n">
        <v>23.2</v>
      </c>
      <c r="J39" s="22" t="n">
        <f aca="false">H39-I39</f>
        <v>0</v>
      </c>
      <c r="K39" s="20" t="str">
        <f aca="false">IF(ABS(J39)&lt;0.001,"MATCH - PAPER CHECK-IN NOT SUPPLIED","DATA MISMATCH")</f>
        <v>MATCH - PAPER CHECK-IN NOT SUPPLIED</v>
      </c>
      <c r="L39" s="22" t="n">
        <v>60</v>
      </c>
      <c r="M39" s="22" t="n">
        <f aca="false">ROUNDUP(H39,0)</f>
        <v>24</v>
      </c>
      <c r="N39" s="24" t="n">
        <f aca="false">MAX(L39,M39)</f>
        <v>60</v>
      </c>
      <c r="O39" s="25" t="n">
        <v>7.55</v>
      </c>
      <c r="P39" s="25" t="n">
        <f aca="false">N39*O39</f>
        <v>453</v>
      </c>
      <c r="Q39" s="23" t="s">
        <v>3023</v>
      </c>
      <c r="R39" s="23" t="s">
        <v>2804</v>
      </c>
      <c r="S39" s="24" t="n">
        <v>60</v>
      </c>
      <c r="T39" s="25" t="n">
        <v>7.55</v>
      </c>
      <c r="U39" s="25" t="n">
        <v>453</v>
      </c>
      <c r="V39" s="25" t="n">
        <f aca="false">P39-U39</f>
        <v>0</v>
      </c>
      <c r="W39" s="25" t="n">
        <f aca="false">V39*12</f>
        <v>0</v>
      </c>
      <c r="X39" s="23" t="str">
        <f aca="false">IF(Q39="","MISSING FROM EXPORT",IF(ABS(V39)&lt;0.005,"CLEAR",IF(V39&gt;0,"UNDERBILLING","OVERBILLING")))</f>
        <v>CLEAR</v>
      </c>
      <c r="Y39" s="25" t="n">
        <f aca="false">IF(F39="COMMERCIAL",ROUND(P39*0.35,2),0)</f>
        <v>158.55</v>
      </c>
      <c r="Z39" s="23" t="str">
        <f aca="false">IF(F39="COMMERCIAL","VERIFY SIGNED AGREEMENT","NO EXCEPTION")</f>
        <v>VERIFY SIGNED AGREEMENT</v>
      </c>
      <c r="AA39" s="23" t="str">
        <f aca="false">IF(AND(C39="covered",N39&gt;40),"COVERED &gt;40 FT","")</f>
        <v/>
      </c>
      <c r="AB39" s="23" t="s">
        <v>3024</v>
      </c>
      <c r="AC39" s="23" t="s">
        <v>3025</v>
      </c>
      <c r="AD39" s="23" t="s">
        <v>2807</v>
      </c>
    </row>
    <row r="40" customFormat="false" ht="17.9" hidden="false" customHeight="false" outlineLevel="0" collapsed="false">
      <c r="A40" s="20" t="s">
        <v>3026</v>
      </c>
      <c r="B40" s="20" t="s">
        <v>109</v>
      </c>
      <c r="C40" s="20" t="s">
        <v>2798</v>
      </c>
      <c r="D40" s="20" t="s">
        <v>3027</v>
      </c>
      <c r="E40" s="20" t="s">
        <v>3028</v>
      </c>
      <c r="F40" s="20" t="s">
        <v>2833</v>
      </c>
      <c r="G40" s="20" t="s">
        <v>3029</v>
      </c>
      <c r="H40" s="22" t="n">
        <v>20.4</v>
      </c>
      <c r="I40" s="22" t="n">
        <v>20.4</v>
      </c>
      <c r="J40" s="22" t="n">
        <f aca="false">H40-I40</f>
        <v>0</v>
      </c>
      <c r="K40" s="20" t="str">
        <f aca="false">IF(ABS(J40)&lt;0.001,"MATCH - PAPER CHECK-IN NOT SUPPLIED","DATA MISMATCH")</f>
        <v>MATCH - PAPER CHECK-IN NOT SUPPLIED</v>
      </c>
      <c r="L40" s="22" t="n">
        <v>32</v>
      </c>
      <c r="M40" s="22" t="n">
        <f aca="false">ROUNDUP(H40,0)</f>
        <v>21</v>
      </c>
      <c r="N40" s="24" t="n">
        <f aca="false">MAX(L40,M40)</f>
        <v>32</v>
      </c>
      <c r="O40" s="25" t="n">
        <v>7.55</v>
      </c>
      <c r="P40" s="25" t="n">
        <f aca="false">N40*O40</f>
        <v>241.6</v>
      </c>
      <c r="Q40" s="23" t="s">
        <v>3030</v>
      </c>
      <c r="R40" s="23" t="s">
        <v>2804</v>
      </c>
      <c r="S40" s="24" t="n">
        <v>32</v>
      </c>
      <c r="T40" s="25" t="n">
        <v>7.55</v>
      </c>
      <c r="U40" s="25" t="n">
        <v>241.6</v>
      </c>
      <c r="V40" s="25" t="n">
        <f aca="false">P40-U40</f>
        <v>0</v>
      </c>
      <c r="W40" s="25" t="n">
        <f aca="false">V40*12</f>
        <v>0</v>
      </c>
      <c r="X40" s="23" t="str">
        <f aca="false">IF(Q40="","MISSING FROM EXPORT",IF(ABS(V40)&lt;0.005,"CLEAR",IF(V40&gt;0,"UNDERBILLING","OVERBILLING")))</f>
        <v>CLEAR</v>
      </c>
      <c r="Y40" s="25" t="n">
        <f aca="false">IF(F40="COMMERCIAL",ROUND(P40*0.35,2),0)</f>
        <v>0</v>
      </c>
      <c r="Z40" s="23" t="str">
        <f aca="false">IF(F40="COMMERCIAL","VERIFY SIGNED AGREEMENT","NO EXCEPTION")</f>
        <v>NO EXCEPTION</v>
      </c>
      <c r="AA40" s="23" t="str">
        <f aca="false">IF(AND(C40="covered",N40&gt;40),"COVERED &gt;40 FT","")</f>
        <v/>
      </c>
      <c r="AB40" s="23" t="s">
        <v>3031</v>
      </c>
      <c r="AC40" s="23" t="s">
        <v>3032</v>
      </c>
      <c r="AD40" s="23" t="s">
        <v>2807</v>
      </c>
    </row>
    <row r="41" customFormat="false" ht="17.9" hidden="false" customHeight="false" outlineLevel="0" collapsed="false">
      <c r="A41" s="20" t="s">
        <v>3033</v>
      </c>
      <c r="B41" s="20" t="s">
        <v>109</v>
      </c>
      <c r="C41" s="20" t="s">
        <v>2798</v>
      </c>
      <c r="D41" s="20" t="s">
        <v>3034</v>
      </c>
      <c r="E41" s="20" t="s">
        <v>3035</v>
      </c>
      <c r="F41" s="20" t="s">
        <v>2869</v>
      </c>
      <c r="G41" s="20" t="s">
        <v>3036</v>
      </c>
      <c r="H41" s="22" t="n">
        <v>42.6</v>
      </c>
      <c r="I41" s="22" t="n">
        <v>42.6</v>
      </c>
      <c r="J41" s="22" t="n">
        <f aca="false">H41-I41</f>
        <v>0</v>
      </c>
      <c r="K41" s="20" t="str">
        <f aca="false">IF(ABS(J41)&lt;0.001,"MATCH - PAPER CHECK-IN NOT SUPPLIED","DATA MISMATCH")</f>
        <v>MATCH - PAPER CHECK-IN NOT SUPPLIED</v>
      </c>
      <c r="L41" s="22" t="n">
        <v>50</v>
      </c>
      <c r="M41" s="22" t="n">
        <f aca="false">ROUNDUP(H41,0)</f>
        <v>43</v>
      </c>
      <c r="N41" s="24" t="n">
        <f aca="false">MAX(L41,M41)</f>
        <v>50</v>
      </c>
      <c r="O41" s="25" t="n">
        <v>7.55</v>
      </c>
      <c r="P41" s="25" t="n">
        <f aca="false">N41*O41</f>
        <v>377.5</v>
      </c>
      <c r="Q41" s="23" t="s">
        <v>3037</v>
      </c>
      <c r="R41" s="23" t="s">
        <v>2804</v>
      </c>
      <c r="S41" s="24" t="n">
        <v>50</v>
      </c>
      <c r="T41" s="25" t="n">
        <v>7.55</v>
      </c>
      <c r="U41" s="25" t="n">
        <v>377.5</v>
      </c>
      <c r="V41" s="25" t="n">
        <f aca="false">P41-U41</f>
        <v>0</v>
      </c>
      <c r="W41" s="25" t="n">
        <f aca="false">V41*12</f>
        <v>0</v>
      </c>
      <c r="X41" s="23" t="str">
        <f aca="false">IF(Q41="","MISSING FROM EXPORT",IF(ABS(V41)&lt;0.005,"CLEAR",IF(V41&gt;0,"UNDERBILLING","OVERBILLING")))</f>
        <v>CLEAR</v>
      </c>
      <c r="Y41" s="25" t="n">
        <f aca="false">IF(F41="COMMERCIAL",ROUND(P41*0.35,2),0)</f>
        <v>0</v>
      </c>
      <c r="Z41" s="23" t="str">
        <f aca="false">IF(F41="COMMERCIAL","VERIFY SIGNED AGREEMENT","NO EXCEPTION")</f>
        <v>NO EXCEPTION</v>
      </c>
      <c r="AA41" s="23" t="str">
        <f aca="false">IF(AND(C41="covered",N41&gt;40),"COVERED &gt;40 FT","")</f>
        <v/>
      </c>
      <c r="AB41" s="23" t="s">
        <v>3038</v>
      </c>
      <c r="AC41" s="23" t="s">
        <v>3039</v>
      </c>
      <c r="AD41" s="23" t="s">
        <v>2807</v>
      </c>
    </row>
    <row r="42" customFormat="false" ht="17.9" hidden="false" customHeight="false" outlineLevel="0" collapsed="false">
      <c r="A42" s="20" t="s">
        <v>3040</v>
      </c>
      <c r="B42" s="20" t="s">
        <v>109</v>
      </c>
      <c r="C42" s="20" t="s">
        <v>2798</v>
      </c>
      <c r="D42" s="20" t="s">
        <v>584</v>
      </c>
      <c r="E42" s="20" t="s">
        <v>585</v>
      </c>
      <c r="F42" s="20" t="s">
        <v>2857</v>
      </c>
      <c r="G42" s="20" t="s">
        <v>3041</v>
      </c>
      <c r="H42" s="22" t="n">
        <v>32.9</v>
      </c>
      <c r="I42" s="22" t="n">
        <v>32.9</v>
      </c>
      <c r="J42" s="22" t="n">
        <f aca="false">H42-I42</f>
        <v>0</v>
      </c>
      <c r="K42" s="20" t="str">
        <f aca="false">IF(ABS(J42)&lt;0.001,"MATCH - PAPER CHECK-IN NOT SUPPLIED","DATA MISMATCH")</f>
        <v>MATCH - PAPER CHECK-IN NOT SUPPLIED</v>
      </c>
      <c r="L42" s="22" t="n">
        <v>32</v>
      </c>
      <c r="M42" s="22" t="n">
        <f aca="false">ROUNDUP(H42,0)</f>
        <v>33</v>
      </c>
      <c r="N42" s="24" t="n">
        <f aca="false">MAX(L42,M42)</f>
        <v>33</v>
      </c>
      <c r="O42" s="25" t="n">
        <v>7.55</v>
      </c>
      <c r="P42" s="25" t="n">
        <f aca="false">N42*O42</f>
        <v>249.15</v>
      </c>
      <c r="Q42" s="23" t="s">
        <v>3042</v>
      </c>
      <c r="R42" s="23" t="s">
        <v>2804</v>
      </c>
      <c r="S42" s="24" t="n">
        <v>33</v>
      </c>
      <c r="T42" s="25" t="n">
        <v>7.55</v>
      </c>
      <c r="U42" s="25" t="n">
        <v>249.15</v>
      </c>
      <c r="V42" s="25" t="n">
        <f aca="false">P42-U42</f>
        <v>0</v>
      </c>
      <c r="W42" s="25" t="n">
        <f aca="false">V42*12</f>
        <v>0</v>
      </c>
      <c r="X42" s="23" t="str">
        <f aca="false">IF(Q42="","MISSING FROM EXPORT",IF(ABS(V42)&lt;0.005,"CLEAR",IF(V42&gt;0,"UNDERBILLING","OVERBILLING")))</f>
        <v>CLEAR</v>
      </c>
      <c r="Y42" s="25" t="n">
        <f aca="false">IF(F42="COMMERCIAL",ROUND(P42*0.35,2),0)</f>
        <v>0</v>
      </c>
      <c r="Z42" s="23" t="str">
        <f aca="false">IF(F42="COMMERCIAL","VERIFY SIGNED AGREEMENT","NO EXCEPTION")</f>
        <v>NO EXCEPTION</v>
      </c>
      <c r="AA42" s="23" t="str">
        <f aca="false">IF(AND(C42="covered",N42&gt;40),"COVERED &gt;40 FT","")</f>
        <v/>
      </c>
      <c r="AB42" s="23" t="s">
        <v>3043</v>
      </c>
      <c r="AC42" s="23" t="s">
        <v>3044</v>
      </c>
      <c r="AD42" s="23" t="s">
        <v>2807</v>
      </c>
    </row>
    <row r="43" customFormat="false" ht="17.9" hidden="false" customHeight="false" outlineLevel="0" collapsed="false">
      <c r="A43" s="20" t="s">
        <v>3045</v>
      </c>
      <c r="B43" s="20" t="s">
        <v>109</v>
      </c>
      <c r="C43" s="20" t="s">
        <v>2798</v>
      </c>
      <c r="D43" s="20" t="s">
        <v>3046</v>
      </c>
      <c r="E43" s="20" t="s">
        <v>3047</v>
      </c>
      <c r="F43" s="20" t="s">
        <v>2934</v>
      </c>
      <c r="G43" s="20" t="s">
        <v>3048</v>
      </c>
      <c r="H43" s="22" t="n">
        <v>23</v>
      </c>
      <c r="I43" s="22" t="n">
        <v>23</v>
      </c>
      <c r="J43" s="22" t="n">
        <f aca="false">H43-I43</f>
        <v>0</v>
      </c>
      <c r="K43" s="20" t="str">
        <f aca="false">IF(ABS(J43)&lt;0.001,"MATCH - PAPER CHECK-IN NOT SUPPLIED","DATA MISMATCH")</f>
        <v>MATCH - PAPER CHECK-IN NOT SUPPLIED</v>
      </c>
      <c r="L43" s="22" t="n">
        <v>36</v>
      </c>
      <c r="M43" s="22" t="n">
        <f aca="false">ROUNDUP(H43,0)</f>
        <v>23</v>
      </c>
      <c r="N43" s="24" t="n">
        <f aca="false">MAX(L43,M43)</f>
        <v>36</v>
      </c>
      <c r="O43" s="25" t="n">
        <v>7.55</v>
      </c>
      <c r="P43" s="25" t="n">
        <f aca="false">N43*O43</f>
        <v>271.8</v>
      </c>
      <c r="Q43" s="23" t="s">
        <v>3049</v>
      </c>
      <c r="R43" s="23" t="s">
        <v>2804</v>
      </c>
      <c r="S43" s="24" t="n">
        <v>36</v>
      </c>
      <c r="T43" s="25" t="n">
        <v>7.55</v>
      </c>
      <c r="U43" s="25" t="n">
        <v>271.8</v>
      </c>
      <c r="V43" s="25" t="n">
        <f aca="false">P43-U43</f>
        <v>0</v>
      </c>
      <c r="W43" s="25" t="n">
        <f aca="false">V43*12</f>
        <v>0</v>
      </c>
      <c r="X43" s="23" t="str">
        <f aca="false">IF(Q43="","MISSING FROM EXPORT",IF(ABS(V43)&lt;0.005,"CLEAR",IF(V43&gt;0,"UNDERBILLING","OVERBILLING")))</f>
        <v>CLEAR</v>
      </c>
      <c r="Y43" s="25" t="n">
        <f aca="false">IF(F43="COMMERCIAL",ROUND(P43*0.35,2),0)</f>
        <v>95.13</v>
      </c>
      <c r="Z43" s="23" t="str">
        <f aca="false">IF(F43="COMMERCIAL","VERIFY SIGNED AGREEMENT","NO EXCEPTION")</f>
        <v>VERIFY SIGNED AGREEMENT</v>
      </c>
      <c r="AA43" s="23" t="str">
        <f aca="false">IF(AND(C43="covered",N43&gt;40),"COVERED &gt;40 FT","")</f>
        <v/>
      </c>
      <c r="AB43" s="23" t="s">
        <v>3050</v>
      </c>
      <c r="AC43" s="23" t="s">
        <v>3051</v>
      </c>
      <c r="AD43" s="23" t="s">
        <v>2807</v>
      </c>
    </row>
    <row r="44" customFormat="false" ht="17.9" hidden="false" customHeight="false" outlineLevel="0" collapsed="false">
      <c r="A44" s="20" t="s">
        <v>3052</v>
      </c>
      <c r="B44" s="20" t="s">
        <v>109</v>
      </c>
      <c r="C44" s="20" t="s">
        <v>2798</v>
      </c>
      <c r="D44" s="20" t="s">
        <v>3053</v>
      </c>
      <c r="E44" s="20" t="s">
        <v>3054</v>
      </c>
      <c r="F44" s="20" t="s">
        <v>2801</v>
      </c>
      <c r="G44" s="20" t="s">
        <v>3055</v>
      </c>
      <c r="H44" s="22" t="n">
        <v>21.3</v>
      </c>
      <c r="I44" s="22" t="n">
        <v>21.3</v>
      </c>
      <c r="J44" s="22" t="n">
        <f aca="false">H44-I44</f>
        <v>0</v>
      </c>
      <c r="K44" s="20" t="str">
        <f aca="false">IF(ABS(J44)&lt;0.001,"MATCH - PAPER CHECK-IN NOT SUPPLIED","DATA MISMATCH")</f>
        <v>MATCH - PAPER CHECK-IN NOT SUPPLIED</v>
      </c>
      <c r="L44" s="22" t="n">
        <v>70</v>
      </c>
      <c r="M44" s="22" t="n">
        <f aca="false">ROUNDUP(H44,0)</f>
        <v>22</v>
      </c>
      <c r="N44" s="24" t="n">
        <f aca="false">MAX(L44,M44)</f>
        <v>70</v>
      </c>
      <c r="O44" s="25" t="n">
        <v>7.55</v>
      </c>
      <c r="P44" s="25" t="n">
        <f aca="false">N44*O44</f>
        <v>528.5</v>
      </c>
      <c r="Q44" s="23" t="s">
        <v>3056</v>
      </c>
      <c r="R44" s="23" t="s">
        <v>2804</v>
      </c>
      <c r="S44" s="24" t="n">
        <v>70</v>
      </c>
      <c r="T44" s="25" t="n">
        <v>7.55</v>
      </c>
      <c r="U44" s="25" t="n">
        <v>528.5</v>
      </c>
      <c r="V44" s="25" t="n">
        <f aca="false">P44-U44</f>
        <v>0</v>
      </c>
      <c r="W44" s="25" t="n">
        <f aca="false">V44*12</f>
        <v>0</v>
      </c>
      <c r="X44" s="23" t="str">
        <f aca="false">IF(Q44="","MISSING FROM EXPORT",IF(ABS(V44)&lt;0.005,"CLEAR",IF(V44&gt;0,"UNDERBILLING","OVERBILLING")))</f>
        <v>CLEAR</v>
      </c>
      <c r="Y44" s="25" t="n">
        <f aca="false">IF(F44="COMMERCIAL",ROUND(P44*0.35,2),0)</f>
        <v>0</v>
      </c>
      <c r="Z44" s="23" t="str">
        <f aca="false">IF(F44="COMMERCIAL","VERIFY SIGNED AGREEMENT","NO EXCEPTION")</f>
        <v>NO EXCEPTION</v>
      </c>
      <c r="AA44" s="23" t="str">
        <f aca="false">IF(AND(C44="covered",N44&gt;40),"COVERED &gt;40 FT","")</f>
        <v/>
      </c>
      <c r="AB44" s="23" t="s">
        <v>3057</v>
      </c>
      <c r="AC44" s="23" t="s">
        <v>3058</v>
      </c>
      <c r="AD44" s="23" t="s">
        <v>2807</v>
      </c>
    </row>
    <row r="45" customFormat="false" ht="17.9" hidden="false" customHeight="false" outlineLevel="0" collapsed="false">
      <c r="A45" s="20" t="s">
        <v>3059</v>
      </c>
      <c r="B45" s="20" t="s">
        <v>109</v>
      </c>
      <c r="C45" s="20" t="s">
        <v>2798</v>
      </c>
      <c r="D45" s="20" t="s">
        <v>3060</v>
      </c>
      <c r="E45" s="20" t="s">
        <v>3061</v>
      </c>
      <c r="F45" s="20" t="s">
        <v>2818</v>
      </c>
      <c r="G45" s="20" t="s">
        <v>3062</v>
      </c>
      <c r="H45" s="22" t="n">
        <v>22.1</v>
      </c>
      <c r="I45" s="22" t="n">
        <v>22.1</v>
      </c>
      <c r="J45" s="22" t="n">
        <f aca="false">H45-I45</f>
        <v>0</v>
      </c>
      <c r="K45" s="20" t="str">
        <f aca="false">IF(ABS(J45)&lt;0.001,"MATCH - PAPER CHECK-IN NOT SUPPLIED","DATA MISMATCH")</f>
        <v>MATCH - PAPER CHECK-IN NOT SUPPLIED</v>
      </c>
      <c r="L45" s="22" t="n">
        <v>40</v>
      </c>
      <c r="M45" s="22" t="n">
        <f aca="false">ROUNDUP(H45,0)</f>
        <v>23</v>
      </c>
      <c r="N45" s="24" t="n">
        <f aca="false">MAX(L45,M45)</f>
        <v>40</v>
      </c>
      <c r="O45" s="25" t="n">
        <v>7.55</v>
      </c>
      <c r="P45" s="25" t="n">
        <f aca="false">N45*O45</f>
        <v>302</v>
      </c>
      <c r="Q45" s="23" t="s">
        <v>3063</v>
      </c>
      <c r="R45" s="23" t="s">
        <v>2804</v>
      </c>
      <c r="S45" s="24" t="n">
        <v>40</v>
      </c>
      <c r="T45" s="25" t="n">
        <v>7.55</v>
      </c>
      <c r="U45" s="25" t="n">
        <v>302</v>
      </c>
      <c r="V45" s="25" t="n">
        <f aca="false">P45-U45</f>
        <v>0</v>
      </c>
      <c r="W45" s="25" t="n">
        <f aca="false">V45*12</f>
        <v>0</v>
      </c>
      <c r="X45" s="23" t="str">
        <f aca="false">IF(Q45="","MISSING FROM EXPORT",IF(ABS(V45)&lt;0.005,"CLEAR",IF(V45&gt;0,"UNDERBILLING","OVERBILLING")))</f>
        <v>CLEAR</v>
      </c>
      <c r="Y45" s="25" t="n">
        <f aca="false">IF(F45="COMMERCIAL",ROUND(P45*0.35,2),0)</f>
        <v>0</v>
      </c>
      <c r="Z45" s="23" t="str">
        <f aca="false">IF(F45="COMMERCIAL","VERIFY SIGNED AGREEMENT","NO EXCEPTION")</f>
        <v>NO EXCEPTION</v>
      </c>
      <c r="AA45" s="23" t="str">
        <f aca="false">IF(AND(C45="covered",N45&gt;40),"COVERED &gt;40 FT","")</f>
        <v/>
      </c>
      <c r="AB45" s="23" t="s">
        <v>3064</v>
      </c>
      <c r="AC45" s="23" t="s">
        <v>3065</v>
      </c>
      <c r="AD45" s="23" t="s">
        <v>2807</v>
      </c>
    </row>
    <row r="46" customFormat="false" ht="17.9" hidden="false" customHeight="false" outlineLevel="0" collapsed="false">
      <c r="A46" s="20" t="s">
        <v>3066</v>
      </c>
      <c r="B46" s="20" t="s">
        <v>109</v>
      </c>
      <c r="C46" s="20" t="s">
        <v>2798</v>
      </c>
      <c r="D46" s="20" t="s">
        <v>3067</v>
      </c>
      <c r="E46" s="20" t="s">
        <v>3068</v>
      </c>
      <c r="F46" s="20" t="s">
        <v>2857</v>
      </c>
      <c r="G46" s="20" t="s">
        <v>3069</v>
      </c>
      <c r="H46" s="22" t="n">
        <v>57.1</v>
      </c>
      <c r="I46" s="22" t="n">
        <v>57.1</v>
      </c>
      <c r="J46" s="22" t="n">
        <f aca="false">H46-I46</f>
        <v>0</v>
      </c>
      <c r="K46" s="20" t="str">
        <f aca="false">IF(ABS(J46)&lt;0.001,"MATCH - PAPER CHECK-IN NOT SUPPLIED","DATA MISMATCH")</f>
        <v>MATCH - PAPER CHECK-IN NOT SUPPLIED</v>
      </c>
      <c r="L46" s="22" t="n">
        <v>28</v>
      </c>
      <c r="M46" s="22" t="n">
        <f aca="false">ROUNDUP(H46,0)</f>
        <v>58</v>
      </c>
      <c r="N46" s="24" t="n">
        <f aca="false">MAX(L46,M46)</f>
        <v>58</v>
      </c>
      <c r="O46" s="25" t="n">
        <v>7.55</v>
      </c>
      <c r="P46" s="25" t="n">
        <f aca="false">N46*O46</f>
        <v>437.9</v>
      </c>
      <c r="Q46" s="23" t="s">
        <v>3070</v>
      </c>
      <c r="R46" s="23" t="s">
        <v>2804</v>
      </c>
      <c r="S46" s="24" t="n">
        <v>58</v>
      </c>
      <c r="T46" s="25" t="n">
        <v>7.55</v>
      </c>
      <c r="U46" s="25" t="n">
        <v>437.9</v>
      </c>
      <c r="V46" s="25" t="n">
        <f aca="false">P46-U46</f>
        <v>0</v>
      </c>
      <c r="W46" s="25" t="n">
        <f aca="false">V46*12</f>
        <v>0</v>
      </c>
      <c r="X46" s="23" t="str">
        <f aca="false">IF(Q46="","MISSING FROM EXPORT",IF(ABS(V46)&lt;0.005,"CLEAR",IF(V46&gt;0,"UNDERBILLING","OVERBILLING")))</f>
        <v>CLEAR</v>
      </c>
      <c r="Y46" s="25" t="n">
        <f aca="false">IF(F46="COMMERCIAL",ROUND(P46*0.35,2),0)</f>
        <v>0</v>
      </c>
      <c r="Z46" s="23" t="str">
        <f aca="false">IF(F46="COMMERCIAL","VERIFY SIGNED AGREEMENT","NO EXCEPTION")</f>
        <v>NO EXCEPTION</v>
      </c>
      <c r="AA46" s="23" t="str">
        <f aca="false">IF(AND(C46="covered",N46&gt;40),"COVERED &gt;40 FT","")</f>
        <v/>
      </c>
      <c r="AB46" s="23" t="s">
        <v>3071</v>
      </c>
      <c r="AC46" s="23" t="s">
        <v>3072</v>
      </c>
      <c r="AD46" s="23" t="s">
        <v>2807</v>
      </c>
    </row>
    <row r="47" customFormat="false" ht="17.9" hidden="false" customHeight="false" outlineLevel="0" collapsed="false">
      <c r="A47" s="20" t="s">
        <v>3073</v>
      </c>
      <c r="B47" s="20" t="s">
        <v>109</v>
      </c>
      <c r="C47" s="20" t="s">
        <v>2798</v>
      </c>
      <c r="D47" s="20" t="s">
        <v>3074</v>
      </c>
      <c r="E47" s="20" t="s">
        <v>3075</v>
      </c>
      <c r="F47" s="20" t="s">
        <v>2857</v>
      </c>
      <c r="G47" s="20" t="s">
        <v>3076</v>
      </c>
      <c r="H47" s="22" t="n">
        <v>29.3</v>
      </c>
      <c r="I47" s="22" t="n">
        <v>29.3</v>
      </c>
      <c r="J47" s="22" t="n">
        <f aca="false">H47-I47</f>
        <v>0</v>
      </c>
      <c r="K47" s="20" t="str">
        <f aca="false">IF(ABS(J47)&lt;0.001,"MATCH - PAPER CHECK-IN NOT SUPPLIED","DATA MISMATCH")</f>
        <v>MATCH - PAPER CHECK-IN NOT SUPPLIED</v>
      </c>
      <c r="L47" s="22" t="n">
        <v>24</v>
      </c>
      <c r="M47" s="22" t="n">
        <f aca="false">ROUNDUP(H47,0)</f>
        <v>30</v>
      </c>
      <c r="N47" s="24" t="n">
        <f aca="false">MAX(L47,M47)</f>
        <v>30</v>
      </c>
      <c r="O47" s="25" t="n">
        <v>7.55</v>
      </c>
      <c r="P47" s="25" t="n">
        <f aca="false">N47*O47</f>
        <v>226.5</v>
      </c>
      <c r="Q47" s="23" t="s">
        <v>3077</v>
      </c>
      <c r="R47" s="23" t="s">
        <v>2804</v>
      </c>
      <c r="S47" s="24" t="n">
        <v>30</v>
      </c>
      <c r="T47" s="25" t="n">
        <v>7.55</v>
      </c>
      <c r="U47" s="25" t="n">
        <v>226.5</v>
      </c>
      <c r="V47" s="25" t="n">
        <f aca="false">P47-U47</f>
        <v>0</v>
      </c>
      <c r="W47" s="25" t="n">
        <f aca="false">V47*12</f>
        <v>0</v>
      </c>
      <c r="X47" s="23" t="str">
        <f aca="false">IF(Q47="","MISSING FROM EXPORT",IF(ABS(V47)&lt;0.005,"CLEAR",IF(V47&gt;0,"UNDERBILLING","OVERBILLING")))</f>
        <v>CLEAR</v>
      </c>
      <c r="Y47" s="25" t="n">
        <f aca="false">IF(F47="COMMERCIAL",ROUND(P47*0.35,2),0)</f>
        <v>0</v>
      </c>
      <c r="Z47" s="23" t="str">
        <f aca="false">IF(F47="COMMERCIAL","VERIFY SIGNED AGREEMENT","NO EXCEPTION")</f>
        <v>NO EXCEPTION</v>
      </c>
      <c r="AA47" s="23" t="str">
        <f aca="false">IF(AND(C47="covered",N47&gt;40),"COVERED &gt;40 FT","")</f>
        <v/>
      </c>
      <c r="AB47" s="23" t="s">
        <v>3078</v>
      </c>
      <c r="AC47" s="23" t="s">
        <v>3079</v>
      </c>
      <c r="AD47" s="23" t="s">
        <v>2807</v>
      </c>
    </row>
    <row r="48" customFormat="false" ht="17.9" hidden="false" customHeight="false" outlineLevel="0" collapsed="false">
      <c r="A48" s="20" t="s">
        <v>3080</v>
      </c>
      <c r="B48" s="20" t="s">
        <v>109</v>
      </c>
      <c r="C48" s="20" t="s">
        <v>2798</v>
      </c>
      <c r="D48" s="20" t="s">
        <v>3081</v>
      </c>
      <c r="E48" s="20" t="s">
        <v>3082</v>
      </c>
      <c r="F48" s="20" t="s">
        <v>2857</v>
      </c>
      <c r="G48" s="20" t="s">
        <v>3083</v>
      </c>
      <c r="H48" s="22" t="n">
        <v>19</v>
      </c>
      <c r="I48" s="22" t="n">
        <v>19</v>
      </c>
      <c r="J48" s="22" t="n">
        <f aca="false">H48-I48</f>
        <v>0</v>
      </c>
      <c r="K48" s="20" t="str">
        <f aca="false">IF(ABS(J48)&lt;0.001,"MATCH - PAPER CHECK-IN NOT SUPPLIED","DATA MISMATCH")</f>
        <v>MATCH - PAPER CHECK-IN NOT SUPPLIED</v>
      </c>
      <c r="L48" s="22" t="n">
        <v>36</v>
      </c>
      <c r="M48" s="22" t="n">
        <f aca="false">ROUNDUP(H48,0)</f>
        <v>19</v>
      </c>
      <c r="N48" s="24" t="n">
        <f aca="false">MAX(L48,M48)</f>
        <v>36</v>
      </c>
      <c r="O48" s="25" t="n">
        <v>7.55</v>
      </c>
      <c r="P48" s="25" t="n">
        <f aca="false">N48*O48</f>
        <v>271.8</v>
      </c>
      <c r="Q48" s="23" t="s">
        <v>3084</v>
      </c>
      <c r="R48" s="23" t="s">
        <v>2804</v>
      </c>
      <c r="S48" s="24" t="n">
        <v>36</v>
      </c>
      <c r="T48" s="25" t="n">
        <v>7.55</v>
      </c>
      <c r="U48" s="25" t="n">
        <v>271.8</v>
      </c>
      <c r="V48" s="25" t="n">
        <f aca="false">P48-U48</f>
        <v>0</v>
      </c>
      <c r="W48" s="25" t="n">
        <f aca="false">V48*12</f>
        <v>0</v>
      </c>
      <c r="X48" s="23" t="str">
        <f aca="false">IF(Q48="","MISSING FROM EXPORT",IF(ABS(V48)&lt;0.005,"CLEAR",IF(V48&gt;0,"UNDERBILLING","OVERBILLING")))</f>
        <v>CLEAR</v>
      </c>
      <c r="Y48" s="25" t="n">
        <f aca="false">IF(F48="COMMERCIAL",ROUND(P48*0.35,2),0)</f>
        <v>0</v>
      </c>
      <c r="Z48" s="23" t="str">
        <f aca="false">IF(F48="COMMERCIAL","VERIFY SIGNED AGREEMENT","NO EXCEPTION")</f>
        <v>NO EXCEPTION</v>
      </c>
      <c r="AA48" s="23" t="str">
        <f aca="false">IF(AND(C48="covered",N48&gt;40),"COVERED &gt;40 FT","")</f>
        <v/>
      </c>
      <c r="AB48" s="23" t="s">
        <v>3085</v>
      </c>
      <c r="AC48" s="23" t="s">
        <v>3086</v>
      </c>
      <c r="AD48" s="23" t="s">
        <v>2807</v>
      </c>
    </row>
    <row r="49" customFormat="false" ht="17.9" hidden="false" customHeight="false" outlineLevel="0" collapsed="false">
      <c r="A49" s="20" t="s">
        <v>3087</v>
      </c>
      <c r="B49" s="20" t="s">
        <v>109</v>
      </c>
      <c r="C49" s="20" t="s">
        <v>2798</v>
      </c>
      <c r="D49" s="20" t="s">
        <v>3088</v>
      </c>
      <c r="E49" s="20" t="s">
        <v>3089</v>
      </c>
      <c r="F49" s="20" t="s">
        <v>2833</v>
      </c>
      <c r="G49" s="20" t="s">
        <v>3090</v>
      </c>
      <c r="H49" s="22" t="n">
        <v>49.6</v>
      </c>
      <c r="I49" s="22" t="n">
        <v>49.6</v>
      </c>
      <c r="J49" s="22" t="n">
        <f aca="false">H49-I49</f>
        <v>0</v>
      </c>
      <c r="K49" s="20" t="str">
        <f aca="false">IF(ABS(J49)&lt;0.001,"MATCH - PAPER CHECK-IN NOT SUPPLIED","DATA MISMATCH")</f>
        <v>MATCH - PAPER CHECK-IN NOT SUPPLIED</v>
      </c>
      <c r="L49" s="22" t="n">
        <v>24</v>
      </c>
      <c r="M49" s="22" t="n">
        <f aca="false">ROUNDUP(H49,0)</f>
        <v>50</v>
      </c>
      <c r="N49" s="24" t="n">
        <f aca="false">MAX(L49,M49)</f>
        <v>50</v>
      </c>
      <c r="O49" s="25" t="n">
        <v>7.55</v>
      </c>
      <c r="P49" s="25" t="n">
        <f aca="false">N49*O49</f>
        <v>377.5</v>
      </c>
      <c r="Q49" s="23" t="s">
        <v>3091</v>
      </c>
      <c r="R49" s="23" t="s">
        <v>2804</v>
      </c>
      <c r="S49" s="24" t="n">
        <v>50</v>
      </c>
      <c r="T49" s="25" t="n">
        <v>7.55</v>
      </c>
      <c r="U49" s="25" t="n">
        <v>377.5</v>
      </c>
      <c r="V49" s="25" t="n">
        <f aca="false">P49-U49</f>
        <v>0</v>
      </c>
      <c r="W49" s="25" t="n">
        <f aca="false">V49*12</f>
        <v>0</v>
      </c>
      <c r="X49" s="23" t="str">
        <f aca="false">IF(Q49="","MISSING FROM EXPORT",IF(ABS(V49)&lt;0.005,"CLEAR",IF(V49&gt;0,"UNDERBILLING","OVERBILLING")))</f>
        <v>CLEAR</v>
      </c>
      <c r="Y49" s="25" t="n">
        <f aca="false">IF(F49="COMMERCIAL",ROUND(P49*0.35,2),0)</f>
        <v>0</v>
      </c>
      <c r="Z49" s="23" t="str">
        <f aca="false">IF(F49="COMMERCIAL","VERIFY SIGNED AGREEMENT","NO EXCEPTION")</f>
        <v>NO EXCEPTION</v>
      </c>
      <c r="AA49" s="23" t="str">
        <f aca="false">IF(AND(C49="covered",N49&gt;40),"COVERED &gt;40 FT","")</f>
        <v/>
      </c>
      <c r="AB49" s="23" t="s">
        <v>3092</v>
      </c>
      <c r="AC49" s="23" t="s">
        <v>3093</v>
      </c>
      <c r="AD49" s="23" t="s">
        <v>2807</v>
      </c>
    </row>
    <row r="50" customFormat="false" ht="17.9" hidden="false" customHeight="false" outlineLevel="0" collapsed="false">
      <c r="A50" s="20" t="s">
        <v>3094</v>
      </c>
      <c r="B50" s="20" t="s">
        <v>109</v>
      </c>
      <c r="C50" s="20" t="s">
        <v>2798</v>
      </c>
      <c r="D50" s="20" t="s">
        <v>3095</v>
      </c>
      <c r="E50" s="20" t="s">
        <v>3096</v>
      </c>
      <c r="F50" s="20" t="s">
        <v>2833</v>
      </c>
      <c r="G50" s="20" t="s">
        <v>3097</v>
      </c>
      <c r="H50" s="22" t="n">
        <v>49.2</v>
      </c>
      <c r="I50" s="22" t="n">
        <v>49.2</v>
      </c>
      <c r="J50" s="22" t="n">
        <f aca="false">H50-I50</f>
        <v>0</v>
      </c>
      <c r="K50" s="20" t="str">
        <f aca="false">IF(ABS(J50)&lt;0.001,"MATCH - PAPER CHECK-IN NOT SUPPLIED","DATA MISMATCH")</f>
        <v>MATCH - PAPER CHECK-IN NOT SUPPLIED</v>
      </c>
      <c r="L50" s="22" t="n">
        <v>40</v>
      </c>
      <c r="M50" s="22" t="n">
        <f aca="false">ROUNDUP(H50,0)</f>
        <v>50</v>
      </c>
      <c r="N50" s="24" t="n">
        <f aca="false">MAX(L50,M50)</f>
        <v>50</v>
      </c>
      <c r="O50" s="25" t="n">
        <v>7.55</v>
      </c>
      <c r="P50" s="25" t="n">
        <f aca="false">N50*O50</f>
        <v>377.5</v>
      </c>
      <c r="Q50" s="23" t="s">
        <v>3098</v>
      </c>
      <c r="R50" s="23" t="s">
        <v>2804</v>
      </c>
      <c r="S50" s="24" t="n">
        <v>50</v>
      </c>
      <c r="T50" s="25" t="n">
        <v>7.55</v>
      </c>
      <c r="U50" s="25" t="n">
        <v>377.5</v>
      </c>
      <c r="V50" s="25" t="n">
        <f aca="false">P50-U50</f>
        <v>0</v>
      </c>
      <c r="W50" s="25" t="n">
        <f aca="false">V50*12</f>
        <v>0</v>
      </c>
      <c r="X50" s="23" t="str">
        <f aca="false">IF(Q50="","MISSING FROM EXPORT",IF(ABS(V50)&lt;0.005,"CLEAR",IF(V50&gt;0,"UNDERBILLING","OVERBILLING")))</f>
        <v>CLEAR</v>
      </c>
      <c r="Y50" s="25" t="n">
        <f aca="false">IF(F50="COMMERCIAL",ROUND(P50*0.35,2),0)</f>
        <v>0</v>
      </c>
      <c r="Z50" s="23" t="str">
        <f aca="false">IF(F50="COMMERCIAL","VERIFY SIGNED AGREEMENT","NO EXCEPTION")</f>
        <v>NO EXCEPTION</v>
      </c>
      <c r="AA50" s="23" t="str">
        <f aca="false">IF(AND(C50="covered",N50&gt;40),"COVERED &gt;40 FT","")</f>
        <v/>
      </c>
      <c r="AB50" s="23" t="s">
        <v>3099</v>
      </c>
      <c r="AC50" s="23" t="s">
        <v>3100</v>
      </c>
      <c r="AD50" s="23" t="s">
        <v>2807</v>
      </c>
    </row>
    <row r="51" customFormat="false" ht="17.9" hidden="false" customHeight="false" outlineLevel="0" collapsed="false">
      <c r="A51" s="20" t="s">
        <v>3101</v>
      </c>
      <c r="B51" s="20" t="s">
        <v>109</v>
      </c>
      <c r="C51" s="20" t="s">
        <v>2798</v>
      </c>
      <c r="D51" s="20" t="s">
        <v>3102</v>
      </c>
      <c r="E51" s="20" t="s">
        <v>3103</v>
      </c>
      <c r="F51" s="20" t="s">
        <v>2833</v>
      </c>
      <c r="G51" s="20" t="s">
        <v>3104</v>
      </c>
      <c r="H51" s="22" t="n">
        <v>29.4</v>
      </c>
      <c r="I51" s="22" t="n">
        <v>29.4</v>
      </c>
      <c r="J51" s="22" t="n">
        <f aca="false">H51-I51</f>
        <v>0</v>
      </c>
      <c r="K51" s="20" t="str">
        <f aca="false">IF(ABS(J51)&lt;0.001,"MATCH - PAPER CHECK-IN NOT SUPPLIED","DATA MISMATCH")</f>
        <v>MATCH - PAPER CHECK-IN NOT SUPPLIED</v>
      </c>
      <c r="L51" s="22" t="n">
        <v>40</v>
      </c>
      <c r="M51" s="22" t="n">
        <f aca="false">ROUNDUP(H51,0)</f>
        <v>30</v>
      </c>
      <c r="N51" s="24" t="n">
        <f aca="false">MAX(L51,M51)</f>
        <v>40</v>
      </c>
      <c r="O51" s="25" t="n">
        <v>7.55</v>
      </c>
      <c r="P51" s="25" t="n">
        <f aca="false">N51*O51</f>
        <v>302</v>
      </c>
      <c r="Q51" s="23" t="s">
        <v>3105</v>
      </c>
      <c r="R51" s="23" t="s">
        <v>2804</v>
      </c>
      <c r="S51" s="24" t="n">
        <v>40</v>
      </c>
      <c r="T51" s="25" t="n">
        <v>7.55</v>
      </c>
      <c r="U51" s="25" t="n">
        <v>302</v>
      </c>
      <c r="V51" s="25" t="n">
        <f aca="false">P51-U51</f>
        <v>0</v>
      </c>
      <c r="W51" s="25" t="n">
        <f aca="false">V51*12</f>
        <v>0</v>
      </c>
      <c r="X51" s="23" t="str">
        <f aca="false">IF(Q51="","MISSING FROM EXPORT",IF(ABS(V51)&lt;0.005,"CLEAR",IF(V51&gt;0,"UNDERBILLING","OVERBILLING")))</f>
        <v>CLEAR</v>
      </c>
      <c r="Y51" s="25" t="n">
        <f aca="false">IF(F51="COMMERCIAL",ROUND(P51*0.35,2),0)</f>
        <v>0</v>
      </c>
      <c r="Z51" s="23" t="str">
        <f aca="false">IF(F51="COMMERCIAL","VERIFY SIGNED AGREEMENT","NO EXCEPTION")</f>
        <v>NO EXCEPTION</v>
      </c>
      <c r="AA51" s="23" t="str">
        <f aca="false">IF(AND(C51="covered",N51&gt;40),"COVERED &gt;40 FT","")</f>
        <v/>
      </c>
      <c r="AB51" s="23" t="s">
        <v>3106</v>
      </c>
      <c r="AC51" s="23" t="s">
        <v>3107</v>
      </c>
      <c r="AD51" s="23" t="s">
        <v>2807</v>
      </c>
    </row>
    <row r="52" customFormat="false" ht="17.9" hidden="false" customHeight="false" outlineLevel="0" collapsed="false">
      <c r="A52" s="20" t="s">
        <v>204</v>
      </c>
      <c r="B52" s="20" t="s">
        <v>109</v>
      </c>
      <c r="C52" s="20" t="s">
        <v>2798</v>
      </c>
      <c r="D52" s="20" t="s">
        <v>3108</v>
      </c>
      <c r="E52" s="20" t="s">
        <v>3109</v>
      </c>
      <c r="F52" s="20" t="s">
        <v>2833</v>
      </c>
      <c r="G52" s="20" t="s">
        <v>3110</v>
      </c>
      <c r="H52" s="22" t="n">
        <v>39.1</v>
      </c>
      <c r="I52" s="22" t="n">
        <v>39.1</v>
      </c>
      <c r="J52" s="22" t="n">
        <f aca="false">H52-I52</f>
        <v>0</v>
      </c>
      <c r="K52" s="20" t="str">
        <f aca="false">IF(ABS(J52)&lt;0.001,"MATCH - PAPER CHECK-IN NOT SUPPLIED","DATA MISMATCH")</f>
        <v>MATCH - PAPER CHECK-IN NOT SUPPLIED</v>
      </c>
      <c r="L52" s="22" t="n">
        <v>36</v>
      </c>
      <c r="M52" s="22" t="n">
        <f aca="false">ROUNDUP(H52,0)</f>
        <v>40</v>
      </c>
      <c r="N52" s="24" t="n">
        <f aca="false">MAX(L52,M52)</f>
        <v>40</v>
      </c>
      <c r="O52" s="25" t="n">
        <v>7.55</v>
      </c>
      <c r="P52" s="25" t="n">
        <f aca="false">N52*O52</f>
        <v>302</v>
      </c>
      <c r="Q52" s="23" t="s">
        <v>3111</v>
      </c>
      <c r="R52" s="23" t="s">
        <v>2804</v>
      </c>
      <c r="S52" s="24" t="n">
        <v>40</v>
      </c>
      <c r="T52" s="25" t="n">
        <v>7.55</v>
      </c>
      <c r="U52" s="25" t="n">
        <v>302</v>
      </c>
      <c r="V52" s="25" t="n">
        <f aca="false">P52-U52</f>
        <v>0</v>
      </c>
      <c r="W52" s="25" t="n">
        <f aca="false">V52*12</f>
        <v>0</v>
      </c>
      <c r="X52" s="23" t="str">
        <f aca="false">IF(Q52="","MISSING FROM EXPORT",IF(ABS(V52)&lt;0.005,"CLEAR",IF(V52&gt;0,"UNDERBILLING","OVERBILLING")))</f>
        <v>CLEAR</v>
      </c>
      <c r="Y52" s="25" t="n">
        <f aca="false">IF(F52="COMMERCIAL",ROUND(P52*0.35,2),0)</f>
        <v>0</v>
      </c>
      <c r="Z52" s="23" t="str">
        <f aca="false">IF(F52="COMMERCIAL","VERIFY SIGNED AGREEMENT","NO EXCEPTION")</f>
        <v>NO EXCEPTION</v>
      </c>
      <c r="AA52" s="23" t="str">
        <f aca="false">IF(AND(C52="covered",N52&gt;40),"COVERED &gt;40 FT","")</f>
        <v/>
      </c>
      <c r="AB52" s="23" t="s">
        <v>3112</v>
      </c>
      <c r="AC52" s="23" t="s">
        <v>3113</v>
      </c>
      <c r="AD52" s="23" t="s">
        <v>2807</v>
      </c>
    </row>
    <row r="53" customFormat="false" ht="17.9" hidden="false" customHeight="false" outlineLevel="0" collapsed="false">
      <c r="A53" s="20" t="s">
        <v>3114</v>
      </c>
      <c r="B53" s="20" t="s">
        <v>109</v>
      </c>
      <c r="C53" s="20" t="s">
        <v>2798</v>
      </c>
      <c r="D53" s="20" t="s">
        <v>3115</v>
      </c>
      <c r="E53" s="20" t="s">
        <v>3116</v>
      </c>
      <c r="F53" s="20" t="s">
        <v>2833</v>
      </c>
      <c r="G53" s="20" t="s">
        <v>3117</v>
      </c>
      <c r="H53" s="22" t="n">
        <v>61.9</v>
      </c>
      <c r="I53" s="22" t="n">
        <v>61.9</v>
      </c>
      <c r="J53" s="22" t="n">
        <f aca="false">H53-I53</f>
        <v>0</v>
      </c>
      <c r="K53" s="20" t="str">
        <f aca="false">IF(ABS(J53)&lt;0.001,"MATCH - PAPER CHECK-IN NOT SUPPLIED","DATA MISMATCH")</f>
        <v>MATCH - PAPER CHECK-IN NOT SUPPLIED</v>
      </c>
      <c r="L53" s="22" t="n">
        <v>40</v>
      </c>
      <c r="M53" s="22" t="n">
        <f aca="false">ROUNDUP(H53,0)</f>
        <v>62</v>
      </c>
      <c r="N53" s="24" t="n">
        <f aca="false">MAX(L53,M53)</f>
        <v>62</v>
      </c>
      <c r="O53" s="25" t="n">
        <v>7.55</v>
      </c>
      <c r="P53" s="25" t="n">
        <f aca="false">N53*O53</f>
        <v>468.1</v>
      </c>
      <c r="Q53" s="23" t="s">
        <v>3118</v>
      </c>
      <c r="R53" s="23" t="s">
        <v>2804</v>
      </c>
      <c r="S53" s="24" t="n">
        <v>62</v>
      </c>
      <c r="T53" s="25" t="n">
        <v>7.55</v>
      </c>
      <c r="U53" s="25" t="n">
        <v>468.1</v>
      </c>
      <c r="V53" s="25" t="n">
        <f aca="false">P53-U53</f>
        <v>0</v>
      </c>
      <c r="W53" s="25" t="n">
        <f aca="false">V53*12</f>
        <v>0</v>
      </c>
      <c r="X53" s="23" t="str">
        <f aca="false">IF(Q53="","MISSING FROM EXPORT",IF(ABS(V53)&lt;0.005,"CLEAR",IF(V53&gt;0,"UNDERBILLING","OVERBILLING")))</f>
        <v>CLEAR</v>
      </c>
      <c r="Y53" s="25" t="n">
        <f aca="false">IF(F53="COMMERCIAL",ROUND(P53*0.35,2),0)</f>
        <v>0</v>
      </c>
      <c r="Z53" s="23" t="str">
        <f aca="false">IF(F53="COMMERCIAL","VERIFY SIGNED AGREEMENT","NO EXCEPTION")</f>
        <v>NO EXCEPTION</v>
      </c>
      <c r="AA53" s="23" t="str">
        <f aca="false">IF(AND(C53="covered",N53&gt;40),"COVERED &gt;40 FT","")</f>
        <v/>
      </c>
      <c r="AB53" s="23" t="s">
        <v>3119</v>
      </c>
      <c r="AC53" s="23" t="s">
        <v>3120</v>
      </c>
      <c r="AD53" s="23" t="s">
        <v>2807</v>
      </c>
    </row>
    <row r="54" customFormat="false" ht="17.9" hidden="false" customHeight="false" outlineLevel="0" collapsed="false">
      <c r="A54" s="20" t="s">
        <v>798</v>
      </c>
      <c r="B54" s="20" t="s">
        <v>109</v>
      </c>
      <c r="C54" s="20" t="s">
        <v>2798</v>
      </c>
      <c r="D54" s="20" t="s">
        <v>3121</v>
      </c>
      <c r="E54" s="20" t="s">
        <v>3122</v>
      </c>
      <c r="F54" s="20" t="s">
        <v>2818</v>
      </c>
      <c r="G54" s="20" t="s">
        <v>3123</v>
      </c>
      <c r="H54" s="22" t="n">
        <v>21</v>
      </c>
      <c r="I54" s="22" t="n">
        <v>21</v>
      </c>
      <c r="J54" s="22" t="n">
        <f aca="false">H54-I54</f>
        <v>0</v>
      </c>
      <c r="K54" s="20" t="str">
        <f aca="false">IF(ABS(J54)&lt;0.001,"MATCH - PAPER CHECK-IN NOT SUPPLIED","DATA MISMATCH")</f>
        <v>MATCH - PAPER CHECK-IN NOT SUPPLIED</v>
      </c>
      <c r="L54" s="22" t="n">
        <v>50</v>
      </c>
      <c r="M54" s="22" t="n">
        <f aca="false">ROUNDUP(H54,0)</f>
        <v>21</v>
      </c>
      <c r="N54" s="24" t="n">
        <f aca="false">MAX(L54,M54)</f>
        <v>50</v>
      </c>
      <c r="O54" s="25" t="n">
        <v>7.55</v>
      </c>
      <c r="P54" s="25" t="n">
        <f aca="false">N54*O54</f>
        <v>377.5</v>
      </c>
      <c r="Q54" s="23" t="s">
        <v>3124</v>
      </c>
      <c r="R54" s="23" t="s">
        <v>2804</v>
      </c>
      <c r="S54" s="24" t="n">
        <v>50</v>
      </c>
      <c r="T54" s="25" t="n">
        <v>7.55</v>
      </c>
      <c r="U54" s="25" t="n">
        <v>377.5</v>
      </c>
      <c r="V54" s="25" t="n">
        <f aca="false">P54-U54</f>
        <v>0</v>
      </c>
      <c r="W54" s="25" t="n">
        <f aca="false">V54*12</f>
        <v>0</v>
      </c>
      <c r="X54" s="23" t="str">
        <f aca="false">IF(Q54="","MISSING FROM EXPORT",IF(ABS(V54)&lt;0.005,"CLEAR",IF(V54&gt;0,"UNDERBILLING","OVERBILLING")))</f>
        <v>CLEAR</v>
      </c>
      <c r="Y54" s="25" t="n">
        <f aca="false">IF(F54="COMMERCIAL",ROUND(P54*0.35,2),0)</f>
        <v>0</v>
      </c>
      <c r="Z54" s="23" t="str">
        <f aca="false">IF(F54="COMMERCIAL","VERIFY SIGNED AGREEMENT","NO EXCEPTION")</f>
        <v>NO EXCEPTION</v>
      </c>
      <c r="AA54" s="23" t="str">
        <f aca="false">IF(AND(C54="covered",N54&gt;40),"COVERED &gt;40 FT","")</f>
        <v/>
      </c>
      <c r="AB54" s="23" t="s">
        <v>3125</v>
      </c>
      <c r="AC54" s="23" t="s">
        <v>3126</v>
      </c>
      <c r="AD54" s="23" t="s">
        <v>2807</v>
      </c>
    </row>
    <row r="55" customFormat="false" ht="17.9" hidden="false" customHeight="false" outlineLevel="0" collapsed="false">
      <c r="A55" s="20" t="s">
        <v>3127</v>
      </c>
      <c r="B55" s="20" t="s">
        <v>109</v>
      </c>
      <c r="C55" s="20" t="s">
        <v>2798</v>
      </c>
      <c r="D55" s="20" t="s">
        <v>3128</v>
      </c>
      <c r="E55" s="20" t="s">
        <v>3129</v>
      </c>
      <c r="F55" s="20" t="s">
        <v>2810</v>
      </c>
      <c r="G55" s="20" t="s">
        <v>3130</v>
      </c>
      <c r="H55" s="22" t="n">
        <v>19.3</v>
      </c>
      <c r="I55" s="22" t="n">
        <v>19.3</v>
      </c>
      <c r="J55" s="22" t="n">
        <f aca="false">H55-I55</f>
        <v>0</v>
      </c>
      <c r="K55" s="20" t="str">
        <f aca="false">IF(ABS(J55)&lt;0.001,"MATCH - PAPER CHECK-IN NOT SUPPLIED","DATA MISMATCH")</f>
        <v>MATCH - PAPER CHECK-IN NOT SUPPLIED</v>
      </c>
      <c r="L55" s="22" t="n">
        <v>70</v>
      </c>
      <c r="M55" s="22" t="n">
        <f aca="false">ROUNDUP(H55,0)</f>
        <v>20</v>
      </c>
      <c r="N55" s="24" t="n">
        <f aca="false">MAX(L55,M55)</f>
        <v>70</v>
      </c>
      <c r="O55" s="25" t="n">
        <v>7.55</v>
      </c>
      <c r="P55" s="25" t="n">
        <f aca="false">N55*O55</f>
        <v>528.5</v>
      </c>
      <c r="Q55" s="23" t="s">
        <v>3131</v>
      </c>
      <c r="R55" s="23" t="s">
        <v>2804</v>
      </c>
      <c r="S55" s="24" t="n">
        <v>70</v>
      </c>
      <c r="T55" s="25" t="n">
        <v>7.55</v>
      </c>
      <c r="U55" s="25" t="n">
        <v>528.5</v>
      </c>
      <c r="V55" s="25" t="n">
        <f aca="false">P55-U55</f>
        <v>0</v>
      </c>
      <c r="W55" s="25" t="n">
        <f aca="false">V55*12</f>
        <v>0</v>
      </c>
      <c r="X55" s="23" t="str">
        <f aca="false">IF(Q55="","MISSING FROM EXPORT",IF(ABS(V55)&lt;0.005,"CLEAR",IF(V55&gt;0,"UNDERBILLING","OVERBILLING")))</f>
        <v>CLEAR</v>
      </c>
      <c r="Y55" s="25" t="n">
        <f aca="false">IF(F55="COMMERCIAL",ROUND(P55*0.35,2),0)</f>
        <v>0</v>
      </c>
      <c r="Z55" s="23" t="str">
        <f aca="false">IF(F55="COMMERCIAL","VERIFY SIGNED AGREEMENT","NO EXCEPTION")</f>
        <v>NO EXCEPTION</v>
      </c>
      <c r="AA55" s="23" t="str">
        <f aca="false">IF(AND(C55="covered",N55&gt;40),"COVERED &gt;40 FT","")</f>
        <v/>
      </c>
      <c r="AB55" s="23" t="s">
        <v>3132</v>
      </c>
      <c r="AC55" s="23" t="s">
        <v>3133</v>
      </c>
      <c r="AD55" s="23" t="s">
        <v>2807</v>
      </c>
    </row>
    <row r="56" customFormat="false" ht="17.9" hidden="false" customHeight="false" outlineLevel="0" collapsed="false">
      <c r="A56" s="20" t="s">
        <v>3134</v>
      </c>
      <c r="B56" s="20" t="s">
        <v>109</v>
      </c>
      <c r="C56" s="20" t="s">
        <v>2798</v>
      </c>
      <c r="D56" s="20" t="s">
        <v>3135</v>
      </c>
      <c r="E56" s="20" t="s">
        <v>3136</v>
      </c>
      <c r="F56" s="20" t="s">
        <v>2934</v>
      </c>
      <c r="G56" s="20" t="s">
        <v>3137</v>
      </c>
      <c r="H56" s="22" t="n">
        <v>26.7</v>
      </c>
      <c r="I56" s="22" t="n">
        <v>26.7</v>
      </c>
      <c r="J56" s="22" t="n">
        <f aca="false">H56-I56</f>
        <v>0</v>
      </c>
      <c r="K56" s="20" t="str">
        <f aca="false">IF(ABS(J56)&lt;0.001,"MATCH - PAPER CHECK-IN NOT SUPPLIED","DATA MISMATCH")</f>
        <v>MATCH - PAPER CHECK-IN NOT SUPPLIED</v>
      </c>
      <c r="L56" s="22" t="n">
        <v>28</v>
      </c>
      <c r="M56" s="22" t="n">
        <f aca="false">ROUNDUP(H56,0)</f>
        <v>27</v>
      </c>
      <c r="N56" s="24" t="n">
        <f aca="false">MAX(L56,M56)</f>
        <v>28</v>
      </c>
      <c r="O56" s="25" t="n">
        <v>7.55</v>
      </c>
      <c r="P56" s="25" t="n">
        <f aca="false">N56*O56</f>
        <v>211.4</v>
      </c>
      <c r="Q56" s="23" t="s">
        <v>3138</v>
      </c>
      <c r="R56" s="23" t="s">
        <v>2804</v>
      </c>
      <c r="S56" s="24" t="n">
        <v>28</v>
      </c>
      <c r="T56" s="25" t="n">
        <v>7.55</v>
      </c>
      <c r="U56" s="25" t="n">
        <v>211.4</v>
      </c>
      <c r="V56" s="25" t="n">
        <f aca="false">P56-U56</f>
        <v>0</v>
      </c>
      <c r="W56" s="25" t="n">
        <f aca="false">V56*12</f>
        <v>0</v>
      </c>
      <c r="X56" s="23" t="str">
        <f aca="false">IF(Q56="","MISSING FROM EXPORT",IF(ABS(V56)&lt;0.005,"CLEAR",IF(V56&gt;0,"UNDERBILLING","OVERBILLING")))</f>
        <v>CLEAR</v>
      </c>
      <c r="Y56" s="25" t="n">
        <f aca="false">IF(F56="COMMERCIAL",ROUND(P56*0.35,2),0)</f>
        <v>73.99</v>
      </c>
      <c r="Z56" s="23" t="str">
        <f aca="false">IF(F56="COMMERCIAL","VERIFY SIGNED AGREEMENT","NO EXCEPTION")</f>
        <v>VERIFY SIGNED AGREEMENT</v>
      </c>
      <c r="AA56" s="23" t="str">
        <f aca="false">IF(AND(C56="covered",N56&gt;40),"COVERED &gt;40 FT","")</f>
        <v/>
      </c>
      <c r="AB56" s="23" t="s">
        <v>3139</v>
      </c>
      <c r="AC56" s="23" t="s">
        <v>3140</v>
      </c>
      <c r="AD56" s="23" t="s">
        <v>2807</v>
      </c>
    </row>
    <row r="57" customFormat="false" ht="17.9" hidden="false" customHeight="false" outlineLevel="0" collapsed="false">
      <c r="A57" s="20" t="s">
        <v>3141</v>
      </c>
      <c r="B57" s="20" t="s">
        <v>109</v>
      </c>
      <c r="C57" s="20" t="s">
        <v>2798</v>
      </c>
      <c r="D57" s="20" t="s">
        <v>3142</v>
      </c>
      <c r="E57" s="20" t="s">
        <v>3143</v>
      </c>
      <c r="F57" s="20" t="s">
        <v>2869</v>
      </c>
      <c r="G57" s="20" t="s">
        <v>3144</v>
      </c>
      <c r="H57" s="22" t="n">
        <v>43.4</v>
      </c>
      <c r="I57" s="22" t="n">
        <v>43.4</v>
      </c>
      <c r="J57" s="22" t="n">
        <f aca="false">H57-I57</f>
        <v>0</v>
      </c>
      <c r="K57" s="20" t="str">
        <f aca="false">IF(ABS(J57)&lt;0.001,"MATCH - PAPER CHECK-IN NOT SUPPLIED","DATA MISMATCH")</f>
        <v>MATCH - PAPER CHECK-IN NOT SUPPLIED</v>
      </c>
      <c r="L57" s="22" t="n">
        <v>50</v>
      </c>
      <c r="M57" s="22" t="n">
        <f aca="false">ROUNDUP(H57,0)</f>
        <v>44</v>
      </c>
      <c r="N57" s="24" t="n">
        <f aca="false">MAX(L57,M57)</f>
        <v>50</v>
      </c>
      <c r="O57" s="25" t="n">
        <v>7.55</v>
      </c>
      <c r="P57" s="25" t="n">
        <f aca="false">N57*O57</f>
        <v>377.5</v>
      </c>
      <c r="Q57" s="23" t="s">
        <v>3145</v>
      </c>
      <c r="R57" s="23" t="s">
        <v>2804</v>
      </c>
      <c r="S57" s="24" t="n">
        <v>50</v>
      </c>
      <c r="T57" s="25" t="n">
        <v>7.55</v>
      </c>
      <c r="U57" s="25" t="n">
        <v>377.5</v>
      </c>
      <c r="V57" s="25" t="n">
        <f aca="false">P57-U57</f>
        <v>0</v>
      </c>
      <c r="W57" s="25" t="n">
        <f aca="false">V57*12</f>
        <v>0</v>
      </c>
      <c r="X57" s="23" t="str">
        <f aca="false">IF(Q57="","MISSING FROM EXPORT",IF(ABS(V57)&lt;0.005,"CLEAR",IF(V57&gt;0,"UNDERBILLING","OVERBILLING")))</f>
        <v>CLEAR</v>
      </c>
      <c r="Y57" s="25" t="n">
        <f aca="false">IF(F57="COMMERCIAL",ROUND(P57*0.35,2),0)</f>
        <v>0</v>
      </c>
      <c r="Z57" s="23" t="str">
        <f aca="false">IF(F57="COMMERCIAL","VERIFY SIGNED AGREEMENT","NO EXCEPTION")</f>
        <v>NO EXCEPTION</v>
      </c>
      <c r="AA57" s="23" t="str">
        <f aca="false">IF(AND(C57="covered",N57&gt;40),"COVERED &gt;40 FT","")</f>
        <v/>
      </c>
      <c r="AB57" s="23" t="s">
        <v>3146</v>
      </c>
      <c r="AC57" s="23" t="s">
        <v>3147</v>
      </c>
      <c r="AD57" s="23" t="s">
        <v>2807</v>
      </c>
    </row>
    <row r="58" customFormat="false" ht="17.9" hidden="false" customHeight="false" outlineLevel="0" collapsed="false">
      <c r="A58" s="20" t="s">
        <v>3148</v>
      </c>
      <c r="B58" s="20" t="s">
        <v>109</v>
      </c>
      <c r="C58" s="20" t="s">
        <v>2798</v>
      </c>
      <c r="D58" s="20" t="s">
        <v>3149</v>
      </c>
      <c r="E58" s="20" t="s">
        <v>3150</v>
      </c>
      <c r="F58" s="20" t="s">
        <v>2833</v>
      </c>
      <c r="G58" s="20" t="s">
        <v>3151</v>
      </c>
      <c r="H58" s="22" t="n">
        <v>22.3</v>
      </c>
      <c r="I58" s="22" t="n">
        <v>22.3</v>
      </c>
      <c r="J58" s="22" t="n">
        <f aca="false">H58-I58</f>
        <v>0</v>
      </c>
      <c r="K58" s="20" t="str">
        <f aca="false">IF(ABS(J58)&lt;0.001,"MATCH - PAPER CHECK-IN NOT SUPPLIED","DATA MISMATCH")</f>
        <v>MATCH - PAPER CHECK-IN NOT SUPPLIED</v>
      </c>
      <c r="L58" s="22" t="n">
        <v>32</v>
      </c>
      <c r="M58" s="22" t="n">
        <f aca="false">ROUNDUP(H58,0)</f>
        <v>23</v>
      </c>
      <c r="N58" s="24" t="n">
        <f aca="false">MAX(L58,M58)</f>
        <v>32</v>
      </c>
      <c r="O58" s="25" t="n">
        <v>7.55</v>
      </c>
      <c r="P58" s="25" t="n">
        <f aca="false">N58*O58</f>
        <v>241.6</v>
      </c>
      <c r="Q58" s="23" t="s">
        <v>3152</v>
      </c>
      <c r="R58" s="23" t="s">
        <v>2804</v>
      </c>
      <c r="S58" s="24" t="n">
        <v>32</v>
      </c>
      <c r="T58" s="25" t="n">
        <v>7.55</v>
      </c>
      <c r="U58" s="25" t="n">
        <v>241.6</v>
      </c>
      <c r="V58" s="25" t="n">
        <f aca="false">P58-U58</f>
        <v>0</v>
      </c>
      <c r="W58" s="25" t="n">
        <f aca="false">V58*12</f>
        <v>0</v>
      </c>
      <c r="X58" s="23" t="str">
        <f aca="false">IF(Q58="","MISSING FROM EXPORT",IF(ABS(V58)&lt;0.005,"CLEAR",IF(V58&gt;0,"UNDERBILLING","OVERBILLING")))</f>
        <v>CLEAR</v>
      </c>
      <c r="Y58" s="25" t="n">
        <f aca="false">IF(F58="COMMERCIAL",ROUND(P58*0.35,2),0)</f>
        <v>0</v>
      </c>
      <c r="Z58" s="23" t="str">
        <f aca="false">IF(F58="COMMERCIAL","VERIFY SIGNED AGREEMENT","NO EXCEPTION")</f>
        <v>NO EXCEPTION</v>
      </c>
      <c r="AA58" s="23" t="str">
        <f aca="false">IF(AND(C58="covered",N58&gt;40),"COVERED &gt;40 FT","")</f>
        <v/>
      </c>
      <c r="AB58" s="23" t="s">
        <v>3153</v>
      </c>
      <c r="AC58" s="23" t="s">
        <v>3154</v>
      </c>
      <c r="AD58" s="23" t="s">
        <v>2807</v>
      </c>
    </row>
    <row r="59" customFormat="false" ht="17.9" hidden="false" customHeight="false" outlineLevel="0" collapsed="false">
      <c r="A59" s="20" t="s">
        <v>3155</v>
      </c>
      <c r="B59" s="20" t="s">
        <v>109</v>
      </c>
      <c r="C59" s="20" t="s">
        <v>2798</v>
      </c>
      <c r="D59" s="20" t="s">
        <v>3156</v>
      </c>
      <c r="E59" s="20" t="s">
        <v>3157</v>
      </c>
      <c r="F59" s="20" t="s">
        <v>2833</v>
      </c>
      <c r="G59" s="20" t="s">
        <v>3158</v>
      </c>
      <c r="H59" s="22" t="n">
        <v>30.1</v>
      </c>
      <c r="I59" s="22" t="n">
        <v>30.1</v>
      </c>
      <c r="J59" s="22" t="n">
        <f aca="false">H59-I59</f>
        <v>0</v>
      </c>
      <c r="K59" s="20" t="str">
        <f aca="false">IF(ABS(J59)&lt;0.001,"MATCH - PAPER CHECK-IN NOT SUPPLIED","DATA MISMATCH")</f>
        <v>MATCH - PAPER CHECK-IN NOT SUPPLIED</v>
      </c>
      <c r="L59" s="22" t="n">
        <v>28</v>
      </c>
      <c r="M59" s="22" t="n">
        <f aca="false">ROUNDUP(H59,0)</f>
        <v>31</v>
      </c>
      <c r="N59" s="24" t="n">
        <f aca="false">MAX(L59,M59)</f>
        <v>31</v>
      </c>
      <c r="O59" s="25" t="n">
        <v>7.55</v>
      </c>
      <c r="P59" s="25" t="n">
        <f aca="false">N59*O59</f>
        <v>234.05</v>
      </c>
      <c r="Q59" s="23" t="s">
        <v>3159</v>
      </c>
      <c r="R59" s="23" t="s">
        <v>2804</v>
      </c>
      <c r="S59" s="24" t="n">
        <v>31</v>
      </c>
      <c r="T59" s="25" t="n">
        <v>7.55</v>
      </c>
      <c r="U59" s="25" t="n">
        <v>234.05</v>
      </c>
      <c r="V59" s="25" t="n">
        <f aca="false">P59-U59</f>
        <v>0</v>
      </c>
      <c r="W59" s="25" t="n">
        <f aca="false">V59*12</f>
        <v>0</v>
      </c>
      <c r="X59" s="23" t="str">
        <f aca="false">IF(Q59="","MISSING FROM EXPORT",IF(ABS(V59)&lt;0.005,"CLEAR",IF(V59&gt;0,"UNDERBILLING","OVERBILLING")))</f>
        <v>CLEAR</v>
      </c>
      <c r="Y59" s="25" t="n">
        <f aca="false">IF(F59="COMMERCIAL",ROUND(P59*0.35,2),0)</f>
        <v>0</v>
      </c>
      <c r="Z59" s="23" t="str">
        <f aca="false">IF(F59="COMMERCIAL","VERIFY SIGNED AGREEMENT","NO EXCEPTION")</f>
        <v>NO EXCEPTION</v>
      </c>
      <c r="AA59" s="23" t="str">
        <f aca="false">IF(AND(C59="covered",N59&gt;40),"COVERED &gt;40 FT","")</f>
        <v/>
      </c>
      <c r="AB59" s="23" t="s">
        <v>3160</v>
      </c>
      <c r="AC59" s="23" t="s">
        <v>3161</v>
      </c>
      <c r="AD59" s="23" t="s">
        <v>2807</v>
      </c>
    </row>
    <row r="60" customFormat="false" ht="17.9" hidden="false" customHeight="false" outlineLevel="0" collapsed="false">
      <c r="A60" s="20" t="s">
        <v>3162</v>
      </c>
      <c r="B60" s="20" t="s">
        <v>109</v>
      </c>
      <c r="C60" s="20" t="s">
        <v>2798</v>
      </c>
      <c r="D60" s="20" t="s">
        <v>3163</v>
      </c>
      <c r="E60" s="20" t="s">
        <v>3164</v>
      </c>
      <c r="F60" s="20" t="s">
        <v>2810</v>
      </c>
      <c r="G60" s="20" t="s">
        <v>3165</v>
      </c>
      <c r="H60" s="22" t="n">
        <v>21.8</v>
      </c>
      <c r="I60" s="22" t="n">
        <v>21.8</v>
      </c>
      <c r="J60" s="22" t="n">
        <f aca="false">H60-I60</f>
        <v>0</v>
      </c>
      <c r="K60" s="20" t="str">
        <f aca="false">IF(ABS(J60)&lt;0.001,"MATCH - PAPER CHECK-IN NOT SUPPLIED","DATA MISMATCH")</f>
        <v>MATCH - PAPER CHECK-IN NOT SUPPLIED</v>
      </c>
      <c r="L60" s="22" t="n">
        <v>50</v>
      </c>
      <c r="M60" s="22" t="n">
        <f aca="false">ROUNDUP(H60,0)</f>
        <v>22</v>
      </c>
      <c r="N60" s="24" t="n">
        <f aca="false">MAX(L60,M60)</f>
        <v>50</v>
      </c>
      <c r="O60" s="25" t="n">
        <v>7.55</v>
      </c>
      <c r="P60" s="25" t="n">
        <f aca="false">N60*O60</f>
        <v>377.5</v>
      </c>
      <c r="Q60" s="23" t="s">
        <v>3166</v>
      </c>
      <c r="R60" s="23" t="s">
        <v>2804</v>
      </c>
      <c r="S60" s="24" t="n">
        <v>50</v>
      </c>
      <c r="T60" s="25" t="n">
        <v>7.55</v>
      </c>
      <c r="U60" s="25" t="n">
        <v>377.5</v>
      </c>
      <c r="V60" s="25" t="n">
        <f aca="false">P60-U60</f>
        <v>0</v>
      </c>
      <c r="W60" s="25" t="n">
        <f aca="false">V60*12</f>
        <v>0</v>
      </c>
      <c r="X60" s="23" t="str">
        <f aca="false">IF(Q60="","MISSING FROM EXPORT",IF(ABS(V60)&lt;0.005,"CLEAR",IF(V60&gt;0,"UNDERBILLING","OVERBILLING")))</f>
        <v>CLEAR</v>
      </c>
      <c r="Y60" s="25" t="n">
        <f aca="false">IF(F60="COMMERCIAL",ROUND(P60*0.35,2),0)</f>
        <v>0</v>
      </c>
      <c r="Z60" s="23" t="str">
        <f aca="false">IF(F60="COMMERCIAL","VERIFY SIGNED AGREEMENT","NO EXCEPTION")</f>
        <v>NO EXCEPTION</v>
      </c>
      <c r="AA60" s="23" t="str">
        <f aca="false">IF(AND(C60="covered",N60&gt;40),"COVERED &gt;40 FT","")</f>
        <v/>
      </c>
      <c r="AB60" s="23" t="s">
        <v>3167</v>
      </c>
      <c r="AC60" s="23" t="s">
        <v>3168</v>
      </c>
      <c r="AD60" s="23" t="s">
        <v>2807</v>
      </c>
    </row>
    <row r="61" customFormat="false" ht="17.9" hidden="false" customHeight="false" outlineLevel="0" collapsed="false">
      <c r="A61" s="20" t="s">
        <v>3169</v>
      </c>
      <c r="B61" s="20" t="s">
        <v>109</v>
      </c>
      <c r="C61" s="20" t="s">
        <v>2798</v>
      </c>
      <c r="D61" s="20" t="s">
        <v>3170</v>
      </c>
      <c r="E61" s="20" t="s">
        <v>3171</v>
      </c>
      <c r="F61" s="20" t="s">
        <v>2833</v>
      </c>
      <c r="G61" s="20" t="s">
        <v>3172</v>
      </c>
      <c r="H61" s="22" t="n">
        <v>32.5</v>
      </c>
      <c r="I61" s="22" t="n">
        <v>32.5</v>
      </c>
      <c r="J61" s="22" t="n">
        <f aca="false">H61-I61</f>
        <v>0</v>
      </c>
      <c r="K61" s="20" t="str">
        <f aca="false">IF(ABS(J61)&lt;0.001,"MATCH - PAPER CHECK-IN NOT SUPPLIED","DATA MISMATCH")</f>
        <v>MATCH - PAPER CHECK-IN NOT SUPPLIED</v>
      </c>
      <c r="L61" s="22" t="n">
        <v>32</v>
      </c>
      <c r="M61" s="22" t="n">
        <f aca="false">ROUNDUP(H61,0)</f>
        <v>33</v>
      </c>
      <c r="N61" s="24" t="n">
        <f aca="false">MAX(L61,M61)</f>
        <v>33</v>
      </c>
      <c r="O61" s="25" t="n">
        <v>7.55</v>
      </c>
      <c r="P61" s="25" t="n">
        <f aca="false">N61*O61</f>
        <v>249.15</v>
      </c>
      <c r="Q61" s="23" t="s">
        <v>3173</v>
      </c>
      <c r="R61" s="23" t="s">
        <v>2804</v>
      </c>
      <c r="S61" s="24" t="n">
        <v>33</v>
      </c>
      <c r="T61" s="25" t="n">
        <v>7.55</v>
      </c>
      <c r="U61" s="25" t="n">
        <v>249.15</v>
      </c>
      <c r="V61" s="25" t="n">
        <f aca="false">P61-U61</f>
        <v>0</v>
      </c>
      <c r="W61" s="25" t="n">
        <f aca="false">V61*12</f>
        <v>0</v>
      </c>
      <c r="X61" s="23" t="str">
        <f aca="false">IF(Q61="","MISSING FROM EXPORT",IF(ABS(V61)&lt;0.005,"CLEAR",IF(V61&gt;0,"UNDERBILLING","OVERBILLING")))</f>
        <v>CLEAR</v>
      </c>
      <c r="Y61" s="25" t="n">
        <f aca="false">IF(F61="COMMERCIAL",ROUND(P61*0.35,2),0)</f>
        <v>0</v>
      </c>
      <c r="Z61" s="23" t="str">
        <f aca="false">IF(F61="COMMERCIAL","VERIFY SIGNED AGREEMENT","NO EXCEPTION")</f>
        <v>NO EXCEPTION</v>
      </c>
      <c r="AA61" s="23" t="str">
        <f aca="false">IF(AND(C61="covered",N61&gt;40),"COVERED &gt;40 FT","")</f>
        <v/>
      </c>
      <c r="AB61" s="23" t="s">
        <v>3174</v>
      </c>
      <c r="AC61" s="23" t="s">
        <v>3175</v>
      </c>
      <c r="AD61" s="23" t="s">
        <v>2807</v>
      </c>
    </row>
    <row r="62" customFormat="false" ht="17.9" hidden="false" customHeight="false" outlineLevel="0" collapsed="false">
      <c r="A62" s="20" t="s">
        <v>3176</v>
      </c>
      <c r="B62" s="20" t="s">
        <v>109</v>
      </c>
      <c r="C62" s="20" t="s">
        <v>2798</v>
      </c>
      <c r="D62" s="20" t="s">
        <v>3177</v>
      </c>
      <c r="E62" s="20" t="s">
        <v>3178</v>
      </c>
      <c r="F62" s="20" t="s">
        <v>2934</v>
      </c>
      <c r="G62" s="20" t="s">
        <v>3179</v>
      </c>
      <c r="H62" s="22" t="n">
        <v>43.2</v>
      </c>
      <c r="I62" s="22" t="n">
        <v>43.2</v>
      </c>
      <c r="J62" s="22" t="n">
        <f aca="false">H62-I62</f>
        <v>0</v>
      </c>
      <c r="K62" s="20" t="str">
        <f aca="false">IF(ABS(J62)&lt;0.001,"MATCH - PAPER CHECK-IN NOT SUPPLIED","DATA MISMATCH")</f>
        <v>MATCH - PAPER CHECK-IN NOT SUPPLIED</v>
      </c>
      <c r="L62" s="22" t="n">
        <v>24</v>
      </c>
      <c r="M62" s="22" t="n">
        <f aca="false">ROUNDUP(H62,0)</f>
        <v>44</v>
      </c>
      <c r="N62" s="24" t="n">
        <f aca="false">MAX(L62,M62)</f>
        <v>44</v>
      </c>
      <c r="O62" s="25" t="n">
        <v>7.55</v>
      </c>
      <c r="P62" s="25" t="n">
        <f aca="false">N62*O62</f>
        <v>332.2</v>
      </c>
      <c r="Q62" s="23" t="s">
        <v>3180</v>
      </c>
      <c r="R62" s="23" t="s">
        <v>2804</v>
      </c>
      <c r="S62" s="24" t="n">
        <v>44</v>
      </c>
      <c r="T62" s="25" t="n">
        <v>7.55</v>
      </c>
      <c r="U62" s="25" t="n">
        <v>332.2</v>
      </c>
      <c r="V62" s="25" t="n">
        <f aca="false">P62-U62</f>
        <v>0</v>
      </c>
      <c r="W62" s="25" t="n">
        <f aca="false">V62*12</f>
        <v>0</v>
      </c>
      <c r="X62" s="23" t="str">
        <f aca="false">IF(Q62="","MISSING FROM EXPORT",IF(ABS(V62)&lt;0.005,"CLEAR",IF(V62&gt;0,"UNDERBILLING","OVERBILLING")))</f>
        <v>CLEAR</v>
      </c>
      <c r="Y62" s="25" t="n">
        <f aca="false">IF(F62="COMMERCIAL",ROUND(P62*0.35,2),0)</f>
        <v>116.27</v>
      </c>
      <c r="Z62" s="23" t="str">
        <f aca="false">IF(F62="COMMERCIAL","VERIFY SIGNED AGREEMENT","NO EXCEPTION")</f>
        <v>VERIFY SIGNED AGREEMENT</v>
      </c>
      <c r="AA62" s="23" t="str">
        <f aca="false">IF(AND(C62="covered",N62&gt;40),"COVERED &gt;40 FT","")</f>
        <v/>
      </c>
      <c r="AB62" s="23" t="s">
        <v>3181</v>
      </c>
      <c r="AC62" s="23" t="s">
        <v>3182</v>
      </c>
      <c r="AD62" s="23" t="s">
        <v>2807</v>
      </c>
    </row>
    <row r="63" customFormat="false" ht="17.9" hidden="false" customHeight="false" outlineLevel="0" collapsed="false">
      <c r="A63" s="20" t="s">
        <v>3183</v>
      </c>
      <c r="B63" s="20" t="s">
        <v>109</v>
      </c>
      <c r="C63" s="20" t="s">
        <v>2798</v>
      </c>
      <c r="D63" s="20" t="s">
        <v>3184</v>
      </c>
      <c r="E63" s="20" t="s">
        <v>3185</v>
      </c>
      <c r="F63" s="20" t="s">
        <v>2818</v>
      </c>
      <c r="G63" s="20" t="s">
        <v>3186</v>
      </c>
      <c r="H63" s="22" t="n">
        <v>60.1</v>
      </c>
      <c r="I63" s="22" t="n">
        <v>60.1</v>
      </c>
      <c r="J63" s="22" t="n">
        <f aca="false">H63-I63</f>
        <v>0</v>
      </c>
      <c r="K63" s="20" t="str">
        <f aca="false">IF(ABS(J63)&lt;0.001,"MATCH - PAPER CHECK-IN NOT SUPPLIED","DATA MISMATCH")</f>
        <v>MATCH - PAPER CHECK-IN NOT SUPPLIED</v>
      </c>
      <c r="L63" s="22" t="n">
        <v>36</v>
      </c>
      <c r="M63" s="22" t="n">
        <f aca="false">ROUNDUP(H63,0)</f>
        <v>61</v>
      </c>
      <c r="N63" s="24" t="n">
        <f aca="false">MAX(L63,M63)</f>
        <v>61</v>
      </c>
      <c r="O63" s="25" t="n">
        <v>7.55</v>
      </c>
      <c r="P63" s="25" t="n">
        <f aca="false">N63*O63</f>
        <v>460.55</v>
      </c>
      <c r="Q63" s="23" t="s">
        <v>3187</v>
      </c>
      <c r="R63" s="23" t="s">
        <v>2804</v>
      </c>
      <c r="S63" s="24" t="n">
        <v>61</v>
      </c>
      <c r="T63" s="25" t="n">
        <v>7.55</v>
      </c>
      <c r="U63" s="25" t="n">
        <v>460.55</v>
      </c>
      <c r="V63" s="25" t="n">
        <f aca="false">P63-U63</f>
        <v>0</v>
      </c>
      <c r="W63" s="25" t="n">
        <f aca="false">V63*12</f>
        <v>0</v>
      </c>
      <c r="X63" s="23" t="str">
        <f aca="false">IF(Q63="","MISSING FROM EXPORT",IF(ABS(V63)&lt;0.005,"CLEAR",IF(V63&gt;0,"UNDERBILLING","OVERBILLING")))</f>
        <v>CLEAR</v>
      </c>
      <c r="Y63" s="25" t="n">
        <f aca="false">IF(F63="COMMERCIAL",ROUND(P63*0.35,2),0)</f>
        <v>0</v>
      </c>
      <c r="Z63" s="23" t="str">
        <f aca="false">IF(F63="COMMERCIAL","VERIFY SIGNED AGREEMENT","NO EXCEPTION")</f>
        <v>NO EXCEPTION</v>
      </c>
      <c r="AA63" s="23" t="str">
        <f aca="false">IF(AND(C63="covered",N63&gt;40),"COVERED &gt;40 FT","")</f>
        <v/>
      </c>
      <c r="AB63" s="23" t="s">
        <v>3188</v>
      </c>
      <c r="AC63" s="23" t="s">
        <v>3189</v>
      </c>
      <c r="AD63" s="23" t="s">
        <v>2807</v>
      </c>
    </row>
    <row r="64" customFormat="false" ht="17.9" hidden="false" customHeight="false" outlineLevel="0" collapsed="false">
      <c r="A64" s="20" t="s">
        <v>3190</v>
      </c>
      <c r="B64" s="20" t="s">
        <v>109</v>
      </c>
      <c r="C64" s="20" t="s">
        <v>2798</v>
      </c>
      <c r="D64" s="20" t="s">
        <v>3191</v>
      </c>
      <c r="E64" s="20" t="s">
        <v>3192</v>
      </c>
      <c r="F64" s="20" t="s">
        <v>2810</v>
      </c>
      <c r="G64" s="20" t="s">
        <v>3193</v>
      </c>
      <c r="H64" s="22" t="n">
        <v>44.2</v>
      </c>
      <c r="I64" s="22" t="n">
        <v>44.2</v>
      </c>
      <c r="J64" s="22" t="n">
        <f aca="false">H64-I64</f>
        <v>0</v>
      </c>
      <c r="K64" s="20" t="str">
        <f aca="false">IF(ABS(J64)&lt;0.001,"MATCH - PAPER CHECK-IN NOT SUPPLIED","DATA MISMATCH")</f>
        <v>MATCH - PAPER CHECK-IN NOT SUPPLIED</v>
      </c>
      <c r="L64" s="22" t="n">
        <v>36</v>
      </c>
      <c r="M64" s="22" t="n">
        <f aca="false">ROUNDUP(H64,0)</f>
        <v>45</v>
      </c>
      <c r="N64" s="24" t="n">
        <f aca="false">MAX(L64,M64)</f>
        <v>45</v>
      </c>
      <c r="O64" s="25" t="n">
        <v>7.55</v>
      </c>
      <c r="P64" s="25" t="n">
        <f aca="false">N64*O64</f>
        <v>339.75</v>
      </c>
      <c r="Q64" s="23" t="s">
        <v>3194</v>
      </c>
      <c r="R64" s="23" t="s">
        <v>2804</v>
      </c>
      <c r="S64" s="24" t="n">
        <v>45</v>
      </c>
      <c r="T64" s="25" t="n">
        <v>7.55</v>
      </c>
      <c r="U64" s="25" t="n">
        <v>339.75</v>
      </c>
      <c r="V64" s="25" t="n">
        <f aca="false">P64-U64</f>
        <v>0</v>
      </c>
      <c r="W64" s="25" t="n">
        <f aca="false">V64*12</f>
        <v>0</v>
      </c>
      <c r="X64" s="23" t="str">
        <f aca="false">IF(Q64="","MISSING FROM EXPORT",IF(ABS(V64)&lt;0.005,"CLEAR",IF(V64&gt;0,"UNDERBILLING","OVERBILLING")))</f>
        <v>CLEAR</v>
      </c>
      <c r="Y64" s="25" t="n">
        <f aca="false">IF(F64="COMMERCIAL",ROUND(P64*0.35,2),0)</f>
        <v>0</v>
      </c>
      <c r="Z64" s="23" t="str">
        <f aca="false">IF(F64="COMMERCIAL","VERIFY SIGNED AGREEMENT","NO EXCEPTION")</f>
        <v>NO EXCEPTION</v>
      </c>
      <c r="AA64" s="23" t="str">
        <f aca="false">IF(AND(C64="covered",N64&gt;40),"COVERED &gt;40 FT","")</f>
        <v/>
      </c>
      <c r="AB64" s="23" t="s">
        <v>3195</v>
      </c>
      <c r="AC64" s="23" t="s">
        <v>3196</v>
      </c>
      <c r="AD64" s="23" t="s">
        <v>2807</v>
      </c>
    </row>
    <row r="65" customFormat="false" ht="17.9" hidden="false" customHeight="false" outlineLevel="0" collapsed="false">
      <c r="A65" s="20" t="s">
        <v>3197</v>
      </c>
      <c r="B65" s="20" t="s">
        <v>109</v>
      </c>
      <c r="C65" s="20" t="s">
        <v>2798</v>
      </c>
      <c r="D65" s="20" t="s">
        <v>3198</v>
      </c>
      <c r="E65" s="20" t="s">
        <v>3199</v>
      </c>
      <c r="F65" s="20" t="s">
        <v>2833</v>
      </c>
      <c r="G65" s="20" t="s">
        <v>3200</v>
      </c>
      <c r="H65" s="22" t="n">
        <v>37</v>
      </c>
      <c r="I65" s="22" t="n">
        <v>37</v>
      </c>
      <c r="J65" s="22" t="n">
        <f aca="false">H65-I65</f>
        <v>0</v>
      </c>
      <c r="K65" s="20" t="str">
        <f aca="false">IF(ABS(J65)&lt;0.001,"MATCH - PAPER CHECK-IN NOT SUPPLIED","DATA MISMATCH")</f>
        <v>MATCH - PAPER CHECK-IN NOT SUPPLIED</v>
      </c>
      <c r="L65" s="22" t="n">
        <v>32</v>
      </c>
      <c r="M65" s="22" t="n">
        <f aca="false">ROUNDUP(H65,0)</f>
        <v>37</v>
      </c>
      <c r="N65" s="24" t="n">
        <f aca="false">MAX(L65,M65)</f>
        <v>37</v>
      </c>
      <c r="O65" s="25" t="n">
        <v>7.55</v>
      </c>
      <c r="P65" s="25" t="n">
        <f aca="false">N65*O65</f>
        <v>279.35</v>
      </c>
      <c r="Q65" s="23" t="s">
        <v>3201</v>
      </c>
      <c r="R65" s="23" t="s">
        <v>2804</v>
      </c>
      <c r="S65" s="24" t="n">
        <v>37</v>
      </c>
      <c r="T65" s="25" t="n">
        <v>7.55</v>
      </c>
      <c r="U65" s="25" t="n">
        <v>279.35</v>
      </c>
      <c r="V65" s="25" t="n">
        <f aca="false">P65-U65</f>
        <v>0</v>
      </c>
      <c r="W65" s="25" t="n">
        <f aca="false">V65*12</f>
        <v>0</v>
      </c>
      <c r="X65" s="23" t="str">
        <f aca="false">IF(Q65="","MISSING FROM EXPORT",IF(ABS(V65)&lt;0.005,"CLEAR",IF(V65&gt;0,"UNDERBILLING","OVERBILLING")))</f>
        <v>CLEAR</v>
      </c>
      <c r="Y65" s="25" t="n">
        <f aca="false">IF(F65="COMMERCIAL",ROUND(P65*0.35,2),0)</f>
        <v>0</v>
      </c>
      <c r="Z65" s="23" t="str">
        <f aca="false">IF(F65="COMMERCIAL","VERIFY SIGNED AGREEMENT","NO EXCEPTION")</f>
        <v>NO EXCEPTION</v>
      </c>
      <c r="AA65" s="23" t="str">
        <f aca="false">IF(AND(C65="covered",N65&gt;40),"COVERED &gt;40 FT","")</f>
        <v/>
      </c>
      <c r="AB65" s="23" t="s">
        <v>3202</v>
      </c>
      <c r="AC65" s="23" t="s">
        <v>3203</v>
      </c>
      <c r="AD65" s="23" t="s">
        <v>2807</v>
      </c>
    </row>
    <row r="66" customFormat="false" ht="17.9" hidden="false" customHeight="false" outlineLevel="0" collapsed="false">
      <c r="A66" s="20" t="s">
        <v>949</v>
      </c>
      <c r="B66" s="20" t="s">
        <v>109</v>
      </c>
      <c r="C66" s="20" t="s">
        <v>2798</v>
      </c>
      <c r="D66" s="20" t="s">
        <v>3204</v>
      </c>
      <c r="E66" s="20" t="s">
        <v>3205</v>
      </c>
      <c r="F66" s="20" t="s">
        <v>2801</v>
      </c>
      <c r="G66" s="20" t="s">
        <v>3206</v>
      </c>
      <c r="H66" s="22" t="n">
        <v>56.8</v>
      </c>
      <c r="I66" s="22" t="n">
        <v>56.8</v>
      </c>
      <c r="J66" s="22" t="n">
        <f aca="false">H66-I66</f>
        <v>0</v>
      </c>
      <c r="K66" s="20" t="str">
        <f aca="false">IF(ABS(J66)&lt;0.001,"MATCH - PAPER CHECK-IN NOT SUPPLIED","DATA MISMATCH")</f>
        <v>MATCH - PAPER CHECK-IN NOT SUPPLIED</v>
      </c>
      <c r="L66" s="22" t="n">
        <v>70</v>
      </c>
      <c r="M66" s="22" t="n">
        <f aca="false">ROUNDUP(H66,0)</f>
        <v>57</v>
      </c>
      <c r="N66" s="24" t="n">
        <f aca="false">MAX(L66,M66)</f>
        <v>70</v>
      </c>
      <c r="O66" s="25" t="n">
        <v>7.55</v>
      </c>
      <c r="P66" s="25" t="n">
        <f aca="false">N66*O66</f>
        <v>528.5</v>
      </c>
      <c r="Q66" s="23" t="s">
        <v>3207</v>
      </c>
      <c r="R66" s="23" t="s">
        <v>2804</v>
      </c>
      <c r="S66" s="24" t="n">
        <v>70</v>
      </c>
      <c r="T66" s="25" t="n">
        <v>7.55</v>
      </c>
      <c r="U66" s="25" t="n">
        <v>528.5</v>
      </c>
      <c r="V66" s="25" t="n">
        <f aca="false">P66-U66</f>
        <v>0</v>
      </c>
      <c r="W66" s="25" t="n">
        <f aca="false">V66*12</f>
        <v>0</v>
      </c>
      <c r="X66" s="23" t="str">
        <f aca="false">IF(Q66="","MISSING FROM EXPORT",IF(ABS(V66)&lt;0.005,"CLEAR",IF(V66&gt;0,"UNDERBILLING","OVERBILLING")))</f>
        <v>CLEAR</v>
      </c>
      <c r="Y66" s="25" t="n">
        <f aca="false">IF(F66="COMMERCIAL",ROUND(P66*0.35,2),0)</f>
        <v>0</v>
      </c>
      <c r="Z66" s="23" t="str">
        <f aca="false">IF(F66="COMMERCIAL","VERIFY SIGNED AGREEMENT","NO EXCEPTION")</f>
        <v>NO EXCEPTION</v>
      </c>
      <c r="AA66" s="23" t="str">
        <f aca="false">IF(AND(C66="covered",N66&gt;40),"COVERED &gt;40 FT","")</f>
        <v/>
      </c>
      <c r="AB66" s="23" t="s">
        <v>3208</v>
      </c>
      <c r="AC66" s="23" t="s">
        <v>3209</v>
      </c>
      <c r="AD66" s="23" t="s">
        <v>2807</v>
      </c>
    </row>
    <row r="67" customFormat="false" ht="17.9" hidden="false" customHeight="false" outlineLevel="0" collapsed="false">
      <c r="A67" s="20" t="s">
        <v>3210</v>
      </c>
      <c r="B67" s="20" t="s">
        <v>109</v>
      </c>
      <c r="C67" s="20" t="s">
        <v>2798</v>
      </c>
      <c r="D67" s="20" t="s">
        <v>3211</v>
      </c>
      <c r="E67" s="20" t="s">
        <v>3212</v>
      </c>
      <c r="F67" s="20" t="s">
        <v>2833</v>
      </c>
      <c r="G67" s="20" t="s">
        <v>3213</v>
      </c>
      <c r="H67" s="22" t="n">
        <v>18.7</v>
      </c>
      <c r="I67" s="22" t="n">
        <v>18.7</v>
      </c>
      <c r="J67" s="22" t="n">
        <f aca="false">H67-I67</f>
        <v>0</v>
      </c>
      <c r="K67" s="20" t="str">
        <f aca="false">IF(ABS(J67)&lt;0.001,"MATCH - PAPER CHECK-IN NOT SUPPLIED","DATA MISMATCH")</f>
        <v>MATCH - PAPER CHECK-IN NOT SUPPLIED</v>
      </c>
      <c r="L67" s="22" t="n">
        <v>70</v>
      </c>
      <c r="M67" s="22" t="n">
        <f aca="false">ROUNDUP(H67,0)</f>
        <v>19</v>
      </c>
      <c r="N67" s="24" t="n">
        <f aca="false">MAX(L67,M67)</f>
        <v>70</v>
      </c>
      <c r="O67" s="25" t="n">
        <v>7.55</v>
      </c>
      <c r="P67" s="25" t="n">
        <f aca="false">N67*O67</f>
        <v>528.5</v>
      </c>
      <c r="Q67" s="23" t="s">
        <v>3214</v>
      </c>
      <c r="R67" s="23" t="s">
        <v>2804</v>
      </c>
      <c r="S67" s="24" t="n">
        <v>70</v>
      </c>
      <c r="T67" s="25" t="n">
        <v>7.55</v>
      </c>
      <c r="U67" s="25" t="n">
        <v>528.5</v>
      </c>
      <c r="V67" s="25" t="n">
        <f aca="false">P67-U67</f>
        <v>0</v>
      </c>
      <c r="W67" s="25" t="n">
        <f aca="false">V67*12</f>
        <v>0</v>
      </c>
      <c r="X67" s="23" t="str">
        <f aca="false">IF(Q67="","MISSING FROM EXPORT",IF(ABS(V67)&lt;0.005,"CLEAR",IF(V67&gt;0,"UNDERBILLING","OVERBILLING")))</f>
        <v>CLEAR</v>
      </c>
      <c r="Y67" s="25" t="n">
        <f aca="false">IF(F67="COMMERCIAL",ROUND(P67*0.35,2),0)</f>
        <v>0</v>
      </c>
      <c r="Z67" s="23" t="str">
        <f aca="false">IF(F67="COMMERCIAL","VERIFY SIGNED AGREEMENT","NO EXCEPTION")</f>
        <v>NO EXCEPTION</v>
      </c>
      <c r="AA67" s="23" t="str">
        <f aca="false">IF(AND(C67="covered",N67&gt;40),"COVERED &gt;40 FT","")</f>
        <v/>
      </c>
      <c r="AB67" s="23" t="s">
        <v>3215</v>
      </c>
      <c r="AC67" s="23" t="s">
        <v>3216</v>
      </c>
      <c r="AD67" s="23" t="s">
        <v>2807</v>
      </c>
    </row>
    <row r="68" customFormat="false" ht="17.9" hidden="false" customHeight="false" outlineLevel="0" collapsed="false">
      <c r="A68" s="20" t="s">
        <v>3217</v>
      </c>
      <c r="B68" s="20" t="s">
        <v>109</v>
      </c>
      <c r="C68" s="20" t="s">
        <v>2798</v>
      </c>
      <c r="D68" s="20" t="s">
        <v>3218</v>
      </c>
      <c r="E68" s="20" t="s">
        <v>3219</v>
      </c>
      <c r="F68" s="20" t="s">
        <v>2869</v>
      </c>
      <c r="G68" s="20" t="s">
        <v>3220</v>
      </c>
      <c r="H68" s="22" t="n">
        <v>56.7</v>
      </c>
      <c r="I68" s="22" t="n">
        <v>56.7</v>
      </c>
      <c r="J68" s="22" t="n">
        <f aca="false">H68-I68</f>
        <v>0</v>
      </c>
      <c r="K68" s="20" t="str">
        <f aca="false">IF(ABS(J68)&lt;0.001,"MATCH - PAPER CHECK-IN NOT SUPPLIED","DATA MISMATCH")</f>
        <v>MATCH - PAPER CHECK-IN NOT SUPPLIED</v>
      </c>
      <c r="L68" s="22" t="n">
        <v>28</v>
      </c>
      <c r="M68" s="22" t="n">
        <f aca="false">ROUNDUP(H68,0)</f>
        <v>57</v>
      </c>
      <c r="N68" s="24" t="n">
        <f aca="false">MAX(L68,M68)</f>
        <v>57</v>
      </c>
      <c r="O68" s="25" t="n">
        <v>7.55</v>
      </c>
      <c r="P68" s="25" t="n">
        <f aca="false">N68*O68</f>
        <v>430.35</v>
      </c>
      <c r="Q68" s="23" t="s">
        <v>3221</v>
      </c>
      <c r="R68" s="23" t="s">
        <v>2804</v>
      </c>
      <c r="S68" s="24" t="n">
        <v>57</v>
      </c>
      <c r="T68" s="25" t="n">
        <v>7.55</v>
      </c>
      <c r="U68" s="25" t="n">
        <v>430.35</v>
      </c>
      <c r="V68" s="25" t="n">
        <f aca="false">P68-U68</f>
        <v>0</v>
      </c>
      <c r="W68" s="25" t="n">
        <f aca="false">V68*12</f>
        <v>0</v>
      </c>
      <c r="X68" s="23" t="str">
        <f aca="false">IF(Q68="","MISSING FROM EXPORT",IF(ABS(V68)&lt;0.005,"CLEAR",IF(V68&gt;0,"UNDERBILLING","OVERBILLING")))</f>
        <v>CLEAR</v>
      </c>
      <c r="Y68" s="25" t="n">
        <f aca="false">IF(F68="COMMERCIAL",ROUND(P68*0.35,2),0)</f>
        <v>0</v>
      </c>
      <c r="Z68" s="23" t="str">
        <f aca="false">IF(F68="COMMERCIAL","VERIFY SIGNED AGREEMENT","NO EXCEPTION")</f>
        <v>NO EXCEPTION</v>
      </c>
      <c r="AA68" s="23" t="str">
        <f aca="false">IF(AND(C68="covered",N68&gt;40),"COVERED &gt;40 FT","")</f>
        <v/>
      </c>
      <c r="AB68" s="23" t="s">
        <v>3222</v>
      </c>
      <c r="AC68" s="23" t="s">
        <v>3223</v>
      </c>
      <c r="AD68" s="23" t="s">
        <v>2807</v>
      </c>
    </row>
    <row r="69" customFormat="false" ht="17.9" hidden="false" customHeight="false" outlineLevel="0" collapsed="false">
      <c r="A69" s="20" t="s">
        <v>3224</v>
      </c>
      <c r="B69" s="20" t="s">
        <v>109</v>
      </c>
      <c r="C69" s="20" t="s">
        <v>2798</v>
      </c>
      <c r="D69" s="20" t="s">
        <v>89</v>
      </c>
      <c r="E69" s="20" t="s">
        <v>90</v>
      </c>
      <c r="F69" s="20" t="s">
        <v>2833</v>
      </c>
      <c r="G69" s="20" t="s">
        <v>3225</v>
      </c>
      <c r="H69" s="22" t="n">
        <v>50.2</v>
      </c>
      <c r="I69" s="22" t="n">
        <v>50.2</v>
      </c>
      <c r="J69" s="22" t="n">
        <f aca="false">H69-I69</f>
        <v>0</v>
      </c>
      <c r="K69" s="20" t="str">
        <f aca="false">IF(ABS(J69)&lt;0.001,"MATCH - PAPER CHECK-IN NOT SUPPLIED","DATA MISMATCH")</f>
        <v>MATCH - PAPER CHECK-IN NOT SUPPLIED</v>
      </c>
      <c r="L69" s="22" t="n">
        <v>36</v>
      </c>
      <c r="M69" s="22" t="n">
        <f aca="false">ROUNDUP(H69,0)</f>
        <v>51</v>
      </c>
      <c r="N69" s="24" t="n">
        <f aca="false">MAX(L69,M69)</f>
        <v>51</v>
      </c>
      <c r="O69" s="25" t="n">
        <v>7.55</v>
      </c>
      <c r="P69" s="25" t="n">
        <f aca="false">N69*O69</f>
        <v>385.05</v>
      </c>
      <c r="Q69" s="23" t="s">
        <v>3226</v>
      </c>
      <c r="R69" s="23" t="s">
        <v>2804</v>
      </c>
      <c r="S69" s="24" t="n">
        <v>51</v>
      </c>
      <c r="T69" s="25" t="n">
        <v>7.55</v>
      </c>
      <c r="U69" s="25" t="n">
        <v>385.05</v>
      </c>
      <c r="V69" s="25" t="n">
        <f aca="false">P69-U69</f>
        <v>0</v>
      </c>
      <c r="W69" s="25" t="n">
        <f aca="false">V69*12</f>
        <v>0</v>
      </c>
      <c r="X69" s="23" t="str">
        <f aca="false">IF(Q69="","MISSING FROM EXPORT",IF(ABS(V69)&lt;0.005,"CLEAR",IF(V69&gt;0,"UNDERBILLING","OVERBILLING")))</f>
        <v>CLEAR</v>
      </c>
      <c r="Y69" s="25" t="n">
        <f aca="false">IF(F69="COMMERCIAL",ROUND(P69*0.35,2),0)</f>
        <v>0</v>
      </c>
      <c r="Z69" s="23" t="str">
        <f aca="false">IF(F69="COMMERCIAL","VERIFY SIGNED AGREEMENT","NO EXCEPTION")</f>
        <v>NO EXCEPTION</v>
      </c>
      <c r="AA69" s="23" t="str">
        <f aca="false">IF(AND(C69="covered",N69&gt;40),"COVERED &gt;40 FT","")</f>
        <v/>
      </c>
      <c r="AB69" s="23" t="s">
        <v>3227</v>
      </c>
      <c r="AC69" s="23" t="s">
        <v>3228</v>
      </c>
      <c r="AD69" s="23" t="s">
        <v>2807</v>
      </c>
    </row>
    <row r="70" customFormat="false" ht="17.9" hidden="false" customHeight="false" outlineLevel="0" collapsed="false">
      <c r="A70" s="20" t="s">
        <v>902</v>
      </c>
      <c r="B70" s="20" t="s">
        <v>109</v>
      </c>
      <c r="C70" s="20" t="s">
        <v>2798</v>
      </c>
      <c r="D70" s="20" t="s">
        <v>2355</v>
      </c>
      <c r="E70" s="20" t="s">
        <v>2356</v>
      </c>
      <c r="F70" s="20" t="s">
        <v>2833</v>
      </c>
      <c r="G70" s="20" t="s">
        <v>3229</v>
      </c>
      <c r="H70" s="22" t="n">
        <v>19.3</v>
      </c>
      <c r="I70" s="22" t="n">
        <v>19.3</v>
      </c>
      <c r="J70" s="22" t="n">
        <f aca="false">H70-I70</f>
        <v>0</v>
      </c>
      <c r="K70" s="20" t="str">
        <f aca="false">IF(ABS(J70)&lt;0.001,"MATCH - PAPER CHECK-IN NOT SUPPLIED","DATA MISMATCH")</f>
        <v>MATCH - PAPER CHECK-IN NOT SUPPLIED</v>
      </c>
      <c r="L70" s="22" t="n">
        <v>80</v>
      </c>
      <c r="M70" s="22" t="n">
        <f aca="false">ROUNDUP(H70,0)</f>
        <v>20</v>
      </c>
      <c r="N70" s="24" t="n">
        <f aca="false">MAX(L70,M70)</f>
        <v>80</v>
      </c>
      <c r="O70" s="25" t="n">
        <v>7.55</v>
      </c>
      <c r="P70" s="25" t="n">
        <f aca="false">N70*O70</f>
        <v>604</v>
      </c>
      <c r="Q70" s="23" t="s">
        <v>3230</v>
      </c>
      <c r="R70" s="23" t="s">
        <v>2804</v>
      </c>
      <c r="S70" s="24" t="n">
        <v>80</v>
      </c>
      <c r="T70" s="25" t="n">
        <v>7.55</v>
      </c>
      <c r="U70" s="25" t="n">
        <v>604</v>
      </c>
      <c r="V70" s="25" t="n">
        <f aca="false">P70-U70</f>
        <v>0</v>
      </c>
      <c r="W70" s="25" t="n">
        <f aca="false">V70*12</f>
        <v>0</v>
      </c>
      <c r="X70" s="23" t="str">
        <f aca="false">IF(Q70="","MISSING FROM EXPORT",IF(ABS(V70)&lt;0.005,"CLEAR",IF(V70&gt;0,"UNDERBILLING","OVERBILLING")))</f>
        <v>CLEAR</v>
      </c>
      <c r="Y70" s="25" t="n">
        <f aca="false">IF(F70="COMMERCIAL",ROUND(P70*0.35,2),0)</f>
        <v>0</v>
      </c>
      <c r="Z70" s="23" t="str">
        <f aca="false">IF(F70="COMMERCIAL","VERIFY SIGNED AGREEMENT","NO EXCEPTION")</f>
        <v>NO EXCEPTION</v>
      </c>
      <c r="AA70" s="23" t="str">
        <f aca="false">IF(AND(C70="covered",N70&gt;40),"COVERED &gt;40 FT","")</f>
        <v/>
      </c>
      <c r="AB70" s="23" t="s">
        <v>3231</v>
      </c>
      <c r="AC70" s="23" t="s">
        <v>3232</v>
      </c>
      <c r="AD70" s="23" t="s">
        <v>2807</v>
      </c>
    </row>
    <row r="71" customFormat="false" ht="17.9" hidden="false" customHeight="false" outlineLevel="0" collapsed="false">
      <c r="A71" s="20" t="s">
        <v>3233</v>
      </c>
      <c r="B71" s="20" t="s">
        <v>109</v>
      </c>
      <c r="C71" s="20" t="s">
        <v>2798</v>
      </c>
      <c r="D71" s="20" t="s">
        <v>3234</v>
      </c>
      <c r="E71" s="20" t="s">
        <v>3235</v>
      </c>
      <c r="F71" s="20" t="s">
        <v>2833</v>
      </c>
      <c r="G71" s="20" t="s">
        <v>3236</v>
      </c>
      <c r="H71" s="22" t="n">
        <v>50.5</v>
      </c>
      <c r="I71" s="22" t="n">
        <v>50.5</v>
      </c>
      <c r="J71" s="22" t="n">
        <f aca="false">H71-I71</f>
        <v>0</v>
      </c>
      <c r="K71" s="20" t="str">
        <f aca="false">IF(ABS(J71)&lt;0.001,"MATCH - PAPER CHECK-IN NOT SUPPLIED","DATA MISMATCH")</f>
        <v>MATCH - PAPER CHECK-IN NOT SUPPLIED</v>
      </c>
      <c r="L71" s="22" t="n">
        <v>28</v>
      </c>
      <c r="M71" s="22" t="n">
        <f aca="false">ROUNDUP(H71,0)</f>
        <v>51</v>
      </c>
      <c r="N71" s="24" t="n">
        <f aca="false">MAX(L71,M71)</f>
        <v>51</v>
      </c>
      <c r="O71" s="25" t="n">
        <v>7.55</v>
      </c>
      <c r="P71" s="25" t="n">
        <f aca="false">N71*O71</f>
        <v>385.05</v>
      </c>
      <c r="Q71" s="23" t="s">
        <v>3237</v>
      </c>
      <c r="R71" s="23" t="s">
        <v>2804</v>
      </c>
      <c r="S71" s="24" t="n">
        <v>51</v>
      </c>
      <c r="T71" s="25" t="n">
        <v>7.55</v>
      </c>
      <c r="U71" s="25" t="n">
        <v>385.05</v>
      </c>
      <c r="V71" s="25" t="n">
        <f aca="false">P71-U71</f>
        <v>0</v>
      </c>
      <c r="W71" s="25" t="n">
        <f aca="false">V71*12</f>
        <v>0</v>
      </c>
      <c r="X71" s="23" t="str">
        <f aca="false">IF(Q71="","MISSING FROM EXPORT",IF(ABS(V71)&lt;0.005,"CLEAR",IF(V71&gt;0,"UNDERBILLING","OVERBILLING")))</f>
        <v>CLEAR</v>
      </c>
      <c r="Y71" s="25" t="n">
        <f aca="false">IF(F71="COMMERCIAL",ROUND(P71*0.35,2),0)</f>
        <v>0</v>
      </c>
      <c r="Z71" s="23" t="str">
        <f aca="false">IF(F71="COMMERCIAL","VERIFY SIGNED AGREEMENT","NO EXCEPTION")</f>
        <v>NO EXCEPTION</v>
      </c>
      <c r="AA71" s="23" t="str">
        <f aca="false">IF(AND(C71="covered",N71&gt;40),"COVERED &gt;40 FT","")</f>
        <v/>
      </c>
      <c r="AB71" s="23" t="s">
        <v>3238</v>
      </c>
      <c r="AC71" s="23" t="s">
        <v>3239</v>
      </c>
      <c r="AD71" s="23" t="s">
        <v>2807</v>
      </c>
    </row>
    <row r="72" customFormat="false" ht="17.9" hidden="false" customHeight="false" outlineLevel="0" collapsed="false">
      <c r="A72" s="20" t="s">
        <v>3240</v>
      </c>
      <c r="B72" s="20" t="s">
        <v>109</v>
      </c>
      <c r="C72" s="20" t="s">
        <v>2798</v>
      </c>
      <c r="D72" s="20" t="s">
        <v>3241</v>
      </c>
      <c r="E72" s="20" t="s">
        <v>3242</v>
      </c>
      <c r="F72" s="20" t="s">
        <v>2857</v>
      </c>
      <c r="G72" s="20" t="s">
        <v>3243</v>
      </c>
      <c r="H72" s="22" t="n">
        <v>31.6</v>
      </c>
      <c r="I72" s="22" t="n">
        <v>31.6</v>
      </c>
      <c r="J72" s="22" t="n">
        <f aca="false">H72-I72</f>
        <v>0</v>
      </c>
      <c r="K72" s="20" t="str">
        <f aca="false">IF(ABS(J72)&lt;0.001,"MATCH - PAPER CHECK-IN NOT SUPPLIED","DATA MISMATCH")</f>
        <v>MATCH - PAPER CHECK-IN NOT SUPPLIED</v>
      </c>
      <c r="L72" s="22" t="n">
        <v>40</v>
      </c>
      <c r="M72" s="22" t="n">
        <f aca="false">ROUNDUP(H72,0)</f>
        <v>32</v>
      </c>
      <c r="N72" s="24" t="n">
        <f aca="false">MAX(L72,M72)</f>
        <v>40</v>
      </c>
      <c r="O72" s="25" t="n">
        <v>7.55</v>
      </c>
      <c r="P72" s="25" t="n">
        <f aca="false">N72*O72</f>
        <v>302</v>
      </c>
      <c r="Q72" s="23" t="s">
        <v>3244</v>
      </c>
      <c r="R72" s="23" t="s">
        <v>2804</v>
      </c>
      <c r="S72" s="24" t="n">
        <v>40</v>
      </c>
      <c r="T72" s="25" t="n">
        <v>7.55</v>
      </c>
      <c r="U72" s="25" t="n">
        <v>302</v>
      </c>
      <c r="V72" s="25" t="n">
        <f aca="false">P72-U72</f>
        <v>0</v>
      </c>
      <c r="W72" s="25" t="n">
        <f aca="false">V72*12</f>
        <v>0</v>
      </c>
      <c r="X72" s="23" t="str">
        <f aca="false">IF(Q72="","MISSING FROM EXPORT",IF(ABS(V72)&lt;0.005,"CLEAR",IF(V72&gt;0,"UNDERBILLING","OVERBILLING")))</f>
        <v>CLEAR</v>
      </c>
      <c r="Y72" s="25" t="n">
        <f aca="false">IF(F72="COMMERCIAL",ROUND(P72*0.35,2),0)</f>
        <v>0</v>
      </c>
      <c r="Z72" s="23" t="str">
        <f aca="false">IF(F72="COMMERCIAL","VERIFY SIGNED AGREEMENT","NO EXCEPTION")</f>
        <v>NO EXCEPTION</v>
      </c>
      <c r="AA72" s="23" t="str">
        <f aca="false">IF(AND(C72="covered",N72&gt;40),"COVERED &gt;40 FT","")</f>
        <v/>
      </c>
      <c r="AB72" s="23" t="s">
        <v>3245</v>
      </c>
      <c r="AC72" s="23" t="s">
        <v>3246</v>
      </c>
      <c r="AD72" s="23" t="s">
        <v>2807</v>
      </c>
    </row>
    <row r="73" customFormat="false" ht="17.9" hidden="false" customHeight="false" outlineLevel="0" collapsed="false">
      <c r="A73" s="20" t="s">
        <v>3247</v>
      </c>
      <c r="B73" s="20" t="s">
        <v>109</v>
      </c>
      <c r="C73" s="20" t="s">
        <v>2798</v>
      </c>
      <c r="D73" s="20" t="s">
        <v>3248</v>
      </c>
      <c r="E73" s="20" t="s">
        <v>3249</v>
      </c>
      <c r="F73" s="20" t="s">
        <v>2833</v>
      </c>
      <c r="G73" s="20" t="s">
        <v>3250</v>
      </c>
      <c r="H73" s="22" t="n">
        <v>60</v>
      </c>
      <c r="I73" s="22" t="n">
        <v>60</v>
      </c>
      <c r="J73" s="22" t="n">
        <f aca="false">H73-I73</f>
        <v>0</v>
      </c>
      <c r="K73" s="20" t="str">
        <f aca="false">IF(ABS(J73)&lt;0.001,"MATCH - PAPER CHECK-IN NOT SUPPLIED","DATA MISMATCH")</f>
        <v>MATCH - PAPER CHECK-IN NOT SUPPLIED</v>
      </c>
      <c r="L73" s="22" t="n">
        <v>50</v>
      </c>
      <c r="M73" s="22" t="n">
        <f aca="false">ROUNDUP(H73,0)</f>
        <v>60</v>
      </c>
      <c r="N73" s="24" t="n">
        <f aca="false">MAX(L73,M73)</f>
        <v>60</v>
      </c>
      <c r="O73" s="25" t="n">
        <v>7.55</v>
      </c>
      <c r="P73" s="25" t="n">
        <f aca="false">N73*O73</f>
        <v>453</v>
      </c>
      <c r="Q73" s="23" t="s">
        <v>3251</v>
      </c>
      <c r="R73" s="23" t="s">
        <v>2804</v>
      </c>
      <c r="S73" s="24" t="n">
        <v>60</v>
      </c>
      <c r="T73" s="25" t="n">
        <v>7.55</v>
      </c>
      <c r="U73" s="25" t="n">
        <v>453</v>
      </c>
      <c r="V73" s="25" t="n">
        <f aca="false">P73-U73</f>
        <v>0</v>
      </c>
      <c r="W73" s="25" t="n">
        <f aca="false">V73*12</f>
        <v>0</v>
      </c>
      <c r="X73" s="23" t="str">
        <f aca="false">IF(Q73="","MISSING FROM EXPORT",IF(ABS(V73)&lt;0.005,"CLEAR",IF(V73&gt;0,"UNDERBILLING","OVERBILLING")))</f>
        <v>CLEAR</v>
      </c>
      <c r="Y73" s="25" t="n">
        <f aca="false">IF(F73="COMMERCIAL",ROUND(P73*0.35,2),0)</f>
        <v>0</v>
      </c>
      <c r="Z73" s="23" t="str">
        <f aca="false">IF(F73="COMMERCIAL","VERIFY SIGNED AGREEMENT","NO EXCEPTION")</f>
        <v>NO EXCEPTION</v>
      </c>
      <c r="AA73" s="23" t="str">
        <f aca="false">IF(AND(C73="covered",N73&gt;40),"COVERED &gt;40 FT","")</f>
        <v/>
      </c>
      <c r="AB73" s="23" t="s">
        <v>3252</v>
      </c>
      <c r="AC73" s="23" t="s">
        <v>3253</v>
      </c>
      <c r="AD73" s="23" t="s">
        <v>2807</v>
      </c>
    </row>
    <row r="74" customFormat="false" ht="17.9" hidden="false" customHeight="false" outlineLevel="0" collapsed="false">
      <c r="A74" s="20" t="s">
        <v>3254</v>
      </c>
      <c r="B74" s="20" t="s">
        <v>109</v>
      </c>
      <c r="C74" s="20" t="s">
        <v>2798</v>
      </c>
      <c r="D74" s="20" t="s">
        <v>3255</v>
      </c>
      <c r="E74" s="20" t="s">
        <v>3256</v>
      </c>
      <c r="F74" s="20" t="s">
        <v>2810</v>
      </c>
      <c r="G74" s="20" t="s">
        <v>3257</v>
      </c>
      <c r="H74" s="22" t="n">
        <v>31.8</v>
      </c>
      <c r="I74" s="22" t="n">
        <v>31.8</v>
      </c>
      <c r="J74" s="22" t="n">
        <f aca="false">H74-I74</f>
        <v>0</v>
      </c>
      <c r="K74" s="20" t="str">
        <f aca="false">IF(ABS(J74)&lt;0.001,"MATCH - PAPER CHECK-IN NOT SUPPLIED","DATA MISMATCH")</f>
        <v>MATCH - PAPER CHECK-IN NOT SUPPLIED</v>
      </c>
      <c r="L74" s="22" t="n">
        <v>70</v>
      </c>
      <c r="M74" s="22" t="n">
        <f aca="false">ROUNDUP(H74,0)</f>
        <v>32</v>
      </c>
      <c r="N74" s="24" t="n">
        <f aca="false">MAX(L74,M74)</f>
        <v>70</v>
      </c>
      <c r="O74" s="25" t="n">
        <v>7.55</v>
      </c>
      <c r="P74" s="25" t="n">
        <f aca="false">N74*O74</f>
        <v>528.5</v>
      </c>
      <c r="Q74" s="23" t="s">
        <v>3258</v>
      </c>
      <c r="R74" s="23" t="s">
        <v>2804</v>
      </c>
      <c r="S74" s="24" t="n">
        <v>70</v>
      </c>
      <c r="T74" s="25" t="n">
        <v>7.55</v>
      </c>
      <c r="U74" s="25" t="n">
        <v>528.5</v>
      </c>
      <c r="V74" s="25" t="n">
        <f aca="false">P74-U74</f>
        <v>0</v>
      </c>
      <c r="W74" s="25" t="n">
        <f aca="false">V74*12</f>
        <v>0</v>
      </c>
      <c r="X74" s="23" t="str">
        <f aca="false">IF(Q74="","MISSING FROM EXPORT",IF(ABS(V74)&lt;0.005,"CLEAR",IF(V74&gt;0,"UNDERBILLING","OVERBILLING")))</f>
        <v>CLEAR</v>
      </c>
      <c r="Y74" s="25" t="n">
        <f aca="false">IF(F74="COMMERCIAL",ROUND(P74*0.35,2),0)</f>
        <v>0</v>
      </c>
      <c r="Z74" s="23" t="str">
        <f aca="false">IF(F74="COMMERCIAL","VERIFY SIGNED AGREEMENT","NO EXCEPTION")</f>
        <v>NO EXCEPTION</v>
      </c>
      <c r="AA74" s="23" t="str">
        <f aca="false">IF(AND(C74="covered",N74&gt;40),"COVERED &gt;40 FT","")</f>
        <v/>
      </c>
      <c r="AB74" s="23" t="s">
        <v>3259</v>
      </c>
      <c r="AC74" s="23" t="s">
        <v>3260</v>
      </c>
      <c r="AD74" s="23" t="s">
        <v>2807</v>
      </c>
    </row>
    <row r="75" customFormat="false" ht="17.9" hidden="false" customHeight="false" outlineLevel="0" collapsed="false">
      <c r="A75" s="20" t="s">
        <v>3261</v>
      </c>
      <c r="B75" s="20" t="s">
        <v>109</v>
      </c>
      <c r="C75" s="20" t="s">
        <v>2798</v>
      </c>
      <c r="D75" s="20" t="s">
        <v>3262</v>
      </c>
      <c r="E75" s="20" t="s">
        <v>3263</v>
      </c>
      <c r="F75" s="20" t="s">
        <v>2833</v>
      </c>
      <c r="G75" s="20" t="s">
        <v>3264</v>
      </c>
      <c r="H75" s="22" t="n">
        <v>46.9</v>
      </c>
      <c r="I75" s="22" t="n">
        <v>46.9</v>
      </c>
      <c r="J75" s="22" t="n">
        <f aca="false">H75-I75</f>
        <v>0</v>
      </c>
      <c r="K75" s="20" t="str">
        <f aca="false">IF(ABS(J75)&lt;0.001,"MATCH - PAPER CHECK-IN NOT SUPPLIED","DATA MISMATCH")</f>
        <v>MATCH - PAPER CHECK-IN NOT SUPPLIED</v>
      </c>
      <c r="L75" s="22" t="n">
        <v>24</v>
      </c>
      <c r="M75" s="22" t="n">
        <f aca="false">ROUNDUP(H75,0)</f>
        <v>47</v>
      </c>
      <c r="N75" s="24" t="n">
        <f aca="false">MAX(L75,M75)</f>
        <v>47</v>
      </c>
      <c r="O75" s="25" t="n">
        <v>7.55</v>
      </c>
      <c r="P75" s="25" t="n">
        <f aca="false">N75*O75</f>
        <v>354.85</v>
      </c>
      <c r="Q75" s="23" t="s">
        <v>3265</v>
      </c>
      <c r="R75" s="23" t="s">
        <v>2804</v>
      </c>
      <c r="S75" s="24" t="n">
        <v>47</v>
      </c>
      <c r="T75" s="25" t="n">
        <v>7.55</v>
      </c>
      <c r="U75" s="25" t="n">
        <v>354.85</v>
      </c>
      <c r="V75" s="25" t="n">
        <f aca="false">P75-U75</f>
        <v>0</v>
      </c>
      <c r="W75" s="25" t="n">
        <f aca="false">V75*12</f>
        <v>0</v>
      </c>
      <c r="X75" s="23" t="str">
        <f aca="false">IF(Q75="","MISSING FROM EXPORT",IF(ABS(V75)&lt;0.005,"CLEAR",IF(V75&gt;0,"UNDERBILLING","OVERBILLING")))</f>
        <v>CLEAR</v>
      </c>
      <c r="Y75" s="25" t="n">
        <f aca="false">IF(F75="COMMERCIAL",ROUND(P75*0.35,2),0)</f>
        <v>0</v>
      </c>
      <c r="Z75" s="23" t="str">
        <f aca="false">IF(F75="COMMERCIAL","VERIFY SIGNED AGREEMENT","NO EXCEPTION")</f>
        <v>NO EXCEPTION</v>
      </c>
      <c r="AA75" s="23" t="str">
        <f aca="false">IF(AND(C75="covered",N75&gt;40),"COVERED &gt;40 FT","")</f>
        <v/>
      </c>
      <c r="AB75" s="23" t="s">
        <v>3266</v>
      </c>
      <c r="AC75" s="23" t="s">
        <v>3267</v>
      </c>
      <c r="AD75" s="23" t="s">
        <v>2807</v>
      </c>
    </row>
    <row r="76" customFormat="false" ht="17.9" hidden="false" customHeight="false" outlineLevel="0" collapsed="false">
      <c r="A76" s="20" t="s">
        <v>3268</v>
      </c>
      <c r="B76" s="20" t="s">
        <v>109</v>
      </c>
      <c r="C76" s="20" t="s">
        <v>2798</v>
      </c>
      <c r="D76" s="20" t="s">
        <v>3269</v>
      </c>
      <c r="E76" s="20" t="s">
        <v>3270</v>
      </c>
      <c r="F76" s="20" t="s">
        <v>2898</v>
      </c>
      <c r="G76" s="20" t="s">
        <v>3271</v>
      </c>
      <c r="H76" s="22" t="n">
        <v>29.4</v>
      </c>
      <c r="I76" s="22" t="n">
        <v>29.4</v>
      </c>
      <c r="J76" s="22" t="n">
        <f aca="false">H76-I76</f>
        <v>0</v>
      </c>
      <c r="K76" s="20" t="str">
        <f aca="false">IF(ABS(J76)&lt;0.001,"MATCH - PAPER CHECK-IN NOT SUPPLIED","DATA MISMATCH")</f>
        <v>MATCH - PAPER CHECK-IN NOT SUPPLIED</v>
      </c>
      <c r="L76" s="22" t="n">
        <v>40</v>
      </c>
      <c r="M76" s="22" t="n">
        <f aca="false">ROUNDUP(H76,0)</f>
        <v>30</v>
      </c>
      <c r="N76" s="24" t="n">
        <f aca="false">MAX(L76,M76)</f>
        <v>40</v>
      </c>
      <c r="O76" s="25" t="n">
        <v>7.55</v>
      </c>
      <c r="P76" s="25" t="n">
        <f aca="false">N76*O76</f>
        <v>302</v>
      </c>
      <c r="Q76" s="23" t="s">
        <v>3272</v>
      </c>
      <c r="R76" s="23" t="s">
        <v>2804</v>
      </c>
      <c r="S76" s="24" t="n">
        <v>40</v>
      </c>
      <c r="T76" s="25" t="n">
        <v>7.55</v>
      </c>
      <c r="U76" s="25" t="n">
        <v>302</v>
      </c>
      <c r="V76" s="25" t="n">
        <f aca="false">P76-U76</f>
        <v>0</v>
      </c>
      <c r="W76" s="25" t="n">
        <f aca="false">V76*12</f>
        <v>0</v>
      </c>
      <c r="X76" s="23" t="str">
        <f aca="false">IF(Q76="","MISSING FROM EXPORT",IF(ABS(V76)&lt;0.005,"CLEAR",IF(V76&gt;0,"UNDERBILLING","OVERBILLING")))</f>
        <v>CLEAR</v>
      </c>
      <c r="Y76" s="25" t="n">
        <f aca="false">IF(F76="COMMERCIAL",ROUND(P76*0.35,2),0)</f>
        <v>0</v>
      </c>
      <c r="Z76" s="23" t="str">
        <f aca="false">IF(F76="COMMERCIAL","VERIFY SIGNED AGREEMENT","NO EXCEPTION")</f>
        <v>NO EXCEPTION</v>
      </c>
      <c r="AA76" s="23" t="str">
        <f aca="false">IF(AND(C76="covered",N76&gt;40),"COVERED &gt;40 FT","")</f>
        <v/>
      </c>
      <c r="AB76" s="23" t="s">
        <v>3273</v>
      </c>
      <c r="AC76" s="23" t="s">
        <v>3274</v>
      </c>
      <c r="AD76" s="23" t="s">
        <v>2807</v>
      </c>
    </row>
    <row r="77" customFormat="false" ht="17.9" hidden="false" customHeight="false" outlineLevel="0" collapsed="false">
      <c r="A77" s="20" t="s">
        <v>3275</v>
      </c>
      <c r="B77" s="20" t="s">
        <v>109</v>
      </c>
      <c r="C77" s="20" t="s">
        <v>2798</v>
      </c>
      <c r="D77" s="20" t="s">
        <v>1276</v>
      </c>
      <c r="E77" s="20" t="s">
        <v>3276</v>
      </c>
      <c r="F77" s="20" t="s">
        <v>2810</v>
      </c>
      <c r="G77" s="20" t="s">
        <v>3277</v>
      </c>
      <c r="H77" s="22" t="n">
        <v>31.1</v>
      </c>
      <c r="I77" s="22" t="n">
        <v>31.1</v>
      </c>
      <c r="J77" s="22" t="n">
        <f aca="false">H77-I77</f>
        <v>0</v>
      </c>
      <c r="K77" s="20" t="str">
        <f aca="false">IF(ABS(J77)&lt;0.001,"MATCH - PAPER CHECK-IN NOT SUPPLIED","DATA MISMATCH")</f>
        <v>MATCH - PAPER CHECK-IN NOT SUPPLIED</v>
      </c>
      <c r="L77" s="22" t="n">
        <v>45</v>
      </c>
      <c r="M77" s="22" t="n">
        <f aca="false">ROUNDUP(H77,0)</f>
        <v>32</v>
      </c>
      <c r="N77" s="24" t="n">
        <f aca="false">MAX(L77,M77)</f>
        <v>45</v>
      </c>
      <c r="O77" s="25" t="n">
        <v>7.55</v>
      </c>
      <c r="P77" s="25" t="n">
        <f aca="false">N77*O77</f>
        <v>339.75</v>
      </c>
      <c r="Q77" s="23" t="s">
        <v>3278</v>
      </c>
      <c r="R77" s="23" t="s">
        <v>2804</v>
      </c>
      <c r="S77" s="24" t="n">
        <v>45</v>
      </c>
      <c r="T77" s="25" t="n">
        <v>7.55</v>
      </c>
      <c r="U77" s="25" t="n">
        <v>339.75</v>
      </c>
      <c r="V77" s="25" t="n">
        <f aca="false">P77-U77</f>
        <v>0</v>
      </c>
      <c r="W77" s="25" t="n">
        <f aca="false">V77*12</f>
        <v>0</v>
      </c>
      <c r="X77" s="23" t="str">
        <f aca="false">IF(Q77="","MISSING FROM EXPORT",IF(ABS(V77)&lt;0.005,"CLEAR",IF(V77&gt;0,"UNDERBILLING","OVERBILLING")))</f>
        <v>CLEAR</v>
      </c>
      <c r="Y77" s="25" t="n">
        <f aca="false">IF(F77="COMMERCIAL",ROUND(P77*0.35,2),0)</f>
        <v>0</v>
      </c>
      <c r="Z77" s="23" t="str">
        <f aca="false">IF(F77="COMMERCIAL","VERIFY SIGNED AGREEMENT","NO EXCEPTION")</f>
        <v>NO EXCEPTION</v>
      </c>
      <c r="AA77" s="23" t="str">
        <f aca="false">IF(AND(C77="covered",N77&gt;40),"COVERED &gt;40 FT","")</f>
        <v/>
      </c>
      <c r="AB77" s="23" t="s">
        <v>3279</v>
      </c>
      <c r="AC77" s="23" t="s">
        <v>3280</v>
      </c>
      <c r="AD77" s="23" t="s">
        <v>2807</v>
      </c>
    </row>
    <row r="78" customFormat="false" ht="17.9" hidden="false" customHeight="false" outlineLevel="0" collapsed="false">
      <c r="A78" s="20" t="s">
        <v>3281</v>
      </c>
      <c r="B78" s="20" t="s">
        <v>109</v>
      </c>
      <c r="C78" s="20" t="s">
        <v>2798</v>
      </c>
      <c r="D78" s="20" t="s">
        <v>3282</v>
      </c>
      <c r="E78" s="20" t="s">
        <v>3283</v>
      </c>
      <c r="F78" s="20" t="s">
        <v>2857</v>
      </c>
      <c r="G78" s="20" t="s">
        <v>3284</v>
      </c>
      <c r="H78" s="22" t="n">
        <v>59.4</v>
      </c>
      <c r="I78" s="22" t="n">
        <v>59.4</v>
      </c>
      <c r="J78" s="22" t="n">
        <f aca="false">H78-I78</f>
        <v>0</v>
      </c>
      <c r="K78" s="20" t="str">
        <f aca="false">IF(ABS(J78)&lt;0.001,"MATCH - PAPER CHECK-IN NOT SUPPLIED","DATA MISMATCH")</f>
        <v>MATCH - PAPER CHECK-IN NOT SUPPLIED</v>
      </c>
      <c r="L78" s="22" t="n">
        <v>28</v>
      </c>
      <c r="M78" s="22" t="n">
        <f aca="false">ROUNDUP(H78,0)</f>
        <v>60</v>
      </c>
      <c r="N78" s="24" t="n">
        <f aca="false">MAX(L78,M78)</f>
        <v>60</v>
      </c>
      <c r="O78" s="25" t="n">
        <v>7.55</v>
      </c>
      <c r="P78" s="25" t="n">
        <f aca="false">N78*O78</f>
        <v>453</v>
      </c>
      <c r="Q78" s="23" t="s">
        <v>3285</v>
      </c>
      <c r="R78" s="23" t="s">
        <v>2804</v>
      </c>
      <c r="S78" s="24" t="n">
        <v>60</v>
      </c>
      <c r="T78" s="25" t="n">
        <v>7.55</v>
      </c>
      <c r="U78" s="25" t="n">
        <v>453</v>
      </c>
      <c r="V78" s="25" t="n">
        <f aca="false">P78-U78</f>
        <v>0</v>
      </c>
      <c r="W78" s="25" t="n">
        <f aca="false">V78*12</f>
        <v>0</v>
      </c>
      <c r="X78" s="23" t="str">
        <f aca="false">IF(Q78="","MISSING FROM EXPORT",IF(ABS(V78)&lt;0.005,"CLEAR",IF(V78&gt;0,"UNDERBILLING","OVERBILLING")))</f>
        <v>CLEAR</v>
      </c>
      <c r="Y78" s="25" t="n">
        <f aca="false">IF(F78="COMMERCIAL",ROUND(P78*0.35,2),0)</f>
        <v>0</v>
      </c>
      <c r="Z78" s="23" t="str">
        <f aca="false">IF(F78="COMMERCIAL","VERIFY SIGNED AGREEMENT","NO EXCEPTION")</f>
        <v>NO EXCEPTION</v>
      </c>
      <c r="AA78" s="23" t="str">
        <f aca="false">IF(AND(C78="covered",N78&gt;40),"COVERED &gt;40 FT","")</f>
        <v/>
      </c>
      <c r="AB78" s="23" t="s">
        <v>3286</v>
      </c>
      <c r="AC78" s="23" t="s">
        <v>3287</v>
      </c>
      <c r="AD78" s="23" t="s">
        <v>2807</v>
      </c>
    </row>
    <row r="79" customFormat="false" ht="17.9" hidden="false" customHeight="false" outlineLevel="0" collapsed="false">
      <c r="A79" s="20" t="s">
        <v>3288</v>
      </c>
      <c r="B79" s="20" t="s">
        <v>109</v>
      </c>
      <c r="C79" s="20" t="s">
        <v>2798</v>
      </c>
      <c r="D79" s="20" t="s">
        <v>1012</v>
      </c>
      <c r="E79" s="20" t="s">
        <v>1013</v>
      </c>
      <c r="F79" s="20" t="s">
        <v>2833</v>
      </c>
      <c r="G79" s="20" t="s">
        <v>3289</v>
      </c>
      <c r="H79" s="22" t="n">
        <v>51.6</v>
      </c>
      <c r="I79" s="22" t="n">
        <v>51.6</v>
      </c>
      <c r="J79" s="22" t="n">
        <f aca="false">H79-I79</f>
        <v>0</v>
      </c>
      <c r="K79" s="20" t="str">
        <f aca="false">IF(ABS(J79)&lt;0.001,"MATCH - PAPER CHECK-IN NOT SUPPLIED","DATA MISMATCH")</f>
        <v>MATCH - PAPER CHECK-IN NOT SUPPLIED</v>
      </c>
      <c r="L79" s="22" t="n">
        <v>70</v>
      </c>
      <c r="M79" s="22" t="n">
        <f aca="false">ROUNDUP(H79,0)</f>
        <v>52</v>
      </c>
      <c r="N79" s="24" t="n">
        <f aca="false">MAX(L79,M79)</f>
        <v>70</v>
      </c>
      <c r="O79" s="25" t="n">
        <v>7.55</v>
      </c>
      <c r="P79" s="25" t="n">
        <f aca="false">N79*O79</f>
        <v>528.5</v>
      </c>
      <c r="Q79" s="23" t="s">
        <v>3290</v>
      </c>
      <c r="R79" s="23" t="s">
        <v>2804</v>
      </c>
      <c r="S79" s="24" t="n">
        <v>70</v>
      </c>
      <c r="T79" s="25" t="n">
        <v>7.55</v>
      </c>
      <c r="U79" s="25" t="n">
        <v>528.5</v>
      </c>
      <c r="V79" s="25" t="n">
        <f aca="false">P79-U79</f>
        <v>0</v>
      </c>
      <c r="W79" s="25" t="n">
        <f aca="false">V79*12</f>
        <v>0</v>
      </c>
      <c r="X79" s="23" t="str">
        <f aca="false">IF(Q79="","MISSING FROM EXPORT",IF(ABS(V79)&lt;0.005,"CLEAR",IF(V79&gt;0,"UNDERBILLING","OVERBILLING")))</f>
        <v>CLEAR</v>
      </c>
      <c r="Y79" s="25" t="n">
        <f aca="false">IF(F79="COMMERCIAL",ROUND(P79*0.35,2),0)</f>
        <v>0</v>
      </c>
      <c r="Z79" s="23" t="str">
        <f aca="false">IF(F79="COMMERCIAL","VERIFY SIGNED AGREEMENT","NO EXCEPTION")</f>
        <v>NO EXCEPTION</v>
      </c>
      <c r="AA79" s="23" t="str">
        <f aca="false">IF(AND(C79="covered",N79&gt;40),"COVERED &gt;40 FT","")</f>
        <v/>
      </c>
      <c r="AB79" s="23" t="s">
        <v>3291</v>
      </c>
      <c r="AC79" s="23" t="s">
        <v>3292</v>
      </c>
      <c r="AD79" s="23" t="s">
        <v>2807</v>
      </c>
    </row>
    <row r="80" customFormat="false" ht="17.9" hidden="false" customHeight="false" outlineLevel="0" collapsed="false">
      <c r="A80" s="20" t="s">
        <v>3293</v>
      </c>
      <c r="B80" s="20" t="s">
        <v>109</v>
      </c>
      <c r="C80" s="20" t="s">
        <v>2798</v>
      </c>
      <c r="D80" s="20" t="s">
        <v>3294</v>
      </c>
      <c r="E80" s="20" t="s">
        <v>3295</v>
      </c>
      <c r="F80" s="20" t="s">
        <v>2833</v>
      </c>
      <c r="G80" s="20" t="s">
        <v>3296</v>
      </c>
      <c r="H80" s="22" t="n">
        <v>44.8</v>
      </c>
      <c r="I80" s="22" t="n">
        <v>44.8</v>
      </c>
      <c r="J80" s="22" t="n">
        <f aca="false">H80-I80</f>
        <v>0</v>
      </c>
      <c r="K80" s="20" t="str">
        <f aca="false">IF(ABS(J80)&lt;0.001,"MATCH - PAPER CHECK-IN NOT SUPPLIED","DATA MISMATCH")</f>
        <v>MATCH - PAPER CHECK-IN NOT SUPPLIED</v>
      </c>
      <c r="L80" s="22" t="n">
        <v>32</v>
      </c>
      <c r="M80" s="22" t="n">
        <f aca="false">ROUNDUP(H80,0)</f>
        <v>45</v>
      </c>
      <c r="N80" s="24" t="n">
        <f aca="false">MAX(L80,M80)</f>
        <v>45</v>
      </c>
      <c r="O80" s="25" t="n">
        <v>7.55</v>
      </c>
      <c r="P80" s="25" t="n">
        <f aca="false">N80*O80</f>
        <v>339.75</v>
      </c>
      <c r="Q80" s="23" t="s">
        <v>3297</v>
      </c>
      <c r="R80" s="23" t="s">
        <v>2804</v>
      </c>
      <c r="S80" s="24" t="n">
        <v>45</v>
      </c>
      <c r="T80" s="25" t="n">
        <v>7.55</v>
      </c>
      <c r="U80" s="25" t="n">
        <v>339.75</v>
      </c>
      <c r="V80" s="25" t="n">
        <f aca="false">P80-U80</f>
        <v>0</v>
      </c>
      <c r="W80" s="25" t="n">
        <f aca="false">V80*12</f>
        <v>0</v>
      </c>
      <c r="X80" s="23" t="str">
        <f aca="false">IF(Q80="","MISSING FROM EXPORT",IF(ABS(V80)&lt;0.005,"CLEAR",IF(V80&gt;0,"UNDERBILLING","OVERBILLING")))</f>
        <v>CLEAR</v>
      </c>
      <c r="Y80" s="25" t="n">
        <f aca="false">IF(F80="COMMERCIAL",ROUND(P80*0.35,2),0)</f>
        <v>0</v>
      </c>
      <c r="Z80" s="23" t="str">
        <f aca="false">IF(F80="COMMERCIAL","VERIFY SIGNED AGREEMENT","NO EXCEPTION")</f>
        <v>NO EXCEPTION</v>
      </c>
      <c r="AA80" s="23" t="str">
        <f aca="false">IF(AND(C80="covered",N80&gt;40),"COVERED &gt;40 FT","")</f>
        <v/>
      </c>
      <c r="AB80" s="23" t="s">
        <v>3298</v>
      </c>
      <c r="AC80" s="23" t="s">
        <v>3299</v>
      </c>
      <c r="AD80" s="23" t="s">
        <v>2807</v>
      </c>
    </row>
    <row r="81" customFormat="false" ht="17.9" hidden="false" customHeight="false" outlineLevel="0" collapsed="false">
      <c r="A81" s="20" t="s">
        <v>3300</v>
      </c>
      <c r="B81" s="20" t="s">
        <v>109</v>
      </c>
      <c r="C81" s="20" t="s">
        <v>2798</v>
      </c>
      <c r="D81" s="20" t="s">
        <v>3301</v>
      </c>
      <c r="E81" s="20" t="s">
        <v>3302</v>
      </c>
      <c r="F81" s="20" t="s">
        <v>2818</v>
      </c>
      <c r="G81" s="20" t="s">
        <v>3303</v>
      </c>
      <c r="H81" s="22" t="n">
        <v>26.8</v>
      </c>
      <c r="I81" s="22" t="n">
        <v>26.8</v>
      </c>
      <c r="J81" s="22" t="n">
        <f aca="false">H81-I81</f>
        <v>0</v>
      </c>
      <c r="K81" s="20" t="str">
        <f aca="false">IF(ABS(J81)&lt;0.001,"MATCH - PAPER CHECK-IN NOT SUPPLIED","DATA MISMATCH")</f>
        <v>MATCH - PAPER CHECK-IN NOT SUPPLIED</v>
      </c>
      <c r="L81" s="22" t="n">
        <v>70</v>
      </c>
      <c r="M81" s="22" t="n">
        <f aca="false">ROUNDUP(H81,0)</f>
        <v>27</v>
      </c>
      <c r="N81" s="24" t="n">
        <f aca="false">MAX(L81,M81)</f>
        <v>70</v>
      </c>
      <c r="O81" s="25" t="n">
        <v>7.55</v>
      </c>
      <c r="P81" s="25" t="n">
        <f aca="false">N81*O81</f>
        <v>528.5</v>
      </c>
      <c r="Q81" s="23" t="s">
        <v>3304</v>
      </c>
      <c r="R81" s="23" t="s">
        <v>2804</v>
      </c>
      <c r="S81" s="24" t="n">
        <v>70</v>
      </c>
      <c r="T81" s="25" t="n">
        <v>7.55</v>
      </c>
      <c r="U81" s="25" t="n">
        <v>528.5</v>
      </c>
      <c r="V81" s="25" t="n">
        <f aca="false">P81-U81</f>
        <v>0</v>
      </c>
      <c r="W81" s="25" t="n">
        <f aca="false">V81*12</f>
        <v>0</v>
      </c>
      <c r="X81" s="23" t="str">
        <f aca="false">IF(Q81="","MISSING FROM EXPORT",IF(ABS(V81)&lt;0.005,"CLEAR",IF(V81&gt;0,"UNDERBILLING","OVERBILLING")))</f>
        <v>CLEAR</v>
      </c>
      <c r="Y81" s="25" t="n">
        <f aca="false">IF(F81="COMMERCIAL",ROUND(P81*0.35,2),0)</f>
        <v>0</v>
      </c>
      <c r="Z81" s="23" t="str">
        <f aca="false">IF(F81="COMMERCIAL","VERIFY SIGNED AGREEMENT","NO EXCEPTION")</f>
        <v>NO EXCEPTION</v>
      </c>
      <c r="AA81" s="23" t="str">
        <f aca="false">IF(AND(C81="covered",N81&gt;40),"COVERED &gt;40 FT","")</f>
        <v/>
      </c>
      <c r="AB81" s="23" t="s">
        <v>3305</v>
      </c>
      <c r="AC81" s="23" t="s">
        <v>3306</v>
      </c>
      <c r="AD81" s="23" t="s">
        <v>2807</v>
      </c>
    </row>
    <row r="82" customFormat="false" ht="17.9" hidden="false" customHeight="false" outlineLevel="0" collapsed="false">
      <c r="A82" s="20" t="s">
        <v>3307</v>
      </c>
      <c r="B82" s="20" t="s">
        <v>109</v>
      </c>
      <c r="C82" s="20" t="s">
        <v>2798</v>
      </c>
      <c r="D82" s="20" t="s">
        <v>3308</v>
      </c>
      <c r="E82" s="20" t="s">
        <v>3309</v>
      </c>
      <c r="F82" s="20" t="s">
        <v>2857</v>
      </c>
      <c r="G82" s="20" t="s">
        <v>3310</v>
      </c>
      <c r="H82" s="22" t="n">
        <v>42.5</v>
      </c>
      <c r="I82" s="22" t="n">
        <v>42.5</v>
      </c>
      <c r="J82" s="22" t="n">
        <f aca="false">H82-I82</f>
        <v>0</v>
      </c>
      <c r="K82" s="20" t="str">
        <f aca="false">IF(ABS(J82)&lt;0.001,"MATCH - PAPER CHECK-IN NOT SUPPLIED","DATA MISMATCH")</f>
        <v>MATCH - PAPER CHECK-IN NOT SUPPLIED</v>
      </c>
      <c r="L82" s="22" t="n">
        <v>70</v>
      </c>
      <c r="M82" s="22" t="n">
        <f aca="false">ROUNDUP(H82,0)</f>
        <v>43</v>
      </c>
      <c r="N82" s="24" t="n">
        <f aca="false">MAX(L82,M82)</f>
        <v>70</v>
      </c>
      <c r="O82" s="25" t="n">
        <v>7.55</v>
      </c>
      <c r="P82" s="25" t="n">
        <f aca="false">N82*O82</f>
        <v>528.5</v>
      </c>
      <c r="Q82" s="23" t="s">
        <v>3311</v>
      </c>
      <c r="R82" s="23" t="s">
        <v>2804</v>
      </c>
      <c r="S82" s="24" t="n">
        <v>70</v>
      </c>
      <c r="T82" s="25" t="n">
        <v>7.55</v>
      </c>
      <c r="U82" s="25" t="n">
        <v>528.5</v>
      </c>
      <c r="V82" s="25" t="n">
        <f aca="false">P82-U82</f>
        <v>0</v>
      </c>
      <c r="W82" s="25" t="n">
        <f aca="false">V82*12</f>
        <v>0</v>
      </c>
      <c r="X82" s="23" t="str">
        <f aca="false">IF(Q82="","MISSING FROM EXPORT",IF(ABS(V82)&lt;0.005,"CLEAR",IF(V82&gt;0,"UNDERBILLING","OVERBILLING")))</f>
        <v>CLEAR</v>
      </c>
      <c r="Y82" s="25" t="n">
        <f aca="false">IF(F82="COMMERCIAL",ROUND(P82*0.35,2),0)</f>
        <v>0</v>
      </c>
      <c r="Z82" s="23" t="str">
        <f aca="false">IF(F82="COMMERCIAL","VERIFY SIGNED AGREEMENT","NO EXCEPTION")</f>
        <v>NO EXCEPTION</v>
      </c>
      <c r="AA82" s="23" t="str">
        <f aca="false">IF(AND(C82="covered",N82&gt;40),"COVERED &gt;40 FT","")</f>
        <v/>
      </c>
      <c r="AB82" s="23" t="s">
        <v>3312</v>
      </c>
      <c r="AC82" s="23" t="s">
        <v>3313</v>
      </c>
      <c r="AD82" s="23" t="s">
        <v>2807</v>
      </c>
    </row>
    <row r="83" customFormat="false" ht="17.9" hidden="false" customHeight="false" outlineLevel="0" collapsed="false">
      <c r="A83" s="20" t="s">
        <v>3314</v>
      </c>
      <c r="B83" s="20" t="s">
        <v>109</v>
      </c>
      <c r="C83" s="20" t="s">
        <v>2798</v>
      </c>
      <c r="D83" s="20" t="s">
        <v>3315</v>
      </c>
      <c r="E83" s="20" t="s">
        <v>3316</v>
      </c>
      <c r="F83" s="20" t="s">
        <v>2869</v>
      </c>
      <c r="G83" s="20" t="s">
        <v>3317</v>
      </c>
      <c r="H83" s="22" t="n">
        <v>58.8</v>
      </c>
      <c r="I83" s="22" t="n">
        <v>58.8</v>
      </c>
      <c r="J83" s="22" t="n">
        <f aca="false">H83-I83</f>
        <v>0</v>
      </c>
      <c r="K83" s="20" t="str">
        <f aca="false">IF(ABS(J83)&lt;0.001,"MATCH - PAPER CHECK-IN NOT SUPPLIED","DATA MISMATCH")</f>
        <v>MATCH - PAPER CHECK-IN NOT SUPPLIED</v>
      </c>
      <c r="L83" s="22" t="n">
        <v>70</v>
      </c>
      <c r="M83" s="22" t="n">
        <f aca="false">ROUNDUP(H83,0)</f>
        <v>59</v>
      </c>
      <c r="N83" s="24" t="n">
        <f aca="false">MAX(L83,M83)</f>
        <v>70</v>
      </c>
      <c r="O83" s="25" t="n">
        <v>7.55</v>
      </c>
      <c r="P83" s="25" t="n">
        <f aca="false">N83*O83</f>
        <v>528.5</v>
      </c>
      <c r="Q83" s="23" t="s">
        <v>3318</v>
      </c>
      <c r="R83" s="23" t="s">
        <v>2804</v>
      </c>
      <c r="S83" s="24" t="n">
        <v>70</v>
      </c>
      <c r="T83" s="25" t="n">
        <v>7.55</v>
      </c>
      <c r="U83" s="25" t="n">
        <v>528.5</v>
      </c>
      <c r="V83" s="25" t="n">
        <f aca="false">P83-U83</f>
        <v>0</v>
      </c>
      <c r="W83" s="25" t="n">
        <f aca="false">V83*12</f>
        <v>0</v>
      </c>
      <c r="X83" s="23" t="str">
        <f aca="false">IF(Q83="","MISSING FROM EXPORT",IF(ABS(V83)&lt;0.005,"CLEAR",IF(V83&gt;0,"UNDERBILLING","OVERBILLING")))</f>
        <v>CLEAR</v>
      </c>
      <c r="Y83" s="25" t="n">
        <f aca="false">IF(F83="COMMERCIAL",ROUND(P83*0.35,2),0)</f>
        <v>0</v>
      </c>
      <c r="Z83" s="23" t="str">
        <f aca="false">IF(F83="COMMERCIAL","VERIFY SIGNED AGREEMENT","NO EXCEPTION")</f>
        <v>NO EXCEPTION</v>
      </c>
      <c r="AA83" s="23" t="str">
        <f aca="false">IF(AND(C83="covered",N83&gt;40),"COVERED &gt;40 FT","")</f>
        <v/>
      </c>
      <c r="AB83" s="23" t="s">
        <v>3319</v>
      </c>
      <c r="AC83" s="23" t="s">
        <v>3320</v>
      </c>
      <c r="AD83" s="23" t="s">
        <v>2807</v>
      </c>
    </row>
    <row r="84" customFormat="false" ht="17.9" hidden="false" customHeight="false" outlineLevel="0" collapsed="false">
      <c r="A84" s="20" t="s">
        <v>3321</v>
      </c>
      <c r="B84" s="20" t="s">
        <v>109</v>
      </c>
      <c r="C84" s="20" t="s">
        <v>2798</v>
      </c>
      <c r="D84" s="20" t="s">
        <v>3322</v>
      </c>
      <c r="E84" s="20" t="s">
        <v>3323</v>
      </c>
      <c r="F84" s="20" t="s">
        <v>2833</v>
      </c>
      <c r="G84" s="20" t="s">
        <v>3324</v>
      </c>
      <c r="H84" s="22" t="n">
        <v>20.6</v>
      </c>
      <c r="I84" s="22" t="n">
        <v>20.6</v>
      </c>
      <c r="J84" s="22" t="n">
        <f aca="false">H84-I84</f>
        <v>0</v>
      </c>
      <c r="K84" s="20" t="str">
        <f aca="false">IF(ABS(J84)&lt;0.001,"MATCH - PAPER CHECK-IN NOT SUPPLIED","DATA MISMATCH")</f>
        <v>MATCH - PAPER CHECK-IN NOT SUPPLIED</v>
      </c>
      <c r="L84" s="22" t="n">
        <v>40</v>
      </c>
      <c r="M84" s="22" t="n">
        <f aca="false">ROUNDUP(H84,0)</f>
        <v>21</v>
      </c>
      <c r="N84" s="24" t="n">
        <f aca="false">MAX(L84,M84)</f>
        <v>40</v>
      </c>
      <c r="O84" s="25" t="n">
        <v>7.55</v>
      </c>
      <c r="P84" s="25" t="n">
        <f aca="false">N84*O84</f>
        <v>302</v>
      </c>
      <c r="Q84" s="23" t="s">
        <v>3325</v>
      </c>
      <c r="R84" s="23" t="s">
        <v>2804</v>
      </c>
      <c r="S84" s="24" t="n">
        <v>40</v>
      </c>
      <c r="T84" s="25" t="n">
        <v>7.55</v>
      </c>
      <c r="U84" s="25" t="n">
        <v>302</v>
      </c>
      <c r="V84" s="25" t="n">
        <f aca="false">P84-U84</f>
        <v>0</v>
      </c>
      <c r="W84" s="25" t="n">
        <f aca="false">V84*12</f>
        <v>0</v>
      </c>
      <c r="X84" s="23" t="str">
        <f aca="false">IF(Q84="","MISSING FROM EXPORT",IF(ABS(V84)&lt;0.005,"CLEAR",IF(V84&gt;0,"UNDERBILLING","OVERBILLING")))</f>
        <v>CLEAR</v>
      </c>
      <c r="Y84" s="25" t="n">
        <f aca="false">IF(F84="COMMERCIAL",ROUND(P84*0.35,2),0)</f>
        <v>0</v>
      </c>
      <c r="Z84" s="23" t="str">
        <f aca="false">IF(F84="COMMERCIAL","VERIFY SIGNED AGREEMENT","NO EXCEPTION")</f>
        <v>NO EXCEPTION</v>
      </c>
      <c r="AA84" s="23" t="str">
        <f aca="false">IF(AND(C84="covered",N84&gt;40),"COVERED &gt;40 FT","")</f>
        <v/>
      </c>
      <c r="AB84" s="23" t="s">
        <v>3326</v>
      </c>
      <c r="AC84" s="23" t="s">
        <v>3327</v>
      </c>
      <c r="AD84" s="23" t="s">
        <v>2807</v>
      </c>
    </row>
    <row r="85" customFormat="false" ht="17.9" hidden="false" customHeight="false" outlineLevel="0" collapsed="false">
      <c r="A85" s="20" t="s">
        <v>1238</v>
      </c>
      <c r="B85" s="20" t="s">
        <v>109</v>
      </c>
      <c r="C85" s="20" t="s">
        <v>2798</v>
      </c>
      <c r="D85" s="20" t="s">
        <v>3328</v>
      </c>
      <c r="E85" s="20" t="s">
        <v>3329</v>
      </c>
      <c r="F85" s="20" t="s">
        <v>2857</v>
      </c>
      <c r="G85" s="20" t="s">
        <v>3330</v>
      </c>
      <c r="H85" s="22" t="n">
        <v>42.4</v>
      </c>
      <c r="I85" s="22" t="n">
        <v>42.4</v>
      </c>
      <c r="J85" s="22" t="n">
        <f aca="false">H85-I85</f>
        <v>0</v>
      </c>
      <c r="K85" s="20" t="str">
        <f aca="false">IF(ABS(J85)&lt;0.001,"MATCH - PAPER CHECK-IN NOT SUPPLIED","DATA MISMATCH")</f>
        <v>MATCH - PAPER CHECK-IN NOT SUPPLIED</v>
      </c>
      <c r="L85" s="22" t="n">
        <v>24</v>
      </c>
      <c r="M85" s="22" t="n">
        <f aca="false">ROUNDUP(H85,0)</f>
        <v>43</v>
      </c>
      <c r="N85" s="24" t="n">
        <f aca="false">MAX(L85,M85)</f>
        <v>43</v>
      </c>
      <c r="O85" s="25" t="n">
        <v>7.55</v>
      </c>
      <c r="P85" s="25" t="n">
        <f aca="false">N85*O85</f>
        <v>324.65</v>
      </c>
      <c r="Q85" s="23" t="s">
        <v>3331</v>
      </c>
      <c r="R85" s="23" t="s">
        <v>2804</v>
      </c>
      <c r="S85" s="24" t="n">
        <v>43</v>
      </c>
      <c r="T85" s="25" t="n">
        <v>7.55</v>
      </c>
      <c r="U85" s="25" t="n">
        <v>324.65</v>
      </c>
      <c r="V85" s="25" t="n">
        <f aca="false">P85-U85</f>
        <v>0</v>
      </c>
      <c r="W85" s="25" t="n">
        <f aca="false">V85*12</f>
        <v>0</v>
      </c>
      <c r="X85" s="23" t="str">
        <f aca="false">IF(Q85="","MISSING FROM EXPORT",IF(ABS(V85)&lt;0.005,"CLEAR",IF(V85&gt;0,"UNDERBILLING","OVERBILLING")))</f>
        <v>CLEAR</v>
      </c>
      <c r="Y85" s="25" t="n">
        <f aca="false">IF(F85="COMMERCIAL",ROUND(P85*0.35,2),0)</f>
        <v>0</v>
      </c>
      <c r="Z85" s="23" t="str">
        <f aca="false">IF(F85="COMMERCIAL","VERIFY SIGNED AGREEMENT","NO EXCEPTION")</f>
        <v>NO EXCEPTION</v>
      </c>
      <c r="AA85" s="23" t="str">
        <f aca="false">IF(AND(C85="covered",N85&gt;40),"COVERED &gt;40 FT","")</f>
        <v/>
      </c>
      <c r="AB85" s="23" t="s">
        <v>3332</v>
      </c>
      <c r="AC85" s="23" t="s">
        <v>3333</v>
      </c>
      <c r="AD85" s="23" t="s">
        <v>2807</v>
      </c>
    </row>
    <row r="86" customFormat="false" ht="17.9" hidden="false" customHeight="false" outlineLevel="0" collapsed="false">
      <c r="A86" s="20" t="s">
        <v>3334</v>
      </c>
      <c r="B86" s="20" t="s">
        <v>109</v>
      </c>
      <c r="C86" s="20" t="s">
        <v>2798</v>
      </c>
      <c r="D86" s="20" t="s">
        <v>3335</v>
      </c>
      <c r="E86" s="20" t="s">
        <v>3336</v>
      </c>
      <c r="F86" s="20" t="s">
        <v>2857</v>
      </c>
      <c r="G86" s="20" t="s">
        <v>3337</v>
      </c>
      <c r="H86" s="22" t="n">
        <v>33.7</v>
      </c>
      <c r="I86" s="22" t="n">
        <v>33.7</v>
      </c>
      <c r="J86" s="22" t="n">
        <f aca="false">H86-I86</f>
        <v>0</v>
      </c>
      <c r="K86" s="20" t="str">
        <f aca="false">IF(ABS(J86)&lt;0.001,"MATCH - PAPER CHECK-IN NOT SUPPLIED","DATA MISMATCH")</f>
        <v>MATCH - PAPER CHECK-IN NOT SUPPLIED</v>
      </c>
      <c r="L86" s="22" t="n">
        <v>24</v>
      </c>
      <c r="M86" s="22" t="n">
        <f aca="false">ROUNDUP(H86,0)</f>
        <v>34</v>
      </c>
      <c r="N86" s="24" t="n">
        <f aca="false">MAX(L86,M86)</f>
        <v>34</v>
      </c>
      <c r="O86" s="25" t="n">
        <v>7.55</v>
      </c>
      <c r="P86" s="25" t="n">
        <f aca="false">N86*O86</f>
        <v>256.7</v>
      </c>
      <c r="Q86" s="23" t="s">
        <v>3338</v>
      </c>
      <c r="R86" s="23" t="s">
        <v>2804</v>
      </c>
      <c r="S86" s="24" t="n">
        <v>34</v>
      </c>
      <c r="T86" s="25" t="n">
        <v>7.55</v>
      </c>
      <c r="U86" s="25" t="n">
        <v>256.7</v>
      </c>
      <c r="V86" s="25" t="n">
        <f aca="false">P86-U86</f>
        <v>0</v>
      </c>
      <c r="W86" s="25" t="n">
        <f aca="false">V86*12</f>
        <v>0</v>
      </c>
      <c r="X86" s="23" t="str">
        <f aca="false">IF(Q86="","MISSING FROM EXPORT",IF(ABS(V86)&lt;0.005,"CLEAR",IF(V86&gt;0,"UNDERBILLING","OVERBILLING")))</f>
        <v>CLEAR</v>
      </c>
      <c r="Y86" s="25" t="n">
        <f aca="false">IF(F86="COMMERCIAL",ROUND(P86*0.35,2),0)</f>
        <v>0</v>
      </c>
      <c r="Z86" s="23" t="str">
        <f aca="false">IF(F86="COMMERCIAL","VERIFY SIGNED AGREEMENT","NO EXCEPTION")</f>
        <v>NO EXCEPTION</v>
      </c>
      <c r="AA86" s="23" t="str">
        <f aca="false">IF(AND(C86="covered",N86&gt;40),"COVERED &gt;40 FT","")</f>
        <v/>
      </c>
      <c r="AB86" s="23" t="s">
        <v>3339</v>
      </c>
      <c r="AC86" s="23" t="s">
        <v>3340</v>
      </c>
      <c r="AD86" s="23" t="s">
        <v>2807</v>
      </c>
    </row>
    <row r="87" customFormat="false" ht="17.9" hidden="false" customHeight="false" outlineLevel="0" collapsed="false">
      <c r="A87" s="20" t="s">
        <v>3341</v>
      </c>
      <c r="B87" s="20" t="s">
        <v>109</v>
      </c>
      <c r="C87" s="20" t="s">
        <v>2798</v>
      </c>
      <c r="D87" s="20" t="s">
        <v>3342</v>
      </c>
      <c r="E87" s="20" t="s">
        <v>3343</v>
      </c>
      <c r="F87" s="20" t="s">
        <v>2801</v>
      </c>
      <c r="G87" s="20" t="s">
        <v>3344</v>
      </c>
      <c r="H87" s="22" t="n">
        <v>56.9</v>
      </c>
      <c r="I87" s="22" t="n">
        <v>56.9</v>
      </c>
      <c r="J87" s="22" t="n">
        <f aca="false">H87-I87</f>
        <v>0</v>
      </c>
      <c r="K87" s="20" t="str">
        <f aca="false">IF(ABS(J87)&lt;0.001,"MATCH - PAPER CHECK-IN NOT SUPPLIED","DATA MISMATCH")</f>
        <v>MATCH - PAPER CHECK-IN NOT SUPPLIED</v>
      </c>
      <c r="L87" s="22" t="n">
        <v>28</v>
      </c>
      <c r="M87" s="22" t="n">
        <f aca="false">ROUNDUP(H87,0)</f>
        <v>57</v>
      </c>
      <c r="N87" s="24" t="n">
        <f aca="false">MAX(L87,M87)</f>
        <v>57</v>
      </c>
      <c r="O87" s="25" t="n">
        <v>7.55</v>
      </c>
      <c r="P87" s="25" t="n">
        <f aca="false">N87*O87</f>
        <v>430.35</v>
      </c>
      <c r="Q87" s="23" t="s">
        <v>3345</v>
      </c>
      <c r="R87" s="23" t="s">
        <v>2804</v>
      </c>
      <c r="S87" s="24" t="n">
        <v>57</v>
      </c>
      <c r="T87" s="25" t="n">
        <v>7.55</v>
      </c>
      <c r="U87" s="25" t="n">
        <v>430.35</v>
      </c>
      <c r="V87" s="25" t="n">
        <f aca="false">P87-U87</f>
        <v>0</v>
      </c>
      <c r="W87" s="25" t="n">
        <f aca="false">V87*12</f>
        <v>0</v>
      </c>
      <c r="X87" s="23" t="str">
        <f aca="false">IF(Q87="","MISSING FROM EXPORT",IF(ABS(V87)&lt;0.005,"CLEAR",IF(V87&gt;0,"UNDERBILLING","OVERBILLING")))</f>
        <v>CLEAR</v>
      </c>
      <c r="Y87" s="25" t="n">
        <f aca="false">IF(F87="COMMERCIAL",ROUND(P87*0.35,2),0)</f>
        <v>0</v>
      </c>
      <c r="Z87" s="23" t="str">
        <f aca="false">IF(F87="COMMERCIAL","VERIFY SIGNED AGREEMENT","NO EXCEPTION")</f>
        <v>NO EXCEPTION</v>
      </c>
      <c r="AA87" s="23" t="str">
        <f aca="false">IF(AND(C87="covered",N87&gt;40),"COVERED &gt;40 FT","")</f>
        <v/>
      </c>
      <c r="AB87" s="23" t="s">
        <v>3346</v>
      </c>
      <c r="AC87" s="23" t="s">
        <v>3347</v>
      </c>
      <c r="AD87" s="23" t="s">
        <v>2807</v>
      </c>
    </row>
    <row r="88" customFormat="false" ht="17.9" hidden="false" customHeight="false" outlineLevel="0" collapsed="false">
      <c r="A88" s="20" t="s">
        <v>3348</v>
      </c>
      <c r="B88" s="20" t="s">
        <v>109</v>
      </c>
      <c r="C88" s="20" t="s">
        <v>2798</v>
      </c>
      <c r="D88" s="20" t="s">
        <v>3349</v>
      </c>
      <c r="E88" s="20" t="s">
        <v>3350</v>
      </c>
      <c r="F88" s="20" t="s">
        <v>2869</v>
      </c>
      <c r="G88" s="20" t="s">
        <v>3351</v>
      </c>
      <c r="H88" s="22" t="n">
        <v>58</v>
      </c>
      <c r="I88" s="22" t="n">
        <v>58</v>
      </c>
      <c r="J88" s="22" t="n">
        <f aca="false">H88-I88</f>
        <v>0</v>
      </c>
      <c r="K88" s="20" t="str">
        <f aca="false">IF(ABS(J88)&lt;0.001,"MATCH - PAPER CHECK-IN NOT SUPPLIED","DATA MISMATCH")</f>
        <v>MATCH - PAPER CHECK-IN NOT SUPPLIED</v>
      </c>
      <c r="L88" s="22" t="n">
        <v>24</v>
      </c>
      <c r="M88" s="22" t="n">
        <f aca="false">ROUNDUP(H88,0)</f>
        <v>58</v>
      </c>
      <c r="N88" s="24" t="n">
        <f aca="false">MAX(L88,M88)</f>
        <v>58</v>
      </c>
      <c r="O88" s="25" t="n">
        <v>7.55</v>
      </c>
      <c r="P88" s="25" t="n">
        <f aca="false">N88*O88</f>
        <v>437.9</v>
      </c>
      <c r="Q88" s="23" t="s">
        <v>3352</v>
      </c>
      <c r="R88" s="23" t="s">
        <v>2804</v>
      </c>
      <c r="S88" s="24" t="n">
        <v>58</v>
      </c>
      <c r="T88" s="25" t="n">
        <v>7.55</v>
      </c>
      <c r="U88" s="25" t="n">
        <v>437.9</v>
      </c>
      <c r="V88" s="25" t="n">
        <f aca="false">P88-U88</f>
        <v>0</v>
      </c>
      <c r="W88" s="25" t="n">
        <f aca="false">V88*12</f>
        <v>0</v>
      </c>
      <c r="X88" s="23" t="str">
        <f aca="false">IF(Q88="","MISSING FROM EXPORT",IF(ABS(V88)&lt;0.005,"CLEAR",IF(V88&gt;0,"UNDERBILLING","OVERBILLING")))</f>
        <v>CLEAR</v>
      </c>
      <c r="Y88" s="25" t="n">
        <f aca="false">IF(F88="COMMERCIAL",ROUND(P88*0.35,2),0)</f>
        <v>0</v>
      </c>
      <c r="Z88" s="23" t="str">
        <f aca="false">IF(F88="COMMERCIAL","VERIFY SIGNED AGREEMENT","NO EXCEPTION")</f>
        <v>NO EXCEPTION</v>
      </c>
      <c r="AA88" s="23" t="str">
        <f aca="false">IF(AND(C88="covered",N88&gt;40),"COVERED &gt;40 FT","")</f>
        <v/>
      </c>
      <c r="AB88" s="23" t="s">
        <v>3353</v>
      </c>
      <c r="AC88" s="23" t="s">
        <v>3354</v>
      </c>
      <c r="AD88" s="23" t="s">
        <v>2807</v>
      </c>
    </row>
    <row r="89" customFormat="false" ht="17.9" hidden="false" customHeight="false" outlineLevel="0" collapsed="false">
      <c r="A89" s="20" t="s">
        <v>3355</v>
      </c>
      <c r="B89" s="20" t="s">
        <v>109</v>
      </c>
      <c r="C89" s="20" t="s">
        <v>2798</v>
      </c>
      <c r="D89" s="20" t="s">
        <v>1484</v>
      </c>
      <c r="E89" s="20" t="s">
        <v>1485</v>
      </c>
      <c r="F89" s="20" t="s">
        <v>2857</v>
      </c>
      <c r="G89" s="20" t="s">
        <v>3356</v>
      </c>
      <c r="H89" s="22" t="n">
        <v>36.5</v>
      </c>
      <c r="I89" s="22" t="n">
        <v>36.5</v>
      </c>
      <c r="J89" s="22" t="n">
        <f aca="false">H89-I89</f>
        <v>0</v>
      </c>
      <c r="K89" s="20" t="str">
        <f aca="false">IF(ABS(J89)&lt;0.001,"MATCH - PAPER CHECK-IN NOT SUPPLIED","DATA MISMATCH")</f>
        <v>MATCH - PAPER CHECK-IN NOT SUPPLIED</v>
      </c>
      <c r="L89" s="22" t="n">
        <v>45</v>
      </c>
      <c r="M89" s="22" t="n">
        <f aca="false">ROUNDUP(H89,0)</f>
        <v>37</v>
      </c>
      <c r="N89" s="24" t="n">
        <f aca="false">MAX(L89,M89)</f>
        <v>45</v>
      </c>
      <c r="O89" s="25" t="n">
        <v>7.55</v>
      </c>
      <c r="P89" s="25" t="n">
        <f aca="false">N89*O89</f>
        <v>339.75</v>
      </c>
      <c r="Q89" s="23" t="s">
        <v>3357</v>
      </c>
      <c r="R89" s="23" t="s">
        <v>2804</v>
      </c>
      <c r="S89" s="24" t="n">
        <v>45</v>
      </c>
      <c r="T89" s="25" t="n">
        <v>7.55</v>
      </c>
      <c r="U89" s="25" t="n">
        <v>339.75</v>
      </c>
      <c r="V89" s="25" t="n">
        <f aca="false">P89-U89</f>
        <v>0</v>
      </c>
      <c r="W89" s="25" t="n">
        <f aca="false">V89*12</f>
        <v>0</v>
      </c>
      <c r="X89" s="23" t="str">
        <f aca="false">IF(Q89="","MISSING FROM EXPORT",IF(ABS(V89)&lt;0.005,"CLEAR",IF(V89&gt;0,"UNDERBILLING","OVERBILLING")))</f>
        <v>CLEAR</v>
      </c>
      <c r="Y89" s="25" t="n">
        <f aca="false">IF(F89="COMMERCIAL",ROUND(P89*0.35,2),0)</f>
        <v>0</v>
      </c>
      <c r="Z89" s="23" t="str">
        <f aca="false">IF(F89="COMMERCIAL","VERIFY SIGNED AGREEMENT","NO EXCEPTION")</f>
        <v>NO EXCEPTION</v>
      </c>
      <c r="AA89" s="23" t="str">
        <f aca="false">IF(AND(C89="covered",N89&gt;40),"COVERED &gt;40 FT","")</f>
        <v/>
      </c>
      <c r="AB89" s="23" t="s">
        <v>3358</v>
      </c>
      <c r="AC89" s="23" t="s">
        <v>3359</v>
      </c>
      <c r="AD89" s="23" t="s">
        <v>2807</v>
      </c>
    </row>
    <row r="90" customFormat="false" ht="17.9" hidden="false" customHeight="false" outlineLevel="0" collapsed="false">
      <c r="A90" s="20" t="s">
        <v>3360</v>
      </c>
      <c r="B90" s="20" t="s">
        <v>109</v>
      </c>
      <c r="C90" s="20" t="s">
        <v>2798</v>
      </c>
      <c r="D90" s="20" t="s">
        <v>2281</v>
      </c>
      <c r="E90" s="20" t="s">
        <v>3361</v>
      </c>
      <c r="F90" s="20" t="s">
        <v>2934</v>
      </c>
      <c r="G90" s="20" t="s">
        <v>3362</v>
      </c>
      <c r="H90" s="22" t="n">
        <v>21.8</v>
      </c>
      <c r="I90" s="22" t="n">
        <v>21.8</v>
      </c>
      <c r="J90" s="22" t="n">
        <f aca="false">H90-I90</f>
        <v>0</v>
      </c>
      <c r="K90" s="20" t="str">
        <f aca="false">IF(ABS(J90)&lt;0.001,"MATCH - PAPER CHECK-IN NOT SUPPLIED","DATA MISMATCH")</f>
        <v>MATCH - PAPER CHECK-IN NOT SUPPLIED</v>
      </c>
      <c r="L90" s="22" t="n">
        <v>32</v>
      </c>
      <c r="M90" s="22" t="n">
        <f aca="false">ROUNDUP(H90,0)</f>
        <v>22</v>
      </c>
      <c r="N90" s="24" t="n">
        <f aca="false">MAX(L90,M90)</f>
        <v>32</v>
      </c>
      <c r="O90" s="25" t="n">
        <v>7.55</v>
      </c>
      <c r="P90" s="25" t="n">
        <f aca="false">N90*O90</f>
        <v>241.6</v>
      </c>
      <c r="Q90" s="23" t="s">
        <v>3363</v>
      </c>
      <c r="R90" s="23" t="s">
        <v>2804</v>
      </c>
      <c r="S90" s="24" t="n">
        <v>32</v>
      </c>
      <c r="T90" s="25" t="n">
        <v>7.55</v>
      </c>
      <c r="U90" s="25" t="n">
        <v>241.6</v>
      </c>
      <c r="V90" s="25" t="n">
        <f aca="false">P90-U90</f>
        <v>0</v>
      </c>
      <c r="W90" s="25" t="n">
        <f aca="false">V90*12</f>
        <v>0</v>
      </c>
      <c r="X90" s="23" t="str">
        <f aca="false">IF(Q90="","MISSING FROM EXPORT",IF(ABS(V90)&lt;0.005,"CLEAR",IF(V90&gt;0,"UNDERBILLING","OVERBILLING")))</f>
        <v>CLEAR</v>
      </c>
      <c r="Y90" s="25" t="n">
        <f aca="false">IF(F90="COMMERCIAL",ROUND(P90*0.35,2),0)</f>
        <v>84.56</v>
      </c>
      <c r="Z90" s="23" t="str">
        <f aca="false">IF(F90="COMMERCIAL","VERIFY SIGNED AGREEMENT","NO EXCEPTION")</f>
        <v>VERIFY SIGNED AGREEMENT</v>
      </c>
      <c r="AA90" s="23" t="str">
        <f aca="false">IF(AND(C90="covered",N90&gt;40),"COVERED &gt;40 FT","")</f>
        <v/>
      </c>
      <c r="AB90" s="23" t="s">
        <v>3364</v>
      </c>
      <c r="AC90" s="23" t="s">
        <v>3365</v>
      </c>
      <c r="AD90" s="23" t="s">
        <v>2807</v>
      </c>
    </row>
    <row r="91" customFormat="false" ht="17.9" hidden="false" customHeight="false" outlineLevel="0" collapsed="false">
      <c r="A91" s="20" t="s">
        <v>1563</v>
      </c>
      <c r="B91" s="20" t="s">
        <v>109</v>
      </c>
      <c r="C91" s="20" t="s">
        <v>2798</v>
      </c>
      <c r="D91" s="20" t="s">
        <v>311</v>
      </c>
      <c r="E91" s="20" t="s">
        <v>312</v>
      </c>
      <c r="F91" s="20" t="s">
        <v>2857</v>
      </c>
      <c r="G91" s="20" t="s">
        <v>3366</v>
      </c>
      <c r="H91" s="22" t="n">
        <v>26.2</v>
      </c>
      <c r="I91" s="22" t="n">
        <v>26.2</v>
      </c>
      <c r="J91" s="22" t="n">
        <f aca="false">H91-I91</f>
        <v>0</v>
      </c>
      <c r="K91" s="20" t="str">
        <f aca="false">IF(ABS(J91)&lt;0.001,"MATCH - PAPER CHECK-IN NOT SUPPLIED","DATA MISMATCH")</f>
        <v>MATCH - PAPER CHECK-IN NOT SUPPLIED</v>
      </c>
      <c r="L91" s="22" t="n">
        <v>36</v>
      </c>
      <c r="M91" s="22" t="n">
        <f aca="false">ROUNDUP(H91,0)</f>
        <v>27</v>
      </c>
      <c r="N91" s="24" t="n">
        <f aca="false">MAX(L91,M91)</f>
        <v>36</v>
      </c>
      <c r="O91" s="25" t="n">
        <v>7.55</v>
      </c>
      <c r="P91" s="25" t="n">
        <f aca="false">N91*O91</f>
        <v>271.8</v>
      </c>
      <c r="Q91" s="23" t="s">
        <v>3367</v>
      </c>
      <c r="R91" s="23" t="s">
        <v>2804</v>
      </c>
      <c r="S91" s="24" t="n">
        <v>36</v>
      </c>
      <c r="T91" s="25" t="n">
        <v>7.55</v>
      </c>
      <c r="U91" s="25" t="n">
        <v>271.8</v>
      </c>
      <c r="V91" s="25" t="n">
        <f aca="false">P91-U91</f>
        <v>0</v>
      </c>
      <c r="W91" s="25" t="n">
        <f aca="false">V91*12</f>
        <v>0</v>
      </c>
      <c r="X91" s="23" t="str">
        <f aca="false">IF(Q91="","MISSING FROM EXPORT",IF(ABS(V91)&lt;0.005,"CLEAR",IF(V91&gt;0,"UNDERBILLING","OVERBILLING")))</f>
        <v>CLEAR</v>
      </c>
      <c r="Y91" s="25" t="n">
        <f aca="false">IF(F91="COMMERCIAL",ROUND(P91*0.35,2),0)</f>
        <v>0</v>
      </c>
      <c r="Z91" s="23" t="str">
        <f aca="false">IF(F91="COMMERCIAL","VERIFY SIGNED AGREEMENT","NO EXCEPTION")</f>
        <v>NO EXCEPTION</v>
      </c>
      <c r="AA91" s="23" t="str">
        <f aca="false">IF(AND(C91="covered",N91&gt;40),"COVERED &gt;40 FT","")</f>
        <v/>
      </c>
      <c r="AB91" s="23" t="s">
        <v>3368</v>
      </c>
      <c r="AC91" s="23" t="s">
        <v>3369</v>
      </c>
      <c r="AD91" s="23" t="s">
        <v>2807</v>
      </c>
    </row>
    <row r="92" customFormat="false" ht="17.9" hidden="false" customHeight="false" outlineLevel="0" collapsed="false">
      <c r="A92" s="20" t="s">
        <v>3370</v>
      </c>
      <c r="B92" s="20" t="s">
        <v>109</v>
      </c>
      <c r="C92" s="20" t="s">
        <v>2798</v>
      </c>
      <c r="D92" s="20" t="s">
        <v>3371</v>
      </c>
      <c r="E92" s="20" t="s">
        <v>3372</v>
      </c>
      <c r="F92" s="20" t="s">
        <v>2818</v>
      </c>
      <c r="G92" s="20" t="s">
        <v>3373</v>
      </c>
      <c r="H92" s="22" t="n">
        <v>37.2</v>
      </c>
      <c r="I92" s="22" t="n">
        <v>37.2</v>
      </c>
      <c r="J92" s="22" t="n">
        <f aca="false">H92-I92</f>
        <v>0</v>
      </c>
      <c r="K92" s="20" t="str">
        <f aca="false">IF(ABS(J92)&lt;0.001,"MATCH - PAPER CHECK-IN NOT SUPPLIED","DATA MISMATCH")</f>
        <v>MATCH - PAPER CHECK-IN NOT SUPPLIED</v>
      </c>
      <c r="L92" s="22" t="n">
        <v>70</v>
      </c>
      <c r="M92" s="22" t="n">
        <f aca="false">ROUNDUP(H92,0)</f>
        <v>38</v>
      </c>
      <c r="N92" s="24" t="n">
        <f aca="false">MAX(L92,M92)</f>
        <v>70</v>
      </c>
      <c r="O92" s="25" t="n">
        <v>7.55</v>
      </c>
      <c r="P92" s="25" t="n">
        <f aca="false">N92*O92</f>
        <v>528.5</v>
      </c>
      <c r="Q92" s="23" t="s">
        <v>3374</v>
      </c>
      <c r="R92" s="23" t="s">
        <v>2804</v>
      </c>
      <c r="S92" s="24" t="n">
        <v>70</v>
      </c>
      <c r="T92" s="25" t="n">
        <v>7.55</v>
      </c>
      <c r="U92" s="25" t="n">
        <v>528.5</v>
      </c>
      <c r="V92" s="25" t="n">
        <f aca="false">P92-U92</f>
        <v>0</v>
      </c>
      <c r="W92" s="25" t="n">
        <f aca="false">V92*12</f>
        <v>0</v>
      </c>
      <c r="X92" s="23" t="str">
        <f aca="false">IF(Q92="","MISSING FROM EXPORT",IF(ABS(V92)&lt;0.005,"CLEAR",IF(V92&gt;0,"UNDERBILLING","OVERBILLING")))</f>
        <v>CLEAR</v>
      </c>
      <c r="Y92" s="25" t="n">
        <f aca="false">IF(F92="COMMERCIAL",ROUND(P92*0.35,2),0)</f>
        <v>0</v>
      </c>
      <c r="Z92" s="23" t="str">
        <f aca="false">IF(F92="COMMERCIAL","VERIFY SIGNED AGREEMENT","NO EXCEPTION")</f>
        <v>NO EXCEPTION</v>
      </c>
      <c r="AA92" s="23" t="str">
        <f aca="false">IF(AND(C92="covered",N92&gt;40),"COVERED &gt;40 FT","")</f>
        <v/>
      </c>
      <c r="AB92" s="23" t="s">
        <v>3375</v>
      </c>
      <c r="AC92" s="23" t="s">
        <v>3376</v>
      </c>
      <c r="AD92" s="23" t="s">
        <v>2807</v>
      </c>
    </row>
    <row r="93" customFormat="false" ht="17.9" hidden="false" customHeight="false" outlineLevel="0" collapsed="false">
      <c r="A93" s="20" t="s">
        <v>3377</v>
      </c>
      <c r="B93" s="20" t="s">
        <v>109</v>
      </c>
      <c r="C93" s="20" t="s">
        <v>2798</v>
      </c>
      <c r="D93" s="20" t="s">
        <v>3378</v>
      </c>
      <c r="E93" s="20" t="s">
        <v>3379</v>
      </c>
      <c r="F93" s="20" t="s">
        <v>2833</v>
      </c>
      <c r="G93" s="20" t="s">
        <v>3380</v>
      </c>
      <c r="H93" s="22" t="n">
        <v>51.9</v>
      </c>
      <c r="I93" s="22" t="n">
        <v>51.9</v>
      </c>
      <c r="J93" s="22" t="n">
        <f aca="false">H93-I93</f>
        <v>0</v>
      </c>
      <c r="K93" s="20" t="str">
        <f aca="false">IF(ABS(J93)&lt;0.001,"MATCH - PAPER CHECK-IN NOT SUPPLIED","DATA MISMATCH")</f>
        <v>MATCH - PAPER CHECK-IN NOT SUPPLIED</v>
      </c>
      <c r="L93" s="22" t="n">
        <v>45</v>
      </c>
      <c r="M93" s="22" t="n">
        <f aca="false">ROUNDUP(H93,0)</f>
        <v>52</v>
      </c>
      <c r="N93" s="24" t="n">
        <f aca="false">MAX(L93,M93)</f>
        <v>52</v>
      </c>
      <c r="O93" s="25" t="n">
        <v>7.55</v>
      </c>
      <c r="P93" s="25" t="n">
        <f aca="false">N93*O93</f>
        <v>392.6</v>
      </c>
      <c r="Q93" s="23" t="s">
        <v>3381</v>
      </c>
      <c r="R93" s="23" t="s">
        <v>2804</v>
      </c>
      <c r="S93" s="24" t="n">
        <v>52</v>
      </c>
      <c r="T93" s="25" t="n">
        <v>7.55</v>
      </c>
      <c r="U93" s="25" t="n">
        <v>392.6</v>
      </c>
      <c r="V93" s="25" t="n">
        <f aca="false">P93-U93</f>
        <v>0</v>
      </c>
      <c r="W93" s="25" t="n">
        <f aca="false">V93*12</f>
        <v>0</v>
      </c>
      <c r="X93" s="23" t="str">
        <f aca="false">IF(Q93="","MISSING FROM EXPORT",IF(ABS(V93)&lt;0.005,"CLEAR",IF(V93&gt;0,"UNDERBILLING","OVERBILLING")))</f>
        <v>CLEAR</v>
      </c>
      <c r="Y93" s="25" t="n">
        <f aca="false">IF(F93="COMMERCIAL",ROUND(P93*0.35,2),0)</f>
        <v>0</v>
      </c>
      <c r="Z93" s="23" t="str">
        <f aca="false">IF(F93="COMMERCIAL","VERIFY SIGNED AGREEMENT","NO EXCEPTION")</f>
        <v>NO EXCEPTION</v>
      </c>
      <c r="AA93" s="23" t="str">
        <f aca="false">IF(AND(C93="covered",N93&gt;40),"COVERED &gt;40 FT","")</f>
        <v/>
      </c>
      <c r="AB93" s="23" t="s">
        <v>3382</v>
      </c>
      <c r="AC93" s="23" t="s">
        <v>3383</v>
      </c>
      <c r="AD93" s="23" t="s">
        <v>2807</v>
      </c>
    </row>
    <row r="94" customFormat="false" ht="17.9" hidden="false" customHeight="false" outlineLevel="0" collapsed="false">
      <c r="A94" s="20" t="s">
        <v>3384</v>
      </c>
      <c r="B94" s="20" t="s">
        <v>109</v>
      </c>
      <c r="C94" s="20" t="s">
        <v>2798</v>
      </c>
      <c r="D94" s="20" t="s">
        <v>3385</v>
      </c>
      <c r="E94" s="20" t="s">
        <v>3386</v>
      </c>
      <c r="F94" s="20" t="s">
        <v>2833</v>
      </c>
      <c r="G94" s="20" t="s">
        <v>3387</v>
      </c>
      <c r="H94" s="22" t="n">
        <v>46.4</v>
      </c>
      <c r="I94" s="22" t="n">
        <v>46.4</v>
      </c>
      <c r="J94" s="22" t="n">
        <f aca="false">H94-I94</f>
        <v>0</v>
      </c>
      <c r="K94" s="20" t="str">
        <f aca="false">IF(ABS(J94)&lt;0.001,"MATCH - PAPER CHECK-IN NOT SUPPLIED","DATA MISMATCH")</f>
        <v>MATCH - PAPER CHECK-IN NOT SUPPLIED</v>
      </c>
      <c r="L94" s="22" t="n">
        <v>32</v>
      </c>
      <c r="M94" s="22" t="n">
        <f aca="false">ROUNDUP(H94,0)</f>
        <v>47</v>
      </c>
      <c r="N94" s="24" t="n">
        <f aca="false">MAX(L94,M94)</f>
        <v>47</v>
      </c>
      <c r="O94" s="25" t="n">
        <v>7.55</v>
      </c>
      <c r="P94" s="25" t="n">
        <f aca="false">N94*O94</f>
        <v>354.85</v>
      </c>
      <c r="Q94" s="23" t="s">
        <v>3388</v>
      </c>
      <c r="R94" s="23" t="s">
        <v>2804</v>
      </c>
      <c r="S94" s="24" t="n">
        <v>47</v>
      </c>
      <c r="T94" s="25" t="n">
        <v>7.55</v>
      </c>
      <c r="U94" s="25" t="n">
        <v>354.85</v>
      </c>
      <c r="V94" s="25" t="n">
        <f aca="false">P94-U94</f>
        <v>0</v>
      </c>
      <c r="W94" s="25" t="n">
        <f aca="false">V94*12</f>
        <v>0</v>
      </c>
      <c r="X94" s="23" t="str">
        <f aca="false">IF(Q94="","MISSING FROM EXPORT",IF(ABS(V94)&lt;0.005,"CLEAR",IF(V94&gt;0,"UNDERBILLING","OVERBILLING")))</f>
        <v>CLEAR</v>
      </c>
      <c r="Y94" s="25" t="n">
        <f aca="false">IF(F94="COMMERCIAL",ROUND(P94*0.35,2),0)</f>
        <v>0</v>
      </c>
      <c r="Z94" s="23" t="str">
        <f aca="false">IF(F94="COMMERCIAL","VERIFY SIGNED AGREEMENT","NO EXCEPTION")</f>
        <v>NO EXCEPTION</v>
      </c>
      <c r="AA94" s="23" t="str">
        <f aca="false">IF(AND(C94="covered",N94&gt;40),"COVERED &gt;40 FT","")</f>
        <v/>
      </c>
      <c r="AB94" s="23" t="s">
        <v>3389</v>
      </c>
      <c r="AC94" s="23" t="s">
        <v>3390</v>
      </c>
      <c r="AD94" s="23" t="s">
        <v>2807</v>
      </c>
    </row>
    <row r="95" customFormat="false" ht="17.9" hidden="false" customHeight="false" outlineLevel="0" collapsed="false">
      <c r="A95" s="20" t="s">
        <v>3391</v>
      </c>
      <c r="B95" s="20" t="s">
        <v>109</v>
      </c>
      <c r="C95" s="20" t="s">
        <v>2798</v>
      </c>
      <c r="D95" s="20" t="s">
        <v>3392</v>
      </c>
      <c r="E95" s="20" t="s">
        <v>3393</v>
      </c>
      <c r="F95" s="20" t="s">
        <v>2934</v>
      </c>
      <c r="G95" s="20" t="s">
        <v>3394</v>
      </c>
      <c r="H95" s="22" t="n">
        <v>58.9</v>
      </c>
      <c r="I95" s="22" t="n">
        <v>58.9</v>
      </c>
      <c r="J95" s="22" t="n">
        <f aca="false">H95-I95</f>
        <v>0</v>
      </c>
      <c r="K95" s="20" t="str">
        <f aca="false">IF(ABS(J95)&lt;0.001,"MATCH - PAPER CHECK-IN NOT SUPPLIED","DATA MISMATCH")</f>
        <v>MATCH - PAPER CHECK-IN NOT SUPPLIED</v>
      </c>
      <c r="L95" s="22" t="n">
        <v>36</v>
      </c>
      <c r="M95" s="22" t="n">
        <f aca="false">ROUNDUP(H95,0)</f>
        <v>59</v>
      </c>
      <c r="N95" s="24" t="n">
        <f aca="false">MAX(L95,M95)</f>
        <v>59</v>
      </c>
      <c r="O95" s="25" t="n">
        <v>7.55</v>
      </c>
      <c r="P95" s="25" t="n">
        <f aca="false">N95*O95</f>
        <v>445.45</v>
      </c>
      <c r="Q95" s="23" t="s">
        <v>3395</v>
      </c>
      <c r="R95" s="23" t="s">
        <v>2804</v>
      </c>
      <c r="S95" s="24" t="n">
        <v>59</v>
      </c>
      <c r="T95" s="25" t="n">
        <v>7.55</v>
      </c>
      <c r="U95" s="25" t="n">
        <v>445.45</v>
      </c>
      <c r="V95" s="25" t="n">
        <f aca="false">P95-U95</f>
        <v>0</v>
      </c>
      <c r="W95" s="25" t="n">
        <f aca="false">V95*12</f>
        <v>0</v>
      </c>
      <c r="X95" s="23" t="str">
        <f aca="false">IF(Q95="","MISSING FROM EXPORT",IF(ABS(V95)&lt;0.005,"CLEAR",IF(V95&gt;0,"UNDERBILLING","OVERBILLING")))</f>
        <v>CLEAR</v>
      </c>
      <c r="Y95" s="25" t="n">
        <f aca="false">IF(F95="COMMERCIAL",ROUND(P95*0.35,2),0)</f>
        <v>155.91</v>
      </c>
      <c r="Z95" s="23" t="str">
        <f aca="false">IF(F95="COMMERCIAL","VERIFY SIGNED AGREEMENT","NO EXCEPTION")</f>
        <v>VERIFY SIGNED AGREEMENT</v>
      </c>
      <c r="AA95" s="23" t="str">
        <f aca="false">IF(AND(C95="covered",N95&gt;40),"COVERED &gt;40 FT","")</f>
        <v/>
      </c>
      <c r="AB95" s="23" t="s">
        <v>3396</v>
      </c>
      <c r="AC95" s="23" t="s">
        <v>3397</v>
      </c>
      <c r="AD95" s="23" t="s">
        <v>2807</v>
      </c>
    </row>
    <row r="96" customFormat="false" ht="17.9" hidden="false" customHeight="false" outlineLevel="0" collapsed="false">
      <c r="A96" s="20" t="s">
        <v>3398</v>
      </c>
      <c r="B96" s="20" t="s">
        <v>109</v>
      </c>
      <c r="C96" s="20" t="s">
        <v>2798</v>
      </c>
      <c r="D96" s="20" t="s">
        <v>3399</v>
      </c>
      <c r="E96" s="20" t="s">
        <v>3400</v>
      </c>
      <c r="F96" s="20" t="s">
        <v>2934</v>
      </c>
      <c r="G96" s="20" t="s">
        <v>3401</v>
      </c>
      <c r="H96" s="22" t="n">
        <v>54.2</v>
      </c>
      <c r="I96" s="22" t="n">
        <v>54.2</v>
      </c>
      <c r="J96" s="22" t="n">
        <f aca="false">H96-I96</f>
        <v>0</v>
      </c>
      <c r="K96" s="20" t="str">
        <f aca="false">IF(ABS(J96)&lt;0.001,"MATCH - PAPER CHECK-IN NOT SUPPLIED","DATA MISMATCH")</f>
        <v>MATCH - PAPER CHECK-IN NOT SUPPLIED</v>
      </c>
      <c r="L96" s="22" t="n">
        <v>28</v>
      </c>
      <c r="M96" s="22" t="n">
        <f aca="false">ROUNDUP(H96,0)</f>
        <v>55</v>
      </c>
      <c r="N96" s="24" t="n">
        <f aca="false">MAX(L96,M96)</f>
        <v>55</v>
      </c>
      <c r="O96" s="25" t="n">
        <v>7.55</v>
      </c>
      <c r="P96" s="25" t="n">
        <f aca="false">N96*O96</f>
        <v>415.25</v>
      </c>
      <c r="Q96" s="23" t="s">
        <v>3402</v>
      </c>
      <c r="R96" s="23" t="s">
        <v>2804</v>
      </c>
      <c r="S96" s="24" t="n">
        <v>55</v>
      </c>
      <c r="T96" s="25" t="n">
        <v>7.55</v>
      </c>
      <c r="U96" s="25" t="n">
        <v>415.25</v>
      </c>
      <c r="V96" s="25" t="n">
        <f aca="false">P96-U96</f>
        <v>0</v>
      </c>
      <c r="W96" s="25" t="n">
        <f aca="false">V96*12</f>
        <v>0</v>
      </c>
      <c r="X96" s="23" t="str">
        <f aca="false">IF(Q96="","MISSING FROM EXPORT",IF(ABS(V96)&lt;0.005,"CLEAR",IF(V96&gt;0,"UNDERBILLING","OVERBILLING")))</f>
        <v>CLEAR</v>
      </c>
      <c r="Y96" s="25" t="n">
        <f aca="false">IF(F96="COMMERCIAL",ROUND(P96*0.35,2),0)</f>
        <v>145.34</v>
      </c>
      <c r="Z96" s="23" t="str">
        <f aca="false">IF(F96="COMMERCIAL","VERIFY SIGNED AGREEMENT","NO EXCEPTION")</f>
        <v>VERIFY SIGNED AGREEMENT</v>
      </c>
      <c r="AA96" s="23" t="str">
        <f aca="false">IF(AND(C96="covered",N96&gt;40),"COVERED &gt;40 FT","")</f>
        <v/>
      </c>
      <c r="AB96" s="23" t="s">
        <v>3403</v>
      </c>
      <c r="AC96" s="23" t="s">
        <v>3404</v>
      </c>
      <c r="AD96" s="23" t="s">
        <v>2807</v>
      </c>
    </row>
    <row r="97" customFormat="false" ht="17.9" hidden="false" customHeight="false" outlineLevel="0" collapsed="false">
      <c r="A97" s="20" t="s">
        <v>3405</v>
      </c>
      <c r="B97" s="20" t="s">
        <v>109</v>
      </c>
      <c r="C97" s="20" t="s">
        <v>2798</v>
      </c>
      <c r="D97" s="20" t="s">
        <v>3406</v>
      </c>
      <c r="E97" s="20" t="s">
        <v>3407</v>
      </c>
      <c r="F97" s="20" t="s">
        <v>2898</v>
      </c>
      <c r="G97" s="20" t="s">
        <v>3408</v>
      </c>
      <c r="H97" s="22" t="n">
        <v>26.2</v>
      </c>
      <c r="I97" s="22" t="n">
        <v>26.2</v>
      </c>
      <c r="J97" s="22" t="n">
        <f aca="false">H97-I97</f>
        <v>0</v>
      </c>
      <c r="K97" s="20" t="str">
        <f aca="false">IF(ABS(J97)&lt;0.001,"MATCH - PAPER CHECK-IN NOT SUPPLIED","DATA MISMATCH")</f>
        <v>MATCH - PAPER CHECK-IN NOT SUPPLIED</v>
      </c>
      <c r="L97" s="22" t="n">
        <v>32</v>
      </c>
      <c r="M97" s="22" t="n">
        <f aca="false">ROUNDUP(H97,0)</f>
        <v>27</v>
      </c>
      <c r="N97" s="24" t="n">
        <f aca="false">MAX(L97,M97)</f>
        <v>32</v>
      </c>
      <c r="O97" s="25" t="n">
        <v>7.55</v>
      </c>
      <c r="P97" s="25" t="n">
        <f aca="false">N97*O97</f>
        <v>241.6</v>
      </c>
      <c r="Q97" s="23" t="s">
        <v>3409</v>
      </c>
      <c r="R97" s="23" t="s">
        <v>2804</v>
      </c>
      <c r="S97" s="24" t="n">
        <v>32</v>
      </c>
      <c r="T97" s="25" t="n">
        <v>7.55</v>
      </c>
      <c r="U97" s="25" t="n">
        <v>241.6</v>
      </c>
      <c r="V97" s="25" t="n">
        <f aca="false">P97-U97</f>
        <v>0</v>
      </c>
      <c r="W97" s="25" t="n">
        <f aca="false">V97*12</f>
        <v>0</v>
      </c>
      <c r="X97" s="23" t="str">
        <f aca="false">IF(Q97="","MISSING FROM EXPORT",IF(ABS(V97)&lt;0.005,"CLEAR",IF(V97&gt;0,"UNDERBILLING","OVERBILLING")))</f>
        <v>CLEAR</v>
      </c>
      <c r="Y97" s="25" t="n">
        <f aca="false">IF(F97="COMMERCIAL",ROUND(P97*0.35,2),0)</f>
        <v>0</v>
      </c>
      <c r="Z97" s="23" t="str">
        <f aca="false">IF(F97="COMMERCIAL","VERIFY SIGNED AGREEMENT","NO EXCEPTION")</f>
        <v>NO EXCEPTION</v>
      </c>
      <c r="AA97" s="23" t="str">
        <f aca="false">IF(AND(C97="covered",N97&gt;40),"COVERED &gt;40 FT","")</f>
        <v/>
      </c>
      <c r="AB97" s="23" t="s">
        <v>3410</v>
      </c>
      <c r="AC97" s="23" t="s">
        <v>3411</v>
      </c>
      <c r="AD97" s="23" t="s">
        <v>2807</v>
      </c>
    </row>
    <row r="98" customFormat="false" ht="17.9" hidden="false" customHeight="false" outlineLevel="0" collapsed="false">
      <c r="A98" s="20" t="s">
        <v>3412</v>
      </c>
      <c r="B98" s="20" t="s">
        <v>109</v>
      </c>
      <c r="C98" s="20" t="s">
        <v>2798</v>
      </c>
      <c r="D98" s="20" t="s">
        <v>3413</v>
      </c>
      <c r="E98" s="20" t="s">
        <v>3414</v>
      </c>
      <c r="F98" s="20" t="s">
        <v>2833</v>
      </c>
      <c r="G98" s="20" t="s">
        <v>3415</v>
      </c>
      <c r="H98" s="22" t="n">
        <v>37.4</v>
      </c>
      <c r="I98" s="22" t="n">
        <v>37.4</v>
      </c>
      <c r="J98" s="22" t="n">
        <f aca="false">H98-I98</f>
        <v>0</v>
      </c>
      <c r="K98" s="20" t="str">
        <f aca="false">IF(ABS(J98)&lt;0.001,"MATCH - PAPER CHECK-IN NOT SUPPLIED","DATA MISMATCH")</f>
        <v>MATCH - PAPER CHECK-IN NOT SUPPLIED</v>
      </c>
      <c r="L98" s="22" t="n">
        <v>60</v>
      </c>
      <c r="M98" s="22" t="n">
        <f aca="false">ROUNDUP(H98,0)</f>
        <v>38</v>
      </c>
      <c r="N98" s="24" t="n">
        <f aca="false">MAX(L98,M98)</f>
        <v>60</v>
      </c>
      <c r="O98" s="25" t="n">
        <v>7.55</v>
      </c>
      <c r="P98" s="25" t="n">
        <f aca="false">N98*O98</f>
        <v>453</v>
      </c>
      <c r="Q98" s="23" t="s">
        <v>3416</v>
      </c>
      <c r="R98" s="23" t="s">
        <v>2804</v>
      </c>
      <c r="S98" s="24" t="n">
        <v>60</v>
      </c>
      <c r="T98" s="25" t="n">
        <v>7.55</v>
      </c>
      <c r="U98" s="25" t="n">
        <v>453</v>
      </c>
      <c r="V98" s="25" t="n">
        <f aca="false">P98-U98</f>
        <v>0</v>
      </c>
      <c r="W98" s="25" t="n">
        <f aca="false">V98*12</f>
        <v>0</v>
      </c>
      <c r="X98" s="23" t="str">
        <f aca="false">IF(Q98="","MISSING FROM EXPORT",IF(ABS(V98)&lt;0.005,"CLEAR",IF(V98&gt;0,"UNDERBILLING","OVERBILLING")))</f>
        <v>CLEAR</v>
      </c>
      <c r="Y98" s="25" t="n">
        <f aca="false">IF(F98="COMMERCIAL",ROUND(P98*0.35,2),0)</f>
        <v>0</v>
      </c>
      <c r="Z98" s="23" t="str">
        <f aca="false">IF(F98="COMMERCIAL","VERIFY SIGNED AGREEMENT","NO EXCEPTION")</f>
        <v>NO EXCEPTION</v>
      </c>
      <c r="AA98" s="23" t="str">
        <f aca="false">IF(AND(C98="covered",N98&gt;40),"COVERED &gt;40 FT","")</f>
        <v/>
      </c>
      <c r="AB98" s="23" t="s">
        <v>3417</v>
      </c>
      <c r="AC98" s="23" t="s">
        <v>3418</v>
      </c>
      <c r="AD98" s="23" t="s">
        <v>2807</v>
      </c>
    </row>
    <row r="99" customFormat="false" ht="17.9" hidden="false" customHeight="false" outlineLevel="0" collapsed="false">
      <c r="A99" s="20" t="s">
        <v>3419</v>
      </c>
      <c r="B99" s="20" t="s">
        <v>109</v>
      </c>
      <c r="C99" s="20" t="s">
        <v>2798</v>
      </c>
      <c r="D99" s="20" t="s">
        <v>3420</v>
      </c>
      <c r="E99" s="20" t="s">
        <v>3421</v>
      </c>
      <c r="F99" s="20" t="s">
        <v>2857</v>
      </c>
      <c r="G99" s="20" t="s">
        <v>3422</v>
      </c>
      <c r="H99" s="22" t="n">
        <v>55.2</v>
      </c>
      <c r="I99" s="22" t="n">
        <v>55.2</v>
      </c>
      <c r="J99" s="22" t="n">
        <f aca="false">H99-I99</f>
        <v>0</v>
      </c>
      <c r="K99" s="20" t="str">
        <f aca="false">IF(ABS(J99)&lt;0.001,"MATCH - PAPER CHECK-IN NOT SUPPLIED","DATA MISMATCH")</f>
        <v>MATCH - PAPER CHECK-IN NOT SUPPLIED</v>
      </c>
      <c r="L99" s="22" t="n">
        <v>70</v>
      </c>
      <c r="M99" s="22" t="n">
        <f aca="false">ROUNDUP(H99,0)</f>
        <v>56</v>
      </c>
      <c r="N99" s="24" t="n">
        <f aca="false">MAX(L99,M99)</f>
        <v>70</v>
      </c>
      <c r="O99" s="25" t="n">
        <v>7.55</v>
      </c>
      <c r="P99" s="25" t="n">
        <f aca="false">N99*O99</f>
        <v>528.5</v>
      </c>
      <c r="Q99" s="23" t="s">
        <v>3423</v>
      </c>
      <c r="R99" s="23" t="s">
        <v>2804</v>
      </c>
      <c r="S99" s="24" t="n">
        <v>70</v>
      </c>
      <c r="T99" s="25" t="n">
        <v>7.55</v>
      </c>
      <c r="U99" s="25" t="n">
        <v>528.5</v>
      </c>
      <c r="V99" s="25" t="n">
        <f aca="false">P99-U99</f>
        <v>0</v>
      </c>
      <c r="W99" s="25" t="n">
        <f aca="false">V99*12</f>
        <v>0</v>
      </c>
      <c r="X99" s="23" t="str">
        <f aca="false">IF(Q99="","MISSING FROM EXPORT",IF(ABS(V99)&lt;0.005,"CLEAR",IF(V99&gt;0,"UNDERBILLING","OVERBILLING")))</f>
        <v>CLEAR</v>
      </c>
      <c r="Y99" s="25" t="n">
        <f aca="false">IF(F99="COMMERCIAL",ROUND(P99*0.35,2),0)</f>
        <v>0</v>
      </c>
      <c r="Z99" s="23" t="str">
        <f aca="false">IF(F99="COMMERCIAL","VERIFY SIGNED AGREEMENT","NO EXCEPTION")</f>
        <v>NO EXCEPTION</v>
      </c>
      <c r="AA99" s="23" t="str">
        <f aca="false">IF(AND(C99="covered",N99&gt;40),"COVERED &gt;40 FT","")</f>
        <v/>
      </c>
      <c r="AB99" s="23" t="s">
        <v>3424</v>
      </c>
      <c r="AC99" s="23" t="s">
        <v>3425</v>
      </c>
      <c r="AD99" s="23" t="s">
        <v>2807</v>
      </c>
    </row>
    <row r="100" customFormat="false" ht="17.9" hidden="false" customHeight="false" outlineLevel="0" collapsed="false">
      <c r="A100" s="20" t="s">
        <v>3426</v>
      </c>
      <c r="B100" s="20" t="s">
        <v>109</v>
      </c>
      <c r="C100" s="20" t="s">
        <v>2798</v>
      </c>
      <c r="D100" s="20" t="s">
        <v>3427</v>
      </c>
      <c r="E100" s="20" t="s">
        <v>3428</v>
      </c>
      <c r="F100" s="20" t="s">
        <v>2833</v>
      </c>
      <c r="G100" s="20" t="s">
        <v>3429</v>
      </c>
      <c r="H100" s="22" t="n">
        <v>59.7</v>
      </c>
      <c r="I100" s="22" t="n">
        <v>59.7</v>
      </c>
      <c r="J100" s="22" t="n">
        <f aca="false">H100-I100</f>
        <v>0</v>
      </c>
      <c r="K100" s="20" t="str">
        <f aca="false">IF(ABS(J100)&lt;0.001,"MATCH - PAPER CHECK-IN NOT SUPPLIED","DATA MISMATCH")</f>
        <v>MATCH - PAPER CHECK-IN NOT SUPPLIED</v>
      </c>
      <c r="L100" s="22" t="n">
        <v>36</v>
      </c>
      <c r="M100" s="22" t="n">
        <f aca="false">ROUNDUP(H100,0)</f>
        <v>60</v>
      </c>
      <c r="N100" s="24" t="n">
        <f aca="false">MAX(L100,M100)</f>
        <v>60</v>
      </c>
      <c r="O100" s="25" t="n">
        <v>7.55</v>
      </c>
      <c r="P100" s="25" t="n">
        <f aca="false">N100*O100</f>
        <v>453</v>
      </c>
      <c r="Q100" s="23" t="s">
        <v>3430</v>
      </c>
      <c r="R100" s="23" t="s">
        <v>2804</v>
      </c>
      <c r="S100" s="24" t="n">
        <v>60</v>
      </c>
      <c r="T100" s="25" t="n">
        <v>7.55</v>
      </c>
      <c r="U100" s="25" t="n">
        <v>453</v>
      </c>
      <c r="V100" s="25" t="n">
        <f aca="false">P100-U100</f>
        <v>0</v>
      </c>
      <c r="W100" s="25" t="n">
        <f aca="false">V100*12</f>
        <v>0</v>
      </c>
      <c r="X100" s="23" t="str">
        <f aca="false">IF(Q100="","MISSING FROM EXPORT",IF(ABS(V100)&lt;0.005,"CLEAR",IF(V100&gt;0,"UNDERBILLING","OVERBILLING")))</f>
        <v>CLEAR</v>
      </c>
      <c r="Y100" s="25" t="n">
        <f aca="false">IF(F100="COMMERCIAL",ROUND(P100*0.35,2),0)</f>
        <v>0</v>
      </c>
      <c r="Z100" s="23" t="str">
        <f aca="false">IF(F100="COMMERCIAL","VERIFY SIGNED AGREEMENT","NO EXCEPTION")</f>
        <v>NO EXCEPTION</v>
      </c>
      <c r="AA100" s="23" t="str">
        <f aca="false">IF(AND(C100="covered",N100&gt;40),"COVERED &gt;40 FT","")</f>
        <v/>
      </c>
      <c r="AB100" s="23" t="s">
        <v>3431</v>
      </c>
      <c r="AC100" s="23" t="s">
        <v>3432</v>
      </c>
      <c r="AD100" s="23" t="s">
        <v>2807</v>
      </c>
    </row>
    <row r="101" customFormat="false" ht="17.9" hidden="false" customHeight="false" outlineLevel="0" collapsed="false">
      <c r="A101" s="20" t="s">
        <v>3433</v>
      </c>
      <c r="B101" s="20" t="s">
        <v>109</v>
      </c>
      <c r="C101" s="20" t="s">
        <v>2798</v>
      </c>
      <c r="D101" s="20" t="s">
        <v>3434</v>
      </c>
      <c r="E101" s="20" t="s">
        <v>3054</v>
      </c>
      <c r="F101" s="20" t="s">
        <v>2833</v>
      </c>
      <c r="G101" s="20" t="s">
        <v>3435</v>
      </c>
      <c r="H101" s="22" t="n">
        <v>52.5</v>
      </c>
      <c r="I101" s="22" t="n">
        <v>52.5</v>
      </c>
      <c r="J101" s="22" t="n">
        <f aca="false">H101-I101</f>
        <v>0</v>
      </c>
      <c r="K101" s="20" t="str">
        <f aca="false">IF(ABS(J101)&lt;0.001,"MATCH - PAPER CHECK-IN NOT SUPPLIED","DATA MISMATCH")</f>
        <v>MATCH - PAPER CHECK-IN NOT SUPPLIED</v>
      </c>
      <c r="L101" s="22" t="n">
        <v>28</v>
      </c>
      <c r="M101" s="22" t="n">
        <f aca="false">ROUNDUP(H101,0)</f>
        <v>53</v>
      </c>
      <c r="N101" s="24" t="n">
        <f aca="false">MAX(L101,M101)</f>
        <v>53</v>
      </c>
      <c r="O101" s="25" t="n">
        <v>7.55</v>
      </c>
      <c r="P101" s="25" t="n">
        <f aca="false">N101*O101</f>
        <v>400.15</v>
      </c>
      <c r="Q101" s="23" t="s">
        <v>3436</v>
      </c>
      <c r="R101" s="23" t="s">
        <v>2804</v>
      </c>
      <c r="S101" s="24" t="n">
        <v>53</v>
      </c>
      <c r="T101" s="25" t="n">
        <v>7.55</v>
      </c>
      <c r="U101" s="25" t="n">
        <v>400.15</v>
      </c>
      <c r="V101" s="25" t="n">
        <f aca="false">P101-U101</f>
        <v>0</v>
      </c>
      <c r="W101" s="25" t="n">
        <f aca="false">V101*12</f>
        <v>0</v>
      </c>
      <c r="X101" s="23" t="str">
        <f aca="false">IF(Q101="","MISSING FROM EXPORT",IF(ABS(V101)&lt;0.005,"CLEAR",IF(V101&gt;0,"UNDERBILLING","OVERBILLING")))</f>
        <v>CLEAR</v>
      </c>
      <c r="Y101" s="25" t="n">
        <f aca="false">IF(F101="COMMERCIAL",ROUND(P101*0.35,2),0)</f>
        <v>0</v>
      </c>
      <c r="Z101" s="23" t="str">
        <f aca="false">IF(F101="COMMERCIAL","VERIFY SIGNED AGREEMENT","NO EXCEPTION")</f>
        <v>NO EXCEPTION</v>
      </c>
      <c r="AA101" s="23" t="str">
        <f aca="false">IF(AND(C101="covered",N101&gt;40),"COVERED &gt;40 FT","")</f>
        <v/>
      </c>
      <c r="AB101" s="23" t="s">
        <v>3437</v>
      </c>
      <c r="AC101" s="23" t="s">
        <v>3438</v>
      </c>
      <c r="AD101" s="23" t="s">
        <v>2807</v>
      </c>
    </row>
    <row r="102" customFormat="false" ht="17.9" hidden="false" customHeight="false" outlineLevel="0" collapsed="false">
      <c r="A102" s="20" t="s">
        <v>568</v>
      </c>
      <c r="B102" s="20" t="s">
        <v>109</v>
      </c>
      <c r="C102" s="20" t="s">
        <v>2798</v>
      </c>
      <c r="D102" s="20" t="s">
        <v>3439</v>
      </c>
      <c r="E102" s="20" t="s">
        <v>3440</v>
      </c>
      <c r="F102" s="20" t="s">
        <v>2857</v>
      </c>
      <c r="G102" s="20" t="s">
        <v>3441</v>
      </c>
      <c r="H102" s="22" t="n">
        <v>35.3</v>
      </c>
      <c r="I102" s="22" t="n">
        <v>35.3</v>
      </c>
      <c r="J102" s="22" t="n">
        <f aca="false">H102-I102</f>
        <v>0</v>
      </c>
      <c r="K102" s="20" t="str">
        <f aca="false">IF(ABS(J102)&lt;0.001,"MATCH - PAPER CHECK-IN NOT SUPPLIED","DATA MISMATCH")</f>
        <v>MATCH - PAPER CHECK-IN NOT SUPPLIED</v>
      </c>
      <c r="L102" s="22" t="n">
        <v>28</v>
      </c>
      <c r="M102" s="22" t="n">
        <f aca="false">ROUNDUP(H102,0)</f>
        <v>36</v>
      </c>
      <c r="N102" s="24" t="n">
        <f aca="false">MAX(L102,M102)</f>
        <v>36</v>
      </c>
      <c r="O102" s="25" t="n">
        <v>7.55</v>
      </c>
      <c r="P102" s="25" t="n">
        <f aca="false">N102*O102</f>
        <v>271.8</v>
      </c>
      <c r="Q102" s="23" t="s">
        <v>3442</v>
      </c>
      <c r="R102" s="23" t="s">
        <v>2804</v>
      </c>
      <c r="S102" s="24" t="n">
        <v>36</v>
      </c>
      <c r="T102" s="25" t="n">
        <v>7.55</v>
      </c>
      <c r="U102" s="25" t="n">
        <v>271.8</v>
      </c>
      <c r="V102" s="25" t="n">
        <f aca="false">P102-U102</f>
        <v>0</v>
      </c>
      <c r="W102" s="25" t="n">
        <f aca="false">V102*12</f>
        <v>0</v>
      </c>
      <c r="X102" s="23" t="str">
        <f aca="false">IF(Q102="","MISSING FROM EXPORT",IF(ABS(V102)&lt;0.005,"CLEAR",IF(V102&gt;0,"UNDERBILLING","OVERBILLING")))</f>
        <v>CLEAR</v>
      </c>
      <c r="Y102" s="25" t="n">
        <f aca="false">IF(F102="COMMERCIAL",ROUND(P102*0.35,2),0)</f>
        <v>0</v>
      </c>
      <c r="Z102" s="23" t="str">
        <f aca="false">IF(F102="COMMERCIAL","VERIFY SIGNED AGREEMENT","NO EXCEPTION")</f>
        <v>NO EXCEPTION</v>
      </c>
      <c r="AA102" s="23" t="str">
        <f aca="false">IF(AND(C102="covered",N102&gt;40),"COVERED &gt;40 FT","")</f>
        <v/>
      </c>
      <c r="AB102" s="23" t="s">
        <v>3443</v>
      </c>
      <c r="AC102" s="23" t="s">
        <v>3444</v>
      </c>
      <c r="AD102" s="23" t="s">
        <v>2807</v>
      </c>
    </row>
    <row r="103" customFormat="false" ht="17.9" hidden="false" customHeight="false" outlineLevel="0" collapsed="false">
      <c r="A103" s="20" t="s">
        <v>3445</v>
      </c>
      <c r="B103" s="20" t="s">
        <v>109</v>
      </c>
      <c r="C103" s="20" t="s">
        <v>2798</v>
      </c>
      <c r="D103" s="20" t="s">
        <v>3446</v>
      </c>
      <c r="E103" s="20" t="s">
        <v>3447</v>
      </c>
      <c r="F103" s="20" t="s">
        <v>2818</v>
      </c>
      <c r="G103" s="20" t="s">
        <v>3448</v>
      </c>
      <c r="H103" s="22" t="n">
        <v>43.8</v>
      </c>
      <c r="I103" s="22" t="n">
        <v>43.8</v>
      </c>
      <c r="J103" s="22" t="n">
        <f aca="false">H103-I103</f>
        <v>0</v>
      </c>
      <c r="K103" s="20" t="str">
        <f aca="false">IF(ABS(J103)&lt;0.001,"MATCH - PAPER CHECK-IN NOT SUPPLIED","DATA MISMATCH")</f>
        <v>MATCH - PAPER CHECK-IN NOT SUPPLIED</v>
      </c>
      <c r="L103" s="22" t="n">
        <v>60</v>
      </c>
      <c r="M103" s="22" t="n">
        <f aca="false">ROUNDUP(H103,0)</f>
        <v>44</v>
      </c>
      <c r="N103" s="24" t="n">
        <f aca="false">MAX(L103,M103)</f>
        <v>60</v>
      </c>
      <c r="O103" s="25" t="n">
        <v>7.55</v>
      </c>
      <c r="P103" s="25" t="n">
        <f aca="false">N103*O103</f>
        <v>453</v>
      </c>
      <c r="Q103" s="23" t="s">
        <v>3449</v>
      </c>
      <c r="R103" s="23" t="s">
        <v>2804</v>
      </c>
      <c r="S103" s="24" t="n">
        <v>60</v>
      </c>
      <c r="T103" s="25" t="n">
        <v>7.55</v>
      </c>
      <c r="U103" s="25" t="n">
        <v>453</v>
      </c>
      <c r="V103" s="25" t="n">
        <f aca="false">P103-U103</f>
        <v>0</v>
      </c>
      <c r="W103" s="25" t="n">
        <f aca="false">V103*12</f>
        <v>0</v>
      </c>
      <c r="X103" s="23" t="str">
        <f aca="false">IF(Q103="","MISSING FROM EXPORT",IF(ABS(V103)&lt;0.005,"CLEAR",IF(V103&gt;0,"UNDERBILLING","OVERBILLING")))</f>
        <v>CLEAR</v>
      </c>
      <c r="Y103" s="25" t="n">
        <f aca="false">IF(F103="COMMERCIAL",ROUND(P103*0.35,2),0)</f>
        <v>0</v>
      </c>
      <c r="Z103" s="23" t="str">
        <f aca="false">IF(F103="COMMERCIAL","VERIFY SIGNED AGREEMENT","NO EXCEPTION")</f>
        <v>NO EXCEPTION</v>
      </c>
      <c r="AA103" s="23" t="str">
        <f aca="false">IF(AND(C103="covered",N103&gt;40),"COVERED &gt;40 FT","")</f>
        <v/>
      </c>
      <c r="AB103" s="23" t="s">
        <v>3450</v>
      </c>
      <c r="AC103" s="23" t="s">
        <v>3451</v>
      </c>
      <c r="AD103" s="23" t="s">
        <v>2807</v>
      </c>
    </row>
    <row r="104" customFormat="false" ht="17.9" hidden="false" customHeight="false" outlineLevel="0" collapsed="false">
      <c r="A104" s="20" t="s">
        <v>3452</v>
      </c>
      <c r="B104" s="20" t="s">
        <v>109</v>
      </c>
      <c r="C104" s="20" t="s">
        <v>2798</v>
      </c>
      <c r="D104" s="20" t="s">
        <v>3453</v>
      </c>
      <c r="E104" s="20" t="s">
        <v>3454</v>
      </c>
      <c r="F104" s="20" t="s">
        <v>2869</v>
      </c>
      <c r="G104" s="20" t="s">
        <v>3455</v>
      </c>
      <c r="H104" s="22" t="n">
        <v>40.1</v>
      </c>
      <c r="I104" s="22" t="n">
        <v>40.1</v>
      </c>
      <c r="J104" s="22" t="n">
        <f aca="false">H104-I104</f>
        <v>0</v>
      </c>
      <c r="K104" s="20" t="str">
        <f aca="false">IF(ABS(J104)&lt;0.001,"MATCH - PAPER CHECK-IN NOT SUPPLIED","DATA MISMATCH")</f>
        <v>MATCH - PAPER CHECK-IN NOT SUPPLIED</v>
      </c>
      <c r="L104" s="22" t="n">
        <v>24</v>
      </c>
      <c r="M104" s="22" t="n">
        <f aca="false">ROUNDUP(H104,0)</f>
        <v>41</v>
      </c>
      <c r="N104" s="24" t="n">
        <f aca="false">MAX(L104,M104)</f>
        <v>41</v>
      </c>
      <c r="O104" s="25" t="n">
        <v>7.55</v>
      </c>
      <c r="P104" s="25" t="n">
        <f aca="false">N104*O104</f>
        <v>309.55</v>
      </c>
      <c r="Q104" s="23" t="s">
        <v>3456</v>
      </c>
      <c r="R104" s="23" t="s">
        <v>2804</v>
      </c>
      <c r="S104" s="24" t="n">
        <v>41</v>
      </c>
      <c r="T104" s="25" t="n">
        <v>7.55</v>
      </c>
      <c r="U104" s="25" t="n">
        <v>309.55</v>
      </c>
      <c r="V104" s="25" t="n">
        <f aca="false">P104-U104</f>
        <v>0</v>
      </c>
      <c r="W104" s="25" t="n">
        <f aca="false">V104*12</f>
        <v>0</v>
      </c>
      <c r="X104" s="23" t="str">
        <f aca="false">IF(Q104="","MISSING FROM EXPORT",IF(ABS(V104)&lt;0.005,"CLEAR",IF(V104&gt;0,"UNDERBILLING","OVERBILLING")))</f>
        <v>CLEAR</v>
      </c>
      <c r="Y104" s="25" t="n">
        <f aca="false">IF(F104="COMMERCIAL",ROUND(P104*0.35,2),0)</f>
        <v>0</v>
      </c>
      <c r="Z104" s="23" t="str">
        <f aca="false">IF(F104="COMMERCIAL","VERIFY SIGNED AGREEMENT","NO EXCEPTION")</f>
        <v>NO EXCEPTION</v>
      </c>
      <c r="AA104" s="23" t="str">
        <f aca="false">IF(AND(C104="covered",N104&gt;40),"COVERED &gt;40 FT","")</f>
        <v/>
      </c>
      <c r="AB104" s="23" t="s">
        <v>3457</v>
      </c>
      <c r="AC104" s="23" t="s">
        <v>3458</v>
      </c>
      <c r="AD104" s="23" t="s">
        <v>2807</v>
      </c>
    </row>
    <row r="105" customFormat="false" ht="17.9" hidden="false" customHeight="false" outlineLevel="0" collapsed="false">
      <c r="A105" s="20" t="s">
        <v>3459</v>
      </c>
      <c r="B105" s="20" t="s">
        <v>109</v>
      </c>
      <c r="C105" s="20" t="s">
        <v>2798</v>
      </c>
      <c r="D105" s="20" t="s">
        <v>3460</v>
      </c>
      <c r="E105" s="20" t="s">
        <v>3461</v>
      </c>
      <c r="F105" s="20" t="s">
        <v>2818</v>
      </c>
      <c r="G105" s="20" t="s">
        <v>3462</v>
      </c>
      <c r="H105" s="22" t="n">
        <v>50.2</v>
      </c>
      <c r="I105" s="22" t="n">
        <v>50.2</v>
      </c>
      <c r="J105" s="22" t="n">
        <f aca="false">H105-I105</f>
        <v>0</v>
      </c>
      <c r="K105" s="20" t="str">
        <f aca="false">IF(ABS(J105)&lt;0.001,"MATCH - PAPER CHECK-IN NOT SUPPLIED","DATA MISMATCH")</f>
        <v>MATCH - PAPER CHECK-IN NOT SUPPLIED</v>
      </c>
      <c r="L105" s="22" t="n">
        <v>24</v>
      </c>
      <c r="M105" s="22" t="n">
        <f aca="false">ROUNDUP(H105,0)</f>
        <v>51</v>
      </c>
      <c r="N105" s="24" t="n">
        <f aca="false">MAX(L105,M105)</f>
        <v>51</v>
      </c>
      <c r="O105" s="25" t="n">
        <v>7.55</v>
      </c>
      <c r="P105" s="25" t="n">
        <f aca="false">N105*O105</f>
        <v>385.05</v>
      </c>
      <c r="Q105" s="23" t="s">
        <v>3463</v>
      </c>
      <c r="R105" s="23" t="s">
        <v>2804</v>
      </c>
      <c r="S105" s="24" t="n">
        <v>51</v>
      </c>
      <c r="T105" s="25" t="n">
        <v>7.55</v>
      </c>
      <c r="U105" s="25" t="n">
        <v>385.05</v>
      </c>
      <c r="V105" s="25" t="n">
        <f aca="false">P105-U105</f>
        <v>0</v>
      </c>
      <c r="W105" s="25" t="n">
        <f aca="false">V105*12</f>
        <v>0</v>
      </c>
      <c r="X105" s="23" t="str">
        <f aca="false">IF(Q105="","MISSING FROM EXPORT",IF(ABS(V105)&lt;0.005,"CLEAR",IF(V105&gt;0,"UNDERBILLING","OVERBILLING")))</f>
        <v>CLEAR</v>
      </c>
      <c r="Y105" s="25" t="n">
        <f aca="false">IF(F105="COMMERCIAL",ROUND(P105*0.35,2),0)</f>
        <v>0</v>
      </c>
      <c r="Z105" s="23" t="str">
        <f aca="false">IF(F105="COMMERCIAL","VERIFY SIGNED AGREEMENT","NO EXCEPTION")</f>
        <v>NO EXCEPTION</v>
      </c>
      <c r="AA105" s="23" t="str">
        <f aca="false">IF(AND(C105="covered",N105&gt;40),"COVERED &gt;40 FT","")</f>
        <v/>
      </c>
      <c r="AB105" s="23" t="s">
        <v>3464</v>
      </c>
      <c r="AC105" s="23" t="s">
        <v>3465</v>
      </c>
      <c r="AD105" s="23" t="s">
        <v>2807</v>
      </c>
    </row>
    <row r="106" customFormat="false" ht="17.9" hidden="false" customHeight="false" outlineLevel="0" collapsed="false">
      <c r="A106" s="20" t="s">
        <v>3466</v>
      </c>
      <c r="B106" s="20" t="s">
        <v>109</v>
      </c>
      <c r="C106" s="20" t="s">
        <v>2798</v>
      </c>
      <c r="D106" s="20" t="s">
        <v>1829</v>
      </c>
      <c r="E106" s="20" t="s">
        <v>1830</v>
      </c>
      <c r="F106" s="20" t="s">
        <v>2857</v>
      </c>
      <c r="G106" s="20" t="s">
        <v>3467</v>
      </c>
      <c r="H106" s="22" t="n">
        <v>61</v>
      </c>
      <c r="I106" s="22" t="n">
        <v>61</v>
      </c>
      <c r="J106" s="22" t="n">
        <f aca="false">H106-I106</f>
        <v>0</v>
      </c>
      <c r="K106" s="20" t="str">
        <f aca="false">IF(ABS(J106)&lt;0.001,"MATCH - PAPER CHECK-IN NOT SUPPLIED","DATA MISMATCH")</f>
        <v>MATCH - PAPER CHECK-IN NOT SUPPLIED</v>
      </c>
      <c r="L106" s="22" t="n">
        <v>24</v>
      </c>
      <c r="M106" s="22" t="n">
        <f aca="false">ROUNDUP(H106,0)</f>
        <v>61</v>
      </c>
      <c r="N106" s="24" t="n">
        <f aca="false">MAX(L106,M106)</f>
        <v>61</v>
      </c>
      <c r="O106" s="25" t="n">
        <v>7.55</v>
      </c>
      <c r="P106" s="25" t="n">
        <f aca="false">N106*O106</f>
        <v>460.55</v>
      </c>
      <c r="Q106" s="23" t="s">
        <v>3468</v>
      </c>
      <c r="R106" s="23" t="s">
        <v>2804</v>
      </c>
      <c r="S106" s="24" t="n">
        <v>61</v>
      </c>
      <c r="T106" s="25" t="n">
        <v>7.55</v>
      </c>
      <c r="U106" s="25" t="n">
        <v>460.55</v>
      </c>
      <c r="V106" s="25" t="n">
        <f aca="false">P106-U106</f>
        <v>0</v>
      </c>
      <c r="W106" s="25" t="n">
        <f aca="false">V106*12</f>
        <v>0</v>
      </c>
      <c r="X106" s="23" t="str">
        <f aca="false">IF(Q106="","MISSING FROM EXPORT",IF(ABS(V106)&lt;0.005,"CLEAR",IF(V106&gt;0,"UNDERBILLING","OVERBILLING")))</f>
        <v>CLEAR</v>
      </c>
      <c r="Y106" s="25" t="n">
        <f aca="false">IF(F106="COMMERCIAL",ROUND(P106*0.35,2),0)</f>
        <v>0</v>
      </c>
      <c r="Z106" s="23" t="str">
        <f aca="false">IF(F106="COMMERCIAL","VERIFY SIGNED AGREEMENT","NO EXCEPTION")</f>
        <v>NO EXCEPTION</v>
      </c>
      <c r="AA106" s="23" t="str">
        <f aca="false">IF(AND(C106="covered",N106&gt;40),"COVERED &gt;40 FT","")</f>
        <v/>
      </c>
      <c r="AB106" s="23" t="s">
        <v>3469</v>
      </c>
      <c r="AC106" s="23" t="s">
        <v>3470</v>
      </c>
      <c r="AD106" s="23" t="s">
        <v>2807</v>
      </c>
    </row>
    <row r="107" customFormat="false" ht="17.9" hidden="false" customHeight="false" outlineLevel="0" collapsed="false">
      <c r="A107" s="20" t="s">
        <v>3471</v>
      </c>
      <c r="B107" s="20" t="s">
        <v>109</v>
      </c>
      <c r="C107" s="20" t="s">
        <v>2798</v>
      </c>
      <c r="D107" s="20" t="s">
        <v>3472</v>
      </c>
      <c r="E107" s="20" t="s">
        <v>3473</v>
      </c>
      <c r="F107" s="20" t="s">
        <v>2818</v>
      </c>
      <c r="G107" s="20" t="s">
        <v>3474</v>
      </c>
      <c r="H107" s="22" t="n">
        <v>30.5</v>
      </c>
      <c r="I107" s="22" t="n">
        <v>30.5</v>
      </c>
      <c r="J107" s="22" t="n">
        <f aca="false">H107-I107</f>
        <v>0</v>
      </c>
      <c r="K107" s="20" t="str">
        <f aca="false">IF(ABS(J107)&lt;0.001,"MATCH - PAPER CHECK-IN NOT SUPPLIED","DATA MISMATCH")</f>
        <v>MATCH - PAPER CHECK-IN NOT SUPPLIED</v>
      </c>
      <c r="L107" s="22" t="n">
        <v>40</v>
      </c>
      <c r="M107" s="22" t="n">
        <f aca="false">ROUNDUP(H107,0)</f>
        <v>31</v>
      </c>
      <c r="N107" s="24" t="n">
        <f aca="false">MAX(L107,M107)</f>
        <v>40</v>
      </c>
      <c r="O107" s="25" t="n">
        <v>7.55</v>
      </c>
      <c r="P107" s="25" t="n">
        <f aca="false">N107*O107</f>
        <v>302</v>
      </c>
      <c r="Q107" s="23" t="s">
        <v>3475</v>
      </c>
      <c r="R107" s="23" t="s">
        <v>2804</v>
      </c>
      <c r="S107" s="24" t="n">
        <v>40</v>
      </c>
      <c r="T107" s="25" t="n">
        <v>7.55</v>
      </c>
      <c r="U107" s="25" t="n">
        <v>302</v>
      </c>
      <c r="V107" s="25" t="n">
        <f aca="false">P107-U107</f>
        <v>0</v>
      </c>
      <c r="W107" s="25" t="n">
        <f aca="false">V107*12</f>
        <v>0</v>
      </c>
      <c r="X107" s="23" t="str">
        <f aca="false">IF(Q107="","MISSING FROM EXPORT",IF(ABS(V107)&lt;0.005,"CLEAR",IF(V107&gt;0,"UNDERBILLING","OVERBILLING")))</f>
        <v>CLEAR</v>
      </c>
      <c r="Y107" s="25" t="n">
        <f aca="false">IF(F107="COMMERCIAL",ROUND(P107*0.35,2),0)</f>
        <v>0</v>
      </c>
      <c r="Z107" s="23" t="str">
        <f aca="false">IF(F107="COMMERCIAL","VERIFY SIGNED AGREEMENT","NO EXCEPTION")</f>
        <v>NO EXCEPTION</v>
      </c>
      <c r="AA107" s="23" t="str">
        <f aca="false">IF(AND(C107="covered",N107&gt;40),"COVERED &gt;40 FT","")</f>
        <v/>
      </c>
      <c r="AB107" s="23" t="s">
        <v>3476</v>
      </c>
      <c r="AC107" s="23" t="s">
        <v>3477</v>
      </c>
      <c r="AD107" s="23" t="s">
        <v>2807</v>
      </c>
    </row>
    <row r="108" customFormat="false" ht="17.9" hidden="false" customHeight="false" outlineLevel="0" collapsed="false">
      <c r="A108" s="20" t="s">
        <v>3478</v>
      </c>
      <c r="B108" s="20" t="s">
        <v>109</v>
      </c>
      <c r="C108" s="20" t="s">
        <v>2798</v>
      </c>
      <c r="D108" s="20" t="s">
        <v>3479</v>
      </c>
      <c r="E108" s="20" t="s">
        <v>3480</v>
      </c>
      <c r="F108" s="20" t="s">
        <v>2857</v>
      </c>
      <c r="G108" s="20" t="s">
        <v>3481</v>
      </c>
      <c r="H108" s="22" t="n">
        <v>38.6</v>
      </c>
      <c r="I108" s="22" t="n">
        <v>38.6</v>
      </c>
      <c r="J108" s="22" t="n">
        <f aca="false">H108-I108</f>
        <v>0</v>
      </c>
      <c r="K108" s="20" t="str">
        <f aca="false">IF(ABS(J108)&lt;0.001,"MATCH - PAPER CHECK-IN NOT SUPPLIED","DATA MISMATCH")</f>
        <v>MATCH - PAPER CHECK-IN NOT SUPPLIED</v>
      </c>
      <c r="L108" s="22" t="n">
        <v>24</v>
      </c>
      <c r="M108" s="22" t="n">
        <f aca="false">ROUNDUP(H108,0)</f>
        <v>39</v>
      </c>
      <c r="N108" s="24" t="n">
        <f aca="false">MAX(L108,M108)</f>
        <v>39</v>
      </c>
      <c r="O108" s="25" t="n">
        <v>7.55</v>
      </c>
      <c r="P108" s="25" t="n">
        <f aca="false">N108*O108</f>
        <v>294.45</v>
      </c>
      <c r="Q108" s="23" t="s">
        <v>3482</v>
      </c>
      <c r="R108" s="23" t="s">
        <v>2804</v>
      </c>
      <c r="S108" s="24" t="n">
        <v>39</v>
      </c>
      <c r="T108" s="25" t="n">
        <v>7.55</v>
      </c>
      <c r="U108" s="25" t="n">
        <v>294.45</v>
      </c>
      <c r="V108" s="25" t="n">
        <f aca="false">P108-U108</f>
        <v>0</v>
      </c>
      <c r="W108" s="25" t="n">
        <f aca="false">V108*12</f>
        <v>0</v>
      </c>
      <c r="X108" s="23" t="str">
        <f aca="false">IF(Q108="","MISSING FROM EXPORT",IF(ABS(V108)&lt;0.005,"CLEAR",IF(V108&gt;0,"UNDERBILLING","OVERBILLING")))</f>
        <v>CLEAR</v>
      </c>
      <c r="Y108" s="25" t="n">
        <f aca="false">IF(F108="COMMERCIAL",ROUND(P108*0.35,2),0)</f>
        <v>0</v>
      </c>
      <c r="Z108" s="23" t="str">
        <f aca="false">IF(F108="COMMERCIAL","VERIFY SIGNED AGREEMENT","NO EXCEPTION")</f>
        <v>NO EXCEPTION</v>
      </c>
      <c r="AA108" s="23" t="str">
        <f aca="false">IF(AND(C108="covered",N108&gt;40),"COVERED &gt;40 FT","")</f>
        <v/>
      </c>
      <c r="AB108" s="23" t="s">
        <v>3483</v>
      </c>
      <c r="AC108" s="23" t="s">
        <v>3484</v>
      </c>
      <c r="AD108" s="23" t="s">
        <v>2807</v>
      </c>
    </row>
    <row r="109" customFormat="false" ht="17.9" hidden="false" customHeight="false" outlineLevel="0" collapsed="false">
      <c r="A109" s="20" t="s">
        <v>574</v>
      </c>
      <c r="B109" s="20" t="s">
        <v>109</v>
      </c>
      <c r="C109" s="20" t="s">
        <v>2798</v>
      </c>
      <c r="D109" s="20" t="s">
        <v>3485</v>
      </c>
      <c r="E109" s="20" t="s">
        <v>3486</v>
      </c>
      <c r="F109" s="20" t="s">
        <v>2857</v>
      </c>
      <c r="G109" s="20" t="s">
        <v>3487</v>
      </c>
      <c r="H109" s="22" t="n">
        <v>36.8</v>
      </c>
      <c r="I109" s="22" t="n">
        <v>36.8</v>
      </c>
      <c r="J109" s="22" t="n">
        <f aca="false">H109-I109</f>
        <v>0</v>
      </c>
      <c r="K109" s="20" t="str">
        <f aca="false">IF(ABS(J109)&lt;0.001,"MATCH - PAPER CHECK-IN NOT SUPPLIED","DATA MISMATCH")</f>
        <v>MATCH - PAPER CHECK-IN NOT SUPPLIED</v>
      </c>
      <c r="L109" s="22" t="n">
        <v>50</v>
      </c>
      <c r="M109" s="22" t="n">
        <f aca="false">ROUNDUP(H109,0)</f>
        <v>37</v>
      </c>
      <c r="N109" s="24" t="n">
        <f aca="false">MAX(L109,M109)</f>
        <v>50</v>
      </c>
      <c r="O109" s="25" t="n">
        <v>7.55</v>
      </c>
      <c r="P109" s="25" t="n">
        <f aca="false">N109*O109</f>
        <v>377.5</v>
      </c>
      <c r="Q109" s="23" t="s">
        <v>3488</v>
      </c>
      <c r="R109" s="23" t="s">
        <v>2804</v>
      </c>
      <c r="S109" s="24" t="n">
        <v>50</v>
      </c>
      <c r="T109" s="25" t="n">
        <v>7.55</v>
      </c>
      <c r="U109" s="25" t="n">
        <v>377.5</v>
      </c>
      <c r="V109" s="25" t="n">
        <f aca="false">P109-U109</f>
        <v>0</v>
      </c>
      <c r="W109" s="25" t="n">
        <f aca="false">V109*12</f>
        <v>0</v>
      </c>
      <c r="X109" s="23" t="str">
        <f aca="false">IF(Q109="","MISSING FROM EXPORT",IF(ABS(V109)&lt;0.005,"CLEAR",IF(V109&gt;0,"UNDERBILLING","OVERBILLING")))</f>
        <v>CLEAR</v>
      </c>
      <c r="Y109" s="25" t="n">
        <f aca="false">IF(F109="COMMERCIAL",ROUND(P109*0.35,2),0)</f>
        <v>0</v>
      </c>
      <c r="Z109" s="23" t="str">
        <f aca="false">IF(F109="COMMERCIAL","VERIFY SIGNED AGREEMENT","NO EXCEPTION")</f>
        <v>NO EXCEPTION</v>
      </c>
      <c r="AA109" s="23" t="str">
        <f aca="false">IF(AND(C109="covered",N109&gt;40),"COVERED &gt;40 FT","")</f>
        <v/>
      </c>
      <c r="AB109" s="23" t="s">
        <v>3489</v>
      </c>
      <c r="AC109" s="23" t="s">
        <v>3490</v>
      </c>
      <c r="AD109" s="23" t="s">
        <v>2807</v>
      </c>
    </row>
    <row r="110" customFormat="false" ht="17.9" hidden="false" customHeight="false" outlineLevel="0" collapsed="false">
      <c r="A110" s="20" t="s">
        <v>1084</v>
      </c>
      <c r="B110" s="20" t="s">
        <v>109</v>
      </c>
      <c r="C110" s="20" t="s">
        <v>2798</v>
      </c>
      <c r="D110" s="20" t="s">
        <v>3491</v>
      </c>
      <c r="E110" s="20" t="s">
        <v>3492</v>
      </c>
      <c r="F110" s="20" t="s">
        <v>2833</v>
      </c>
      <c r="G110" s="20" t="s">
        <v>3493</v>
      </c>
      <c r="H110" s="22" t="n">
        <v>53.2</v>
      </c>
      <c r="I110" s="22" t="n">
        <v>53.2</v>
      </c>
      <c r="J110" s="22" t="n">
        <f aca="false">H110-I110</f>
        <v>0</v>
      </c>
      <c r="K110" s="20" t="str">
        <f aca="false">IF(ABS(J110)&lt;0.001,"MATCH - PAPER CHECK-IN NOT SUPPLIED","DATA MISMATCH")</f>
        <v>MATCH - PAPER CHECK-IN NOT SUPPLIED</v>
      </c>
      <c r="L110" s="22" t="n">
        <v>32</v>
      </c>
      <c r="M110" s="22" t="n">
        <f aca="false">ROUNDUP(H110,0)</f>
        <v>54</v>
      </c>
      <c r="N110" s="24" t="n">
        <f aca="false">MAX(L110,M110)</f>
        <v>54</v>
      </c>
      <c r="O110" s="25" t="n">
        <v>7.55</v>
      </c>
      <c r="P110" s="25" t="n">
        <f aca="false">N110*O110</f>
        <v>407.7</v>
      </c>
      <c r="Q110" s="23" t="s">
        <v>3494</v>
      </c>
      <c r="R110" s="23" t="s">
        <v>2804</v>
      </c>
      <c r="S110" s="24" t="n">
        <v>54</v>
      </c>
      <c r="T110" s="25" t="n">
        <v>7.55</v>
      </c>
      <c r="U110" s="25" t="n">
        <v>407.7</v>
      </c>
      <c r="V110" s="25" t="n">
        <f aca="false">P110-U110</f>
        <v>0</v>
      </c>
      <c r="W110" s="25" t="n">
        <f aca="false">V110*12</f>
        <v>0</v>
      </c>
      <c r="X110" s="23" t="str">
        <f aca="false">IF(Q110="","MISSING FROM EXPORT",IF(ABS(V110)&lt;0.005,"CLEAR",IF(V110&gt;0,"UNDERBILLING","OVERBILLING")))</f>
        <v>CLEAR</v>
      </c>
      <c r="Y110" s="25" t="n">
        <f aca="false">IF(F110="COMMERCIAL",ROUND(P110*0.35,2),0)</f>
        <v>0</v>
      </c>
      <c r="Z110" s="23" t="str">
        <f aca="false">IF(F110="COMMERCIAL","VERIFY SIGNED AGREEMENT","NO EXCEPTION")</f>
        <v>NO EXCEPTION</v>
      </c>
      <c r="AA110" s="23" t="str">
        <f aca="false">IF(AND(C110="covered",N110&gt;40),"COVERED &gt;40 FT","")</f>
        <v/>
      </c>
      <c r="AB110" s="23" t="s">
        <v>3495</v>
      </c>
      <c r="AC110" s="23" t="s">
        <v>3496</v>
      </c>
      <c r="AD110" s="23" t="s">
        <v>2807</v>
      </c>
    </row>
    <row r="111" customFormat="false" ht="17.9" hidden="false" customHeight="false" outlineLevel="0" collapsed="false">
      <c r="A111" s="20" t="s">
        <v>3497</v>
      </c>
      <c r="B111" s="20" t="s">
        <v>109</v>
      </c>
      <c r="C111" s="20" t="s">
        <v>2798</v>
      </c>
      <c r="D111" s="20" t="s">
        <v>3498</v>
      </c>
      <c r="E111" s="20" t="s">
        <v>3499</v>
      </c>
      <c r="F111" s="20" t="s">
        <v>2833</v>
      </c>
      <c r="G111" s="20" t="s">
        <v>3500</v>
      </c>
      <c r="H111" s="22" t="n">
        <v>26.9</v>
      </c>
      <c r="I111" s="22" t="n">
        <v>26.9</v>
      </c>
      <c r="J111" s="22" t="n">
        <f aca="false">H111-I111</f>
        <v>0</v>
      </c>
      <c r="K111" s="20" t="str">
        <f aca="false">IF(ABS(J111)&lt;0.001,"MATCH - PAPER CHECK-IN NOT SUPPLIED","DATA MISMATCH")</f>
        <v>MATCH - PAPER CHECK-IN NOT SUPPLIED</v>
      </c>
      <c r="L111" s="22" t="n">
        <v>24</v>
      </c>
      <c r="M111" s="22" t="n">
        <f aca="false">ROUNDUP(H111,0)</f>
        <v>27</v>
      </c>
      <c r="N111" s="24" t="n">
        <f aca="false">MAX(L111,M111)</f>
        <v>27</v>
      </c>
      <c r="O111" s="25" t="n">
        <v>7.55</v>
      </c>
      <c r="P111" s="25" t="n">
        <f aca="false">N111*O111</f>
        <v>203.85</v>
      </c>
      <c r="Q111" s="23" t="s">
        <v>3501</v>
      </c>
      <c r="R111" s="23" t="s">
        <v>2804</v>
      </c>
      <c r="S111" s="24" t="n">
        <v>27</v>
      </c>
      <c r="T111" s="25" t="n">
        <v>7.55</v>
      </c>
      <c r="U111" s="25" t="n">
        <v>203.85</v>
      </c>
      <c r="V111" s="25" t="n">
        <f aca="false">P111-U111</f>
        <v>0</v>
      </c>
      <c r="W111" s="25" t="n">
        <f aca="false">V111*12</f>
        <v>0</v>
      </c>
      <c r="X111" s="23" t="str">
        <f aca="false">IF(Q111="","MISSING FROM EXPORT",IF(ABS(V111)&lt;0.005,"CLEAR",IF(V111&gt;0,"UNDERBILLING","OVERBILLING")))</f>
        <v>CLEAR</v>
      </c>
      <c r="Y111" s="25" t="n">
        <f aca="false">IF(F111="COMMERCIAL",ROUND(P111*0.35,2),0)</f>
        <v>0</v>
      </c>
      <c r="Z111" s="23" t="str">
        <f aca="false">IF(F111="COMMERCIAL","VERIFY SIGNED AGREEMENT","NO EXCEPTION")</f>
        <v>NO EXCEPTION</v>
      </c>
      <c r="AA111" s="23" t="str">
        <f aca="false">IF(AND(C111="covered",N111&gt;40),"COVERED &gt;40 FT","")</f>
        <v/>
      </c>
      <c r="AB111" s="23" t="s">
        <v>3502</v>
      </c>
      <c r="AC111" s="23" t="s">
        <v>3503</v>
      </c>
      <c r="AD111" s="23" t="s">
        <v>2807</v>
      </c>
    </row>
    <row r="112" customFormat="false" ht="17.9" hidden="false" customHeight="false" outlineLevel="0" collapsed="false">
      <c r="A112" s="20" t="s">
        <v>3504</v>
      </c>
      <c r="B112" s="20" t="s">
        <v>109</v>
      </c>
      <c r="C112" s="20" t="s">
        <v>2798</v>
      </c>
      <c r="D112" s="20" t="s">
        <v>3505</v>
      </c>
      <c r="E112" s="20" t="s">
        <v>3506</v>
      </c>
      <c r="F112" s="20" t="s">
        <v>2833</v>
      </c>
      <c r="G112" s="20" t="s">
        <v>3507</v>
      </c>
      <c r="H112" s="22" t="n">
        <v>38.3</v>
      </c>
      <c r="I112" s="22" t="n">
        <v>38.3</v>
      </c>
      <c r="J112" s="22" t="n">
        <f aca="false">H112-I112</f>
        <v>0</v>
      </c>
      <c r="K112" s="20" t="str">
        <f aca="false">IF(ABS(J112)&lt;0.001,"MATCH - PAPER CHECK-IN NOT SUPPLIED","DATA MISMATCH")</f>
        <v>MATCH - PAPER CHECK-IN NOT SUPPLIED</v>
      </c>
      <c r="L112" s="22" t="n">
        <v>50</v>
      </c>
      <c r="M112" s="22" t="n">
        <f aca="false">ROUNDUP(H112,0)</f>
        <v>39</v>
      </c>
      <c r="N112" s="24" t="n">
        <f aca="false">MAX(L112,M112)</f>
        <v>50</v>
      </c>
      <c r="O112" s="25" t="n">
        <v>7.55</v>
      </c>
      <c r="P112" s="25" t="n">
        <f aca="false">N112*O112</f>
        <v>377.5</v>
      </c>
      <c r="Q112" s="23" t="s">
        <v>3508</v>
      </c>
      <c r="R112" s="23" t="s">
        <v>2804</v>
      </c>
      <c r="S112" s="24" t="n">
        <v>50</v>
      </c>
      <c r="T112" s="25" t="n">
        <v>7.55</v>
      </c>
      <c r="U112" s="25" t="n">
        <v>377.5</v>
      </c>
      <c r="V112" s="25" t="n">
        <f aca="false">P112-U112</f>
        <v>0</v>
      </c>
      <c r="W112" s="25" t="n">
        <f aca="false">V112*12</f>
        <v>0</v>
      </c>
      <c r="X112" s="23" t="str">
        <f aca="false">IF(Q112="","MISSING FROM EXPORT",IF(ABS(V112)&lt;0.005,"CLEAR",IF(V112&gt;0,"UNDERBILLING","OVERBILLING")))</f>
        <v>CLEAR</v>
      </c>
      <c r="Y112" s="25" t="n">
        <f aca="false">IF(F112="COMMERCIAL",ROUND(P112*0.35,2),0)</f>
        <v>0</v>
      </c>
      <c r="Z112" s="23" t="str">
        <f aca="false">IF(F112="COMMERCIAL","VERIFY SIGNED AGREEMENT","NO EXCEPTION")</f>
        <v>NO EXCEPTION</v>
      </c>
      <c r="AA112" s="23" t="str">
        <f aca="false">IF(AND(C112="covered",N112&gt;40),"COVERED &gt;40 FT","")</f>
        <v/>
      </c>
      <c r="AB112" s="23" t="s">
        <v>3509</v>
      </c>
      <c r="AC112" s="23" t="s">
        <v>3510</v>
      </c>
      <c r="AD112" s="23" t="s">
        <v>2807</v>
      </c>
    </row>
    <row r="113" customFormat="false" ht="17.9" hidden="false" customHeight="false" outlineLevel="0" collapsed="false">
      <c r="A113" s="20" t="s">
        <v>1775</v>
      </c>
      <c r="B113" s="20" t="s">
        <v>109</v>
      </c>
      <c r="C113" s="20" t="s">
        <v>2798</v>
      </c>
      <c r="D113" s="20" t="s">
        <v>535</v>
      </c>
      <c r="E113" s="20" t="s">
        <v>536</v>
      </c>
      <c r="F113" s="20" t="s">
        <v>2833</v>
      </c>
      <c r="G113" s="20" t="s">
        <v>3511</v>
      </c>
      <c r="H113" s="22" t="n">
        <v>26.5</v>
      </c>
      <c r="I113" s="22" t="n">
        <v>26.5</v>
      </c>
      <c r="J113" s="22" t="n">
        <f aca="false">H113-I113</f>
        <v>0</v>
      </c>
      <c r="K113" s="20" t="str">
        <f aca="false">IF(ABS(J113)&lt;0.001,"MATCH - PAPER CHECK-IN NOT SUPPLIED","DATA MISMATCH")</f>
        <v>MATCH - PAPER CHECK-IN NOT SUPPLIED</v>
      </c>
      <c r="L113" s="22" t="n">
        <v>36</v>
      </c>
      <c r="M113" s="22" t="n">
        <f aca="false">ROUNDUP(H113,0)</f>
        <v>27</v>
      </c>
      <c r="N113" s="24" t="n">
        <f aca="false">MAX(L113,M113)</f>
        <v>36</v>
      </c>
      <c r="O113" s="25" t="n">
        <v>7.55</v>
      </c>
      <c r="P113" s="25" t="n">
        <f aca="false">N113*O113</f>
        <v>271.8</v>
      </c>
      <c r="Q113" s="23" t="s">
        <v>3512</v>
      </c>
      <c r="R113" s="23" t="s">
        <v>2804</v>
      </c>
      <c r="S113" s="24" t="n">
        <v>36</v>
      </c>
      <c r="T113" s="25" t="n">
        <v>7.55</v>
      </c>
      <c r="U113" s="25" t="n">
        <v>271.8</v>
      </c>
      <c r="V113" s="25" t="n">
        <f aca="false">P113-U113</f>
        <v>0</v>
      </c>
      <c r="W113" s="25" t="n">
        <f aca="false">V113*12</f>
        <v>0</v>
      </c>
      <c r="X113" s="23" t="str">
        <f aca="false">IF(Q113="","MISSING FROM EXPORT",IF(ABS(V113)&lt;0.005,"CLEAR",IF(V113&gt;0,"UNDERBILLING","OVERBILLING")))</f>
        <v>CLEAR</v>
      </c>
      <c r="Y113" s="25" t="n">
        <f aca="false">IF(F113="COMMERCIAL",ROUND(P113*0.35,2),0)</f>
        <v>0</v>
      </c>
      <c r="Z113" s="23" t="str">
        <f aca="false">IF(F113="COMMERCIAL","VERIFY SIGNED AGREEMENT","NO EXCEPTION")</f>
        <v>NO EXCEPTION</v>
      </c>
      <c r="AA113" s="23" t="str">
        <f aca="false">IF(AND(C113="covered",N113&gt;40),"COVERED &gt;40 FT","")</f>
        <v/>
      </c>
      <c r="AB113" s="23" t="s">
        <v>3513</v>
      </c>
      <c r="AC113" s="23" t="s">
        <v>3514</v>
      </c>
      <c r="AD113" s="23" t="s">
        <v>2807</v>
      </c>
    </row>
    <row r="114" customFormat="false" ht="17.9" hidden="false" customHeight="false" outlineLevel="0" collapsed="false">
      <c r="A114" s="20" t="s">
        <v>872</v>
      </c>
      <c r="B114" s="20" t="s">
        <v>109</v>
      </c>
      <c r="C114" s="20" t="s">
        <v>2798</v>
      </c>
      <c r="D114" s="20" t="s">
        <v>3515</v>
      </c>
      <c r="E114" s="20" t="s">
        <v>3516</v>
      </c>
      <c r="F114" s="20" t="s">
        <v>2833</v>
      </c>
      <c r="G114" s="20" t="s">
        <v>3517</v>
      </c>
      <c r="H114" s="22" t="n">
        <v>57.9</v>
      </c>
      <c r="I114" s="22" t="n">
        <v>57.9</v>
      </c>
      <c r="J114" s="22" t="n">
        <f aca="false">H114-I114</f>
        <v>0</v>
      </c>
      <c r="K114" s="20" t="str">
        <f aca="false">IF(ABS(J114)&lt;0.001,"MATCH - PAPER CHECK-IN NOT SUPPLIED","DATA MISMATCH")</f>
        <v>MATCH - PAPER CHECK-IN NOT SUPPLIED</v>
      </c>
      <c r="L114" s="22" t="n">
        <v>24</v>
      </c>
      <c r="M114" s="22" t="n">
        <f aca="false">ROUNDUP(H114,0)</f>
        <v>58</v>
      </c>
      <c r="N114" s="24" t="n">
        <f aca="false">MAX(L114,M114)</f>
        <v>58</v>
      </c>
      <c r="O114" s="25" t="n">
        <v>7.55</v>
      </c>
      <c r="P114" s="25" t="n">
        <f aca="false">N114*O114</f>
        <v>437.9</v>
      </c>
      <c r="Q114" s="23" t="s">
        <v>3518</v>
      </c>
      <c r="R114" s="23" t="s">
        <v>2804</v>
      </c>
      <c r="S114" s="24" t="n">
        <v>58</v>
      </c>
      <c r="T114" s="25" t="n">
        <v>7.55</v>
      </c>
      <c r="U114" s="25" t="n">
        <v>437.9</v>
      </c>
      <c r="V114" s="25" t="n">
        <f aca="false">P114-U114</f>
        <v>0</v>
      </c>
      <c r="W114" s="25" t="n">
        <f aca="false">V114*12</f>
        <v>0</v>
      </c>
      <c r="X114" s="23" t="str">
        <f aca="false">IF(Q114="","MISSING FROM EXPORT",IF(ABS(V114)&lt;0.005,"CLEAR",IF(V114&gt;0,"UNDERBILLING","OVERBILLING")))</f>
        <v>CLEAR</v>
      </c>
      <c r="Y114" s="25" t="n">
        <f aca="false">IF(F114="COMMERCIAL",ROUND(P114*0.35,2),0)</f>
        <v>0</v>
      </c>
      <c r="Z114" s="23" t="str">
        <f aca="false">IF(F114="COMMERCIAL","VERIFY SIGNED AGREEMENT","NO EXCEPTION")</f>
        <v>NO EXCEPTION</v>
      </c>
      <c r="AA114" s="23" t="str">
        <f aca="false">IF(AND(C114="covered",N114&gt;40),"COVERED &gt;40 FT","")</f>
        <v/>
      </c>
      <c r="AB114" s="23" t="s">
        <v>3519</v>
      </c>
      <c r="AC114" s="23" t="s">
        <v>3520</v>
      </c>
      <c r="AD114" s="23" t="s">
        <v>2807</v>
      </c>
    </row>
    <row r="115" customFormat="false" ht="17.9" hidden="false" customHeight="false" outlineLevel="0" collapsed="false">
      <c r="A115" s="20" t="s">
        <v>3521</v>
      </c>
      <c r="B115" s="20" t="s">
        <v>109</v>
      </c>
      <c r="C115" s="20" t="s">
        <v>2798</v>
      </c>
      <c r="D115" s="20" t="s">
        <v>116</v>
      </c>
      <c r="E115" s="20" t="s">
        <v>3522</v>
      </c>
      <c r="F115" s="20" t="s">
        <v>2810</v>
      </c>
      <c r="G115" s="20" t="s">
        <v>3523</v>
      </c>
      <c r="H115" s="22" t="n">
        <v>19.2</v>
      </c>
      <c r="I115" s="22" t="n">
        <v>19.2</v>
      </c>
      <c r="J115" s="22" t="n">
        <f aca="false">H115-I115</f>
        <v>0</v>
      </c>
      <c r="K115" s="20" t="str">
        <f aca="false">IF(ABS(J115)&lt;0.001,"MATCH - PAPER CHECK-IN NOT SUPPLIED","DATA MISMATCH")</f>
        <v>MATCH - PAPER CHECK-IN NOT SUPPLIED</v>
      </c>
      <c r="L115" s="22" t="n">
        <v>32</v>
      </c>
      <c r="M115" s="22" t="n">
        <f aca="false">ROUNDUP(H115,0)</f>
        <v>20</v>
      </c>
      <c r="N115" s="24" t="n">
        <f aca="false">MAX(L115,M115)</f>
        <v>32</v>
      </c>
      <c r="O115" s="25" t="n">
        <v>7.55</v>
      </c>
      <c r="P115" s="25" t="n">
        <f aca="false">N115*O115</f>
        <v>241.6</v>
      </c>
      <c r="Q115" s="23" t="s">
        <v>3524</v>
      </c>
      <c r="R115" s="23" t="s">
        <v>2804</v>
      </c>
      <c r="S115" s="24" t="n">
        <v>32</v>
      </c>
      <c r="T115" s="25" t="n">
        <v>7.55</v>
      </c>
      <c r="U115" s="25" t="n">
        <v>241.6</v>
      </c>
      <c r="V115" s="25" t="n">
        <f aca="false">P115-U115</f>
        <v>0</v>
      </c>
      <c r="W115" s="25" t="n">
        <f aca="false">V115*12</f>
        <v>0</v>
      </c>
      <c r="X115" s="23" t="str">
        <f aca="false">IF(Q115="","MISSING FROM EXPORT",IF(ABS(V115)&lt;0.005,"CLEAR",IF(V115&gt;0,"UNDERBILLING","OVERBILLING")))</f>
        <v>CLEAR</v>
      </c>
      <c r="Y115" s="25" t="n">
        <f aca="false">IF(F115="COMMERCIAL",ROUND(P115*0.35,2),0)</f>
        <v>0</v>
      </c>
      <c r="Z115" s="23" t="str">
        <f aca="false">IF(F115="COMMERCIAL","VERIFY SIGNED AGREEMENT","NO EXCEPTION")</f>
        <v>NO EXCEPTION</v>
      </c>
      <c r="AA115" s="23" t="str">
        <f aca="false">IF(AND(C115="covered",N115&gt;40),"COVERED &gt;40 FT","")</f>
        <v/>
      </c>
      <c r="AB115" s="23" t="s">
        <v>3525</v>
      </c>
      <c r="AC115" s="23" t="s">
        <v>3526</v>
      </c>
      <c r="AD115" s="23" t="s">
        <v>2807</v>
      </c>
    </row>
    <row r="116" customFormat="false" ht="17.9" hidden="false" customHeight="false" outlineLevel="0" collapsed="false">
      <c r="A116" s="20" t="s">
        <v>3527</v>
      </c>
      <c r="B116" s="20" t="s">
        <v>109</v>
      </c>
      <c r="C116" s="20" t="s">
        <v>2798</v>
      </c>
      <c r="D116" s="20" t="s">
        <v>3528</v>
      </c>
      <c r="E116" s="20" t="s">
        <v>3529</v>
      </c>
      <c r="F116" s="20" t="s">
        <v>2810</v>
      </c>
      <c r="G116" s="20" t="s">
        <v>3530</v>
      </c>
      <c r="H116" s="22" t="n">
        <v>22.8</v>
      </c>
      <c r="I116" s="22" t="n">
        <v>22.8</v>
      </c>
      <c r="J116" s="22" t="n">
        <f aca="false">H116-I116</f>
        <v>0</v>
      </c>
      <c r="K116" s="20" t="str">
        <f aca="false">IF(ABS(J116)&lt;0.001,"MATCH - PAPER CHECK-IN NOT SUPPLIED","DATA MISMATCH")</f>
        <v>MATCH - PAPER CHECK-IN NOT SUPPLIED</v>
      </c>
      <c r="L116" s="22" t="n">
        <v>24</v>
      </c>
      <c r="M116" s="22" t="n">
        <f aca="false">ROUNDUP(H116,0)</f>
        <v>23</v>
      </c>
      <c r="N116" s="24" t="n">
        <f aca="false">MAX(L116,M116)</f>
        <v>24</v>
      </c>
      <c r="O116" s="25" t="n">
        <v>7.55</v>
      </c>
      <c r="P116" s="25" t="n">
        <f aca="false">N116*O116</f>
        <v>181.2</v>
      </c>
      <c r="Q116" s="23" t="s">
        <v>3531</v>
      </c>
      <c r="R116" s="23" t="s">
        <v>2804</v>
      </c>
      <c r="S116" s="24" t="n">
        <v>24</v>
      </c>
      <c r="T116" s="25" t="n">
        <v>7.55</v>
      </c>
      <c r="U116" s="25" t="n">
        <v>181.2</v>
      </c>
      <c r="V116" s="25" t="n">
        <f aca="false">P116-U116</f>
        <v>0</v>
      </c>
      <c r="W116" s="25" t="n">
        <f aca="false">V116*12</f>
        <v>0</v>
      </c>
      <c r="X116" s="23" t="str">
        <f aca="false">IF(Q116="","MISSING FROM EXPORT",IF(ABS(V116)&lt;0.005,"CLEAR",IF(V116&gt;0,"UNDERBILLING","OVERBILLING")))</f>
        <v>CLEAR</v>
      </c>
      <c r="Y116" s="25" t="n">
        <f aca="false">IF(F116="COMMERCIAL",ROUND(P116*0.35,2),0)</f>
        <v>0</v>
      </c>
      <c r="Z116" s="23" t="str">
        <f aca="false">IF(F116="COMMERCIAL","VERIFY SIGNED AGREEMENT","NO EXCEPTION")</f>
        <v>NO EXCEPTION</v>
      </c>
      <c r="AA116" s="23" t="str">
        <f aca="false">IF(AND(C116="covered",N116&gt;40),"COVERED &gt;40 FT","")</f>
        <v/>
      </c>
      <c r="AB116" s="23" t="s">
        <v>3532</v>
      </c>
      <c r="AC116" s="23" t="s">
        <v>3533</v>
      </c>
      <c r="AD116" s="23" t="s">
        <v>2807</v>
      </c>
    </row>
    <row r="117" customFormat="false" ht="17.9" hidden="false" customHeight="false" outlineLevel="0" collapsed="false">
      <c r="A117" s="20" t="s">
        <v>3534</v>
      </c>
      <c r="B117" s="20" t="s">
        <v>109</v>
      </c>
      <c r="C117" s="20" t="s">
        <v>2798</v>
      </c>
      <c r="D117" s="20" t="s">
        <v>3535</v>
      </c>
      <c r="E117" s="20" t="s">
        <v>3536</v>
      </c>
      <c r="F117" s="20" t="s">
        <v>2818</v>
      </c>
      <c r="G117" s="20" t="s">
        <v>3537</v>
      </c>
      <c r="H117" s="22" t="n">
        <v>26.9</v>
      </c>
      <c r="I117" s="22" t="n">
        <v>26.9</v>
      </c>
      <c r="J117" s="22" t="n">
        <f aca="false">H117-I117</f>
        <v>0</v>
      </c>
      <c r="K117" s="20" t="str">
        <f aca="false">IF(ABS(J117)&lt;0.001,"MATCH - PAPER CHECK-IN NOT SUPPLIED","DATA MISMATCH")</f>
        <v>MATCH - PAPER CHECK-IN NOT SUPPLIED</v>
      </c>
      <c r="L117" s="22" t="n">
        <v>50</v>
      </c>
      <c r="M117" s="22" t="n">
        <f aca="false">ROUNDUP(H117,0)</f>
        <v>27</v>
      </c>
      <c r="N117" s="24" t="n">
        <f aca="false">MAX(L117,M117)</f>
        <v>50</v>
      </c>
      <c r="O117" s="25" t="n">
        <v>7.55</v>
      </c>
      <c r="P117" s="25" t="n">
        <f aca="false">N117*O117</f>
        <v>377.5</v>
      </c>
      <c r="Q117" s="23" t="s">
        <v>3538</v>
      </c>
      <c r="R117" s="23" t="s">
        <v>2804</v>
      </c>
      <c r="S117" s="24" t="n">
        <v>50</v>
      </c>
      <c r="T117" s="25" t="n">
        <v>7.55</v>
      </c>
      <c r="U117" s="25" t="n">
        <v>377.5</v>
      </c>
      <c r="V117" s="25" t="n">
        <f aca="false">P117-U117</f>
        <v>0</v>
      </c>
      <c r="W117" s="25" t="n">
        <f aca="false">V117*12</f>
        <v>0</v>
      </c>
      <c r="X117" s="23" t="str">
        <f aca="false">IF(Q117="","MISSING FROM EXPORT",IF(ABS(V117)&lt;0.005,"CLEAR",IF(V117&gt;0,"UNDERBILLING","OVERBILLING")))</f>
        <v>CLEAR</v>
      </c>
      <c r="Y117" s="25" t="n">
        <f aca="false">IF(F117="COMMERCIAL",ROUND(P117*0.35,2),0)</f>
        <v>0</v>
      </c>
      <c r="Z117" s="23" t="str">
        <f aca="false">IF(F117="COMMERCIAL","VERIFY SIGNED AGREEMENT","NO EXCEPTION")</f>
        <v>NO EXCEPTION</v>
      </c>
      <c r="AA117" s="23" t="str">
        <f aca="false">IF(AND(C117="covered",N117&gt;40),"COVERED &gt;40 FT","")</f>
        <v/>
      </c>
      <c r="AB117" s="23" t="s">
        <v>3539</v>
      </c>
      <c r="AC117" s="23" t="s">
        <v>3540</v>
      </c>
      <c r="AD117" s="23" t="s">
        <v>2807</v>
      </c>
    </row>
    <row r="118" customFormat="false" ht="17.9" hidden="false" customHeight="false" outlineLevel="0" collapsed="false">
      <c r="A118" s="20" t="s">
        <v>3541</v>
      </c>
      <c r="B118" s="20" t="s">
        <v>109</v>
      </c>
      <c r="C118" s="20" t="s">
        <v>2798</v>
      </c>
      <c r="D118" s="20" t="s">
        <v>3542</v>
      </c>
      <c r="E118" s="20" t="s">
        <v>3543</v>
      </c>
      <c r="F118" s="20" t="s">
        <v>2833</v>
      </c>
      <c r="G118" s="20" t="s">
        <v>3544</v>
      </c>
      <c r="H118" s="22" t="n">
        <v>22</v>
      </c>
      <c r="I118" s="22" t="n">
        <v>22</v>
      </c>
      <c r="J118" s="22" t="n">
        <f aca="false">H118-I118</f>
        <v>0</v>
      </c>
      <c r="K118" s="20" t="str">
        <f aca="false">IF(ABS(J118)&lt;0.001,"MATCH - PAPER CHECK-IN NOT SUPPLIED","DATA MISMATCH")</f>
        <v>MATCH - PAPER CHECK-IN NOT SUPPLIED</v>
      </c>
      <c r="L118" s="22" t="n">
        <v>24</v>
      </c>
      <c r="M118" s="22" t="n">
        <f aca="false">ROUNDUP(H118,0)</f>
        <v>22</v>
      </c>
      <c r="N118" s="24" t="n">
        <f aca="false">MAX(L118,M118)</f>
        <v>24</v>
      </c>
      <c r="O118" s="25" t="n">
        <v>7.55</v>
      </c>
      <c r="P118" s="25" t="n">
        <f aca="false">N118*O118</f>
        <v>181.2</v>
      </c>
      <c r="Q118" s="23" t="s">
        <v>3545</v>
      </c>
      <c r="R118" s="23" t="s">
        <v>2804</v>
      </c>
      <c r="S118" s="24" t="n">
        <v>24</v>
      </c>
      <c r="T118" s="25" t="n">
        <v>7.55</v>
      </c>
      <c r="U118" s="25" t="n">
        <v>181.2</v>
      </c>
      <c r="V118" s="25" t="n">
        <f aca="false">P118-U118</f>
        <v>0</v>
      </c>
      <c r="W118" s="25" t="n">
        <f aca="false">V118*12</f>
        <v>0</v>
      </c>
      <c r="X118" s="23" t="str">
        <f aca="false">IF(Q118="","MISSING FROM EXPORT",IF(ABS(V118)&lt;0.005,"CLEAR",IF(V118&gt;0,"UNDERBILLING","OVERBILLING")))</f>
        <v>CLEAR</v>
      </c>
      <c r="Y118" s="25" t="n">
        <f aca="false">IF(F118="COMMERCIAL",ROUND(P118*0.35,2),0)</f>
        <v>0</v>
      </c>
      <c r="Z118" s="23" t="str">
        <f aca="false">IF(F118="COMMERCIAL","VERIFY SIGNED AGREEMENT","NO EXCEPTION")</f>
        <v>NO EXCEPTION</v>
      </c>
      <c r="AA118" s="23" t="str">
        <f aca="false">IF(AND(C118="covered",N118&gt;40),"COVERED &gt;40 FT","")</f>
        <v/>
      </c>
      <c r="AB118" s="23" t="s">
        <v>3546</v>
      </c>
      <c r="AC118" s="23" t="s">
        <v>3547</v>
      </c>
      <c r="AD118" s="23" t="s">
        <v>2807</v>
      </c>
    </row>
    <row r="119" customFormat="false" ht="17.9" hidden="false" customHeight="false" outlineLevel="0" collapsed="false">
      <c r="A119" s="20" t="s">
        <v>3548</v>
      </c>
      <c r="B119" s="20" t="s">
        <v>109</v>
      </c>
      <c r="C119" s="20" t="s">
        <v>2798</v>
      </c>
      <c r="D119" s="20" t="s">
        <v>3549</v>
      </c>
      <c r="E119" s="20" t="s">
        <v>3550</v>
      </c>
      <c r="F119" s="20" t="s">
        <v>2818</v>
      </c>
      <c r="G119" s="20" t="s">
        <v>3551</v>
      </c>
      <c r="H119" s="22" t="n">
        <v>35</v>
      </c>
      <c r="I119" s="22" t="n">
        <v>35</v>
      </c>
      <c r="J119" s="22" t="n">
        <f aca="false">H119-I119</f>
        <v>0</v>
      </c>
      <c r="K119" s="20" t="str">
        <f aca="false">IF(ABS(J119)&lt;0.001,"MATCH - PAPER CHECK-IN NOT SUPPLIED","DATA MISMATCH")</f>
        <v>MATCH - PAPER CHECK-IN NOT SUPPLIED</v>
      </c>
      <c r="L119" s="22" t="n">
        <v>60</v>
      </c>
      <c r="M119" s="22" t="n">
        <f aca="false">ROUNDUP(H119,0)</f>
        <v>35</v>
      </c>
      <c r="N119" s="24" t="n">
        <f aca="false">MAX(L119,M119)</f>
        <v>60</v>
      </c>
      <c r="O119" s="25" t="n">
        <v>7.55</v>
      </c>
      <c r="P119" s="25" t="n">
        <f aca="false">N119*O119</f>
        <v>453</v>
      </c>
      <c r="Q119" s="23" t="s">
        <v>3552</v>
      </c>
      <c r="R119" s="23" t="s">
        <v>2804</v>
      </c>
      <c r="S119" s="24" t="n">
        <v>60</v>
      </c>
      <c r="T119" s="25" t="n">
        <v>7.55</v>
      </c>
      <c r="U119" s="25" t="n">
        <v>453</v>
      </c>
      <c r="V119" s="25" t="n">
        <f aca="false">P119-U119</f>
        <v>0</v>
      </c>
      <c r="W119" s="25" t="n">
        <f aca="false">V119*12</f>
        <v>0</v>
      </c>
      <c r="X119" s="23" t="str">
        <f aca="false">IF(Q119="","MISSING FROM EXPORT",IF(ABS(V119)&lt;0.005,"CLEAR",IF(V119&gt;0,"UNDERBILLING","OVERBILLING")))</f>
        <v>CLEAR</v>
      </c>
      <c r="Y119" s="25" t="n">
        <f aca="false">IF(F119="COMMERCIAL",ROUND(P119*0.35,2),0)</f>
        <v>0</v>
      </c>
      <c r="Z119" s="23" t="str">
        <f aca="false">IF(F119="COMMERCIAL","VERIFY SIGNED AGREEMENT","NO EXCEPTION")</f>
        <v>NO EXCEPTION</v>
      </c>
      <c r="AA119" s="23" t="str">
        <f aca="false">IF(AND(C119="covered",N119&gt;40),"COVERED &gt;40 FT","")</f>
        <v/>
      </c>
      <c r="AB119" s="23" t="s">
        <v>3553</v>
      </c>
      <c r="AC119" s="23" t="s">
        <v>3554</v>
      </c>
      <c r="AD119" s="23" t="s">
        <v>2807</v>
      </c>
    </row>
    <row r="120" customFormat="false" ht="17.9" hidden="false" customHeight="false" outlineLevel="0" collapsed="false">
      <c r="A120" s="20" t="s">
        <v>3555</v>
      </c>
      <c r="B120" s="20" t="s">
        <v>109</v>
      </c>
      <c r="C120" s="20" t="s">
        <v>2798</v>
      </c>
      <c r="D120" s="20" t="s">
        <v>3556</v>
      </c>
      <c r="E120" s="20" t="s">
        <v>3557</v>
      </c>
      <c r="F120" s="20" t="s">
        <v>2833</v>
      </c>
      <c r="G120" s="20" t="s">
        <v>3558</v>
      </c>
      <c r="H120" s="22" t="n">
        <v>54.9</v>
      </c>
      <c r="I120" s="22" t="n">
        <v>54.9</v>
      </c>
      <c r="J120" s="22" t="n">
        <f aca="false">H120-I120</f>
        <v>0</v>
      </c>
      <c r="K120" s="20" t="str">
        <f aca="false">IF(ABS(J120)&lt;0.001,"MATCH - PAPER CHECK-IN NOT SUPPLIED","DATA MISMATCH")</f>
        <v>MATCH - PAPER CHECK-IN NOT SUPPLIED</v>
      </c>
      <c r="L120" s="22" t="n">
        <v>40</v>
      </c>
      <c r="M120" s="22" t="n">
        <f aca="false">ROUNDUP(H120,0)</f>
        <v>55</v>
      </c>
      <c r="N120" s="24" t="n">
        <f aca="false">MAX(L120,M120)</f>
        <v>55</v>
      </c>
      <c r="O120" s="25" t="n">
        <v>7.55</v>
      </c>
      <c r="P120" s="25" t="n">
        <f aca="false">N120*O120</f>
        <v>415.25</v>
      </c>
      <c r="Q120" s="23" t="s">
        <v>3559</v>
      </c>
      <c r="R120" s="23" t="s">
        <v>2804</v>
      </c>
      <c r="S120" s="24" t="n">
        <v>55</v>
      </c>
      <c r="T120" s="25" t="n">
        <v>7.55</v>
      </c>
      <c r="U120" s="25" t="n">
        <v>415.25</v>
      </c>
      <c r="V120" s="25" t="n">
        <f aca="false">P120-U120</f>
        <v>0</v>
      </c>
      <c r="W120" s="25" t="n">
        <f aca="false">V120*12</f>
        <v>0</v>
      </c>
      <c r="X120" s="23" t="str">
        <f aca="false">IF(Q120="","MISSING FROM EXPORT",IF(ABS(V120)&lt;0.005,"CLEAR",IF(V120&gt;0,"UNDERBILLING","OVERBILLING")))</f>
        <v>CLEAR</v>
      </c>
      <c r="Y120" s="25" t="n">
        <f aca="false">IF(F120="COMMERCIAL",ROUND(P120*0.35,2),0)</f>
        <v>0</v>
      </c>
      <c r="Z120" s="23" t="str">
        <f aca="false">IF(F120="COMMERCIAL","VERIFY SIGNED AGREEMENT","NO EXCEPTION")</f>
        <v>NO EXCEPTION</v>
      </c>
      <c r="AA120" s="23" t="str">
        <f aca="false">IF(AND(C120="covered",N120&gt;40),"COVERED &gt;40 FT","")</f>
        <v/>
      </c>
      <c r="AB120" s="23" t="s">
        <v>3560</v>
      </c>
      <c r="AC120" s="23" t="s">
        <v>3561</v>
      </c>
      <c r="AD120" s="23" t="s">
        <v>2807</v>
      </c>
    </row>
    <row r="121" customFormat="false" ht="17.9" hidden="false" customHeight="false" outlineLevel="0" collapsed="false">
      <c r="A121" s="20" t="s">
        <v>3562</v>
      </c>
      <c r="B121" s="20" t="s">
        <v>109</v>
      </c>
      <c r="C121" s="20" t="s">
        <v>2798</v>
      </c>
      <c r="D121" s="20" t="s">
        <v>3563</v>
      </c>
      <c r="E121" s="20" t="s">
        <v>3564</v>
      </c>
      <c r="F121" s="20" t="s">
        <v>2857</v>
      </c>
      <c r="G121" s="20" t="s">
        <v>3565</v>
      </c>
      <c r="H121" s="22" t="n">
        <v>53.8</v>
      </c>
      <c r="I121" s="22" t="n">
        <v>53.8</v>
      </c>
      <c r="J121" s="22" t="n">
        <f aca="false">H121-I121</f>
        <v>0</v>
      </c>
      <c r="K121" s="20" t="str">
        <f aca="false">IF(ABS(J121)&lt;0.001,"MATCH - PAPER CHECK-IN NOT SUPPLIED","DATA MISMATCH")</f>
        <v>MATCH - PAPER CHECK-IN NOT SUPPLIED</v>
      </c>
      <c r="L121" s="22" t="n">
        <v>45</v>
      </c>
      <c r="M121" s="22" t="n">
        <f aca="false">ROUNDUP(H121,0)</f>
        <v>54</v>
      </c>
      <c r="N121" s="24" t="n">
        <f aca="false">MAX(L121,M121)</f>
        <v>54</v>
      </c>
      <c r="O121" s="25" t="n">
        <v>7.55</v>
      </c>
      <c r="P121" s="25" t="n">
        <f aca="false">N121*O121</f>
        <v>407.7</v>
      </c>
      <c r="Q121" s="23" t="s">
        <v>3566</v>
      </c>
      <c r="R121" s="23" t="s">
        <v>2804</v>
      </c>
      <c r="S121" s="24" t="n">
        <v>54</v>
      </c>
      <c r="T121" s="25" t="n">
        <v>7.55</v>
      </c>
      <c r="U121" s="25" t="n">
        <v>407.7</v>
      </c>
      <c r="V121" s="25" t="n">
        <f aca="false">P121-U121</f>
        <v>0</v>
      </c>
      <c r="W121" s="25" t="n">
        <f aca="false">V121*12</f>
        <v>0</v>
      </c>
      <c r="X121" s="23" t="str">
        <f aca="false">IF(Q121="","MISSING FROM EXPORT",IF(ABS(V121)&lt;0.005,"CLEAR",IF(V121&gt;0,"UNDERBILLING","OVERBILLING")))</f>
        <v>CLEAR</v>
      </c>
      <c r="Y121" s="25" t="n">
        <f aca="false">IF(F121="COMMERCIAL",ROUND(P121*0.35,2),0)</f>
        <v>0</v>
      </c>
      <c r="Z121" s="23" t="str">
        <f aca="false">IF(F121="COMMERCIAL","VERIFY SIGNED AGREEMENT","NO EXCEPTION")</f>
        <v>NO EXCEPTION</v>
      </c>
      <c r="AA121" s="23" t="str">
        <f aca="false">IF(AND(C121="covered",N121&gt;40),"COVERED &gt;40 FT","")</f>
        <v/>
      </c>
      <c r="AB121" s="23" t="s">
        <v>3567</v>
      </c>
      <c r="AC121" s="23" t="s">
        <v>3568</v>
      </c>
      <c r="AD121" s="23" t="s">
        <v>2807</v>
      </c>
    </row>
    <row r="122" customFormat="false" ht="17.9" hidden="false" customHeight="false" outlineLevel="0" collapsed="false">
      <c r="A122" s="20" t="s">
        <v>832</v>
      </c>
      <c r="B122" s="20" t="s">
        <v>109</v>
      </c>
      <c r="C122" s="20" t="s">
        <v>2798</v>
      </c>
      <c r="D122" s="20" t="s">
        <v>3569</v>
      </c>
      <c r="E122" s="20" t="s">
        <v>3570</v>
      </c>
      <c r="F122" s="20" t="s">
        <v>2810</v>
      </c>
      <c r="G122" s="20" t="s">
        <v>3571</v>
      </c>
      <c r="H122" s="22" t="n">
        <v>40</v>
      </c>
      <c r="I122" s="22" t="n">
        <v>40</v>
      </c>
      <c r="J122" s="22" t="n">
        <f aca="false">H122-I122</f>
        <v>0</v>
      </c>
      <c r="K122" s="20" t="str">
        <f aca="false">IF(ABS(J122)&lt;0.001,"MATCH - PAPER CHECK-IN NOT SUPPLIED","DATA MISMATCH")</f>
        <v>MATCH - PAPER CHECK-IN NOT SUPPLIED</v>
      </c>
      <c r="L122" s="22" t="n">
        <v>24</v>
      </c>
      <c r="M122" s="22" t="n">
        <f aca="false">ROUNDUP(H122,0)</f>
        <v>40</v>
      </c>
      <c r="N122" s="24" t="n">
        <f aca="false">MAX(L122,M122)</f>
        <v>40</v>
      </c>
      <c r="O122" s="25" t="n">
        <v>7.55</v>
      </c>
      <c r="P122" s="25" t="n">
        <f aca="false">N122*O122</f>
        <v>302</v>
      </c>
      <c r="Q122" s="23" t="s">
        <v>3572</v>
      </c>
      <c r="R122" s="23" t="s">
        <v>2804</v>
      </c>
      <c r="S122" s="24" t="n">
        <v>40</v>
      </c>
      <c r="T122" s="25" t="n">
        <v>7.55</v>
      </c>
      <c r="U122" s="25" t="n">
        <v>302</v>
      </c>
      <c r="V122" s="25" t="n">
        <f aca="false">P122-U122</f>
        <v>0</v>
      </c>
      <c r="W122" s="25" t="n">
        <f aca="false">V122*12</f>
        <v>0</v>
      </c>
      <c r="X122" s="23" t="str">
        <f aca="false">IF(Q122="","MISSING FROM EXPORT",IF(ABS(V122)&lt;0.005,"CLEAR",IF(V122&gt;0,"UNDERBILLING","OVERBILLING")))</f>
        <v>CLEAR</v>
      </c>
      <c r="Y122" s="25" t="n">
        <f aca="false">IF(F122="COMMERCIAL",ROUND(P122*0.35,2),0)</f>
        <v>0</v>
      </c>
      <c r="Z122" s="23" t="str">
        <f aca="false">IF(F122="COMMERCIAL","VERIFY SIGNED AGREEMENT","NO EXCEPTION")</f>
        <v>NO EXCEPTION</v>
      </c>
      <c r="AA122" s="23" t="str">
        <f aca="false">IF(AND(C122="covered",N122&gt;40),"COVERED &gt;40 FT","")</f>
        <v/>
      </c>
      <c r="AB122" s="23" t="s">
        <v>3573</v>
      </c>
      <c r="AC122" s="23" t="s">
        <v>3574</v>
      </c>
      <c r="AD122" s="23" t="s">
        <v>2807</v>
      </c>
    </row>
    <row r="123" customFormat="false" ht="17.9" hidden="false" customHeight="false" outlineLevel="0" collapsed="false">
      <c r="A123" s="20" t="s">
        <v>778</v>
      </c>
      <c r="B123" s="20" t="s">
        <v>109</v>
      </c>
      <c r="C123" s="20" t="s">
        <v>2798</v>
      </c>
      <c r="D123" s="20" t="s">
        <v>3575</v>
      </c>
      <c r="E123" s="20" t="s">
        <v>3576</v>
      </c>
      <c r="F123" s="20" t="s">
        <v>2801</v>
      </c>
      <c r="G123" s="20" t="s">
        <v>3577</v>
      </c>
      <c r="H123" s="22" t="n">
        <v>42.7</v>
      </c>
      <c r="I123" s="22" t="n">
        <v>42.7</v>
      </c>
      <c r="J123" s="22" t="n">
        <f aca="false">H123-I123</f>
        <v>0</v>
      </c>
      <c r="K123" s="20" t="str">
        <f aca="false">IF(ABS(J123)&lt;0.001,"MATCH - PAPER CHECK-IN NOT SUPPLIED","DATA MISMATCH")</f>
        <v>MATCH - PAPER CHECK-IN NOT SUPPLIED</v>
      </c>
      <c r="L123" s="22" t="n">
        <v>28</v>
      </c>
      <c r="M123" s="22" t="n">
        <f aca="false">ROUNDUP(H123,0)</f>
        <v>43</v>
      </c>
      <c r="N123" s="24" t="n">
        <f aca="false">MAX(L123,M123)</f>
        <v>43</v>
      </c>
      <c r="O123" s="25" t="n">
        <v>7.55</v>
      </c>
      <c r="P123" s="25" t="n">
        <f aca="false">N123*O123</f>
        <v>324.65</v>
      </c>
      <c r="Q123" s="23" t="s">
        <v>3578</v>
      </c>
      <c r="R123" s="23" t="s">
        <v>2804</v>
      </c>
      <c r="S123" s="24" t="n">
        <v>43</v>
      </c>
      <c r="T123" s="25" t="n">
        <v>7.55</v>
      </c>
      <c r="U123" s="25" t="n">
        <v>324.65</v>
      </c>
      <c r="V123" s="25" t="n">
        <f aca="false">P123-U123</f>
        <v>0</v>
      </c>
      <c r="W123" s="25" t="n">
        <f aca="false">V123*12</f>
        <v>0</v>
      </c>
      <c r="X123" s="23" t="str">
        <f aca="false">IF(Q123="","MISSING FROM EXPORT",IF(ABS(V123)&lt;0.005,"CLEAR",IF(V123&gt;0,"UNDERBILLING","OVERBILLING")))</f>
        <v>CLEAR</v>
      </c>
      <c r="Y123" s="25" t="n">
        <f aca="false">IF(F123="COMMERCIAL",ROUND(P123*0.35,2),0)</f>
        <v>0</v>
      </c>
      <c r="Z123" s="23" t="str">
        <f aca="false">IF(F123="COMMERCIAL","VERIFY SIGNED AGREEMENT","NO EXCEPTION")</f>
        <v>NO EXCEPTION</v>
      </c>
      <c r="AA123" s="23" t="str">
        <f aca="false">IF(AND(C123="covered",N123&gt;40),"COVERED &gt;40 FT","")</f>
        <v/>
      </c>
      <c r="AB123" s="23" t="s">
        <v>3579</v>
      </c>
      <c r="AC123" s="23" t="s">
        <v>3580</v>
      </c>
      <c r="AD123" s="23" t="s">
        <v>2807</v>
      </c>
    </row>
    <row r="124" customFormat="false" ht="17.9" hidden="false" customHeight="false" outlineLevel="0" collapsed="false">
      <c r="A124" s="20" t="s">
        <v>3581</v>
      </c>
      <c r="B124" s="20" t="s">
        <v>109</v>
      </c>
      <c r="C124" s="20" t="s">
        <v>2798</v>
      </c>
      <c r="D124" s="20" t="s">
        <v>3582</v>
      </c>
      <c r="E124" s="20" t="s">
        <v>3583</v>
      </c>
      <c r="F124" s="20" t="s">
        <v>2857</v>
      </c>
      <c r="G124" s="20" t="s">
        <v>3584</v>
      </c>
      <c r="H124" s="22" t="n">
        <v>51.6</v>
      </c>
      <c r="I124" s="22" t="n">
        <v>51.6</v>
      </c>
      <c r="J124" s="22" t="n">
        <f aca="false">H124-I124</f>
        <v>0</v>
      </c>
      <c r="K124" s="20" t="str">
        <f aca="false">IF(ABS(J124)&lt;0.001,"MATCH - PAPER CHECK-IN NOT SUPPLIED","DATA MISMATCH")</f>
        <v>MATCH - PAPER CHECK-IN NOT SUPPLIED</v>
      </c>
      <c r="L124" s="22" t="n">
        <v>28</v>
      </c>
      <c r="M124" s="22" t="n">
        <f aca="false">ROUNDUP(H124,0)</f>
        <v>52</v>
      </c>
      <c r="N124" s="24" t="n">
        <f aca="false">MAX(L124,M124)</f>
        <v>52</v>
      </c>
      <c r="O124" s="25" t="n">
        <v>7.55</v>
      </c>
      <c r="P124" s="25" t="n">
        <f aca="false">N124*O124</f>
        <v>392.6</v>
      </c>
      <c r="Q124" s="23" t="s">
        <v>3585</v>
      </c>
      <c r="R124" s="23" t="s">
        <v>2804</v>
      </c>
      <c r="S124" s="24" t="n">
        <v>52</v>
      </c>
      <c r="T124" s="25" t="n">
        <v>7.55</v>
      </c>
      <c r="U124" s="25" t="n">
        <v>392.6</v>
      </c>
      <c r="V124" s="25" t="n">
        <f aca="false">P124-U124</f>
        <v>0</v>
      </c>
      <c r="W124" s="25" t="n">
        <f aca="false">V124*12</f>
        <v>0</v>
      </c>
      <c r="X124" s="23" t="str">
        <f aca="false">IF(Q124="","MISSING FROM EXPORT",IF(ABS(V124)&lt;0.005,"CLEAR",IF(V124&gt;0,"UNDERBILLING","OVERBILLING")))</f>
        <v>CLEAR</v>
      </c>
      <c r="Y124" s="25" t="n">
        <f aca="false">IF(F124="COMMERCIAL",ROUND(P124*0.35,2),0)</f>
        <v>0</v>
      </c>
      <c r="Z124" s="23" t="str">
        <f aca="false">IF(F124="COMMERCIAL","VERIFY SIGNED AGREEMENT","NO EXCEPTION")</f>
        <v>NO EXCEPTION</v>
      </c>
      <c r="AA124" s="23" t="str">
        <f aca="false">IF(AND(C124="covered",N124&gt;40),"COVERED &gt;40 FT","")</f>
        <v/>
      </c>
      <c r="AB124" s="23" t="s">
        <v>3586</v>
      </c>
      <c r="AC124" s="23" t="s">
        <v>3587</v>
      </c>
      <c r="AD124" s="23" t="s">
        <v>2807</v>
      </c>
    </row>
    <row r="125" customFormat="false" ht="17.9" hidden="false" customHeight="false" outlineLevel="0" collapsed="false">
      <c r="A125" s="20" t="s">
        <v>3588</v>
      </c>
      <c r="B125" s="20" t="s">
        <v>109</v>
      </c>
      <c r="C125" s="20" t="s">
        <v>2798</v>
      </c>
      <c r="D125" s="20" t="s">
        <v>2228</v>
      </c>
      <c r="E125" s="20" t="s">
        <v>3589</v>
      </c>
      <c r="F125" s="20" t="s">
        <v>2934</v>
      </c>
      <c r="G125" s="20" t="s">
        <v>3590</v>
      </c>
      <c r="H125" s="22" t="n">
        <v>50.3</v>
      </c>
      <c r="I125" s="22" t="n">
        <v>50.3</v>
      </c>
      <c r="J125" s="22" t="n">
        <f aca="false">H125-I125</f>
        <v>0</v>
      </c>
      <c r="K125" s="20" t="str">
        <f aca="false">IF(ABS(J125)&lt;0.001,"MATCH - PAPER CHECK-IN NOT SUPPLIED","DATA MISMATCH")</f>
        <v>MATCH - PAPER CHECK-IN NOT SUPPLIED</v>
      </c>
      <c r="L125" s="22" t="n">
        <v>28</v>
      </c>
      <c r="M125" s="22" t="n">
        <f aca="false">ROUNDUP(H125,0)</f>
        <v>51</v>
      </c>
      <c r="N125" s="24" t="n">
        <f aca="false">MAX(L125,M125)</f>
        <v>51</v>
      </c>
      <c r="O125" s="25" t="n">
        <v>7.55</v>
      </c>
      <c r="P125" s="25" t="n">
        <f aca="false">N125*O125</f>
        <v>385.05</v>
      </c>
      <c r="Q125" s="23" t="s">
        <v>3591</v>
      </c>
      <c r="R125" s="23" t="s">
        <v>2804</v>
      </c>
      <c r="S125" s="24" t="n">
        <v>51</v>
      </c>
      <c r="T125" s="25" t="n">
        <v>7.55</v>
      </c>
      <c r="U125" s="25" t="n">
        <v>385.05</v>
      </c>
      <c r="V125" s="25" t="n">
        <f aca="false">P125-U125</f>
        <v>0</v>
      </c>
      <c r="W125" s="25" t="n">
        <f aca="false">V125*12</f>
        <v>0</v>
      </c>
      <c r="X125" s="23" t="str">
        <f aca="false">IF(Q125="","MISSING FROM EXPORT",IF(ABS(V125)&lt;0.005,"CLEAR",IF(V125&gt;0,"UNDERBILLING","OVERBILLING")))</f>
        <v>CLEAR</v>
      </c>
      <c r="Y125" s="25" t="n">
        <f aca="false">IF(F125="COMMERCIAL",ROUND(P125*0.35,2),0)</f>
        <v>134.77</v>
      </c>
      <c r="Z125" s="23" t="str">
        <f aca="false">IF(F125="COMMERCIAL","VERIFY SIGNED AGREEMENT","NO EXCEPTION")</f>
        <v>VERIFY SIGNED AGREEMENT</v>
      </c>
      <c r="AA125" s="23" t="str">
        <f aca="false">IF(AND(C125="covered",N125&gt;40),"COVERED &gt;40 FT","")</f>
        <v/>
      </c>
      <c r="AB125" s="23" t="s">
        <v>3592</v>
      </c>
      <c r="AC125" s="23" t="s">
        <v>3593</v>
      </c>
      <c r="AD125" s="23" t="s">
        <v>2807</v>
      </c>
    </row>
    <row r="126" customFormat="false" ht="17.9" hidden="false" customHeight="false" outlineLevel="0" collapsed="false">
      <c r="A126" s="20" t="s">
        <v>3594</v>
      </c>
      <c r="B126" s="20" t="s">
        <v>109</v>
      </c>
      <c r="C126" s="20" t="s">
        <v>2798</v>
      </c>
      <c r="D126" s="20" t="s">
        <v>3595</v>
      </c>
      <c r="E126" s="20" t="s">
        <v>1485</v>
      </c>
      <c r="F126" s="20" t="s">
        <v>2833</v>
      </c>
      <c r="G126" s="20" t="s">
        <v>3596</v>
      </c>
      <c r="H126" s="22" t="n">
        <v>47</v>
      </c>
      <c r="I126" s="22" t="n">
        <v>47</v>
      </c>
      <c r="J126" s="22" t="n">
        <f aca="false">H126-I126</f>
        <v>0</v>
      </c>
      <c r="K126" s="20" t="str">
        <f aca="false">IF(ABS(J126)&lt;0.001,"MATCH - PAPER CHECK-IN NOT SUPPLIED","DATA MISMATCH")</f>
        <v>MATCH - PAPER CHECK-IN NOT SUPPLIED</v>
      </c>
      <c r="L126" s="22" t="n">
        <v>24</v>
      </c>
      <c r="M126" s="22" t="n">
        <f aca="false">ROUNDUP(H126,0)</f>
        <v>47</v>
      </c>
      <c r="N126" s="24" t="n">
        <f aca="false">MAX(L126,M126)</f>
        <v>47</v>
      </c>
      <c r="O126" s="25" t="n">
        <v>7.55</v>
      </c>
      <c r="P126" s="25" t="n">
        <f aca="false">N126*O126</f>
        <v>354.85</v>
      </c>
      <c r="Q126" s="23" t="s">
        <v>3597</v>
      </c>
      <c r="R126" s="23" t="s">
        <v>2804</v>
      </c>
      <c r="S126" s="24" t="n">
        <v>47</v>
      </c>
      <c r="T126" s="25" t="n">
        <v>7.55</v>
      </c>
      <c r="U126" s="25" t="n">
        <v>354.85</v>
      </c>
      <c r="V126" s="25" t="n">
        <f aca="false">P126-U126</f>
        <v>0</v>
      </c>
      <c r="W126" s="25" t="n">
        <f aca="false">V126*12</f>
        <v>0</v>
      </c>
      <c r="X126" s="23" t="str">
        <f aca="false">IF(Q126="","MISSING FROM EXPORT",IF(ABS(V126)&lt;0.005,"CLEAR",IF(V126&gt;0,"UNDERBILLING","OVERBILLING")))</f>
        <v>CLEAR</v>
      </c>
      <c r="Y126" s="25" t="n">
        <f aca="false">IF(F126="COMMERCIAL",ROUND(P126*0.35,2),0)</f>
        <v>0</v>
      </c>
      <c r="Z126" s="23" t="str">
        <f aca="false">IF(F126="COMMERCIAL","VERIFY SIGNED AGREEMENT","NO EXCEPTION")</f>
        <v>NO EXCEPTION</v>
      </c>
      <c r="AA126" s="23" t="str">
        <f aca="false">IF(AND(C126="covered",N126&gt;40),"COVERED &gt;40 FT","")</f>
        <v/>
      </c>
      <c r="AB126" s="23" t="s">
        <v>3598</v>
      </c>
      <c r="AC126" s="23" t="s">
        <v>3599</v>
      </c>
      <c r="AD126" s="23" t="s">
        <v>2807</v>
      </c>
    </row>
    <row r="127" customFormat="false" ht="17.9" hidden="false" customHeight="false" outlineLevel="0" collapsed="false">
      <c r="A127" s="20" t="s">
        <v>3600</v>
      </c>
      <c r="B127" s="20" t="s">
        <v>109</v>
      </c>
      <c r="C127" s="20" t="s">
        <v>2798</v>
      </c>
      <c r="D127" s="20" t="s">
        <v>2253</v>
      </c>
      <c r="E127" s="20" t="s">
        <v>2254</v>
      </c>
      <c r="F127" s="20" t="s">
        <v>2833</v>
      </c>
      <c r="G127" s="20" t="s">
        <v>3601</v>
      </c>
      <c r="H127" s="22" t="n">
        <v>53</v>
      </c>
      <c r="I127" s="22" t="n">
        <v>53</v>
      </c>
      <c r="J127" s="22" t="n">
        <f aca="false">H127-I127</f>
        <v>0</v>
      </c>
      <c r="K127" s="20" t="str">
        <f aca="false">IF(ABS(J127)&lt;0.001,"MATCH - PAPER CHECK-IN NOT SUPPLIED","DATA MISMATCH")</f>
        <v>MATCH - PAPER CHECK-IN NOT SUPPLIED</v>
      </c>
      <c r="L127" s="22" t="n">
        <v>45</v>
      </c>
      <c r="M127" s="22" t="n">
        <f aca="false">ROUNDUP(H127,0)</f>
        <v>53</v>
      </c>
      <c r="N127" s="24" t="n">
        <f aca="false">MAX(L127,M127)</f>
        <v>53</v>
      </c>
      <c r="O127" s="25" t="n">
        <v>7.55</v>
      </c>
      <c r="P127" s="25" t="n">
        <f aca="false">N127*O127</f>
        <v>400.15</v>
      </c>
      <c r="Q127" s="23" t="s">
        <v>3602</v>
      </c>
      <c r="R127" s="23" t="s">
        <v>2804</v>
      </c>
      <c r="S127" s="24" t="n">
        <v>53</v>
      </c>
      <c r="T127" s="25" t="n">
        <v>7.55</v>
      </c>
      <c r="U127" s="25" t="n">
        <v>400.15</v>
      </c>
      <c r="V127" s="25" t="n">
        <f aca="false">P127-U127</f>
        <v>0</v>
      </c>
      <c r="W127" s="25" t="n">
        <f aca="false">V127*12</f>
        <v>0</v>
      </c>
      <c r="X127" s="23" t="str">
        <f aca="false">IF(Q127="","MISSING FROM EXPORT",IF(ABS(V127)&lt;0.005,"CLEAR",IF(V127&gt;0,"UNDERBILLING","OVERBILLING")))</f>
        <v>CLEAR</v>
      </c>
      <c r="Y127" s="25" t="n">
        <f aca="false">IF(F127="COMMERCIAL",ROUND(P127*0.35,2),0)</f>
        <v>0</v>
      </c>
      <c r="Z127" s="23" t="str">
        <f aca="false">IF(F127="COMMERCIAL","VERIFY SIGNED AGREEMENT","NO EXCEPTION")</f>
        <v>NO EXCEPTION</v>
      </c>
      <c r="AA127" s="23" t="str">
        <f aca="false">IF(AND(C127="covered",N127&gt;40),"COVERED &gt;40 FT","")</f>
        <v/>
      </c>
      <c r="AB127" s="23" t="s">
        <v>3603</v>
      </c>
      <c r="AC127" s="23" t="s">
        <v>3604</v>
      </c>
      <c r="AD127" s="23" t="s">
        <v>2807</v>
      </c>
    </row>
    <row r="128" customFormat="false" ht="17.9" hidden="false" customHeight="false" outlineLevel="0" collapsed="false">
      <c r="A128" s="20" t="s">
        <v>3605</v>
      </c>
      <c r="B128" s="20" t="s">
        <v>109</v>
      </c>
      <c r="C128" s="20" t="s">
        <v>2798</v>
      </c>
      <c r="D128" s="20" t="s">
        <v>3606</v>
      </c>
      <c r="E128" s="20" t="s">
        <v>3607</v>
      </c>
      <c r="F128" s="20" t="s">
        <v>2818</v>
      </c>
      <c r="G128" s="20" t="s">
        <v>3608</v>
      </c>
      <c r="H128" s="22" t="n">
        <v>23.5</v>
      </c>
      <c r="I128" s="22" t="n">
        <v>23.5</v>
      </c>
      <c r="J128" s="22" t="n">
        <f aca="false">H128-I128</f>
        <v>0</v>
      </c>
      <c r="K128" s="20" t="str">
        <f aca="false">IF(ABS(J128)&lt;0.001,"MATCH - PAPER CHECK-IN NOT SUPPLIED","DATA MISMATCH")</f>
        <v>MATCH - PAPER CHECK-IN NOT SUPPLIED</v>
      </c>
      <c r="L128" s="22" t="n">
        <v>45</v>
      </c>
      <c r="M128" s="22" t="n">
        <f aca="false">ROUNDUP(H128,0)</f>
        <v>24</v>
      </c>
      <c r="N128" s="24" t="n">
        <f aca="false">MAX(L128,M128)</f>
        <v>45</v>
      </c>
      <c r="O128" s="25" t="n">
        <v>7.55</v>
      </c>
      <c r="P128" s="25" t="n">
        <f aca="false">N128*O128</f>
        <v>339.75</v>
      </c>
      <c r="Q128" s="23" t="s">
        <v>3609</v>
      </c>
      <c r="R128" s="23" t="s">
        <v>2804</v>
      </c>
      <c r="S128" s="24" t="n">
        <v>45</v>
      </c>
      <c r="T128" s="25" t="n">
        <v>7.55</v>
      </c>
      <c r="U128" s="25" t="n">
        <v>339.75</v>
      </c>
      <c r="V128" s="25" t="n">
        <f aca="false">P128-U128</f>
        <v>0</v>
      </c>
      <c r="W128" s="25" t="n">
        <f aca="false">V128*12</f>
        <v>0</v>
      </c>
      <c r="X128" s="23" t="str">
        <f aca="false">IF(Q128="","MISSING FROM EXPORT",IF(ABS(V128)&lt;0.005,"CLEAR",IF(V128&gt;0,"UNDERBILLING","OVERBILLING")))</f>
        <v>CLEAR</v>
      </c>
      <c r="Y128" s="25" t="n">
        <f aca="false">IF(F128="COMMERCIAL",ROUND(P128*0.35,2),0)</f>
        <v>0</v>
      </c>
      <c r="Z128" s="23" t="str">
        <f aca="false">IF(F128="COMMERCIAL","VERIFY SIGNED AGREEMENT","NO EXCEPTION")</f>
        <v>NO EXCEPTION</v>
      </c>
      <c r="AA128" s="23" t="str">
        <f aca="false">IF(AND(C128="covered",N128&gt;40),"COVERED &gt;40 FT","")</f>
        <v/>
      </c>
      <c r="AB128" s="23" t="s">
        <v>3610</v>
      </c>
      <c r="AC128" s="23" t="s">
        <v>3611</v>
      </c>
      <c r="AD128" s="23" t="s">
        <v>2807</v>
      </c>
    </row>
    <row r="129" customFormat="false" ht="17.9" hidden="false" customHeight="false" outlineLevel="0" collapsed="false">
      <c r="A129" s="20" t="s">
        <v>3612</v>
      </c>
      <c r="B129" s="20" t="s">
        <v>109</v>
      </c>
      <c r="C129" s="20" t="s">
        <v>2798</v>
      </c>
      <c r="D129" s="20" t="s">
        <v>2188</v>
      </c>
      <c r="E129" s="20" t="s">
        <v>3613</v>
      </c>
      <c r="F129" s="20" t="s">
        <v>2869</v>
      </c>
      <c r="G129" s="20" t="s">
        <v>3614</v>
      </c>
      <c r="H129" s="22" t="n">
        <v>42.6</v>
      </c>
      <c r="I129" s="22" t="n">
        <v>42.6</v>
      </c>
      <c r="J129" s="22" t="n">
        <f aca="false">H129-I129</f>
        <v>0</v>
      </c>
      <c r="K129" s="20" t="str">
        <f aca="false">IF(ABS(J129)&lt;0.001,"MATCH - PAPER CHECK-IN NOT SUPPLIED","DATA MISMATCH")</f>
        <v>MATCH - PAPER CHECK-IN NOT SUPPLIED</v>
      </c>
      <c r="L129" s="22" t="n">
        <v>36</v>
      </c>
      <c r="M129" s="22" t="n">
        <f aca="false">ROUNDUP(H129,0)</f>
        <v>43</v>
      </c>
      <c r="N129" s="24" t="n">
        <f aca="false">MAX(L129,M129)</f>
        <v>43</v>
      </c>
      <c r="O129" s="25" t="n">
        <v>7.55</v>
      </c>
      <c r="P129" s="25" t="n">
        <f aca="false">N129*O129</f>
        <v>324.65</v>
      </c>
      <c r="Q129" s="23" t="s">
        <v>3615</v>
      </c>
      <c r="R129" s="23" t="s">
        <v>2804</v>
      </c>
      <c r="S129" s="24" t="n">
        <v>43</v>
      </c>
      <c r="T129" s="25" t="n">
        <v>7.55</v>
      </c>
      <c r="U129" s="25" t="n">
        <v>324.65</v>
      </c>
      <c r="V129" s="25" t="n">
        <f aca="false">P129-U129</f>
        <v>0</v>
      </c>
      <c r="W129" s="25" t="n">
        <f aca="false">V129*12</f>
        <v>0</v>
      </c>
      <c r="X129" s="23" t="str">
        <f aca="false">IF(Q129="","MISSING FROM EXPORT",IF(ABS(V129)&lt;0.005,"CLEAR",IF(V129&gt;0,"UNDERBILLING","OVERBILLING")))</f>
        <v>CLEAR</v>
      </c>
      <c r="Y129" s="25" t="n">
        <f aca="false">IF(F129="COMMERCIAL",ROUND(P129*0.35,2),0)</f>
        <v>0</v>
      </c>
      <c r="Z129" s="23" t="str">
        <f aca="false">IF(F129="COMMERCIAL","VERIFY SIGNED AGREEMENT","NO EXCEPTION")</f>
        <v>NO EXCEPTION</v>
      </c>
      <c r="AA129" s="23" t="str">
        <f aca="false">IF(AND(C129="covered",N129&gt;40),"COVERED &gt;40 FT","")</f>
        <v/>
      </c>
      <c r="AB129" s="23" t="s">
        <v>3616</v>
      </c>
      <c r="AC129" s="23" t="s">
        <v>3617</v>
      </c>
      <c r="AD129" s="23" t="s">
        <v>2807</v>
      </c>
    </row>
    <row r="130" customFormat="false" ht="17.9" hidden="false" customHeight="false" outlineLevel="0" collapsed="false">
      <c r="A130" s="20" t="s">
        <v>3618</v>
      </c>
      <c r="B130" s="20" t="s">
        <v>109</v>
      </c>
      <c r="C130" s="20" t="s">
        <v>2798</v>
      </c>
      <c r="D130" s="20" t="s">
        <v>3619</v>
      </c>
      <c r="E130" s="20" t="s">
        <v>3620</v>
      </c>
      <c r="F130" s="20" t="s">
        <v>2801</v>
      </c>
      <c r="G130" s="20" t="s">
        <v>3621</v>
      </c>
      <c r="H130" s="22" t="n">
        <v>27</v>
      </c>
      <c r="I130" s="22" t="n">
        <v>27</v>
      </c>
      <c r="J130" s="22" t="n">
        <f aca="false">H130-I130</f>
        <v>0</v>
      </c>
      <c r="K130" s="20" t="str">
        <f aca="false">IF(ABS(J130)&lt;0.001,"MATCH - PAPER CHECK-IN NOT SUPPLIED","DATA MISMATCH")</f>
        <v>MATCH - PAPER CHECK-IN NOT SUPPLIED</v>
      </c>
      <c r="L130" s="22" t="n">
        <v>70</v>
      </c>
      <c r="M130" s="22" t="n">
        <f aca="false">ROUNDUP(H130,0)</f>
        <v>27</v>
      </c>
      <c r="N130" s="24" t="n">
        <f aca="false">MAX(L130,M130)</f>
        <v>70</v>
      </c>
      <c r="O130" s="25" t="n">
        <v>7.55</v>
      </c>
      <c r="P130" s="25" t="n">
        <f aca="false">N130*O130</f>
        <v>528.5</v>
      </c>
      <c r="Q130" s="23" t="s">
        <v>3622</v>
      </c>
      <c r="R130" s="23" t="s">
        <v>2804</v>
      </c>
      <c r="S130" s="24" t="n">
        <v>70</v>
      </c>
      <c r="T130" s="25" t="n">
        <v>7.55</v>
      </c>
      <c r="U130" s="25" t="n">
        <v>528.5</v>
      </c>
      <c r="V130" s="25" t="n">
        <f aca="false">P130-U130</f>
        <v>0</v>
      </c>
      <c r="W130" s="25" t="n">
        <f aca="false">V130*12</f>
        <v>0</v>
      </c>
      <c r="X130" s="23" t="str">
        <f aca="false">IF(Q130="","MISSING FROM EXPORT",IF(ABS(V130)&lt;0.005,"CLEAR",IF(V130&gt;0,"UNDERBILLING","OVERBILLING")))</f>
        <v>CLEAR</v>
      </c>
      <c r="Y130" s="25" t="n">
        <f aca="false">IF(F130="COMMERCIAL",ROUND(P130*0.35,2),0)</f>
        <v>0</v>
      </c>
      <c r="Z130" s="23" t="str">
        <f aca="false">IF(F130="COMMERCIAL","VERIFY SIGNED AGREEMENT","NO EXCEPTION")</f>
        <v>NO EXCEPTION</v>
      </c>
      <c r="AA130" s="23" t="str">
        <f aca="false">IF(AND(C130="covered",N130&gt;40),"COVERED &gt;40 FT","")</f>
        <v/>
      </c>
      <c r="AB130" s="23" t="s">
        <v>3623</v>
      </c>
      <c r="AC130" s="23" t="s">
        <v>3624</v>
      </c>
      <c r="AD130" s="23" t="s">
        <v>2807</v>
      </c>
    </row>
    <row r="131" customFormat="false" ht="17.9" hidden="false" customHeight="false" outlineLevel="0" collapsed="false">
      <c r="A131" s="20" t="s">
        <v>3625</v>
      </c>
      <c r="B131" s="20" t="s">
        <v>109</v>
      </c>
      <c r="C131" s="20" t="s">
        <v>2798</v>
      </c>
      <c r="D131" s="20" t="s">
        <v>3626</v>
      </c>
      <c r="E131" s="20" t="s">
        <v>3627</v>
      </c>
      <c r="F131" s="20" t="s">
        <v>2833</v>
      </c>
      <c r="G131" s="20" t="s">
        <v>3628</v>
      </c>
      <c r="H131" s="22" t="n">
        <v>27.3</v>
      </c>
      <c r="I131" s="22" t="n">
        <v>27.3</v>
      </c>
      <c r="J131" s="22" t="n">
        <f aca="false">H131-I131</f>
        <v>0</v>
      </c>
      <c r="K131" s="20" t="str">
        <f aca="false">IF(ABS(J131)&lt;0.001,"MATCH - PAPER CHECK-IN NOT SUPPLIED","DATA MISMATCH")</f>
        <v>MATCH - PAPER CHECK-IN NOT SUPPLIED</v>
      </c>
      <c r="L131" s="22" t="n">
        <v>28</v>
      </c>
      <c r="M131" s="22" t="n">
        <f aca="false">ROUNDUP(H131,0)</f>
        <v>28</v>
      </c>
      <c r="N131" s="24" t="n">
        <f aca="false">MAX(L131,M131)</f>
        <v>28</v>
      </c>
      <c r="O131" s="25" t="n">
        <v>7.55</v>
      </c>
      <c r="P131" s="25" t="n">
        <f aca="false">N131*O131</f>
        <v>211.4</v>
      </c>
      <c r="Q131" s="23" t="s">
        <v>3629</v>
      </c>
      <c r="R131" s="23" t="s">
        <v>2804</v>
      </c>
      <c r="S131" s="24" t="n">
        <v>28</v>
      </c>
      <c r="T131" s="25" t="n">
        <v>7.55</v>
      </c>
      <c r="U131" s="25" t="n">
        <v>211.4</v>
      </c>
      <c r="V131" s="25" t="n">
        <f aca="false">P131-U131</f>
        <v>0</v>
      </c>
      <c r="W131" s="25" t="n">
        <f aca="false">V131*12</f>
        <v>0</v>
      </c>
      <c r="X131" s="23" t="str">
        <f aca="false">IF(Q131="","MISSING FROM EXPORT",IF(ABS(V131)&lt;0.005,"CLEAR",IF(V131&gt;0,"UNDERBILLING","OVERBILLING")))</f>
        <v>CLEAR</v>
      </c>
      <c r="Y131" s="25" t="n">
        <f aca="false">IF(F131="COMMERCIAL",ROUND(P131*0.35,2),0)</f>
        <v>0</v>
      </c>
      <c r="Z131" s="23" t="str">
        <f aca="false">IF(F131="COMMERCIAL","VERIFY SIGNED AGREEMENT","NO EXCEPTION")</f>
        <v>NO EXCEPTION</v>
      </c>
      <c r="AA131" s="23" t="str">
        <f aca="false">IF(AND(C131="covered",N131&gt;40),"COVERED &gt;40 FT","")</f>
        <v/>
      </c>
      <c r="AB131" s="23" t="s">
        <v>3630</v>
      </c>
      <c r="AC131" s="23" t="s">
        <v>3631</v>
      </c>
      <c r="AD131" s="23" t="s">
        <v>2807</v>
      </c>
    </row>
    <row r="132" customFormat="false" ht="17.9" hidden="false" customHeight="false" outlineLevel="0" collapsed="false">
      <c r="A132" s="20" t="s">
        <v>3632</v>
      </c>
      <c r="B132" s="20" t="s">
        <v>109</v>
      </c>
      <c r="C132" s="20" t="s">
        <v>2798</v>
      </c>
      <c r="D132" s="20" t="s">
        <v>3633</v>
      </c>
      <c r="E132" s="20" t="s">
        <v>3634</v>
      </c>
      <c r="F132" s="20" t="s">
        <v>2801</v>
      </c>
      <c r="G132" s="20" t="s">
        <v>3635</v>
      </c>
      <c r="H132" s="22" t="n">
        <v>61.6</v>
      </c>
      <c r="I132" s="22" t="n">
        <v>61.6</v>
      </c>
      <c r="J132" s="22" t="n">
        <f aca="false">H132-I132</f>
        <v>0</v>
      </c>
      <c r="K132" s="20" t="str">
        <f aca="false">IF(ABS(J132)&lt;0.001,"MATCH - PAPER CHECK-IN NOT SUPPLIED","DATA MISMATCH")</f>
        <v>MATCH - PAPER CHECK-IN NOT SUPPLIED</v>
      </c>
      <c r="L132" s="22" t="n">
        <v>80</v>
      </c>
      <c r="M132" s="22" t="n">
        <f aca="false">ROUNDUP(H132,0)</f>
        <v>62</v>
      </c>
      <c r="N132" s="24" t="n">
        <f aca="false">MAX(L132,M132)</f>
        <v>80</v>
      </c>
      <c r="O132" s="25" t="n">
        <v>7.55</v>
      </c>
      <c r="P132" s="25" t="n">
        <f aca="false">N132*O132</f>
        <v>604</v>
      </c>
      <c r="Q132" s="23" t="s">
        <v>3636</v>
      </c>
      <c r="R132" s="23" t="s">
        <v>2804</v>
      </c>
      <c r="S132" s="24" t="n">
        <v>80</v>
      </c>
      <c r="T132" s="25" t="n">
        <v>7.55</v>
      </c>
      <c r="U132" s="25" t="n">
        <v>604</v>
      </c>
      <c r="V132" s="25" t="n">
        <f aca="false">P132-U132</f>
        <v>0</v>
      </c>
      <c r="W132" s="25" t="n">
        <f aca="false">V132*12</f>
        <v>0</v>
      </c>
      <c r="X132" s="23" t="str">
        <f aca="false">IF(Q132="","MISSING FROM EXPORT",IF(ABS(V132)&lt;0.005,"CLEAR",IF(V132&gt;0,"UNDERBILLING","OVERBILLING")))</f>
        <v>CLEAR</v>
      </c>
      <c r="Y132" s="25" t="n">
        <f aca="false">IF(F132="COMMERCIAL",ROUND(P132*0.35,2),0)</f>
        <v>0</v>
      </c>
      <c r="Z132" s="23" t="str">
        <f aca="false">IF(F132="COMMERCIAL","VERIFY SIGNED AGREEMENT","NO EXCEPTION")</f>
        <v>NO EXCEPTION</v>
      </c>
      <c r="AA132" s="23" t="str">
        <f aca="false">IF(AND(C132="covered",N132&gt;40),"COVERED &gt;40 FT","")</f>
        <v/>
      </c>
      <c r="AB132" s="23" t="s">
        <v>3637</v>
      </c>
      <c r="AC132" s="23" t="s">
        <v>3638</v>
      </c>
      <c r="AD132" s="23" t="s">
        <v>2807</v>
      </c>
    </row>
    <row r="133" customFormat="false" ht="17.9" hidden="false" customHeight="false" outlineLevel="0" collapsed="false">
      <c r="A133" s="20" t="s">
        <v>3639</v>
      </c>
      <c r="B133" s="20" t="s">
        <v>109</v>
      </c>
      <c r="C133" s="20" t="s">
        <v>2798</v>
      </c>
      <c r="D133" s="20" t="s">
        <v>3640</v>
      </c>
      <c r="E133" s="20" t="s">
        <v>3641</v>
      </c>
      <c r="F133" s="20" t="s">
        <v>2818</v>
      </c>
      <c r="G133" s="20" t="s">
        <v>3642</v>
      </c>
      <c r="H133" s="22" t="n">
        <v>61.8</v>
      </c>
      <c r="I133" s="22" t="n">
        <v>61.8</v>
      </c>
      <c r="J133" s="22" t="n">
        <f aca="false">H133-I133</f>
        <v>0</v>
      </c>
      <c r="K133" s="20" t="str">
        <f aca="false">IF(ABS(J133)&lt;0.001,"MATCH - PAPER CHECK-IN NOT SUPPLIED","DATA MISMATCH")</f>
        <v>MATCH - PAPER CHECK-IN NOT SUPPLIED</v>
      </c>
      <c r="L133" s="22" t="n">
        <v>32</v>
      </c>
      <c r="M133" s="22" t="n">
        <f aca="false">ROUNDUP(H133,0)</f>
        <v>62</v>
      </c>
      <c r="N133" s="24" t="n">
        <f aca="false">MAX(L133,M133)</f>
        <v>62</v>
      </c>
      <c r="O133" s="25" t="n">
        <v>7.55</v>
      </c>
      <c r="P133" s="25" t="n">
        <f aca="false">N133*O133</f>
        <v>468.1</v>
      </c>
      <c r="Q133" s="23" t="s">
        <v>3643</v>
      </c>
      <c r="R133" s="23" t="s">
        <v>2804</v>
      </c>
      <c r="S133" s="24" t="n">
        <v>62</v>
      </c>
      <c r="T133" s="25" t="n">
        <v>7.55</v>
      </c>
      <c r="U133" s="25" t="n">
        <v>468.1</v>
      </c>
      <c r="V133" s="25" t="n">
        <f aca="false">P133-U133</f>
        <v>0</v>
      </c>
      <c r="W133" s="25" t="n">
        <f aca="false">V133*12</f>
        <v>0</v>
      </c>
      <c r="X133" s="23" t="str">
        <f aca="false">IF(Q133="","MISSING FROM EXPORT",IF(ABS(V133)&lt;0.005,"CLEAR",IF(V133&gt;0,"UNDERBILLING","OVERBILLING")))</f>
        <v>CLEAR</v>
      </c>
      <c r="Y133" s="25" t="n">
        <f aca="false">IF(F133="COMMERCIAL",ROUND(P133*0.35,2),0)</f>
        <v>0</v>
      </c>
      <c r="Z133" s="23" t="str">
        <f aca="false">IF(F133="COMMERCIAL","VERIFY SIGNED AGREEMENT","NO EXCEPTION")</f>
        <v>NO EXCEPTION</v>
      </c>
      <c r="AA133" s="23" t="str">
        <f aca="false">IF(AND(C133="covered",N133&gt;40),"COVERED &gt;40 FT","")</f>
        <v/>
      </c>
      <c r="AB133" s="23" t="s">
        <v>3644</v>
      </c>
      <c r="AC133" s="23" t="s">
        <v>3645</v>
      </c>
      <c r="AD133" s="23" t="s">
        <v>2807</v>
      </c>
    </row>
    <row r="134" customFormat="false" ht="17.9" hidden="false" customHeight="false" outlineLevel="0" collapsed="false">
      <c r="A134" s="20" t="s">
        <v>680</v>
      </c>
      <c r="B134" s="20" t="s">
        <v>109</v>
      </c>
      <c r="C134" s="20" t="s">
        <v>2798</v>
      </c>
      <c r="D134" s="20" t="s">
        <v>3646</v>
      </c>
      <c r="E134" s="20" t="s">
        <v>3647</v>
      </c>
      <c r="F134" s="20" t="s">
        <v>2833</v>
      </c>
      <c r="G134" s="20" t="s">
        <v>3648</v>
      </c>
      <c r="H134" s="22" t="n">
        <v>47.3</v>
      </c>
      <c r="I134" s="22" t="n">
        <v>47.3</v>
      </c>
      <c r="J134" s="22" t="n">
        <f aca="false">H134-I134</f>
        <v>0</v>
      </c>
      <c r="K134" s="20" t="str">
        <f aca="false">IF(ABS(J134)&lt;0.001,"MATCH - PAPER CHECK-IN NOT SUPPLIED","DATA MISMATCH")</f>
        <v>MATCH - PAPER CHECK-IN NOT SUPPLIED</v>
      </c>
      <c r="L134" s="22" t="n">
        <v>60</v>
      </c>
      <c r="M134" s="22" t="n">
        <f aca="false">ROUNDUP(H134,0)</f>
        <v>48</v>
      </c>
      <c r="N134" s="24" t="n">
        <f aca="false">MAX(L134,M134)</f>
        <v>60</v>
      </c>
      <c r="O134" s="25" t="n">
        <v>7.55</v>
      </c>
      <c r="P134" s="25" t="n">
        <f aca="false">N134*O134</f>
        <v>453</v>
      </c>
      <c r="Q134" s="23" t="s">
        <v>3649</v>
      </c>
      <c r="R134" s="23" t="s">
        <v>2804</v>
      </c>
      <c r="S134" s="24" t="n">
        <v>60</v>
      </c>
      <c r="T134" s="25" t="n">
        <v>7.55</v>
      </c>
      <c r="U134" s="25" t="n">
        <v>453</v>
      </c>
      <c r="V134" s="25" t="n">
        <f aca="false">P134-U134</f>
        <v>0</v>
      </c>
      <c r="W134" s="25" t="n">
        <f aca="false">V134*12</f>
        <v>0</v>
      </c>
      <c r="X134" s="23" t="str">
        <f aca="false">IF(Q134="","MISSING FROM EXPORT",IF(ABS(V134)&lt;0.005,"CLEAR",IF(V134&gt;0,"UNDERBILLING","OVERBILLING")))</f>
        <v>CLEAR</v>
      </c>
      <c r="Y134" s="25" t="n">
        <f aca="false">IF(F134="COMMERCIAL",ROUND(P134*0.35,2),0)</f>
        <v>0</v>
      </c>
      <c r="Z134" s="23" t="str">
        <f aca="false">IF(F134="COMMERCIAL","VERIFY SIGNED AGREEMENT","NO EXCEPTION")</f>
        <v>NO EXCEPTION</v>
      </c>
      <c r="AA134" s="23" t="str">
        <f aca="false">IF(AND(C134="covered",N134&gt;40),"COVERED &gt;40 FT","")</f>
        <v/>
      </c>
      <c r="AB134" s="23" t="s">
        <v>3650</v>
      </c>
      <c r="AC134" s="23" t="s">
        <v>3651</v>
      </c>
      <c r="AD134" s="23" t="s">
        <v>2807</v>
      </c>
    </row>
    <row r="135" customFormat="false" ht="17.9" hidden="false" customHeight="false" outlineLevel="0" collapsed="false">
      <c r="A135" s="20" t="s">
        <v>3652</v>
      </c>
      <c r="B135" s="20" t="s">
        <v>109</v>
      </c>
      <c r="C135" s="20" t="s">
        <v>2798</v>
      </c>
      <c r="D135" s="20" t="s">
        <v>3653</v>
      </c>
      <c r="E135" s="20" t="s">
        <v>3654</v>
      </c>
      <c r="F135" s="20" t="s">
        <v>2833</v>
      </c>
      <c r="G135" s="20" t="s">
        <v>3655</v>
      </c>
      <c r="H135" s="22" t="n">
        <v>24</v>
      </c>
      <c r="I135" s="22" t="n">
        <v>24</v>
      </c>
      <c r="J135" s="22" t="n">
        <f aca="false">H135-I135</f>
        <v>0</v>
      </c>
      <c r="K135" s="20" t="str">
        <f aca="false">IF(ABS(J135)&lt;0.001,"MATCH - PAPER CHECK-IN NOT SUPPLIED","DATA MISMATCH")</f>
        <v>MATCH - PAPER CHECK-IN NOT SUPPLIED</v>
      </c>
      <c r="L135" s="22" t="n">
        <v>45</v>
      </c>
      <c r="M135" s="22" t="n">
        <f aca="false">ROUNDUP(H135,0)</f>
        <v>24</v>
      </c>
      <c r="N135" s="24" t="n">
        <f aca="false">MAX(L135,M135)</f>
        <v>45</v>
      </c>
      <c r="O135" s="25" t="n">
        <v>7.55</v>
      </c>
      <c r="P135" s="25" t="n">
        <f aca="false">N135*O135</f>
        <v>339.75</v>
      </c>
      <c r="Q135" s="23" t="s">
        <v>3656</v>
      </c>
      <c r="R135" s="23" t="s">
        <v>2804</v>
      </c>
      <c r="S135" s="24" t="n">
        <v>45</v>
      </c>
      <c r="T135" s="25" t="n">
        <v>7.55</v>
      </c>
      <c r="U135" s="25" t="n">
        <v>339.75</v>
      </c>
      <c r="V135" s="25" t="n">
        <f aca="false">P135-U135</f>
        <v>0</v>
      </c>
      <c r="W135" s="25" t="n">
        <f aca="false">V135*12</f>
        <v>0</v>
      </c>
      <c r="X135" s="23" t="str">
        <f aca="false">IF(Q135="","MISSING FROM EXPORT",IF(ABS(V135)&lt;0.005,"CLEAR",IF(V135&gt;0,"UNDERBILLING","OVERBILLING")))</f>
        <v>CLEAR</v>
      </c>
      <c r="Y135" s="25" t="n">
        <f aca="false">IF(F135="COMMERCIAL",ROUND(P135*0.35,2),0)</f>
        <v>0</v>
      </c>
      <c r="Z135" s="23" t="str">
        <f aca="false">IF(F135="COMMERCIAL","VERIFY SIGNED AGREEMENT","NO EXCEPTION")</f>
        <v>NO EXCEPTION</v>
      </c>
      <c r="AA135" s="23" t="str">
        <f aca="false">IF(AND(C135="covered",N135&gt;40),"COVERED &gt;40 FT","")</f>
        <v/>
      </c>
      <c r="AB135" s="23" t="s">
        <v>3657</v>
      </c>
      <c r="AC135" s="23" t="s">
        <v>3658</v>
      </c>
      <c r="AD135" s="23" t="s">
        <v>2807</v>
      </c>
    </row>
    <row r="136" customFormat="false" ht="17.9" hidden="false" customHeight="false" outlineLevel="0" collapsed="false">
      <c r="A136" s="20" t="s">
        <v>3659</v>
      </c>
      <c r="B136" s="20" t="s">
        <v>109</v>
      </c>
      <c r="C136" s="20" t="s">
        <v>2798</v>
      </c>
      <c r="D136" s="20" t="s">
        <v>3660</v>
      </c>
      <c r="E136" s="20" t="s">
        <v>3661</v>
      </c>
      <c r="F136" s="20" t="s">
        <v>2833</v>
      </c>
      <c r="G136" s="20" t="s">
        <v>3662</v>
      </c>
      <c r="H136" s="22" t="n">
        <v>51.2</v>
      </c>
      <c r="I136" s="22" t="n">
        <v>51.2</v>
      </c>
      <c r="J136" s="22" t="n">
        <f aca="false">H136-I136</f>
        <v>0</v>
      </c>
      <c r="K136" s="20" t="str">
        <f aca="false">IF(ABS(J136)&lt;0.001,"MATCH - PAPER CHECK-IN NOT SUPPLIED","DATA MISMATCH")</f>
        <v>MATCH - PAPER CHECK-IN NOT SUPPLIED</v>
      </c>
      <c r="L136" s="22" t="n">
        <v>32</v>
      </c>
      <c r="M136" s="22" t="n">
        <f aca="false">ROUNDUP(H136,0)</f>
        <v>52</v>
      </c>
      <c r="N136" s="24" t="n">
        <f aca="false">MAX(L136,M136)</f>
        <v>52</v>
      </c>
      <c r="O136" s="25" t="n">
        <v>7.55</v>
      </c>
      <c r="P136" s="25" t="n">
        <f aca="false">N136*O136</f>
        <v>392.6</v>
      </c>
      <c r="Q136" s="23" t="s">
        <v>3663</v>
      </c>
      <c r="R136" s="23" t="s">
        <v>2804</v>
      </c>
      <c r="S136" s="24" t="n">
        <v>52</v>
      </c>
      <c r="T136" s="25" t="n">
        <v>7.55</v>
      </c>
      <c r="U136" s="25" t="n">
        <v>392.6</v>
      </c>
      <c r="V136" s="25" t="n">
        <f aca="false">P136-U136</f>
        <v>0</v>
      </c>
      <c r="W136" s="25" t="n">
        <f aca="false">V136*12</f>
        <v>0</v>
      </c>
      <c r="X136" s="23" t="str">
        <f aca="false">IF(Q136="","MISSING FROM EXPORT",IF(ABS(V136)&lt;0.005,"CLEAR",IF(V136&gt;0,"UNDERBILLING","OVERBILLING")))</f>
        <v>CLEAR</v>
      </c>
      <c r="Y136" s="25" t="n">
        <f aca="false">IF(F136="COMMERCIAL",ROUND(P136*0.35,2),0)</f>
        <v>0</v>
      </c>
      <c r="Z136" s="23" t="str">
        <f aca="false">IF(F136="COMMERCIAL","VERIFY SIGNED AGREEMENT","NO EXCEPTION")</f>
        <v>NO EXCEPTION</v>
      </c>
      <c r="AA136" s="23" t="str">
        <f aca="false">IF(AND(C136="covered",N136&gt;40),"COVERED &gt;40 FT","")</f>
        <v/>
      </c>
      <c r="AB136" s="23" t="s">
        <v>3664</v>
      </c>
      <c r="AC136" s="23" t="s">
        <v>3665</v>
      </c>
      <c r="AD136" s="23" t="s">
        <v>2807</v>
      </c>
    </row>
    <row r="137" customFormat="false" ht="17.9" hidden="false" customHeight="false" outlineLevel="0" collapsed="false">
      <c r="A137" s="20" t="s">
        <v>3666</v>
      </c>
      <c r="B137" s="20" t="s">
        <v>109</v>
      </c>
      <c r="C137" s="20" t="s">
        <v>2798</v>
      </c>
      <c r="D137" s="20" t="s">
        <v>3667</v>
      </c>
      <c r="E137" s="20" t="s">
        <v>3668</v>
      </c>
      <c r="F137" s="20" t="s">
        <v>2934</v>
      </c>
      <c r="G137" s="20" t="s">
        <v>3669</v>
      </c>
      <c r="H137" s="22" t="n">
        <v>44.2</v>
      </c>
      <c r="I137" s="22" t="n">
        <v>44.2</v>
      </c>
      <c r="J137" s="22" t="n">
        <f aca="false">H137-I137</f>
        <v>0</v>
      </c>
      <c r="K137" s="20" t="str">
        <f aca="false">IF(ABS(J137)&lt;0.001,"MATCH - PAPER CHECK-IN NOT SUPPLIED","DATA MISMATCH")</f>
        <v>MATCH - PAPER CHECK-IN NOT SUPPLIED</v>
      </c>
      <c r="L137" s="22" t="n">
        <v>32</v>
      </c>
      <c r="M137" s="22" t="n">
        <f aca="false">ROUNDUP(H137,0)</f>
        <v>45</v>
      </c>
      <c r="N137" s="24" t="n">
        <f aca="false">MAX(L137,M137)</f>
        <v>45</v>
      </c>
      <c r="O137" s="25" t="n">
        <v>7.55</v>
      </c>
      <c r="P137" s="25" t="n">
        <f aca="false">N137*O137</f>
        <v>339.75</v>
      </c>
      <c r="Q137" s="23" t="s">
        <v>3670</v>
      </c>
      <c r="R137" s="23" t="s">
        <v>2804</v>
      </c>
      <c r="S137" s="24" t="n">
        <v>45</v>
      </c>
      <c r="T137" s="25" t="n">
        <v>7.55</v>
      </c>
      <c r="U137" s="25" t="n">
        <v>339.75</v>
      </c>
      <c r="V137" s="25" t="n">
        <f aca="false">P137-U137</f>
        <v>0</v>
      </c>
      <c r="W137" s="25" t="n">
        <f aca="false">V137*12</f>
        <v>0</v>
      </c>
      <c r="X137" s="23" t="str">
        <f aca="false">IF(Q137="","MISSING FROM EXPORT",IF(ABS(V137)&lt;0.005,"CLEAR",IF(V137&gt;0,"UNDERBILLING","OVERBILLING")))</f>
        <v>CLEAR</v>
      </c>
      <c r="Y137" s="25" t="n">
        <f aca="false">IF(F137="COMMERCIAL",ROUND(P137*0.35,2),0)</f>
        <v>118.91</v>
      </c>
      <c r="Z137" s="23" t="str">
        <f aca="false">IF(F137="COMMERCIAL","VERIFY SIGNED AGREEMENT","NO EXCEPTION")</f>
        <v>VERIFY SIGNED AGREEMENT</v>
      </c>
      <c r="AA137" s="23" t="str">
        <f aca="false">IF(AND(C137="covered",N137&gt;40),"COVERED &gt;40 FT","")</f>
        <v/>
      </c>
      <c r="AB137" s="23" t="s">
        <v>3671</v>
      </c>
      <c r="AC137" s="23" t="s">
        <v>3672</v>
      </c>
      <c r="AD137" s="23" t="s">
        <v>2807</v>
      </c>
    </row>
    <row r="138" customFormat="false" ht="17.9" hidden="false" customHeight="false" outlineLevel="0" collapsed="false">
      <c r="A138" s="20" t="s">
        <v>3673</v>
      </c>
      <c r="B138" s="20" t="s">
        <v>109</v>
      </c>
      <c r="C138" s="20" t="s">
        <v>2798</v>
      </c>
      <c r="D138" s="20" t="s">
        <v>3674</v>
      </c>
      <c r="E138" s="20" t="s">
        <v>3675</v>
      </c>
      <c r="F138" s="20" t="s">
        <v>2869</v>
      </c>
      <c r="G138" s="20" t="s">
        <v>3676</v>
      </c>
      <c r="H138" s="22" t="n">
        <v>50.3</v>
      </c>
      <c r="I138" s="22" t="n">
        <v>50.3</v>
      </c>
      <c r="J138" s="22" t="n">
        <f aca="false">H138-I138</f>
        <v>0</v>
      </c>
      <c r="K138" s="20" t="str">
        <f aca="false">IF(ABS(J138)&lt;0.001,"MATCH - PAPER CHECK-IN NOT SUPPLIED","DATA MISMATCH")</f>
        <v>MATCH - PAPER CHECK-IN NOT SUPPLIED</v>
      </c>
      <c r="L138" s="22" t="n">
        <v>40</v>
      </c>
      <c r="M138" s="22" t="n">
        <f aca="false">ROUNDUP(H138,0)</f>
        <v>51</v>
      </c>
      <c r="N138" s="24" t="n">
        <f aca="false">MAX(L138,M138)</f>
        <v>51</v>
      </c>
      <c r="O138" s="25" t="n">
        <v>7.55</v>
      </c>
      <c r="P138" s="25" t="n">
        <f aca="false">N138*O138</f>
        <v>385.05</v>
      </c>
      <c r="Q138" s="23" t="s">
        <v>3677</v>
      </c>
      <c r="R138" s="23" t="s">
        <v>2804</v>
      </c>
      <c r="S138" s="24" t="n">
        <v>51</v>
      </c>
      <c r="T138" s="25" t="n">
        <v>7.55</v>
      </c>
      <c r="U138" s="25" t="n">
        <v>385.05</v>
      </c>
      <c r="V138" s="25" t="n">
        <f aca="false">P138-U138</f>
        <v>0</v>
      </c>
      <c r="W138" s="25" t="n">
        <f aca="false">V138*12</f>
        <v>0</v>
      </c>
      <c r="X138" s="23" t="str">
        <f aca="false">IF(Q138="","MISSING FROM EXPORT",IF(ABS(V138)&lt;0.005,"CLEAR",IF(V138&gt;0,"UNDERBILLING","OVERBILLING")))</f>
        <v>CLEAR</v>
      </c>
      <c r="Y138" s="25" t="n">
        <f aca="false">IF(F138="COMMERCIAL",ROUND(P138*0.35,2),0)</f>
        <v>0</v>
      </c>
      <c r="Z138" s="23" t="str">
        <f aca="false">IF(F138="COMMERCIAL","VERIFY SIGNED AGREEMENT","NO EXCEPTION")</f>
        <v>NO EXCEPTION</v>
      </c>
      <c r="AA138" s="23" t="str">
        <f aca="false">IF(AND(C138="covered",N138&gt;40),"COVERED &gt;40 FT","")</f>
        <v/>
      </c>
      <c r="AB138" s="23" t="s">
        <v>3678</v>
      </c>
      <c r="AC138" s="23" t="s">
        <v>3679</v>
      </c>
      <c r="AD138" s="23" t="s">
        <v>2807</v>
      </c>
    </row>
    <row r="139" customFormat="false" ht="17.9" hidden="false" customHeight="false" outlineLevel="0" collapsed="false">
      <c r="A139" s="20" t="s">
        <v>3680</v>
      </c>
      <c r="B139" s="20" t="s">
        <v>109</v>
      </c>
      <c r="C139" s="20" t="s">
        <v>2798</v>
      </c>
      <c r="D139" s="20" t="s">
        <v>3681</v>
      </c>
      <c r="E139" s="20" t="s">
        <v>3682</v>
      </c>
      <c r="F139" s="20" t="s">
        <v>2833</v>
      </c>
      <c r="G139" s="20" t="s">
        <v>3683</v>
      </c>
      <c r="H139" s="22" t="n">
        <v>42.5</v>
      </c>
      <c r="I139" s="22" t="n">
        <v>42.5</v>
      </c>
      <c r="J139" s="22" t="n">
        <f aca="false">H139-I139</f>
        <v>0</v>
      </c>
      <c r="K139" s="20" t="str">
        <f aca="false">IF(ABS(J139)&lt;0.001,"MATCH - PAPER CHECK-IN NOT SUPPLIED","DATA MISMATCH")</f>
        <v>MATCH - PAPER CHECK-IN NOT SUPPLIED</v>
      </c>
      <c r="L139" s="22" t="n">
        <v>36</v>
      </c>
      <c r="M139" s="22" t="n">
        <f aca="false">ROUNDUP(H139,0)</f>
        <v>43</v>
      </c>
      <c r="N139" s="24" t="n">
        <f aca="false">MAX(L139,M139)</f>
        <v>43</v>
      </c>
      <c r="O139" s="25" t="n">
        <v>7.55</v>
      </c>
      <c r="P139" s="25" t="n">
        <f aca="false">N139*O139</f>
        <v>324.65</v>
      </c>
      <c r="Q139" s="23" t="s">
        <v>3684</v>
      </c>
      <c r="R139" s="23" t="s">
        <v>2804</v>
      </c>
      <c r="S139" s="24" t="n">
        <v>43</v>
      </c>
      <c r="T139" s="25" t="n">
        <v>7.55</v>
      </c>
      <c r="U139" s="25" t="n">
        <v>324.65</v>
      </c>
      <c r="V139" s="25" t="n">
        <f aca="false">P139-U139</f>
        <v>0</v>
      </c>
      <c r="W139" s="25" t="n">
        <f aca="false">V139*12</f>
        <v>0</v>
      </c>
      <c r="X139" s="23" t="str">
        <f aca="false">IF(Q139="","MISSING FROM EXPORT",IF(ABS(V139)&lt;0.005,"CLEAR",IF(V139&gt;0,"UNDERBILLING","OVERBILLING")))</f>
        <v>CLEAR</v>
      </c>
      <c r="Y139" s="25" t="n">
        <f aca="false">IF(F139="COMMERCIAL",ROUND(P139*0.35,2),0)</f>
        <v>0</v>
      </c>
      <c r="Z139" s="23" t="str">
        <f aca="false">IF(F139="COMMERCIAL","VERIFY SIGNED AGREEMENT","NO EXCEPTION")</f>
        <v>NO EXCEPTION</v>
      </c>
      <c r="AA139" s="23" t="str">
        <f aca="false">IF(AND(C139="covered",N139&gt;40),"COVERED &gt;40 FT","")</f>
        <v/>
      </c>
      <c r="AB139" s="23" t="s">
        <v>3685</v>
      </c>
      <c r="AC139" s="23" t="s">
        <v>3686</v>
      </c>
      <c r="AD139" s="23" t="s">
        <v>2807</v>
      </c>
    </row>
    <row r="140" customFormat="false" ht="17.9" hidden="false" customHeight="false" outlineLevel="0" collapsed="false">
      <c r="A140" s="20" t="s">
        <v>668</v>
      </c>
      <c r="B140" s="20" t="s">
        <v>109</v>
      </c>
      <c r="C140" s="20" t="s">
        <v>2798</v>
      </c>
      <c r="D140" s="20" t="s">
        <v>3687</v>
      </c>
      <c r="E140" s="20" t="s">
        <v>3688</v>
      </c>
      <c r="F140" s="20" t="s">
        <v>2857</v>
      </c>
      <c r="G140" s="20" t="s">
        <v>3689</v>
      </c>
      <c r="H140" s="22" t="n">
        <v>44.2</v>
      </c>
      <c r="I140" s="22" t="n">
        <v>44.2</v>
      </c>
      <c r="J140" s="22" t="n">
        <f aca="false">H140-I140</f>
        <v>0</v>
      </c>
      <c r="K140" s="20" t="str">
        <f aca="false">IF(ABS(J140)&lt;0.001,"MATCH - PAPER CHECK-IN NOT SUPPLIED","DATA MISMATCH")</f>
        <v>MATCH - PAPER CHECK-IN NOT SUPPLIED</v>
      </c>
      <c r="L140" s="22" t="n">
        <v>50</v>
      </c>
      <c r="M140" s="22" t="n">
        <f aca="false">ROUNDUP(H140,0)</f>
        <v>45</v>
      </c>
      <c r="N140" s="24" t="n">
        <f aca="false">MAX(L140,M140)</f>
        <v>50</v>
      </c>
      <c r="O140" s="25" t="n">
        <v>7.55</v>
      </c>
      <c r="P140" s="25" t="n">
        <f aca="false">N140*O140</f>
        <v>377.5</v>
      </c>
      <c r="Q140" s="23" t="s">
        <v>3690</v>
      </c>
      <c r="R140" s="23" t="s">
        <v>2804</v>
      </c>
      <c r="S140" s="24" t="n">
        <v>50</v>
      </c>
      <c r="T140" s="25" t="n">
        <v>7.55</v>
      </c>
      <c r="U140" s="25" t="n">
        <v>377.5</v>
      </c>
      <c r="V140" s="25" t="n">
        <f aca="false">P140-U140</f>
        <v>0</v>
      </c>
      <c r="W140" s="25" t="n">
        <f aca="false">V140*12</f>
        <v>0</v>
      </c>
      <c r="X140" s="23" t="str">
        <f aca="false">IF(Q140="","MISSING FROM EXPORT",IF(ABS(V140)&lt;0.005,"CLEAR",IF(V140&gt;0,"UNDERBILLING","OVERBILLING")))</f>
        <v>CLEAR</v>
      </c>
      <c r="Y140" s="25" t="n">
        <f aca="false">IF(F140="COMMERCIAL",ROUND(P140*0.35,2),0)</f>
        <v>0</v>
      </c>
      <c r="Z140" s="23" t="str">
        <f aca="false">IF(F140="COMMERCIAL","VERIFY SIGNED AGREEMENT","NO EXCEPTION")</f>
        <v>NO EXCEPTION</v>
      </c>
      <c r="AA140" s="23" t="str">
        <f aca="false">IF(AND(C140="covered",N140&gt;40),"COVERED &gt;40 FT","")</f>
        <v/>
      </c>
      <c r="AB140" s="23" t="s">
        <v>3691</v>
      </c>
      <c r="AC140" s="23" t="s">
        <v>3692</v>
      </c>
      <c r="AD140" s="23" t="s">
        <v>2807</v>
      </c>
    </row>
    <row r="141" customFormat="false" ht="17.9" hidden="false" customHeight="false" outlineLevel="0" collapsed="false">
      <c r="A141" s="20" t="s">
        <v>743</v>
      </c>
      <c r="B141" s="20" t="s">
        <v>109</v>
      </c>
      <c r="C141" s="20" t="s">
        <v>2798</v>
      </c>
      <c r="D141" s="20" t="s">
        <v>1773</v>
      </c>
      <c r="E141" s="20" t="s">
        <v>3693</v>
      </c>
      <c r="F141" s="20" t="s">
        <v>2934</v>
      </c>
      <c r="G141" s="20" t="s">
        <v>3694</v>
      </c>
      <c r="H141" s="22" t="n">
        <v>23.6</v>
      </c>
      <c r="I141" s="22" t="n">
        <v>23.6</v>
      </c>
      <c r="J141" s="22" t="n">
        <f aca="false">H141-I141</f>
        <v>0</v>
      </c>
      <c r="K141" s="20" t="str">
        <f aca="false">IF(ABS(J141)&lt;0.001,"MATCH - PAPER CHECK-IN NOT SUPPLIED","DATA MISMATCH")</f>
        <v>MATCH - PAPER CHECK-IN NOT SUPPLIED</v>
      </c>
      <c r="L141" s="22" t="n">
        <v>28</v>
      </c>
      <c r="M141" s="22" t="n">
        <f aca="false">ROUNDUP(H141,0)</f>
        <v>24</v>
      </c>
      <c r="N141" s="24" t="n">
        <f aca="false">MAX(L141,M141)</f>
        <v>28</v>
      </c>
      <c r="O141" s="25" t="n">
        <v>7.55</v>
      </c>
      <c r="P141" s="25" t="n">
        <f aca="false">N141*O141</f>
        <v>211.4</v>
      </c>
      <c r="Q141" s="23" t="s">
        <v>3695</v>
      </c>
      <c r="R141" s="23" t="s">
        <v>2804</v>
      </c>
      <c r="S141" s="24" t="n">
        <v>28</v>
      </c>
      <c r="T141" s="25" t="n">
        <v>7.55</v>
      </c>
      <c r="U141" s="25" t="n">
        <v>211.4</v>
      </c>
      <c r="V141" s="25" t="n">
        <f aca="false">P141-U141</f>
        <v>0</v>
      </c>
      <c r="W141" s="25" t="n">
        <f aca="false">V141*12</f>
        <v>0</v>
      </c>
      <c r="X141" s="23" t="str">
        <f aca="false">IF(Q141="","MISSING FROM EXPORT",IF(ABS(V141)&lt;0.005,"CLEAR",IF(V141&gt;0,"UNDERBILLING","OVERBILLING")))</f>
        <v>CLEAR</v>
      </c>
      <c r="Y141" s="25" t="n">
        <f aca="false">IF(F141="COMMERCIAL",ROUND(P141*0.35,2),0)</f>
        <v>73.99</v>
      </c>
      <c r="Z141" s="23" t="str">
        <f aca="false">IF(F141="COMMERCIAL","VERIFY SIGNED AGREEMENT","NO EXCEPTION")</f>
        <v>VERIFY SIGNED AGREEMENT</v>
      </c>
      <c r="AA141" s="23" t="str">
        <f aca="false">IF(AND(C141="covered",N141&gt;40),"COVERED &gt;40 FT","")</f>
        <v/>
      </c>
      <c r="AB141" s="23" t="s">
        <v>3696</v>
      </c>
      <c r="AC141" s="23" t="s">
        <v>3697</v>
      </c>
      <c r="AD141" s="23" t="s">
        <v>2807</v>
      </c>
    </row>
    <row r="142" customFormat="false" ht="17.9" hidden="false" customHeight="false" outlineLevel="0" collapsed="false">
      <c r="A142" s="20" t="s">
        <v>3698</v>
      </c>
      <c r="B142" s="20" t="s">
        <v>109</v>
      </c>
      <c r="C142" s="20" t="s">
        <v>2798</v>
      </c>
      <c r="D142" s="20" t="s">
        <v>3699</v>
      </c>
      <c r="E142" s="20" t="s">
        <v>3700</v>
      </c>
      <c r="F142" s="20" t="s">
        <v>2898</v>
      </c>
      <c r="G142" s="20" t="s">
        <v>3701</v>
      </c>
      <c r="H142" s="22" t="n">
        <v>27.6</v>
      </c>
      <c r="I142" s="22" t="n">
        <v>27.6</v>
      </c>
      <c r="J142" s="22" t="n">
        <f aca="false">H142-I142</f>
        <v>0</v>
      </c>
      <c r="K142" s="20" t="str">
        <f aca="false">IF(ABS(J142)&lt;0.001,"MATCH - PAPER CHECK-IN NOT SUPPLIED","DATA MISMATCH")</f>
        <v>MATCH - PAPER CHECK-IN NOT SUPPLIED</v>
      </c>
      <c r="L142" s="22" t="n">
        <v>24</v>
      </c>
      <c r="M142" s="22" t="n">
        <f aca="false">ROUNDUP(H142,0)</f>
        <v>28</v>
      </c>
      <c r="N142" s="24" t="n">
        <f aca="false">MAX(L142,M142)</f>
        <v>28</v>
      </c>
      <c r="O142" s="25" t="n">
        <v>7.55</v>
      </c>
      <c r="P142" s="25" t="n">
        <f aca="false">N142*O142</f>
        <v>211.4</v>
      </c>
      <c r="Q142" s="23" t="s">
        <v>3702</v>
      </c>
      <c r="R142" s="23" t="s">
        <v>2804</v>
      </c>
      <c r="S142" s="24" t="n">
        <v>28</v>
      </c>
      <c r="T142" s="25" t="n">
        <v>7.55</v>
      </c>
      <c r="U142" s="25" t="n">
        <v>211.4</v>
      </c>
      <c r="V142" s="25" t="n">
        <f aca="false">P142-U142</f>
        <v>0</v>
      </c>
      <c r="W142" s="25" t="n">
        <f aca="false">V142*12</f>
        <v>0</v>
      </c>
      <c r="X142" s="23" t="str">
        <f aca="false">IF(Q142="","MISSING FROM EXPORT",IF(ABS(V142)&lt;0.005,"CLEAR",IF(V142&gt;0,"UNDERBILLING","OVERBILLING")))</f>
        <v>CLEAR</v>
      </c>
      <c r="Y142" s="25" t="n">
        <f aca="false">IF(F142="COMMERCIAL",ROUND(P142*0.35,2),0)</f>
        <v>0</v>
      </c>
      <c r="Z142" s="23" t="str">
        <f aca="false">IF(F142="COMMERCIAL","VERIFY SIGNED AGREEMENT","NO EXCEPTION")</f>
        <v>NO EXCEPTION</v>
      </c>
      <c r="AA142" s="23" t="str">
        <f aca="false">IF(AND(C142="covered",N142&gt;40),"COVERED &gt;40 FT","")</f>
        <v/>
      </c>
      <c r="AB142" s="23" t="s">
        <v>3703</v>
      </c>
      <c r="AC142" s="23" t="s">
        <v>3704</v>
      </c>
      <c r="AD142" s="23" t="s">
        <v>2807</v>
      </c>
    </row>
    <row r="143" customFormat="false" ht="17.9" hidden="false" customHeight="false" outlineLevel="0" collapsed="false">
      <c r="A143" s="20" t="s">
        <v>3705</v>
      </c>
      <c r="B143" s="20" t="s">
        <v>109</v>
      </c>
      <c r="C143" s="20" t="s">
        <v>2798</v>
      </c>
      <c r="D143" s="20" t="s">
        <v>3706</v>
      </c>
      <c r="E143" s="20" t="s">
        <v>3707</v>
      </c>
      <c r="F143" s="20" t="s">
        <v>2833</v>
      </c>
      <c r="G143" s="20" t="s">
        <v>3708</v>
      </c>
      <c r="H143" s="22" t="n">
        <v>50.6</v>
      </c>
      <c r="I143" s="22" t="n">
        <v>50.6</v>
      </c>
      <c r="J143" s="22" t="n">
        <f aca="false">H143-I143</f>
        <v>0</v>
      </c>
      <c r="K143" s="20" t="str">
        <f aca="false">IF(ABS(J143)&lt;0.001,"MATCH - PAPER CHECK-IN NOT SUPPLIED","DATA MISMATCH")</f>
        <v>MATCH - PAPER CHECK-IN NOT SUPPLIED</v>
      </c>
      <c r="L143" s="22" t="n">
        <v>32</v>
      </c>
      <c r="M143" s="22" t="n">
        <f aca="false">ROUNDUP(H143,0)</f>
        <v>51</v>
      </c>
      <c r="N143" s="24" t="n">
        <f aca="false">MAX(L143,M143)</f>
        <v>51</v>
      </c>
      <c r="O143" s="25" t="n">
        <v>7.55</v>
      </c>
      <c r="P143" s="25" t="n">
        <f aca="false">N143*O143</f>
        <v>385.05</v>
      </c>
      <c r="Q143" s="23" t="s">
        <v>3709</v>
      </c>
      <c r="R143" s="23" t="s">
        <v>2804</v>
      </c>
      <c r="S143" s="24" t="n">
        <v>51</v>
      </c>
      <c r="T143" s="25" t="n">
        <v>7.55</v>
      </c>
      <c r="U143" s="25" t="n">
        <v>385.05</v>
      </c>
      <c r="V143" s="25" t="n">
        <f aca="false">P143-U143</f>
        <v>0</v>
      </c>
      <c r="W143" s="25" t="n">
        <f aca="false">V143*12</f>
        <v>0</v>
      </c>
      <c r="X143" s="23" t="str">
        <f aca="false">IF(Q143="","MISSING FROM EXPORT",IF(ABS(V143)&lt;0.005,"CLEAR",IF(V143&gt;0,"UNDERBILLING","OVERBILLING")))</f>
        <v>CLEAR</v>
      </c>
      <c r="Y143" s="25" t="n">
        <f aca="false">IF(F143="COMMERCIAL",ROUND(P143*0.35,2),0)</f>
        <v>0</v>
      </c>
      <c r="Z143" s="23" t="str">
        <f aca="false">IF(F143="COMMERCIAL","VERIFY SIGNED AGREEMENT","NO EXCEPTION")</f>
        <v>NO EXCEPTION</v>
      </c>
      <c r="AA143" s="23" t="str">
        <f aca="false">IF(AND(C143="covered",N143&gt;40),"COVERED &gt;40 FT","")</f>
        <v/>
      </c>
      <c r="AB143" s="23" t="s">
        <v>3710</v>
      </c>
      <c r="AC143" s="23" t="s">
        <v>3711</v>
      </c>
      <c r="AD143" s="23" t="s">
        <v>2807</v>
      </c>
    </row>
    <row r="144" customFormat="false" ht="17.9" hidden="false" customHeight="false" outlineLevel="0" collapsed="false">
      <c r="A144" s="20" t="s">
        <v>3712</v>
      </c>
      <c r="B144" s="20" t="s">
        <v>109</v>
      </c>
      <c r="C144" s="20" t="s">
        <v>2798</v>
      </c>
      <c r="D144" s="20" t="s">
        <v>3713</v>
      </c>
      <c r="E144" s="20" t="s">
        <v>3714</v>
      </c>
      <c r="F144" s="20" t="s">
        <v>2869</v>
      </c>
      <c r="G144" s="20" t="s">
        <v>3715</v>
      </c>
      <c r="H144" s="22" t="n">
        <v>32.3</v>
      </c>
      <c r="I144" s="22" t="n">
        <v>32.3</v>
      </c>
      <c r="J144" s="22" t="n">
        <f aca="false">H144-I144</f>
        <v>0</v>
      </c>
      <c r="K144" s="20" t="str">
        <f aca="false">IF(ABS(J144)&lt;0.001,"MATCH - PAPER CHECK-IN NOT SUPPLIED","DATA MISMATCH")</f>
        <v>MATCH - PAPER CHECK-IN NOT SUPPLIED</v>
      </c>
      <c r="L144" s="22" t="n">
        <v>32</v>
      </c>
      <c r="M144" s="22" t="n">
        <f aca="false">ROUNDUP(H144,0)</f>
        <v>33</v>
      </c>
      <c r="N144" s="24" t="n">
        <f aca="false">MAX(L144,M144)</f>
        <v>33</v>
      </c>
      <c r="O144" s="25" t="n">
        <v>7.55</v>
      </c>
      <c r="P144" s="25" t="n">
        <f aca="false">N144*O144</f>
        <v>249.15</v>
      </c>
      <c r="Q144" s="23" t="s">
        <v>3716</v>
      </c>
      <c r="R144" s="23" t="s">
        <v>2804</v>
      </c>
      <c r="S144" s="24" t="n">
        <v>33</v>
      </c>
      <c r="T144" s="25" t="n">
        <v>7.55</v>
      </c>
      <c r="U144" s="25" t="n">
        <v>249.15</v>
      </c>
      <c r="V144" s="25" t="n">
        <f aca="false">P144-U144</f>
        <v>0</v>
      </c>
      <c r="W144" s="25" t="n">
        <f aca="false">V144*12</f>
        <v>0</v>
      </c>
      <c r="X144" s="23" t="str">
        <f aca="false">IF(Q144="","MISSING FROM EXPORT",IF(ABS(V144)&lt;0.005,"CLEAR",IF(V144&gt;0,"UNDERBILLING","OVERBILLING")))</f>
        <v>CLEAR</v>
      </c>
      <c r="Y144" s="25" t="n">
        <f aca="false">IF(F144="COMMERCIAL",ROUND(P144*0.35,2),0)</f>
        <v>0</v>
      </c>
      <c r="Z144" s="23" t="str">
        <f aca="false">IF(F144="COMMERCIAL","VERIFY SIGNED AGREEMENT","NO EXCEPTION")</f>
        <v>NO EXCEPTION</v>
      </c>
      <c r="AA144" s="23" t="str">
        <f aca="false">IF(AND(C144="covered",N144&gt;40),"COVERED &gt;40 FT","")</f>
        <v/>
      </c>
      <c r="AB144" s="23" t="s">
        <v>3717</v>
      </c>
      <c r="AC144" s="23" t="s">
        <v>3718</v>
      </c>
      <c r="AD144" s="23" t="s">
        <v>2807</v>
      </c>
    </row>
    <row r="145" customFormat="false" ht="17.9" hidden="false" customHeight="false" outlineLevel="0" collapsed="false">
      <c r="A145" s="20" t="s">
        <v>3719</v>
      </c>
      <c r="B145" s="20" t="s">
        <v>109</v>
      </c>
      <c r="C145" s="20" t="s">
        <v>2798</v>
      </c>
      <c r="D145" s="20" t="s">
        <v>3720</v>
      </c>
      <c r="E145" s="20" t="s">
        <v>3721</v>
      </c>
      <c r="F145" s="20" t="s">
        <v>2818</v>
      </c>
      <c r="G145" s="20" t="s">
        <v>3722</v>
      </c>
      <c r="H145" s="22" t="n">
        <v>59.1</v>
      </c>
      <c r="I145" s="22" t="n">
        <v>59.1</v>
      </c>
      <c r="J145" s="22" t="n">
        <f aca="false">H145-I145</f>
        <v>0</v>
      </c>
      <c r="K145" s="20" t="str">
        <f aca="false">IF(ABS(J145)&lt;0.001,"MATCH - PAPER CHECK-IN NOT SUPPLIED","DATA MISMATCH")</f>
        <v>MATCH - PAPER CHECK-IN NOT SUPPLIED</v>
      </c>
      <c r="L145" s="22" t="n">
        <v>50</v>
      </c>
      <c r="M145" s="22" t="n">
        <f aca="false">ROUNDUP(H145,0)</f>
        <v>60</v>
      </c>
      <c r="N145" s="24" t="n">
        <f aca="false">MAX(L145,M145)</f>
        <v>60</v>
      </c>
      <c r="O145" s="25" t="n">
        <v>7.55</v>
      </c>
      <c r="P145" s="25" t="n">
        <f aca="false">N145*O145</f>
        <v>453</v>
      </c>
      <c r="Q145" s="23" t="s">
        <v>3723</v>
      </c>
      <c r="R145" s="23" t="s">
        <v>2804</v>
      </c>
      <c r="S145" s="24" t="n">
        <v>60</v>
      </c>
      <c r="T145" s="25" t="n">
        <v>7.55</v>
      </c>
      <c r="U145" s="25" t="n">
        <v>453</v>
      </c>
      <c r="V145" s="25" t="n">
        <f aca="false">P145-U145</f>
        <v>0</v>
      </c>
      <c r="W145" s="25" t="n">
        <f aca="false">V145*12</f>
        <v>0</v>
      </c>
      <c r="X145" s="23" t="str">
        <f aca="false">IF(Q145="","MISSING FROM EXPORT",IF(ABS(V145)&lt;0.005,"CLEAR",IF(V145&gt;0,"UNDERBILLING","OVERBILLING")))</f>
        <v>CLEAR</v>
      </c>
      <c r="Y145" s="25" t="n">
        <f aca="false">IF(F145="COMMERCIAL",ROUND(P145*0.35,2),0)</f>
        <v>0</v>
      </c>
      <c r="Z145" s="23" t="str">
        <f aca="false">IF(F145="COMMERCIAL","VERIFY SIGNED AGREEMENT","NO EXCEPTION")</f>
        <v>NO EXCEPTION</v>
      </c>
      <c r="AA145" s="23" t="str">
        <f aca="false">IF(AND(C145="covered",N145&gt;40),"COVERED &gt;40 FT","")</f>
        <v/>
      </c>
      <c r="AB145" s="23" t="s">
        <v>3724</v>
      </c>
      <c r="AC145" s="23" t="s">
        <v>3725</v>
      </c>
      <c r="AD145" s="23" t="s">
        <v>2807</v>
      </c>
    </row>
    <row r="146" customFormat="false" ht="17.9" hidden="false" customHeight="false" outlineLevel="0" collapsed="false">
      <c r="A146" s="20" t="s">
        <v>3726</v>
      </c>
      <c r="B146" s="20" t="s">
        <v>109</v>
      </c>
      <c r="C146" s="20" t="s">
        <v>2798</v>
      </c>
      <c r="D146" s="20" t="s">
        <v>3727</v>
      </c>
      <c r="E146" s="20" t="s">
        <v>3728</v>
      </c>
      <c r="F146" s="20" t="s">
        <v>2934</v>
      </c>
      <c r="G146" s="20" t="s">
        <v>3729</v>
      </c>
      <c r="H146" s="22" t="n">
        <v>49.1</v>
      </c>
      <c r="I146" s="22" t="n">
        <v>49.1</v>
      </c>
      <c r="J146" s="22" t="n">
        <f aca="false">H146-I146</f>
        <v>0</v>
      </c>
      <c r="K146" s="20" t="str">
        <f aca="false">IF(ABS(J146)&lt;0.001,"MATCH - PAPER CHECK-IN NOT SUPPLIED","DATA MISMATCH")</f>
        <v>MATCH - PAPER CHECK-IN NOT SUPPLIED</v>
      </c>
      <c r="L146" s="22" t="n">
        <v>45</v>
      </c>
      <c r="M146" s="22" t="n">
        <f aca="false">ROUNDUP(H146,0)</f>
        <v>50</v>
      </c>
      <c r="N146" s="24" t="n">
        <f aca="false">MAX(L146,M146)</f>
        <v>50</v>
      </c>
      <c r="O146" s="25" t="n">
        <v>7.55</v>
      </c>
      <c r="P146" s="25" t="n">
        <f aca="false">N146*O146</f>
        <v>377.5</v>
      </c>
      <c r="Q146" s="23" t="s">
        <v>3730</v>
      </c>
      <c r="R146" s="23" t="s">
        <v>2804</v>
      </c>
      <c r="S146" s="24" t="n">
        <v>50</v>
      </c>
      <c r="T146" s="25" t="n">
        <v>7.55</v>
      </c>
      <c r="U146" s="25" t="n">
        <v>377.5</v>
      </c>
      <c r="V146" s="25" t="n">
        <f aca="false">P146-U146</f>
        <v>0</v>
      </c>
      <c r="W146" s="25" t="n">
        <f aca="false">V146*12</f>
        <v>0</v>
      </c>
      <c r="X146" s="23" t="str">
        <f aca="false">IF(Q146="","MISSING FROM EXPORT",IF(ABS(V146)&lt;0.005,"CLEAR",IF(V146&gt;0,"UNDERBILLING","OVERBILLING")))</f>
        <v>CLEAR</v>
      </c>
      <c r="Y146" s="25" t="n">
        <f aca="false">IF(F146="COMMERCIAL",ROUND(P146*0.35,2),0)</f>
        <v>132.13</v>
      </c>
      <c r="Z146" s="23" t="str">
        <f aca="false">IF(F146="COMMERCIAL","VERIFY SIGNED AGREEMENT","NO EXCEPTION")</f>
        <v>VERIFY SIGNED AGREEMENT</v>
      </c>
      <c r="AA146" s="23" t="str">
        <f aca="false">IF(AND(C146="covered",N146&gt;40),"COVERED &gt;40 FT","")</f>
        <v/>
      </c>
      <c r="AB146" s="23" t="s">
        <v>3731</v>
      </c>
      <c r="AC146" s="23" t="s">
        <v>3732</v>
      </c>
      <c r="AD146" s="23" t="s">
        <v>2807</v>
      </c>
    </row>
    <row r="147" customFormat="false" ht="17.9" hidden="false" customHeight="false" outlineLevel="0" collapsed="false">
      <c r="A147" s="20" t="s">
        <v>1451</v>
      </c>
      <c r="B147" s="20" t="s">
        <v>109</v>
      </c>
      <c r="C147" s="20" t="s">
        <v>2798</v>
      </c>
      <c r="D147" s="20" t="s">
        <v>3733</v>
      </c>
      <c r="E147" s="20" t="s">
        <v>3734</v>
      </c>
      <c r="F147" s="20" t="s">
        <v>2833</v>
      </c>
      <c r="G147" s="20" t="s">
        <v>3735</v>
      </c>
      <c r="H147" s="22" t="n">
        <v>21.9</v>
      </c>
      <c r="I147" s="22" t="n">
        <v>21.9</v>
      </c>
      <c r="J147" s="22" t="n">
        <f aca="false">H147-I147</f>
        <v>0</v>
      </c>
      <c r="K147" s="20" t="str">
        <f aca="false">IF(ABS(J147)&lt;0.001,"MATCH - PAPER CHECK-IN NOT SUPPLIED","DATA MISMATCH")</f>
        <v>MATCH - PAPER CHECK-IN NOT SUPPLIED</v>
      </c>
      <c r="L147" s="22" t="n">
        <v>28</v>
      </c>
      <c r="M147" s="22" t="n">
        <f aca="false">ROUNDUP(H147,0)</f>
        <v>22</v>
      </c>
      <c r="N147" s="24" t="n">
        <f aca="false">MAX(L147,M147)</f>
        <v>28</v>
      </c>
      <c r="O147" s="25" t="n">
        <v>7.55</v>
      </c>
      <c r="P147" s="25" t="n">
        <f aca="false">N147*O147</f>
        <v>211.4</v>
      </c>
      <c r="Q147" s="23" t="s">
        <v>3736</v>
      </c>
      <c r="R147" s="23" t="s">
        <v>2804</v>
      </c>
      <c r="S147" s="24" t="n">
        <v>28</v>
      </c>
      <c r="T147" s="25" t="n">
        <v>7.55</v>
      </c>
      <c r="U147" s="25" t="n">
        <v>211.4</v>
      </c>
      <c r="V147" s="25" t="n">
        <f aca="false">P147-U147</f>
        <v>0</v>
      </c>
      <c r="W147" s="25" t="n">
        <f aca="false">V147*12</f>
        <v>0</v>
      </c>
      <c r="X147" s="23" t="str">
        <f aca="false">IF(Q147="","MISSING FROM EXPORT",IF(ABS(V147)&lt;0.005,"CLEAR",IF(V147&gt;0,"UNDERBILLING","OVERBILLING")))</f>
        <v>CLEAR</v>
      </c>
      <c r="Y147" s="25" t="n">
        <f aca="false">IF(F147="COMMERCIAL",ROUND(P147*0.35,2),0)</f>
        <v>0</v>
      </c>
      <c r="Z147" s="23" t="str">
        <f aca="false">IF(F147="COMMERCIAL","VERIFY SIGNED AGREEMENT","NO EXCEPTION")</f>
        <v>NO EXCEPTION</v>
      </c>
      <c r="AA147" s="23" t="str">
        <f aca="false">IF(AND(C147="covered",N147&gt;40),"COVERED &gt;40 FT","")</f>
        <v/>
      </c>
      <c r="AB147" s="23" t="s">
        <v>3737</v>
      </c>
      <c r="AC147" s="23" t="s">
        <v>3738</v>
      </c>
      <c r="AD147" s="23" t="s">
        <v>2807</v>
      </c>
    </row>
    <row r="148" customFormat="false" ht="17.9" hidden="false" customHeight="false" outlineLevel="0" collapsed="false">
      <c r="A148" s="20" t="s">
        <v>3739</v>
      </c>
      <c r="B148" s="20" t="s">
        <v>109</v>
      </c>
      <c r="C148" s="20" t="s">
        <v>2798</v>
      </c>
      <c r="D148" s="20" t="s">
        <v>3740</v>
      </c>
      <c r="E148" s="20" t="s">
        <v>3741</v>
      </c>
      <c r="F148" s="20" t="s">
        <v>2833</v>
      </c>
      <c r="G148" s="20" t="s">
        <v>3742</v>
      </c>
      <c r="H148" s="22" t="n">
        <v>39.5</v>
      </c>
      <c r="I148" s="22" t="n">
        <v>39.5</v>
      </c>
      <c r="J148" s="22" t="n">
        <f aca="false">H148-I148</f>
        <v>0</v>
      </c>
      <c r="K148" s="20" t="str">
        <f aca="false">IF(ABS(J148)&lt;0.001,"MATCH - PAPER CHECK-IN NOT SUPPLIED","DATA MISMATCH")</f>
        <v>MATCH - PAPER CHECK-IN NOT SUPPLIED</v>
      </c>
      <c r="L148" s="22" t="n">
        <v>36</v>
      </c>
      <c r="M148" s="22" t="n">
        <f aca="false">ROUNDUP(H148,0)</f>
        <v>40</v>
      </c>
      <c r="N148" s="24" t="n">
        <f aca="false">MAX(L148,M148)</f>
        <v>40</v>
      </c>
      <c r="O148" s="25" t="n">
        <v>7.55</v>
      </c>
      <c r="P148" s="25" t="n">
        <f aca="false">N148*O148</f>
        <v>302</v>
      </c>
      <c r="Q148" s="23" t="s">
        <v>3743</v>
      </c>
      <c r="R148" s="23" t="s">
        <v>2804</v>
      </c>
      <c r="S148" s="24" t="n">
        <v>40</v>
      </c>
      <c r="T148" s="25" t="n">
        <v>7.55</v>
      </c>
      <c r="U148" s="25" t="n">
        <v>302</v>
      </c>
      <c r="V148" s="25" t="n">
        <f aca="false">P148-U148</f>
        <v>0</v>
      </c>
      <c r="W148" s="25" t="n">
        <f aca="false">V148*12</f>
        <v>0</v>
      </c>
      <c r="X148" s="23" t="str">
        <f aca="false">IF(Q148="","MISSING FROM EXPORT",IF(ABS(V148)&lt;0.005,"CLEAR",IF(V148&gt;0,"UNDERBILLING","OVERBILLING")))</f>
        <v>CLEAR</v>
      </c>
      <c r="Y148" s="25" t="n">
        <f aca="false">IF(F148="COMMERCIAL",ROUND(P148*0.35,2),0)</f>
        <v>0</v>
      </c>
      <c r="Z148" s="23" t="str">
        <f aca="false">IF(F148="COMMERCIAL","VERIFY SIGNED AGREEMENT","NO EXCEPTION")</f>
        <v>NO EXCEPTION</v>
      </c>
      <c r="AA148" s="23" t="str">
        <f aca="false">IF(AND(C148="covered",N148&gt;40),"COVERED &gt;40 FT","")</f>
        <v/>
      </c>
      <c r="AB148" s="23" t="s">
        <v>3744</v>
      </c>
      <c r="AC148" s="23" t="s">
        <v>3745</v>
      </c>
      <c r="AD148" s="23" t="s">
        <v>2807</v>
      </c>
    </row>
    <row r="149" customFormat="false" ht="17.9" hidden="false" customHeight="false" outlineLevel="0" collapsed="false">
      <c r="A149" s="20" t="s">
        <v>3746</v>
      </c>
      <c r="B149" s="20" t="s">
        <v>109</v>
      </c>
      <c r="C149" s="20" t="s">
        <v>2798</v>
      </c>
      <c r="D149" s="20" t="s">
        <v>3747</v>
      </c>
      <c r="E149" s="20" t="s">
        <v>3748</v>
      </c>
      <c r="F149" s="20" t="s">
        <v>2869</v>
      </c>
      <c r="G149" s="20" t="s">
        <v>3749</v>
      </c>
      <c r="H149" s="22" t="n">
        <v>35.8</v>
      </c>
      <c r="I149" s="22" t="n">
        <v>35.8</v>
      </c>
      <c r="J149" s="22" t="n">
        <f aca="false">H149-I149</f>
        <v>0</v>
      </c>
      <c r="K149" s="20" t="str">
        <f aca="false">IF(ABS(J149)&lt;0.001,"MATCH - PAPER CHECK-IN NOT SUPPLIED","DATA MISMATCH")</f>
        <v>MATCH - PAPER CHECK-IN NOT SUPPLIED</v>
      </c>
      <c r="L149" s="22" t="n">
        <v>60</v>
      </c>
      <c r="M149" s="22" t="n">
        <f aca="false">ROUNDUP(H149,0)</f>
        <v>36</v>
      </c>
      <c r="N149" s="24" t="n">
        <f aca="false">MAX(L149,M149)</f>
        <v>60</v>
      </c>
      <c r="O149" s="25" t="n">
        <v>7.55</v>
      </c>
      <c r="P149" s="25" t="n">
        <f aca="false">N149*O149</f>
        <v>453</v>
      </c>
      <c r="Q149" s="23" t="s">
        <v>3750</v>
      </c>
      <c r="R149" s="23" t="s">
        <v>2804</v>
      </c>
      <c r="S149" s="24" t="n">
        <v>60</v>
      </c>
      <c r="T149" s="25" t="n">
        <v>7.55</v>
      </c>
      <c r="U149" s="25" t="n">
        <v>453</v>
      </c>
      <c r="V149" s="25" t="n">
        <f aca="false">P149-U149</f>
        <v>0</v>
      </c>
      <c r="W149" s="25" t="n">
        <f aca="false">V149*12</f>
        <v>0</v>
      </c>
      <c r="X149" s="23" t="str">
        <f aca="false">IF(Q149="","MISSING FROM EXPORT",IF(ABS(V149)&lt;0.005,"CLEAR",IF(V149&gt;0,"UNDERBILLING","OVERBILLING")))</f>
        <v>CLEAR</v>
      </c>
      <c r="Y149" s="25" t="n">
        <f aca="false">IF(F149="COMMERCIAL",ROUND(P149*0.35,2),0)</f>
        <v>0</v>
      </c>
      <c r="Z149" s="23" t="str">
        <f aca="false">IF(F149="COMMERCIAL","VERIFY SIGNED AGREEMENT","NO EXCEPTION")</f>
        <v>NO EXCEPTION</v>
      </c>
      <c r="AA149" s="23" t="str">
        <f aca="false">IF(AND(C149="covered",N149&gt;40),"COVERED &gt;40 FT","")</f>
        <v/>
      </c>
      <c r="AB149" s="23" t="s">
        <v>3751</v>
      </c>
      <c r="AC149" s="23" t="s">
        <v>3752</v>
      </c>
      <c r="AD149" s="23" t="s">
        <v>2807</v>
      </c>
    </row>
    <row r="150" customFormat="false" ht="17.9" hidden="false" customHeight="false" outlineLevel="0" collapsed="false">
      <c r="A150" s="20" t="s">
        <v>3753</v>
      </c>
      <c r="B150" s="20" t="s">
        <v>109</v>
      </c>
      <c r="C150" s="20" t="s">
        <v>2798</v>
      </c>
      <c r="D150" s="20" t="s">
        <v>2401</v>
      </c>
      <c r="E150" s="20" t="s">
        <v>2402</v>
      </c>
      <c r="F150" s="20" t="s">
        <v>2857</v>
      </c>
      <c r="G150" s="20" t="s">
        <v>3754</v>
      </c>
      <c r="H150" s="22" t="n">
        <v>51.1</v>
      </c>
      <c r="I150" s="22" t="n">
        <v>51.1</v>
      </c>
      <c r="J150" s="22" t="n">
        <f aca="false">H150-I150</f>
        <v>0</v>
      </c>
      <c r="K150" s="20" t="str">
        <f aca="false">IF(ABS(J150)&lt;0.001,"MATCH - PAPER CHECK-IN NOT SUPPLIED","DATA MISMATCH")</f>
        <v>MATCH - PAPER CHECK-IN NOT SUPPLIED</v>
      </c>
      <c r="L150" s="22" t="n">
        <v>36</v>
      </c>
      <c r="M150" s="22" t="n">
        <f aca="false">ROUNDUP(H150,0)</f>
        <v>52</v>
      </c>
      <c r="N150" s="24" t="n">
        <f aca="false">MAX(L150,M150)</f>
        <v>52</v>
      </c>
      <c r="O150" s="25" t="n">
        <v>7.55</v>
      </c>
      <c r="P150" s="25" t="n">
        <f aca="false">N150*O150</f>
        <v>392.6</v>
      </c>
      <c r="Q150" s="23" t="s">
        <v>3755</v>
      </c>
      <c r="R150" s="23" t="s">
        <v>2804</v>
      </c>
      <c r="S150" s="24" t="n">
        <v>52</v>
      </c>
      <c r="T150" s="25" t="n">
        <v>7.55</v>
      </c>
      <c r="U150" s="25" t="n">
        <v>392.6</v>
      </c>
      <c r="V150" s="25" t="n">
        <f aca="false">P150-U150</f>
        <v>0</v>
      </c>
      <c r="W150" s="25" t="n">
        <f aca="false">V150*12</f>
        <v>0</v>
      </c>
      <c r="X150" s="23" t="str">
        <f aca="false">IF(Q150="","MISSING FROM EXPORT",IF(ABS(V150)&lt;0.005,"CLEAR",IF(V150&gt;0,"UNDERBILLING","OVERBILLING")))</f>
        <v>CLEAR</v>
      </c>
      <c r="Y150" s="25" t="n">
        <f aca="false">IF(F150="COMMERCIAL",ROUND(P150*0.35,2),0)</f>
        <v>0</v>
      </c>
      <c r="Z150" s="23" t="str">
        <f aca="false">IF(F150="COMMERCIAL","VERIFY SIGNED AGREEMENT","NO EXCEPTION")</f>
        <v>NO EXCEPTION</v>
      </c>
      <c r="AA150" s="23" t="str">
        <f aca="false">IF(AND(C150="covered",N150&gt;40),"COVERED &gt;40 FT","")</f>
        <v/>
      </c>
      <c r="AB150" s="23" t="s">
        <v>3756</v>
      </c>
      <c r="AC150" s="23" t="s">
        <v>3757</v>
      </c>
      <c r="AD150" s="23" t="s">
        <v>2807</v>
      </c>
    </row>
    <row r="151" customFormat="false" ht="17.9" hidden="false" customHeight="false" outlineLevel="0" collapsed="false">
      <c r="A151" s="20" t="s">
        <v>3758</v>
      </c>
      <c r="B151" s="20" t="s">
        <v>109</v>
      </c>
      <c r="C151" s="20" t="s">
        <v>2798</v>
      </c>
      <c r="D151" s="20" t="s">
        <v>3759</v>
      </c>
      <c r="E151" s="20" t="s">
        <v>3760</v>
      </c>
      <c r="F151" s="20" t="s">
        <v>2801</v>
      </c>
      <c r="G151" s="20" t="s">
        <v>3761</v>
      </c>
      <c r="H151" s="22" t="n">
        <v>29.3</v>
      </c>
      <c r="I151" s="22" t="n">
        <v>29.3</v>
      </c>
      <c r="J151" s="22" t="n">
        <f aca="false">H151-I151</f>
        <v>0</v>
      </c>
      <c r="K151" s="20" t="str">
        <f aca="false">IF(ABS(J151)&lt;0.001,"MATCH - PAPER CHECK-IN NOT SUPPLIED","DATA MISMATCH")</f>
        <v>MATCH - PAPER CHECK-IN NOT SUPPLIED</v>
      </c>
      <c r="L151" s="22" t="n">
        <v>40</v>
      </c>
      <c r="M151" s="22" t="n">
        <f aca="false">ROUNDUP(H151,0)</f>
        <v>30</v>
      </c>
      <c r="N151" s="24" t="n">
        <f aca="false">MAX(L151,M151)</f>
        <v>40</v>
      </c>
      <c r="O151" s="25" t="n">
        <v>7.55</v>
      </c>
      <c r="P151" s="25" t="n">
        <f aca="false">N151*O151</f>
        <v>302</v>
      </c>
      <c r="Q151" s="23" t="s">
        <v>3762</v>
      </c>
      <c r="R151" s="23" t="s">
        <v>2804</v>
      </c>
      <c r="S151" s="24" t="n">
        <v>40</v>
      </c>
      <c r="T151" s="25" t="n">
        <v>7.55</v>
      </c>
      <c r="U151" s="25" t="n">
        <v>302</v>
      </c>
      <c r="V151" s="25" t="n">
        <f aca="false">P151-U151</f>
        <v>0</v>
      </c>
      <c r="W151" s="25" t="n">
        <f aca="false">V151*12</f>
        <v>0</v>
      </c>
      <c r="X151" s="23" t="str">
        <f aca="false">IF(Q151="","MISSING FROM EXPORT",IF(ABS(V151)&lt;0.005,"CLEAR",IF(V151&gt;0,"UNDERBILLING","OVERBILLING")))</f>
        <v>CLEAR</v>
      </c>
      <c r="Y151" s="25" t="n">
        <f aca="false">IF(F151="COMMERCIAL",ROUND(P151*0.35,2),0)</f>
        <v>0</v>
      </c>
      <c r="Z151" s="23" t="str">
        <f aca="false">IF(F151="COMMERCIAL","VERIFY SIGNED AGREEMENT","NO EXCEPTION")</f>
        <v>NO EXCEPTION</v>
      </c>
      <c r="AA151" s="23" t="str">
        <f aca="false">IF(AND(C151="covered",N151&gt;40),"COVERED &gt;40 FT","")</f>
        <v/>
      </c>
      <c r="AB151" s="23" t="s">
        <v>3763</v>
      </c>
      <c r="AC151" s="23" t="s">
        <v>3764</v>
      </c>
      <c r="AD151" s="23" t="s">
        <v>2807</v>
      </c>
    </row>
    <row r="152" customFormat="false" ht="17.9" hidden="false" customHeight="false" outlineLevel="0" collapsed="false">
      <c r="A152" s="20" t="s">
        <v>3765</v>
      </c>
      <c r="B152" s="20" t="s">
        <v>109</v>
      </c>
      <c r="C152" s="20" t="s">
        <v>2798</v>
      </c>
      <c r="D152" s="20" t="s">
        <v>3766</v>
      </c>
      <c r="E152" s="20" t="s">
        <v>3767</v>
      </c>
      <c r="F152" s="20" t="s">
        <v>2857</v>
      </c>
      <c r="G152" s="20" t="s">
        <v>3768</v>
      </c>
      <c r="H152" s="22" t="n">
        <v>46.9</v>
      </c>
      <c r="I152" s="22" t="n">
        <v>46.9</v>
      </c>
      <c r="J152" s="22" t="n">
        <f aca="false">H152-I152</f>
        <v>0</v>
      </c>
      <c r="K152" s="20" t="str">
        <f aca="false">IF(ABS(J152)&lt;0.001,"MATCH - PAPER CHECK-IN NOT SUPPLIED","DATA MISMATCH")</f>
        <v>MATCH - PAPER CHECK-IN NOT SUPPLIED</v>
      </c>
      <c r="L152" s="22" t="n">
        <v>24</v>
      </c>
      <c r="M152" s="22" t="n">
        <f aca="false">ROUNDUP(H152,0)</f>
        <v>47</v>
      </c>
      <c r="N152" s="24" t="n">
        <f aca="false">MAX(L152,M152)</f>
        <v>47</v>
      </c>
      <c r="O152" s="25" t="n">
        <v>7.55</v>
      </c>
      <c r="P152" s="25" t="n">
        <f aca="false">N152*O152</f>
        <v>354.85</v>
      </c>
      <c r="Q152" s="23" t="s">
        <v>3769</v>
      </c>
      <c r="R152" s="23" t="s">
        <v>2804</v>
      </c>
      <c r="S152" s="24" t="n">
        <v>47</v>
      </c>
      <c r="T152" s="25" t="n">
        <v>7.55</v>
      </c>
      <c r="U152" s="25" t="n">
        <v>354.85</v>
      </c>
      <c r="V152" s="25" t="n">
        <f aca="false">P152-U152</f>
        <v>0</v>
      </c>
      <c r="W152" s="25" t="n">
        <f aca="false">V152*12</f>
        <v>0</v>
      </c>
      <c r="X152" s="23" t="str">
        <f aca="false">IF(Q152="","MISSING FROM EXPORT",IF(ABS(V152)&lt;0.005,"CLEAR",IF(V152&gt;0,"UNDERBILLING","OVERBILLING")))</f>
        <v>CLEAR</v>
      </c>
      <c r="Y152" s="25" t="n">
        <f aca="false">IF(F152="COMMERCIAL",ROUND(P152*0.35,2),0)</f>
        <v>0</v>
      </c>
      <c r="Z152" s="23" t="str">
        <f aca="false">IF(F152="COMMERCIAL","VERIFY SIGNED AGREEMENT","NO EXCEPTION")</f>
        <v>NO EXCEPTION</v>
      </c>
      <c r="AA152" s="23" t="str">
        <f aca="false">IF(AND(C152="covered",N152&gt;40),"COVERED &gt;40 FT","")</f>
        <v/>
      </c>
      <c r="AB152" s="23" t="s">
        <v>3770</v>
      </c>
      <c r="AC152" s="23" t="s">
        <v>3771</v>
      </c>
      <c r="AD152" s="23" t="s">
        <v>2807</v>
      </c>
    </row>
    <row r="153" customFormat="false" ht="17.9" hidden="false" customHeight="false" outlineLevel="0" collapsed="false">
      <c r="A153" s="20" t="s">
        <v>3772</v>
      </c>
      <c r="B153" s="20" t="s">
        <v>109</v>
      </c>
      <c r="C153" s="20" t="s">
        <v>2798</v>
      </c>
      <c r="D153" s="20" t="s">
        <v>3773</v>
      </c>
      <c r="E153" s="20" t="s">
        <v>3774</v>
      </c>
      <c r="F153" s="20" t="s">
        <v>2857</v>
      </c>
      <c r="G153" s="20" t="s">
        <v>3775</v>
      </c>
      <c r="H153" s="22" t="n">
        <v>54.4</v>
      </c>
      <c r="I153" s="22" t="n">
        <v>54.4</v>
      </c>
      <c r="J153" s="22" t="n">
        <f aca="false">H153-I153</f>
        <v>0</v>
      </c>
      <c r="K153" s="20" t="str">
        <f aca="false">IF(ABS(J153)&lt;0.001,"MATCH - PAPER CHECK-IN NOT SUPPLIED","DATA MISMATCH")</f>
        <v>MATCH - PAPER CHECK-IN NOT SUPPLIED</v>
      </c>
      <c r="L153" s="22" t="n">
        <v>32</v>
      </c>
      <c r="M153" s="22" t="n">
        <f aca="false">ROUNDUP(H153,0)</f>
        <v>55</v>
      </c>
      <c r="N153" s="24" t="n">
        <f aca="false">MAX(L153,M153)</f>
        <v>55</v>
      </c>
      <c r="O153" s="25" t="n">
        <v>7.55</v>
      </c>
      <c r="P153" s="25" t="n">
        <f aca="false">N153*O153</f>
        <v>415.25</v>
      </c>
      <c r="Q153" s="23" t="s">
        <v>3776</v>
      </c>
      <c r="R153" s="23" t="s">
        <v>2804</v>
      </c>
      <c r="S153" s="24" t="n">
        <v>55</v>
      </c>
      <c r="T153" s="25" t="n">
        <v>7.55</v>
      </c>
      <c r="U153" s="25" t="n">
        <v>415.25</v>
      </c>
      <c r="V153" s="25" t="n">
        <f aca="false">P153-U153</f>
        <v>0</v>
      </c>
      <c r="W153" s="25" t="n">
        <f aca="false">V153*12</f>
        <v>0</v>
      </c>
      <c r="X153" s="23" t="str">
        <f aca="false">IF(Q153="","MISSING FROM EXPORT",IF(ABS(V153)&lt;0.005,"CLEAR",IF(V153&gt;0,"UNDERBILLING","OVERBILLING")))</f>
        <v>CLEAR</v>
      </c>
      <c r="Y153" s="25" t="n">
        <f aca="false">IF(F153="COMMERCIAL",ROUND(P153*0.35,2),0)</f>
        <v>0</v>
      </c>
      <c r="Z153" s="23" t="str">
        <f aca="false">IF(F153="COMMERCIAL","VERIFY SIGNED AGREEMENT","NO EXCEPTION")</f>
        <v>NO EXCEPTION</v>
      </c>
      <c r="AA153" s="23" t="str">
        <f aca="false">IF(AND(C153="covered",N153&gt;40),"COVERED &gt;40 FT","")</f>
        <v/>
      </c>
      <c r="AB153" s="23" t="s">
        <v>3777</v>
      </c>
      <c r="AC153" s="23" t="s">
        <v>3778</v>
      </c>
      <c r="AD153" s="23" t="s">
        <v>2807</v>
      </c>
    </row>
    <row r="154" customFormat="false" ht="17.9" hidden="false" customHeight="false" outlineLevel="0" collapsed="false">
      <c r="A154" s="20" t="s">
        <v>3779</v>
      </c>
      <c r="B154" s="20" t="s">
        <v>109</v>
      </c>
      <c r="C154" s="20" t="s">
        <v>2798</v>
      </c>
      <c r="D154" s="20" t="s">
        <v>3780</v>
      </c>
      <c r="E154" s="20" t="s">
        <v>3781</v>
      </c>
      <c r="F154" s="20" t="s">
        <v>2857</v>
      </c>
      <c r="G154" s="20" t="s">
        <v>3782</v>
      </c>
      <c r="H154" s="22" t="n">
        <v>53.3</v>
      </c>
      <c r="I154" s="22" t="n">
        <v>53.3</v>
      </c>
      <c r="J154" s="22" t="n">
        <f aca="false">H154-I154</f>
        <v>0</v>
      </c>
      <c r="K154" s="20" t="str">
        <f aca="false">IF(ABS(J154)&lt;0.001,"MATCH - PAPER CHECK-IN NOT SUPPLIED","DATA MISMATCH")</f>
        <v>MATCH - PAPER CHECK-IN NOT SUPPLIED</v>
      </c>
      <c r="L154" s="22" t="n">
        <v>50</v>
      </c>
      <c r="M154" s="22" t="n">
        <f aca="false">ROUNDUP(H154,0)</f>
        <v>54</v>
      </c>
      <c r="N154" s="24" t="n">
        <f aca="false">MAX(L154,M154)</f>
        <v>54</v>
      </c>
      <c r="O154" s="25" t="n">
        <v>7.55</v>
      </c>
      <c r="P154" s="25" t="n">
        <f aca="false">N154*O154</f>
        <v>407.7</v>
      </c>
      <c r="Q154" s="23" t="s">
        <v>3783</v>
      </c>
      <c r="R154" s="23" t="s">
        <v>2804</v>
      </c>
      <c r="S154" s="24" t="n">
        <v>54</v>
      </c>
      <c r="T154" s="25" t="n">
        <v>7.55</v>
      </c>
      <c r="U154" s="25" t="n">
        <v>407.7</v>
      </c>
      <c r="V154" s="25" t="n">
        <f aca="false">P154-U154</f>
        <v>0</v>
      </c>
      <c r="W154" s="25" t="n">
        <f aca="false">V154*12</f>
        <v>0</v>
      </c>
      <c r="X154" s="23" t="str">
        <f aca="false">IF(Q154="","MISSING FROM EXPORT",IF(ABS(V154)&lt;0.005,"CLEAR",IF(V154&gt;0,"UNDERBILLING","OVERBILLING")))</f>
        <v>CLEAR</v>
      </c>
      <c r="Y154" s="25" t="n">
        <f aca="false">IF(F154="COMMERCIAL",ROUND(P154*0.35,2),0)</f>
        <v>0</v>
      </c>
      <c r="Z154" s="23" t="str">
        <f aca="false">IF(F154="COMMERCIAL","VERIFY SIGNED AGREEMENT","NO EXCEPTION")</f>
        <v>NO EXCEPTION</v>
      </c>
      <c r="AA154" s="23" t="str">
        <f aca="false">IF(AND(C154="covered",N154&gt;40),"COVERED &gt;40 FT","")</f>
        <v/>
      </c>
      <c r="AB154" s="23" t="s">
        <v>3784</v>
      </c>
      <c r="AC154" s="23" t="s">
        <v>3785</v>
      </c>
      <c r="AD154" s="23" t="s">
        <v>2807</v>
      </c>
    </row>
    <row r="155" customFormat="false" ht="17.9" hidden="false" customHeight="false" outlineLevel="0" collapsed="false">
      <c r="A155" s="20" t="s">
        <v>3786</v>
      </c>
      <c r="B155" s="20" t="s">
        <v>109</v>
      </c>
      <c r="C155" s="20" t="s">
        <v>2798</v>
      </c>
      <c r="D155" s="20" t="s">
        <v>3787</v>
      </c>
      <c r="E155" s="20" t="s">
        <v>3788</v>
      </c>
      <c r="F155" s="20" t="s">
        <v>2934</v>
      </c>
      <c r="G155" s="20" t="s">
        <v>3789</v>
      </c>
      <c r="H155" s="22" t="n">
        <v>35.8</v>
      </c>
      <c r="I155" s="22" t="n">
        <v>35.8</v>
      </c>
      <c r="J155" s="22" t="n">
        <f aca="false">H155-I155</f>
        <v>0</v>
      </c>
      <c r="K155" s="20" t="str">
        <f aca="false">IF(ABS(J155)&lt;0.001,"MATCH - PAPER CHECK-IN NOT SUPPLIED","DATA MISMATCH")</f>
        <v>MATCH - PAPER CHECK-IN NOT SUPPLIED</v>
      </c>
      <c r="L155" s="22" t="n">
        <v>70</v>
      </c>
      <c r="M155" s="22" t="n">
        <f aca="false">ROUNDUP(H155,0)</f>
        <v>36</v>
      </c>
      <c r="N155" s="24" t="n">
        <f aca="false">MAX(L155,M155)</f>
        <v>70</v>
      </c>
      <c r="O155" s="25" t="n">
        <v>7.55</v>
      </c>
      <c r="P155" s="25" t="n">
        <f aca="false">N155*O155</f>
        <v>528.5</v>
      </c>
      <c r="Q155" s="23" t="s">
        <v>3790</v>
      </c>
      <c r="R155" s="23" t="s">
        <v>2804</v>
      </c>
      <c r="S155" s="24" t="n">
        <v>70</v>
      </c>
      <c r="T155" s="25" t="n">
        <v>7.55</v>
      </c>
      <c r="U155" s="25" t="n">
        <v>528.5</v>
      </c>
      <c r="V155" s="25" t="n">
        <f aca="false">P155-U155</f>
        <v>0</v>
      </c>
      <c r="W155" s="25" t="n">
        <f aca="false">V155*12</f>
        <v>0</v>
      </c>
      <c r="X155" s="23" t="str">
        <f aca="false">IF(Q155="","MISSING FROM EXPORT",IF(ABS(V155)&lt;0.005,"CLEAR",IF(V155&gt;0,"UNDERBILLING","OVERBILLING")))</f>
        <v>CLEAR</v>
      </c>
      <c r="Y155" s="25" t="n">
        <f aca="false">IF(F155="COMMERCIAL",ROUND(P155*0.35,2),0)</f>
        <v>184.98</v>
      </c>
      <c r="Z155" s="23" t="str">
        <f aca="false">IF(F155="COMMERCIAL","VERIFY SIGNED AGREEMENT","NO EXCEPTION")</f>
        <v>VERIFY SIGNED AGREEMENT</v>
      </c>
      <c r="AA155" s="23" t="str">
        <f aca="false">IF(AND(C155="covered",N155&gt;40),"COVERED &gt;40 FT","")</f>
        <v/>
      </c>
      <c r="AB155" s="23" t="s">
        <v>3791</v>
      </c>
      <c r="AC155" s="23" t="s">
        <v>3792</v>
      </c>
      <c r="AD155" s="23" t="s">
        <v>2807</v>
      </c>
    </row>
    <row r="156" customFormat="false" ht="17.9" hidden="false" customHeight="false" outlineLevel="0" collapsed="false">
      <c r="A156" s="20" t="s">
        <v>3793</v>
      </c>
      <c r="B156" s="20" t="s">
        <v>109</v>
      </c>
      <c r="C156" s="20" t="s">
        <v>2798</v>
      </c>
      <c r="D156" s="20" t="s">
        <v>3794</v>
      </c>
      <c r="E156" s="20" t="s">
        <v>3795</v>
      </c>
      <c r="F156" s="20" t="s">
        <v>2801</v>
      </c>
      <c r="G156" s="20" t="s">
        <v>3796</v>
      </c>
      <c r="H156" s="22" t="n">
        <v>22.3</v>
      </c>
      <c r="I156" s="22" t="n">
        <v>22.3</v>
      </c>
      <c r="J156" s="22" t="n">
        <f aca="false">H156-I156</f>
        <v>0</v>
      </c>
      <c r="K156" s="20" t="str">
        <f aca="false">IF(ABS(J156)&lt;0.001,"MATCH - PAPER CHECK-IN NOT SUPPLIED","DATA MISMATCH")</f>
        <v>MATCH - PAPER CHECK-IN NOT SUPPLIED</v>
      </c>
      <c r="L156" s="22" t="n">
        <v>45</v>
      </c>
      <c r="M156" s="22" t="n">
        <f aca="false">ROUNDUP(H156,0)</f>
        <v>23</v>
      </c>
      <c r="N156" s="24" t="n">
        <f aca="false">MAX(L156,M156)</f>
        <v>45</v>
      </c>
      <c r="O156" s="25" t="n">
        <v>7.55</v>
      </c>
      <c r="P156" s="25" t="n">
        <f aca="false">N156*O156</f>
        <v>339.75</v>
      </c>
      <c r="Q156" s="23" t="s">
        <v>3797</v>
      </c>
      <c r="R156" s="23" t="s">
        <v>2804</v>
      </c>
      <c r="S156" s="24" t="n">
        <v>45</v>
      </c>
      <c r="T156" s="25" t="n">
        <v>7.55</v>
      </c>
      <c r="U156" s="25" t="n">
        <v>339.75</v>
      </c>
      <c r="V156" s="25" t="n">
        <f aca="false">P156-U156</f>
        <v>0</v>
      </c>
      <c r="W156" s="25" t="n">
        <f aca="false">V156*12</f>
        <v>0</v>
      </c>
      <c r="X156" s="23" t="str">
        <f aca="false">IF(Q156="","MISSING FROM EXPORT",IF(ABS(V156)&lt;0.005,"CLEAR",IF(V156&gt;0,"UNDERBILLING","OVERBILLING")))</f>
        <v>CLEAR</v>
      </c>
      <c r="Y156" s="25" t="n">
        <f aca="false">IF(F156="COMMERCIAL",ROUND(P156*0.35,2),0)</f>
        <v>0</v>
      </c>
      <c r="Z156" s="23" t="str">
        <f aca="false">IF(F156="COMMERCIAL","VERIFY SIGNED AGREEMENT","NO EXCEPTION")</f>
        <v>NO EXCEPTION</v>
      </c>
      <c r="AA156" s="23" t="str">
        <f aca="false">IF(AND(C156="covered",N156&gt;40),"COVERED &gt;40 FT","")</f>
        <v/>
      </c>
      <c r="AB156" s="23" t="s">
        <v>3798</v>
      </c>
      <c r="AC156" s="23" t="s">
        <v>3799</v>
      </c>
      <c r="AD156" s="23" t="s">
        <v>2807</v>
      </c>
    </row>
    <row r="157" customFormat="false" ht="17.9" hidden="false" customHeight="false" outlineLevel="0" collapsed="false">
      <c r="A157" s="20" t="s">
        <v>3800</v>
      </c>
      <c r="B157" s="20" t="s">
        <v>109</v>
      </c>
      <c r="C157" s="20" t="s">
        <v>2798</v>
      </c>
      <c r="D157" s="20" t="s">
        <v>3801</v>
      </c>
      <c r="E157" s="20" t="s">
        <v>3802</v>
      </c>
      <c r="F157" s="20" t="s">
        <v>2857</v>
      </c>
      <c r="G157" s="20" t="s">
        <v>3803</v>
      </c>
      <c r="H157" s="22" t="n">
        <v>53.3</v>
      </c>
      <c r="I157" s="22" t="n">
        <v>53.3</v>
      </c>
      <c r="J157" s="22" t="n">
        <f aca="false">H157-I157</f>
        <v>0</v>
      </c>
      <c r="K157" s="20" t="str">
        <f aca="false">IF(ABS(J157)&lt;0.001,"MATCH - PAPER CHECK-IN NOT SUPPLIED","DATA MISMATCH")</f>
        <v>MATCH - PAPER CHECK-IN NOT SUPPLIED</v>
      </c>
      <c r="L157" s="22" t="n">
        <v>70</v>
      </c>
      <c r="M157" s="22" t="n">
        <f aca="false">ROUNDUP(H157,0)</f>
        <v>54</v>
      </c>
      <c r="N157" s="24" t="n">
        <f aca="false">MAX(L157,M157)</f>
        <v>70</v>
      </c>
      <c r="O157" s="25" t="n">
        <v>7.55</v>
      </c>
      <c r="P157" s="25" t="n">
        <f aca="false">N157*O157</f>
        <v>528.5</v>
      </c>
      <c r="Q157" s="23" t="s">
        <v>3804</v>
      </c>
      <c r="R157" s="23" t="s">
        <v>2804</v>
      </c>
      <c r="S157" s="24" t="n">
        <v>70</v>
      </c>
      <c r="T157" s="25" t="n">
        <v>7.55</v>
      </c>
      <c r="U157" s="25" t="n">
        <v>528.5</v>
      </c>
      <c r="V157" s="25" t="n">
        <f aca="false">P157-U157</f>
        <v>0</v>
      </c>
      <c r="W157" s="25" t="n">
        <f aca="false">V157*12</f>
        <v>0</v>
      </c>
      <c r="X157" s="23" t="str">
        <f aca="false">IF(Q157="","MISSING FROM EXPORT",IF(ABS(V157)&lt;0.005,"CLEAR",IF(V157&gt;0,"UNDERBILLING","OVERBILLING")))</f>
        <v>CLEAR</v>
      </c>
      <c r="Y157" s="25" t="n">
        <f aca="false">IF(F157="COMMERCIAL",ROUND(P157*0.35,2),0)</f>
        <v>0</v>
      </c>
      <c r="Z157" s="23" t="str">
        <f aca="false">IF(F157="COMMERCIAL","VERIFY SIGNED AGREEMENT","NO EXCEPTION")</f>
        <v>NO EXCEPTION</v>
      </c>
      <c r="AA157" s="23" t="str">
        <f aca="false">IF(AND(C157="covered",N157&gt;40),"COVERED &gt;40 FT","")</f>
        <v/>
      </c>
      <c r="AB157" s="23" t="s">
        <v>3805</v>
      </c>
      <c r="AC157" s="23" t="s">
        <v>3806</v>
      </c>
      <c r="AD157" s="23" t="s">
        <v>2807</v>
      </c>
    </row>
    <row r="158" customFormat="false" ht="17.9" hidden="false" customHeight="false" outlineLevel="0" collapsed="false">
      <c r="A158" s="20" t="s">
        <v>3807</v>
      </c>
      <c r="B158" s="20" t="s">
        <v>109</v>
      </c>
      <c r="C158" s="20" t="s">
        <v>2798</v>
      </c>
      <c r="D158" s="20" t="s">
        <v>1225</v>
      </c>
      <c r="E158" s="20" t="s">
        <v>1226</v>
      </c>
      <c r="F158" s="20" t="s">
        <v>2833</v>
      </c>
      <c r="G158" s="20" t="s">
        <v>3808</v>
      </c>
      <c r="H158" s="22" t="n">
        <v>56.4</v>
      </c>
      <c r="I158" s="22" t="n">
        <v>56.4</v>
      </c>
      <c r="J158" s="22" t="n">
        <f aca="false">H158-I158</f>
        <v>0</v>
      </c>
      <c r="K158" s="20" t="str">
        <f aca="false">IF(ABS(J158)&lt;0.001,"MATCH - PAPER CHECK-IN NOT SUPPLIED","DATA MISMATCH")</f>
        <v>MATCH - PAPER CHECK-IN NOT SUPPLIED</v>
      </c>
      <c r="L158" s="22" t="n">
        <v>28</v>
      </c>
      <c r="M158" s="22" t="n">
        <f aca="false">ROUNDUP(H158,0)</f>
        <v>57</v>
      </c>
      <c r="N158" s="24" t="n">
        <f aca="false">MAX(L158,M158)</f>
        <v>57</v>
      </c>
      <c r="O158" s="25" t="n">
        <v>7.55</v>
      </c>
      <c r="P158" s="25" t="n">
        <f aca="false">N158*O158</f>
        <v>430.35</v>
      </c>
      <c r="Q158" s="23" t="s">
        <v>3809</v>
      </c>
      <c r="R158" s="23" t="s">
        <v>2804</v>
      </c>
      <c r="S158" s="24" t="n">
        <v>57</v>
      </c>
      <c r="T158" s="25" t="n">
        <v>7.55</v>
      </c>
      <c r="U158" s="25" t="n">
        <v>430.35</v>
      </c>
      <c r="V158" s="25" t="n">
        <f aca="false">P158-U158</f>
        <v>0</v>
      </c>
      <c r="W158" s="25" t="n">
        <f aca="false">V158*12</f>
        <v>0</v>
      </c>
      <c r="X158" s="23" t="str">
        <f aca="false">IF(Q158="","MISSING FROM EXPORT",IF(ABS(V158)&lt;0.005,"CLEAR",IF(V158&gt;0,"UNDERBILLING","OVERBILLING")))</f>
        <v>CLEAR</v>
      </c>
      <c r="Y158" s="25" t="n">
        <f aca="false">IF(F158="COMMERCIAL",ROUND(P158*0.35,2),0)</f>
        <v>0</v>
      </c>
      <c r="Z158" s="23" t="str">
        <f aca="false">IF(F158="COMMERCIAL","VERIFY SIGNED AGREEMENT","NO EXCEPTION")</f>
        <v>NO EXCEPTION</v>
      </c>
      <c r="AA158" s="23" t="str">
        <f aca="false">IF(AND(C158="covered",N158&gt;40),"COVERED &gt;40 FT","")</f>
        <v/>
      </c>
      <c r="AB158" s="23" t="s">
        <v>3810</v>
      </c>
      <c r="AC158" s="23" t="s">
        <v>3811</v>
      </c>
      <c r="AD158" s="23" t="s">
        <v>2807</v>
      </c>
    </row>
    <row r="159" customFormat="false" ht="17.9" hidden="false" customHeight="false" outlineLevel="0" collapsed="false">
      <c r="A159" s="20" t="s">
        <v>604</v>
      </c>
      <c r="B159" s="20" t="s">
        <v>109</v>
      </c>
      <c r="C159" s="20" t="s">
        <v>2798</v>
      </c>
      <c r="D159" s="20" t="s">
        <v>3812</v>
      </c>
      <c r="E159" s="20" t="s">
        <v>3813</v>
      </c>
      <c r="F159" s="20" t="s">
        <v>2833</v>
      </c>
      <c r="G159" s="20" t="s">
        <v>3814</v>
      </c>
      <c r="H159" s="22" t="n">
        <v>22.4</v>
      </c>
      <c r="I159" s="22" t="n">
        <v>22.4</v>
      </c>
      <c r="J159" s="22" t="n">
        <f aca="false">H159-I159</f>
        <v>0</v>
      </c>
      <c r="K159" s="20" t="str">
        <f aca="false">IF(ABS(J159)&lt;0.001,"MATCH - PAPER CHECK-IN NOT SUPPLIED","DATA MISMATCH")</f>
        <v>MATCH - PAPER CHECK-IN NOT SUPPLIED</v>
      </c>
      <c r="L159" s="22" t="n">
        <v>32</v>
      </c>
      <c r="M159" s="22" t="n">
        <f aca="false">ROUNDUP(H159,0)</f>
        <v>23</v>
      </c>
      <c r="N159" s="24" t="n">
        <f aca="false">MAX(L159,M159)</f>
        <v>32</v>
      </c>
      <c r="O159" s="25" t="n">
        <v>7.55</v>
      </c>
      <c r="P159" s="25" t="n">
        <f aca="false">N159*O159</f>
        <v>241.6</v>
      </c>
      <c r="Q159" s="23" t="s">
        <v>3815</v>
      </c>
      <c r="R159" s="23" t="s">
        <v>2804</v>
      </c>
      <c r="S159" s="24" t="n">
        <v>32</v>
      </c>
      <c r="T159" s="25" t="n">
        <v>7.55</v>
      </c>
      <c r="U159" s="25" t="n">
        <v>241.6</v>
      </c>
      <c r="V159" s="25" t="n">
        <f aca="false">P159-U159</f>
        <v>0</v>
      </c>
      <c r="W159" s="25" t="n">
        <f aca="false">V159*12</f>
        <v>0</v>
      </c>
      <c r="X159" s="23" t="str">
        <f aca="false">IF(Q159="","MISSING FROM EXPORT",IF(ABS(V159)&lt;0.005,"CLEAR",IF(V159&gt;0,"UNDERBILLING","OVERBILLING")))</f>
        <v>CLEAR</v>
      </c>
      <c r="Y159" s="25" t="n">
        <f aca="false">IF(F159="COMMERCIAL",ROUND(P159*0.35,2),0)</f>
        <v>0</v>
      </c>
      <c r="Z159" s="23" t="str">
        <f aca="false">IF(F159="COMMERCIAL","VERIFY SIGNED AGREEMENT","NO EXCEPTION")</f>
        <v>NO EXCEPTION</v>
      </c>
      <c r="AA159" s="23" t="str">
        <f aca="false">IF(AND(C159="covered",N159&gt;40),"COVERED &gt;40 FT","")</f>
        <v/>
      </c>
      <c r="AB159" s="23" t="s">
        <v>3816</v>
      </c>
      <c r="AC159" s="23" t="s">
        <v>3817</v>
      </c>
      <c r="AD159" s="23" t="s">
        <v>2807</v>
      </c>
    </row>
    <row r="160" customFormat="false" ht="17.9" hidden="false" customHeight="false" outlineLevel="0" collapsed="false">
      <c r="A160" s="20" t="s">
        <v>3818</v>
      </c>
      <c r="B160" s="20" t="s">
        <v>109</v>
      </c>
      <c r="C160" s="20" t="s">
        <v>2798</v>
      </c>
      <c r="D160" s="20" t="s">
        <v>2611</v>
      </c>
      <c r="E160" s="20" t="s">
        <v>2612</v>
      </c>
      <c r="F160" s="20" t="s">
        <v>2833</v>
      </c>
      <c r="G160" s="20" t="s">
        <v>3819</v>
      </c>
      <c r="H160" s="22" t="n">
        <v>59</v>
      </c>
      <c r="I160" s="22" t="n">
        <v>59</v>
      </c>
      <c r="J160" s="22" t="n">
        <f aca="false">H160-I160</f>
        <v>0</v>
      </c>
      <c r="K160" s="20" t="str">
        <f aca="false">IF(ABS(J160)&lt;0.001,"MATCH - PAPER CHECK-IN NOT SUPPLIED","DATA MISMATCH")</f>
        <v>MATCH - PAPER CHECK-IN NOT SUPPLIED</v>
      </c>
      <c r="L160" s="22" t="n">
        <v>28</v>
      </c>
      <c r="M160" s="22" t="n">
        <f aca="false">ROUNDUP(H160,0)</f>
        <v>59</v>
      </c>
      <c r="N160" s="24" t="n">
        <f aca="false">MAX(L160,M160)</f>
        <v>59</v>
      </c>
      <c r="O160" s="25" t="n">
        <v>7.55</v>
      </c>
      <c r="P160" s="25" t="n">
        <f aca="false">N160*O160</f>
        <v>445.45</v>
      </c>
      <c r="Q160" s="23" t="s">
        <v>3820</v>
      </c>
      <c r="R160" s="23" t="s">
        <v>2804</v>
      </c>
      <c r="S160" s="24" t="n">
        <v>59</v>
      </c>
      <c r="T160" s="25" t="n">
        <v>7.55</v>
      </c>
      <c r="U160" s="25" t="n">
        <v>445.45</v>
      </c>
      <c r="V160" s="25" t="n">
        <f aca="false">P160-U160</f>
        <v>0</v>
      </c>
      <c r="W160" s="25" t="n">
        <f aca="false">V160*12</f>
        <v>0</v>
      </c>
      <c r="X160" s="23" t="str">
        <f aca="false">IF(Q160="","MISSING FROM EXPORT",IF(ABS(V160)&lt;0.005,"CLEAR",IF(V160&gt;0,"UNDERBILLING","OVERBILLING")))</f>
        <v>CLEAR</v>
      </c>
      <c r="Y160" s="25" t="n">
        <f aca="false">IF(F160="COMMERCIAL",ROUND(P160*0.35,2),0)</f>
        <v>0</v>
      </c>
      <c r="Z160" s="23" t="str">
        <f aca="false">IF(F160="COMMERCIAL","VERIFY SIGNED AGREEMENT","NO EXCEPTION")</f>
        <v>NO EXCEPTION</v>
      </c>
      <c r="AA160" s="23" t="str">
        <f aca="false">IF(AND(C160="covered",N160&gt;40),"COVERED &gt;40 FT","")</f>
        <v/>
      </c>
      <c r="AB160" s="23" t="s">
        <v>3821</v>
      </c>
      <c r="AC160" s="23" t="s">
        <v>3822</v>
      </c>
      <c r="AD160" s="23" t="s">
        <v>2807</v>
      </c>
    </row>
    <row r="161" customFormat="false" ht="17.9" hidden="false" customHeight="false" outlineLevel="0" collapsed="false">
      <c r="A161" s="20" t="s">
        <v>3823</v>
      </c>
      <c r="B161" s="20" t="s">
        <v>109</v>
      </c>
      <c r="C161" s="20" t="s">
        <v>2798</v>
      </c>
      <c r="D161" s="20" t="s">
        <v>3824</v>
      </c>
      <c r="E161" s="20" t="s">
        <v>3825</v>
      </c>
      <c r="F161" s="20" t="s">
        <v>2898</v>
      </c>
      <c r="G161" s="20" t="s">
        <v>3826</v>
      </c>
      <c r="H161" s="22" t="n">
        <v>33.5</v>
      </c>
      <c r="I161" s="22" t="n">
        <v>33.5</v>
      </c>
      <c r="J161" s="22" t="n">
        <f aca="false">H161-I161</f>
        <v>0</v>
      </c>
      <c r="K161" s="20" t="str">
        <f aca="false">IF(ABS(J161)&lt;0.001,"MATCH - PAPER CHECK-IN NOT SUPPLIED","DATA MISMATCH")</f>
        <v>MATCH - PAPER CHECK-IN NOT SUPPLIED</v>
      </c>
      <c r="L161" s="22" t="n">
        <v>36</v>
      </c>
      <c r="M161" s="22" t="n">
        <f aca="false">ROUNDUP(H161,0)</f>
        <v>34</v>
      </c>
      <c r="N161" s="24" t="n">
        <f aca="false">MAX(L161,M161)</f>
        <v>36</v>
      </c>
      <c r="O161" s="25" t="n">
        <v>7.55</v>
      </c>
      <c r="P161" s="25" t="n">
        <f aca="false">N161*O161</f>
        <v>271.8</v>
      </c>
      <c r="Q161" s="23" t="s">
        <v>3827</v>
      </c>
      <c r="R161" s="23" t="s">
        <v>2804</v>
      </c>
      <c r="S161" s="24" t="n">
        <v>36</v>
      </c>
      <c r="T161" s="25" t="n">
        <v>7.55</v>
      </c>
      <c r="U161" s="25" t="n">
        <v>271.8</v>
      </c>
      <c r="V161" s="25" t="n">
        <f aca="false">P161-U161</f>
        <v>0</v>
      </c>
      <c r="W161" s="25" t="n">
        <f aca="false">V161*12</f>
        <v>0</v>
      </c>
      <c r="X161" s="23" t="str">
        <f aca="false">IF(Q161="","MISSING FROM EXPORT",IF(ABS(V161)&lt;0.005,"CLEAR",IF(V161&gt;0,"UNDERBILLING","OVERBILLING")))</f>
        <v>CLEAR</v>
      </c>
      <c r="Y161" s="25" t="n">
        <f aca="false">IF(F161="COMMERCIAL",ROUND(P161*0.35,2),0)</f>
        <v>0</v>
      </c>
      <c r="Z161" s="23" t="str">
        <f aca="false">IF(F161="COMMERCIAL","VERIFY SIGNED AGREEMENT","NO EXCEPTION")</f>
        <v>NO EXCEPTION</v>
      </c>
      <c r="AA161" s="23" t="str">
        <f aca="false">IF(AND(C161="covered",N161&gt;40),"COVERED &gt;40 FT","")</f>
        <v/>
      </c>
      <c r="AB161" s="23" t="s">
        <v>3828</v>
      </c>
      <c r="AC161" s="23" t="s">
        <v>3829</v>
      </c>
      <c r="AD161" s="23" t="s">
        <v>2807</v>
      </c>
    </row>
    <row r="162" customFormat="false" ht="17.9" hidden="false" customHeight="false" outlineLevel="0" collapsed="false">
      <c r="A162" s="20" t="s">
        <v>3830</v>
      </c>
      <c r="B162" s="20" t="s">
        <v>109</v>
      </c>
      <c r="C162" s="20" t="s">
        <v>2798</v>
      </c>
      <c r="D162" s="20" t="s">
        <v>3831</v>
      </c>
      <c r="E162" s="20" t="s">
        <v>3832</v>
      </c>
      <c r="F162" s="20" t="s">
        <v>2857</v>
      </c>
      <c r="G162" s="20" t="s">
        <v>3833</v>
      </c>
      <c r="H162" s="22" t="n">
        <v>29.3</v>
      </c>
      <c r="I162" s="22" t="n">
        <v>29.3</v>
      </c>
      <c r="J162" s="22" t="n">
        <f aca="false">H162-I162</f>
        <v>0</v>
      </c>
      <c r="K162" s="20" t="str">
        <f aca="false">IF(ABS(J162)&lt;0.001,"MATCH - PAPER CHECK-IN NOT SUPPLIED","DATA MISMATCH")</f>
        <v>MATCH - PAPER CHECK-IN NOT SUPPLIED</v>
      </c>
      <c r="L162" s="22" t="n">
        <v>28</v>
      </c>
      <c r="M162" s="22" t="n">
        <f aca="false">ROUNDUP(H162,0)</f>
        <v>30</v>
      </c>
      <c r="N162" s="24" t="n">
        <f aca="false">MAX(L162,M162)</f>
        <v>30</v>
      </c>
      <c r="O162" s="25" t="n">
        <v>7.55</v>
      </c>
      <c r="P162" s="25" t="n">
        <f aca="false">N162*O162</f>
        <v>226.5</v>
      </c>
      <c r="Q162" s="23" t="s">
        <v>3834</v>
      </c>
      <c r="R162" s="23" t="s">
        <v>2804</v>
      </c>
      <c r="S162" s="24" t="n">
        <v>30</v>
      </c>
      <c r="T162" s="25" t="n">
        <v>7.55</v>
      </c>
      <c r="U162" s="25" t="n">
        <v>226.5</v>
      </c>
      <c r="V162" s="25" t="n">
        <f aca="false">P162-U162</f>
        <v>0</v>
      </c>
      <c r="W162" s="25" t="n">
        <f aca="false">V162*12</f>
        <v>0</v>
      </c>
      <c r="X162" s="23" t="str">
        <f aca="false">IF(Q162="","MISSING FROM EXPORT",IF(ABS(V162)&lt;0.005,"CLEAR",IF(V162&gt;0,"UNDERBILLING","OVERBILLING")))</f>
        <v>CLEAR</v>
      </c>
      <c r="Y162" s="25" t="n">
        <f aca="false">IF(F162="COMMERCIAL",ROUND(P162*0.35,2),0)</f>
        <v>0</v>
      </c>
      <c r="Z162" s="23" t="str">
        <f aca="false">IF(F162="COMMERCIAL","VERIFY SIGNED AGREEMENT","NO EXCEPTION")</f>
        <v>NO EXCEPTION</v>
      </c>
      <c r="AA162" s="23" t="str">
        <f aca="false">IF(AND(C162="covered",N162&gt;40),"COVERED &gt;40 FT","")</f>
        <v/>
      </c>
      <c r="AB162" s="23" t="s">
        <v>3835</v>
      </c>
      <c r="AC162" s="23" t="s">
        <v>3836</v>
      </c>
      <c r="AD162" s="23" t="s">
        <v>2807</v>
      </c>
    </row>
    <row r="163" customFormat="false" ht="17.9" hidden="false" customHeight="false" outlineLevel="0" collapsed="false">
      <c r="A163" s="20" t="s">
        <v>3837</v>
      </c>
      <c r="B163" s="20" t="s">
        <v>109</v>
      </c>
      <c r="C163" s="20" t="s">
        <v>2798</v>
      </c>
      <c r="D163" s="20" t="s">
        <v>3838</v>
      </c>
      <c r="E163" s="20" t="s">
        <v>3839</v>
      </c>
      <c r="F163" s="20" t="s">
        <v>2833</v>
      </c>
      <c r="G163" s="20" t="s">
        <v>3840</v>
      </c>
      <c r="H163" s="22" t="n">
        <v>49.7</v>
      </c>
      <c r="I163" s="22" t="n">
        <v>49.7</v>
      </c>
      <c r="J163" s="22" t="n">
        <f aca="false">H163-I163</f>
        <v>0</v>
      </c>
      <c r="K163" s="20" t="str">
        <f aca="false">IF(ABS(J163)&lt;0.001,"MATCH - PAPER CHECK-IN NOT SUPPLIED","DATA MISMATCH")</f>
        <v>MATCH - PAPER CHECK-IN NOT SUPPLIED</v>
      </c>
      <c r="L163" s="22" t="n">
        <v>80</v>
      </c>
      <c r="M163" s="22" t="n">
        <f aca="false">ROUNDUP(H163,0)</f>
        <v>50</v>
      </c>
      <c r="N163" s="24" t="n">
        <f aca="false">MAX(L163,M163)</f>
        <v>80</v>
      </c>
      <c r="O163" s="25" t="n">
        <v>7.55</v>
      </c>
      <c r="P163" s="25" t="n">
        <f aca="false">N163*O163</f>
        <v>604</v>
      </c>
      <c r="Q163" s="23" t="s">
        <v>3841</v>
      </c>
      <c r="R163" s="23" t="s">
        <v>2804</v>
      </c>
      <c r="S163" s="24" t="n">
        <v>80</v>
      </c>
      <c r="T163" s="25" t="n">
        <v>7.55</v>
      </c>
      <c r="U163" s="25" t="n">
        <v>604</v>
      </c>
      <c r="V163" s="25" t="n">
        <f aca="false">P163-U163</f>
        <v>0</v>
      </c>
      <c r="W163" s="25" t="n">
        <f aca="false">V163*12</f>
        <v>0</v>
      </c>
      <c r="X163" s="23" t="str">
        <f aca="false">IF(Q163="","MISSING FROM EXPORT",IF(ABS(V163)&lt;0.005,"CLEAR",IF(V163&gt;0,"UNDERBILLING","OVERBILLING")))</f>
        <v>CLEAR</v>
      </c>
      <c r="Y163" s="25" t="n">
        <f aca="false">IF(F163="COMMERCIAL",ROUND(P163*0.35,2),0)</f>
        <v>0</v>
      </c>
      <c r="Z163" s="23" t="str">
        <f aca="false">IF(F163="COMMERCIAL","VERIFY SIGNED AGREEMENT","NO EXCEPTION")</f>
        <v>NO EXCEPTION</v>
      </c>
      <c r="AA163" s="23" t="str">
        <f aca="false">IF(AND(C163="covered",N163&gt;40),"COVERED &gt;40 FT","")</f>
        <v/>
      </c>
      <c r="AB163" s="23" t="s">
        <v>3842</v>
      </c>
      <c r="AC163" s="23" t="s">
        <v>3843</v>
      </c>
      <c r="AD163" s="23" t="s">
        <v>2807</v>
      </c>
    </row>
    <row r="164" customFormat="false" ht="17.9" hidden="false" customHeight="false" outlineLevel="0" collapsed="false">
      <c r="A164" s="20" t="s">
        <v>3844</v>
      </c>
      <c r="B164" s="20" t="s">
        <v>109</v>
      </c>
      <c r="C164" s="20" t="s">
        <v>2798</v>
      </c>
      <c r="D164" s="20" t="s">
        <v>3845</v>
      </c>
      <c r="E164" s="20" t="s">
        <v>3846</v>
      </c>
      <c r="F164" s="20" t="s">
        <v>2833</v>
      </c>
      <c r="G164" s="20" t="s">
        <v>3847</v>
      </c>
      <c r="H164" s="22" t="n">
        <v>58.3</v>
      </c>
      <c r="I164" s="22" t="n">
        <v>58.3</v>
      </c>
      <c r="J164" s="22" t="n">
        <f aca="false">H164-I164</f>
        <v>0</v>
      </c>
      <c r="K164" s="20" t="str">
        <f aca="false">IF(ABS(J164)&lt;0.001,"MATCH - PAPER CHECK-IN NOT SUPPLIED","DATA MISMATCH")</f>
        <v>MATCH - PAPER CHECK-IN NOT SUPPLIED</v>
      </c>
      <c r="L164" s="22" t="n">
        <v>70</v>
      </c>
      <c r="M164" s="22" t="n">
        <f aca="false">ROUNDUP(H164,0)</f>
        <v>59</v>
      </c>
      <c r="N164" s="24" t="n">
        <f aca="false">MAX(L164,M164)</f>
        <v>70</v>
      </c>
      <c r="O164" s="25" t="n">
        <v>7.55</v>
      </c>
      <c r="P164" s="25" t="n">
        <f aca="false">N164*O164</f>
        <v>528.5</v>
      </c>
      <c r="Q164" s="23" t="s">
        <v>3848</v>
      </c>
      <c r="R164" s="23" t="s">
        <v>2804</v>
      </c>
      <c r="S164" s="24" t="n">
        <v>70</v>
      </c>
      <c r="T164" s="25" t="n">
        <v>7.55</v>
      </c>
      <c r="U164" s="25" t="n">
        <v>528.5</v>
      </c>
      <c r="V164" s="25" t="n">
        <f aca="false">P164-U164</f>
        <v>0</v>
      </c>
      <c r="W164" s="25" t="n">
        <f aca="false">V164*12</f>
        <v>0</v>
      </c>
      <c r="X164" s="23" t="str">
        <f aca="false">IF(Q164="","MISSING FROM EXPORT",IF(ABS(V164)&lt;0.005,"CLEAR",IF(V164&gt;0,"UNDERBILLING","OVERBILLING")))</f>
        <v>CLEAR</v>
      </c>
      <c r="Y164" s="25" t="n">
        <f aca="false">IF(F164="COMMERCIAL",ROUND(P164*0.35,2),0)</f>
        <v>0</v>
      </c>
      <c r="Z164" s="23" t="str">
        <f aca="false">IF(F164="COMMERCIAL","VERIFY SIGNED AGREEMENT","NO EXCEPTION")</f>
        <v>NO EXCEPTION</v>
      </c>
      <c r="AA164" s="23" t="str">
        <f aca="false">IF(AND(C164="covered",N164&gt;40),"COVERED &gt;40 FT","")</f>
        <v/>
      </c>
      <c r="AB164" s="23" t="s">
        <v>3849</v>
      </c>
      <c r="AC164" s="23" t="s">
        <v>3850</v>
      </c>
      <c r="AD164" s="23" t="s">
        <v>2807</v>
      </c>
    </row>
    <row r="165" customFormat="false" ht="17.9" hidden="false" customHeight="false" outlineLevel="0" collapsed="false">
      <c r="A165" s="20" t="s">
        <v>3851</v>
      </c>
      <c r="B165" s="20" t="s">
        <v>109</v>
      </c>
      <c r="C165" s="20" t="s">
        <v>2798</v>
      </c>
      <c r="D165" s="20" t="s">
        <v>3852</v>
      </c>
      <c r="E165" s="20" t="s">
        <v>3853</v>
      </c>
      <c r="F165" s="20" t="s">
        <v>2833</v>
      </c>
      <c r="G165" s="20" t="s">
        <v>3854</v>
      </c>
      <c r="H165" s="22" t="n">
        <v>26.3</v>
      </c>
      <c r="I165" s="22" t="n">
        <v>26.3</v>
      </c>
      <c r="J165" s="22" t="n">
        <f aca="false">H165-I165</f>
        <v>0</v>
      </c>
      <c r="K165" s="20" t="str">
        <f aca="false">IF(ABS(J165)&lt;0.001,"MATCH - PAPER CHECK-IN NOT SUPPLIED","DATA MISMATCH")</f>
        <v>MATCH - PAPER CHECK-IN NOT SUPPLIED</v>
      </c>
      <c r="L165" s="22" t="n">
        <v>28</v>
      </c>
      <c r="M165" s="22" t="n">
        <f aca="false">ROUNDUP(H165,0)</f>
        <v>27</v>
      </c>
      <c r="N165" s="24" t="n">
        <f aca="false">MAX(L165,M165)</f>
        <v>28</v>
      </c>
      <c r="O165" s="25" t="n">
        <v>7.55</v>
      </c>
      <c r="P165" s="25" t="n">
        <f aca="false">N165*O165</f>
        <v>211.4</v>
      </c>
      <c r="Q165" s="23" t="s">
        <v>3855</v>
      </c>
      <c r="R165" s="23" t="s">
        <v>2804</v>
      </c>
      <c r="S165" s="24" t="n">
        <v>28</v>
      </c>
      <c r="T165" s="25" t="n">
        <v>7.55</v>
      </c>
      <c r="U165" s="25" t="n">
        <v>211.4</v>
      </c>
      <c r="V165" s="25" t="n">
        <f aca="false">P165-U165</f>
        <v>0</v>
      </c>
      <c r="W165" s="25" t="n">
        <f aca="false">V165*12</f>
        <v>0</v>
      </c>
      <c r="X165" s="23" t="str">
        <f aca="false">IF(Q165="","MISSING FROM EXPORT",IF(ABS(V165)&lt;0.005,"CLEAR",IF(V165&gt;0,"UNDERBILLING","OVERBILLING")))</f>
        <v>CLEAR</v>
      </c>
      <c r="Y165" s="25" t="n">
        <f aca="false">IF(F165="COMMERCIAL",ROUND(P165*0.35,2),0)</f>
        <v>0</v>
      </c>
      <c r="Z165" s="23" t="str">
        <f aca="false">IF(F165="COMMERCIAL","VERIFY SIGNED AGREEMENT","NO EXCEPTION")</f>
        <v>NO EXCEPTION</v>
      </c>
      <c r="AA165" s="23" t="str">
        <f aca="false">IF(AND(C165="covered",N165&gt;40),"COVERED &gt;40 FT","")</f>
        <v/>
      </c>
      <c r="AB165" s="23" t="s">
        <v>3856</v>
      </c>
      <c r="AC165" s="23" t="s">
        <v>3857</v>
      </c>
      <c r="AD165" s="23" t="s">
        <v>2807</v>
      </c>
    </row>
    <row r="166" customFormat="false" ht="17.9" hidden="false" customHeight="false" outlineLevel="0" collapsed="false">
      <c r="A166" s="20" t="s">
        <v>3858</v>
      </c>
      <c r="B166" s="20" t="s">
        <v>109</v>
      </c>
      <c r="C166" s="20" t="s">
        <v>2798</v>
      </c>
      <c r="D166" s="20" t="s">
        <v>1018</v>
      </c>
      <c r="E166" s="20" t="s">
        <v>1019</v>
      </c>
      <c r="F166" s="20" t="s">
        <v>2857</v>
      </c>
      <c r="G166" s="20" t="s">
        <v>3859</v>
      </c>
      <c r="H166" s="22" t="n">
        <v>61</v>
      </c>
      <c r="I166" s="22" t="n">
        <v>61</v>
      </c>
      <c r="J166" s="22" t="n">
        <f aca="false">H166-I166</f>
        <v>0</v>
      </c>
      <c r="K166" s="20" t="str">
        <f aca="false">IF(ABS(J166)&lt;0.001,"MATCH - PAPER CHECK-IN NOT SUPPLIED","DATA MISMATCH")</f>
        <v>MATCH - PAPER CHECK-IN NOT SUPPLIED</v>
      </c>
      <c r="L166" s="22" t="n">
        <v>70</v>
      </c>
      <c r="M166" s="22" t="n">
        <f aca="false">ROUNDUP(H166,0)</f>
        <v>61</v>
      </c>
      <c r="N166" s="24" t="n">
        <f aca="false">MAX(L166,M166)</f>
        <v>70</v>
      </c>
      <c r="O166" s="25" t="n">
        <v>7.55</v>
      </c>
      <c r="P166" s="25" t="n">
        <f aca="false">N166*O166</f>
        <v>528.5</v>
      </c>
      <c r="Q166" s="23" t="s">
        <v>3860</v>
      </c>
      <c r="R166" s="23" t="s">
        <v>2804</v>
      </c>
      <c r="S166" s="24" t="n">
        <v>70</v>
      </c>
      <c r="T166" s="25" t="n">
        <v>7.55</v>
      </c>
      <c r="U166" s="25" t="n">
        <v>528.5</v>
      </c>
      <c r="V166" s="25" t="n">
        <f aca="false">P166-U166</f>
        <v>0</v>
      </c>
      <c r="W166" s="25" t="n">
        <f aca="false">V166*12</f>
        <v>0</v>
      </c>
      <c r="X166" s="23" t="str">
        <f aca="false">IF(Q166="","MISSING FROM EXPORT",IF(ABS(V166)&lt;0.005,"CLEAR",IF(V166&gt;0,"UNDERBILLING","OVERBILLING")))</f>
        <v>CLEAR</v>
      </c>
      <c r="Y166" s="25" t="n">
        <f aca="false">IF(F166="COMMERCIAL",ROUND(P166*0.35,2),0)</f>
        <v>0</v>
      </c>
      <c r="Z166" s="23" t="str">
        <f aca="false">IF(F166="COMMERCIAL","VERIFY SIGNED AGREEMENT","NO EXCEPTION")</f>
        <v>NO EXCEPTION</v>
      </c>
      <c r="AA166" s="23" t="str">
        <f aca="false">IF(AND(C166="covered",N166&gt;40),"COVERED &gt;40 FT","")</f>
        <v/>
      </c>
      <c r="AB166" s="23" t="s">
        <v>3861</v>
      </c>
      <c r="AC166" s="23" t="s">
        <v>3862</v>
      </c>
      <c r="AD166" s="23" t="s">
        <v>2807</v>
      </c>
    </row>
    <row r="167" customFormat="false" ht="17.9" hidden="false" customHeight="false" outlineLevel="0" collapsed="false">
      <c r="A167" s="20" t="s">
        <v>3863</v>
      </c>
      <c r="B167" s="20" t="s">
        <v>109</v>
      </c>
      <c r="C167" s="20" t="s">
        <v>2798</v>
      </c>
      <c r="D167" s="20" t="s">
        <v>2555</v>
      </c>
      <c r="E167" s="20" t="s">
        <v>2556</v>
      </c>
      <c r="F167" s="20" t="s">
        <v>2833</v>
      </c>
      <c r="G167" s="20" t="s">
        <v>3864</v>
      </c>
      <c r="H167" s="22" t="n">
        <v>26.4</v>
      </c>
      <c r="I167" s="22" t="n">
        <v>26.4</v>
      </c>
      <c r="J167" s="22" t="n">
        <f aca="false">H167-I167</f>
        <v>0</v>
      </c>
      <c r="K167" s="20" t="str">
        <f aca="false">IF(ABS(J167)&lt;0.001,"MATCH - PAPER CHECK-IN NOT SUPPLIED","DATA MISMATCH")</f>
        <v>MATCH - PAPER CHECK-IN NOT SUPPLIED</v>
      </c>
      <c r="L167" s="22" t="n">
        <v>28</v>
      </c>
      <c r="M167" s="22" t="n">
        <f aca="false">ROUNDUP(H167,0)</f>
        <v>27</v>
      </c>
      <c r="N167" s="24" t="n">
        <f aca="false">MAX(L167,M167)</f>
        <v>28</v>
      </c>
      <c r="O167" s="25" t="n">
        <v>7.55</v>
      </c>
      <c r="P167" s="25" t="n">
        <f aca="false">N167*O167</f>
        <v>211.4</v>
      </c>
      <c r="Q167" s="23" t="s">
        <v>3865</v>
      </c>
      <c r="R167" s="23" t="s">
        <v>2804</v>
      </c>
      <c r="S167" s="24" t="n">
        <v>28</v>
      </c>
      <c r="T167" s="25" t="n">
        <v>7.55</v>
      </c>
      <c r="U167" s="25" t="n">
        <v>211.4</v>
      </c>
      <c r="V167" s="25" t="n">
        <f aca="false">P167-U167</f>
        <v>0</v>
      </c>
      <c r="W167" s="25" t="n">
        <f aca="false">V167*12</f>
        <v>0</v>
      </c>
      <c r="X167" s="23" t="str">
        <f aca="false">IF(Q167="","MISSING FROM EXPORT",IF(ABS(V167)&lt;0.005,"CLEAR",IF(V167&gt;0,"UNDERBILLING","OVERBILLING")))</f>
        <v>CLEAR</v>
      </c>
      <c r="Y167" s="25" t="n">
        <f aca="false">IF(F167="COMMERCIAL",ROUND(P167*0.35,2),0)</f>
        <v>0</v>
      </c>
      <c r="Z167" s="23" t="str">
        <f aca="false">IF(F167="COMMERCIAL","VERIFY SIGNED AGREEMENT","NO EXCEPTION")</f>
        <v>NO EXCEPTION</v>
      </c>
      <c r="AA167" s="23" t="str">
        <f aca="false">IF(AND(C167="covered",N167&gt;40),"COVERED &gt;40 FT","")</f>
        <v/>
      </c>
      <c r="AB167" s="23" t="s">
        <v>3866</v>
      </c>
      <c r="AC167" s="23" t="s">
        <v>3867</v>
      </c>
      <c r="AD167" s="23" t="s">
        <v>2807</v>
      </c>
    </row>
    <row r="168" customFormat="false" ht="17.9" hidden="false" customHeight="false" outlineLevel="0" collapsed="false">
      <c r="A168" s="20" t="s">
        <v>1580</v>
      </c>
      <c r="B168" s="20" t="s">
        <v>109</v>
      </c>
      <c r="C168" s="20" t="s">
        <v>2798</v>
      </c>
      <c r="D168" s="20" t="s">
        <v>3868</v>
      </c>
      <c r="E168" s="20" t="s">
        <v>3869</v>
      </c>
      <c r="F168" s="20" t="s">
        <v>2810</v>
      </c>
      <c r="G168" s="20" t="s">
        <v>3870</v>
      </c>
      <c r="H168" s="22" t="n">
        <v>54.3</v>
      </c>
      <c r="I168" s="22" t="n">
        <v>54.3</v>
      </c>
      <c r="J168" s="22" t="n">
        <f aca="false">H168-I168</f>
        <v>0</v>
      </c>
      <c r="K168" s="20" t="str">
        <f aca="false">IF(ABS(J168)&lt;0.001,"MATCH - PAPER CHECK-IN NOT SUPPLIED","DATA MISMATCH")</f>
        <v>MATCH - PAPER CHECK-IN NOT SUPPLIED</v>
      </c>
      <c r="L168" s="22" t="n">
        <v>45</v>
      </c>
      <c r="M168" s="22" t="n">
        <f aca="false">ROUNDUP(H168,0)</f>
        <v>55</v>
      </c>
      <c r="N168" s="24" t="n">
        <f aca="false">MAX(L168,M168)</f>
        <v>55</v>
      </c>
      <c r="O168" s="25" t="n">
        <v>7.55</v>
      </c>
      <c r="P168" s="25" t="n">
        <f aca="false">N168*O168</f>
        <v>415.25</v>
      </c>
      <c r="Q168" s="23" t="s">
        <v>3871</v>
      </c>
      <c r="R168" s="23" t="s">
        <v>2804</v>
      </c>
      <c r="S168" s="24" t="n">
        <v>55</v>
      </c>
      <c r="T168" s="25" t="n">
        <v>7.55</v>
      </c>
      <c r="U168" s="25" t="n">
        <v>415.25</v>
      </c>
      <c r="V168" s="25" t="n">
        <f aca="false">P168-U168</f>
        <v>0</v>
      </c>
      <c r="W168" s="25" t="n">
        <f aca="false">V168*12</f>
        <v>0</v>
      </c>
      <c r="X168" s="23" t="str">
        <f aca="false">IF(Q168="","MISSING FROM EXPORT",IF(ABS(V168)&lt;0.005,"CLEAR",IF(V168&gt;0,"UNDERBILLING","OVERBILLING")))</f>
        <v>CLEAR</v>
      </c>
      <c r="Y168" s="25" t="n">
        <f aca="false">IF(F168="COMMERCIAL",ROUND(P168*0.35,2),0)</f>
        <v>0</v>
      </c>
      <c r="Z168" s="23" t="str">
        <f aca="false">IF(F168="COMMERCIAL","VERIFY SIGNED AGREEMENT","NO EXCEPTION")</f>
        <v>NO EXCEPTION</v>
      </c>
      <c r="AA168" s="23" t="str">
        <f aca="false">IF(AND(C168="covered",N168&gt;40),"COVERED &gt;40 FT","")</f>
        <v/>
      </c>
      <c r="AB168" s="23" t="s">
        <v>3872</v>
      </c>
      <c r="AC168" s="23" t="s">
        <v>3873</v>
      </c>
      <c r="AD168" s="23" t="s">
        <v>2807</v>
      </c>
    </row>
    <row r="169" customFormat="false" ht="17.9" hidden="false" customHeight="false" outlineLevel="0" collapsed="false">
      <c r="A169" s="20" t="s">
        <v>495</v>
      </c>
      <c r="B169" s="20" t="s">
        <v>109</v>
      </c>
      <c r="C169" s="20" t="s">
        <v>2798</v>
      </c>
      <c r="D169" s="20" t="s">
        <v>3874</v>
      </c>
      <c r="E169" s="20" t="s">
        <v>3875</v>
      </c>
      <c r="F169" s="20" t="s">
        <v>2801</v>
      </c>
      <c r="G169" s="20" t="s">
        <v>3876</v>
      </c>
      <c r="H169" s="22" t="n">
        <v>30.1</v>
      </c>
      <c r="I169" s="22" t="n">
        <v>30.1</v>
      </c>
      <c r="J169" s="22" t="n">
        <f aca="false">H169-I169</f>
        <v>0</v>
      </c>
      <c r="K169" s="20" t="str">
        <f aca="false">IF(ABS(J169)&lt;0.001,"MATCH - PAPER CHECK-IN NOT SUPPLIED","DATA MISMATCH")</f>
        <v>MATCH - PAPER CHECK-IN NOT SUPPLIED</v>
      </c>
      <c r="L169" s="22" t="n">
        <v>40</v>
      </c>
      <c r="M169" s="22" t="n">
        <f aca="false">ROUNDUP(H169,0)</f>
        <v>31</v>
      </c>
      <c r="N169" s="24" t="n">
        <f aca="false">MAX(L169,M169)</f>
        <v>40</v>
      </c>
      <c r="O169" s="25" t="n">
        <v>7.55</v>
      </c>
      <c r="P169" s="25" t="n">
        <f aca="false">N169*O169</f>
        <v>302</v>
      </c>
      <c r="Q169" s="23" t="s">
        <v>3877</v>
      </c>
      <c r="R169" s="23" t="s">
        <v>2804</v>
      </c>
      <c r="S169" s="24" t="n">
        <v>40</v>
      </c>
      <c r="T169" s="25" t="n">
        <v>7.55</v>
      </c>
      <c r="U169" s="25" t="n">
        <v>302</v>
      </c>
      <c r="V169" s="25" t="n">
        <f aca="false">P169-U169</f>
        <v>0</v>
      </c>
      <c r="W169" s="25" t="n">
        <f aca="false">V169*12</f>
        <v>0</v>
      </c>
      <c r="X169" s="23" t="str">
        <f aca="false">IF(Q169="","MISSING FROM EXPORT",IF(ABS(V169)&lt;0.005,"CLEAR",IF(V169&gt;0,"UNDERBILLING","OVERBILLING")))</f>
        <v>CLEAR</v>
      </c>
      <c r="Y169" s="25" t="n">
        <f aca="false">IF(F169="COMMERCIAL",ROUND(P169*0.35,2),0)</f>
        <v>0</v>
      </c>
      <c r="Z169" s="23" t="str">
        <f aca="false">IF(F169="COMMERCIAL","VERIFY SIGNED AGREEMENT","NO EXCEPTION")</f>
        <v>NO EXCEPTION</v>
      </c>
      <c r="AA169" s="23" t="str">
        <f aca="false">IF(AND(C169="covered",N169&gt;40),"COVERED &gt;40 FT","")</f>
        <v/>
      </c>
      <c r="AB169" s="23" t="s">
        <v>3878</v>
      </c>
      <c r="AC169" s="23" t="s">
        <v>3879</v>
      </c>
      <c r="AD169" s="23" t="s">
        <v>2807</v>
      </c>
    </row>
    <row r="170" customFormat="false" ht="17.9" hidden="false" customHeight="false" outlineLevel="0" collapsed="false">
      <c r="A170" s="20" t="s">
        <v>3880</v>
      </c>
      <c r="B170" s="20" t="s">
        <v>109</v>
      </c>
      <c r="C170" s="20" t="s">
        <v>2798</v>
      </c>
      <c r="D170" s="20" t="s">
        <v>2680</v>
      </c>
      <c r="E170" s="20" t="s">
        <v>3881</v>
      </c>
      <c r="F170" s="20" t="s">
        <v>2801</v>
      </c>
      <c r="G170" s="20" t="s">
        <v>3882</v>
      </c>
      <c r="H170" s="22" t="n">
        <v>41.7</v>
      </c>
      <c r="I170" s="22" t="n">
        <v>41.7</v>
      </c>
      <c r="J170" s="22" t="n">
        <f aca="false">H170-I170</f>
        <v>0</v>
      </c>
      <c r="K170" s="20" t="str">
        <f aca="false">IF(ABS(J170)&lt;0.001,"MATCH - PAPER CHECK-IN NOT SUPPLIED","DATA MISMATCH")</f>
        <v>MATCH - PAPER CHECK-IN NOT SUPPLIED</v>
      </c>
      <c r="L170" s="22" t="n">
        <v>50</v>
      </c>
      <c r="M170" s="22" t="n">
        <f aca="false">ROUNDUP(H170,0)</f>
        <v>42</v>
      </c>
      <c r="N170" s="24" t="n">
        <f aca="false">MAX(L170,M170)</f>
        <v>50</v>
      </c>
      <c r="O170" s="25" t="n">
        <v>7.55</v>
      </c>
      <c r="P170" s="25" t="n">
        <f aca="false">N170*O170</f>
        <v>377.5</v>
      </c>
      <c r="Q170" s="23" t="s">
        <v>3883</v>
      </c>
      <c r="R170" s="23" t="s">
        <v>2804</v>
      </c>
      <c r="S170" s="24" t="n">
        <v>50</v>
      </c>
      <c r="T170" s="25" t="n">
        <v>7.55</v>
      </c>
      <c r="U170" s="25" t="n">
        <v>377.5</v>
      </c>
      <c r="V170" s="25" t="n">
        <f aca="false">P170-U170</f>
        <v>0</v>
      </c>
      <c r="W170" s="25" t="n">
        <f aca="false">V170*12</f>
        <v>0</v>
      </c>
      <c r="X170" s="23" t="str">
        <f aca="false">IF(Q170="","MISSING FROM EXPORT",IF(ABS(V170)&lt;0.005,"CLEAR",IF(V170&gt;0,"UNDERBILLING","OVERBILLING")))</f>
        <v>CLEAR</v>
      </c>
      <c r="Y170" s="25" t="n">
        <f aca="false">IF(F170="COMMERCIAL",ROUND(P170*0.35,2),0)</f>
        <v>0</v>
      </c>
      <c r="Z170" s="23" t="str">
        <f aca="false">IF(F170="COMMERCIAL","VERIFY SIGNED AGREEMENT","NO EXCEPTION")</f>
        <v>NO EXCEPTION</v>
      </c>
      <c r="AA170" s="23" t="str">
        <f aca="false">IF(AND(C170="covered",N170&gt;40),"COVERED &gt;40 FT","")</f>
        <v/>
      </c>
      <c r="AB170" s="23" t="s">
        <v>3884</v>
      </c>
      <c r="AC170" s="23" t="s">
        <v>3885</v>
      </c>
      <c r="AD170" s="23" t="s">
        <v>2807</v>
      </c>
    </row>
    <row r="171" customFormat="false" ht="17.9" hidden="false" customHeight="false" outlineLevel="0" collapsed="false">
      <c r="A171" s="20" t="s">
        <v>3886</v>
      </c>
      <c r="B171" s="20" t="s">
        <v>109</v>
      </c>
      <c r="C171" s="20" t="s">
        <v>2798</v>
      </c>
      <c r="D171" s="20" t="s">
        <v>1472</v>
      </c>
      <c r="E171" s="20" t="s">
        <v>1473</v>
      </c>
      <c r="F171" s="20" t="s">
        <v>2833</v>
      </c>
      <c r="G171" s="20" t="s">
        <v>3887</v>
      </c>
      <c r="H171" s="22" t="n">
        <v>39.4</v>
      </c>
      <c r="I171" s="22" t="n">
        <v>39.4</v>
      </c>
      <c r="J171" s="22" t="n">
        <f aca="false">H171-I171</f>
        <v>0</v>
      </c>
      <c r="K171" s="20" t="str">
        <f aca="false">IF(ABS(J171)&lt;0.001,"MATCH - PAPER CHECK-IN NOT SUPPLIED","DATA MISMATCH")</f>
        <v>MATCH - PAPER CHECK-IN NOT SUPPLIED</v>
      </c>
      <c r="L171" s="22" t="n">
        <v>80</v>
      </c>
      <c r="M171" s="22" t="n">
        <f aca="false">ROUNDUP(H171,0)</f>
        <v>40</v>
      </c>
      <c r="N171" s="24" t="n">
        <f aca="false">MAX(L171,M171)</f>
        <v>80</v>
      </c>
      <c r="O171" s="25" t="n">
        <v>7.55</v>
      </c>
      <c r="P171" s="25" t="n">
        <f aca="false">N171*O171</f>
        <v>604</v>
      </c>
      <c r="Q171" s="23" t="s">
        <v>3888</v>
      </c>
      <c r="R171" s="23" t="s">
        <v>2804</v>
      </c>
      <c r="S171" s="24" t="n">
        <v>80</v>
      </c>
      <c r="T171" s="25" t="n">
        <v>7.55</v>
      </c>
      <c r="U171" s="25" t="n">
        <v>604</v>
      </c>
      <c r="V171" s="25" t="n">
        <f aca="false">P171-U171</f>
        <v>0</v>
      </c>
      <c r="W171" s="25" t="n">
        <f aca="false">V171*12</f>
        <v>0</v>
      </c>
      <c r="X171" s="23" t="str">
        <f aca="false">IF(Q171="","MISSING FROM EXPORT",IF(ABS(V171)&lt;0.005,"CLEAR",IF(V171&gt;0,"UNDERBILLING","OVERBILLING")))</f>
        <v>CLEAR</v>
      </c>
      <c r="Y171" s="25" t="n">
        <f aca="false">IF(F171="COMMERCIAL",ROUND(P171*0.35,2),0)</f>
        <v>0</v>
      </c>
      <c r="Z171" s="23" t="str">
        <f aca="false">IF(F171="COMMERCIAL","VERIFY SIGNED AGREEMENT","NO EXCEPTION")</f>
        <v>NO EXCEPTION</v>
      </c>
      <c r="AA171" s="23" t="str">
        <f aca="false">IF(AND(C171="covered",N171&gt;40),"COVERED &gt;40 FT","")</f>
        <v/>
      </c>
      <c r="AB171" s="23" t="s">
        <v>3889</v>
      </c>
      <c r="AC171" s="23" t="s">
        <v>3890</v>
      </c>
      <c r="AD171" s="23" t="s">
        <v>2807</v>
      </c>
    </row>
    <row r="172" customFormat="false" ht="17.9" hidden="false" customHeight="false" outlineLevel="0" collapsed="false">
      <c r="A172" s="20" t="s">
        <v>3891</v>
      </c>
      <c r="B172" s="20" t="s">
        <v>109</v>
      </c>
      <c r="C172" s="20" t="s">
        <v>2798</v>
      </c>
      <c r="D172" s="20" t="s">
        <v>3892</v>
      </c>
      <c r="E172" s="20" t="s">
        <v>3893</v>
      </c>
      <c r="F172" s="20" t="s">
        <v>2934</v>
      </c>
      <c r="G172" s="20" t="s">
        <v>3894</v>
      </c>
      <c r="H172" s="22" t="n">
        <v>35.5</v>
      </c>
      <c r="I172" s="22" t="n">
        <v>35.5</v>
      </c>
      <c r="J172" s="22" t="n">
        <f aca="false">H172-I172</f>
        <v>0</v>
      </c>
      <c r="K172" s="20" t="str">
        <f aca="false">IF(ABS(J172)&lt;0.001,"MATCH - PAPER CHECK-IN NOT SUPPLIED","DATA MISMATCH")</f>
        <v>MATCH - PAPER CHECK-IN NOT SUPPLIED</v>
      </c>
      <c r="L172" s="22" t="n">
        <v>24</v>
      </c>
      <c r="M172" s="22" t="n">
        <f aca="false">ROUNDUP(H172,0)</f>
        <v>36</v>
      </c>
      <c r="N172" s="24" t="n">
        <f aca="false">MAX(L172,M172)</f>
        <v>36</v>
      </c>
      <c r="O172" s="25" t="n">
        <v>7.55</v>
      </c>
      <c r="P172" s="25" t="n">
        <f aca="false">N172*O172</f>
        <v>271.8</v>
      </c>
      <c r="Q172" s="23" t="s">
        <v>3895</v>
      </c>
      <c r="R172" s="23" t="s">
        <v>2804</v>
      </c>
      <c r="S172" s="24" t="n">
        <v>36</v>
      </c>
      <c r="T172" s="25" t="n">
        <v>7.55</v>
      </c>
      <c r="U172" s="25" t="n">
        <v>271.8</v>
      </c>
      <c r="V172" s="25" t="n">
        <f aca="false">P172-U172</f>
        <v>0</v>
      </c>
      <c r="W172" s="25" t="n">
        <f aca="false">V172*12</f>
        <v>0</v>
      </c>
      <c r="X172" s="23" t="str">
        <f aca="false">IF(Q172="","MISSING FROM EXPORT",IF(ABS(V172)&lt;0.005,"CLEAR",IF(V172&gt;0,"UNDERBILLING","OVERBILLING")))</f>
        <v>CLEAR</v>
      </c>
      <c r="Y172" s="25" t="n">
        <f aca="false">IF(F172="COMMERCIAL",ROUND(P172*0.35,2),0)</f>
        <v>95.13</v>
      </c>
      <c r="Z172" s="23" t="str">
        <f aca="false">IF(F172="COMMERCIAL","VERIFY SIGNED AGREEMENT","NO EXCEPTION")</f>
        <v>VERIFY SIGNED AGREEMENT</v>
      </c>
      <c r="AA172" s="23" t="str">
        <f aca="false">IF(AND(C172="covered",N172&gt;40),"COVERED &gt;40 FT","")</f>
        <v/>
      </c>
      <c r="AB172" s="23" t="s">
        <v>3896</v>
      </c>
      <c r="AC172" s="23" t="s">
        <v>3897</v>
      </c>
      <c r="AD172" s="23" t="s">
        <v>2807</v>
      </c>
    </row>
    <row r="173" customFormat="false" ht="17.9" hidden="false" customHeight="false" outlineLevel="0" collapsed="false">
      <c r="A173" s="20" t="s">
        <v>3898</v>
      </c>
      <c r="B173" s="20" t="s">
        <v>109</v>
      </c>
      <c r="C173" s="20" t="s">
        <v>2798</v>
      </c>
      <c r="D173" s="20" t="s">
        <v>3899</v>
      </c>
      <c r="E173" s="20" t="s">
        <v>3900</v>
      </c>
      <c r="F173" s="20" t="s">
        <v>2833</v>
      </c>
      <c r="G173" s="20" t="s">
        <v>3901</v>
      </c>
      <c r="H173" s="22" t="n">
        <v>54.1</v>
      </c>
      <c r="I173" s="22" t="n">
        <v>54.1</v>
      </c>
      <c r="J173" s="22" t="n">
        <f aca="false">H173-I173</f>
        <v>0</v>
      </c>
      <c r="K173" s="20" t="str">
        <f aca="false">IF(ABS(J173)&lt;0.001,"MATCH - PAPER CHECK-IN NOT SUPPLIED","DATA MISMATCH")</f>
        <v>MATCH - PAPER CHECK-IN NOT SUPPLIED</v>
      </c>
      <c r="L173" s="22" t="n">
        <v>32</v>
      </c>
      <c r="M173" s="22" t="n">
        <f aca="false">ROUNDUP(H173,0)</f>
        <v>55</v>
      </c>
      <c r="N173" s="24" t="n">
        <f aca="false">MAX(L173,M173)</f>
        <v>55</v>
      </c>
      <c r="O173" s="25" t="n">
        <v>7.55</v>
      </c>
      <c r="P173" s="25" t="n">
        <f aca="false">N173*O173</f>
        <v>415.25</v>
      </c>
      <c r="Q173" s="23" t="s">
        <v>3902</v>
      </c>
      <c r="R173" s="23" t="s">
        <v>2804</v>
      </c>
      <c r="S173" s="24" t="n">
        <v>55</v>
      </c>
      <c r="T173" s="25" t="n">
        <v>7.55</v>
      </c>
      <c r="U173" s="25" t="n">
        <v>415.25</v>
      </c>
      <c r="V173" s="25" t="n">
        <f aca="false">P173-U173</f>
        <v>0</v>
      </c>
      <c r="W173" s="25" t="n">
        <f aca="false">V173*12</f>
        <v>0</v>
      </c>
      <c r="X173" s="23" t="str">
        <f aca="false">IF(Q173="","MISSING FROM EXPORT",IF(ABS(V173)&lt;0.005,"CLEAR",IF(V173&gt;0,"UNDERBILLING","OVERBILLING")))</f>
        <v>CLEAR</v>
      </c>
      <c r="Y173" s="25" t="n">
        <f aca="false">IF(F173="COMMERCIAL",ROUND(P173*0.35,2),0)</f>
        <v>0</v>
      </c>
      <c r="Z173" s="23" t="str">
        <f aca="false">IF(F173="COMMERCIAL","VERIFY SIGNED AGREEMENT","NO EXCEPTION")</f>
        <v>NO EXCEPTION</v>
      </c>
      <c r="AA173" s="23" t="str">
        <f aca="false">IF(AND(C173="covered",N173&gt;40),"COVERED &gt;40 FT","")</f>
        <v/>
      </c>
      <c r="AB173" s="23" t="s">
        <v>3903</v>
      </c>
      <c r="AC173" s="23" t="s">
        <v>3904</v>
      </c>
      <c r="AD173" s="23" t="s">
        <v>2807</v>
      </c>
    </row>
    <row r="174" customFormat="false" ht="17.9" hidden="false" customHeight="false" outlineLevel="0" collapsed="false">
      <c r="A174" s="20" t="s">
        <v>1462</v>
      </c>
      <c r="B174" s="20" t="s">
        <v>109</v>
      </c>
      <c r="C174" s="20" t="s">
        <v>2798</v>
      </c>
      <c r="D174" s="20" t="s">
        <v>3905</v>
      </c>
      <c r="E174" s="20" t="s">
        <v>3906</v>
      </c>
      <c r="F174" s="20" t="s">
        <v>2833</v>
      </c>
      <c r="G174" s="20" t="s">
        <v>3907</v>
      </c>
      <c r="H174" s="22" t="n">
        <v>35</v>
      </c>
      <c r="I174" s="22" t="n">
        <v>35</v>
      </c>
      <c r="J174" s="22" t="n">
        <f aca="false">H174-I174</f>
        <v>0</v>
      </c>
      <c r="K174" s="20" t="str">
        <f aca="false">IF(ABS(J174)&lt;0.001,"MATCH - PAPER CHECK-IN NOT SUPPLIED","DATA MISMATCH")</f>
        <v>MATCH - PAPER CHECK-IN NOT SUPPLIED</v>
      </c>
      <c r="L174" s="22" t="n">
        <v>24</v>
      </c>
      <c r="M174" s="22" t="n">
        <f aca="false">ROUNDUP(H174,0)</f>
        <v>35</v>
      </c>
      <c r="N174" s="24" t="n">
        <f aca="false">MAX(L174,M174)</f>
        <v>35</v>
      </c>
      <c r="O174" s="25" t="n">
        <v>7.55</v>
      </c>
      <c r="P174" s="25" t="n">
        <f aca="false">N174*O174</f>
        <v>264.25</v>
      </c>
      <c r="Q174" s="23" t="s">
        <v>3908</v>
      </c>
      <c r="R174" s="23" t="s">
        <v>2804</v>
      </c>
      <c r="S174" s="24" t="n">
        <v>35</v>
      </c>
      <c r="T174" s="25" t="n">
        <v>7.55</v>
      </c>
      <c r="U174" s="25" t="n">
        <v>264.25</v>
      </c>
      <c r="V174" s="25" t="n">
        <f aca="false">P174-U174</f>
        <v>0</v>
      </c>
      <c r="W174" s="25" t="n">
        <f aca="false">V174*12</f>
        <v>0</v>
      </c>
      <c r="X174" s="23" t="str">
        <f aca="false">IF(Q174="","MISSING FROM EXPORT",IF(ABS(V174)&lt;0.005,"CLEAR",IF(V174&gt;0,"UNDERBILLING","OVERBILLING")))</f>
        <v>CLEAR</v>
      </c>
      <c r="Y174" s="25" t="n">
        <f aca="false">IF(F174="COMMERCIAL",ROUND(P174*0.35,2),0)</f>
        <v>0</v>
      </c>
      <c r="Z174" s="23" t="str">
        <f aca="false">IF(F174="COMMERCIAL","VERIFY SIGNED AGREEMENT","NO EXCEPTION")</f>
        <v>NO EXCEPTION</v>
      </c>
      <c r="AA174" s="23" t="str">
        <f aca="false">IF(AND(C174="covered",N174&gt;40),"COVERED &gt;40 FT","")</f>
        <v/>
      </c>
      <c r="AB174" s="23" t="s">
        <v>3909</v>
      </c>
      <c r="AC174" s="23" t="s">
        <v>3910</v>
      </c>
      <c r="AD174" s="23" t="s">
        <v>2807</v>
      </c>
    </row>
    <row r="175" customFormat="false" ht="17.9" hidden="false" customHeight="false" outlineLevel="0" collapsed="false">
      <c r="A175" s="20" t="s">
        <v>3911</v>
      </c>
      <c r="B175" s="20" t="s">
        <v>109</v>
      </c>
      <c r="C175" s="20" t="s">
        <v>2798</v>
      </c>
      <c r="D175" s="20" t="s">
        <v>3912</v>
      </c>
      <c r="E175" s="20" t="s">
        <v>3913</v>
      </c>
      <c r="F175" s="20" t="s">
        <v>2833</v>
      </c>
      <c r="G175" s="20" t="s">
        <v>3914</v>
      </c>
      <c r="H175" s="22" t="n">
        <v>28.5</v>
      </c>
      <c r="I175" s="22" t="n">
        <v>28.5</v>
      </c>
      <c r="J175" s="22" t="n">
        <f aca="false">H175-I175</f>
        <v>0</v>
      </c>
      <c r="K175" s="20" t="str">
        <f aca="false">IF(ABS(J175)&lt;0.001,"MATCH - PAPER CHECK-IN NOT SUPPLIED","DATA MISMATCH")</f>
        <v>MATCH - PAPER CHECK-IN NOT SUPPLIED</v>
      </c>
      <c r="L175" s="22" t="n">
        <v>40</v>
      </c>
      <c r="M175" s="22" t="n">
        <f aca="false">ROUNDUP(H175,0)</f>
        <v>29</v>
      </c>
      <c r="N175" s="24" t="n">
        <f aca="false">MAX(L175,M175)</f>
        <v>40</v>
      </c>
      <c r="O175" s="25" t="n">
        <v>7.55</v>
      </c>
      <c r="P175" s="25" t="n">
        <f aca="false">N175*O175</f>
        <v>302</v>
      </c>
      <c r="Q175" s="23" t="s">
        <v>3915</v>
      </c>
      <c r="R175" s="23" t="s">
        <v>2804</v>
      </c>
      <c r="S175" s="24" t="n">
        <v>40</v>
      </c>
      <c r="T175" s="25" t="n">
        <v>7.55</v>
      </c>
      <c r="U175" s="25" t="n">
        <v>302</v>
      </c>
      <c r="V175" s="25" t="n">
        <f aca="false">P175-U175</f>
        <v>0</v>
      </c>
      <c r="W175" s="25" t="n">
        <f aca="false">V175*12</f>
        <v>0</v>
      </c>
      <c r="X175" s="23" t="str">
        <f aca="false">IF(Q175="","MISSING FROM EXPORT",IF(ABS(V175)&lt;0.005,"CLEAR",IF(V175&gt;0,"UNDERBILLING","OVERBILLING")))</f>
        <v>CLEAR</v>
      </c>
      <c r="Y175" s="25" t="n">
        <f aca="false">IF(F175="COMMERCIAL",ROUND(P175*0.35,2),0)</f>
        <v>0</v>
      </c>
      <c r="Z175" s="23" t="str">
        <f aca="false">IF(F175="COMMERCIAL","VERIFY SIGNED AGREEMENT","NO EXCEPTION")</f>
        <v>NO EXCEPTION</v>
      </c>
      <c r="AA175" s="23" t="str">
        <f aca="false">IF(AND(C175="covered",N175&gt;40),"COVERED &gt;40 FT","")</f>
        <v/>
      </c>
      <c r="AB175" s="23" t="s">
        <v>3916</v>
      </c>
      <c r="AC175" s="23" t="s">
        <v>3917</v>
      </c>
      <c r="AD175" s="23" t="s">
        <v>2807</v>
      </c>
    </row>
    <row r="176" customFormat="false" ht="17.9" hidden="false" customHeight="false" outlineLevel="0" collapsed="false">
      <c r="A176" s="20" t="s">
        <v>3918</v>
      </c>
      <c r="B176" s="20" t="s">
        <v>109</v>
      </c>
      <c r="C176" s="20" t="s">
        <v>2798</v>
      </c>
      <c r="D176" s="20" t="s">
        <v>3919</v>
      </c>
      <c r="E176" s="20" t="s">
        <v>3920</v>
      </c>
      <c r="F176" s="20" t="s">
        <v>2818</v>
      </c>
      <c r="G176" s="20" t="s">
        <v>3921</v>
      </c>
      <c r="H176" s="22" t="n">
        <v>49.9</v>
      </c>
      <c r="I176" s="22" t="n">
        <v>49.9</v>
      </c>
      <c r="J176" s="22" t="n">
        <f aca="false">H176-I176</f>
        <v>0</v>
      </c>
      <c r="K176" s="20" t="str">
        <f aca="false">IF(ABS(J176)&lt;0.001,"MATCH - PAPER CHECK-IN NOT SUPPLIED","DATA MISMATCH")</f>
        <v>MATCH - PAPER CHECK-IN NOT SUPPLIED</v>
      </c>
      <c r="L176" s="22" t="n">
        <v>60</v>
      </c>
      <c r="M176" s="22" t="n">
        <f aca="false">ROUNDUP(H176,0)</f>
        <v>50</v>
      </c>
      <c r="N176" s="24" t="n">
        <f aca="false">MAX(L176,M176)</f>
        <v>60</v>
      </c>
      <c r="O176" s="25" t="n">
        <v>7.55</v>
      </c>
      <c r="P176" s="25" t="n">
        <f aca="false">N176*O176</f>
        <v>453</v>
      </c>
      <c r="Q176" s="23" t="s">
        <v>3922</v>
      </c>
      <c r="R176" s="23" t="s">
        <v>2804</v>
      </c>
      <c r="S176" s="24" t="n">
        <v>60</v>
      </c>
      <c r="T176" s="25" t="n">
        <v>7.55</v>
      </c>
      <c r="U176" s="25" t="n">
        <v>453</v>
      </c>
      <c r="V176" s="25" t="n">
        <f aca="false">P176-U176</f>
        <v>0</v>
      </c>
      <c r="W176" s="25" t="n">
        <f aca="false">V176*12</f>
        <v>0</v>
      </c>
      <c r="X176" s="23" t="str">
        <f aca="false">IF(Q176="","MISSING FROM EXPORT",IF(ABS(V176)&lt;0.005,"CLEAR",IF(V176&gt;0,"UNDERBILLING","OVERBILLING")))</f>
        <v>CLEAR</v>
      </c>
      <c r="Y176" s="25" t="n">
        <f aca="false">IF(F176="COMMERCIAL",ROUND(P176*0.35,2),0)</f>
        <v>0</v>
      </c>
      <c r="Z176" s="23" t="str">
        <f aca="false">IF(F176="COMMERCIAL","VERIFY SIGNED AGREEMENT","NO EXCEPTION")</f>
        <v>NO EXCEPTION</v>
      </c>
      <c r="AA176" s="23" t="str">
        <f aca="false">IF(AND(C176="covered",N176&gt;40),"COVERED &gt;40 FT","")</f>
        <v/>
      </c>
      <c r="AB176" s="23" t="s">
        <v>3923</v>
      </c>
      <c r="AC176" s="23" t="s">
        <v>3924</v>
      </c>
      <c r="AD176" s="23" t="s">
        <v>2807</v>
      </c>
    </row>
    <row r="177" customFormat="false" ht="17.9" hidden="false" customHeight="false" outlineLevel="0" collapsed="false">
      <c r="A177" s="20" t="s">
        <v>3925</v>
      </c>
      <c r="B177" s="20" t="s">
        <v>109</v>
      </c>
      <c r="C177" s="20" t="s">
        <v>2798</v>
      </c>
      <c r="D177" s="20" t="s">
        <v>3926</v>
      </c>
      <c r="E177" s="20" t="s">
        <v>3927</v>
      </c>
      <c r="F177" s="20" t="s">
        <v>2833</v>
      </c>
      <c r="G177" s="20" t="s">
        <v>3928</v>
      </c>
      <c r="H177" s="22" t="n">
        <v>54.2</v>
      </c>
      <c r="I177" s="22" t="n">
        <v>54.2</v>
      </c>
      <c r="J177" s="22" t="n">
        <f aca="false">H177-I177</f>
        <v>0</v>
      </c>
      <c r="K177" s="20" t="str">
        <f aca="false">IF(ABS(J177)&lt;0.001,"MATCH - PAPER CHECK-IN NOT SUPPLIED","DATA MISMATCH")</f>
        <v>MATCH - PAPER CHECK-IN NOT SUPPLIED</v>
      </c>
      <c r="L177" s="22" t="n">
        <v>32</v>
      </c>
      <c r="M177" s="22" t="n">
        <f aca="false">ROUNDUP(H177,0)</f>
        <v>55</v>
      </c>
      <c r="N177" s="24" t="n">
        <f aca="false">MAX(L177,M177)</f>
        <v>55</v>
      </c>
      <c r="O177" s="25" t="n">
        <v>7.55</v>
      </c>
      <c r="P177" s="25" t="n">
        <f aca="false">N177*O177</f>
        <v>415.25</v>
      </c>
      <c r="Q177" s="23" t="s">
        <v>3929</v>
      </c>
      <c r="R177" s="23" t="s">
        <v>2804</v>
      </c>
      <c r="S177" s="24" t="n">
        <v>55</v>
      </c>
      <c r="T177" s="25" t="n">
        <v>7.55</v>
      </c>
      <c r="U177" s="25" t="n">
        <v>415.25</v>
      </c>
      <c r="V177" s="25" t="n">
        <f aca="false">P177-U177</f>
        <v>0</v>
      </c>
      <c r="W177" s="25" t="n">
        <f aca="false">V177*12</f>
        <v>0</v>
      </c>
      <c r="X177" s="23" t="str">
        <f aca="false">IF(Q177="","MISSING FROM EXPORT",IF(ABS(V177)&lt;0.005,"CLEAR",IF(V177&gt;0,"UNDERBILLING","OVERBILLING")))</f>
        <v>CLEAR</v>
      </c>
      <c r="Y177" s="25" t="n">
        <f aca="false">IF(F177="COMMERCIAL",ROUND(P177*0.35,2),0)</f>
        <v>0</v>
      </c>
      <c r="Z177" s="23" t="str">
        <f aca="false">IF(F177="COMMERCIAL","VERIFY SIGNED AGREEMENT","NO EXCEPTION")</f>
        <v>NO EXCEPTION</v>
      </c>
      <c r="AA177" s="23" t="str">
        <f aca="false">IF(AND(C177="covered",N177&gt;40),"COVERED &gt;40 FT","")</f>
        <v/>
      </c>
      <c r="AB177" s="23" t="s">
        <v>3930</v>
      </c>
      <c r="AC177" s="23" t="s">
        <v>3931</v>
      </c>
      <c r="AD177" s="23" t="s">
        <v>2807</v>
      </c>
    </row>
    <row r="178" customFormat="false" ht="17.9" hidden="false" customHeight="false" outlineLevel="0" collapsed="false">
      <c r="A178" s="20" t="s">
        <v>3932</v>
      </c>
      <c r="B178" s="20" t="s">
        <v>109</v>
      </c>
      <c r="C178" s="20" t="s">
        <v>2798</v>
      </c>
      <c r="D178" s="20" t="s">
        <v>3933</v>
      </c>
      <c r="E178" s="20" t="s">
        <v>3934</v>
      </c>
      <c r="F178" s="20" t="s">
        <v>2833</v>
      </c>
      <c r="G178" s="20" t="s">
        <v>3935</v>
      </c>
      <c r="H178" s="22" t="n">
        <v>37.9</v>
      </c>
      <c r="I178" s="22" t="n">
        <v>37.9</v>
      </c>
      <c r="J178" s="22" t="n">
        <f aca="false">H178-I178</f>
        <v>0</v>
      </c>
      <c r="K178" s="20" t="str">
        <f aca="false">IF(ABS(J178)&lt;0.001,"MATCH - PAPER CHECK-IN NOT SUPPLIED","DATA MISMATCH")</f>
        <v>MATCH - PAPER CHECK-IN NOT SUPPLIED</v>
      </c>
      <c r="L178" s="22" t="n">
        <v>28</v>
      </c>
      <c r="M178" s="22" t="n">
        <f aca="false">ROUNDUP(H178,0)</f>
        <v>38</v>
      </c>
      <c r="N178" s="24" t="n">
        <f aca="false">MAX(L178,M178)</f>
        <v>38</v>
      </c>
      <c r="O178" s="25" t="n">
        <v>7.55</v>
      </c>
      <c r="P178" s="25" t="n">
        <f aca="false">N178*O178</f>
        <v>286.9</v>
      </c>
      <c r="Q178" s="23" t="s">
        <v>3936</v>
      </c>
      <c r="R178" s="23" t="s">
        <v>2804</v>
      </c>
      <c r="S178" s="24" t="n">
        <v>38</v>
      </c>
      <c r="T178" s="25" t="n">
        <v>7.55</v>
      </c>
      <c r="U178" s="25" t="n">
        <v>286.9</v>
      </c>
      <c r="V178" s="25" t="n">
        <f aca="false">P178-U178</f>
        <v>0</v>
      </c>
      <c r="W178" s="25" t="n">
        <f aca="false">V178*12</f>
        <v>0</v>
      </c>
      <c r="X178" s="23" t="str">
        <f aca="false">IF(Q178="","MISSING FROM EXPORT",IF(ABS(V178)&lt;0.005,"CLEAR",IF(V178&gt;0,"UNDERBILLING","OVERBILLING")))</f>
        <v>CLEAR</v>
      </c>
      <c r="Y178" s="25" t="n">
        <f aca="false">IF(F178="COMMERCIAL",ROUND(P178*0.35,2),0)</f>
        <v>0</v>
      </c>
      <c r="Z178" s="23" t="str">
        <f aca="false">IF(F178="COMMERCIAL","VERIFY SIGNED AGREEMENT","NO EXCEPTION")</f>
        <v>NO EXCEPTION</v>
      </c>
      <c r="AA178" s="23" t="str">
        <f aca="false">IF(AND(C178="covered",N178&gt;40),"COVERED &gt;40 FT","")</f>
        <v/>
      </c>
      <c r="AB178" s="23" t="s">
        <v>3937</v>
      </c>
      <c r="AC178" s="23" t="s">
        <v>3938</v>
      </c>
      <c r="AD178" s="23" t="s">
        <v>2807</v>
      </c>
    </row>
    <row r="179" customFormat="false" ht="17.9" hidden="false" customHeight="false" outlineLevel="0" collapsed="false">
      <c r="A179" s="20" t="s">
        <v>730</v>
      </c>
      <c r="B179" s="20" t="s">
        <v>109</v>
      </c>
      <c r="C179" s="20" t="s">
        <v>2798</v>
      </c>
      <c r="D179" s="20" t="s">
        <v>1836</v>
      </c>
      <c r="E179" s="20" t="s">
        <v>808</v>
      </c>
      <c r="F179" s="20" t="s">
        <v>2857</v>
      </c>
      <c r="G179" s="20" t="s">
        <v>3939</v>
      </c>
      <c r="H179" s="22" t="n">
        <v>46.8</v>
      </c>
      <c r="I179" s="22" t="n">
        <v>46.8</v>
      </c>
      <c r="J179" s="22" t="n">
        <f aca="false">H179-I179</f>
        <v>0</v>
      </c>
      <c r="K179" s="20" t="str">
        <f aca="false">IF(ABS(J179)&lt;0.001,"MATCH - PAPER CHECK-IN NOT SUPPLIED","DATA MISMATCH")</f>
        <v>MATCH - PAPER CHECK-IN NOT SUPPLIED</v>
      </c>
      <c r="L179" s="22" t="n">
        <v>80</v>
      </c>
      <c r="M179" s="22" t="n">
        <f aca="false">ROUNDUP(H179,0)</f>
        <v>47</v>
      </c>
      <c r="N179" s="24" t="n">
        <f aca="false">MAX(L179,M179)</f>
        <v>80</v>
      </c>
      <c r="O179" s="25" t="n">
        <v>7.55</v>
      </c>
      <c r="P179" s="25" t="n">
        <f aca="false">N179*O179</f>
        <v>604</v>
      </c>
      <c r="Q179" s="23" t="s">
        <v>3940</v>
      </c>
      <c r="R179" s="23" t="s">
        <v>2804</v>
      </c>
      <c r="S179" s="24" t="n">
        <v>80</v>
      </c>
      <c r="T179" s="25" t="n">
        <v>7.55</v>
      </c>
      <c r="U179" s="25" t="n">
        <v>604</v>
      </c>
      <c r="V179" s="25" t="n">
        <f aca="false">P179-U179</f>
        <v>0</v>
      </c>
      <c r="W179" s="25" t="n">
        <f aca="false">V179*12</f>
        <v>0</v>
      </c>
      <c r="X179" s="23" t="str">
        <f aca="false">IF(Q179="","MISSING FROM EXPORT",IF(ABS(V179)&lt;0.005,"CLEAR",IF(V179&gt;0,"UNDERBILLING","OVERBILLING")))</f>
        <v>CLEAR</v>
      </c>
      <c r="Y179" s="25" t="n">
        <f aca="false">IF(F179="COMMERCIAL",ROUND(P179*0.35,2),0)</f>
        <v>0</v>
      </c>
      <c r="Z179" s="23" t="str">
        <f aca="false">IF(F179="COMMERCIAL","VERIFY SIGNED AGREEMENT","NO EXCEPTION")</f>
        <v>NO EXCEPTION</v>
      </c>
      <c r="AA179" s="23" t="str">
        <f aca="false">IF(AND(C179="covered",N179&gt;40),"COVERED &gt;40 FT","")</f>
        <v/>
      </c>
      <c r="AB179" s="23" t="s">
        <v>3941</v>
      </c>
      <c r="AC179" s="23" t="s">
        <v>3942</v>
      </c>
      <c r="AD179" s="23" t="s">
        <v>2807</v>
      </c>
    </row>
    <row r="180" customFormat="false" ht="17.9" hidden="false" customHeight="false" outlineLevel="0" collapsed="false">
      <c r="A180" s="20" t="s">
        <v>3943</v>
      </c>
      <c r="B180" s="20" t="s">
        <v>109</v>
      </c>
      <c r="C180" s="20" t="s">
        <v>2798</v>
      </c>
      <c r="D180" s="20" t="s">
        <v>3944</v>
      </c>
      <c r="E180" s="20" t="s">
        <v>3945</v>
      </c>
      <c r="F180" s="20" t="s">
        <v>2818</v>
      </c>
      <c r="G180" s="20" t="s">
        <v>3946</v>
      </c>
      <c r="H180" s="22" t="n">
        <v>26.2</v>
      </c>
      <c r="I180" s="22" t="n">
        <v>26.2</v>
      </c>
      <c r="J180" s="22" t="n">
        <f aca="false">H180-I180</f>
        <v>0</v>
      </c>
      <c r="K180" s="20" t="str">
        <f aca="false">IF(ABS(J180)&lt;0.001,"MATCH - PAPER CHECK-IN NOT SUPPLIED","DATA MISMATCH")</f>
        <v>MATCH - PAPER CHECK-IN NOT SUPPLIED</v>
      </c>
      <c r="L180" s="22" t="n">
        <v>24</v>
      </c>
      <c r="M180" s="22" t="n">
        <f aca="false">ROUNDUP(H180,0)</f>
        <v>27</v>
      </c>
      <c r="N180" s="24" t="n">
        <f aca="false">MAX(L180,M180)</f>
        <v>27</v>
      </c>
      <c r="O180" s="25" t="n">
        <v>7.55</v>
      </c>
      <c r="P180" s="25" t="n">
        <f aca="false">N180*O180</f>
        <v>203.85</v>
      </c>
      <c r="Q180" s="23" t="s">
        <v>3947</v>
      </c>
      <c r="R180" s="23" t="s">
        <v>2804</v>
      </c>
      <c r="S180" s="24" t="n">
        <v>27</v>
      </c>
      <c r="T180" s="25" t="n">
        <v>7.55</v>
      </c>
      <c r="U180" s="25" t="n">
        <v>203.85</v>
      </c>
      <c r="V180" s="25" t="n">
        <f aca="false">P180-U180</f>
        <v>0</v>
      </c>
      <c r="W180" s="25" t="n">
        <f aca="false">V180*12</f>
        <v>0</v>
      </c>
      <c r="X180" s="23" t="str">
        <f aca="false">IF(Q180="","MISSING FROM EXPORT",IF(ABS(V180)&lt;0.005,"CLEAR",IF(V180&gt;0,"UNDERBILLING","OVERBILLING")))</f>
        <v>CLEAR</v>
      </c>
      <c r="Y180" s="25" t="n">
        <f aca="false">IF(F180="COMMERCIAL",ROUND(P180*0.35,2),0)</f>
        <v>0</v>
      </c>
      <c r="Z180" s="23" t="str">
        <f aca="false">IF(F180="COMMERCIAL","VERIFY SIGNED AGREEMENT","NO EXCEPTION")</f>
        <v>NO EXCEPTION</v>
      </c>
      <c r="AA180" s="23" t="str">
        <f aca="false">IF(AND(C180="covered",N180&gt;40),"COVERED &gt;40 FT","")</f>
        <v/>
      </c>
      <c r="AB180" s="23" t="s">
        <v>3948</v>
      </c>
      <c r="AC180" s="23" t="s">
        <v>3949</v>
      </c>
      <c r="AD180" s="23" t="s">
        <v>2807</v>
      </c>
    </row>
    <row r="181" customFormat="false" ht="17.9" hidden="false" customHeight="false" outlineLevel="0" collapsed="false">
      <c r="A181" s="20" t="s">
        <v>3950</v>
      </c>
      <c r="B181" s="20" t="s">
        <v>109</v>
      </c>
      <c r="C181" s="20" t="s">
        <v>2798</v>
      </c>
      <c r="D181" s="20" t="s">
        <v>3951</v>
      </c>
      <c r="E181" s="20" t="s">
        <v>3952</v>
      </c>
      <c r="F181" s="20" t="s">
        <v>2810</v>
      </c>
      <c r="G181" s="20" t="s">
        <v>3953</v>
      </c>
      <c r="H181" s="22" t="n">
        <v>38.3</v>
      </c>
      <c r="I181" s="22" t="n">
        <v>38.3</v>
      </c>
      <c r="J181" s="22" t="n">
        <f aca="false">H181-I181</f>
        <v>0</v>
      </c>
      <c r="K181" s="20" t="str">
        <f aca="false">IF(ABS(J181)&lt;0.001,"MATCH - PAPER CHECK-IN NOT SUPPLIED","DATA MISMATCH")</f>
        <v>MATCH - PAPER CHECK-IN NOT SUPPLIED</v>
      </c>
      <c r="L181" s="22" t="n">
        <v>45</v>
      </c>
      <c r="M181" s="22" t="n">
        <f aca="false">ROUNDUP(H181,0)</f>
        <v>39</v>
      </c>
      <c r="N181" s="24" t="n">
        <f aca="false">MAX(L181,M181)</f>
        <v>45</v>
      </c>
      <c r="O181" s="25" t="n">
        <v>7.55</v>
      </c>
      <c r="P181" s="25" t="n">
        <f aca="false">N181*O181</f>
        <v>339.75</v>
      </c>
      <c r="Q181" s="23" t="s">
        <v>3954</v>
      </c>
      <c r="R181" s="23" t="s">
        <v>2804</v>
      </c>
      <c r="S181" s="24" t="n">
        <v>45</v>
      </c>
      <c r="T181" s="25" t="n">
        <v>7.55</v>
      </c>
      <c r="U181" s="25" t="n">
        <v>339.75</v>
      </c>
      <c r="V181" s="25" t="n">
        <f aca="false">P181-U181</f>
        <v>0</v>
      </c>
      <c r="W181" s="25" t="n">
        <f aca="false">V181*12</f>
        <v>0</v>
      </c>
      <c r="X181" s="23" t="str">
        <f aca="false">IF(Q181="","MISSING FROM EXPORT",IF(ABS(V181)&lt;0.005,"CLEAR",IF(V181&gt;0,"UNDERBILLING","OVERBILLING")))</f>
        <v>CLEAR</v>
      </c>
      <c r="Y181" s="25" t="n">
        <f aca="false">IF(F181="COMMERCIAL",ROUND(P181*0.35,2),0)</f>
        <v>0</v>
      </c>
      <c r="Z181" s="23" t="str">
        <f aca="false">IF(F181="COMMERCIAL","VERIFY SIGNED AGREEMENT","NO EXCEPTION")</f>
        <v>NO EXCEPTION</v>
      </c>
      <c r="AA181" s="23" t="str">
        <f aca="false">IF(AND(C181="covered",N181&gt;40),"COVERED &gt;40 FT","")</f>
        <v/>
      </c>
      <c r="AB181" s="23" t="s">
        <v>3955</v>
      </c>
      <c r="AC181" s="23" t="s">
        <v>3956</v>
      </c>
      <c r="AD181" s="23" t="s">
        <v>2807</v>
      </c>
    </row>
    <row r="182" customFormat="false" ht="17.9" hidden="false" customHeight="false" outlineLevel="0" collapsed="false">
      <c r="A182" s="20" t="s">
        <v>3957</v>
      </c>
      <c r="B182" s="20" t="s">
        <v>109</v>
      </c>
      <c r="C182" s="20" t="s">
        <v>2798</v>
      </c>
      <c r="D182" s="20" t="s">
        <v>3958</v>
      </c>
      <c r="E182" s="20" t="s">
        <v>3959</v>
      </c>
      <c r="F182" s="20" t="s">
        <v>2833</v>
      </c>
      <c r="G182" s="20" t="s">
        <v>3960</v>
      </c>
      <c r="H182" s="22" t="n">
        <v>47</v>
      </c>
      <c r="I182" s="22" t="n">
        <v>47</v>
      </c>
      <c r="J182" s="22" t="n">
        <f aca="false">H182-I182</f>
        <v>0</v>
      </c>
      <c r="K182" s="20" t="str">
        <f aca="false">IF(ABS(J182)&lt;0.001,"MATCH - PAPER CHECK-IN NOT SUPPLIED","DATA MISMATCH")</f>
        <v>MATCH - PAPER CHECK-IN NOT SUPPLIED</v>
      </c>
      <c r="L182" s="22" t="n">
        <v>45</v>
      </c>
      <c r="M182" s="22" t="n">
        <f aca="false">ROUNDUP(H182,0)</f>
        <v>47</v>
      </c>
      <c r="N182" s="24" t="n">
        <f aca="false">MAX(L182,M182)</f>
        <v>47</v>
      </c>
      <c r="O182" s="25" t="n">
        <v>7.55</v>
      </c>
      <c r="P182" s="25" t="n">
        <f aca="false">N182*O182</f>
        <v>354.85</v>
      </c>
      <c r="Q182" s="23" t="s">
        <v>3961</v>
      </c>
      <c r="R182" s="23" t="s">
        <v>2804</v>
      </c>
      <c r="S182" s="24" t="n">
        <v>47</v>
      </c>
      <c r="T182" s="25" t="n">
        <v>7.55</v>
      </c>
      <c r="U182" s="25" t="n">
        <v>354.85</v>
      </c>
      <c r="V182" s="25" t="n">
        <f aca="false">P182-U182</f>
        <v>0</v>
      </c>
      <c r="W182" s="25" t="n">
        <f aca="false">V182*12</f>
        <v>0</v>
      </c>
      <c r="X182" s="23" t="str">
        <f aca="false">IF(Q182="","MISSING FROM EXPORT",IF(ABS(V182)&lt;0.005,"CLEAR",IF(V182&gt;0,"UNDERBILLING","OVERBILLING")))</f>
        <v>CLEAR</v>
      </c>
      <c r="Y182" s="25" t="n">
        <f aca="false">IF(F182="COMMERCIAL",ROUND(P182*0.35,2),0)</f>
        <v>0</v>
      </c>
      <c r="Z182" s="23" t="str">
        <f aca="false">IF(F182="COMMERCIAL","VERIFY SIGNED AGREEMENT","NO EXCEPTION")</f>
        <v>NO EXCEPTION</v>
      </c>
      <c r="AA182" s="23" t="str">
        <f aca="false">IF(AND(C182="covered",N182&gt;40),"COVERED &gt;40 FT","")</f>
        <v/>
      </c>
      <c r="AB182" s="23" t="s">
        <v>3962</v>
      </c>
      <c r="AC182" s="23" t="s">
        <v>3963</v>
      </c>
      <c r="AD182" s="23" t="s">
        <v>2807</v>
      </c>
    </row>
    <row r="183" customFormat="false" ht="17.9" hidden="false" customHeight="false" outlineLevel="0" collapsed="false">
      <c r="A183" s="20" t="s">
        <v>3964</v>
      </c>
      <c r="B183" s="20" t="s">
        <v>109</v>
      </c>
      <c r="C183" s="20" t="s">
        <v>2798</v>
      </c>
      <c r="D183" s="20" t="s">
        <v>3965</v>
      </c>
      <c r="E183" s="20" t="s">
        <v>3966</v>
      </c>
      <c r="F183" s="20" t="s">
        <v>2818</v>
      </c>
      <c r="G183" s="20" t="s">
        <v>3967</v>
      </c>
      <c r="H183" s="22" t="n">
        <v>58.9</v>
      </c>
      <c r="I183" s="22" t="n">
        <v>58.9</v>
      </c>
      <c r="J183" s="22" t="n">
        <f aca="false">H183-I183</f>
        <v>0</v>
      </c>
      <c r="K183" s="20" t="str">
        <f aca="false">IF(ABS(J183)&lt;0.001,"MATCH - PAPER CHECK-IN NOT SUPPLIED","DATA MISMATCH")</f>
        <v>MATCH - PAPER CHECK-IN NOT SUPPLIED</v>
      </c>
      <c r="L183" s="22" t="n">
        <v>80</v>
      </c>
      <c r="M183" s="22" t="n">
        <f aca="false">ROUNDUP(H183,0)</f>
        <v>59</v>
      </c>
      <c r="N183" s="24" t="n">
        <f aca="false">MAX(L183,M183)</f>
        <v>80</v>
      </c>
      <c r="O183" s="25" t="n">
        <v>7.55</v>
      </c>
      <c r="P183" s="25" t="n">
        <f aca="false">N183*O183</f>
        <v>604</v>
      </c>
      <c r="Q183" s="23" t="s">
        <v>3968</v>
      </c>
      <c r="R183" s="23" t="s">
        <v>2804</v>
      </c>
      <c r="S183" s="24" t="n">
        <v>80</v>
      </c>
      <c r="T183" s="25" t="n">
        <v>7.55</v>
      </c>
      <c r="U183" s="25" t="n">
        <v>604</v>
      </c>
      <c r="V183" s="25" t="n">
        <f aca="false">P183-U183</f>
        <v>0</v>
      </c>
      <c r="W183" s="25" t="n">
        <f aca="false">V183*12</f>
        <v>0</v>
      </c>
      <c r="X183" s="23" t="str">
        <f aca="false">IF(Q183="","MISSING FROM EXPORT",IF(ABS(V183)&lt;0.005,"CLEAR",IF(V183&gt;0,"UNDERBILLING","OVERBILLING")))</f>
        <v>CLEAR</v>
      </c>
      <c r="Y183" s="25" t="n">
        <f aca="false">IF(F183="COMMERCIAL",ROUND(P183*0.35,2),0)</f>
        <v>0</v>
      </c>
      <c r="Z183" s="23" t="str">
        <f aca="false">IF(F183="COMMERCIAL","VERIFY SIGNED AGREEMENT","NO EXCEPTION")</f>
        <v>NO EXCEPTION</v>
      </c>
      <c r="AA183" s="23" t="str">
        <f aca="false">IF(AND(C183="covered",N183&gt;40),"COVERED &gt;40 FT","")</f>
        <v/>
      </c>
      <c r="AB183" s="23" t="s">
        <v>3969</v>
      </c>
      <c r="AC183" s="23" t="s">
        <v>3970</v>
      </c>
      <c r="AD183" s="23" t="s">
        <v>2807</v>
      </c>
    </row>
    <row r="184" customFormat="false" ht="17.9" hidden="false" customHeight="false" outlineLevel="0" collapsed="false">
      <c r="A184" s="20" t="s">
        <v>3971</v>
      </c>
      <c r="B184" s="20" t="s">
        <v>109</v>
      </c>
      <c r="C184" s="20" t="s">
        <v>2798</v>
      </c>
      <c r="D184" s="20" t="s">
        <v>2019</v>
      </c>
      <c r="E184" s="20" t="s">
        <v>3972</v>
      </c>
      <c r="F184" s="20" t="s">
        <v>2810</v>
      </c>
      <c r="G184" s="20" t="s">
        <v>3973</v>
      </c>
      <c r="H184" s="22" t="n">
        <v>52</v>
      </c>
      <c r="I184" s="22" t="n">
        <v>52</v>
      </c>
      <c r="J184" s="22" t="n">
        <f aca="false">H184-I184</f>
        <v>0</v>
      </c>
      <c r="K184" s="20" t="str">
        <f aca="false">IF(ABS(J184)&lt;0.001,"MATCH - PAPER CHECK-IN NOT SUPPLIED","DATA MISMATCH")</f>
        <v>MATCH - PAPER CHECK-IN NOT SUPPLIED</v>
      </c>
      <c r="L184" s="22" t="n">
        <v>40</v>
      </c>
      <c r="M184" s="22" t="n">
        <f aca="false">ROUNDUP(H184,0)</f>
        <v>52</v>
      </c>
      <c r="N184" s="24" t="n">
        <f aca="false">MAX(L184,M184)</f>
        <v>52</v>
      </c>
      <c r="O184" s="25" t="n">
        <v>7.55</v>
      </c>
      <c r="P184" s="25" t="n">
        <f aca="false">N184*O184</f>
        <v>392.6</v>
      </c>
      <c r="Q184" s="23" t="s">
        <v>3974</v>
      </c>
      <c r="R184" s="23" t="s">
        <v>2804</v>
      </c>
      <c r="S184" s="24" t="n">
        <v>52</v>
      </c>
      <c r="T184" s="25" t="n">
        <v>7.55</v>
      </c>
      <c r="U184" s="25" t="n">
        <v>392.6</v>
      </c>
      <c r="V184" s="25" t="n">
        <f aca="false">P184-U184</f>
        <v>0</v>
      </c>
      <c r="W184" s="25" t="n">
        <f aca="false">V184*12</f>
        <v>0</v>
      </c>
      <c r="X184" s="23" t="str">
        <f aca="false">IF(Q184="","MISSING FROM EXPORT",IF(ABS(V184)&lt;0.005,"CLEAR",IF(V184&gt;0,"UNDERBILLING","OVERBILLING")))</f>
        <v>CLEAR</v>
      </c>
      <c r="Y184" s="25" t="n">
        <f aca="false">IF(F184="COMMERCIAL",ROUND(P184*0.35,2),0)</f>
        <v>0</v>
      </c>
      <c r="Z184" s="23" t="str">
        <f aca="false">IF(F184="COMMERCIAL","VERIFY SIGNED AGREEMENT","NO EXCEPTION")</f>
        <v>NO EXCEPTION</v>
      </c>
      <c r="AA184" s="23" t="str">
        <f aca="false">IF(AND(C184="covered",N184&gt;40),"COVERED &gt;40 FT","")</f>
        <v/>
      </c>
      <c r="AB184" s="23" t="s">
        <v>3975</v>
      </c>
      <c r="AC184" s="23" t="s">
        <v>3976</v>
      </c>
      <c r="AD184" s="23" t="s">
        <v>2807</v>
      </c>
    </row>
    <row r="185" customFormat="false" ht="17.9" hidden="false" customHeight="false" outlineLevel="0" collapsed="false">
      <c r="A185" s="20" t="s">
        <v>3977</v>
      </c>
      <c r="B185" s="20" t="s">
        <v>109</v>
      </c>
      <c r="C185" s="20" t="s">
        <v>2798</v>
      </c>
      <c r="D185" s="20" t="s">
        <v>3978</v>
      </c>
      <c r="E185" s="20" t="s">
        <v>3979</v>
      </c>
      <c r="F185" s="20" t="s">
        <v>2810</v>
      </c>
      <c r="G185" s="20" t="s">
        <v>3980</v>
      </c>
      <c r="H185" s="22" t="n">
        <v>34.8</v>
      </c>
      <c r="I185" s="22" t="n">
        <v>34.8</v>
      </c>
      <c r="J185" s="22" t="n">
        <f aca="false">H185-I185</f>
        <v>0</v>
      </c>
      <c r="K185" s="20" t="str">
        <f aca="false">IF(ABS(J185)&lt;0.001,"MATCH - PAPER CHECK-IN NOT SUPPLIED","DATA MISMATCH")</f>
        <v>MATCH - PAPER CHECK-IN NOT SUPPLIED</v>
      </c>
      <c r="L185" s="22" t="n">
        <v>40</v>
      </c>
      <c r="M185" s="22" t="n">
        <f aca="false">ROUNDUP(H185,0)</f>
        <v>35</v>
      </c>
      <c r="N185" s="24" t="n">
        <f aca="false">MAX(L185,M185)</f>
        <v>40</v>
      </c>
      <c r="O185" s="25" t="n">
        <v>7.55</v>
      </c>
      <c r="P185" s="25" t="n">
        <f aca="false">N185*O185</f>
        <v>302</v>
      </c>
      <c r="Q185" s="23" t="s">
        <v>3981</v>
      </c>
      <c r="R185" s="23" t="s">
        <v>2804</v>
      </c>
      <c r="S185" s="24" t="n">
        <v>40</v>
      </c>
      <c r="T185" s="25" t="n">
        <v>7.55</v>
      </c>
      <c r="U185" s="25" t="n">
        <v>302</v>
      </c>
      <c r="V185" s="25" t="n">
        <f aca="false">P185-U185</f>
        <v>0</v>
      </c>
      <c r="W185" s="25" t="n">
        <f aca="false">V185*12</f>
        <v>0</v>
      </c>
      <c r="X185" s="23" t="str">
        <f aca="false">IF(Q185="","MISSING FROM EXPORT",IF(ABS(V185)&lt;0.005,"CLEAR",IF(V185&gt;0,"UNDERBILLING","OVERBILLING")))</f>
        <v>CLEAR</v>
      </c>
      <c r="Y185" s="25" t="n">
        <f aca="false">IF(F185="COMMERCIAL",ROUND(P185*0.35,2),0)</f>
        <v>0</v>
      </c>
      <c r="Z185" s="23" t="str">
        <f aca="false">IF(F185="COMMERCIAL","VERIFY SIGNED AGREEMENT","NO EXCEPTION")</f>
        <v>NO EXCEPTION</v>
      </c>
      <c r="AA185" s="23" t="str">
        <f aca="false">IF(AND(C185="covered",N185&gt;40),"COVERED &gt;40 FT","")</f>
        <v/>
      </c>
      <c r="AB185" s="23" t="s">
        <v>3982</v>
      </c>
      <c r="AC185" s="23" t="s">
        <v>3983</v>
      </c>
      <c r="AD185" s="23" t="s">
        <v>2807</v>
      </c>
    </row>
    <row r="186" customFormat="false" ht="17.9" hidden="false" customHeight="false" outlineLevel="0" collapsed="false">
      <c r="A186" s="20" t="s">
        <v>1135</v>
      </c>
      <c r="B186" s="20" t="s">
        <v>109</v>
      </c>
      <c r="C186" s="20" t="s">
        <v>2798</v>
      </c>
      <c r="D186" s="20" t="s">
        <v>3984</v>
      </c>
      <c r="E186" s="20" t="s">
        <v>3985</v>
      </c>
      <c r="F186" s="20" t="s">
        <v>2869</v>
      </c>
      <c r="G186" s="20" t="s">
        <v>3986</v>
      </c>
      <c r="H186" s="22" t="n">
        <v>24.6</v>
      </c>
      <c r="I186" s="22" t="n">
        <v>24.6</v>
      </c>
      <c r="J186" s="22" t="n">
        <f aca="false">H186-I186</f>
        <v>0</v>
      </c>
      <c r="K186" s="20" t="str">
        <f aca="false">IF(ABS(J186)&lt;0.001,"MATCH - PAPER CHECK-IN NOT SUPPLIED","DATA MISMATCH")</f>
        <v>MATCH - PAPER CHECK-IN NOT SUPPLIED</v>
      </c>
      <c r="L186" s="22" t="n">
        <v>45</v>
      </c>
      <c r="M186" s="22" t="n">
        <f aca="false">ROUNDUP(H186,0)</f>
        <v>25</v>
      </c>
      <c r="N186" s="24" t="n">
        <f aca="false">MAX(L186,M186)</f>
        <v>45</v>
      </c>
      <c r="O186" s="25" t="n">
        <v>7.55</v>
      </c>
      <c r="P186" s="25" t="n">
        <f aca="false">N186*O186</f>
        <v>339.75</v>
      </c>
      <c r="Q186" s="23" t="s">
        <v>3987</v>
      </c>
      <c r="R186" s="23" t="s">
        <v>2804</v>
      </c>
      <c r="S186" s="24" t="n">
        <v>45</v>
      </c>
      <c r="T186" s="25" t="n">
        <v>7.55</v>
      </c>
      <c r="U186" s="25" t="n">
        <v>339.75</v>
      </c>
      <c r="V186" s="25" t="n">
        <f aca="false">P186-U186</f>
        <v>0</v>
      </c>
      <c r="W186" s="25" t="n">
        <f aca="false">V186*12</f>
        <v>0</v>
      </c>
      <c r="X186" s="23" t="str">
        <f aca="false">IF(Q186="","MISSING FROM EXPORT",IF(ABS(V186)&lt;0.005,"CLEAR",IF(V186&gt;0,"UNDERBILLING","OVERBILLING")))</f>
        <v>CLEAR</v>
      </c>
      <c r="Y186" s="25" t="n">
        <f aca="false">IF(F186="COMMERCIAL",ROUND(P186*0.35,2),0)</f>
        <v>0</v>
      </c>
      <c r="Z186" s="23" t="str">
        <f aca="false">IF(F186="COMMERCIAL","VERIFY SIGNED AGREEMENT","NO EXCEPTION")</f>
        <v>NO EXCEPTION</v>
      </c>
      <c r="AA186" s="23" t="str">
        <f aca="false">IF(AND(C186="covered",N186&gt;40),"COVERED &gt;40 FT","")</f>
        <v/>
      </c>
      <c r="AB186" s="23" t="s">
        <v>3988</v>
      </c>
      <c r="AC186" s="23" t="s">
        <v>3989</v>
      </c>
      <c r="AD186" s="23" t="s">
        <v>2807</v>
      </c>
    </row>
    <row r="187" customFormat="false" ht="17.9" hidden="false" customHeight="false" outlineLevel="0" collapsed="false">
      <c r="A187" s="20" t="s">
        <v>3990</v>
      </c>
      <c r="B187" s="20" t="s">
        <v>109</v>
      </c>
      <c r="C187" s="20" t="s">
        <v>2798</v>
      </c>
      <c r="D187" s="20" t="s">
        <v>2044</v>
      </c>
      <c r="E187" s="20" t="s">
        <v>2045</v>
      </c>
      <c r="F187" s="20" t="s">
        <v>2833</v>
      </c>
      <c r="G187" s="20" t="s">
        <v>3991</v>
      </c>
      <c r="H187" s="22" t="n">
        <v>53.7</v>
      </c>
      <c r="I187" s="22" t="n">
        <v>53.7</v>
      </c>
      <c r="J187" s="22" t="n">
        <f aca="false">H187-I187</f>
        <v>0</v>
      </c>
      <c r="K187" s="20" t="str">
        <f aca="false">IF(ABS(J187)&lt;0.001,"MATCH - PAPER CHECK-IN NOT SUPPLIED","DATA MISMATCH")</f>
        <v>MATCH - PAPER CHECK-IN NOT SUPPLIED</v>
      </c>
      <c r="L187" s="22" t="n">
        <v>70</v>
      </c>
      <c r="M187" s="22" t="n">
        <f aca="false">ROUNDUP(H187,0)</f>
        <v>54</v>
      </c>
      <c r="N187" s="24" t="n">
        <f aca="false">MAX(L187,M187)</f>
        <v>70</v>
      </c>
      <c r="O187" s="25" t="n">
        <v>7.55</v>
      </c>
      <c r="P187" s="25" t="n">
        <f aca="false">N187*O187</f>
        <v>528.5</v>
      </c>
      <c r="Q187" s="23" t="s">
        <v>3992</v>
      </c>
      <c r="R187" s="23" t="s">
        <v>2804</v>
      </c>
      <c r="S187" s="24" t="n">
        <v>70</v>
      </c>
      <c r="T187" s="25" t="n">
        <v>7.55</v>
      </c>
      <c r="U187" s="25" t="n">
        <v>528.5</v>
      </c>
      <c r="V187" s="25" t="n">
        <f aca="false">P187-U187</f>
        <v>0</v>
      </c>
      <c r="W187" s="25" t="n">
        <f aca="false">V187*12</f>
        <v>0</v>
      </c>
      <c r="X187" s="23" t="str">
        <f aca="false">IF(Q187="","MISSING FROM EXPORT",IF(ABS(V187)&lt;0.005,"CLEAR",IF(V187&gt;0,"UNDERBILLING","OVERBILLING")))</f>
        <v>CLEAR</v>
      </c>
      <c r="Y187" s="25" t="n">
        <f aca="false">IF(F187="COMMERCIAL",ROUND(P187*0.35,2),0)</f>
        <v>0</v>
      </c>
      <c r="Z187" s="23" t="str">
        <f aca="false">IF(F187="COMMERCIAL","VERIFY SIGNED AGREEMENT","NO EXCEPTION")</f>
        <v>NO EXCEPTION</v>
      </c>
      <c r="AA187" s="23" t="str">
        <f aca="false">IF(AND(C187="covered",N187&gt;40),"COVERED &gt;40 FT","")</f>
        <v/>
      </c>
      <c r="AB187" s="23" t="s">
        <v>3993</v>
      </c>
      <c r="AC187" s="23" t="s">
        <v>3994</v>
      </c>
      <c r="AD187" s="23" t="s">
        <v>2807</v>
      </c>
    </row>
    <row r="188" customFormat="false" ht="17.9" hidden="false" customHeight="false" outlineLevel="0" collapsed="false">
      <c r="A188" s="20" t="s">
        <v>3995</v>
      </c>
      <c r="B188" s="20" t="s">
        <v>109</v>
      </c>
      <c r="C188" s="20" t="s">
        <v>2798</v>
      </c>
      <c r="D188" s="20" t="s">
        <v>3996</v>
      </c>
      <c r="E188" s="20" t="s">
        <v>3997</v>
      </c>
      <c r="F188" s="20" t="s">
        <v>2833</v>
      </c>
      <c r="G188" s="20" t="s">
        <v>3998</v>
      </c>
      <c r="H188" s="22" t="n">
        <v>24</v>
      </c>
      <c r="I188" s="22" t="n">
        <v>24</v>
      </c>
      <c r="J188" s="22" t="n">
        <f aca="false">H188-I188</f>
        <v>0</v>
      </c>
      <c r="K188" s="20" t="str">
        <f aca="false">IF(ABS(J188)&lt;0.001,"MATCH - PAPER CHECK-IN NOT SUPPLIED","DATA MISMATCH")</f>
        <v>MATCH - PAPER CHECK-IN NOT SUPPLIED</v>
      </c>
      <c r="L188" s="22" t="n">
        <v>60</v>
      </c>
      <c r="M188" s="22" t="n">
        <f aca="false">ROUNDUP(H188,0)</f>
        <v>24</v>
      </c>
      <c r="N188" s="24" t="n">
        <f aca="false">MAX(L188,M188)</f>
        <v>60</v>
      </c>
      <c r="O188" s="25" t="n">
        <v>7.55</v>
      </c>
      <c r="P188" s="25" t="n">
        <f aca="false">N188*O188</f>
        <v>453</v>
      </c>
      <c r="Q188" s="23" t="s">
        <v>3999</v>
      </c>
      <c r="R188" s="23" t="s">
        <v>2804</v>
      </c>
      <c r="S188" s="24" t="n">
        <v>60</v>
      </c>
      <c r="T188" s="25" t="n">
        <v>7.55</v>
      </c>
      <c r="U188" s="25" t="n">
        <v>453</v>
      </c>
      <c r="V188" s="25" t="n">
        <f aca="false">P188-U188</f>
        <v>0</v>
      </c>
      <c r="W188" s="25" t="n">
        <f aca="false">V188*12</f>
        <v>0</v>
      </c>
      <c r="X188" s="23" t="str">
        <f aca="false">IF(Q188="","MISSING FROM EXPORT",IF(ABS(V188)&lt;0.005,"CLEAR",IF(V188&gt;0,"UNDERBILLING","OVERBILLING")))</f>
        <v>CLEAR</v>
      </c>
      <c r="Y188" s="25" t="n">
        <f aca="false">IF(F188="COMMERCIAL",ROUND(P188*0.35,2),0)</f>
        <v>0</v>
      </c>
      <c r="Z188" s="23" t="str">
        <f aca="false">IF(F188="COMMERCIAL","VERIFY SIGNED AGREEMENT","NO EXCEPTION")</f>
        <v>NO EXCEPTION</v>
      </c>
      <c r="AA188" s="23" t="str">
        <f aca="false">IF(AND(C188="covered",N188&gt;40),"COVERED &gt;40 FT","")</f>
        <v/>
      </c>
      <c r="AB188" s="23" t="s">
        <v>4000</v>
      </c>
      <c r="AC188" s="23" t="s">
        <v>4001</v>
      </c>
      <c r="AD188" s="23" t="s">
        <v>2807</v>
      </c>
    </row>
    <row r="189" customFormat="false" ht="17.9" hidden="false" customHeight="false" outlineLevel="0" collapsed="false">
      <c r="A189" s="20" t="s">
        <v>4002</v>
      </c>
      <c r="B189" s="20" t="s">
        <v>109</v>
      </c>
      <c r="C189" s="20" t="s">
        <v>2798</v>
      </c>
      <c r="D189" s="20" t="s">
        <v>4003</v>
      </c>
      <c r="E189" s="20" t="s">
        <v>4004</v>
      </c>
      <c r="F189" s="20" t="s">
        <v>2801</v>
      </c>
      <c r="G189" s="20" t="s">
        <v>4005</v>
      </c>
      <c r="H189" s="22" t="n">
        <v>47.4</v>
      </c>
      <c r="I189" s="22" t="n">
        <v>47.4</v>
      </c>
      <c r="J189" s="22" t="n">
        <f aca="false">H189-I189</f>
        <v>0</v>
      </c>
      <c r="K189" s="20" t="str">
        <f aca="false">IF(ABS(J189)&lt;0.001,"MATCH - PAPER CHECK-IN NOT SUPPLIED","DATA MISMATCH")</f>
        <v>MATCH - PAPER CHECK-IN NOT SUPPLIED</v>
      </c>
      <c r="L189" s="22" t="n">
        <v>70</v>
      </c>
      <c r="M189" s="22" t="n">
        <f aca="false">ROUNDUP(H189,0)</f>
        <v>48</v>
      </c>
      <c r="N189" s="24" t="n">
        <f aca="false">MAX(L189,M189)</f>
        <v>70</v>
      </c>
      <c r="O189" s="25" t="n">
        <v>7.55</v>
      </c>
      <c r="P189" s="25" t="n">
        <f aca="false">N189*O189</f>
        <v>528.5</v>
      </c>
      <c r="Q189" s="23" t="s">
        <v>4006</v>
      </c>
      <c r="R189" s="23" t="s">
        <v>2804</v>
      </c>
      <c r="S189" s="24" t="n">
        <v>70</v>
      </c>
      <c r="T189" s="25" t="n">
        <v>7.55</v>
      </c>
      <c r="U189" s="25" t="n">
        <v>528.5</v>
      </c>
      <c r="V189" s="25" t="n">
        <f aca="false">P189-U189</f>
        <v>0</v>
      </c>
      <c r="W189" s="25" t="n">
        <f aca="false">V189*12</f>
        <v>0</v>
      </c>
      <c r="X189" s="23" t="str">
        <f aca="false">IF(Q189="","MISSING FROM EXPORT",IF(ABS(V189)&lt;0.005,"CLEAR",IF(V189&gt;0,"UNDERBILLING","OVERBILLING")))</f>
        <v>CLEAR</v>
      </c>
      <c r="Y189" s="25" t="n">
        <f aca="false">IF(F189="COMMERCIAL",ROUND(P189*0.35,2),0)</f>
        <v>0</v>
      </c>
      <c r="Z189" s="23" t="str">
        <f aca="false">IF(F189="COMMERCIAL","VERIFY SIGNED AGREEMENT","NO EXCEPTION")</f>
        <v>NO EXCEPTION</v>
      </c>
      <c r="AA189" s="23" t="str">
        <f aca="false">IF(AND(C189="covered",N189&gt;40),"COVERED &gt;40 FT","")</f>
        <v/>
      </c>
      <c r="AB189" s="23" t="s">
        <v>4007</v>
      </c>
      <c r="AC189" s="23" t="s">
        <v>4008</v>
      </c>
      <c r="AD189" s="23" t="s">
        <v>2807</v>
      </c>
    </row>
    <row r="190" customFormat="false" ht="17.9" hidden="false" customHeight="false" outlineLevel="0" collapsed="false">
      <c r="A190" s="20" t="s">
        <v>4009</v>
      </c>
      <c r="B190" s="20" t="s">
        <v>109</v>
      </c>
      <c r="C190" s="20" t="s">
        <v>2798</v>
      </c>
      <c r="D190" s="20" t="s">
        <v>4010</v>
      </c>
      <c r="E190" s="20" t="s">
        <v>4011</v>
      </c>
      <c r="F190" s="20" t="s">
        <v>2833</v>
      </c>
      <c r="G190" s="20" t="s">
        <v>4012</v>
      </c>
      <c r="H190" s="22" t="n">
        <v>47.2</v>
      </c>
      <c r="I190" s="22" t="n">
        <v>47.2</v>
      </c>
      <c r="J190" s="22" t="n">
        <f aca="false">H190-I190</f>
        <v>0</v>
      </c>
      <c r="K190" s="20" t="str">
        <f aca="false">IF(ABS(J190)&lt;0.001,"MATCH - PAPER CHECK-IN NOT SUPPLIED","DATA MISMATCH")</f>
        <v>MATCH - PAPER CHECK-IN NOT SUPPLIED</v>
      </c>
      <c r="L190" s="22" t="n">
        <v>32</v>
      </c>
      <c r="M190" s="22" t="n">
        <f aca="false">ROUNDUP(H190,0)</f>
        <v>48</v>
      </c>
      <c r="N190" s="24" t="n">
        <f aca="false">MAX(L190,M190)</f>
        <v>48</v>
      </c>
      <c r="O190" s="25" t="n">
        <v>7.55</v>
      </c>
      <c r="P190" s="25" t="n">
        <f aca="false">N190*O190</f>
        <v>362.4</v>
      </c>
      <c r="Q190" s="23" t="s">
        <v>4013</v>
      </c>
      <c r="R190" s="23" t="s">
        <v>2804</v>
      </c>
      <c r="S190" s="24" t="n">
        <v>48</v>
      </c>
      <c r="T190" s="25" t="n">
        <v>7.55</v>
      </c>
      <c r="U190" s="25" t="n">
        <v>362.4</v>
      </c>
      <c r="V190" s="25" t="n">
        <f aca="false">P190-U190</f>
        <v>0</v>
      </c>
      <c r="W190" s="25" t="n">
        <f aca="false">V190*12</f>
        <v>0</v>
      </c>
      <c r="X190" s="23" t="str">
        <f aca="false">IF(Q190="","MISSING FROM EXPORT",IF(ABS(V190)&lt;0.005,"CLEAR",IF(V190&gt;0,"UNDERBILLING","OVERBILLING")))</f>
        <v>CLEAR</v>
      </c>
      <c r="Y190" s="25" t="n">
        <f aca="false">IF(F190="COMMERCIAL",ROUND(P190*0.35,2),0)</f>
        <v>0</v>
      </c>
      <c r="Z190" s="23" t="str">
        <f aca="false">IF(F190="COMMERCIAL","VERIFY SIGNED AGREEMENT","NO EXCEPTION")</f>
        <v>NO EXCEPTION</v>
      </c>
      <c r="AA190" s="23" t="str">
        <f aca="false">IF(AND(C190="covered",N190&gt;40),"COVERED &gt;40 FT","")</f>
        <v/>
      </c>
      <c r="AB190" s="23" t="s">
        <v>4014</v>
      </c>
      <c r="AC190" s="23" t="s">
        <v>4015</v>
      </c>
      <c r="AD190" s="23" t="s">
        <v>2807</v>
      </c>
    </row>
    <row r="191" customFormat="false" ht="17.9" hidden="false" customHeight="false" outlineLevel="0" collapsed="false">
      <c r="A191" s="20" t="s">
        <v>4016</v>
      </c>
      <c r="B191" s="20" t="s">
        <v>109</v>
      </c>
      <c r="C191" s="20" t="s">
        <v>2798</v>
      </c>
      <c r="D191" s="20" t="s">
        <v>4017</v>
      </c>
      <c r="E191" s="20" t="s">
        <v>4018</v>
      </c>
      <c r="F191" s="20" t="s">
        <v>2934</v>
      </c>
      <c r="G191" s="20" t="s">
        <v>4019</v>
      </c>
      <c r="H191" s="22" t="n">
        <v>25.3</v>
      </c>
      <c r="I191" s="22" t="n">
        <v>25.3</v>
      </c>
      <c r="J191" s="22" t="n">
        <f aca="false">H191-I191</f>
        <v>0</v>
      </c>
      <c r="K191" s="20" t="str">
        <f aca="false">IF(ABS(J191)&lt;0.001,"MATCH - PAPER CHECK-IN NOT SUPPLIED","DATA MISMATCH")</f>
        <v>MATCH - PAPER CHECK-IN NOT SUPPLIED</v>
      </c>
      <c r="L191" s="22" t="n">
        <v>28</v>
      </c>
      <c r="M191" s="22" t="n">
        <f aca="false">ROUNDUP(H191,0)</f>
        <v>26</v>
      </c>
      <c r="N191" s="24" t="n">
        <f aca="false">MAX(L191,M191)</f>
        <v>28</v>
      </c>
      <c r="O191" s="25" t="n">
        <v>7.55</v>
      </c>
      <c r="P191" s="25" t="n">
        <f aca="false">N191*O191</f>
        <v>211.4</v>
      </c>
      <c r="Q191" s="23" t="s">
        <v>4020</v>
      </c>
      <c r="R191" s="23" t="s">
        <v>2804</v>
      </c>
      <c r="S191" s="24" t="n">
        <v>28</v>
      </c>
      <c r="T191" s="25" t="n">
        <v>7.55</v>
      </c>
      <c r="U191" s="25" t="n">
        <v>211.4</v>
      </c>
      <c r="V191" s="25" t="n">
        <f aca="false">P191-U191</f>
        <v>0</v>
      </c>
      <c r="W191" s="25" t="n">
        <f aca="false">V191*12</f>
        <v>0</v>
      </c>
      <c r="X191" s="23" t="str">
        <f aca="false">IF(Q191="","MISSING FROM EXPORT",IF(ABS(V191)&lt;0.005,"CLEAR",IF(V191&gt;0,"UNDERBILLING","OVERBILLING")))</f>
        <v>CLEAR</v>
      </c>
      <c r="Y191" s="25" t="n">
        <f aca="false">IF(F191="COMMERCIAL",ROUND(P191*0.35,2),0)</f>
        <v>73.99</v>
      </c>
      <c r="Z191" s="23" t="str">
        <f aca="false">IF(F191="COMMERCIAL","VERIFY SIGNED AGREEMENT","NO EXCEPTION")</f>
        <v>VERIFY SIGNED AGREEMENT</v>
      </c>
      <c r="AA191" s="23" t="str">
        <f aca="false">IF(AND(C191="covered",N191&gt;40),"COVERED &gt;40 FT","")</f>
        <v/>
      </c>
      <c r="AB191" s="23" t="s">
        <v>4021</v>
      </c>
      <c r="AC191" s="23" t="s">
        <v>4022</v>
      </c>
      <c r="AD191" s="23" t="s">
        <v>2807</v>
      </c>
    </row>
    <row r="192" customFormat="false" ht="17.9" hidden="false" customHeight="false" outlineLevel="0" collapsed="false">
      <c r="A192" s="20" t="s">
        <v>4023</v>
      </c>
      <c r="B192" s="20" t="s">
        <v>109</v>
      </c>
      <c r="C192" s="20" t="s">
        <v>2798</v>
      </c>
      <c r="D192" s="20" t="s">
        <v>4024</v>
      </c>
      <c r="E192" s="20" t="s">
        <v>4025</v>
      </c>
      <c r="F192" s="20" t="s">
        <v>2818</v>
      </c>
      <c r="G192" s="20" t="s">
        <v>4026</v>
      </c>
      <c r="H192" s="22" t="n">
        <v>49.5</v>
      </c>
      <c r="I192" s="22" t="n">
        <v>49.5</v>
      </c>
      <c r="J192" s="22" t="n">
        <f aca="false">H192-I192</f>
        <v>0</v>
      </c>
      <c r="K192" s="20" t="str">
        <f aca="false">IF(ABS(J192)&lt;0.001,"MATCH - PAPER CHECK-IN NOT SUPPLIED","DATA MISMATCH")</f>
        <v>MATCH - PAPER CHECK-IN NOT SUPPLIED</v>
      </c>
      <c r="L192" s="22" t="n">
        <v>50</v>
      </c>
      <c r="M192" s="22" t="n">
        <f aca="false">ROUNDUP(H192,0)</f>
        <v>50</v>
      </c>
      <c r="N192" s="24" t="n">
        <f aca="false">MAX(L192,M192)</f>
        <v>50</v>
      </c>
      <c r="O192" s="25" t="n">
        <v>7.55</v>
      </c>
      <c r="P192" s="25" t="n">
        <f aca="false">N192*O192</f>
        <v>377.5</v>
      </c>
      <c r="Q192" s="23" t="s">
        <v>4027</v>
      </c>
      <c r="R192" s="23" t="s">
        <v>2804</v>
      </c>
      <c r="S192" s="24" t="n">
        <v>50</v>
      </c>
      <c r="T192" s="25" t="n">
        <v>7.55</v>
      </c>
      <c r="U192" s="25" t="n">
        <v>377.5</v>
      </c>
      <c r="V192" s="25" t="n">
        <f aca="false">P192-U192</f>
        <v>0</v>
      </c>
      <c r="W192" s="25" t="n">
        <f aca="false">V192*12</f>
        <v>0</v>
      </c>
      <c r="X192" s="23" t="str">
        <f aca="false">IF(Q192="","MISSING FROM EXPORT",IF(ABS(V192)&lt;0.005,"CLEAR",IF(V192&gt;0,"UNDERBILLING","OVERBILLING")))</f>
        <v>CLEAR</v>
      </c>
      <c r="Y192" s="25" t="n">
        <f aca="false">IF(F192="COMMERCIAL",ROUND(P192*0.35,2),0)</f>
        <v>0</v>
      </c>
      <c r="Z192" s="23" t="str">
        <f aca="false">IF(F192="COMMERCIAL","VERIFY SIGNED AGREEMENT","NO EXCEPTION")</f>
        <v>NO EXCEPTION</v>
      </c>
      <c r="AA192" s="23" t="str">
        <f aca="false">IF(AND(C192="covered",N192&gt;40),"COVERED &gt;40 FT","")</f>
        <v/>
      </c>
      <c r="AB192" s="23" t="s">
        <v>4028</v>
      </c>
      <c r="AC192" s="23" t="s">
        <v>4029</v>
      </c>
      <c r="AD192" s="23" t="s">
        <v>2807</v>
      </c>
    </row>
    <row r="193" customFormat="false" ht="17.9" hidden="false" customHeight="false" outlineLevel="0" collapsed="false">
      <c r="A193" s="20" t="s">
        <v>644</v>
      </c>
      <c r="B193" s="20" t="s">
        <v>109</v>
      </c>
      <c r="C193" s="20" t="s">
        <v>2798</v>
      </c>
      <c r="D193" s="20" t="s">
        <v>4030</v>
      </c>
      <c r="E193" s="20" t="s">
        <v>4031</v>
      </c>
      <c r="F193" s="20" t="s">
        <v>2898</v>
      </c>
      <c r="G193" s="20" t="s">
        <v>4032</v>
      </c>
      <c r="H193" s="22" t="n">
        <v>53.1</v>
      </c>
      <c r="I193" s="22" t="n">
        <v>53.1</v>
      </c>
      <c r="J193" s="22" t="n">
        <f aca="false">H193-I193</f>
        <v>0</v>
      </c>
      <c r="K193" s="20" t="str">
        <f aca="false">IF(ABS(J193)&lt;0.001,"MATCH - PAPER CHECK-IN NOT SUPPLIED","DATA MISMATCH")</f>
        <v>MATCH - PAPER CHECK-IN NOT SUPPLIED</v>
      </c>
      <c r="L193" s="22" t="n">
        <v>24</v>
      </c>
      <c r="M193" s="22" t="n">
        <f aca="false">ROUNDUP(H193,0)</f>
        <v>54</v>
      </c>
      <c r="N193" s="24" t="n">
        <f aca="false">MAX(L193,M193)</f>
        <v>54</v>
      </c>
      <c r="O193" s="25" t="n">
        <v>7.55</v>
      </c>
      <c r="P193" s="25" t="n">
        <f aca="false">N193*O193</f>
        <v>407.7</v>
      </c>
      <c r="Q193" s="23" t="s">
        <v>4033</v>
      </c>
      <c r="R193" s="23" t="s">
        <v>2804</v>
      </c>
      <c r="S193" s="24" t="n">
        <v>54</v>
      </c>
      <c r="T193" s="25" t="n">
        <v>7.55</v>
      </c>
      <c r="U193" s="25" t="n">
        <v>407.7</v>
      </c>
      <c r="V193" s="25" t="n">
        <f aca="false">P193-U193</f>
        <v>0</v>
      </c>
      <c r="W193" s="25" t="n">
        <f aca="false">V193*12</f>
        <v>0</v>
      </c>
      <c r="X193" s="23" t="str">
        <f aca="false">IF(Q193="","MISSING FROM EXPORT",IF(ABS(V193)&lt;0.005,"CLEAR",IF(V193&gt;0,"UNDERBILLING","OVERBILLING")))</f>
        <v>CLEAR</v>
      </c>
      <c r="Y193" s="25" t="n">
        <f aca="false">IF(F193="COMMERCIAL",ROUND(P193*0.35,2),0)</f>
        <v>0</v>
      </c>
      <c r="Z193" s="23" t="str">
        <f aca="false">IF(F193="COMMERCIAL","VERIFY SIGNED AGREEMENT","NO EXCEPTION")</f>
        <v>NO EXCEPTION</v>
      </c>
      <c r="AA193" s="23" t="str">
        <f aca="false">IF(AND(C193="covered",N193&gt;40),"COVERED &gt;40 FT","")</f>
        <v/>
      </c>
      <c r="AB193" s="23" t="s">
        <v>4034</v>
      </c>
      <c r="AC193" s="23" t="s">
        <v>4035</v>
      </c>
      <c r="AD193" s="23" t="s">
        <v>2807</v>
      </c>
    </row>
    <row r="194" customFormat="false" ht="17.9" hidden="false" customHeight="false" outlineLevel="0" collapsed="false">
      <c r="A194" s="20" t="s">
        <v>4036</v>
      </c>
      <c r="B194" s="20" t="s">
        <v>109</v>
      </c>
      <c r="C194" s="20" t="s">
        <v>2798</v>
      </c>
      <c r="D194" s="20" t="s">
        <v>4037</v>
      </c>
      <c r="E194" s="20" t="s">
        <v>4038</v>
      </c>
      <c r="F194" s="20" t="s">
        <v>2857</v>
      </c>
      <c r="G194" s="20" t="s">
        <v>4039</v>
      </c>
      <c r="H194" s="22" t="n">
        <v>48.6</v>
      </c>
      <c r="I194" s="22" t="n">
        <v>48.6</v>
      </c>
      <c r="J194" s="22" t="n">
        <f aca="false">H194-I194</f>
        <v>0</v>
      </c>
      <c r="K194" s="20" t="str">
        <f aca="false">IF(ABS(J194)&lt;0.001,"MATCH - PAPER CHECK-IN NOT SUPPLIED","DATA MISMATCH")</f>
        <v>MATCH - PAPER CHECK-IN NOT SUPPLIED</v>
      </c>
      <c r="L194" s="22" t="n">
        <v>24</v>
      </c>
      <c r="M194" s="22" t="n">
        <f aca="false">ROUNDUP(H194,0)</f>
        <v>49</v>
      </c>
      <c r="N194" s="24" t="n">
        <f aca="false">MAX(L194,M194)</f>
        <v>49</v>
      </c>
      <c r="O194" s="25" t="n">
        <v>7.55</v>
      </c>
      <c r="P194" s="25" t="n">
        <f aca="false">N194*O194</f>
        <v>369.95</v>
      </c>
      <c r="Q194" s="23" t="s">
        <v>4040</v>
      </c>
      <c r="R194" s="23" t="s">
        <v>2804</v>
      </c>
      <c r="S194" s="24" t="n">
        <v>49</v>
      </c>
      <c r="T194" s="25" t="n">
        <v>7.55</v>
      </c>
      <c r="U194" s="25" t="n">
        <v>369.95</v>
      </c>
      <c r="V194" s="25" t="n">
        <f aca="false">P194-U194</f>
        <v>0</v>
      </c>
      <c r="W194" s="25" t="n">
        <f aca="false">V194*12</f>
        <v>0</v>
      </c>
      <c r="X194" s="23" t="str">
        <f aca="false">IF(Q194="","MISSING FROM EXPORT",IF(ABS(V194)&lt;0.005,"CLEAR",IF(V194&gt;0,"UNDERBILLING","OVERBILLING")))</f>
        <v>CLEAR</v>
      </c>
      <c r="Y194" s="25" t="n">
        <f aca="false">IF(F194="COMMERCIAL",ROUND(P194*0.35,2),0)</f>
        <v>0</v>
      </c>
      <c r="Z194" s="23" t="str">
        <f aca="false">IF(F194="COMMERCIAL","VERIFY SIGNED AGREEMENT","NO EXCEPTION")</f>
        <v>NO EXCEPTION</v>
      </c>
      <c r="AA194" s="23" t="str">
        <f aca="false">IF(AND(C194="covered",N194&gt;40),"COVERED &gt;40 FT","")</f>
        <v/>
      </c>
      <c r="AB194" s="23" t="s">
        <v>4041</v>
      </c>
      <c r="AC194" s="23" t="s">
        <v>4042</v>
      </c>
      <c r="AD194" s="23" t="s">
        <v>2807</v>
      </c>
    </row>
    <row r="195" customFormat="false" ht="17.9" hidden="false" customHeight="false" outlineLevel="0" collapsed="false">
      <c r="A195" s="20" t="s">
        <v>4043</v>
      </c>
      <c r="B195" s="20" t="s">
        <v>109</v>
      </c>
      <c r="C195" s="20" t="s">
        <v>2798</v>
      </c>
      <c r="D195" s="20" t="s">
        <v>4044</v>
      </c>
      <c r="E195" s="20" t="s">
        <v>4045</v>
      </c>
      <c r="F195" s="20" t="s">
        <v>2869</v>
      </c>
      <c r="G195" s="20" t="s">
        <v>4046</v>
      </c>
      <c r="H195" s="22" t="n">
        <v>29.8</v>
      </c>
      <c r="I195" s="22" t="n">
        <v>29.8</v>
      </c>
      <c r="J195" s="22" t="n">
        <f aca="false">H195-I195</f>
        <v>0</v>
      </c>
      <c r="K195" s="20" t="str">
        <f aca="false">IF(ABS(J195)&lt;0.001,"MATCH - PAPER CHECK-IN NOT SUPPLIED","DATA MISMATCH")</f>
        <v>MATCH - PAPER CHECK-IN NOT SUPPLIED</v>
      </c>
      <c r="L195" s="22" t="n">
        <v>24</v>
      </c>
      <c r="M195" s="22" t="n">
        <f aca="false">ROUNDUP(H195,0)</f>
        <v>30</v>
      </c>
      <c r="N195" s="24" t="n">
        <f aca="false">MAX(L195,M195)</f>
        <v>30</v>
      </c>
      <c r="O195" s="25" t="n">
        <v>7.55</v>
      </c>
      <c r="P195" s="25" t="n">
        <f aca="false">N195*O195</f>
        <v>226.5</v>
      </c>
      <c r="Q195" s="23" t="s">
        <v>4047</v>
      </c>
      <c r="R195" s="23" t="s">
        <v>2804</v>
      </c>
      <c r="S195" s="24" t="n">
        <v>30</v>
      </c>
      <c r="T195" s="25" t="n">
        <v>7.55</v>
      </c>
      <c r="U195" s="25" t="n">
        <v>226.5</v>
      </c>
      <c r="V195" s="25" t="n">
        <f aca="false">P195-U195</f>
        <v>0</v>
      </c>
      <c r="W195" s="25" t="n">
        <f aca="false">V195*12</f>
        <v>0</v>
      </c>
      <c r="X195" s="23" t="str">
        <f aca="false">IF(Q195="","MISSING FROM EXPORT",IF(ABS(V195)&lt;0.005,"CLEAR",IF(V195&gt;0,"UNDERBILLING","OVERBILLING")))</f>
        <v>CLEAR</v>
      </c>
      <c r="Y195" s="25" t="n">
        <f aca="false">IF(F195="COMMERCIAL",ROUND(P195*0.35,2),0)</f>
        <v>0</v>
      </c>
      <c r="Z195" s="23" t="str">
        <f aca="false">IF(F195="COMMERCIAL","VERIFY SIGNED AGREEMENT","NO EXCEPTION")</f>
        <v>NO EXCEPTION</v>
      </c>
      <c r="AA195" s="23" t="str">
        <f aca="false">IF(AND(C195="covered",N195&gt;40),"COVERED &gt;40 FT","")</f>
        <v/>
      </c>
      <c r="AB195" s="23" t="s">
        <v>4048</v>
      </c>
      <c r="AC195" s="23" t="s">
        <v>4049</v>
      </c>
      <c r="AD195" s="23" t="s">
        <v>2807</v>
      </c>
    </row>
    <row r="196" customFormat="false" ht="17.9" hidden="false" customHeight="false" outlineLevel="0" collapsed="false">
      <c r="A196" s="20" t="s">
        <v>4050</v>
      </c>
      <c r="B196" s="20" t="s">
        <v>109</v>
      </c>
      <c r="C196" s="20" t="s">
        <v>2798</v>
      </c>
      <c r="D196" s="20" t="s">
        <v>4051</v>
      </c>
      <c r="E196" s="20" t="s">
        <v>4052</v>
      </c>
      <c r="F196" s="20" t="s">
        <v>2833</v>
      </c>
      <c r="G196" s="20" t="s">
        <v>4053</v>
      </c>
      <c r="H196" s="22" t="n">
        <v>61.3</v>
      </c>
      <c r="I196" s="22" t="n">
        <v>61.3</v>
      </c>
      <c r="J196" s="22" t="n">
        <f aca="false">H196-I196</f>
        <v>0</v>
      </c>
      <c r="K196" s="20" t="str">
        <f aca="false">IF(ABS(J196)&lt;0.001,"MATCH - PAPER CHECK-IN NOT SUPPLIED","DATA MISMATCH")</f>
        <v>MATCH - PAPER CHECK-IN NOT SUPPLIED</v>
      </c>
      <c r="L196" s="22" t="n">
        <v>28</v>
      </c>
      <c r="M196" s="22" t="n">
        <f aca="false">ROUNDUP(H196,0)</f>
        <v>62</v>
      </c>
      <c r="N196" s="24" t="n">
        <f aca="false">MAX(L196,M196)</f>
        <v>62</v>
      </c>
      <c r="O196" s="25" t="n">
        <v>7.55</v>
      </c>
      <c r="P196" s="25" t="n">
        <f aca="false">N196*O196</f>
        <v>468.1</v>
      </c>
      <c r="Q196" s="23" t="s">
        <v>4054</v>
      </c>
      <c r="R196" s="23" t="s">
        <v>2804</v>
      </c>
      <c r="S196" s="24" t="n">
        <v>62</v>
      </c>
      <c r="T196" s="25" t="n">
        <v>7.55</v>
      </c>
      <c r="U196" s="25" t="n">
        <v>468.1</v>
      </c>
      <c r="V196" s="25" t="n">
        <f aca="false">P196-U196</f>
        <v>0</v>
      </c>
      <c r="W196" s="25" t="n">
        <f aca="false">V196*12</f>
        <v>0</v>
      </c>
      <c r="X196" s="23" t="str">
        <f aca="false">IF(Q196="","MISSING FROM EXPORT",IF(ABS(V196)&lt;0.005,"CLEAR",IF(V196&gt;0,"UNDERBILLING","OVERBILLING")))</f>
        <v>CLEAR</v>
      </c>
      <c r="Y196" s="25" t="n">
        <f aca="false">IF(F196="COMMERCIAL",ROUND(P196*0.35,2),0)</f>
        <v>0</v>
      </c>
      <c r="Z196" s="23" t="str">
        <f aca="false">IF(F196="COMMERCIAL","VERIFY SIGNED AGREEMENT","NO EXCEPTION")</f>
        <v>NO EXCEPTION</v>
      </c>
      <c r="AA196" s="23" t="str">
        <f aca="false">IF(AND(C196="covered",N196&gt;40),"COVERED &gt;40 FT","")</f>
        <v/>
      </c>
      <c r="AB196" s="23" t="s">
        <v>4055</v>
      </c>
      <c r="AC196" s="23" t="s">
        <v>4056</v>
      </c>
      <c r="AD196" s="23" t="s">
        <v>2807</v>
      </c>
    </row>
    <row r="197" customFormat="false" ht="17.9" hidden="false" customHeight="false" outlineLevel="0" collapsed="false">
      <c r="A197" s="20" t="s">
        <v>4057</v>
      </c>
      <c r="B197" s="20" t="s">
        <v>109</v>
      </c>
      <c r="C197" s="20" t="s">
        <v>2798</v>
      </c>
      <c r="D197" s="20" t="s">
        <v>4058</v>
      </c>
      <c r="E197" s="20" t="s">
        <v>4059</v>
      </c>
      <c r="F197" s="20" t="s">
        <v>2857</v>
      </c>
      <c r="G197" s="20" t="s">
        <v>4060</v>
      </c>
      <c r="H197" s="22" t="n">
        <v>51.4</v>
      </c>
      <c r="I197" s="22" t="n">
        <v>51.4</v>
      </c>
      <c r="J197" s="22" t="n">
        <f aca="false">H197-I197</f>
        <v>0</v>
      </c>
      <c r="K197" s="20" t="str">
        <f aca="false">IF(ABS(J197)&lt;0.001,"MATCH - PAPER CHECK-IN NOT SUPPLIED","DATA MISMATCH")</f>
        <v>MATCH - PAPER CHECK-IN NOT SUPPLIED</v>
      </c>
      <c r="L197" s="22" t="n">
        <v>40</v>
      </c>
      <c r="M197" s="22" t="n">
        <f aca="false">ROUNDUP(H197,0)</f>
        <v>52</v>
      </c>
      <c r="N197" s="24" t="n">
        <f aca="false">MAX(L197,M197)</f>
        <v>52</v>
      </c>
      <c r="O197" s="25" t="n">
        <v>7.55</v>
      </c>
      <c r="P197" s="25" t="n">
        <f aca="false">N197*O197</f>
        <v>392.6</v>
      </c>
      <c r="Q197" s="23" t="s">
        <v>4061</v>
      </c>
      <c r="R197" s="23" t="s">
        <v>2804</v>
      </c>
      <c r="S197" s="24" t="n">
        <v>52</v>
      </c>
      <c r="T197" s="25" t="n">
        <v>7.55</v>
      </c>
      <c r="U197" s="25" t="n">
        <v>392.6</v>
      </c>
      <c r="V197" s="25" t="n">
        <f aca="false">P197-U197</f>
        <v>0</v>
      </c>
      <c r="W197" s="25" t="n">
        <f aca="false">V197*12</f>
        <v>0</v>
      </c>
      <c r="X197" s="23" t="str">
        <f aca="false">IF(Q197="","MISSING FROM EXPORT",IF(ABS(V197)&lt;0.005,"CLEAR",IF(V197&gt;0,"UNDERBILLING","OVERBILLING")))</f>
        <v>CLEAR</v>
      </c>
      <c r="Y197" s="25" t="n">
        <f aca="false">IF(F197="COMMERCIAL",ROUND(P197*0.35,2),0)</f>
        <v>0</v>
      </c>
      <c r="Z197" s="23" t="str">
        <f aca="false">IF(F197="COMMERCIAL","VERIFY SIGNED AGREEMENT","NO EXCEPTION")</f>
        <v>NO EXCEPTION</v>
      </c>
      <c r="AA197" s="23" t="str">
        <f aca="false">IF(AND(C197="covered",N197&gt;40),"COVERED &gt;40 FT","")</f>
        <v/>
      </c>
      <c r="AB197" s="23" t="s">
        <v>4062</v>
      </c>
      <c r="AC197" s="23" t="s">
        <v>4063</v>
      </c>
      <c r="AD197" s="23" t="s">
        <v>2807</v>
      </c>
    </row>
    <row r="198" customFormat="false" ht="17.9" hidden="false" customHeight="false" outlineLevel="0" collapsed="false">
      <c r="A198" s="20" t="s">
        <v>4064</v>
      </c>
      <c r="B198" s="20" t="s">
        <v>109</v>
      </c>
      <c r="C198" s="20" t="s">
        <v>2798</v>
      </c>
      <c r="D198" s="20" t="s">
        <v>4065</v>
      </c>
      <c r="E198" s="20" t="s">
        <v>4066</v>
      </c>
      <c r="F198" s="20" t="s">
        <v>2869</v>
      </c>
      <c r="G198" s="20" t="s">
        <v>4067</v>
      </c>
      <c r="H198" s="22" t="n">
        <v>61.9</v>
      </c>
      <c r="I198" s="22" t="n">
        <v>61.9</v>
      </c>
      <c r="J198" s="22" t="n">
        <f aca="false">H198-I198</f>
        <v>0</v>
      </c>
      <c r="K198" s="20" t="str">
        <f aca="false">IF(ABS(J198)&lt;0.001,"MATCH - PAPER CHECK-IN NOT SUPPLIED","DATA MISMATCH")</f>
        <v>MATCH - PAPER CHECK-IN NOT SUPPLIED</v>
      </c>
      <c r="L198" s="22" t="n">
        <v>32</v>
      </c>
      <c r="M198" s="22" t="n">
        <f aca="false">ROUNDUP(H198,0)</f>
        <v>62</v>
      </c>
      <c r="N198" s="24" t="n">
        <f aca="false">MAX(L198,M198)</f>
        <v>62</v>
      </c>
      <c r="O198" s="25" t="n">
        <v>7.55</v>
      </c>
      <c r="P198" s="25" t="n">
        <f aca="false">N198*O198</f>
        <v>468.1</v>
      </c>
      <c r="Q198" s="23" t="s">
        <v>4068</v>
      </c>
      <c r="R198" s="23" t="s">
        <v>2804</v>
      </c>
      <c r="S198" s="24" t="n">
        <v>62</v>
      </c>
      <c r="T198" s="25" t="n">
        <v>7.55</v>
      </c>
      <c r="U198" s="25" t="n">
        <v>468.1</v>
      </c>
      <c r="V198" s="25" t="n">
        <f aca="false">P198-U198</f>
        <v>0</v>
      </c>
      <c r="W198" s="25" t="n">
        <f aca="false">V198*12</f>
        <v>0</v>
      </c>
      <c r="X198" s="23" t="str">
        <f aca="false">IF(Q198="","MISSING FROM EXPORT",IF(ABS(V198)&lt;0.005,"CLEAR",IF(V198&gt;0,"UNDERBILLING","OVERBILLING")))</f>
        <v>CLEAR</v>
      </c>
      <c r="Y198" s="25" t="n">
        <f aca="false">IF(F198="COMMERCIAL",ROUND(P198*0.35,2),0)</f>
        <v>0</v>
      </c>
      <c r="Z198" s="23" t="str">
        <f aca="false">IF(F198="COMMERCIAL","VERIFY SIGNED AGREEMENT","NO EXCEPTION")</f>
        <v>NO EXCEPTION</v>
      </c>
      <c r="AA198" s="23" t="str">
        <f aca="false">IF(AND(C198="covered",N198&gt;40),"COVERED &gt;40 FT","")</f>
        <v/>
      </c>
      <c r="AB198" s="23" t="s">
        <v>4069</v>
      </c>
      <c r="AC198" s="23" t="s">
        <v>4070</v>
      </c>
      <c r="AD198" s="23" t="s">
        <v>2807</v>
      </c>
    </row>
    <row r="199" customFormat="false" ht="17.9" hidden="false" customHeight="false" outlineLevel="0" collapsed="false">
      <c r="A199" s="20" t="s">
        <v>4071</v>
      </c>
      <c r="B199" s="20" t="s">
        <v>109</v>
      </c>
      <c r="C199" s="20" t="s">
        <v>2798</v>
      </c>
      <c r="D199" s="20" t="s">
        <v>4072</v>
      </c>
      <c r="E199" s="20" t="s">
        <v>4073</v>
      </c>
      <c r="F199" s="20" t="s">
        <v>2833</v>
      </c>
      <c r="G199" s="20" t="s">
        <v>4074</v>
      </c>
      <c r="H199" s="22" t="n">
        <v>26.2</v>
      </c>
      <c r="I199" s="22" t="n">
        <v>26.2</v>
      </c>
      <c r="J199" s="22" t="n">
        <f aca="false">H199-I199</f>
        <v>0</v>
      </c>
      <c r="K199" s="20" t="str">
        <f aca="false">IF(ABS(J199)&lt;0.001,"MATCH - PAPER CHECK-IN NOT SUPPLIED","DATA MISMATCH")</f>
        <v>MATCH - PAPER CHECK-IN NOT SUPPLIED</v>
      </c>
      <c r="L199" s="22" t="n">
        <v>28</v>
      </c>
      <c r="M199" s="22" t="n">
        <f aca="false">ROUNDUP(H199,0)</f>
        <v>27</v>
      </c>
      <c r="N199" s="24" t="n">
        <f aca="false">MAX(L199,M199)</f>
        <v>28</v>
      </c>
      <c r="O199" s="25" t="n">
        <v>7.55</v>
      </c>
      <c r="P199" s="25" t="n">
        <f aca="false">N199*O199</f>
        <v>211.4</v>
      </c>
      <c r="Q199" s="23" t="s">
        <v>4075</v>
      </c>
      <c r="R199" s="23" t="s">
        <v>2804</v>
      </c>
      <c r="S199" s="24" t="n">
        <v>28</v>
      </c>
      <c r="T199" s="25" t="n">
        <v>7.55</v>
      </c>
      <c r="U199" s="25" t="n">
        <v>211.4</v>
      </c>
      <c r="V199" s="25" t="n">
        <f aca="false">P199-U199</f>
        <v>0</v>
      </c>
      <c r="W199" s="25" t="n">
        <f aca="false">V199*12</f>
        <v>0</v>
      </c>
      <c r="X199" s="23" t="str">
        <f aca="false">IF(Q199="","MISSING FROM EXPORT",IF(ABS(V199)&lt;0.005,"CLEAR",IF(V199&gt;0,"UNDERBILLING","OVERBILLING")))</f>
        <v>CLEAR</v>
      </c>
      <c r="Y199" s="25" t="n">
        <f aca="false">IF(F199="COMMERCIAL",ROUND(P199*0.35,2),0)</f>
        <v>0</v>
      </c>
      <c r="Z199" s="23" t="str">
        <f aca="false">IF(F199="COMMERCIAL","VERIFY SIGNED AGREEMENT","NO EXCEPTION")</f>
        <v>NO EXCEPTION</v>
      </c>
      <c r="AA199" s="23" t="str">
        <f aca="false">IF(AND(C199="covered",N199&gt;40),"COVERED &gt;40 FT","")</f>
        <v/>
      </c>
      <c r="AB199" s="23" t="s">
        <v>4076</v>
      </c>
      <c r="AC199" s="23" t="s">
        <v>4077</v>
      </c>
      <c r="AD199" s="23" t="s">
        <v>2807</v>
      </c>
    </row>
    <row r="200" customFormat="false" ht="17.9" hidden="false" customHeight="false" outlineLevel="0" collapsed="false">
      <c r="A200" s="20" t="s">
        <v>4078</v>
      </c>
      <c r="B200" s="20" t="s">
        <v>109</v>
      </c>
      <c r="C200" s="20" t="s">
        <v>2798</v>
      </c>
      <c r="D200" s="20" t="s">
        <v>4079</v>
      </c>
      <c r="E200" s="20" t="s">
        <v>4080</v>
      </c>
      <c r="F200" s="20" t="s">
        <v>2833</v>
      </c>
      <c r="G200" s="20" t="s">
        <v>4081</v>
      </c>
      <c r="H200" s="22" t="n">
        <v>40.6</v>
      </c>
      <c r="I200" s="22" t="n">
        <v>40.6</v>
      </c>
      <c r="J200" s="22" t="n">
        <f aca="false">H200-I200</f>
        <v>0</v>
      </c>
      <c r="K200" s="20" t="str">
        <f aca="false">IF(ABS(J200)&lt;0.001,"MATCH - PAPER CHECK-IN NOT SUPPLIED","DATA MISMATCH")</f>
        <v>MATCH - PAPER CHECK-IN NOT SUPPLIED</v>
      </c>
      <c r="L200" s="22" t="n">
        <v>32</v>
      </c>
      <c r="M200" s="22" t="n">
        <f aca="false">ROUNDUP(H200,0)</f>
        <v>41</v>
      </c>
      <c r="N200" s="24" t="n">
        <f aca="false">MAX(L200,M200)</f>
        <v>41</v>
      </c>
      <c r="O200" s="25" t="n">
        <v>7.55</v>
      </c>
      <c r="P200" s="25" t="n">
        <f aca="false">N200*O200</f>
        <v>309.55</v>
      </c>
      <c r="Q200" s="23" t="s">
        <v>4082</v>
      </c>
      <c r="R200" s="23" t="s">
        <v>2804</v>
      </c>
      <c r="S200" s="24" t="n">
        <v>41</v>
      </c>
      <c r="T200" s="25" t="n">
        <v>7.55</v>
      </c>
      <c r="U200" s="25" t="n">
        <v>309.55</v>
      </c>
      <c r="V200" s="25" t="n">
        <f aca="false">P200-U200</f>
        <v>0</v>
      </c>
      <c r="W200" s="25" t="n">
        <f aca="false">V200*12</f>
        <v>0</v>
      </c>
      <c r="X200" s="23" t="str">
        <f aca="false">IF(Q200="","MISSING FROM EXPORT",IF(ABS(V200)&lt;0.005,"CLEAR",IF(V200&gt;0,"UNDERBILLING","OVERBILLING")))</f>
        <v>CLEAR</v>
      </c>
      <c r="Y200" s="25" t="n">
        <f aca="false">IF(F200="COMMERCIAL",ROUND(P200*0.35,2),0)</f>
        <v>0</v>
      </c>
      <c r="Z200" s="23" t="str">
        <f aca="false">IF(F200="COMMERCIAL","VERIFY SIGNED AGREEMENT","NO EXCEPTION")</f>
        <v>NO EXCEPTION</v>
      </c>
      <c r="AA200" s="23" t="str">
        <f aca="false">IF(AND(C200="covered",N200&gt;40),"COVERED &gt;40 FT","")</f>
        <v/>
      </c>
      <c r="AB200" s="23" t="s">
        <v>4083</v>
      </c>
      <c r="AC200" s="23" t="s">
        <v>4084</v>
      </c>
      <c r="AD200" s="23" t="s">
        <v>2807</v>
      </c>
    </row>
    <row r="201" customFormat="false" ht="17.9" hidden="false" customHeight="false" outlineLevel="0" collapsed="false">
      <c r="A201" s="20" t="s">
        <v>4085</v>
      </c>
      <c r="B201" s="20" t="s">
        <v>109</v>
      </c>
      <c r="C201" s="20" t="s">
        <v>2798</v>
      </c>
      <c r="D201" s="20" t="s">
        <v>4086</v>
      </c>
      <c r="E201" s="20" t="s">
        <v>4087</v>
      </c>
      <c r="F201" s="20" t="s">
        <v>2934</v>
      </c>
      <c r="G201" s="20" t="s">
        <v>4088</v>
      </c>
      <c r="H201" s="22" t="n">
        <v>59.5</v>
      </c>
      <c r="I201" s="22" t="n">
        <v>59.5</v>
      </c>
      <c r="J201" s="22" t="n">
        <f aca="false">H201-I201</f>
        <v>0</v>
      </c>
      <c r="K201" s="20" t="str">
        <f aca="false">IF(ABS(J201)&lt;0.001,"MATCH - PAPER CHECK-IN NOT SUPPLIED","DATA MISMATCH")</f>
        <v>MATCH - PAPER CHECK-IN NOT SUPPLIED</v>
      </c>
      <c r="L201" s="22" t="n">
        <v>45</v>
      </c>
      <c r="M201" s="22" t="n">
        <f aca="false">ROUNDUP(H201,0)</f>
        <v>60</v>
      </c>
      <c r="N201" s="24" t="n">
        <f aca="false">MAX(L201,M201)</f>
        <v>60</v>
      </c>
      <c r="O201" s="25" t="n">
        <v>7.55</v>
      </c>
      <c r="P201" s="25" t="n">
        <f aca="false">N201*O201</f>
        <v>453</v>
      </c>
      <c r="Q201" s="23" t="s">
        <v>4089</v>
      </c>
      <c r="R201" s="23" t="s">
        <v>2804</v>
      </c>
      <c r="S201" s="24" t="n">
        <v>60</v>
      </c>
      <c r="T201" s="25" t="n">
        <v>7.55</v>
      </c>
      <c r="U201" s="25" t="n">
        <v>453</v>
      </c>
      <c r="V201" s="25" t="n">
        <f aca="false">P201-U201</f>
        <v>0</v>
      </c>
      <c r="W201" s="25" t="n">
        <f aca="false">V201*12</f>
        <v>0</v>
      </c>
      <c r="X201" s="23" t="str">
        <f aca="false">IF(Q201="","MISSING FROM EXPORT",IF(ABS(V201)&lt;0.005,"CLEAR",IF(V201&gt;0,"UNDERBILLING","OVERBILLING")))</f>
        <v>CLEAR</v>
      </c>
      <c r="Y201" s="25" t="n">
        <f aca="false">IF(F201="COMMERCIAL",ROUND(P201*0.35,2),0)</f>
        <v>158.55</v>
      </c>
      <c r="Z201" s="23" t="str">
        <f aca="false">IF(F201="COMMERCIAL","VERIFY SIGNED AGREEMENT","NO EXCEPTION")</f>
        <v>VERIFY SIGNED AGREEMENT</v>
      </c>
      <c r="AA201" s="23" t="str">
        <f aca="false">IF(AND(C201="covered",N201&gt;40),"COVERED &gt;40 FT","")</f>
        <v/>
      </c>
      <c r="AB201" s="23" t="s">
        <v>4090</v>
      </c>
      <c r="AC201" s="23" t="s">
        <v>4091</v>
      </c>
      <c r="AD201" s="23" t="s">
        <v>2807</v>
      </c>
    </row>
    <row r="202" customFormat="false" ht="17.9" hidden="false" customHeight="false" outlineLevel="0" collapsed="false">
      <c r="A202" s="20" t="s">
        <v>626</v>
      </c>
      <c r="B202" s="20" t="s">
        <v>109</v>
      </c>
      <c r="C202" s="20" t="s">
        <v>2798</v>
      </c>
      <c r="D202" s="20" t="s">
        <v>1716</v>
      </c>
      <c r="E202" s="20" t="s">
        <v>4092</v>
      </c>
      <c r="F202" s="20" t="s">
        <v>2801</v>
      </c>
      <c r="G202" s="20" t="s">
        <v>4093</v>
      </c>
      <c r="H202" s="22" t="n">
        <v>26.7</v>
      </c>
      <c r="I202" s="22" t="n">
        <v>26.7</v>
      </c>
      <c r="J202" s="22" t="n">
        <f aca="false">H202-I202</f>
        <v>0</v>
      </c>
      <c r="K202" s="20" t="str">
        <f aca="false">IF(ABS(J202)&lt;0.001,"MATCH - PAPER CHECK-IN NOT SUPPLIED","DATA MISMATCH")</f>
        <v>MATCH - PAPER CHECK-IN NOT SUPPLIED</v>
      </c>
      <c r="L202" s="22" t="n">
        <v>28</v>
      </c>
      <c r="M202" s="22" t="n">
        <f aca="false">ROUNDUP(H202,0)</f>
        <v>27</v>
      </c>
      <c r="N202" s="24" t="n">
        <f aca="false">MAX(L202,M202)</f>
        <v>28</v>
      </c>
      <c r="O202" s="25" t="n">
        <v>7.55</v>
      </c>
      <c r="P202" s="25" t="n">
        <f aca="false">N202*O202</f>
        <v>211.4</v>
      </c>
      <c r="Q202" s="23" t="s">
        <v>4094</v>
      </c>
      <c r="R202" s="23" t="s">
        <v>2804</v>
      </c>
      <c r="S202" s="24" t="n">
        <v>28</v>
      </c>
      <c r="T202" s="25" t="n">
        <v>7.55</v>
      </c>
      <c r="U202" s="25" t="n">
        <v>211.4</v>
      </c>
      <c r="V202" s="25" t="n">
        <f aca="false">P202-U202</f>
        <v>0</v>
      </c>
      <c r="W202" s="25" t="n">
        <f aca="false">V202*12</f>
        <v>0</v>
      </c>
      <c r="X202" s="23" t="str">
        <f aca="false">IF(Q202="","MISSING FROM EXPORT",IF(ABS(V202)&lt;0.005,"CLEAR",IF(V202&gt;0,"UNDERBILLING","OVERBILLING")))</f>
        <v>CLEAR</v>
      </c>
      <c r="Y202" s="25" t="n">
        <f aca="false">IF(F202="COMMERCIAL",ROUND(P202*0.35,2),0)</f>
        <v>0</v>
      </c>
      <c r="Z202" s="23" t="str">
        <f aca="false">IF(F202="COMMERCIAL","VERIFY SIGNED AGREEMENT","NO EXCEPTION")</f>
        <v>NO EXCEPTION</v>
      </c>
      <c r="AA202" s="23" t="str">
        <f aca="false">IF(AND(C202="covered",N202&gt;40),"COVERED &gt;40 FT","")</f>
        <v/>
      </c>
      <c r="AB202" s="23" t="s">
        <v>4095</v>
      </c>
      <c r="AC202" s="23" t="s">
        <v>4096</v>
      </c>
      <c r="AD202" s="23" t="s">
        <v>2807</v>
      </c>
    </row>
    <row r="203" customFormat="false" ht="17.9" hidden="false" customHeight="false" outlineLevel="0" collapsed="false">
      <c r="A203" s="20" t="s">
        <v>1227</v>
      </c>
      <c r="B203" s="20" t="s">
        <v>109</v>
      </c>
      <c r="C203" s="20" t="s">
        <v>2798</v>
      </c>
      <c r="D203" s="20" t="s">
        <v>4097</v>
      </c>
      <c r="E203" s="20" t="s">
        <v>4098</v>
      </c>
      <c r="F203" s="20" t="s">
        <v>2898</v>
      </c>
      <c r="G203" s="20" t="s">
        <v>4099</v>
      </c>
      <c r="H203" s="22" t="n">
        <v>34.4</v>
      </c>
      <c r="I203" s="22" t="n">
        <v>34.4</v>
      </c>
      <c r="J203" s="22" t="n">
        <f aca="false">H203-I203</f>
        <v>0</v>
      </c>
      <c r="K203" s="20" t="str">
        <f aca="false">IF(ABS(J203)&lt;0.001,"MATCH - PAPER CHECK-IN NOT SUPPLIED","DATA MISMATCH")</f>
        <v>MATCH - PAPER CHECK-IN NOT SUPPLIED</v>
      </c>
      <c r="L203" s="22" t="n">
        <v>40</v>
      </c>
      <c r="M203" s="22" t="n">
        <f aca="false">ROUNDUP(H203,0)</f>
        <v>35</v>
      </c>
      <c r="N203" s="24" t="n">
        <f aca="false">MAX(L203,M203)</f>
        <v>40</v>
      </c>
      <c r="O203" s="25" t="n">
        <v>7.55</v>
      </c>
      <c r="P203" s="25" t="n">
        <f aca="false">N203*O203</f>
        <v>302</v>
      </c>
      <c r="Q203" s="23" t="s">
        <v>4100</v>
      </c>
      <c r="R203" s="23" t="s">
        <v>2804</v>
      </c>
      <c r="S203" s="24" t="n">
        <v>40</v>
      </c>
      <c r="T203" s="25" t="n">
        <v>7.55</v>
      </c>
      <c r="U203" s="25" t="n">
        <v>302</v>
      </c>
      <c r="V203" s="25" t="n">
        <f aca="false">P203-U203</f>
        <v>0</v>
      </c>
      <c r="W203" s="25" t="n">
        <f aca="false">V203*12</f>
        <v>0</v>
      </c>
      <c r="X203" s="23" t="str">
        <f aca="false">IF(Q203="","MISSING FROM EXPORT",IF(ABS(V203)&lt;0.005,"CLEAR",IF(V203&gt;0,"UNDERBILLING","OVERBILLING")))</f>
        <v>CLEAR</v>
      </c>
      <c r="Y203" s="25" t="n">
        <f aca="false">IF(F203="COMMERCIAL",ROUND(P203*0.35,2),0)</f>
        <v>0</v>
      </c>
      <c r="Z203" s="23" t="str">
        <f aca="false">IF(F203="COMMERCIAL","VERIFY SIGNED AGREEMENT","NO EXCEPTION")</f>
        <v>NO EXCEPTION</v>
      </c>
      <c r="AA203" s="23" t="str">
        <f aca="false">IF(AND(C203="covered",N203&gt;40),"COVERED &gt;40 FT","")</f>
        <v/>
      </c>
      <c r="AB203" s="23" t="s">
        <v>4101</v>
      </c>
      <c r="AC203" s="23" t="s">
        <v>4102</v>
      </c>
      <c r="AD203" s="23" t="s">
        <v>2807</v>
      </c>
    </row>
    <row r="204" customFormat="false" ht="17.9" hidden="false" customHeight="false" outlineLevel="0" collapsed="false">
      <c r="A204" s="20" t="s">
        <v>4103</v>
      </c>
      <c r="B204" s="20" t="s">
        <v>109</v>
      </c>
      <c r="C204" s="20" t="s">
        <v>2798</v>
      </c>
      <c r="D204" s="20" t="s">
        <v>4104</v>
      </c>
      <c r="E204" s="20" t="s">
        <v>4105</v>
      </c>
      <c r="F204" s="20" t="s">
        <v>2898</v>
      </c>
      <c r="G204" s="20" t="s">
        <v>4106</v>
      </c>
      <c r="H204" s="22" t="n">
        <v>26.5</v>
      </c>
      <c r="I204" s="22" t="n">
        <v>26.5</v>
      </c>
      <c r="J204" s="22" t="n">
        <f aca="false">H204-I204</f>
        <v>0</v>
      </c>
      <c r="K204" s="20" t="str">
        <f aca="false">IF(ABS(J204)&lt;0.001,"MATCH - PAPER CHECK-IN NOT SUPPLIED","DATA MISMATCH")</f>
        <v>MATCH - PAPER CHECK-IN NOT SUPPLIED</v>
      </c>
      <c r="L204" s="22" t="n">
        <v>32</v>
      </c>
      <c r="M204" s="22" t="n">
        <f aca="false">ROUNDUP(H204,0)</f>
        <v>27</v>
      </c>
      <c r="N204" s="24" t="n">
        <f aca="false">MAX(L204,M204)</f>
        <v>32</v>
      </c>
      <c r="O204" s="25" t="n">
        <v>7.55</v>
      </c>
      <c r="P204" s="25" t="n">
        <f aca="false">N204*O204</f>
        <v>241.6</v>
      </c>
      <c r="Q204" s="23" t="s">
        <v>4107</v>
      </c>
      <c r="R204" s="23" t="s">
        <v>2804</v>
      </c>
      <c r="S204" s="24" t="n">
        <v>32</v>
      </c>
      <c r="T204" s="25" t="n">
        <v>7.55</v>
      </c>
      <c r="U204" s="25" t="n">
        <v>241.6</v>
      </c>
      <c r="V204" s="25" t="n">
        <f aca="false">P204-U204</f>
        <v>0</v>
      </c>
      <c r="W204" s="25" t="n">
        <f aca="false">V204*12</f>
        <v>0</v>
      </c>
      <c r="X204" s="23" t="str">
        <f aca="false">IF(Q204="","MISSING FROM EXPORT",IF(ABS(V204)&lt;0.005,"CLEAR",IF(V204&gt;0,"UNDERBILLING","OVERBILLING")))</f>
        <v>CLEAR</v>
      </c>
      <c r="Y204" s="25" t="n">
        <f aca="false">IF(F204="COMMERCIAL",ROUND(P204*0.35,2),0)</f>
        <v>0</v>
      </c>
      <c r="Z204" s="23" t="str">
        <f aca="false">IF(F204="COMMERCIAL","VERIFY SIGNED AGREEMENT","NO EXCEPTION")</f>
        <v>NO EXCEPTION</v>
      </c>
      <c r="AA204" s="23" t="str">
        <f aca="false">IF(AND(C204="covered",N204&gt;40),"COVERED &gt;40 FT","")</f>
        <v/>
      </c>
      <c r="AB204" s="23" t="s">
        <v>4108</v>
      </c>
      <c r="AC204" s="23" t="s">
        <v>4109</v>
      </c>
      <c r="AD204" s="23" t="s">
        <v>2807</v>
      </c>
    </row>
    <row r="205" customFormat="false" ht="17.9" hidden="false" customHeight="false" outlineLevel="0" collapsed="false">
      <c r="A205" s="20" t="s">
        <v>215</v>
      </c>
      <c r="B205" s="20" t="s">
        <v>109</v>
      </c>
      <c r="C205" s="20" t="s">
        <v>2798</v>
      </c>
      <c r="D205" s="20" t="s">
        <v>4110</v>
      </c>
      <c r="E205" s="20" t="s">
        <v>4111</v>
      </c>
      <c r="F205" s="20" t="s">
        <v>2857</v>
      </c>
      <c r="G205" s="20" t="s">
        <v>4112</v>
      </c>
      <c r="H205" s="22" t="n">
        <v>53.6</v>
      </c>
      <c r="I205" s="22" t="n">
        <v>53.6</v>
      </c>
      <c r="J205" s="22" t="n">
        <f aca="false">H205-I205</f>
        <v>0</v>
      </c>
      <c r="K205" s="20" t="str">
        <f aca="false">IF(ABS(J205)&lt;0.001,"MATCH - PAPER CHECK-IN NOT SUPPLIED","DATA MISMATCH")</f>
        <v>MATCH - PAPER CHECK-IN NOT SUPPLIED</v>
      </c>
      <c r="L205" s="22" t="n">
        <v>32</v>
      </c>
      <c r="M205" s="22" t="n">
        <f aca="false">ROUNDUP(H205,0)</f>
        <v>54</v>
      </c>
      <c r="N205" s="24" t="n">
        <f aca="false">MAX(L205,M205)</f>
        <v>54</v>
      </c>
      <c r="O205" s="25" t="n">
        <v>7.55</v>
      </c>
      <c r="P205" s="25" t="n">
        <f aca="false">N205*O205</f>
        <v>407.7</v>
      </c>
      <c r="Q205" s="23" t="s">
        <v>4113</v>
      </c>
      <c r="R205" s="23" t="s">
        <v>2804</v>
      </c>
      <c r="S205" s="24" t="n">
        <v>54</v>
      </c>
      <c r="T205" s="25" t="n">
        <v>7.55</v>
      </c>
      <c r="U205" s="25" t="n">
        <v>407.7</v>
      </c>
      <c r="V205" s="25" t="n">
        <f aca="false">P205-U205</f>
        <v>0</v>
      </c>
      <c r="W205" s="25" t="n">
        <f aca="false">V205*12</f>
        <v>0</v>
      </c>
      <c r="X205" s="23" t="str">
        <f aca="false">IF(Q205="","MISSING FROM EXPORT",IF(ABS(V205)&lt;0.005,"CLEAR",IF(V205&gt;0,"UNDERBILLING","OVERBILLING")))</f>
        <v>CLEAR</v>
      </c>
      <c r="Y205" s="25" t="n">
        <f aca="false">IF(F205="COMMERCIAL",ROUND(P205*0.35,2),0)</f>
        <v>0</v>
      </c>
      <c r="Z205" s="23" t="str">
        <f aca="false">IF(F205="COMMERCIAL","VERIFY SIGNED AGREEMENT","NO EXCEPTION")</f>
        <v>NO EXCEPTION</v>
      </c>
      <c r="AA205" s="23" t="str">
        <f aca="false">IF(AND(C205="covered",N205&gt;40),"COVERED &gt;40 FT","")</f>
        <v/>
      </c>
      <c r="AB205" s="23" t="s">
        <v>4114</v>
      </c>
      <c r="AC205" s="23" t="s">
        <v>4115</v>
      </c>
      <c r="AD205" s="23" t="s">
        <v>2807</v>
      </c>
    </row>
    <row r="206" customFormat="false" ht="17.9" hidden="false" customHeight="false" outlineLevel="0" collapsed="false">
      <c r="A206" s="20" t="s">
        <v>4116</v>
      </c>
      <c r="B206" s="20" t="s">
        <v>109</v>
      </c>
      <c r="C206" s="20" t="s">
        <v>2798</v>
      </c>
      <c r="D206" s="20" t="s">
        <v>4117</v>
      </c>
      <c r="E206" s="20" t="s">
        <v>4118</v>
      </c>
      <c r="F206" s="20" t="s">
        <v>2801</v>
      </c>
      <c r="G206" s="20" t="s">
        <v>4119</v>
      </c>
      <c r="H206" s="22" t="n">
        <v>19.8</v>
      </c>
      <c r="I206" s="22" t="n">
        <v>19.8</v>
      </c>
      <c r="J206" s="22" t="n">
        <f aca="false">H206-I206</f>
        <v>0</v>
      </c>
      <c r="K206" s="20" t="str">
        <f aca="false">IF(ABS(J206)&lt;0.001,"MATCH - PAPER CHECK-IN NOT SUPPLIED","DATA MISMATCH")</f>
        <v>MATCH - PAPER CHECK-IN NOT SUPPLIED</v>
      </c>
      <c r="L206" s="22" t="n">
        <v>50</v>
      </c>
      <c r="M206" s="22" t="n">
        <f aca="false">ROUNDUP(H206,0)</f>
        <v>20</v>
      </c>
      <c r="N206" s="24" t="n">
        <f aca="false">MAX(L206,M206)</f>
        <v>50</v>
      </c>
      <c r="O206" s="25" t="n">
        <v>7.55</v>
      </c>
      <c r="P206" s="25" t="n">
        <f aca="false">N206*O206</f>
        <v>377.5</v>
      </c>
      <c r="Q206" s="23" t="s">
        <v>4120</v>
      </c>
      <c r="R206" s="23" t="s">
        <v>2804</v>
      </c>
      <c r="S206" s="24" t="n">
        <v>50</v>
      </c>
      <c r="T206" s="25" t="n">
        <v>7.55</v>
      </c>
      <c r="U206" s="25" t="n">
        <v>377.5</v>
      </c>
      <c r="V206" s="25" t="n">
        <f aca="false">P206-U206</f>
        <v>0</v>
      </c>
      <c r="W206" s="25" t="n">
        <f aca="false">V206*12</f>
        <v>0</v>
      </c>
      <c r="X206" s="23" t="str">
        <f aca="false">IF(Q206="","MISSING FROM EXPORT",IF(ABS(V206)&lt;0.005,"CLEAR",IF(V206&gt;0,"UNDERBILLING","OVERBILLING")))</f>
        <v>CLEAR</v>
      </c>
      <c r="Y206" s="25" t="n">
        <f aca="false">IF(F206="COMMERCIAL",ROUND(P206*0.35,2),0)</f>
        <v>0</v>
      </c>
      <c r="Z206" s="23" t="str">
        <f aca="false">IF(F206="COMMERCIAL","VERIFY SIGNED AGREEMENT","NO EXCEPTION")</f>
        <v>NO EXCEPTION</v>
      </c>
      <c r="AA206" s="23" t="str">
        <f aca="false">IF(AND(C206="covered",N206&gt;40),"COVERED &gt;40 FT","")</f>
        <v/>
      </c>
      <c r="AB206" s="23" t="s">
        <v>4121</v>
      </c>
      <c r="AC206" s="23" t="s">
        <v>4122</v>
      </c>
      <c r="AD206" s="23" t="s">
        <v>2807</v>
      </c>
    </row>
    <row r="207" customFormat="false" ht="17.9" hidden="false" customHeight="false" outlineLevel="0" collapsed="false">
      <c r="A207" s="20" t="s">
        <v>4123</v>
      </c>
      <c r="B207" s="20" t="s">
        <v>109</v>
      </c>
      <c r="C207" s="20" t="s">
        <v>2798</v>
      </c>
      <c r="D207" s="20" t="s">
        <v>4124</v>
      </c>
      <c r="E207" s="20" t="s">
        <v>4125</v>
      </c>
      <c r="F207" s="20" t="s">
        <v>2810</v>
      </c>
      <c r="G207" s="20" t="s">
        <v>4126</v>
      </c>
      <c r="H207" s="22" t="n">
        <v>44.2</v>
      </c>
      <c r="I207" s="22" t="n">
        <v>44.2</v>
      </c>
      <c r="J207" s="22" t="n">
        <f aca="false">H207-I207</f>
        <v>0</v>
      </c>
      <c r="K207" s="20" t="str">
        <f aca="false">IF(ABS(J207)&lt;0.001,"MATCH - PAPER CHECK-IN NOT SUPPLIED","DATA MISMATCH")</f>
        <v>MATCH - PAPER CHECK-IN NOT SUPPLIED</v>
      </c>
      <c r="L207" s="22" t="n">
        <v>32</v>
      </c>
      <c r="M207" s="22" t="n">
        <f aca="false">ROUNDUP(H207,0)</f>
        <v>45</v>
      </c>
      <c r="N207" s="24" t="n">
        <f aca="false">MAX(L207,M207)</f>
        <v>45</v>
      </c>
      <c r="O207" s="25" t="n">
        <v>7.55</v>
      </c>
      <c r="P207" s="25" t="n">
        <f aca="false">N207*O207</f>
        <v>339.75</v>
      </c>
      <c r="Q207" s="23" t="s">
        <v>4127</v>
      </c>
      <c r="R207" s="23" t="s">
        <v>2804</v>
      </c>
      <c r="S207" s="24" t="n">
        <v>45</v>
      </c>
      <c r="T207" s="25" t="n">
        <v>7.55</v>
      </c>
      <c r="U207" s="25" t="n">
        <v>339.75</v>
      </c>
      <c r="V207" s="25" t="n">
        <f aca="false">P207-U207</f>
        <v>0</v>
      </c>
      <c r="W207" s="25" t="n">
        <f aca="false">V207*12</f>
        <v>0</v>
      </c>
      <c r="X207" s="23" t="str">
        <f aca="false">IF(Q207="","MISSING FROM EXPORT",IF(ABS(V207)&lt;0.005,"CLEAR",IF(V207&gt;0,"UNDERBILLING","OVERBILLING")))</f>
        <v>CLEAR</v>
      </c>
      <c r="Y207" s="25" t="n">
        <f aca="false">IF(F207="COMMERCIAL",ROUND(P207*0.35,2),0)</f>
        <v>0</v>
      </c>
      <c r="Z207" s="23" t="str">
        <f aca="false">IF(F207="COMMERCIAL","VERIFY SIGNED AGREEMENT","NO EXCEPTION")</f>
        <v>NO EXCEPTION</v>
      </c>
      <c r="AA207" s="23" t="str">
        <f aca="false">IF(AND(C207="covered",N207&gt;40),"COVERED &gt;40 FT","")</f>
        <v/>
      </c>
      <c r="AB207" s="23" t="s">
        <v>4128</v>
      </c>
      <c r="AC207" s="23" t="s">
        <v>4129</v>
      </c>
      <c r="AD207" s="23" t="s">
        <v>2807</v>
      </c>
    </row>
    <row r="208" customFormat="false" ht="17.9" hidden="false" customHeight="false" outlineLevel="0" collapsed="false">
      <c r="A208" s="20" t="s">
        <v>4130</v>
      </c>
      <c r="B208" s="20" t="s">
        <v>109</v>
      </c>
      <c r="C208" s="20" t="s">
        <v>2798</v>
      </c>
      <c r="D208" s="20" t="s">
        <v>4131</v>
      </c>
      <c r="E208" s="20" t="s">
        <v>4132</v>
      </c>
      <c r="F208" s="20" t="s">
        <v>2818</v>
      </c>
      <c r="G208" s="20" t="s">
        <v>4133</v>
      </c>
      <c r="H208" s="22" t="n">
        <v>40.1</v>
      </c>
      <c r="I208" s="22" t="n">
        <v>40.1</v>
      </c>
      <c r="J208" s="22" t="n">
        <f aca="false">H208-I208</f>
        <v>0</v>
      </c>
      <c r="K208" s="20" t="str">
        <f aca="false">IF(ABS(J208)&lt;0.001,"MATCH - PAPER CHECK-IN NOT SUPPLIED","DATA MISMATCH")</f>
        <v>MATCH - PAPER CHECK-IN NOT SUPPLIED</v>
      </c>
      <c r="L208" s="22" t="n">
        <v>32</v>
      </c>
      <c r="M208" s="22" t="n">
        <f aca="false">ROUNDUP(H208,0)</f>
        <v>41</v>
      </c>
      <c r="N208" s="24" t="n">
        <f aca="false">MAX(L208,M208)</f>
        <v>41</v>
      </c>
      <c r="O208" s="25" t="n">
        <v>7.55</v>
      </c>
      <c r="P208" s="25" t="n">
        <f aca="false">N208*O208</f>
        <v>309.55</v>
      </c>
      <c r="Q208" s="23" t="s">
        <v>4134</v>
      </c>
      <c r="R208" s="23" t="s">
        <v>2804</v>
      </c>
      <c r="S208" s="24" t="n">
        <v>41</v>
      </c>
      <c r="T208" s="25" t="n">
        <v>7.55</v>
      </c>
      <c r="U208" s="25" t="n">
        <v>309.55</v>
      </c>
      <c r="V208" s="25" t="n">
        <f aca="false">P208-U208</f>
        <v>0</v>
      </c>
      <c r="W208" s="25" t="n">
        <f aca="false">V208*12</f>
        <v>0</v>
      </c>
      <c r="X208" s="23" t="str">
        <f aca="false">IF(Q208="","MISSING FROM EXPORT",IF(ABS(V208)&lt;0.005,"CLEAR",IF(V208&gt;0,"UNDERBILLING","OVERBILLING")))</f>
        <v>CLEAR</v>
      </c>
      <c r="Y208" s="25" t="n">
        <f aca="false">IF(F208="COMMERCIAL",ROUND(P208*0.35,2),0)</f>
        <v>0</v>
      </c>
      <c r="Z208" s="23" t="str">
        <f aca="false">IF(F208="COMMERCIAL","VERIFY SIGNED AGREEMENT","NO EXCEPTION")</f>
        <v>NO EXCEPTION</v>
      </c>
      <c r="AA208" s="23" t="str">
        <f aca="false">IF(AND(C208="covered",N208&gt;40),"COVERED &gt;40 FT","")</f>
        <v/>
      </c>
      <c r="AB208" s="23" t="s">
        <v>4135</v>
      </c>
      <c r="AC208" s="23" t="s">
        <v>4136</v>
      </c>
      <c r="AD208" s="23" t="s">
        <v>2807</v>
      </c>
    </row>
    <row r="209" customFormat="false" ht="17.9" hidden="false" customHeight="false" outlineLevel="0" collapsed="false">
      <c r="A209" s="20" t="s">
        <v>4137</v>
      </c>
      <c r="B209" s="20" t="s">
        <v>109</v>
      </c>
      <c r="C209" s="20" t="s">
        <v>2798</v>
      </c>
      <c r="D209" s="20" t="s">
        <v>4138</v>
      </c>
      <c r="E209" s="20" t="s">
        <v>4139</v>
      </c>
      <c r="F209" s="20" t="s">
        <v>2833</v>
      </c>
      <c r="G209" s="20" t="s">
        <v>4140</v>
      </c>
      <c r="H209" s="22" t="n">
        <v>53</v>
      </c>
      <c r="I209" s="22" t="n">
        <v>53</v>
      </c>
      <c r="J209" s="22" t="n">
        <f aca="false">H209-I209</f>
        <v>0</v>
      </c>
      <c r="K209" s="20" t="str">
        <f aca="false">IF(ABS(J209)&lt;0.001,"MATCH - PAPER CHECK-IN NOT SUPPLIED","DATA MISMATCH")</f>
        <v>MATCH - PAPER CHECK-IN NOT SUPPLIED</v>
      </c>
      <c r="L209" s="22" t="n">
        <v>45</v>
      </c>
      <c r="M209" s="22" t="n">
        <f aca="false">ROUNDUP(H209,0)</f>
        <v>53</v>
      </c>
      <c r="N209" s="24" t="n">
        <f aca="false">MAX(L209,M209)</f>
        <v>53</v>
      </c>
      <c r="O209" s="25" t="n">
        <v>7.55</v>
      </c>
      <c r="P209" s="25" t="n">
        <f aca="false">N209*O209</f>
        <v>400.15</v>
      </c>
      <c r="Q209" s="23" t="s">
        <v>4141</v>
      </c>
      <c r="R209" s="23" t="s">
        <v>2804</v>
      </c>
      <c r="S209" s="24" t="n">
        <v>53</v>
      </c>
      <c r="T209" s="25" t="n">
        <v>7.55</v>
      </c>
      <c r="U209" s="25" t="n">
        <v>400.15</v>
      </c>
      <c r="V209" s="25" t="n">
        <f aca="false">P209-U209</f>
        <v>0</v>
      </c>
      <c r="W209" s="25" t="n">
        <f aca="false">V209*12</f>
        <v>0</v>
      </c>
      <c r="X209" s="23" t="str">
        <f aca="false">IF(Q209="","MISSING FROM EXPORT",IF(ABS(V209)&lt;0.005,"CLEAR",IF(V209&gt;0,"UNDERBILLING","OVERBILLING")))</f>
        <v>CLEAR</v>
      </c>
      <c r="Y209" s="25" t="n">
        <f aca="false">IF(F209="COMMERCIAL",ROUND(P209*0.35,2),0)</f>
        <v>0</v>
      </c>
      <c r="Z209" s="23" t="str">
        <f aca="false">IF(F209="COMMERCIAL","VERIFY SIGNED AGREEMENT","NO EXCEPTION")</f>
        <v>NO EXCEPTION</v>
      </c>
      <c r="AA209" s="23" t="str">
        <f aca="false">IF(AND(C209="covered",N209&gt;40),"COVERED &gt;40 FT","")</f>
        <v/>
      </c>
      <c r="AB209" s="23" t="s">
        <v>4142</v>
      </c>
      <c r="AC209" s="23" t="s">
        <v>4143</v>
      </c>
      <c r="AD209" s="23" t="s">
        <v>2807</v>
      </c>
    </row>
    <row r="210" customFormat="false" ht="17.9" hidden="false" customHeight="false" outlineLevel="0" collapsed="false">
      <c r="A210" s="20" t="s">
        <v>4144</v>
      </c>
      <c r="B210" s="20" t="s">
        <v>109</v>
      </c>
      <c r="C210" s="20" t="s">
        <v>2798</v>
      </c>
      <c r="D210" s="20" t="s">
        <v>4145</v>
      </c>
      <c r="E210" s="20" t="s">
        <v>4146</v>
      </c>
      <c r="F210" s="20" t="s">
        <v>2869</v>
      </c>
      <c r="G210" s="20" t="s">
        <v>4147</v>
      </c>
      <c r="H210" s="22" t="n">
        <v>21.2</v>
      </c>
      <c r="I210" s="22" t="n">
        <v>21.2</v>
      </c>
      <c r="J210" s="22" t="n">
        <f aca="false">H210-I210</f>
        <v>0</v>
      </c>
      <c r="K210" s="20" t="str">
        <f aca="false">IF(ABS(J210)&lt;0.001,"MATCH - PAPER CHECK-IN NOT SUPPLIED","DATA MISMATCH")</f>
        <v>MATCH - PAPER CHECK-IN NOT SUPPLIED</v>
      </c>
      <c r="L210" s="22" t="n">
        <v>40</v>
      </c>
      <c r="M210" s="22" t="n">
        <f aca="false">ROUNDUP(H210,0)</f>
        <v>22</v>
      </c>
      <c r="N210" s="24" t="n">
        <f aca="false">MAX(L210,M210)</f>
        <v>40</v>
      </c>
      <c r="O210" s="25" t="n">
        <v>7.55</v>
      </c>
      <c r="P210" s="25" t="n">
        <f aca="false">N210*O210</f>
        <v>302</v>
      </c>
      <c r="Q210" s="23" t="s">
        <v>4148</v>
      </c>
      <c r="R210" s="23" t="s">
        <v>2804</v>
      </c>
      <c r="S210" s="24" t="n">
        <v>40</v>
      </c>
      <c r="T210" s="25" t="n">
        <v>7.55</v>
      </c>
      <c r="U210" s="25" t="n">
        <v>302</v>
      </c>
      <c r="V210" s="25" t="n">
        <f aca="false">P210-U210</f>
        <v>0</v>
      </c>
      <c r="W210" s="25" t="n">
        <f aca="false">V210*12</f>
        <v>0</v>
      </c>
      <c r="X210" s="23" t="str">
        <f aca="false">IF(Q210="","MISSING FROM EXPORT",IF(ABS(V210)&lt;0.005,"CLEAR",IF(V210&gt;0,"UNDERBILLING","OVERBILLING")))</f>
        <v>CLEAR</v>
      </c>
      <c r="Y210" s="25" t="n">
        <f aca="false">IF(F210="COMMERCIAL",ROUND(P210*0.35,2),0)</f>
        <v>0</v>
      </c>
      <c r="Z210" s="23" t="str">
        <f aca="false">IF(F210="COMMERCIAL","VERIFY SIGNED AGREEMENT","NO EXCEPTION")</f>
        <v>NO EXCEPTION</v>
      </c>
      <c r="AA210" s="23" t="str">
        <f aca="false">IF(AND(C210="covered",N210&gt;40),"COVERED &gt;40 FT","")</f>
        <v/>
      </c>
      <c r="AB210" s="23" t="s">
        <v>4149</v>
      </c>
      <c r="AC210" s="23" t="s">
        <v>4150</v>
      </c>
      <c r="AD210" s="23" t="s">
        <v>2807</v>
      </c>
    </row>
    <row r="211" customFormat="false" ht="17.9" hidden="false" customHeight="false" outlineLevel="0" collapsed="false">
      <c r="A211" s="20" t="s">
        <v>4151</v>
      </c>
      <c r="B211" s="20" t="s">
        <v>109</v>
      </c>
      <c r="C211" s="20" t="s">
        <v>2798</v>
      </c>
      <c r="D211" s="20" t="s">
        <v>4152</v>
      </c>
      <c r="E211" s="20" t="s">
        <v>4153</v>
      </c>
      <c r="F211" s="20" t="s">
        <v>2833</v>
      </c>
      <c r="G211" s="20" t="s">
        <v>4154</v>
      </c>
      <c r="H211" s="22" t="n">
        <v>34.4</v>
      </c>
      <c r="I211" s="22" t="n">
        <v>34.4</v>
      </c>
      <c r="J211" s="22" t="n">
        <f aca="false">H211-I211</f>
        <v>0</v>
      </c>
      <c r="K211" s="20" t="str">
        <f aca="false">IF(ABS(J211)&lt;0.001,"MATCH - PAPER CHECK-IN NOT SUPPLIED","DATA MISMATCH")</f>
        <v>MATCH - PAPER CHECK-IN NOT SUPPLIED</v>
      </c>
      <c r="L211" s="22" t="n">
        <v>40</v>
      </c>
      <c r="M211" s="22" t="n">
        <f aca="false">ROUNDUP(H211,0)</f>
        <v>35</v>
      </c>
      <c r="N211" s="24" t="n">
        <f aca="false">MAX(L211,M211)</f>
        <v>40</v>
      </c>
      <c r="O211" s="25" t="n">
        <v>7.55</v>
      </c>
      <c r="P211" s="25" t="n">
        <f aca="false">N211*O211</f>
        <v>302</v>
      </c>
      <c r="Q211" s="23" t="s">
        <v>4155</v>
      </c>
      <c r="R211" s="23" t="s">
        <v>2804</v>
      </c>
      <c r="S211" s="24" t="n">
        <v>40</v>
      </c>
      <c r="T211" s="25" t="n">
        <v>7.55</v>
      </c>
      <c r="U211" s="25" t="n">
        <v>302</v>
      </c>
      <c r="V211" s="25" t="n">
        <f aca="false">P211-U211</f>
        <v>0</v>
      </c>
      <c r="W211" s="25" t="n">
        <f aca="false">V211*12</f>
        <v>0</v>
      </c>
      <c r="X211" s="23" t="str">
        <f aca="false">IF(Q211="","MISSING FROM EXPORT",IF(ABS(V211)&lt;0.005,"CLEAR",IF(V211&gt;0,"UNDERBILLING","OVERBILLING")))</f>
        <v>CLEAR</v>
      </c>
      <c r="Y211" s="25" t="n">
        <f aca="false">IF(F211="COMMERCIAL",ROUND(P211*0.35,2),0)</f>
        <v>0</v>
      </c>
      <c r="Z211" s="23" t="str">
        <f aca="false">IF(F211="COMMERCIAL","VERIFY SIGNED AGREEMENT","NO EXCEPTION")</f>
        <v>NO EXCEPTION</v>
      </c>
      <c r="AA211" s="23" t="str">
        <f aca="false">IF(AND(C211="covered",N211&gt;40),"COVERED &gt;40 FT","")</f>
        <v/>
      </c>
      <c r="AB211" s="23" t="s">
        <v>4156</v>
      </c>
      <c r="AC211" s="23" t="s">
        <v>4157</v>
      </c>
      <c r="AD211" s="23" t="s">
        <v>2807</v>
      </c>
    </row>
    <row r="212" customFormat="false" ht="17.9" hidden="false" customHeight="false" outlineLevel="0" collapsed="false">
      <c r="A212" s="20" t="s">
        <v>1124</v>
      </c>
      <c r="B212" s="20" t="s">
        <v>109</v>
      </c>
      <c r="C212" s="20" t="s">
        <v>2798</v>
      </c>
      <c r="D212" s="20" t="s">
        <v>4158</v>
      </c>
      <c r="E212" s="20" t="s">
        <v>4159</v>
      </c>
      <c r="F212" s="20" t="s">
        <v>2833</v>
      </c>
      <c r="G212" s="20" t="s">
        <v>4160</v>
      </c>
      <c r="H212" s="22" t="n">
        <v>20.7</v>
      </c>
      <c r="I212" s="22" t="n">
        <v>20.7</v>
      </c>
      <c r="J212" s="22" t="n">
        <f aca="false">H212-I212</f>
        <v>0</v>
      </c>
      <c r="K212" s="20" t="str">
        <f aca="false">IF(ABS(J212)&lt;0.001,"MATCH - PAPER CHECK-IN NOT SUPPLIED","DATA MISMATCH")</f>
        <v>MATCH - PAPER CHECK-IN NOT SUPPLIED</v>
      </c>
      <c r="L212" s="22" t="n">
        <v>24</v>
      </c>
      <c r="M212" s="22" t="n">
        <f aca="false">ROUNDUP(H212,0)</f>
        <v>21</v>
      </c>
      <c r="N212" s="24" t="n">
        <f aca="false">MAX(L212,M212)</f>
        <v>24</v>
      </c>
      <c r="O212" s="25" t="n">
        <v>7.55</v>
      </c>
      <c r="P212" s="25" t="n">
        <f aca="false">N212*O212</f>
        <v>181.2</v>
      </c>
      <c r="Q212" s="23" t="s">
        <v>4161</v>
      </c>
      <c r="R212" s="23" t="s">
        <v>2804</v>
      </c>
      <c r="S212" s="24" t="n">
        <v>24</v>
      </c>
      <c r="T212" s="25" t="n">
        <v>7.55</v>
      </c>
      <c r="U212" s="25" t="n">
        <v>181.2</v>
      </c>
      <c r="V212" s="25" t="n">
        <f aca="false">P212-U212</f>
        <v>0</v>
      </c>
      <c r="W212" s="25" t="n">
        <f aca="false">V212*12</f>
        <v>0</v>
      </c>
      <c r="X212" s="23" t="str">
        <f aca="false">IF(Q212="","MISSING FROM EXPORT",IF(ABS(V212)&lt;0.005,"CLEAR",IF(V212&gt;0,"UNDERBILLING","OVERBILLING")))</f>
        <v>CLEAR</v>
      </c>
      <c r="Y212" s="25" t="n">
        <f aca="false">IF(F212="COMMERCIAL",ROUND(P212*0.35,2),0)</f>
        <v>0</v>
      </c>
      <c r="Z212" s="23" t="str">
        <f aca="false">IF(F212="COMMERCIAL","VERIFY SIGNED AGREEMENT","NO EXCEPTION")</f>
        <v>NO EXCEPTION</v>
      </c>
      <c r="AA212" s="23" t="str">
        <f aca="false">IF(AND(C212="covered",N212&gt;40),"COVERED &gt;40 FT","")</f>
        <v/>
      </c>
      <c r="AB212" s="23" t="s">
        <v>4162</v>
      </c>
      <c r="AC212" s="23" t="s">
        <v>4163</v>
      </c>
      <c r="AD212" s="23" t="s">
        <v>2807</v>
      </c>
    </row>
    <row r="213" customFormat="false" ht="17.9" hidden="false" customHeight="false" outlineLevel="0" collapsed="false">
      <c r="A213" s="20" t="s">
        <v>4164</v>
      </c>
      <c r="B213" s="20" t="s">
        <v>109</v>
      </c>
      <c r="C213" s="20" t="s">
        <v>2798</v>
      </c>
      <c r="D213" s="20" t="s">
        <v>529</v>
      </c>
      <c r="E213" s="20" t="s">
        <v>530</v>
      </c>
      <c r="F213" s="20" t="s">
        <v>2857</v>
      </c>
      <c r="G213" s="20" t="s">
        <v>4165</v>
      </c>
      <c r="H213" s="22" t="n">
        <v>55.1</v>
      </c>
      <c r="I213" s="22" t="n">
        <v>55.1</v>
      </c>
      <c r="J213" s="22" t="n">
        <f aca="false">H213-I213</f>
        <v>0</v>
      </c>
      <c r="K213" s="20" t="str">
        <f aca="false">IF(ABS(J213)&lt;0.001,"MATCH - PAPER CHECK-IN NOT SUPPLIED","DATA MISMATCH")</f>
        <v>MATCH - PAPER CHECK-IN NOT SUPPLIED</v>
      </c>
      <c r="L213" s="22" t="n">
        <v>28</v>
      </c>
      <c r="M213" s="22" t="n">
        <f aca="false">ROUNDUP(H213,0)</f>
        <v>56</v>
      </c>
      <c r="N213" s="24" t="n">
        <f aca="false">MAX(L213,M213)</f>
        <v>56</v>
      </c>
      <c r="O213" s="25" t="n">
        <v>7.55</v>
      </c>
      <c r="P213" s="25" t="n">
        <f aca="false">N213*O213</f>
        <v>422.8</v>
      </c>
      <c r="Q213" s="23" t="s">
        <v>4166</v>
      </c>
      <c r="R213" s="23" t="s">
        <v>2804</v>
      </c>
      <c r="S213" s="24" t="n">
        <v>56</v>
      </c>
      <c r="T213" s="25" t="n">
        <v>7.55</v>
      </c>
      <c r="U213" s="25" t="n">
        <v>422.8</v>
      </c>
      <c r="V213" s="25" t="n">
        <f aca="false">P213-U213</f>
        <v>0</v>
      </c>
      <c r="W213" s="25" t="n">
        <f aca="false">V213*12</f>
        <v>0</v>
      </c>
      <c r="X213" s="23" t="str">
        <f aca="false">IF(Q213="","MISSING FROM EXPORT",IF(ABS(V213)&lt;0.005,"CLEAR",IF(V213&gt;0,"UNDERBILLING","OVERBILLING")))</f>
        <v>CLEAR</v>
      </c>
      <c r="Y213" s="25" t="n">
        <f aca="false">IF(F213="COMMERCIAL",ROUND(P213*0.35,2),0)</f>
        <v>0</v>
      </c>
      <c r="Z213" s="23" t="str">
        <f aca="false">IF(F213="COMMERCIAL","VERIFY SIGNED AGREEMENT","NO EXCEPTION")</f>
        <v>NO EXCEPTION</v>
      </c>
      <c r="AA213" s="23" t="str">
        <f aca="false">IF(AND(C213="covered",N213&gt;40),"COVERED &gt;40 FT","")</f>
        <v/>
      </c>
      <c r="AB213" s="23" t="s">
        <v>4167</v>
      </c>
      <c r="AC213" s="23" t="s">
        <v>4168</v>
      </c>
      <c r="AD213" s="23" t="s">
        <v>2807</v>
      </c>
    </row>
    <row r="214" customFormat="false" ht="17.9" hidden="false" customHeight="false" outlineLevel="0" collapsed="false">
      <c r="A214" s="20" t="s">
        <v>4169</v>
      </c>
      <c r="B214" s="20" t="s">
        <v>109</v>
      </c>
      <c r="C214" s="20" t="s">
        <v>2798</v>
      </c>
      <c r="D214" s="20" t="s">
        <v>4170</v>
      </c>
      <c r="E214" s="20" t="s">
        <v>4171</v>
      </c>
      <c r="F214" s="20" t="s">
        <v>2810</v>
      </c>
      <c r="G214" s="20" t="s">
        <v>4172</v>
      </c>
      <c r="H214" s="22" t="n">
        <v>61.8</v>
      </c>
      <c r="I214" s="22" t="n">
        <v>61.8</v>
      </c>
      <c r="J214" s="22" t="n">
        <f aca="false">H214-I214</f>
        <v>0</v>
      </c>
      <c r="K214" s="20" t="str">
        <f aca="false">IF(ABS(J214)&lt;0.001,"MATCH - PAPER CHECK-IN NOT SUPPLIED","DATA MISMATCH")</f>
        <v>MATCH - PAPER CHECK-IN NOT SUPPLIED</v>
      </c>
      <c r="L214" s="22" t="n">
        <v>32</v>
      </c>
      <c r="M214" s="22" t="n">
        <f aca="false">ROUNDUP(H214,0)</f>
        <v>62</v>
      </c>
      <c r="N214" s="24" t="n">
        <f aca="false">MAX(L214,M214)</f>
        <v>62</v>
      </c>
      <c r="O214" s="25" t="n">
        <v>7.55</v>
      </c>
      <c r="P214" s="25" t="n">
        <f aca="false">N214*O214</f>
        <v>468.1</v>
      </c>
      <c r="Q214" s="23" t="s">
        <v>4173</v>
      </c>
      <c r="R214" s="23" t="s">
        <v>2804</v>
      </c>
      <c r="S214" s="24" t="n">
        <v>62</v>
      </c>
      <c r="T214" s="25" t="n">
        <v>7.55</v>
      </c>
      <c r="U214" s="25" t="n">
        <v>468.1</v>
      </c>
      <c r="V214" s="25" t="n">
        <f aca="false">P214-U214</f>
        <v>0</v>
      </c>
      <c r="W214" s="25" t="n">
        <f aca="false">V214*12</f>
        <v>0</v>
      </c>
      <c r="X214" s="23" t="str">
        <f aca="false">IF(Q214="","MISSING FROM EXPORT",IF(ABS(V214)&lt;0.005,"CLEAR",IF(V214&gt;0,"UNDERBILLING","OVERBILLING")))</f>
        <v>CLEAR</v>
      </c>
      <c r="Y214" s="25" t="n">
        <f aca="false">IF(F214="COMMERCIAL",ROUND(P214*0.35,2),0)</f>
        <v>0</v>
      </c>
      <c r="Z214" s="23" t="str">
        <f aca="false">IF(F214="COMMERCIAL","VERIFY SIGNED AGREEMENT","NO EXCEPTION")</f>
        <v>NO EXCEPTION</v>
      </c>
      <c r="AA214" s="23" t="str">
        <f aca="false">IF(AND(C214="covered",N214&gt;40),"COVERED &gt;40 FT","")</f>
        <v/>
      </c>
      <c r="AB214" s="23" t="s">
        <v>4174</v>
      </c>
      <c r="AC214" s="23" t="s">
        <v>4175</v>
      </c>
      <c r="AD214" s="23" t="s">
        <v>2807</v>
      </c>
    </row>
    <row r="215" customFormat="false" ht="17.9" hidden="false" customHeight="false" outlineLevel="0" collapsed="false">
      <c r="A215" s="20" t="s">
        <v>4176</v>
      </c>
      <c r="B215" s="20" t="s">
        <v>109</v>
      </c>
      <c r="C215" s="20" t="s">
        <v>2798</v>
      </c>
      <c r="D215" s="20" t="s">
        <v>4177</v>
      </c>
      <c r="E215" s="20" t="s">
        <v>4178</v>
      </c>
      <c r="F215" s="20" t="s">
        <v>2833</v>
      </c>
      <c r="G215" s="20" t="s">
        <v>4179</v>
      </c>
      <c r="H215" s="22" t="n">
        <v>60.8</v>
      </c>
      <c r="I215" s="22" t="n">
        <v>60.8</v>
      </c>
      <c r="J215" s="22" t="n">
        <f aca="false">H215-I215</f>
        <v>0</v>
      </c>
      <c r="K215" s="20" t="str">
        <f aca="false">IF(ABS(J215)&lt;0.001,"MATCH - PAPER CHECK-IN NOT SUPPLIED","DATA MISMATCH")</f>
        <v>MATCH - PAPER CHECK-IN NOT SUPPLIED</v>
      </c>
      <c r="L215" s="22" t="n">
        <v>28</v>
      </c>
      <c r="M215" s="22" t="n">
        <f aca="false">ROUNDUP(H215,0)</f>
        <v>61</v>
      </c>
      <c r="N215" s="24" t="n">
        <f aca="false">MAX(L215,M215)</f>
        <v>61</v>
      </c>
      <c r="O215" s="25" t="n">
        <v>7.55</v>
      </c>
      <c r="P215" s="25" t="n">
        <f aca="false">N215*O215</f>
        <v>460.55</v>
      </c>
      <c r="Q215" s="23" t="s">
        <v>4180</v>
      </c>
      <c r="R215" s="23" t="s">
        <v>2804</v>
      </c>
      <c r="S215" s="24" t="n">
        <v>61</v>
      </c>
      <c r="T215" s="25" t="n">
        <v>7.55</v>
      </c>
      <c r="U215" s="25" t="n">
        <v>460.55</v>
      </c>
      <c r="V215" s="25" t="n">
        <f aca="false">P215-U215</f>
        <v>0</v>
      </c>
      <c r="W215" s="25" t="n">
        <f aca="false">V215*12</f>
        <v>0</v>
      </c>
      <c r="X215" s="23" t="str">
        <f aca="false">IF(Q215="","MISSING FROM EXPORT",IF(ABS(V215)&lt;0.005,"CLEAR",IF(V215&gt;0,"UNDERBILLING","OVERBILLING")))</f>
        <v>CLEAR</v>
      </c>
      <c r="Y215" s="25" t="n">
        <f aca="false">IF(F215="COMMERCIAL",ROUND(P215*0.35,2),0)</f>
        <v>0</v>
      </c>
      <c r="Z215" s="23" t="str">
        <f aca="false">IF(F215="COMMERCIAL","VERIFY SIGNED AGREEMENT","NO EXCEPTION")</f>
        <v>NO EXCEPTION</v>
      </c>
      <c r="AA215" s="23" t="str">
        <f aca="false">IF(AND(C215="covered",N215&gt;40),"COVERED &gt;40 FT","")</f>
        <v/>
      </c>
      <c r="AB215" s="23" t="s">
        <v>4181</v>
      </c>
      <c r="AC215" s="23" t="s">
        <v>4182</v>
      </c>
      <c r="AD215" s="23" t="s">
        <v>2807</v>
      </c>
    </row>
    <row r="216" customFormat="false" ht="17.9" hidden="false" customHeight="false" outlineLevel="0" collapsed="false">
      <c r="A216" s="20" t="s">
        <v>4183</v>
      </c>
      <c r="B216" s="20" t="s">
        <v>109</v>
      </c>
      <c r="C216" s="20" t="s">
        <v>2798</v>
      </c>
      <c r="D216" s="20" t="s">
        <v>2300</v>
      </c>
      <c r="E216" s="20" t="s">
        <v>2301</v>
      </c>
      <c r="F216" s="20" t="s">
        <v>2857</v>
      </c>
      <c r="G216" s="20" t="s">
        <v>4184</v>
      </c>
      <c r="H216" s="22" t="n">
        <v>50.6</v>
      </c>
      <c r="I216" s="22" t="n">
        <v>50.6</v>
      </c>
      <c r="J216" s="22" t="n">
        <f aca="false">H216-I216</f>
        <v>0</v>
      </c>
      <c r="K216" s="20" t="str">
        <f aca="false">IF(ABS(J216)&lt;0.001,"MATCH - PAPER CHECK-IN NOT SUPPLIED","DATA MISMATCH")</f>
        <v>MATCH - PAPER CHECK-IN NOT SUPPLIED</v>
      </c>
      <c r="L216" s="22" t="n">
        <v>45</v>
      </c>
      <c r="M216" s="22" t="n">
        <f aca="false">ROUNDUP(H216,0)</f>
        <v>51</v>
      </c>
      <c r="N216" s="24" t="n">
        <f aca="false">MAX(L216,M216)</f>
        <v>51</v>
      </c>
      <c r="O216" s="25" t="n">
        <v>7.55</v>
      </c>
      <c r="P216" s="25" t="n">
        <f aca="false">N216*O216</f>
        <v>385.05</v>
      </c>
      <c r="Q216" s="23" t="s">
        <v>4185</v>
      </c>
      <c r="R216" s="23" t="s">
        <v>2804</v>
      </c>
      <c r="S216" s="24" t="n">
        <v>51</v>
      </c>
      <c r="T216" s="25" t="n">
        <v>7.55</v>
      </c>
      <c r="U216" s="25" t="n">
        <v>385.05</v>
      </c>
      <c r="V216" s="25" t="n">
        <f aca="false">P216-U216</f>
        <v>0</v>
      </c>
      <c r="W216" s="25" t="n">
        <f aca="false">V216*12</f>
        <v>0</v>
      </c>
      <c r="X216" s="23" t="str">
        <f aca="false">IF(Q216="","MISSING FROM EXPORT",IF(ABS(V216)&lt;0.005,"CLEAR",IF(V216&gt;0,"UNDERBILLING","OVERBILLING")))</f>
        <v>CLEAR</v>
      </c>
      <c r="Y216" s="25" t="n">
        <f aca="false">IF(F216="COMMERCIAL",ROUND(P216*0.35,2),0)</f>
        <v>0</v>
      </c>
      <c r="Z216" s="23" t="str">
        <f aca="false">IF(F216="COMMERCIAL","VERIFY SIGNED AGREEMENT","NO EXCEPTION")</f>
        <v>NO EXCEPTION</v>
      </c>
      <c r="AA216" s="23" t="str">
        <f aca="false">IF(AND(C216="covered",N216&gt;40),"COVERED &gt;40 FT","")</f>
        <v/>
      </c>
      <c r="AB216" s="23" t="s">
        <v>4186</v>
      </c>
      <c r="AC216" s="23" t="s">
        <v>4187</v>
      </c>
      <c r="AD216" s="23" t="s">
        <v>2807</v>
      </c>
    </row>
    <row r="217" customFormat="false" ht="17.9" hidden="false" customHeight="false" outlineLevel="0" collapsed="false">
      <c r="A217" s="20" t="s">
        <v>724</v>
      </c>
      <c r="B217" s="20" t="s">
        <v>109</v>
      </c>
      <c r="C217" s="20" t="s">
        <v>2798</v>
      </c>
      <c r="D217" s="20" t="s">
        <v>1100</v>
      </c>
      <c r="E217" s="20" t="s">
        <v>4188</v>
      </c>
      <c r="F217" s="20" t="s">
        <v>2818</v>
      </c>
      <c r="G217" s="20" t="s">
        <v>4189</v>
      </c>
      <c r="H217" s="22" t="n">
        <v>57.5</v>
      </c>
      <c r="I217" s="22" t="n">
        <v>57.5</v>
      </c>
      <c r="J217" s="22" t="n">
        <f aca="false">H217-I217</f>
        <v>0</v>
      </c>
      <c r="K217" s="20" t="str">
        <f aca="false">IF(ABS(J217)&lt;0.001,"MATCH - PAPER CHECK-IN NOT SUPPLIED","DATA MISMATCH")</f>
        <v>MATCH - PAPER CHECK-IN NOT SUPPLIED</v>
      </c>
      <c r="L217" s="22" t="n">
        <v>70</v>
      </c>
      <c r="M217" s="22" t="n">
        <f aca="false">ROUNDUP(H217,0)</f>
        <v>58</v>
      </c>
      <c r="N217" s="24" t="n">
        <f aca="false">MAX(L217,M217)</f>
        <v>70</v>
      </c>
      <c r="O217" s="25" t="n">
        <v>7.55</v>
      </c>
      <c r="P217" s="25" t="n">
        <f aca="false">N217*O217</f>
        <v>528.5</v>
      </c>
      <c r="Q217" s="23" t="s">
        <v>4190</v>
      </c>
      <c r="R217" s="23" t="s">
        <v>2804</v>
      </c>
      <c r="S217" s="24" t="n">
        <v>70</v>
      </c>
      <c r="T217" s="25" t="n">
        <v>7.55</v>
      </c>
      <c r="U217" s="25" t="n">
        <v>528.5</v>
      </c>
      <c r="V217" s="25" t="n">
        <f aca="false">P217-U217</f>
        <v>0</v>
      </c>
      <c r="W217" s="25" t="n">
        <f aca="false">V217*12</f>
        <v>0</v>
      </c>
      <c r="X217" s="23" t="str">
        <f aca="false">IF(Q217="","MISSING FROM EXPORT",IF(ABS(V217)&lt;0.005,"CLEAR",IF(V217&gt;0,"UNDERBILLING","OVERBILLING")))</f>
        <v>CLEAR</v>
      </c>
      <c r="Y217" s="25" t="n">
        <f aca="false">IF(F217="COMMERCIAL",ROUND(P217*0.35,2),0)</f>
        <v>0</v>
      </c>
      <c r="Z217" s="23" t="str">
        <f aca="false">IF(F217="COMMERCIAL","VERIFY SIGNED AGREEMENT","NO EXCEPTION")</f>
        <v>NO EXCEPTION</v>
      </c>
      <c r="AA217" s="23" t="str">
        <f aca="false">IF(AND(C217="covered",N217&gt;40),"COVERED &gt;40 FT","")</f>
        <v/>
      </c>
      <c r="AB217" s="23" t="s">
        <v>4191</v>
      </c>
      <c r="AC217" s="23" t="s">
        <v>4192</v>
      </c>
      <c r="AD217" s="23" t="s">
        <v>2807</v>
      </c>
    </row>
    <row r="218" customFormat="false" ht="17.9" hidden="false" customHeight="false" outlineLevel="0" collapsed="false">
      <c r="A218" s="20" t="s">
        <v>1008</v>
      </c>
      <c r="B218" s="20" t="s">
        <v>109</v>
      </c>
      <c r="C218" s="20" t="s">
        <v>2798</v>
      </c>
      <c r="D218" s="20" t="s">
        <v>1389</v>
      </c>
      <c r="E218" s="20" t="s">
        <v>4193</v>
      </c>
      <c r="F218" s="20" t="s">
        <v>2810</v>
      </c>
      <c r="G218" s="20" t="s">
        <v>4194</v>
      </c>
      <c r="H218" s="22" t="n">
        <v>39</v>
      </c>
      <c r="I218" s="22" t="n">
        <v>39</v>
      </c>
      <c r="J218" s="22" t="n">
        <f aca="false">H218-I218</f>
        <v>0</v>
      </c>
      <c r="K218" s="20" t="str">
        <f aca="false">IF(ABS(J218)&lt;0.001,"MATCH - PAPER CHECK-IN NOT SUPPLIED","DATA MISMATCH")</f>
        <v>MATCH - PAPER CHECK-IN NOT SUPPLIED</v>
      </c>
      <c r="L218" s="22" t="n">
        <v>32</v>
      </c>
      <c r="M218" s="22" t="n">
        <f aca="false">ROUNDUP(H218,0)</f>
        <v>39</v>
      </c>
      <c r="N218" s="24" t="n">
        <f aca="false">MAX(L218,M218)</f>
        <v>39</v>
      </c>
      <c r="O218" s="25" t="n">
        <v>7.55</v>
      </c>
      <c r="P218" s="25" t="n">
        <f aca="false">N218*O218</f>
        <v>294.45</v>
      </c>
      <c r="Q218" s="23" t="s">
        <v>4195</v>
      </c>
      <c r="R218" s="23" t="s">
        <v>2804</v>
      </c>
      <c r="S218" s="24" t="n">
        <v>39</v>
      </c>
      <c r="T218" s="25" t="n">
        <v>7.55</v>
      </c>
      <c r="U218" s="25" t="n">
        <v>294.45</v>
      </c>
      <c r="V218" s="25" t="n">
        <f aca="false">P218-U218</f>
        <v>0</v>
      </c>
      <c r="W218" s="25" t="n">
        <f aca="false">V218*12</f>
        <v>0</v>
      </c>
      <c r="X218" s="23" t="str">
        <f aca="false">IF(Q218="","MISSING FROM EXPORT",IF(ABS(V218)&lt;0.005,"CLEAR",IF(V218&gt;0,"UNDERBILLING","OVERBILLING")))</f>
        <v>CLEAR</v>
      </c>
      <c r="Y218" s="25" t="n">
        <f aca="false">IF(F218="COMMERCIAL",ROUND(P218*0.35,2),0)</f>
        <v>0</v>
      </c>
      <c r="Z218" s="23" t="str">
        <f aca="false">IF(F218="COMMERCIAL","VERIFY SIGNED AGREEMENT","NO EXCEPTION")</f>
        <v>NO EXCEPTION</v>
      </c>
      <c r="AA218" s="23" t="str">
        <f aca="false">IF(AND(C218="covered",N218&gt;40),"COVERED &gt;40 FT","")</f>
        <v/>
      </c>
      <c r="AB218" s="23" t="s">
        <v>4196</v>
      </c>
      <c r="AC218" s="23" t="s">
        <v>4197</v>
      </c>
      <c r="AD218" s="23" t="s">
        <v>2807</v>
      </c>
    </row>
    <row r="219" customFormat="false" ht="17.9" hidden="false" customHeight="false" outlineLevel="0" collapsed="false">
      <c r="A219" s="20" t="s">
        <v>4198</v>
      </c>
      <c r="B219" s="20" t="s">
        <v>109</v>
      </c>
      <c r="C219" s="20" t="s">
        <v>2798</v>
      </c>
      <c r="D219" s="20" t="s">
        <v>4199</v>
      </c>
      <c r="E219" s="20" t="s">
        <v>4200</v>
      </c>
      <c r="F219" s="20" t="s">
        <v>2833</v>
      </c>
      <c r="G219" s="20" t="s">
        <v>4201</v>
      </c>
      <c r="H219" s="22" t="n">
        <v>26.5</v>
      </c>
      <c r="I219" s="22" t="n">
        <v>26.5</v>
      </c>
      <c r="J219" s="22" t="n">
        <f aca="false">H219-I219</f>
        <v>0</v>
      </c>
      <c r="K219" s="20" t="str">
        <f aca="false">IF(ABS(J219)&lt;0.001,"MATCH - PAPER CHECK-IN NOT SUPPLIED","DATA MISMATCH")</f>
        <v>MATCH - PAPER CHECK-IN NOT SUPPLIED</v>
      </c>
      <c r="L219" s="22" t="n">
        <v>60</v>
      </c>
      <c r="M219" s="22" t="n">
        <f aca="false">ROUNDUP(H219,0)</f>
        <v>27</v>
      </c>
      <c r="N219" s="24" t="n">
        <f aca="false">MAX(L219,M219)</f>
        <v>60</v>
      </c>
      <c r="O219" s="25" t="n">
        <v>7.55</v>
      </c>
      <c r="P219" s="25" t="n">
        <f aca="false">N219*O219</f>
        <v>453</v>
      </c>
      <c r="Q219" s="23" t="s">
        <v>4202</v>
      </c>
      <c r="R219" s="23" t="s">
        <v>2804</v>
      </c>
      <c r="S219" s="24" t="n">
        <v>60</v>
      </c>
      <c r="T219" s="25" t="n">
        <v>7.55</v>
      </c>
      <c r="U219" s="25" t="n">
        <v>453</v>
      </c>
      <c r="V219" s="25" t="n">
        <f aca="false">P219-U219</f>
        <v>0</v>
      </c>
      <c r="W219" s="25" t="n">
        <f aca="false">V219*12</f>
        <v>0</v>
      </c>
      <c r="X219" s="23" t="str">
        <f aca="false">IF(Q219="","MISSING FROM EXPORT",IF(ABS(V219)&lt;0.005,"CLEAR",IF(V219&gt;0,"UNDERBILLING","OVERBILLING")))</f>
        <v>CLEAR</v>
      </c>
      <c r="Y219" s="25" t="n">
        <f aca="false">IF(F219="COMMERCIAL",ROUND(P219*0.35,2),0)</f>
        <v>0</v>
      </c>
      <c r="Z219" s="23" t="str">
        <f aca="false">IF(F219="COMMERCIAL","VERIFY SIGNED AGREEMENT","NO EXCEPTION")</f>
        <v>NO EXCEPTION</v>
      </c>
      <c r="AA219" s="23" t="str">
        <f aca="false">IF(AND(C219="covered",N219&gt;40),"COVERED &gt;40 FT","")</f>
        <v/>
      </c>
      <c r="AB219" s="23" t="s">
        <v>4203</v>
      </c>
      <c r="AC219" s="23" t="s">
        <v>4204</v>
      </c>
      <c r="AD219" s="23" t="s">
        <v>2807</v>
      </c>
    </row>
    <row r="220" customFormat="false" ht="17.9" hidden="false" customHeight="false" outlineLevel="0" collapsed="false">
      <c r="A220" s="20" t="s">
        <v>4205</v>
      </c>
      <c r="B220" s="20" t="s">
        <v>109</v>
      </c>
      <c r="C220" s="20" t="s">
        <v>2798</v>
      </c>
      <c r="D220" s="20" t="s">
        <v>4206</v>
      </c>
      <c r="E220" s="20" t="s">
        <v>4207</v>
      </c>
      <c r="F220" s="20" t="s">
        <v>2898</v>
      </c>
      <c r="G220" s="20" t="s">
        <v>4208</v>
      </c>
      <c r="H220" s="22" t="n">
        <v>33.7</v>
      </c>
      <c r="I220" s="22" t="n">
        <v>33.7</v>
      </c>
      <c r="J220" s="22" t="n">
        <f aca="false">H220-I220</f>
        <v>0</v>
      </c>
      <c r="K220" s="20" t="str">
        <f aca="false">IF(ABS(J220)&lt;0.001,"MATCH - PAPER CHECK-IN NOT SUPPLIED","DATA MISMATCH")</f>
        <v>MATCH - PAPER CHECK-IN NOT SUPPLIED</v>
      </c>
      <c r="L220" s="22" t="n">
        <v>24</v>
      </c>
      <c r="M220" s="22" t="n">
        <f aca="false">ROUNDUP(H220,0)</f>
        <v>34</v>
      </c>
      <c r="N220" s="24" t="n">
        <f aca="false">MAX(L220,M220)</f>
        <v>34</v>
      </c>
      <c r="O220" s="25" t="n">
        <v>7.55</v>
      </c>
      <c r="P220" s="25" t="n">
        <f aca="false">N220*O220</f>
        <v>256.7</v>
      </c>
      <c r="Q220" s="23" t="s">
        <v>4209</v>
      </c>
      <c r="R220" s="23" t="s">
        <v>2804</v>
      </c>
      <c r="S220" s="24" t="n">
        <v>34</v>
      </c>
      <c r="T220" s="25" t="n">
        <v>7.55</v>
      </c>
      <c r="U220" s="25" t="n">
        <v>256.7</v>
      </c>
      <c r="V220" s="25" t="n">
        <f aca="false">P220-U220</f>
        <v>0</v>
      </c>
      <c r="W220" s="25" t="n">
        <f aca="false">V220*12</f>
        <v>0</v>
      </c>
      <c r="X220" s="23" t="str">
        <f aca="false">IF(Q220="","MISSING FROM EXPORT",IF(ABS(V220)&lt;0.005,"CLEAR",IF(V220&gt;0,"UNDERBILLING","OVERBILLING")))</f>
        <v>CLEAR</v>
      </c>
      <c r="Y220" s="25" t="n">
        <f aca="false">IF(F220="COMMERCIAL",ROUND(P220*0.35,2),0)</f>
        <v>0</v>
      </c>
      <c r="Z220" s="23" t="str">
        <f aca="false">IF(F220="COMMERCIAL","VERIFY SIGNED AGREEMENT","NO EXCEPTION")</f>
        <v>NO EXCEPTION</v>
      </c>
      <c r="AA220" s="23" t="str">
        <f aca="false">IF(AND(C220="covered",N220&gt;40),"COVERED &gt;40 FT","")</f>
        <v/>
      </c>
      <c r="AB220" s="23" t="s">
        <v>4210</v>
      </c>
      <c r="AC220" s="23" t="s">
        <v>4211</v>
      </c>
      <c r="AD220" s="23" t="s">
        <v>2807</v>
      </c>
    </row>
    <row r="221" customFormat="false" ht="17.9" hidden="false" customHeight="false" outlineLevel="0" collapsed="false">
      <c r="A221" s="20" t="s">
        <v>4212</v>
      </c>
      <c r="B221" s="20" t="s">
        <v>119</v>
      </c>
      <c r="C221" s="20" t="s">
        <v>2798</v>
      </c>
      <c r="D221" s="20" t="s">
        <v>4213</v>
      </c>
      <c r="E221" s="20" t="s">
        <v>4214</v>
      </c>
      <c r="F221" s="20" t="s">
        <v>2934</v>
      </c>
      <c r="G221" s="20" t="s">
        <v>2811</v>
      </c>
      <c r="H221" s="22" t="n">
        <v>43.8</v>
      </c>
      <c r="I221" s="22" t="n">
        <v>43.8</v>
      </c>
      <c r="J221" s="22" t="n">
        <f aca="false">H221-I221</f>
        <v>0</v>
      </c>
      <c r="K221" s="20" t="str">
        <f aca="false">IF(ABS(J221)&lt;0.001,"MATCH - PAPER CHECK-IN NOT SUPPLIED","DATA MISMATCH")</f>
        <v>MATCH - PAPER CHECK-IN NOT SUPPLIED</v>
      </c>
      <c r="L221" s="22" t="n">
        <v>40</v>
      </c>
      <c r="M221" s="22" t="n">
        <f aca="false">ROUNDUP(H221,0)</f>
        <v>44</v>
      </c>
      <c r="N221" s="24" t="n">
        <f aca="false">MAX(L221,M221)</f>
        <v>44</v>
      </c>
      <c r="O221" s="25" t="n">
        <v>7.55</v>
      </c>
      <c r="P221" s="25" t="n">
        <f aca="false">N221*O221</f>
        <v>332.2</v>
      </c>
      <c r="Q221" s="23" t="s">
        <v>4215</v>
      </c>
      <c r="R221" s="23" t="s">
        <v>2804</v>
      </c>
      <c r="S221" s="24" t="n">
        <v>44</v>
      </c>
      <c r="T221" s="25" t="n">
        <v>7.55</v>
      </c>
      <c r="U221" s="25" t="n">
        <v>332.2</v>
      </c>
      <c r="V221" s="25" t="n">
        <f aca="false">P221-U221</f>
        <v>0</v>
      </c>
      <c r="W221" s="25" t="n">
        <f aca="false">V221*12</f>
        <v>0</v>
      </c>
      <c r="X221" s="23" t="str">
        <f aca="false">IF(Q221="","MISSING FROM EXPORT",IF(ABS(V221)&lt;0.005,"CLEAR",IF(V221&gt;0,"UNDERBILLING","OVERBILLING")))</f>
        <v>CLEAR</v>
      </c>
      <c r="Y221" s="25" t="n">
        <f aca="false">IF(F221="COMMERCIAL",ROUND(P221*0.35,2),0)</f>
        <v>116.27</v>
      </c>
      <c r="Z221" s="23" t="str">
        <f aca="false">IF(F221="COMMERCIAL","VERIFY SIGNED AGREEMENT","NO EXCEPTION")</f>
        <v>VERIFY SIGNED AGREEMENT</v>
      </c>
      <c r="AA221" s="23" t="str">
        <f aca="false">IF(AND(C221="covered",N221&gt;40),"COVERED &gt;40 FT","")</f>
        <v/>
      </c>
      <c r="AB221" s="23" t="s">
        <v>4216</v>
      </c>
      <c r="AC221" s="23" t="s">
        <v>4217</v>
      </c>
      <c r="AD221" s="23" t="s">
        <v>2807</v>
      </c>
    </row>
    <row r="222" customFormat="false" ht="17.9" hidden="false" customHeight="false" outlineLevel="0" collapsed="false">
      <c r="A222" s="20" t="s">
        <v>1325</v>
      </c>
      <c r="B222" s="20" t="s">
        <v>119</v>
      </c>
      <c r="C222" s="20" t="s">
        <v>2798</v>
      </c>
      <c r="D222" s="20" t="s">
        <v>4218</v>
      </c>
      <c r="E222" s="20" t="s">
        <v>4219</v>
      </c>
      <c r="F222" s="20" t="s">
        <v>2857</v>
      </c>
      <c r="G222" s="20" t="s">
        <v>2819</v>
      </c>
      <c r="H222" s="22" t="n">
        <v>21.9</v>
      </c>
      <c r="I222" s="22" t="n">
        <v>21.9</v>
      </c>
      <c r="J222" s="22" t="n">
        <f aca="false">H222-I222</f>
        <v>0</v>
      </c>
      <c r="K222" s="20" t="str">
        <f aca="false">IF(ABS(J222)&lt;0.001,"MATCH - PAPER CHECK-IN NOT SUPPLIED","DATA MISMATCH")</f>
        <v>MATCH - PAPER CHECK-IN NOT SUPPLIED</v>
      </c>
      <c r="L222" s="22" t="n">
        <v>45</v>
      </c>
      <c r="M222" s="22" t="n">
        <f aca="false">ROUNDUP(H222,0)</f>
        <v>22</v>
      </c>
      <c r="N222" s="24" t="n">
        <f aca="false">MAX(L222,M222)</f>
        <v>45</v>
      </c>
      <c r="O222" s="25" t="n">
        <v>7.55</v>
      </c>
      <c r="P222" s="25" t="n">
        <f aca="false">N222*O222</f>
        <v>339.75</v>
      </c>
      <c r="Q222" s="23" t="s">
        <v>4220</v>
      </c>
      <c r="R222" s="23" t="s">
        <v>2804</v>
      </c>
      <c r="S222" s="24" t="n">
        <v>45</v>
      </c>
      <c r="T222" s="25" t="n">
        <v>7.55</v>
      </c>
      <c r="U222" s="25" t="n">
        <v>339.75</v>
      </c>
      <c r="V222" s="25" t="n">
        <f aca="false">P222-U222</f>
        <v>0</v>
      </c>
      <c r="W222" s="25" t="n">
        <f aca="false">V222*12</f>
        <v>0</v>
      </c>
      <c r="X222" s="23" t="str">
        <f aca="false">IF(Q222="","MISSING FROM EXPORT",IF(ABS(V222)&lt;0.005,"CLEAR",IF(V222&gt;0,"UNDERBILLING","OVERBILLING")))</f>
        <v>CLEAR</v>
      </c>
      <c r="Y222" s="25" t="n">
        <f aca="false">IF(F222="COMMERCIAL",ROUND(P222*0.35,2),0)</f>
        <v>0</v>
      </c>
      <c r="Z222" s="23" t="str">
        <f aca="false">IF(F222="COMMERCIAL","VERIFY SIGNED AGREEMENT","NO EXCEPTION")</f>
        <v>NO EXCEPTION</v>
      </c>
      <c r="AA222" s="23" t="str">
        <f aca="false">IF(AND(C222="covered",N222&gt;40),"COVERED &gt;40 FT","")</f>
        <v/>
      </c>
      <c r="AB222" s="23" t="s">
        <v>4221</v>
      </c>
      <c r="AC222" s="23" t="s">
        <v>4222</v>
      </c>
      <c r="AD222" s="23" t="s">
        <v>2807</v>
      </c>
    </row>
    <row r="223" customFormat="false" ht="17.9" hidden="false" customHeight="false" outlineLevel="0" collapsed="false">
      <c r="A223" s="20" t="s">
        <v>4223</v>
      </c>
      <c r="B223" s="20" t="s">
        <v>119</v>
      </c>
      <c r="C223" s="20" t="s">
        <v>2798</v>
      </c>
      <c r="D223" s="20" t="s">
        <v>4224</v>
      </c>
      <c r="E223" s="20" t="s">
        <v>4225</v>
      </c>
      <c r="F223" s="20" t="s">
        <v>2857</v>
      </c>
      <c r="G223" s="20" t="s">
        <v>4226</v>
      </c>
      <c r="H223" s="22" t="n">
        <v>49.6</v>
      </c>
      <c r="I223" s="22" t="n">
        <v>49.6</v>
      </c>
      <c r="J223" s="22" t="n">
        <f aca="false">H223-I223</f>
        <v>0</v>
      </c>
      <c r="K223" s="20" t="str">
        <f aca="false">IF(ABS(J223)&lt;0.001,"MATCH - PAPER CHECK-IN NOT SUPPLIED","DATA MISMATCH")</f>
        <v>MATCH - PAPER CHECK-IN NOT SUPPLIED</v>
      </c>
      <c r="L223" s="22" t="n">
        <v>40</v>
      </c>
      <c r="M223" s="22" t="n">
        <f aca="false">ROUNDUP(H223,0)</f>
        <v>50</v>
      </c>
      <c r="N223" s="24" t="n">
        <f aca="false">MAX(L223,M223)</f>
        <v>50</v>
      </c>
      <c r="O223" s="25" t="n">
        <v>7.55</v>
      </c>
      <c r="P223" s="25" t="n">
        <f aca="false">N223*O223</f>
        <v>377.5</v>
      </c>
      <c r="Q223" s="23" t="s">
        <v>4227</v>
      </c>
      <c r="R223" s="23" t="s">
        <v>2804</v>
      </c>
      <c r="S223" s="24" t="n">
        <v>50</v>
      </c>
      <c r="T223" s="25" t="n">
        <v>7.55</v>
      </c>
      <c r="U223" s="25" t="n">
        <v>377.5</v>
      </c>
      <c r="V223" s="25" t="n">
        <f aca="false">P223-U223</f>
        <v>0</v>
      </c>
      <c r="W223" s="25" t="n">
        <f aca="false">V223*12</f>
        <v>0</v>
      </c>
      <c r="X223" s="23" t="str">
        <f aca="false">IF(Q223="","MISSING FROM EXPORT",IF(ABS(V223)&lt;0.005,"CLEAR",IF(V223&gt;0,"UNDERBILLING","OVERBILLING")))</f>
        <v>CLEAR</v>
      </c>
      <c r="Y223" s="25" t="n">
        <f aca="false">IF(F223="COMMERCIAL",ROUND(P223*0.35,2),0)</f>
        <v>0</v>
      </c>
      <c r="Z223" s="23" t="str">
        <f aca="false">IF(F223="COMMERCIAL","VERIFY SIGNED AGREEMENT","NO EXCEPTION")</f>
        <v>NO EXCEPTION</v>
      </c>
      <c r="AA223" s="23" t="str">
        <f aca="false">IF(AND(C223="covered",N223&gt;40),"COVERED &gt;40 FT","")</f>
        <v/>
      </c>
      <c r="AB223" s="23" t="s">
        <v>4228</v>
      </c>
      <c r="AC223" s="23" t="s">
        <v>4229</v>
      </c>
      <c r="AD223" s="23" t="s">
        <v>2807</v>
      </c>
    </row>
    <row r="224" customFormat="false" ht="17.9" hidden="false" customHeight="false" outlineLevel="0" collapsed="false">
      <c r="A224" s="20" t="s">
        <v>1629</v>
      </c>
      <c r="B224" s="20" t="s">
        <v>119</v>
      </c>
      <c r="C224" s="20" t="s">
        <v>2798</v>
      </c>
      <c r="D224" s="20" t="s">
        <v>4230</v>
      </c>
      <c r="E224" s="20" t="s">
        <v>4231</v>
      </c>
      <c r="F224" s="20" t="s">
        <v>2833</v>
      </c>
      <c r="G224" s="20" t="s">
        <v>2826</v>
      </c>
      <c r="H224" s="22" t="n">
        <v>35.5</v>
      </c>
      <c r="I224" s="22" t="n">
        <v>35.5</v>
      </c>
      <c r="J224" s="22" t="n">
        <f aca="false">H224-I224</f>
        <v>0</v>
      </c>
      <c r="K224" s="20" t="str">
        <f aca="false">IF(ABS(J224)&lt;0.001,"MATCH - PAPER CHECK-IN NOT SUPPLIED","DATA MISMATCH")</f>
        <v>MATCH - PAPER CHECK-IN NOT SUPPLIED</v>
      </c>
      <c r="L224" s="22" t="n">
        <v>60</v>
      </c>
      <c r="M224" s="22" t="n">
        <f aca="false">ROUNDUP(H224,0)</f>
        <v>36</v>
      </c>
      <c r="N224" s="24" t="n">
        <f aca="false">MAX(L224,M224)</f>
        <v>60</v>
      </c>
      <c r="O224" s="25" t="n">
        <v>7.55</v>
      </c>
      <c r="P224" s="25" t="n">
        <f aca="false">N224*O224</f>
        <v>453</v>
      </c>
      <c r="Q224" s="23" t="s">
        <v>4232</v>
      </c>
      <c r="R224" s="23" t="s">
        <v>2804</v>
      </c>
      <c r="S224" s="24" t="n">
        <v>60</v>
      </c>
      <c r="T224" s="25" t="n">
        <v>7.55</v>
      </c>
      <c r="U224" s="25" t="n">
        <v>453</v>
      </c>
      <c r="V224" s="25" t="n">
        <f aca="false">P224-U224</f>
        <v>0</v>
      </c>
      <c r="W224" s="25" t="n">
        <f aca="false">V224*12</f>
        <v>0</v>
      </c>
      <c r="X224" s="23" t="str">
        <f aca="false">IF(Q224="","MISSING FROM EXPORT",IF(ABS(V224)&lt;0.005,"CLEAR",IF(V224&gt;0,"UNDERBILLING","OVERBILLING")))</f>
        <v>CLEAR</v>
      </c>
      <c r="Y224" s="25" t="n">
        <f aca="false">IF(F224="COMMERCIAL",ROUND(P224*0.35,2),0)</f>
        <v>0</v>
      </c>
      <c r="Z224" s="23" t="str">
        <f aca="false">IF(F224="COMMERCIAL","VERIFY SIGNED AGREEMENT","NO EXCEPTION")</f>
        <v>NO EXCEPTION</v>
      </c>
      <c r="AA224" s="23" t="str">
        <f aca="false">IF(AND(C224="covered",N224&gt;40),"COVERED &gt;40 FT","")</f>
        <v/>
      </c>
      <c r="AB224" s="23" t="s">
        <v>4233</v>
      </c>
      <c r="AC224" s="23" t="s">
        <v>4234</v>
      </c>
      <c r="AD224" s="23" t="s">
        <v>2807</v>
      </c>
    </row>
    <row r="225" customFormat="false" ht="17.9" hidden="false" customHeight="false" outlineLevel="0" collapsed="false">
      <c r="A225" s="20" t="s">
        <v>4235</v>
      </c>
      <c r="B225" s="20" t="s">
        <v>119</v>
      </c>
      <c r="C225" s="20" t="s">
        <v>2798</v>
      </c>
      <c r="D225" s="20" t="s">
        <v>4236</v>
      </c>
      <c r="E225" s="20" t="s">
        <v>4237</v>
      </c>
      <c r="F225" s="20" t="s">
        <v>2833</v>
      </c>
      <c r="G225" s="20" t="s">
        <v>2834</v>
      </c>
      <c r="H225" s="22" t="n">
        <v>40.5</v>
      </c>
      <c r="I225" s="22" t="n">
        <v>40.5</v>
      </c>
      <c r="J225" s="22" t="n">
        <f aca="false">H225-I225</f>
        <v>0</v>
      </c>
      <c r="K225" s="20" t="str">
        <f aca="false">IF(ABS(J225)&lt;0.001,"MATCH - PAPER CHECK-IN NOT SUPPLIED","DATA MISMATCH")</f>
        <v>MATCH - PAPER CHECK-IN NOT SUPPLIED</v>
      </c>
      <c r="L225" s="22" t="n">
        <v>80</v>
      </c>
      <c r="M225" s="22" t="n">
        <f aca="false">ROUNDUP(H225,0)</f>
        <v>41</v>
      </c>
      <c r="N225" s="24" t="n">
        <f aca="false">MAX(L225,M225)</f>
        <v>80</v>
      </c>
      <c r="O225" s="25" t="n">
        <v>7.55</v>
      </c>
      <c r="P225" s="25" t="n">
        <f aca="false">N225*O225</f>
        <v>604</v>
      </c>
      <c r="Q225" s="23" t="s">
        <v>4238</v>
      </c>
      <c r="R225" s="23" t="s">
        <v>2804</v>
      </c>
      <c r="S225" s="24" t="n">
        <v>80</v>
      </c>
      <c r="T225" s="25" t="n">
        <v>7.55</v>
      </c>
      <c r="U225" s="25" t="n">
        <v>604</v>
      </c>
      <c r="V225" s="25" t="n">
        <f aca="false">P225-U225</f>
        <v>0</v>
      </c>
      <c r="W225" s="25" t="n">
        <f aca="false">V225*12</f>
        <v>0</v>
      </c>
      <c r="X225" s="23" t="str">
        <f aca="false">IF(Q225="","MISSING FROM EXPORT",IF(ABS(V225)&lt;0.005,"CLEAR",IF(V225&gt;0,"UNDERBILLING","OVERBILLING")))</f>
        <v>CLEAR</v>
      </c>
      <c r="Y225" s="25" t="n">
        <f aca="false">IF(F225="COMMERCIAL",ROUND(P225*0.35,2),0)</f>
        <v>0</v>
      </c>
      <c r="Z225" s="23" t="str">
        <f aca="false">IF(F225="COMMERCIAL","VERIFY SIGNED AGREEMENT","NO EXCEPTION")</f>
        <v>NO EXCEPTION</v>
      </c>
      <c r="AA225" s="23" t="str">
        <f aca="false">IF(AND(C225="covered",N225&gt;40),"COVERED &gt;40 FT","")</f>
        <v/>
      </c>
      <c r="AB225" s="23" t="s">
        <v>4239</v>
      </c>
      <c r="AC225" s="23" t="s">
        <v>4240</v>
      </c>
      <c r="AD225" s="23" t="s">
        <v>2807</v>
      </c>
    </row>
    <row r="226" customFormat="false" ht="17.9" hidden="false" customHeight="false" outlineLevel="0" collapsed="false">
      <c r="A226" s="20" t="s">
        <v>4241</v>
      </c>
      <c r="B226" s="20" t="s">
        <v>119</v>
      </c>
      <c r="C226" s="20" t="s">
        <v>2798</v>
      </c>
      <c r="D226" s="20" t="s">
        <v>4242</v>
      </c>
      <c r="E226" s="20" t="s">
        <v>4243</v>
      </c>
      <c r="F226" s="20" t="s">
        <v>2857</v>
      </c>
      <c r="G226" s="20" t="s">
        <v>2845</v>
      </c>
      <c r="H226" s="22" t="n">
        <v>46.9</v>
      </c>
      <c r="I226" s="22" t="n">
        <v>46.9</v>
      </c>
      <c r="J226" s="22" t="n">
        <f aca="false">H226-I226</f>
        <v>0</v>
      </c>
      <c r="K226" s="20" t="str">
        <f aca="false">IF(ABS(J226)&lt;0.001,"MATCH - PAPER CHECK-IN NOT SUPPLIED","DATA MISMATCH")</f>
        <v>MATCH - PAPER CHECK-IN NOT SUPPLIED</v>
      </c>
      <c r="L226" s="22" t="n">
        <v>32</v>
      </c>
      <c r="M226" s="22" t="n">
        <f aca="false">ROUNDUP(H226,0)</f>
        <v>47</v>
      </c>
      <c r="N226" s="24" t="n">
        <f aca="false">MAX(L226,M226)</f>
        <v>47</v>
      </c>
      <c r="O226" s="25" t="n">
        <v>7.55</v>
      </c>
      <c r="P226" s="25" t="n">
        <f aca="false">N226*O226</f>
        <v>354.85</v>
      </c>
      <c r="Q226" s="23" t="s">
        <v>4244</v>
      </c>
      <c r="R226" s="23" t="s">
        <v>2804</v>
      </c>
      <c r="S226" s="24" t="n">
        <v>47</v>
      </c>
      <c r="T226" s="25" t="n">
        <v>7.55</v>
      </c>
      <c r="U226" s="25" t="n">
        <v>354.85</v>
      </c>
      <c r="V226" s="25" t="n">
        <f aca="false">P226-U226</f>
        <v>0</v>
      </c>
      <c r="W226" s="25" t="n">
        <f aca="false">V226*12</f>
        <v>0</v>
      </c>
      <c r="X226" s="23" t="str">
        <f aca="false">IF(Q226="","MISSING FROM EXPORT",IF(ABS(V226)&lt;0.005,"CLEAR",IF(V226&gt;0,"UNDERBILLING","OVERBILLING")))</f>
        <v>CLEAR</v>
      </c>
      <c r="Y226" s="25" t="n">
        <f aca="false">IF(F226="COMMERCIAL",ROUND(P226*0.35,2),0)</f>
        <v>0</v>
      </c>
      <c r="Z226" s="23" t="str">
        <f aca="false">IF(F226="COMMERCIAL","VERIFY SIGNED AGREEMENT","NO EXCEPTION")</f>
        <v>NO EXCEPTION</v>
      </c>
      <c r="AA226" s="23" t="str">
        <f aca="false">IF(AND(C226="covered",N226&gt;40),"COVERED &gt;40 FT","")</f>
        <v/>
      </c>
      <c r="AB226" s="23" t="s">
        <v>4245</v>
      </c>
      <c r="AC226" s="23" t="s">
        <v>4246</v>
      </c>
      <c r="AD226" s="23" t="s">
        <v>2807</v>
      </c>
    </row>
    <row r="227" customFormat="false" ht="17.9" hidden="false" customHeight="false" outlineLevel="0" collapsed="false">
      <c r="A227" s="20" t="s">
        <v>4247</v>
      </c>
      <c r="B227" s="20" t="s">
        <v>119</v>
      </c>
      <c r="C227" s="20" t="s">
        <v>2798</v>
      </c>
      <c r="D227" s="20" t="s">
        <v>4248</v>
      </c>
      <c r="E227" s="20" t="s">
        <v>4249</v>
      </c>
      <c r="F227" s="20" t="s">
        <v>2869</v>
      </c>
      <c r="G227" s="20" t="s">
        <v>2851</v>
      </c>
      <c r="H227" s="22" t="n">
        <v>55</v>
      </c>
      <c r="I227" s="22" t="n">
        <v>55</v>
      </c>
      <c r="J227" s="22" t="n">
        <f aca="false">H227-I227</f>
        <v>0</v>
      </c>
      <c r="K227" s="20" t="str">
        <f aca="false">IF(ABS(J227)&lt;0.001,"MATCH - PAPER CHECK-IN NOT SUPPLIED","DATA MISMATCH")</f>
        <v>MATCH - PAPER CHECK-IN NOT SUPPLIED</v>
      </c>
      <c r="L227" s="22" t="n">
        <v>28</v>
      </c>
      <c r="M227" s="22" t="n">
        <f aca="false">ROUNDUP(H227,0)</f>
        <v>55</v>
      </c>
      <c r="N227" s="24" t="n">
        <f aca="false">MAX(L227,M227)</f>
        <v>55</v>
      </c>
      <c r="O227" s="25" t="n">
        <v>7.55</v>
      </c>
      <c r="P227" s="25" t="n">
        <f aca="false">N227*O227</f>
        <v>415.25</v>
      </c>
      <c r="Q227" s="23" t="s">
        <v>4250</v>
      </c>
      <c r="R227" s="23" t="s">
        <v>2804</v>
      </c>
      <c r="S227" s="24" t="n">
        <v>55</v>
      </c>
      <c r="T227" s="25" t="n">
        <v>7.55</v>
      </c>
      <c r="U227" s="25" t="n">
        <v>415.25</v>
      </c>
      <c r="V227" s="25" t="n">
        <f aca="false">P227-U227</f>
        <v>0</v>
      </c>
      <c r="W227" s="25" t="n">
        <f aca="false">V227*12</f>
        <v>0</v>
      </c>
      <c r="X227" s="23" t="str">
        <f aca="false">IF(Q227="","MISSING FROM EXPORT",IF(ABS(V227)&lt;0.005,"CLEAR",IF(V227&gt;0,"UNDERBILLING","OVERBILLING")))</f>
        <v>CLEAR</v>
      </c>
      <c r="Y227" s="25" t="n">
        <f aca="false">IF(F227="COMMERCIAL",ROUND(P227*0.35,2),0)</f>
        <v>0</v>
      </c>
      <c r="Z227" s="23" t="str">
        <f aca="false">IF(F227="COMMERCIAL","VERIFY SIGNED AGREEMENT","NO EXCEPTION")</f>
        <v>NO EXCEPTION</v>
      </c>
      <c r="AA227" s="23" t="str">
        <f aca="false">IF(AND(C227="covered",N227&gt;40),"COVERED &gt;40 FT","")</f>
        <v/>
      </c>
      <c r="AB227" s="23" t="s">
        <v>4251</v>
      </c>
      <c r="AC227" s="23" t="s">
        <v>4252</v>
      </c>
      <c r="AD227" s="23" t="s">
        <v>2807</v>
      </c>
    </row>
    <row r="228" customFormat="false" ht="17.9" hidden="false" customHeight="false" outlineLevel="0" collapsed="false">
      <c r="A228" s="20" t="s">
        <v>4253</v>
      </c>
      <c r="B228" s="20" t="s">
        <v>119</v>
      </c>
      <c r="C228" s="20" t="s">
        <v>2798</v>
      </c>
      <c r="D228" s="20" t="s">
        <v>4254</v>
      </c>
      <c r="E228" s="20" t="s">
        <v>4255</v>
      </c>
      <c r="F228" s="20" t="s">
        <v>2801</v>
      </c>
      <c r="G228" s="20" t="s">
        <v>2858</v>
      </c>
      <c r="H228" s="22" t="n">
        <v>42.1</v>
      </c>
      <c r="I228" s="22" t="n">
        <v>42.1</v>
      </c>
      <c r="J228" s="22" t="n">
        <f aca="false">H228-I228</f>
        <v>0</v>
      </c>
      <c r="K228" s="20" t="str">
        <f aca="false">IF(ABS(J228)&lt;0.001,"MATCH - PAPER CHECK-IN NOT SUPPLIED","DATA MISMATCH")</f>
        <v>MATCH - PAPER CHECK-IN NOT SUPPLIED</v>
      </c>
      <c r="L228" s="22" t="n">
        <v>80</v>
      </c>
      <c r="M228" s="22" t="n">
        <f aca="false">ROUNDUP(H228,0)</f>
        <v>43</v>
      </c>
      <c r="N228" s="24" t="n">
        <f aca="false">MAX(L228,M228)</f>
        <v>80</v>
      </c>
      <c r="O228" s="25" t="n">
        <v>7.55</v>
      </c>
      <c r="P228" s="25" t="n">
        <f aca="false">N228*O228</f>
        <v>604</v>
      </c>
      <c r="Q228" s="23" t="s">
        <v>4256</v>
      </c>
      <c r="R228" s="23" t="s">
        <v>2804</v>
      </c>
      <c r="S228" s="24" t="n">
        <v>80</v>
      </c>
      <c r="T228" s="25" t="n">
        <v>7.55</v>
      </c>
      <c r="U228" s="25" t="n">
        <v>604</v>
      </c>
      <c r="V228" s="25" t="n">
        <f aca="false">P228-U228</f>
        <v>0</v>
      </c>
      <c r="W228" s="25" t="n">
        <f aca="false">V228*12</f>
        <v>0</v>
      </c>
      <c r="X228" s="23" t="str">
        <f aca="false">IF(Q228="","MISSING FROM EXPORT",IF(ABS(V228)&lt;0.005,"CLEAR",IF(V228&gt;0,"UNDERBILLING","OVERBILLING")))</f>
        <v>CLEAR</v>
      </c>
      <c r="Y228" s="25" t="n">
        <f aca="false">IF(F228="COMMERCIAL",ROUND(P228*0.35,2),0)</f>
        <v>0</v>
      </c>
      <c r="Z228" s="23" t="str">
        <f aca="false">IF(F228="COMMERCIAL","VERIFY SIGNED AGREEMENT","NO EXCEPTION")</f>
        <v>NO EXCEPTION</v>
      </c>
      <c r="AA228" s="23" t="str">
        <f aca="false">IF(AND(C228="covered",N228&gt;40),"COVERED &gt;40 FT","")</f>
        <v/>
      </c>
      <c r="AB228" s="23" t="s">
        <v>4257</v>
      </c>
      <c r="AC228" s="23" t="s">
        <v>4258</v>
      </c>
      <c r="AD228" s="23" t="s">
        <v>2807</v>
      </c>
    </row>
    <row r="229" customFormat="false" ht="17.9" hidden="false" customHeight="false" outlineLevel="0" collapsed="false">
      <c r="A229" s="20" t="s">
        <v>4259</v>
      </c>
      <c r="B229" s="20" t="s">
        <v>119</v>
      </c>
      <c r="C229" s="20" t="s">
        <v>2798</v>
      </c>
      <c r="D229" s="20" t="s">
        <v>4260</v>
      </c>
      <c r="E229" s="20" t="s">
        <v>4261</v>
      </c>
      <c r="F229" s="20" t="s">
        <v>2801</v>
      </c>
      <c r="G229" s="20" t="s">
        <v>2862</v>
      </c>
      <c r="H229" s="22" t="n">
        <v>59.8</v>
      </c>
      <c r="I229" s="22" t="n">
        <v>59.8</v>
      </c>
      <c r="J229" s="22" t="n">
        <f aca="false">H229-I229</f>
        <v>0</v>
      </c>
      <c r="K229" s="20" t="str">
        <f aca="false">IF(ABS(J229)&lt;0.001,"MATCH - PAPER CHECK-IN NOT SUPPLIED","DATA MISMATCH")</f>
        <v>MATCH - PAPER CHECK-IN NOT SUPPLIED</v>
      </c>
      <c r="L229" s="22" t="n">
        <v>28</v>
      </c>
      <c r="M229" s="22" t="n">
        <f aca="false">ROUNDUP(H229,0)</f>
        <v>60</v>
      </c>
      <c r="N229" s="24" t="n">
        <f aca="false">MAX(L229,M229)</f>
        <v>60</v>
      </c>
      <c r="O229" s="25" t="n">
        <v>7.55</v>
      </c>
      <c r="P229" s="25" t="n">
        <f aca="false">N229*O229</f>
        <v>453</v>
      </c>
      <c r="Q229" s="23" t="s">
        <v>4262</v>
      </c>
      <c r="R229" s="23" t="s">
        <v>2804</v>
      </c>
      <c r="S229" s="24" t="n">
        <v>60</v>
      </c>
      <c r="T229" s="25" t="n">
        <v>7.55</v>
      </c>
      <c r="U229" s="25" t="n">
        <v>453</v>
      </c>
      <c r="V229" s="25" t="n">
        <f aca="false">P229-U229</f>
        <v>0</v>
      </c>
      <c r="W229" s="25" t="n">
        <f aca="false">V229*12</f>
        <v>0</v>
      </c>
      <c r="X229" s="23" t="str">
        <f aca="false">IF(Q229="","MISSING FROM EXPORT",IF(ABS(V229)&lt;0.005,"CLEAR",IF(V229&gt;0,"UNDERBILLING","OVERBILLING")))</f>
        <v>CLEAR</v>
      </c>
      <c r="Y229" s="25" t="n">
        <f aca="false">IF(F229="COMMERCIAL",ROUND(P229*0.35,2),0)</f>
        <v>0</v>
      </c>
      <c r="Z229" s="23" t="str">
        <f aca="false">IF(F229="COMMERCIAL","VERIFY SIGNED AGREEMENT","NO EXCEPTION")</f>
        <v>NO EXCEPTION</v>
      </c>
      <c r="AA229" s="23" t="str">
        <f aca="false">IF(AND(C229="covered",N229&gt;40),"COVERED &gt;40 FT","")</f>
        <v/>
      </c>
      <c r="AB229" s="23" t="s">
        <v>4263</v>
      </c>
      <c r="AC229" s="23" t="s">
        <v>4264</v>
      </c>
      <c r="AD229" s="23" t="s">
        <v>2807</v>
      </c>
    </row>
    <row r="230" customFormat="false" ht="17.9" hidden="false" customHeight="false" outlineLevel="0" collapsed="false">
      <c r="A230" s="20" t="s">
        <v>4265</v>
      </c>
      <c r="B230" s="20" t="s">
        <v>119</v>
      </c>
      <c r="C230" s="20" t="s">
        <v>2798</v>
      </c>
      <c r="D230" s="20" t="s">
        <v>4266</v>
      </c>
      <c r="E230" s="20" t="s">
        <v>4267</v>
      </c>
      <c r="F230" s="20" t="s">
        <v>2801</v>
      </c>
      <c r="G230" s="20" t="s">
        <v>2870</v>
      </c>
      <c r="H230" s="22" t="n">
        <v>19.8</v>
      </c>
      <c r="I230" s="22" t="n">
        <v>19.8</v>
      </c>
      <c r="J230" s="22" t="n">
        <f aca="false">H230-I230</f>
        <v>0</v>
      </c>
      <c r="K230" s="20" t="str">
        <f aca="false">IF(ABS(J230)&lt;0.001,"MATCH - PAPER CHECK-IN NOT SUPPLIED","DATA MISMATCH")</f>
        <v>MATCH - PAPER CHECK-IN NOT SUPPLIED</v>
      </c>
      <c r="L230" s="22" t="n">
        <v>32</v>
      </c>
      <c r="M230" s="22" t="n">
        <f aca="false">ROUNDUP(H230,0)</f>
        <v>20</v>
      </c>
      <c r="N230" s="24" t="n">
        <f aca="false">MAX(L230,M230)</f>
        <v>32</v>
      </c>
      <c r="O230" s="25" t="n">
        <v>7.55</v>
      </c>
      <c r="P230" s="25" t="n">
        <f aca="false">N230*O230</f>
        <v>241.6</v>
      </c>
      <c r="Q230" s="23" t="s">
        <v>4268</v>
      </c>
      <c r="R230" s="23" t="s">
        <v>2804</v>
      </c>
      <c r="S230" s="24" t="n">
        <v>32</v>
      </c>
      <c r="T230" s="25" t="n">
        <v>7.55</v>
      </c>
      <c r="U230" s="25" t="n">
        <v>241.6</v>
      </c>
      <c r="V230" s="25" t="n">
        <f aca="false">P230-U230</f>
        <v>0</v>
      </c>
      <c r="W230" s="25" t="n">
        <f aca="false">V230*12</f>
        <v>0</v>
      </c>
      <c r="X230" s="23" t="str">
        <f aca="false">IF(Q230="","MISSING FROM EXPORT",IF(ABS(V230)&lt;0.005,"CLEAR",IF(V230&gt;0,"UNDERBILLING","OVERBILLING")))</f>
        <v>CLEAR</v>
      </c>
      <c r="Y230" s="25" t="n">
        <f aca="false">IF(F230="COMMERCIAL",ROUND(P230*0.35,2),0)</f>
        <v>0</v>
      </c>
      <c r="Z230" s="23" t="str">
        <f aca="false">IF(F230="COMMERCIAL","VERIFY SIGNED AGREEMENT","NO EXCEPTION")</f>
        <v>NO EXCEPTION</v>
      </c>
      <c r="AA230" s="23" t="str">
        <f aca="false">IF(AND(C230="covered",N230&gt;40),"COVERED &gt;40 FT","")</f>
        <v/>
      </c>
      <c r="AB230" s="23" t="s">
        <v>4269</v>
      </c>
      <c r="AC230" s="23" t="s">
        <v>4270</v>
      </c>
      <c r="AD230" s="23" t="s">
        <v>2807</v>
      </c>
    </row>
    <row r="231" customFormat="false" ht="17.9" hidden="false" customHeight="false" outlineLevel="0" collapsed="false">
      <c r="A231" s="20" t="s">
        <v>4271</v>
      </c>
      <c r="B231" s="20" t="s">
        <v>119</v>
      </c>
      <c r="C231" s="20" t="s">
        <v>2798</v>
      </c>
      <c r="D231" s="20" t="s">
        <v>4272</v>
      </c>
      <c r="E231" s="20" t="s">
        <v>4273</v>
      </c>
      <c r="F231" s="20" t="s">
        <v>2857</v>
      </c>
      <c r="G231" s="20" t="s">
        <v>2877</v>
      </c>
      <c r="H231" s="22" t="n">
        <v>45.1</v>
      </c>
      <c r="I231" s="22" t="n">
        <v>45.1</v>
      </c>
      <c r="J231" s="22" t="n">
        <f aca="false">H231-I231</f>
        <v>0</v>
      </c>
      <c r="K231" s="20" t="str">
        <f aca="false">IF(ABS(J231)&lt;0.001,"MATCH - PAPER CHECK-IN NOT SUPPLIED","DATA MISMATCH")</f>
        <v>MATCH - PAPER CHECK-IN NOT SUPPLIED</v>
      </c>
      <c r="L231" s="22" t="n">
        <v>45</v>
      </c>
      <c r="M231" s="22" t="n">
        <f aca="false">ROUNDUP(H231,0)</f>
        <v>46</v>
      </c>
      <c r="N231" s="24" t="n">
        <f aca="false">MAX(L231,M231)</f>
        <v>46</v>
      </c>
      <c r="O231" s="25" t="n">
        <v>7.55</v>
      </c>
      <c r="P231" s="25" t="n">
        <f aca="false">N231*O231</f>
        <v>347.3</v>
      </c>
      <c r="Q231" s="23" t="s">
        <v>4274</v>
      </c>
      <c r="R231" s="23" t="s">
        <v>2804</v>
      </c>
      <c r="S231" s="24" t="n">
        <v>46</v>
      </c>
      <c r="T231" s="25" t="n">
        <v>7.55</v>
      </c>
      <c r="U231" s="25" t="n">
        <v>347.3</v>
      </c>
      <c r="V231" s="25" t="n">
        <f aca="false">P231-U231</f>
        <v>0</v>
      </c>
      <c r="W231" s="25" t="n">
        <f aca="false">V231*12</f>
        <v>0</v>
      </c>
      <c r="X231" s="23" t="str">
        <f aca="false">IF(Q231="","MISSING FROM EXPORT",IF(ABS(V231)&lt;0.005,"CLEAR",IF(V231&gt;0,"UNDERBILLING","OVERBILLING")))</f>
        <v>CLEAR</v>
      </c>
      <c r="Y231" s="25" t="n">
        <f aca="false">IF(F231="COMMERCIAL",ROUND(P231*0.35,2),0)</f>
        <v>0</v>
      </c>
      <c r="Z231" s="23" t="str">
        <f aca="false">IF(F231="COMMERCIAL","VERIFY SIGNED AGREEMENT","NO EXCEPTION")</f>
        <v>NO EXCEPTION</v>
      </c>
      <c r="AA231" s="23" t="str">
        <f aca="false">IF(AND(C231="covered",N231&gt;40),"COVERED &gt;40 FT","")</f>
        <v/>
      </c>
      <c r="AB231" s="23" t="s">
        <v>4275</v>
      </c>
      <c r="AC231" s="23" t="s">
        <v>4276</v>
      </c>
      <c r="AD231" s="23" t="s">
        <v>2807</v>
      </c>
    </row>
    <row r="232" customFormat="false" ht="17.9" hidden="false" customHeight="false" outlineLevel="0" collapsed="false">
      <c r="A232" s="20" t="s">
        <v>4277</v>
      </c>
      <c r="B232" s="20" t="s">
        <v>119</v>
      </c>
      <c r="C232" s="20" t="s">
        <v>2798</v>
      </c>
      <c r="D232" s="20" t="s">
        <v>4278</v>
      </c>
      <c r="E232" s="20" t="s">
        <v>4279</v>
      </c>
      <c r="F232" s="20" t="s">
        <v>2869</v>
      </c>
      <c r="G232" s="20" t="s">
        <v>2884</v>
      </c>
      <c r="H232" s="22" t="n">
        <v>36.6</v>
      </c>
      <c r="I232" s="22" t="n">
        <v>36.6</v>
      </c>
      <c r="J232" s="22" t="n">
        <f aca="false">H232-I232</f>
        <v>0</v>
      </c>
      <c r="K232" s="20" t="str">
        <f aca="false">IF(ABS(J232)&lt;0.001,"MATCH - PAPER CHECK-IN NOT SUPPLIED","DATA MISMATCH")</f>
        <v>MATCH - PAPER CHECK-IN NOT SUPPLIED</v>
      </c>
      <c r="L232" s="22" t="n">
        <v>24</v>
      </c>
      <c r="M232" s="22" t="n">
        <f aca="false">ROUNDUP(H232,0)</f>
        <v>37</v>
      </c>
      <c r="N232" s="24" t="n">
        <f aca="false">MAX(L232,M232)</f>
        <v>37</v>
      </c>
      <c r="O232" s="25" t="n">
        <v>7.55</v>
      </c>
      <c r="P232" s="25" t="n">
        <f aca="false">N232*O232</f>
        <v>279.35</v>
      </c>
      <c r="Q232" s="23" t="s">
        <v>4280</v>
      </c>
      <c r="R232" s="23" t="s">
        <v>2804</v>
      </c>
      <c r="S232" s="24" t="n">
        <v>37</v>
      </c>
      <c r="T232" s="25" t="n">
        <v>7.55</v>
      </c>
      <c r="U232" s="25" t="n">
        <v>279.35</v>
      </c>
      <c r="V232" s="25" t="n">
        <f aca="false">P232-U232</f>
        <v>0</v>
      </c>
      <c r="W232" s="25" t="n">
        <f aca="false">V232*12</f>
        <v>0</v>
      </c>
      <c r="X232" s="23" t="str">
        <f aca="false">IF(Q232="","MISSING FROM EXPORT",IF(ABS(V232)&lt;0.005,"CLEAR",IF(V232&gt;0,"UNDERBILLING","OVERBILLING")))</f>
        <v>CLEAR</v>
      </c>
      <c r="Y232" s="25" t="n">
        <f aca="false">IF(F232="COMMERCIAL",ROUND(P232*0.35,2),0)</f>
        <v>0</v>
      </c>
      <c r="Z232" s="23" t="str">
        <f aca="false">IF(F232="COMMERCIAL","VERIFY SIGNED AGREEMENT","NO EXCEPTION")</f>
        <v>NO EXCEPTION</v>
      </c>
      <c r="AA232" s="23" t="str">
        <f aca="false">IF(AND(C232="covered",N232&gt;40),"COVERED &gt;40 FT","")</f>
        <v/>
      </c>
      <c r="AB232" s="23" t="s">
        <v>4281</v>
      </c>
      <c r="AC232" s="23" t="s">
        <v>4282</v>
      </c>
      <c r="AD232" s="23" t="s">
        <v>2807</v>
      </c>
    </row>
    <row r="233" customFormat="false" ht="17.9" hidden="false" customHeight="false" outlineLevel="0" collapsed="false">
      <c r="A233" s="20" t="s">
        <v>4283</v>
      </c>
      <c r="B233" s="20" t="s">
        <v>119</v>
      </c>
      <c r="C233" s="20" t="s">
        <v>2798</v>
      </c>
      <c r="D233" s="20" t="s">
        <v>4284</v>
      </c>
      <c r="E233" s="20" t="s">
        <v>4285</v>
      </c>
      <c r="F233" s="20" t="s">
        <v>2833</v>
      </c>
      <c r="G233" s="20" t="s">
        <v>2891</v>
      </c>
      <c r="H233" s="22" t="n">
        <v>26.4</v>
      </c>
      <c r="I233" s="22" t="n">
        <v>26.4</v>
      </c>
      <c r="J233" s="22" t="n">
        <f aca="false">H233-I233</f>
        <v>0</v>
      </c>
      <c r="K233" s="20" t="str">
        <f aca="false">IF(ABS(J233)&lt;0.001,"MATCH - PAPER CHECK-IN NOT SUPPLIED","DATA MISMATCH")</f>
        <v>MATCH - PAPER CHECK-IN NOT SUPPLIED</v>
      </c>
      <c r="L233" s="22" t="n">
        <v>50</v>
      </c>
      <c r="M233" s="22" t="n">
        <f aca="false">ROUNDUP(H233,0)</f>
        <v>27</v>
      </c>
      <c r="N233" s="24" t="n">
        <f aca="false">MAX(L233,M233)</f>
        <v>50</v>
      </c>
      <c r="O233" s="25" t="n">
        <v>7.55</v>
      </c>
      <c r="P233" s="25" t="n">
        <f aca="false">N233*O233</f>
        <v>377.5</v>
      </c>
      <c r="Q233" s="23" t="s">
        <v>4286</v>
      </c>
      <c r="R233" s="23" t="s">
        <v>2804</v>
      </c>
      <c r="S233" s="24" t="n">
        <v>50</v>
      </c>
      <c r="T233" s="25" t="n">
        <v>7.55</v>
      </c>
      <c r="U233" s="25" t="n">
        <v>377.5</v>
      </c>
      <c r="V233" s="25" t="n">
        <f aca="false">P233-U233</f>
        <v>0</v>
      </c>
      <c r="W233" s="25" t="n">
        <f aca="false">V233*12</f>
        <v>0</v>
      </c>
      <c r="X233" s="23" t="str">
        <f aca="false">IF(Q233="","MISSING FROM EXPORT",IF(ABS(V233)&lt;0.005,"CLEAR",IF(V233&gt;0,"UNDERBILLING","OVERBILLING")))</f>
        <v>CLEAR</v>
      </c>
      <c r="Y233" s="25" t="n">
        <f aca="false">IF(F233="COMMERCIAL",ROUND(P233*0.35,2),0)</f>
        <v>0</v>
      </c>
      <c r="Z233" s="23" t="str">
        <f aca="false">IF(F233="COMMERCIAL","VERIFY SIGNED AGREEMENT","NO EXCEPTION")</f>
        <v>NO EXCEPTION</v>
      </c>
      <c r="AA233" s="23" t="str">
        <f aca="false">IF(AND(C233="covered",N233&gt;40),"COVERED &gt;40 FT","")</f>
        <v/>
      </c>
      <c r="AB233" s="23" t="s">
        <v>4287</v>
      </c>
      <c r="AC233" s="23" t="s">
        <v>4288</v>
      </c>
      <c r="AD233" s="23" t="s">
        <v>2807</v>
      </c>
    </row>
    <row r="234" customFormat="false" ht="17.9" hidden="false" customHeight="false" outlineLevel="0" collapsed="false">
      <c r="A234" s="20" t="s">
        <v>139</v>
      </c>
      <c r="B234" s="20" t="s">
        <v>119</v>
      </c>
      <c r="C234" s="20" t="s">
        <v>2798</v>
      </c>
      <c r="D234" s="20" t="s">
        <v>1917</v>
      </c>
      <c r="E234" s="20" t="s">
        <v>4289</v>
      </c>
      <c r="F234" s="20" t="s">
        <v>2818</v>
      </c>
      <c r="G234" s="20" t="s">
        <v>2899</v>
      </c>
      <c r="H234" s="22" t="n">
        <v>49.4</v>
      </c>
      <c r="I234" s="22" t="n">
        <v>49.4</v>
      </c>
      <c r="J234" s="22" t="n">
        <f aca="false">H234-I234</f>
        <v>0</v>
      </c>
      <c r="K234" s="20" t="str">
        <f aca="false">IF(ABS(J234)&lt;0.001,"MATCH - PAPER CHECK-IN NOT SUPPLIED","DATA MISMATCH")</f>
        <v>MATCH - PAPER CHECK-IN NOT SUPPLIED</v>
      </c>
      <c r="L234" s="22" t="n">
        <v>32</v>
      </c>
      <c r="M234" s="22" t="n">
        <f aca="false">ROUNDUP(H234,0)</f>
        <v>50</v>
      </c>
      <c r="N234" s="24" t="n">
        <f aca="false">MAX(L234,M234)</f>
        <v>50</v>
      </c>
      <c r="O234" s="25" t="n">
        <v>7.55</v>
      </c>
      <c r="P234" s="25" t="n">
        <f aca="false">N234*O234</f>
        <v>377.5</v>
      </c>
      <c r="Q234" s="23" t="s">
        <v>4290</v>
      </c>
      <c r="R234" s="23" t="s">
        <v>2804</v>
      </c>
      <c r="S234" s="24" t="n">
        <v>50</v>
      </c>
      <c r="T234" s="25" t="n">
        <v>7.55</v>
      </c>
      <c r="U234" s="25" t="n">
        <v>377.5</v>
      </c>
      <c r="V234" s="25" t="n">
        <f aca="false">P234-U234</f>
        <v>0</v>
      </c>
      <c r="W234" s="25" t="n">
        <f aca="false">V234*12</f>
        <v>0</v>
      </c>
      <c r="X234" s="23" t="str">
        <f aca="false">IF(Q234="","MISSING FROM EXPORT",IF(ABS(V234)&lt;0.005,"CLEAR",IF(V234&gt;0,"UNDERBILLING","OVERBILLING")))</f>
        <v>CLEAR</v>
      </c>
      <c r="Y234" s="25" t="n">
        <f aca="false">IF(F234="COMMERCIAL",ROUND(P234*0.35,2),0)</f>
        <v>0</v>
      </c>
      <c r="Z234" s="23" t="str">
        <f aca="false">IF(F234="COMMERCIAL","VERIFY SIGNED AGREEMENT","NO EXCEPTION")</f>
        <v>NO EXCEPTION</v>
      </c>
      <c r="AA234" s="23" t="str">
        <f aca="false">IF(AND(C234="covered",N234&gt;40),"COVERED &gt;40 FT","")</f>
        <v/>
      </c>
      <c r="AB234" s="23" t="s">
        <v>4291</v>
      </c>
      <c r="AC234" s="23" t="s">
        <v>4292</v>
      </c>
      <c r="AD234" s="23" t="s">
        <v>2807</v>
      </c>
    </row>
    <row r="235" customFormat="false" ht="17.9" hidden="false" customHeight="false" outlineLevel="0" collapsed="false">
      <c r="A235" s="20" t="s">
        <v>4293</v>
      </c>
      <c r="B235" s="20" t="s">
        <v>119</v>
      </c>
      <c r="C235" s="20" t="s">
        <v>2798</v>
      </c>
      <c r="D235" s="20" t="s">
        <v>4294</v>
      </c>
      <c r="E235" s="20" t="s">
        <v>4295</v>
      </c>
      <c r="F235" s="20" t="s">
        <v>2833</v>
      </c>
      <c r="G235" s="20" t="s">
        <v>4296</v>
      </c>
      <c r="H235" s="22" t="n">
        <v>50</v>
      </c>
      <c r="I235" s="22" t="n">
        <v>50</v>
      </c>
      <c r="J235" s="22" t="n">
        <f aca="false">H235-I235</f>
        <v>0</v>
      </c>
      <c r="K235" s="20" t="str">
        <f aca="false">IF(ABS(J235)&lt;0.001,"MATCH - PAPER CHECK-IN NOT SUPPLIED","DATA MISMATCH")</f>
        <v>MATCH - PAPER CHECK-IN NOT SUPPLIED</v>
      </c>
      <c r="L235" s="22" t="n">
        <v>50</v>
      </c>
      <c r="M235" s="22" t="n">
        <f aca="false">ROUNDUP(H235,0)</f>
        <v>50</v>
      </c>
      <c r="N235" s="24" t="n">
        <f aca="false">MAX(L235,M235)</f>
        <v>50</v>
      </c>
      <c r="O235" s="25" t="n">
        <v>7.55</v>
      </c>
      <c r="P235" s="25" t="n">
        <f aca="false">N235*O235</f>
        <v>377.5</v>
      </c>
      <c r="Q235" s="23" t="s">
        <v>4297</v>
      </c>
      <c r="R235" s="23" t="s">
        <v>2804</v>
      </c>
      <c r="S235" s="24" t="n">
        <v>50</v>
      </c>
      <c r="T235" s="25" t="n">
        <v>7.55</v>
      </c>
      <c r="U235" s="25" t="n">
        <v>377.5</v>
      </c>
      <c r="V235" s="25" t="n">
        <f aca="false">P235-U235</f>
        <v>0</v>
      </c>
      <c r="W235" s="25" t="n">
        <f aca="false">V235*12</f>
        <v>0</v>
      </c>
      <c r="X235" s="23" t="str">
        <f aca="false">IF(Q235="","MISSING FROM EXPORT",IF(ABS(V235)&lt;0.005,"CLEAR",IF(V235&gt;0,"UNDERBILLING","OVERBILLING")))</f>
        <v>CLEAR</v>
      </c>
      <c r="Y235" s="25" t="n">
        <f aca="false">IF(F235="COMMERCIAL",ROUND(P235*0.35,2),0)</f>
        <v>0</v>
      </c>
      <c r="Z235" s="23" t="str">
        <f aca="false">IF(F235="COMMERCIAL","VERIFY SIGNED AGREEMENT","NO EXCEPTION")</f>
        <v>NO EXCEPTION</v>
      </c>
      <c r="AA235" s="23" t="str">
        <f aca="false">IF(AND(C235="covered",N235&gt;40),"COVERED &gt;40 FT","")</f>
        <v/>
      </c>
      <c r="AB235" s="23" t="s">
        <v>4298</v>
      </c>
      <c r="AC235" s="23" t="s">
        <v>4299</v>
      </c>
      <c r="AD235" s="23" t="s">
        <v>2807</v>
      </c>
    </row>
    <row r="236" customFormat="false" ht="17.9" hidden="false" customHeight="false" outlineLevel="0" collapsed="false">
      <c r="A236" s="20" t="s">
        <v>387</v>
      </c>
      <c r="B236" s="20" t="s">
        <v>119</v>
      </c>
      <c r="C236" s="20" t="s">
        <v>2798</v>
      </c>
      <c r="D236" s="20" t="s">
        <v>4300</v>
      </c>
      <c r="E236" s="20" t="s">
        <v>4301</v>
      </c>
      <c r="F236" s="20" t="s">
        <v>2833</v>
      </c>
      <c r="G236" s="20" t="s">
        <v>2903</v>
      </c>
      <c r="H236" s="22" t="n">
        <v>53.9</v>
      </c>
      <c r="I236" s="22" t="n">
        <v>53.9</v>
      </c>
      <c r="J236" s="22" t="n">
        <f aca="false">H236-I236</f>
        <v>0</v>
      </c>
      <c r="K236" s="20" t="str">
        <f aca="false">IF(ABS(J236)&lt;0.001,"MATCH - PAPER CHECK-IN NOT SUPPLIED","DATA MISMATCH")</f>
        <v>MATCH - PAPER CHECK-IN NOT SUPPLIED</v>
      </c>
      <c r="L236" s="22" t="n">
        <v>60</v>
      </c>
      <c r="M236" s="22" t="n">
        <f aca="false">ROUNDUP(H236,0)</f>
        <v>54</v>
      </c>
      <c r="N236" s="24" t="n">
        <f aca="false">MAX(L236,M236)</f>
        <v>60</v>
      </c>
      <c r="O236" s="25" t="n">
        <v>7.55</v>
      </c>
      <c r="P236" s="25" t="n">
        <f aca="false">N236*O236</f>
        <v>453</v>
      </c>
      <c r="Q236" s="23" t="s">
        <v>4302</v>
      </c>
      <c r="R236" s="23" t="s">
        <v>2804</v>
      </c>
      <c r="S236" s="24" t="n">
        <v>60</v>
      </c>
      <c r="T236" s="25" t="n">
        <v>7.55</v>
      </c>
      <c r="U236" s="25" t="n">
        <v>453</v>
      </c>
      <c r="V236" s="25" t="n">
        <f aca="false">P236-U236</f>
        <v>0</v>
      </c>
      <c r="W236" s="25" t="n">
        <f aca="false">V236*12</f>
        <v>0</v>
      </c>
      <c r="X236" s="23" t="str">
        <f aca="false">IF(Q236="","MISSING FROM EXPORT",IF(ABS(V236)&lt;0.005,"CLEAR",IF(V236&gt;0,"UNDERBILLING","OVERBILLING")))</f>
        <v>CLEAR</v>
      </c>
      <c r="Y236" s="25" t="n">
        <f aca="false">IF(F236="COMMERCIAL",ROUND(P236*0.35,2),0)</f>
        <v>0</v>
      </c>
      <c r="Z236" s="23" t="str">
        <f aca="false">IF(F236="COMMERCIAL","VERIFY SIGNED AGREEMENT","NO EXCEPTION")</f>
        <v>NO EXCEPTION</v>
      </c>
      <c r="AA236" s="23" t="str">
        <f aca="false">IF(AND(C236="covered",N236&gt;40),"COVERED &gt;40 FT","")</f>
        <v/>
      </c>
      <c r="AB236" s="23" t="s">
        <v>4303</v>
      </c>
      <c r="AC236" s="23" t="s">
        <v>4304</v>
      </c>
      <c r="AD236" s="23" t="s">
        <v>2807</v>
      </c>
    </row>
    <row r="237" customFormat="false" ht="17.9" hidden="false" customHeight="false" outlineLevel="0" collapsed="false">
      <c r="A237" s="20" t="s">
        <v>4305</v>
      </c>
      <c r="B237" s="20" t="s">
        <v>119</v>
      </c>
      <c r="C237" s="20" t="s">
        <v>2798</v>
      </c>
      <c r="D237" s="20" t="s">
        <v>4306</v>
      </c>
      <c r="E237" s="20" t="s">
        <v>4307</v>
      </c>
      <c r="F237" s="20" t="s">
        <v>2898</v>
      </c>
      <c r="G237" s="20" t="s">
        <v>2907</v>
      </c>
      <c r="H237" s="22" t="n">
        <v>37.9</v>
      </c>
      <c r="I237" s="22" t="n">
        <v>37.9</v>
      </c>
      <c r="J237" s="22" t="n">
        <f aca="false">H237-I237</f>
        <v>0</v>
      </c>
      <c r="K237" s="20" t="str">
        <f aca="false">IF(ABS(J237)&lt;0.001,"MATCH - PAPER CHECK-IN NOT SUPPLIED","DATA MISMATCH")</f>
        <v>MATCH - PAPER CHECK-IN NOT SUPPLIED</v>
      </c>
      <c r="L237" s="22" t="n">
        <v>28</v>
      </c>
      <c r="M237" s="22" t="n">
        <f aca="false">ROUNDUP(H237,0)</f>
        <v>38</v>
      </c>
      <c r="N237" s="24" t="n">
        <f aca="false">MAX(L237,M237)</f>
        <v>38</v>
      </c>
      <c r="O237" s="25" t="n">
        <v>7.55</v>
      </c>
      <c r="P237" s="25" t="n">
        <f aca="false">N237*O237</f>
        <v>286.9</v>
      </c>
      <c r="Q237" s="23" t="s">
        <v>4308</v>
      </c>
      <c r="R237" s="23" t="s">
        <v>2804</v>
      </c>
      <c r="S237" s="24" t="n">
        <v>38</v>
      </c>
      <c r="T237" s="25" t="n">
        <v>7.55</v>
      </c>
      <c r="U237" s="25" t="n">
        <v>286.9</v>
      </c>
      <c r="V237" s="25" t="n">
        <f aca="false">P237-U237</f>
        <v>0</v>
      </c>
      <c r="W237" s="25" t="n">
        <f aca="false">V237*12</f>
        <v>0</v>
      </c>
      <c r="X237" s="23" t="str">
        <f aca="false">IF(Q237="","MISSING FROM EXPORT",IF(ABS(V237)&lt;0.005,"CLEAR",IF(V237&gt;0,"UNDERBILLING","OVERBILLING")))</f>
        <v>CLEAR</v>
      </c>
      <c r="Y237" s="25" t="n">
        <f aca="false">IF(F237="COMMERCIAL",ROUND(P237*0.35,2),0)</f>
        <v>0</v>
      </c>
      <c r="Z237" s="23" t="str">
        <f aca="false">IF(F237="COMMERCIAL","VERIFY SIGNED AGREEMENT","NO EXCEPTION")</f>
        <v>NO EXCEPTION</v>
      </c>
      <c r="AA237" s="23" t="str">
        <f aca="false">IF(AND(C237="covered",N237&gt;40),"COVERED &gt;40 FT","")</f>
        <v/>
      </c>
      <c r="AB237" s="23" t="s">
        <v>4309</v>
      </c>
      <c r="AC237" s="23" t="s">
        <v>4310</v>
      </c>
      <c r="AD237" s="23" t="s">
        <v>2807</v>
      </c>
    </row>
    <row r="238" customFormat="false" ht="17.9" hidden="false" customHeight="false" outlineLevel="0" collapsed="false">
      <c r="A238" s="20" t="s">
        <v>4311</v>
      </c>
      <c r="B238" s="20" t="s">
        <v>119</v>
      </c>
      <c r="C238" s="20" t="s">
        <v>2798</v>
      </c>
      <c r="D238" s="20" t="s">
        <v>4312</v>
      </c>
      <c r="E238" s="20" t="s">
        <v>4313</v>
      </c>
      <c r="F238" s="20" t="s">
        <v>2801</v>
      </c>
      <c r="G238" s="20" t="s">
        <v>2914</v>
      </c>
      <c r="H238" s="22" t="n">
        <v>49.8</v>
      </c>
      <c r="I238" s="22" t="n">
        <v>49.8</v>
      </c>
      <c r="J238" s="22" t="n">
        <f aca="false">H238-I238</f>
        <v>0</v>
      </c>
      <c r="K238" s="20" t="str">
        <f aca="false">IF(ABS(J238)&lt;0.001,"MATCH - PAPER CHECK-IN NOT SUPPLIED","DATA MISMATCH")</f>
        <v>MATCH - PAPER CHECK-IN NOT SUPPLIED</v>
      </c>
      <c r="L238" s="22" t="n">
        <v>32</v>
      </c>
      <c r="M238" s="22" t="n">
        <f aca="false">ROUNDUP(H238,0)</f>
        <v>50</v>
      </c>
      <c r="N238" s="24" t="n">
        <f aca="false">MAX(L238,M238)</f>
        <v>50</v>
      </c>
      <c r="O238" s="25" t="n">
        <v>7.55</v>
      </c>
      <c r="P238" s="25" t="n">
        <f aca="false">N238*O238</f>
        <v>377.5</v>
      </c>
      <c r="Q238" s="23" t="s">
        <v>4314</v>
      </c>
      <c r="R238" s="23" t="s">
        <v>2804</v>
      </c>
      <c r="S238" s="24" t="n">
        <v>50</v>
      </c>
      <c r="T238" s="25" t="n">
        <v>7.55</v>
      </c>
      <c r="U238" s="25" t="n">
        <v>377.5</v>
      </c>
      <c r="V238" s="25" t="n">
        <f aca="false">P238-U238</f>
        <v>0</v>
      </c>
      <c r="W238" s="25" t="n">
        <f aca="false">V238*12</f>
        <v>0</v>
      </c>
      <c r="X238" s="23" t="str">
        <f aca="false">IF(Q238="","MISSING FROM EXPORT",IF(ABS(V238)&lt;0.005,"CLEAR",IF(V238&gt;0,"UNDERBILLING","OVERBILLING")))</f>
        <v>CLEAR</v>
      </c>
      <c r="Y238" s="25" t="n">
        <f aca="false">IF(F238="COMMERCIAL",ROUND(P238*0.35,2),0)</f>
        <v>0</v>
      </c>
      <c r="Z238" s="23" t="str">
        <f aca="false">IF(F238="COMMERCIAL","VERIFY SIGNED AGREEMENT","NO EXCEPTION")</f>
        <v>NO EXCEPTION</v>
      </c>
      <c r="AA238" s="23" t="str">
        <f aca="false">IF(AND(C238="covered",N238&gt;40),"COVERED &gt;40 FT","")</f>
        <v/>
      </c>
      <c r="AB238" s="23" t="s">
        <v>4315</v>
      </c>
      <c r="AC238" s="23" t="s">
        <v>4316</v>
      </c>
      <c r="AD238" s="23" t="s">
        <v>2807</v>
      </c>
    </row>
    <row r="239" customFormat="false" ht="17.9" hidden="false" customHeight="false" outlineLevel="0" collapsed="false">
      <c r="A239" s="20" t="s">
        <v>4317</v>
      </c>
      <c r="B239" s="20" t="s">
        <v>119</v>
      </c>
      <c r="C239" s="20" t="s">
        <v>2798</v>
      </c>
      <c r="D239" s="20" t="s">
        <v>4318</v>
      </c>
      <c r="E239" s="20" t="s">
        <v>4319</v>
      </c>
      <c r="F239" s="20" t="s">
        <v>2833</v>
      </c>
      <c r="G239" s="20" t="s">
        <v>2921</v>
      </c>
      <c r="H239" s="22" t="n">
        <v>40.7</v>
      </c>
      <c r="I239" s="22" t="n">
        <v>40.7</v>
      </c>
      <c r="J239" s="22" t="n">
        <f aca="false">H239-I239</f>
        <v>0</v>
      </c>
      <c r="K239" s="20" t="str">
        <f aca="false">IF(ABS(J239)&lt;0.001,"MATCH - PAPER CHECK-IN NOT SUPPLIED","DATA MISMATCH")</f>
        <v>MATCH - PAPER CHECK-IN NOT SUPPLIED</v>
      </c>
      <c r="L239" s="22" t="n">
        <v>32</v>
      </c>
      <c r="M239" s="22" t="n">
        <f aca="false">ROUNDUP(H239,0)</f>
        <v>41</v>
      </c>
      <c r="N239" s="24" t="n">
        <f aca="false">MAX(L239,M239)</f>
        <v>41</v>
      </c>
      <c r="O239" s="25" t="n">
        <v>7.55</v>
      </c>
      <c r="P239" s="25" t="n">
        <f aca="false">N239*O239</f>
        <v>309.55</v>
      </c>
      <c r="Q239" s="23" t="s">
        <v>4320</v>
      </c>
      <c r="R239" s="23" t="s">
        <v>2804</v>
      </c>
      <c r="S239" s="24" t="n">
        <v>41</v>
      </c>
      <c r="T239" s="25" t="n">
        <v>7.55</v>
      </c>
      <c r="U239" s="25" t="n">
        <v>309.55</v>
      </c>
      <c r="V239" s="25" t="n">
        <f aca="false">P239-U239</f>
        <v>0</v>
      </c>
      <c r="W239" s="25" t="n">
        <f aca="false">V239*12</f>
        <v>0</v>
      </c>
      <c r="X239" s="23" t="str">
        <f aca="false">IF(Q239="","MISSING FROM EXPORT",IF(ABS(V239)&lt;0.005,"CLEAR",IF(V239&gt;0,"UNDERBILLING","OVERBILLING")))</f>
        <v>CLEAR</v>
      </c>
      <c r="Y239" s="25" t="n">
        <f aca="false">IF(F239="COMMERCIAL",ROUND(P239*0.35,2),0)</f>
        <v>0</v>
      </c>
      <c r="Z239" s="23" t="str">
        <f aca="false">IF(F239="COMMERCIAL","VERIFY SIGNED AGREEMENT","NO EXCEPTION")</f>
        <v>NO EXCEPTION</v>
      </c>
      <c r="AA239" s="23" t="str">
        <f aca="false">IF(AND(C239="covered",N239&gt;40),"COVERED &gt;40 FT","")</f>
        <v/>
      </c>
      <c r="AB239" s="23" t="s">
        <v>4321</v>
      </c>
      <c r="AC239" s="23" t="s">
        <v>4322</v>
      </c>
      <c r="AD239" s="23" t="s">
        <v>2807</v>
      </c>
    </row>
    <row r="240" customFormat="false" ht="17.9" hidden="false" customHeight="false" outlineLevel="0" collapsed="false">
      <c r="A240" s="20" t="s">
        <v>4323</v>
      </c>
      <c r="B240" s="20" t="s">
        <v>119</v>
      </c>
      <c r="C240" s="20" t="s">
        <v>2798</v>
      </c>
      <c r="D240" s="20" t="s">
        <v>4324</v>
      </c>
      <c r="E240" s="20" t="s">
        <v>4325</v>
      </c>
      <c r="F240" s="20" t="s">
        <v>2801</v>
      </c>
      <c r="G240" s="20" t="s">
        <v>2927</v>
      </c>
      <c r="H240" s="22" t="n">
        <v>26.5</v>
      </c>
      <c r="I240" s="22" t="n">
        <v>26.5</v>
      </c>
      <c r="J240" s="22" t="n">
        <f aca="false">H240-I240</f>
        <v>0</v>
      </c>
      <c r="K240" s="20" t="str">
        <f aca="false">IF(ABS(J240)&lt;0.001,"MATCH - PAPER CHECK-IN NOT SUPPLIED","DATA MISMATCH")</f>
        <v>MATCH - PAPER CHECK-IN NOT SUPPLIED</v>
      </c>
      <c r="L240" s="22" t="n">
        <v>32</v>
      </c>
      <c r="M240" s="22" t="n">
        <f aca="false">ROUNDUP(H240,0)</f>
        <v>27</v>
      </c>
      <c r="N240" s="24" t="n">
        <f aca="false">MAX(L240,M240)</f>
        <v>32</v>
      </c>
      <c r="O240" s="25" t="n">
        <v>7.55</v>
      </c>
      <c r="P240" s="25" t="n">
        <f aca="false">N240*O240</f>
        <v>241.6</v>
      </c>
      <c r="Q240" s="23" t="s">
        <v>4326</v>
      </c>
      <c r="R240" s="23" t="s">
        <v>2804</v>
      </c>
      <c r="S240" s="24" t="n">
        <v>32</v>
      </c>
      <c r="T240" s="25" t="n">
        <v>7.55</v>
      </c>
      <c r="U240" s="25" t="n">
        <v>241.6</v>
      </c>
      <c r="V240" s="25" t="n">
        <f aca="false">P240-U240</f>
        <v>0</v>
      </c>
      <c r="W240" s="25" t="n">
        <f aca="false">V240*12</f>
        <v>0</v>
      </c>
      <c r="X240" s="23" t="str">
        <f aca="false">IF(Q240="","MISSING FROM EXPORT",IF(ABS(V240)&lt;0.005,"CLEAR",IF(V240&gt;0,"UNDERBILLING","OVERBILLING")))</f>
        <v>CLEAR</v>
      </c>
      <c r="Y240" s="25" t="n">
        <f aca="false">IF(F240="COMMERCIAL",ROUND(P240*0.35,2),0)</f>
        <v>0</v>
      </c>
      <c r="Z240" s="23" t="str">
        <f aca="false">IF(F240="COMMERCIAL","VERIFY SIGNED AGREEMENT","NO EXCEPTION")</f>
        <v>NO EXCEPTION</v>
      </c>
      <c r="AA240" s="23" t="str">
        <f aca="false">IF(AND(C240="covered",N240&gt;40),"COVERED &gt;40 FT","")</f>
        <v/>
      </c>
      <c r="AB240" s="23" t="s">
        <v>4327</v>
      </c>
      <c r="AC240" s="23" t="s">
        <v>4328</v>
      </c>
      <c r="AD240" s="23" t="s">
        <v>2807</v>
      </c>
    </row>
    <row r="241" customFormat="false" ht="17.9" hidden="false" customHeight="false" outlineLevel="0" collapsed="false">
      <c r="A241" s="20" t="s">
        <v>920</v>
      </c>
      <c r="B241" s="20" t="s">
        <v>119</v>
      </c>
      <c r="C241" s="20" t="s">
        <v>2798</v>
      </c>
      <c r="D241" s="20" t="s">
        <v>4329</v>
      </c>
      <c r="E241" s="20" t="s">
        <v>4330</v>
      </c>
      <c r="F241" s="20" t="s">
        <v>2833</v>
      </c>
      <c r="G241" s="20" t="s">
        <v>2935</v>
      </c>
      <c r="H241" s="22" t="n">
        <v>40.2</v>
      </c>
      <c r="I241" s="22" t="n">
        <v>40.2</v>
      </c>
      <c r="J241" s="22" t="n">
        <f aca="false">H241-I241</f>
        <v>0</v>
      </c>
      <c r="K241" s="20" t="str">
        <f aca="false">IF(ABS(J241)&lt;0.001,"MATCH - PAPER CHECK-IN NOT SUPPLIED","DATA MISMATCH")</f>
        <v>MATCH - PAPER CHECK-IN NOT SUPPLIED</v>
      </c>
      <c r="L241" s="22" t="n">
        <v>80</v>
      </c>
      <c r="M241" s="22" t="n">
        <f aca="false">ROUNDUP(H241,0)</f>
        <v>41</v>
      </c>
      <c r="N241" s="24" t="n">
        <f aca="false">MAX(L241,M241)</f>
        <v>80</v>
      </c>
      <c r="O241" s="25" t="n">
        <v>7.55</v>
      </c>
      <c r="P241" s="25" t="n">
        <f aca="false">N241*O241</f>
        <v>604</v>
      </c>
      <c r="Q241" s="23" t="s">
        <v>4331</v>
      </c>
      <c r="R241" s="23" t="s">
        <v>2804</v>
      </c>
      <c r="S241" s="24" t="n">
        <v>80</v>
      </c>
      <c r="T241" s="25" t="n">
        <v>7.55</v>
      </c>
      <c r="U241" s="25" t="n">
        <v>604</v>
      </c>
      <c r="V241" s="25" t="n">
        <f aca="false">P241-U241</f>
        <v>0</v>
      </c>
      <c r="W241" s="25" t="n">
        <f aca="false">V241*12</f>
        <v>0</v>
      </c>
      <c r="X241" s="23" t="str">
        <f aca="false">IF(Q241="","MISSING FROM EXPORT",IF(ABS(V241)&lt;0.005,"CLEAR",IF(V241&gt;0,"UNDERBILLING","OVERBILLING")))</f>
        <v>CLEAR</v>
      </c>
      <c r="Y241" s="25" t="n">
        <f aca="false">IF(F241="COMMERCIAL",ROUND(P241*0.35,2),0)</f>
        <v>0</v>
      </c>
      <c r="Z241" s="23" t="str">
        <f aca="false">IF(F241="COMMERCIAL","VERIFY SIGNED AGREEMENT","NO EXCEPTION")</f>
        <v>NO EXCEPTION</v>
      </c>
      <c r="AA241" s="23" t="str">
        <f aca="false">IF(AND(C241="covered",N241&gt;40),"COVERED &gt;40 FT","")</f>
        <v/>
      </c>
      <c r="AB241" s="23" t="s">
        <v>4332</v>
      </c>
      <c r="AC241" s="23" t="s">
        <v>4333</v>
      </c>
      <c r="AD241" s="23" t="s">
        <v>2807</v>
      </c>
    </row>
    <row r="242" customFormat="false" ht="17.9" hidden="false" customHeight="false" outlineLevel="0" collapsed="false">
      <c r="A242" s="20" t="s">
        <v>1072</v>
      </c>
      <c r="B242" s="20" t="s">
        <v>119</v>
      </c>
      <c r="C242" s="20" t="s">
        <v>2798</v>
      </c>
      <c r="D242" s="20" t="s">
        <v>4334</v>
      </c>
      <c r="E242" s="20" t="s">
        <v>4335</v>
      </c>
      <c r="F242" s="20" t="s">
        <v>2934</v>
      </c>
      <c r="G242" s="20" t="s">
        <v>2948</v>
      </c>
      <c r="H242" s="22" t="n">
        <v>36.5</v>
      </c>
      <c r="I242" s="22" t="n">
        <v>36.5</v>
      </c>
      <c r="J242" s="22" t="n">
        <f aca="false">H242-I242</f>
        <v>0</v>
      </c>
      <c r="K242" s="20" t="str">
        <f aca="false">IF(ABS(J242)&lt;0.001,"MATCH - PAPER CHECK-IN NOT SUPPLIED","DATA MISMATCH")</f>
        <v>MATCH - PAPER CHECK-IN NOT SUPPLIED</v>
      </c>
      <c r="L242" s="22" t="n">
        <v>32</v>
      </c>
      <c r="M242" s="22" t="n">
        <f aca="false">ROUNDUP(H242,0)</f>
        <v>37</v>
      </c>
      <c r="N242" s="24" t="n">
        <f aca="false">MAX(L242,M242)</f>
        <v>37</v>
      </c>
      <c r="O242" s="25" t="n">
        <v>7.55</v>
      </c>
      <c r="P242" s="25" t="n">
        <f aca="false">N242*O242</f>
        <v>279.35</v>
      </c>
      <c r="Q242" s="23" t="s">
        <v>4336</v>
      </c>
      <c r="R242" s="23" t="s">
        <v>2804</v>
      </c>
      <c r="S242" s="24" t="n">
        <v>37</v>
      </c>
      <c r="T242" s="25" t="n">
        <v>7.55</v>
      </c>
      <c r="U242" s="25" t="n">
        <v>279.35</v>
      </c>
      <c r="V242" s="25" t="n">
        <f aca="false">P242-U242</f>
        <v>0</v>
      </c>
      <c r="W242" s="25" t="n">
        <f aca="false">V242*12</f>
        <v>0</v>
      </c>
      <c r="X242" s="23" t="str">
        <f aca="false">IF(Q242="","MISSING FROM EXPORT",IF(ABS(V242)&lt;0.005,"CLEAR",IF(V242&gt;0,"UNDERBILLING","OVERBILLING")))</f>
        <v>CLEAR</v>
      </c>
      <c r="Y242" s="25" t="n">
        <f aca="false">IF(F242="COMMERCIAL",ROUND(P242*0.35,2),0)</f>
        <v>97.77</v>
      </c>
      <c r="Z242" s="23" t="str">
        <f aca="false">IF(F242="COMMERCIAL","VERIFY SIGNED AGREEMENT","NO EXCEPTION")</f>
        <v>VERIFY SIGNED AGREEMENT</v>
      </c>
      <c r="AA242" s="23" t="str">
        <f aca="false">IF(AND(C242="covered",N242&gt;40),"COVERED &gt;40 FT","")</f>
        <v/>
      </c>
      <c r="AB242" s="23" t="s">
        <v>4337</v>
      </c>
      <c r="AC242" s="23" t="s">
        <v>4338</v>
      </c>
      <c r="AD242" s="23" t="s">
        <v>2807</v>
      </c>
    </row>
    <row r="243" customFormat="false" ht="17.9" hidden="false" customHeight="false" outlineLevel="0" collapsed="false">
      <c r="A243" s="20" t="s">
        <v>4339</v>
      </c>
      <c r="B243" s="20" t="s">
        <v>119</v>
      </c>
      <c r="C243" s="20" t="s">
        <v>2798</v>
      </c>
      <c r="D243" s="20" t="s">
        <v>4340</v>
      </c>
      <c r="E243" s="20" t="s">
        <v>4341</v>
      </c>
      <c r="F243" s="20" t="s">
        <v>2833</v>
      </c>
      <c r="G243" s="20" t="s">
        <v>2955</v>
      </c>
      <c r="H243" s="22" t="n">
        <v>58.2</v>
      </c>
      <c r="I243" s="22" t="n">
        <v>58.2</v>
      </c>
      <c r="J243" s="22" t="n">
        <f aca="false">H243-I243</f>
        <v>0</v>
      </c>
      <c r="K243" s="20" t="str">
        <f aca="false">IF(ABS(J243)&lt;0.001,"MATCH - PAPER CHECK-IN NOT SUPPLIED","DATA MISMATCH")</f>
        <v>MATCH - PAPER CHECK-IN NOT SUPPLIED</v>
      </c>
      <c r="L243" s="22" t="n">
        <v>80</v>
      </c>
      <c r="M243" s="22" t="n">
        <f aca="false">ROUNDUP(H243,0)</f>
        <v>59</v>
      </c>
      <c r="N243" s="24" t="n">
        <f aca="false">MAX(L243,M243)</f>
        <v>80</v>
      </c>
      <c r="O243" s="25" t="n">
        <v>7.55</v>
      </c>
      <c r="P243" s="25" t="n">
        <f aca="false">N243*O243</f>
        <v>604</v>
      </c>
      <c r="Q243" s="23" t="s">
        <v>4342</v>
      </c>
      <c r="R243" s="23" t="s">
        <v>2804</v>
      </c>
      <c r="S243" s="24" t="n">
        <v>80</v>
      </c>
      <c r="T243" s="25" t="n">
        <v>7.55</v>
      </c>
      <c r="U243" s="25" t="n">
        <v>604</v>
      </c>
      <c r="V243" s="25" t="n">
        <f aca="false">P243-U243</f>
        <v>0</v>
      </c>
      <c r="W243" s="25" t="n">
        <f aca="false">V243*12</f>
        <v>0</v>
      </c>
      <c r="X243" s="23" t="str">
        <f aca="false">IF(Q243="","MISSING FROM EXPORT",IF(ABS(V243)&lt;0.005,"CLEAR",IF(V243&gt;0,"UNDERBILLING","OVERBILLING")))</f>
        <v>CLEAR</v>
      </c>
      <c r="Y243" s="25" t="n">
        <f aca="false">IF(F243="COMMERCIAL",ROUND(P243*0.35,2),0)</f>
        <v>0</v>
      </c>
      <c r="Z243" s="23" t="str">
        <f aca="false">IF(F243="COMMERCIAL","VERIFY SIGNED AGREEMENT","NO EXCEPTION")</f>
        <v>NO EXCEPTION</v>
      </c>
      <c r="AA243" s="23" t="str">
        <f aca="false">IF(AND(C243="covered",N243&gt;40),"COVERED &gt;40 FT","")</f>
        <v/>
      </c>
      <c r="AB243" s="23" t="s">
        <v>4343</v>
      </c>
      <c r="AC243" s="23" t="s">
        <v>4344</v>
      </c>
      <c r="AD243" s="23" t="s">
        <v>2807</v>
      </c>
    </row>
    <row r="244" customFormat="false" ht="17.9" hidden="false" customHeight="false" outlineLevel="0" collapsed="false">
      <c r="A244" s="20" t="s">
        <v>4345</v>
      </c>
      <c r="B244" s="20" t="s">
        <v>119</v>
      </c>
      <c r="C244" s="20" t="s">
        <v>2798</v>
      </c>
      <c r="D244" s="20" t="s">
        <v>4346</v>
      </c>
      <c r="E244" s="20" t="s">
        <v>4347</v>
      </c>
      <c r="F244" s="20" t="s">
        <v>2857</v>
      </c>
      <c r="G244" s="20" t="s">
        <v>2967</v>
      </c>
      <c r="H244" s="22" t="n">
        <v>25.1</v>
      </c>
      <c r="I244" s="22" t="n">
        <v>25.1</v>
      </c>
      <c r="J244" s="22" t="n">
        <f aca="false">H244-I244</f>
        <v>0</v>
      </c>
      <c r="K244" s="20" t="str">
        <f aca="false">IF(ABS(J244)&lt;0.001,"MATCH - PAPER CHECK-IN NOT SUPPLIED","DATA MISMATCH")</f>
        <v>MATCH - PAPER CHECK-IN NOT SUPPLIED</v>
      </c>
      <c r="L244" s="22" t="n">
        <v>32</v>
      </c>
      <c r="M244" s="22" t="n">
        <f aca="false">ROUNDUP(H244,0)</f>
        <v>26</v>
      </c>
      <c r="N244" s="24" t="n">
        <f aca="false">MAX(L244,M244)</f>
        <v>32</v>
      </c>
      <c r="O244" s="25" t="n">
        <v>7.55</v>
      </c>
      <c r="P244" s="25" t="n">
        <f aca="false">N244*O244</f>
        <v>241.6</v>
      </c>
      <c r="Q244" s="23" t="s">
        <v>4348</v>
      </c>
      <c r="R244" s="23" t="s">
        <v>2804</v>
      </c>
      <c r="S244" s="24" t="n">
        <v>32</v>
      </c>
      <c r="T244" s="25" t="n">
        <v>7.55</v>
      </c>
      <c r="U244" s="25" t="n">
        <v>241.6</v>
      </c>
      <c r="V244" s="25" t="n">
        <f aca="false">P244-U244</f>
        <v>0</v>
      </c>
      <c r="W244" s="25" t="n">
        <f aca="false">V244*12</f>
        <v>0</v>
      </c>
      <c r="X244" s="23" t="str">
        <f aca="false">IF(Q244="","MISSING FROM EXPORT",IF(ABS(V244)&lt;0.005,"CLEAR",IF(V244&gt;0,"UNDERBILLING","OVERBILLING")))</f>
        <v>CLEAR</v>
      </c>
      <c r="Y244" s="25" t="n">
        <f aca="false">IF(F244="COMMERCIAL",ROUND(P244*0.35,2),0)</f>
        <v>0</v>
      </c>
      <c r="Z244" s="23" t="str">
        <f aca="false">IF(F244="COMMERCIAL","VERIFY SIGNED AGREEMENT","NO EXCEPTION")</f>
        <v>NO EXCEPTION</v>
      </c>
      <c r="AA244" s="23" t="str">
        <f aca="false">IF(AND(C244="covered",N244&gt;40),"COVERED &gt;40 FT","")</f>
        <v/>
      </c>
      <c r="AB244" s="23" t="s">
        <v>4349</v>
      </c>
      <c r="AC244" s="23" t="s">
        <v>4350</v>
      </c>
      <c r="AD244" s="23" t="s">
        <v>2807</v>
      </c>
    </row>
    <row r="245" customFormat="false" ht="17.9" hidden="false" customHeight="false" outlineLevel="0" collapsed="false">
      <c r="A245" s="20" t="s">
        <v>4351</v>
      </c>
      <c r="B245" s="20" t="s">
        <v>119</v>
      </c>
      <c r="C245" s="20" t="s">
        <v>2798</v>
      </c>
      <c r="D245" s="20" t="s">
        <v>4352</v>
      </c>
      <c r="E245" s="20" t="s">
        <v>4353</v>
      </c>
      <c r="F245" s="20" t="s">
        <v>2857</v>
      </c>
      <c r="G245" s="20" t="s">
        <v>4354</v>
      </c>
      <c r="H245" s="22" t="n">
        <v>43.1</v>
      </c>
      <c r="I245" s="22" t="n">
        <v>43.1</v>
      </c>
      <c r="J245" s="22" t="n">
        <f aca="false">H245-I245</f>
        <v>0</v>
      </c>
      <c r="K245" s="20" t="str">
        <f aca="false">IF(ABS(J245)&lt;0.001,"MATCH - PAPER CHECK-IN NOT SUPPLIED","DATA MISMATCH")</f>
        <v>MATCH - PAPER CHECK-IN NOT SUPPLIED</v>
      </c>
      <c r="L245" s="22" t="n">
        <v>50</v>
      </c>
      <c r="M245" s="22" t="n">
        <f aca="false">ROUNDUP(H245,0)</f>
        <v>44</v>
      </c>
      <c r="N245" s="24" t="n">
        <f aca="false">MAX(L245,M245)</f>
        <v>50</v>
      </c>
      <c r="O245" s="25" t="n">
        <v>7.55</v>
      </c>
      <c r="P245" s="25" t="n">
        <f aca="false">N245*O245</f>
        <v>377.5</v>
      </c>
      <c r="Q245" s="23" t="s">
        <v>4355</v>
      </c>
      <c r="R245" s="23" t="s">
        <v>2804</v>
      </c>
      <c r="S245" s="24" t="n">
        <v>50</v>
      </c>
      <c r="T245" s="25" t="n">
        <v>7.55</v>
      </c>
      <c r="U245" s="25" t="n">
        <v>377.5</v>
      </c>
      <c r="V245" s="25" t="n">
        <f aca="false">P245-U245</f>
        <v>0</v>
      </c>
      <c r="W245" s="25" t="n">
        <f aca="false">V245*12</f>
        <v>0</v>
      </c>
      <c r="X245" s="23" t="str">
        <f aca="false">IF(Q245="","MISSING FROM EXPORT",IF(ABS(V245)&lt;0.005,"CLEAR",IF(V245&gt;0,"UNDERBILLING","OVERBILLING")))</f>
        <v>CLEAR</v>
      </c>
      <c r="Y245" s="25" t="n">
        <f aca="false">IF(F245="COMMERCIAL",ROUND(P245*0.35,2),0)</f>
        <v>0</v>
      </c>
      <c r="Z245" s="23" t="str">
        <f aca="false">IF(F245="COMMERCIAL","VERIFY SIGNED AGREEMENT","NO EXCEPTION")</f>
        <v>NO EXCEPTION</v>
      </c>
      <c r="AA245" s="23" t="str">
        <f aca="false">IF(AND(C245="covered",N245&gt;40),"COVERED &gt;40 FT","")</f>
        <v/>
      </c>
      <c r="AB245" s="23" t="s">
        <v>4356</v>
      </c>
      <c r="AC245" s="23" t="s">
        <v>4357</v>
      </c>
      <c r="AD245" s="23" t="s">
        <v>2807</v>
      </c>
    </row>
    <row r="246" customFormat="false" ht="17.9" hidden="false" customHeight="false" outlineLevel="0" collapsed="false">
      <c r="A246" s="20" t="s">
        <v>896</v>
      </c>
      <c r="B246" s="20" t="s">
        <v>119</v>
      </c>
      <c r="C246" s="20" t="s">
        <v>2798</v>
      </c>
      <c r="D246" s="20" t="s">
        <v>4358</v>
      </c>
      <c r="E246" s="20" t="s">
        <v>4359</v>
      </c>
      <c r="F246" s="20" t="s">
        <v>2857</v>
      </c>
      <c r="G246" s="20" t="s">
        <v>2974</v>
      </c>
      <c r="H246" s="22" t="n">
        <v>55.9</v>
      </c>
      <c r="I246" s="22" t="n">
        <v>55.9</v>
      </c>
      <c r="J246" s="22" t="n">
        <f aca="false">H246-I246</f>
        <v>0</v>
      </c>
      <c r="K246" s="20" t="str">
        <f aca="false">IF(ABS(J246)&lt;0.001,"MATCH - PAPER CHECK-IN NOT SUPPLIED","DATA MISMATCH")</f>
        <v>MATCH - PAPER CHECK-IN NOT SUPPLIED</v>
      </c>
      <c r="L246" s="22" t="n">
        <v>24</v>
      </c>
      <c r="M246" s="22" t="n">
        <f aca="false">ROUNDUP(H246,0)</f>
        <v>56</v>
      </c>
      <c r="N246" s="24" t="n">
        <f aca="false">MAX(L246,M246)</f>
        <v>56</v>
      </c>
      <c r="O246" s="25" t="n">
        <v>7.55</v>
      </c>
      <c r="P246" s="25" t="n">
        <f aca="false">N246*O246</f>
        <v>422.8</v>
      </c>
      <c r="Q246" s="23" t="s">
        <v>4360</v>
      </c>
      <c r="R246" s="23" t="s">
        <v>2804</v>
      </c>
      <c r="S246" s="24" t="n">
        <v>56</v>
      </c>
      <c r="T246" s="25" t="n">
        <v>7.55</v>
      </c>
      <c r="U246" s="25" t="n">
        <v>422.8</v>
      </c>
      <c r="V246" s="25" t="n">
        <f aca="false">P246-U246</f>
        <v>0</v>
      </c>
      <c r="W246" s="25" t="n">
        <f aca="false">V246*12</f>
        <v>0</v>
      </c>
      <c r="X246" s="23" t="str">
        <f aca="false">IF(Q246="","MISSING FROM EXPORT",IF(ABS(V246)&lt;0.005,"CLEAR",IF(V246&gt;0,"UNDERBILLING","OVERBILLING")))</f>
        <v>CLEAR</v>
      </c>
      <c r="Y246" s="25" t="n">
        <f aca="false">IF(F246="COMMERCIAL",ROUND(P246*0.35,2),0)</f>
        <v>0</v>
      </c>
      <c r="Z246" s="23" t="str">
        <f aca="false">IF(F246="COMMERCIAL","VERIFY SIGNED AGREEMENT","NO EXCEPTION")</f>
        <v>NO EXCEPTION</v>
      </c>
      <c r="AA246" s="23" t="str">
        <f aca="false">IF(AND(C246="covered",N246&gt;40),"COVERED &gt;40 FT","")</f>
        <v/>
      </c>
      <c r="AB246" s="23" t="s">
        <v>4361</v>
      </c>
      <c r="AC246" s="23" t="s">
        <v>4362</v>
      </c>
      <c r="AD246" s="23" t="s">
        <v>2807</v>
      </c>
    </row>
    <row r="247" customFormat="false" ht="17.9" hidden="false" customHeight="false" outlineLevel="0" collapsed="false">
      <c r="A247" s="20" t="s">
        <v>4363</v>
      </c>
      <c r="B247" s="20" t="s">
        <v>119</v>
      </c>
      <c r="C247" s="20" t="s">
        <v>2798</v>
      </c>
      <c r="D247" s="20" t="s">
        <v>4364</v>
      </c>
      <c r="E247" s="20" t="s">
        <v>4365</v>
      </c>
      <c r="F247" s="20" t="s">
        <v>2818</v>
      </c>
      <c r="G247" s="20" t="s">
        <v>2981</v>
      </c>
      <c r="H247" s="22" t="n">
        <v>52.2</v>
      </c>
      <c r="I247" s="22" t="n">
        <v>52.2</v>
      </c>
      <c r="J247" s="22" t="n">
        <f aca="false">H247-I247</f>
        <v>0</v>
      </c>
      <c r="K247" s="20" t="str">
        <f aca="false">IF(ABS(J247)&lt;0.001,"MATCH - PAPER CHECK-IN NOT SUPPLIED","DATA MISMATCH")</f>
        <v>MATCH - PAPER CHECK-IN NOT SUPPLIED</v>
      </c>
      <c r="L247" s="22" t="n">
        <v>24</v>
      </c>
      <c r="M247" s="22" t="n">
        <f aca="false">ROUNDUP(H247,0)</f>
        <v>53</v>
      </c>
      <c r="N247" s="24" t="n">
        <f aca="false">MAX(L247,M247)</f>
        <v>53</v>
      </c>
      <c r="O247" s="25" t="n">
        <v>7.55</v>
      </c>
      <c r="P247" s="25" t="n">
        <f aca="false">N247*O247</f>
        <v>400.15</v>
      </c>
      <c r="Q247" s="23" t="s">
        <v>4366</v>
      </c>
      <c r="R247" s="23" t="s">
        <v>2804</v>
      </c>
      <c r="S247" s="24" t="n">
        <v>53</v>
      </c>
      <c r="T247" s="25" t="n">
        <v>7.55</v>
      </c>
      <c r="U247" s="25" t="n">
        <v>400.15</v>
      </c>
      <c r="V247" s="25" t="n">
        <f aca="false">P247-U247</f>
        <v>0</v>
      </c>
      <c r="W247" s="25" t="n">
        <f aca="false">V247*12</f>
        <v>0</v>
      </c>
      <c r="X247" s="23" t="str">
        <f aca="false">IF(Q247="","MISSING FROM EXPORT",IF(ABS(V247)&lt;0.005,"CLEAR",IF(V247&gt;0,"UNDERBILLING","OVERBILLING")))</f>
        <v>CLEAR</v>
      </c>
      <c r="Y247" s="25" t="n">
        <f aca="false">IF(F247="COMMERCIAL",ROUND(P247*0.35,2),0)</f>
        <v>0</v>
      </c>
      <c r="Z247" s="23" t="str">
        <f aca="false">IF(F247="COMMERCIAL","VERIFY SIGNED AGREEMENT","NO EXCEPTION")</f>
        <v>NO EXCEPTION</v>
      </c>
      <c r="AA247" s="23" t="str">
        <f aca="false">IF(AND(C247="covered",N247&gt;40),"COVERED &gt;40 FT","")</f>
        <v/>
      </c>
      <c r="AB247" s="23" t="s">
        <v>4367</v>
      </c>
      <c r="AC247" s="23" t="s">
        <v>4368</v>
      </c>
      <c r="AD247" s="23" t="s">
        <v>2807</v>
      </c>
    </row>
    <row r="248" customFormat="false" ht="17.9" hidden="false" customHeight="false" outlineLevel="0" collapsed="false">
      <c r="A248" s="20" t="s">
        <v>4369</v>
      </c>
      <c r="B248" s="20" t="s">
        <v>119</v>
      </c>
      <c r="C248" s="20" t="s">
        <v>2798</v>
      </c>
      <c r="D248" s="20" t="s">
        <v>4370</v>
      </c>
      <c r="E248" s="20" t="s">
        <v>4371</v>
      </c>
      <c r="F248" s="20" t="s">
        <v>2857</v>
      </c>
      <c r="G248" s="20" t="s">
        <v>2988</v>
      </c>
      <c r="H248" s="22" t="n">
        <v>57.6</v>
      </c>
      <c r="I248" s="22" t="n">
        <v>57.6</v>
      </c>
      <c r="J248" s="22" t="n">
        <f aca="false">H248-I248</f>
        <v>0</v>
      </c>
      <c r="K248" s="20" t="str">
        <f aca="false">IF(ABS(J248)&lt;0.001,"MATCH - PAPER CHECK-IN NOT SUPPLIED","DATA MISMATCH")</f>
        <v>MATCH - PAPER CHECK-IN NOT SUPPLIED</v>
      </c>
      <c r="L248" s="22" t="n">
        <v>24</v>
      </c>
      <c r="M248" s="22" t="n">
        <f aca="false">ROUNDUP(H248,0)</f>
        <v>58</v>
      </c>
      <c r="N248" s="24" t="n">
        <f aca="false">MAX(L248,M248)</f>
        <v>58</v>
      </c>
      <c r="O248" s="25" t="n">
        <v>7.55</v>
      </c>
      <c r="P248" s="25" t="n">
        <f aca="false">N248*O248</f>
        <v>437.9</v>
      </c>
      <c r="Q248" s="23" t="s">
        <v>4372</v>
      </c>
      <c r="R248" s="23" t="s">
        <v>2804</v>
      </c>
      <c r="S248" s="24" t="n">
        <v>58</v>
      </c>
      <c r="T248" s="25" t="n">
        <v>7.55</v>
      </c>
      <c r="U248" s="25" t="n">
        <v>437.9</v>
      </c>
      <c r="V248" s="25" t="n">
        <f aca="false">P248-U248</f>
        <v>0</v>
      </c>
      <c r="W248" s="25" t="n">
        <f aca="false">V248*12</f>
        <v>0</v>
      </c>
      <c r="X248" s="23" t="str">
        <f aca="false">IF(Q248="","MISSING FROM EXPORT",IF(ABS(V248)&lt;0.005,"CLEAR",IF(V248&gt;0,"UNDERBILLING","OVERBILLING")))</f>
        <v>CLEAR</v>
      </c>
      <c r="Y248" s="25" t="n">
        <f aca="false">IF(F248="COMMERCIAL",ROUND(P248*0.35,2),0)</f>
        <v>0</v>
      </c>
      <c r="Z248" s="23" t="str">
        <f aca="false">IF(F248="COMMERCIAL","VERIFY SIGNED AGREEMENT","NO EXCEPTION")</f>
        <v>NO EXCEPTION</v>
      </c>
      <c r="AA248" s="23" t="str">
        <f aca="false">IF(AND(C248="covered",N248&gt;40),"COVERED &gt;40 FT","")</f>
        <v/>
      </c>
      <c r="AB248" s="23" t="s">
        <v>4373</v>
      </c>
      <c r="AC248" s="23" t="s">
        <v>4374</v>
      </c>
      <c r="AD248" s="23" t="s">
        <v>2807</v>
      </c>
    </row>
    <row r="249" customFormat="false" ht="17.9" hidden="false" customHeight="false" outlineLevel="0" collapsed="false">
      <c r="A249" s="20" t="s">
        <v>4375</v>
      </c>
      <c r="B249" s="20" t="s">
        <v>119</v>
      </c>
      <c r="C249" s="20" t="s">
        <v>2798</v>
      </c>
      <c r="D249" s="20" t="s">
        <v>4376</v>
      </c>
      <c r="E249" s="20" t="s">
        <v>4377</v>
      </c>
      <c r="F249" s="20" t="s">
        <v>2833</v>
      </c>
      <c r="G249" s="20" t="s">
        <v>2994</v>
      </c>
      <c r="H249" s="22" t="n">
        <v>36</v>
      </c>
      <c r="I249" s="22" t="n">
        <v>36</v>
      </c>
      <c r="J249" s="22" t="n">
        <f aca="false">H249-I249</f>
        <v>0</v>
      </c>
      <c r="K249" s="20" t="str">
        <f aca="false">IF(ABS(J249)&lt;0.001,"MATCH - PAPER CHECK-IN NOT SUPPLIED","DATA MISMATCH")</f>
        <v>MATCH - PAPER CHECK-IN NOT SUPPLIED</v>
      </c>
      <c r="L249" s="22" t="n">
        <v>40</v>
      </c>
      <c r="M249" s="22" t="n">
        <f aca="false">ROUNDUP(H249,0)</f>
        <v>36</v>
      </c>
      <c r="N249" s="24" t="n">
        <f aca="false">MAX(L249,M249)</f>
        <v>40</v>
      </c>
      <c r="O249" s="25" t="n">
        <v>7.55</v>
      </c>
      <c r="P249" s="25" t="n">
        <f aca="false">N249*O249</f>
        <v>302</v>
      </c>
      <c r="Q249" s="23" t="s">
        <v>4378</v>
      </c>
      <c r="R249" s="23" t="s">
        <v>2804</v>
      </c>
      <c r="S249" s="24" t="n">
        <v>40</v>
      </c>
      <c r="T249" s="25" t="n">
        <v>7.55</v>
      </c>
      <c r="U249" s="25" t="n">
        <v>302</v>
      </c>
      <c r="V249" s="25" t="n">
        <f aca="false">P249-U249</f>
        <v>0</v>
      </c>
      <c r="W249" s="25" t="n">
        <f aca="false">V249*12</f>
        <v>0</v>
      </c>
      <c r="X249" s="23" t="str">
        <f aca="false">IF(Q249="","MISSING FROM EXPORT",IF(ABS(V249)&lt;0.005,"CLEAR",IF(V249&gt;0,"UNDERBILLING","OVERBILLING")))</f>
        <v>CLEAR</v>
      </c>
      <c r="Y249" s="25" t="n">
        <f aca="false">IF(F249="COMMERCIAL",ROUND(P249*0.35,2),0)</f>
        <v>0</v>
      </c>
      <c r="Z249" s="23" t="str">
        <f aca="false">IF(F249="COMMERCIAL","VERIFY SIGNED AGREEMENT","NO EXCEPTION")</f>
        <v>NO EXCEPTION</v>
      </c>
      <c r="AA249" s="23" t="str">
        <f aca="false">IF(AND(C249="covered",N249&gt;40),"COVERED &gt;40 FT","")</f>
        <v/>
      </c>
      <c r="AB249" s="23" t="s">
        <v>4379</v>
      </c>
      <c r="AC249" s="23" t="s">
        <v>4380</v>
      </c>
      <c r="AD249" s="23" t="s">
        <v>2807</v>
      </c>
    </row>
    <row r="250" customFormat="false" ht="17.9" hidden="false" customHeight="false" outlineLevel="0" collapsed="false">
      <c r="A250" s="20" t="s">
        <v>4381</v>
      </c>
      <c r="B250" s="20" t="s">
        <v>119</v>
      </c>
      <c r="C250" s="20" t="s">
        <v>2798</v>
      </c>
      <c r="D250" s="20" t="s">
        <v>4382</v>
      </c>
      <c r="E250" s="20" t="s">
        <v>4383</v>
      </c>
      <c r="F250" s="20" t="s">
        <v>2801</v>
      </c>
      <c r="G250" s="20" t="s">
        <v>3001</v>
      </c>
      <c r="H250" s="22" t="n">
        <v>30.9</v>
      </c>
      <c r="I250" s="22" t="n">
        <v>30.9</v>
      </c>
      <c r="J250" s="22" t="n">
        <f aca="false">H250-I250</f>
        <v>0</v>
      </c>
      <c r="K250" s="20" t="str">
        <f aca="false">IF(ABS(J250)&lt;0.001,"MATCH - PAPER CHECK-IN NOT SUPPLIED","DATA MISMATCH")</f>
        <v>MATCH - PAPER CHECK-IN NOT SUPPLIED</v>
      </c>
      <c r="L250" s="22" t="n">
        <v>40</v>
      </c>
      <c r="M250" s="22" t="n">
        <f aca="false">ROUNDUP(H250,0)</f>
        <v>31</v>
      </c>
      <c r="N250" s="24" t="n">
        <f aca="false">MAX(L250,M250)</f>
        <v>40</v>
      </c>
      <c r="O250" s="25" t="n">
        <v>7.55</v>
      </c>
      <c r="P250" s="25" t="n">
        <f aca="false">N250*O250</f>
        <v>302</v>
      </c>
      <c r="Q250" s="23" t="s">
        <v>4384</v>
      </c>
      <c r="R250" s="23" t="s">
        <v>2804</v>
      </c>
      <c r="S250" s="24" t="n">
        <v>40</v>
      </c>
      <c r="T250" s="25" t="n">
        <v>7.55</v>
      </c>
      <c r="U250" s="25" t="n">
        <v>302</v>
      </c>
      <c r="V250" s="25" t="n">
        <f aca="false">P250-U250</f>
        <v>0</v>
      </c>
      <c r="W250" s="25" t="n">
        <f aca="false">V250*12</f>
        <v>0</v>
      </c>
      <c r="X250" s="23" t="str">
        <f aca="false">IF(Q250="","MISSING FROM EXPORT",IF(ABS(V250)&lt;0.005,"CLEAR",IF(V250&gt;0,"UNDERBILLING","OVERBILLING")))</f>
        <v>CLEAR</v>
      </c>
      <c r="Y250" s="25" t="n">
        <f aca="false">IF(F250="COMMERCIAL",ROUND(P250*0.35,2),0)</f>
        <v>0</v>
      </c>
      <c r="Z250" s="23" t="str">
        <f aca="false">IF(F250="COMMERCIAL","VERIFY SIGNED AGREEMENT","NO EXCEPTION")</f>
        <v>NO EXCEPTION</v>
      </c>
      <c r="AA250" s="23" t="str">
        <f aca="false">IF(AND(C250="covered",N250&gt;40),"COVERED &gt;40 FT","")</f>
        <v/>
      </c>
      <c r="AB250" s="23" t="s">
        <v>4385</v>
      </c>
      <c r="AC250" s="23" t="s">
        <v>4386</v>
      </c>
      <c r="AD250" s="23" t="s">
        <v>2807</v>
      </c>
    </row>
    <row r="251" customFormat="false" ht="17.9" hidden="false" customHeight="false" outlineLevel="0" collapsed="false">
      <c r="A251" s="20" t="s">
        <v>4387</v>
      </c>
      <c r="B251" s="20" t="s">
        <v>119</v>
      </c>
      <c r="C251" s="20" t="s">
        <v>2798</v>
      </c>
      <c r="D251" s="20" t="s">
        <v>1710</v>
      </c>
      <c r="E251" s="20" t="s">
        <v>4388</v>
      </c>
      <c r="F251" s="20" t="s">
        <v>2818</v>
      </c>
      <c r="G251" s="20" t="s">
        <v>3008</v>
      </c>
      <c r="H251" s="22" t="n">
        <v>22.7</v>
      </c>
      <c r="I251" s="22" t="n">
        <v>22.7</v>
      </c>
      <c r="J251" s="22" t="n">
        <f aca="false">H251-I251</f>
        <v>0</v>
      </c>
      <c r="K251" s="20" t="str">
        <f aca="false">IF(ABS(J251)&lt;0.001,"MATCH - PAPER CHECK-IN NOT SUPPLIED","DATA MISMATCH")</f>
        <v>MATCH - PAPER CHECK-IN NOT SUPPLIED</v>
      </c>
      <c r="L251" s="22" t="n">
        <v>28</v>
      </c>
      <c r="M251" s="22" t="n">
        <f aca="false">ROUNDUP(H251,0)</f>
        <v>23</v>
      </c>
      <c r="N251" s="24" t="n">
        <f aca="false">MAX(L251,M251)</f>
        <v>28</v>
      </c>
      <c r="O251" s="25" t="n">
        <v>7.55</v>
      </c>
      <c r="P251" s="25" t="n">
        <f aca="false">N251*O251</f>
        <v>211.4</v>
      </c>
      <c r="Q251" s="23" t="s">
        <v>4389</v>
      </c>
      <c r="R251" s="23" t="s">
        <v>2804</v>
      </c>
      <c r="S251" s="24" t="n">
        <v>28</v>
      </c>
      <c r="T251" s="25" t="n">
        <v>7.55</v>
      </c>
      <c r="U251" s="25" t="n">
        <v>211.4</v>
      </c>
      <c r="V251" s="25" t="n">
        <f aca="false">P251-U251</f>
        <v>0</v>
      </c>
      <c r="W251" s="25" t="n">
        <f aca="false">V251*12</f>
        <v>0</v>
      </c>
      <c r="X251" s="23" t="str">
        <f aca="false">IF(Q251="","MISSING FROM EXPORT",IF(ABS(V251)&lt;0.005,"CLEAR",IF(V251&gt;0,"UNDERBILLING","OVERBILLING")))</f>
        <v>CLEAR</v>
      </c>
      <c r="Y251" s="25" t="n">
        <f aca="false">IF(F251="COMMERCIAL",ROUND(P251*0.35,2),0)</f>
        <v>0</v>
      </c>
      <c r="Z251" s="23" t="str">
        <f aca="false">IF(F251="COMMERCIAL","VERIFY SIGNED AGREEMENT","NO EXCEPTION")</f>
        <v>NO EXCEPTION</v>
      </c>
      <c r="AA251" s="23" t="str">
        <f aca="false">IF(AND(C251="covered",N251&gt;40),"COVERED &gt;40 FT","")</f>
        <v/>
      </c>
      <c r="AB251" s="23" t="s">
        <v>4390</v>
      </c>
      <c r="AC251" s="23" t="s">
        <v>4391</v>
      </c>
      <c r="AD251" s="23" t="s">
        <v>2807</v>
      </c>
    </row>
    <row r="252" customFormat="false" ht="17.9" hidden="false" customHeight="false" outlineLevel="0" collapsed="false">
      <c r="A252" s="20" t="s">
        <v>4392</v>
      </c>
      <c r="B252" s="20" t="s">
        <v>119</v>
      </c>
      <c r="C252" s="20" t="s">
        <v>2798</v>
      </c>
      <c r="D252" s="20" t="s">
        <v>4393</v>
      </c>
      <c r="E252" s="20" t="s">
        <v>4394</v>
      </c>
      <c r="F252" s="20" t="s">
        <v>2810</v>
      </c>
      <c r="G252" s="20" t="s">
        <v>3015</v>
      </c>
      <c r="H252" s="22" t="n">
        <v>31.8</v>
      </c>
      <c r="I252" s="22" t="n">
        <v>31.8</v>
      </c>
      <c r="J252" s="22" t="n">
        <f aca="false">H252-I252</f>
        <v>0</v>
      </c>
      <c r="K252" s="20" t="str">
        <f aca="false">IF(ABS(J252)&lt;0.001,"MATCH - PAPER CHECK-IN NOT SUPPLIED","DATA MISMATCH")</f>
        <v>MATCH - PAPER CHECK-IN NOT SUPPLIED</v>
      </c>
      <c r="L252" s="22" t="n">
        <v>60</v>
      </c>
      <c r="M252" s="22" t="n">
        <f aca="false">ROUNDUP(H252,0)</f>
        <v>32</v>
      </c>
      <c r="N252" s="24" t="n">
        <f aca="false">MAX(L252,M252)</f>
        <v>60</v>
      </c>
      <c r="O252" s="25" t="n">
        <v>7.55</v>
      </c>
      <c r="P252" s="25" t="n">
        <f aca="false">N252*O252</f>
        <v>453</v>
      </c>
      <c r="Q252" s="23" t="s">
        <v>4395</v>
      </c>
      <c r="R252" s="23" t="s">
        <v>2804</v>
      </c>
      <c r="S252" s="24" t="n">
        <v>60</v>
      </c>
      <c r="T252" s="25" t="n">
        <v>7.55</v>
      </c>
      <c r="U252" s="25" t="n">
        <v>453</v>
      </c>
      <c r="V252" s="25" t="n">
        <f aca="false">P252-U252</f>
        <v>0</v>
      </c>
      <c r="W252" s="25" t="n">
        <f aca="false">V252*12</f>
        <v>0</v>
      </c>
      <c r="X252" s="23" t="str">
        <f aca="false">IF(Q252="","MISSING FROM EXPORT",IF(ABS(V252)&lt;0.005,"CLEAR",IF(V252&gt;0,"UNDERBILLING","OVERBILLING")))</f>
        <v>CLEAR</v>
      </c>
      <c r="Y252" s="25" t="n">
        <f aca="false">IF(F252="COMMERCIAL",ROUND(P252*0.35,2),0)</f>
        <v>0</v>
      </c>
      <c r="Z252" s="23" t="str">
        <f aca="false">IF(F252="COMMERCIAL","VERIFY SIGNED AGREEMENT","NO EXCEPTION")</f>
        <v>NO EXCEPTION</v>
      </c>
      <c r="AA252" s="23" t="str">
        <f aca="false">IF(AND(C252="covered",N252&gt;40),"COVERED &gt;40 FT","")</f>
        <v/>
      </c>
      <c r="AB252" s="23" t="s">
        <v>4396</v>
      </c>
      <c r="AC252" s="23" t="s">
        <v>4397</v>
      </c>
      <c r="AD252" s="23" t="s">
        <v>2807</v>
      </c>
    </row>
    <row r="253" customFormat="false" ht="17.9" hidden="false" customHeight="false" outlineLevel="0" collapsed="false">
      <c r="A253" s="20" t="s">
        <v>4398</v>
      </c>
      <c r="B253" s="20" t="s">
        <v>119</v>
      </c>
      <c r="C253" s="20" t="s">
        <v>2798</v>
      </c>
      <c r="D253" s="20" t="s">
        <v>4399</v>
      </c>
      <c r="E253" s="20" t="s">
        <v>4400</v>
      </c>
      <c r="F253" s="20" t="s">
        <v>2810</v>
      </c>
      <c r="G253" s="20" t="s">
        <v>4401</v>
      </c>
      <c r="H253" s="22" t="n">
        <v>28.3</v>
      </c>
      <c r="I253" s="22" t="n">
        <v>28.3</v>
      </c>
      <c r="J253" s="22" t="n">
        <f aca="false">H253-I253</f>
        <v>0</v>
      </c>
      <c r="K253" s="20" t="str">
        <f aca="false">IF(ABS(J253)&lt;0.001,"MATCH - PAPER CHECK-IN NOT SUPPLIED","DATA MISMATCH")</f>
        <v>MATCH - PAPER CHECK-IN NOT SUPPLIED</v>
      </c>
      <c r="L253" s="22" t="n">
        <v>28</v>
      </c>
      <c r="M253" s="22" t="n">
        <f aca="false">ROUNDUP(H253,0)</f>
        <v>29</v>
      </c>
      <c r="N253" s="24" t="n">
        <f aca="false">MAX(L253,M253)</f>
        <v>29</v>
      </c>
      <c r="O253" s="25" t="n">
        <v>7.55</v>
      </c>
      <c r="P253" s="25" t="n">
        <f aca="false">N253*O253</f>
        <v>218.95</v>
      </c>
      <c r="Q253" s="23" t="s">
        <v>4402</v>
      </c>
      <c r="R253" s="23" t="s">
        <v>2804</v>
      </c>
      <c r="S253" s="24" t="n">
        <v>29</v>
      </c>
      <c r="T253" s="25" t="n">
        <v>7.55</v>
      </c>
      <c r="U253" s="25" t="n">
        <v>218.95</v>
      </c>
      <c r="V253" s="25" t="n">
        <f aca="false">P253-U253</f>
        <v>0</v>
      </c>
      <c r="W253" s="25" t="n">
        <f aca="false">V253*12</f>
        <v>0</v>
      </c>
      <c r="X253" s="23" t="str">
        <f aca="false">IF(Q253="","MISSING FROM EXPORT",IF(ABS(V253)&lt;0.005,"CLEAR",IF(V253&gt;0,"UNDERBILLING","OVERBILLING")))</f>
        <v>CLEAR</v>
      </c>
      <c r="Y253" s="25" t="n">
        <f aca="false">IF(F253="COMMERCIAL",ROUND(P253*0.35,2),0)</f>
        <v>0</v>
      </c>
      <c r="Z253" s="23" t="str">
        <f aca="false">IF(F253="COMMERCIAL","VERIFY SIGNED AGREEMENT","NO EXCEPTION")</f>
        <v>NO EXCEPTION</v>
      </c>
      <c r="AA253" s="23" t="str">
        <f aca="false">IF(AND(C253="covered",N253&gt;40),"COVERED &gt;40 FT","")</f>
        <v/>
      </c>
      <c r="AB253" s="23" t="s">
        <v>4403</v>
      </c>
      <c r="AC253" s="23" t="s">
        <v>4404</v>
      </c>
      <c r="AD253" s="23" t="s">
        <v>2807</v>
      </c>
    </row>
    <row r="254" customFormat="false" ht="17.9" hidden="false" customHeight="false" outlineLevel="0" collapsed="false">
      <c r="A254" s="20" t="s">
        <v>1802</v>
      </c>
      <c r="B254" s="20" t="s">
        <v>119</v>
      </c>
      <c r="C254" s="20" t="s">
        <v>2798</v>
      </c>
      <c r="D254" s="20" t="s">
        <v>4405</v>
      </c>
      <c r="E254" s="20" t="s">
        <v>4406</v>
      </c>
      <c r="F254" s="20" t="s">
        <v>2869</v>
      </c>
      <c r="G254" s="20" t="s">
        <v>3022</v>
      </c>
      <c r="H254" s="22" t="n">
        <v>25.2</v>
      </c>
      <c r="I254" s="22" t="n">
        <v>25.2</v>
      </c>
      <c r="J254" s="22" t="n">
        <f aca="false">H254-I254</f>
        <v>0</v>
      </c>
      <c r="K254" s="20" t="str">
        <f aca="false">IF(ABS(J254)&lt;0.001,"MATCH - PAPER CHECK-IN NOT SUPPLIED","DATA MISMATCH")</f>
        <v>MATCH - PAPER CHECK-IN NOT SUPPLIED</v>
      </c>
      <c r="L254" s="22" t="n">
        <v>24</v>
      </c>
      <c r="M254" s="22" t="n">
        <f aca="false">ROUNDUP(H254,0)</f>
        <v>26</v>
      </c>
      <c r="N254" s="24" t="n">
        <f aca="false">MAX(L254,M254)</f>
        <v>26</v>
      </c>
      <c r="O254" s="25" t="n">
        <v>7.55</v>
      </c>
      <c r="P254" s="25" t="n">
        <f aca="false">N254*O254</f>
        <v>196.3</v>
      </c>
      <c r="Q254" s="23" t="s">
        <v>4407</v>
      </c>
      <c r="R254" s="23" t="s">
        <v>2804</v>
      </c>
      <c r="S254" s="24" t="n">
        <v>26</v>
      </c>
      <c r="T254" s="25" t="n">
        <v>7.55</v>
      </c>
      <c r="U254" s="25" t="n">
        <v>196.3</v>
      </c>
      <c r="V254" s="25" t="n">
        <f aca="false">P254-U254</f>
        <v>0</v>
      </c>
      <c r="W254" s="25" t="n">
        <f aca="false">V254*12</f>
        <v>0</v>
      </c>
      <c r="X254" s="23" t="str">
        <f aca="false">IF(Q254="","MISSING FROM EXPORT",IF(ABS(V254)&lt;0.005,"CLEAR",IF(V254&gt;0,"UNDERBILLING","OVERBILLING")))</f>
        <v>CLEAR</v>
      </c>
      <c r="Y254" s="25" t="n">
        <f aca="false">IF(F254="COMMERCIAL",ROUND(P254*0.35,2),0)</f>
        <v>0</v>
      </c>
      <c r="Z254" s="23" t="str">
        <f aca="false">IF(F254="COMMERCIAL","VERIFY SIGNED AGREEMENT","NO EXCEPTION")</f>
        <v>NO EXCEPTION</v>
      </c>
      <c r="AA254" s="23" t="str">
        <f aca="false">IF(AND(C254="covered",N254&gt;40),"COVERED &gt;40 FT","")</f>
        <v/>
      </c>
      <c r="AB254" s="23" t="s">
        <v>4408</v>
      </c>
      <c r="AC254" s="23" t="s">
        <v>4409</v>
      </c>
      <c r="AD254" s="23" t="s">
        <v>2807</v>
      </c>
    </row>
    <row r="255" customFormat="false" ht="17.9" hidden="false" customHeight="false" outlineLevel="0" collapsed="false">
      <c r="A255" s="20" t="s">
        <v>4410</v>
      </c>
      <c r="B255" s="20" t="s">
        <v>119</v>
      </c>
      <c r="C255" s="20" t="s">
        <v>2798</v>
      </c>
      <c r="D255" s="20" t="s">
        <v>4411</v>
      </c>
      <c r="E255" s="20" t="s">
        <v>4412</v>
      </c>
      <c r="F255" s="20" t="s">
        <v>2801</v>
      </c>
      <c r="G255" s="20" t="s">
        <v>3029</v>
      </c>
      <c r="H255" s="22" t="n">
        <v>33.7</v>
      </c>
      <c r="I255" s="22" t="n">
        <v>33.7</v>
      </c>
      <c r="J255" s="22" t="n">
        <f aca="false">H255-I255</f>
        <v>0</v>
      </c>
      <c r="K255" s="20" t="str">
        <f aca="false">IF(ABS(J255)&lt;0.001,"MATCH - PAPER CHECK-IN NOT SUPPLIED","DATA MISMATCH")</f>
        <v>MATCH - PAPER CHECK-IN NOT SUPPLIED</v>
      </c>
      <c r="L255" s="22" t="n">
        <v>28</v>
      </c>
      <c r="M255" s="22" t="n">
        <f aca="false">ROUNDUP(H255,0)</f>
        <v>34</v>
      </c>
      <c r="N255" s="24" t="n">
        <f aca="false">MAX(L255,M255)</f>
        <v>34</v>
      </c>
      <c r="O255" s="25" t="n">
        <v>7.55</v>
      </c>
      <c r="P255" s="25" t="n">
        <f aca="false">N255*O255</f>
        <v>256.7</v>
      </c>
      <c r="Q255" s="23" t="s">
        <v>4413</v>
      </c>
      <c r="R255" s="23" t="s">
        <v>2804</v>
      </c>
      <c r="S255" s="24" t="n">
        <v>34</v>
      </c>
      <c r="T255" s="25" t="n">
        <v>7.55</v>
      </c>
      <c r="U255" s="25" t="n">
        <v>256.7</v>
      </c>
      <c r="V255" s="25" t="n">
        <f aca="false">P255-U255</f>
        <v>0</v>
      </c>
      <c r="W255" s="25" t="n">
        <f aca="false">V255*12</f>
        <v>0</v>
      </c>
      <c r="X255" s="23" t="str">
        <f aca="false">IF(Q255="","MISSING FROM EXPORT",IF(ABS(V255)&lt;0.005,"CLEAR",IF(V255&gt;0,"UNDERBILLING","OVERBILLING")))</f>
        <v>CLEAR</v>
      </c>
      <c r="Y255" s="25" t="n">
        <f aca="false">IF(F255="COMMERCIAL",ROUND(P255*0.35,2),0)</f>
        <v>0</v>
      </c>
      <c r="Z255" s="23" t="str">
        <f aca="false">IF(F255="COMMERCIAL","VERIFY SIGNED AGREEMENT","NO EXCEPTION")</f>
        <v>NO EXCEPTION</v>
      </c>
      <c r="AA255" s="23" t="str">
        <f aca="false">IF(AND(C255="covered",N255&gt;40),"COVERED &gt;40 FT","")</f>
        <v/>
      </c>
      <c r="AB255" s="23" t="s">
        <v>4414</v>
      </c>
      <c r="AC255" s="23" t="s">
        <v>4415</v>
      </c>
      <c r="AD255" s="23" t="s">
        <v>2807</v>
      </c>
    </row>
    <row r="256" customFormat="false" ht="17.9" hidden="false" customHeight="false" outlineLevel="0" collapsed="false">
      <c r="A256" s="20" t="s">
        <v>1440</v>
      </c>
      <c r="B256" s="20" t="s">
        <v>119</v>
      </c>
      <c r="C256" s="20" t="s">
        <v>2798</v>
      </c>
      <c r="D256" s="20" t="s">
        <v>4416</v>
      </c>
      <c r="E256" s="20" t="s">
        <v>4417</v>
      </c>
      <c r="F256" s="20" t="s">
        <v>2898</v>
      </c>
      <c r="G256" s="20" t="s">
        <v>3036</v>
      </c>
      <c r="H256" s="22" t="n">
        <v>42.5</v>
      </c>
      <c r="I256" s="22" t="n">
        <v>42.5</v>
      </c>
      <c r="J256" s="22" t="n">
        <f aca="false">H256-I256</f>
        <v>0</v>
      </c>
      <c r="K256" s="20" t="str">
        <f aca="false">IF(ABS(J256)&lt;0.001,"MATCH - PAPER CHECK-IN NOT SUPPLIED","DATA MISMATCH")</f>
        <v>MATCH - PAPER CHECK-IN NOT SUPPLIED</v>
      </c>
      <c r="L256" s="22" t="n">
        <v>80</v>
      </c>
      <c r="M256" s="22" t="n">
        <f aca="false">ROUNDUP(H256,0)</f>
        <v>43</v>
      </c>
      <c r="N256" s="24" t="n">
        <f aca="false">MAX(L256,M256)</f>
        <v>80</v>
      </c>
      <c r="O256" s="25" t="n">
        <v>7.55</v>
      </c>
      <c r="P256" s="25" t="n">
        <f aca="false">N256*O256</f>
        <v>604</v>
      </c>
      <c r="Q256" s="23" t="s">
        <v>4418</v>
      </c>
      <c r="R256" s="23" t="s">
        <v>2804</v>
      </c>
      <c r="S256" s="24" t="n">
        <v>80</v>
      </c>
      <c r="T256" s="25" t="n">
        <v>7.55</v>
      </c>
      <c r="U256" s="25" t="n">
        <v>604</v>
      </c>
      <c r="V256" s="25" t="n">
        <f aca="false">P256-U256</f>
        <v>0</v>
      </c>
      <c r="W256" s="25" t="n">
        <f aca="false">V256*12</f>
        <v>0</v>
      </c>
      <c r="X256" s="23" t="str">
        <f aca="false">IF(Q256="","MISSING FROM EXPORT",IF(ABS(V256)&lt;0.005,"CLEAR",IF(V256&gt;0,"UNDERBILLING","OVERBILLING")))</f>
        <v>CLEAR</v>
      </c>
      <c r="Y256" s="25" t="n">
        <f aca="false">IF(F256="COMMERCIAL",ROUND(P256*0.35,2),0)</f>
        <v>0</v>
      </c>
      <c r="Z256" s="23" t="str">
        <f aca="false">IF(F256="COMMERCIAL","VERIFY SIGNED AGREEMENT","NO EXCEPTION")</f>
        <v>NO EXCEPTION</v>
      </c>
      <c r="AA256" s="23" t="str">
        <f aca="false">IF(AND(C256="covered",N256&gt;40),"COVERED &gt;40 FT","")</f>
        <v/>
      </c>
      <c r="AB256" s="23" t="s">
        <v>4419</v>
      </c>
      <c r="AC256" s="23" t="s">
        <v>4420</v>
      </c>
      <c r="AD256" s="23" t="s">
        <v>2807</v>
      </c>
    </row>
    <row r="257" customFormat="false" ht="17.9" hidden="false" customHeight="false" outlineLevel="0" collapsed="false">
      <c r="A257" s="20" t="s">
        <v>4421</v>
      </c>
      <c r="B257" s="20" t="s">
        <v>119</v>
      </c>
      <c r="C257" s="20" t="s">
        <v>2798</v>
      </c>
      <c r="D257" s="20" t="s">
        <v>4422</v>
      </c>
      <c r="E257" s="20" t="s">
        <v>4423</v>
      </c>
      <c r="F257" s="20" t="s">
        <v>2857</v>
      </c>
      <c r="G257" s="20" t="s">
        <v>3041</v>
      </c>
      <c r="H257" s="22" t="n">
        <v>58.7</v>
      </c>
      <c r="I257" s="22" t="n">
        <v>58.7</v>
      </c>
      <c r="J257" s="22" t="n">
        <f aca="false">H257-I257</f>
        <v>0</v>
      </c>
      <c r="K257" s="20" t="str">
        <f aca="false">IF(ABS(J257)&lt;0.001,"MATCH - PAPER CHECK-IN NOT SUPPLIED","DATA MISMATCH")</f>
        <v>MATCH - PAPER CHECK-IN NOT SUPPLIED</v>
      </c>
      <c r="L257" s="22" t="n">
        <v>80</v>
      </c>
      <c r="M257" s="22" t="n">
        <f aca="false">ROUNDUP(H257,0)</f>
        <v>59</v>
      </c>
      <c r="N257" s="24" t="n">
        <f aca="false">MAX(L257,M257)</f>
        <v>80</v>
      </c>
      <c r="O257" s="25" t="n">
        <v>7.55</v>
      </c>
      <c r="P257" s="25" t="n">
        <f aca="false">N257*O257</f>
        <v>604</v>
      </c>
      <c r="Q257" s="23" t="s">
        <v>4424</v>
      </c>
      <c r="R257" s="23" t="s">
        <v>2804</v>
      </c>
      <c r="S257" s="24" t="n">
        <v>80</v>
      </c>
      <c r="T257" s="25" t="n">
        <v>7.55</v>
      </c>
      <c r="U257" s="25" t="n">
        <v>604</v>
      </c>
      <c r="V257" s="25" t="n">
        <f aca="false">P257-U257</f>
        <v>0</v>
      </c>
      <c r="W257" s="25" t="n">
        <f aca="false">V257*12</f>
        <v>0</v>
      </c>
      <c r="X257" s="23" t="str">
        <f aca="false">IF(Q257="","MISSING FROM EXPORT",IF(ABS(V257)&lt;0.005,"CLEAR",IF(V257&gt;0,"UNDERBILLING","OVERBILLING")))</f>
        <v>CLEAR</v>
      </c>
      <c r="Y257" s="25" t="n">
        <f aca="false">IF(F257="COMMERCIAL",ROUND(P257*0.35,2),0)</f>
        <v>0</v>
      </c>
      <c r="Z257" s="23" t="str">
        <f aca="false">IF(F257="COMMERCIAL","VERIFY SIGNED AGREEMENT","NO EXCEPTION")</f>
        <v>NO EXCEPTION</v>
      </c>
      <c r="AA257" s="23" t="str">
        <f aca="false">IF(AND(C257="covered",N257&gt;40),"COVERED &gt;40 FT","")</f>
        <v/>
      </c>
      <c r="AB257" s="23" t="s">
        <v>4425</v>
      </c>
      <c r="AC257" s="23" t="s">
        <v>4426</v>
      </c>
      <c r="AD257" s="23" t="s">
        <v>2807</v>
      </c>
    </row>
    <row r="258" customFormat="false" ht="17.9" hidden="false" customHeight="false" outlineLevel="0" collapsed="false">
      <c r="A258" s="20" t="s">
        <v>4427</v>
      </c>
      <c r="B258" s="20" t="s">
        <v>119</v>
      </c>
      <c r="C258" s="20" t="s">
        <v>2798</v>
      </c>
      <c r="D258" s="20" t="s">
        <v>2469</v>
      </c>
      <c r="E258" s="20" t="s">
        <v>2470</v>
      </c>
      <c r="F258" s="20" t="s">
        <v>2833</v>
      </c>
      <c r="G258" s="20" t="s">
        <v>3048</v>
      </c>
      <c r="H258" s="22" t="n">
        <v>56.1</v>
      </c>
      <c r="I258" s="22" t="n">
        <v>56.1</v>
      </c>
      <c r="J258" s="22" t="n">
        <f aca="false">H258-I258</f>
        <v>0</v>
      </c>
      <c r="K258" s="20" t="str">
        <f aca="false">IF(ABS(J258)&lt;0.001,"MATCH - PAPER CHECK-IN NOT SUPPLIED","DATA MISMATCH")</f>
        <v>MATCH - PAPER CHECK-IN NOT SUPPLIED</v>
      </c>
      <c r="L258" s="22" t="n">
        <v>60</v>
      </c>
      <c r="M258" s="22" t="n">
        <f aca="false">ROUNDUP(H258,0)</f>
        <v>57</v>
      </c>
      <c r="N258" s="24" t="n">
        <f aca="false">MAX(L258,M258)</f>
        <v>60</v>
      </c>
      <c r="O258" s="25" t="n">
        <v>7.55</v>
      </c>
      <c r="P258" s="25" t="n">
        <f aca="false">N258*O258</f>
        <v>453</v>
      </c>
      <c r="Q258" s="23" t="s">
        <v>4428</v>
      </c>
      <c r="R258" s="23" t="s">
        <v>2804</v>
      </c>
      <c r="S258" s="24" t="n">
        <v>60</v>
      </c>
      <c r="T258" s="25" t="n">
        <v>7.55</v>
      </c>
      <c r="U258" s="25" t="n">
        <v>453</v>
      </c>
      <c r="V258" s="25" t="n">
        <f aca="false">P258-U258</f>
        <v>0</v>
      </c>
      <c r="W258" s="25" t="n">
        <f aca="false">V258*12</f>
        <v>0</v>
      </c>
      <c r="X258" s="23" t="str">
        <f aca="false">IF(Q258="","MISSING FROM EXPORT",IF(ABS(V258)&lt;0.005,"CLEAR",IF(V258&gt;0,"UNDERBILLING","OVERBILLING")))</f>
        <v>CLEAR</v>
      </c>
      <c r="Y258" s="25" t="n">
        <f aca="false">IF(F258="COMMERCIAL",ROUND(P258*0.35,2),0)</f>
        <v>0</v>
      </c>
      <c r="Z258" s="23" t="str">
        <f aca="false">IF(F258="COMMERCIAL","VERIFY SIGNED AGREEMENT","NO EXCEPTION")</f>
        <v>NO EXCEPTION</v>
      </c>
      <c r="AA258" s="23" t="str">
        <f aca="false">IF(AND(C258="covered",N258&gt;40),"COVERED &gt;40 FT","")</f>
        <v/>
      </c>
      <c r="AB258" s="23" t="s">
        <v>4429</v>
      </c>
      <c r="AC258" s="23" t="s">
        <v>4430</v>
      </c>
      <c r="AD258" s="23" t="s">
        <v>2807</v>
      </c>
    </row>
    <row r="259" customFormat="false" ht="17.9" hidden="false" customHeight="false" outlineLevel="0" collapsed="false">
      <c r="A259" s="20" t="s">
        <v>146</v>
      </c>
      <c r="B259" s="20" t="s">
        <v>119</v>
      </c>
      <c r="C259" s="20" t="s">
        <v>2798</v>
      </c>
      <c r="D259" s="20" t="s">
        <v>1880</v>
      </c>
      <c r="E259" s="20" t="s">
        <v>4431</v>
      </c>
      <c r="F259" s="20" t="s">
        <v>2934</v>
      </c>
      <c r="G259" s="20" t="s">
        <v>3062</v>
      </c>
      <c r="H259" s="22" t="n">
        <v>54.9</v>
      </c>
      <c r="I259" s="22" t="n">
        <v>54.9</v>
      </c>
      <c r="J259" s="22" t="n">
        <f aca="false">H259-I259</f>
        <v>0</v>
      </c>
      <c r="K259" s="20" t="str">
        <f aca="false">IF(ABS(J259)&lt;0.001,"MATCH - PAPER CHECK-IN NOT SUPPLIED","DATA MISMATCH")</f>
        <v>MATCH - PAPER CHECK-IN NOT SUPPLIED</v>
      </c>
      <c r="L259" s="22" t="n">
        <v>60</v>
      </c>
      <c r="M259" s="22" t="n">
        <f aca="false">ROUNDUP(H259,0)</f>
        <v>55</v>
      </c>
      <c r="N259" s="24" t="n">
        <f aca="false">MAX(L259,M259)</f>
        <v>60</v>
      </c>
      <c r="O259" s="25" t="n">
        <v>7.55</v>
      </c>
      <c r="P259" s="25" t="n">
        <f aca="false">N259*O259</f>
        <v>453</v>
      </c>
      <c r="Q259" s="23" t="s">
        <v>4432</v>
      </c>
      <c r="R259" s="23" t="s">
        <v>2804</v>
      </c>
      <c r="S259" s="24" t="n">
        <v>60</v>
      </c>
      <c r="T259" s="25" t="n">
        <v>7.55</v>
      </c>
      <c r="U259" s="25" t="n">
        <v>453</v>
      </c>
      <c r="V259" s="25" t="n">
        <f aca="false">P259-U259</f>
        <v>0</v>
      </c>
      <c r="W259" s="25" t="n">
        <f aca="false">V259*12</f>
        <v>0</v>
      </c>
      <c r="X259" s="23" t="str">
        <f aca="false">IF(Q259="","MISSING FROM EXPORT",IF(ABS(V259)&lt;0.005,"CLEAR",IF(V259&gt;0,"UNDERBILLING","OVERBILLING")))</f>
        <v>CLEAR</v>
      </c>
      <c r="Y259" s="25" t="n">
        <f aca="false">IF(F259="COMMERCIAL",ROUND(P259*0.35,2),0)</f>
        <v>158.55</v>
      </c>
      <c r="Z259" s="23" t="str">
        <f aca="false">IF(F259="COMMERCIAL","VERIFY SIGNED AGREEMENT","NO EXCEPTION")</f>
        <v>VERIFY SIGNED AGREEMENT</v>
      </c>
      <c r="AA259" s="23" t="str">
        <f aca="false">IF(AND(C259="covered",N259&gt;40),"COVERED &gt;40 FT","")</f>
        <v/>
      </c>
      <c r="AB259" s="23" t="s">
        <v>4433</v>
      </c>
      <c r="AC259" s="23" t="s">
        <v>4434</v>
      </c>
      <c r="AD259" s="23" t="s">
        <v>2807</v>
      </c>
    </row>
    <row r="260" customFormat="false" ht="17.9" hidden="false" customHeight="false" outlineLevel="0" collapsed="false">
      <c r="A260" s="20" t="s">
        <v>4435</v>
      </c>
      <c r="B260" s="20" t="s">
        <v>119</v>
      </c>
      <c r="C260" s="20" t="s">
        <v>2798</v>
      </c>
      <c r="D260" s="20" t="s">
        <v>2748</v>
      </c>
      <c r="E260" s="20" t="s">
        <v>2749</v>
      </c>
      <c r="F260" s="20" t="s">
        <v>2833</v>
      </c>
      <c r="G260" s="20" t="s">
        <v>3069</v>
      </c>
      <c r="H260" s="22" t="n">
        <v>31.6</v>
      </c>
      <c r="I260" s="22" t="n">
        <v>31.6</v>
      </c>
      <c r="J260" s="22" t="n">
        <f aca="false">H260-I260</f>
        <v>0</v>
      </c>
      <c r="K260" s="20" t="str">
        <f aca="false">IF(ABS(J260)&lt;0.001,"MATCH - PAPER CHECK-IN NOT SUPPLIED","DATA MISMATCH")</f>
        <v>MATCH - PAPER CHECK-IN NOT SUPPLIED</v>
      </c>
      <c r="L260" s="22" t="n">
        <v>80</v>
      </c>
      <c r="M260" s="22" t="n">
        <f aca="false">ROUNDUP(H260,0)</f>
        <v>32</v>
      </c>
      <c r="N260" s="24" t="n">
        <f aca="false">MAX(L260,M260)</f>
        <v>80</v>
      </c>
      <c r="O260" s="25" t="n">
        <v>7.55</v>
      </c>
      <c r="P260" s="25" t="n">
        <f aca="false">N260*O260</f>
        <v>604</v>
      </c>
      <c r="Q260" s="23" t="s">
        <v>4436</v>
      </c>
      <c r="R260" s="23" t="s">
        <v>2804</v>
      </c>
      <c r="S260" s="24" t="n">
        <v>80</v>
      </c>
      <c r="T260" s="25" t="n">
        <v>7.55</v>
      </c>
      <c r="U260" s="25" t="n">
        <v>604</v>
      </c>
      <c r="V260" s="25" t="n">
        <f aca="false">P260-U260</f>
        <v>0</v>
      </c>
      <c r="W260" s="25" t="n">
        <f aca="false">V260*12</f>
        <v>0</v>
      </c>
      <c r="X260" s="23" t="str">
        <f aca="false">IF(Q260="","MISSING FROM EXPORT",IF(ABS(V260)&lt;0.005,"CLEAR",IF(V260&gt;0,"UNDERBILLING","OVERBILLING")))</f>
        <v>CLEAR</v>
      </c>
      <c r="Y260" s="25" t="n">
        <f aca="false">IF(F260="COMMERCIAL",ROUND(P260*0.35,2),0)</f>
        <v>0</v>
      </c>
      <c r="Z260" s="23" t="str">
        <f aca="false">IF(F260="COMMERCIAL","VERIFY SIGNED AGREEMENT","NO EXCEPTION")</f>
        <v>NO EXCEPTION</v>
      </c>
      <c r="AA260" s="23" t="str">
        <f aca="false">IF(AND(C260="covered",N260&gt;40),"COVERED &gt;40 FT","")</f>
        <v/>
      </c>
      <c r="AB260" s="23" t="s">
        <v>4437</v>
      </c>
      <c r="AC260" s="23" t="s">
        <v>4438</v>
      </c>
      <c r="AD260" s="23" t="s">
        <v>2807</v>
      </c>
    </row>
    <row r="261" customFormat="false" ht="17.9" hidden="false" customHeight="false" outlineLevel="0" collapsed="false">
      <c r="A261" s="20" t="s">
        <v>4439</v>
      </c>
      <c r="B261" s="20" t="s">
        <v>119</v>
      </c>
      <c r="C261" s="20" t="s">
        <v>2798</v>
      </c>
      <c r="D261" s="20" t="s">
        <v>4440</v>
      </c>
      <c r="E261" s="20" t="s">
        <v>4441</v>
      </c>
      <c r="F261" s="20" t="s">
        <v>2818</v>
      </c>
      <c r="G261" s="20" t="s">
        <v>3076</v>
      </c>
      <c r="H261" s="22" t="n">
        <v>29.9</v>
      </c>
      <c r="I261" s="22" t="n">
        <v>29.9</v>
      </c>
      <c r="J261" s="22" t="n">
        <f aca="false">H261-I261</f>
        <v>0</v>
      </c>
      <c r="K261" s="20" t="str">
        <f aca="false">IF(ABS(J261)&lt;0.001,"MATCH - PAPER CHECK-IN NOT SUPPLIED","DATA MISMATCH")</f>
        <v>MATCH - PAPER CHECK-IN NOT SUPPLIED</v>
      </c>
      <c r="L261" s="22" t="n">
        <v>60</v>
      </c>
      <c r="M261" s="22" t="n">
        <f aca="false">ROUNDUP(H261,0)</f>
        <v>30</v>
      </c>
      <c r="N261" s="24" t="n">
        <f aca="false">MAX(L261,M261)</f>
        <v>60</v>
      </c>
      <c r="O261" s="25" t="n">
        <v>7.55</v>
      </c>
      <c r="P261" s="25" t="n">
        <f aca="false">N261*O261</f>
        <v>453</v>
      </c>
      <c r="Q261" s="23" t="s">
        <v>4442</v>
      </c>
      <c r="R261" s="23" t="s">
        <v>2804</v>
      </c>
      <c r="S261" s="24" t="n">
        <v>60</v>
      </c>
      <c r="T261" s="25" t="n">
        <v>7.55</v>
      </c>
      <c r="U261" s="25" t="n">
        <v>453</v>
      </c>
      <c r="V261" s="25" t="n">
        <f aca="false">P261-U261</f>
        <v>0</v>
      </c>
      <c r="W261" s="25" t="n">
        <f aca="false">V261*12</f>
        <v>0</v>
      </c>
      <c r="X261" s="23" t="str">
        <f aca="false">IF(Q261="","MISSING FROM EXPORT",IF(ABS(V261)&lt;0.005,"CLEAR",IF(V261&gt;0,"UNDERBILLING","OVERBILLING")))</f>
        <v>CLEAR</v>
      </c>
      <c r="Y261" s="25" t="n">
        <f aca="false">IF(F261="COMMERCIAL",ROUND(P261*0.35,2),0)</f>
        <v>0</v>
      </c>
      <c r="Z261" s="23" t="str">
        <f aca="false">IF(F261="COMMERCIAL","VERIFY SIGNED AGREEMENT","NO EXCEPTION")</f>
        <v>NO EXCEPTION</v>
      </c>
      <c r="AA261" s="23" t="str">
        <f aca="false">IF(AND(C261="covered",N261&gt;40),"COVERED &gt;40 FT","")</f>
        <v/>
      </c>
      <c r="AB261" s="23" t="s">
        <v>4443</v>
      </c>
      <c r="AC261" s="23" t="s">
        <v>4444</v>
      </c>
      <c r="AD261" s="23" t="s">
        <v>2807</v>
      </c>
    </row>
    <row r="262" customFormat="false" ht="17.9" hidden="false" customHeight="false" outlineLevel="0" collapsed="false">
      <c r="A262" s="20" t="s">
        <v>1864</v>
      </c>
      <c r="B262" s="20" t="s">
        <v>119</v>
      </c>
      <c r="C262" s="20" t="s">
        <v>2798</v>
      </c>
      <c r="D262" s="20" t="s">
        <v>4445</v>
      </c>
      <c r="E262" s="20" t="s">
        <v>4446</v>
      </c>
      <c r="F262" s="20" t="s">
        <v>2857</v>
      </c>
      <c r="G262" s="20" t="s">
        <v>3083</v>
      </c>
      <c r="H262" s="22" t="n">
        <v>45.5</v>
      </c>
      <c r="I262" s="22" t="n">
        <v>45.5</v>
      </c>
      <c r="J262" s="22" t="n">
        <f aca="false">H262-I262</f>
        <v>0</v>
      </c>
      <c r="K262" s="20" t="str">
        <f aca="false">IF(ABS(J262)&lt;0.001,"MATCH - PAPER CHECK-IN NOT SUPPLIED","DATA MISMATCH")</f>
        <v>MATCH - PAPER CHECK-IN NOT SUPPLIED</v>
      </c>
      <c r="L262" s="22" t="n">
        <v>28</v>
      </c>
      <c r="M262" s="22" t="n">
        <f aca="false">ROUNDUP(H262,0)</f>
        <v>46</v>
      </c>
      <c r="N262" s="24" t="n">
        <f aca="false">MAX(L262,M262)</f>
        <v>46</v>
      </c>
      <c r="O262" s="25" t="n">
        <v>7.55</v>
      </c>
      <c r="P262" s="25" t="n">
        <f aca="false">N262*O262</f>
        <v>347.3</v>
      </c>
      <c r="Q262" s="23" t="s">
        <v>4447</v>
      </c>
      <c r="R262" s="23" t="s">
        <v>2804</v>
      </c>
      <c r="S262" s="24" t="n">
        <v>46</v>
      </c>
      <c r="T262" s="25" t="n">
        <v>7.55</v>
      </c>
      <c r="U262" s="25" t="n">
        <v>347.3</v>
      </c>
      <c r="V262" s="25" t="n">
        <f aca="false">P262-U262</f>
        <v>0</v>
      </c>
      <c r="W262" s="25" t="n">
        <f aca="false">V262*12</f>
        <v>0</v>
      </c>
      <c r="X262" s="23" t="str">
        <f aca="false">IF(Q262="","MISSING FROM EXPORT",IF(ABS(V262)&lt;0.005,"CLEAR",IF(V262&gt;0,"UNDERBILLING","OVERBILLING")))</f>
        <v>CLEAR</v>
      </c>
      <c r="Y262" s="25" t="n">
        <f aca="false">IF(F262="COMMERCIAL",ROUND(P262*0.35,2),0)</f>
        <v>0</v>
      </c>
      <c r="Z262" s="23" t="str">
        <f aca="false">IF(F262="COMMERCIAL","VERIFY SIGNED AGREEMENT","NO EXCEPTION")</f>
        <v>NO EXCEPTION</v>
      </c>
      <c r="AA262" s="23" t="str">
        <f aca="false">IF(AND(C262="covered",N262&gt;40),"COVERED &gt;40 FT","")</f>
        <v/>
      </c>
      <c r="AB262" s="23" t="s">
        <v>4448</v>
      </c>
      <c r="AC262" s="23" t="s">
        <v>4449</v>
      </c>
      <c r="AD262" s="23" t="s">
        <v>2807</v>
      </c>
    </row>
    <row r="263" customFormat="false" ht="17.9" hidden="false" customHeight="false" outlineLevel="0" collapsed="false">
      <c r="A263" s="20" t="s">
        <v>453</v>
      </c>
      <c r="B263" s="20" t="s">
        <v>119</v>
      </c>
      <c r="C263" s="20" t="s">
        <v>2798</v>
      </c>
      <c r="D263" s="20" t="s">
        <v>4450</v>
      </c>
      <c r="E263" s="20" t="s">
        <v>4451</v>
      </c>
      <c r="F263" s="20" t="s">
        <v>2934</v>
      </c>
      <c r="G263" s="20" t="s">
        <v>4452</v>
      </c>
      <c r="H263" s="22" t="n">
        <v>32.4</v>
      </c>
      <c r="I263" s="22" t="n">
        <v>32.4</v>
      </c>
      <c r="J263" s="22" t="n">
        <f aca="false">H263-I263</f>
        <v>0</v>
      </c>
      <c r="K263" s="20" t="str">
        <f aca="false">IF(ABS(J263)&lt;0.001,"MATCH - PAPER CHECK-IN NOT SUPPLIED","DATA MISMATCH")</f>
        <v>MATCH - PAPER CHECK-IN NOT SUPPLIED</v>
      </c>
      <c r="L263" s="22" t="n">
        <v>24</v>
      </c>
      <c r="M263" s="22" t="n">
        <f aca="false">ROUNDUP(H263,0)</f>
        <v>33</v>
      </c>
      <c r="N263" s="24" t="n">
        <f aca="false">MAX(L263,M263)</f>
        <v>33</v>
      </c>
      <c r="O263" s="25" t="n">
        <v>7.55</v>
      </c>
      <c r="P263" s="25" t="n">
        <f aca="false">N263*O263</f>
        <v>249.15</v>
      </c>
      <c r="Q263" s="23" t="s">
        <v>4453</v>
      </c>
      <c r="R263" s="23" t="s">
        <v>2804</v>
      </c>
      <c r="S263" s="24" t="n">
        <v>33</v>
      </c>
      <c r="T263" s="25" t="n">
        <v>7.55</v>
      </c>
      <c r="U263" s="25" t="n">
        <v>249.15</v>
      </c>
      <c r="V263" s="25" t="n">
        <f aca="false">P263-U263</f>
        <v>0</v>
      </c>
      <c r="W263" s="25" t="n">
        <f aca="false">V263*12</f>
        <v>0</v>
      </c>
      <c r="X263" s="23" t="str">
        <f aca="false">IF(Q263="","MISSING FROM EXPORT",IF(ABS(V263)&lt;0.005,"CLEAR",IF(V263&gt;0,"UNDERBILLING","OVERBILLING")))</f>
        <v>CLEAR</v>
      </c>
      <c r="Y263" s="25" t="n">
        <f aca="false">IF(F263="COMMERCIAL",ROUND(P263*0.35,2),0)</f>
        <v>87.2</v>
      </c>
      <c r="Z263" s="23" t="str">
        <f aca="false">IF(F263="COMMERCIAL","VERIFY SIGNED AGREEMENT","NO EXCEPTION")</f>
        <v>VERIFY SIGNED AGREEMENT</v>
      </c>
      <c r="AA263" s="23" t="str">
        <f aca="false">IF(AND(C263="covered",N263&gt;40),"COVERED &gt;40 FT","")</f>
        <v/>
      </c>
      <c r="AB263" s="23" t="s">
        <v>4454</v>
      </c>
      <c r="AC263" s="23" t="s">
        <v>4455</v>
      </c>
      <c r="AD263" s="23" t="s">
        <v>2807</v>
      </c>
    </row>
    <row r="264" customFormat="false" ht="17.9" hidden="false" customHeight="false" outlineLevel="0" collapsed="false">
      <c r="A264" s="20" t="s">
        <v>4456</v>
      </c>
      <c r="B264" s="20" t="s">
        <v>119</v>
      </c>
      <c r="C264" s="20" t="s">
        <v>2798</v>
      </c>
      <c r="D264" s="20" t="s">
        <v>4457</v>
      </c>
      <c r="E264" s="20" t="s">
        <v>4458</v>
      </c>
      <c r="F264" s="20" t="s">
        <v>2833</v>
      </c>
      <c r="G264" s="20" t="s">
        <v>3097</v>
      </c>
      <c r="H264" s="22" t="n">
        <v>55.3</v>
      </c>
      <c r="I264" s="22" t="n">
        <v>55.3</v>
      </c>
      <c r="J264" s="22" t="n">
        <f aca="false">H264-I264</f>
        <v>0</v>
      </c>
      <c r="K264" s="20" t="str">
        <f aca="false">IF(ABS(J264)&lt;0.001,"MATCH - PAPER CHECK-IN NOT SUPPLIED","DATA MISMATCH")</f>
        <v>MATCH - PAPER CHECK-IN NOT SUPPLIED</v>
      </c>
      <c r="L264" s="22" t="n">
        <v>28</v>
      </c>
      <c r="M264" s="22" t="n">
        <f aca="false">ROUNDUP(H264,0)</f>
        <v>56</v>
      </c>
      <c r="N264" s="24" t="n">
        <f aca="false">MAX(L264,M264)</f>
        <v>56</v>
      </c>
      <c r="O264" s="25" t="n">
        <v>7.55</v>
      </c>
      <c r="P264" s="25" t="n">
        <f aca="false">N264*O264</f>
        <v>422.8</v>
      </c>
      <c r="Q264" s="23" t="s">
        <v>4459</v>
      </c>
      <c r="R264" s="23" t="s">
        <v>2804</v>
      </c>
      <c r="S264" s="24" t="n">
        <v>56</v>
      </c>
      <c r="T264" s="25" t="n">
        <v>7.55</v>
      </c>
      <c r="U264" s="25" t="n">
        <v>422.8</v>
      </c>
      <c r="V264" s="25" t="n">
        <f aca="false">P264-U264</f>
        <v>0</v>
      </c>
      <c r="W264" s="25" t="n">
        <f aca="false">V264*12</f>
        <v>0</v>
      </c>
      <c r="X264" s="23" t="str">
        <f aca="false">IF(Q264="","MISSING FROM EXPORT",IF(ABS(V264)&lt;0.005,"CLEAR",IF(V264&gt;0,"UNDERBILLING","OVERBILLING")))</f>
        <v>CLEAR</v>
      </c>
      <c r="Y264" s="25" t="n">
        <f aca="false">IF(F264="COMMERCIAL",ROUND(P264*0.35,2),0)</f>
        <v>0</v>
      </c>
      <c r="Z264" s="23" t="str">
        <f aca="false">IF(F264="COMMERCIAL","VERIFY SIGNED AGREEMENT","NO EXCEPTION")</f>
        <v>NO EXCEPTION</v>
      </c>
      <c r="AA264" s="23" t="str">
        <f aca="false">IF(AND(C264="covered",N264&gt;40),"COVERED &gt;40 FT","")</f>
        <v/>
      </c>
      <c r="AB264" s="23" t="s">
        <v>4460</v>
      </c>
      <c r="AC264" s="23" t="s">
        <v>4461</v>
      </c>
      <c r="AD264" s="23" t="s">
        <v>2807</v>
      </c>
    </row>
    <row r="265" customFormat="false" ht="17.9" hidden="false" customHeight="false" outlineLevel="0" collapsed="false">
      <c r="A265" s="20" t="s">
        <v>4462</v>
      </c>
      <c r="B265" s="20" t="s">
        <v>119</v>
      </c>
      <c r="C265" s="20" t="s">
        <v>2798</v>
      </c>
      <c r="D265" s="20" t="s">
        <v>4463</v>
      </c>
      <c r="E265" s="20" t="s">
        <v>4464</v>
      </c>
      <c r="F265" s="20" t="s">
        <v>2810</v>
      </c>
      <c r="G265" s="20" t="s">
        <v>3104</v>
      </c>
      <c r="H265" s="22" t="n">
        <v>29.9</v>
      </c>
      <c r="I265" s="22" t="n">
        <v>29.9</v>
      </c>
      <c r="J265" s="22" t="n">
        <f aca="false">H265-I265</f>
        <v>0</v>
      </c>
      <c r="K265" s="20" t="str">
        <f aca="false">IF(ABS(J265)&lt;0.001,"MATCH - PAPER CHECK-IN NOT SUPPLIED","DATA MISMATCH")</f>
        <v>MATCH - PAPER CHECK-IN NOT SUPPLIED</v>
      </c>
      <c r="L265" s="22" t="n">
        <v>28</v>
      </c>
      <c r="M265" s="22" t="n">
        <f aca="false">ROUNDUP(H265,0)</f>
        <v>30</v>
      </c>
      <c r="N265" s="24" t="n">
        <f aca="false">MAX(L265,M265)</f>
        <v>30</v>
      </c>
      <c r="O265" s="25" t="n">
        <v>7.55</v>
      </c>
      <c r="P265" s="25" t="n">
        <f aca="false">N265*O265</f>
        <v>226.5</v>
      </c>
      <c r="Q265" s="23" t="s">
        <v>4465</v>
      </c>
      <c r="R265" s="23" t="s">
        <v>2804</v>
      </c>
      <c r="S265" s="24" t="n">
        <v>30</v>
      </c>
      <c r="T265" s="25" t="n">
        <v>7.55</v>
      </c>
      <c r="U265" s="25" t="n">
        <v>226.5</v>
      </c>
      <c r="V265" s="25" t="n">
        <f aca="false">P265-U265</f>
        <v>0</v>
      </c>
      <c r="W265" s="25" t="n">
        <f aca="false">V265*12</f>
        <v>0</v>
      </c>
      <c r="X265" s="23" t="str">
        <f aca="false">IF(Q265="","MISSING FROM EXPORT",IF(ABS(V265)&lt;0.005,"CLEAR",IF(V265&gt;0,"UNDERBILLING","OVERBILLING")))</f>
        <v>CLEAR</v>
      </c>
      <c r="Y265" s="25" t="n">
        <f aca="false">IF(F265="COMMERCIAL",ROUND(P265*0.35,2),0)</f>
        <v>0</v>
      </c>
      <c r="Z265" s="23" t="str">
        <f aca="false">IF(F265="COMMERCIAL","VERIFY SIGNED AGREEMENT","NO EXCEPTION")</f>
        <v>NO EXCEPTION</v>
      </c>
      <c r="AA265" s="23" t="str">
        <f aca="false">IF(AND(C265="covered",N265&gt;40),"COVERED &gt;40 FT","")</f>
        <v/>
      </c>
      <c r="AB265" s="23" t="s">
        <v>4466</v>
      </c>
      <c r="AC265" s="23" t="s">
        <v>4467</v>
      </c>
      <c r="AD265" s="23" t="s">
        <v>2807</v>
      </c>
    </row>
    <row r="266" customFormat="false" ht="17.9" hidden="false" customHeight="false" outlineLevel="0" collapsed="false">
      <c r="A266" s="20" t="s">
        <v>4468</v>
      </c>
      <c r="B266" s="20" t="s">
        <v>119</v>
      </c>
      <c r="C266" s="20" t="s">
        <v>2798</v>
      </c>
      <c r="D266" s="20" t="s">
        <v>4469</v>
      </c>
      <c r="E266" s="20" t="s">
        <v>4470</v>
      </c>
      <c r="F266" s="20" t="s">
        <v>2898</v>
      </c>
      <c r="G266" s="20" t="s">
        <v>3110</v>
      </c>
      <c r="H266" s="22" t="n">
        <v>35.3</v>
      </c>
      <c r="I266" s="22" t="n">
        <v>35.3</v>
      </c>
      <c r="J266" s="22" t="n">
        <f aca="false">H266-I266</f>
        <v>0</v>
      </c>
      <c r="K266" s="20" t="str">
        <f aca="false">IF(ABS(J266)&lt;0.001,"MATCH - PAPER CHECK-IN NOT SUPPLIED","DATA MISMATCH")</f>
        <v>MATCH - PAPER CHECK-IN NOT SUPPLIED</v>
      </c>
      <c r="L266" s="22" t="n">
        <v>32</v>
      </c>
      <c r="M266" s="22" t="n">
        <f aca="false">ROUNDUP(H266,0)</f>
        <v>36</v>
      </c>
      <c r="N266" s="24" t="n">
        <f aca="false">MAX(L266,M266)</f>
        <v>36</v>
      </c>
      <c r="O266" s="25" t="n">
        <v>7.55</v>
      </c>
      <c r="P266" s="25" t="n">
        <f aca="false">N266*O266</f>
        <v>271.8</v>
      </c>
      <c r="Q266" s="23" t="s">
        <v>4471</v>
      </c>
      <c r="R266" s="23" t="s">
        <v>2804</v>
      </c>
      <c r="S266" s="24" t="n">
        <v>36</v>
      </c>
      <c r="T266" s="25" t="n">
        <v>7.55</v>
      </c>
      <c r="U266" s="25" t="n">
        <v>271.8</v>
      </c>
      <c r="V266" s="25" t="n">
        <f aca="false">P266-U266</f>
        <v>0</v>
      </c>
      <c r="W266" s="25" t="n">
        <f aca="false">V266*12</f>
        <v>0</v>
      </c>
      <c r="X266" s="23" t="str">
        <f aca="false">IF(Q266="","MISSING FROM EXPORT",IF(ABS(V266)&lt;0.005,"CLEAR",IF(V266&gt;0,"UNDERBILLING","OVERBILLING")))</f>
        <v>CLEAR</v>
      </c>
      <c r="Y266" s="25" t="n">
        <f aca="false">IF(F266="COMMERCIAL",ROUND(P266*0.35,2),0)</f>
        <v>0</v>
      </c>
      <c r="Z266" s="23" t="str">
        <f aca="false">IF(F266="COMMERCIAL","VERIFY SIGNED AGREEMENT","NO EXCEPTION")</f>
        <v>NO EXCEPTION</v>
      </c>
      <c r="AA266" s="23" t="str">
        <f aca="false">IF(AND(C266="covered",N266&gt;40),"COVERED &gt;40 FT","")</f>
        <v/>
      </c>
      <c r="AB266" s="23" t="s">
        <v>4472</v>
      </c>
      <c r="AC266" s="23" t="s">
        <v>4473</v>
      </c>
      <c r="AD266" s="23" t="s">
        <v>2807</v>
      </c>
    </row>
    <row r="267" customFormat="false" ht="17.9" hidden="false" customHeight="false" outlineLevel="0" collapsed="false">
      <c r="A267" s="20" t="s">
        <v>1391</v>
      </c>
      <c r="B267" s="20" t="s">
        <v>119</v>
      </c>
      <c r="C267" s="20" t="s">
        <v>2798</v>
      </c>
      <c r="D267" s="20" t="s">
        <v>4474</v>
      </c>
      <c r="E267" s="20" t="s">
        <v>4475</v>
      </c>
      <c r="F267" s="20" t="s">
        <v>2869</v>
      </c>
      <c r="G267" s="20" t="s">
        <v>3117</v>
      </c>
      <c r="H267" s="22" t="n">
        <v>60</v>
      </c>
      <c r="I267" s="22" t="n">
        <v>60</v>
      </c>
      <c r="J267" s="22" t="n">
        <f aca="false">H267-I267</f>
        <v>0</v>
      </c>
      <c r="K267" s="20" t="str">
        <f aca="false">IF(ABS(J267)&lt;0.001,"MATCH - PAPER CHECK-IN NOT SUPPLIED","DATA MISMATCH")</f>
        <v>MATCH - PAPER CHECK-IN NOT SUPPLIED</v>
      </c>
      <c r="L267" s="22" t="n">
        <v>80</v>
      </c>
      <c r="M267" s="22" t="n">
        <f aca="false">ROUNDUP(H267,0)</f>
        <v>60</v>
      </c>
      <c r="N267" s="24" t="n">
        <f aca="false">MAX(L267,M267)</f>
        <v>80</v>
      </c>
      <c r="O267" s="25" t="n">
        <v>7.55</v>
      </c>
      <c r="P267" s="25" t="n">
        <f aca="false">N267*O267</f>
        <v>604</v>
      </c>
      <c r="Q267" s="23" t="s">
        <v>4476</v>
      </c>
      <c r="R267" s="23" t="s">
        <v>2804</v>
      </c>
      <c r="S267" s="24" t="n">
        <v>80</v>
      </c>
      <c r="T267" s="25" t="n">
        <v>7.55</v>
      </c>
      <c r="U267" s="25" t="n">
        <v>604</v>
      </c>
      <c r="V267" s="25" t="n">
        <f aca="false">P267-U267</f>
        <v>0</v>
      </c>
      <c r="W267" s="25" t="n">
        <f aca="false">V267*12</f>
        <v>0</v>
      </c>
      <c r="X267" s="23" t="str">
        <f aca="false">IF(Q267="","MISSING FROM EXPORT",IF(ABS(V267)&lt;0.005,"CLEAR",IF(V267&gt;0,"UNDERBILLING","OVERBILLING")))</f>
        <v>CLEAR</v>
      </c>
      <c r="Y267" s="25" t="n">
        <f aca="false">IF(F267="COMMERCIAL",ROUND(P267*0.35,2),0)</f>
        <v>0</v>
      </c>
      <c r="Z267" s="23" t="str">
        <f aca="false">IF(F267="COMMERCIAL","VERIFY SIGNED AGREEMENT","NO EXCEPTION")</f>
        <v>NO EXCEPTION</v>
      </c>
      <c r="AA267" s="23" t="str">
        <f aca="false">IF(AND(C267="covered",N267&gt;40),"COVERED &gt;40 FT","")</f>
        <v/>
      </c>
      <c r="AB267" s="23" t="s">
        <v>4477</v>
      </c>
      <c r="AC267" s="23" t="s">
        <v>4478</v>
      </c>
      <c r="AD267" s="23" t="s">
        <v>2807</v>
      </c>
    </row>
    <row r="268" customFormat="false" ht="17.9" hidden="false" customHeight="false" outlineLevel="0" collapsed="false">
      <c r="A268" s="20" t="s">
        <v>192</v>
      </c>
      <c r="B268" s="20" t="s">
        <v>119</v>
      </c>
      <c r="C268" s="20" t="s">
        <v>2798</v>
      </c>
      <c r="D268" s="20" t="s">
        <v>4479</v>
      </c>
      <c r="E268" s="20" t="s">
        <v>4480</v>
      </c>
      <c r="F268" s="20" t="s">
        <v>2818</v>
      </c>
      <c r="G268" s="20" t="s">
        <v>3123</v>
      </c>
      <c r="H268" s="22" t="n">
        <v>46.9</v>
      </c>
      <c r="I268" s="22" t="n">
        <v>46.9</v>
      </c>
      <c r="J268" s="22" t="n">
        <f aca="false">H268-I268</f>
        <v>0</v>
      </c>
      <c r="K268" s="20" t="str">
        <f aca="false">IF(ABS(J268)&lt;0.001,"MATCH - PAPER CHECK-IN NOT SUPPLIED","DATA MISMATCH")</f>
        <v>MATCH - PAPER CHECK-IN NOT SUPPLIED</v>
      </c>
      <c r="L268" s="22" t="n">
        <v>32</v>
      </c>
      <c r="M268" s="22" t="n">
        <f aca="false">ROUNDUP(H268,0)</f>
        <v>47</v>
      </c>
      <c r="N268" s="24" t="n">
        <f aca="false">MAX(L268,M268)</f>
        <v>47</v>
      </c>
      <c r="O268" s="25" t="n">
        <v>7.55</v>
      </c>
      <c r="P268" s="25" t="n">
        <f aca="false">N268*O268</f>
        <v>354.85</v>
      </c>
      <c r="Q268" s="23" t="s">
        <v>4481</v>
      </c>
      <c r="R268" s="23" t="s">
        <v>2804</v>
      </c>
      <c r="S268" s="24" t="n">
        <v>47</v>
      </c>
      <c r="T268" s="25" t="n">
        <v>7.55</v>
      </c>
      <c r="U268" s="25" t="n">
        <v>354.85</v>
      </c>
      <c r="V268" s="25" t="n">
        <f aca="false">P268-U268</f>
        <v>0</v>
      </c>
      <c r="W268" s="25" t="n">
        <f aca="false">V268*12</f>
        <v>0</v>
      </c>
      <c r="X268" s="23" t="str">
        <f aca="false">IF(Q268="","MISSING FROM EXPORT",IF(ABS(V268)&lt;0.005,"CLEAR",IF(V268&gt;0,"UNDERBILLING","OVERBILLING")))</f>
        <v>CLEAR</v>
      </c>
      <c r="Y268" s="25" t="n">
        <f aca="false">IF(F268="COMMERCIAL",ROUND(P268*0.35,2),0)</f>
        <v>0</v>
      </c>
      <c r="Z268" s="23" t="str">
        <f aca="false">IF(F268="COMMERCIAL","VERIFY SIGNED AGREEMENT","NO EXCEPTION")</f>
        <v>NO EXCEPTION</v>
      </c>
      <c r="AA268" s="23" t="str">
        <f aca="false">IF(AND(C268="covered",N268&gt;40),"COVERED &gt;40 FT","")</f>
        <v/>
      </c>
      <c r="AB268" s="23" t="s">
        <v>4482</v>
      </c>
      <c r="AC268" s="23" t="s">
        <v>4483</v>
      </c>
      <c r="AD268" s="23" t="s">
        <v>2807</v>
      </c>
    </row>
    <row r="269" customFormat="false" ht="17.9" hidden="false" customHeight="false" outlineLevel="0" collapsed="false">
      <c r="A269" s="20" t="s">
        <v>4484</v>
      </c>
      <c r="B269" s="20" t="s">
        <v>119</v>
      </c>
      <c r="C269" s="20" t="s">
        <v>2798</v>
      </c>
      <c r="D269" s="20" t="s">
        <v>2198</v>
      </c>
      <c r="E269" s="20" t="s">
        <v>2199</v>
      </c>
      <c r="F269" s="20" t="s">
        <v>2857</v>
      </c>
      <c r="G269" s="20" t="s">
        <v>3130</v>
      </c>
      <c r="H269" s="22" t="n">
        <v>41.2</v>
      </c>
      <c r="I269" s="22" t="n">
        <v>41.2</v>
      </c>
      <c r="J269" s="22" t="n">
        <f aca="false">H269-I269</f>
        <v>0</v>
      </c>
      <c r="K269" s="20" t="str">
        <f aca="false">IF(ABS(J269)&lt;0.001,"MATCH - PAPER CHECK-IN NOT SUPPLIED","DATA MISMATCH")</f>
        <v>MATCH - PAPER CHECK-IN NOT SUPPLIED</v>
      </c>
      <c r="L269" s="22" t="n">
        <v>32</v>
      </c>
      <c r="M269" s="22" t="n">
        <f aca="false">ROUNDUP(H269,0)</f>
        <v>42</v>
      </c>
      <c r="N269" s="24" t="n">
        <f aca="false">MAX(L269,M269)</f>
        <v>42</v>
      </c>
      <c r="O269" s="25" t="n">
        <v>7.55</v>
      </c>
      <c r="P269" s="25" t="n">
        <f aca="false">N269*O269</f>
        <v>317.1</v>
      </c>
      <c r="Q269" s="23" t="s">
        <v>4485</v>
      </c>
      <c r="R269" s="23" t="s">
        <v>2804</v>
      </c>
      <c r="S269" s="24" t="n">
        <v>42</v>
      </c>
      <c r="T269" s="25" t="n">
        <v>7.55</v>
      </c>
      <c r="U269" s="25" t="n">
        <v>317.1</v>
      </c>
      <c r="V269" s="25" t="n">
        <f aca="false">P269-U269</f>
        <v>0</v>
      </c>
      <c r="W269" s="25" t="n">
        <f aca="false">V269*12</f>
        <v>0</v>
      </c>
      <c r="X269" s="23" t="str">
        <f aca="false">IF(Q269="","MISSING FROM EXPORT",IF(ABS(V269)&lt;0.005,"CLEAR",IF(V269&gt;0,"UNDERBILLING","OVERBILLING")))</f>
        <v>CLEAR</v>
      </c>
      <c r="Y269" s="25" t="n">
        <f aca="false">IF(F269="COMMERCIAL",ROUND(P269*0.35,2),0)</f>
        <v>0</v>
      </c>
      <c r="Z269" s="23" t="str">
        <f aca="false">IF(F269="COMMERCIAL","VERIFY SIGNED AGREEMENT","NO EXCEPTION")</f>
        <v>NO EXCEPTION</v>
      </c>
      <c r="AA269" s="23" t="str">
        <f aca="false">IF(AND(C269="covered",N269&gt;40),"COVERED &gt;40 FT","")</f>
        <v/>
      </c>
      <c r="AB269" s="23" t="s">
        <v>4486</v>
      </c>
      <c r="AC269" s="23" t="s">
        <v>4487</v>
      </c>
      <c r="AD269" s="23" t="s">
        <v>2807</v>
      </c>
    </row>
    <row r="270" customFormat="false" ht="17.9" hidden="false" customHeight="false" outlineLevel="0" collapsed="false">
      <c r="A270" s="20" t="s">
        <v>4488</v>
      </c>
      <c r="B270" s="20" t="s">
        <v>119</v>
      </c>
      <c r="C270" s="20" t="s">
        <v>2798</v>
      </c>
      <c r="D270" s="20" t="s">
        <v>4489</v>
      </c>
      <c r="E270" s="20" t="s">
        <v>4490</v>
      </c>
      <c r="F270" s="20" t="s">
        <v>2934</v>
      </c>
      <c r="G270" s="20" t="s">
        <v>3137</v>
      </c>
      <c r="H270" s="22" t="n">
        <v>51.5</v>
      </c>
      <c r="I270" s="22" t="n">
        <v>51.5</v>
      </c>
      <c r="J270" s="22" t="n">
        <f aca="false">H270-I270</f>
        <v>0</v>
      </c>
      <c r="K270" s="20" t="str">
        <f aca="false">IF(ABS(J270)&lt;0.001,"MATCH - PAPER CHECK-IN NOT SUPPLIED","DATA MISMATCH")</f>
        <v>MATCH - PAPER CHECK-IN NOT SUPPLIED</v>
      </c>
      <c r="L270" s="22" t="n">
        <v>60</v>
      </c>
      <c r="M270" s="22" t="n">
        <f aca="false">ROUNDUP(H270,0)</f>
        <v>52</v>
      </c>
      <c r="N270" s="24" t="n">
        <f aca="false">MAX(L270,M270)</f>
        <v>60</v>
      </c>
      <c r="O270" s="25" t="n">
        <v>7.55</v>
      </c>
      <c r="P270" s="25" t="n">
        <f aca="false">N270*O270</f>
        <v>453</v>
      </c>
      <c r="Q270" s="23" t="s">
        <v>4491</v>
      </c>
      <c r="R270" s="23" t="s">
        <v>2804</v>
      </c>
      <c r="S270" s="24" t="n">
        <v>60</v>
      </c>
      <c r="T270" s="25" t="n">
        <v>7.55</v>
      </c>
      <c r="U270" s="25" t="n">
        <v>453</v>
      </c>
      <c r="V270" s="25" t="n">
        <f aca="false">P270-U270</f>
        <v>0</v>
      </c>
      <c r="W270" s="25" t="n">
        <f aca="false">V270*12</f>
        <v>0</v>
      </c>
      <c r="X270" s="23" t="str">
        <f aca="false">IF(Q270="","MISSING FROM EXPORT",IF(ABS(V270)&lt;0.005,"CLEAR",IF(V270&gt;0,"UNDERBILLING","OVERBILLING")))</f>
        <v>CLEAR</v>
      </c>
      <c r="Y270" s="25" t="n">
        <f aca="false">IF(F270="COMMERCIAL",ROUND(P270*0.35,2),0)</f>
        <v>158.55</v>
      </c>
      <c r="Z270" s="23" t="str">
        <f aca="false">IF(F270="COMMERCIAL","VERIFY SIGNED AGREEMENT","NO EXCEPTION")</f>
        <v>VERIFY SIGNED AGREEMENT</v>
      </c>
      <c r="AA270" s="23" t="str">
        <f aca="false">IF(AND(C270="covered",N270&gt;40),"COVERED &gt;40 FT","")</f>
        <v/>
      </c>
      <c r="AB270" s="23" t="s">
        <v>4492</v>
      </c>
      <c r="AC270" s="23" t="s">
        <v>4493</v>
      </c>
      <c r="AD270" s="23" t="s">
        <v>2807</v>
      </c>
    </row>
    <row r="271" customFormat="false" ht="17.9" hidden="false" customHeight="false" outlineLevel="0" collapsed="false">
      <c r="A271" s="20" t="s">
        <v>4494</v>
      </c>
      <c r="B271" s="20" t="s">
        <v>119</v>
      </c>
      <c r="C271" s="20" t="s">
        <v>2798</v>
      </c>
      <c r="D271" s="20" t="s">
        <v>4495</v>
      </c>
      <c r="E271" s="20" t="s">
        <v>4496</v>
      </c>
      <c r="F271" s="20" t="s">
        <v>2833</v>
      </c>
      <c r="G271" s="20" t="s">
        <v>3144</v>
      </c>
      <c r="H271" s="22" t="n">
        <v>48.5</v>
      </c>
      <c r="I271" s="22" t="n">
        <v>48.5</v>
      </c>
      <c r="J271" s="22" t="n">
        <f aca="false">H271-I271</f>
        <v>0</v>
      </c>
      <c r="K271" s="20" t="str">
        <f aca="false">IF(ABS(J271)&lt;0.001,"MATCH - PAPER CHECK-IN NOT SUPPLIED","DATA MISMATCH")</f>
        <v>MATCH - PAPER CHECK-IN NOT SUPPLIED</v>
      </c>
      <c r="L271" s="22" t="n">
        <v>40</v>
      </c>
      <c r="M271" s="22" t="n">
        <f aca="false">ROUNDUP(H271,0)</f>
        <v>49</v>
      </c>
      <c r="N271" s="24" t="n">
        <f aca="false">MAX(L271,M271)</f>
        <v>49</v>
      </c>
      <c r="O271" s="25" t="n">
        <v>7.55</v>
      </c>
      <c r="P271" s="25" t="n">
        <f aca="false">N271*O271</f>
        <v>369.95</v>
      </c>
      <c r="Q271" s="23" t="s">
        <v>4497</v>
      </c>
      <c r="R271" s="23" t="s">
        <v>2804</v>
      </c>
      <c r="S271" s="24" t="n">
        <v>49</v>
      </c>
      <c r="T271" s="25" t="n">
        <v>7.55</v>
      </c>
      <c r="U271" s="25" t="n">
        <v>369.95</v>
      </c>
      <c r="V271" s="25" t="n">
        <f aca="false">P271-U271</f>
        <v>0</v>
      </c>
      <c r="W271" s="25" t="n">
        <f aca="false">V271*12</f>
        <v>0</v>
      </c>
      <c r="X271" s="23" t="str">
        <f aca="false">IF(Q271="","MISSING FROM EXPORT",IF(ABS(V271)&lt;0.005,"CLEAR",IF(V271&gt;0,"UNDERBILLING","OVERBILLING")))</f>
        <v>CLEAR</v>
      </c>
      <c r="Y271" s="25" t="n">
        <f aca="false">IF(F271="COMMERCIAL",ROUND(P271*0.35,2),0)</f>
        <v>0</v>
      </c>
      <c r="Z271" s="23" t="str">
        <f aca="false">IF(F271="COMMERCIAL","VERIFY SIGNED AGREEMENT","NO EXCEPTION")</f>
        <v>NO EXCEPTION</v>
      </c>
      <c r="AA271" s="23" t="str">
        <f aca="false">IF(AND(C271="covered",N271&gt;40),"COVERED &gt;40 FT","")</f>
        <v/>
      </c>
      <c r="AB271" s="23" t="s">
        <v>4498</v>
      </c>
      <c r="AC271" s="23" t="s">
        <v>4499</v>
      </c>
      <c r="AD271" s="23" t="s">
        <v>2807</v>
      </c>
    </row>
    <row r="272" customFormat="false" ht="17.9" hidden="false" customHeight="false" outlineLevel="0" collapsed="false">
      <c r="A272" s="20" t="s">
        <v>4500</v>
      </c>
      <c r="B272" s="20" t="s">
        <v>119</v>
      </c>
      <c r="C272" s="20" t="s">
        <v>2798</v>
      </c>
      <c r="D272" s="20" t="s">
        <v>4501</v>
      </c>
      <c r="E272" s="20" t="s">
        <v>4502</v>
      </c>
      <c r="F272" s="20" t="s">
        <v>2833</v>
      </c>
      <c r="G272" s="20" t="s">
        <v>4503</v>
      </c>
      <c r="H272" s="22" t="n">
        <v>20.4</v>
      </c>
      <c r="I272" s="22" t="n">
        <v>20.4</v>
      </c>
      <c r="J272" s="22" t="n">
        <f aca="false">H272-I272</f>
        <v>0</v>
      </c>
      <c r="K272" s="20" t="str">
        <f aca="false">IF(ABS(J272)&lt;0.001,"MATCH - PAPER CHECK-IN NOT SUPPLIED","DATA MISMATCH")</f>
        <v>MATCH - PAPER CHECK-IN NOT SUPPLIED</v>
      </c>
      <c r="L272" s="22" t="n">
        <v>36</v>
      </c>
      <c r="M272" s="22" t="n">
        <f aca="false">ROUNDUP(H272,0)</f>
        <v>21</v>
      </c>
      <c r="N272" s="24" t="n">
        <f aca="false">MAX(L272,M272)</f>
        <v>36</v>
      </c>
      <c r="O272" s="25" t="n">
        <v>7.55</v>
      </c>
      <c r="P272" s="25" t="n">
        <f aca="false">N272*O272</f>
        <v>271.8</v>
      </c>
      <c r="Q272" s="23" t="s">
        <v>4504</v>
      </c>
      <c r="R272" s="23" t="s">
        <v>2804</v>
      </c>
      <c r="S272" s="24" t="n">
        <v>36</v>
      </c>
      <c r="T272" s="25" t="n">
        <v>7.55</v>
      </c>
      <c r="U272" s="25" t="n">
        <v>271.8</v>
      </c>
      <c r="V272" s="25" t="n">
        <f aca="false">P272-U272</f>
        <v>0</v>
      </c>
      <c r="W272" s="25" t="n">
        <f aca="false">V272*12</f>
        <v>0</v>
      </c>
      <c r="X272" s="23" t="str">
        <f aca="false">IF(Q272="","MISSING FROM EXPORT",IF(ABS(V272)&lt;0.005,"CLEAR",IF(V272&gt;0,"UNDERBILLING","OVERBILLING")))</f>
        <v>CLEAR</v>
      </c>
      <c r="Y272" s="25" t="n">
        <f aca="false">IF(F272="COMMERCIAL",ROUND(P272*0.35,2),0)</f>
        <v>0</v>
      </c>
      <c r="Z272" s="23" t="str">
        <f aca="false">IF(F272="COMMERCIAL","VERIFY SIGNED AGREEMENT","NO EXCEPTION")</f>
        <v>NO EXCEPTION</v>
      </c>
      <c r="AA272" s="23" t="str">
        <f aca="false">IF(AND(C272="covered",N272&gt;40),"COVERED &gt;40 FT","")</f>
        <v/>
      </c>
      <c r="AB272" s="23" t="s">
        <v>4505</v>
      </c>
      <c r="AC272" s="23" t="s">
        <v>4506</v>
      </c>
      <c r="AD272" s="23" t="s">
        <v>2807</v>
      </c>
    </row>
    <row r="273" customFormat="false" ht="17.9" hidden="false" customHeight="false" outlineLevel="0" collapsed="false">
      <c r="A273" s="20" t="s">
        <v>4507</v>
      </c>
      <c r="B273" s="20" t="s">
        <v>119</v>
      </c>
      <c r="C273" s="20" t="s">
        <v>2798</v>
      </c>
      <c r="D273" s="20" t="s">
        <v>4508</v>
      </c>
      <c r="E273" s="20" t="s">
        <v>4509</v>
      </c>
      <c r="F273" s="20" t="s">
        <v>2857</v>
      </c>
      <c r="G273" s="20" t="s">
        <v>3158</v>
      </c>
      <c r="H273" s="22" t="n">
        <v>51.7</v>
      </c>
      <c r="I273" s="22" t="n">
        <v>51.7</v>
      </c>
      <c r="J273" s="22" t="n">
        <f aca="false">H273-I273</f>
        <v>0</v>
      </c>
      <c r="K273" s="20" t="str">
        <f aca="false">IF(ABS(J273)&lt;0.001,"MATCH - PAPER CHECK-IN NOT SUPPLIED","DATA MISMATCH")</f>
        <v>MATCH - PAPER CHECK-IN NOT SUPPLIED</v>
      </c>
      <c r="L273" s="22" t="n">
        <v>70</v>
      </c>
      <c r="M273" s="22" t="n">
        <f aca="false">ROUNDUP(H273,0)</f>
        <v>52</v>
      </c>
      <c r="N273" s="24" t="n">
        <f aca="false">MAX(L273,M273)</f>
        <v>70</v>
      </c>
      <c r="O273" s="25" t="n">
        <v>7.55</v>
      </c>
      <c r="P273" s="25" t="n">
        <f aca="false">N273*O273</f>
        <v>528.5</v>
      </c>
      <c r="Q273" s="23" t="s">
        <v>4510</v>
      </c>
      <c r="R273" s="23" t="s">
        <v>2804</v>
      </c>
      <c r="S273" s="24" t="n">
        <v>70</v>
      </c>
      <c r="T273" s="25" t="n">
        <v>7.55</v>
      </c>
      <c r="U273" s="25" t="n">
        <v>528.5</v>
      </c>
      <c r="V273" s="25" t="n">
        <f aca="false">P273-U273</f>
        <v>0</v>
      </c>
      <c r="W273" s="25" t="n">
        <f aca="false">V273*12</f>
        <v>0</v>
      </c>
      <c r="X273" s="23" t="str">
        <f aca="false">IF(Q273="","MISSING FROM EXPORT",IF(ABS(V273)&lt;0.005,"CLEAR",IF(V273&gt;0,"UNDERBILLING","OVERBILLING")))</f>
        <v>CLEAR</v>
      </c>
      <c r="Y273" s="25" t="n">
        <f aca="false">IF(F273="COMMERCIAL",ROUND(P273*0.35,2),0)</f>
        <v>0</v>
      </c>
      <c r="Z273" s="23" t="str">
        <f aca="false">IF(F273="COMMERCIAL","VERIFY SIGNED AGREEMENT","NO EXCEPTION")</f>
        <v>NO EXCEPTION</v>
      </c>
      <c r="AA273" s="23" t="str">
        <f aca="false">IF(AND(C273="covered",N273&gt;40),"COVERED &gt;40 FT","")</f>
        <v/>
      </c>
      <c r="AB273" s="23" t="s">
        <v>4511</v>
      </c>
      <c r="AC273" s="23" t="s">
        <v>4512</v>
      </c>
      <c r="AD273" s="23" t="s">
        <v>2807</v>
      </c>
    </row>
    <row r="274" customFormat="false" ht="17.9" hidden="false" customHeight="false" outlineLevel="0" collapsed="false">
      <c r="A274" s="20" t="s">
        <v>4513</v>
      </c>
      <c r="B274" s="20" t="s">
        <v>119</v>
      </c>
      <c r="C274" s="20" t="s">
        <v>2798</v>
      </c>
      <c r="D274" s="20" t="s">
        <v>1490</v>
      </c>
      <c r="E274" s="20" t="s">
        <v>1491</v>
      </c>
      <c r="F274" s="20" t="s">
        <v>2833</v>
      </c>
      <c r="G274" s="20" t="s">
        <v>3165</v>
      </c>
      <c r="H274" s="22" t="n">
        <v>60.7</v>
      </c>
      <c r="I274" s="22" t="n">
        <v>60.7</v>
      </c>
      <c r="J274" s="22" t="n">
        <f aca="false">H274-I274</f>
        <v>0</v>
      </c>
      <c r="K274" s="20" t="str">
        <f aca="false">IF(ABS(J274)&lt;0.001,"MATCH - PAPER CHECK-IN NOT SUPPLIED","DATA MISMATCH")</f>
        <v>MATCH - PAPER CHECK-IN NOT SUPPLIED</v>
      </c>
      <c r="L274" s="22" t="n">
        <v>32</v>
      </c>
      <c r="M274" s="22" t="n">
        <f aca="false">ROUNDUP(H274,0)</f>
        <v>61</v>
      </c>
      <c r="N274" s="24" t="n">
        <f aca="false">MAX(L274,M274)</f>
        <v>61</v>
      </c>
      <c r="O274" s="25" t="n">
        <v>7.55</v>
      </c>
      <c r="P274" s="25" t="n">
        <f aca="false">N274*O274</f>
        <v>460.55</v>
      </c>
      <c r="Q274" s="23" t="s">
        <v>4514</v>
      </c>
      <c r="R274" s="23" t="s">
        <v>2804</v>
      </c>
      <c r="S274" s="24" t="n">
        <v>61</v>
      </c>
      <c r="T274" s="25" t="n">
        <v>7.55</v>
      </c>
      <c r="U274" s="25" t="n">
        <v>460.55</v>
      </c>
      <c r="V274" s="25" t="n">
        <f aca="false">P274-U274</f>
        <v>0</v>
      </c>
      <c r="W274" s="25" t="n">
        <f aca="false">V274*12</f>
        <v>0</v>
      </c>
      <c r="X274" s="23" t="str">
        <f aca="false">IF(Q274="","MISSING FROM EXPORT",IF(ABS(V274)&lt;0.005,"CLEAR",IF(V274&gt;0,"UNDERBILLING","OVERBILLING")))</f>
        <v>CLEAR</v>
      </c>
      <c r="Y274" s="25" t="n">
        <f aca="false">IF(F274="COMMERCIAL",ROUND(P274*0.35,2),0)</f>
        <v>0</v>
      </c>
      <c r="Z274" s="23" t="str">
        <f aca="false">IF(F274="COMMERCIAL","VERIFY SIGNED AGREEMENT","NO EXCEPTION")</f>
        <v>NO EXCEPTION</v>
      </c>
      <c r="AA274" s="23" t="str">
        <f aca="false">IF(AND(C274="covered",N274&gt;40),"COVERED &gt;40 FT","")</f>
        <v/>
      </c>
      <c r="AB274" s="23" t="s">
        <v>4515</v>
      </c>
      <c r="AC274" s="23" t="s">
        <v>4516</v>
      </c>
      <c r="AD274" s="23" t="s">
        <v>2807</v>
      </c>
    </row>
    <row r="275" customFormat="false" ht="17.9" hidden="false" customHeight="false" outlineLevel="0" collapsed="false">
      <c r="A275" s="20" t="s">
        <v>4517</v>
      </c>
      <c r="B275" s="20" t="s">
        <v>119</v>
      </c>
      <c r="C275" s="20" t="s">
        <v>2798</v>
      </c>
      <c r="D275" s="20" t="s">
        <v>1686</v>
      </c>
      <c r="E275" s="20" t="s">
        <v>4518</v>
      </c>
      <c r="F275" s="20" t="s">
        <v>2801</v>
      </c>
      <c r="G275" s="20" t="s">
        <v>3179</v>
      </c>
      <c r="H275" s="22" t="n">
        <v>58.4</v>
      </c>
      <c r="I275" s="22" t="n">
        <v>58.4</v>
      </c>
      <c r="J275" s="22" t="n">
        <f aca="false">H275-I275</f>
        <v>0</v>
      </c>
      <c r="K275" s="20" t="str">
        <f aca="false">IF(ABS(J275)&lt;0.001,"MATCH - PAPER CHECK-IN NOT SUPPLIED","DATA MISMATCH")</f>
        <v>MATCH - PAPER CHECK-IN NOT SUPPLIED</v>
      </c>
      <c r="L275" s="22" t="n">
        <v>32</v>
      </c>
      <c r="M275" s="22" t="n">
        <f aca="false">ROUNDUP(H275,0)</f>
        <v>59</v>
      </c>
      <c r="N275" s="24" t="n">
        <f aca="false">MAX(L275,M275)</f>
        <v>59</v>
      </c>
      <c r="O275" s="25" t="n">
        <v>7.55</v>
      </c>
      <c r="P275" s="25" t="n">
        <f aca="false">N275*O275</f>
        <v>445.45</v>
      </c>
      <c r="Q275" s="23" t="s">
        <v>4519</v>
      </c>
      <c r="R275" s="23" t="s">
        <v>2804</v>
      </c>
      <c r="S275" s="24" t="n">
        <v>59</v>
      </c>
      <c r="T275" s="25" t="n">
        <v>7.55</v>
      </c>
      <c r="U275" s="25" t="n">
        <v>445.45</v>
      </c>
      <c r="V275" s="25" t="n">
        <f aca="false">P275-U275</f>
        <v>0</v>
      </c>
      <c r="W275" s="25" t="n">
        <f aca="false">V275*12</f>
        <v>0</v>
      </c>
      <c r="X275" s="23" t="str">
        <f aca="false">IF(Q275="","MISSING FROM EXPORT",IF(ABS(V275)&lt;0.005,"CLEAR",IF(V275&gt;0,"UNDERBILLING","OVERBILLING")))</f>
        <v>CLEAR</v>
      </c>
      <c r="Y275" s="25" t="n">
        <f aca="false">IF(F275="COMMERCIAL",ROUND(P275*0.35,2),0)</f>
        <v>0</v>
      </c>
      <c r="Z275" s="23" t="str">
        <f aca="false">IF(F275="COMMERCIAL","VERIFY SIGNED AGREEMENT","NO EXCEPTION")</f>
        <v>NO EXCEPTION</v>
      </c>
      <c r="AA275" s="23" t="str">
        <f aca="false">IF(AND(C275="covered",N275&gt;40),"COVERED &gt;40 FT","")</f>
        <v/>
      </c>
      <c r="AB275" s="23" t="s">
        <v>4520</v>
      </c>
      <c r="AC275" s="23" t="s">
        <v>4521</v>
      </c>
      <c r="AD275" s="23" t="s">
        <v>2807</v>
      </c>
    </row>
    <row r="276" customFormat="false" ht="17.9" hidden="false" customHeight="false" outlineLevel="0" collapsed="false">
      <c r="A276" s="20" t="s">
        <v>4522</v>
      </c>
      <c r="B276" s="20" t="s">
        <v>119</v>
      </c>
      <c r="C276" s="20" t="s">
        <v>2798</v>
      </c>
      <c r="D276" s="20" t="s">
        <v>4523</v>
      </c>
      <c r="E276" s="20" t="s">
        <v>4524</v>
      </c>
      <c r="F276" s="20" t="s">
        <v>2818</v>
      </c>
      <c r="G276" s="20" t="s">
        <v>3186</v>
      </c>
      <c r="H276" s="22" t="n">
        <v>25.6</v>
      </c>
      <c r="I276" s="22" t="n">
        <v>25.6</v>
      </c>
      <c r="J276" s="22" t="n">
        <f aca="false">H276-I276</f>
        <v>0</v>
      </c>
      <c r="K276" s="20" t="str">
        <f aca="false">IF(ABS(J276)&lt;0.001,"MATCH - PAPER CHECK-IN NOT SUPPLIED","DATA MISMATCH")</f>
        <v>MATCH - PAPER CHECK-IN NOT SUPPLIED</v>
      </c>
      <c r="L276" s="22" t="n">
        <v>32</v>
      </c>
      <c r="M276" s="22" t="n">
        <f aca="false">ROUNDUP(H276,0)</f>
        <v>26</v>
      </c>
      <c r="N276" s="24" t="n">
        <f aca="false">MAX(L276,M276)</f>
        <v>32</v>
      </c>
      <c r="O276" s="25" t="n">
        <v>7.55</v>
      </c>
      <c r="P276" s="25" t="n">
        <f aca="false">N276*O276</f>
        <v>241.6</v>
      </c>
      <c r="Q276" s="23" t="s">
        <v>4525</v>
      </c>
      <c r="R276" s="23" t="s">
        <v>2804</v>
      </c>
      <c r="S276" s="24" t="n">
        <v>32</v>
      </c>
      <c r="T276" s="25" t="n">
        <v>7.55</v>
      </c>
      <c r="U276" s="25" t="n">
        <v>241.6</v>
      </c>
      <c r="V276" s="25" t="n">
        <f aca="false">P276-U276</f>
        <v>0</v>
      </c>
      <c r="W276" s="25" t="n">
        <f aca="false">V276*12</f>
        <v>0</v>
      </c>
      <c r="X276" s="23" t="str">
        <f aca="false">IF(Q276="","MISSING FROM EXPORT",IF(ABS(V276)&lt;0.005,"CLEAR",IF(V276&gt;0,"UNDERBILLING","OVERBILLING")))</f>
        <v>CLEAR</v>
      </c>
      <c r="Y276" s="25" t="n">
        <f aca="false">IF(F276="COMMERCIAL",ROUND(P276*0.35,2),0)</f>
        <v>0</v>
      </c>
      <c r="Z276" s="23" t="str">
        <f aca="false">IF(F276="COMMERCIAL","VERIFY SIGNED AGREEMENT","NO EXCEPTION")</f>
        <v>NO EXCEPTION</v>
      </c>
      <c r="AA276" s="23" t="str">
        <f aca="false">IF(AND(C276="covered",N276&gt;40),"COVERED &gt;40 FT","")</f>
        <v/>
      </c>
      <c r="AB276" s="23" t="s">
        <v>4526</v>
      </c>
      <c r="AC276" s="23" t="s">
        <v>4527</v>
      </c>
      <c r="AD276" s="23" t="s">
        <v>2807</v>
      </c>
    </row>
    <row r="277" customFormat="false" ht="17.9" hidden="false" customHeight="false" outlineLevel="0" collapsed="false">
      <c r="A277" s="20" t="s">
        <v>4528</v>
      </c>
      <c r="B277" s="20" t="s">
        <v>119</v>
      </c>
      <c r="C277" s="20" t="s">
        <v>2798</v>
      </c>
      <c r="D277" s="20" t="s">
        <v>4529</v>
      </c>
      <c r="E277" s="20" t="s">
        <v>4530</v>
      </c>
      <c r="F277" s="20" t="s">
        <v>2833</v>
      </c>
      <c r="G277" s="20" t="s">
        <v>3193</v>
      </c>
      <c r="H277" s="22" t="n">
        <v>58.8</v>
      </c>
      <c r="I277" s="22" t="n">
        <v>58.8</v>
      </c>
      <c r="J277" s="22" t="n">
        <f aca="false">H277-I277</f>
        <v>0</v>
      </c>
      <c r="K277" s="20" t="str">
        <f aca="false">IF(ABS(J277)&lt;0.001,"MATCH - PAPER CHECK-IN NOT SUPPLIED","DATA MISMATCH")</f>
        <v>MATCH - PAPER CHECK-IN NOT SUPPLIED</v>
      </c>
      <c r="L277" s="22" t="n">
        <v>32</v>
      </c>
      <c r="M277" s="22" t="n">
        <f aca="false">ROUNDUP(H277,0)</f>
        <v>59</v>
      </c>
      <c r="N277" s="24" t="n">
        <f aca="false">MAX(L277,M277)</f>
        <v>59</v>
      </c>
      <c r="O277" s="25" t="n">
        <v>7.55</v>
      </c>
      <c r="P277" s="25" t="n">
        <f aca="false">N277*O277</f>
        <v>445.45</v>
      </c>
      <c r="Q277" s="23" t="s">
        <v>4531</v>
      </c>
      <c r="R277" s="23" t="s">
        <v>2804</v>
      </c>
      <c r="S277" s="24" t="n">
        <v>59</v>
      </c>
      <c r="T277" s="25" t="n">
        <v>7.55</v>
      </c>
      <c r="U277" s="25" t="n">
        <v>445.45</v>
      </c>
      <c r="V277" s="25" t="n">
        <f aca="false">P277-U277</f>
        <v>0</v>
      </c>
      <c r="W277" s="25" t="n">
        <f aca="false">V277*12</f>
        <v>0</v>
      </c>
      <c r="X277" s="23" t="str">
        <f aca="false">IF(Q277="","MISSING FROM EXPORT",IF(ABS(V277)&lt;0.005,"CLEAR",IF(V277&gt;0,"UNDERBILLING","OVERBILLING")))</f>
        <v>CLEAR</v>
      </c>
      <c r="Y277" s="25" t="n">
        <f aca="false">IF(F277="COMMERCIAL",ROUND(P277*0.35,2),0)</f>
        <v>0</v>
      </c>
      <c r="Z277" s="23" t="str">
        <f aca="false">IF(F277="COMMERCIAL","VERIFY SIGNED AGREEMENT","NO EXCEPTION")</f>
        <v>NO EXCEPTION</v>
      </c>
      <c r="AA277" s="23" t="str">
        <f aca="false">IF(AND(C277="covered",N277&gt;40),"COVERED &gt;40 FT","")</f>
        <v/>
      </c>
      <c r="AB277" s="23" t="s">
        <v>4532</v>
      </c>
      <c r="AC277" s="23" t="s">
        <v>4533</v>
      </c>
      <c r="AD277" s="23" t="s">
        <v>2807</v>
      </c>
    </row>
    <row r="278" customFormat="false" ht="17.9" hidden="false" customHeight="false" outlineLevel="0" collapsed="false">
      <c r="A278" s="20" t="s">
        <v>4534</v>
      </c>
      <c r="B278" s="20" t="s">
        <v>119</v>
      </c>
      <c r="C278" s="20" t="s">
        <v>2798</v>
      </c>
      <c r="D278" s="20" t="s">
        <v>4535</v>
      </c>
      <c r="E278" s="20" t="s">
        <v>4536</v>
      </c>
      <c r="F278" s="20" t="s">
        <v>2818</v>
      </c>
      <c r="G278" s="20" t="s">
        <v>3200</v>
      </c>
      <c r="H278" s="22" t="n">
        <v>32.1</v>
      </c>
      <c r="I278" s="22" t="n">
        <v>32.1</v>
      </c>
      <c r="J278" s="22" t="n">
        <f aca="false">H278-I278</f>
        <v>0</v>
      </c>
      <c r="K278" s="20" t="str">
        <f aca="false">IF(ABS(J278)&lt;0.001,"MATCH - PAPER CHECK-IN NOT SUPPLIED","DATA MISMATCH")</f>
        <v>MATCH - PAPER CHECK-IN NOT SUPPLIED</v>
      </c>
      <c r="L278" s="22" t="n">
        <v>28</v>
      </c>
      <c r="M278" s="22" t="n">
        <f aca="false">ROUNDUP(H278,0)</f>
        <v>33</v>
      </c>
      <c r="N278" s="24" t="n">
        <f aca="false">MAX(L278,M278)</f>
        <v>33</v>
      </c>
      <c r="O278" s="25" t="n">
        <v>7.55</v>
      </c>
      <c r="P278" s="25" t="n">
        <f aca="false">N278*O278</f>
        <v>249.15</v>
      </c>
      <c r="Q278" s="23" t="s">
        <v>4537</v>
      </c>
      <c r="R278" s="23" t="s">
        <v>2804</v>
      </c>
      <c r="S278" s="24" t="n">
        <v>33</v>
      </c>
      <c r="T278" s="25" t="n">
        <v>7.55</v>
      </c>
      <c r="U278" s="25" t="n">
        <v>249.15</v>
      </c>
      <c r="V278" s="25" t="n">
        <f aca="false">P278-U278</f>
        <v>0</v>
      </c>
      <c r="W278" s="25" t="n">
        <f aca="false">V278*12</f>
        <v>0</v>
      </c>
      <c r="X278" s="23" t="str">
        <f aca="false">IF(Q278="","MISSING FROM EXPORT",IF(ABS(V278)&lt;0.005,"CLEAR",IF(V278&gt;0,"UNDERBILLING","OVERBILLING")))</f>
        <v>CLEAR</v>
      </c>
      <c r="Y278" s="25" t="n">
        <f aca="false">IF(F278="COMMERCIAL",ROUND(P278*0.35,2),0)</f>
        <v>0</v>
      </c>
      <c r="Z278" s="23" t="str">
        <f aca="false">IF(F278="COMMERCIAL","VERIFY SIGNED AGREEMENT","NO EXCEPTION")</f>
        <v>NO EXCEPTION</v>
      </c>
      <c r="AA278" s="23" t="str">
        <f aca="false">IF(AND(C278="covered",N278&gt;40),"COVERED &gt;40 FT","")</f>
        <v/>
      </c>
      <c r="AB278" s="23" t="s">
        <v>4538</v>
      </c>
      <c r="AC278" s="23" t="s">
        <v>4539</v>
      </c>
      <c r="AD278" s="23" t="s">
        <v>2807</v>
      </c>
    </row>
    <row r="279" customFormat="false" ht="17.9" hidden="false" customHeight="false" outlineLevel="0" collapsed="false">
      <c r="A279" s="20" t="s">
        <v>4540</v>
      </c>
      <c r="B279" s="20" t="s">
        <v>119</v>
      </c>
      <c r="C279" s="20" t="s">
        <v>2798</v>
      </c>
      <c r="D279" s="20" t="s">
        <v>4541</v>
      </c>
      <c r="E279" s="20" t="s">
        <v>4542</v>
      </c>
      <c r="F279" s="20" t="s">
        <v>2898</v>
      </c>
      <c r="G279" s="20" t="s">
        <v>4543</v>
      </c>
      <c r="H279" s="22" t="n">
        <v>42.3</v>
      </c>
      <c r="I279" s="22" t="n">
        <v>42.3</v>
      </c>
      <c r="J279" s="22" t="n">
        <f aca="false">H279-I279</f>
        <v>0</v>
      </c>
      <c r="K279" s="20" t="str">
        <f aca="false">IF(ABS(J279)&lt;0.001,"MATCH - PAPER CHECK-IN NOT SUPPLIED","DATA MISMATCH")</f>
        <v>MATCH - PAPER CHECK-IN NOT SUPPLIED</v>
      </c>
      <c r="L279" s="22" t="n">
        <v>36</v>
      </c>
      <c r="M279" s="22" t="n">
        <f aca="false">ROUNDUP(H279,0)</f>
        <v>43</v>
      </c>
      <c r="N279" s="24" t="n">
        <f aca="false">MAX(L279,M279)</f>
        <v>43</v>
      </c>
      <c r="O279" s="25" t="n">
        <v>7.55</v>
      </c>
      <c r="P279" s="25" t="n">
        <f aca="false">N279*O279</f>
        <v>324.65</v>
      </c>
      <c r="Q279" s="23" t="s">
        <v>4544</v>
      </c>
      <c r="R279" s="23" t="s">
        <v>2804</v>
      </c>
      <c r="S279" s="24" t="n">
        <v>43</v>
      </c>
      <c r="T279" s="25" t="n">
        <v>7.55</v>
      </c>
      <c r="U279" s="25" t="n">
        <v>324.65</v>
      </c>
      <c r="V279" s="25" t="n">
        <f aca="false">P279-U279</f>
        <v>0</v>
      </c>
      <c r="W279" s="25" t="n">
        <f aca="false">V279*12</f>
        <v>0</v>
      </c>
      <c r="X279" s="23" t="str">
        <f aca="false">IF(Q279="","MISSING FROM EXPORT",IF(ABS(V279)&lt;0.005,"CLEAR",IF(V279&gt;0,"UNDERBILLING","OVERBILLING")))</f>
        <v>CLEAR</v>
      </c>
      <c r="Y279" s="25" t="n">
        <f aca="false">IF(F279="COMMERCIAL",ROUND(P279*0.35,2),0)</f>
        <v>0</v>
      </c>
      <c r="Z279" s="23" t="str">
        <f aca="false">IF(F279="COMMERCIAL","VERIFY SIGNED AGREEMENT","NO EXCEPTION")</f>
        <v>NO EXCEPTION</v>
      </c>
      <c r="AA279" s="23" t="str">
        <f aca="false">IF(AND(C279="covered",N279&gt;40),"COVERED &gt;40 FT","")</f>
        <v/>
      </c>
      <c r="AB279" s="23" t="s">
        <v>4545</v>
      </c>
      <c r="AC279" s="23" t="s">
        <v>4546</v>
      </c>
      <c r="AD279" s="23" t="s">
        <v>2807</v>
      </c>
    </row>
    <row r="280" customFormat="false" ht="17.9" hidden="false" customHeight="false" outlineLevel="0" collapsed="false">
      <c r="A280" s="20" t="s">
        <v>4547</v>
      </c>
      <c r="B280" s="20" t="s">
        <v>119</v>
      </c>
      <c r="C280" s="20" t="s">
        <v>2798</v>
      </c>
      <c r="D280" s="20" t="s">
        <v>4548</v>
      </c>
      <c r="E280" s="20" t="s">
        <v>4549</v>
      </c>
      <c r="F280" s="20" t="s">
        <v>2934</v>
      </c>
      <c r="G280" s="20" t="s">
        <v>3213</v>
      </c>
      <c r="H280" s="22" t="n">
        <v>58</v>
      </c>
      <c r="I280" s="22" t="n">
        <v>58</v>
      </c>
      <c r="J280" s="22" t="n">
        <f aca="false">H280-I280</f>
        <v>0</v>
      </c>
      <c r="K280" s="20" t="str">
        <f aca="false">IF(ABS(J280)&lt;0.001,"MATCH - PAPER CHECK-IN NOT SUPPLIED","DATA MISMATCH")</f>
        <v>MATCH - PAPER CHECK-IN NOT SUPPLIED</v>
      </c>
      <c r="L280" s="22" t="n">
        <v>45</v>
      </c>
      <c r="M280" s="22" t="n">
        <f aca="false">ROUNDUP(H280,0)</f>
        <v>58</v>
      </c>
      <c r="N280" s="24" t="n">
        <f aca="false">MAX(L280,M280)</f>
        <v>58</v>
      </c>
      <c r="O280" s="25" t="n">
        <v>7.55</v>
      </c>
      <c r="P280" s="25" t="n">
        <f aca="false">N280*O280</f>
        <v>437.9</v>
      </c>
      <c r="Q280" s="23" t="s">
        <v>4550</v>
      </c>
      <c r="R280" s="23" t="s">
        <v>2804</v>
      </c>
      <c r="S280" s="24" t="n">
        <v>58</v>
      </c>
      <c r="T280" s="25" t="n">
        <v>7.55</v>
      </c>
      <c r="U280" s="25" t="n">
        <v>437.9</v>
      </c>
      <c r="V280" s="25" t="n">
        <f aca="false">P280-U280</f>
        <v>0</v>
      </c>
      <c r="W280" s="25" t="n">
        <f aca="false">V280*12</f>
        <v>0</v>
      </c>
      <c r="X280" s="23" t="str">
        <f aca="false">IF(Q280="","MISSING FROM EXPORT",IF(ABS(V280)&lt;0.005,"CLEAR",IF(V280&gt;0,"UNDERBILLING","OVERBILLING")))</f>
        <v>CLEAR</v>
      </c>
      <c r="Y280" s="25" t="n">
        <f aca="false">IF(F280="COMMERCIAL",ROUND(P280*0.35,2),0)</f>
        <v>153.27</v>
      </c>
      <c r="Z280" s="23" t="str">
        <f aca="false">IF(F280="COMMERCIAL","VERIFY SIGNED AGREEMENT","NO EXCEPTION")</f>
        <v>VERIFY SIGNED AGREEMENT</v>
      </c>
      <c r="AA280" s="23" t="str">
        <f aca="false">IF(AND(C280="covered",N280&gt;40),"COVERED &gt;40 FT","")</f>
        <v/>
      </c>
      <c r="AB280" s="23" t="s">
        <v>4551</v>
      </c>
      <c r="AC280" s="23" t="s">
        <v>4552</v>
      </c>
      <c r="AD280" s="23" t="s">
        <v>2807</v>
      </c>
    </row>
    <row r="281" customFormat="false" ht="17.9" hidden="false" customHeight="false" outlineLevel="0" collapsed="false">
      <c r="A281" s="20" t="s">
        <v>4553</v>
      </c>
      <c r="B281" s="20" t="s">
        <v>119</v>
      </c>
      <c r="C281" s="20" t="s">
        <v>2798</v>
      </c>
      <c r="D281" s="20" t="s">
        <v>4554</v>
      </c>
      <c r="E281" s="20" t="s">
        <v>4555</v>
      </c>
      <c r="F281" s="20" t="s">
        <v>2810</v>
      </c>
      <c r="G281" s="20" t="s">
        <v>3220</v>
      </c>
      <c r="H281" s="22" t="n">
        <v>30.1</v>
      </c>
      <c r="I281" s="22" t="n">
        <v>30.1</v>
      </c>
      <c r="J281" s="22" t="n">
        <f aca="false">H281-I281</f>
        <v>0</v>
      </c>
      <c r="K281" s="20" t="str">
        <f aca="false">IF(ABS(J281)&lt;0.001,"MATCH - PAPER CHECK-IN NOT SUPPLIED","DATA MISMATCH")</f>
        <v>MATCH - PAPER CHECK-IN NOT SUPPLIED</v>
      </c>
      <c r="L281" s="22" t="n">
        <v>45</v>
      </c>
      <c r="M281" s="22" t="n">
        <f aca="false">ROUNDUP(H281,0)</f>
        <v>31</v>
      </c>
      <c r="N281" s="24" t="n">
        <f aca="false">MAX(L281,M281)</f>
        <v>45</v>
      </c>
      <c r="O281" s="25" t="n">
        <v>7.55</v>
      </c>
      <c r="P281" s="25" t="n">
        <f aca="false">N281*O281</f>
        <v>339.75</v>
      </c>
      <c r="Q281" s="23" t="s">
        <v>4556</v>
      </c>
      <c r="R281" s="23" t="s">
        <v>2804</v>
      </c>
      <c r="S281" s="24" t="n">
        <v>45</v>
      </c>
      <c r="T281" s="25" t="n">
        <v>7.55</v>
      </c>
      <c r="U281" s="25" t="n">
        <v>339.75</v>
      </c>
      <c r="V281" s="25" t="n">
        <f aca="false">P281-U281</f>
        <v>0</v>
      </c>
      <c r="W281" s="25" t="n">
        <f aca="false">V281*12</f>
        <v>0</v>
      </c>
      <c r="X281" s="23" t="str">
        <f aca="false">IF(Q281="","MISSING FROM EXPORT",IF(ABS(V281)&lt;0.005,"CLEAR",IF(V281&gt;0,"UNDERBILLING","OVERBILLING")))</f>
        <v>CLEAR</v>
      </c>
      <c r="Y281" s="25" t="n">
        <f aca="false">IF(F281="COMMERCIAL",ROUND(P281*0.35,2),0)</f>
        <v>0</v>
      </c>
      <c r="Z281" s="23" t="str">
        <f aca="false">IF(F281="COMMERCIAL","VERIFY SIGNED AGREEMENT","NO EXCEPTION")</f>
        <v>NO EXCEPTION</v>
      </c>
      <c r="AA281" s="23" t="str">
        <f aca="false">IF(AND(C281="covered",N281&gt;40),"COVERED &gt;40 FT","")</f>
        <v/>
      </c>
      <c r="AB281" s="23" t="s">
        <v>4557</v>
      </c>
      <c r="AC281" s="23" t="s">
        <v>4558</v>
      </c>
      <c r="AD281" s="23" t="s">
        <v>2807</v>
      </c>
    </row>
    <row r="282" customFormat="false" ht="17.9" hidden="false" customHeight="false" outlineLevel="0" collapsed="false">
      <c r="A282" s="20" t="s">
        <v>1646</v>
      </c>
      <c r="B282" s="20" t="s">
        <v>119</v>
      </c>
      <c r="C282" s="20" t="s">
        <v>2798</v>
      </c>
      <c r="D282" s="20" t="s">
        <v>4559</v>
      </c>
      <c r="E282" s="20" t="s">
        <v>4560</v>
      </c>
      <c r="F282" s="20" t="s">
        <v>2934</v>
      </c>
      <c r="G282" s="20" t="s">
        <v>3225</v>
      </c>
      <c r="H282" s="22" t="n">
        <v>54.2</v>
      </c>
      <c r="I282" s="22" t="n">
        <v>54.2</v>
      </c>
      <c r="J282" s="22" t="n">
        <f aca="false">H282-I282</f>
        <v>0</v>
      </c>
      <c r="K282" s="20" t="str">
        <f aca="false">IF(ABS(J282)&lt;0.001,"MATCH - PAPER CHECK-IN NOT SUPPLIED","DATA MISMATCH")</f>
        <v>MATCH - PAPER CHECK-IN NOT SUPPLIED</v>
      </c>
      <c r="L282" s="22" t="n">
        <v>80</v>
      </c>
      <c r="M282" s="22" t="n">
        <f aca="false">ROUNDUP(H282,0)</f>
        <v>55</v>
      </c>
      <c r="N282" s="24" t="n">
        <f aca="false">MAX(L282,M282)</f>
        <v>80</v>
      </c>
      <c r="O282" s="25" t="n">
        <v>7.55</v>
      </c>
      <c r="P282" s="25" t="n">
        <f aca="false">N282*O282</f>
        <v>604</v>
      </c>
      <c r="Q282" s="23" t="s">
        <v>4561</v>
      </c>
      <c r="R282" s="23" t="s">
        <v>2804</v>
      </c>
      <c r="S282" s="24" t="n">
        <v>80</v>
      </c>
      <c r="T282" s="25" t="n">
        <v>7.55</v>
      </c>
      <c r="U282" s="25" t="n">
        <v>604</v>
      </c>
      <c r="V282" s="25" t="n">
        <f aca="false">P282-U282</f>
        <v>0</v>
      </c>
      <c r="W282" s="25" t="n">
        <f aca="false">V282*12</f>
        <v>0</v>
      </c>
      <c r="X282" s="23" t="str">
        <f aca="false">IF(Q282="","MISSING FROM EXPORT",IF(ABS(V282)&lt;0.005,"CLEAR",IF(V282&gt;0,"UNDERBILLING","OVERBILLING")))</f>
        <v>CLEAR</v>
      </c>
      <c r="Y282" s="25" t="n">
        <f aca="false">IF(F282="COMMERCIAL",ROUND(P282*0.35,2),0)</f>
        <v>211.4</v>
      </c>
      <c r="Z282" s="23" t="str">
        <f aca="false">IF(F282="COMMERCIAL","VERIFY SIGNED AGREEMENT","NO EXCEPTION")</f>
        <v>VERIFY SIGNED AGREEMENT</v>
      </c>
      <c r="AA282" s="23" t="str">
        <f aca="false">IF(AND(C282="covered",N282&gt;40),"COVERED &gt;40 FT","")</f>
        <v/>
      </c>
      <c r="AB282" s="23" t="s">
        <v>4562</v>
      </c>
      <c r="AC282" s="23" t="s">
        <v>4563</v>
      </c>
      <c r="AD282" s="23" t="s">
        <v>2807</v>
      </c>
    </row>
    <row r="283" customFormat="false" ht="17.9" hidden="false" customHeight="false" outlineLevel="0" collapsed="false">
      <c r="A283" s="20" t="s">
        <v>1266</v>
      </c>
      <c r="B283" s="20" t="s">
        <v>119</v>
      </c>
      <c r="C283" s="20" t="s">
        <v>2798</v>
      </c>
      <c r="D283" s="20" t="s">
        <v>4564</v>
      </c>
      <c r="E283" s="20" t="s">
        <v>4565</v>
      </c>
      <c r="F283" s="20" t="s">
        <v>2934</v>
      </c>
      <c r="G283" s="20" t="s">
        <v>3236</v>
      </c>
      <c r="H283" s="22" t="n">
        <v>40.3</v>
      </c>
      <c r="I283" s="22" t="n">
        <v>40.3</v>
      </c>
      <c r="J283" s="22" t="n">
        <f aca="false">H283-I283</f>
        <v>0</v>
      </c>
      <c r="K283" s="20" t="str">
        <f aca="false">IF(ABS(J283)&lt;0.001,"MATCH - PAPER CHECK-IN NOT SUPPLIED","DATA MISMATCH")</f>
        <v>MATCH - PAPER CHECK-IN NOT SUPPLIED</v>
      </c>
      <c r="L283" s="22" t="n">
        <v>45</v>
      </c>
      <c r="M283" s="22" t="n">
        <f aca="false">ROUNDUP(H283,0)</f>
        <v>41</v>
      </c>
      <c r="N283" s="24" t="n">
        <f aca="false">MAX(L283,M283)</f>
        <v>45</v>
      </c>
      <c r="O283" s="25" t="n">
        <v>7.55</v>
      </c>
      <c r="P283" s="25" t="n">
        <f aca="false">N283*O283</f>
        <v>339.75</v>
      </c>
      <c r="Q283" s="23" t="s">
        <v>4566</v>
      </c>
      <c r="R283" s="23" t="s">
        <v>2804</v>
      </c>
      <c r="S283" s="24" t="n">
        <v>45</v>
      </c>
      <c r="T283" s="25" t="n">
        <v>7.55</v>
      </c>
      <c r="U283" s="25" t="n">
        <v>339.75</v>
      </c>
      <c r="V283" s="25" t="n">
        <f aca="false">P283-U283</f>
        <v>0</v>
      </c>
      <c r="W283" s="25" t="n">
        <f aca="false">V283*12</f>
        <v>0</v>
      </c>
      <c r="X283" s="23" t="str">
        <f aca="false">IF(Q283="","MISSING FROM EXPORT",IF(ABS(V283)&lt;0.005,"CLEAR",IF(V283&gt;0,"UNDERBILLING","OVERBILLING")))</f>
        <v>CLEAR</v>
      </c>
      <c r="Y283" s="25" t="n">
        <f aca="false">IF(F283="COMMERCIAL",ROUND(P283*0.35,2),0)</f>
        <v>118.91</v>
      </c>
      <c r="Z283" s="23" t="str">
        <f aca="false">IF(F283="COMMERCIAL","VERIFY SIGNED AGREEMENT","NO EXCEPTION")</f>
        <v>VERIFY SIGNED AGREEMENT</v>
      </c>
      <c r="AA283" s="23" t="str">
        <f aca="false">IF(AND(C283="covered",N283&gt;40),"COVERED &gt;40 FT","")</f>
        <v/>
      </c>
      <c r="AB283" s="23" t="s">
        <v>4567</v>
      </c>
      <c r="AC283" s="23" t="s">
        <v>4568</v>
      </c>
      <c r="AD283" s="23" t="s">
        <v>2807</v>
      </c>
    </row>
    <row r="284" customFormat="false" ht="17.9" hidden="false" customHeight="false" outlineLevel="0" collapsed="false">
      <c r="A284" s="20" t="s">
        <v>4569</v>
      </c>
      <c r="B284" s="20" t="s">
        <v>119</v>
      </c>
      <c r="C284" s="20" t="s">
        <v>2798</v>
      </c>
      <c r="D284" s="20" t="s">
        <v>4570</v>
      </c>
      <c r="E284" s="20" t="s">
        <v>4571</v>
      </c>
      <c r="F284" s="20" t="s">
        <v>2810</v>
      </c>
      <c r="G284" s="20" t="s">
        <v>3243</v>
      </c>
      <c r="H284" s="22" t="n">
        <v>33.6</v>
      </c>
      <c r="I284" s="22" t="n">
        <v>33.6</v>
      </c>
      <c r="J284" s="22" t="n">
        <f aca="false">H284-I284</f>
        <v>0</v>
      </c>
      <c r="K284" s="20" t="str">
        <f aca="false">IF(ABS(J284)&lt;0.001,"MATCH - PAPER CHECK-IN NOT SUPPLIED","DATA MISMATCH")</f>
        <v>MATCH - PAPER CHECK-IN NOT SUPPLIED</v>
      </c>
      <c r="L284" s="22" t="n">
        <v>24</v>
      </c>
      <c r="M284" s="22" t="n">
        <f aca="false">ROUNDUP(H284,0)</f>
        <v>34</v>
      </c>
      <c r="N284" s="24" t="n">
        <f aca="false">MAX(L284,M284)</f>
        <v>34</v>
      </c>
      <c r="O284" s="25" t="n">
        <v>7.55</v>
      </c>
      <c r="P284" s="25" t="n">
        <f aca="false">N284*O284</f>
        <v>256.7</v>
      </c>
      <c r="Q284" s="23" t="s">
        <v>4572</v>
      </c>
      <c r="R284" s="23" t="s">
        <v>2804</v>
      </c>
      <c r="S284" s="24" t="n">
        <v>34</v>
      </c>
      <c r="T284" s="25" t="n">
        <v>7.55</v>
      </c>
      <c r="U284" s="25" t="n">
        <v>256.7</v>
      </c>
      <c r="V284" s="25" t="n">
        <f aca="false">P284-U284</f>
        <v>0</v>
      </c>
      <c r="W284" s="25" t="n">
        <f aca="false">V284*12</f>
        <v>0</v>
      </c>
      <c r="X284" s="23" t="str">
        <f aca="false">IF(Q284="","MISSING FROM EXPORT",IF(ABS(V284)&lt;0.005,"CLEAR",IF(V284&gt;0,"UNDERBILLING","OVERBILLING")))</f>
        <v>CLEAR</v>
      </c>
      <c r="Y284" s="25" t="n">
        <f aca="false">IF(F284="COMMERCIAL",ROUND(P284*0.35,2),0)</f>
        <v>0</v>
      </c>
      <c r="Z284" s="23" t="str">
        <f aca="false">IF(F284="COMMERCIAL","VERIFY SIGNED AGREEMENT","NO EXCEPTION")</f>
        <v>NO EXCEPTION</v>
      </c>
      <c r="AA284" s="23" t="str">
        <f aca="false">IF(AND(C284="covered",N284&gt;40),"COVERED &gt;40 FT","")</f>
        <v/>
      </c>
      <c r="AB284" s="23" t="s">
        <v>4573</v>
      </c>
      <c r="AC284" s="23" t="s">
        <v>4574</v>
      </c>
      <c r="AD284" s="23" t="s">
        <v>2807</v>
      </c>
    </row>
    <row r="285" customFormat="false" ht="17.9" hidden="false" customHeight="false" outlineLevel="0" collapsed="false">
      <c r="A285" s="20" t="s">
        <v>4575</v>
      </c>
      <c r="B285" s="20" t="s">
        <v>119</v>
      </c>
      <c r="C285" s="20" t="s">
        <v>2798</v>
      </c>
      <c r="D285" s="20" t="s">
        <v>4576</v>
      </c>
      <c r="E285" s="20" t="s">
        <v>4577</v>
      </c>
      <c r="F285" s="20" t="s">
        <v>2833</v>
      </c>
      <c r="G285" s="20" t="s">
        <v>3250</v>
      </c>
      <c r="H285" s="22" t="n">
        <v>26.3</v>
      </c>
      <c r="I285" s="22" t="n">
        <v>26.3</v>
      </c>
      <c r="J285" s="22" t="n">
        <f aca="false">H285-I285</f>
        <v>0</v>
      </c>
      <c r="K285" s="20" t="str">
        <f aca="false">IF(ABS(J285)&lt;0.001,"MATCH - PAPER CHECK-IN NOT SUPPLIED","DATA MISMATCH")</f>
        <v>MATCH - PAPER CHECK-IN NOT SUPPLIED</v>
      </c>
      <c r="L285" s="22" t="n">
        <v>32</v>
      </c>
      <c r="M285" s="22" t="n">
        <f aca="false">ROUNDUP(H285,0)</f>
        <v>27</v>
      </c>
      <c r="N285" s="24" t="n">
        <f aca="false">MAX(L285,M285)</f>
        <v>32</v>
      </c>
      <c r="O285" s="25" t="n">
        <v>7.55</v>
      </c>
      <c r="P285" s="25" t="n">
        <f aca="false">N285*O285</f>
        <v>241.6</v>
      </c>
      <c r="Q285" s="23" t="s">
        <v>4578</v>
      </c>
      <c r="R285" s="23" t="s">
        <v>2804</v>
      </c>
      <c r="S285" s="24" t="n">
        <v>32</v>
      </c>
      <c r="T285" s="25" t="n">
        <v>7.55</v>
      </c>
      <c r="U285" s="25" t="n">
        <v>241.6</v>
      </c>
      <c r="V285" s="25" t="n">
        <f aca="false">P285-U285</f>
        <v>0</v>
      </c>
      <c r="W285" s="25" t="n">
        <f aca="false">V285*12</f>
        <v>0</v>
      </c>
      <c r="X285" s="23" t="str">
        <f aca="false">IF(Q285="","MISSING FROM EXPORT",IF(ABS(V285)&lt;0.005,"CLEAR",IF(V285&gt;0,"UNDERBILLING","OVERBILLING")))</f>
        <v>CLEAR</v>
      </c>
      <c r="Y285" s="25" t="n">
        <f aca="false">IF(F285="COMMERCIAL",ROUND(P285*0.35,2),0)</f>
        <v>0</v>
      </c>
      <c r="Z285" s="23" t="str">
        <f aca="false">IF(F285="COMMERCIAL","VERIFY SIGNED AGREEMENT","NO EXCEPTION")</f>
        <v>NO EXCEPTION</v>
      </c>
      <c r="AA285" s="23" t="str">
        <f aca="false">IF(AND(C285="covered",N285&gt;40),"COVERED &gt;40 FT","")</f>
        <v/>
      </c>
      <c r="AB285" s="23" t="s">
        <v>4579</v>
      </c>
      <c r="AC285" s="23" t="s">
        <v>4580</v>
      </c>
      <c r="AD285" s="23" t="s">
        <v>2807</v>
      </c>
    </row>
    <row r="286" customFormat="false" ht="17.9" hidden="false" customHeight="false" outlineLevel="0" collapsed="false">
      <c r="A286" s="20" t="s">
        <v>4581</v>
      </c>
      <c r="B286" s="20" t="s">
        <v>119</v>
      </c>
      <c r="C286" s="20" t="s">
        <v>2798</v>
      </c>
      <c r="D286" s="20" t="s">
        <v>4582</v>
      </c>
      <c r="E286" s="20" t="s">
        <v>4583</v>
      </c>
      <c r="F286" s="20" t="s">
        <v>2833</v>
      </c>
      <c r="G286" s="20" t="s">
        <v>3257</v>
      </c>
      <c r="H286" s="22" t="n">
        <v>38.1</v>
      </c>
      <c r="I286" s="22" t="n">
        <v>38.1</v>
      </c>
      <c r="J286" s="22" t="n">
        <f aca="false">H286-I286</f>
        <v>0</v>
      </c>
      <c r="K286" s="20" t="str">
        <f aca="false">IF(ABS(J286)&lt;0.001,"MATCH - PAPER CHECK-IN NOT SUPPLIED","DATA MISMATCH")</f>
        <v>MATCH - PAPER CHECK-IN NOT SUPPLIED</v>
      </c>
      <c r="L286" s="22" t="n">
        <v>60</v>
      </c>
      <c r="M286" s="22" t="n">
        <f aca="false">ROUNDUP(H286,0)</f>
        <v>39</v>
      </c>
      <c r="N286" s="24" t="n">
        <f aca="false">MAX(L286,M286)</f>
        <v>60</v>
      </c>
      <c r="O286" s="25" t="n">
        <v>7.55</v>
      </c>
      <c r="P286" s="25" t="n">
        <f aca="false">N286*O286</f>
        <v>453</v>
      </c>
      <c r="Q286" s="23" t="s">
        <v>4584</v>
      </c>
      <c r="R286" s="23" t="s">
        <v>2804</v>
      </c>
      <c r="S286" s="24" t="n">
        <v>60</v>
      </c>
      <c r="T286" s="25" t="n">
        <v>7.55</v>
      </c>
      <c r="U286" s="25" t="n">
        <v>453</v>
      </c>
      <c r="V286" s="25" t="n">
        <f aca="false">P286-U286</f>
        <v>0</v>
      </c>
      <c r="W286" s="25" t="n">
        <f aca="false">V286*12</f>
        <v>0</v>
      </c>
      <c r="X286" s="23" t="str">
        <f aca="false">IF(Q286="","MISSING FROM EXPORT",IF(ABS(V286)&lt;0.005,"CLEAR",IF(V286&gt;0,"UNDERBILLING","OVERBILLING")))</f>
        <v>CLEAR</v>
      </c>
      <c r="Y286" s="25" t="n">
        <f aca="false">IF(F286="COMMERCIAL",ROUND(P286*0.35,2),0)</f>
        <v>0</v>
      </c>
      <c r="Z286" s="23" t="str">
        <f aca="false">IF(F286="COMMERCIAL","VERIFY SIGNED AGREEMENT","NO EXCEPTION")</f>
        <v>NO EXCEPTION</v>
      </c>
      <c r="AA286" s="23" t="str">
        <f aca="false">IF(AND(C286="covered",N286&gt;40),"COVERED &gt;40 FT","")</f>
        <v/>
      </c>
      <c r="AB286" s="23" t="s">
        <v>4585</v>
      </c>
      <c r="AC286" s="23" t="s">
        <v>4586</v>
      </c>
      <c r="AD286" s="23" t="s">
        <v>2807</v>
      </c>
    </row>
    <row r="287" customFormat="false" ht="17.9" hidden="false" customHeight="false" outlineLevel="0" collapsed="false">
      <c r="A287" s="20" t="s">
        <v>4587</v>
      </c>
      <c r="B287" s="20" t="s">
        <v>119</v>
      </c>
      <c r="C287" s="20" t="s">
        <v>2798</v>
      </c>
      <c r="D287" s="20" t="s">
        <v>4588</v>
      </c>
      <c r="E287" s="20" t="s">
        <v>4589</v>
      </c>
      <c r="F287" s="20" t="s">
        <v>2833</v>
      </c>
      <c r="G287" s="20" t="s">
        <v>3264</v>
      </c>
      <c r="H287" s="22" t="n">
        <v>31.8</v>
      </c>
      <c r="I287" s="22" t="n">
        <v>31.8</v>
      </c>
      <c r="J287" s="22" t="n">
        <f aca="false">H287-I287</f>
        <v>0</v>
      </c>
      <c r="K287" s="20" t="str">
        <f aca="false">IF(ABS(J287)&lt;0.001,"MATCH - PAPER CHECK-IN NOT SUPPLIED","DATA MISMATCH")</f>
        <v>MATCH - PAPER CHECK-IN NOT SUPPLIED</v>
      </c>
      <c r="L287" s="22" t="n">
        <v>45</v>
      </c>
      <c r="M287" s="22" t="n">
        <f aca="false">ROUNDUP(H287,0)</f>
        <v>32</v>
      </c>
      <c r="N287" s="24" t="n">
        <f aca="false">MAX(L287,M287)</f>
        <v>45</v>
      </c>
      <c r="O287" s="25" t="n">
        <v>7.55</v>
      </c>
      <c r="P287" s="25" t="n">
        <f aca="false">N287*O287</f>
        <v>339.75</v>
      </c>
      <c r="Q287" s="23" t="s">
        <v>4590</v>
      </c>
      <c r="R287" s="23" t="s">
        <v>2804</v>
      </c>
      <c r="S287" s="24" t="n">
        <v>45</v>
      </c>
      <c r="T287" s="25" t="n">
        <v>7.55</v>
      </c>
      <c r="U287" s="25" t="n">
        <v>339.75</v>
      </c>
      <c r="V287" s="25" t="n">
        <f aca="false">P287-U287</f>
        <v>0</v>
      </c>
      <c r="W287" s="25" t="n">
        <f aca="false">V287*12</f>
        <v>0</v>
      </c>
      <c r="X287" s="23" t="str">
        <f aca="false">IF(Q287="","MISSING FROM EXPORT",IF(ABS(V287)&lt;0.005,"CLEAR",IF(V287&gt;0,"UNDERBILLING","OVERBILLING")))</f>
        <v>CLEAR</v>
      </c>
      <c r="Y287" s="25" t="n">
        <f aca="false">IF(F287="COMMERCIAL",ROUND(P287*0.35,2),0)</f>
        <v>0</v>
      </c>
      <c r="Z287" s="23" t="str">
        <f aca="false">IF(F287="COMMERCIAL","VERIFY SIGNED AGREEMENT","NO EXCEPTION")</f>
        <v>NO EXCEPTION</v>
      </c>
      <c r="AA287" s="23" t="str">
        <f aca="false">IF(AND(C287="covered",N287&gt;40),"COVERED &gt;40 FT","")</f>
        <v/>
      </c>
      <c r="AB287" s="23" t="s">
        <v>4591</v>
      </c>
      <c r="AC287" s="23" t="s">
        <v>4592</v>
      </c>
      <c r="AD287" s="23" t="s">
        <v>2807</v>
      </c>
    </row>
    <row r="288" customFormat="false" ht="17.9" hidden="false" customHeight="false" outlineLevel="0" collapsed="false">
      <c r="A288" s="20" t="s">
        <v>4593</v>
      </c>
      <c r="B288" s="20" t="s">
        <v>119</v>
      </c>
      <c r="C288" s="20" t="s">
        <v>2798</v>
      </c>
      <c r="D288" s="20" t="s">
        <v>4594</v>
      </c>
      <c r="E288" s="20" t="s">
        <v>4595</v>
      </c>
      <c r="F288" s="20" t="s">
        <v>2934</v>
      </c>
      <c r="G288" s="20" t="s">
        <v>3271</v>
      </c>
      <c r="H288" s="22" t="n">
        <v>61.4</v>
      </c>
      <c r="I288" s="22" t="n">
        <v>61.4</v>
      </c>
      <c r="J288" s="22" t="n">
        <f aca="false">H288-I288</f>
        <v>0</v>
      </c>
      <c r="K288" s="20" t="str">
        <f aca="false">IF(ABS(J288)&lt;0.001,"MATCH - PAPER CHECK-IN NOT SUPPLIED","DATA MISMATCH")</f>
        <v>MATCH - PAPER CHECK-IN NOT SUPPLIED</v>
      </c>
      <c r="L288" s="22" t="n">
        <v>28</v>
      </c>
      <c r="M288" s="22" t="n">
        <f aca="false">ROUNDUP(H288,0)</f>
        <v>62</v>
      </c>
      <c r="N288" s="24" t="n">
        <f aca="false">MAX(L288,M288)</f>
        <v>62</v>
      </c>
      <c r="O288" s="25" t="n">
        <v>7.55</v>
      </c>
      <c r="P288" s="25" t="n">
        <f aca="false">N288*O288</f>
        <v>468.1</v>
      </c>
      <c r="Q288" s="23" t="s">
        <v>4596</v>
      </c>
      <c r="R288" s="23" t="s">
        <v>2804</v>
      </c>
      <c r="S288" s="24" t="n">
        <v>62</v>
      </c>
      <c r="T288" s="25" t="n">
        <v>7.55</v>
      </c>
      <c r="U288" s="25" t="n">
        <v>468.1</v>
      </c>
      <c r="V288" s="25" t="n">
        <f aca="false">P288-U288</f>
        <v>0</v>
      </c>
      <c r="W288" s="25" t="n">
        <f aca="false">V288*12</f>
        <v>0</v>
      </c>
      <c r="X288" s="23" t="str">
        <f aca="false">IF(Q288="","MISSING FROM EXPORT",IF(ABS(V288)&lt;0.005,"CLEAR",IF(V288&gt;0,"UNDERBILLING","OVERBILLING")))</f>
        <v>CLEAR</v>
      </c>
      <c r="Y288" s="25" t="n">
        <f aca="false">IF(F288="COMMERCIAL",ROUND(P288*0.35,2),0)</f>
        <v>163.84</v>
      </c>
      <c r="Z288" s="23" t="str">
        <f aca="false">IF(F288="COMMERCIAL","VERIFY SIGNED AGREEMENT","NO EXCEPTION")</f>
        <v>VERIFY SIGNED AGREEMENT</v>
      </c>
      <c r="AA288" s="23" t="str">
        <f aca="false">IF(AND(C288="covered",N288&gt;40),"COVERED &gt;40 FT","")</f>
        <v/>
      </c>
      <c r="AB288" s="23" t="s">
        <v>4597</v>
      </c>
      <c r="AC288" s="23" t="s">
        <v>4598</v>
      </c>
      <c r="AD288" s="23" t="s">
        <v>2807</v>
      </c>
    </row>
    <row r="289" customFormat="false" ht="17.9" hidden="false" customHeight="false" outlineLevel="0" collapsed="false">
      <c r="A289" s="20" t="s">
        <v>4599</v>
      </c>
      <c r="B289" s="20" t="s">
        <v>119</v>
      </c>
      <c r="C289" s="20" t="s">
        <v>2798</v>
      </c>
      <c r="D289" s="20" t="s">
        <v>4600</v>
      </c>
      <c r="E289" s="20" t="s">
        <v>4601</v>
      </c>
      <c r="F289" s="20" t="s">
        <v>2857</v>
      </c>
      <c r="G289" s="20" t="s">
        <v>3277</v>
      </c>
      <c r="H289" s="22" t="n">
        <v>23.5</v>
      </c>
      <c r="I289" s="22" t="n">
        <v>23.5</v>
      </c>
      <c r="J289" s="22" t="n">
        <f aca="false">H289-I289</f>
        <v>0</v>
      </c>
      <c r="K289" s="20" t="str">
        <f aca="false">IF(ABS(J289)&lt;0.001,"MATCH - PAPER CHECK-IN NOT SUPPLIED","DATA MISMATCH")</f>
        <v>MATCH - PAPER CHECK-IN NOT SUPPLIED</v>
      </c>
      <c r="L289" s="22" t="n">
        <v>45</v>
      </c>
      <c r="M289" s="22" t="n">
        <f aca="false">ROUNDUP(H289,0)</f>
        <v>24</v>
      </c>
      <c r="N289" s="24" t="n">
        <f aca="false">MAX(L289,M289)</f>
        <v>45</v>
      </c>
      <c r="O289" s="25" t="n">
        <v>7.55</v>
      </c>
      <c r="P289" s="25" t="n">
        <f aca="false">N289*O289</f>
        <v>339.75</v>
      </c>
      <c r="Q289" s="23" t="s">
        <v>4602</v>
      </c>
      <c r="R289" s="23" t="s">
        <v>2804</v>
      </c>
      <c r="S289" s="24" t="n">
        <v>45</v>
      </c>
      <c r="T289" s="25" t="n">
        <v>7.55</v>
      </c>
      <c r="U289" s="25" t="n">
        <v>339.75</v>
      </c>
      <c r="V289" s="25" t="n">
        <f aca="false">P289-U289</f>
        <v>0</v>
      </c>
      <c r="W289" s="25" t="n">
        <f aca="false">V289*12</f>
        <v>0</v>
      </c>
      <c r="X289" s="23" t="str">
        <f aca="false">IF(Q289="","MISSING FROM EXPORT",IF(ABS(V289)&lt;0.005,"CLEAR",IF(V289&gt;0,"UNDERBILLING","OVERBILLING")))</f>
        <v>CLEAR</v>
      </c>
      <c r="Y289" s="25" t="n">
        <f aca="false">IF(F289="COMMERCIAL",ROUND(P289*0.35,2),0)</f>
        <v>0</v>
      </c>
      <c r="Z289" s="23" t="str">
        <f aca="false">IF(F289="COMMERCIAL","VERIFY SIGNED AGREEMENT","NO EXCEPTION")</f>
        <v>NO EXCEPTION</v>
      </c>
      <c r="AA289" s="23" t="str">
        <f aca="false">IF(AND(C289="covered",N289&gt;40),"COVERED &gt;40 FT","")</f>
        <v/>
      </c>
      <c r="AB289" s="23" t="s">
        <v>4603</v>
      </c>
      <c r="AC289" s="23" t="s">
        <v>4604</v>
      </c>
      <c r="AD289" s="23" t="s">
        <v>2807</v>
      </c>
    </row>
    <row r="290" customFormat="false" ht="17.9" hidden="false" customHeight="false" outlineLevel="0" collapsed="false">
      <c r="A290" s="20" t="s">
        <v>4605</v>
      </c>
      <c r="B290" s="20" t="s">
        <v>119</v>
      </c>
      <c r="C290" s="20" t="s">
        <v>2798</v>
      </c>
      <c r="D290" s="20" t="s">
        <v>4606</v>
      </c>
      <c r="E290" s="20" t="s">
        <v>4607</v>
      </c>
      <c r="F290" s="20" t="s">
        <v>2833</v>
      </c>
      <c r="G290" s="20" t="s">
        <v>3284</v>
      </c>
      <c r="H290" s="22" t="n">
        <v>21</v>
      </c>
      <c r="I290" s="22" t="n">
        <v>21</v>
      </c>
      <c r="J290" s="22" t="n">
        <f aca="false">H290-I290</f>
        <v>0</v>
      </c>
      <c r="K290" s="20" t="str">
        <f aca="false">IF(ABS(J290)&lt;0.001,"MATCH - PAPER CHECK-IN NOT SUPPLIED","DATA MISMATCH")</f>
        <v>MATCH - PAPER CHECK-IN NOT SUPPLIED</v>
      </c>
      <c r="L290" s="22" t="n">
        <v>28</v>
      </c>
      <c r="M290" s="22" t="n">
        <f aca="false">ROUNDUP(H290,0)</f>
        <v>21</v>
      </c>
      <c r="N290" s="24" t="n">
        <f aca="false">MAX(L290,M290)</f>
        <v>28</v>
      </c>
      <c r="O290" s="25" t="n">
        <v>7.55</v>
      </c>
      <c r="P290" s="25" t="n">
        <f aca="false">N290*O290</f>
        <v>211.4</v>
      </c>
      <c r="Q290" s="23" t="s">
        <v>4608</v>
      </c>
      <c r="R290" s="23" t="s">
        <v>2804</v>
      </c>
      <c r="S290" s="24" t="n">
        <v>28</v>
      </c>
      <c r="T290" s="25" t="n">
        <v>7.55</v>
      </c>
      <c r="U290" s="25" t="n">
        <v>211.4</v>
      </c>
      <c r="V290" s="25" t="n">
        <f aca="false">P290-U290</f>
        <v>0</v>
      </c>
      <c r="W290" s="25" t="n">
        <f aca="false">V290*12</f>
        <v>0</v>
      </c>
      <c r="X290" s="23" t="str">
        <f aca="false">IF(Q290="","MISSING FROM EXPORT",IF(ABS(V290)&lt;0.005,"CLEAR",IF(V290&gt;0,"UNDERBILLING","OVERBILLING")))</f>
        <v>CLEAR</v>
      </c>
      <c r="Y290" s="25" t="n">
        <f aca="false">IF(F290="COMMERCIAL",ROUND(P290*0.35,2),0)</f>
        <v>0</v>
      </c>
      <c r="Z290" s="23" t="str">
        <f aca="false">IF(F290="COMMERCIAL","VERIFY SIGNED AGREEMENT","NO EXCEPTION")</f>
        <v>NO EXCEPTION</v>
      </c>
      <c r="AA290" s="23" t="str">
        <f aca="false">IF(AND(C290="covered",N290&gt;40),"COVERED &gt;40 FT","")</f>
        <v/>
      </c>
      <c r="AB290" s="23" t="s">
        <v>4609</v>
      </c>
      <c r="AC290" s="23" t="s">
        <v>4610</v>
      </c>
      <c r="AD290" s="23" t="s">
        <v>2807</v>
      </c>
    </row>
    <row r="291" customFormat="false" ht="17.9" hidden="false" customHeight="false" outlineLevel="0" collapsed="false">
      <c r="A291" s="20" t="s">
        <v>4611</v>
      </c>
      <c r="B291" s="20" t="s">
        <v>119</v>
      </c>
      <c r="C291" s="20" t="s">
        <v>2798</v>
      </c>
      <c r="D291" s="20" t="s">
        <v>4612</v>
      </c>
      <c r="E291" s="20" t="s">
        <v>4613</v>
      </c>
      <c r="F291" s="20" t="s">
        <v>2833</v>
      </c>
      <c r="G291" s="20" t="s">
        <v>3289</v>
      </c>
      <c r="H291" s="22" t="n">
        <v>55.5</v>
      </c>
      <c r="I291" s="22" t="n">
        <v>55.5</v>
      </c>
      <c r="J291" s="22" t="n">
        <f aca="false">H291-I291</f>
        <v>0</v>
      </c>
      <c r="K291" s="20" t="str">
        <f aca="false">IF(ABS(J291)&lt;0.001,"MATCH - PAPER CHECK-IN NOT SUPPLIED","DATA MISMATCH")</f>
        <v>MATCH - PAPER CHECK-IN NOT SUPPLIED</v>
      </c>
      <c r="L291" s="22" t="n">
        <v>45</v>
      </c>
      <c r="M291" s="22" t="n">
        <f aca="false">ROUNDUP(H291,0)</f>
        <v>56</v>
      </c>
      <c r="N291" s="24" t="n">
        <f aca="false">MAX(L291,M291)</f>
        <v>56</v>
      </c>
      <c r="O291" s="25" t="n">
        <v>7.55</v>
      </c>
      <c r="P291" s="25" t="n">
        <f aca="false">N291*O291</f>
        <v>422.8</v>
      </c>
      <c r="Q291" s="23" t="s">
        <v>4614</v>
      </c>
      <c r="R291" s="23" t="s">
        <v>2804</v>
      </c>
      <c r="S291" s="24" t="n">
        <v>56</v>
      </c>
      <c r="T291" s="25" t="n">
        <v>7.55</v>
      </c>
      <c r="U291" s="25" t="n">
        <v>422.8</v>
      </c>
      <c r="V291" s="25" t="n">
        <f aca="false">P291-U291</f>
        <v>0</v>
      </c>
      <c r="W291" s="25" t="n">
        <f aca="false">V291*12</f>
        <v>0</v>
      </c>
      <c r="X291" s="23" t="str">
        <f aca="false">IF(Q291="","MISSING FROM EXPORT",IF(ABS(V291)&lt;0.005,"CLEAR",IF(V291&gt;0,"UNDERBILLING","OVERBILLING")))</f>
        <v>CLEAR</v>
      </c>
      <c r="Y291" s="25" t="n">
        <f aca="false">IF(F291="COMMERCIAL",ROUND(P291*0.35,2),0)</f>
        <v>0</v>
      </c>
      <c r="Z291" s="23" t="str">
        <f aca="false">IF(F291="COMMERCIAL","VERIFY SIGNED AGREEMENT","NO EXCEPTION")</f>
        <v>NO EXCEPTION</v>
      </c>
      <c r="AA291" s="23" t="str">
        <f aca="false">IF(AND(C291="covered",N291&gt;40),"COVERED &gt;40 FT","")</f>
        <v/>
      </c>
      <c r="AB291" s="23" t="s">
        <v>4615</v>
      </c>
      <c r="AC291" s="23" t="s">
        <v>4616</v>
      </c>
      <c r="AD291" s="23" t="s">
        <v>2807</v>
      </c>
    </row>
    <row r="292" customFormat="false" ht="17.9" hidden="false" customHeight="false" outlineLevel="0" collapsed="false">
      <c r="A292" s="20" t="s">
        <v>4617</v>
      </c>
      <c r="B292" s="20" t="s">
        <v>119</v>
      </c>
      <c r="C292" s="20" t="s">
        <v>2798</v>
      </c>
      <c r="D292" s="20" t="s">
        <v>213</v>
      </c>
      <c r="E292" s="20" t="s">
        <v>214</v>
      </c>
      <c r="F292" s="20" t="s">
        <v>2857</v>
      </c>
      <c r="G292" s="20" t="s">
        <v>3296</v>
      </c>
      <c r="H292" s="22" t="n">
        <v>40.2</v>
      </c>
      <c r="I292" s="22" t="n">
        <v>40.2</v>
      </c>
      <c r="J292" s="22" t="n">
        <f aca="false">H292-I292</f>
        <v>0</v>
      </c>
      <c r="K292" s="20" t="str">
        <f aca="false">IF(ABS(J292)&lt;0.001,"MATCH - PAPER CHECK-IN NOT SUPPLIED","DATA MISMATCH")</f>
        <v>MATCH - PAPER CHECK-IN NOT SUPPLIED</v>
      </c>
      <c r="L292" s="22" t="n">
        <v>70</v>
      </c>
      <c r="M292" s="22" t="n">
        <f aca="false">ROUNDUP(H292,0)</f>
        <v>41</v>
      </c>
      <c r="N292" s="24" t="n">
        <f aca="false">MAX(L292,M292)</f>
        <v>70</v>
      </c>
      <c r="O292" s="25" t="n">
        <v>7.55</v>
      </c>
      <c r="P292" s="25" t="n">
        <f aca="false">N292*O292</f>
        <v>528.5</v>
      </c>
      <c r="Q292" s="23" t="s">
        <v>4618</v>
      </c>
      <c r="R292" s="23" t="s">
        <v>2804</v>
      </c>
      <c r="S292" s="24" t="n">
        <v>70</v>
      </c>
      <c r="T292" s="25" t="n">
        <v>7.55</v>
      </c>
      <c r="U292" s="25" t="n">
        <v>528.5</v>
      </c>
      <c r="V292" s="25" t="n">
        <f aca="false">P292-U292</f>
        <v>0</v>
      </c>
      <c r="W292" s="25" t="n">
        <f aca="false">V292*12</f>
        <v>0</v>
      </c>
      <c r="X292" s="23" t="str">
        <f aca="false">IF(Q292="","MISSING FROM EXPORT",IF(ABS(V292)&lt;0.005,"CLEAR",IF(V292&gt;0,"UNDERBILLING","OVERBILLING")))</f>
        <v>CLEAR</v>
      </c>
      <c r="Y292" s="25" t="n">
        <f aca="false">IF(F292="COMMERCIAL",ROUND(P292*0.35,2),0)</f>
        <v>0</v>
      </c>
      <c r="Z292" s="23" t="str">
        <f aca="false">IF(F292="COMMERCIAL","VERIFY SIGNED AGREEMENT","NO EXCEPTION")</f>
        <v>NO EXCEPTION</v>
      </c>
      <c r="AA292" s="23" t="str">
        <f aca="false">IF(AND(C292="covered",N292&gt;40),"COVERED &gt;40 FT","")</f>
        <v/>
      </c>
      <c r="AB292" s="23" t="s">
        <v>4619</v>
      </c>
      <c r="AC292" s="23" t="s">
        <v>4620</v>
      </c>
      <c r="AD292" s="23" t="s">
        <v>2807</v>
      </c>
    </row>
    <row r="293" customFormat="false" ht="17.9" hidden="false" customHeight="false" outlineLevel="0" collapsed="false">
      <c r="A293" s="20" t="s">
        <v>4621</v>
      </c>
      <c r="B293" s="20" t="s">
        <v>119</v>
      </c>
      <c r="C293" s="20" t="s">
        <v>2798</v>
      </c>
      <c r="D293" s="20" t="s">
        <v>4622</v>
      </c>
      <c r="E293" s="20" t="s">
        <v>4623</v>
      </c>
      <c r="F293" s="20" t="s">
        <v>2833</v>
      </c>
      <c r="G293" s="20" t="s">
        <v>3303</v>
      </c>
      <c r="H293" s="22" t="n">
        <v>48.1</v>
      </c>
      <c r="I293" s="22" t="n">
        <v>48.1</v>
      </c>
      <c r="J293" s="22" t="n">
        <f aca="false">H293-I293</f>
        <v>0</v>
      </c>
      <c r="K293" s="20" t="str">
        <f aca="false">IF(ABS(J293)&lt;0.001,"MATCH - PAPER CHECK-IN NOT SUPPLIED","DATA MISMATCH")</f>
        <v>MATCH - PAPER CHECK-IN NOT SUPPLIED</v>
      </c>
      <c r="L293" s="22" t="n">
        <v>32</v>
      </c>
      <c r="M293" s="22" t="n">
        <f aca="false">ROUNDUP(H293,0)</f>
        <v>49</v>
      </c>
      <c r="N293" s="24" t="n">
        <f aca="false">MAX(L293,M293)</f>
        <v>49</v>
      </c>
      <c r="O293" s="25" t="n">
        <v>7.55</v>
      </c>
      <c r="P293" s="25" t="n">
        <f aca="false">N293*O293</f>
        <v>369.95</v>
      </c>
      <c r="Q293" s="23" t="s">
        <v>4624</v>
      </c>
      <c r="R293" s="23" t="s">
        <v>2804</v>
      </c>
      <c r="S293" s="24" t="n">
        <v>49</v>
      </c>
      <c r="T293" s="25" t="n">
        <v>7.55</v>
      </c>
      <c r="U293" s="25" t="n">
        <v>369.95</v>
      </c>
      <c r="V293" s="25" t="n">
        <f aca="false">P293-U293</f>
        <v>0</v>
      </c>
      <c r="W293" s="25" t="n">
        <f aca="false">V293*12</f>
        <v>0</v>
      </c>
      <c r="X293" s="23" t="str">
        <f aca="false">IF(Q293="","MISSING FROM EXPORT",IF(ABS(V293)&lt;0.005,"CLEAR",IF(V293&gt;0,"UNDERBILLING","OVERBILLING")))</f>
        <v>CLEAR</v>
      </c>
      <c r="Y293" s="25" t="n">
        <f aca="false">IF(F293="COMMERCIAL",ROUND(P293*0.35,2),0)</f>
        <v>0</v>
      </c>
      <c r="Z293" s="23" t="str">
        <f aca="false">IF(F293="COMMERCIAL","VERIFY SIGNED AGREEMENT","NO EXCEPTION")</f>
        <v>NO EXCEPTION</v>
      </c>
      <c r="AA293" s="23" t="str">
        <f aca="false">IF(AND(C293="covered",N293&gt;40),"COVERED &gt;40 FT","")</f>
        <v/>
      </c>
      <c r="AB293" s="23" t="s">
        <v>4625</v>
      </c>
      <c r="AC293" s="23" t="s">
        <v>4626</v>
      </c>
      <c r="AD293" s="23" t="s">
        <v>2807</v>
      </c>
    </row>
    <row r="294" customFormat="false" ht="17.9" hidden="false" customHeight="false" outlineLevel="0" collapsed="false">
      <c r="A294" s="20" t="s">
        <v>4627</v>
      </c>
      <c r="B294" s="20" t="s">
        <v>119</v>
      </c>
      <c r="C294" s="20" t="s">
        <v>2798</v>
      </c>
      <c r="D294" s="20" t="s">
        <v>4628</v>
      </c>
      <c r="E294" s="20" t="s">
        <v>4629</v>
      </c>
      <c r="F294" s="20" t="s">
        <v>2869</v>
      </c>
      <c r="G294" s="20" t="s">
        <v>3310</v>
      </c>
      <c r="H294" s="22" t="n">
        <v>35.1</v>
      </c>
      <c r="I294" s="22" t="n">
        <v>35.1</v>
      </c>
      <c r="J294" s="22" t="n">
        <f aca="false">H294-I294</f>
        <v>0</v>
      </c>
      <c r="K294" s="20" t="str">
        <f aca="false">IF(ABS(J294)&lt;0.001,"MATCH - PAPER CHECK-IN NOT SUPPLIED","DATA MISMATCH")</f>
        <v>MATCH - PAPER CHECK-IN NOT SUPPLIED</v>
      </c>
      <c r="L294" s="22" t="n">
        <v>24</v>
      </c>
      <c r="M294" s="22" t="n">
        <f aca="false">ROUNDUP(H294,0)</f>
        <v>36</v>
      </c>
      <c r="N294" s="24" t="n">
        <f aca="false">MAX(L294,M294)</f>
        <v>36</v>
      </c>
      <c r="O294" s="25" t="n">
        <v>7.55</v>
      </c>
      <c r="P294" s="25" t="n">
        <f aca="false">N294*O294</f>
        <v>271.8</v>
      </c>
      <c r="Q294" s="23" t="s">
        <v>4630</v>
      </c>
      <c r="R294" s="23" t="s">
        <v>2804</v>
      </c>
      <c r="S294" s="24" t="n">
        <v>36</v>
      </c>
      <c r="T294" s="25" t="n">
        <v>7.55</v>
      </c>
      <c r="U294" s="25" t="n">
        <v>271.8</v>
      </c>
      <c r="V294" s="25" t="n">
        <f aca="false">P294-U294</f>
        <v>0</v>
      </c>
      <c r="W294" s="25" t="n">
        <f aca="false">V294*12</f>
        <v>0</v>
      </c>
      <c r="X294" s="23" t="str">
        <f aca="false">IF(Q294="","MISSING FROM EXPORT",IF(ABS(V294)&lt;0.005,"CLEAR",IF(V294&gt;0,"UNDERBILLING","OVERBILLING")))</f>
        <v>CLEAR</v>
      </c>
      <c r="Y294" s="25" t="n">
        <f aca="false">IF(F294="COMMERCIAL",ROUND(P294*0.35,2),0)</f>
        <v>0</v>
      </c>
      <c r="Z294" s="23" t="str">
        <f aca="false">IF(F294="COMMERCIAL","VERIFY SIGNED AGREEMENT","NO EXCEPTION")</f>
        <v>NO EXCEPTION</v>
      </c>
      <c r="AA294" s="23" t="str">
        <f aca="false">IF(AND(C294="covered",N294&gt;40),"COVERED &gt;40 FT","")</f>
        <v/>
      </c>
      <c r="AB294" s="23" t="s">
        <v>4631</v>
      </c>
      <c r="AC294" s="23" t="s">
        <v>4632</v>
      </c>
      <c r="AD294" s="23" t="s">
        <v>2807</v>
      </c>
    </row>
    <row r="295" customFormat="false" ht="17.9" hidden="false" customHeight="false" outlineLevel="0" collapsed="false">
      <c r="A295" s="20" t="s">
        <v>4633</v>
      </c>
      <c r="B295" s="20" t="s">
        <v>119</v>
      </c>
      <c r="C295" s="20" t="s">
        <v>2798</v>
      </c>
      <c r="D295" s="20" t="s">
        <v>4634</v>
      </c>
      <c r="E295" s="20" t="s">
        <v>4635</v>
      </c>
      <c r="F295" s="20" t="s">
        <v>2801</v>
      </c>
      <c r="G295" s="20" t="s">
        <v>3317</v>
      </c>
      <c r="H295" s="22" t="n">
        <v>24.7</v>
      </c>
      <c r="I295" s="22" t="n">
        <v>24.7</v>
      </c>
      <c r="J295" s="22" t="n">
        <f aca="false">H295-I295</f>
        <v>0</v>
      </c>
      <c r="K295" s="20" t="str">
        <f aca="false">IF(ABS(J295)&lt;0.001,"MATCH - PAPER CHECK-IN NOT SUPPLIED","DATA MISMATCH")</f>
        <v>MATCH - PAPER CHECK-IN NOT SUPPLIED</v>
      </c>
      <c r="L295" s="22" t="n">
        <v>60</v>
      </c>
      <c r="M295" s="22" t="n">
        <f aca="false">ROUNDUP(H295,0)</f>
        <v>25</v>
      </c>
      <c r="N295" s="24" t="n">
        <f aca="false">MAX(L295,M295)</f>
        <v>60</v>
      </c>
      <c r="O295" s="25" t="n">
        <v>7.55</v>
      </c>
      <c r="P295" s="25" t="n">
        <f aca="false">N295*O295</f>
        <v>453</v>
      </c>
      <c r="Q295" s="23" t="s">
        <v>4636</v>
      </c>
      <c r="R295" s="23" t="s">
        <v>2804</v>
      </c>
      <c r="S295" s="24" t="n">
        <v>60</v>
      </c>
      <c r="T295" s="25" t="n">
        <v>7.55</v>
      </c>
      <c r="U295" s="25" t="n">
        <v>453</v>
      </c>
      <c r="V295" s="25" t="n">
        <f aca="false">P295-U295</f>
        <v>0</v>
      </c>
      <c r="W295" s="25" t="n">
        <f aca="false">V295*12</f>
        <v>0</v>
      </c>
      <c r="X295" s="23" t="str">
        <f aca="false">IF(Q295="","MISSING FROM EXPORT",IF(ABS(V295)&lt;0.005,"CLEAR",IF(V295&gt;0,"UNDERBILLING","OVERBILLING")))</f>
        <v>CLEAR</v>
      </c>
      <c r="Y295" s="25" t="n">
        <f aca="false">IF(F295="COMMERCIAL",ROUND(P295*0.35,2),0)</f>
        <v>0</v>
      </c>
      <c r="Z295" s="23" t="str">
        <f aca="false">IF(F295="COMMERCIAL","VERIFY SIGNED AGREEMENT","NO EXCEPTION")</f>
        <v>NO EXCEPTION</v>
      </c>
      <c r="AA295" s="23" t="str">
        <f aca="false">IF(AND(C295="covered",N295&gt;40),"COVERED &gt;40 FT","")</f>
        <v/>
      </c>
      <c r="AB295" s="23" t="s">
        <v>4637</v>
      </c>
      <c r="AC295" s="23" t="s">
        <v>4638</v>
      </c>
      <c r="AD295" s="23" t="s">
        <v>2807</v>
      </c>
    </row>
    <row r="296" customFormat="false" ht="17.9" hidden="false" customHeight="false" outlineLevel="0" collapsed="false">
      <c r="A296" s="20" t="s">
        <v>337</v>
      </c>
      <c r="B296" s="20" t="s">
        <v>119</v>
      </c>
      <c r="C296" s="20" t="s">
        <v>2798</v>
      </c>
      <c r="D296" s="20" t="s">
        <v>4639</v>
      </c>
      <c r="E296" s="20" t="s">
        <v>4640</v>
      </c>
      <c r="F296" s="20" t="s">
        <v>2833</v>
      </c>
      <c r="G296" s="20" t="s">
        <v>3324</v>
      </c>
      <c r="H296" s="22" t="n">
        <v>31.7</v>
      </c>
      <c r="I296" s="22" t="n">
        <v>31.7</v>
      </c>
      <c r="J296" s="22" t="n">
        <f aca="false">H296-I296</f>
        <v>0</v>
      </c>
      <c r="K296" s="20" t="str">
        <f aca="false">IF(ABS(J296)&lt;0.001,"MATCH - PAPER CHECK-IN NOT SUPPLIED","DATA MISMATCH")</f>
        <v>MATCH - PAPER CHECK-IN NOT SUPPLIED</v>
      </c>
      <c r="L296" s="22" t="n">
        <v>45</v>
      </c>
      <c r="M296" s="22" t="n">
        <f aca="false">ROUNDUP(H296,0)</f>
        <v>32</v>
      </c>
      <c r="N296" s="24" t="n">
        <f aca="false">MAX(L296,M296)</f>
        <v>45</v>
      </c>
      <c r="O296" s="25" t="n">
        <v>7.55</v>
      </c>
      <c r="P296" s="25" t="n">
        <f aca="false">N296*O296</f>
        <v>339.75</v>
      </c>
      <c r="Q296" s="23" t="s">
        <v>4641</v>
      </c>
      <c r="R296" s="23" t="s">
        <v>2804</v>
      </c>
      <c r="S296" s="24" t="n">
        <v>45</v>
      </c>
      <c r="T296" s="25" t="n">
        <v>7.55</v>
      </c>
      <c r="U296" s="25" t="n">
        <v>339.75</v>
      </c>
      <c r="V296" s="25" t="n">
        <f aca="false">P296-U296</f>
        <v>0</v>
      </c>
      <c r="W296" s="25" t="n">
        <f aca="false">V296*12</f>
        <v>0</v>
      </c>
      <c r="X296" s="23" t="str">
        <f aca="false">IF(Q296="","MISSING FROM EXPORT",IF(ABS(V296)&lt;0.005,"CLEAR",IF(V296&gt;0,"UNDERBILLING","OVERBILLING")))</f>
        <v>CLEAR</v>
      </c>
      <c r="Y296" s="25" t="n">
        <f aca="false">IF(F296="COMMERCIAL",ROUND(P296*0.35,2),0)</f>
        <v>0</v>
      </c>
      <c r="Z296" s="23" t="str">
        <f aca="false">IF(F296="COMMERCIAL","VERIFY SIGNED AGREEMENT","NO EXCEPTION")</f>
        <v>NO EXCEPTION</v>
      </c>
      <c r="AA296" s="23" t="str">
        <f aca="false">IF(AND(C296="covered",N296&gt;40),"COVERED &gt;40 FT","")</f>
        <v/>
      </c>
      <c r="AB296" s="23" t="s">
        <v>4642</v>
      </c>
      <c r="AC296" s="23" t="s">
        <v>4643</v>
      </c>
      <c r="AD296" s="23" t="s">
        <v>2807</v>
      </c>
    </row>
    <row r="297" customFormat="false" ht="17.9" hidden="false" customHeight="false" outlineLevel="0" collapsed="false">
      <c r="A297" s="20" t="s">
        <v>1870</v>
      </c>
      <c r="B297" s="20" t="s">
        <v>119</v>
      </c>
      <c r="C297" s="20" t="s">
        <v>2798</v>
      </c>
      <c r="D297" s="20" t="s">
        <v>2059</v>
      </c>
      <c r="E297" s="20" t="s">
        <v>2060</v>
      </c>
      <c r="F297" s="20" t="s">
        <v>2857</v>
      </c>
      <c r="G297" s="20" t="s">
        <v>3330</v>
      </c>
      <c r="H297" s="22" t="n">
        <v>47.9</v>
      </c>
      <c r="I297" s="22" t="n">
        <v>47.9</v>
      </c>
      <c r="J297" s="22" t="n">
        <f aca="false">H297-I297</f>
        <v>0</v>
      </c>
      <c r="K297" s="20" t="str">
        <f aca="false">IF(ABS(J297)&lt;0.001,"MATCH - PAPER CHECK-IN NOT SUPPLIED","DATA MISMATCH")</f>
        <v>MATCH - PAPER CHECK-IN NOT SUPPLIED</v>
      </c>
      <c r="L297" s="22" t="n">
        <v>24</v>
      </c>
      <c r="M297" s="22" t="n">
        <f aca="false">ROUNDUP(H297,0)</f>
        <v>48</v>
      </c>
      <c r="N297" s="24" t="n">
        <f aca="false">MAX(L297,M297)</f>
        <v>48</v>
      </c>
      <c r="O297" s="25" t="n">
        <v>7.55</v>
      </c>
      <c r="P297" s="25" t="n">
        <f aca="false">N297*O297</f>
        <v>362.4</v>
      </c>
      <c r="Q297" s="23" t="s">
        <v>4644</v>
      </c>
      <c r="R297" s="23" t="s">
        <v>2804</v>
      </c>
      <c r="S297" s="24" t="n">
        <v>48</v>
      </c>
      <c r="T297" s="25" t="n">
        <v>7.55</v>
      </c>
      <c r="U297" s="25" t="n">
        <v>362.4</v>
      </c>
      <c r="V297" s="25" t="n">
        <f aca="false">P297-U297</f>
        <v>0</v>
      </c>
      <c r="W297" s="25" t="n">
        <f aca="false">V297*12</f>
        <v>0</v>
      </c>
      <c r="X297" s="23" t="str">
        <f aca="false">IF(Q297="","MISSING FROM EXPORT",IF(ABS(V297)&lt;0.005,"CLEAR",IF(V297&gt;0,"UNDERBILLING","OVERBILLING")))</f>
        <v>CLEAR</v>
      </c>
      <c r="Y297" s="25" t="n">
        <f aca="false">IF(F297="COMMERCIAL",ROUND(P297*0.35,2),0)</f>
        <v>0</v>
      </c>
      <c r="Z297" s="23" t="str">
        <f aca="false">IF(F297="COMMERCIAL","VERIFY SIGNED AGREEMENT","NO EXCEPTION")</f>
        <v>NO EXCEPTION</v>
      </c>
      <c r="AA297" s="23" t="str">
        <f aca="false">IF(AND(C297="covered",N297&gt;40),"COVERED &gt;40 FT","")</f>
        <v/>
      </c>
      <c r="AB297" s="23" t="s">
        <v>4645</v>
      </c>
      <c r="AC297" s="23" t="s">
        <v>4646</v>
      </c>
      <c r="AD297" s="23" t="s">
        <v>2807</v>
      </c>
    </row>
    <row r="298" customFormat="false" ht="17.9" hidden="false" customHeight="false" outlineLevel="0" collapsed="false">
      <c r="A298" s="20" t="s">
        <v>4647</v>
      </c>
      <c r="B298" s="20" t="s">
        <v>119</v>
      </c>
      <c r="C298" s="20" t="s">
        <v>2798</v>
      </c>
      <c r="D298" s="20" t="s">
        <v>4648</v>
      </c>
      <c r="E298" s="20" t="s">
        <v>4649</v>
      </c>
      <c r="F298" s="20" t="s">
        <v>2833</v>
      </c>
      <c r="G298" s="20" t="s">
        <v>3337</v>
      </c>
      <c r="H298" s="22" t="n">
        <v>23.7</v>
      </c>
      <c r="I298" s="22" t="n">
        <v>23.7</v>
      </c>
      <c r="J298" s="22" t="n">
        <f aca="false">H298-I298</f>
        <v>0</v>
      </c>
      <c r="K298" s="20" t="str">
        <f aca="false">IF(ABS(J298)&lt;0.001,"MATCH - PAPER CHECK-IN NOT SUPPLIED","DATA MISMATCH")</f>
        <v>MATCH - PAPER CHECK-IN NOT SUPPLIED</v>
      </c>
      <c r="L298" s="22" t="n">
        <v>32</v>
      </c>
      <c r="M298" s="22" t="n">
        <f aca="false">ROUNDUP(H298,0)</f>
        <v>24</v>
      </c>
      <c r="N298" s="24" t="n">
        <f aca="false">MAX(L298,M298)</f>
        <v>32</v>
      </c>
      <c r="O298" s="25" t="n">
        <v>7.55</v>
      </c>
      <c r="P298" s="25" t="n">
        <f aca="false">N298*O298</f>
        <v>241.6</v>
      </c>
      <c r="Q298" s="23" t="s">
        <v>4650</v>
      </c>
      <c r="R298" s="23" t="s">
        <v>2804</v>
      </c>
      <c r="S298" s="24" t="n">
        <v>32</v>
      </c>
      <c r="T298" s="25" t="n">
        <v>7.55</v>
      </c>
      <c r="U298" s="25" t="n">
        <v>241.6</v>
      </c>
      <c r="V298" s="25" t="n">
        <f aca="false">P298-U298</f>
        <v>0</v>
      </c>
      <c r="W298" s="25" t="n">
        <f aca="false">V298*12</f>
        <v>0</v>
      </c>
      <c r="X298" s="23" t="str">
        <f aca="false">IF(Q298="","MISSING FROM EXPORT",IF(ABS(V298)&lt;0.005,"CLEAR",IF(V298&gt;0,"UNDERBILLING","OVERBILLING")))</f>
        <v>CLEAR</v>
      </c>
      <c r="Y298" s="25" t="n">
        <f aca="false">IF(F298="COMMERCIAL",ROUND(P298*0.35,2),0)</f>
        <v>0</v>
      </c>
      <c r="Z298" s="23" t="str">
        <f aca="false">IF(F298="COMMERCIAL","VERIFY SIGNED AGREEMENT","NO EXCEPTION")</f>
        <v>NO EXCEPTION</v>
      </c>
      <c r="AA298" s="23" t="str">
        <f aca="false">IF(AND(C298="covered",N298&gt;40),"COVERED &gt;40 FT","")</f>
        <v/>
      </c>
      <c r="AB298" s="23" t="s">
        <v>4651</v>
      </c>
      <c r="AC298" s="23" t="s">
        <v>4652</v>
      </c>
      <c r="AD298" s="23" t="s">
        <v>2807</v>
      </c>
    </row>
    <row r="299" customFormat="false" ht="17.9" hidden="false" customHeight="false" outlineLevel="0" collapsed="false">
      <c r="A299" s="20" t="s">
        <v>4653</v>
      </c>
      <c r="B299" s="20" t="s">
        <v>119</v>
      </c>
      <c r="C299" s="20" t="s">
        <v>2798</v>
      </c>
      <c r="D299" s="20" t="s">
        <v>4654</v>
      </c>
      <c r="E299" s="20" t="s">
        <v>4655</v>
      </c>
      <c r="F299" s="20" t="s">
        <v>2833</v>
      </c>
      <c r="G299" s="20" t="s">
        <v>3344</v>
      </c>
      <c r="H299" s="22" t="n">
        <v>52.8</v>
      </c>
      <c r="I299" s="22" t="n">
        <v>52.8</v>
      </c>
      <c r="J299" s="22" t="n">
        <f aca="false">H299-I299</f>
        <v>0</v>
      </c>
      <c r="K299" s="20" t="str">
        <f aca="false">IF(ABS(J299)&lt;0.001,"MATCH - PAPER CHECK-IN NOT SUPPLIED","DATA MISMATCH")</f>
        <v>MATCH - PAPER CHECK-IN NOT SUPPLIED</v>
      </c>
      <c r="L299" s="22" t="n">
        <v>32</v>
      </c>
      <c r="M299" s="22" t="n">
        <f aca="false">ROUNDUP(H299,0)</f>
        <v>53</v>
      </c>
      <c r="N299" s="24" t="n">
        <f aca="false">MAX(L299,M299)</f>
        <v>53</v>
      </c>
      <c r="O299" s="25" t="n">
        <v>7.55</v>
      </c>
      <c r="P299" s="25" t="n">
        <f aca="false">N299*O299</f>
        <v>400.15</v>
      </c>
      <c r="Q299" s="23" t="s">
        <v>4656</v>
      </c>
      <c r="R299" s="23" t="s">
        <v>2804</v>
      </c>
      <c r="S299" s="24" t="n">
        <v>53</v>
      </c>
      <c r="T299" s="25" t="n">
        <v>7.55</v>
      </c>
      <c r="U299" s="25" t="n">
        <v>400.15</v>
      </c>
      <c r="V299" s="25" t="n">
        <f aca="false">P299-U299</f>
        <v>0</v>
      </c>
      <c r="W299" s="25" t="n">
        <f aca="false">V299*12</f>
        <v>0</v>
      </c>
      <c r="X299" s="23" t="str">
        <f aca="false">IF(Q299="","MISSING FROM EXPORT",IF(ABS(V299)&lt;0.005,"CLEAR",IF(V299&gt;0,"UNDERBILLING","OVERBILLING")))</f>
        <v>CLEAR</v>
      </c>
      <c r="Y299" s="25" t="n">
        <f aca="false">IF(F299="COMMERCIAL",ROUND(P299*0.35,2),0)</f>
        <v>0</v>
      </c>
      <c r="Z299" s="23" t="str">
        <f aca="false">IF(F299="COMMERCIAL","VERIFY SIGNED AGREEMENT","NO EXCEPTION")</f>
        <v>NO EXCEPTION</v>
      </c>
      <c r="AA299" s="23" t="str">
        <f aca="false">IF(AND(C299="covered",N299&gt;40),"COVERED &gt;40 FT","")</f>
        <v/>
      </c>
      <c r="AB299" s="23" t="s">
        <v>4657</v>
      </c>
      <c r="AC299" s="23" t="s">
        <v>4658</v>
      </c>
      <c r="AD299" s="23" t="s">
        <v>2807</v>
      </c>
    </row>
    <row r="300" customFormat="false" ht="17.9" hidden="false" customHeight="false" outlineLevel="0" collapsed="false">
      <c r="A300" s="20" t="s">
        <v>4659</v>
      </c>
      <c r="B300" s="20" t="s">
        <v>119</v>
      </c>
      <c r="C300" s="20" t="s">
        <v>2798</v>
      </c>
      <c r="D300" s="20" t="s">
        <v>4660</v>
      </c>
      <c r="E300" s="20" t="s">
        <v>4661</v>
      </c>
      <c r="F300" s="20" t="s">
        <v>2810</v>
      </c>
      <c r="G300" s="20" t="s">
        <v>3351</v>
      </c>
      <c r="H300" s="22" t="n">
        <v>28.3</v>
      </c>
      <c r="I300" s="22" t="n">
        <v>28.3</v>
      </c>
      <c r="J300" s="22" t="n">
        <f aca="false">H300-I300</f>
        <v>0</v>
      </c>
      <c r="K300" s="20" t="str">
        <f aca="false">IF(ABS(J300)&lt;0.001,"MATCH - PAPER CHECK-IN NOT SUPPLIED","DATA MISMATCH")</f>
        <v>MATCH - PAPER CHECK-IN NOT SUPPLIED</v>
      </c>
      <c r="L300" s="22" t="n">
        <v>24</v>
      </c>
      <c r="M300" s="22" t="n">
        <f aca="false">ROUNDUP(H300,0)</f>
        <v>29</v>
      </c>
      <c r="N300" s="24" t="n">
        <f aca="false">MAX(L300,M300)</f>
        <v>29</v>
      </c>
      <c r="O300" s="25" t="n">
        <v>7.55</v>
      </c>
      <c r="P300" s="25" t="n">
        <f aca="false">N300*O300</f>
        <v>218.95</v>
      </c>
      <c r="Q300" s="23" t="s">
        <v>4662</v>
      </c>
      <c r="R300" s="23" t="s">
        <v>2804</v>
      </c>
      <c r="S300" s="24" t="n">
        <v>29</v>
      </c>
      <c r="T300" s="25" t="n">
        <v>7.55</v>
      </c>
      <c r="U300" s="25" t="n">
        <v>218.95</v>
      </c>
      <c r="V300" s="25" t="n">
        <f aca="false">P300-U300</f>
        <v>0</v>
      </c>
      <c r="W300" s="25" t="n">
        <f aca="false">V300*12</f>
        <v>0</v>
      </c>
      <c r="X300" s="23" t="str">
        <f aca="false">IF(Q300="","MISSING FROM EXPORT",IF(ABS(V300)&lt;0.005,"CLEAR",IF(V300&gt;0,"UNDERBILLING","OVERBILLING")))</f>
        <v>CLEAR</v>
      </c>
      <c r="Y300" s="25" t="n">
        <f aca="false">IF(F300="COMMERCIAL",ROUND(P300*0.35,2),0)</f>
        <v>0</v>
      </c>
      <c r="Z300" s="23" t="str">
        <f aca="false">IF(F300="COMMERCIAL","VERIFY SIGNED AGREEMENT","NO EXCEPTION")</f>
        <v>NO EXCEPTION</v>
      </c>
      <c r="AA300" s="23" t="str">
        <f aca="false">IF(AND(C300="covered",N300&gt;40),"COVERED &gt;40 FT","")</f>
        <v/>
      </c>
      <c r="AB300" s="23" t="s">
        <v>4663</v>
      </c>
      <c r="AC300" s="23" t="s">
        <v>4664</v>
      </c>
      <c r="AD300" s="23" t="s">
        <v>2807</v>
      </c>
    </row>
    <row r="301" customFormat="false" ht="17.9" hidden="false" customHeight="false" outlineLevel="0" collapsed="false">
      <c r="A301" s="20" t="s">
        <v>1551</v>
      </c>
      <c r="B301" s="20" t="s">
        <v>119</v>
      </c>
      <c r="C301" s="20" t="s">
        <v>2798</v>
      </c>
      <c r="D301" s="20" t="s">
        <v>4665</v>
      </c>
      <c r="E301" s="20" t="s">
        <v>4666</v>
      </c>
      <c r="F301" s="20" t="s">
        <v>2934</v>
      </c>
      <c r="G301" s="20" t="s">
        <v>3356</v>
      </c>
      <c r="H301" s="22" t="n">
        <v>27</v>
      </c>
      <c r="I301" s="22" t="n">
        <v>27</v>
      </c>
      <c r="J301" s="22" t="n">
        <f aca="false">H301-I301</f>
        <v>0</v>
      </c>
      <c r="K301" s="20" t="str">
        <f aca="false">IF(ABS(J301)&lt;0.001,"MATCH - PAPER CHECK-IN NOT SUPPLIED","DATA MISMATCH")</f>
        <v>MATCH - PAPER CHECK-IN NOT SUPPLIED</v>
      </c>
      <c r="L301" s="22" t="n">
        <v>32</v>
      </c>
      <c r="M301" s="22" t="n">
        <f aca="false">ROUNDUP(H301,0)</f>
        <v>27</v>
      </c>
      <c r="N301" s="24" t="n">
        <f aca="false">MAX(L301,M301)</f>
        <v>32</v>
      </c>
      <c r="O301" s="25" t="n">
        <v>7.55</v>
      </c>
      <c r="P301" s="25" t="n">
        <f aca="false">N301*O301</f>
        <v>241.6</v>
      </c>
      <c r="Q301" s="23" t="s">
        <v>4667</v>
      </c>
      <c r="R301" s="23" t="s">
        <v>2804</v>
      </c>
      <c r="S301" s="24" t="n">
        <v>32</v>
      </c>
      <c r="T301" s="25" t="n">
        <v>7.55</v>
      </c>
      <c r="U301" s="25" t="n">
        <v>241.6</v>
      </c>
      <c r="V301" s="25" t="n">
        <f aca="false">P301-U301</f>
        <v>0</v>
      </c>
      <c r="W301" s="25" t="n">
        <f aca="false">V301*12</f>
        <v>0</v>
      </c>
      <c r="X301" s="23" t="str">
        <f aca="false">IF(Q301="","MISSING FROM EXPORT",IF(ABS(V301)&lt;0.005,"CLEAR",IF(V301&gt;0,"UNDERBILLING","OVERBILLING")))</f>
        <v>CLEAR</v>
      </c>
      <c r="Y301" s="25" t="n">
        <f aca="false">IF(F301="COMMERCIAL",ROUND(P301*0.35,2),0)</f>
        <v>84.56</v>
      </c>
      <c r="Z301" s="23" t="str">
        <f aca="false">IF(F301="COMMERCIAL","VERIFY SIGNED AGREEMENT","NO EXCEPTION")</f>
        <v>VERIFY SIGNED AGREEMENT</v>
      </c>
      <c r="AA301" s="23" t="str">
        <f aca="false">IF(AND(C301="covered",N301&gt;40),"COVERED &gt;40 FT","")</f>
        <v/>
      </c>
      <c r="AB301" s="23" t="s">
        <v>4668</v>
      </c>
      <c r="AC301" s="23" t="s">
        <v>4669</v>
      </c>
      <c r="AD301" s="23" t="s">
        <v>2807</v>
      </c>
    </row>
    <row r="302" customFormat="false" ht="17.9" hidden="false" customHeight="false" outlineLevel="0" collapsed="false">
      <c r="A302" s="20" t="s">
        <v>4670</v>
      </c>
      <c r="B302" s="20" t="s">
        <v>119</v>
      </c>
      <c r="C302" s="20" t="s">
        <v>2798</v>
      </c>
      <c r="D302" s="20" t="s">
        <v>4671</v>
      </c>
      <c r="E302" s="20" t="s">
        <v>4672</v>
      </c>
      <c r="F302" s="20" t="s">
        <v>2869</v>
      </c>
      <c r="G302" s="20" t="s">
        <v>3362</v>
      </c>
      <c r="H302" s="22" t="n">
        <v>18.5</v>
      </c>
      <c r="I302" s="22" t="n">
        <v>18.5</v>
      </c>
      <c r="J302" s="22" t="n">
        <f aca="false">H302-I302</f>
        <v>0</v>
      </c>
      <c r="K302" s="20" t="str">
        <f aca="false">IF(ABS(J302)&lt;0.001,"MATCH - PAPER CHECK-IN NOT SUPPLIED","DATA MISMATCH")</f>
        <v>MATCH - PAPER CHECK-IN NOT SUPPLIED</v>
      </c>
      <c r="L302" s="22" t="n">
        <v>28</v>
      </c>
      <c r="M302" s="22" t="n">
        <f aca="false">ROUNDUP(H302,0)</f>
        <v>19</v>
      </c>
      <c r="N302" s="24" t="n">
        <f aca="false">MAX(L302,M302)</f>
        <v>28</v>
      </c>
      <c r="O302" s="25" t="n">
        <v>7.55</v>
      </c>
      <c r="P302" s="25" t="n">
        <f aca="false">N302*O302</f>
        <v>211.4</v>
      </c>
      <c r="Q302" s="23" t="s">
        <v>4673</v>
      </c>
      <c r="R302" s="23" t="s">
        <v>2804</v>
      </c>
      <c r="S302" s="24" t="n">
        <v>28</v>
      </c>
      <c r="T302" s="25" t="n">
        <v>7.55</v>
      </c>
      <c r="U302" s="25" t="n">
        <v>211.4</v>
      </c>
      <c r="V302" s="25" t="n">
        <f aca="false">P302-U302</f>
        <v>0</v>
      </c>
      <c r="W302" s="25" t="n">
        <f aca="false">V302*12</f>
        <v>0</v>
      </c>
      <c r="X302" s="23" t="str">
        <f aca="false">IF(Q302="","MISSING FROM EXPORT",IF(ABS(V302)&lt;0.005,"CLEAR",IF(V302&gt;0,"UNDERBILLING","OVERBILLING")))</f>
        <v>CLEAR</v>
      </c>
      <c r="Y302" s="25" t="n">
        <f aca="false">IF(F302="COMMERCIAL",ROUND(P302*0.35,2),0)</f>
        <v>0</v>
      </c>
      <c r="Z302" s="23" t="str">
        <f aca="false">IF(F302="COMMERCIAL","VERIFY SIGNED AGREEMENT","NO EXCEPTION")</f>
        <v>NO EXCEPTION</v>
      </c>
      <c r="AA302" s="23" t="str">
        <f aca="false">IF(AND(C302="covered",N302&gt;40),"COVERED &gt;40 FT","")</f>
        <v/>
      </c>
      <c r="AB302" s="23" t="s">
        <v>4674</v>
      </c>
      <c r="AC302" s="23" t="s">
        <v>4675</v>
      </c>
      <c r="AD302" s="23" t="s">
        <v>2807</v>
      </c>
    </row>
    <row r="303" customFormat="false" ht="17.9" hidden="false" customHeight="false" outlineLevel="0" collapsed="false">
      <c r="A303" s="20" t="s">
        <v>4676</v>
      </c>
      <c r="B303" s="20" t="s">
        <v>119</v>
      </c>
      <c r="C303" s="20" t="s">
        <v>2798</v>
      </c>
      <c r="D303" s="20" t="s">
        <v>4677</v>
      </c>
      <c r="E303" s="20" t="s">
        <v>4678</v>
      </c>
      <c r="F303" s="20" t="s">
        <v>2857</v>
      </c>
      <c r="G303" s="20" t="s">
        <v>3366</v>
      </c>
      <c r="H303" s="22" t="n">
        <v>46.6</v>
      </c>
      <c r="I303" s="22" t="n">
        <v>46.6</v>
      </c>
      <c r="J303" s="22" t="n">
        <f aca="false">H303-I303</f>
        <v>0</v>
      </c>
      <c r="K303" s="20" t="str">
        <f aca="false">IF(ABS(J303)&lt;0.001,"MATCH - PAPER CHECK-IN NOT SUPPLIED","DATA MISMATCH")</f>
        <v>MATCH - PAPER CHECK-IN NOT SUPPLIED</v>
      </c>
      <c r="L303" s="22" t="n">
        <v>80</v>
      </c>
      <c r="M303" s="22" t="n">
        <f aca="false">ROUNDUP(H303,0)</f>
        <v>47</v>
      </c>
      <c r="N303" s="24" t="n">
        <f aca="false">MAX(L303,M303)</f>
        <v>80</v>
      </c>
      <c r="O303" s="25" t="n">
        <v>7.55</v>
      </c>
      <c r="P303" s="25" t="n">
        <f aca="false">N303*O303</f>
        <v>604</v>
      </c>
      <c r="Q303" s="23" t="s">
        <v>4679</v>
      </c>
      <c r="R303" s="23" t="s">
        <v>2804</v>
      </c>
      <c r="S303" s="24" t="n">
        <v>80</v>
      </c>
      <c r="T303" s="25" t="n">
        <v>7.55</v>
      </c>
      <c r="U303" s="25" t="n">
        <v>604</v>
      </c>
      <c r="V303" s="25" t="n">
        <f aca="false">P303-U303</f>
        <v>0</v>
      </c>
      <c r="W303" s="25" t="n">
        <f aca="false">V303*12</f>
        <v>0</v>
      </c>
      <c r="X303" s="23" t="str">
        <f aca="false">IF(Q303="","MISSING FROM EXPORT",IF(ABS(V303)&lt;0.005,"CLEAR",IF(V303&gt;0,"UNDERBILLING","OVERBILLING")))</f>
        <v>CLEAR</v>
      </c>
      <c r="Y303" s="25" t="n">
        <f aca="false">IF(F303="COMMERCIAL",ROUND(P303*0.35,2),0)</f>
        <v>0</v>
      </c>
      <c r="Z303" s="23" t="str">
        <f aca="false">IF(F303="COMMERCIAL","VERIFY SIGNED AGREEMENT","NO EXCEPTION")</f>
        <v>NO EXCEPTION</v>
      </c>
      <c r="AA303" s="23" t="str">
        <f aca="false">IF(AND(C303="covered",N303&gt;40),"COVERED &gt;40 FT","")</f>
        <v/>
      </c>
      <c r="AB303" s="23" t="s">
        <v>4680</v>
      </c>
      <c r="AC303" s="23" t="s">
        <v>4681</v>
      </c>
      <c r="AD303" s="23" t="s">
        <v>2807</v>
      </c>
    </row>
    <row r="304" customFormat="false" ht="17.9" hidden="false" customHeight="false" outlineLevel="0" collapsed="false">
      <c r="A304" s="20" t="s">
        <v>4682</v>
      </c>
      <c r="B304" s="20" t="s">
        <v>119</v>
      </c>
      <c r="C304" s="20" t="s">
        <v>2798</v>
      </c>
      <c r="D304" s="20" t="s">
        <v>4683</v>
      </c>
      <c r="E304" s="20" t="s">
        <v>4684</v>
      </c>
      <c r="F304" s="20" t="s">
        <v>2869</v>
      </c>
      <c r="G304" s="20" t="s">
        <v>4685</v>
      </c>
      <c r="H304" s="22" t="n">
        <v>40.9</v>
      </c>
      <c r="I304" s="22" t="n">
        <v>40.9</v>
      </c>
      <c r="J304" s="22" t="n">
        <f aca="false">H304-I304</f>
        <v>0</v>
      </c>
      <c r="K304" s="20" t="str">
        <f aca="false">IF(ABS(J304)&lt;0.001,"MATCH - PAPER CHECK-IN NOT SUPPLIED","DATA MISMATCH")</f>
        <v>MATCH - PAPER CHECK-IN NOT SUPPLIED</v>
      </c>
      <c r="L304" s="22" t="n">
        <v>80</v>
      </c>
      <c r="M304" s="22" t="n">
        <f aca="false">ROUNDUP(H304,0)</f>
        <v>41</v>
      </c>
      <c r="N304" s="24" t="n">
        <f aca="false">MAX(L304,M304)</f>
        <v>80</v>
      </c>
      <c r="O304" s="25" t="n">
        <v>7.55</v>
      </c>
      <c r="P304" s="25" t="n">
        <f aca="false">N304*O304</f>
        <v>604</v>
      </c>
      <c r="Q304" s="23" t="s">
        <v>4686</v>
      </c>
      <c r="R304" s="23" t="s">
        <v>2804</v>
      </c>
      <c r="S304" s="24" t="n">
        <v>80</v>
      </c>
      <c r="T304" s="25" t="n">
        <v>7.55</v>
      </c>
      <c r="U304" s="25" t="n">
        <v>604</v>
      </c>
      <c r="V304" s="25" t="n">
        <f aca="false">P304-U304</f>
        <v>0</v>
      </c>
      <c r="W304" s="25" t="n">
        <f aca="false">V304*12</f>
        <v>0</v>
      </c>
      <c r="X304" s="23" t="str">
        <f aca="false">IF(Q304="","MISSING FROM EXPORT",IF(ABS(V304)&lt;0.005,"CLEAR",IF(V304&gt;0,"UNDERBILLING","OVERBILLING")))</f>
        <v>CLEAR</v>
      </c>
      <c r="Y304" s="25" t="n">
        <f aca="false">IF(F304="COMMERCIAL",ROUND(P304*0.35,2),0)</f>
        <v>0</v>
      </c>
      <c r="Z304" s="23" t="str">
        <f aca="false">IF(F304="COMMERCIAL","VERIFY SIGNED AGREEMENT","NO EXCEPTION")</f>
        <v>NO EXCEPTION</v>
      </c>
      <c r="AA304" s="23" t="str">
        <f aca="false">IF(AND(C304="covered",N304&gt;40),"COVERED &gt;40 FT","")</f>
        <v/>
      </c>
      <c r="AB304" s="23" t="s">
        <v>4687</v>
      </c>
      <c r="AC304" s="23" t="s">
        <v>4688</v>
      </c>
      <c r="AD304" s="23" t="s">
        <v>2807</v>
      </c>
    </row>
    <row r="305" customFormat="false" ht="17.9" hidden="false" customHeight="false" outlineLevel="0" collapsed="false">
      <c r="A305" s="20" t="s">
        <v>4689</v>
      </c>
      <c r="B305" s="20" t="s">
        <v>119</v>
      </c>
      <c r="C305" s="20" t="s">
        <v>2798</v>
      </c>
      <c r="D305" s="20" t="s">
        <v>4690</v>
      </c>
      <c r="E305" s="20" t="s">
        <v>4691</v>
      </c>
      <c r="F305" s="20" t="s">
        <v>2818</v>
      </c>
      <c r="G305" s="20" t="s">
        <v>3373</v>
      </c>
      <c r="H305" s="22" t="n">
        <v>42</v>
      </c>
      <c r="I305" s="22" t="n">
        <v>42</v>
      </c>
      <c r="J305" s="22" t="n">
        <f aca="false">H305-I305</f>
        <v>0</v>
      </c>
      <c r="K305" s="20" t="str">
        <f aca="false">IF(ABS(J305)&lt;0.001,"MATCH - PAPER CHECK-IN NOT SUPPLIED","DATA MISMATCH")</f>
        <v>MATCH - PAPER CHECK-IN NOT SUPPLIED</v>
      </c>
      <c r="L305" s="22" t="n">
        <v>32</v>
      </c>
      <c r="M305" s="22" t="n">
        <f aca="false">ROUNDUP(H305,0)</f>
        <v>42</v>
      </c>
      <c r="N305" s="24" t="n">
        <f aca="false">MAX(L305,M305)</f>
        <v>42</v>
      </c>
      <c r="O305" s="25" t="n">
        <v>7.55</v>
      </c>
      <c r="P305" s="25" t="n">
        <f aca="false">N305*O305</f>
        <v>317.1</v>
      </c>
      <c r="Q305" s="23" t="s">
        <v>4692</v>
      </c>
      <c r="R305" s="23" t="s">
        <v>2804</v>
      </c>
      <c r="S305" s="24" t="n">
        <v>42</v>
      </c>
      <c r="T305" s="25" t="n">
        <v>7.55</v>
      </c>
      <c r="U305" s="25" t="n">
        <v>317.1</v>
      </c>
      <c r="V305" s="25" t="n">
        <f aca="false">P305-U305</f>
        <v>0</v>
      </c>
      <c r="W305" s="25" t="n">
        <f aca="false">V305*12</f>
        <v>0</v>
      </c>
      <c r="X305" s="23" t="str">
        <f aca="false">IF(Q305="","MISSING FROM EXPORT",IF(ABS(V305)&lt;0.005,"CLEAR",IF(V305&gt;0,"UNDERBILLING","OVERBILLING")))</f>
        <v>CLEAR</v>
      </c>
      <c r="Y305" s="25" t="n">
        <f aca="false">IF(F305="COMMERCIAL",ROUND(P305*0.35,2),0)</f>
        <v>0</v>
      </c>
      <c r="Z305" s="23" t="str">
        <f aca="false">IF(F305="COMMERCIAL","VERIFY SIGNED AGREEMENT","NO EXCEPTION")</f>
        <v>NO EXCEPTION</v>
      </c>
      <c r="AA305" s="23" t="str">
        <f aca="false">IF(AND(C305="covered",N305&gt;40),"COVERED &gt;40 FT","")</f>
        <v/>
      </c>
      <c r="AB305" s="23" t="s">
        <v>4693</v>
      </c>
      <c r="AC305" s="23" t="s">
        <v>4694</v>
      </c>
      <c r="AD305" s="23" t="s">
        <v>2807</v>
      </c>
    </row>
    <row r="306" customFormat="false" ht="17.9" hidden="false" customHeight="false" outlineLevel="0" collapsed="false">
      <c r="A306" s="20" t="s">
        <v>4695</v>
      </c>
      <c r="B306" s="20" t="s">
        <v>119</v>
      </c>
      <c r="C306" s="20" t="s">
        <v>2798</v>
      </c>
      <c r="D306" s="20" t="s">
        <v>4696</v>
      </c>
      <c r="E306" s="20" t="s">
        <v>4697</v>
      </c>
      <c r="F306" s="20" t="s">
        <v>2810</v>
      </c>
      <c r="G306" s="20" t="s">
        <v>4698</v>
      </c>
      <c r="H306" s="22" t="n">
        <v>22.6</v>
      </c>
      <c r="I306" s="22" t="n">
        <v>22.6</v>
      </c>
      <c r="J306" s="22" t="n">
        <f aca="false">H306-I306</f>
        <v>0</v>
      </c>
      <c r="K306" s="20" t="str">
        <f aca="false">IF(ABS(J306)&lt;0.001,"MATCH - PAPER CHECK-IN NOT SUPPLIED","DATA MISMATCH")</f>
        <v>MATCH - PAPER CHECK-IN NOT SUPPLIED</v>
      </c>
      <c r="L306" s="22" t="n">
        <v>40</v>
      </c>
      <c r="M306" s="22" t="n">
        <f aca="false">ROUNDUP(H306,0)</f>
        <v>23</v>
      </c>
      <c r="N306" s="24" t="n">
        <f aca="false">MAX(L306,M306)</f>
        <v>40</v>
      </c>
      <c r="O306" s="25" t="n">
        <v>7.55</v>
      </c>
      <c r="P306" s="25" t="n">
        <f aca="false">N306*O306</f>
        <v>302</v>
      </c>
      <c r="Q306" s="23" t="s">
        <v>4699</v>
      </c>
      <c r="R306" s="23" t="s">
        <v>2804</v>
      </c>
      <c r="S306" s="24" t="n">
        <v>40</v>
      </c>
      <c r="T306" s="25" t="n">
        <v>7.55</v>
      </c>
      <c r="U306" s="25" t="n">
        <v>302</v>
      </c>
      <c r="V306" s="25" t="n">
        <f aca="false">P306-U306</f>
        <v>0</v>
      </c>
      <c r="W306" s="25" t="n">
        <f aca="false">V306*12</f>
        <v>0</v>
      </c>
      <c r="X306" s="23" t="str">
        <f aca="false">IF(Q306="","MISSING FROM EXPORT",IF(ABS(V306)&lt;0.005,"CLEAR",IF(V306&gt;0,"UNDERBILLING","OVERBILLING")))</f>
        <v>CLEAR</v>
      </c>
      <c r="Y306" s="25" t="n">
        <f aca="false">IF(F306="COMMERCIAL",ROUND(P306*0.35,2),0)</f>
        <v>0</v>
      </c>
      <c r="Z306" s="23" t="str">
        <f aca="false">IF(F306="COMMERCIAL","VERIFY SIGNED AGREEMENT","NO EXCEPTION")</f>
        <v>NO EXCEPTION</v>
      </c>
      <c r="AA306" s="23" t="str">
        <f aca="false">IF(AND(C306="covered",N306&gt;40),"COVERED &gt;40 FT","")</f>
        <v/>
      </c>
      <c r="AB306" s="23" t="s">
        <v>4700</v>
      </c>
      <c r="AC306" s="23" t="s">
        <v>4701</v>
      </c>
      <c r="AD306" s="23" t="s">
        <v>2807</v>
      </c>
    </row>
    <row r="307" customFormat="false" ht="17.9" hidden="false" customHeight="false" outlineLevel="0" collapsed="false">
      <c r="A307" s="20" t="s">
        <v>4702</v>
      </c>
      <c r="B307" s="20" t="s">
        <v>119</v>
      </c>
      <c r="C307" s="20" t="s">
        <v>2798</v>
      </c>
      <c r="D307" s="20" t="s">
        <v>4703</v>
      </c>
      <c r="E307" s="20" t="s">
        <v>4704</v>
      </c>
      <c r="F307" s="20" t="s">
        <v>2833</v>
      </c>
      <c r="G307" s="20" t="s">
        <v>3387</v>
      </c>
      <c r="H307" s="22" t="n">
        <v>36.5</v>
      </c>
      <c r="I307" s="22" t="n">
        <v>36.5</v>
      </c>
      <c r="J307" s="22" t="n">
        <f aca="false">H307-I307</f>
        <v>0</v>
      </c>
      <c r="K307" s="20" t="str">
        <f aca="false">IF(ABS(J307)&lt;0.001,"MATCH - PAPER CHECK-IN NOT SUPPLIED","DATA MISMATCH")</f>
        <v>MATCH - PAPER CHECK-IN NOT SUPPLIED</v>
      </c>
      <c r="L307" s="22" t="n">
        <v>60</v>
      </c>
      <c r="M307" s="22" t="n">
        <f aca="false">ROUNDUP(H307,0)</f>
        <v>37</v>
      </c>
      <c r="N307" s="24" t="n">
        <f aca="false">MAX(L307,M307)</f>
        <v>60</v>
      </c>
      <c r="O307" s="25" t="n">
        <v>7.55</v>
      </c>
      <c r="P307" s="25" t="n">
        <f aca="false">N307*O307</f>
        <v>453</v>
      </c>
      <c r="Q307" s="23"/>
      <c r="R307" s="23"/>
      <c r="S307" s="24"/>
      <c r="T307" s="25"/>
      <c r="U307" s="25" t="n">
        <v>0</v>
      </c>
      <c r="V307" s="25" t="n">
        <f aca="false">P307-U307</f>
        <v>453</v>
      </c>
      <c r="W307" s="25" t="n">
        <f aca="false">V307*12</f>
        <v>5436</v>
      </c>
      <c r="X307" s="23" t="str">
        <f aca="false">IF(Q307="","MISSING FROM EXPORT",IF(ABS(V307)&lt;0.005,"CLEAR",IF(V307&gt;0,"UNDERBILLING","OVERBILLING")))</f>
        <v>MISSING FROM EXPORT</v>
      </c>
      <c r="Y307" s="25" t="n">
        <f aca="false">IF(F307="COMMERCIAL",ROUND(P307*0.35,2),0)</f>
        <v>0</v>
      </c>
      <c r="Z307" s="23" t="str">
        <f aca="false">IF(F307="COMMERCIAL","VERIFY SIGNED AGREEMENT","NO EXCEPTION")</f>
        <v>NO EXCEPTION</v>
      </c>
      <c r="AA307" s="23" t="str">
        <f aca="false">IF(AND(C307="covered",N307&gt;40),"COVERED &gt;40 FT","")</f>
        <v/>
      </c>
      <c r="AB307" s="23" t="s">
        <v>4705</v>
      </c>
      <c r="AC307" s="23" t="s">
        <v>4706</v>
      </c>
      <c r="AD307" s="23" t="s">
        <v>2807</v>
      </c>
    </row>
    <row r="308" customFormat="false" ht="17.9" hidden="false" customHeight="false" outlineLevel="0" collapsed="false">
      <c r="A308" s="20" t="s">
        <v>4707</v>
      </c>
      <c r="B308" s="20" t="s">
        <v>119</v>
      </c>
      <c r="C308" s="20" t="s">
        <v>2798</v>
      </c>
      <c r="D308" s="20" t="s">
        <v>4708</v>
      </c>
      <c r="E308" s="20" t="s">
        <v>4709</v>
      </c>
      <c r="F308" s="20" t="s">
        <v>2801</v>
      </c>
      <c r="G308" s="20" t="s">
        <v>3394</v>
      </c>
      <c r="H308" s="22" t="n">
        <v>43.9</v>
      </c>
      <c r="I308" s="22" t="n">
        <v>43.9</v>
      </c>
      <c r="J308" s="22" t="n">
        <f aca="false">H308-I308</f>
        <v>0</v>
      </c>
      <c r="K308" s="20" t="str">
        <f aca="false">IF(ABS(J308)&lt;0.001,"MATCH - PAPER CHECK-IN NOT SUPPLIED","DATA MISMATCH")</f>
        <v>MATCH - PAPER CHECK-IN NOT SUPPLIED</v>
      </c>
      <c r="L308" s="22" t="n">
        <v>32</v>
      </c>
      <c r="M308" s="22" t="n">
        <f aca="false">ROUNDUP(H308,0)</f>
        <v>44</v>
      </c>
      <c r="N308" s="24" t="n">
        <f aca="false">MAX(L308,M308)</f>
        <v>44</v>
      </c>
      <c r="O308" s="25" t="n">
        <v>7.55</v>
      </c>
      <c r="P308" s="25" t="n">
        <f aca="false">N308*O308</f>
        <v>332.2</v>
      </c>
      <c r="Q308" s="23"/>
      <c r="R308" s="23"/>
      <c r="S308" s="24"/>
      <c r="T308" s="25"/>
      <c r="U308" s="25" t="n">
        <v>0</v>
      </c>
      <c r="V308" s="25" t="n">
        <f aca="false">P308-U308</f>
        <v>332.2</v>
      </c>
      <c r="W308" s="25" t="n">
        <f aca="false">V308*12</f>
        <v>3986.4</v>
      </c>
      <c r="X308" s="23" t="str">
        <f aca="false">IF(Q308="","MISSING FROM EXPORT",IF(ABS(V308)&lt;0.005,"CLEAR",IF(V308&gt;0,"UNDERBILLING","OVERBILLING")))</f>
        <v>MISSING FROM EXPORT</v>
      </c>
      <c r="Y308" s="25" t="n">
        <f aca="false">IF(F308="COMMERCIAL",ROUND(P308*0.35,2),0)</f>
        <v>0</v>
      </c>
      <c r="Z308" s="23" t="str">
        <f aca="false">IF(F308="COMMERCIAL","VERIFY SIGNED AGREEMENT","NO EXCEPTION")</f>
        <v>NO EXCEPTION</v>
      </c>
      <c r="AA308" s="23" t="str">
        <f aca="false">IF(AND(C308="covered",N308&gt;40),"COVERED &gt;40 FT","")</f>
        <v/>
      </c>
      <c r="AB308" s="23" t="s">
        <v>4705</v>
      </c>
      <c r="AC308" s="23" t="s">
        <v>4710</v>
      </c>
      <c r="AD308" s="23" t="s">
        <v>2807</v>
      </c>
    </row>
    <row r="309" customFormat="false" ht="17.9" hidden="false" customHeight="false" outlineLevel="0" collapsed="false">
      <c r="A309" s="20" t="s">
        <v>4711</v>
      </c>
      <c r="B309" s="20" t="s">
        <v>119</v>
      </c>
      <c r="C309" s="20" t="s">
        <v>2798</v>
      </c>
      <c r="D309" s="20" t="s">
        <v>4712</v>
      </c>
      <c r="E309" s="20" t="s">
        <v>4713</v>
      </c>
      <c r="F309" s="20" t="s">
        <v>2934</v>
      </c>
      <c r="G309" s="20" t="s">
        <v>3401</v>
      </c>
      <c r="H309" s="22" t="n">
        <v>25.2</v>
      </c>
      <c r="I309" s="22" t="n">
        <v>25.2</v>
      </c>
      <c r="J309" s="22" t="n">
        <f aca="false">H309-I309</f>
        <v>0</v>
      </c>
      <c r="K309" s="20" t="str">
        <f aca="false">IF(ABS(J309)&lt;0.001,"MATCH - PAPER CHECK-IN NOT SUPPLIED","DATA MISMATCH")</f>
        <v>MATCH - PAPER CHECK-IN NOT SUPPLIED</v>
      </c>
      <c r="L309" s="22" t="n">
        <v>50</v>
      </c>
      <c r="M309" s="22" t="n">
        <f aca="false">ROUNDUP(H309,0)</f>
        <v>26</v>
      </c>
      <c r="N309" s="24" t="n">
        <f aca="false">MAX(L309,M309)</f>
        <v>50</v>
      </c>
      <c r="O309" s="25" t="n">
        <v>7.55</v>
      </c>
      <c r="P309" s="25" t="n">
        <f aca="false">N309*O309</f>
        <v>377.5</v>
      </c>
      <c r="Q309" s="23"/>
      <c r="R309" s="23"/>
      <c r="S309" s="24"/>
      <c r="T309" s="25"/>
      <c r="U309" s="25" t="n">
        <v>0</v>
      </c>
      <c r="V309" s="25" t="n">
        <f aca="false">P309-U309</f>
        <v>377.5</v>
      </c>
      <c r="W309" s="25" t="n">
        <f aca="false">V309*12</f>
        <v>4530</v>
      </c>
      <c r="X309" s="23" t="str">
        <f aca="false">IF(Q309="","MISSING FROM EXPORT",IF(ABS(V309)&lt;0.005,"CLEAR",IF(V309&gt;0,"UNDERBILLING","OVERBILLING")))</f>
        <v>MISSING FROM EXPORT</v>
      </c>
      <c r="Y309" s="25" t="n">
        <f aca="false">IF(F309="COMMERCIAL",ROUND(P309*0.35,2),0)</f>
        <v>132.13</v>
      </c>
      <c r="Z309" s="23" t="str">
        <f aca="false">IF(F309="COMMERCIAL","VERIFY SIGNED AGREEMENT","NO EXCEPTION")</f>
        <v>VERIFY SIGNED AGREEMENT</v>
      </c>
      <c r="AA309" s="23" t="str">
        <f aca="false">IF(AND(C309="covered",N309&gt;40),"COVERED &gt;40 FT","")</f>
        <v/>
      </c>
      <c r="AB309" s="23" t="s">
        <v>4705</v>
      </c>
      <c r="AC309" s="23" t="s">
        <v>4714</v>
      </c>
      <c r="AD309" s="23" t="s">
        <v>2807</v>
      </c>
    </row>
    <row r="310" customFormat="false" ht="17.9" hidden="false" customHeight="false" outlineLevel="0" collapsed="false">
      <c r="A310" s="20" t="s">
        <v>4715</v>
      </c>
      <c r="B310" s="20" t="s">
        <v>119</v>
      </c>
      <c r="C310" s="20" t="s">
        <v>2798</v>
      </c>
      <c r="D310" s="20" t="s">
        <v>190</v>
      </c>
      <c r="E310" s="20" t="s">
        <v>191</v>
      </c>
      <c r="F310" s="20" t="s">
        <v>2833</v>
      </c>
      <c r="G310" s="20" t="s">
        <v>3408</v>
      </c>
      <c r="H310" s="22" t="n">
        <v>54.3</v>
      </c>
      <c r="I310" s="22" t="n">
        <v>54.3</v>
      </c>
      <c r="J310" s="22" t="n">
        <f aca="false">H310-I310</f>
        <v>0</v>
      </c>
      <c r="K310" s="20" t="str">
        <f aca="false">IF(ABS(J310)&lt;0.001,"MATCH - PAPER CHECK-IN NOT SUPPLIED","DATA MISMATCH")</f>
        <v>MATCH - PAPER CHECK-IN NOT SUPPLIED</v>
      </c>
      <c r="L310" s="22" t="n">
        <v>60</v>
      </c>
      <c r="M310" s="22" t="n">
        <f aca="false">ROUNDUP(H310,0)</f>
        <v>55</v>
      </c>
      <c r="N310" s="24" t="n">
        <f aca="false">MAX(L310,M310)</f>
        <v>60</v>
      </c>
      <c r="O310" s="25" t="n">
        <v>7.55</v>
      </c>
      <c r="P310" s="25" t="n">
        <f aca="false">N310*O310</f>
        <v>453</v>
      </c>
      <c r="Q310" s="23"/>
      <c r="R310" s="23"/>
      <c r="S310" s="24"/>
      <c r="T310" s="25"/>
      <c r="U310" s="25" t="n">
        <v>0</v>
      </c>
      <c r="V310" s="25" t="n">
        <f aca="false">P310-U310</f>
        <v>453</v>
      </c>
      <c r="W310" s="25" t="n">
        <f aca="false">V310*12</f>
        <v>5436</v>
      </c>
      <c r="X310" s="23" t="str">
        <f aca="false">IF(Q310="","MISSING FROM EXPORT",IF(ABS(V310)&lt;0.005,"CLEAR",IF(V310&gt;0,"UNDERBILLING","OVERBILLING")))</f>
        <v>MISSING FROM EXPORT</v>
      </c>
      <c r="Y310" s="25" t="n">
        <f aca="false">IF(F310="COMMERCIAL",ROUND(P310*0.35,2),0)</f>
        <v>0</v>
      </c>
      <c r="Z310" s="23" t="str">
        <f aca="false">IF(F310="COMMERCIAL","VERIFY SIGNED AGREEMENT","NO EXCEPTION")</f>
        <v>NO EXCEPTION</v>
      </c>
      <c r="AA310" s="23" t="str">
        <f aca="false">IF(AND(C310="covered",N310&gt;40),"COVERED &gt;40 FT","")</f>
        <v/>
      </c>
      <c r="AB310" s="23" t="s">
        <v>4705</v>
      </c>
      <c r="AC310" s="23" t="s">
        <v>4716</v>
      </c>
      <c r="AD310" s="23" t="s">
        <v>2807</v>
      </c>
    </row>
    <row r="311" customFormat="false" ht="17.9" hidden="false" customHeight="false" outlineLevel="0" collapsed="false">
      <c r="A311" s="20" t="s">
        <v>4717</v>
      </c>
      <c r="B311" s="20" t="s">
        <v>119</v>
      </c>
      <c r="C311" s="20" t="s">
        <v>2798</v>
      </c>
      <c r="D311" s="20" t="s">
        <v>941</v>
      </c>
      <c r="E311" s="20" t="s">
        <v>4718</v>
      </c>
      <c r="F311" s="20" t="s">
        <v>2869</v>
      </c>
      <c r="G311" s="20" t="s">
        <v>3415</v>
      </c>
      <c r="H311" s="22" t="n">
        <v>25.2</v>
      </c>
      <c r="I311" s="22" t="n">
        <v>25.2</v>
      </c>
      <c r="J311" s="22" t="n">
        <f aca="false">H311-I311</f>
        <v>0</v>
      </c>
      <c r="K311" s="20" t="str">
        <f aca="false">IF(ABS(J311)&lt;0.001,"MATCH - PAPER CHECK-IN NOT SUPPLIED","DATA MISMATCH")</f>
        <v>MATCH - PAPER CHECK-IN NOT SUPPLIED</v>
      </c>
      <c r="L311" s="22" t="n">
        <v>45</v>
      </c>
      <c r="M311" s="22" t="n">
        <f aca="false">ROUNDUP(H311,0)</f>
        <v>26</v>
      </c>
      <c r="N311" s="24" t="n">
        <f aca="false">MAX(L311,M311)</f>
        <v>45</v>
      </c>
      <c r="O311" s="25" t="n">
        <v>7.55</v>
      </c>
      <c r="P311" s="25" t="n">
        <f aca="false">N311*O311</f>
        <v>339.75</v>
      </c>
      <c r="Q311" s="23"/>
      <c r="R311" s="23"/>
      <c r="S311" s="24"/>
      <c r="T311" s="25"/>
      <c r="U311" s="25" t="n">
        <v>0</v>
      </c>
      <c r="V311" s="25" t="n">
        <f aca="false">P311-U311</f>
        <v>339.75</v>
      </c>
      <c r="W311" s="25" t="n">
        <f aca="false">V311*12</f>
        <v>4077</v>
      </c>
      <c r="X311" s="23" t="str">
        <f aca="false">IF(Q311="","MISSING FROM EXPORT",IF(ABS(V311)&lt;0.005,"CLEAR",IF(V311&gt;0,"UNDERBILLING","OVERBILLING")))</f>
        <v>MISSING FROM EXPORT</v>
      </c>
      <c r="Y311" s="25" t="n">
        <f aca="false">IF(F311="COMMERCIAL",ROUND(P311*0.35,2),0)</f>
        <v>0</v>
      </c>
      <c r="Z311" s="23" t="str">
        <f aca="false">IF(F311="COMMERCIAL","VERIFY SIGNED AGREEMENT","NO EXCEPTION")</f>
        <v>NO EXCEPTION</v>
      </c>
      <c r="AA311" s="23" t="str">
        <f aca="false">IF(AND(C311="covered",N311&gt;40),"COVERED &gt;40 FT","")</f>
        <v/>
      </c>
      <c r="AB311" s="23" t="s">
        <v>4705</v>
      </c>
      <c r="AC311" s="23" t="s">
        <v>4719</v>
      </c>
      <c r="AD311" s="23" t="s">
        <v>2807</v>
      </c>
    </row>
    <row r="312" customFormat="false" ht="17.9" hidden="false" customHeight="false" outlineLevel="0" collapsed="false">
      <c r="A312" s="20" t="s">
        <v>4720</v>
      </c>
      <c r="B312" s="20" t="s">
        <v>119</v>
      </c>
      <c r="C312" s="20" t="s">
        <v>2798</v>
      </c>
      <c r="D312" s="20" t="s">
        <v>4721</v>
      </c>
      <c r="E312" s="20" t="s">
        <v>4722</v>
      </c>
      <c r="F312" s="20" t="s">
        <v>2810</v>
      </c>
      <c r="G312" s="20" t="s">
        <v>3422</v>
      </c>
      <c r="H312" s="22" t="n">
        <v>38.3</v>
      </c>
      <c r="I312" s="22" t="n">
        <v>38.3</v>
      </c>
      <c r="J312" s="22" t="n">
        <f aca="false">H312-I312</f>
        <v>0</v>
      </c>
      <c r="K312" s="20" t="str">
        <f aca="false">IF(ABS(J312)&lt;0.001,"MATCH - PAPER CHECK-IN NOT SUPPLIED","DATA MISMATCH")</f>
        <v>MATCH - PAPER CHECK-IN NOT SUPPLIED</v>
      </c>
      <c r="L312" s="22" t="n">
        <v>24</v>
      </c>
      <c r="M312" s="22" t="n">
        <f aca="false">ROUNDUP(H312,0)</f>
        <v>39</v>
      </c>
      <c r="N312" s="24" t="n">
        <f aca="false">MAX(L312,M312)</f>
        <v>39</v>
      </c>
      <c r="O312" s="25" t="n">
        <v>7.55</v>
      </c>
      <c r="P312" s="25" t="n">
        <f aca="false">N312*O312</f>
        <v>294.45</v>
      </c>
      <c r="Q312" s="23"/>
      <c r="R312" s="23"/>
      <c r="S312" s="24"/>
      <c r="T312" s="25"/>
      <c r="U312" s="25" t="n">
        <v>0</v>
      </c>
      <c r="V312" s="25" t="n">
        <f aca="false">P312-U312</f>
        <v>294.45</v>
      </c>
      <c r="W312" s="25" t="n">
        <f aca="false">V312*12</f>
        <v>3533.4</v>
      </c>
      <c r="X312" s="23" t="str">
        <f aca="false">IF(Q312="","MISSING FROM EXPORT",IF(ABS(V312)&lt;0.005,"CLEAR",IF(V312&gt;0,"UNDERBILLING","OVERBILLING")))</f>
        <v>MISSING FROM EXPORT</v>
      </c>
      <c r="Y312" s="25" t="n">
        <f aca="false">IF(F312="COMMERCIAL",ROUND(P312*0.35,2),0)</f>
        <v>0</v>
      </c>
      <c r="Z312" s="23" t="str">
        <f aca="false">IF(F312="COMMERCIAL","VERIFY SIGNED AGREEMENT","NO EXCEPTION")</f>
        <v>NO EXCEPTION</v>
      </c>
      <c r="AA312" s="23" t="str">
        <f aca="false">IF(AND(C312="covered",N312&gt;40),"COVERED &gt;40 FT","")</f>
        <v/>
      </c>
      <c r="AB312" s="23" t="s">
        <v>4705</v>
      </c>
      <c r="AC312" s="23" t="s">
        <v>4723</v>
      </c>
      <c r="AD312" s="23" t="s">
        <v>2807</v>
      </c>
    </row>
    <row r="313" customFormat="false" ht="17.9" hidden="false" customHeight="false" outlineLevel="0" collapsed="false">
      <c r="A313" s="20" t="s">
        <v>4724</v>
      </c>
      <c r="B313" s="20" t="s">
        <v>119</v>
      </c>
      <c r="C313" s="20" t="s">
        <v>2798</v>
      </c>
      <c r="D313" s="20" t="s">
        <v>4725</v>
      </c>
      <c r="E313" s="20" t="s">
        <v>4726</v>
      </c>
      <c r="F313" s="20" t="s">
        <v>2898</v>
      </c>
      <c r="G313" s="20" t="s">
        <v>3429</v>
      </c>
      <c r="H313" s="22" t="n">
        <v>25.9</v>
      </c>
      <c r="I313" s="22" t="n">
        <v>25.9</v>
      </c>
      <c r="J313" s="22" t="n">
        <f aca="false">H313-I313</f>
        <v>0</v>
      </c>
      <c r="K313" s="20" t="str">
        <f aca="false">IF(ABS(J313)&lt;0.001,"MATCH - PAPER CHECK-IN NOT SUPPLIED","DATA MISMATCH")</f>
        <v>MATCH - PAPER CHECK-IN NOT SUPPLIED</v>
      </c>
      <c r="L313" s="22" t="n">
        <v>70</v>
      </c>
      <c r="M313" s="22" t="n">
        <f aca="false">ROUNDUP(H313,0)</f>
        <v>26</v>
      </c>
      <c r="N313" s="24" t="n">
        <f aca="false">MAX(L313,M313)</f>
        <v>70</v>
      </c>
      <c r="O313" s="25" t="n">
        <v>7.55</v>
      </c>
      <c r="P313" s="25" t="n">
        <f aca="false">N313*O313</f>
        <v>528.5</v>
      </c>
      <c r="Q313" s="23"/>
      <c r="R313" s="23"/>
      <c r="S313" s="24"/>
      <c r="T313" s="25"/>
      <c r="U313" s="25" t="n">
        <v>0</v>
      </c>
      <c r="V313" s="25" t="n">
        <f aca="false">P313-U313</f>
        <v>528.5</v>
      </c>
      <c r="W313" s="25" t="n">
        <f aca="false">V313*12</f>
        <v>6342</v>
      </c>
      <c r="X313" s="23" t="str">
        <f aca="false">IF(Q313="","MISSING FROM EXPORT",IF(ABS(V313)&lt;0.005,"CLEAR",IF(V313&gt;0,"UNDERBILLING","OVERBILLING")))</f>
        <v>MISSING FROM EXPORT</v>
      </c>
      <c r="Y313" s="25" t="n">
        <f aca="false">IF(F313="COMMERCIAL",ROUND(P313*0.35,2),0)</f>
        <v>0</v>
      </c>
      <c r="Z313" s="23" t="str">
        <f aca="false">IF(F313="COMMERCIAL","VERIFY SIGNED AGREEMENT","NO EXCEPTION")</f>
        <v>NO EXCEPTION</v>
      </c>
      <c r="AA313" s="23" t="str">
        <f aca="false">IF(AND(C313="covered",N313&gt;40),"COVERED &gt;40 FT","")</f>
        <v/>
      </c>
      <c r="AB313" s="23" t="s">
        <v>4705</v>
      </c>
      <c r="AC313" s="23" t="s">
        <v>4727</v>
      </c>
      <c r="AD313" s="23" t="s">
        <v>2807</v>
      </c>
    </row>
    <row r="314" customFormat="false" ht="17.9" hidden="false" customHeight="false" outlineLevel="0" collapsed="false">
      <c r="A314" s="20" t="s">
        <v>1658</v>
      </c>
      <c r="B314" s="20" t="s">
        <v>119</v>
      </c>
      <c r="C314" s="20" t="s">
        <v>2798</v>
      </c>
      <c r="D314" s="20" t="s">
        <v>4728</v>
      </c>
      <c r="E314" s="20" t="s">
        <v>4729</v>
      </c>
      <c r="F314" s="20" t="s">
        <v>2818</v>
      </c>
      <c r="G314" s="20" t="s">
        <v>4730</v>
      </c>
      <c r="H314" s="22" t="n">
        <v>35.6</v>
      </c>
      <c r="I314" s="22" t="n">
        <v>35.6</v>
      </c>
      <c r="J314" s="22" t="n">
        <f aca="false">H314-I314</f>
        <v>0</v>
      </c>
      <c r="K314" s="20" t="str">
        <f aca="false">IF(ABS(J314)&lt;0.001,"MATCH - PAPER CHECK-IN NOT SUPPLIED","DATA MISMATCH")</f>
        <v>MATCH - PAPER CHECK-IN NOT SUPPLIED</v>
      </c>
      <c r="L314" s="22" t="n">
        <v>45</v>
      </c>
      <c r="M314" s="22" t="n">
        <f aca="false">ROUNDUP(H314,0)</f>
        <v>36</v>
      </c>
      <c r="N314" s="24" t="n">
        <f aca="false">MAX(L314,M314)</f>
        <v>45</v>
      </c>
      <c r="O314" s="25" t="n">
        <v>7.55</v>
      </c>
      <c r="P314" s="25" t="n">
        <f aca="false">N314*O314</f>
        <v>339.75</v>
      </c>
      <c r="Q314" s="23"/>
      <c r="R314" s="23"/>
      <c r="S314" s="24"/>
      <c r="T314" s="25"/>
      <c r="U314" s="25" t="n">
        <v>0</v>
      </c>
      <c r="V314" s="25" t="n">
        <f aca="false">P314-U314</f>
        <v>339.75</v>
      </c>
      <c r="W314" s="25" t="n">
        <f aca="false">V314*12</f>
        <v>4077</v>
      </c>
      <c r="X314" s="23" t="str">
        <f aca="false">IF(Q314="","MISSING FROM EXPORT",IF(ABS(V314)&lt;0.005,"CLEAR",IF(V314&gt;0,"UNDERBILLING","OVERBILLING")))</f>
        <v>MISSING FROM EXPORT</v>
      </c>
      <c r="Y314" s="25" t="n">
        <f aca="false">IF(F314="COMMERCIAL",ROUND(P314*0.35,2),0)</f>
        <v>0</v>
      </c>
      <c r="Z314" s="23" t="str">
        <f aca="false">IF(F314="COMMERCIAL","VERIFY SIGNED AGREEMENT","NO EXCEPTION")</f>
        <v>NO EXCEPTION</v>
      </c>
      <c r="AA314" s="23" t="str">
        <f aca="false">IF(AND(C314="covered",N314&gt;40),"COVERED &gt;40 FT","")</f>
        <v/>
      </c>
      <c r="AB314" s="23" t="s">
        <v>4705</v>
      </c>
      <c r="AC314" s="23" t="s">
        <v>4731</v>
      </c>
      <c r="AD314" s="23" t="s">
        <v>2807</v>
      </c>
    </row>
    <row r="315" customFormat="false" ht="17.9" hidden="false" customHeight="false" outlineLevel="0" collapsed="false">
      <c r="A315" s="20" t="s">
        <v>4732</v>
      </c>
      <c r="B315" s="20" t="s">
        <v>119</v>
      </c>
      <c r="C315" s="20" t="s">
        <v>2798</v>
      </c>
      <c r="D315" s="20" t="s">
        <v>4733</v>
      </c>
      <c r="E315" s="20" t="s">
        <v>4734</v>
      </c>
      <c r="F315" s="20" t="s">
        <v>2833</v>
      </c>
      <c r="G315" s="20" t="s">
        <v>3441</v>
      </c>
      <c r="H315" s="22" t="n">
        <v>28.7</v>
      </c>
      <c r="I315" s="22" t="n">
        <v>28.7</v>
      </c>
      <c r="J315" s="22" t="n">
        <f aca="false">H315-I315</f>
        <v>0</v>
      </c>
      <c r="K315" s="20" t="str">
        <f aca="false">IF(ABS(J315)&lt;0.001,"MATCH - PAPER CHECK-IN NOT SUPPLIED","DATA MISMATCH")</f>
        <v>MATCH - PAPER CHECK-IN NOT SUPPLIED</v>
      </c>
      <c r="L315" s="22" t="n">
        <v>70</v>
      </c>
      <c r="M315" s="22" t="n">
        <f aca="false">ROUNDUP(H315,0)</f>
        <v>29</v>
      </c>
      <c r="N315" s="24" t="n">
        <f aca="false">MAX(L315,M315)</f>
        <v>70</v>
      </c>
      <c r="O315" s="25" t="n">
        <v>7.55</v>
      </c>
      <c r="P315" s="25" t="n">
        <f aca="false">N315*O315</f>
        <v>528.5</v>
      </c>
      <c r="Q315" s="23"/>
      <c r="R315" s="23"/>
      <c r="S315" s="24"/>
      <c r="T315" s="25"/>
      <c r="U315" s="25" t="n">
        <v>0</v>
      </c>
      <c r="V315" s="25" t="n">
        <f aca="false">P315-U315</f>
        <v>528.5</v>
      </c>
      <c r="W315" s="25" t="n">
        <f aca="false">V315*12</f>
        <v>6342</v>
      </c>
      <c r="X315" s="23" t="str">
        <f aca="false">IF(Q315="","MISSING FROM EXPORT",IF(ABS(V315)&lt;0.005,"CLEAR",IF(V315&gt;0,"UNDERBILLING","OVERBILLING")))</f>
        <v>MISSING FROM EXPORT</v>
      </c>
      <c r="Y315" s="25" t="n">
        <f aca="false">IF(F315="COMMERCIAL",ROUND(P315*0.35,2),0)</f>
        <v>0</v>
      </c>
      <c r="Z315" s="23" t="str">
        <f aca="false">IF(F315="COMMERCIAL","VERIFY SIGNED AGREEMENT","NO EXCEPTION")</f>
        <v>NO EXCEPTION</v>
      </c>
      <c r="AA315" s="23" t="str">
        <f aca="false">IF(AND(C315="covered",N315&gt;40),"COVERED &gt;40 FT","")</f>
        <v/>
      </c>
      <c r="AB315" s="23" t="s">
        <v>4705</v>
      </c>
      <c r="AC315" s="23" t="s">
        <v>4735</v>
      </c>
      <c r="AD315" s="23" t="s">
        <v>2807</v>
      </c>
    </row>
    <row r="316" customFormat="false" ht="17.9" hidden="false" customHeight="false" outlineLevel="0" collapsed="false">
      <c r="A316" s="20" t="s">
        <v>4736</v>
      </c>
      <c r="B316" s="20" t="s">
        <v>119</v>
      </c>
      <c r="C316" s="20" t="s">
        <v>2798</v>
      </c>
      <c r="D316" s="20" t="s">
        <v>4737</v>
      </c>
      <c r="E316" s="20" t="s">
        <v>4738</v>
      </c>
      <c r="F316" s="20" t="s">
        <v>2833</v>
      </c>
      <c r="G316" s="20" t="s">
        <v>3448</v>
      </c>
      <c r="H316" s="22" t="n">
        <v>37</v>
      </c>
      <c r="I316" s="22" t="n">
        <v>37</v>
      </c>
      <c r="J316" s="22" t="n">
        <f aca="false">H316-I316</f>
        <v>0</v>
      </c>
      <c r="K316" s="20" t="str">
        <f aca="false">IF(ABS(J316)&lt;0.001,"MATCH - PAPER CHECK-IN NOT SUPPLIED","DATA MISMATCH")</f>
        <v>MATCH - PAPER CHECK-IN NOT SUPPLIED</v>
      </c>
      <c r="L316" s="22" t="n">
        <v>32</v>
      </c>
      <c r="M316" s="22" t="n">
        <f aca="false">ROUNDUP(H316,0)</f>
        <v>37</v>
      </c>
      <c r="N316" s="24" t="n">
        <f aca="false">MAX(L316,M316)</f>
        <v>37</v>
      </c>
      <c r="O316" s="25" t="n">
        <v>7.55</v>
      </c>
      <c r="P316" s="25" t="n">
        <f aca="false">N316*O316</f>
        <v>279.35</v>
      </c>
      <c r="Q316" s="23"/>
      <c r="R316" s="23"/>
      <c r="S316" s="24"/>
      <c r="T316" s="25"/>
      <c r="U316" s="25" t="n">
        <v>0</v>
      </c>
      <c r="V316" s="25" t="n">
        <f aca="false">P316-U316</f>
        <v>279.35</v>
      </c>
      <c r="W316" s="25" t="n">
        <f aca="false">V316*12</f>
        <v>3352.2</v>
      </c>
      <c r="X316" s="23" t="str">
        <f aca="false">IF(Q316="","MISSING FROM EXPORT",IF(ABS(V316)&lt;0.005,"CLEAR",IF(V316&gt;0,"UNDERBILLING","OVERBILLING")))</f>
        <v>MISSING FROM EXPORT</v>
      </c>
      <c r="Y316" s="25" t="n">
        <f aca="false">IF(F316="COMMERCIAL",ROUND(P316*0.35,2),0)</f>
        <v>0</v>
      </c>
      <c r="Z316" s="23" t="str">
        <f aca="false">IF(F316="COMMERCIAL","VERIFY SIGNED AGREEMENT","NO EXCEPTION")</f>
        <v>NO EXCEPTION</v>
      </c>
      <c r="AA316" s="23" t="str">
        <f aca="false">IF(AND(C316="covered",N316&gt;40),"COVERED &gt;40 FT","")</f>
        <v/>
      </c>
      <c r="AB316" s="23" t="s">
        <v>4705</v>
      </c>
      <c r="AC316" s="23" t="s">
        <v>4739</v>
      </c>
      <c r="AD316" s="23" t="s">
        <v>2807</v>
      </c>
    </row>
    <row r="317" customFormat="false" ht="17.9" hidden="false" customHeight="false" outlineLevel="0" collapsed="false">
      <c r="A317" s="20" t="s">
        <v>1722</v>
      </c>
      <c r="B317" s="20" t="s">
        <v>119</v>
      </c>
      <c r="C317" s="20" t="s">
        <v>2798</v>
      </c>
      <c r="D317" s="20" t="s">
        <v>2635</v>
      </c>
      <c r="E317" s="20" t="s">
        <v>2636</v>
      </c>
      <c r="F317" s="20" t="s">
        <v>2857</v>
      </c>
      <c r="G317" s="20" t="s">
        <v>3455</v>
      </c>
      <c r="H317" s="22" t="n">
        <v>51.6</v>
      </c>
      <c r="I317" s="22" t="n">
        <v>51.6</v>
      </c>
      <c r="J317" s="22" t="n">
        <f aca="false">H317-I317</f>
        <v>0</v>
      </c>
      <c r="K317" s="20" t="str">
        <f aca="false">IF(ABS(J317)&lt;0.001,"MATCH - PAPER CHECK-IN NOT SUPPLIED","DATA MISMATCH")</f>
        <v>MATCH - PAPER CHECK-IN NOT SUPPLIED</v>
      </c>
      <c r="L317" s="22" t="n">
        <v>32</v>
      </c>
      <c r="M317" s="22" t="n">
        <f aca="false">ROUNDUP(H317,0)</f>
        <v>52</v>
      </c>
      <c r="N317" s="24" t="n">
        <f aca="false">MAX(L317,M317)</f>
        <v>52</v>
      </c>
      <c r="O317" s="25" t="n">
        <v>7.55</v>
      </c>
      <c r="P317" s="25" t="n">
        <f aca="false">N317*O317</f>
        <v>392.6</v>
      </c>
      <c r="Q317" s="23"/>
      <c r="R317" s="23"/>
      <c r="S317" s="24"/>
      <c r="T317" s="25"/>
      <c r="U317" s="25" t="n">
        <v>0</v>
      </c>
      <c r="V317" s="25" t="n">
        <f aca="false">P317-U317</f>
        <v>392.6</v>
      </c>
      <c r="W317" s="25" t="n">
        <f aca="false">V317*12</f>
        <v>4711.2</v>
      </c>
      <c r="X317" s="23" t="str">
        <f aca="false">IF(Q317="","MISSING FROM EXPORT",IF(ABS(V317)&lt;0.005,"CLEAR",IF(V317&gt;0,"UNDERBILLING","OVERBILLING")))</f>
        <v>MISSING FROM EXPORT</v>
      </c>
      <c r="Y317" s="25" t="n">
        <f aca="false">IF(F317="COMMERCIAL",ROUND(P317*0.35,2),0)</f>
        <v>0</v>
      </c>
      <c r="Z317" s="23" t="str">
        <f aca="false">IF(F317="COMMERCIAL","VERIFY SIGNED AGREEMENT","NO EXCEPTION")</f>
        <v>NO EXCEPTION</v>
      </c>
      <c r="AA317" s="23" t="str">
        <f aca="false">IF(AND(C317="covered",N317&gt;40),"COVERED &gt;40 FT","")</f>
        <v/>
      </c>
      <c r="AB317" s="23" t="s">
        <v>4705</v>
      </c>
      <c r="AC317" s="23" t="s">
        <v>4740</v>
      </c>
      <c r="AD317" s="23" t="s">
        <v>2807</v>
      </c>
    </row>
    <row r="318" customFormat="false" ht="17.9" hidden="false" customHeight="false" outlineLevel="0" collapsed="false">
      <c r="A318" s="20" t="s">
        <v>4741</v>
      </c>
      <c r="B318" s="20" t="s">
        <v>119</v>
      </c>
      <c r="C318" s="20" t="s">
        <v>2798</v>
      </c>
      <c r="D318" s="20" t="s">
        <v>4742</v>
      </c>
      <c r="E318" s="20" t="s">
        <v>4743</v>
      </c>
      <c r="F318" s="20" t="s">
        <v>2833</v>
      </c>
      <c r="G318" s="20" t="s">
        <v>3462</v>
      </c>
      <c r="H318" s="22" t="n">
        <v>32.5</v>
      </c>
      <c r="I318" s="22" t="n">
        <v>32.5</v>
      </c>
      <c r="J318" s="22" t="n">
        <f aca="false">H318-I318</f>
        <v>0</v>
      </c>
      <c r="K318" s="20" t="str">
        <f aca="false">IF(ABS(J318)&lt;0.001,"MATCH - PAPER CHECK-IN NOT SUPPLIED","DATA MISMATCH")</f>
        <v>MATCH - PAPER CHECK-IN NOT SUPPLIED</v>
      </c>
      <c r="L318" s="22" t="n">
        <v>40</v>
      </c>
      <c r="M318" s="22" t="n">
        <f aca="false">ROUNDUP(H318,0)</f>
        <v>33</v>
      </c>
      <c r="N318" s="24" t="n">
        <f aca="false">MAX(L318,M318)</f>
        <v>40</v>
      </c>
      <c r="O318" s="25" t="n">
        <v>7.55</v>
      </c>
      <c r="P318" s="25" t="n">
        <f aca="false">N318*O318</f>
        <v>302</v>
      </c>
      <c r="Q318" s="23"/>
      <c r="R318" s="23"/>
      <c r="S318" s="24"/>
      <c r="T318" s="25"/>
      <c r="U318" s="25" t="n">
        <v>0</v>
      </c>
      <c r="V318" s="25" t="n">
        <f aca="false">P318-U318</f>
        <v>302</v>
      </c>
      <c r="W318" s="25" t="n">
        <f aca="false">V318*12</f>
        <v>3624</v>
      </c>
      <c r="X318" s="23" t="str">
        <f aca="false">IF(Q318="","MISSING FROM EXPORT",IF(ABS(V318)&lt;0.005,"CLEAR",IF(V318&gt;0,"UNDERBILLING","OVERBILLING")))</f>
        <v>MISSING FROM EXPORT</v>
      </c>
      <c r="Y318" s="25" t="n">
        <f aca="false">IF(F318="COMMERCIAL",ROUND(P318*0.35,2),0)</f>
        <v>0</v>
      </c>
      <c r="Z318" s="23" t="str">
        <f aca="false">IF(F318="COMMERCIAL","VERIFY SIGNED AGREEMENT","NO EXCEPTION")</f>
        <v>NO EXCEPTION</v>
      </c>
      <c r="AA318" s="23" t="str">
        <f aca="false">IF(AND(C318="covered",N318&gt;40),"COVERED &gt;40 FT","")</f>
        <v/>
      </c>
      <c r="AB318" s="23" t="s">
        <v>4705</v>
      </c>
      <c r="AC318" s="23" t="s">
        <v>4744</v>
      </c>
      <c r="AD318" s="23" t="s">
        <v>2807</v>
      </c>
    </row>
    <row r="319" customFormat="false" ht="17.9" hidden="false" customHeight="false" outlineLevel="0" collapsed="false">
      <c r="A319" s="20" t="s">
        <v>4745</v>
      </c>
      <c r="B319" s="20" t="s">
        <v>119</v>
      </c>
      <c r="C319" s="20" t="s">
        <v>2798</v>
      </c>
      <c r="D319" s="20" t="s">
        <v>4746</v>
      </c>
      <c r="E319" s="20" t="s">
        <v>4747</v>
      </c>
      <c r="F319" s="20" t="s">
        <v>2857</v>
      </c>
      <c r="G319" s="20" t="s">
        <v>3467</v>
      </c>
      <c r="H319" s="22" t="n">
        <v>18.1</v>
      </c>
      <c r="I319" s="22" t="n">
        <v>18.1</v>
      </c>
      <c r="J319" s="22" t="n">
        <f aca="false">H319-I319</f>
        <v>0</v>
      </c>
      <c r="K319" s="20" t="str">
        <f aca="false">IF(ABS(J319)&lt;0.001,"MATCH - PAPER CHECK-IN NOT SUPPLIED","DATA MISMATCH")</f>
        <v>MATCH - PAPER CHECK-IN NOT SUPPLIED</v>
      </c>
      <c r="L319" s="22" t="n">
        <v>32</v>
      </c>
      <c r="M319" s="22" t="n">
        <f aca="false">ROUNDUP(H319,0)</f>
        <v>19</v>
      </c>
      <c r="N319" s="24" t="n">
        <f aca="false">MAX(L319,M319)</f>
        <v>32</v>
      </c>
      <c r="O319" s="25" t="n">
        <v>7.55</v>
      </c>
      <c r="P319" s="25" t="n">
        <f aca="false">N319*O319</f>
        <v>241.6</v>
      </c>
      <c r="Q319" s="23"/>
      <c r="R319" s="23"/>
      <c r="S319" s="24"/>
      <c r="T319" s="25"/>
      <c r="U319" s="25" t="n">
        <v>0</v>
      </c>
      <c r="V319" s="25" t="n">
        <f aca="false">P319-U319</f>
        <v>241.6</v>
      </c>
      <c r="W319" s="25" t="n">
        <f aca="false">V319*12</f>
        <v>2899.2</v>
      </c>
      <c r="X319" s="23" t="str">
        <f aca="false">IF(Q319="","MISSING FROM EXPORT",IF(ABS(V319)&lt;0.005,"CLEAR",IF(V319&gt;0,"UNDERBILLING","OVERBILLING")))</f>
        <v>MISSING FROM EXPORT</v>
      </c>
      <c r="Y319" s="25" t="n">
        <f aca="false">IF(F319="COMMERCIAL",ROUND(P319*0.35,2),0)</f>
        <v>0</v>
      </c>
      <c r="Z319" s="23" t="str">
        <f aca="false">IF(F319="COMMERCIAL","VERIFY SIGNED AGREEMENT","NO EXCEPTION")</f>
        <v>NO EXCEPTION</v>
      </c>
      <c r="AA319" s="23" t="str">
        <f aca="false">IF(AND(C319="covered",N319&gt;40),"COVERED &gt;40 FT","")</f>
        <v/>
      </c>
      <c r="AB319" s="23" t="s">
        <v>4705</v>
      </c>
      <c r="AC319" s="23" t="s">
        <v>4748</v>
      </c>
      <c r="AD319" s="23" t="s">
        <v>2807</v>
      </c>
    </row>
    <row r="320" customFormat="false" ht="17.9" hidden="false" customHeight="false" outlineLevel="0" collapsed="false">
      <c r="A320" s="20" t="s">
        <v>4749</v>
      </c>
      <c r="B320" s="20" t="s">
        <v>119</v>
      </c>
      <c r="C320" s="20" t="s">
        <v>2798</v>
      </c>
      <c r="D320" s="20" t="s">
        <v>4750</v>
      </c>
      <c r="E320" s="20" t="s">
        <v>4751</v>
      </c>
      <c r="F320" s="20" t="s">
        <v>2869</v>
      </c>
      <c r="G320" s="20" t="s">
        <v>3474</v>
      </c>
      <c r="H320" s="22" t="n">
        <v>52.3</v>
      </c>
      <c r="I320" s="22" t="n">
        <v>52.3</v>
      </c>
      <c r="J320" s="22" t="n">
        <f aca="false">H320-I320</f>
        <v>0</v>
      </c>
      <c r="K320" s="20" t="str">
        <f aca="false">IF(ABS(J320)&lt;0.001,"MATCH - PAPER CHECK-IN NOT SUPPLIED","DATA MISMATCH")</f>
        <v>MATCH - PAPER CHECK-IN NOT SUPPLIED</v>
      </c>
      <c r="L320" s="22" t="n">
        <v>70</v>
      </c>
      <c r="M320" s="22" t="n">
        <f aca="false">ROUNDUP(H320,0)</f>
        <v>53</v>
      </c>
      <c r="N320" s="24" t="n">
        <f aca="false">MAX(L320,M320)</f>
        <v>70</v>
      </c>
      <c r="O320" s="25" t="n">
        <v>7.55</v>
      </c>
      <c r="P320" s="25" t="n">
        <f aca="false">N320*O320</f>
        <v>528.5</v>
      </c>
      <c r="Q320" s="23"/>
      <c r="R320" s="23"/>
      <c r="S320" s="24"/>
      <c r="T320" s="25"/>
      <c r="U320" s="25" t="n">
        <v>0</v>
      </c>
      <c r="V320" s="25" t="n">
        <f aca="false">P320-U320</f>
        <v>528.5</v>
      </c>
      <c r="W320" s="25" t="n">
        <f aca="false">V320*12</f>
        <v>6342</v>
      </c>
      <c r="X320" s="23" t="str">
        <f aca="false">IF(Q320="","MISSING FROM EXPORT",IF(ABS(V320)&lt;0.005,"CLEAR",IF(V320&gt;0,"UNDERBILLING","OVERBILLING")))</f>
        <v>MISSING FROM EXPORT</v>
      </c>
      <c r="Y320" s="25" t="n">
        <f aca="false">IF(F320="COMMERCIAL",ROUND(P320*0.35,2),0)</f>
        <v>0</v>
      </c>
      <c r="Z320" s="23" t="str">
        <f aca="false">IF(F320="COMMERCIAL","VERIFY SIGNED AGREEMENT","NO EXCEPTION")</f>
        <v>NO EXCEPTION</v>
      </c>
      <c r="AA320" s="23" t="str">
        <f aca="false">IF(AND(C320="covered",N320&gt;40),"COVERED &gt;40 FT","")</f>
        <v/>
      </c>
      <c r="AB320" s="23" t="s">
        <v>4705</v>
      </c>
      <c r="AC320" s="23" t="s">
        <v>4752</v>
      </c>
      <c r="AD320" s="23" t="s">
        <v>2807</v>
      </c>
    </row>
    <row r="321" customFormat="false" ht="17.9" hidden="false" customHeight="false" outlineLevel="0" collapsed="false">
      <c r="A321" s="20" t="s">
        <v>1118</v>
      </c>
      <c r="B321" s="20" t="s">
        <v>119</v>
      </c>
      <c r="C321" s="20" t="s">
        <v>2798</v>
      </c>
      <c r="D321" s="20" t="s">
        <v>4753</v>
      </c>
      <c r="E321" s="20" t="s">
        <v>4754</v>
      </c>
      <c r="F321" s="20" t="s">
        <v>2833</v>
      </c>
      <c r="G321" s="20" t="s">
        <v>3481</v>
      </c>
      <c r="H321" s="22" t="n">
        <v>46.9</v>
      </c>
      <c r="I321" s="22" t="n">
        <v>46.9</v>
      </c>
      <c r="J321" s="22" t="n">
        <f aca="false">H321-I321</f>
        <v>0</v>
      </c>
      <c r="K321" s="20" t="str">
        <f aca="false">IF(ABS(J321)&lt;0.001,"MATCH - PAPER CHECK-IN NOT SUPPLIED","DATA MISMATCH")</f>
        <v>MATCH - PAPER CHECK-IN NOT SUPPLIED</v>
      </c>
      <c r="L321" s="22" t="n">
        <v>24</v>
      </c>
      <c r="M321" s="22" t="n">
        <f aca="false">ROUNDUP(H321,0)</f>
        <v>47</v>
      </c>
      <c r="N321" s="24" t="n">
        <f aca="false">MAX(L321,M321)</f>
        <v>47</v>
      </c>
      <c r="O321" s="25" t="n">
        <v>7.55</v>
      </c>
      <c r="P321" s="25" t="n">
        <f aca="false">N321*O321</f>
        <v>354.85</v>
      </c>
      <c r="Q321" s="23"/>
      <c r="R321" s="23"/>
      <c r="S321" s="24"/>
      <c r="T321" s="25"/>
      <c r="U321" s="25" t="n">
        <v>0</v>
      </c>
      <c r="V321" s="25" t="n">
        <f aca="false">P321-U321</f>
        <v>354.85</v>
      </c>
      <c r="W321" s="25" t="n">
        <f aca="false">V321*12</f>
        <v>4258.2</v>
      </c>
      <c r="X321" s="23" t="str">
        <f aca="false">IF(Q321="","MISSING FROM EXPORT",IF(ABS(V321)&lt;0.005,"CLEAR",IF(V321&gt;0,"UNDERBILLING","OVERBILLING")))</f>
        <v>MISSING FROM EXPORT</v>
      </c>
      <c r="Y321" s="25" t="n">
        <f aca="false">IF(F321="COMMERCIAL",ROUND(P321*0.35,2),0)</f>
        <v>0</v>
      </c>
      <c r="Z321" s="23" t="str">
        <f aca="false">IF(F321="COMMERCIAL","VERIFY SIGNED AGREEMENT","NO EXCEPTION")</f>
        <v>NO EXCEPTION</v>
      </c>
      <c r="AA321" s="23" t="str">
        <f aca="false">IF(AND(C321="covered",N321&gt;40),"COVERED &gt;40 FT","")</f>
        <v/>
      </c>
      <c r="AB321" s="23" t="s">
        <v>4705</v>
      </c>
      <c r="AC321" s="23" t="s">
        <v>4755</v>
      </c>
      <c r="AD321" s="23" t="s">
        <v>2807</v>
      </c>
    </row>
    <row r="322" customFormat="false" ht="17.9" hidden="false" customHeight="false" outlineLevel="0" collapsed="false">
      <c r="A322" s="20" t="s">
        <v>4756</v>
      </c>
      <c r="B322" s="20" t="s">
        <v>119</v>
      </c>
      <c r="C322" s="20" t="s">
        <v>2798</v>
      </c>
      <c r="D322" s="20" t="s">
        <v>4757</v>
      </c>
      <c r="E322" s="20" t="s">
        <v>4758</v>
      </c>
      <c r="F322" s="20" t="s">
        <v>2833</v>
      </c>
      <c r="G322" s="20" t="s">
        <v>3487</v>
      </c>
      <c r="H322" s="22" t="n">
        <v>54.3</v>
      </c>
      <c r="I322" s="22" t="n">
        <v>54.3</v>
      </c>
      <c r="J322" s="22" t="n">
        <f aca="false">H322-I322</f>
        <v>0</v>
      </c>
      <c r="K322" s="20" t="str">
        <f aca="false">IF(ABS(J322)&lt;0.001,"MATCH - PAPER CHECK-IN NOT SUPPLIED","DATA MISMATCH")</f>
        <v>MATCH - PAPER CHECK-IN NOT SUPPLIED</v>
      </c>
      <c r="L322" s="22" t="n">
        <v>80</v>
      </c>
      <c r="M322" s="22" t="n">
        <f aca="false">ROUNDUP(H322,0)</f>
        <v>55</v>
      </c>
      <c r="N322" s="24" t="n">
        <f aca="false">MAX(L322,M322)</f>
        <v>80</v>
      </c>
      <c r="O322" s="25" t="n">
        <v>7.55</v>
      </c>
      <c r="P322" s="25" t="n">
        <f aca="false">N322*O322</f>
        <v>604</v>
      </c>
      <c r="Q322" s="23"/>
      <c r="R322" s="23"/>
      <c r="S322" s="24"/>
      <c r="T322" s="25"/>
      <c r="U322" s="25" t="n">
        <v>0</v>
      </c>
      <c r="V322" s="25" t="n">
        <f aca="false">P322-U322</f>
        <v>604</v>
      </c>
      <c r="W322" s="25" t="n">
        <f aca="false">V322*12</f>
        <v>7248</v>
      </c>
      <c r="X322" s="23" t="str">
        <f aca="false">IF(Q322="","MISSING FROM EXPORT",IF(ABS(V322)&lt;0.005,"CLEAR",IF(V322&gt;0,"UNDERBILLING","OVERBILLING")))</f>
        <v>MISSING FROM EXPORT</v>
      </c>
      <c r="Y322" s="25" t="n">
        <f aca="false">IF(F322="COMMERCIAL",ROUND(P322*0.35,2),0)</f>
        <v>0</v>
      </c>
      <c r="Z322" s="23" t="str">
        <f aca="false">IF(F322="COMMERCIAL","VERIFY SIGNED AGREEMENT","NO EXCEPTION")</f>
        <v>NO EXCEPTION</v>
      </c>
      <c r="AA322" s="23" t="str">
        <f aca="false">IF(AND(C322="covered",N322&gt;40),"COVERED &gt;40 FT","")</f>
        <v/>
      </c>
      <c r="AB322" s="23" t="s">
        <v>4705</v>
      </c>
      <c r="AC322" s="23" t="s">
        <v>4759</v>
      </c>
      <c r="AD322" s="23" t="s">
        <v>2807</v>
      </c>
    </row>
    <row r="323" customFormat="false" ht="17.9" hidden="false" customHeight="false" outlineLevel="0" collapsed="false">
      <c r="A323" s="20" t="s">
        <v>4760</v>
      </c>
      <c r="B323" s="20" t="s">
        <v>119</v>
      </c>
      <c r="C323" s="20" t="s">
        <v>2798</v>
      </c>
      <c r="D323" s="20" t="s">
        <v>4761</v>
      </c>
      <c r="E323" s="20" t="s">
        <v>4762</v>
      </c>
      <c r="F323" s="20" t="s">
        <v>2934</v>
      </c>
      <c r="G323" s="20" t="s">
        <v>3493</v>
      </c>
      <c r="H323" s="22" t="n">
        <v>33.7</v>
      </c>
      <c r="I323" s="22" t="n">
        <v>33.7</v>
      </c>
      <c r="J323" s="22" t="n">
        <f aca="false">H323-I323</f>
        <v>0</v>
      </c>
      <c r="K323" s="20" t="str">
        <f aca="false">IF(ABS(J323)&lt;0.001,"MATCH - PAPER CHECK-IN NOT SUPPLIED","DATA MISMATCH")</f>
        <v>MATCH - PAPER CHECK-IN NOT SUPPLIED</v>
      </c>
      <c r="L323" s="22" t="n">
        <v>40</v>
      </c>
      <c r="M323" s="22" t="n">
        <f aca="false">ROUNDUP(H323,0)</f>
        <v>34</v>
      </c>
      <c r="N323" s="24" t="n">
        <f aca="false">MAX(L323,M323)</f>
        <v>40</v>
      </c>
      <c r="O323" s="25" t="n">
        <v>7.55</v>
      </c>
      <c r="P323" s="25" t="n">
        <f aca="false">N323*O323</f>
        <v>302</v>
      </c>
      <c r="Q323" s="23"/>
      <c r="R323" s="23"/>
      <c r="S323" s="24"/>
      <c r="T323" s="25"/>
      <c r="U323" s="25" t="n">
        <v>0</v>
      </c>
      <c r="V323" s="25" t="n">
        <f aca="false">P323-U323</f>
        <v>302</v>
      </c>
      <c r="W323" s="25" t="n">
        <f aca="false">V323*12</f>
        <v>3624</v>
      </c>
      <c r="X323" s="23" t="str">
        <f aca="false">IF(Q323="","MISSING FROM EXPORT",IF(ABS(V323)&lt;0.005,"CLEAR",IF(V323&gt;0,"UNDERBILLING","OVERBILLING")))</f>
        <v>MISSING FROM EXPORT</v>
      </c>
      <c r="Y323" s="25" t="n">
        <f aca="false">IF(F323="COMMERCIAL",ROUND(P323*0.35,2),0)</f>
        <v>105.7</v>
      </c>
      <c r="Z323" s="23" t="str">
        <f aca="false">IF(F323="COMMERCIAL","VERIFY SIGNED AGREEMENT","NO EXCEPTION")</f>
        <v>VERIFY SIGNED AGREEMENT</v>
      </c>
      <c r="AA323" s="23" t="str">
        <f aca="false">IF(AND(C323="covered",N323&gt;40),"COVERED &gt;40 FT","")</f>
        <v/>
      </c>
      <c r="AB323" s="23" t="s">
        <v>4705</v>
      </c>
      <c r="AC323" s="23" t="s">
        <v>4763</v>
      </c>
      <c r="AD323" s="23" t="s">
        <v>2807</v>
      </c>
    </row>
    <row r="324" customFormat="false" ht="17.9" hidden="false" customHeight="false" outlineLevel="0" collapsed="false">
      <c r="A324" s="20" t="s">
        <v>4764</v>
      </c>
      <c r="B324" s="20" t="s">
        <v>119</v>
      </c>
      <c r="C324" s="20" t="s">
        <v>2798</v>
      </c>
      <c r="D324" s="20" t="s">
        <v>4765</v>
      </c>
      <c r="E324" s="20" t="s">
        <v>4766</v>
      </c>
      <c r="F324" s="20" t="s">
        <v>2857</v>
      </c>
      <c r="G324" s="20" t="s">
        <v>3500</v>
      </c>
      <c r="H324" s="22" t="n">
        <v>61.4</v>
      </c>
      <c r="I324" s="22" t="n">
        <v>61.4</v>
      </c>
      <c r="J324" s="22" t="n">
        <f aca="false">H324-I324</f>
        <v>0</v>
      </c>
      <c r="K324" s="20" t="str">
        <f aca="false">IF(ABS(J324)&lt;0.001,"MATCH - PAPER CHECK-IN NOT SUPPLIED","DATA MISMATCH")</f>
        <v>MATCH - PAPER CHECK-IN NOT SUPPLIED</v>
      </c>
      <c r="L324" s="22" t="n">
        <v>70</v>
      </c>
      <c r="M324" s="22" t="n">
        <f aca="false">ROUNDUP(H324,0)</f>
        <v>62</v>
      </c>
      <c r="N324" s="24" t="n">
        <f aca="false">MAX(L324,M324)</f>
        <v>70</v>
      </c>
      <c r="O324" s="25" t="n">
        <v>7.55</v>
      </c>
      <c r="P324" s="25" t="n">
        <f aca="false">N324*O324</f>
        <v>528.5</v>
      </c>
      <c r="Q324" s="23"/>
      <c r="R324" s="23"/>
      <c r="S324" s="24"/>
      <c r="T324" s="25"/>
      <c r="U324" s="25" t="n">
        <v>0</v>
      </c>
      <c r="V324" s="25" t="n">
        <f aca="false">P324-U324</f>
        <v>528.5</v>
      </c>
      <c r="W324" s="25" t="n">
        <f aca="false">V324*12</f>
        <v>6342</v>
      </c>
      <c r="X324" s="23" t="str">
        <f aca="false">IF(Q324="","MISSING FROM EXPORT",IF(ABS(V324)&lt;0.005,"CLEAR",IF(V324&gt;0,"UNDERBILLING","OVERBILLING")))</f>
        <v>MISSING FROM EXPORT</v>
      </c>
      <c r="Y324" s="25" t="n">
        <f aca="false">IF(F324="COMMERCIAL",ROUND(P324*0.35,2),0)</f>
        <v>0</v>
      </c>
      <c r="Z324" s="23" t="str">
        <f aca="false">IF(F324="COMMERCIAL","VERIFY SIGNED AGREEMENT","NO EXCEPTION")</f>
        <v>NO EXCEPTION</v>
      </c>
      <c r="AA324" s="23" t="str">
        <f aca="false">IF(AND(C324="covered",N324&gt;40),"COVERED &gt;40 FT","")</f>
        <v/>
      </c>
      <c r="AB324" s="23" t="s">
        <v>4705</v>
      </c>
      <c r="AC324" s="23" t="s">
        <v>4767</v>
      </c>
      <c r="AD324" s="23" t="s">
        <v>2807</v>
      </c>
    </row>
    <row r="325" customFormat="false" ht="17.9" hidden="false" customHeight="false" outlineLevel="0" collapsed="false">
      <c r="A325" s="20" t="s">
        <v>4768</v>
      </c>
      <c r="B325" s="20" t="s">
        <v>119</v>
      </c>
      <c r="C325" s="20" t="s">
        <v>2798</v>
      </c>
      <c r="D325" s="20" t="s">
        <v>4769</v>
      </c>
      <c r="E325" s="20" t="s">
        <v>4770</v>
      </c>
      <c r="F325" s="20" t="s">
        <v>2801</v>
      </c>
      <c r="G325" s="20" t="s">
        <v>3507</v>
      </c>
      <c r="H325" s="22" t="n">
        <v>19.9</v>
      </c>
      <c r="I325" s="22" t="n">
        <v>19.9</v>
      </c>
      <c r="J325" s="22" t="n">
        <f aca="false">H325-I325</f>
        <v>0</v>
      </c>
      <c r="K325" s="20" t="str">
        <f aca="false">IF(ABS(J325)&lt;0.001,"MATCH - PAPER CHECK-IN NOT SUPPLIED","DATA MISMATCH")</f>
        <v>MATCH - PAPER CHECK-IN NOT SUPPLIED</v>
      </c>
      <c r="L325" s="22" t="n">
        <v>80</v>
      </c>
      <c r="M325" s="22" t="n">
        <f aca="false">ROUNDUP(H325,0)</f>
        <v>20</v>
      </c>
      <c r="N325" s="24" t="n">
        <f aca="false">MAX(L325,M325)</f>
        <v>80</v>
      </c>
      <c r="O325" s="25" t="n">
        <v>7.55</v>
      </c>
      <c r="P325" s="25" t="n">
        <f aca="false">N325*O325</f>
        <v>604</v>
      </c>
      <c r="Q325" s="23"/>
      <c r="R325" s="23"/>
      <c r="S325" s="24"/>
      <c r="T325" s="25"/>
      <c r="U325" s="25" t="n">
        <v>0</v>
      </c>
      <c r="V325" s="25" t="n">
        <f aca="false">P325-U325</f>
        <v>604</v>
      </c>
      <c r="W325" s="25" t="n">
        <f aca="false">V325*12</f>
        <v>7248</v>
      </c>
      <c r="X325" s="23" t="str">
        <f aca="false">IF(Q325="","MISSING FROM EXPORT",IF(ABS(V325)&lt;0.005,"CLEAR",IF(V325&gt;0,"UNDERBILLING","OVERBILLING")))</f>
        <v>MISSING FROM EXPORT</v>
      </c>
      <c r="Y325" s="25" t="n">
        <f aca="false">IF(F325="COMMERCIAL",ROUND(P325*0.35,2),0)</f>
        <v>0</v>
      </c>
      <c r="Z325" s="23" t="str">
        <f aca="false">IF(F325="COMMERCIAL","VERIFY SIGNED AGREEMENT","NO EXCEPTION")</f>
        <v>NO EXCEPTION</v>
      </c>
      <c r="AA325" s="23" t="str">
        <f aca="false">IF(AND(C325="covered",N325&gt;40),"COVERED &gt;40 FT","")</f>
        <v/>
      </c>
      <c r="AB325" s="23" t="s">
        <v>4705</v>
      </c>
      <c r="AC325" s="23" t="s">
        <v>4771</v>
      </c>
      <c r="AD325" s="23" t="s">
        <v>2807</v>
      </c>
    </row>
    <row r="326" customFormat="false" ht="17.9" hidden="false" customHeight="false" outlineLevel="0" collapsed="false">
      <c r="A326" s="20" t="s">
        <v>826</v>
      </c>
      <c r="B326" s="20" t="s">
        <v>119</v>
      </c>
      <c r="C326" s="20" t="s">
        <v>2798</v>
      </c>
      <c r="D326" s="20" t="s">
        <v>2006</v>
      </c>
      <c r="E326" s="20" t="s">
        <v>4772</v>
      </c>
      <c r="F326" s="20" t="s">
        <v>2869</v>
      </c>
      <c r="G326" s="20" t="s">
        <v>3511</v>
      </c>
      <c r="H326" s="22" t="n">
        <v>46.7</v>
      </c>
      <c r="I326" s="22" t="n">
        <v>46.7</v>
      </c>
      <c r="J326" s="22" t="n">
        <f aca="false">H326-I326</f>
        <v>0</v>
      </c>
      <c r="K326" s="20" t="str">
        <f aca="false">IF(ABS(J326)&lt;0.001,"MATCH - PAPER CHECK-IN NOT SUPPLIED","DATA MISMATCH")</f>
        <v>MATCH - PAPER CHECK-IN NOT SUPPLIED</v>
      </c>
      <c r="L326" s="22" t="n">
        <v>28</v>
      </c>
      <c r="M326" s="22" t="n">
        <f aca="false">ROUNDUP(H326,0)</f>
        <v>47</v>
      </c>
      <c r="N326" s="24" t="n">
        <f aca="false">MAX(L326,M326)</f>
        <v>47</v>
      </c>
      <c r="O326" s="25" t="n">
        <v>7.55</v>
      </c>
      <c r="P326" s="25" t="n">
        <f aca="false">N326*O326</f>
        <v>354.85</v>
      </c>
      <c r="Q326" s="23"/>
      <c r="R326" s="23"/>
      <c r="S326" s="24"/>
      <c r="T326" s="25"/>
      <c r="U326" s="25" t="n">
        <v>0</v>
      </c>
      <c r="V326" s="25" t="n">
        <f aca="false">P326-U326</f>
        <v>354.85</v>
      </c>
      <c r="W326" s="25" t="n">
        <f aca="false">V326*12</f>
        <v>4258.2</v>
      </c>
      <c r="X326" s="23" t="str">
        <f aca="false">IF(Q326="","MISSING FROM EXPORT",IF(ABS(V326)&lt;0.005,"CLEAR",IF(V326&gt;0,"UNDERBILLING","OVERBILLING")))</f>
        <v>MISSING FROM EXPORT</v>
      </c>
      <c r="Y326" s="25" t="n">
        <f aca="false">IF(F326="COMMERCIAL",ROUND(P326*0.35,2),0)</f>
        <v>0</v>
      </c>
      <c r="Z326" s="23" t="str">
        <f aca="false">IF(F326="COMMERCIAL","VERIFY SIGNED AGREEMENT","NO EXCEPTION")</f>
        <v>NO EXCEPTION</v>
      </c>
      <c r="AA326" s="23" t="str">
        <f aca="false">IF(AND(C326="covered",N326&gt;40),"COVERED &gt;40 FT","")</f>
        <v/>
      </c>
      <c r="AB326" s="23" t="s">
        <v>4705</v>
      </c>
      <c r="AC326" s="23" t="s">
        <v>4773</v>
      </c>
      <c r="AD326" s="23" t="s">
        <v>2807</v>
      </c>
    </row>
    <row r="327" customFormat="false" ht="17.9" hidden="false" customHeight="false" outlineLevel="0" collapsed="false">
      <c r="A327" s="20" t="s">
        <v>4774</v>
      </c>
      <c r="B327" s="20" t="s">
        <v>119</v>
      </c>
      <c r="C327" s="20" t="s">
        <v>2798</v>
      </c>
      <c r="D327" s="20" t="s">
        <v>4775</v>
      </c>
      <c r="E327" s="20" t="s">
        <v>4776</v>
      </c>
      <c r="F327" s="20" t="s">
        <v>2833</v>
      </c>
      <c r="G327" s="20" t="s">
        <v>3517</v>
      </c>
      <c r="H327" s="22" t="n">
        <v>41.9</v>
      </c>
      <c r="I327" s="22" t="n">
        <v>41.9</v>
      </c>
      <c r="J327" s="22" t="n">
        <f aca="false">H327-I327</f>
        <v>0</v>
      </c>
      <c r="K327" s="20" t="str">
        <f aca="false">IF(ABS(J327)&lt;0.001,"MATCH - PAPER CHECK-IN NOT SUPPLIED","DATA MISMATCH")</f>
        <v>MATCH - PAPER CHECK-IN NOT SUPPLIED</v>
      </c>
      <c r="L327" s="22" t="n">
        <v>28</v>
      </c>
      <c r="M327" s="22" t="n">
        <f aca="false">ROUNDUP(H327,0)</f>
        <v>42</v>
      </c>
      <c r="N327" s="24" t="n">
        <f aca="false">MAX(L327,M327)</f>
        <v>42</v>
      </c>
      <c r="O327" s="25" t="n">
        <v>7.55</v>
      </c>
      <c r="P327" s="25" t="n">
        <f aca="false">N327*O327</f>
        <v>317.1</v>
      </c>
      <c r="Q327" s="23"/>
      <c r="R327" s="23"/>
      <c r="S327" s="24"/>
      <c r="T327" s="25"/>
      <c r="U327" s="25" t="n">
        <v>0</v>
      </c>
      <c r="V327" s="25" t="n">
        <f aca="false">P327-U327</f>
        <v>317.1</v>
      </c>
      <c r="W327" s="25" t="n">
        <f aca="false">V327*12</f>
        <v>3805.2</v>
      </c>
      <c r="X327" s="23" t="str">
        <f aca="false">IF(Q327="","MISSING FROM EXPORT",IF(ABS(V327)&lt;0.005,"CLEAR",IF(V327&gt;0,"UNDERBILLING","OVERBILLING")))</f>
        <v>MISSING FROM EXPORT</v>
      </c>
      <c r="Y327" s="25" t="n">
        <f aca="false">IF(F327="COMMERCIAL",ROUND(P327*0.35,2),0)</f>
        <v>0</v>
      </c>
      <c r="Z327" s="23" t="str">
        <f aca="false">IF(F327="COMMERCIAL","VERIFY SIGNED AGREEMENT","NO EXCEPTION")</f>
        <v>NO EXCEPTION</v>
      </c>
      <c r="AA327" s="23" t="str">
        <f aca="false">IF(AND(C327="covered",N327&gt;40),"COVERED &gt;40 FT","")</f>
        <v/>
      </c>
      <c r="AB327" s="23" t="s">
        <v>4705</v>
      </c>
      <c r="AC327" s="23" t="s">
        <v>4777</v>
      </c>
      <c r="AD327" s="23" t="s">
        <v>2807</v>
      </c>
    </row>
    <row r="328" customFormat="false" ht="17.9" hidden="false" customHeight="false" outlineLevel="0" collapsed="false">
      <c r="A328" s="20" t="s">
        <v>1712</v>
      </c>
      <c r="B328" s="20" t="s">
        <v>119</v>
      </c>
      <c r="C328" s="20" t="s">
        <v>2798</v>
      </c>
      <c r="D328" s="20" t="s">
        <v>4778</v>
      </c>
      <c r="E328" s="20" t="s">
        <v>4779</v>
      </c>
      <c r="F328" s="20" t="s">
        <v>2857</v>
      </c>
      <c r="G328" s="20" t="s">
        <v>3530</v>
      </c>
      <c r="H328" s="22" t="n">
        <v>19.1</v>
      </c>
      <c r="I328" s="22" t="n">
        <v>19.1</v>
      </c>
      <c r="J328" s="22" t="n">
        <f aca="false">H328-I328</f>
        <v>0</v>
      </c>
      <c r="K328" s="20" t="str">
        <f aca="false">IF(ABS(J328)&lt;0.001,"MATCH - PAPER CHECK-IN NOT SUPPLIED","DATA MISMATCH")</f>
        <v>MATCH - PAPER CHECK-IN NOT SUPPLIED</v>
      </c>
      <c r="L328" s="22" t="n">
        <v>32</v>
      </c>
      <c r="M328" s="22" t="n">
        <f aca="false">ROUNDUP(H328,0)</f>
        <v>20</v>
      </c>
      <c r="N328" s="24" t="n">
        <f aca="false">MAX(L328,M328)</f>
        <v>32</v>
      </c>
      <c r="O328" s="25" t="n">
        <v>7.55</v>
      </c>
      <c r="P328" s="25" t="n">
        <f aca="false">N328*O328</f>
        <v>241.6</v>
      </c>
      <c r="Q328" s="23"/>
      <c r="R328" s="23"/>
      <c r="S328" s="24"/>
      <c r="T328" s="25"/>
      <c r="U328" s="25" t="n">
        <v>0</v>
      </c>
      <c r="V328" s="25" t="n">
        <f aca="false">P328-U328</f>
        <v>241.6</v>
      </c>
      <c r="W328" s="25" t="n">
        <f aca="false">V328*12</f>
        <v>2899.2</v>
      </c>
      <c r="X328" s="23" t="str">
        <f aca="false">IF(Q328="","MISSING FROM EXPORT",IF(ABS(V328)&lt;0.005,"CLEAR",IF(V328&gt;0,"UNDERBILLING","OVERBILLING")))</f>
        <v>MISSING FROM EXPORT</v>
      </c>
      <c r="Y328" s="25" t="n">
        <f aca="false">IF(F328="COMMERCIAL",ROUND(P328*0.35,2),0)</f>
        <v>0</v>
      </c>
      <c r="Z328" s="23" t="str">
        <f aca="false">IF(F328="COMMERCIAL","VERIFY SIGNED AGREEMENT","NO EXCEPTION")</f>
        <v>NO EXCEPTION</v>
      </c>
      <c r="AA328" s="23" t="str">
        <f aca="false">IF(AND(C328="covered",N328&gt;40),"COVERED &gt;40 FT","")</f>
        <v/>
      </c>
      <c r="AB328" s="23" t="s">
        <v>4705</v>
      </c>
      <c r="AC328" s="23" t="s">
        <v>4780</v>
      </c>
      <c r="AD328" s="23" t="s">
        <v>2807</v>
      </c>
    </row>
    <row r="329" customFormat="false" ht="17.9" hidden="false" customHeight="false" outlineLevel="0" collapsed="false">
      <c r="A329" s="20" t="s">
        <v>4781</v>
      </c>
      <c r="B329" s="20" t="s">
        <v>119</v>
      </c>
      <c r="C329" s="20" t="s">
        <v>2798</v>
      </c>
      <c r="D329" s="20" t="s">
        <v>4782</v>
      </c>
      <c r="E329" s="20" t="s">
        <v>4783</v>
      </c>
      <c r="F329" s="20" t="s">
        <v>2857</v>
      </c>
      <c r="G329" s="20" t="s">
        <v>3544</v>
      </c>
      <c r="H329" s="22" t="n">
        <v>30.9</v>
      </c>
      <c r="I329" s="22" t="n">
        <v>30.9</v>
      </c>
      <c r="J329" s="22" t="n">
        <f aca="false">H329-I329</f>
        <v>0</v>
      </c>
      <c r="K329" s="20" t="str">
        <f aca="false">IF(ABS(J329)&lt;0.001,"MATCH - PAPER CHECK-IN NOT SUPPLIED","DATA MISMATCH")</f>
        <v>MATCH - PAPER CHECK-IN NOT SUPPLIED</v>
      </c>
      <c r="L329" s="22" t="n">
        <v>70</v>
      </c>
      <c r="M329" s="22" t="n">
        <f aca="false">ROUNDUP(H329,0)</f>
        <v>31</v>
      </c>
      <c r="N329" s="24" t="n">
        <f aca="false">MAX(L329,M329)</f>
        <v>70</v>
      </c>
      <c r="O329" s="25" t="n">
        <v>7.55</v>
      </c>
      <c r="P329" s="25" t="n">
        <f aca="false">N329*O329</f>
        <v>528.5</v>
      </c>
      <c r="Q329" s="23"/>
      <c r="R329" s="23"/>
      <c r="S329" s="24"/>
      <c r="T329" s="25"/>
      <c r="U329" s="25" t="n">
        <v>0</v>
      </c>
      <c r="V329" s="25" t="n">
        <f aca="false">P329-U329</f>
        <v>528.5</v>
      </c>
      <c r="W329" s="25" t="n">
        <f aca="false">V329*12</f>
        <v>6342</v>
      </c>
      <c r="X329" s="23" t="str">
        <f aca="false">IF(Q329="","MISSING FROM EXPORT",IF(ABS(V329)&lt;0.005,"CLEAR",IF(V329&gt;0,"UNDERBILLING","OVERBILLING")))</f>
        <v>MISSING FROM EXPORT</v>
      </c>
      <c r="Y329" s="25" t="n">
        <f aca="false">IF(F329="COMMERCIAL",ROUND(P329*0.35,2),0)</f>
        <v>0</v>
      </c>
      <c r="Z329" s="23" t="str">
        <f aca="false">IF(F329="COMMERCIAL","VERIFY SIGNED AGREEMENT","NO EXCEPTION")</f>
        <v>NO EXCEPTION</v>
      </c>
      <c r="AA329" s="23" t="str">
        <f aca="false">IF(AND(C329="covered",N329&gt;40),"COVERED &gt;40 FT","")</f>
        <v/>
      </c>
      <c r="AB329" s="23" t="s">
        <v>4705</v>
      </c>
      <c r="AC329" s="23" t="s">
        <v>4784</v>
      </c>
      <c r="AD329" s="23" t="s">
        <v>2807</v>
      </c>
    </row>
    <row r="330" customFormat="false" ht="17.9" hidden="false" customHeight="false" outlineLevel="0" collapsed="false">
      <c r="A330" s="20" t="s">
        <v>4785</v>
      </c>
      <c r="B330" s="20" t="s">
        <v>119</v>
      </c>
      <c r="C330" s="20" t="s">
        <v>2798</v>
      </c>
      <c r="D330" s="20" t="s">
        <v>4786</v>
      </c>
      <c r="E330" s="20" t="s">
        <v>4787</v>
      </c>
      <c r="F330" s="20" t="s">
        <v>2833</v>
      </c>
      <c r="G330" s="20" t="s">
        <v>3551</v>
      </c>
      <c r="H330" s="22" t="n">
        <v>41.2</v>
      </c>
      <c r="I330" s="22" t="n">
        <v>41.2</v>
      </c>
      <c r="J330" s="22" t="n">
        <f aca="false">H330-I330</f>
        <v>0</v>
      </c>
      <c r="K330" s="20" t="str">
        <f aca="false">IF(ABS(J330)&lt;0.001,"MATCH - PAPER CHECK-IN NOT SUPPLIED","DATA MISMATCH")</f>
        <v>MATCH - PAPER CHECK-IN NOT SUPPLIED</v>
      </c>
      <c r="L330" s="22" t="n">
        <v>70</v>
      </c>
      <c r="M330" s="22" t="n">
        <f aca="false">ROUNDUP(H330,0)</f>
        <v>42</v>
      </c>
      <c r="N330" s="24" t="n">
        <f aca="false">MAX(L330,M330)</f>
        <v>70</v>
      </c>
      <c r="O330" s="25" t="n">
        <v>7.55</v>
      </c>
      <c r="P330" s="25" t="n">
        <f aca="false">N330*O330</f>
        <v>528.5</v>
      </c>
      <c r="Q330" s="23"/>
      <c r="R330" s="23"/>
      <c r="S330" s="24"/>
      <c r="T330" s="25"/>
      <c r="U330" s="25" t="n">
        <v>0</v>
      </c>
      <c r="V330" s="25" t="n">
        <f aca="false">P330-U330</f>
        <v>528.5</v>
      </c>
      <c r="W330" s="25" t="n">
        <f aca="false">V330*12</f>
        <v>6342</v>
      </c>
      <c r="X330" s="23" t="str">
        <f aca="false">IF(Q330="","MISSING FROM EXPORT",IF(ABS(V330)&lt;0.005,"CLEAR",IF(V330&gt;0,"UNDERBILLING","OVERBILLING")))</f>
        <v>MISSING FROM EXPORT</v>
      </c>
      <c r="Y330" s="25" t="n">
        <f aca="false">IF(F330="COMMERCIAL",ROUND(P330*0.35,2),0)</f>
        <v>0</v>
      </c>
      <c r="Z330" s="23" t="str">
        <f aca="false">IF(F330="COMMERCIAL","VERIFY SIGNED AGREEMENT","NO EXCEPTION")</f>
        <v>NO EXCEPTION</v>
      </c>
      <c r="AA330" s="23" t="str">
        <f aca="false">IF(AND(C330="covered",N330&gt;40),"COVERED &gt;40 FT","")</f>
        <v/>
      </c>
      <c r="AB330" s="23" t="s">
        <v>4705</v>
      </c>
      <c r="AC330" s="23" t="s">
        <v>4788</v>
      </c>
      <c r="AD330" s="23" t="s">
        <v>2807</v>
      </c>
    </row>
    <row r="331" customFormat="false" ht="17.9" hidden="false" customHeight="false" outlineLevel="0" collapsed="false">
      <c r="A331" s="20" t="s">
        <v>4789</v>
      </c>
      <c r="B331" s="20" t="s">
        <v>119</v>
      </c>
      <c r="C331" s="20" t="s">
        <v>2798</v>
      </c>
      <c r="D331" s="20" t="s">
        <v>4790</v>
      </c>
      <c r="E331" s="20" t="s">
        <v>4791</v>
      </c>
      <c r="F331" s="20" t="s">
        <v>2869</v>
      </c>
      <c r="G331" s="20" t="s">
        <v>3558</v>
      </c>
      <c r="H331" s="22" t="n">
        <v>60.9</v>
      </c>
      <c r="I331" s="22" t="n">
        <v>60.9</v>
      </c>
      <c r="J331" s="22" t="n">
        <f aca="false">H331-I331</f>
        <v>0</v>
      </c>
      <c r="K331" s="20" t="str">
        <f aca="false">IF(ABS(J331)&lt;0.001,"MATCH - PAPER CHECK-IN NOT SUPPLIED","DATA MISMATCH")</f>
        <v>MATCH - PAPER CHECK-IN NOT SUPPLIED</v>
      </c>
      <c r="L331" s="22" t="n">
        <v>24</v>
      </c>
      <c r="M331" s="22" t="n">
        <f aca="false">ROUNDUP(H331,0)</f>
        <v>61</v>
      </c>
      <c r="N331" s="24" t="n">
        <f aca="false">MAX(L331,M331)</f>
        <v>61</v>
      </c>
      <c r="O331" s="25" t="n">
        <v>7.55</v>
      </c>
      <c r="P331" s="25" t="n">
        <f aca="false">N331*O331</f>
        <v>460.55</v>
      </c>
      <c r="Q331" s="23"/>
      <c r="R331" s="23"/>
      <c r="S331" s="24"/>
      <c r="T331" s="25"/>
      <c r="U331" s="25" t="n">
        <v>0</v>
      </c>
      <c r="V331" s="25" t="n">
        <f aca="false">P331-U331</f>
        <v>460.55</v>
      </c>
      <c r="W331" s="25" t="n">
        <f aca="false">V331*12</f>
        <v>5526.6</v>
      </c>
      <c r="X331" s="23" t="str">
        <f aca="false">IF(Q331="","MISSING FROM EXPORT",IF(ABS(V331)&lt;0.005,"CLEAR",IF(V331&gt;0,"UNDERBILLING","OVERBILLING")))</f>
        <v>MISSING FROM EXPORT</v>
      </c>
      <c r="Y331" s="25" t="n">
        <f aca="false">IF(F331="COMMERCIAL",ROUND(P331*0.35,2),0)</f>
        <v>0</v>
      </c>
      <c r="Z331" s="23" t="str">
        <f aca="false">IF(F331="COMMERCIAL","VERIFY SIGNED AGREEMENT","NO EXCEPTION")</f>
        <v>NO EXCEPTION</v>
      </c>
      <c r="AA331" s="23" t="str">
        <f aca="false">IF(AND(C331="covered",N331&gt;40),"COVERED &gt;40 FT","")</f>
        <v/>
      </c>
      <c r="AB331" s="23" t="s">
        <v>4705</v>
      </c>
      <c r="AC331" s="23" t="s">
        <v>4792</v>
      </c>
      <c r="AD331" s="23" t="s">
        <v>2807</v>
      </c>
    </row>
    <row r="332" customFormat="false" ht="17.9" hidden="false" customHeight="false" outlineLevel="0" collapsed="false">
      <c r="A332" s="20" t="s">
        <v>159</v>
      </c>
      <c r="B332" s="20" t="s">
        <v>119</v>
      </c>
      <c r="C332" s="20" t="s">
        <v>2798</v>
      </c>
      <c r="D332" s="20" t="s">
        <v>4793</v>
      </c>
      <c r="E332" s="20" t="s">
        <v>4794</v>
      </c>
      <c r="F332" s="20" t="s">
        <v>2801</v>
      </c>
      <c r="G332" s="20" t="s">
        <v>3565</v>
      </c>
      <c r="H332" s="22" t="n">
        <v>31.3</v>
      </c>
      <c r="I332" s="22" t="n">
        <v>31.3</v>
      </c>
      <c r="J332" s="22" t="n">
        <f aca="false">H332-I332</f>
        <v>0</v>
      </c>
      <c r="K332" s="20" t="str">
        <f aca="false">IF(ABS(J332)&lt;0.001,"MATCH - PAPER CHECK-IN NOT SUPPLIED","DATA MISMATCH")</f>
        <v>MATCH - PAPER CHECK-IN NOT SUPPLIED</v>
      </c>
      <c r="L332" s="22" t="n">
        <v>60</v>
      </c>
      <c r="M332" s="22" t="n">
        <f aca="false">ROUNDUP(H332,0)</f>
        <v>32</v>
      </c>
      <c r="N332" s="24" t="n">
        <f aca="false">MAX(L332,M332)</f>
        <v>60</v>
      </c>
      <c r="O332" s="25" t="n">
        <v>7.55</v>
      </c>
      <c r="P332" s="25" t="n">
        <f aca="false">N332*O332</f>
        <v>453</v>
      </c>
      <c r="Q332" s="23"/>
      <c r="R332" s="23"/>
      <c r="S332" s="24"/>
      <c r="T332" s="25"/>
      <c r="U332" s="25" t="n">
        <v>0</v>
      </c>
      <c r="V332" s="25" t="n">
        <f aca="false">P332-U332</f>
        <v>453</v>
      </c>
      <c r="W332" s="25" t="n">
        <f aca="false">V332*12</f>
        <v>5436</v>
      </c>
      <c r="X332" s="23" t="str">
        <f aca="false">IF(Q332="","MISSING FROM EXPORT",IF(ABS(V332)&lt;0.005,"CLEAR",IF(V332&gt;0,"UNDERBILLING","OVERBILLING")))</f>
        <v>MISSING FROM EXPORT</v>
      </c>
      <c r="Y332" s="25" t="n">
        <f aca="false">IF(F332="COMMERCIAL",ROUND(P332*0.35,2),0)</f>
        <v>0</v>
      </c>
      <c r="Z332" s="23" t="str">
        <f aca="false">IF(F332="COMMERCIAL","VERIFY SIGNED AGREEMENT","NO EXCEPTION")</f>
        <v>NO EXCEPTION</v>
      </c>
      <c r="AA332" s="23" t="str">
        <f aca="false">IF(AND(C332="covered",N332&gt;40),"COVERED &gt;40 FT","")</f>
        <v/>
      </c>
      <c r="AB332" s="23" t="s">
        <v>4705</v>
      </c>
      <c r="AC332" s="23" t="s">
        <v>4795</v>
      </c>
      <c r="AD332" s="23" t="s">
        <v>2807</v>
      </c>
    </row>
    <row r="333" customFormat="false" ht="17.9" hidden="false" customHeight="false" outlineLevel="0" collapsed="false">
      <c r="A333" s="20" t="s">
        <v>4796</v>
      </c>
      <c r="B333" s="20" t="s">
        <v>119</v>
      </c>
      <c r="C333" s="20" t="s">
        <v>2798</v>
      </c>
      <c r="D333" s="20" t="s">
        <v>4797</v>
      </c>
      <c r="E333" s="20" t="s">
        <v>4798</v>
      </c>
      <c r="F333" s="20" t="s">
        <v>2833</v>
      </c>
      <c r="G333" s="20" t="s">
        <v>3571</v>
      </c>
      <c r="H333" s="22" t="n">
        <v>29.8</v>
      </c>
      <c r="I333" s="22" t="n">
        <v>29.8</v>
      </c>
      <c r="J333" s="22" t="n">
        <f aca="false">H333-I333</f>
        <v>0</v>
      </c>
      <c r="K333" s="20" t="str">
        <f aca="false">IF(ABS(J333)&lt;0.001,"MATCH - PAPER CHECK-IN NOT SUPPLIED","DATA MISMATCH")</f>
        <v>MATCH - PAPER CHECK-IN NOT SUPPLIED</v>
      </c>
      <c r="L333" s="22" t="n">
        <v>60</v>
      </c>
      <c r="M333" s="22" t="n">
        <f aca="false">ROUNDUP(H333,0)</f>
        <v>30</v>
      </c>
      <c r="N333" s="24" t="n">
        <f aca="false">MAX(L333,M333)</f>
        <v>60</v>
      </c>
      <c r="O333" s="25" t="n">
        <v>7.55</v>
      </c>
      <c r="P333" s="25" t="n">
        <f aca="false">N333*O333</f>
        <v>453</v>
      </c>
      <c r="Q333" s="23"/>
      <c r="R333" s="23"/>
      <c r="S333" s="24"/>
      <c r="T333" s="25"/>
      <c r="U333" s="25" t="n">
        <v>0</v>
      </c>
      <c r="V333" s="25" t="n">
        <f aca="false">P333-U333</f>
        <v>453</v>
      </c>
      <c r="W333" s="25" t="n">
        <f aca="false">V333*12</f>
        <v>5436</v>
      </c>
      <c r="X333" s="23" t="str">
        <f aca="false">IF(Q333="","MISSING FROM EXPORT",IF(ABS(V333)&lt;0.005,"CLEAR",IF(V333&gt;0,"UNDERBILLING","OVERBILLING")))</f>
        <v>MISSING FROM EXPORT</v>
      </c>
      <c r="Y333" s="25" t="n">
        <f aca="false">IF(F333="COMMERCIAL",ROUND(P333*0.35,2),0)</f>
        <v>0</v>
      </c>
      <c r="Z333" s="23" t="str">
        <f aca="false">IF(F333="COMMERCIAL","VERIFY SIGNED AGREEMENT","NO EXCEPTION")</f>
        <v>NO EXCEPTION</v>
      </c>
      <c r="AA333" s="23" t="str">
        <f aca="false">IF(AND(C333="covered",N333&gt;40),"COVERED &gt;40 FT","")</f>
        <v/>
      </c>
      <c r="AB333" s="23" t="s">
        <v>4705</v>
      </c>
      <c r="AC333" s="23" t="s">
        <v>4799</v>
      </c>
      <c r="AD333" s="23" t="s">
        <v>2807</v>
      </c>
    </row>
    <row r="334" customFormat="false" ht="17.9" hidden="false" customHeight="false" outlineLevel="0" collapsed="false">
      <c r="A334" s="20" t="s">
        <v>4800</v>
      </c>
      <c r="B334" s="20" t="s">
        <v>119</v>
      </c>
      <c r="C334" s="20" t="s">
        <v>2798</v>
      </c>
      <c r="D334" s="20" t="s">
        <v>4801</v>
      </c>
      <c r="E334" s="20" t="s">
        <v>4802</v>
      </c>
      <c r="F334" s="20" t="s">
        <v>2857</v>
      </c>
      <c r="G334" s="20" t="s">
        <v>3577</v>
      </c>
      <c r="H334" s="22" t="n">
        <v>53.7</v>
      </c>
      <c r="I334" s="22" t="n">
        <v>53.7</v>
      </c>
      <c r="J334" s="22" t="n">
        <f aca="false">H334-I334</f>
        <v>0</v>
      </c>
      <c r="K334" s="20" t="str">
        <f aca="false">IF(ABS(J334)&lt;0.001,"MATCH - PAPER CHECK-IN NOT SUPPLIED","DATA MISMATCH")</f>
        <v>MATCH - PAPER CHECK-IN NOT SUPPLIED</v>
      </c>
      <c r="L334" s="22" t="n">
        <v>70</v>
      </c>
      <c r="M334" s="22" t="n">
        <f aca="false">ROUNDUP(H334,0)</f>
        <v>54</v>
      </c>
      <c r="N334" s="24" t="n">
        <f aca="false">MAX(L334,M334)</f>
        <v>70</v>
      </c>
      <c r="O334" s="25" t="n">
        <v>7.55</v>
      </c>
      <c r="P334" s="25" t="n">
        <f aca="false">N334*O334</f>
        <v>528.5</v>
      </c>
      <c r="Q334" s="23"/>
      <c r="R334" s="23"/>
      <c r="S334" s="24"/>
      <c r="T334" s="25"/>
      <c r="U334" s="25" t="n">
        <v>0</v>
      </c>
      <c r="V334" s="25" t="n">
        <f aca="false">P334-U334</f>
        <v>528.5</v>
      </c>
      <c r="W334" s="25" t="n">
        <f aca="false">V334*12</f>
        <v>6342</v>
      </c>
      <c r="X334" s="23" t="str">
        <f aca="false">IF(Q334="","MISSING FROM EXPORT",IF(ABS(V334)&lt;0.005,"CLEAR",IF(V334&gt;0,"UNDERBILLING","OVERBILLING")))</f>
        <v>MISSING FROM EXPORT</v>
      </c>
      <c r="Y334" s="25" t="n">
        <f aca="false">IF(F334="COMMERCIAL",ROUND(P334*0.35,2),0)</f>
        <v>0</v>
      </c>
      <c r="Z334" s="23" t="str">
        <f aca="false">IF(F334="COMMERCIAL","VERIFY SIGNED AGREEMENT","NO EXCEPTION")</f>
        <v>NO EXCEPTION</v>
      </c>
      <c r="AA334" s="23" t="str">
        <f aca="false">IF(AND(C334="covered",N334&gt;40),"COVERED &gt;40 FT","")</f>
        <v/>
      </c>
      <c r="AB334" s="23" t="s">
        <v>4705</v>
      </c>
      <c r="AC334" s="23" t="s">
        <v>4803</v>
      </c>
      <c r="AD334" s="23" t="s">
        <v>2807</v>
      </c>
    </row>
    <row r="335" customFormat="false" ht="17.9" hidden="false" customHeight="false" outlineLevel="0" collapsed="false">
      <c r="A335" s="20" t="s">
        <v>4804</v>
      </c>
      <c r="B335" s="20" t="s">
        <v>119</v>
      </c>
      <c r="C335" s="20" t="s">
        <v>2798</v>
      </c>
      <c r="D335" s="20" t="s">
        <v>4805</v>
      </c>
      <c r="E335" s="20" t="s">
        <v>4806</v>
      </c>
      <c r="F335" s="20" t="s">
        <v>2833</v>
      </c>
      <c r="G335" s="20" t="s">
        <v>3584</v>
      </c>
      <c r="H335" s="22" t="n">
        <v>28.3</v>
      </c>
      <c r="I335" s="22" t="n">
        <v>28.3</v>
      </c>
      <c r="J335" s="22" t="n">
        <f aca="false">H335-I335</f>
        <v>0</v>
      </c>
      <c r="K335" s="20" t="str">
        <f aca="false">IF(ABS(J335)&lt;0.001,"MATCH - PAPER CHECK-IN NOT SUPPLIED","DATA MISMATCH")</f>
        <v>MATCH - PAPER CHECK-IN NOT SUPPLIED</v>
      </c>
      <c r="L335" s="22" t="n">
        <v>24</v>
      </c>
      <c r="M335" s="22" t="n">
        <f aca="false">ROUNDUP(H335,0)</f>
        <v>29</v>
      </c>
      <c r="N335" s="24" t="n">
        <f aca="false">MAX(L335,M335)</f>
        <v>29</v>
      </c>
      <c r="O335" s="25" t="n">
        <v>7.55</v>
      </c>
      <c r="P335" s="25" t="n">
        <f aca="false">N335*O335</f>
        <v>218.95</v>
      </c>
      <c r="Q335" s="23"/>
      <c r="R335" s="23"/>
      <c r="S335" s="24"/>
      <c r="T335" s="25"/>
      <c r="U335" s="25" t="n">
        <v>0</v>
      </c>
      <c r="V335" s="25" t="n">
        <f aca="false">P335-U335</f>
        <v>218.95</v>
      </c>
      <c r="W335" s="25" t="n">
        <f aca="false">V335*12</f>
        <v>2627.4</v>
      </c>
      <c r="X335" s="23" t="str">
        <f aca="false">IF(Q335="","MISSING FROM EXPORT",IF(ABS(V335)&lt;0.005,"CLEAR",IF(V335&gt;0,"UNDERBILLING","OVERBILLING")))</f>
        <v>MISSING FROM EXPORT</v>
      </c>
      <c r="Y335" s="25" t="n">
        <f aca="false">IF(F335="COMMERCIAL",ROUND(P335*0.35,2),0)</f>
        <v>0</v>
      </c>
      <c r="Z335" s="23" t="str">
        <f aca="false">IF(F335="COMMERCIAL","VERIFY SIGNED AGREEMENT","NO EXCEPTION")</f>
        <v>NO EXCEPTION</v>
      </c>
      <c r="AA335" s="23" t="str">
        <f aca="false">IF(AND(C335="covered",N335&gt;40),"COVERED &gt;40 FT","")</f>
        <v/>
      </c>
      <c r="AB335" s="23" t="s">
        <v>4705</v>
      </c>
      <c r="AC335" s="23" t="s">
        <v>4807</v>
      </c>
      <c r="AD335" s="23" t="s">
        <v>2807</v>
      </c>
    </row>
    <row r="336" customFormat="false" ht="17.9" hidden="false" customHeight="false" outlineLevel="0" collapsed="false">
      <c r="A336" s="20" t="s">
        <v>251</v>
      </c>
      <c r="B336" s="20" t="s">
        <v>119</v>
      </c>
      <c r="C336" s="20" t="s">
        <v>2798</v>
      </c>
      <c r="D336" s="20" t="s">
        <v>4808</v>
      </c>
      <c r="E336" s="20" t="s">
        <v>4809</v>
      </c>
      <c r="F336" s="20" t="s">
        <v>2857</v>
      </c>
      <c r="G336" s="20" t="s">
        <v>3590</v>
      </c>
      <c r="H336" s="22" t="n">
        <v>41.9</v>
      </c>
      <c r="I336" s="22" t="n">
        <v>41.9</v>
      </c>
      <c r="J336" s="22" t="n">
        <f aca="false">H336-I336</f>
        <v>0</v>
      </c>
      <c r="K336" s="20" t="str">
        <f aca="false">IF(ABS(J336)&lt;0.001,"MATCH - PAPER CHECK-IN NOT SUPPLIED","DATA MISMATCH")</f>
        <v>MATCH - PAPER CHECK-IN NOT SUPPLIED</v>
      </c>
      <c r="L336" s="22" t="n">
        <v>32</v>
      </c>
      <c r="M336" s="22" t="n">
        <f aca="false">ROUNDUP(H336,0)</f>
        <v>42</v>
      </c>
      <c r="N336" s="24" t="n">
        <f aca="false">MAX(L336,M336)</f>
        <v>42</v>
      </c>
      <c r="O336" s="25" t="n">
        <v>7.55</v>
      </c>
      <c r="P336" s="25" t="n">
        <f aca="false">N336*O336</f>
        <v>317.1</v>
      </c>
      <c r="Q336" s="23"/>
      <c r="R336" s="23"/>
      <c r="S336" s="24"/>
      <c r="T336" s="25"/>
      <c r="U336" s="25" t="n">
        <v>0</v>
      </c>
      <c r="V336" s="25" t="n">
        <f aca="false">P336-U336</f>
        <v>317.1</v>
      </c>
      <c r="W336" s="25" t="n">
        <f aca="false">V336*12</f>
        <v>3805.2</v>
      </c>
      <c r="X336" s="23" t="str">
        <f aca="false">IF(Q336="","MISSING FROM EXPORT",IF(ABS(V336)&lt;0.005,"CLEAR",IF(V336&gt;0,"UNDERBILLING","OVERBILLING")))</f>
        <v>MISSING FROM EXPORT</v>
      </c>
      <c r="Y336" s="25" t="n">
        <f aca="false">IF(F336="COMMERCIAL",ROUND(P336*0.35,2),0)</f>
        <v>0</v>
      </c>
      <c r="Z336" s="23" t="str">
        <f aca="false">IF(F336="COMMERCIAL","VERIFY SIGNED AGREEMENT","NO EXCEPTION")</f>
        <v>NO EXCEPTION</v>
      </c>
      <c r="AA336" s="23" t="str">
        <f aca="false">IF(AND(C336="covered",N336&gt;40),"COVERED &gt;40 FT","")</f>
        <v/>
      </c>
      <c r="AB336" s="23" t="s">
        <v>4705</v>
      </c>
      <c r="AC336" s="23" t="s">
        <v>4810</v>
      </c>
      <c r="AD336" s="23" t="s">
        <v>2807</v>
      </c>
    </row>
    <row r="337" customFormat="false" ht="17.9" hidden="false" customHeight="false" outlineLevel="0" collapsed="false">
      <c r="A337" s="20" t="s">
        <v>4811</v>
      </c>
      <c r="B337" s="20" t="s">
        <v>119</v>
      </c>
      <c r="C337" s="20" t="s">
        <v>2798</v>
      </c>
      <c r="D337" s="20" t="s">
        <v>4812</v>
      </c>
      <c r="E337" s="20" t="s">
        <v>4813</v>
      </c>
      <c r="F337" s="20" t="s">
        <v>2801</v>
      </c>
      <c r="G337" s="20" t="s">
        <v>4814</v>
      </c>
      <c r="H337" s="22" t="n">
        <v>21</v>
      </c>
      <c r="I337" s="22" t="n">
        <v>21</v>
      </c>
      <c r="J337" s="22" t="n">
        <f aca="false">H337-I337</f>
        <v>0</v>
      </c>
      <c r="K337" s="20" t="str">
        <f aca="false">IF(ABS(J337)&lt;0.001,"MATCH - PAPER CHECK-IN NOT SUPPLIED","DATA MISMATCH")</f>
        <v>MATCH - PAPER CHECK-IN NOT SUPPLIED</v>
      </c>
      <c r="L337" s="22" t="n">
        <v>32</v>
      </c>
      <c r="M337" s="22" t="n">
        <f aca="false">ROUNDUP(H337,0)</f>
        <v>21</v>
      </c>
      <c r="N337" s="24" t="n">
        <f aca="false">MAX(L337,M337)</f>
        <v>32</v>
      </c>
      <c r="O337" s="25" t="n">
        <v>7.55</v>
      </c>
      <c r="P337" s="25" t="n">
        <f aca="false">N337*O337</f>
        <v>241.6</v>
      </c>
      <c r="Q337" s="23"/>
      <c r="R337" s="23"/>
      <c r="S337" s="24"/>
      <c r="T337" s="25"/>
      <c r="U337" s="25" t="n">
        <v>0</v>
      </c>
      <c r="V337" s="25" t="n">
        <f aca="false">P337-U337</f>
        <v>241.6</v>
      </c>
      <c r="W337" s="25" t="n">
        <f aca="false">V337*12</f>
        <v>2899.2</v>
      </c>
      <c r="X337" s="23" t="str">
        <f aca="false">IF(Q337="","MISSING FROM EXPORT",IF(ABS(V337)&lt;0.005,"CLEAR",IF(V337&gt;0,"UNDERBILLING","OVERBILLING")))</f>
        <v>MISSING FROM EXPORT</v>
      </c>
      <c r="Y337" s="25" t="n">
        <f aca="false">IF(F337="COMMERCIAL",ROUND(P337*0.35,2),0)</f>
        <v>0</v>
      </c>
      <c r="Z337" s="23" t="str">
        <f aca="false">IF(F337="COMMERCIAL","VERIFY SIGNED AGREEMENT","NO EXCEPTION")</f>
        <v>NO EXCEPTION</v>
      </c>
      <c r="AA337" s="23" t="str">
        <f aca="false">IF(AND(C337="covered",N337&gt;40),"COVERED &gt;40 FT","")</f>
        <v/>
      </c>
      <c r="AB337" s="23" t="s">
        <v>4705</v>
      </c>
      <c r="AC337" s="23" t="s">
        <v>4815</v>
      </c>
      <c r="AD337" s="23" t="s">
        <v>2807</v>
      </c>
    </row>
    <row r="338" customFormat="false" ht="17.9" hidden="false" customHeight="false" outlineLevel="0" collapsed="false">
      <c r="A338" s="20" t="s">
        <v>4816</v>
      </c>
      <c r="B338" s="20" t="s">
        <v>119</v>
      </c>
      <c r="C338" s="20" t="s">
        <v>2798</v>
      </c>
      <c r="D338" s="20" t="s">
        <v>4817</v>
      </c>
      <c r="E338" s="20" t="s">
        <v>4818</v>
      </c>
      <c r="F338" s="20" t="s">
        <v>2818</v>
      </c>
      <c r="G338" s="20" t="s">
        <v>4819</v>
      </c>
      <c r="H338" s="22" t="n">
        <v>30.7</v>
      </c>
      <c r="I338" s="22" t="n">
        <v>30.7</v>
      </c>
      <c r="J338" s="22" t="n">
        <f aca="false">H338-I338</f>
        <v>0</v>
      </c>
      <c r="K338" s="20" t="str">
        <f aca="false">IF(ABS(J338)&lt;0.001,"MATCH - PAPER CHECK-IN NOT SUPPLIED","DATA MISMATCH")</f>
        <v>MATCH - PAPER CHECK-IN NOT SUPPLIED</v>
      </c>
      <c r="L338" s="22" t="n">
        <v>28</v>
      </c>
      <c r="M338" s="22" t="n">
        <f aca="false">ROUNDUP(H338,0)</f>
        <v>31</v>
      </c>
      <c r="N338" s="24" t="n">
        <f aca="false">MAX(L338,M338)</f>
        <v>31</v>
      </c>
      <c r="O338" s="25" t="n">
        <v>7.55</v>
      </c>
      <c r="P338" s="25" t="n">
        <f aca="false">N338*O338</f>
        <v>234.05</v>
      </c>
      <c r="Q338" s="23"/>
      <c r="R338" s="23"/>
      <c r="S338" s="24"/>
      <c r="T338" s="25"/>
      <c r="U338" s="25" t="n">
        <v>0</v>
      </c>
      <c r="V338" s="25" t="n">
        <f aca="false">P338-U338</f>
        <v>234.05</v>
      </c>
      <c r="W338" s="25" t="n">
        <f aca="false">V338*12</f>
        <v>2808.6</v>
      </c>
      <c r="X338" s="23" t="str">
        <f aca="false">IF(Q338="","MISSING FROM EXPORT",IF(ABS(V338)&lt;0.005,"CLEAR",IF(V338&gt;0,"UNDERBILLING","OVERBILLING")))</f>
        <v>MISSING FROM EXPORT</v>
      </c>
      <c r="Y338" s="25" t="n">
        <f aca="false">IF(F338="COMMERCIAL",ROUND(P338*0.35,2),0)</f>
        <v>0</v>
      </c>
      <c r="Z338" s="23" t="str">
        <f aca="false">IF(F338="COMMERCIAL","VERIFY SIGNED AGREEMENT","NO EXCEPTION")</f>
        <v>NO EXCEPTION</v>
      </c>
      <c r="AA338" s="23" t="str">
        <f aca="false">IF(AND(C338="covered",N338&gt;40),"COVERED &gt;40 FT","")</f>
        <v/>
      </c>
      <c r="AB338" s="23" t="s">
        <v>4705</v>
      </c>
      <c r="AC338" s="23" t="s">
        <v>4820</v>
      </c>
      <c r="AD338" s="23" t="s">
        <v>2807</v>
      </c>
    </row>
    <row r="339" customFormat="false" ht="17.9" hidden="false" customHeight="false" outlineLevel="0" collapsed="false">
      <c r="A339" s="20" t="s">
        <v>4821</v>
      </c>
      <c r="B339" s="20" t="s">
        <v>119</v>
      </c>
      <c r="C339" s="20" t="s">
        <v>2798</v>
      </c>
      <c r="D339" s="20" t="s">
        <v>2565</v>
      </c>
      <c r="E339" s="20" t="s">
        <v>2566</v>
      </c>
      <c r="F339" s="20" t="s">
        <v>2833</v>
      </c>
      <c r="G339" s="20" t="s">
        <v>3601</v>
      </c>
      <c r="H339" s="22" t="n">
        <v>55.7</v>
      </c>
      <c r="I339" s="22" t="n">
        <v>55.7</v>
      </c>
      <c r="J339" s="22" t="n">
        <f aca="false">H339-I339</f>
        <v>0</v>
      </c>
      <c r="K339" s="20" t="str">
        <f aca="false">IF(ABS(J339)&lt;0.001,"MATCH - PAPER CHECK-IN NOT SUPPLIED","DATA MISMATCH")</f>
        <v>MATCH - PAPER CHECK-IN NOT SUPPLIED</v>
      </c>
      <c r="L339" s="22" t="n">
        <v>32</v>
      </c>
      <c r="M339" s="22" t="n">
        <f aca="false">ROUNDUP(H339,0)</f>
        <v>56</v>
      </c>
      <c r="N339" s="24" t="n">
        <f aca="false">MAX(L339,M339)</f>
        <v>56</v>
      </c>
      <c r="O339" s="25" t="n">
        <v>7.55</v>
      </c>
      <c r="P339" s="25" t="n">
        <f aca="false">N339*O339</f>
        <v>422.8</v>
      </c>
      <c r="Q339" s="23"/>
      <c r="R339" s="23"/>
      <c r="S339" s="24"/>
      <c r="T339" s="25"/>
      <c r="U339" s="25" t="n">
        <v>0</v>
      </c>
      <c r="V339" s="25" t="n">
        <f aca="false">P339-U339</f>
        <v>422.8</v>
      </c>
      <c r="W339" s="25" t="n">
        <f aca="false">V339*12</f>
        <v>5073.6</v>
      </c>
      <c r="X339" s="23" t="str">
        <f aca="false">IF(Q339="","MISSING FROM EXPORT",IF(ABS(V339)&lt;0.005,"CLEAR",IF(V339&gt;0,"UNDERBILLING","OVERBILLING")))</f>
        <v>MISSING FROM EXPORT</v>
      </c>
      <c r="Y339" s="25" t="n">
        <f aca="false">IF(F339="COMMERCIAL",ROUND(P339*0.35,2),0)</f>
        <v>0</v>
      </c>
      <c r="Z339" s="23" t="str">
        <f aca="false">IF(F339="COMMERCIAL","VERIFY SIGNED AGREEMENT","NO EXCEPTION")</f>
        <v>NO EXCEPTION</v>
      </c>
      <c r="AA339" s="23" t="str">
        <f aca="false">IF(AND(C339="covered",N339&gt;40),"COVERED &gt;40 FT","")</f>
        <v/>
      </c>
      <c r="AB339" s="23" t="s">
        <v>4705</v>
      </c>
      <c r="AC339" s="23" t="s">
        <v>4822</v>
      </c>
      <c r="AD339" s="23" t="s">
        <v>2807</v>
      </c>
    </row>
    <row r="340" customFormat="false" ht="17.9" hidden="false" customHeight="false" outlineLevel="0" collapsed="false">
      <c r="A340" s="20" t="s">
        <v>125</v>
      </c>
      <c r="B340" s="20" t="s">
        <v>119</v>
      </c>
      <c r="C340" s="20" t="s">
        <v>2798</v>
      </c>
      <c r="D340" s="20" t="s">
        <v>1373</v>
      </c>
      <c r="E340" s="20" t="s">
        <v>4823</v>
      </c>
      <c r="F340" s="20" t="s">
        <v>2869</v>
      </c>
      <c r="G340" s="20" t="s">
        <v>3608</v>
      </c>
      <c r="H340" s="22" t="n">
        <v>58.3</v>
      </c>
      <c r="I340" s="22" t="n">
        <v>58.3</v>
      </c>
      <c r="J340" s="22" t="n">
        <f aca="false">H340-I340</f>
        <v>0</v>
      </c>
      <c r="K340" s="20" t="str">
        <f aca="false">IF(ABS(J340)&lt;0.001,"MATCH - PAPER CHECK-IN NOT SUPPLIED","DATA MISMATCH")</f>
        <v>MATCH - PAPER CHECK-IN NOT SUPPLIED</v>
      </c>
      <c r="L340" s="22" t="n">
        <v>24</v>
      </c>
      <c r="M340" s="22" t="n">
        <f aca="false">ROUNDUP(H340,0)</f>
        <v>59</v>
      </c>
      <c r="N340" s="24" t="n">
        <f aca="false">MAX(L340,M340)</f>
        <v>59</v>
      </c>
      <c r="O340" s="25" t="n">
        <v>7.55</v>
      </c>
      <c r="P340" s="25" t="n">
        <f aca="false">N340*O340</f>
        <v>445.45</v>
      </c>
      <c r="Q340" s="23"/>
      <c r="R340" s="23"/>
      <c r="S340" s="24"/>
      <c r="T340" s="25"/>
      <c r="U340" s="25" t="n">
        <v>0</v>
      </c>
      <c r="V340" s="25" t="n">
        <f aca="false">P340-U340</f>
        <v>445.45</v>
      </c>
      <c r="W340" s="25" t="n">
        <f aca="false">V340*12</f>
        <v>5345.4</v>
      </c>
      <c r="X340" s="23" t="str">
        <f aca="false">IF(Q340="","MISSING FROM EXPORT",IF(ABS(V340)&lt;0.005,"CLEAR",IF(V340&gt;0,"UNDERBILLING","OVERBILLING")))</f>
        <v>MISSING FROM EXPORT</v>
      </c>
      <c r="Y340" s="25" t="n">
        <f aca="false">IF(F340="COMMERCIAL",ROUND(P340*0.35,2),0)</f>
        <v>0</v>
      </c>
      <c r="Z340" s="23" t="str">
        <f aca="false">IF(F340="COMMERCIAL","VERIFY SIGNED AGREEMENT","NO EXCEPTION")</f>
        <v>NO EXCEPTION</v>
      </c>
      <c r="AA340" s="23" t="str">
        <f aca="false">IF(AND(C340="covered",N340&gt;40),"COVERED &gt;40 FT","")</f>
        <v/>
      </c>
      <c r="AB340" s="23" t="s">
        <v>4705</v>
      </c>
      <c r="AC340" s="23" t="s">
        <v>4824</v>
      </c>
      <c r="AD340" s="23" t="s">
        <v>2807</v>
      </c>
    </row>
    <row r="341" customFormat="false" ht="17.9" hidden="false" customHeight="false" outlineLevel="0" collapsed="false">
      <c r="A341" s="20" t="s">
        <v>4825</v>
      </c>
      <c r="B341" s="20" t="s">
        <v>119</v>
      </c>
      <c r="C341" s="20" t="s">
        <v>2798</v>
      </c>
      <c r="D341" s="20" t="s">
        <v>4826</v>
      </c>
      <c r="E341" s="20" t="s">
        <v>4827</v>
      </c>
      <c r="F341" s="20" t="s">
        <v>2818</v>
      </c>
      <c r="G341" s="20" t="s">
        <v>3621</v>
      </c>
      <c r="H341" s="22" t="n">
        <v>50.2</v>
      </c>
      <c r="I341" s="22" t="n">
        <v>50.2</v>
      </c>
      <c r="J341" s="22" t="n">
        <f aca="false">H341-I341</f>
        <v>0</v>
      </c>
      <c r="K341" s="20" t="str">
        <f aca="false">IF(ABS(J341)&lt;0.001,"MATCH - PAPER CHECK-IN NOT SUPPLIED","DATA MISMATCH")</f>
        <v>MATCH - PAPER CHECK-IN NOT SUPPLIED</v>
      </c>
      <c r="L341" s="22" t="n">
        <v>32</v>
      </c>
      <c r="M341" s="22" t="n">
        <f aca="false">ROUNDUP(H341,0)</f>
        <v>51</v>
      </c>
      <c r="N341" s="24" t="n">
        <f aca="false">MAX(L341,M341)</f>
        <v>51</v>
      </c>
      <c r="O341" s="25" t="n">
        <v>7.55</v>
      </c>
      <c r="P341" s="25" t="n">
        <f aca="false">N341*O341</f>
        <v>385.05</v>
      </c>
      <c r="Q341" s="23"/>
      <c r="R341" s="23"/>
      <c r="S341" s="24"/>
      <c r="T341" s="25"/>
      <c r="U341" s="25" t="n">
        <v>0</v>
      </c>
      <c r="V341" s="25" t="n">
        <f aca="false">P341-U341</f>
        <v>385.05</v>
      </c>
      <c r="W341" s="25" t="n">
        <f aca="false">V341*12</f>
        <v>4620.6</v>
      </c>
      <c r="X341" s="23" t="str">
        <f aca="false">IF(Q341="","MISSING FROM EXPORT",IF(ABS(V341)&lt;0.005,"CLEAR",IF(V341&gt;0,"UNDERBILLING","OVERBILLING")))</f>
        <v>MISSING FROM EXPORT</v>
      </c>
      <c r="Y341" s="25" t="n">
        <f aca="false">IF(F341="COMMERCIAL",ROUND(P341*0.35,2),0)</f>
        <v>0</v>
      </c>
      <c r="Z341" s="23" t="str">
        <f aca="false">IF(F341="COMMERCIAL","VERIFY SIGNED AGREEMENT","NO EXCEPTION")</f>
        <v>NO EXCEPTION</v>
      </c>
      <c r="AA341" s="23" t="str">
        <f aca="false">IF(AND(C341="covered",N341&gt;40),"COVERED &gt;40 FT","")</f>
        <v/>
      </c>
      <c r="AB341" s="23" t="s">
        <v>4705</v>
      </c>
      <c r="AC341" s="23" t="s">
        <v>4828</v>
      </c>
      <c r="AD341" s="23" t="s">
        <v>2807</v>
      </c>
    </row>
    <row r="342" customFormat="false" ht="17.9" hidden="false" customHeight="false" outlineLevel="0" collapsed="false">
      <c r="A342" s="20" t="s">
        <v>4829</v>
      </c>
      <c r="B342" s="20" t="s">
        <v>119</v>
      </c>
      <c r="C342" s="20" t="s">
        <v>2798</v>
      </c>
      <c r="D342" s="20" t="s">
        <v>4830</v>
      </c>
      <c r="E342" s="20" t="s">
        <v>4831</v>
      </c>
      <c r="F342" s="20" t="s">
        <v>2818</v>
      </c>
      <c r="G342" s="20" t="s">
        <v>3628</v>
      </c>
      <c r="H342" s="22" t="n">
        <v>30.5</v>
      </c>
      <c r="I342" s="22" t="n">
        <v>30.5</v>
      </c>
      <c r="J342" s="22" t="n">
        <f aca="false">H342-I342</f>
        <v>0</v>
      </c>
      <c r="K342" s="20" t="str">
        <f aca="false">IF(ABS(J342)&lt;0.001,"MATCH - PAPER CHECK-IN NOT SUPPLIED","DATA MISMATCH")</f>
        <v>MATCH - PAPER CHECK-IN NOT SUPPLIED</v>
      </c>
      <c r="L342" s="22" t="n">
        <v>24</v>
      </c>
      <c r="M342" s="22" t="n">
        <f aca="false">ROUNDUP(H342,0)</f>
        <v>31</v>
      </c>
      <c r="N342" s="24" t="n">
        <f aca="false">MAX(L342,M342)</f>
        <v>31</v>
      </c>
      <c r="O342" s="25" t="n">
        <v>7.55</v>
      </c>
      <c r="P342" s="25" t="n">
        <f aca="false">N342*O342</f>
        <v>234.05</v>
      </c>
      <c r="Q342" s="23"/>
      <c r="R342" s="23"/>
      <c r="S342" s="24"/>
      <c r="T342" s="25"/>
      <c r="U342" s="25" t="n">
        <v>0</v>
      </c>
      <c r="V342" s="25" t="n">
        <f aca="false">P342-U342</f>
        <v>234.05</v>
      </c>
      <c r="W342" s="25" t="n">
        <f aca="false">V342*12</f>
        <v>2808.6</v>
      </c>
      <c r="X342" s="23" t="str">
        <f aca="false">IF(Q342="","MISSING FROM EXPORT",IF(ABS(V342)&lt;0.005,"CLEAR",IF(V342&gt;0,"UNDERBILLING","OVERBILLING")))</f>
        <v>MISSING FROM EXPORT</v>
      </c>
      <c r="Y342" s="25" t="n">
        <f aca="false">IF(F342="COMMERCIAL",ROUND(P342*0.35,2),0)</f>
        <v>0</v>
      </c>
      <c r="Z342" s="23" t="str">
        <f aca="false">IF(F342="COMMERCIAL","VERIFY SIGNED AGREEMENT","NO EXCEPTION")</f>
        <v>NO EXCEPTION</v>
      </c>
      <c r="AA342" s="23" t="str">
        <f aca="false">IF(AND(C342="covered",N342&gt;40),"COVERED &gt;40 FT","")</f>
        <v/>
      </c>
      <c r="AB342" s="23" t="s">
        <v>4705</v>
      </c>
      <c r="AC342" s="23" t="s">
        <v>4832</v>
      </c>
      <c r="AD342" s="23" t="s">
        <v>2807</v>
      </c>
    </row>
    <row r="343" customFormat="false" ht="17.9" hidden="false" customHeight="false" outlineLevel="0" collapsed="false">
      <c r="A343" s="20" t="s">
        <v>4833</v>
      </c>
      <c r="B343" s="20" t="s">
        <v>119</v>
      </c>
      <c r="C343" s="20" t="s">
        <v>2798</v>
      </c>
      <c r="D343" s="20" t="s">
        <v>4834</v>
      </c>
      <c r="E343" s="20" t="s">
        <v>4835</v>
      </c>
      <c r="F343" s="20" t="s">
        <v>2833</v>
      </c>
      <c r="G343" s="20" t="s">
        <v>4836</v>
      </c>
      <c r="H343" s="22" t="n">
        <v>28.6</v>
      </c>
      <c r="I343" s="22" t="n">
        <v>28.6</v>
      </c>
      <c r="J343" s="22" t="n">
        <f aca="false">H343-I343</f>
        <v>0</v>
      </c>
      <c r="K343" s="20" t="str">
        <f aca="false">IF(ABS(J343)&lt;0.001,"MATCH - PAPER CHECK-IN NOT SUPPLIED","DATA MISMATCH")</f>
        <v>MATCH - PAPER CHECK-IN NOT SUPPLIED</v>
      </c>
      <c r="L343" s="22" t="n">
        <v>45</v>
      </c>
      <c r="M343" s="22" t="n">
        <f aca="false">ROUNDUP(H343,0)</f>
        <v>29</v>
      </c>
      <c r="N343" s="24" t="n">
        <f aca="false">MAX(L343,M343)</f>
        <v>45</v>
      </c>
      <c r="O343" s="25" t="n">
        <v>7.55</v>
      </c>
      <c r="P343" s="25" t="n">
        <f aca="false">N343*O343</f>
        <v>339.75</v>
      </c>
      <c r="Q343" s="23"/>
      <c r="R343" s="23"/>
      <c r="S343" s="24"/>
      <c r="T343" s="25"/>
      <c r="U343" s="25" t="n">
        <v>0</v>
      </c>
      <c r="V343" s="25" t="n">
        <f aca="false">P343-U343</f>
        <v>339.75</v>
      </c>
      <c r="W343" s="25" t="n">
        <f aca="false">V343*12</f>
        <v>4077</v>
      </c>
      <c r="X343" s="23" t="str">
        <f aca="false">IF(Q343="","MISSING FROM EXPORT",IF(ABS(V343)&lt;0.005,"CLEAR",IF(V343&gt;0,"UNDERBILLING","OVERBILLING")))</f>
        <v>MISSING FROM EXPORT</v>
      </c>
      <c r="Y343" s="25" t="n">
        <f aca="false">IF(F343="COMMERCIAL",ROUND(P343*0.35,2),0)</f>
        <v>0</v>
      </c>
      <c r="Z343" s="23" t="str">
        <f aca="false">IF(F343="COMMERCIAL","VERIFY SIGNED AGREEMENT","NO EXCEPTION")</f>
        <v>NO EXCEPTION</v>
      </c>
      <c r="AA343" s="23" t="str">
        <f aca="false">IF(AND(C343="covered",N343&gt;40),"COVERED &gt;40 FT","")</f>
        <v/>
      </c>
      <c r="AB343" s="23" t="s">
        <v>4705</v>
      </c>
      <c r="AC343" s="23" t="s">
        <v>4837</v>
      </c>
      <c r="AD343" s="23" t="s">
        <v>2807</v>
      </c>
    </row>
    <row r="344" customFormat="false" ht="17.9" hidden="false" customHeight="false" outlineLevel="0" collapsed="false">
      <c r="A344" s="20" t="s">
        <v>1745</v>
      </c>
      <c r="B344" s="20" t="s">
        <v>119</v>
      </c>
      <c r="C344" s="20" t="s">
        <v>2798</v>
      </c>
      <c r="D344" s="20" t="s">
        <v>2527</v>
      </c>
      <c r="E344" s="20" t="s">
        <v>2528</v>
      </c>
      <c r="F344" s="20" t="s">
        <v>2833</v>
      </c>
      <c r="G344" s="20" t="s">
        <v>4838</v>
      </c>
      <c r="H344" s="22" t="n">
        <v>39.9</v>
      </c>
      <c r="I344" s="22" t="n">
        <v>39.9</v>
      </c>
      <c r="J344" s="22" t="n">
        <f aca="false">H344-I344</f>
        <v>0</v>
      </c>
      <c r="K344" s="20" t="str">
        <f aca="false">IF(ABS(J344)&lt;0.001,"MATCH - PAPER CHECK-IN NOT SUPPLIED","DATA MISMATCH")</f>
        <v>MATCH - PAPER CHECK-IN NOT SUPPLIED</v>
      </c>
      <c r="L344" s="22" t="n">
        <v>70</v>
      </c>
      <c r="M344" s="22" t="n">
        <f aca="false">ROUNDUP(H344,0)</f>
        <v>40</v>
      </c>
      <c r="N344" s="24" t="n">
        <f aca="false">MAX(L344,M344)</f>
        <v>70</v>
      </c>
      <c r="O344" s="25" t="n">
        <v>7.55</v>
      </c>
      <c r="P344" s="25" t="n">
        <f aca="false">N344*O344</f>
        <v>528.5</v>
      </c>
      <c r="Q344" s="23"/>
      <c r="R344" s="23"/>
      <c r="S344" s="24"/>
      <c r="T344" s="25"/>
      <c r="U344" s="25" t="n">
        <v>0</v>
      </c>
      <c r="V344" s="25" t="n">
        <f aca="false">P344-U344</f>
        <v>528.5</v>
      </c>
      <c r="W344" s="25" t="n">
        <f aca="false">V344*12</f>
        <v>6342</v>
      </c>
      <c r="X344" s="23" t="str">
        <f aca="false">IF(Q344="","MISSING FROM EXPORT",IF(ABS(V344)&lt;0.005,"CLEAR",IF(V344&gt;0,"UNDERBILLING","OVERBILLING")))</f>
        <v>MISSING FROM EXPORT</v>
      </c>
      <c r="Y344" s="25" t="n">
        <f aca="false">IF(F344="COMMERCIAL",ROUND(P344*0.35,2),0)</f>
        <v>0</v>
      </c>
      <c r="Z344" s="23" t="str">
        <f aca="false">IF(F344="COMMERCIAL","VERIFY SIGNED AGREEMENT","NO EXCEPTION")</f>
        <v>NO EXCEPTION</v>
      </c>
      <c r="AA344" s="23" t="str">
        <f aca="false">IF(AND(C344="covered",N344&gt;40),"COVERED &gt;40 FT","")</f>
        <v/>
      </c>
      <c r="AB344" s="23" t="s">
        <v>4705</v>
      </c>
      <c r="AC344" s="23" t="s">
        <v>4839</v>
      </c>
      <c r="AD344" s="23" t="s">
        <v>2807</v>
      </c>
    </row>
    <row r="345" customFormat="false" ht="17.9" hidden="false" customHeight="false" outlineLevel="0" collapsed="false">
      <c r="A345" s="20" t="s">
        <v>4840</v>
      </c>
      <c r="B345" s="20" t="s">
        <v>119</v>
      </c>
      <c r="C345" s="20" t="s">
        <v>2798</v>
      </c>
      <c r="D345" s="20" t="s">
        <v>4841</v>
      </c>
      <c r="E345" s="20" t="s">
        <v>4842</v>
      </c>
      <c r="F345" s="20" t="s">
        <v>2801</v>
      </c>
      <c r="G345" s="20" t="s">
        <v>3635</v>
      </c>
      <c r="H345" s="22" t="n">
        <v>36.1</v>
      </c>
      <c r="I345" s="22" t="n">
        <v>36.1</v>
      </c>
      <c r="J345" s="22" t="n">
        <f aca="false">H345-I345</f>
        <v>0</v>
      </c>
      <c r="K345" s="20" t="str">
        <f aca="false">IF(ABS(J345)&lt;0.001,"MATCH - PAPER CHECK-IN NOT SUPPLIED","DATA MISMATCH")</f>
        <v>MATCH - PAPER CHECK-IN NOT SUPPLIED</v>
      </c>
      <c r="L345" s="22" t="n">
        <v>28</v>
      </c>
      <c r="M345" s="22" t="n">
        <f aca="false">ROUNDUP(H345,0)</f>
        <v>37</v>
      </c>
      <c r="N345" s="24" t="n">
        <f aca="false">MAX(L345,M345)</f>
        <v>37</v>
      </c>
      <c r="O345" s="25" t="n">
        <v>7.55</v>
      </c>
      <c r="P345" s="25" t="n">
        <f aca="false">N345*O345</f>
        <v>279.35</v>
      </c>
      <c r="Q345" s="23"/>
      <c r="R345" s="23"/>
      <c r="S345" s="24"/>
      <c r="T345" s="25"/>
      <c r="U345" s="25" t="n">
        <v>0</v>
      </c>
      <c r="V345" s="25" t="n">
        <f aca="false">P345-U345</f>
        <v>279.35</v>
      </c>
      <c r="W345" s="25" t="n">
        <f aca="false">V345*12</f>
        <v>3352.2</v>
      </c>
      <c r="X345" s="23" t="str">
        <f aca="false">IF(Q345="","MISSING FROM EXPORT",IF(ABS(V345)&lt;0.005,"CLEAR",IF(V345&gt;0,"UNDERBILLING","OVERBILLING")))</f>
        <v>MISSING FROM EXPORT</v>
      </c>
      <c r="Y345" s="25" t="n">
        <f aca="false">IF(F345="COMMERCIAL",ROUND(P345*0.35,2),0)</f>
        <v>0</v>
      </c>
      <c r="Z345" s="23" t="str">
        <f aca="false">IF(F345="COMMERCIAL","VERIFY SIGNED AGREEMENT","NO EXCEPTION")</f>
        <v>NO EXCEPTION</v>
      </c>
      <c r="AA345" s="23" t="str">
        <f aca="false">IF(AND(C345="covered",N345&gt;40),"COVERED &gt;40 FT","")</f>
        <v/>
      </c>
      <c r="AB345" s="23" t="s">
        <v>4705</v>
      </c>
      <c r="AC345" s="23" t="s">
        <v>4843</v>
      </c>
      <c r="AD345" s="23" t="s">
        <v>2807</v>
      </c>
    </row>
    <row r="346" customFormat="false" ht="17.9" hidden="false" customHeight="false" outlineLevel="0" collapsed="false">
      <c r="A346" s="20" t="s">
        <v>1486</v>
      </c>
      <c r="B346" s="20" t="s">
        <v>119</v>
      </c>
      <c r="C346" s="20" t="s">
        <v>2798</v>
      </c>
      <c r="D346" s="20" t="s">
        <v>4844</v>
      </c>
      <c r="E346" s="20" t="s">
        <v>4845</v>
      </c>
      <c r="F346" s="20" t="s">
        <v>2833</v>
      </c>
      <c r="G346" s="20" t="s">
        <v>4846</v>
      </c>
      <c r="H346" s="22" t="n">
        <v>53.2</v>
      </c>
      <c r="I346" s="22" t="n">
        <v>53.2</v>
      </c>
      <c r="J346" s="22" t="n">
        <f aca="false">H346-I346</f>
        <v>0</v>
      </c>
      <c r="K346" s="20" t="str">
        <f aca="false">IF(ABS(J346)&lt;0.001,"MATCH - PAPER CHECK-IN NOT SUPPLIED","DATA MISMATCH")</f>
        <v>MATCH - PAPER CHECK-IN NOT SUPPLIED</v>
      </c>
      <c r="L346" s="22" t="n">
        <v>60</v>
      </c>
      <c r="M346" s="22" t="n">
        <f aca="false">ROUNDUP(H346,0)</f>
        <v>54</v>
      </c>
      <c r="N346" s="24" t="n">
        <f aca="false">MAX(L346,M346)</f>
        <v>60</v>
      </c>
      <c r="O346" s="25" t="n">
        <v>7.55</v>
      </c>
      <c r="P346" s="25" t="n">
        <f aca="false">N346*O346</f>
        <v>453</v>
      </c>
      <c r="Q346" s="23"/>
      <c r="R346" s="23"/>
      <c r="S346" s="24"/>
      <c r="T346" s="25"/>
      <c r="U346" s="25" t="n">
        <v>0</v>
      </c>
      <c r="V346" s="25" t="n">
        <f aca="false">P346-U346</f>
        <v>453</v>
      </c>
      <c r="W346" s="25" t="n">
        <f aca="false">V346*12</f>
        <v>5436</v>
      </c>
      <c r="X346" s="23" t="str">
        <f aca="false">IF(Q346="","MISSING FROM EXPORT",IF(ABS(V346)&lt;0.005,"CLEAR",IF(V346&gt;0,"UNDERBILLING","OVERBILLING")))</f>
        <v>MISSING FROM EXPORT</v>
      </c>
      <c r="Y346" s="25" t="n">
        <f aca="false">IF(F346="COMMERCIAL",ROUND(P346*0.35,2),0)</f>
        <v>0</v>
      </c>
      <c r="Z346" s="23" t="str">
        <f aca="false">IF(F346="COMMERCIAL","VERIFY SIGNED AGREEMENT","NO EXCEPTION")</f>
        <v>NO EXCEPTION</v>
      </c>
      <c r="AA346" s="23" t="str">
        <f aca="false">IF(AND(C346="covered",N346&gt;40),"COVERED &gt;40 FT","")</f>
        <v/>
      </c>
      <c r="AB346" s="23" t="s">
        <v>4705</v>
      </c>
      <c r="AC346" s="23" t="s">
        <v>4847</v>
      </c>
      <c r="AD346" s="23" t="s">
        <v>2807</v>
      </c>
    </row>
    <row r="347" customFormat="false" ht="17.9" hidden="false" customHeight="false" outlineLevel="0" collapsed="false">
      <c r="A347" s="20" t="s">
        <v>4848</v>
      </c>
      <c r="B347" s="20" t="s">
        <v>119</v>
      </c>
      <c r="C347" s="20" t="s">
        <v>2798</v>
      </c>
      <c r="D347" s="20" t="s">
        <v>4849</v>
      </c>
      <c r="E347" s="20" t="s">
        <v>4850</v>
      </c>
      <c r="F347" s="20" t="s">
        <v>2833</v>
      </c>
      <c r="G347" s="20" t="s">
        <v>3642</v>
      </c>
      <c r="H347" s="22" t="n">
        <v>34.2</v>
      </c>
      <c r="I347" s="22" t="n">
        <v>34.2</v>
      </c>
      <c r="J347" s="22" t="n">
        <f aca="false">H347-I347</f>
        <v>0</v>
      </c>
      <c r="K347" s="20" t="str">
        <f aca="false">IF(ABS(J347)&lt;0.001,"MATCH - PAPER CHECK-IN NOT SUPPLIED","DATA MISMATCH")</f>
        <v>MATCH - PAPER CHECK-IN NOT SUPPLIED</v>
      </c>
      <c r="L347" s="22" t="n">
        <v>70</v>
      </c>
      <c r="M347" s="22" t="n">
        <f aca="false">ROUNDUP(H347,0)</f>
        <v>35</v>
      </c>
      <c r="N347" s="24" t="n">
        <f aca="false">MAX(L347,M347)</f>
        <v>70</v>
      </c>
      <c r="O347" s="25" t="n">
        <v>7.55</v>
      </c>
      <c r="P347" s="25" t="n">
        <f aca="false">N347*O347</f>
        <v>528.5</v>
      </c>
      <c r="Q347" s="23"/>
      <c r="R347" s="23"/>
      <c r="S347" s="24"/>
      <c r="T347" s="25"/>
      <c r="U347" s="25" t="n">
        <v>0</v>
      </c>
      <c r="V347" s="25" t="n">
        <f aca="false">P347-U347</f>
        <v>528.5</v>
      </c>
      <c r="W347" s="25" t="n">
        <f aca="false">V347*12</f>
        <v>6342</v>
      </c>
      <c r="X347" s="23" t="str">
        <f aca="false">IF(Q347="","MISSING FROM EXPORT",IF(ABS(V347)&lt;0.005,"CLEAR",IF(V347&gt;0,"UNDERBILLING","OVERBILLING")))</f>
        <v>MISSING FROM EXPORT</v>
      </c>
      <c r="Y347" s="25" t="n">
        <f aca="false">IF(F347="COMMERCIAL",ROUND(P347*0.35,2),0)</f>
        <v>0</v>
      </c>
      <c r="Z347" s="23" t="str">
        <f aca="false">IF(F347="COMMERCIAL","VERIFY SIGNED AGREEMENT","NO EXCEPTION")</f>
        <v>NO EXCEPTION</v>
      </c>
      <c r="AA347" s="23" t="str">
        <f aca="false">IF(AND(C347="covered",N347&gt;40),"COVERED &gt;40 FT","")</f>
        <v/>
      </c>
      <c r="AB347" s="23" t="s">
        <v>4705</v>
      </c>
      <c r="AC347" s="23" t="s">
        <v>4851</v>
      </c>
      <c r="AD347" s="23" t="s">
        <v>2807</v>
      </c>
    </row>
    <row r="348" customFormat="false" ht="17.9" hidden="false" customHeight="false" outlineLevel="0" collapsed="false">
      <c r="A348" s="20" t="s">
        <v>4852</v>
      </c>
      <c r="B348" s="20" t="s">
        <v>119</v>
      </c>
      <c r="C348" s="20" t="s">
        <v>2798</v>
      </c>
      <c r="D348" s="20" t="s">
        <v>4853</v>
      </c>
      <c r="E348" s="20" t="s">
        <v>4854</v>
      </c>
      <c r="F348" s="20" t="s">
        <v>2898</v>
      </c>
      <c r="G348" s="20" t="s">
        <v>3655</v>
      </c>
      <c r="H348" s="22" t="n">
        <v>36.4</v>
      </c>
      <c r="I348" s="22" t="n">
        <v>36.4</v>
      </c>
      <c r="J348" s="22" t="n">
        <f aca="false">H348-I348</f>
        <v>0</v>
      </c>
      <c r="K348" s="20" t="str">
        <f aca="false">IF(ABS(J348)&lt;0.001,"MATCH - PAPER CHECK-IN NOT SUPPLIED","DATA MISMATCH")</f>
        <v>MATCH - PAPER CHECK-IN NOT SUPPLIED</v>
      </c>
      <c r="L348" s="22" t="n">
        <v>32</v>
      </c>
      <c r="M348" s="22" t="n">
        <f aca="false">ROUNDUP(H348,0)</f>
        <v>37</v>
      </c>
      <c r="N348" s="24" t="n">
        <f aca="false">MAX(L348,M348)</f>
        <v>37</v>
      </c>
      <c r="O348" s="25" t="n">
        <v>7.55</v>
      </c>
      <c r="P348" s="25" t="n">
        <f aca="false">N348*O348</f>
        <v>279.35</v>
      </c>
      <c r="Q348" s="23"/>
      <c r="R348" s="23"/>
      <c r="S348" s="24"/>
      <c r="T348" s="25"/>
      <c r="U348" s="25" t="n">
        <v>0</v>
      </c>
      <c r="V348" s="25" t="n">
        <f aca="false">P348-U348</f>
        <v>279.35</v>
      </c>
      <c r="W348" s="25" t="n">
        <f aca="false">V348*12</f>
        <v>3352.2</v>
      </c>
      <c r="X348" s="23" t="str">
        <f aca="false">IF(Q348="","MISSING FROM EXPORT",IF(ABS(V348)&lt;0.005,"CLEAR",IF(V348&gt;0,"UNDERBILLING","OVERBILLING")))</f>
        <v>MISSING FROM EXPORT</v>
      </c>
      <c r="Y348" s="25" t="n">
        <f aca="false">IF(F348="COMMERCIAL",ROUND(P348*0.35,2),0)</f>
        <v>0</v>
      </c>
      <c r="Z348" s="23" t="str">
        <f aca="false">IF(F348="COMMERCIAL","VERIFY SIGNED AGREEMENT","NO EXCEPTION")</f>
        <v>NO EXCEPTION</v>
      </c>
      <c r="AA348" s="23" t="str">
        <f aca="false">IF(AND(C348="covered",N348&gt;40),"COVERED &gt;40 FT","")</f>
        <v/>
      </c>
      <c r="AB348" s="23" t="s">
        <v>4705</v>
      </c>
      <c r="AC348" s="23" t="s">
        <v>4855</v>
      </c>
      <c r="AD348" s="23" t="s">
        <v>2807</v>
      </c>
    </row>
    <row r="349" customFormat="false" ht="17.9" hidden="false" customHeight="false" outlineLevel="0" collapsed="false">
      <c r="A349" s="20" t="s">
        <v>465</v>
      </c>
      <c r="B349" s="20" t="s">
        <v>119</v>
      </c>
      <c r="C349" s="20" t="s">
        <v>2798</v>
      </c>
      <c r="D349" s="20" t="s">
        <v>4856</v>
      </c>
      <c r="E349" s="20" t="s">
        <v>4857</v>
      </c>
      <c r="F349" s="20" t="s">
        <v>2934</v>
      </c>
      <c r="G349" s="20" t="s">
        <v>3662</v>
      </c>
      <c r="H349" s="22" t="n">
        <v>53.6</v>
      </c>
      <c r="I349" s="22" t="n">
        <v>53.6</v>
      </c>
      <c r="J349" s="22" t="n">
        <f aca="false">H349-I349</f>
        <v>0</v>
      </c>
      <c r="K349" s="20" t="str">
        <f aca="false">IF(ABS(J349)&lt;0.001,"MATCH - PAPER CHECK-IN NOT SUPPLIED","DATA MISMATCH")</f>
        <v>MATCH - PAPER CHECK-IN NOT SUPPLIED</v>
      </c>
      <c r="L349" s="22" t="n">
        <v>32</v>
      </c>
      <c r="M349" s="22" t="n">
        <f aca="false">ROUNDUP(H349,0)</f>
        <v>54</v>
      </c>
      <c r="N349" s="24" t="n">
        <f aca="false">MAX(L349,M349)</f>
        <v>54</v>
      </c>
      <c r="O349" s="25" t="n">
        <v>7.55</v>
      </c>
      <c r="P349" s="25" t="n">
        <f aca="false">N349*O349</f>
        <v>407.7</v>
      </c>
      <c r="Q349" s="23"/>
      <c r="R349" s="23"/>
      <c r="S349" s="24"/>
      <c r="T349" s="25"/>
      <c r="U349" s="25" t="n">
        <v>0</v>
      </c>
      <c r="V349" s="25" t="n">
        <f aca="false">P349-U349</f>
        <v>407.7</v>
      </c>
      <c r="W349" s="25" t="n">
        <f aca="false">V349*12</f>
        <v>4892.4</v>
      </c>
      <c r="X349" s="23" t="str">
        <f aca="false">IF(Q349="","MISSING FROM EXPORT",IF(ABS(V349)&lt;0.005,"CLEAR",IF(V349&gt;0,"UNDERBILLING","OVERBILLING")))</f>
        <v>MISSING FROM EXPORT</v>
      </c>
      <c r="Y349" s="25" t="n">
        <f aca="false">IF(F349="COMMERCIAL",ROUND(P349*0.35,2),0)</f>
        <v>142.7</v>
      </c>
      <c r="Z349" s="23" t="str">
        <f aca="false">IF(F349="COMMERCIAL","VERIFY SIGNED AGREEMENT","NO EXCEPTION")</f>
        <v>VERIFY SIGNED AGREEMENT</v>
      </c>
      <c r="AA349" s="23" t="str">
        <f aca="false">IF(AND(C349="covered",N349&gt;40),"COVERED &gt;40 FT","")</f>
        <v/>
      </c>
      <c r="AB349" s="23" t="s">
        <v>4705</v>
      </c>
      <c r="AC349" s="23" t="s">
        <v>4858</v>
      </c>
      <c r="AD349" s="23" t="s">
        <v>2807</v>
      </c>
    </row>
    <row r="350" customFormat="false" ht="17.9" hidden="false" customHeight="false" outlineLevel="0" collapsed="false">
      <c r="A350" s="20" t="s">
        <v>4859</v>
      </c>
      <c r="B350" s="20" t="s">
        <v>119</v>
      </c>
      <c r="C350" s="20" t="s">
        <v>2798</v>
      </c>
      <c r="D350" s="20" t="s">
        <v>630</v>
      </c>
      <c r="E350" s="20" t="s">
        <v>4860</v>
      </c>
      <c r="F350" s="20" t="s">
        <v>2869</v>
      </c>
      <c r="G350" s="20" t="s">
        <v>3669</v>
      </c>
      <c r="H350" s="22" t="n">
        <v>43.6</v>
      </c>
      <c r="I350" s="22" t="n">
        <v>43.6</v>
      </c>
      <c r="J350" s="22" t="n">
        <f aca="false">H350-I350</f>
        <v>0</v>
      </c>
      <c r="K350" s="20" t="str">
        <f aca="false">IF(ABS(J350)&lt;0.001,"MATCH - PAPER CHECK-IN NOT SUPPLIED","DATA MISMATCH")</f>
        <v>MATCH - PAPER CHECK-IN NOT SUPPLIED</v>
      </c>
      <c r="L350" s="22" t="n">
        <v>50</v>
      </c>
      <c r="M350" s="22" t="n">
        <f aca="false">ROUNDUP(H350,0)</f>
        <v>44</v>
      </c>
      <c r="N350" s="24" t="n">
        <f aca="false">MAX(L350,M350)</f>
        <v>50</v>
      </c>
      <c r="O350" s="25" t="n">
        <v>7.55</v>
      </c>
      <c r="P350" s="25" t="n">
        <f aca="false">N350*O350</f>
        <v>377.5</v>
      </c>
      <c r="Q350" s="23"/>
      <c r="R350" s="23"/>
      <c r="S350" s="24"/>
      <c r="T350" s="25"/>
      <c r="U350" s="25" t="n">
        <v>0</v>
      </c>
      <c r="V350" s="25" t="n">
        <f aca="false">P350-U350</f>
        <v>377.5</v>
      </c>
      <c r="W350" s="25" t="n">
        <f aca="false">V350*12</f>
        <v>4530</v>
      </c>
      <c r="X350" s="23" t="str">
        <f aca="false">IF(Q350="","MISSING FROM EXPORT",IF(ABS(V350)&lt;0.005,"CLEAR",IF(V350&gt;0,"UNDERBILLING","OVERBILLING")))</f>
        <v>MISSING FROM EXPORT</v>
      </c>
      <c r="Y350" s="25" t="n">
        <f aca="false">IF(F350="COMMERCIAL",ROUND(P350*0.35,2),0)</f>
        <v>0</v>
      </c>
      <c r="Z350" s="23" t="str">
        <f aca="false">IF(F350="COMMERCIAL","VERIFY SIGNED AGREEMENT","NO EXCEPTION")</f>
        <v>NO EXCEPTION</v>
      </c>
      <c r="AA350" s="23" t="str">
        <f aca="false">IF(AND(C350="covered",N350&gt;40),"COVERED &gt;40 FT","")</f>
        <v/>
      </c>
      <c r="AB350" s="23" t="s">
        <v>4705</v>
      </c>
      <c r="AC350" s="23" t="s">
        <v>4861</v>
      </c>
      <c r="AD350" s="23" t="s">
        <v>2807</v>
      </c>
    </row>
    <row r="351" customFormat="false" ht="17.9" hidden="false" customHeight="false" outlineLevel="0" collapsed="false">
      <c r="A351" s="20" t="s">
        <v>592</v>
      </c>
      <c r="B351" s="20" t="s">
        <v>119</v>
      </c>
      <c r="C351" s="20" t="s">
        <v>2798</v>
      </c>
      <c r="D351" s="20" t="s">
        <v>4862</v>
      </c>
      <c r="E351" s="20" t="s">
        <v>4863</v>
      </c>
      <c r="F351" s="20" t="s">
        <v>2801</v>
      </c>
      <c r="G351" s="20" t="s">
        <v>3676</v>
      </c>
      <c r="H351" s="22" t="n">
        <v>58.6</v>
      </c>
      <c r="I351" s="22" t="n">
        <v>58.6</v>
      </c>
      <c r="J351" s="22" t="n">
        <f aca="false">H351-I351</f>
        <v>0</v>
      </c>
      <c r="K351" s="20" t="str">
        <f aca="false">IF(ABS(J351)&lt;0.001,"MATCH - PAPER CHECK-IN NOT SUPPLIED","DATA MISMATCH")</f>
        <v>MATCH - PAPER CHECK-IN NOT SUPPLIED</v>
      </c>
      <c r="L351" s="22" t="n">
        <v>24</v>
      </c>
      <c r="M351" s="22" t="n">
        <f aca="false">ROUNDUP(H351,0)</f>
        <v>59</v>
      </c>
      <c r="N351" s="24" t="n">
        <f aca="false">MAX(L351,M351)</f>
        <v>59</v>
      </c>
      <c r="O351" s="25" t="n">
        <v>7.55</v>
      </c>
      <c r="P351" s="25" t="n">
        <f aca="false">N351*O351</f>
        <v>445.45</v>
      </c>
      <c r="Q351" s="23"/>
      <c r="R351" s="23"/>
      <c r="S351" s="24"/>
      <c r="T351" s="25"/>
      <c r="U351" s="25" t="n">
        <v>0</v>
      </c>
      <c r="V351" s="25" t="n">
        <f aca="false">P351-U351</f>
        <v>445.45</v>
      </c>
      <c r="W351" s="25" t="n">
        <f aca="false">V351*12</f>
        <v>5345.4</v>
      </c>
      <c r="X351" s="23" t="str">
        <f aca="false">IF(Q351="","MISSING FROM EXPORT",IF(ABS(V351)&lt;0.005,"CLEAR",IF(V351&gt;0,"UNDERBILLING","OVERBILLING")))</f>
        <v>MISSING FROM EXPORT</v>
      </c>
      <c r="Y351" s="25" t="n">
        <f aca="false">IF(F351="COMMERCIAL",ROUND(P351*0.35,2),0)</f>
        <v>0</v>
      </c>
      <c r="Z351" s="23" t="str">
        <f aca="false">IF(F351="COMMERCIAL","VERIFY SIGNED AGREEMENT","NO EXCEPTION")</f>
        <v>NO EXCEPTION</v>
      </c>
      <c r="AA351" s="23" t="str">
        <f aca="false">IF(AND(C351="covered",N351&gt;40),"COVERED &gt;40 FT","")</f>
        <v/>
      </c>
      <c r="AB351" s="23" t="s">
        <v>4705</v>
      </c>
      <c r="AC351" s="23" t="s">
        <v>4864</v>
      </c>
      <c r="AD351" s="23" t="s">
        <v>2807</v>
      </c>
    </row>
    <row r="352" customFormat="false" ht="17.9" hidden="false" customHeight="false" outlineLevel="0" collapsed="false">
      <c r="A352" s="20" t="s">
        <v>4865</v>
      </c>
      <c r="B352" s="20" t="s">
        <v>119</v>
      </c>
      <c r="C352" s="20" t="s">
        <v>2798</v>
      </c>
      <c r="D352" s="20" t="s">
        <v>4866</v>
      </c>
      <c r="E352" s="20" t="s">
        <v>4867</v>
      </c>
      <c r="F352" s="20" t="s">
        <v>2857</v>
      </c>
      <c r="G352" s="20" t="s">
        <v>3683</v>
      </c>
      <c r="H352" s="22" t="n">
        <v>33.4</v>
      </c>
      <c r="I352" s="22" t="n">
        <v>33.4</v>
      </c>
      <c r="J352" s="22" t="n">
        <f aca="false">H352-I352</f>
        <v>0</v>
      </c>
      <c r="K352" s="20" t="str">
        <f aca="false">IF(ABS(J352)&lt;0.001,"MATCH - PAPER CHECK-IN NOT SUPPLIED","DATA MISMATCH")</f>
        <v>MATCH - PAPER CHECK-IN NOT SUPPLIED</v>
      </c>
      <c r="L352" s="22" t="n">
        <v>80</v>
      </c>
      <c r="M352" s="22" t="n">
        <f aca="false">ROUNDUP(H352,0)</f>
        <v>34</v>
      </c>
      <c r="N352" s="24" t="n">
        <f aca="false">MAX(L352,M352)</f>
        <v>80</v>
      </c>
      <c r="O352" s="25" t="n">
        <v>7.55</v>
      </c>
      <c r="P352" s="25" t="n">
        <f aca="false">N352*O352</f>
        <v>604</v>
      </c>
      <c r="Q352" s="23"/>
      <c r="R352" s="23"/>
      <c r="S352" s="24"/>
      <c r="T352" s="25"/>
      <c r="U352" s="25" t="n">
        <v>0</v>
      </c>
      <c r="V352" s="25" t="n">
        <f aca="false">P352-U352</f>
        <v>604</v>
      </c>
      <c r="W352" s="25" t="n">
        <f aca="false">V352*12</f>
        <v>7248</v>
      </c>
      <c r="X352" s="23" t="str">
        <f aca="false">IF(Q352="","MISSING FROM EXPORT",IF(ABS(V352)&lt;0.005,"CLEAR",IF(V352&gt;0,"UNDERBILLING","OVERBILLING")))</f>
        <v>MISSING FROM EXPORT</v>
      </c>
      <c r="Y352" s="25" t="n">
        <f aca="false">IF(F352="COMMERCIAL",ROUND(P352*0.35,2),0)</f>
        <v>0</v>
      </c>
      <c r="Z352" s="23" t="str">
        <f aca="false">IF(F352="COMMERCIAL","VERIFY SIGNED AGREEMENT","NO EXCEPTION")</f>
        <v>NO EXCEPTION</v>
      </c>
      <c r="AA352" s="23" t="str">
        <f aca="false">IF(AND(C352="covered",N352&gt;40),"COVERED &gt;40 FT","")</f>
        <v/>
      </c>
      <c r="AB352" s="23" t="s">
        <v>4705</v>
      </c>
      <c r="AC352" s="23" t="s">
        <v>4868</v>
      </c>
      <c r="AD352" s="23" t="s">
        <v>2807</v>
      </c>
    </row>
    <row r="353" customFormat="false" ht="17.9" hidden="false" customHeight="false" outlineLevel="0" collapsed="false">
      <c r="A353" s="20" t="s">
        <v>4869</v>
      </c>
      <c r="B353" s="20" t="s">
        <v>119</v>
      </c>
      <c r="C353" s="20" t="s">
        <v>2798</v>
      </c>
      <c r="D353" s="20" t="s">
        <v>4870</v>
      </c>
      <c r="E353" s="20" t="s">
        <v>4871</v>
      </c>
      <c r="F353" s="20" t="s">
        <v>2857</v>
      </c>
      <c r="G353" s="20" t="s">
        <v>4872</v>
      </c>
      <c r="H353" s="22" t="n">
        <v>39.3</v>
      </c>
      <c r="I353" s="22" t="n">
        <v>39.3</v>
      </c>
      <c r="J353" s="22" t="n">
        <f aca="false">H353-I353</f>
        <v>0</v>
      </c>
      <c r="K353" s="20" t="str">
        <f aca="false">IF(ABS(J353)&lt;0.001,"MATCH - PAPER CHECK-IN NOT SUPPLIED","DATA MISMATCH")</f>
        <v>MATCH - PAPER CHECK-IN NOT SUPPLIED</v>
      </c>
      <c r="L353" s="22" t="n">
        <v>24</v>
      </c>
      <c r="M353" s="22" t="n">
        <f aca="false">ROUNDUP(H353,0)</f>
        <v>40</v>
      </c>
      <c r="N353" s="24" t="n">
        <f aca="false">MAX(L353,M353)</f>
        <v>40</v>
      </c>
      <c r="O353" s="25" t="n">
        <v>7.55</v>
      </c>
      <c r="P353" s="25" t="n">
        <f aca="false">N353*O353</f>
        <v>302</v>
      </c>
      <c r="Q353" s="23"/>
      <c r="R353" s="23"/>
      <c r="S353" s="24"/>
      <c r="T353" s="25"/>
      <c r="U353" s="25" t="n">
        <v>0</v>
      </c>
      <c r="V353" s="25" t="n">
        <f aca="false">P353-U353</f>
        <v>302</v>
      </c>
      <c r="W353" s="25" t="n">
        <f aca="false">V353*12</f>
        <v>3624</v>
      </c>
      <c r="X353" s="23" t="str">
        <f aca="false">IF(Q353="","MISSING FROM EXPORT",IF(ABS(V353)&lt;0.005,"CLEAR",IF(V353&gt;0,"UNDERBILLING","OVERBILLING")))</f>
        <v>MISSING FROM EXPORT</v>
      </c>
      <c r="Y353" s="25" t="n">
        <f aca="false">IF(F353="COMMERCIAL",ROUND(P353*0.35,2),0)</f>
        <v>0</v>
      </c>
      <c r="Z353" s="23" t="str">
        <f aca="false">IF(F353="COMMERCIAL","VERIFY SIGNED AGREEMENT","NO EXCEPTION")</f>
        <v>NO EXCEPTION</v>
      </c>
      <c r="AA353" s="23" t="str">
        <f aca="false">IF(AND(C353="covered",N353&gt;40),"COVERED &gt;40 FT","")</f>
        <v/>
      </c>
      <c r="AB353" s="23" t="s">
        <v>4705</v>
      </c>
      <c r="AC353" s="23" t="s">
        <v>4873</v>
      </c>
      <c r="AD353" s="23" t="s">
        <v>2807</v>
      </c>
    </row>
    <row r="354" customFormat="false" ht="17.9" hidden="false" customHeight="false" outlineLevel="0" collapsed="false">
      <c r="A354" s="20" t="s">
        <v>118</v>
      </c>
      <c r="B354" s="20" t="s">
        <v>119</v>
      </c>
      <c r="C354" s="20" t="s">
        <v>2798</v>
      </c>
      <c r="D354" s="20" t="s">
        <v>1950</v>
      </c>
      <c r="E354" s="20" t="s">
        <v>1951</v>
      </c>
      <c r="F354" s="20" t="s">
        <v>2833</v>
      </c>
      <c r="G354" s="20" t="s">
        <v>3689</v>
      </c>
      <c r="H354" s="22" t="n">
        <v>28.7</v>
      </c>
      <c r="I354" s="22" t="n">
        <v>28.7</v>
      </c>
      <c r="J354" s="22" t="n">
        <f aca="false">H354-I354</f>
        <v>0</v>
      </c>
      <c r="K354" s="20" t="str">
        <f aca="false">IF(ABS(J354)&lt;0.001,"MATCH - PAPER CHECK-IN NOT SUPPLIED","DATA MISMATCH")</f>
        <v>MATCH - PAPER CHECK-IN NOT SUPPLIED</v>
      </c>
      <c r="L354" s="22" t="n">
        <v>70</v>
      </c>
      <c r="M354" s="22" t="n">
        <f aca="false">ROUNDUP(H354,0)</f>
        <v>29</v>
      </c>
      <c r="N354" s="24" t="n">
        <f aca="false">MAX(L354,M354)</f>
        <v>70</v>
      </c>
      <c r="O354" s="25" t="n">
        <v>7.55</v>
      </c>
      <c r="P354" s="25" t="n">
        <f aca="false">N354*O354</f>
        <v>528.5</v>
      </c>
      <c r="Q354" s="23"/>
      <c r="R354" s="23"/>
      <c r="S354" s="24"/>
      <c r="T354" s="25"/>
      <c r="U354" s="25" t="n">
        <v>0</v>
      </c>
      <c r="V354" s="25" t="n">
        <f aca="false">P354-U354</f>
        <v>528.5</v>
      </c>
      <c r="W354" s="25" t="n">
        <f aca="false">V354*12</f>
        <v>6342</v>
      </c>
      <c r="X354" s="23" t="str">
        <f aca="false">IF(Q354="","MISSING FROM EXPORT",IF(ABS(V354)&lt;0.005,"CLEAR",IF(V354&gt;0,"UNDERBILLING","OVERBILLING")))</f>
        <v>MISSING FROM EXPORT</v>
      </c>
      <c r="Y354" s="25" t="n">
        <f aca="false">IF(F354="COMMERCIAL",ROUND(P354*0.35,2),0)</f>
        <v>0</v>
      </c>
      <c r="Z354" s="23" t="str">
        <f aca="false">IF(F354="COMMERCIAL","VERIFY SIGNED AGREEMENT","NO EXCEPTION")</f>
        <v>NO EXCEPTION</v>
      </c>
      <c r="AA354" s="23" t="str">
        <f aca="false">IF(AND(C354="covered",N354&gt;40),"COVERED &gt;40 FT","")</f>
        <v/>
      </c>
      <c r="AB354" s="23" t="s">
        <v>4705</v>
      </c>
      <c r="AC354" s="23" t="s">
        <v>4874</v>
      </c>
      <c r="AD354" s="23" t="s">
        <v>2807</v>
      </c>
    </row>
    <row r="355" customFormat="false" ht="17.9" hidden="false" customHeight="false" outlineLevel="0" collapsed="false">
      <c r="A355" s="20" t="s">
        <v>4875</v>
      </c>
      <c r="B355" s="20" t="s">
        <v>119</v>
      </c>
      <c r="C355" s="20" t="s">
        <v>2798</v>
      </c>
      <c r="D355" s="20" t="s">
        <v>4876</v>
      </c>
      <c r="E355" s="20" t="s">
        <v>4877</v>
      </c>
      <c r="F355" s="20" t="s">
        <v>2869</v>
      </c>
      <c r="G355" s="20" t="s">
        <v>3701</v>
      </c>
      <c r="H355" s="22" t="n">
        <v>43.8</v>
      </c>
      <c r="I355" s="22" t="n">
        <v>43.8</v>
      </c>
      <c r="J355" s="22" t="n">
        <f aca="false">H355-I355</f>
        <v>0</v>
      </c>
      <c r="K355" s="20" t="str">
        <f aca="false">IF(ABS(J355)&lt;0.001,"MATCH - PAPER CHECK-IN NOT SUPPLIED","DATA MISMATCH")</f>
        <v>MATCH - PAPER CHECK-IN NOT SUPPLIED</v>
      </c>
      <c r="L355" s="22" t="n">
        <v>36</v>
      </c>
      <c r="M355" s="22" t="n">
        <f aca="false">ROUNDUP(H355,0)</f>
        <v>44</v>
      </c>
      <c r="N355" s="24" t="n">
        <f aca="false">MAX(L355,M355)</f>
        <v>44</v>
      </c>
      <c r="O355" s="25" t="n">
        <v>7.55</v>
      </c>
      <c r="P355" s="25" t="n">
        <f aca="false">N355*O355</f>
        <v>332.2</v>
      </c>
      <c r="Q355" s="23"/>
      <c r="R355" s="23"/>
      <c r="S355" s="24"/>
      <c r="T355" s="25"/>
      <c r="U355" s="25" t="n">
        <v>0</v>
      </c>
      <c r="V355" s="25" t="n">
        <f aca="false">P355-U355</f>
        <v>332.2</v>
      </c>
      <c r="W355" s="25" t="n">
        <f aca="false">V355*12</f>
        <v>3986.4</v>
      </c>
      <c r="X355" s="23" t="str">
        <f aca="false">IF(Q355="","MISSING FROM EXPORT",IF(ABS(V355)&lt;0.005,"CLEAR",IF(V355&gt;0,"UNDERBILLING","OVERBILLING")))</f>
        <v>MISSING FROM EXPORT</v>
      </c>
      <c r="Y355" s="25" t="n">
        <f aca="false">IF(F355="COMMERCIAL",ROUND(P355*0.35,2),0)</f>
        <v>0</v>
      </c>
      <c r="Z355" s="23" t="str">
        <f aca="false">IF(F355="COMMERCIAL","VERIFY SIGNED AGREEMENT","NO EXCEPTION")</f>
        <v>NO EXCEPTION</v>
      </c>
      <c r="AA355" s="23" t="str">
        <f aca="false">IF(AND(C355="covered",N355&gt;40),"COVERED &gt;40 FT","")</f>
        <v/>
      </c>
      <c r="AB355" s="23" t="s">
        <v>4705</v>
      </c>
      <c r="AC355" s="23" t="s">
        <v>4878</v>
      </c>
      <c r="AD355" s="23" t="s">
        <v>2807</v>
      </c>
    </row>
    <row r="356" customFormat="false" ht="17.9" hidden="false" customHeight="false" outlineLevel="0" collapsed="false">
      <c r="A356" s="20" t="s">
        <v>4879</v>
      </c>
      <c r="B356" s="20" t="s">
        <v>119</v>
      </c>
      <c r="C356" s="20" t="s">
        <v>2798</v>
      </c>
      <c r="D356" s="20" t="s">
        <v>4880</v>
      </c>
      <c r="E356" s="20" t="s">
        <v>4881</v>
      </c>
      <c r="F356" s="20" t="s">
        <v>2833</v>
      </c>
      <c r="G356" s="20" t="s">
        <v>4882</v>
      </c>
      <c r="H356" s="22" t="n">
        <v>40.5</v>
      </c>
      <c r="I356" s="22" t="n">
        <v>40.5</v>
      </c>
      <c r="J356" s="22" t="n">
        <f aca="false">H356-I356</f>
        <v>0</v>
      </c>
      <c r="K356" s="20" t="str">
        <f aca="false">IF(ABS(J356)&lt;0.001,"MATCH - PAPER CHECK-IN NOT SUPPLIED","DATA MISMATCH")</f>
        <v>MATCH - PAPER CHECK-IN NOT SUPPLIED</v>
      </c>
      <c r="L356" s="22" t="n">
        <v>45</v>
      </c>
      <c r="M356" s="22" t="n">
        <f aca="false">ROUNDUP(H356,0)</f>
        <v>41</v>
      </c>
      <c r="N356" s="24" t="n">
        <f aca="false">MAX(L356,M356)</f>
        <v>45</v>
      </c>
      <c r="O356" s="25" t="n">
        <v>7.55</v>
      </c>
      <c r="P356" s="25" t="n">
        <f aca="false">N356*O356</f>
        <v>339.75</v>
      </c>
      <c r="Q356" s="23"/>
      <c r="R356" s="23"/>
      <c r="S356" s="24"/>
      <c r="T356" s="25"/>
      <c r="U356" s="25" t="n">
        <v>0</v>
      </c>
      <c r="V356" s="25" t="n">
        <f aca="false">P356-U356</f>
        <v>339.75</v>
      </c>
      <c r="W356" s="25" t="n">
        <f aca="false">V356*12</f>
        <v>4077</v>
      </c>
      <c r="X356" s="23" t="str">
        <f aca="false">IF(Q356="","MISSING FROM EXPORT",IF(ABS(V356)&lt;0.005,"CLEAR",IF(V356&gt;0,"UNDERBILLING","OVERBILLING")))</f>
        <v>MISSING FROM EXPORT</v>
      </c>
      <c r="Y356" s="25" t="n">
        <f aca="false">IF(F356="COMMERCIAL",ROUND(P356*0.35,2),0)</f>
        <v>0</v>
      </c>
      <c r="Z356" s="23" t="str">
        <f aca="false">IF(F356="COMMERCIAL","VERIFY SIGNED AGREEMENT","NO EXCEPTION")</f>
        <v>NO EXCEPTION</v>
      </c>
      <c r="AA356" s="23" t="str">
        <f aca="false">IF(AND(C356="covered",N356&gt;40),"COVERED &gt;40 FT","")</f>
        <v/>
      </c>
      <c r="AB356" s="23" t="s">
        <v>4705</v>
      </c>
      <c r="AC356" s="23" t="s">
        <v>4883</v>
      </c>
      <c r="AD356" s="23" t="s">
        <v>2807</v>
      </c>
    </row>
    <row r="357" customFormat="false" ht="17.9" hidden="false" customHeight="false" outlineLevel="0" collapsed="false">
      <c r="A357" s="20" t="s">
        <v>4884</v>
      </c>
      <c r="B357" s="20" t="s">
        <v>119</v>
      </c>
      <c r="C357" s="20" t="s">
        <v>2798</v>
      </c>
      <c r="D357" s="20" t="s">
        <v>1189</v>
      </c>
      <c r="E357" s="20" t="s">
        <v>4885</v>
      </c>
      <c r="F357" s="20" t="s">
        <v>2934</v>
      </c>
      <c r="G357" s="20" t="s">
        <v>3708</v>
      </c>
      <c r="H357" s="22" t="n">
        <v>48.3</v>
      </c>
      <c r="I357" s="22" t="n">
        <v>48.3</v>
      </c>
      <c r="J357" s="22" t="n">
        <f aca="false">H357-I357</f>
        <v>0</v>
      </c>
      <c r="K357" s="20" t="str">
        <f aca="false">IF(ABS(J357)&lt;0.001,"MATCH - PAPER CHECK-IN NOT SUPPLIED","DATA MISMATCH")</f>
        <v>MATCH - PAPER CHECK-IN NOT SUPPLIED</v>
      </c>
      <c r="L357" s="22" t="n">
        <v>45</v>
      </c>
      <c r="M357" s="22" t="n">
        <f aca="false">ROUNDUP(H357,0)</f>
        <v>49</v>
      </c>
      <c r="N357" s="24" t="n">
        <f aca="false">MAX(L357,M357)</f>
        <v>49</v>
      </c>
      <c r="O357" s="25" t="n">
        <v>7.55</v>
      </c>
      <c r="P357" s="25" t="n">
        <f aca="false">N357*O357</f>
        <v>369.95</v>
      </c>
      <c r="Q357" s="23"/>
      <c r="R357" s="23"/>
      <c r="S357" s="24"/>
      <c r="T357" s="25"/>
      <c r="U357" s="25" t="n">
        <v>0</v>
      </c>
      <c r="V357" s="25" t="n">
        <f aca="false">P357-U357</f>
        <v>369.95</v>
      </c>
      <c r="W357" s="25" t="n">
        <f aca="false">V357*12</f>
        <v>4439.4</v>
      </c>
      <c r="X357" s="23" t="str">
        <f aca="false">IF(Q357="","MISSING FROM EXPORT",IF(ABS(V357)&lt;0.005,"CLEAR",IF(V357&gt;0,"UNDERBILLING","OVERBILLING")))</f>
        <v>MISSING FROM EXPORT</v>
      </c>
      <c r="Y357" s="25" t="n">
        <f aca="false">IF(F357="COMMERCIAL",ROUND(P357*0.35,2),0)</f>
        <v>129.48</v>
      </c>
      <c r="Z357" s="23" t="str">
        <f aca="false">IF(F357="COMMERCIAL","VERIFY SIGNED AGREEMENT","NO EXCEPTION")</f>
        <v>VERIFY SIGNED AGREEMENT</v>
      </c>
      <c r="AA357" s="23" t="str">
        <f aca="false">IF(AND(C357="covered",N357&gt;40),"COVERED &gt;40 FT","")</f>
        <v/>
      </c>
      <c r="AB357" s="23" t="s">
        <v>4705</v>
      </c>
      <c r="AC357" s="23" t="s">
        <v>4886</v>
      </c>
      <c r="AD357" s="23" t="s">
        <v>2807</v>
      </c>
    </row>
    <row r="358" customFormat="false" ht="17.9" hidden="false" customHeight="false" outlineLevel="0" collapsed="false">
      <c r="A358" s="20" t="s">
        <v>4887</v>
      </c>
      <c r="B358" s="20" t="s">
        <v>119</v>
      </c>
      <c r="C358" s="20" t="s">
        <v>2798</v>
      </c>
      <c r="D358" s="20" t="s">
        <v>4888</v>
      </c>
      <c r="E358" s="20" t="s">
        <v>4889</v>
      </c>
      <c r="F358" s="20" t="s">
        <v>2857</v>
      </c>
      <c r="G358" s="20" t="s">
        <v>3715</v>
      </c>
      <c r="H358" s="22" t="n">
        <v>45</v>
      </c>
      <c r="I358" s="22" t="n">
        <v>45</v>
      </c>
      <c r="J358" s="22" t="n">
        <f aca="false">H358-I358</f>
        <v>0</v>
      </c>
      <c r="K358" s="20" t="str">
        <f aca="false">IF(ABS(J358)&lt;0.001,"MATCH - PAPER CHECK-IN NOT SUPPLIED","DATA MISMATCH")</f>
        <v>MATCH - PAPER CHECK-IN NOT SUPPLIED</v>
      </c>
      <c r="L358" s="22" t="n">
        <v>80</v>
      </c>
      <c r="M358" s="22" t="n">
        <f aca="false">ROUNDUP(H358,0)</f>
        <v>45</v>
      </c>
      <c r="N358" s="24" t="n">
        <f aca="false">MAX(L358,M358)</f>
        <v>80</v>
      </c>
      <c r="O358" s="25" t="n">
        <v>7.55</v>
      </c>
      <c r="P358" s="25" t="n">
        <f aca="false">N358*O358</f>
        <v>604</v>
      </c>
      <c r="Q358" s="23"/>
      <c r="R358" s="23"/>
      <c r="S358" s="24"/>
      <c r="T358" s="25"/>
      <c r="U358" s="25" t="n">
        <v>0</v>
      </c>
      <c r="V358" s="25" t="n">
        <f aca="false">P358-U358</f>
        <v>604</v>
      </c>
      <c r="W358" s="25" t="n">
        <f aca="false">V358*12</f>
        <v>7248</v>
      </c>
      <c r="X358" s="23" t="str">
        <f aca="false">IF(Q358="","MISSING FROM EXPORT",IF(ABS(V358)&lt;0.005,"CLEAR",IF(V358&gt;0,"UNDERBILLING","OVERBILLING")))</f>
        <v>MISSING FROM EXPORT</v>
      </c>
      <c r="Y358" s="25" t="n">
        <f aca="false">IF(F358="COMMERCIAL",ROUND(P358*0.35,2),0)</f>
        <v>0</v>
      </c>
      <c r="Z358" s="23" t="str">
        <f aca="false">IF(F358="COMMERCIAL","VERIFY SIGNED AGREEMENT","NO EXCEPTION")</f>
        <v>NO EXCEPTION</v>
      </c>
      <c r="AA358" s="23" t="str">
        <f aca="false">IF(AND(C358="covered",N358&gt;40),"COVERED &gt;40 FT","")</f>
        <v/>
      </c>
      <c r="AB358" s="23" t="s">
        <v>4705</v>
      </c>
      <c r="AC358" s="23" t="s">
        <v>4890</v>
      </c>
      <c r="AD358" s="23" t="s">
        <v>2807</v>
      </c>
    </row>
    <row r="359" customFormat="false" ht="17.9" hidden="false" customHeight="false" outlineLevel="0" collapsed="false">
      <c r="A359" s="20" t="s">
        <v>4891</v>
      </c>
      <c r="B359" s="20" t="s">
        <v>119</v>
      </c>
      <c r="C359" s="20" t="s">
        <v>2798</v>
      </c>
      <c r="D359" s="20" t="s">
        <v>4892</v>
      </c>
      <c r="E359" s="20" t="s">
        <v>4893</v>
      </c>
      <c r="F359" s="20" t="s">
        <v>2833</v>
      </c>
      <c r="G359" s="20" t="s">
        <v>3722</v>
      </c>
      <c r="H359" s="22" t="n">
        <v>40.5</v>
      </c>
      <c r="I359" s="22" t="n">
        <v>40.5</v>
      </c>
      <c r="J359" s="22" t="n">
        <f aca="false">H359-I359</f>
        <v>0</v>
      </c>
      <c r="K359" s="20" t="str">
        <f aca="false">IF(ABS(J359)&lt;0.001,"MATCH - PAPER CHECK-IN NOT SUPPLIED","DATA MISMATCH")</f>
        <v>MATCH - PAPER CHECK-IN NOT SUPPLIED</v>
      </c>
      <c r="L359" s="22" t="n">
        <v>28</v>
      </c>
      <c r="M359" s="22" t="n">
        <f aca="false">ROUNDUP(H359,0)</f>
        <v>41</v>
      </c>
      <c r="N359" s="24" t="n">
        <f aca="false">MAX(L359,M359)</f>
        <v>41</v>
      </c>
      <c r="O359" s="25" t="n">
        <v>7.55</v>
      </c>
      <c r="P359" s="25" t="n">
        <f aca="false">N359*O359</f>
        <v>309.55</v>
      </c>
      <c r="Q359" s="23"/>
      <c r="R359" s="23"/>
      <c r="S359" s="24"/>
      <c r="T359" s="25"/>
      <c r="U359" s="25" t="n">
        <v>0</v>
      </c>
      <c r="V359" s="25" t="n">
        <f aca="false">P359-U359</f>
        <v>309.55</v>
      </c>
      <c r="W359" s="25" t="n">
        <f aca="false">V359*12</f>
        <v>3714.6</v>
      </c>
      <c r="X359" s="23" t="str">
        <f aca="false">IF(Q359="","MISSING FROM EXPORT",IF(ABS(V359)&lt;0.005,"CLEAR",IF(V359&gt;0,"UNDERBILLING","OVERBILLING")))</f>
        <v>MISSING FROM EXPORT</v>
      </c>
      <c r="Y359" s="25" t="n">
        <f aca="false">IF(F359="COMMERCIAL",ROUND(P359*0.35,2),0)</f>
        <v>0</v>
      </c>
      <c r="Z359" s="23" t="str">
        <f aca="false">IF(F359="COMMERCIAL","VERIFY SIGNED AGREEMENT","NO EXCEPTION")</f>
        <v>NO EXCEPTION</v>
      </c>
      <c r="AA359" s="23" t="str">
        <f aca="false">IF(AND(C359="covered",N359&gt;40),"COVERED &gt;40 FT","")</f>
        <v/>
      </c>
      <c r="AB359" s="23" t="s">
        <v>4705</v>
      </c>
      <c r="AC359" s="23" t="s">
        <v>4894</v>
      </c>
      <c r="AD359" s="23" t="s">
        <v>2807</v>
      </c>
    </row>
    <row r="360" customFormat="false" ht="17.9" hidden="false" customHeight="false" outlineLevel="0" collapsed="false">
      <c r="A360" s="20" t="s">
        <v>4895</v>
      </c>
      <c r="B360" s="20" t="s">
        <v>119</v>
      </c>
      <c r="C360" s="20" t="s">
        <v>2798</v>
      </c>
      <c r="D360" s="20" t="s">
        <v>4896</v>
      </c>
      <c r="E360" s="20" t="s">
        <v>4897</v>
      </c>
      <c r="F360" s="20" t="s">
        <v>2818</v>
      </c>
      <c r="G360" s="20" t="s">
        <v>3729</v>
      </c>
      <c r="H360" s="22" t="n">
        <v>34.6</v>
      </c>
      <c r="I360" s="22" t="n">
        <v>34.6</v>
      </c>
      <c r="J360" s="22" t="n">
        <f aca="false">H360-I360</f>
        <v>0</v>
      </c>
      <c r="K360" s="20" t="str">
        <f aca="false">IF(ABS(J360)&lt;0.001,"MATCH - PAPER CHECK-IN NOT SUPPLIED","DATA MISMATCH")</f>
        <v>MATCH - PAPER CHECK-IN NOT SUPPLIED</v>
      </c>
      <c r="L360" s="22" t="n">
        <v>24</v>
      </c>
      <c r="M360" s="22" t="n">
        <f aca="false">ROUNDUP(H360,0)</f>
        <v>35</v>
      </c>
      <c r="N360" s="24" t="n">
        <f aca="false">MAX(L360,M360)</f>
        <v>35</v>
      </c>
      <c r="O360" s="25" t="n">
        <v>7.55</v>
      </c>
      <c r="P360" s="25" t="n">
        <f aca="false">N360*O360</f>
        <v>264.25</v>
      </c>
      <c r="Q360" s="23"/>
      <c r="R360" s="23"/>
      <c r="S360" s="24"/>
      <c r="T360" s="25"/>
      <c r="U360" s="25" t="n">
        <v>0</v>
      </c>
      <c r="V360" s="25" t="n">
        <f aca="false">P360-U360</f>
        <v>264.25</v>
      </c>
      <c r="W360" s="25" t="n">
        <f aca="false">V360*12</f>
        <v>3171</v>
      </c>
      <c r="X360" s="23" t="str">
        <f aca="false">IF(Q360="","MISSING FROM EXPORT",IF(ABS(V360)&lt;0.005,"CLEAR",IF(V360&gt;0,"UNDERBILLING","OVERBILLING")))</f>
        <v>MISSING FROM EXPORT</v>
      </c>
      <c r="Y360" s="25" t="n">
        <f aca="false">IF(F360="COMMERCIAL",ROUND(P360*0.35,2),0)</f>
        <v>0</v>
      </c>
      <c r="Z360" s="23" t="str">
        <f aca="false">IF(F360="COMMERCIAL","VERIFY SIGNED AGREEMENT","NO EXCEPTION")</f>
        <v>NO EXCEPTION</v>
      </c>
      <c r="AA360" s="23" t="str">
        <f aca="false">IF(AND(C360="covered",N360&gt;40),"COVERED &gt;40 FT","")</f>
        <v/>
      </c>
      <c r="AB360" s="23" t="s">
        <v>4705</v>
      </c>
      <c r="AC360" s="23" t="s">
        <v>4898</v>
      </c>
      <c r="AD360" s="23" t="s">
        <v>2807</v>
      </c>
    </row>
    <row r="361" customFormat="false" ht="17.9" hidden="false" customHeight="false" outlineLevel="0" collapsed="false">
      <c r="A361" s="20" t="s">
        <v>4899</v>
      </c>
      <c r="B361" s="20" t="s">
        <v>119</v>
      </c>
      <c r="C361" s="20" t="s">
        <v>2798</v>
      </c>
      <c r="D361" s="20" t="s">
        <v>4900</v>
      </c>
      <c r="E361" s="20" t="s">
        <v>4901</v>
      </c>
      <c r="F361" s="20" t="s">
        <v>2818</v>
      </c>
      <c r="G361" s="20" t="s">
        <v>3735</v>
      </c>
      <c r="H361" s="22" t="n">
        <v>27.9</v>
      </c>
      <c r="I361" s="22" t="n">
        <v>27.9</v>
      </c>
      <c r="J361" s="22" t="n">
        <f aca="false">H361-I361</f>
        <v>0</v>
      </c>
      <c r="K361" s="20" t="str">
        <f aca="false">IF(ABS(J361)&lt;0.001,"MATCH - PAPER CHECK-IN NOT SUPPLIED","DATA MISMATCH")</f>
        <v>MATCH - PAPER CHECK-IN NOT SUPPLIED</v>
      </c>
      <c r="L361" s="22" t="n">
        <v>24</v>
      </c>
      <c r="M361" s="22" t="n">
        <f aca="false">ROUNDUP(H361,0)</f>
        <v>28</v>
      </c>
      <c r="N361" s="24" t="n">
        <f aca="false">MAX(L361,M361)</f>
        <v>28</v>
      </c>
      <c r="O361" s="25" t="n">
        <v>7.55</v>
      </c>
      <c r="P361" s="25" t="n">
        <f aca="false">N361*O361</f>
        <v>211.4</v>
      </c>
      <c r="Q361" s="23"/>
      <c r="R361" s="23"/>
      <c r="S361" s="24"/>
      <c r="T361" s="25"/>
      <c r="U361" s="25" t="n">
        <v>0</v>
      </c>
      <c r="V361" s="25" t="n">
        <f aca="false">P361-U361</f>
        <v>211.4</v>
      </c>
      <c r="W361" s="25" t="n">
        <f aca="false">V361*12</f>
        <v>2536.8</v>
      </c>
      <c r="X361" s="23" t="str">
        <f aca="false">IF(Q361="","MISSING FROM EXPORT",IF(ABS(V361)&lt;0.005,"CLEAR",IF(V361&gt;0,"UNDERBILLING","OVERBILLING")))</f>
        <v>MISSING FROM EXPORT</v>
      </c>
      <c r="Y361" s="25" t="n">
        <f aca="false">IF(F361="COMMERCIAL",ROUND(P361*0.35,2),0)</f>
        <v>0</v>
      </c>
      <c r="Z361" s="23" t="str">
        <f aca="false">IF(F361="COMMERCIAL","VERIFY SIGNED AGREEMENT","NO EXCEPTION")</f>
        <v>NO EXCEPTION</v>
      </c>
      <c r="AA361" s="23" t="str">
        <f aca="false">IF(AND(C361="covered",N361&gt;40),"COVERED &gt;40 FT","")</f>
        <v/>
      </c>
      <c r="AB361" s="23" t="s">
        <v>4705</v>
      </c>
      <c r="AC361" s="23" t="s">
        <v>4902</v>
      </c>
      <c r="AD361" s="23" t="s">
        <v>2807</v>
      </c>
    </row>
    <row r="362" customFormat="false" ht="17.9" hidden="false" customHeight="false" outlineLevel="0" collapsed="false">
      <c r="A362" s="20" t="s">
        <v>4903</v>
      </c>
      <c r="B362" s="20" t="s">
        <v>119</v>
      </c>
      <c r="C362" s="20" t="s">
        <v>2798</v>
      </c>
      <c r="D362" s="20" t="s">
        <v>4904</v>
      </c>
      <c r="E362" s="20" t="s">
        <v>4905</v>
      </c>
      <c r="F362" s="20" t="s">
        <v>2934</v>
      </c>
      <c r="G362" s="20" t="s">
        <v>3742</v>
      </c>
      <c r="H362" s="22" t="n">
        <v>49.7</v>
      </c>
      <c r="I362" s="22" t="n">
        <v>49.7</v>
      </c>
      <c r="J362" s="22" t="n">
        <f aca="false">H362-I362</f>
        <v>0</v>
      </c>
      <c r="K362" s="20" t="str">
        <f aca="false">IF(ABS(J362)&lt;0.001,"MATCH - PAPER CHECK-IN NOT SUPPLIED","DATA MISMATCH")</f>
        <v>MATCH - PAPER CHECK-IN NOT SUPPLIED</v>
      </c>
      <c r="L362" s="22" t="n">
        <v>60</v>
      </c>
      <c r="M362" s="22" t="n">
        <f aca="false">ROUNDUP(H362,0)</f>
        <v>50</v>
      </c>
      <c r="N362" s="24" t="n">
        <f aca="false">MAX(L362,M362)</f>
        <v>60</v>
      </c>
      <c r="O362" s="25" t="n">
        <v>7.55</v>
      </c>
      <c r="P362" s="25" t="n">
        <f aca="false">N362*O362</f>
        <v>453</v>
      </c>
      <c r="Q362" s="23"/>
      <c r="R362" s="23"/>
      <c r="S362" s="24"/>
      <c r="T362" s="25"/>
      <c r="U362" s="25" t="n">
        <v>0</v>
      </c>
      <c r="V362" s="25" t="n">
        <f aca="false">P362-U362</f>
        <v>453</v>
      </c>
      <c r="W362" s="25" t="n">
        <f aca="false">V362*12</f>
        <v>5436</v>
      </c>
      <c r="X362" s="23" t="str">
        <f aca="false">IF(Q362="","MISSING FROM EXPORT",IF(ABS(V362)&lt;0.005,"CLEAR",IF(V362&gt;0,"UNDERBILLING","OVERBILLING")))</f>
        <v>MISSING FROM EXPORT</v>
      </c>
      <c r="Y362" s="25" t="n">
        <f aca="false">IF(F362="COMMERCIAL",ROUND(P362*0.35,2),0)</f>
        <v>158.55</v>
      </c>
      <c r="Z362" s="23" t="str">
        <f aca="false">IF(F362="COMMERCIAL","VERIFY SIGNED AGREEMENT","NO EXCEPTION")</f>
        <v>VERIFY SIGNED AGREEMENT</v>
      </c>
      <c r="AA362" s="23" t="str">
        <f aca="false">IF(AND(C362="covered",N362&gt;40),"COVERED &gt;40 FT","")</f>
        <v/>
      </c>
      <c r="AB362" s="23" t="s">
        <v>4705</v>
      </c>
      <c r="AC362" s="23" t="s">
        <v>4906</v>
      </c>
      <c r="AD362" s="23" t="s">
        <v>2807</v>
      </c>
    </row>
    <row r="363" customFormat="false" ht="17.9" hidden="false" customHeight="false" outlineLevel="0" collapsed="false">
      <c r="A363" s="20" t="s">
        <v>417</v>
      </c>
      <c r="B363" s="20" t="s">
        <v>119</v>
      </c>
      <c r="C363" s="20" t="s">
        <v>2798</v>
      </c>
      <c r="D363" s="20" t="s">
        <v>4907</v>
      </c>
      <c r="E363" s="20" t="s">
        <v>4908</v>
      </c>
      <c r="F363" s="20" t="s">
        <v>2857</v>
      </c>
      <c r="G363" s="20" t="s">
        <v>3754</v>
      </c>
      <c r="H363" s="22" t="n">
        <v>42</v>
      </c>
      <c r="I363" s="22" t="n">
        <v>42</v>
      </c>
      <c r="J363" s="22" t="n">
        <f aca="false">H363-I363</f>
        <v>0</v>
      </c>
      <c r="K363" s="20" t="str">
        <f aca="false">IF(ABS(J363)&lt;0.001,"MATCH - PAPER CHECK-IN NOT SUPPLIED","DATA MISMATCH")</f>
        <v>MATCH - PAPER CHECK-IN NOT SUPPLIED</v>
      </c>
      <c r="L363" s="22" t="n">
        <v>50</v>
      </c>
      <c r="M363" s="22" t="n">
        <f aca="false">ROUNDUP(H363,0)</f>
        <v>42</v>
      </c>
      <c r="N363" s="24" t="n">
        <f aca="false">MAX(L363,M363)</f>
        <v>50</v>
      </c>
      <c r="O363" s="25" t="n">
        <v>7.55</v>
      </c>
      <c r="P363" s="25" t="n">
        <f aca="false">N363*O363</f>
        <v>377.5</v>
      </c>
      <c r="Q363" s="23"/>
      <c r="R363" s="23"/>
      <c r="S363" s="24"/>
      <c r="T363" s="25"/>
      <c r="U363" s="25" t="n">
        <v>0</v>
      </c>
      <c r="V363" s="25" t="n">
        <f aca="false">P363-U363</f>
        <v>377.5</v>
      </c>
      <c r="W363" s="25" t="n">
        <f aca="false">V363*12</f>
        <v>4530</v>
      </c>
      <c r="X363" s="23" t="str">
        <f aca="false">IF(Q363="","MISSING FROM EXPORT",IF(ABS(V363)&lt;0.005,"CLEAR",IF(V363&gt;0,"UNDERBILLING","OVERBILLING")))</f>
        <v>MISSING FROM EXPORT</v>
      </c>
      <c r="Y363" s="25" t="n">
        <f aca="false">IF(F363="COMMERCIAL",ROUND(P363*0.35,2),0)</f>
        <v>0</v>
      </c>
      <c r="Z363" s="23" t="str">
        <f aca="false">IF(F363="COMMERCIAL","VERIFY SIGNED AGREEMENT","NO EXCEPTION")</f>
        <v>NO EXCEPTION</v>
      </c>
      <c r="AA363" s="23" t="str">
        <f aca="false">IF(AND(C363="covered",N363&gt;40),"COVERED &gt;40 FT","")</f>
        <v/>
      </c>
      <c r="AB363" s="23" t="s">
        <v>4705</v>
      </c>
      <c r="AC363" s="23" t="s">
        <v>4909</v>
      </c>
      <c r="AD363" s="23" t="s">
        <v>2807</v>
      </c>
    </row>
    <row r="364" customFormat="false" ht="17.9" hidden="false" customHeight="false" outlineLevel="0" collapsed="false">
      <c r="A364" s="20" t="s">
        <v>4910</v>
      </c>
      <c r="B364" s="20" t="s">
        <v>119</v>
      </c>
      <c r="C364" s="20" t="s">
        <v>2798</v>
      </c>
      <c r="D364" s="20" t="s">
        <v>4911</v>
      </c>
      <c r="E364" s="20" t="s">
        <v>4912</v>
      </c>
      <c r="F364" s="20" t="s">
        <v>2934</v>
      </c>
      <c r="G364" s="20" t="s">
        <v>3761</v>
      </c>
      <c r="H364" s="22" t="n">
        <v>37.4</v>
      </c>
      <c r="I364" s="22" t="n">
        <v>37.4</v>
      </c>
      <c r="J364" s="22" t="n">
        <f aca="false">H364-I364</f>
        <v>0</v>
      </c>
      <c r="K364" s="20" t="str">
        <f aca="false">IF(ABS(J364)&lt;0.001,"MATCH - PAPER CHECK-IN NOT SUPPLIED","DATA MISMATCH")</f>
        <v>MATCH - PAPER CHECK-IN NOT SUPPLIED</v>
      </c>
      <c r="L364" s="22" t="n">
        <v>50</v>
      </c>
      <c r="M364" s="22" t="n">
        <f aca="false">ROUNDUP(H364,0)</f>
        <v>38</v>
      </c>
      <c r="N364" s="24" t="n">
        <f aca="false">MAX(L364,M364)</f>
        <v>50</v>
      </c>
      <c r="O364" s="25" t="n">
        <v>7.55</v>
      </c>
      <c r="P364" s="25" t="n">
        <f aca="false">N364*O364</f>
        <v>377.5</v>
      </c>
      <c r="Q364" s="23"/>
      <c r="R364" s="23"/>
      <c r="S364" s="24"/>
      <c r="T364" s="25"/>
      <c r="U364" s="25" t="n">
        <v>0</v>
      </c>
      <c r="V364" s="25" t="n">
        <f aca="false">P364-U364</f>
        <v>377.5</v>
      </c>
      <c r="W364" s="25" t="n">
        <f aca="false">V364*12</f>
        <v>4530</v>
      </c>
      <c r="X364" s="23" t="str">
        <f aca="false">IF(Q364="","MISSING FROM EXPORT",IF(ABS(V364)&lt;0.005,"CLEAR",IF(V364&gt;0,"UNDERBILLING","OVERBILLING")))</f>
        <v>MISSING FROM EXPORT</v>
      </c>
      <c r="Y364" s="25" t="n">
        <f aca="false">IF(F364="COMMERCIAL",ROUND(P364*0.35,2),0)</f>
        <v>132.13</v>
      </c>
      <c r="Z364" s="23" t="str">
        <f aca="false">IF(F364="COMMERCIAL","VERIFY SIGNED AGREEMENT","NO EXCEPTION")</f>
        <v>VERIFY SIGNED AGREEMENT</v>
      </c>
      <c r="AA364" s="23" t="str">
        <f aca="false">IF(AND(C364="covered",N364&gt;40),"COVERED &gt;40 FT","")</f>
        <v/>
      </c>
      <c r="AB364" s="23" t="s">
        <v>4705</v>
      </c>
      <c r="AC364" s="23" t="s">
        <v>4913</v>
      </c>
      <c r="AD364" s="23" t="s">
        <v>2807</v>
      </c>
    </row>
    <row r="365" customFormat="false" ht="17.9" hidden="false" customHeight="false" outlineLevel="0" collapsed="false">
      <c r="A365" s="20" t="s">
        <v>4914</v>
      </c>
      <c r="B365" s="20" t="s">
        <v>119</v>
      </c>
      <c r="C365" s="20" t="s">
        <v>2798</v>
      </c>
      <c r="D365" s="20" t="s">
        <v>4915</v>
      </c>
      <c r="E365" s="20" t="s">
        <v>4916</v>
      </c>
      <c r="F365" s="20" t="s">
        <v>2818</v>
      </c>
      <c r="G365" s="20" t="s">
        <v>3768</v>
      </c>
      <c r="H365" s="22" t="n">
        <v>59.7</v>
      </c>
      <c r="I365" s="22" t="n">
        <v>59.7</v>
      </c>
      <c r="J365" s="22" t="n">
        <f aca="false">H365-I365</f>
        <v>0</v>
      </c>
      <c r="K365" s="20" t="str">
        <f aca="false">IF(ABS(J365)&lt;0.001,"MATCH - PAPER CHECK-IN NOT SUPPLIED","DATA MISMATCH")</f>
        <v>MATCH - PAPER CHECK-IN NOT SUPPLIED</v>
      </c>
      <c r="L365" s="22" t="n">
        <v>50</v>
      </c>
      <c r="M365" s="22" t="n">
        <f aca="false">ROUNDUP(H365,0)</f>
        <v>60</v>
      </c>
      <c r="N365" s="24" t="n">
        <f aca="false">MAX(L365,M365)</f>
        <v>60</v>
      </c>
      <c r="O365" s="25" t="n">
        <v>7.55</v>
      </c>
      <c r="P365" s="25" t="n">
        <f aca="false">N365*O365</f>
        <v>453</v>
      </c>
      <c r="Q365" s="23"/>
      <c r="R365" s="23"/>
      <c r="S365" s="24"/>
      <c r="T365" s="25"/>
      <c r="U365" s="25" t="n">
        <v>0</v>
      </c>
      <c r="V365" s="25" t="n">
        <f aca="false">P365-U365</f>
        <v>453</v>
      </c>
      <c r="W365" s="25" t="n">
        <f aca="false">V365*12</f>
        <v>5436</v>
      </c>
      <c r="X365" s="23" t="str">
        <f aca="false">IF(Q365="","MISSING FROM EXPORT",IF(ABS(V365)&lt;0.005,"CLEAR",IF(V365&gt;0,"UNDERBILLING","OVERBILLING")))</f>
        <v>MISSING FROM EXPORT</v>
      </c>
      <c r="Y365" s="25" t="n">
        <f aca="false">IF(F365="COMMERCIAL",ROUND(P365*0.35,2),0)</f>
        <v>0</v>
      </c>
      <c r="Z365" s="23" t="str">
        <f aca="false">IF(F365="COMMERCIAL","VERIFY SIGNED AGREEMENT","NO EXCEPTION")</f>
        <v>NO EXCEPTION</v>
      </c>
      <c r="AA365" s="23" t="str">
        <f aca="false">IF(AND(C365="covered",N365&gt;40),"COVERED &gt;40 FT","")</f>
        <v/>
      </c>
      <c r="AB365" s="23" t="s">
        <v>4705</v>
      </c>
      <c r="AC365" s="23" t="s">
        <v>4917</v>
      </c>
      <c r="AD365" s="23" t="s">
        <v>2807</v>
      </c>
    </row>
    <row r="366" customFormat="false" ht="17.9" hidden="false" customHeight="false" outlineLevel="0" collapsed="false">
      <c r="A366" s="20" t="s">
        <v>4918</v>
      </c>
      <c r="B366" s="20" t="s">
        <v>119</v>
      </c>
      <c r="C366" s="20" t="s">
        <v>2798</v>
      </c>
      <c r="D366" s="20" t="s">
        <v>4919</v>
      </c>
      <c r="E366" s="20" t="s">
        <v>4920</v>
      </c>
      <c r="F366" s="20" t="s">
        <v>2857</v>
      </c>
      <c r="G366" s="20" t="s">
        <v>3775</v>
      </c>
      <c r="H366" s="22" t="n">
        <v>39.4</v>
      </c>
      <c r="I366" s="22" t="n">
        <v>39.4</v>
      </c>
      <c r="J366" s="22" t="n">
        <f aca="false">H366-I366</f>
        <v>0</v>
      </c>
      <c r="K366" s="20" t="str">
        <f aca="false">IF(ABS(J366)&lt;0.001,"MATCH - PAPER CHECK-IN NOT SUPPLIED","DATA MISMATCH")</f>
        <v>MATCH - PAPER CHECK-IN NOT SUPPLIED</v>
      </c>
      <c r="L366" s="22" t="n">
        <v>32</v>
      </c>
      <c r="M366" s="22" t="n">
        <f aca="false">ROUNDUP(H366,0)</f>
        <v>40</v>
      </c>
      <c r="N366" s="24" t="n">
        <f aca="false">MAX(L366,M366)</f>
        <v>40</v>
      </c>
      <c r="O366" s="25" t="n">
        <v>7.55</v>
      </c>
      <c r="P366" s="25" t="n">
        <f aca="false">N366*O366</f>
        <v>302</v>
      </c>
      <c r="Q366" s="23"/>
      <c r="R366" s="23"/>
      <c r="S366" s="24"/>
      <c r="T366" s="25"/>
      <c r="U366" s="25" t="n">
        <v>0</v>
      </c>
      <c r="V366" s="25" t="n">
        <f aca="false">P366-U366</f>
        <v>302</v>
      </c>
      <c r="W366" s="25" t="n">
        <f aca="false">V366*12</f>
        <v>3624</v>
      </c>
      <c r="X366" s="23" t="str">
        <f aca="false">IF(Q366="","MISSING FROM EXPORT",IF(ABS(V366)&lt;0.005,"CLEAR",IF(V366&gt;0,"UNDERBILLING","OVERBILLING")))</f>
        <v>MISSING FROM EXPORT</v>
      </c>
      <c r="Y366" s="25" t="n">
        <f aca="false">IF(F366="COMMERCIAL",ROUND(P366*0.35,2),0)</f>
        <v>0</v>
      </c>
      <c r="Z366" s="23" t="str">
        <f aca="false">IF(F366="COMMERCIAL","VERIFY SIGNED AGREEMENT","NO EXCEPTION")</f>
        <v>NO EXCEPTION</v>
      </c>
      <c r="AA366" s="23" t="str">
        <f aca="false">IF(AND(C366="covered",N366&gt;40),"COVERED &gt;40 FT","")</f>
        <v/>
      </c>
      <c r="AB366" s="23" t="s">
        <v>4705</v>
      </c>
      <c r="AC366" s="23" t="s">
        <v>4921</v>
      </c>
      <c r="AD366" s="23" t="s">
        <v>2807</v>
      </c>
    </row>
    <row r="367" customFormat="false" ht="17.9" hidden="false" customHeight="false" outlineLevel="0" collapsed="false">
      <c r="A367" s="20" t="s">
        <v>4922</v>
      </c>
      <c r="B367" s="20" t="s">
        <v>119</v>
      </c>
      <c r="C367" s="20" t="s">
        <v>2798</v>
      </c>
      <c r="D367" s="20" t="s">
        <v>4923</v>
      </c>
      <c r="E367" s="20" t="s">
        <v>4924</v>
      </c>
      <c r="F367" s="20" t="s">
        <v>2857</v>
      </c>
      <c r="G367" s="20" t="s">
        <v>3782</v>
      </c>
      <c r="H367" s="22" t="n">
        <v>37</v>
      </c>
      <c r="I367" s="22" t="n">
        <v>37</v>
      </c>
      <c r="J367" s="22" t="n">
        <f aca="false">H367-I367</f>
        <v>0</v>
      </c>
      <c r="K367" s="20" t="str">
        <f aca="false">IF(ABS(J367)&lt;0.001,"MATCH - PAPER CHECK-IN NOT SUPPLIED","DATA MISMATCH")</f>
        <v>MATCH - PAPER CHECK-IN NOT SUPPLIED</v>
      </c>
      <c r="L367" s="22" t="n">
        <v>45</v>
      </c>
      <c r="M367" s="22" t="n">
        <f aca="false">ROUNDUP(H367,0)</f>
        <v>37</v>
      </c>
      <c r="N367" s="24" t="n">
        <f aca="false">MAX(L367,M367)</f>
        <v>45</v>
      </c>
      <c r="O367" s="25" t="n">
        <v>7.55</v>
      </c>
      <c r="P367" s="25" t="n">
        <f aca="false">N367*O367</f>
        <v>339.75</v>
      </c>
      <c r="Q367" s="23"/>
      <c r="R367" s="23"/>
      <c r="S367" s="24"/>
      <c r="T367" s="25"/>
      <c r="U367" s="25" t="n">
        <v>0</v>
      </c>
      <c r="V367" s="25" t="n">
        <f aca="false">P367-U367</f>
        <v>339.75</v>
      </c>
      <c r="W367" s="25" t="n">
        <f aca="false">V367*12</f>
        <v>4077</v>
      </c>
      <c r="X367" s="23" t="str">
        <f aca="false">IF(Q367="","MISSING FROM EXPORT",IF(ABS(V367)&lt;0.005,"CLEAR",IF(V367&gt;0,"UNDERBILLING","OVERBILLING")))</f>
        <v>MISSING FROM EXPORT</v>
      </c>
      <c r="Y367" s="25" t="n">
        <f aca="false">IF(F367="COMMERCIAL",ROUND(P367*0.35,2),0)</f>
        <v>0</v>
      </c>
      <c r="Z367" s="23" t="str">
        <f aca="false">IF(F367="COMMERCIAL","VERIFY SIGNED AGREEMENT","NO EXCEPTION")</f>
        <v>NO EXCEPTION</v>
      </c>
      <c r="AA367" s="23" t="str">
        <f aca="false">IF(AND(C367="covered",N367&gt;40),"COVERED &gt;40 FT","")</f>
        <v/>
      </c>
      <c r="AB367" s="23" t="s">
        <v>4705</v>
      </c>
      <c r="AC367" s="23" t="s">
        <v>4925</v>
      </c>
      <c r="AD367" s="23" t="s">
        <v>2807</v>
      </c>
    </row>
    <row r="368" customFormat="false" ht="17.9" hidden="false" customHeight="false" outlineLevel="0" collapsed="false">
      <c r="A368" s="20" t="s">
        <v>4926</v>
      </c>
      <c r="B368" s="20" t="s">
        <v>119</v>
      </c>
      <c r="C368" s="20" t="s">
        <v>2798</v>
      </c>
      <c r="D368" s="20" t="s">
        <v>4927</v>
      </c>
      <c r="E368" s="20" t="s">
        <v>4928</v>
      </c>
      <c r="F368" s="20" t="s">
        <v>2810</v>
      </c>
      <c r="G368" s="20" t="s">
        <v>3803</v>
      </c>
      <c r="H368" s="22" t="n">
        <v>46.2</v>
      </c>
      <c r="I368" s="22" t="n">
        <v>46.2</v>
      </c>
      <c r="J368" s="22" t="n">
        <f aca="false">H368-I368</f>
        <v>0</v>
      </c>
      <c r="K368" s="20" t="str">
        <f aca="false">IF(ABS(J368)&lt;0.001,"MATCH - PAPER CHECK-IN NOT SUPPLIED","DATA MISMATCH")</f>
        <v>MATCH - PAPER CHECK-IN NOT SUPPLIED</v>
      </c>
      <c r="L368" s="22" t="n">
        <v>45</v>
      </c>
      <c r="M368" s="22" t="n">
        <f aca="false">ROUNDUP(H368,0)</f>
        <v>47</v>
      </c>
      <c r="N368" s="24" t="n">
        <f aca="false">MAX(L368,M368)</f>
        <v>47</v>
      </c>
      <c r="O368" s="25" t="n">
        <v>7.55</v>
      </c>
      <c r="P368" s="25" t="n">
        <f aca="false">N368*O368</f>
        <v>354.85</v>
      </c>
      <c r="Q368" s="23"/>
      <c r="R368" s="23"/>
      <c r="S368" s="24"/>
      <c r="T368" s="25"/>
      <c r="U368" s="25" t="n">
        <v>0</v>
      </c>
      <c r="V368" s="25" t="n">
        <f aca="false">P368-U368</f>
        <v>354.85</v>
      </c>
      <c r="W368" s="25" t="n">
        <f aca="false">V368*12</f>
        <v>4258.2</v>
      </c>
      <c r="X368" s="23" t="str">
        <f aca="false">IF(Q368="","MISSING FROM EXPORT",IF(ABS(V368)&lt;0.005,"CLEAR",IF(V368&gt;0,"UNDERBILLING","OVERBILLING")))</f>
        <v>MISSING FROM EXPORT</v>
      </c>
      <c r="Y368" s="25" t="n">
        <f aca="false">IF(F368="COMMERCIAL",ROUND(P368*0.35,2),0)</f>
        <v>0</v>
      </c>
      <c r="Z368" s="23" t="str">
        <f aca="false">IF(F368="COMMERCIAL","VERIFY SIGNED AGREEMENT","NO EXCEPTION")</f>
        <v>NO EXCEPTION</v>
      </c>
      <c r="AA368" s="23" t="str">
        <f aca="false">IF(AND(C368="covered",N368&gt;40),"COVERED &gt;40 FT","")</f>
        <v/>
      </c>
      <c r="AB368" s="23" t="s">
        <v>4705</v>
      </c>
      <c r="AC368" s="23" t="s">
        <v>4929</v>
      </c>
      <c r="AD368" s="23" t="s">
        <v>2807</v>
      </c>
    </row>
    <row r="369" customFormat="false" ht="17.9" hidden="false" customHeight="false" outlineLevel="0" collapsed="false">
      <c r="A369" s="20" t="s">
        <v>4930</v>
      </c>
      <c r="B369" s="20" t="s">
        <v>119</v>
      </c>
      <c r="C369" s="20" t="s">
        <v>2798</v>
      </c>
      <c r="D369" s="20" t="s">
        <v>4931</v>
      </c>
      <c r="E369" s="20" t="s">
        <v>4932</v>
      </c>
      <c r="F369" s="20" t="s">
        <v>2857</v>
      </c>
      <c r="G369" s="20" t="s">
        <v>3808</v>
      </c>
      <c r="H369" s="22" t="n">
        <v>59.8</v>
      </c>
      <c r="I369" s="22" t="n">
        <v>59.8</v>
      </c>
      <c r="J369" s="22" t="n">
        <f aca="false">H369-I369</f>
        <v>0</v>
      </c>
      <c r="K369" s="20" t="str">
        <f aca="false">IF(ABS(J369)&lt;0.001,"MATCH - PAPER CHECK-IN NOT SUPPLIED","DATA MISMATCH")</f>
        <v>MATCH - PAPER CHECK-IN NOT SUPPLIED</v>
      </c>
      <c r="L369" s="22" t="n">
        <v>45</v>
      </c>
      <c r="M369" s="22" t="n">
        <f aca="false">ROUNDUP(H369,0)</f>
        <v>60</v>
      </c>
      <c r="N369" s="24" t="n">
        <f aca="false">MAX(L369,M369)</f>
        <v>60</v>
      </c>
      <c r="O369" s="25" t="n">
        <v>7.55</v>
      </c>
      <c r="P369" s="25" t="n">
        <f aca="false">N369*O369</f>
        <v>453</v>
      </c>
      <c r="Q369" s="23"/>
      <c r="R369" s="23"/>
      <c r="S369" s="24"/>
      <c r="T369" s="25"/>
      <c r="U369" s="25" t="n">
        <v>0</v>
      </c>
      <c r="V369" s="25" t="n">
        <f aca="false">P369-U369</f>
        <v>453</v>
      </c>
      <c r="W369" s="25" t="n">
        <f aca="false">V369*12</f>
        <v>5436</v>
      </c>
      <c r="X369" s="23" t="str">
        <f aca="false">IF(Q369="","MISSING FROM EXPORT",IF(ABS(V369)&lt;0.005,"CLEAR",IF(V369&gt;0,"UNDERBILLING","OVERBILLING")))</f>
        <v>MISSING FROM EXPORT</v>
      </c>
      <c r="Y369" s="25" t="n">
        <f aca="false">IF(F369="COMMERCIAL",ROUND(P369*0.35,2),0)</f>
        <v>0</v>
      </c>
      <c r="Z369" s="23" t="str">
        <f aca="false">IF(F369="COMMERCIAL","VERIFY SIGNED AGREEMENT","NO EXCEPTION")</f>
        <v>NO EXCEPTION</v>
      </c>
      <c r="AA369" s="23" t="str">
        <f aca="false">IF(AND(C369="covered",N369&gt;40),"COVERED &gt;40 FT","")</f>
        <v/>
      </c>
      <c r="AB369" s="23" t="s">
        <v>4705</v>
      </c>
      <c r="AC369" s="23" t="s">
        <v>4933</v>
      </c>
      <c r="AD369" s="23" t="s">
        <v>2807</v>
      </c>
    </row>
    <row r="370" customFormat="false" ht="17.9" hidden="false" customHeight="false" outlineLevel="0" collapsed="false">
      <c r="A370" s="20" t="s">
        <v>4934</v>
      </c>
      <c r="B370" s="20" t="s">
        <v>119</v>
      </c>
      <c r="C370" s="20" t="s">
        <v>2798</v>
      </c>
      <c r="D370" s="20" t="s">
        <v>4935</v>
      </c>
      <c r="E370" s="20" t="s">
        <v>4936</v>
      </c>
      <c r="F370" s="20" t="s">
        <v>2801</v>
      </c>
      <c r="G370" s="20" t="s">
        <v>3814</v>
      </c>
      <c r="H370" s="22" t="n">
        <v>31.6</v>
      </c>
      <c r="I370" s="22" t="n">
        <v>31.6</v>
      </c>
      <c r="J370" s="22" t="n">
        <f aca="false">H370-I370</f>
        <v>0</v>
      </c>
      <c r="K370" s="20" t="str">
        <f aca="false">IF(ABS(J370)&lt;0.001,"MATCH - PAPER CHECK-IN NOT SUPPLIED","DATA MISMATCH")</f>
        <v>MATCH - PAPER CHECK-IN NOT SUPPLIED</v>
      </c>
      <c r="L370" s="22" t="n">
        <v>40</v>
      </c>
      <c r="M370" s="22" t="n">
        <f aca="false">ROUNDUP(H370,0)</f>
        <v>32</v>
      </c>
      <c r="N370" s="24" t="n">
        <f aca="false">MAX(L370,M370)</f>
        <v>40</v>
      </c>
      <c r="O370" s="25" t="n">
        <v>7.55</v>
      </c>
      <c r="P370" s="25" t="n">
        <f aca="false">N370*O370</f>
        <v>302</v>
      </c>
      <c r="Q370" s="23"/>
      <c r="R370" s="23"/>
      <c r="S370" s="24"/>
      <c r="T370" s="25"/>
      <c r="U370" s="25" t="n">
        <v>0</v>
      </c>
      <c r="V370" s="25" t="n">
        <f aca="false">P370-U370</f>
        <v>302</v>
      </c>
      <c r="W370" s="25" t="n">
        <f aca="false">V370*12</f>
        <v>3624</v>
      </c>
      <c r="X370" s="23" t="str">
        <f aca="false">IF(Q370="","MISSING FROM EXPORT",IF(ABS(V370)&lt;0.005,"CLEAR",IF(V370&gt;0,"UNDERBILLING","OVERBILLING")))</f>
        <v>MISSING FROM EXPORT</v>
      </c>
      <c r="Y370" s="25" t="n">
        <f aca="false">IF(F370="COMMERCIAL",ROUND(P370*0.35,2),0)</f>
        <v>0</v>
      </c>
      <c r="Z370" s="23" t="str">
        <f aca="false">IF(F370="COMMERCIAL","VERIFY SIGNED AGREEMENT","NO EXCEPTION")</f>
        <v>NO EXCEPTION</v>
      </c>
      <c r="AA370" s="23" t="str">
        <f aca="false">IF(AND(C370="covered",N370&gt;40),"COVERED &gt;40 FT","")</f>
        <v/>
      </c>
      <c r="AB370" s="23" t="s">
        <v>4705</v>
      </c>
      <c r="AC370" s="23" t="s">
        <v>4937</v>
      </c>
      <c r="AD370" s="23" t="s">
        <v>2807</v>
      </c>
    </row>
    <row r="371" customFormat="false" ht="17.9" hidden="false" customHeight="false" outlineLevel="0" collapsed="false">
      <c r="A371" s="20" t="s">
        <v>4938</v>
      </c>
      <c r="B371" s="20" t="s">
        <v>119</v>
      </c>
      <c r="C371" s="20" t="s">
        <v>2798</v>
      </c>
      <c r="D371" s="20" t="s">
        <v>4939</v>
      </c>
      <c r="E371" s="20" t="s">
        <v>4940</v>
      </c>
      <c r="F371" s="20" t="s">
        <v>2833</v>
      </c>
      <c r="G371" s="20" t="s">
        <v>3819</v>
      </c>
      <c r="H371" s="22" t="n">
        <v>38.3</v>
      </c>
      <c r="I371" s="22" t="n">
        <v>38.3</v>
      </c>
      <c r="J371" s="22" t="n">
        <f aca="false">H371-I371</f>
        <v>0</v>
      </c>
      <c r="K371" s="20" t="str">
        <f aca="false">IF(ABS(J371)&lt;0.001,"MATCH - PAPER CHECK-IN NOT SUPPLIED","DATA MISMATCH")</f>
        <v>MATCH - PAPER CHECK-IN NOT SUPPLIED</v>
      </c>
      <c r="L371" s="22" t="n">
        <v>28</v>
      </c>
      <c r="M371" s="22" t="n">
        <f aca="false">ROUNDUP(H371,0)</f>
        <v>39</v>
      </c>
      <c r="N371" s="24" t="n">
        <f aca="false">MAX(L371,M371)</f>
        <v>39</v>
      </c>
      <c r="O371" s="25" t="n">
        <v>7.55</v>
      </c>
      <c r="P371" s="25" t="n">
        <f aca="false">N371*O371</f>
        <v>294.45</v>
      </c>
      <c r="Q371" s="23"/>
      <c r="R371" s="23"/>
      <c r="S371" s="24"/>
      <c r="T371" s="25"/>
      <c r="U371" s="25" t="n">
        <v>0</v>
      </c>
      <c r="V371" s="25" t="n">
        <f aca="false">P371-U371</f>
        <v>294.45</v>
      </c>
      <c r="W371" s="25" t="n">
        <f aca="false">V371*12</f>
        <v>3533.4</v>
      </c>
      <c r="X371" s="23" t="str">
        <f aca="false">IF(Q371="","MISSING FROM EXPORT",IF(ABS(V371)&lt;0.005,"CLEAR",IF(V371&gt;0,"UNDERBILLING","OVERBILLING")))</f>
        <v>MISSING FROM EXPORT</v>
      </c>
      <c r="Y371" s="25" t="n">
        <f aca="false">IF(F371="COMMERCIAL",ROUND(P371*0.35,2),0)</f>
        <v>0</v>
      </c>
      <c r="Z371" s="23" t="str">
        <f aca="false">IF(F371="COMMERCIAL","VERIFY SIGNED AGREEMENT","NO EXCEPTION")</f>
        <v>NO EXCEPTION</v>
      </c>
      <c r="AA371" s="23" t="str">
        <f aca="false">IF(AND(C371="covered",N371&gt;40),"COVERED &gt;40 FT","")</f>
        <v/>
      </c>
      <c r="AB371" s="23" t="s">
        <v>4705</v>
      </c>
      <c r="AC371" s="23" t="s">
        <v>4941</v>
      </c>
      <c r="AD371" s="23" t="s">
        <v>2807</v>
      </c>
    </row>
    <row r="372" customFormat="false" ht="17.9" hidden="false" customHeight="false" outlineLevel="0" collapsed="false">
      <c r="A372" s="20" t="s">
        <v>4942</v>
      </c>
      <c r="B372" s="20" t="s">
        <v>119</v>
      </c>
      <c r="C372" s="20" t="s">
        <v>2798</v>
      </c>
      <c r="D372" s="20" t="s">
        <v>4943</v>
      </c>
      <c r="E372" s="20" t="s">
        <v>4944</v>
      </c>
      <c r="F372" s="20" t="s">
        <v>2898</v>
      </c>
      <c r="G372" s="20" t="s">
        <v>3826</v>
      </c>
      <c r="H372" s="22" t="n">
        <v>55.4</v>
      </c>
      <c r="I372" s="22" t="n">
        <v>55.4</v>
      </c>
      <c r="J372" s="22" t="n">
        <f aca="false">H372-I372</f>
        <v>0</v>
      </c>
      <c r="K372" s="20" t="str">
        <f aca="false">IF(ABS(J372)&lt;0.001,"MATCH - PAPER CHECK-IN NOT SUPPLIED","DATA MISMATCH")</f>
        <v>MATCH - PAPER CHECK-IN NOT SUPPLIED</v>
      </c>
      <c r="L372" s="22" t="n">
        <v>36</v>
      </c>
      <c r="M372" s="22" t="n">
        <f aca="false">ROUNDUP(H372,0)</f>
        <v>56</v>
      </c>
      <c r="N372" s="24" t="n">
        <f aca="false">MAX(L372,M372)</f>
        <v>56</v>
      </c>
      <c r="O372" s="25" t="n">
        <v>7.55</v>
      </c>
      <c r="P372" s="25" t="n">
        <f aca="false">N372*O372</f>
        <v>422.8</v>
      </c>
      <c r="Q372" s="23"/>
      <c r="R372" s="23"/>
      <c r="S372" s="24"/>
      <c r="T372" s="25"/>
      <c r="U372" s="25" t="n">
        <v>0</v>
      </c>
      <c r="V372" s="25" t="n">
        <f aca="false">P372-U372</f>
        <v>422.8</v>
      </c>
      <c r="W372" s="25" t="n">
        <f aca="false">V372*12</f>
        <v>5073.6</v>
      </c>
      <c r="X372" s="23" t="str">
        <f aca="false">IF(Q372="","MISSING FROM EXPORT",IF(ABS(V372)&lt;0.005,"CLEAR",IF(V372&gt;0,"UNDERBILLING","OVERBILLING")))</f>
        <v>MISSING FROM EXPORT</v>
      </c>
      <c r="Y372" s="25" t="n">
        <f aca="false">IF(F372="COMMERCIAL",ROUND(P372*0.35,2),0)</f>
        <v>0</v>
      </c>
      <c r="Z372" s="23" t="str">
        <f aca="false">IF(F372="COMMERCIAL","VERIFY SIGNED AGREEMENT","NO EXCEPTION")</f>
        <v>NO EXCEPTION</v>
      </c>
      <c r="AA372" s="23" t="str">
        <f aca="false">IF(AND(C372="covered",N372&gt;40),"COVERED &gt;40 FT","")</f>
        <v/>
      </c>
      <c r="AB372" s="23" t="s">
        <v>4705</v>
      </c>
      <c r="AC372" s="23" t="s">
        <v>4945</v>
      </c>
      <c r="AD372" s="23" t="s">
        <v>2807</v>
      </c>
    </row>
    <row r="373" customFormat="false" ht="17.9" hidden="false" customHeight="false" outlineLevel="0" collapsed="false">
      <c r="A373" s="20" t="s">
        <v>4946</v>
      </c>
      <c r="B373" s="20" t="s">
        <v>119</v>
      </c>
      <c r="C373" s="20" t="s">
        <v>2798</v>
      </c>
      <c r="D373" s="20" t="s">
        <v>4947</v>
      </c>
      <c r="E373" s="20" t="s">
        <v>4948</v>
      </c>
      <c r="F373" s="20" t="s">
        <v>2898</v>
      </c>
      <c r="G373" s="20" t="s">
        <v>3833</v>
      </c>
      <c r="H373" s="22" t="n">
        <v>57.4</v>
      </c>
      <c r="I373" s="22" t="n">
        <v>57.4</v>
      </c>
      <c r="J373" s="22" t="n">
        <f aca="false">H373-I373</f>
        <v>0</v>
      </c>
      <c r="K373" s="20" t="str">
        <f aca="false">IF(ABS(J373)&lt;0.001,"MATCH - PAPER CHECK-IN NOT SUPPLIED","DATA MISMATCH")</f>
        <v>MATCH - PAPER CHECK-IN NOT SUPPLIED</v>
      </c>
      <c r="L373" s="22" t="n">
        <v>45</v>
      </c>
      <c r="M373" s="22" t="n">
        <f aca="false">ROUNDUP(H373,0)</f>
        <v>58</v>
      </c>
      <c r="N373" s="24" t="n">
        <f aca="false">MAX(L373,M373)</f>
        <v>58</v>
      </c>
      <c r="O373" s="25" t="n">
        <v>7.55</v>
      </c>
      <c r="P373" s="25" t="n">
        <f aca="false">N373*O373</f>
        <v>437.9</v>
      </c>
      <c r="Q373" s="23"/>
      <c r="R373" s="23"/>
      <c r="S373" s="24"/>
      <c r="T373" s="25"/>
      <c r="U373" s="25" t="n">
        <v>0</v>
      </c>
      <c r="V373" s="25" t="n">
        <f aca="false">P373-U373</f>
        <v>437.9</v>
      </c>
      <c r="W373" s="25" t="n">
        <f aca="false">V373*12</f>
        <v>5254.8</v>
      </c>
      <c r="X373" s="23" t="str">
        <f aca="false">IF(Q373="","MISSING FROM EXPORT",IF(ABS(V373)&lt;0.005,"CLEAR",IF(V373&gt;0,"UNDERBILLING","OVERBILLING")))</f>
        <v>MISSING FROM EXPORT</v>
      </c>
      <c r="Y373" s="25" t="n">
        <f aca="false">IF(F373="COMMERCIAL",ROUND(P373*0.35,2),0)</f>
        <v>0</v>
      </c>
      <c r="Z373" s="23" t="str">
        <f aca="false">IF(F373="COMMERCIAL","VERIFY SIGNED AGREEMENT","NO EXCEPTION")</f>
        <v>NO EXCEPTION</v>
      </c>
      <c r="AA373" s="23" t="str">
        <f aca="false">IF(AND(C373="covered",N373&gt;40),"COVERED &gt;40 FT","")</f>
        <v/>
      </c>
      <c r="AB373" s="23" t="s">
        <v>4705</v>
      </c>
      <c r="AC373" s="23" t="s">
        <v>4949</v>
      </c>
      <c r="AD373" s="23" t="s">
        <v>2807</v>
      </c>
    </row>
    <row r="374" customFormat="false" ht="17.9" hidden="false" customHeight="false" outlineLevel="0" collapsed="false">
      <c r="A374" s="20" t="s">
        <v>4950</v>
      </c>
      <c r="B374" s="20" t="s">
        <v>119</v>
      </c>
      <c r="C374" s="20" t="s">
        <v>2798</v>
      </c>
      <c r="D374" s="20" t="s">
        <v>4951</v>
      </c>
      <c r="E374" s="20" t="s">
        <v>4952</v>
      </c>
      <c r="F374" s="20" t="s">
        <v>2833</v>
      </c>
      <c r="G374" s="20" t="s">
        <v>3840</v>
      </c>
      <c r="H374" s="22" t="n">
        <v>43.1</v>
      </c>
      <c r="I374" s="22" t="n">
        <v>43.1</v>
      </c>
      <c r="J374" s="22" t="n">
        <f aca="false">H374-I374</f>
        <v>0</v>
      </c>
      <c r="K374" s="20" t="str">
        <f aca="false">IF(ABS(J374)&lt;0.001,"MATCH - PAPER CHECK-IN NOT SUPPLIED","DATA MISMATCH")</f>
        <v>MATCH - PAPER CHECK-IN NOT SUPPLIED</v>
      </c>
      <c r="L374" s="22" t="n">
        <v>28</v>
      </c>
      <c r="M374" s="22" t="n">
        <f aca="false">ROUNDUP(H374,0)</f>
        <v>44</v>
      </c>
      <c r="N374" s="24" t="n">
        <f aca="false">MAX(L374,M374)</f>
        <v>44</v>
      </c>
      <c r="O374" s="25" t="n">
        <v>7.55</v>
      </c>
      <c r="P374" s="25" t="n">
        <f aca="false">N374*O374</f>
        <v>332.2</v>
      </c>
      <c r="Q374" s="23"/>
      <c r="R374" s="23"/>
      <c r="S374" s="24"/>
      <c r="T374" s="25"/>
      <c r="U374" s="25" t="n">
        <v>0</v>
      </c>
      <c r="V374" s="25" t="n">
        <f aca="false">P374-U374</f>
        <v>332.2</v>
      </c>
      <c r="W374" s="25" t="n">
        <f aca="false">V374*12</f>
        <v>3986.4</v>
      </c>
      <c r="X374" s="23" t="str">
        <f aca="false">IF(Q374="","MISSING FROM EXPORT",IF(ABS(V374)&lt;0.005,"CLEAR",IF(V374&gt;0,"UNDERBILLING","OVERBILLING")))</f>
        <v>MISSING FROM EXPORT</v>
      </c>
      <c r="Y374" s="25" t="n">
        <f aca="false">IF(F374="COMMERCIAL",ROUND(P374*0.35,2),0)</f>
        <v>0</v>
      </c>
      <c r="Z374" s="23" t="str">
        <f aca="false">IF(F374="COMMERCIAL","VERIFY SIGNED AGREEMENT","NO EXCEPTION")</f>
        <v>NO EXCEPTION</v>
      </c>
      <c r="AA374" s="23" t="str">
        <f aca="false">IF(AND(C374="covered",N374&gt;40),"COVERED &gt;40 FT","")</f>
        <v/>
      </c>
      <c r="AB374" s="23" t="s">
        <v>4705</v>
      </c>
      <c r="AC374" s="23" t="s">
        <v>4953</v>
      </c>
      <c r="AD374" s="23" t="s">
        <v>2807</v>
      </c>
    </row>
    <row r="375" customFormat="false" ht="17.9" hidden="false" customHeight="false" outlineLevel="0" collapsed="false">
      <c r="A375" s="20" t="s">
        <v>4954</v>
      </c>
      <c r="B375" s="20" t="s">
        <v>119</v>
      </c>
      <c r="C375" s="20" t="s">
        <v>2798</v>
      </c>
      <c r="D375" s="20" t="s">
        <v>4955</v>
      </c>
      <c r="E375" s="20" t="s">
        <v>4956</v>
      </c>
      <c r="F375" s="20" t="s">
        <v>2934</v>
      </c>
      <c r="G375" s="20" t="s">
        <v>3847</v>
      </c>
      <c r="H375" s="22" t="n">
        <v>29.2</v>
      </c>
      <c r="I375" s="22" t="n">
        <v>29.2</v>
      </c>
      <c r="J375" s="22" t="n">
        <f aca="false">H375-I375</f>
        <v>0</v>
      </c>
      <c r="K375" s="20" t="str">
        <f aca="false">IF(ABS(J375)&lt;0.001,"MATCH - PAPER CHECK-IN NOT SUPPLIED","DATA MISMATCH")</f>
        <v>MATCH - PAPER CHECK-IN NOT SUPPLIED</v>
      </c>
      <c r="L375" s="22" t="n">
        <v>70</v>
      </c>
      <c r="M375" s="22" t="n">
        <f aca="false">ROUNDUP(H375,0)</f>
        <v>30</v>
      </c>
      <c r="N375" s="24" t="n">
        <f aca="false">MAX(L375,M375)</f>
        <v>70</v>
      </c>
      <c r="O375" s="25" t="n">
        <v>7.55</v>
      </c>
      <c r="P375" s="25" t="n">
        <f aca="false">N375*O375</f>
        <v>528.5</v>
      </c>
      <c r="Q375" s="23"/>
      <c r="R375" s="23"/>
      <c r="S375" s="24"/>
      <c r="T375" s="25"/>
      <c r="U375" s="25" t="n">
        <v>0</v>
      </c>
      <c r="V375" s="25" t="n">
        <f aca="false">P375-U375</f>
        <v>528.5</v>
      </c>
      <c r="W375" s="25" t="n">
        <f aca="false">V375*12</f>
        <v>6342</v>
      </c>
      <c r="X375" s="23" t="str">
        <f aca="false">IF(Q375="","MISSING FROM EXPORT",IF(ABS(V375)&lt;0.005,"CLEAR",IF(V375&gt;0,"UNDERBILLING","OVERBILLING")))</f>
        <v>MISSING FROM EXPORT</v>
      </c>
      <c r="Y375" s="25" t="n">
        <f aca="false">IF(F375="COMMERCIAL",ROUND(P375*0.35,2),0)</f>
        <v>184.98</v>
      </c>
      <c r="Z375" s="23" t="str">
        <f aca="false">IF(F375="COMMERCIAL","VERIFY SIGNED AGREEMENT","NO EXCEPTION")</f>
        <v>VERIFY SIGNED AGREEMENT</v>
      </c>
      <c r="AA375" s="23" t="str">
        <f aca="false">IF(AND(C375="covered",N375&gt;40),"COVERED &gt;40 FT","")</f>
        <v/>
      </c>
      <c r="AB375" s="23" t="s">
        <v>4705</v>
      </c>
      <c r="AC375" s="23" t="s">
        <v>4957</v>
      </c>
      <c r="AD375" s="23" t="s">
        <v>2807</v>
      </c>
    </row>
    <row r="376" customFormat="false" ht="17.9" hidden="false" customHeight="false" outlineLevel="0" collapsed="false">
      <c r="A376" s="20" t="s">
        <v>361</v>
      </c>
      <c r="B376" s="20" t="s">
        <v>119</v>
      </c>
      <c r="C376" s="20" t="s">
        <v>2798</v>
      </c>
      <c r="D376" s="20" t="s">
        <v>870</v>
      </c>
      <c r="E376" s="20" t="s">
        <v>4958</v>
      </c>
      <c r="F376" s="20" t="s">
        <v>2934</v>
      </c>
      <c r="G376" s="20" t="s">
        <v>3854</v>
      </c>
      <c r="H376" s="22" t="n">
        <v>30.5</v>
      </c>
      <c r="I376" s="22" t="n">
        <v>30.5</v>
      </c>
      <c r="J376" s="22" t="n">
        <f aca="false">H376-I376</f>
        <v>0</v>
      </c>
      <c r="K376" s="20" t="str">
        <f aca="false">IF(ABS(J376)&lt;0.001,"MATCH - PAPER CHECK-IN NOT SUPPLIED","DATA MISMATCH")</f>
        <v>MATCH - PAPER CHECK-IN NOT SUPPLIED</v>
      </c>
      <c r="L376" s="22" t="n">
        <v>70</v>
      </c>
      <c r="M376" s="22" t="n">
        <f aca="false">ROUNDUP(H376,0)</f>
        <v>31</v>
      </c>
      <c r="N376" s="24" t="n">
        <f aca="false">MAX(L376,M376)</f>
        <v>70</v>
      </c>
      <c r="O376" s="25" t="n">
        <v>7.55</v>
      </c>
      <c r="P376" s="25" t="n">
        <f aca="false">N376*O376</f>
        <v>528.5</v>
      </c>
      <c r="Q376" s="23"/>
      <c r="R376" s="23"/>
      <c r="S376" s="24"/>
      <c r="T376" s="25"/>
      <c r="U376" s="25" t="n">
        <v>0</v>
      </c>
      <c r="V376" s="25" t="n">
        <f aca="false">P376-U376</f>
        <v>528.5</v>
      </c>
      <c r="W376" s="25" t="n">
        <f aca="false">V376*12</f>
        <v>6342</v>
      </c>
      <c r="X376" s="23" t="str">
        <f aca="false">IF(Q376="","MISSING FROM EXPORT",IF(ABS(V376)&lt;0.005,"CLEAR",IF(V376&gt;0,"UNDERBILLING","OVERBILLING")))</f>
        <v>MISSING FROM EXPORT</v>
      </c>
      <c r="Y376" s="25" t="n">
        <f aca="false">IF(F376="COMMERCIAL",ROUND(P376*0.35,2),0)</f>
        <v>184.98</v>
      </c>
      <c r="Z376" s="23" t="str">
        <f aca="false">IF(F376="COMMERCIAL","VERIFY SIGNED AGREEMENT","NO EXCEPTION")</f>
        <v>VERIFY SIGNED AGREEMENT</v>
      </c>
      <c r="AA376" s="23" t="str">
        <f aca="false">IF(AND(C376="covered",N376&gt;40),"COVERED &gt;40 FT","")</f>
        <v/>
      </c>
      <c r="AB376" s="23" t="s">
        <v>4705</v>
      </c>
      <c r="AC376" s="23" t="s">
        <v>4959</v>
      </c>
      <c r="AD376" s="23" t="s">
        <v>2807</v>
      </c>
    </row>
    <row r="377" customFormat="false" ht="17.9" hidden="false" customHeight="false" outlineLevel="0" collapsed="false">
      <c r="A377" s="20" t="s">
        <v>4960</v>
      </c>
      <c r="B377" s="20" t="s">
        <v>119</v>
      </c>
      <c r="C377" s="20" t="s">
        <v>2798</v>
      </c>
      <c r="D377" s="20" t="s">
        <v>4961</v>
      </c>
      <c r="E377" s="20" t="s">
        <v>4962</v>
      </c>
      <c r="F377" s="20" t="s">
        <v>2801</v>
      </c>
      <c r="G377" s="20" t="s">
        <v>3859</v>
      </c>
      <c r="H377" s="22" t="n">
        <v>34.6</v>
      </c>
      <c r="I377" s="22" t="n">
        <v>34.6</v>
      </c>
      <c r="J377" s="22" t="n">
        <f aca="false">H377-I377</f>
        <v>0</v>
      </c>
      <c r="K377" s="20" t="str">
        <f aca="false">IF(ABS(J377)&lt;0.001,"MATCH - PAPER CHECK-IN NOT SUPPLIED","DATA MISMATCH")</f>
        <v>MATCH - PAPER CHECK-IN NOT SUPPLIED</v>
      </c>
      <c r="L377" s="22" t="n">
        <v>45</v>
      </c>
      <c r="M377" s="22" t="n">
        <f aca="false">ROUNDUP(H377,0)</f>
        <v>35</v>
      </c>
      <c r="N377" s="24" t="n">
        <f aca="false">MAX(L377,M377)</f>
        <v>45</v>
      </c>
      <c r="O377" s="25" t="n">
        <v>7.55</v>
      </c>
      <c r="P377" s="25" t="n">
        <f aca="false">N377*O377</f>
        <v>339.75</v>
      </c>
      <c r="Q377" s="23"/>
      <c r="R377" s="23"/>
      <c r="S377" s="24"/>
      <c r="T377" s="25"/>
      <c r="U377" s="25" t="n">
        <v>0</v>
      </c>
      <c r="V377" s="25" t="n">
        <f aca="false">P377-U377</f>
        <v>339.75</v>
      </c>
      <c r="W377" s="25" t="n">
        <f aca="false">V377*12</f>
        <v>4077</v>
      </c>
      <c r="X377" s="23" t="str">
        <f aca="false">IF(Q377="","MISSING FROM EXPORT",IF(ABS(V377)&lt;0.005,"CLEAR",IF(V377&gt;0,"UNDERBILLING","OVERBILLING")))</f>
        <v>MISSING FROM EXPORT</v>
      </c>
      <c r="Y377" s="25" t="n">
        <f aca="false">IF(F377="COMMERCIAL",ROUND(P377*0.35,2),0)</f>
        <v>0</v>
      </c>
      <c r="Z377" s="23" t="str">
        <f aca="false">IF(F377="COMMERCIAL","VERIFY SIGNED AGREEMENT","NO EXCEPTION")</f>
        <v>NO EXCEPTION</v>
      </c>
      <c r="AA377" s="23" t="str">
        <f aca="false">IF(AND(C377="covered",N377&gt;40),"COVERED &gt;40 FT","")</f>
        <v/>
      </c>
      <c r="AB377" s="23" t="s">
        <v>4705</v>
      </c>
      <c r="AC377" s="23" t="s">
        <v>4963</v>
      </c>
      <c r="AD377" s="23" t="s">
        <v>2807</v>
      </c>
    </row>
    <row r="378" customFormat="false" ht="17.9" hidden="false" customHeight="false" outlineLevel="0" collapsed="false">
      <c r="A378" s="20" t="s">
        <v>4964</v>
      </c>
      <c r="B378" s="20" t="s">
        <v>119</v>
      </c>
      <c r="C378" s="20" t="s">
        <v>2798</v>
      </c>
      <c r="D378" s="20" t="s">
        <v>642</v>
      </c>
      <c r="E378" s="20" t="s">
        <v>643</v>
      </c>
      <c r="F378" s="20" t="s">
        <v>2857</v>
      </c>
      <c r="G378" s="20" t="s">
        <v>3864</v>
      </c>
      <c r="H378" s="22" t="n">
        <v>48.3</v>
      </c>
      <c r="I378" s="22" t="n">
        <v>48.3</v>
      </c>
      <c r="J378" s="22" t="n">
        <f aca="false">H378-I378</f>
        <v>0</v>
      </c>
      <c r="K378" s="20" t="str">
        <f aca="false">IF(ABS(J378)&lt;0.001,"MATCH - PAPER CHECK-IN NOT SUPPLIED","DATA MISMATCH")</f>
        <v>MATCH - PAPER CHECK-IN NOT SUPPLIED</v>
      </c>
      <c r="L378" s="22" t="n">
        <v>28</v>
      </c>
      <c r="M378" s="22" t="n">
        <f aca="false">ROUNDUP(H378,0)</f>
        <v>49</v>
      </c>
      <c r="N378" s="24" t="n">
        <f aca="false">MAX(L378,M378)</f>
        <v>49</v>
      </c>
      <c r="O378" s="25" t="n">
        <v>7.55</v>
      </c>
      <c r="P378" s="25" t="n">
        <f aca="false">N378*O378</f>
        <v>369.95</v>
      </c>
      <c r="Q378" s="23"/>
      <c r="R378" s="23"/>
      <c r="S378" s="24"/>
      <c r="T378" s="25"/>
      <c r="U378" s="25" t="n">
        <v>0</v>
      </c>
      <c r="V378" s="25" t="n">
        <f aca="false">P378-U378</f>
        <v>369.95</v>
      </c>
      <c r="W378" s="25" t="n">
        <f aca="false">V378*12</f>
        <v>4439.4</v>
      </c>
      <c r="X378" s="23" t="str">
        <f aca="false">IF(Q378="","MISSING FROM EXPORT",IF(ABS(V378)&lt;0.005,"CLEAR",IF(V378&gt;0,"UNDERBILLING","OVERBILLING")))</f>
        <v>MISSING FROM EXPORT</v>
      </c>
      <c r="Y378" s="25" t="n">
        <f aca="false">IF(F378="COMMERCIAL",ROUND(P378*0.35,2),0)</f>
        <v>0</v>
      </c>
      <c r="Z378" s="23" t="str">
        <f aca="false">IF(F378="COMMERCIAL","VERIFY SIGNED AGREEMENT","NO EXCEPTION")</f>
        <v>NO EXCEPTION</v>
      </c>
      <c r="AA378" s="23" t="str">
        <f aca="false">IF(AND(C378="covered",N378&gt;40),"COVERED &gt;40 FT","")</f>
        <v/>
      </c>
      <c r="AB378" s="23" t="s">
        <v>4705</v>
      </c>
      <c r="AC378" s="23" t="s">
        <v>4965</v>
      </c>
      <c r="AD378" s="23" t="s">
        <v>2807</v>
      </c>
    </row>
    <row r="379" customFormat="false" ht="17.9" hidden="false" customHeight="false" outlineLevel="0" collapsed="false">
      <c r="A379" s="20" t="s">
        <v>1020</v>
      </c>
      <c r="B379" s="20" t="s">
        <v>119</v>
      </c>
      <c r="C379" s="20" t="s">
        <v>2798</v>
      </c>
      <c r="D379" s="20" t="s">
        <v>4966</v>
      </c>
      <c r="E379" s="20" t="s">
        <v>4967</v>
      </c>
      <c r="F379" s="20" t="s">
        <v>2810</v>
      </c>
      <c r="G379" s="20" t="s">
        <v>3870</v>
      </c>
      <c r="H379" s="22" t="n">
        <v>48.7</v>
      </c>
      <c r="I379" s="22" t="n">
        <v>48.7</v>
      </c>
      <c r="J379" s="22" t="n">
        <f aca="false">H379-I379</f>
        <v>0</v>
      </c>
      <c r="K379" s="20" t="str">
        <f aca="false">IF(ABS(J379)&lt;0.001,"MATCH - PAPER CHECK-IN NOT SUPPLIED","DATA MISMATCH")</f>
        <v>MATCH - PAPER CHECK-IN NOT SUPPLIED</v>
      </c>
      <c r="L379" s="22" t="n">
        <v>28</v>
      </c>
      <c r="M379" s="22" t="n">
        <f aca="false">ROUNDUP(H379,0)</f>
        <v>49</v>
      </c>
      <c r="N379" s="24" t="n">
        <f aca="false">MAX(L379,M379)</f>
        <v>49</v>
      </c>
      <c r="O379" s="25" t="n">
        <v>7.55</v>
      </c>
      <c r="P379" s="25" t="n">
        <f aca="false">N379*O379</f>
        <v>369.95</v>
      </c>
      <c r="Q379" s="23"/>
      <c r="R379" s="23"/>
      <c r="S379" s="24"/>
      <c r="T379" s="25"/>
      <c r="U379" s="25" t="n">
        <v>0</v>
      </c>
      <c r="V379" s="25" t="n">
        <f aca="false">P379-U379</f>
        <v>369.95</v>
      </c>
      <c r="W379" s="25" t="n">
        <f aca="false">V379*12</f>
        <v>4439.4</v>
      </c>
      <c r="X379" s="23" t="str">
        <f aca="false">IF(Q379="","MISSING FROM EXPORT",IF(ABS(V379)&lt;0.005,"CLEAR",IF(V379&gt;0,"UNDERBILLING","OVERBILLING")))</f>
        <v>MISSING FROM EXPORT</v>
      </c>
      <c r="Y379" s="25" t="n">
        <f aca="false">IF(F379="COMMERCIAL",ROUND(P379*0.35,2),0)</f>
        <v>0</v>
      </c>
      <c r="Z379" s="23" t="str">
        <f aca="false">IF(F379="COMMERCIAL","VERIFY SIGNED AGREEMENT","NO EXCEPTION")</f>
        <v>NO EXCEPTION</v>
      </c>
      <c r="AA379" s="23" t="str">
        <f aca="false">IF(AND(C379="covered",N379&gt;40),"COVERED &gt;40 FT","")</f>
        <v/>
      </c>
      <c r="AB379" s="23" t="s">
        <v>4705</v>
      </c>
      <c r="AC379" s="23" t="s">
        <v>4968</v>
      </c>
      <c r="AD379" s="23" t="s">
        <v>2807</v>
      </c>
    </row>
    <row r="380" customFormat="false" ht="17.9" hidden="false" customHeight="false" outlineLevel="0" collapsed="false">
      <c r="A380" s="20" t="s">
        <v>1002</v>
      </c>
      <c r="B380" s="20" t="s">
        <v>119</v>
      </c>
      <c r="C380" s="20" t="s">
        <v>2798</v>
      </c>
      <c r="D380" s="20" t="s">
        <v>4969</v>
      </c>
      <c r="E380" s="20" t="s">
        <v>4970</v>
      </c>
      <c r="F380" s="20" t="s">
        <v>2810</v>
      </c>
      <c r="G380" s="20" t="s">
        <v>3876</v>
      </c>
      <c r="H380" s="22" t="n">
        <v>33.1</v>
      </c>
      <c r="I380" s="22" t="n">
        <v>33.1</v>
      </c>
      <c r="J380" s="22" t="n">
        <f aca="false">H380-I380</f>
        <v>0</v>
      </c>
      <c r="K380" s="20" t="str">
        <f aca="false">IF(ABS(J380)&lt;0.001,"MATCH - PAPER CHECK-IN NOT SUPPLIED","DATA MISMATCH")</f>
        <v>MATCH - PAPER CHECK-IN NOT SUPPLIED</v>
      </c>
      <c r="L380" s="22" t="n">
        <v>70</v>
      </c>
      <c r="M380" s="22" t="n">
        <f aca="false">ROUNDUP(H380,0)</f>
        <v>34</v>
      </c>
      <c r="N380" s="24" t="n">
        <f aca="false">MAX(L380,M380)</f>
        <v>70</v>
      </c>
      <c r="O380" s="25" t="n">
        <v>7.55</v>
      </c>
      <c r="P380" s="25" t="n">
        <f aca="false">N380*O380</f>
        <v>528.5</v>
      </c>
      <c r="Q380" s="23"/>
      <c r="R380" s="23"/>
      <c r="S380" s="24"/>
      <c r="T380" s="25"/>
      <c r="U380" s="25" t="n">
        <v>0</v>
      </c>
      <c r="V380" s="25" t="n">
        <f aca="false">P380-U380</f>
        <v>528.5</v>
      </c>
      <c r="W380" s="25" t="n">
        <f aca="false">V380*12</f>
        <v>6342</v>
      </c>
      <c r="X380" s="23" t="str">
        <f aca="false">IF(Q380="","MISSING FROM EXPORT",IF(ABS(V380)&lt;0.005,"CLEAR",IF(V380&gt;0,"UNDERBILLING","OVERBILLING")))</f>
        <v>MISSING FROM EXPORT</v>
      </c>
      <c r="Y380" s="25" t="n">
        <f aca="false">IF(F380="COMMERCIAL",ROUND(P380*0.35,2),0)</f>
        <v>0</v>
      </c>
      <c r="Z380" s="23" t="str">
        <f aca="false">IF(F380="COMMERCIAL","VERIFY SIGNED AGREEMENT","NO EXCEPTION")</f>
        <v>NO EXCEPTION</v>
      </c>
      <c r="AA380" s="23" t="str">
        <f aca="false">IF(AND(C380="covered",N380&gt;40),"COVERED &gt;40 FT","")</f>
        <v/>
      </c>
      <c r="AB380" s="23" t="s">
        <v>4705</v>
      </c>
      <c r="AC380" s="23" t="s">
        <v>4971</v>
      </c>
      <c r="AD380" s="23" t="s">
        <v>2807</v>
      </c>
    </row>
    <row r="381" customFormat="false" ht="17.9" hidden="false" customHeight="false" outlineLevel="0" collapsed="false">
      <c r="A381" s="20" t="s">
        <v>4972</v>
      </c>
      <c r="B381" s="20" t="s">
        <v>119</v>
      </c>
      <c r="C381" s="20" t="s">
        <v>2798</v>
      </c>
      <c r="D381" s="20" t="s">
        <v>4973</v>
      </c>
      <c r="E381" s="20" t="s">
        <v>4974</v>
      </c>
      <c r="F381" s="20" t="s">
        <v>2934</v>
      </c>
      <c r="G381" s="20" t="s">
        <v>3887</v>
      </c>
      <c r="H381" s="22" t="n">
        <v>55.9</v>
      </c>
      <c r="I381" s="22" t="n">
        <v>55.9</v>
      </c>
      <c r="J381" s="22" t="n">
        <f aca="false">H381-I381</f>
        <v>0</v>
      </c>
      <c r="K381" s="20" t="str">
        <f aca="false">IF(ABS(J381)&lt;0.001,"MATCH - PAPER CHECK-IN NOT SUPPLIED","DATA MISMATCH")</f>
        <v>MATCH - PAPER CHECK-IN NOT SUPPLIED</v>
      </c>
      <c r="L381" s="22" t="n">
        <v>70</v>
      </c>
      <c r="M381" s="22" t="n">
        <f aca="false">ROUNDUP(H381,0)</f>
        <v>56</v>
      </c>
      <c r="N381" s="24" t="n">
        <f aca="false">MAX(L381,M381)</f>
        <v>70</v>
      </c>
      <c r="O381" s="25" t="n">
        <v>7.55</v>
      </c>
      <c r="P381" s="25" t="n">
        <f aca="false">N381*O381</f>
        <v>528.5</v>
      </c>
      <c r="Q381" s="23"/>
      <c r="R381" s="23"/>
      <c r="S381" s="24"/>
      <c r="T381" s="25"/>
      <c r="U381" s="25" t="n">
        <v>0</v>
      </c>
      <c r="V381" s="25" t="n">
        <f aca="false">P381-U381</f>
        <v>528.5</v>
      </c>
      <c r="W381" s="25" t="n">
        <f aca="false">V381*12</f>
        <v>6342</v>
      </c>
      <c r="X381" s="23" t="str">
        <f aca="false">IF(Q381="","MISSING FROM EXPORT",IF(ABS(V381)&lt;0.005,"CLEAR",IF(V381&gt;0,"UNDERBILLING","OVERBILLING")))</f>
        <v>MISSING FROM EXPORT</v>
      </c>
      <c r="Y381" s="25" t="n">
        <f aca="false">IF(F381="COMMERCIAL",ROUND(P381*0.35,2),0)</f>
        <v>184.98</v>
      </c>
      <c r="Z381" s="23" t="str">
        <f aca="false">IF(F381="COMMERCIAL","VERIFY SIGNED AGREEMENT","NO EXCEPTION")</f>
        <v>VERIFY SIGNED AGREEMENT</v>
      </c>
      <c r="AA381" s="23" t="str">
        <f aca="false">IF(AND(C381="covered",N381&gt;40),"COVERED &gt;40 FT","")</f>
        <v/>
      </c>
      <c r="AB381" s="23" t="s">
        <v>4705</v>
      </c>
      <c r="AC381" s="23" t="s">
        <v>4975</v>
      </c>
      <c r="AD381" s="23" t="s">
        <v>2807</v>
      </c>
    </row>
    <row r="382" customFormat="false" ht="17.9" hidden="false" customHeight="false" outlineLevel="0" collapsed="false">
      <c r="A382" s="20" t="s">
        <v>4976</v>
      </c>
      <c r="B382" s="20" t="s">
        <v>119</v>
      </c>
      <c r="C382" s="20" t="s">
        <v>2798</v>
      </c>
      <c r="D382" s="20" t="s">
        <v>4977</v>
      </c>
      <c r="E382" s="20" t="s">
        <v>4978</v>
      </c>
      <c r="F382" s="20" t="s">
        <v>2833</v>
      </c>
      <c r="G382" s="20" t="s">
        <v>3894</v>
      </c>
      <c r="H382" s="22" t="n">
        <v>56.6</v>
      </c>
      <c r="I382" s="22" t="n">
        <v>56.6</v>
      </c>
      <c r="J382" s="22" t="n">
        <f aca="false">H382-I382</f>
        <v>0</v>
      </c>
      <c r="K382" s="20" t="str">
        <f aca="false">IF(ABS(J382)&lt;0.001,"MATCH - PAPER CHECK-IN NOT SUPPLIED","DATA MISMATCH")</f>
        <v>MATCH - PAPER CHECK-IN NOT SUPPLIED</v>
      </c>
      <c r="L382" s="22" t="n">
        <v>60</v>
      </c>
      <c r="M382" s="22" t="n">
        <f aca="false">ROUNDUP(H382,0)</f>
        <v>57</v>
      </c>
      <c r="N382" s="24" t="n">
        <f aca="false">MAX(L382,M382)</f>
        <v>60</v>
      </c>
      <c r="O382" s="25" t="n">
        <v>7.55</v>
      </c>
      <c r="P382" s="25" t="n">
        <f aca="false">N382*O382</f>
        <v>453</v>
      </c>
      <c r="Q382" s="23"/>
      <c r="R382" s="23"/>
      <c r="S382" s="24"/>
      <c r="T382" s="25"/>
      <c r="U382" s="25" t="n">
        <v>0</v>
      </c>
      <c r="V382" s="25" t="n">
        <f aca="false">P382-U382</f>
        <v>453</v>
      </c>
      <c r="W382" s="25" t="n">
        <f aca="false">V382*12</f>
        <v>5436</v>
      </c>
      <c r="X382" s="23" t="str">
        <f aca="false">IF(Q382="","MISSING FROM EXPORT",IF(ABS(V382)&lt;0.005,"CLEAR",IF(V382&gt;0,"UNDERBILLING","OVERBILLING")))</f>
        <v>MISSING FROM EXPORT</v>
      </c>
      <c r="Y382" s="25" t="n">
        <f aca="false">IF(F382="COMMERCIAL",ROUND(P382*0.35,2),0)</f>
        <v>0</v>
      </c>
      <c r="Z382" s="23" t="str">
        <f aca="false">IF(F382="COMMERCIAL","VERIFY SIGNED AGREEMENT","NO EXCEPTION")</f>
        <v>NO EXCEPTION</v>
      </c>
      <c r="AA382" s="23" t="str">
        <f aca="false">IF(AND(C382="covered",N382&gt;40),"COVERED &gt;40 FT","")</f>
        <v/>
      </c>
      <c r="AB382" s="23" t="s">
        <v>4705</v>
      </c>
      <c r="AC382" s="23" t="s">
        <v>4979</v>
      </c>
      <c r="AD382" s="23" t="s">
        <v>2807</v>
      </c>
    </row>
    <row r="383" customFormat="false" ht="17.9" hidden="false" customHeight="false" outlineLevel="0" collapsed="false">
      <c r="A383" s="20" t="s">
        <v>4980</v>
      </c>
      <c r="B383" s="20" t="s">
        <v>119</v>
      </c>
      <c r="C383" s="20" t="s">
        <v>2798</v>
      </c>
      <c r="D383" s="20" t="s">
        <v>4981</v>
      </c>
      <c r="E383" s="20" t="s">
        <v>4982</v>
      </c>
      <c r="F383" s="20" t="s">
        <v>2857</v>
      </c>
      <c r="G383" s="20" t="s">
        <v>3901</v>
      </c>
      <c r="H383" s="22" t="n">
        <v>56</v>
      </c>
      <c r="I383" s="22" t="n">
        <v>56</v>
      </c>
      <c r="J383" s="22" t="n">
        <f aca="false">H383-I383</f>
        <v>0</v>
      </c>
      <c r="K383" s="20" t="str">
        <f aca="false">IF(ABS(J383)&lt;0.001,"MATCH - PAPER CHECK-IN NOT SUPPLIED","DATA MISMATCH")</f>
        <v>MATCH - PAPER CHECK-IN NOT SUPPLIED</v>
      </c>
      <c r="L383" s="22" t="n">
        <v>70</v>
      </c>
      <c r="M383" s="22" t="n">
        <f aca="false">ROUNDUP(H383,0)</f>
        <v>56</v>
      </c>
      <c r="N383" s="24" t="n">
        <f aca="false">MAX(L383,M383)</f>
        <v>70</v>
      </c>
      <c r="O383" s="25" t="n">
        <v>7.55</v>
      </c>
      <c r="P383" s="25" t="n">
        <f aca="false">N383*O383</f>
        <v>528.5</v>
      </c>
      <c r="Q383" s="23"/>
      <c r="R383" s="23"/>
      <c r="S383" s="24"/>
      <c r="T383" s="25"/>
      <c r="U383" s="25" t="n">
        <v>0</v>
      </c>
      <c r="V383" s="25" t="n">
        <f aca="false">P383-U383</f>
        <v>528.5</v>
      </c>
      <c r="W383" s="25" t="n">
        <f aca="false">V383*12</f>
        <v>6342</v>
      </c>
      <c r="X383" s="23" t="str">
        <f aca="false">IF(Q383="","MISSING FROM EXPORT",IF(ABS(V383)&lt;0.005,"CLEAR",IF(V383&gt;0,"UNDERBILLING","OVERBILLING")))</f>
        <v>MISSING FROM EXPORT</v>
      </c>
      <c r="Y383" s="25" t="n">
        <f aca="false">IF(F383="COMMERCIAL",ROUND(P383*0.35,2),0)</f>
        <v>0</v>
      </c>
      <c r="Z383" s="23" t="str">
        <f aca="false">IF(F383="COMMERCIAL","VERIFY SIGNED AGREEMENT","NO EXCEPTION")</f>
        <v>NO EXCEPTION</v>
      </c>
      <c r="AA383" s="23" t="str">
        <f aca="false">IF(AND(C383="covered",N383&gt;40),"COVERED &gt;40 FT","")</f>
        <v/>
      </c>
      <c r="AB383" s="23" t="s">
        <v>4705</v>
      </c>
      <c r="AC383" s="23" t="s">
        <v>4983</v>
      </c>
      <c r="AD383" s="23" t="s">
        <v>2807</v>
      </c>
    </row>
    <row r="384" customFormat="false" ht="17.9" hidden="false" customHeight="false" outlineLevel="0" collapsed="false">
      <c r="A384" s="20" t="s">
        <v>4984</v>
      </c>
      <c r="B384" s="20" t="s">
        <v>119</v>
      </c>
      <c r="C384" s="20" t="s">
        <v>2798</v>
      </c>
      <c r="D384" s="20" t="s">
        <v>4985</v>
      </c>
      <c r="E384" s="20" t="s">
        <v>4986</v>
      </c>
      <c r="F384" s="20" t="s">
        <v>2857</v>
      </c>
      <c r="G384" s="20" t="s">
        <v>3907</v>
      </c>
      <c r="H384" s="22" t="n">
        <v>43.9</v>
      </c>
      <c r="I384" s="22" t="n">
        <v>43.9</v>
      </c>
      <c r="J384" s="22" t="n">
        <f aca="false">H384-I384</f>
        <v>0</v>
      </c>
      <c r="K384" s="20" t="str">
        <f aca="false">IF(ABS(J384)&lt;0.001,"MATCH - PAPER CHECK-IN NOT SUPPLIED","DATA MISMATCH")</f>
        <v>MATCH - PAPER CHECK-IN NOT SUPPLIED</v>
      </c>
      <c r="L384" s="22" t="n">
        <v>24</v>
      </c>
      <c r="M384" s="22" t="n">
        <f aca="false">ROUNDUP(H384,0)</f>
        <v>44</v>
      </c>
      <c r="N384" s="24" t="n">
        <f aca="false">MAX(L384,M384)</f>
        <v>44</v>
      </c>
      <c r="O384" s="25" t="n">
        <v>7.55</v>
      </c>
      <c r="P384" s="25" t="n">
        <f aca="false">N384*O384</f>
        <v>332.2</v>
      </c>
      <c r="Q384" s="23"/>
      <c r="R384" s="23"/>
      <c r="S384" s="24"/>
      <c r="T384" s="25"/>
      <c r="U384" s="25" t="n">
        <v>0</v>
      </c>
      <c r="V384" s="25" t="n">
        <f aca="false">P384-U384</f>
        <v>332.2</v>
      </c>
      <c r="W384" s="25" t="n">
        <f aca="false">V384*12</f>
        <v>3986.4</v>
      </c>
      <c r="X384" s="23" t="str">
        <f aca="false">IF(Q384="","MISSING FROM EXPORT",IF(ABS(V384)&lt;0.005,"CLEAR",IF(V384&gt;0,"UNDERBILLING","OVERBILLING")))</f>
        <v>MISSING FROM EXPORT</v>
      </c>
      <c r="Y384" s="25" t="n">
        <f aca="false">IF(F384="COMMERCIAL",ROUND(P384*0.35,2),0)</f>
        <v>0</v>
      </c>
      <c r="Z384" s="23" t="str">
        <f aca="false">IF(F384="COMMERCIAL","VERIFY SIGNED AGREEMENT","NO EXCEPTION")</f>
        <v>NO EXCEPTION</v>
      </c>
      <c r="AA384" s="23" t="str">
        <f aca="false">IF(AND(C384="covered",N384&gt;40),"COVERED &gt;40 FT","")</f>
        <v/>
      </c>
      <c r="AB384" s="23" t="s">
        <v>4705</v>
      </c>
      <c r="AC384" s="23" t="s">
        <v>4987</v>
      </c>
      <c r="AD384" s="23" t="s">
        <v>2807</v>
      </c>
    </row>
    <row r="385" customFormat="false" ht="17.9" hidden="false" customHeight="false" outlineLevel="0" collapsed="false">
      <c r="A385" s="20" t="s">
        <v>4988</v>
      </c>
      <c r="B385" s="20" t="s">
        <v>119</v>
      </c>
      <c r="C385" s="20" t="s">
        <v>2798</v>
      </c>
      <c r="D385" s="20" t="s">
        <v>4989</v>
      </c>
      <c r="E385" s="20" t="s">
        <v>4990</v>
      </c>
      <c r="F385" s="20" t="s">
        <v>2833</v>
      </c>
      <c r="G385" s="20" t="s">
        <v>4991</v>
      </c>
      <c r="H385" s="22" t="n">
        <v>57.9</v>
      </c>
      <c r="I385" s="22" t="n">
        <v>57.9</v>
      </c>
      <c r="J385" s="22" t="n">
        <f aca="false">H385-I385</f>
        <v>0</v>
      </c>
      <c r="K385" s="20" t="str">
        <f aca="false">IF(ABS(J385)&lt;0.001,"MATCH - PAPER CHECK-IN NOT SUPPLIED","DATA MISMATCH")</f>
        <v>MATCH - PAPER CHECK-IN NOT SUPPLIED</v>
      </c>
      <c r="L385" s="22" t="n">
        <v>28</v>
      </c>
      <c r="M385" s="22" t="n">
        <f aca="false">ROUNDUP(H385,0)</f>
        <v>58</v>
      </c>
      <c r="N385" s="24" t="n">
        <f aca="false">MAX(L385,M385)</f>
        <v>58</v>
      </c>
      <c r="O385" s="25" t="n">
        <v>7.55</v>
      </c>
      <c r="P385" s="25" t="n">
        <f aca="false">N385*O385</f>
        <v>437.9</v>
      </c>
      <c r="Q385" s="23"/>
      <c r="R385" s="23"/>
      <c r="S385" s="24"/>
      <c r="T385" s="25"/>
      <c r="U385" s="25" t="n">
        <v>0</v>
      </c>
      <c r="V385" s="25" t="n">
        <f aca="false">P385-U385</f>
        <v>437.9</v>
      </c>
      <c r="W385" s="25" t="n">
        <f aca="false">V385*12</f>
        <v>5254.8</v>
      </c>
      <c r="X385" s="23" t="str">
        <f aca="false">IF(Q385="","MISSING FROM EXPORT",IF(ABS(V385)&lt;0.005,"CLEAR",IF(V385&gt;0,"UNDERBILLING","OVERBILLING")))</f>
        <v>MISSING FROM EXPORT</v>
      </c>
      <c r="Y385" s="25" t="n">
        <f aca="false">IF(F385="COMMERCIAL",ROUND(P385*0.35,2),0)</f>
        <v>0</v>
      </c>
      <c r="Z385" s="23" t="str">
        <f aca="false">IF(F385="COMMERCIAL","VERIFY SIGNED AGREEMENT","NO EXCEPTION")</f>
        <v>NO EXCEPTION</v>
      </c>
      <c r="AA385" s="23" t="str">
        <f aca="false">IF(AND(C385="covered",N385&gt;40),"COVERED &gt;40 FT","")</f>
        <v/>
      </c>
      <c r="AB385" s="23" t="s">
        <v>4705</v>
      </c>
      <c r="AC385" s="23" t="s">
        <v>4992</v>
      </c>
      <c r="AD385" s="23" t="s">
        <v>2807</v>
      </c>
    </row>
    <row r="386" customFormat="false" ht="17.9" hidden="false" customHeight="false" outlineLevel="0" collapsed="false">
      <c r="A386" s="20" t="s">
        <v>4993</v>
      </c>
      <c r="B386" s="20" t="s">
        <v>119</v>
      </c>
      <c r="C386" s="20" t="s">
        <v>2798</v>
      </c>
      <c r="D386" s="20" t="s">
        <v>4994</v>
      </c>
      <c r="E386" s="20" t="s">
        <v>4995</v>
      </c>
      <c r="F386" s="20" t="s">
        <v>2833</v>
      </c>
      <c r="G386" s="20" t="s">
        <v>3914</v>
      </c>
      <c r="H386" s="22" t="n">
        <v>48.4</v>
      </c>
      <c r="I386" s="22" t="n">
        <v>48.4</v>
      </c>
      <c r="J386" s="22" t="n">
        <f aca="false">H386-I386</f>
        <v>0</v>
      </c>
      <c r="K386" s="20" t="str">
        <f aca="false">IF(ABS(J386)&lt;0.001,"MATCH - PAPER CHECK-IN NOT SUPPLIED","DATA MISMATCH")</f>
        <v>MATCH - PAPER CHECK-IN NOT SUPPLIED</v>
      </c>
      <c r="L386" s="22" t="n">
        <v>24</v>
      </c>
      <c r="M386" s="22" t="n">
        <f aca="false">ROUNDUP(H386,0)</f>
        <v>49</v>
      </c>
      <c r="N386" s="24" t="n">
        <f aca="false">MAX(L386,M386)</f>
        <v>49</v>
      </c>
      <c r="O386" s="25" t="n">
        <v>7.55</v>
      </c>
      <c r="P386" s="25" t="n">
        <f aca="false">N386*O386</f>
        <v>369.95</v>
      </c>
      <c r="Q386" s="23"/>
      <c r="R386" s="23"/>
      <c r="S386" s="24"/>
      <c r="T386" s="25"/>
      <c r="U386" s="25" t="n">
        <v>0</v>
      </c>
      <c r="V386" s="25" t="n">
        <f aca="false">P386-U386</f>
        <v>369.95</v>
      </c>
      <c r="W386" s="25" t="n">
        <f aca="false">V386*12</f>
        <v>4439.4</v>
      </c>
      <c r="X386" s="23" t="str">
        <f aca="false">IF(Q386="","MISSING FROM EXPORT",IF(ABS(V386)&lt;0.005,"CLEAR",IF(V386&gt;0,"UNDERBILLING","OVERBILLING")))</f>
        <v>MISSING FROM EXPORT</v>
      </c>
      <c r="Y386" s="25" t="n">
        <f aca="false">IF(F386="COMMERCIAL",ROUND(P386*0.35,2),0)</f>
        <v>0</v>
      </c>
      <c r="Z386" s="23" t="str">
        <f aca="false">IF(F386="COMMERCIAL","VERIFY SIGNED AGREEMENT","NO EXCEPTION")</f>
        <v>NO EXCEPTION</v>
      </c>
      <c r="AA386" s="23" t="str">
        <f aca="false">IF(AND(C386="covered",N386&gt;40),"COVERED &gt;40 FT","")</f>
        <v/>
      </c>
      <c r="AB386" s="23" t="s">
        <v>4705</v>
      </c>
      <c r="AC386" s="23" t="s">
        <v>4996</v>
      </c>
      <c r="AD386" s="23" t="s">
        <v>2807</v>
      </c>
    </row>
    <row r="387" customFormat="false" ht="17.9" hidden="false" customHeight="false" outlineLevel="0" collapsed="false">
      <c r="A387" s="20" t="s">
        <v>4997</v>
      </c>
      <c r="B387" s="20" t="s">
        <v>119</v>
      </c>
      <c r="C387" s="20" t="s">
        <v>2798</v>
      </c>
      <c r="D387" s="20" t="s">
        <v>4998</v>
      </c>
      <c r="E387" s="20" t="s">
        <v>4999</v>
      </c>
      <c r="F387" s="20" t="s">
        <v>2810</v>
      </c>
      <c r="G387" s="20" t="s">
        <v>3921</v>
      </c>
      <c r="H387" s="22" t="n">
        <v>27.3</v>
      </c>
      <c r="I387" s="22" t="n">
        <v>27.3</v>
      </c>
      <c r="J387" s="22" t="n">
        <f aca="false">H387-I387</f>
        <v>0</v>
      </c>
      <c r="K387" s="20" t="str">
        <f aca="false">IF(ABS(J387)&lt;0.001,"MATCH - PAPER CHECK-IN NOT SUPPLIED","DATA MISMATCH")</f>
        <v>MATCH - PAPER CHECK-IN NOT SUPPLIED</v>
      </c>
      <c r="L387" s="22" t="n">
        <v>24</v>
      </c>
      <c r="M387" s="22" t="n">
        <f aca="false">ROUNDUP(H387,0)</f>
        <v>28</v>
      </c>
      <c r="N387" s="24" t="n">
        <f aca="false">MAX(L387,M387)</f>
        <v>28</v>
      </c>
      <c r="O387" s="25" t="n">
        <v>7.55</v>
      </c>
      <c r="P387" s="25" t="n">
        <f aca="false">N387*O387</f>
        <v>211.4</v>
      </c>
      <c r="Q387" s="23"/>
      <c r="R387" s="23"/>
      <c r="S387" s="24"/>
      <c r="T387" s="25"/>
      <c r="U387" s="25" t="n">
        <v>0</v>
      </c>
      <c r="V387" s="25" t="n">
        <f aca="false">P387-U387</f>
        <v>211.4</v>
      </c>
      <c r="W387" s="25" t="n">
        <f aca="false">V387*12</f>
        <v>2536.8</v>
      </c>
      <c r="X387" s="23" t="str">
        <f aca="false">IF(Q387="","MISSING FROM EXPORT",IF(ABS(V387)&lt;0.005,"CLEAR",IF(V387&gt;0,"UNDERBILLING","OVERBILLING")))</f>
        <v>MISSING FROM EXPORT</v>
      </c>
      <c r="Y387" s="25" t="n">
        <f aca="false">IF(F387="COMMERCIAL",ROUND(P387*0.35,2),0)</f>
        <v>0</v>
      </c>
      <c r="Z387" s="23" t="str">
        <f aca="false">IF(F387="COMMERCIAL","VERIFY SIGNED AGREEMENT","NO EXCEPTION")</f>
        <v>NO EXCEPTION</v>
      </c>
      <c r="AA387" s="23" t="str">
        <f aca="false">IF(AND(C387="covered",N387&gt;40),"COVERED &gt;40 FT","")</f>
        <v/>
      </c>
      <c r="AB387" s="23" t="s">
        <v>4705</v>
      </c>
      <c r="AC387" s="23" t="s">
        <v>5000</v>
      </c>
      <c r="AD387" s="23" t="s">
        <v>2807</v>
      </c>
    </row>
    <row r="388" customFormat="false" ht="17.9" hidden="false" customHeight="false" outlineLevel="0" collapsed="false">
      <c r="A388" s="20" t="s">
        <v>809</v>
      </c>
      <c r="B388" s="20" t="s">
        <v>119</v>
      </c>
      <c r="C388" s="20" t="s">
        <v>2798</v>
      </c>
      <c r="D388" s="20" t="s">
        <v>5001</v>
      </c>
      <c r="E388" s="20" t="s">
        <v>5002</v>
      </c>
      <c r="F388" s="20" t="s">
        <v>2833</v>
      </c>
      <c r="G388" s="20" t="s">
        <v>3928</v>
      </c>
      <c r="H388" s="22" t="n">
        <v>29.8</v>
      </c>
      <c r="I388" s="22" t="n">
        <v>29.8</v>
      </c>
      <c r="J388" s="22" t="n">
        <f aca="false">H388-I388</f>
        <v>0</v>
      </c>
      <c r="K388" s="20" t="str">
        <f aca="false">IF(ABS(J388)&lt;0.001,"MATCH - PAPER CHECK-IN NOT SUPPLIED","DATA MISMATCH")</f>
        <v>MATCH - PAPER CHECK-IN NOT SUPPLIED</v>
      </c>
      <c r="L388" s="22" t="n">
        <v>60</v>
      </c>
      <c r="M388" s="22" t="n">
        <f aca="false">ROUNDUP(H388,0)</f>
        <v>30</v>
      </c>
      <c r="N388" s="24" t="n">
        <f aca="false">MAX(L388,M388)</f>
        <v>60</v>
      </c>
      <c r="O388" s="25" t="n">
        <v>7.55</v>
      </c>
      <c r="P388" s="25" t="n">
        <f aca="false">N388*O388</f>
        <v>453</v>
      </c>
      <c r="Q388" s="23"/>
      <c r="R388" s="23"/>
      <c r="S388" s="24"/>
      <c r="T388" s="25"/>
      <c r="U388" s="25" t="n">
        <v>0</v>
      </c>
      <c r="V388" s="25" t="n">
        <f aca="false">P388-U388</f>
        <v>453</v>
      </c>
      <c r="W388" s="25" t="n">
        <f aca="false">V388*12</f>
        <v>5436</v>
      </c>
      <c r="X388" s="23" t="str">
        <f aca="false">IF(Q388="","MISSING FROM EXPORT",IF(ABS(V388)&lt;0.005,"CLEAR",IF(V388&gt;0,"UNDERBILLING","OVERBILLING")))</f>
        <v>MISSING FROM EXPORT</v>
      </c>
      <c r="Y388" s="25" t="n">
        <f aca="false">IF(F388="COMMERCIAL",ROUND(P388*0.35,2),0)</f>
        <v>0</v>
      </c>
      <c r="Z388" s="23" t="str">
        <f aca="false">IF(F388="COMMERCIAL","VERIFY SIGNED AGREEMENT","NO EXCEPTION")</f>
        <v>NO EXCEPTION</v>
      </c>
      <c r="AA388" s="23" t="str">
        <f aca="false">IF(AND(C388="covered",N388&gt;40),"COVERED &gt;40 FT","")</f>
        <v/>
      </c>
      <c r="AB388" s="23" t="s">
        <v>4705</v>
      </c>
      <c r="AC388" s="23" t="s">
        <v>5003</v>
      </c>
      <c r="AD388" s="23" t="s">
        <v>2807</v>
      </c>
    </row>
    <row r="389" customFormat="false" ht="17.9" hidden="false" customHeight="false" outlineLevel="0" collapsed="false">
      <c r="A389" s="20" t="s">
        <v>5004</v>
      </c>
      <c r="B389" s="20" t="s">
        <v>119</v>
      </c>
      <c r="C389" s="20" t="s">
        <v>2798</v>
      </c>
      <c r="D389" s="20" t="s">
        <v>2271</v>
      </c>
      <c r="E389" s="20" t="s">
        <v>2272</v>
      </c>
      <c r="F389" s="20" t="s">
        <v>2857</v>
      </c>
      <c r="G389" s="20" t="s">
        <v>3935</v>
      </c>
      <c r="H389" s="22" t="n">
        <v>45.8</v>
      </c>
      <c r="I389" s="22" t="n">
        <v>45.8</v>
      </c>
      <c r="J389" s="22" t="n">
        <f aca="false">H389-I389</f>
        <v>0</v>
      </c>
      <c r="K389" s="20" t="str">
        <f aca="false">IF(ABS(J389)&lt;0.001,"MATCH - PAPER CHECK-IN NOT SUPPLIED","DATA MISMATCH")</f>
        <v>MATCH - PAPER CHECK-IN NOT SUPPLIED</v>
      </c>
      <c r="L389" s="22" t="n">
        <v>24</v>
      </c>
      <c r="M389" s="22" t="n">
        <f aca="false">ROUNDUP(H389,0)</f>
        <v>46</v>
      </c>
      <c r="N389" s="24" t="n">
        <f aca="false">MAX(L389,M389)</f>
        <v>46</v>
      </c>
      <c r="O389" s="25" t="n">
        <v>7.55</v>
      </c>
      <c r="P389" s="25" t="n">
        <f aca="false">N389*O389</f>
        <v>347.3</v>
      </c>
      <c r="Q389" s="23"/>
      <c r="R389" s="23"/>
      <c r="S389" s="24"/>
      <c r="T389" s="25"/>
      <c r="U389" s="25" t="n">
        <v>0</v>
      </c>
      <c r="V389" s="25" t="n">
        <f aca="false">P389-U389</f>
        <v>347.3</v>
      </c>
      <c r="W389" s="25" t="n">
        <f aca="false">V389*12</f>
        <v>4167.6</v>
      </c>
      <c r="X389" s="23" t="str">
        <f aca="false">IF(Q389="","MISSING FROM EXPORT",IF(ABS(V389)&lt;0.005,"CLEAR",IF(V389&gt;0,"UNDERBILLING","OVERBILLING")))</f>
        <v>MISSING FROM EXPORT</v>
      </c>
      <c r="Y389" s="25" t="n">
        <f aca="false">IF(F389="COMMERCIAL",ROUND(P389*0.35,2),0)</f>
        <v>0</v>
      </c>
      <c r="Z389" s="23" t="str">
        <f aca="false">IF(F389="COMMERCIAL","VERIFY SIGNED AGREEMENT","NO EXCEPTION")</f>
        <v>NO EXCEPTION</v>
      </c>
      <c r="AA389" s="23" t="str">
        <f aca="false">IF(AND(C389="covered",N389&gt;40),"COVERED &gt;40 FT","")</f>
        <v/>
      </c>
      <c r="AB389" s="23" t="s">
        <v>4705</v>
      </c>
      <c r="AC389" s="23" t="s">
        <v>5005</v>
      </c>
      <c r="AD389" s="23" t="s">
        <v>2807</v>
      </c>
    </row>
    <row r="390" customFormat="false" ht="17.9" hidden="false" customHeight="false" outlineLevel="0" collapsed="false">
      <c r="A390" s="20" t="s">
        <v>1047</v>
      </c>
      <c r="B390" s="20" t="s">
        <v>119</v>
      </c>
      <c r="C390" s="20" t="s">
        <v>2798</v>
      </c>
      <c r="D390" s="20" t="s">
        <v>5006</v>
      </c>
      <c r="E390" s="20" t="s">
        <v>5007</v>
      </c>
      <c r="F390" s="20" t="s">
        <v>2810</v>
      </c>
      <c r="G390" s="20" t="s">
        <v>3939</v>
      </c>
      <c r="H390" s="22" t="n">
        <v>59.7</v>
      </c>
      <c r="I390" s="22" t="n">
        <v>59.7</v>
      </c>
      <c r="J390" s="22" t="n">
        <f aca="false">H390-I390</f>
        <v>0</v>
      </c>
      <c r="K390" s="20" t="str">
        <f aca="false">IF(ABS(J390)&lt;0.001,"MATCH - PAPER CHECK-IN NOT SUPPLIED","DATA MISMATCH")</f>
        <v>MATCH - PAPER CHECK-IN NOT SUPPLIED</v>
      </c>
      <c r="L390" s="22" t="n">
        <v>36</v>
      </c>
      <c r="M390" s="22" t="n">
        <f aca="false">ROUNDUP(H390,0)</f>
        <v>60</v>
      </c>
      <c r="N390" s="24" t="n">
        <f aca="false">MAX(L390,M390)</f>
        <v>60</v>
      </c>
      <c r="O390" s="25" t="n">
        <v>7.55</v>
      </c>
      <c r="P390" s="25" t="n">
        <f aca="false">N390*O390</f>
        <v>453</v>
      </c>
      <c r="Q390" s="23"/>
      <c r="R390" s="23"/>
      <c r="S390" s="24"/>
      <c r="T390" s="25"/>
      <c r="U390" s="25" t="n">
        <v>0</v>
      </c>
      <c r="V390" s="25" t="n">
        <f aca="false">P390-U390</f>
        <v>453</v>
      </c>
      <c r="W390" s="25" t="n">
        <f aca="false">V390*12</f>
        <v>5436</v>
      </c>
      <c r="X390" s="23" t="str">
        <f aca="false">IF(Q390="","MISSING FROM EXPORT",IF(ABS(V390)&lt;0.005,"CLEAR",IF(V390&gt;0,"UNDERBILLING","OVERBILLING")))</f>
        <v>MISSING FROM EXPORT</v>
      </c>
      <c r="Y390" s="25" t="n">
        <f aca="false">IF(F390="COMMERCIAL",ROUND(P390*0.35,2),0)</f>
        <v>0</v>
      </c>
      <c r="Z390" s="23" t="str">
        <f aca="false">IF(F390="COMMERCIAL","VERIFY SIGNED AGREEMENT","NO EXCEPTION")</f>
        <v>NO EXCEPTION</v>
      </c>
      <c r="AA390" s="23" t="str">
        <f aca="false">IF(AND(C390="covered",N390&gt;40),"COVERED &gt;40 FT","")</f>
        <v/>
      </c>
      <c r="AB390" s="23" t="s">
        <v>4705</v>
      </c>
      <c r="AC390" s="23" t="s">
        <v>5008</v>
      </c>
      <c r="AD390" s="23" t="s">
        <v>2807</v>
      </c>
    </row>
    <row r="391" customFormat="false" ht="17.9" hidden="false" customHeight="false" outlineLevel="0" collapsed="false">
      <c r="A391" s="20" t="s">
        <v>5009</v>
      </c>
      <c r="B391" s="20" t="s">
        <v>119</v>
      </c>
      <c r="C391" s="20" t="s">
        <v>2798</v>
      </c>
      <c r="D391" s="20" t="s">
        <v>1922</v>
      </c>
      <c r="E391" s="20" t="s">
        <v>5010</v>
      </c>
      <c r="F391" s="20" t="s">
        <v>2869</v>
      </c>
      <c r="G391" s="20" t="s">
        <v>3946</v>
      </c>
      <c r="H391" s="22" t="n">
        <v>59.9</v>
      </c>
      <c r="I391" s="22" t="n">
        <v>59.9</v>
      </c>
      <c r="J391" s="22" t="n">
        <f aca="false">H391-I391</f>
        <v>0</v>
      </c>
      <c r="K391" s="20" t="str">
        <f aca="false">IF(ABS(J391)&lt;0.001,"MATCH - PAPER CHECK-IN NOT SUPPLIED","DATA MISMATCH")</f>
        <v>MATCH - PAPER CHECK-IN NOT SUPPLIED</v>
      </c>
      <c r="L391" s="22" t="n">
        <v>36</v>
      </c>
      <c r="M391" s="22" t="n">
        <f aca="false">ROUNDUP(H391,0)</f>
        <v>60</v>
      </c>
      <c r="N391" s="24" t="n">
        <f aca="false">MAX(L391,M391)</f>
        <v>60</v>
      </c>
      <c r="O391" s="25" t="n">
        <v>7.55</v>
      </c>
      <c r="P391" s="25" t="n">
        <f aca="false">N391*O391</f>
        <v>453</v>
      </c>
      <c r="Q391" s="23"/>
      <c r="R391" s="23"/>
      <c r="S391" s="24"/>
      <c r="T391" s="25"/>
      <c r="U391" s="25" t="n">
        <v>0</v>
      </c>
      <c r="V391" s="25" t="n">
        <f aca="false">P391-U391</f>
        <v>453</v>
      </c>
      <c r="W391" s="25" t="n">
        <f aca="false">V391*12</f>
        <v>5436</v>
      </c>
      <c r="X391" s="23" t="str">
        <f aca="false">IF(Q391="","MISSING FROM EXPORT",IF(ABS(V391)&lt;0.005,"CLEAR",IF(V391&gt;0,"UNDERBILLING","OVERBILLING")))</f>
        <v>MISSING FROM EXPORT</v>
      </c>
      <c r="Y391" s="25" t="n">
        <f aca="false">IF(F391="COMMERCIAL",ROUND(P391*0.35,2),0)</f>
        <v>0</v>
      </c>
      <c r="Z391" s="23" t="str">
        <f aca="false">IF(F391="COMMERCIAL","VERIFY SIGNED AGREEMENT","NO EXCEPTION")</f>
        <v>NO EXCEPTION</v>
      </c>
      <c r="AA391" s="23" t="str">
        <f aca="false">IF(AND(C391="covered",N391&gt;40),"COVERED &gt;40 FT","")</f>
        <v/>
      </c>
      <c r="AB391" s="23" t="s">
        <v>4705</v>
      </c>
      <c r="AC391" s="23" t="s">
        <v>5011</v>
      </c>
      <c r="AD391" s="23" t="s">
        <v>2807</v>
      </c>
    </row>
    <row r="392" customFormat="false" ht="17.9" hidden="false" customHeight="false" outlineLevel="0" collapsed="false">
      <c r="A392" s="20" t="s">
        <v>5012</v>
      </c>
      <c r="B392" s="20" t="s">
        <v>119</v>
      </c>
      <c r="C392" s="20" t="s">
        <v>2798</v>
      </c>
      <c r="D392" s="20" t="s">
        <v>5013</v>
      </c>
      <c r="E392" s="20" t="s">
        <v>5014</v>
      </c>
      <c r="F392" s="20" t="s">
        <v>2801</v>
      </c>
      <c r="G392" s="20" t="s">
        <v>3953</v>
      </c>
      <c r="H392" s="22" t="n">
        <v>49.7</v>
      </c>
      <c r="I392" s="22" t="n">
        <v>49.7</v>
      </c>
      <c r="J392" s="22" t="n">
        <f aca="false">H392-I392</f>
        <v>0</v>
      </c>
      <c r="K392" s="20" t="str">
        <f aca="false">IF(ABS(J392)&lt;0.001,"MATCH - PAPER CHECK-IN NOT SUPPLIED","DATA MISMATCH")</f>
        <v>MATCH - PAPER CHECK-IN NOT SUPPLIED</v>
      </c>
      <c r="L392" s="22" t="n">
        <v>32</v>
      </c>
      <c r="M392" s="22" t="n">
        <f aca="false">ROUNDUP(H392,0)</f>
        <v>50</v>
      </c>
      <c r="N392" s="24" t="n">
        <f aca="false">MAX(L392,M392)</f>
        <v>50</v>
      </c>
      <c r="O392" s="25" t="n">
        <v>7.55</v>
      </c>
      <c r="P392" s="25" t="n">
        <f aca="false">N392*O392</f>
        <v>377.5</v>
      </c>
      <c r="Q392" s="23"/>
      <c r="R392" s="23"/>
      <c r="S392" s="24"/>
      <c r="T392" s="25"/>
      <c r="U392" s="25" t="n">
        <v>0</v>
      </c>
      <c r="V392" s="25" t="n">
        <f aca="false">P392-U392</f>
        <v>377.5</v>
      </c>
      <c r="W392" s="25" t="n">
        <f aca="false">V392*12</f>
        <v>4530</v>
      </c>
      <c r="X392" s="23" t="str">
        <f aca="false">IF(Q392="","MISSING FROM EXPORT",IF(ABS(V392)&lt;0.005,"CLEAR",IF(V392&gt;0,"UNDERBILLING","OVERBILLING")))</f>
        <v>MISSING FROM EXPORT</v>
      </c>
      <c r="Y392" s="25" t="n">
        <f aca="false">IF(F392="COMMERCIAL",ROUND(P392*0.35,2),0)</f>
        <v>0</v>
      </c>
      <c r="Z392" s="23" t="str">
        <f aca="false">IF(F392="COMMERCIAL","VERIFY SIGNED AGREEMENT","NO EXCEPTION")</f>
        <v>NO EXCEPTION</v>
      </c>
      <c r="AA392" s="23" t="str">
        <f aca="false">IF(AND(C392="covered",N392&gt;40),"COVERED &gt;40 FT","")</f>
        <v/>
      </c>
      <c r="AB392" s="23" t="s">
        <v>4705</v>
      </c>
      <c r="AC392" s="23" t="s">
        <v>5015</v>
      </c>
      <c r="AD392" s="23" t="s">
        <v>2807</v>
      </c>
    </row>
    <row r="393" customFormat="false" ht="17.9" hidden="false" customHeight="false" outlineLevel="0" collapsed="false">
      <c r="A393" s="20" t="s">
        <v>233</v>
      </c>
      <c r="B393" s="20" t="s">
        <v>119</v>
      </c>
      <c r="C393" s="20" t="s">
        <v>2798</v>
      </c>
      <c r="D393" s="20" t="s">
        <v>5016</v>
      </c>
      <c r="E393" s="20" t="s">
        <v>5017</v>
      </c>
      <c r="F393" s="20" t="s">
        <v>2833</v>
      </c>
      <c r="G393" s="20" t="s">
        <v>3960</v>
      </c>
      <c r="H393" s="22" t="n">
        <v>38.9</v>
      </c>
      <c r="I393" s="22" t="n">
        <v>38.9</v>
      </c>
      <c r="J393" s="22" t="n">
        <f aca="false">H393-I393</f>
        <v>0</v>
      </c>
      <c r="K393" s="20" t="str">
        <f aca="false">IF(ABS(J393)&lt;0.001,"MATCH - PAPER CHECK-IN NOT SUPPLIED","DATA MISMATCH")</f>
        <v>MATCH - PAPER CHECK-IN NOT SUPPLIED</v>
      </c>
      <c r="L393" s="22" t="n">
        <v>50</v>
      </c>
      <c r="M393" s="22" t="n">
        <f aca="false">ROUNDUP(H393,0)</f>
        <v>39</v>
      </c>
      <c r="N393" s="24" t="n">
        <f aca="false">MAX(L393,M393)</f>
        <v>50</v>
      </c>
      <c r="O393" s="25" t="n">
        <v>7.55</v>
      </c>
      <c r="P393" s="25" t="n">
        <f aca="false">N393*O393</f>
        <v>377.5</v>
      </c>
      <c r="Q393" s="23"/>
      <c r="R393" s="23"/>
      <c r="S393" s="24"/>
      <c r="T393" s="25"/>
      <c r="U393" s="25" t="n">
        <v>0</v>
      </c>
      <c r="V393" s="25" t="n">
        <f aca="false">P393-U393</f>
        <v>377.5</v>
      </c>
      <c r="W393" s="25" t="n">
        <f aca="false">V393*12</f>
        <v>4530</v>
      </c>
      <c r="X393" s="23" t="str">
        <f aca="false">IF(Q393="","MISSING FROM EXPORT",IF(ABS(V393)&lt;0.005,"CLEAR",IF(V393&gt;0,"UNDERBILLING","OVERBILLING")))</f>
        <v>MISSING FROM EXPORT</v>
      </c>
      <c r="Y393" s="25" t="n">
        <f aca="false">IF(F393="COMMERCIAL",ROUND(P393*0.35,2),0)</f>
        <v>0</v>
      </c>
      <c r="Z393" s="23" t="str">
        <f aca="false">IF(F393="COMMERCIAL","VERIFY SIGNED AGREEMENT","NO EXCEPTION")</f>
        <v>NO EXCEPTION</v>
      </c>
      <c r="AA393" s="23" t="str">
        <f aca="false">IF(AND(C393="covered",N393&gt;40),"COVERED &gt;40 FT","")</f>
        <v/>
      </c>
      <c r="AB393" s="23" t="s">
        <v>4705</v>
      </c>
      <c r="AC393" s="23" t="s">
        <v>5018</v>
      </c>
      <c r="AD393" s="23" t="s">
        <v>2807</v>
      </c>
    </row>
    <row r="394" customFormat="false" ht="17.9" hidden="false" customHeight="false" outlineLevel="0" collapsed="false">
      <c r="A394" s="20" t="s">
        <v>5019</v>
      </c>
      <c r="B394" s="20" t="s">
        <v>119</v>
      </c>
      <c r="C394" s="20" t="s">
        <v>2798</v>
      </c>
      <c r="D394" s="20" t="s">
        <v>5020</v>
      </c>
      <c r="E394" s="20" t="s">
        <v>5021</v>
      </c>
      <c r="F394" s="20" t="s">
        <v>2934</v>
      </c>
      <c r="G394" s="20" t="s">
        <v>3967</v>
      </c>
      <c r="H394" s="22" t="n">
        <v>53.3</v>
      </c>
      <c r="I394" s="22" t="n">
        <v>53.3</v>
      </c>
      <c r="J394" s="22" t="n">
        <f aca="false">H394-I394</f>
        <v>0</v>
      </c>
      <c r="K394" s="20" t="str">
        <f aca="false">IF(ABS(J394)&lt;0.001,"MATCH - PAPER CHECK-IN NOT SUPPLIED","DATA MISMATCH")</f>
        <v>MATCH - PAPER CHECK-IN NOT SUPPLIED</v>
      </c>
      <c r="L394" s="22" t="n">
        <v>45</v>
      </c>
      <c r="M394" s="22" t="n">
        <f aca="false">ROUNDUP(H394,0)</f>
        <v>54</v>
      </c>
      <c r="N394" s="24" t="n">
        <f aca="false">MAX(L394,M394)</f>
        <v>54</v>
      </c>
      <c r="O394" s="25" t="n">
        <v>7.55</v>
      </c>
      <c r="P394" s="25" t="n">
        <f aca="false">N394*O394</f>
        <v>407.7</v>
      </c>
      <c r="Q394" s="23"/>
      <c r="R394" s="23"/>
      <c r="S394" s="24"/>
      <c r="T394" s="25"/>
      <c r="U394" s="25" t="n">
        <v>0</v>
      </c>
      <c r="V394" s="25" t="n">
        <f aca="false">P394-U394</f>
        <v>407.7</v>
      </c>
      <c r="W394" s="25" t="n">
        <f aca="false">V394*12</f>
        <v>4892.4</v>
      </c>
      <c r="X394" s="23" t="str">
        <f aca="false">IF(Q394="","MISSING FROM EXPORT",IF(ABS(V394)&lt;0.005,"CLEAR",IF(V394&gt;0,"UNDERBILLING","OVERBILLING")))</f>
        <v>MISSING FROM EXPORT</v>
      </c>
      <c r="Y394" s="25" t="n">
        <f aca="false">IF(F394="COMMERCIAL",ROUND(P394*0.35,2),0)</f>
        <v>142.7</v>
      </c>
      <c r="Z394" s="23" t="str">
        <f aca="false">IF(F394="COMMERCIAL","VERIFY SIGNED AGREEMENT","NO EXCEPTION")</f>
        <v>VERIFY SIGNED AGREEMENT</v>
      </c>
      <c r="AA394" s="23" t="str">
        <f aca="false">IF(AND(C394="covered",N394&gt;40),"COVERED &gt;40 FT","")</f>
        <v/>
      </c>
      <c r="AB394" s="23" t="s">
        <v>4705</v>
      </c>
      <c r="AC394" s="23" t="s">
        <v>5022</v>
      </c>
      <c r="AD394" s="23" t="s">
        <v>2807</v>
      </c>
    </row>
    <row r="395" customFormat="false" ht="17.9" hidden="false" customHeight="false" outlineLevel="0" collapsed="false">
      <c r="A395" s="20" t="s">
        <v>5023</v>
      </c>
      <c r="B395" s="20" t="s">
        <v>119</v>
      </c>
      <c r="C395" s="20" t="s">
        <v>2798</v>
      </c>
      <c r="D395" s="20" t="s">
        <v>5024</v>
      </c>
      <c r="E395" s="20" t="s">
        <v>5025</v>
      </c>
      <c r="F395" s="20" t="s">
        <v>2810</v>
      </c>
      <c r="G395" s="20" t="s">
        <v>3973</v>
      </c>
      <c r="H395" s="22" t="n">
        <v>25.5</v>
      </c>
      <c r="I395" s="22" t="n">
        <v>25.5</v>
      </c>
      <c r="J395" s="22" t="n">
        <f aca="false">H395-I395</f>
        <v>0</v>
      </c>
      <c r="K395" s="20" t="str">
        <f aca="false">IF(ABS(J395)&lt;0.001,"MATCH - PAPER CHECK-IN NOT SUPPLIED","DATA MISMATCH")</f>
        <v>MATCH - PAPER CHECK-IN NOT SUPPLIED</v>
      </c>
      <c r="L395" s="22" t="n">
        <v>45</v>
      </c>
      <c r="M395" s="22" t="n">
        <f aca="false">ROUNDUP(H395,0)</f>
        <v>26</v>
      </c>
      <c r="N395" s="24" t="n">
        <f aca="false">MAX(L395,M395)</f>
        <v>45</v>
      </c>
      <c r="O395" s="25" t="n">
        <v>7.55</v>
      </c>
      <c r="P395" s="25" t="n">
        <f aca="false">N395*O395</f>
        <v>339.75</v>
      </c>
      <c r="Q395" s="23"/>
      <c r="R395" s="23"/>
      <c r="S395" s="24"/>
      <c r="T395" s="25"/>
      <c r="U395" s="25" t="n">
        <v>0</v>
      </c>
      <c r="V395" s="25" t="n">
        <f aca="false">P395-U395</f>
        <v>339.75</v>
      </c>
      <c r="W395" s="25" t="n">
        <f aca="false">V395*12</f>
        <v>4077</v>
      </c>
      <c r="X395" s="23" t="str">
        <f aca="false">IF(Q395="","MISSING FROM EXPORT",IF(ABS(V395)&lt;0.005,"CLEAR",IF(V395&gt;0,"UNDERBILLING","OVERBILLING")))</f>
        <v>MISSING FROM EXPORT</v>
      </c>
      <c r="Y395" s="25" t="n">
        <f aca="false">IF(F395="COMMERCIAL",ROUND(P395*0.35,2),0)</f>
        <v>0</v>
      </c>
      <c r="Z395" s="23" t="str">
        <f aca="false">IF(F395="COMMERCIAL","VERIFY SIGNED AGREEMENT","NO EXCEPTION")</f>
        <v>NO EXCEPTION</v>
      </c>
      <c r="AA395" s="23" t="str">
        <f aca="false">IF(AND(C395="covered",N395&gt;40),"COVERED &gt;40 FT","")</f>
        <v/>
      </c>
      <c r="AB395" s="23" t="s">
        <v>4705</v>
      </c>
      <c r="AC395" s="23" t="s">
        <v>5026</v>
      </c>
      <c r="AD395" s="23" t="s">
        <v>2807</v>
      </c>
    </row>
    <row r="396" customFormat="false" ht="17.9" hidden="false" customHeight="false" outlineLevel="0" collapsed="false">
      <c r="A396" s="20" t="s">
        <v>1096</v>
      </c>
      <c r="B396" s="20" t="s">
        <v>119</v>
      </c>
      <c r="C396" s="20" t="s">
        <v>2798</v>
      </c>
      <c r="D396" s="20" t="s">
        <v>5027</v>
      </c>
      <c r="E396" s="20" t="s">
        <v>5028</v>
      </c>
      <c r="F396" s="20" t="s">
        <v>2801</v>
      </c>
      <c r="G396" s="20" t="s">
        <v>3980</v>
      </c>
      <c r="H396" s="22" t="n">
        <v>50.9</v>
      </c>
      <c r="I396" s="22" t="n">
        <v>50.9</v>
      </c>
      <c r="J396" s="22" t="n">
        <f aca="false">H396-I396</f>
        <v>0</v>
      </c>
      <c r="K396" s="20" t="str">
        <f aca="false">IF(ABS(J396)&lt;0.001,"MATCH - PAPER CHECK-IN NOT SUPPLIED","DATA MISMATCH")</f>
        <v>MATCH - PAPER CHECK-IN NOT SUPPLIED</v>
      </c>
      <c r="L396" s="22" t="n">
        <v>24</v>
      </c>
      <c r="M396" s="22" t="n">
        <f aca="false">ROUNDUP(H396,0)</f>
        <v>51</v>
      </c>
      <c r="N396" s="24" t="n">
        <f aca="false">MAX(L396,M396)</f>
        <v>51</v>
      </c>
      <c r="O396" s="25" t="n">
        <v>7.55</v>
      </c>
      <c r="P396" s="25" t="n">
        <f aca="false">N396*O396</f>
        <v>385.05</v>
      </c>
      <c r="Q396" s="23"/>
      <c r="R396" s="23"/>
      <c r="S396" s="24"/>
      <c r="T396" s="25"/>
      <c r="U396" s="25" t="n">
        <v>0</v>
      </c>
      <c r="V396" s="25" t="n">
        <f aca="false">P396-U396</f>
        <v>385.05</v>
      </c>
      <c r="W396" s="25" t="n">
        <f aca="false">V396*12</f>
        <v>4620.6</v>
      </c>
      <c r="X396" s="23" t="str">
        <f aca="false">IF(Q396="","MISSING FROM EXPORT",IF(ABS(V396)&lt;0.005,"CLEAR",IF(V396&gt;0,"UNDERBILLING","OVERBILLING")))</f>
        <v>MISSING FROM EXPORT</v>
      </c>
      <c r="Y396" s="25" t="n">
        <f aca="false">IF(F396="COMMERCIAL",ROUND(P396*0.35,2),0)</f>
        <v>0</v>
      </c>
      <c r="Z396" s="23" t="str">
        <f aca="false">IF(F396="COMMERCIAL","VERIFY SIGNED AGREEMENT","NO EXCEPTION")</f>
        <v>NO EXCEPTION</v>
      </c>
      <c r="AA396" s="23" t="str">
        <f aca="false">IF(AND(C396="covered",N396&gt;40),"COVERED &gt;40 FT","")</f>
        <v/>
      </c>
      <c r="AB396" s="23" t="s">
        <v>4705</v>
      </c>
      <c r="AC396" s="23" t="s">
        <v>5029</v>
      </c>
      <c r="AD396" s="23" t="s">
        <v>2807</v>
      </c>
    </row>
    <row r="397" customFormat="false" ht="17.9" hidden="false" customHeight="false" outlineLevel="0" collapsed="false">
      <c r="A397" s="20" t="s">
        <v>5030</v>
      </c>
      <c r="B397" s="20" t="s">
        <v>119</v>
      </c>
      <c r="C397" s="20" t="s">
        <v>2798</v>
      </c>
      <c r="D397" s="20" t="s">
        <v>5031</v>
      </c>
      <c r="E397" s="20" t="s">
        <v>5032</v>
      </c>
      <c r="F397" s="20" t="s">
        <v>2857</v>
      </c>
      <c r="G397" s="20" t="s">
        <v>3986</v>
      </c>
      <c r="H397" s="22" t="n">
        <v>29</v>
      </c>
      <c r="I397" s="22" t="n">
        <v>29</v>
      </c>
      <c r="J397" s="22" t="n">
        <f aca="false">H397-I397</f>
        <v>0</v>
      </c>
      <c r="K397" s="20" t="str">
        <f aca="false">IF(ABS(J397)&lt;0.001,"MATCH - PAPER CHECK-IN NOT SUPPLIED","DATA MISMATCH")</f>
        <v>MATCH - PAPER CHECK-IN NOT SUPPLIED</v>
      </c>
      <c r="L397" s="22" t="n">
        <v>40</v>
      </c>
      <c r="M397" s="22" t="n">
        <f aca="false">ROUNDUP(H397,0)</f>
        <v>29</v>
      </c>
      <c r="N397" s="24" t="n">
        <f aca="false">MAX(L397,M397)</f>
        <v>40</v>
      </c>
      <c r="O397" s="25" t="n">
        <v>7.55</v>
      </c>
      <c r="P397" s="25" t="n">
        <f aca="false">N397*O397</f>
        <v>302</v>
      </c>
      <c r="Q397" s="23"/>
      <c r="R397" s="23"/>
      <c r="S397" s="24"/>
      <c r="T397" s="25"/>
      <c r="U397" s="25" t="n">
        <v>0</v>
      </c>
      <c r="V397" s="25" t="n">
        <f aca="false">P397-U397</f>
        <v>302</v>
      </c>
      <c r="W397" s="25" t="n">
        <f aca="false">V397*12</f>
        <v>3624</v>
      </c>
      <c r="X397" s="23" t="str">
        <f aca="false">IF(Q397="","MISSING FROM EXPORT",IF(ABS(V397)&lt;0.005,"CLEAR",IF(V397&gt;0,"UNDERBILLING","OVERBILLING")))</f>
        <v>MISSING FROM EXPORT</v>
      </c>
      <c r="Y397" s="25" t="n">
        <f aca="false">IF(F397="COMMERCIAL",ROUND(P397*0.35,2),0)</f>
        <v>0</v>
      </c>
      <c r="Z397" s="23" t="str">
        <f aca="false">IF(F397="COMMERCIAL","VERIFY SIGNED AGREEMENT","NO EXCEPTION")</f>
        <v>NO EXCEPTION</v>
      </c>
      <c r="AA397" s="23" t="str">
        <f aca="false">IF(AND(C397="covered",N397&gt;40),"COVERED &gt;40 FT","")</f>
        <v/>
      </c>
      <c r="AB397" s="23" t="s">
        <v>4705</v>
      </c>
      <c r="AC397" s="23" t="s">
        <v>5033</v>
      </c>
      <c r="AD397" s="23" t="s">
        <v>2807</v>
      </c>
    </row>
    <row r="398" customFormat="false" ht="17.9" hidden="false" customHeight="false" outlineLevel="0" collapsed="false">
      <c r="A398" s="20" t="s">
        <v>1292</v>
      </c>
      <c r="B398" s="20" t="s">
        <v>119</v>
      </c>
      <c r="C398" s="20" t="s">
        <v>2798</v>
      </c>
      <c r="D398" s="20" t="s">
        <v>5034</v>
      </c>
      <c r="E398" s="20" t="s">
        <v>5035</v>
      </c>
      <c r="F398" s="20" t="s">
        <v>2833</v>
      </c>
      <c r="G398" s="20" t="s">
        <v>3991</v>
      </c>
      <c r="H398" s="22" t="n">
        <v>25.9</v>
      </c>
      <c r="I398" s="22" t="n">
        <v>25.9</v>
      </c>
      <c r="J398" s="22" t="n">
        <f aca="false">H398-I398</f>
        <v>0</v>
      </c>
      <c r="K398" s="20" t="str">
        <f aca="false">IF(ABS(J398)&lt;0.001,"MATCH - PAPER CHECK-IN NOT SUPPLIED","DATA MISMATCH")</f>
        <v>MATCH - PAPER CHECK-IN NOT SUPPLIED</v>
      </c>
      <c r="L398" s="22" t="n">
        <v>50</v>
      </c>
      <c r="M398" s="22" t="n">
        <f aca="false">ROUNDUP(H398,0)</f>
        <v>26</v>
      </c>
      <c r="N398" s="24" t="n">
        <f aca="false">MAX(L398,M398)</f>
        <v>50</v>
      </c>
      <c r="O398" s="25" t="n">
        <v>7.55</v>
      </c>
      <c r="P398" s="25" t="n">
        <f aca="false">N398*O398</f>
        <v>377.5</v>
      </c>
      <c r="Q398" s="23"/>
      <c r="R398" s="23"/>
      <c r="S398" s="24"/>
      <c r="T398" s="25"/>
      <c r="U398" s="25" t="n">
        <v>0</v>
      </c>
      <c r="V398" s="25" t="n">
        <f aca="false">P398-U398</f>
        <v>377.5</v>
      </c>
      <c r="W398" s="25" t="n">
        <f aca="false">V398*12</f>
        <v>4530</v>
      </c>
      <c r="X398" s="23" t="str">
        <f aca="false">IF(Q398="","MISSING FROM EXPORT",IF(ABS(V398)&lt;0.005,"CLEAR",IF(V398&gt;0,"UNDERBILLING","OVERBILLING")))</f>
        <v>MISSING FROM EXPORT</v>
      </c>
      <c r="Y398" s="25" t="n">
        <f aca="false">IF(F398="COMMERCIAL",ROUND(P398*0.35,2),0)</f>
        <v>0</v>
      </c>
      <c r="Z398" s="23" t="str">
        <f aca="false">IF(F398="COMMERCIAL","VERIFY SIGNED AGREEMENT","NO EXCEPTION")</f>
        <v>NO EXCEPTION</v>
      </c>
      <c r="AA398" s="23" t="str">
        <f aca="false">IF(AND(C398="covered",N398&gt;40),"COVERED &gt;40 FT","")</f>
        <v/>
      </c>
      <c r="AB398" s="23" t="s">
        <v>4705</v>
      </c>
      <c r="AC398" s="23" t="s">
        <v>5036</v>
      </c>
      <c r="AD398" s="23" t="s">
        <v>2807</v>
      </c>
    </row>
    <row r="399" customFormat="false" ht="17.9" hidden="false" customHeight="false" outlineLevel="0" collapsed="false">
      <c r="A399" s="20" t="s">
        <v>5037</v>
      </c>
      <c r="B399" s="20" t="s">
        <v>119</v>
      </c>
      <c r="C399" s="20" t="s">
        <v>2798</v>
      </c>
      <c r="D399" s="20" t="s">
        <v>5038</v>
      </c>
      <c r="E399" s="20" t="s">
        <v>5039</v>
      </c>
      <c r="F399" s="20" t="s">
        <v>2833</v>
      </c>
      <c r="G399" s="20" t="s">
        <v>3998</v>
      </c>
      <c r="H399" s="22" t="n">
        <v>36.5</v>
      </c>
      <c r="I399" s="22" t="n">
        <v>36.5</v>
      </c>
      <c r="J399" s="22" t="n">
        <f aca="false">H399-I399</f>
        <v>0</v>
      </c>
      <c r="K399" s="20" t="str">
        <f aca="false">IF(ABS(J399)&lt;0.001,"MATCH - PAPER CHECK-IN NOT SUPPLIED","DATA MISMATCH")</f>
        <v>MATCH - PAPER CHECK-IN NOT SUPPLIED</v>
      </c>
      <c r="L399" s="22" t="n">
        <v>32</v>
      </c>
      <c r="M399" s="22" t="n">
        <f aca="false">ROUNDUP(H399,0)</f>
        <v>37</v>
      </c>
      <c r="N399" s="24" t="n">
        <f aca="false">MAX(L399,M399)</f>
        <v>37</v>
      </c>
      <c r="O399" s="25" t="n">
        <v>7.55</v>
      </c>
      <c r="P399" s="25" t="n">
        <f aca="false">N399*O399</f>
        <v>279.35</v>
      </c>
      <c r="Q399" s="23"/>
      <c r="R399" s="23"/>
      <c r="S399" s="24"/>
      <c r="T399" s="25"/>
      <c r="U399" s="25" t="n">
        <v>0</v>
      </c>
      <c r="V399" s="25" t="n">
        <f aca="false">P399-U399</f>
        <v>279.35</v>
      </c>
      <c r="W399" s="25" t="n">
        <f aca="false">V399*12</f>
        <v>3352.2</v>
      </c>
      <c r="X399" s="23" t="str">
        <f aca="false">IF(Q399="","MISSING FROM EXPORT",IF(ABS(V399)&lt;0.005,"CLEAR",IF(V399&gt;0,"UNDERBILLING","OVERBILLING")))</f>
        <v>MISSING FROM EXPORT</v>
      </c>
      <c r="Y399" s="25" t="n">
        <f aca="false">IF(F399="COMMERCIAL",ROUND(P399*0.35,2),0)</f>
        <v>0</v>
      </c>
      <c r="Z399" s="23" t="str">
        <f aca="false">IF(F399="COMMERCIAL","VERIFY SIGNED AGREEMENT","NO EXCEPTION")</f>
        <v>NO EXCEPTION</v>
      </c>
      <c r="AA399" s="23" t="str">
        <f aca="false">IF(AND(C399="covered",N399&gt;40),"COVERED &gt;40 FT","")</f>
        <v/>
      </c>
      <c r="AB399" s="23" t="s">
        <v>4705</v>
      </c>
      <c r="AC399" s="23" t="s">
        <v>5040</v>
      </c>
      <c r="AD399" s="23" t="s">
        <v>2807</v>
      </c>
    </row>
    <row r="400" customFormat="false" ht="17.9" hidden="false" customHeight="false" outlineLevel="0" collapsed="false">
      <c r="A400" s="20" t="s">
        <v>5041</v>
      </c>
      <c r="B400" s="20" t="s">
        <v>119</v>
      </c>
      <c r="C400" s="20" t="s">
        <v>2798</v>
      </c>
      <c r="D400" s="20" t="s">
        <v>5042</v>
      </c>
      <c r="E400" s="20" t="s">
        <v>5043</v>
      </c>
      <c r="F400" s="20" t="s">
        <v>2833</v>
      </c>
      <c r="G400" s="20" t="s">
        <v>4005</v>
      </c>
      <c r="H400" s="22" t="n">
        <v>59</v>
      </c>
      <c r="I400" s="22" t="n">
        <v>59</v>
      </c>
      <c r="J400" s="22" t="n">
        <f aca="false">H400-I400</f>
        <v>0</v>
      </c>
      <c r="K400" s="20" t="str">
        <f aca="false">IF(ABS(J400)&lt;0.001,"MATCH - PAPER CHECK-IN NOT SUPPLIED","DATA MISMATCH")</f>
        <v>MATCH - PAPER CHECK-IN NOT SUPPLIED</v>
      </c>
      <c r="L400" s="22" t="n">
        <v>32</v>
      </c>
      <c r="M400" s="22" t="n">
        <f aca="false">ROUNDUP(H400,0)</f>
        <v>59</v>
      </c>
      <c r="N400" s="24" t="n">
        <f aca="false">MAX(L400,M400)</f>
        <v>59</v>
      </c>
      <c r="O400" s="25" t="n">
        <v>7.55</v>
      </c>
      <c r="P400" s="25" t="n">
        <f aca="false">N400*O400</f>
        <v>445.45</v>
      </c>
      <c r="Q400" s="23"/>
      <c r="R400" s="23"/>
      <c r="S400" s="24"/>
      <c r="T400" s="25"/>
      <c r="U400" s="25" t="n">
        <v>0</v>
      </c>
      <c r="V400" s="25" t="n">
        <f aca="false">P400-U400</f>
        <v>445.45</v>
      </c>
      <c r="W400" s="25" t="n">
        <f aca="false">V400*12</f>
        <v>5345.4</v>
      </c>
      <c r="X400" s="23" t="str">
        <f aca="false">IF(Q400="","MISSING FROM EXPORT",IF(ABS(V400)&lt;0.005,"CLEAR",IF(V400&gt;0,"UNDERBILLING","OVERBILLING")))</f>
        <v>MISSING FROM EXPORT</v>
      </c>
      <c r="Y400" s="25" t="n">
        <f aca="false">IF(F400="COMMERCIAL",ROUND(P400*0.35,2),0)</f>
        <v>0</v>
      </c>
      <c r="Z400" s="23" t="str">
        <f aca="false">IF(F400="COMMERCIAL","VERIFY SIGNED AGREEMENT","NO EXCEPTION")</f>
        <v>NO EXCEPTION</v>
      </c>
      <c r="AA400" s="23" t="str">
        <f aca="false">IF(AND(C400="covered",N400&gt;40),"COVERED &gt;40 FT","")</f>
        <v/>
      </c>
      <c r="AB400" s="23" t="s">
        <v>4705</v>
      </c>
      <c r="AC400" s="23" t="s">
        <v>5044</v>
      </c>
      <c r="AD400" s="23" t="s">
        <v>2807</v>
      </c>
    </row>
    <row r="401" customFormat="false" ht="17.9" hidden="false" customHeight="false" outlineLevel="0" collapsed="false">
      <c r="A401" s="20" t="s">
        <v>5045</v>
      </c>
      <c r="B401" s="20" t="s">
        <v>119</v>
      </c>
      <c r="C401" s="20" t="s">
        <v>2798</v>
      </c>
      <c r="D401" s="20" t="s">
        <v>163</v>
      </c>
      <c r="E401" s="20" t="s">
        <v>164</v>
      </c>
      <c r="F401" s="20" t="s">
        <v>2833</v>
      </c>
      <c r="G401" s="20" t="s">
        <v>4012</v>
      </c>
      <c r="H401" s="22" t="n">
        <v>53.1</v>
      </c>
      <c r="I401" s="22" t="n">
        <v>53.1</v>
      </c>
      <c r="J401" s="22" t="n">
        <f aca="false">H401-I401</f>
        <v>0</v>
      </c>
      <c r="K401" s="20" t="str">
        <f aca="false">IF(ABS(J401)&lt;0.001,"MATCH - PAPER CHECK-IN NOT SUPPLIED","DATA MISMATCH")</f>
        <v>MATCH - PAPER CHECK-IN NOT SUPPLIED</v>
      </c>
      <c r="L401" s="22" t="n">
        <v>28</v>
      </c>
      <c r="M401" s="22" t="n">
        <f aca="false">ROUNDUP(H401,0)</f>
        <v>54</v>
      </c>
      <c r="N401" s="24" t="n">
        <f aca="false">MAX(L401,M401)</f>
        <v>54</v>
      </c>
      <c r="O401" s="25" t="n">
        <v>7.55</v>
      </c>
      <c r="P401" s="25" t="n">
        <f aca="false">N401*O401</f>
        <v>407.7</v>
      </c>
      <c r="Q401" s="23"/>
      <c r="R401" s="23"/>
      <c r="S401" s="24"/>
      <c r="T401" s="25"/>
      <c r="U401" s="25" t="n">
        <v>0</v>
      </c>
      <c r="V401" s="25" t="n">
        <f aca="false">P401-U401</f>
        <v>407.7</v>
      </c>
      <c r="W401" s="25" t="n">
        <f aca="false">V401*12</f>
        <v>4892.4</v>
      </c>
      <c r="X401" s="23" t="str">
        <f aca="false">IF(Q401="","MISSING FROM EXPORT",IF(ABS(V401)&lt;0.005,"CLEAR",IF(V401&gt;0,"UNDERBILLING","OVERBILLING")))</f>
        <v>MISSING FROM EXPORT</v>
      </c>
      <c r="Y401" s="25" t="n">
        <f aca="false">IF(F401="COMMERCIAL",ROUND(P401*0.35,2),0)</f>
        <v>0</v>
      </c>
      <c r="Z401" s="23" t="str">
        <f aca="false">IF(F401="COMMERCIAL","VERIFY SIGNED AGREEMENT","NO EXCEPTION")</f>
        <v>NO EXCEPTION</v>
      </c>
      <c r="AA401" s="23" t="str">
        <f aca="false">IF(AND(C401="covered",N401&gt;40),"COVERED &gt;40 FT","")</f>
        <v/>
      </c>
      <c r="AB401" s="23" t="s">
        <v>4705</v>
      </c>
      <c r="AC401" s="23" t="s">
        <v>5046</v>
      </c>
      <c r="AD401" s="23" t="s">
        <v>2807</v>
      </c>
    </row>
    <row r="402" customFormat="false" ht="17.9" hidden="false" customHeight="false" outlineLevel="0" collapsed="false">
      <c r="A402" s="20" t="s">
        <v>5047</v>
      </c>
      <c r="B402" s="20" t="s">
        <v>119</v>
      </c>
      <c r="C402" s="20" t="s">
        <v>2798</v>
      </c>
      <c r="D402" s="20" t="s">
        <v>5048</v>
      </c>
      <c r="E402" s="20" t="s">
        <v>5049</v>
      </c>
      <c r="F402" s="20" t="s">
        <v>2833</v>
      </c>
      <c r="G402" s="20" t="s">
        <v>4019</v>
      </c>
      <c r="H402" s="22" t="n">
        <v>45.4</v>
      </c>
      <c r="I402" s="22" t="n">
        <v>45.4</v>
      </c>
      <c r="J402" s="22" t="n">
        <f aca="false">H402-I402</f>
        <v>0</v>
      </c>
      <c r="K402" s="20" t="str">
        <f aca="false">IF(ABS(J402)&lt;0.001,"MATCH - PAPER CHECK-IN NOT SUPPLIED","DATA MISMATCH")</f>
        <v>MATCH - PAPER CHECK-IN NOT SUPPLIED</v>
      </c>
      <c r="L402" s="22" t="n">
        <v>24</v>
      </c>
      <c r="M402" s="22" t="n">
        <f aca="false">ROUNDUP(H402,0)</f>
        <v>46</v>
      </c>
      <c r="N402" s="24" t="n">
        <f aca="false">MAX(L402,M402)</f>
        <v>46</v>
      </c>
      <c r="O402" s="25" t="n">
        <v>7.55</v>
      </c>
      <c r="P402" s="25" t="n">
        <f aca="false">N402*O402</f>
        <v>347.3</v>
      </c>
      <c r="Q402" s="23"/>
      <c r="R402" s="23"/>
      <c r="S402" s="24"/>
      <c r="T402" s="25"/>
      <c r="U402" s="25" t="n">
        <v>0</v>
      </c>
      <c r="V402" s="25" t="n">
        <f aca="false">P402-U402</f>
        <v>347.3</v>
      </c>
      <c r="W402" s="25" t="n">
        <f aca="false">V402*12</f>
        <v>4167.6</v>
      </c>
      <c r="X402" s="23" t="str">
        <f aca="false">IF(Q402="","MISSING FROM EXPORT",IF(ABS(V402)&lt;0.005,"CLEAR",IF(V402&gt;0,"UNDERBILLING","OVERBILLING")))</f>
        <v>MISSING FROM EXPORT</v>
      </c>
      <c r="Y402" s="25" t="n">
        <f aca="false">IF(F402="COMMERCIAL",ROUND(P402*0.35,2),0)</f>
        <v>0</v>
      </c>
      <c r="Z402" s="23" t="str">
        <f aca="false">IF(F402="COMMERCIAL","VERIFY SIGNED AGREEMENT","NO EXCEPTION")</f>
        <v>NO EXCEPTION</v>
      </c>
      <c r="AA402" s="23" t="str">
        <f aca="false">IF(AND(C402="covered",N402&gt;40),"COVERED &gt;40 FT","")</f>
        <v/>
      </c>
      <c r="AB402" s="23" t="s">
        <v>4705</v>
      </c>
      <c r="AC402" s="23" t="s">
        <v>5050</v>
      </c>
      <c r="AD402" s="23" t="s">
        <v>2807</v>
      </c>
    </row>
    <row r="403" customFormat="false" ht="17.9" hidden="false" customHeight="false" outlineLevel="0" collapsed="false">
      <c r="A403" s="20" t="s">
        <v>1332</v>
      </c>
      <c r="B403" s="20" t="s">
        <v>119</v>
      </c>
      <c r="C403" s="20" t="s">
        <v>2798</v>
      </c>
      <c r="D403" s="20" t="s">
        <v>5051</v>
      </c>
      <c r="E403" s="20" t="s">
        <v>5052</v>
      </c>
      <c r="F403" s="20" t="s">
        <v>2898</v>
      </c>
      <c r="G403" s="20" t="s">
        <v>4026</v>
      </c>
      <c r="H403" s="22" t="n">
        <v>55.2</v>
      </c>
      <c r="I403" s="22" t="n">
        <v>55.2</v>
      </c>
      <c r="J403" s="22" t="n">
        <f aca="false">H403-I403</f>
        <v>0</v>
      </c>
      <c r="K403" s="20" t="str">
        <f aca="false">IF(ABS(J403)&lt;0.001,"MATCH - PAPER CHECK-IN NOT SUPPLIED","DATA MISMATCH")</f>
        <v>MATCH - PAPER CHECK-IN NOT SUPPLIED</v>
      </c>
      <c r="L403" s="22" t="n">
        <v>32</v>
      </c>
      <c r="M403" s="22" t="n">
        <f aca="false">ROUNDUP(H403,0)</f>
        <v>56</v>
      </c>
      <c r="N403" s="24" t="n">
        <f aca="false">MAX(L403,M403)</f>
        <v>56</v>
      </c>
      <c r="O403" s="25" t="n">
        <v>7.55</v>
      </c>
      <c r="P403" s="25" t="n">
        <f aca="false">N403*O403</f>
        <v>422.8</v>
      </c>
      <c r="Q403" s="23"/>
      <c r="R403" s="23"/>
      <c r="S403" s="24"/>
      <c r="T403" s="25"/>
      <c r="U403" s="25" t="n">
        <v>0</v>
      </c>
      <c r="V403" s="25" t="n">
        <f aca="false">P403-U403</f>
        <v>422.8</v>
      </c>
      <c r="W403" s="25" t="n">
        <f aca="false">V403*12</f>
        <v>5073.6</v>
      </c>
      <c r="X403" s="23" t="str">
        <f aca="false">IF(Q403="","MISSING FROM EXPORT",IF(ABS(V403)&lt;0.005,"CLEAR",IF(V403&gt;0,"UNDERBILLING","OVERBILLING")))</f>
        <v>MISSING FROM EXPORT</v>
      </c>
      <c r="Y403" s="25" t="n">
        <f aca="false">IF(F403="COMMERCIAL",ROUND(P403*0.35,2),0)</f>
        <v>0</v>
      </c>
      <c r="Z403" s="23" t="str">
        <f aca="false">IF(F403="COMMERCIAL","VERIFY SIGNED AGREEMENT","NO EXCEPTION")</f>
        <v>NO EXCEPTION</v>
      </c>
      <c r="AA403" s="23" t="str">
        <f aca="false">IF(AND(C403="covered",N403&gt;40),"COVERED &gt;40 FT","")</f>
        <v/>
      </c>
      <c r="AB403" s="23" t="s">
        <v>4705</v>
      </c>
      <c r="AC403" s="23" t="s">
        <v>5053</v>
      </c>
      <c r="AD403" s="23" t="s">
        <v>2807</v>
      </c>
    </row>
    <row r="404" customFormat="false" ht="17.9" hidden="false" customHeight="false" outlineLevel="0" collapsed="false">
      <c r="A404" s="20" t="s">
        <v>5054</v>
      </c>
      <c r="B404" s="20" t="s">
        <v>119</v>
      </c>
      <c r="C404" s="20" t="s">
        <v>2798</v>
      </c>
      <c r="D404" s="20" t="s">
        <v>5055</v>
      </c>
      <c r="E404" s="20" t="s">
        <v>5056</v>
      </c>
      <c r="F404" s="20" t="s">
        <v>2869</v>
      </c>
      <c r="G404" s="20" t="s">
        <v>4032</v>
      </c>
      <c r="H404" s="22" t="n">
        <v>61.5</v>
      </c>
      <c r="I404" s="22" t="n">
        <v>61.5</v>
      </c>
      <c r="J404" s="22" t="n">
        <f aca="false">H404-I404</f>
        <v>0</v>
      </c>
      <c r="K404" s="20" t="str">
        <f aca="false">IF(ABS(J404)&lt;0.001,"MATCH - PAPER CHECK-IN NOT SUPPLIED","DATA MISMATCH")</f>
        <v>MATCH - PAPER CHECK-IN NOT SUPPLIED</v>
      </c>
      <c r="L404" s="22" t="n">
        <v>24</v>
      </c>
      <c r="M404" s="22" t="n">
        <f aca="false">ROUNDUP(H404,0)</f>
        <v>62</v>
      </c>
      <c r="N404" s="24" t="n">
        <f aca="false">MAX(L404,M404)</f>
        <v>62</v>
      </c>
      <c r="O404" s="25" t="n">
        <v>7.55</v>
      </c>
      <c r="P404" s="25" t="n">
        <f aca="false">N404*O404</f>
        <v>468.1</v>
      </c>
      <c r="Q404" s="23"/>
      <c r="R404" s="23"/>
      <c r="S404" s="24"/>
      <c r="T404" s="25"/>
      <c r="U404" s="25" t="n">
        <v>0</v>
      </c>
      <c r="V404" s="25" t="n">
        <f aca="false">P404-U404</f>
        <v>468.1</v>
      </c>
      <c r="W404" s="25" t="n">
        <f aca="false">V404*12</f>
        <v>5617.2</v>
      </c>
      <c r="X404" s="23" t="str">
        <f aca="false">IF(Q404="","MISSING FROM EXPORT",IF(ABS(V404)&lt;0.005,"CLEAR",IF(V404&gt;0,"UNDERBILLING","OVERBILLING")))</f>
        <v>MISSING FROM EXPORT</v>
      </c>
      <c r="Y404" s="25" t="n">
        <f aca="false">IF(F404="COMMERCIAL",ROUND(P404*0.35,2),0)</f>
        <v>0</v>
      </c>
      <c r="Z404" s="23" t="str">
        <f aca="false">IF(F404="COMMERCIAL","VERIFY SIGNED AGREEMENT","NO EXCEPTION")</f>
        <v>NO EXCEPTION</v>
      </c>
      <c r="AA404" s="23" t="str">
        <f aca="false">IF(AND(C404="covered",N404&gt;40),"COVERED &gt;40 FT","")</f>
        <v/>
      </c>
      <c r="AB404" s="23" t="s">
        <v>4705</v>
      </c>
      <c r="AC404" s="23" t="s">
        <v>5057</v>
      </c>
      <c r="AD404" s="23" t="s">
        <v>2807</v>
      </c>
    </row>
    <row r="405" customFormat="false" ht="17.9" hidden="false" customHeight="false" outlineLevel="0" collapsed="false">
      <c r="A405" s="20" t="s">
        <v>5058</v>
      </c>
      <c r="B405" s="20" t="s">
        <v>119</v>
      </c>
      <c r="C405" s="20" t="s">
        <v>2798</v>
      </c>
      <c r="D405" s="20" t="s">
        <v>457</v>
      </c>
      <c r="E405" s="20" t="s">
        <v>5059</v>
      </c>
      <c r="F405" s="20" t="s">
        <v>2869</v>
      </c>
      <c r="G405" s="20" t="s">
        <v>4039</v>
      </c>
      <c r="H405" s="22" t="n">
        <v>56.4</v>
      </c>
      <c r="I405" s="22" t="n">
        <v>56.4</v>
      </c>
      <c r="J405" s="22" t="n">
        <f aca="false">H405-I405</f>
        <v>0</v>
      </c>
      <c r="K405" s="20" t="str">
        <f aca="false">IF(ABS(J405)&lt;0.001,"MATCH - PAPER CHECK-IN NOT SUPPLIED","DATA MISMATCH")</f>
        <v>MATCH - PAPER CHECK-IN NOT SUPPLIED</v>
      </c>
      <c r="L405" s="22" t="n">
        <v>24</v>
      </c>
      <c r="M405" s="22" t="n">
        <f aca="false">ROUNDUP(H405,0)</f>
        <v>57</v>
      </c>
      <c r="N405" s="24" t="n">
        <f aca="false">MAX(L405,M405)</f>
        <v>57</v>
      </c>
      <c r="O405" s="25" t="n">
        <v>7.55</v>
      </c>
      <c r="P405" s="25" t="n">
        <f aca="false">N405*O405</f>
        <v>430.35</v>
      </c>
      <c r="Q405" s="23"/>
      <c r="R405" s="23"/>
      <c r="S405" s="24"/>
      <c r="T405" s="25"/>
      <c r="U405" s="25" t="n">
        <v>0</v>
      </c>
      <c r="V405" s="25" t="n">
        <f aca="false">P405-U405</f>
        <v>430.35</v>
      </c>
      <c r="W405" s="25" t="n">
        <f aca="false">V405*12</f>
        <v>5164.2</v>
      </c>
      <c r="X405" s="23" t="str">
        <f aca="false">IF(Q405="","MISSING FROM EXPORT",IF(ABS(V405)&lt;0.005,"CLEAR",IF(V405&gt;0,"UNDERBILLING","OVERBILLING")))</f>
        <v>MISSING FROM EXPORT</v>
      </c>
      <c r="Y405" s="25" t="n">
        <f aca="false">IF(F405="COMMERCIAL",ROUND(P405*0.35,2),0)</f>
        <v>0</v>
      </c>
      <c r="Z405" s="23" t="str">
        <f aca="false">IF(F405="COMMERCIAL","VERIFY SIGNED AGREEMENT","NO EXCEPTION")</f>
        <v>NO EXCEPTION</v>
      </c>
      <c r="AA405" s="23" t="str">
        <f aca="false">IF(AND(C405="covered",N405&gt;40),"COVERED &gt;40 FT","")</f>
        <v/>
      </c>
      <c r="AB405" s="23" t="s">
        <v>4705</v>
      </c>
      <c r="AC405" s="23" t="s">
        <v>5060</v>
      </c>
      <c r="AD405" s="23" t="s">
        <v>2807</v>
      </c>
    </row>
    <row r="406" customFormat="false" ht="17.9" hidden="false" customHeight="false" outlineLevel="0" collapsed="false">
      <c r="A406" s="20" t="s">
        <v>5061</v>
      </c>
      <c r="B406" s="20" t="s">
        <v>119</v>
      </c>
      <c r="C406" s="20" t="s">
        <v>2798</v>
      </c>
      <c r="D406" s="20" t="s">
        <v>5062</v>
      </c>
      <c r="E406" s="20" t="s">
        <v>5063</v>
      </c>
      <c r="F406" s="20" t="s">
        <v>2857</v>
      </c>
      <c r="G406" s="20" t="s">
        <v>4046</v>
      </c>
      <c r="H406" s="22" t="n">
        <v>61.6</v>
      </c>
      <c r="I406" s="22" t="n">
        <v>61.6</v>
      </c>
      <c r="J406" s="22" t="n">
        <f aca="false">H406-I406</f>
        <v>0</v>
      </c>
      <c r="K406" s="20" t="str">
        <f aca="false">IF(ABS(J406)&lt;0.001,"MATCH - PAPER CHECK-IN NOT SUPPLIED","DATA MISMATCH")</f>
        <v>MATCH - PAPER CHECK-IN NOT SUPPLIED</v>
      </c>
      <c r="L406" s="22" t="n">
        <v>50</v>
      </c>
      <c r="M406" s="22" t="n">
        <f aca="false">ROUNDUP(H406,0)</f>
        <v>62</v>
      </c>
      <c r="N406" s="24" t="n">
        <f aca="false">MAX(L406,M406)</f>
        <v>62</v>
      </c>
      <c r="O406" s="25" t="n">
        <v>7.55</v>
      </c>
      <c r="P406" s="25" t="n">
        <f aca="false">N406*O406</f>
        <v>468.1</v>
      </c>
      <c r="Q406" s="23"/>
      <c r="R406" s="23"/>
      <c r="S406" s="24"/>
      <c r="T406" s="25"/>
      <c r="U406" s="25" t="n">
        <v>0</v>
      </c>
      <c r="V406" s="25" t="n">
        <f aca="false">P406-U406</f>
        <v>468.1</v>
      </c>
      <c r="W406" s="25" t="n">
        <f aca="false">V406*12</f>
        <v>5617.2</v>
      </c>
      <c r="X406" s="23" t="str">
        <f aca="false">IF(Q406="","MISSING FROM EXPORT",IF(ABS(V406)&lt;0.005,"CLEAR",IF(V406&gt;0,"UNDERBILLING","OVERBILLING")))</f>
        <v>MISSING FROM EXPORT</v>
      </c>
      <c r="Y406" s="25" t="n">
        <f aca="false">IF(F406="COMMERCIAL",ROUND(P406*0.35,2),0)</f>
        <v>0</v>
      </c>
      <c r="Z406" s="23" t="str">
        <f aca="false">IF(F406="COMMERCIAL","VERIFY SIGNED AGREEMENT","NO EXCEPTION")</f>
        <v>NO EXCEPTION</v>
      </c>
      <c r="AA406" s="23" t="str">
        <f aca="false">IF(AND(C406="covered",N406&gt;40),"COVERED &gt;40 FT","")</f>
        <v/>
      </c>
      <c r="AB406" s="23" t="s">
        <v>4705</v>
      </c>
      <c r="AC406" s="23" t="s">
        <v>5064</v>
      </c>
      <c r="AD406" s="23" t="s">
        <v>2807</v>
      </c>
    </row>
    <row r="407" customFormat="false" ht="17.9" hidden="false" customHeight="false" outlineLevel="0" collapsed="false">
      <c r="A407" s="20" t="s">
        <v>5065</v>
      </c>
      <c r="B407" s="20" t="s">
        <v>119</v>
      </c>
      <c r="C407" s="20" t="s">
        <v>2798</v>
      </c>
      <c r="D407" s="20" t="s">
        <v>5066</v>
      </c>
      <c r="E407" s="20" t="s">
        <v>5067</v>
      </c>
      <c r="F407" s="20" t="s">
        <v>2869</v>
      </c>
      <c r="G407" s="20" t="s">
        <v>4053</v>
      </c>
      <c r="H407" s="22" t="n">
        <v>53.5</v>
      </c>
      <c r="I407" s="22" t="n">
        <v>53.5</v>
      </c>
      <c r="J407" s="22" t="n">
        <f aca="false">H407-I407</f>
        <v>0</v>
      </c>
      <c r="K407" s="20" t="str">
        <f aca="false">IF(ABS(J407)&lt;0.001,"MATCH - PAPER CHECK-IN NOT SUPPLIED","DATA MISMATCH")</f>
        <v>MATCH - PAPER CHECK-IN NOT SUPPLIED</v>
      </c>
      <c r="L407" s="22" t="n">
        <v>36</v>
      </c>
      <c r="M407" s="22" t="n">
        <f aca="false">ROUNDUP(H407,0)</f>
        <v>54</v>
      </c>
      <c r="N407" s="24" t="n">
        <f aca="false">MAX(L407,M407)</f>
        <v>54</v>
      </c>
      <c r="O407" s="25" t="n">
        <v>7.55</v>
      </c>
      <c r="P407" s="25" t="n">
        <f aca="false">N407*O407</f>
        <v>407.7</v>
      </c>
      <c r="Q407" s="23"/>
      <c r="R407" s="23"/>
      <c r="S407" s="24"/>
      <c r="T407" s="25"/>
      <c r="U407" s="25" t="n">
        <v>0</v>
      </c>
      <c r="V407" s="25" t="n">
        <f aca="false">P407-U407</f>
        <v>407.7</v>
      </c>
      <c r="W407" s="25" t="n">
        <f aca="false">V407*12</f>
        <v>4892.4</v>
      </c>
      <c r="X407" s="23" t="str">
        <f aca="false">IF(Q407="","MISSING FROM EXPORT",IF(ABS(V407)&lt;0.005,"CLEAR",IF(V407&gt;0,"UNDERBILLING","OVERBILLING")))</f>
        <v>MISSING FROM EXPORT</v>
      </c>
      <c r="Y407" s="25" t="n">
        <f aca="false">IF(F407="COMMERCIAL",ROUND(P407*0.35,2),0)</f>
        <v>0</v>
      </c>
      <c r="Z407" s="23" t="str">
        <f aca="false">IF(F407="COMMERCIAL","VERIFY SIGNED AGREEMENT","NO EXCEPTION")</f>
        <v>NO EXCEPTION</v>
      </c>
      <c r="AA407" s="23" t="str">
        <f aca="false">IF(AND(C407="covered",N407&gt;40),"COVERED &gt;40 FT","")</f>
        <v/>
      </c>
      <c r="AB407" s="23" t="s">
        <v>4705</v>
      </c>
      <c r="AC407" s="23" t="s">
        <v>5068</v>
      </c>
      <c r="AD407" s="23" t="s">
        <v>2807</v>
      </c>
    </row>
    <row r="408" customFormat="false" ht="17.9" hidden="false" customHeight="false" outlineLevel="0" collapsed="false">
      <c r="A408" s="20" t="s">
        <v>5069</v>
      </c>
      <c r="B408" s="20" t="s">
        <v>119</v>
      </c>
      <c r="C408" s="20" t="s">
        <v>2798</v>
      </c>
      <c r="D408" s="20" t="s">
        <v>5070</v>
      </c>
      <c r="E408" s="20" t="s">
        <v>5071</v>
      </c>
      <c r="F408" s="20" t="s">
        <v>2869</v>
      </c>
      <c r="G408" s="20" t="s">
        <v>4060</v>
      </c>
      <c r="H408" s="22" t="n">
        <v>35.7</v>
      </c>
      <c r="I408" s="22" t="n">
        <v>35.7</v>
      </c>
      <c r="J408" s="22" t="n">
        <f aca="false">H408-I408</f>
        <v>0</v>
      </c>
      <c r="K408" s="20" t="str">
        <f aca="false">IF(ABS(J408)&lt;0.001,"MATCH - PAPER CHECK-IN NOT SUPPLIED","DATA MISMATCH")</f>
        <v>MATCH - PAPER CHECK-IN NOT SUPPLIED</v>
      </c>
      <c r="L408" s="22" t="n">
        <v>28</v>
      </c>
      <c r="M408" s="22" t="n">
        <f aca="false">ROUNDUP(H408,0)</f>
        <v>36</v>
      </c>
      <c r="N408" s="24" t="n">
        <f aca="false">MAX(L408,M408)</f>
        <v>36</v>
      </c>
      <c r="O408" s="25" t="n">
        <v>7.55</v>
      </c>
      <c r="P408" s="25" t="n">
        <f aca="false">N408*O408</f>
        <v>271.8</v>
      </c>
      <c r="Q408" s="23"/>
      <c r="R408" s="23"/>
      <c r="S408" s="24"/>
      <c r="T408" s="25"/>
      <c r="U408" s="25" t="n">
        <v>0</v>
      </c>
      <c r="V408" s="25" t="n">
        <f aca="false">P408-U408</f>
        <v>271.8</v>
      </c>
      <c r="W408" s="25" t="n">
        <f aca="false">V408*12</f>
        <v>3261.6</v>
      </c>
      <c r="X408" s="23" t="str">
        <f aca="false">IF(Q408="","MISSING FROM EXPORT",IF(ABS(V408)&lt;0.005,"CLEAR",IF(V408&gt;0,"UNDERBILLING","OVERBILLING")))</f>
        <v>MISSING FROM EXPORT</v>
      </c>
      <c r="Y408" s="25" t="n">
        <f aca="false">IF(F408="COMMERCIAL",ROUND(P408*0.35,2),0)</f>
        <v>0</v>
      </c>
      <c r="Z408" s="23" t="str">
        <f aca="false">IF(F408="COMMERCIAL","VERIFY SIGNED AGREEMENT","NO EXCEPTION")</f>
        <v>NO EXCEPTION</v>
      </c>
      <c r="AA408" s="23" t="str">
        <f aca="false">IF(AND(C408="covered",N408&gt;40),"COVERED &gt;40 FT","")</f>
        <v/>
      </c>
      <c r="AB408" s="23" t="s">
        <v>4705</v>
      </c>
      <c r="AC408" s="23" t="s">
        <v>5072</v>
      </c>
      <c r="AD408" s="23" t="s">
        <v>2807</v>
      </c>
    </row>
    <row r="409" customFormat="false" ht="17.9" hidden="false" customHeight="false" outlineLevel="0" collapsed="false">
      <c r="A409" s="20" t="s">
        <v>5073</v>
      </c>
      <c r="B409" s="20" t="s">
        <v>119</v>
      </c>
      <c r="C409" s="20" t="s">
        <v>2798</v>
      </c>
      <c r="D409" s="20" t="s">
        <v>5074</v>
      </c>
      <c r="E409" s="20" t="s">
        <v>5075</v>
      </c>
      <c r="F409" s="20" t="s">
        <v>2833</v>
      </c>
      <c r="G409" s="20" t="s">
        <v>4067</v>
      </c>
      <c r="H409" s="22" t="n">
        <v>46.7</v>
      </c>
      <c r="I409" s="22" t="n">
        <v>46.7</v>
      </c>
      <c r="J409" s="22" t="n">
        <f aca="false">H409-I409</f>
        <v>0</v>
      </c>
      <c r="K409" s="20" t="str">
        <f aca="false">IF(ABS(J409)&lt;0.001,"MATCH - PAPER CHECK-IN NOT SUPPLIED","DATA MISMATCH")</f>
        <v>MATCH - PAPER CHECK-IN NOT SUPPLIED</v>
      </c>
      <c r="L409" s="22" t="n">
        <v>32</v>
      </c>
      <c r="M409" s="22" t="n">
        <f aca="false">ROUNDUP(H409,0)</f>
        <v>47</v>
      </c>
      <c r="N409" s="24" t="n">
        <f aca="false">MAX(L409,M409)</f>
        <v>47</v>
      </c>
      <c r="O409" s="25" t="n">
        <v>7.55</v>
      </c>
      <c r="P409" s="25" t="n">
        <f aca="false">N409*O409</f>
        <v>354.85</v>
      </c>
      <c r="Q409" s="23"/>
      <c r="R409" s="23"/>
      <c r="S409" s="24"/>
      <c r="T409" s="25"/>
      <c r="U409" s="25" t="n">
        <v>0</v>
      </c>
      <c r="V409" s="25" t="n">
        <f aca="false">P409-U409</f>
        <v>354.85</v>
      </c>
      <c r="W409" s="25" t="n">
        <f aca="false">V409*12</f>
        <v>4258.2</v>
      </c>
      <c r="X409" s="23" t="str">
        <f aca="false">IF(Q409="","MISSING FROM EXPORT",IF(ABS(V409)&lt;0.005,"CLEAR",IF(V409&gt;0,"UNDERBILLING","OVERBILLING")))</f>
        <v>MISSING FROM EXPORT</v>
      </c>
      <c r="Y409" s="25" t="n">
        <f aca="false">IF(F409="COMMERCIAL",ROUND(P409*0.35,2),0)</f>
        <v>0</v>
      </c>
      <c r="Z409" s="23" t="str">
        <f aca="false">IF(F409="COMMERCIAL","VERIFY SIGNED AGREEMENT","NO EXCEPTION")</f>
        <v>NO EXCEPTION</v>
      </c>
      <c r="AA409" s="23" t="str">
        <f aca="false">IF(AND(C409="covered",N409&gt;40),"COVERED &gt;40 FT","")</f>
        <v/>
      </c>
      <c r="AB409" s="23" t="s">
        <v>4705</v>
      </c>
      <c r="AC409" s="23" t="s">
        <v>5076</v>
      </c>
      <c r="AD409" s="23" t="s">
        <v>2807</v>
      </c>
    </row>
    <row r="410" customFormat="false" ht="17.9" hidden="false" customHeight="false" outlineLevel="0" collapsed="false">
      <c r="A410" s="20" t="s">
        <v>5077</v>
      </c>
      <c r="B410" s="20" t="s">
        <v>119</v>
      </c>
      <c r="C410" s="20" t="s">
        <v>2798</v>
      </c>
      <c r="D410" s="20" t="s">
        <v>5078</v>
      </c>
      <c r="E410" s="20" t="s">
        <v>5079</v>
      </c>
      <c r="F410" s="20" t="s">
        <v>2810</v>
      </c>
      <c r="G410" s="20" t="s">
        <v>4074</v>
      </c>
      <c r="H410" s="22" t="n">
        <v>47.4</v>
      </c>
      <c r="I410" s="22" t="n">
        <v>47.4</v>
      </c>
      <c r="J410" s="22" t="n">
        <f aca="false">H410-I410</f>
        <v>0</v>
      </c>
      <c r="K410" s="20" t="str">
        <f aca="false">IF(ABS(J410)&lt;0.001,"MATCH - PAPER CHECK-IN NOT SUPPLIED","DATA MISMATCH")</f>
        <v>MATCH - PAPER CHECK-IN NOT SUPPLIED</v>
      </c>
      <c r="L410" s="22" t="n">
        <v>70</v>
      </c>
      <c r="M410" s="22" t="n">
        <f aca="false">ROUNDUP(H410,0)</f>
        <v>48</v>
      </c>
      <c r="N410" s="24" t="n">
        <f aca="false">MAX(L410,M410)</f>
        <v>70</v>
      </c>
      <c r="O410" s="25" t="n">
        <v>7.55</v>
      </c>
      <c r="P410" s="25" t="n">
        <f aca="false">N410*O410</f>
        <v>528.5</v>
      </c>
      <c r="Q410" s="23"/>
      <c r="R410" s="23"/>
      <c r="S410" s="24"/>
      <c r="T410" s="25"/>
      <c r="U410" s="25" t="n">
        <v>0</v>
      </c>
      <c r="V410" s="25" t="n">
        <f aca="false">P410-U410</f>
        <v>528.5</v>
      </c>
      <c r="W410" s="25" t="n">
        <f aca="false">V410*12</f>
        <v>6342</v>
      </c>
      <c r="X410" s="23" t="str">
        <f aca="false">IF(Q410="","MISSING FROM EXPORT",IF(ABS(V410)&lt;0.005,"CLEAR",IF(V410&gt;0,"UNDERBILLING","OVERBILLING")))</f>
        <v>MISSING FROM EXPORT</v>
      </c>
      <c r="Y410" s="25" t="n">
        <f aca="false">IF(F410="COMMERCIAL",ROUND(P410*0.35,2),0)</f>
        <v>0</v>
      </c>
      <c r="Z410" s="23" t="str">
        <f aca="false">IF(F410="COMMERCIAL","VERIFY SIGNED AGREEMENT","NO EXCEPTION")</f>
        <v>NO EXCEPTION</v>
      </c>
      <c r="AA410" s="23" t="str">
        <f aca="false">IF(AND(C410="covered",N410&gt;40),"COVERED &gt;40 FT","")</f>
        <v/>
      </c>
      <c r="AB410" s="23" t="s">
        <v>4705</v>
      </c>
      <c r="AC410" s="23" t="s">
        <v>5080</v>
      </c>
      <c r="AD410" s="23" t="s">
        <v>2807</v>
      </c>
    </row>
    <row r="411" customFormat="false" ht="17.9" hidden="false" customHeight="false" outlineLevel="0" collapsed="false">
      <c r="A411" s="20" t="s">
        <v>5081</v>
      </c>
      <c r="B411" s="20" t="s">
        <v>119</v>
      </c>
      <c r="C411" s="20" t="s">
        <v>2798</v>
      </c>
      <c r="D411" s="20" t="s">
        <v>983</v>
      </c>
      <c r="E411" s="20" t="s">
        <v>984</v>
      </c>
      <c r="F411" s="20" t="s">
        <v>2857</v>
      </c>
      <c r="G411" s="20" t="s">
        <v>4081</v>
      </c>
      <c r="H411" s="22" t="n">
        <v>26.3</v>
      </c>
      <c r="I411" s="22" t="n">
        <v>26.3</v>
      </c>
      <c r="J411" s="22" t="n">
        <f aca="false">H411-I411</f>
        <v>0</v>
      </c>
      <c r="K411" s="20" t="str">
        <f aca="false">IF(ABS(J411)&lt;0.001,"MATCH - PAPER CHECK-IN NOT SUPPLIED","DATA MISMATCH")</f>
        <v>MATCH - PAPER CHECK-IN NOT SUPPLIED</v>
      </c>
      <c r="L411" s="22" t="n">
        <v>70</v>
      </c>
      <c r="M411" s="22" t="n">
        <f aca="false">ROUNDUP(H411,0)</f>
        <v>27</v>
      </c>
      <c r="N411" s="24" t="n">
        <f aca="false">MAX(L411,M411)</f>
        <v>70</v>
      </c>
      <c r="O411" s="25" t="n">
        <v>7.55</v>
      </c>
      <c r="P411" s="25" t="n">
        <f aca="false">N411*O411</f>
        <v>528.5</v>
      </c>
      <c r="Q411" s="23"/>
      <c r="R411" s="23"/>
      <c r="S411" s="24"/>
      <c r="T411" s="25"/>
      <c r="U411" s="25" t="n">
        <v>0</v>
      </c>
      <c r="V411" s="25" t="n">
        <f aca="false">P411-U411</f>
        <v>528.5</v>
      </c>
      <c r="W411" s="25" t="n">
        <f aca="false">V411*12</f>
        <v>6342</v>
      </c>
      <c r="X411" s="23" t="str">
        <f aca="false">IF(Q411="","MISSING FROM EXPORT",IF(ABS(V411)&lt;0.005,"CLEAR",IF(V411&gt;0,"UNDERBILLING","OVERBILLING")))</f>
        <v>MISSING FROM EXPORT</v>
      </c>
      <c r="Y411" s="25" t="n">
        <f aca="false">IF(F411="COMMERCIAL",ROUND(P411*0.35,2),0)</f>
        <v>0</v>
      </c>
      <c r="Z411" s="23" t="str">
        <f aca="false">IF(F411="COMMERCIAL","VERIFY SIGNED AGREEMENT","NO EXCEPTION")</f>
        <v>NO EXCEPTION</v>
      </c>
      <c r="AA411" s="23" t="str">
        <f aca="false">IF(AND(C411="covered",N411&gt;40),"COVERED &gt;40 FT","")</f>
        <v/>
      </c>
      <c r="AB411" s="23" t="s">
        <v>4705</v>
      </c>
      <c r="AC411" s="23" t="s">
        <v>5082</v>
      </c>
      <c r="AD411" s="23" t="s">
        <v>2807</v>
      </c>
    </row>
    <row r="412" customFormat="false" ht="17.9" hidden="false" customHeight="false" outlineLevel="0" collapsed="false">
      <c r="A412" s="20" t="s">
        <v>5083</v>
      </c>
      <c r="B412" s="20" t="s">
        <v>119</v>
      </c>
      <c r="C412" s="20" t="s">
        <v>2798</v>
      </c>
      <c r="D412" s="20" t="s">
        <v>2454</v>
      </c>
      <c r="E412" s="20" t="s">
        <v>5084</v>
      </c>
      <c r="F412" s="20" t="s">
        <v>2810</v>
      </c>
      <c r="G412" s="20" t="s">
        <v>4088</v>
      </c>
      <c r="H412" s="22" t="n">
        <v>47.2</v>
      </c>
      <c r="I412" s="22" t="n">
        <v>47.2</v>
      </c>
      <c r="J412" s="22" t="n">
        <f aca="false">H412-I412</f>
        <v>0</v>
      </c>
      <c r="K412" s="20" t="str">
        <f aca="false">IF(ABS(J412)&lt;0.001,"MATCH - PAPER CHECK-IN NOT SUPPLIED","DATA MISMATCH")</f>
        <v>MATCH - PAPER CHECK-IN NOT SUPPLIED</v>
      </c>
      <c r="L412" s="22" t="n">
        <v>32</v>
      </c>
      <c r="M412" s="22" t="n">
        <f aca="false">ROUNDUP(H412,0)</f>
        <v>48</v>
      </c>
      <c r="N412" s="24" t="n">
        <f aca="false">MAX(L412,M412)</f>
        <v>48</v>
      </c>
      <c r="O412" s="25" t="n">
        <v>7.55</v>
      </c>
      <c r="P412" s="25" t="n">
        <f aca="false">N412*O412</f>
        <v>362.4</v>
      </c>
      <c r="Q412" s="23"/>
      <c r="R412" s="23"/>
      <c r="S412" s="24"/>
      <c r="T412" s="25"/>
      <c r="U412" s="25" t="n">
        <v>0</v>
      </c>
      <c r="V412" s="25" t="n">
        <f aca="false">P412-U412</f>
        <v>362.4</v>
      </c>
      <c r="W412" s="25" t="n">
        <f aca="false">V412*12</f>
        <v>4348.8</v>
      </c>
      <c r="X412" s="23" t="str">
        <f aca="false">IF(Q412="","MISSING FROM EXPORT",IF(ABS(V412)&lt;0.005,"CLEAR",IF(V412&gt;0,"UNDERBILLING","OVERBILLING")))</f>
        <v>MISSING FROM EXPORT</v>
      </c>
      <c r="Y412" s="25" t="n">
        <f aca="false">IF(F412="COMMERCIAL",ROUND(P412*0.35,2),0)</f>
        <v>0</v>
      </c>
      <c r="Z412" s="23" t="str">
        <f aca="false">IF(F412="COMMERCIAL","VERIFY SIGNED AGREEMENT","NO EXCEPTION")</f>
        <v>NO EXCEPTION</v>
      </c>
      <c r="AA412" s="23" t="str">
        <f aca="false">IF(AND(C412="covered",N412&gt;40),"COVERED &gt;40 FT","")</f>
        <v/>
      </c>
      <c r="AB412" s="23" t="s">
        <v>4705</v>
      </c>
      <c r="AC412" s="23" t="s">
        <v>5085</v>
      </c>
      <c r="AD412" s="23" t="s">
        <v>2807</v>
      </c>
    </row>
    <row r="413" customFormat="false" ht="17.9" hidden="false" customHeight="false" outlineLevel="0" collapsed="false">
      <c r="A413" s="20" t="s">
        <v>5086</v>
      </c>
      <c r="B413" s="20" t="s">
        <v>119</v>
      </c>
      <c r="C413" s="20" t="s">
        <v>2798</v>
      </c>
      <c r="D413" s="20" t="s">
        <v>5087</v>
      </c>
      <c r="E413" s="20" t="s">
        <v>5088</v>
      </c>
      <c r="F413" s="20" t="s">
        <v>2810</v>
      </c>
      <c r="G413" s="20" t="s">
        <v>4093</v>
      </c>
      <c r="H413" s="22" t="n">
        <v>36.7</v>
      </c>
      <c r="I413" s="22" t="n">
        <v>36.7</v>
      </c>
      <c r="J413" s="22" t="n">
        <f aca="false">H413-I413</f>
        <v>0</v>
      </c>
      <c r="K413" s="20" t="str">
        <f aca="false">IF(ABS(J413)&lt;0.001,"MATCH - PAPER CHECK-IN NOT SUPPLIED","DATA MISMATCH")</f>
        <v>MATCH - PAPER CHECK-IN NOT SUPPLIED</v>
      </c>
      <c r="L413" s="22" t="n">
        <v>60</v>
      </c>
      <c r="M413" s="22" t="n">
        <f aca="false">ROUNDUP(H413,0)</f>
        <v>37</v>
      </c>
      <c r="N413" s="24" t="n">
        <f aca="false">MAX(L413,M413)</f>
        <v>60</v>
      </c>
      <c r="O413" s="25" t="n">
        <v>7.55</v>
      </c>
      <c r="P413" s="25" t="n">
        <f aca="false">N413*O413</f>
        <v>453</v>
      </c>
      <c r="Q413" s="23"/>
      <c r="R413" s="23"/>
      <c r="S413" s="24"/>
      <c r="T413" s="25"/>
      <c r="U413" s="25" t="n">
        <v>0</v>
      </c>
      <c r="V413" s="25" t="n">
        <f aca="false">P413-U413</f>
        <v>453</v>
      </c>
      <c r="W413" s="25" t="n">
        <f aca="false">V413*12</f>
        <v>5436</v>
      </c>
      <c r="X413" s="23" t="str">
        <f aca="false">IF(Q413="","MISSING FROM EXPORT",IF(ABS(V413)&lt;0.005,"CLEAR",IF(V413&gt;0,"UNDERBILLING","OVERBILLING")))</f>
        <v>MISSING FROM EXPORT</v>
      </c>
      <c r="Y413" s="25" t="n">
        <f aca="false">IF(F413="COMMERCIAL",ROUND(P413*0.35,2),0)</f>
        <v>0</v>
      </c>
      <c r="Z413" s="23" t="str">
        <f aca="false">IF(F413="COMMERCIAL","VERIFY SIGNED AGREEMENT","NO EXCEPTION")</f>
        <v>NO EXCEPTION</v>
      </c>
      <c r="AA413" s="23" t="str">
        <f aca="false">IF(AND(C413="covered",N413&gt;40),"COVERED &gt;40 FT","")</f>
        <v/>
      </c>
      <c r="AB413" s="23" t="s">
        <v>4705</v>
      </c>
      <c r="AC413" s="23" t="s">
        <v>5089</v>
      </c>
      <c r="AD413" s="23" t="s">
        <v>2807</v>
      </c>
    </row>
    <row r="414" customFormat="false" ht="17.9" hidden="false" customHeight="false" outlineLevel="0" collapsed="false">
      <c r="A414" s="20" t="s">
        <v>435</v>
      </c>
      <c r="B414" s="20" t="s">
        <v>119</v>
      </c>
      <c r="C414" s="20" t="s">
        <v>2798</v>
      </c>
      <c r="D414" s="20" t="s">
        <v>5090</v>
      </c>
      <c r="E414" s="20" t="s">
        <v>5091</v>
      </c>
      <c r="F414" s="20" t="s">
        <v>2833</v>
      </c>
      <c r="G414" s="20" t="s">
        <v>4099</v>
      </c>
      <c r="H414" s="22" t="n">
        <v>19</v>
      </c>
      <c r="I414" s="22" t="n">
        <v>19</v>
      </c>
      <c r="J414" s="22" t="n">
        <f aca="false">H414-I414</f>
        <v>0</v>
      </c>
      <c r="K414" s="20" t="str">
        <f aca="false">IF(ABS(J414)&lt;0.001,"MATCH - PAPER CHECK-IN NOT SUPPLIED","DATA MISMATCH")</f>
        <v>MATCH - PAPER CHECK-IN NOT SUPPLIED</v>
      </c>
      <c r="L414" s="22" t="n">
        <v>24</v>
      </c>
      <c r="M414" s="22" t="n">
        <f aca="false">ROUNDUP(H414,0)</f>
        <v>19</v>
      </c>
      <c r="N414" s="24" t="n">
        <f aca="false">MAX(L414,M414)</f>
        <v>24</v>
      </c>
      <c r="O414" s="25" t="n">
        <v>7.55</v>
      </c>
      <c r="P414" s="25" t="n">
        <f aca="false">N414*O414</f>
        <v>181.2</v>
      </c>
      <c r="Q414" s="23"/>
      <c r="R414" s="23"/>
      <c r="S414" s="24"/>
      <c r="T414" s="25"/>
      <c r="U414" s="25" t="n">
        <v>0</v>
      </c>
      <c r="V414" s="25" t="n">
        <f aca="false">P414-U414</f>
        <v>181.2</v>
      </c>
      <c r="W414" s="25" t="n">
        <f aca="false">V414*12</f>
        <v>2174.4</v>
      </c>
      <c r="X414" s="23" t="str">
        <f aca="false">IF(Q414="","MISSING FROM EXPORT",IF(ABS(V414)&lt;0.005,"CLEAR",IF(V414&gt;0,"UNDERBILLING","OVERBILLING")))</f>
        <v>MISSING FROM EXPORT</v>
      </c>
      <c r="Y414" s="25" t="n">
        <f aca="false">IF(F414="COMMERCIAL",ROUND(P414*0.35,2),0)</f>
        <v>0</v>
      </c>
      <c r="Z414" s="23" t="str">
        <f aca="false">IF(F414="COMMERCIAL","VERIFY SIGNED AGREEMENT","NO EXCEPTION")</f>
        <v>NO EXCEPTION</v>
      </c>
      <c r="AA414" s="23" t="str">
        <f aca="false">IF(AND(C414="covered",N414&gt;40),"COVERED &gt;40 FT","")</f>
        <v/>
      </c>
      <c r="AB414" s="23" t="s">
        <v>4705</v>
      </c>
      <c r="AC414" s="23" t="s">
        <v>5092</v>
      </c>
      <c r="AD414" s="23" t="s">
        <v>2807</v>
      </c>
    </row>
    <row r="415" customFormat="false" ht="17.9" hidden="false" customHeight="false" outlineLevel="0" collapsed="false">
      <c r="A415" s="20" t="s">
        <v>5093</v>
      </c>
      <c r="B415" s="20" t="s">
        <v>119</v>
      </c>
      <c r="C415" s="20" t="s">
        <v>2798</v>
      </c>
      <c r="D415" s="20" t="s">
        <v>5094</v>
      </c>
      <c r="E415" s="20" t="s">
        <v>5095</v>
      </c>
      <c r="F415" s="20" t="s">
        <v>2810</v>
      </c>
      <c r="G415" s="20" t="s">
        <v>5096</v>
      </c>
      <c r="H415" s="22" t="n">
        <v>25.8</v>
      </c>
      <c r="I415" s="22" t="n">
        <v>25.8</v>
      </c>
      <c r="J415" s="22" t="n">
        <f aca="false">H415-I415</f>
        <v>0</v>
      </c>
      <c r="K415" s="20" t="str">
        <f aca="false">IF(ABS(J415)&lt;0.001,"MATCH - PAPER CHECK-IN NOT SUPPLIED","DATA MISMATCH")</f>
        <v>MATCH - PAPER CHECK-IN NOT SUPPLIED</v>
      </c>
      <c r="L415" s="22" t="n">
        <v>36</v>
      </c>
      <c r="M415" s="22" t="n">
        <f aca="false">ROUNDUP(H415,0)</f>
        <v>26</v>
      </c>
      <c r="N415" s="24" t="n">
        <f aca="false">MAX(L415,M415)</f>
        <v>36</v>
      </c>
      <c r="O415" s="25" t="n">
        <v>7.55</v>
      </c>
      <c r="P415" s="25" t="n">
        <f aca="false">N415*O415</f>
        <v>271.8</v>
      </c>
      <c r="Q415" s="23"/>
      <c r="R415" s="23"/>
      <c r="S415" s="24"/>
      <c r="T415" s="25"/>
      <c r="U415" s="25" t="n">
        <v>0</v>
      </c>
      <c r="V415" s="25" t="n">
        <f aca="false">P415-U415</f>
        <v>271.8</v>
      </c>
      <c r="W415" s="25" t="n">
        <f aca="false">V415*12</f>
        <v>3261.6</v>
      </c>
      <c r="X415" s="23" t="str">
        <f aca="false">IF(Q415="","MISSING FROM EXPORT",IF(ABS(V415)&lt;0.005,"CLEAR",IF(V415&gt;0,"UNDERBILLING","OVERBILLING")))</f>
        <v>MISSING FROM EXPORT</v>
      </c>
      <c r="Y415" s="25" t="n">
        <f aca="false">IF(F415="COMMERCIAL",ROUND(P415*0.35,2),0)</f>
        <v>0</v>
      </c>
      <c r="Z415" s="23" t="str">
        <f aca="false">IF(F415="COMMERCIAL","VERIFY SIGNED AGREEMENT","NO EXCEPTION")</f>
        <v>NO EXCEPTION</v>
      </c>
      <c r="AA415" s="23" t="str">
        <f aca="false">IF(AND(C415="covered",N415&gt;40),"COVERED &gt;40 FT","")</f>
        <v/>
      </c>
      <c r="AB415" s="23" t="s">
        <v>4705</v>
      </c>
      <c r="AC415" s="23" t="s">
        <v>5097</v>
      </c>
      <c r="AD415" s="23" t="s">
        <v>2807</v>
      </c>
    </row>
    <row r="416" customFormat="false" ht="17.9" hidden="false" customHeight="false" outlineLevel="0" collapsed="false">
      <c r="A416" s="20" t="s">
        <v>5098</v>
      </c>
      <c r="B416" s="20" t="s">
        <v>119</v>
      </c>
      <c r="C416" s="20" t="s">
        <v>2798</v>
      </c>
      <c r="D416" s="20" t="s">
        <v>5099</v>
      </c>
      <c r="E416" s="20" t="s">
        <v>5100</v>
      </c>
      <c r="F416" s="20" t="s">
        <v>2833</v>
      </c>
      <c r="G416" s="20" t="s">
        <v>4106</v>
      </c>
      <c r="H416" s="22" t="n">
        <v>58.4</v>
      </c>
      <c r="I416" s="22" t="n">
        <v>58.4</v>
      </c>
      <c r="J416" s="22" t="n">
        <f aca="false">H416-I416</f>
        <v>0</v>
      </c>
      <c r="K416" s="20" t="str">
        <f aca="false">IF(ABS(J416)&lt;0.001,"MATCH - PAPER CHECK-IN NOT SUPPLIED","DATA MISMATCH")</f>
        <v>MATCH - PAPER CHECK-IN NOT SUPPLIED</v>
      </c>
      <c r="L416" s="22" t="n">
        <v>32</v>
      </c>
      <c r="M416" s="22" t="n">
        <f aca="false">ROUNDUP(H416,0)</f>
        <v>59</v>
      </c>
      <c r="N416" s="24" t="n">
        <f aca="false">MAX(L416,M416)</f>
        <v>59</v>
      </c>
      <c r="O416" s="25" t="n">
        <v>7.55</v>
      </c>
      <c r="P416" s="25" t="n">
        <f aca="false">N416*O416</f>
        <v>445.45</v>
      </c>
      <c r="Q416" s="23"/>
      <c r="R416" s="23"/>
      <c r="S416" s="24"/>
      <c r="T416" s="25"/>
      <c r="U416" s="25" t="n">
        <v>0</v>
      </c>
      <c r="V416" s="25" t="n">
        <f aca="false">P416-U416</f>
        <v>445.45</v>
      </c>
      <c r="W416" s="25" t="n">
        <f aca="false">V416*12</f>
        <v>5345.4</v>
      </c>
      <c r="X416" s="23" t="str">
        <f aca="false">IF(Q416="","MISSING FROM EXPORT",IF(ABS(V416)&lt;0.005,"CLEAR",IF(V416&gt;0,"UNDERBILLING","OVERBILLING")))</f>
        <v>MISSING FROM EXPORT</v>
      </c>
      <c r="Y416" s="25" t="n">
        <f aca="false">IF(F416="COMMERCIAL",ROUND(P416*0.35,2),0)</f>
        <v>0</v>
      </c>
      <c r="Z416" s="23" t="str">
        <f aca="false">IF(F416="COMMERCIAL","VERIFY SIGNED AGREEMENT","NO EXCEPTION")</f>
        <v>NO EXCEPTION</v>
      </c>
      <c r="AA416" s="23" t="str">
        <f aca="false">IF(AND(C416="covered",N416&gt;40),"COVERED &gt;40 FT","")</f>
        <v/>
      </c>
      <c r="AB416" s="23" t="s">
        <v>4705</v>
      </c>
      <c r="AC416" s="23" t="s">
        <v>5101</v>
      </c>
      <c r="AD416" s="23" t="s">
        <v>2807</v>
      </c>
    </row>
    <row r="417" customFormat="false" ht="17.9" hidden="false" customHeight="false" outlineLevel="0" collapsed="false">
      <c r="A417" s="20" t="s">
        <v>5102</v>
      </c>
      <c r="B417" s="20" t="s">
        <v>119</v>
      </c>
      <c r="C417" s="20" t="s">
        <v>2798</v>
      </c>
      <c r="D417" s="20" t="s">
        <v>5103</v>
      </c>
      <c r="E417" s="20" t="s">
        <v>5104</v>
      </c>
      <c r="F417" s="20" t="s">
        <v>2801</v>
      </c>
      <c r="G417" s="20" t="s">
        <v>5105</v>
      </c>
      <c r="H417" s="22" t="n">
        <v>31.4</v>
      </c>
      <c r="I417" s="22" t="n">
        <v>31.4</v>
      </c>
      <c r="J417" s="22" t="n">
        <f aca="false">H417-I417</f>
        <v>0</v>
      </c>
      <c r="K417" s="20" t="str">
        <f aca="false">IF(ABS(J417)&lt;0.001,"MATCH - PAPER CHECK-IN NOT SUPPLIED","DATA MISMATCH")</f>
        <v>MATCH - PAPER CHECK-IN NOT SUPPLIED</v>
      </c>
      <c r="L417" s="22" t="n">
        <v>32</v>
      </c>
      <c r="M417" s="22" t="n">
        <f aca="false">ROUNDUP(H417,0)</f>
        <v>32</v>
      </c>
      <c r="N417" s="24" t="n">
        <f aca="false">MAX(L417,M417)</f>
        <v>32</v>
      </c>
      <c r="O417" s="25" t="n">
        <v>7.55</v>
      </c>
      <c r="P417" s="25" t="n">
        <f aca="false">N417*O417</f>
        <v>241.6</v>
      </c>
      <c r="Q417" s="23"/>
      <c r="R417" s="23"/>
      <c r="S417" s="24"/>
      <c r="T417" s="25"/>
      <c r="U417" s="25" t="n">
        <v>0</v>
      </c>
      <c r="V417" s="25" t="n">
        <f aca="false">P417-U417</f>
        <v>241.6</v>
      </c>
      <c r="W417" s="25" t="n">
        <f aca="false">V417*12</f>
        <v>2899.2</v>
      </c>
      <c r="X417" s="23" t="str">
        <f aca="false">IF(Q417="","MISSING FROM EXPORT",IF(ABS(V417)&lt;0.005,"CLEAR",IF(V417&gt;0,"UNDERBILLING","OVERBILLING")))</f>
        <v>MISSING FROM EXPORT</v>
      </c>
      <c r="Y417" s="25" t="n">
        <f aca="false">IF(F417="COMMERCIAL",ROUND(P417*0.35,2),0)</f>
        <v>0</v>
      </c>
      <c r="Z417" s="23" t="str">
        <f aca="false">IF(F417="COMMERCIAL","VERIFY SIGNED AGREEMENT","NO EXCEPTION")</f>
        <v>NO EXCEPTION</v>
      </c>
      <c r="AA417" s="23" t="str">
        <f aca="false">IF(AND(C417="covered",N417&gt;40),"COVERED &gt;40 FT","")</f>
        <v/>
      </c>
      <c r="AB417" s="23" t="s">
        <v>4705</v>
      </c>
      <c r="AC417" s="23" t="s">
        <v>5106</v>
      </c>
      <c r="AD417" s="23" t="s">
        <v>2807</v>
      </c>
    </row>
    <row r="418" customFormat="false" ht="17.9" hidden="false" customHeight="false" outlineLevel="0" collapsed="false">
      <c r="A418" s="20" t="s">
        <v>5107</v>
      </c>
      <c r="B418" s="20" t="s">
        <v>119</v>
      </c>
      <c r="C418" s="20" t="s">
        <v>2798</v>
      </c>
      <c r="D418" s="20" t="s">
        <v>5108</v>
      </c>
      <c r="E418" s="20" t="s">
        <v>5109</v>
      </c>
      <c r="F418" s="20" t="s">
        <v>2857</v>
      </c>
      <c r="G418" s="20" t="s">
        <v>4112</v>
      </c>
      <c r="H418" s="22" t="n">
        <v>29.1</v>
      </c>
      <c r="I418" s="22" t="n">
        <v>29.1</v>
      </c>
      <c r="J418" s="22" t="n">
        <f aca="false">H418-I418</f>
        <v>0</v>
      </c>
      <c r="K418" s="20" t="str">
        <f aca="false">IF(ABS(J418)&lt;0.001,"MATCH - PAPER CHECK-IN NOT SUPPLIED","DATA MISMATCH")</f>
        <v>MATCH - PAPER CHECK-IN NOT SUPPLIED</v>
      </c>
      <c r="L418" s="22" t="n">
        <v>60</v>
      </c>
      <c r="M418" s="22" t="n">
        <f aca="false">ROUNDUP(H418,0)</f>
        <v>30</v>
      </c>
      <c r="N418" s="24" t="n">
        <f aca="false">MAX(L418,M418)</f>
        <v>60</v>
      </c>
      <c r="O418" s="25" t="n">
        <v>7.55</v>
      </c>
      <c r="P418" s="25" t="n">
        <f aca="false">N418*O418</f>
        <v>453</v>
      </c>
      <c r="Q418" s="23"/>
      <c r="R418" s="23"/>
      <c r="S418" s="24"/>
      <c r="T418" s="25"/>
      <c r="U418" s="25" t="n">
        <v>0</v>
      </c>
      <c r="V418" s="25" t="n">
        <f aca="false">P418-U418</f>
        <v>453</v>
      </c>
      <c r="W418" s="25" t="n">
        <f aca="false">V418*12</f>
        <v>5436</v>
      </c>
      <c r="X418" s="23" t="str">
        <f aca="false">IF(Q418="","MISSING FROM EXPORT",IF(ABS(V418)&lt;0.005,"CLEAR",IF(V418&gt;0,"UNDERBILLING","OVERBILLING")))</f>
        <v>MISSING FROM EXPORT</v>
      </c>
      <c r="Y418" s="25" t="n">
        <f aca="false">IF(F418="COMMERCIAL",ROUND(P418*0.35,2),0)</f>
        <v>0</v>
      </c>
      <c r="Z418" s="23" t="str">
        <f aca="false">IF(F418="COMMERCIAL","VERIFY SIGNED AGREEMENT","NO EXCEPTION")</f>
        <v>NO EXCEPTION</v>
      </c>
      <c r="AA418" s="23" t="str">
        <f aca="false">IF(AND(C418="covered",N418&gt;40),"COVERED &gt;40 FT","")</f>
        <v/>
      </c>
      <c r="AB418" s="23" t="s">
        <v>4705</v>
      </c>
      <c r="AC418" s="23" t="s">
        <v>5110</v>
      </c>
      <c r="AD418" s="23" t="s">
        <v>2807</v>
      </c>
    </row>
    <row r="419" customFormat="false" ht="17.9" hidden="false" customHeight="false" outlineLevel="0" collapsed="false">
      <c r="A419" s="20" t="s">
        <v>343</v>
      </c>
      <c r="B419" s="20" t="s">
        <v>119</v>
      </c>
      <c r="C419" s="20" t="s">
        <v>2798</v>
      </c>
      <c r="D419" s="20" t="s">
        <v>5111</v>
      </c>
      <c r="E419" s="20" t="s">
        <v>5112</v>
      </c>
      <c r="F419" s="20" t="s">
        <v>2810</v>
      </c>
      <c r="G419" s="20" t="s">
        <v>4119</v>
      </c>
      <c r="H419" s="22" t="n">
        <v>58.3</v>
      </c>
      <c r="I419" s="22" t="n">
        <v>58.3</v>
      </c>
      <c r="J419" s="22" t="n">
        <f aca="false">H419-I419</f>
        <v>0</v>
      </c>
      <c r="K419" s="20" t="str">
        <f aca="false">IF(ABS(J419)&lt;0.001,"MATCH - PAPER CHECK-IN NOT SUPPLIED","DATA MISMATCH")</f>
        <v>MATCH - PAPER CHECK-IN NOT SUPPLIED</v>
      </c>
      <c r="L419" s="22" t="n">
        <v>60</v>
      </c>
      <c r="M419" s="22" t="n">
        <f aca="false">ROUNDUP(H419,0)</f>
        <v>59</v>
      </c>
      <c r="N419" s="24" t="n">
        <f aca="false">MAX(L419,M419)</f>
        <v>60</v>
      </c>
      <c r="O419" s="25" t="n">
        <v>7.55</v>
      </c>
      <c r="P419" s="25" t="n">
        <f aca="false">N419*O419</f>
        <v>453</v>
      </c>
      <c r="Q419" s="23"/>
      <c r="R419" s="23"/>
      <c r="S419" s="24"/>
      <c r="T419" s="25"/>
      <c r="U419" s="25" t="n">
        <v>0</v>
      </c>
      <c r="V419" s="25" t="n">
        <f aca="false">P419-U419</f>
        <v>453</v>
      </c>
      <c r="W419" s="25" t="n">
        <f aca="false">V419*12</f>
        <v>5436</v>
      </c>
      <c r="X419" s="23" t="str">
        <f aca="false">IF(Q419="","MISSING FROM EXPORT",IF(ABS(V419)&lt;0.005,"CLEAR",IF(V419&gt;0,"UNDERBILLING","OVERBILLING")))</f>
        <v>MISSING FROM EXPORT</v>
      </c>
      <c r="Y419" s="25" t="n">
        <f aca="false">IF(F419="COMMERCIAL",ROUND(P419*0.35,2),0)</f>
        <v>0</v>
      </c>
      <c r="Z419" s="23" t="str">
        <f aca="false">IF(F419="COMMERCIAL","VERIFY SIGNED AGREEMENT","NO EXCEPTION")</f>
        <v>NO EXCEPTION</v>
      </c>
      <c r="AA419" s="23" t="str">
        <f aca="false">IF(AND(C419="covered",N419&gt;40),"COVERED &gt;40 FT","")</f>
        <v/>
      </c>
      <c r="AB419" s="23" t="s">
        <v>4705</v>
      </c>
      <c r="AC419" s="23" t="s">
        <v>5113</v>
      </c>
      <c r="AD419" s="23" t="s">
        <v>2807</v>
      </c>
    </row>
    <row r="420" customFormat="false" ht="17.9" hidden="false" customHeight="false" outlineLevel="0" collapsed="false">
      <c r="A420" s="20" t="s">
        <v>5114</v>
      </c>
      <c r="B420" s="20" t="s">
        <v>119</v>
      </c>
      <c r="C420" s="20" t="s">
        <v>2798</v>
      </c>
      <c r="D420" s="20" t="s">
        <v>947</v>
      </c>
      <c r="E420" s="20" t="s">
        <v>948</v>
      </c>
      <c r="F420" s="20" t="s">
        <v>2833</v>
      </c>
      <c r="G420" s="20" t="s">
        <v>5115</v>
      </c>
      <c r="H420" s="22" t="n">
        <v>47.5</v>
      </c>
      <c r="I420" s="22" t="n">
        <v>47.5</v>
      </c>
      <c r="J420" s="22" t="n">
        <f aca="false">H420-I420</f>
        <v>0</v>
      </c>
      <c r="K420" s="20" t="str">
        <f aca="false">IF(ABS(J420)&lt;0.001,"MATCH - PAPER CHECK-IN NOT SUPPLIED","DATA MISMATCH")</f>
        <v>MATCH - PAPER CHECK-IN NOT SUPPLIED</v>
      </c>
      <c r="L420" s="22" t="n">
        <v>45</v>
      </c>
      <c r="M420" s="22" t="n">
        <f aca="false">ROUNDUP(H420,0)</f>
        <v>48</v>
      </c>
      <c r="N420" s="24" t="n">
        <f aca="false">MAX(L420,M420)</f>
        <v>48</v>
      </c>
      <c r="O420" s="25" t="n">
        <v>7.55</v>
      </c>
      <c r="P420" s="25" t="n">
        <f aca="false">N420*O420</f>
        <v>362.4</v>
      </c>
      <c r="Q420" s="23"/>
      <c r="R420" s="23"/>
      <c r="S420" s="24"/>
      <c r="T420" s="25"/>
      <c r="U420" s="25" t="n">
        <v>0</v>
      </c>
      <c r="V420" s="25" t="n">
        <f aca="false">P420-U420</f>
        <v>362.4</v>
      </c>
      <c r="W420" s="25" t="n">
        <f aca="false">V420*12</f>
        <v>4348.8</v>
      </c>
      <c r="X420" s="23" t="str">
        <f aca="false">IF(Q420="","MISSING FROM EXPORT",IF(ABS(V420)&lt;0.005,"CLEAR",IF(V420&gt;0,"UNDERBILLING","OVERBILLING")))</f>
        <v>MISSING FROM EXPORT</v>
      </c>
      <c r="Y420" s="25" t="n">
        <f aca="false">IF(F420="COMMERCIAL",ROUND(P420*0.35,2),0)</f>
        <v>0</v>
      </c>
      <c r="Z420" s="23" t="str">
        <f aca="false">IF(F420="COMMERCIAL","VERIFY SIGNED AGREEMENT","NO EXCEPTION")</f>
        <v>NO EXCEPTION</v>
      </c>
      <c r="AA420" s="23" t="str">
        <f aca="false">IF(AND(C420="covered",N420&gt;40),"COVERED &gt;40 FT","")</f>
        <v/>
      </c>
      <c r="AB420" s="23" t="s">
        <v>4705</v>
      </c>
      <c r="AC420" s="23" t="s">
        <v>5116</v>
      </c>
      <c r="AD420" s="23" t="s">
        <v>2807</v>
      </c>
    </row>
    <row r="421" customFormat="false" ht="17.9" hidden="false" customHeight="false" outlineLevel="0" collapsed="false">
      <c r="A421" s="20" t="s">
        <v>5117</v>
      </c>
      <c r="B421" s="20" t="s">
        <v>119</v>
      </c>
      <c r="C421" s="20" t="s">
        <v>2798</v>
      </c>
      <c r="D421" s="20" t="s">
        <v>5118</v>
      </c>
      <c r="E421" s="20" t="s">
        <v>5119</v>
      </c>
      <c r="F421" s="20" t="s">
        <v>2898</v>
      </c>
      <c r="G421" s="20" t="s">
        <v>4126</v>
      </c>
      <c r="H421" s="22" t="n">
        <v>27.2</v>
      </c>
      <c r="I421" s="22" t="n">
        <v>27.2</v>
      </c>
      <c r="J421" s="22" t="n">
        <f aca="false">H421-I421</f>
        <v>0</v>
      </c>
      <c r="K421" s="20" t="str">
        <f aca="false">IF(ABS(J421)&lt;0.001,"MATCH - PAPER CHECK-IN NOT SUPPLIED","DATA MISMATCH")</f>
        <v>MATCH - PAPER CHECK-IN NOT SUPPLIED</v>
      </c>
      <c r="L421" s="22" t="n">
        <v>45</v>
      </c>
      <c r="M421" s="22" t="n">
        <f aca="false">ROUNDUP(H421,0)</f>
        <v>28</v>
      </c>
      <c r="N421" s="24" t="n">
        <f aca="false">MAX(L421,M421)</f>
        <v>45</v>
      </c>
      <c r="O421" s="25" t="n">
        <v>7.55</v>
      </c>
      <c r="P421" s="25" t="n">
        <f aca="false">N421*O421</f>
        <v>339.75</v>
      </c>
      <c r="Q421" s="23"/>
      <c r="R421" s="23"/>
      <c r="S421" s="24"/>
      <c r="T421" s="25"/>
      <c r="U421" s="25" t="n">
        <v>0</v>
      </c>
      <c r="V421" s="25" t="n">
        <f aca="false">P421-U421</f>
        <v>339.75</v>
      </c>
      <c r="W421" s="25" t="n">
        <f aca="false">V421*12</f>
        <v>4077</v>
      </c>
      <c r="X421" s="23" t="str">
        <f aca="false">IF(Q421="","MISSING FROM EXPORT",IF(ABS(V421)&lt;0.005,"CLEAR",IF(V421&gt;0,"UNDERBILLING","OVERBILLING")))</f>
        <v>MISSING FROM EXPORT</v>
      </c>
      <c r="Y421" s="25" t="n">
        <f aca="false">IF(F421="COMMERCIAL",ROUND(P421*0.35,2),0)</f>
        <v>0</v>
      </c>
      <c r="Z421" s="23" t="str">
        <f aca="false">IF(F421="COMMERCIAL","VERIFY SIGNED AGREEMENT","NO EXCEPTION")</f>
        <v>NO EXCEPTION</v>
      </c>
      <c r="AA421" s="23" t="str">
        <f aca="false">IF(AND(C421="covered",N421&gt;40),"COVERED &gt;40 FT","")</f>
        <v/>
      </c>
      <c r="AB421" s="23" t="s">
        <v>4705</v>
      </c>
      <c r="AC421" s="23" t="s">
        <v>5120</v>
      </c>
      <c r="AD421" s="23" t="s">
        <v>2807</v>
      </c>
    </row>
    <row r="422" customFormat="false" ht="17.9" hidden="false" customHeight="false" outlineLevel="0" collapsed="false">
      <c r="A422" s="20" t="s">
        <v>5121</v>
      </c>
      <c r="B422" s="20" t="s">
        <v>119</v>
      </c>
      <c r="C422" s="20" t="s">
        <v>2798</v>
      </c>
      <c r="D422" s="20" t="s">
        <v>5122</v>
      </c>
      <c r="E422" s="20" t="s">
        <v>5123</v>
      </c>
      <c r="F422" s="20" t="s">
        <v>2857</v>
      </c>
      <c r="G422" s="20" t="s">
        <v>4133</v>
      </c>
      <c r="H422" s="22" t="n">
        <v>51.7</v>
      </c>
      <c r="I422" s="22" t="n">
        <v>51.7</v>
      </c>
      <c r="J422" s="22" t="n">
        <f aca="false">H422-I422</f>
        <v>0</v>
      </c>
      <c r="K422" s="20" t="str">
        <f aca="false">IF(ABS(J422)&lt;0.001,"MATCH - PAPER CHECK-IN NOT SUPPLIED","DATA MISMATCH")</f>
        <v>MATCH - PAPER CHECK-IN NOT SUPPLIED</v>
      </c>
      <c r="L422" s="22" t="n">
        <v>80</v>
      </c>
      <c r="M422" s="22" t="n">
        <f aca="false">ROUNDUP(H422,0)</f>
        <v>52</v>
      </c>
      <c r="N422" s="24" t="n">
        <f aca="false">MAX(L422,M422)</f>
        <v>80</v>
      </c>
      <c r="O422" s="25" t="n">
        <v>7.55</v>
      </c>
      <c r="P422" s="25" t="n">
        <f aca="false">N422*O422</f>
        <v>604</v>
      </c>
      <c r="Q422" s="23"/>
      <c r="R422" s="23"/>
      <c r="S422" s="24"/>
      <c r="T422" s="25"/>
      <c r="U422" s="25" t="n">
        <v>0</v>
      </c>
      <c r="V422" s="25" t="n">
        <f aca="false">P422-U422</f>
        <v>604</v>
      </c>
      <c r="W422" s="25" t="n">
        <f aca="false">V422*12</f>
        <v>7248</v>
      </c>
      <c r="X422" s="23" t="str">
        <f aca="false">IF(Q422="","MISSING FROM EXPORT",IF(ABS(V422)&lt;0.005,"CLEAR",IF(V422&gt;0,"UNDERBILLING","OVERBILLING")))</f>
        <v>MISSING FROM EXPORT</v>
      </c>
      <c r="Y422" s="25" t="n">
        <f aca="false">IF(F422="COMMERCIAL",ROUND(P422*0.35,2),0)</f>
        <v>0</v>
      </c>
      <c r="Z422" s="23" t="str">
        <f aca="false">IF(F422="COMMERCIAL","VERIFY SIGNED AGREEMENT","NO EXCEPTION")</f>
        <v>NO EXCEPTION</v>
      </c>
      <c r="AA422" s="23" t="str">
        <f aca="false">IF(AND(C422="covered",N422&gt;40),"COVERED &gt;40 FT","")</f>
        <v/>
      </c>
      <c r="AB422" s="23" t="s">
        <v>4705</v>
      </c>
      <c r="AC422" s="23" t="s">
        <v>5124</v>
      </c>
      <c r="AD422" s="23" t="s">
        <v>2807</v>
      </c>
    </row>
    <row r="423" customFormat="false" ht="17.9" hidden="false" customHeight="false" outlineLevel="0" collapsed="false">
      <c r="A423" s="20" t="s">
        <v>735</v>
      </c>
      <c r="B423" s="20" t="s">
        <v>119</v>
      </c>
      <c r="C423" s="20" t="s">
        <v>2798</v>
      </c>
      <c r="D423" s="20" t="s">
        <v>5125</v>
      </c>
      <c r="E423" s="20" t="s">
        <v>5126</v>
      </c>
      <c r="F423" s="20" t="s">
        <v>2801</v>
      </c>
      <c r="G423" s="20" t="s">
        <v>4140</v>
      </c>
      <c r="H423" s="22" t="n">
        <v>48</v>
      </c>
      <c r="I423" s="22" t="n">
        <v>48</v>
      </c>
      <c r="J423" s="22" t="n">
        <f aca="false">H423-I423</f>
        <v>0</v>
      </c>
      <c r="K423" s="20" t="str">
        <f aca="false">IF(ABS(J423)&lt;0.001,"MATCH - PAPER CHECK-IN NOT SUPPLIED","DATA MISMATCH")</f>
        <v>MATCH - PAPER CHECK-IN NOT SUPPLIED</v>
      </c>
      <c r="L423" s="22" t="n">
        <v>80</v>
      </c>
      <c r="M423" s="22" t="n">
        <f aca="false">ROUNDUP(H423,0)</f>
        <v>48</v>
      </c>
      <c r="N423" s="24" t="n">
        <f aca="false">MAX(L423,M423)</f>
        <v>80</v>
      </c>
      <c r="O423" s="25" t="n">
        <v>7.55</v>
      </c>
      <c r="P423" s="25" t="n">
        <f aca="false">N423*O423</f>
        <v>604</v>
      </c>
      <c r="Q423" s="23"/>
      <c r="R423" s="23"/>
      <c r="S423" s="24"/>
      <c r="T423" s="25"/>
      <c r="U423" s="25" t="n">
        <v>0</v>
      </c>
      <c r="V423" s="25" t="n">
        <f aca="false">P423-U423</f>
        <v>604</v>
      </c>
      <c r="W423" s="25" t="n">
        <f aca="false">V423*12</f>
        <v>7248</v>
      </c>
      <c r="X423" s="23" t="str">
        <f aca="false">IF(Q423="","MISSING FROM EXPORT",IF(ABS(V423)&lt;0.005,"CLEAR",IF(V423&gt;0,"UNDERBILLING","OVERBILLING")))</f>
        <v>MISSING FROM EXPORT</v>
      </c>
      <c r="Y423" s="25" t="n">
        <f aca="false">IF(F423="COMMERCIAL",ROUND(P423*0.35,2),0)</f>
        <v>0</v>
      </c>
      <c r="Z423" s="23" t="str">
        <f aca="false">IF(F423="COMMERCIAL","VERIFY SIGNED AGREEMENT","NO EXCEPTION")</f>
        <v>NO EXCEPTION</v>
      </c>
      <c r="AA423" s="23" t="str">
        <f aca="false">IF(AND(C423="covered",N423&gt;40),"COVERED &gt;40 FT","")</f>
        <v/>
      </c>
      <c r="AB423" s="23" t="s">
        <v>4705</v>
      </c>
      <c r="AC423" s="23" t="s">
        <v>5127</v>
      </c>
      <c r="AD423" s="23" t="s">
        <v>2807</v>
      </c>
    </row>
    <row r="424" customFormat="false" ht="17.9" hidden="false" customHeight="false" outlineLevel="0" collapsed="false">
      <c r="A424" s="20" t="s">
        <v>791</v>
      </c>
      <c r="B424" s="20" t="s">
        <v>119</v>
      </c>
      <c r="C424" s="20" t="s">
        <v>2798</v>
      </c>
      <c r="D424" s="20" t="s">
        <v>5128</v>
      </c>
      <c r="E424" s="20" t="s">
        <v>5129</v>
      </c>
      <c r="F424" s="20" t="s">
        <v>2857</v>
      </c>
      <c r="G424" s="20" t="s">
        <v>4147</v>
      </c>
      <c r="H424" s="22" t="n">
        <v>27.1</v>
      </c>
      <c r="I424" s="22" t="n">
        <v>27.1</v>
      </c>
      <c r="J424" s="22" t="n">
        <f aca="false">H424-I424</f>
        <v>0</v>
      </c>
      <c r="K424" s="20" t="str">
        <f aca="false">IF(ABS(J424)&lt;0.001,"MATCH - PAPER CHECK-IN NOT SUPPLIED","DATA MISMATCH")</f>
        <v>MATCH - PAPER CHECK-IN NOT SUPPLIED</v>
      </c>
      <c r="L424" s="22" t="n">
        <v>60</v>
      </c>
      <c r="M424" s="22" t="n">
        <f aca="false">ROUNDUP(H424,0)</f>
        <v>28</v>
      </c>
      <c r="N424" s="24" t="n">
        <f aca="false">MAX(L424,M424)</f>
        <v>60</v>
      </c>
      <c r="O424" s="25" t="n">
        <v>7.55</v>
      </c>
      <c r="P424" s="25" t="n">
        <f aca="false">N424*O424</f>
        <v>453</v>
      </c>
      <c r="Q424" s="23"/>
      <c r="R424" s="23"/>
      <c r="S424" s="24"/>
      <c r="T424" s="25"/>
      <c r="U424" s="25" t="n">
        <v>0</v>
      </c>
      <c r="V424" s="25" t="n">
        <f aca="false">P424-U424</f>
        <v>453</v>
      </c>
      <c r="W424" s="25" t="n">
        <f aca="false">V424*12</f>
        <v>5436</v>
      </c>
      <c r="X424" s="23" t="str">
        <f aca="false">IF(Q424="","MISSING FROM EXPORT",IF(ABS(V424)&lt;0.005,"CLEAR",IF(V424&gt;0,"UNDERBILLING","OVERBILLING")))</f>
        <v>MISSING FROM EXPORT</v>
      </c>
      <c r="Y424" s="25" t="n">
        <f aca="false">IF(F424="COMMERCIAL",ROUND(P424*0.35,2),0)</f>
        <v>0</v>
      </c>
      <c r="Z424" s="23" t="str">
        <f aca="false">IF(F424="COMMERCIAL","VERIFY SIGNED AGREEMENT","NO EXCEPTION")</f>
        <v>NO EXCEPTION</v>
      </c>
      <c r="AA424" s="23" t="str">
        <f aca="false">IF(AND(C424="covered",N424&gt;40),"COVERED &gt;40 FT","")</f>
        <v/>
      </c>
      <c r="AB424" s="23" t="s">
        <v>4705</v>
      </c>
      <c r="AC424" s="23" t="s">
        <v>5130</v>
      </c>
      <c r="AD424" s="23" t="s">
        <v>2807</v>
      </c>
    </row>
    <row r="425" customFormat="false" ht="17.9" hidden="false" customHeight="false" outlineLevel="0" collapsed="false">
      <c r="A425" s="20" t="s">
        <v>5131</v>
      </c>
      <c r="B425" s="20" t="s">
        <v>119</v>
      </c>
      <c r="C425" s="20" t="s">
        <v>2798</v>
      </c>
      <c r="D425" s="20" t="s">
        <v>5132</v>
      </c>
      <c r="E425" s="20" t="s">
        <v>5133</v>
      </c>
      <c r="F425" s="20" t="s">
        <v>2833</v>
      </c>
      <c r="G425" s="20" t="s">
        <v>4154</v>
      </c>
      <c r="H425" s="22" t="n">
        <v>30.6</v>
      </c>
      <c r="I425" s="22" t="n">
        <v>30.6</v>
      </c>
      <c r="J425" s="22" t="n">
        <f aca="false">H425-I425</f>
        <v>0</v>
      </c>
      <c r="K425" s="20" t="str">
        <f aca="false">IF(ABS(J425)&lt;0.001,"MATCH - PAPER CHECK-IN NOT SUPPLIED","DATA MISMATCH")</f>
        <v>MATCH - PAPER CHECK-IN NOT SUPPLIED</v>
      </c>
      <c r="L425" s="22" t="n">
        <v>32</v>
      </c>
      <c r="M425" s="22" t="n">
        <f aca="false">ROUNDUP(H425,0)</f>
        <v>31</v>
      </c>
      <c r="N425" s="24" t="n">
        <f aca="false">MAX(L425,M425)</f>
        <v>32</v>
      </c>
      <c r="O425" s="25" t="n">
        <v>7.55</v>
      </c>
      <c r="P425" s="25" t="n">
        <f aca="false">N425*O425</f>
        <v>241.6</v>
      </c>
      <c r="Q425" s="23"/>
      <c r="R425" s="23"/>
      <c r="S425" s="24"/>
      <c r="T425" s="25"/>
      <c r="U425" s="25" t="n">
        <v>0</v>
      </c>
      <c r="V425" s="25" t="n">
        <f aca="false">P425-U425</f>
        <v>241.6</v>
      </c>
      <c r="W425" s="25" t="n">
        <f aca="false">V425*12</f>
        <v>2899.2</v>
      </c>
      <c r="X425" s="23" t="str">
        <f aca="false">IF(Q425="","MISSING FROM EXPORT",IF(ABS(V425)&lt;0.005,"CLEAR",IF(V425&gt;0,"UNDERBILLING","OVERBILLING")))</f>
        <v>MISSING FROM EXPORT</v>
      </c>
      <c r="Y425" s="25" t="n">
        <f aca="false">IF(F425="COMMERCIAL",ROUND(P425*0.35,2),0)</f>
        <v>0</v>
      </c>
      <c r="Z425" s="23" t="str">
        <f aca="false">IF(F425="COMMERCIAL","VERIFY SIGNED AGREEMENT","NO EXCEPTION")</f>
        <v>NO EXCEPTION</v>
      </c>
      <c r="AA425" s="23" t="str">
        <f aca="false">IF(AND(C425="covered",N425&gt;40),"COVERED &gt;40 FT","")</f>
        <v/>
      </c>
      <c r="AB425" s="23" t="s">
        <v>4705</v>
      </c>
      <c r="AC425" s="23" t="s">
        <v>5134</v>
      </c>
      <c r="AD425" s="23" t="s">
        <v>2807</v>
      </c>
    </row>
    <row r="426" customFormat="false" ht="17.9" hidden="false" customHeight="false" outlineLevel="0" collapsed="false">
      <c r="A426" s="20" t="s">
        <v>5135</v>
      </c>
      <c r="B426" s="20" t="s">
        <v>119</v>
      </c>
      <c r="C426" s="20" t="s">
        <v>2798</v>
      </c>
      <c r="D426" s="20" t="s">
        <v>2360</v>
      </c>
      <c r="E426" s="20" t="s">
        <v>2361</v>
      </c>
      <c r="F426" s="20" t="s">
        <v>2833</v>
      </c>
      <c r="G426" s="20" t="s">
        <v>4160</v>
      </c>
      <c r="H426" s="22" t="n">
        <v>50.8</v>
      </c>
      <c r="I426" s="22" t="n">
        <v>50.8</v>
      </c>
      <c r="J426" s="22" t="n">
        <f aca="false">H426-I426</f>
        <v>0</v>
      </c>
      <c r="K426" s="20" t="str">
        <f aca="false">IF(ABS(J426)&lt;0.001,"MATCH - PAPER CHECK-IN NOT SUPPLIED","DATA MISMATCH")</f>
        <v>MATCH - PAPER CHECK-IN NOT SUPPLIED</v>
      </c>
      <c r="L426" s="22" t="n">
        <v>70</v>
      </c>
      <c r="M426" s="22" t="n">
        <f aca="false">ROUNDUP(H426,0)</f>
        <v>51</v>
      </c>
      <c r="N426" s="24" t="n">
        <f aca="false">MAX(L426,M426)</f>
        <v>70</v>
      </c>
      <c r="O426" s="25" t="n">
        <v>7.55</v>
      </c>
      <c r="P426" s="25" t="n">
        <f aca="false">N426*O426</f>
        <v>528.5</v>
      </c>
      <c r="Q426" s="23"/>
      <c r="R426" s="23"/>
      <c r="S426" s="24"/>
      <c r="T426" s="25"/>
      <c r="U426" s="25" t="n">
        <v>0</v>
      </c>
      <c r="V426" s="25" t="n">
        <f aca="false">P426-U426</f>
        <v>528.5</v>
      </c>
      <c r="W426" s="25" t="n">
        <f aca="false">V426*12</f>
        <v>6342</v>
      </c>
      <c r="X426" s="23" t="str">
        <f aca="false">IF(Q426="","MISSING FROM EXPORT",IF(ABS(V426)&lt;0.005,"CLEAR",IF(V426&gt;0,"UNDERBILLING","OVERBILLING")))</f>
        <v>MISSING FROM EXPORT</v>
      </c>
      <c r="Y426" s="25" t="n">
        <f aca="false">IF(F426="COMMERCIAL",ROUND(P426*0.35,2),0)</f>
        <v>0</v>
      </c>
      <c r="Z426" s="23" t="str">
        <f aca="false">IF(F426="COMMERCIAL","VERIFY SIGNED AGREEMENT","NO EXCEPTION")</f>
        <v>NO EXCEPTION</v>
      </c>
      <c r="AA426" s="23" t="str">
        <f aca="false">IF(AND(C426="covered",N426&gt;40),"COVERED &gt;40 FT","")</f>
        <v/>
      </c>
      <c r="AB426" s="23" t="s">
        <v>4705</v>
      </c>
      <c r="AC426" s="23" t="s">
        <v>5136</v>
      </c>
      <c r="AD426" s="23" t="s">
        <v>2807</v>
      </c>
    </row>
    <row r="427" customFormat="false" ht="17.9" hidden="false" customHeight="false" outlineLevel="0" collapsed="false">
      <c r="A427" s="20" t="s">
        <v>5137</v>
      </c>
      <c r="B427" s="20" t="s">
        <v>119</v>
      </c>
      <c r="C427" s="20" t="s">
        <v>2798</v>
      </c>
      <c r="D427" s="20" t="s">
        <v>5138</v>
      </c>
      <c r="E427" s="20" t="s">
        <v>5139</v>
      </c>
      <c r="F427" s="20" t="s">
        <v>2869</v>
      </c>
      <c r="G427" s="20" t="s">
        <v>4165</v>
      </c>
      <c r="H427" s="22" t="n">
        <v>31.6</v>
      </c>
      <c r="I427" s="22" t="n">
        <v>31.6</v>
      </c>
      <c r="J427" s="22" t="n">
        <f aca="false">H427-I427</f>
        <v>0</v>
      </c>
      <c r="K427" s="20" t="str">
        <f aca="false">IF(ABS(J427)&lt;0.001,"MATCH - PAPER CHECK-IN NOT SUPPLIED","DATA MISMATCH")</f>
        <v>MATCH - PAPER CHECK-IN NOT SUPPLIED</v>
      </c>
      <c r="L427" s="22" t="n">
        <v>24</v>
      </c>
      <c r="M427" s="22" t="n">
        <f aca="false">ROUNDUP(H427,0)</f>
        <v>32</v>
      </c>
      <c r="N427" s="24" t="n">
        <f aca="false">MAX(L427,M427)</f>
        <v>32</v>
      </c>
      <c r="O427" s="25" t="n">
        <v>7.55</v>
      </c>
      <c r="P427" s="25" t="n">
        <f aca="false">N427*O427</f>
        <v>241.6</v>
      </c>
      <c r="Q427" s="23"/>
      <c r="R427" s="23"/>
      <c r="S427" s="24"/>
      <c r="T427" s="25"/>
      <c r="U427" s="25" t="n">
        <v>0</v>
      </c>
      <c r="V427" s="25" t="n">
        <f aca="false">P427-U427</f>
        <v>241.6</v>
      </c>
      <c r="W427" s="25" t="n">
        <f aca="false">V427*12</f>
        <v>2899.2</v>
      </c>
      <c r="X427" s="23" t="str">
        <f aca="false">IF(Q427="","MISSING FROM EXPORT",IF(ABS(V427)&lt;0.005,"CLEAR",IF(V427&gt;0,"UNDERBILLING","OVERBILLING")))</f>
        <v>MISSING FROM EXPORT</v>
      </c>
      <c r="Y427" s="25" t="n">
        <f aca="false">IF(F427="COMMERCIAL",ROUND(P427*0.35,2),0)</f>
        <v>0</v>
      </c>
      <c r="Z427" s="23" t="str">
        <f aca="false">IF(F427="COMMERCIAL","VERIFY SIGNED AGREEMENT","NO EXCEPTION")</f>
        <v>NO EXCEPTION</v>
      </c>
      <c r="AA427" s="23" t="str">
        <f aca="false">IF(AND(C427="covered",N427&gt;40),"COVERED &gt;40 FT","")</f>
        <v/>
      </c>
      <c r="AB427" s="23" t="s">
        <v>4705</v>
      </c>
      <c r="AC427" s="23" t="s">
        <v>5140</v>
      </c>
      <c r="AD427" s="23" t="s">
        <v>2807</v>
      </c>
    </row>
    <row r="428" customFormat="false" ht="17.9" hidden="false" customHeight="false" outlineLevel="0" collapsed="false">
      <c r="A428" s="20" t="s">
        <v>1284</v>
      </c>
      <c r="B428" s="20" t="s">
        <v>119</v>
      </c>
      <c r="C428" s="20" t="s">
        <v>2798</v>
      </c>
      <c r="D428" s="20" t="s">
        <v>2388</v>
      </c>
      <c r="E428" s="20" t="s">
        <v>5141</v>
      </c>
      <c r="F428" s="20" t="s">
        <v>2934</v>
      </c>
      <c r="G428" s="20" t="s">
        <v>4172</v>
      </c>
      <c r="H428" s="22" t="n">
        <v>22.5</v>
      </c>
      <c r="I428" s="22" t="n">
        <v>22.5</v>
      </c>
      <c r="J428" s="22" t="n">
        <f aca="false">H428-I428</f>
        <v>0</v>
      </c>
      <c r="K428" s="20" t="str">
        <f aca="false">IF(ABS(J428)&lt;0.001,"MATCH - PAPER CHECK-IN NOT SUPPLIED","DATA MISMATCH")</f>
        <v>MATCH - PAPER CHECK-IN NOT SUPPLIED</v>
      </c>
      <c r="L428" s="22" t="n">
        <v>32</v>
      </c>
      <c r="M428" s="22" t="n">
        <f aca="false">ROUNDUP(H428,0)</f>
        <v>23</v>
      </c>
      <c r="N428" s="24" t="n">
        <f aca="false">MAX(L428,M428)</f>
        <v>32</v>
      </c>
      <c r="O428" s="25" t="n">
        <v>7.55</v>
      </c>
      <c r="P428" s="25" t="n">
        <f aca="false">N428*O428</f>
        <v>241.6</v>
      </c>
      <c r="Q428" s="23"/>
      <c r="R428" s="23"/>
      <c r="S428" s="24"/>
      <c r="T428" s="25"/>
      <c r="U428" s="25" t="n">
        <v>0</v>
      </c>
      <c r="V428" s="25" t="n">
        <f aca="false">P428-U428</f>
        <v>241.6</v>
      </c>
      <c r="W428" s="25" t="n">
        <f aca="false">V428*12</f>
        <v>2899.2</v>
      </c>
      <c r="X428" s="23" t="str">
        <f aca="false">IF(Q428="","MISSING FROM EXPORT",IF(ABS(V428)&lt;0.005,"CLEAR",IF(V428&gt;0,"UNDERBILLING","OVERBILLING")))</f>
        <v>MISSING FROM EXPORT</v>
      </c>
      <c r="Y428" s="25" t="n">
        <f aca="false">IF(F428="COMMERCIAL",ROUND(P428*0.35,2),0)</f>
        <v>84.56</v>
      </c>
      <c r="Z428" s="23" t="str">
        <f aca="false">IF(F428="COMMERCIAL","VERIFY SIGNED AGREEMENT","NO EXCEPTION")</f>
        <v>VERIFY SIGNED AGREEMENT</v>
      </c>
      <c r="AA428" s="23" t="str">
        <f aca="false">IF(AND(C428="covered",N428&gt;40),"COVERED &gt;40 FT","")</f>
        <v/>
      </c>
      <c r="AB428" s="23" t="s">
        <v>4705</v>
      </c>
      <c r="AC428" s="23" t="s">
        <v>5142</v>
      </c>
      <c r="AD428" s="23" t="s">
        <v>2807</v>
      </c>
    </row>
    <row r="429" customFormat="false" ht="17.9" hidden="false" customHeight="false" outlineLevel="0" collapsed="false">
      <c r="A429" s="20" t="s">
        <v>5143</v>
      </c>
      <c r="B429" s="20" t="s">
        <v>119</v>
      </c>
      <c r="C429" s="20" t="s">
        <v>2798</v>
      </c>
      <c r="D429" s="20" t="s">
        <v>225</v>
      </c>
      <c r="E429" s="20" t="s">
        <v>226</v>
      </c>
      <c r="F429" s="20" t="s">
        <v>2833</v>
      </c>
      <c r="G429" s="20" t="s">
        <v>4179</v>
      </c>
      <c r="H429" s="22" t="n">
        <v>51</v>
      </c>
      <c r="I429" s="22" t="n">
        <v>51</v>
      </c>
      <c r="J429" s="22" t="n">
        <f aca="false">H429-I429</f>
        <v>0</v>
      </c>
      <c r="K429" s="20" t="str">
        <f aca="false">IF(ABS(J429)&lt;0.001,"MATCH - PAPER CHECK-IN NOT SUPPLIED","DATA MISMATCH")</f>
        <v>MATCH - PAPER CHECK-IN NOT SUPPLIED</v>
      </c>
      <c r="L429" s="22" t="n">
        <v>24</v>
      </c>
      <c r="M429" s="22" t="n">
        <f aca="false">ROUNDUP(H429,0)</f>
        <v>51</v>
      </c>
      <c r="N429" s="24" t="n">
        <f aca="false">MAX(L429,M429)</f>
        <v>51</v>
      </c>
      <c r="O429" s="25" t="n">
        <v>7.55</v>
      </c>
      <c r="P429" s="25" t="n">
        <f aca="false">N429*O429</f>
        <v>385.05</v>
      </c>
      <c r="Q429" s="23"/>
      <c r="R429" s="23"/>
      <c r="S429" s="24"/>
      <c r="T429" s="25"/>
      <c r="U429" s="25" t="n">
        <v>0</v>
      </c>
      <c r="V429" s="25" t="n">
        <f aca="false">P429-U429</f>
        <v>385.05</v>
      </c>
      <c r="W429" s="25" t="n">
        <f aca="false">V429*12</f>
        <v>4620.6</v>
      </c>
      <c r="X429" s="23" t="str">
        <f aca="false">IF(Q429="","MISSING FROM EXPORT",IF(ABS(V429)&lt;0.005,"CLEAR",IF(V429&gt;0,"UNDERBILLING","OVERBILLING")))</f>
        <v>MISSING FROM EXPORT</v>
      </c>
      <c r="Y429" s="25" t="n">
        <f aca="false">IF(F429="COMMERCIAL",ROUND(P429*0.35,2),0)</f>
        <v>0</v>
      </c>
      <c r="Z429" s="23" t="str">
        <f aca="false">IF(F429="COMMERCIAL","VERIFY SIGNED AGREEMENT","NO EXCEPTION")</f>
        <v>NO EXCEPTION</v>
      </c>
      <c r="AA429" s="23" t="str">
        <f aca="false">IF(AND(C429="covered",N429&gt;40),"COVERED &gt;40 FT","")</f>
        <v/>
      </c>
      <c r="AB429" s="23" t="s">
        <v>4705</v>
      </c>
      <c r="AC429" s="23" t="s">
        <v>5144</v>
      </c>
      <c r="AD429" s="23" t="s">
        <v>2807</v>
      </c>
    </row>
    <row r="430" customFormat="false" ht="17.9" hidden="false" customHeight="false" outlineLevel="0" collapsed="false">
      <c r="A430" s="20" t="s">
        <v>5145</v>
      </c>
      <c r="B430" s="20" t="s">
        <v>119</v>
      </c>
      <c r="C430" s="20" t="s">
        <v>2798</v>
      </c>
      <c r="D430" s="20" t="s">
        <v>5146</v>
      </c>
      <c r="E430" s="20" t="s">
        <v>5147</v>
      </c>
      <c r="F430" s="20" t="s">
        <v>2833</v>
      </c>
      <c r="G430" s="20" t="s">
        <v>4184</v>
      </c>
      <c r="H430" s="22" t="n">
        <v>42.1</v>
      </c>
      <c r="I430" s="22" t="n">
        <v>42.1</v>
      </c>
      <c r="J430" s="22" t="n">
        <f aca="false">H430-I430</f>
        <v>0</v>
      </c>
      <c r="K430" s="20" t="str">
        <f aca="false">IF(ABS(J430)&lt;0.001,"MATCH - PAPER CHECK-IN NOT SUPPLIED","DATA MISMATCH")</f>
        <v>MATCH - PAPER CHECK-IN NOT SUPPLIED</v>
      </c>
      <c r="L430" s="22" t="n">
        <v>45</v>
      </c>
      <c r="M430" s="22" t="n">
        <f aca="false">ROUNDUP(H430,0)</f>
        <v>43</v>
      </c>
      <c r="N430" s="24" t="n">
        <f aca="false">MAX(L430,M430)</f>
        <v>45</v>
      </c>
      <c r="O430" s="25" t="n">
        <v>7.55</v>
      </c>
      <c r="P430" s="25" t="n">
        <f aca="false">N430*O430</f>
        <v>339.75</v>
      </c>
      <c r="Q430" s="23"/>
      <c r="R430" s="23"/>
      <c r="S430" s="24"/>
      <c r="T430" s="25"/>
      <c r="U430" s="25" t="n">
        <v>0</v>
      </c>
      <c r="V430" s="25" t="n">
        <f aca="false">P430-U430</f>
        <v>339.75</v>
      </c>
      <c r="W430" s="25" t="n">
        <f aca="false">V430*12</f>
        <v>4077</v>
      </c>
      <c r="X430" s="23" t="str">
        <f aca="false">IF(Q430="","MISSING FROM EXPORT",IF(ABS(V430)&lt;0.005,"CLEAR",IF(V430&gt;0,"UNDERBILLING","OVERBILLING")))</f>
        <v>MISSING FROM EXPORT</v>
      </c>
      <c r="Y430" s="25" t="n">
        <f aca="false">IF(F430="COMMERCIAL",ROUND(P430*0.35,2),0)</f>
        <v>0</v>
      </c>
      <c r="Z430" s="23" t="str">
        <f aca="false">IF(F430="COMMERCIAL","VERIFY SIGNED AGREEMENT","NO EXCEPTION")</f>
        <v>NO EXCEPTION</v>
      </c>
      <c r="AA430" s="23" t="str">
        <f aca="false">IF(AND(C430="covered",N430&gt;40),"COVERED &gt;40 FT","")</f>
        <v/>
      </c>
      <c r="AB430" s="23" t="s">
        <v>4705</v>
      </c>
      <c r="AC430" s="23" t="s">
        <v>5148</v>
      </c>
      <c r="AD430" s="23" t="s">
        <v>2807</v>
      </c>
    </row>
    <row r="431" customFormat="false" ht="17.9" hidden="false" customHeight="false" outlineLevel="0" collapsed="false">
      <c r="A431" s="20" t="s">
        <v>1520</v>
      </c>
      <c r="B431" s="20" t="s">
        <v>119</v>
      </c>
      <c r="C431" s="20" t="s">
        <v>2798</v>
      </c>
      <c r="D431" s="20" t="s">
        <v>5149</v>
      </c>
      <c r="E431" s="20" t="s">
        <v>5150</v>
      </c>
      <c r="F431" s="20" t="s">
        <v>2833</v>
      </c>
      <c r="G431" s="20" t="s">
        <v>5151</v>
      </c>
      <c r="H431" s="22" t="n">
        <v>19.8</v>
      </c>
      <c r="I431" s="22" t="n">
        <v>19.8</v>
      </c>
      <c r="J431" s="22" t="n">
        <f aca="false">H431-I431</f>
        <v>0</v>
      </c>
      <c r="K431" s="20" t="str">
        <f aca="false">IF(ABS(J431)&lt;0.001,"MATCH - PAPER CHECK-IN NOT SUPPLIED","DATA MISMATCH")</f>
        <v>MATCH - PAPER CHECK-IN NOT SUPPLIED</v>
      </c>
      <c r="L431" s="22" t="n">
        <v>32</v>
      </c>
      <c r="M431" s="22" t="n">
        <f aca="false">ROUNDUP(H431,0)</f>
        <v>20</v>
      </c>
      <c r="N431" s="24" t="n">
        <f aca="false">MAX(L431,M431)</f>
        <v>32</v>
      </c>
      <c r="O431" s="25" t="n">
        <v>7.55</v>
      </c>
      <c r="P431" s="25" t="n">
        <f aca="false">N431*O431</f>
        <v>241.6</v>
      </c>
      <c r="Q431" s="23"/>
      <c r="R431" s="23"/>
      <c r="S431" s="24"/>
      <c r="T431" s="25"/>
      <c r="U431" s="25" t="n">
        <v>0</v>
      </c>
      <c r="V431" s="25" t="n">
        <f aca="false">P431-U431</f>
        <v>241.6</v>
      </c>
      <c r="W431" s="25" t="n">
        <f aca="false">V431*12</f>
        <v>2899.2</v>
      </c>
      <c r="X431" s="23" t="str">
        <f aca="false">IF(Q431="","MISSING FROM EXPORT",IF(ABS(V431)&lt;0.005,"CLEAR",IF(V431&gt;0,"UNDERBILLING","OVERBILLING")))</f>
        <v>MISSING FROM EXPORT</v>
      </c>
      <c r="Y431" s="25" t="n">
        <f aca="false">IF(F431="COMMERCIAL",ROUND(P431*0.35,2),0)</f>
        <v>0</v>
      </c>
      <c r="Z431" s="23" t="str">
        <f aca="false">IF(F431="COMMERCIAL","VERIFY SIGNED AGREEMENT","NO EXCEPTION")</f>
        <v>NO EXCEPTION</v>
      </c>
      <c r="AA431" s="23" t="str">
        <f aca="false">IF(AND(C431="covered",N431&gt;40),"COVERED &gt;40 FT","")</f>
        <v/>
      </c>
      <c r="AB431" s="23" t="s">
        <v>4705</v>
      </c>
      <c r="AC431" s="23" t="s">
        <v>5152</v>
      </c>
      <c r="AD431" s="23" t="s">
        <v>2807</v>
      </c>
    </row>
    <row r="432" customFormat="false" ht="17.9" hidden="false" customHeight="false" outlineLevel="0" collapsed="false">
      <c r="A432" s="20" t="s">
        <v>5153</v>
      </c>
      <c r="B432" s="20" t="s">
        <v>119</v>
      </c>
      <c r="C432" s="20" t="s">
        <v>2798</v>
      </c>
      <c r="D432" s="20" t="s">
        <v>5154</v>
      </c>
      <c r="E432" s="20" t="s">
        <v>5155</v>
      </c>
      <c r="F432" s="20" t="s">
        <v>2818</v>
      </c>
      <c r="G432" s="20" t="s">
        <v>4189</v>
      </c>
      <c r="H432" s="22" t="n">
        <v>28.5</v>
      </c>
      <c r="I432" s="22" t="n">
        <v>28.5</v>
      </c>
      <c r="J432" s="22" t="n">
        <f aca="false">H432-I432</f>
        <v>0</v>
      </c>
      <c r="K432" s="20" t="str">
        <f aca="false">IF(ABS(J432)&lt;0.001,"MATCH - PAPER CHECK-IN NOT SUPPLIED","DATA MISMATCH")</f>
        <v>MATCH - PAPER CHECK-IN NOT SUPPLIED</v>
      </c>
      <c r="L432" s="22" t="n">
        <v>45</v>
      </c>
      <c r="M432" s="22" t="n">
        <f aca="false">ROUNDUP(H432,0)</f>
        <v>29</v>
      </c>
      <c r="N432" s="24" t="n">
        <f aca="false">MAX(L432,M432)</f>
        <v>45</v>
      </c>
      <c r="O432" s="25" t="n">
        <v>7.55</v>
      </c>
      <c r="P432" s="25" t="n">
        <f aca="false">N432*O432</f>
        <v>339.75</v>
      </c>
      <c r="Q432" s="23"/>
      <c r="R432" s="23"/>
      <c r="S432" s="24"/>
      <c r="T432" s="25"/>
      <c r="U432" s="25" t="n">
        <v>0</v>
      </c>
      <c r="V432" s="25" t="n">
        <f aca="false">P432-U432</f>
        <v>339.75</v>
      </c>
      <c r="W432" s="25" t="n">
        <f aca="false">V432*12</f>
        <v>4077</v>
      </c>
      <c r="X432" s="23" t="str">
        <f aca="false">IF(Q432="","MISSING FROM EXPORT",IF(ABS(V432)&lt;0.005,"CLEAR",IF(V432&gt;0,"UNDERBILLING","OVERBILLING")))</f>
        <v>MISSING FROM EXPORT</v>
      </c>
      <c r="Y432" s="25" t="n">
        <f aca="false">IF(F432="COMMERCIAL",ROUND(P432*0.35,2),0)</f>
        <v>0</v>
      </c>
      <c r="Z432" s="23" t="str">
        <f aca="false">IF(F432="COMMERCIAL","VERIFY SIGNED AGREEMENT","NO EXCEPTION")</f>
        <v>NO EXCEPTION</v>
      </c>
      <c r="AA432" s="23" t="str">
        <f aca="false">IF(AND(C432="covered",N432&gt;40),"COVERED &gt;40 FT","")</f>
        <v/>
      </c>
      <c r="AB432" s="23" t="s">
        <v>4705</v>
      </c>
      <c r="AC432" s="23" t="s">
        <v>5156</v>
      </c>
      <c r="AD432" s="23" t="s">
        <v>2807</v>
      </c>
    </row>
    <row r="433" customFormat="false" ht="17.9" hidden="false" customHeight="false" outlineLevel="0" collapsed="false">
      <c r="A433" s="20" t="s">
        <v>5157</v>
      </c>
      <c r="B433" s="20" t="s">
        <v>119</v>
      </c>
      <c r="C433" s="20" t="s">
        <v>2798</v>
      </c>
      <c r="D433" s="20" t="s">
        <v>5158</v>
      </c>
      <c r="E433" s="20" t="s">
        <v>5159</v>
      </c>
      <c r="F433" s="20" t="s">
        <v>2810</v>
      </c>
      <c r="G433" s="20" t="s">
        <v>4201</v>
      </c>
      <c r="H433" s="22" t="n">
        <v>35</v>
      </c>
      <c r="I433" s="22" t="n">
        <v>35</v>
      </c>
      <c r="J433" s="22" t="n">
        <f aca="false">H433-I433</f>
        <v>0</v>
      </c>
      <c r="K433" s="20" t="str">
        <f aca="false">IF(ABS(J433)&lt;0.001,"MATCH - PAPER CHECK-IN NOT SUPPLIED","DATA MISMATCH")</f>
        <v>MATCH - PAPER CHECK-IN NOT SUPPLIED</v>
      </c>
      <c r="L433" s="22" t="n">
        <v>28</v>
      </c>
      <c r="M433" s="22" t="n">
        <f aca="false">ROUNDUP(H433,0)</f>
        <v>35</v>
      </c>
      <c r="N433" s="24" t="n">
        <f aca="false">MAX(L433,M433)</f>
        <v>35</v>
      </c>
      <c r="O433" s="25" t="n">
        <v>7.55</v>
      </c>
      <c r="P433" s="25" t="n">
        <f aca="false">N433*O433</f>
        <v>264.25</v>
      </c>
      <c r="Q433" s="23"/>
      <c r="R433" s="23"/>
      <c r="S433" s="24"/>
      <c r="T433" s="25"/>
      <c r="U433" s="25" t="n">
        <v>0</v>
      </c>
      <c r="V433" s="25" t="n">
        <f aca="false">P433-U433</f>
        <v>264.25</v>
      </c>
      <c r="W433" s="25" t="n">
        <f aca="false">V433*12</f>
        <v>3171</v>
      </c>
      <c r="X433" s="23" t="str">
        <f aca="false">IF(Q433="","MISSING FROM EXPORT",IF(ABS(V433)&lt;0.005,"CLEAR",IF(V433&gt;0,"UNDERBILLING","OVERBILLING")))</f>
        <v>MISSING FROM EXPORT</v>
      </c>
      <c r="Y433" s="25" t="n">
        <f aca="false">IF(F433="COMMERCIAL",ROUND(P433*0.35,2),0)</f>
        <v>0</v>
      </c>
      <c r="Z433" s="23" t="str">
        <f aca="false">IF(F433="COMMERCIAL","VERIFY SIGNED AGREEMENT","NO EXCEPTION")</f>
        <v>NO EXCEPTION</v>
      </c>
      <c r="AA433" s="23" t="str">
        <f aca="false">IF(AND(C433="covered",N433&gt;40),"COVERED &gt;40 FT","")</f>
        <v/>
      </c>
      <c r="AB433" s="23" t="s">
        <v>4705</v>
      </c>
      <c r="AC433" s="23" t="s">
        <v>5160</v>
      </c>
      <c r="AD433" s="23" t="s">
        <v>2807</v>
      </c>
    </row>
    <row r="434" customFormat="false" ht="17.9" hidden="false" customHeight="false" outlineLevel="0" collapsed="false">
      <c r="A434" s="20" t="s">
        <v>5161</v>
      </c>
      <c r="B434" s="20" t="s">
        <v>79</v>
      </c>
      <c r="C434" s="20" t="s">
        <v>5162</v>
      </c>
      <c r="D434" s="20" t="s">
        <v>2285</v>
      </c>
      <c r="E434" s="20" t="s">
        <v>2286</v>
      </c>
      <c r="F434" s="20" t="s">
        <v>2833</v>
      </c>
      <c r="G434" s="20" t="s">
        <v>2802</v>
      </c>
      <c r="H434" s="22" t="n">
        <v>51</v>
      </c>
      <c r="I434" s="22" t="n">
        <v>51</v>
      </c>
      <c r="J434" s="22" t="n">
        <f aca="false">H434-I434</f>
        <v>0</v>
      </c>
      <c r="K434" s="20" t="str">
        <f aca="false">IF(ABS(J434)&lt;0.001,"MATCH - PAPER CHECK-IN NOT SUPPLIED","DATA MISMATCH")</f>
        <v>MATCH - PAPER CHECK-IN NOT SUPPLIED</v>
      </c>
      <c r="L434" s="22" t="n">
        <v>24</v>
      </c>
      <c r="M434" s="22" t="n">
        <f aca="false">ROUNDUP(H434,0)</f>
        <v>51</v>
      </c>
      <c r="N434" s="24" t="n">
        <f aca="false">MAX(L434,M434)</f>
        <v>51</v>
      </c>
      <c r="O434" s="25" t="n">
        <v>10.4</v>
      </c>
      <c r="P434" s="25" t="n">
        <f aca="false">N434*O434</f>
        <v>530.4</v>
      </c>
      <c r="Q434" s="23" t="s">
        <v>5163</v>
      </c>
      <c r="R434" s="23" t="s">
        <v>2804</v>
      </c>
      <c r="S434" s="24" t="n">
        <v>51</v>
      </c>
      <c r="T434" s="25" t="n">
        <v>10.4</v>
      </c>
      <c r="U434" s="25" t="n">
        <v>530.4</v>
      </c>
      <c r="V434" s="25" t="n">
        <f aca="false">P434-U434</f>
        <v>0</v>
      </c>
      <c r="W434" s="25" t="n">
        <f aca="false">V434*12</f>
        <v>0</v>
      </c>
      <c r="X434" s="23" t="str">
        <f aca="false">IF(Q434="","MISSING FROM EXPORT",IF(ABS(V434)&lt;0.005,"CLEAR",IF(V434&gt;0,"UNDERBILLING","OVERBILLING")))</f>
        <v>CLEAR</v>
      </c>
      <c r="Y434" s="25" t="n">
        <f aca="false">IF(F434="COMMERCIAL",ROUND(P434*0.35,2),0)</f>
        <v>0</v>
      </c>
      <c r="Z434" s="23" t="str">
        <f aca="false">IF(F434="COMMERCIAL","VERIFY SIGNED AGREEMENT","NO EXCEPTION")</f>
        <v>NO EXCEPTION</v>
      </c>
      <c r="AA434" s="23" t="str">
        <f aca="false">IF(AND(C434="covered",N434&gt;40),"COVERED &gt;40 FT","")</f>
        <v>COVERED &gt;40 FT</v>
      </c>
      <c r="AB434" s="23" t="s">
        <v>5164</v>
      </c>
      <c r="AC434" s="23" t="s">
        <v>5165</v>
      </c>
      <c r="AD434" s="23" t="s">
        <v>2807</v>
      </c>
    </row>
    <row r="435" customFormat="false" ht="17.9" hidden="false" customHeight="false" outlineLevel="0" collapsed="false">
      <c r="A435" s="20" t="s">
        <v>1066</v>
      </c>
      <c r="B435" s="20" t="s">
        <v>79</v>
      </c>
      <c r="C435" s="20" t="s">
        <v>5162</v>
      </c>
      <c r="D435" s="20" t="s">
        <v>5166</v>
      </c>
      <c r="E435" s="20" t="s">
        <v>5167</v>
      </c>
      <c r="F435" s="20" t="s">
        <v>2833</v>
      </c>
      <c r="G435" s="20" t="s">
        <v>2811</v>
      </c>
      <c r="H435" s="22" t="n">
        <v>21.9</v>
      </c>
      <c r="I435" s="22" t="n">
        <v>21.9</v>
      </c>
      <c r="J435" s="22" t="n">
        <f aca="false">H435-I435</f>
        <v>0</v>
      </c>
      <c r="K435" s="20" t="str">
        <f aca="false">IF(ABS(J435)&lt;0.001,"MATCH - PAPER CHECK-IN NOT SUPPLIED","DATA MISMATCH")</f>
        <v>MATCH - PAPER CHECK-IN NOT SUPPLIED</v>
      </c>
      <c r="L435" s="22" t="n">
        <v>40</v>
      </c>
      <c r="M435" s="22" t="n">
        <f aca="false">ROUNDUP(H435,0)</f>
        <v>22</v>
      </c>
      <c r="N435" s="24" t="n">
        <f aca="false">MAX(L435,M435)</f>
        <v>40</v>
      </c>
      <c r="O435" s="25" t="n">
        <v>10.4</v>
      </c>
      <c r="P435" s="25" t="n">
        <f aca="false">N435*O435</f>
        <v>416</v>
      </c>
      <c r="Q435" s="23" t="s">
        <v>5168</v>
      </c>
      <c r="R435" s="23" t="s">
        <v>2804</v>
      </c>
      <c r="S435" s="24" t="n">
        <v>40</v>
      </c>
      <c r="T435" s="25" t="n">
        <v>10.4</v>
      </c>
      <c r="U435" s="25" t="n">
        <v>416</v>
      </c>
      <c r="V435" s="25" t="n">
        <f aca="false">P435-U435</f>
        <v>0</v>
      </c>
      <c r="W435" s="25" t="n">
        <f aca="false">V435*12</f>
        <v>0</v>
      </c>
      <c r="X435" s="23" t="str">
        <f aca="false">IF(Q435="","MISSING FROM EXPORT",IF(ABS(V435)&lt;0.005,"CLEAR",IF(V435&gt;0,"UNDERBILLING","OVERBILLING")))</f>
        <v>CLEAR</v>
      </c>
      <c r="Y435" s="25" t="n">
        <f aca="false">IF(F435="COMMERCIAL",ROUND(P435*0.35,2),0)</f>
        <v>0</v>
      </c>
      <c r="Z435" s="23" t="str">
        <f aca="false">IF(F435="COMMERCIAL","VERIFY SIGNED AGREEMENT","NO EXCEPTION")</f>
        <v>NO EXCEPTION</v>
      </c>
      <c r="AA435" s="23" t="str">
        <f aca="false">IF(AND(C435="covered",N435&gt;40),"COVERED &gt;40 FT","")</f>
        <v/>
      </c>
      <c r="AB435" s="23" t="s">
        <v>5169</v>
      </c>
      <c r="AC435" s="23" t="s">
        <v>5170</v>
      </c>
      <c r="AD435" s="23" t="s">
        <v>2807</v>
      </c>
    </row>
    <row r="436" customFormat="false" ht="17.9" hidden="false" customHeight="false" outlineLevel="0" collapsed="false">
      <c r="A436" s="20" t="s">
        <v>5171</v>
      </c>
      <c r="B436" s="20" t="s">
        <v>79</v>
      </c>
      <c r="C436" s="20" t="s">
        <v>5162</v>
      </c>
      <c r="D436" s="20" t="s">
        <v>5172</v>
      </c>
      <c r="E436" s="20" t="s">
        <v>5173</v>
      </c>
      <c r="F436" s="20" t="s">
        <v>2934</v>
      </c>
      <c r="G436" s="20" t="s">
        <v>2819</v>
      </c>
      <c r="H436" s="22" t="n">
        <v>32.7</v>
      </c>
      <c r="I436" s="22" t="n">
        <v>32.7</v>
      </c>
      <c r="J436" s="22" t="n">
        <f aca="false">H436-I436</f>
        <v>0</v>
      </c>
      <c r="K436" s="20" t="str">
        <f aca="false">IF(ABS(J436)&lt;0.001,"MATCH - PAPER CHECK-IN NOT SUPPLIED","DATA MISMATCH")</f>
        <v>MATCH - PAPER CHECK-IN NOT SUPPLIED</v>
      </c>
      <c r="L436" s="22" t="n">
        <v>28</v>
      </c>
      <c r="M436" s="22" t="n">
        <f aca="false">ROUNDUP(H436,0)</f>
        <v>33</v>
      </c>
      <c r="N436" s="24" t="n">
        <f aca="false">MAX(L436,M436)</f>
        <v>33</v>
      </c>
      <c r="O436" s="25" t="n">
        <v>10.4</v>
      </c>
      <c r="P436" s="25" t="n">
        <f aca="false">N436*O436</f>
        <v>343.2</v>
      </c>
      <c r="Q436" s="23" t="s">
        <v>5174</v>
      </c>
      <c r="R436" s="23" t="s">
        <v>2804</v>
      </c>
      <c r="S436" s="24" t="n">
        <v>33</v>
      </c>
      <c r="T436" s="25" t="n">
        <v>10.4</v>
      </c>
      <c r="U436" s="25" t="n">
        <v>343.2</v>
      </c>
      <c r="V436" s="25" t="n">
        <f aca="false">P436-U436</f>
        <v>0</v>
      </c>
      <c r="W436" s="25" t="n">
        <f aca="false">V436*12</f>
        <v>0</v>
      </c>
      <c r="X436" s="23" t="str">
        <f aca="false">IF(Q436="","MISSING FROM EXPORT",IF(ABS(V436)&lt;0.005,"CLEAR",IF(V436&gt;0,"UNDERBILLING","OVERBILLING")))</f>
        <v>CLEAR</v>
      </c>
      <c r="Y436" s="25" t="n">
        <f aca="false">IF(F436="COMMERCIAL",ROUND(P436*0.35,2),0)</f>
        <v>120.12</v>
      </c>
      <c r="Z436" s="23" t="str">
        <f aca="false">IF(F436="COMMERCIAL","VERIFY SIGNED AGREEMENT","NO EXCEPTION")</f>
        <v>VERIFY SIGNED AGREEMENT</v>
      </c>
      <c r="AA436" s="23" t="str">
        <f aca="false">IF(AND(C436="covered",N436&gt;40),"COVERED &gt;40 FT","")</f>
        <v/>
      </c>
      <c r="AB436" s="23" t="s">
        <v>5175</v>
      </c>
      <c r="AC436" s="23" t="s">
        <v>5176</v>
      </c>
      <c r="AD436" s="23" t="s">
        <v>2807</v>
      </c>
    </row>
    <row r="437" customFormat="false" ht="17.9" hidden="false" customHeight="false" outlineLevel="0" collapsed="false">
      <c r="A437" s="20" t="s">
        <v>447</v>
      </c>
      <c r="B437" s="20" t="s">
        <v>79</v>
      </c>
      <c r="C437" s="20" t="s">
        <v>5162</v>
      </c>
      <c r="D437" s="20" t="s">
        <v>5177</v>
      </c>
      <c r="E437" s="20" t="s">
        <v>5178</v>
      </c>
      <c r="F437" s="20" t="s">
        <v>2934</v>
      </c>
      <c r="G437" s="20" t="s">
        <v>4226</v>
      </c>
      <c r="H437" s="22" t="n">
        <v>42.8</v>
      </c>
      <c r="I437" s="22" t="n">
        <v>42.8</v>
      </c>
      <c r="J437" s="22" t="n">
        <f aca="false">H437-I437</f>
        <v>0</v>
      </c>
      <c r="K437" s="20" t="str">
        <f aca="false">IF(ABS(J437)&lt;0.001,"MATCH - PAPER CHECK-IN NOT SUPPLIED","DATA MISMATCH")</f>
        <v>MATCH - PAPER CHECK-IN NOT SUPPLIED</v>
      </c>
      <c r="L437" s="22" t="n">
        <v>24</v>
      </c>
      <c r="M437" s="22" t="n">
        <f aca="false">ROUNDUP(H437,0)</f>
        <v>43</v>
      </c>
      <c r="N437" s="24" t="n">
        <f aca="false">MAX(L437,M437)</f>
        <v>43</v>
      </c>
      <c r="O437" s="25" t="n">
        <v>10.4</v>
      </c>
      <c r="P437" s="25" t="n">
        <f aca="false">N437*O437</f>
        <v>447.2</v>
      </c>
      <c r="Q437" s="23" t="s">
        <v>5179</v>
      </c>
      <c r="R437" s="23" t="s">
        <v>2804</v>
      </c>
      <c r="S437" s="24" t="n">
        <v>43</v>
      </c>
      <c r="T437" s="25" t="n">
        <v>10.4</v>
      </c>
      <c r="U437" s="25" t="n">
        <v>447.2</v>
      </c>
      <c r="V437" s="25" t="n">
        <f aca="false">P437-U437</f>
        <v>0</v>
      </c>
      <c r="W437" s="25" t="n">
        <f aca="false">V437*12</f>
        <v>0</v>
      </c>
      <c r="X437" s="23" t="str">
        <f aca="false">IF(Q437="","MISSING FROM EXPORT",IF(ABS(V437)&lt;0.005,"CLEAR",IF(V437&gt;0,"UNDERBILLING","OVERBILLING")))</f>
        <v>CLEAR</v>
      </c>
      <c r="Y437" s="25" t="n">
        <f aca="false">IF(F437="COMMERCIAL",ROUND(P437*0.35,2),0)</f>
        <v>156.52</v>
      </c>
      <c r="Z437" s="23" t="str">
        <f aca="false">IF(F437="COMMERCIAL","VERIFY SIGNED AGREEMENT","NO EXCEPTION")</f>
        <v>VERIFY SIGNED AGREEMENT</v>
      </c>
      <c r="AA437" s="23" t="str">
        <f aca="false">IF(AND(C437="covered",N437&gt;40),"COVERED &gt;40 FT","")</f>
        <v>COVERED &gt;40 FT</v>
      </c>
      <c r="AB437" s="23" t="s">
        <v>5180</v>
      </c>
      <c r="AC437" s="23" t="s">
        <v>5181</v>
      </c>
      <c r="AD437" s="23" t="s">
        <v>2807</v>
      </c>
    </row>
    <row r="438" customFormat="false" ht="17.9" hidden="false" customHeight="false" outlineLevel="0" collapsed="false">
      <c r="A438" s="20" t="s">
        <v>5182</v>
      </c>
      <c r="B438" s="20" t="s">
        <v>79</v>
      </c>
      <c r="C438" s="20" t="s">
        <v>5162</v>
      </c>
      <c r="D438" s="20" t="s">
        <v>5183</v>
      </c>
      <c r="E438" s="20" t="s">
        <v>5184</v>
      </c>
      <c r="F438" s="20" t="s">
        <v>2810</v>
      </c>
      <c r="G438" s="20" t="s">
        <v>2826</v>
      </c>
      <c r="H438" s="22" t="n">
        <v>39</v>
      </c>
      <c r="I438" s="22" t="n">
        <v>39</v>
      </c>
      <c r="J438" s="22" t="n">
        <f aca="false">H438-I438</f>
        <v>0</v>
      </c>
      <c r="K438" s="20" t="str">
        <f aca="false">IF(ABS(J438)&lt;0.001,"MATCH - PAPER CHECK-IN NOT SUPPLIED","DATA MISMATCH")</f>
        <v>MATCH - PAPER CHECK-IN NOT SUPPLIED</v>
      </c>
      <c r="L438" s="22" t="n">
        <v>36</v>
      </c>
      <c r="M438" s="22" t="n">
        <f aca="false">ROUNDUP(H438,0)</f>
        <v>39</v>
      </c>
      <c r="N438" s="24" t="n">
        <f aca="false">MAX(L438,M438)</f>
        <v>39</v>
      </c>
      <c r="O438" s="25" t="n">
        <v>10.4</v>
      </c>
      <c r="P438" s="25" t="n">
        <f aca="false">N438*O438</f>
        <v>405.6</v>
      </c>
      <c r="Q438" s="23" t="s">
        <v>5185</v>
      </c>
      <c r="R438" s="23" t="s">
        <v>2804</v>
      </c>
      <c r="S438" s="24" t="n">
        <v>39</v>
      </c>
      <c r="T438" s="25" t="n">
        <v>10.4</v>
      </c>
      <c r="U438" s="25" t="n">
        <v>405.6</v>
      </c>
      <c r="V438" s="25" t="n">
        <f aca="false">P438-U438</f>
        <v>0</v>
      </c>
      <c r="W438" s="25" t="n">
        <f aca="false">V438*12</f>
        <v>0</v>
      </c>
      <c r="X438" s="23" t="str">
        <f aca="false">IF(Q438="","MISSING FROM EXPORT",IF(ABS(V438)&lt;0.005,"CLEAR",IF(V438&gt;0,"UNDERBILLING","OVERBILLING")))</f>
        <v>CLEAR</v>
      </c>
      <c r="Y438" s="25" t="n">
        <f aca="false">IF(F438="COMMERCIAL",ROUND(P438*0.35,2),0)</f>
        <v>0</v>
      </c>
      <c r="Z438" s="23" t="str">
        <f aca="false">IF(F438="COMMERCIAL","VERIFY SIGNED AGREEMENT","NO EXCEPTION")</f>
        <v>NO EXCEPTION</v>
      </c>
      <c r="AA438" s="23" t="str">
        <f aca="false">IF(AND(C438="covered",N438&gt;40),"COVERED &gt;40 FT","")</f>
        <v/>
      </c>
      <c r="AB438" s="23" t="s">
        <v>5186</v>
      </c>
      <c r="AC438" s="23" t="s">
        <v>5187</v>
      </c>
      <c r="AD438" s="23" t="s">
        <v>2807</v>
      </c>
    </row>
    <row r="439" customFormat="false" ht="17.9" hidden="false" customHeight="false" outlineLevel="0" collapsed="false">
      <c r="A439" s="20" t="s">
        <v>5188</v>
      </c>
      <c r="B439" s="20" t="s">
        <v>79</v>
      </c>
      <c r="C439" s="20" t="s">
        <v>5162</v>
      </c>
      <c r="D439" s="20" t="s">
        <v>5189</v>
      </c>
      <c r="E439" s="20" t="s">
        <v>5190</v>
      </c>
      <c r="F439" s="20" t="s">
        <v>2857</v>
      </c>
      <c r="G439" s="20" t="s">
        <v>2834</v>
      </c>
      <c r="H439" s="22" t="n">
        <v>39</v>
      </c>
      <c r="I439" s="22" t="n">
        <v>39</v>
      </c>
      <c r="J439" s="22" t="n">
        <f aca="false">H439-I439</f>
        <v>0</v>
      </c>
      <c r="K439" s="20" t="str">
        <f aca="false">IF(ABS(J439)&lt;0.001,"MATCH - PAPER CHECK-IN NOT SUPPLIED","DATA MISMATCH")</f>
        <v>MATCH - PAPER CHECK-IN NOT SUPPLIED</v>
      </c>
      <c r="L439" s="22" t="n">
        <v>24</v>
      </c>
      <c r="M439" s="22" t="n">
        <f aca="false">ROUNDUP(H439,0)</f>
        <v>39</v>
      </c>
      <c r="N439" s="24" t="n">
        <f aca="false">MAX(L439,M439)</f>
        <v>39</v>
      </c>
      <c r="O439" s="25" t="n">
        <v>10.4</v>
      </c>
      <c r="P439" s="25" t="n">
        <f aca="false">N439*O439</f>
        <v>405.6</v>
      </c>
      <c r="Q439" s="23" t="s">
        <v>5191</v>
      </c>
      <c r="R439" s="23" t="s">
        <v>2804</v>
      </c>
      <c r="S439" s="24" t="n">
        <v>39</v>
      </c>
      <c r="T439" s="25" t="n">
        <v>10.4</v>
      </c>
      <c r="U439" s="25" t="n">
        <v>405.6</v>
      </c>
      <c r="V439" s="25" t="n">
        <f aca="false">P439-U439</f>
        <v>0</v>
      </c>
      <c r="W439" s="25" t="n">
        <f aca="false">V439*12</f>
        <v>0</v>
      </c>
      <c r="X439" s="23" t="str">
        <f aca="false">IF(Q439="","MISSING FROM EXPORT",IF(ABS(V439)&lt;0.005,"CLEAR",IF(V439&gt;0,"UNDERBILLING","OVERBILLING")))</f>
        <v>CLEAR</v>
      </c>
      <c r="Y439" s="25" t="n">
        <f aca="false">IF(F439="COMMERCIAL",ROUND(P439*0.35,2),0)</f>
        <v>0</v>
      </c>
      <c r="Z439" s="23" t="str">
        <f aca="false">IF(F439="COMMERCIAL","VERIFY SIGNED AGREEMENT","NO EXCEPTION")</f>
        <v>NO EXCEPTION</v>
      </c>
      <c r="AA439" s="23" t="str">
        <f aca="false">IF(AND(C439="covered",N439&gt;40),"COVERED &gt;40 FT","")</f>
        <v/>
      </c>
      <c r="AB439" s="23" t="s">
        <v>5192</v>
      </c>
      <c r="AC439" s="23" t="s">
        <v>5193</v>
      </c>
      <c r="AD439" s="23" t="s">
        <v>2807</v>
      </c>
    </row>
    <row r="440" customFormat="false" ht="17.9" hidden="false" customHeight="false" outlineLevel="0" collapsed="false">
      <c r="A440" s="20" t="s">
        <v>5194</v>
      </c>
      <c r="B440" s="20" t="s">
        <v>79</v>
      </c>
      <c r="C440" s="20" t="s">
        <v>5162</v>
      </c>
      <c r="D440" s="20" t="s">
        <v>1345</v>
      </c>
      <c r="E440" s="20" t="s">
        <v>1346</v>
      </c>
      <c r="F440" s="20" t="s">
        <v>2833</v>
      </c>
      <c r="G440" s="20" t="s">
        <v>2838</v>
      </c>
      <c r="H440" s="22" t="n">
        <v>30.4</v>
      </c>
      <c r="I440" s="22" t="n">
        <v>30.4</v>
      </c>
      <c r="J440" s="22" t="n">
        <f aca="false">H440-I440</f>
        <v>0</v>
      </c>
      <c r="K440" s="20" t="str">
        <f aca="false">IF(ABS(J440)&lt;0.001,"MATCH - PAPER CHECK-IN NOT SUPPLIED","DATA MISMATCH")</f>
        <v>MATCH - PAPER CHECK-IN NOT SUPPLIED</v>
      </c>
      <c r="L440" s="22" t="n">
        <v>24</v>
      </c>
      <c r="M440" s="22" t="n">
        <f aca="false">ROUNDUP(H440,0)</f>
        <v>31</v>
      </c>
      <c r="N440" s="24" t="n">
        <f aca="false">MAX(L440,M440)</f>
        <v>31</v>
      </c>
      <c r="O440" s="25" t="n">
        <v>10.4</v>
      </c>
      <c r="P440" s="25" t="n">
        <f aca="false">N440*O440</f>
        <v>322.4</v>
      </c>
      <c r="Q440" s="23" t="s">
        <v>5195</v>
      </c>
      <c r="R440" s="23" t="s">
        <v>2804</v>
      </c>
      <c r="S440" s="24" t="n">
        <v>31</v>
      </c>
      <c r="T440" s="25" t="n">
        <v>10.4</v>
      </c>
      <c r="U440" s="25" t="n">
        <v>322.4</v>
      </c>
      <c r="V440" s="25" t="n">
        <f aca="false">P440-U440</f>
        <v>0</v>
      </c>
      <c r="W440" s="25" t="n">
        <f aca="false">V440*12</f>
        <v>0</v>
      </c>
      <c r="X440" s="23" t="str">
        <f aca="false">IF(Q440="","MISSING FROM EXPORT",IF(ABS(V440)&lt;0.005,"CLEAR",IF(V440&gt;0,"UNDERBILLING","OVERBILLING")))</f>
        <v>CLEAR</v>
      </c>
      <c r="Y440" s="25" t="n">
        <f aca="false">IF(F440="COMMERCIAL",ROUND(P440*0.35,2),0)</f>
        <v>0</v>
      </c>
      <c r="Z440" s="23" t="str">
        <f aca="false">IF(F440="COMMERCIAL","VERIFY SIGNED AGREEMENT","NO EXCEPTION")</f>
        <v>NO EXCEPTION</v>
      </c>
      <c r="AA440" s="23" t="str">
        <f aca="false">IF(AND(C440="covered",N440&gt;40),"COVERED &gt;40 FT","")</f>
        <v/>
      </c>
      <c r="AB440" s="23" t="s">
        <v>5196</v>
      </c>
      <c r="AC440" s="23" t="s">
        <v>5197</v>
      </c>
      <c r="AD440" s="23" t="s">
        <v>2807</v>
      </c>
    </row>
    <row r="441" customFormat="false" ht="17.9" hidden="false" customHeight="false" outlineLevel="0" collapsed="false">
      <c r="A441" s="20" t="s">
        <v>5198</v>
      </c>
      <c r="B441" s="20" t="s">
        <v>79</v>
      </c>
      <c r="C441" s="20" t="s">
        <v>5162</v>
      </c>
      <c r="D441" s="20" t="s">
        <v>5199</v>
      </c>
      <c r="E441" s="20" t="s">
        <v>5200</v>
      </c>
      <c r="F441" s="20" t="s">
        <v>2833</v>
      </c>
      <c r="G441" s="20" t="s">
        <v>2845</v>
      </c>
      <c r="H441" s="22" t="n">
        <v>23.4</v>
      </c>
      <c r="I441" s="22" t="n">
        <v>23.4</v>
      </c>
      <c r="J441" s="22" t="n">
        <f aca="false">H441-I441</f>
        <v>0</v>
      </c>
      <c r="K441" s="20" t="str">
        <f aca="false">IF(ABS(J441)&lt;0.001,"MATCH - PAPER CHECK-IN NOT SUPPLIED","DATA MISMATCH")</f>
        <v>MATCH - PAPER CHECK-IN NOT SUPPLIED</v>
      </c>
      <c r="L441" s="22" t="n">
        <v>32</v>
      </c>
      <c r="M441" s="22" t="n">
        <f aca="false">ROUNDUP(H441,0)</f>
        <v>24</v>
      </c>
      <c r="N441" s="24" t="n">
        <f aca="false">MAX(L441,M441)</f>
        <v>32</v>
      </c>
      <c r="O441" s="25" t="n">
        <v>10.4</v>
      </c>
      <c r="P441" s="25" t="n">
        <f aca="false">N441*O441</f>
        <v>332.8</v>
      </c>
      <c r="Q441" s="23" t="s">
        <v>5201</v>
      </c>
      <c r="R441" s="23" t="s">
        <v>2804</v>
      </c>
      <c r="S441" s="24" t="n">
        <v>32</v>
      </c>
      <c r="T441" s="25" t="n">
        <v>10.4</v>
      </c>
      <c r="U441" s="25" t="n">
        <v>332.8</v>
      </c>
      <c r="V441" s="25" t="n">
        <f aca="false">P441-U441</f>
        <v>0</v>
      </c>
      <c r="W441" s="25" t="n">
        <f aca="false">V441*12</f>
        <v>0</v>
      </c>
      <c r="X441" s="23" t="str">
        <f aca="false">IF(Q441="","MISSING FROM EXPORT",IF(ABS(V441)&lt;0.005,"CLEAR",IF(V441&gt;0,"UNDERBILLING","OVERBILLING")))</f>
        <v>CLEAR</v>
      </c>
      <c r="Y441" s="25" t="n">
        <f aca="false">IF(F441="COMMERCIAL",ROUND(P441*0.35,2),0)</f>
        <v>0</v>
      </c>
      <c r="Z441" s="23" t="str">
        <f aca="false">IF(F441="COMMERCIAL","VERIFY SIGNED AGREEMENT","NO EXCEPTION")</f>
        <v>NO EXCEPTION</v>
      </c>
      <c r="AA441" s="23" t="str">
        <f aca="false">IF(AND(C441="covered",N441&gt;40),"COVERED &gt;40 FT","")</f>
        <v/>
      </c>
      <c r="AB441" s="23" t="s">
        <v>5202</v>
      </c>
      <c r="AC441" s="23" t="s">
        <v>5203</v>
      </c>
      <c r="AD441" s="23" t="s">
        <v>2807</v>
      </c>
    </row>
    <row r="442" customFormat="false" ht="17.9" hidden="false" customHeight="false" outlineLevel="0" collapsed="false">
      <c r="A442" s="20" t="s">
        <v>5204</v>
      </c>
      <c r="B442" s="20" t="s">
        <v>79</v>
      </c>
      <c r="C442" s="20" t="s">
        <v>5162</v>
      </c>
      <c r="D442" s="20" t="s">
        <v>5205</v>
      </c>
      <c r="E442" s="20" t="s">
        <v>5206</v>
      </c>
      <c r="F442" s="20" t="s">
        <v>2810</v>
      </c>
      <c r="G442" s="20" t="s">
        <v>2851</v>
      </c>
      <c r="H442" s="22" t="n">
        <v>20.8</v>
      </c>
      <c r="I442" s="22" t="n">
        <v>20.8</v>
      </c>
      <c r="J442" s="22" t="n">
        <f aca="false">H442-I442</f>
        <v>0</v>
      </c>
      <c r="K442" s="20" t="str">
        <f aca="false">IF(ABS(J442)&lt;0.001,"MATCH - PAPER CHECK-IN NOT SUPPLIED","DATA MISMATCH")</f>
        <v>MATCH - PAPER CHECK-IN NOT SUPPLIED</v>
      </c>
      <c r="L442" s="22" t="n">
        <v>32</v>
      </c>
      <c r="M442" s="22" t="n">
        <f aca="false">ROUNDUP(H442,0)</f>
        <v>21</v>
      </c>
      <c r="N442" s="24" t="n">
        <f aca="false">MAX(L442,M442)</f>
        <v>32</v>
      </c>
      <c r="O442" s="25" t="n">
        <v>10.4</v>
      </c>
      <c r="P442" s="25" t="n">
        <f aca="false">N442*O442</f>
        <v>332.8</v>
      </c>
      <c r="Q442" s="23" t="s">
        <v>5207</v>
      </c>
      <c r="R442" s="23" t="s">
        <v>2804</v>
      </c>
      <c r="S442" s="24" t="n">
        <v>32</v>
      </c>
      <c r="T442" s="25" t="n">
        <v>10.4</v>
      </c>
      <c r="U442" s="25" t="n">
        <v>332.8</v>
      </c>
      <c r="V442" s="25" t="n">
        <f aca="false">P442-U442</f>
        <v>0</v>
      </c>
      <c r="W442" s="25" t="n">
        <f aca="false">V442*12</f>
        <v>0</v>
      </c>
      <c r="X442" s="23" t="str">
        <f aca="false">IF(Q442="","MISSING FROM EXPORT",IF(ABS(V442)&lt;0.005,"CLEAR",IF(V442&gt;0,"UNDERBILLING","OVERBILLING")))</f>
        <v>CLEAR</v>
      </c>
      <c r="Y442" s="25" t="n">
        <f aca="false">IF(F442="COMMERCIAL",ROUND(P442*0.35,2),0)</f>
        <v>0</v>
      </c>
      <c r="Z442" s="23" t="str">
        <f aca="false">IF(F442="COMMERCIAL","VERIFY SIGNED AGREEMENT","NO EXCEPTION")</f>
        <v>NO EXCEPTION</v>
      </c>
      <c r="AA442" s="23" t="str">
        <f aca="false">IF(AND(C442="covered",N442&gt;40),"COVERED &gt;40 FT","")</f>
        <v/>
      </c>
      <c r="AB442" s="23" t="s">
        <v>5208</v>
      </c>
      <c r="AC442" s="23" t="s">
        <v>5209</v>
      </c>
      <c r="AD442" s="23" t="s">
        <v>2807</v>
      </c>
    </row>
    <row r="443" customFormat="false" ht="17.9" hidden="false" customHeight="false" outlineLevel="0" collapsed="false">
      <c r="A443" s="20" t="s">
        <v>5210</v>
      </c>
      <c r="B443" s="20" t="s">
        <v>79</v>
      </c>
      <c r="C443" s="20" t="s">
        <v>5162</v>
      </c>
      <c r="D443" s="20" t="s">
        <v>5211</v>
      </c>
      <c r="E443" s="20" t="s">
        <v>5212</v>
      </c>
      <c r="F443" s="20" t="s">
        <v>2833</v>
      </c>
      <c r="G443" s="20" t="s">
        <v>2858</v>
      </c>
      <c r="H443" s="22" t="n">
        <v>26</v>
      </c>
      <c r="I443" s="22" t="n">
        <v>26</v>
      </c>
      <c r="J443" s="22" t="n">
        <f aca="false">H443-I443</f>
        <v>0</v>
      </c>
      <c r="K443" s="20" t="str">
        <f aca="false">IF(ABS(J443)&lt;0.001,"MATCH - PAPER CHECK-IN NOT SUPPLIED","DATA MISMATCH")</f>
        <v>MATCH - PAPER CHECK-IN NOT SUPPLIED</v>
      </c>
      <c r="L443" s="22" t="n">
        <v>28</v>
      </c>
      <c r="M443" s="22" t="n">
        <f aca="false">ROUNDUP(H443,0)</f>
        <v>26</v>
      </c>
      <c r="N443" s="24" t="n">
        <f aca="false">MAX(L443,M443)</f>
        <v>28</v>
      </c>
      <c r="O443" s="25" t="n">
        <v>10.4</v>
      </c>
      <c r="P443" s="25" t="n">
        <f aca="false">N443*O443</f>
        <v>291.2</v>
      </c>
      <c r="Q443" s="23" t="s">
        <v>5213</v>
      </c>
      <c r="R443" s="23" t="s">
        <v>2804</v>
      </c>
      <c r="S443" s="24" t="n">
        <v>28</v>
      </c>
      <c r="T443" s="25" t="n">
        <v>10.4</v>
      </c>
      <c r="U443" s="25" t="n">
        <v>291.2</v>
      </c>
      <c r="V443" s="25" t="n">
        <f aca="false">P443-U443</f>
        <v>0</v>
      </c>
      <c r="W443" s="25" t="n">
        <f aca="false">V443*12</f>
        <v>0</v>
      </c>
      <c r="X443" s="23" t="str">
        <f aca="false">IF(Q443="","MISSING FROM EXPORT",IF(ABS(V443)&lt;0.005,"CLEAR",IF(V443&gt;0,"UNDERBILLING","OVERBILLING")))</f>
        <v>CLEAR</v>
      </c>
      <c r="Y443" s="25" t="n">
        <f aca="false">IF(F443="COMMERCIAL",ROUND(P443*0.35,2),0)</f>
        <v>0</v>
      </c>
      <c r="Z443" s="23" t="str">
        <f aca="false">IF(F443="COMMERCIAL","VERIFY SIGNED AGREEMENT","NO EXCEPTION")</f>
        <v>NO EXCEPTION</v>
      </c>
      <c r="AA443" s="23" t="str">
        <f aca="false">IF(AND(C443="covered",N443&gt;40),"COVERED &gt;40 FT","")</f>
        <v/>
      </c>
      <c r="AB443" s="23" t="s">
        <v>5214</v>
      </c>
      <c r="AC443" s="23" t="s">
        <v>5215</v>
      </c>
      <c r="AD443" s="23" t="s">
        <v>2807</v>
      </c>
    </row>
    <row r="444" customFormat="false" ht="17.9" hidden="false" customHeight="false" outlineLevel="0" collapsed="false">
      <c r="A444" s="20" t="s">
        <v>5216</v>
      </c>
      <c r="B444" s="20" t="s">
        <v>79</v>
      </c>
      <c r="C444" s="20" t="s">
        <v>5162</v>
      </c>
      <c r="D444" s="20" t="s">
        <v>770</v>
      </c>
      <c r="E444" s="20" t="s">
        <v>771</v>
      </c>
      <c r="F444" s="20" t="s">
        <v>2833</v>
      </c>
      <c r="G444" s="20" t="s">
        <v>2862</v>
      </c>
      <c r="H444" s="22" t="n">
        <v>53.5</v>
      </c>
      <c r="I444" s="22" t="n">
        <v>53.5</v>
      </c>
      <c r="J444" s="22" t="n">
        <f aca="false">H444-I444</f>
        <v>0</v>
      </c>
      <c r="K444" s="20" t="str">
        <f aca="false">IF(ABS(J444)&lt;0.001,"MATCH - PAPER CHECK-IN NOT SUPPLIED","DATA MISMATCH")</f>
        <v>MATCH - PAPER CHECK-IN NOT SUPPLIED</v>
      </c>
      <c r="L444" s="22" t="n">
        <v>40</v>
      </c>
      <c r="M444" s="22" t="n">
        <f aca="false">ROUNDUP(H444,0)</f>
        <v>54</v>
      </c>
      <c r="N444" s="24" t="n">
        <f aca="false">MAX(L444,M444)</f>
        <v>54</v>
      </c>
      <c r="O444" s="25" t="n">
        <v>10.4</v>
      </c>
      <c r="P444" s="25" t="n">
        <f aca="false">N444*O444</f>
        <v>561.6</v>
      </c>
      <c r="Q444" s="23" t="s">
        <v>5217</v>
      </c>
      <c r="R444" s="23" t="s">
        <v>2804</v>
      </c>
      <c r="S444" s="24" t="n">
        <v>54</v>
      </c>
      <c r="T444" s="25" t="n">
        <v>10.4</v>
      </c>
      <c r="U444" s="25" t="n">
        <v>561.6</v>
      </c>
      <c r="V444" s="25" t="n">
        <f aca="false">P444-U444</f>
        <v>0</v>
      </c>
      <c r="W444" s="25" t="n">
        <f aca="false">V444*12</f>
        <v>0</v>
      </c>
      <c r="X444" s="23" t="str">
        <f aca="false">IF(Q444="","MISSING FROM EXPORT",IF(ABS(V444)&lt;0.005,"CLEAR",IF(V444&gt;0,"UNDERBILLING","OVERBILLING")))</f>
        <v>CLEAR</v>
      </c>
      <c r="Y444" s="25" t="n">
        <f aca="false">IF(F444="COMMERCIAL",ROUND(P444*0.35,2),0)</f>
        <v>0</v>
      </c>
      <c r="Z444" s="23" t="str">
        <f aca="false">IF(F444="COMMERCIAL","VERIFY SIGNED AGREEMENT","NO EXCEPTION")</f>
        <v>NO EXCEPTION</v>
      </c>
      <c r="AA444" s="23" t="str">
        <f aca="false">IF(AND(C444="covered",N444&gt;40),"COVERED &gt;40 FT","")</f>
        <v>COVERED &gt;40 FT</v>
      </c>
      <c r="AB444" s="23" t="s">
        <v>5218</v>
      </c>
      <c r="AC444" s="23" t="s">
        <v>5219</v>
      </c>
      <c r="AD444" s="23" t="s">
        <v>2807</v>
      </c>
    </row>
    <row r="445" customFormat="false" ht="17.9" hidden="false" customHeight="false" outlineLevel="0" collapsed="false">
      <c r="A445" s="20" t="s">
        <v>301</v>
      </c>
      <c r="B445" s="20" t="s">
        <v>79</v>
      </c>
      <c r="C445" s="20" t="s">
        <v>5162</v>
      </c>
      <c r="D445" s="20" t="s">
        <v>5220</v>
      </c>
      <c r="E445" s="20" t="s">
        <v>2204</v>
      </c>
      <c r="F445" s="20" t="s">
        <v>2898</v>
      </c>
      <c r="G445" s="20" t="s">
        <v>2877</v>
      </c>
      <c r="H445" s="22" t="n">
        <v>26</v>
      </c>
      <c r="I445" s="22" t="n">
        <v>26</v>
      </c>
      <c r="J445" s="22" t="n">
        <f aca="false">H445-I445</f>
        <v>0</v>
      </c>
      <c r="K445" s="20" t="str">
        <f aca="false">IF(ABS(J445)&lt;0.001,"MATCH - PAPER CHECK-IN NOT SUPPLIED","DATA MISMATCH")</f>
        <v>MATCH - PAPER CHECK-IN NOT SUPPLIED</v>
      </c>
      <c r="L445" s="22" t="n">
        <v>36</v>
      </c>
      <c r="M445" s="22" t="n">
        <f aca="false">ROUNDUP(H445,0)</f>
        <v>26</v>
      </c>
      <c r="N445" s="24" t="n">
        <f aca="false">MAX(L445,M445)</f>
        <v>36</v>
      </c>
      <c r="O445" s="25" t="n">
        <v>10.4</v>
      </c>
      <c r="P445" s="25" t="n">
        <f aca="false">N445*O445</f>
        <v>374.4</v>
      </c>
      <c r="Q445" s="23" t="s">
        <v>5221</v>
      </c>
      <c r="R445" s="23" t="s">
        <v>2804</v>
      </c>
      <c r="S445" s="24" t="n">
        <v>36</v>
      </c>
      <c r="T445" s="25" t="n">
        <v>10.4</v>
      </c>
      <c r="U445" s="25" t="n">
        <v>374.4</v>
      </c>
      <c r="V445" s="25" t="n">
        <f aca="false">P445-U445</f>
        <v>0</v>
      </c>
      <c r="W445" s="25" t="n">
        <f aca="false">V445*12</f>
        <v>0</v>
      </c>
      <c r="X445" s="23" t="str">
        <f aca="false">IF(Q445="","MISSING FROM EXPORT",IF(ABS(V445)&lt;0.005,"CLEAR",IF(V445&gt;0,"UNDERBILLING","OVERBILLING")))</f>
        <v>CLEAR</v>
      </c>
      <c r="Y445" s="25" t="n">
        <f aca="false">IF(F445="COMMERCIAL",ROUND(P445*0.35,2),0)</f>
        <v>0</v>
      </c>
      <c r="Z445" s="23" t="str">
        <f aca="false">IF(F445="COMMERCIAL","VERIFY SIGNED AGREEMENT","NO EXCEPTION")</f>
        <v>NO EXCEPTION</v>
      </c>
      <c r="AA445" s="23" t="str">
        <f aca="false">IF(AND(C445="covered",N445&gt;40),"COVERED &gt;40 FT","")</f>
        <v/>
      </c>
      <c r="AB445" s="23" t="s">
        <v>5222</v>
      </c>
      <c r="AC445" s="23" t="s">
        <v>5223</v>
      </c>
      <c r="AD445" s="23" t="s">
        <v>2807</v>
      </c>
    </row>
    <row r="446" customFormat="false" ht="17.9" hidden="false" customHeight="false" outlineLevel="0" collapsed="false">
      <c r="A446" s="20" t="s">
        <v>622</v>
      </c>
      <c r="B446" s="20" t="s">
        <v>79</v>
      </c>
      <c r="C446" s="20" t="s">
        <v>5162</v>
      </c>
      <c r="D446" s="20" t="s">
        <v>5224</v>
      </c>
      <c r="E446" s="20" t="s">
        <v>5225</v>
      </c>
      <c r="F446" s="20" t="s">
        <v>2833</v>
      </c>
      <c r="G446" s="20" t="s">
        <v>2884</v>
      </c>
      <c r="H446" s="22" t="n">
        <v>28.2</v>
      </c>
      <c r="I446" s="22" t="n">
        <v>28.2</v>
      </c>
      <c r="J446" s="22" t="n">
        <f aca="false">H446-I446</f>
        <v>0</v>
      </c>
      <c r="K446" s="20" t="str">
        <f aca="false">IF(ABS(J446)&lt;0.001,"MATCH - PAPER CHECK-IN NOT SUPPLIED","DATA MISMATCH")</f>
        <v>MATCH - PAPER CHECK-IN NOT SUPPLIED</v>
      </c>
      <c r="L446" s="22" t="n">
        <v>24</v>
      </c>
      <c r="M446" s="22" t="n">
        <f aca="false">ROUNDUP(H446,0)</f>
        <v>29</v>
      </c>
      <c r="N446" s="24" t="n">
        <f aca="false">MAX(L446,M446)</f>
        <v>29</v>
      </c>
      <c r="O446" s="25" t="n">
        <v>10.4</v>
      </c>
      <c r="P446" s="25" t="n">
        <f aca="false">N446*O446</f>
        <v>301.6</v>
      </c>
      <c r="Q446" s="23" t="s">
        <v>5226</v>
      </c>
      <c r="R446" s="23" t="s">
        <v>2804</v>
      </c>
      <c r="S446" s="24" t="n">
        <v>29</v>
      </c>
      <c r="T446" s="25" t="n">
        <v>10.4</v>
      </c>
      <c r="U446" s="25" t="n">
        <v>301.6</v>
      </c>
      <c r="V446" s="25" t="n">
        <f aca="false">P446-U446</f>
        <v>0</v>
      </c>
      <c r="W446" s="25" t="n">
        <f aca="false">V446*12</f>
        <v>0</v>
      </c>
      <c r="X446" s="23" t="str">
        <f aca="false">IF(Q446="","MISSING FROM EXPORT",IF(ABS(V446)&lt;0.005,"CLEAR",IF(V446&gt;0,"UNDERBILLING","OVERBILLING")))</f>
        <v>CLEAR</v>
      </c>
      <c r="Y446" s="25" t="n">
        <f aca="false">IF(F446="COMMERCIAL",ROUND(P446*0.35,2),0)</f>
        <v>0</v>
      </c>
      <c r="Z446" s="23" t="str">
        <f aca="false">IF(F446="COMMERCIAL","VERIFY SIGNED AGREEMENT","NO EXCEPTION")</f>
        <v>NO EXCEPTION</v>
      </c>
      <c r="AA446" s="23" t="str">
        <f aca="false">IF(AND(C446="covered",N446&gt;40),"COVERED &gt;40 FT","")</f>
        <v/>
      </c>
      <c r="AB446" s="23" t="s">
        <v>5227</v>
      </c>
      <c r="AC446" s="23" t="s">
        <v>5228</v>
      </c>
      <c r="AD446" s="23" t="s">
        <v>2807</v>
      </c>
    </row>
    <row r="447" customFormat="false" ht="17.9" hidden="false" customHeight="false" outlineLevel="0" collapsed="false">
      <c r="A447" s="20" t="s">
        <v>5229</v>
      </c>
      <c r="B447" s="20" t="s">
        <v>79</v>
      </c>
      <c r="C447" s="20" t="s">
        <v>5162</v>
      </c>
      <c r="D447" s="20" t="s">
        <v>5230</v>
      </c>
      <c r="E447" s="20" t="s">
        <v>5231</v>
      </c>
      <c r="F447" s="20" t="s">
        <v>2833</v>
      </c>
      <c r="G447" s="20" t="s">
        <v>2891</v>
      </c>
      <c r="H447" s="22" t="n">
        <v>18.8</v>
      </c>
      <c r="I447" s="22" t="n">
        <v>18.8</v>
      </c>
      <c r="J447" s="22" t="n">
        <f aca="false">H447-I447</f>
        <v>0</v>
      </c>
      <c r="K447" s="20" t="str">
        <f aca="false">IF(ABS(J447)&lt;0.001,"MATCH - PAPER CHECK-IN NOT SUPPLIED","DATA MISMATCH")</f>
        <v>MATCH - PAPER CHECK-IN NOT SUPPLIED</v>
      </c>
      <c r="L447" s="22" t="n">
        <v>28</v>
      </c>
      <c r="M447" s="22" t="n">
        <f aca="false">ROUNDUP(H447,0)</f>
        <v>19</v>
      </c>
      <c r="N447" s="24" t="n">
        <f aca="false">MAX(L447,M447)</f>
        <v>28</v>
      </c>
      <c r="O447" s="25" t="n">
        <v>10.4</v>
      </c>
      <c r="P447" s="25" t="n">
        <f aca="false">N447*O447</f>
        <v>291.2</v>
      </c>
      <c r="Q447" s="23" t="s">
        <v>5232</v>
      </c>
      <c r="R447" s="23" t="s">
        <v>2804</v>
      </c>
      <c r="S447" s="24" t="n">
        <v>28</v>
      </c>
      <c r="T447" s="25" t="n">
        <v>10.4</v>
      </c>
      <c r="U447" s="25" t="n">
        <v>291.2</v>
      </c>
      <c r="V447" s="25" t="n">
        <f aca="false">P447-U447</f>
        <v>0</v>
      </c>
      <c r="W447" s="25" t="n">
        <f aca="false">V447*12</f>
        <v>0</v>
      </c>
      <c r="X447" s="23" t="str">
        <f aca="false">IF(Q447="","MISSING FROM EXPORT",IF(ABS(V447)&lt;0.005,"CLEAR",IF(V447&gt;0,"UNDERBILLING","OVERBILLING")))</f>
        <v>CLEAR</v>
      </c>
      <c r="Y447" s="25" t="n">
        <f aca="false">IF(F447="COMMERCIAL",ROUND(P447*0.35,2),0)</f>
        <v>0</v>
      </c>
      <c r="Z447" s="23" t="str">
        <f aca="false">IF(F447="COMMERCIAL","VERIFY SIGNED AGREEMENT","NO EXCEPTION")</f>
        <v>NO EXCEPTION</v>
      </c>
      <c r="AA447" s="23" t="str">
        <f aca="false">IF(AND(C447="covered",N447&gt;40),"COVERED &gt;40 FT","")</f>
        <v/>
      </c>
      <c r="AB447" s="23" t="s">
        <v>5233</v>
      </c>
      <c r="AC447" s="23" t="s">
        <v>5234</v>
      </c>
      <c r="AD447" s="23" t="s">
        <v>2807</v>
      </c>
    </row>
    <row r="448" customFormat="false" ht="17.9" hidden="false" customHeight="false" outlineLevel="0" collapsed="false">
      <c r="A448" s="20" t="s">
        <v>5235</v>
      </c>
      <c r="B448" s="20" t="s">
        <v>79</v>
      </c>
      <c r="C448" s="20" t="s">
        <v>5162</v>
      </c>
      <c r="D448" s="20" t="s">
        <v>2507</v>
      </c>
      <c r="E448" s="20" t="s">
        <v>2508</v>
      </c>
      <c r="F448" s="20" t="s">
        <v>2833</v>
      </c>
      <c r="G448" s="20" t="s">
        <v>2899</v>
      </c>
      <c r="H448" s="22" t="n">
        <v>19.2</v>
      </c>
      <c r="I448" s="22" t="n">
        <v>19.2</v>
      </c>
      <c r="J448" s="22" t="n">
        <f aca="false">H448-I448</f>
        <v>0</v>
      </c>
      <c r="K448" s="20" t="str">
        <f aca="false">IF(ABS(J448)&lt;0.001,"MATCH - PAPER CHECK-IN NOT SUPPLIED","DATA MISMATCH")</f>
        <v>MATCH - PAPER CHECK-IN NOT SUPPLIED</v>
      </c>
      <c r="L448" s="22" t="n">
        <v>28</v>
      </c>
      <c r="M448" s="22" t="n">
        <f aca="false">ROUNDUP(H448,0)</f>
        <v>20</v>
      </c>
      <c r="N448" s="24" t="n">
        <f aca="false">MAX(L448,M448)</f>
        <v>28</v>
      </c>
      <c r="O448" s="25" t="n">
        <v>10.4</v>
      </c>
      <c r="P448" s="25" t="n">
        <f aca="false">N448*O448</f>
        <v>291.2</v>
      </c>
      <c r="Q448" s="23" t="s">
        <v>5236</v>
      </c>
      <c r="R448" s="23" t="s">
        <v>2804</v>
      </c>
      <c r="S448" s="24" t="n">
        <v>28</v>
      </c>
      <c r="T448" s="25" t="n">
        <v>10.4</v>
      </c>
      <c r="U448" s="25" t="n">
        <v>291.2</v>
      </c>
      <c r="V448" s="25" t="n">
        <f aca="false">P448-U448</f>
        <v>0</v>
      </c>
      <c r="W448" s="25" t="n">
        <f aca="false">V448*12</f>
        <v>0</v>
      </c>
      <c r="X448" s="23" t="str">
        <f aca="false">IF(Q448="","MISSING FROM EXPORT",IF(ABS(V448)&lt;0.005,"CLEAR",IF(V448&gt;0,"UNDERBILLING","OVERBILLING")))</f>
        <v>CLEAR</v>
      </c>
      <c r="Y448" s="25" t="n">
        <f aca="false">IF(F448="COMMERCIAL",ROUND(P448*0.35,2),0)</f>
        <v>0</v>
      </c>
      <c r="Z448" s="23" t="str">
        <f aca="false">IF(F448="COMMERCIAL","VERIFY SIGNED AGREEMENT","NO EXCEPTION")</f>
        <v>NO EXCEPTION</v>
      </c>
      <c r="AA448" s="23" t="str">
        <f aca="false">IF(AND(C448="covered",N448&gt;40),"COVERED &gt;40 FT","")</f>
        <v/>
      </c>
      <c r="AB448" s="23" t="s">
        <v>5237</v>
      </c>
      <c r="AC448" s="23" t="s">
        <v>5238</v>
      </c>
      <c r="AD448" s="23" t="s">
        <v>2807</v>
      </c>
    </row>
    <row r="449" customFormat="false" ht="17.9" hidden="false" customHeight="false" outlineLevel="0" collapsed="false">
      <c r="A449" s="20" t="s">
        <v>5239</v>
      </c>
      <c r="B449" s="20" t="s">
        <v>79</v>
      </c>
      <c r="C449" s="20" t="s">
        <v>5162</v>
      </c>
      <c r="D449" s="20" t="s">
        <v>2084</v>
      </c>
      <c r="E449" s="20" t="s">
        <v>2085</v>
      </c>
      <c r="F449" s="20" t="s">
        <v>2857</v>
      </c>
      <c r="G449" s="20" t="s">
        <v>4296</v>
      </c>
      <c r="H449" s="22" t="n">
        <v>28.7</v>
      </c>
      <c r="I449" s="22" t="n">
        <v>28.7</v>
      </c>
      <c r="J449" s="22" t="n">
        <f aca="false">H449-I449</f>
        <v>0</v>
      </c>
      <c r="K449" s="20" t="str">
        <f aca="false">IF(ABS(J449)&lt;0.001,"MATCH - PAPER CHECK-IN NOT SUPPLIED","DATA MISMATCH")</f>
        <v>MATCH - PAPER CHECK-IN NOT SUPPLIED</v>
      </c>
      <c r="L449" s="22" t="n">
        <v>32</v>
      </c>
      <c r="M449" s="22" t="n">
        <f aca="false">ROUNDUP(H449,0)</f>
        <v>29</v>
      </c>
      <c r="N449" s="24" t="n">
        <f aca="false">MAX(L449,M449)</f>
        <v>32</v>
      </c>
      <c r="O449" s="25" t="n">
        <v>10.4</v>
      </c>
      <c r="P449" s="25" t="n">
        <f aca="false">N449*O449</f>
        <v>332.8</v>
      </c>
      <c r="Q449" s="23" t="s">
        <v>5240</v>
      </c>
      <c r="R449" s="23" t="s">
        <v>2804</v>
      </c>
      <c r="S449" s="24" t="n">
        <v>32</v>
      </c>
      <c r="T449" s="25" t="n">
        <v>10.4</v>
      </c>
      <c r="U449" s="25" t="n">
        <v>332.8</v>
      </c>
      <c r="V449" s="25" t="n">
        <f aca="false">P449-U449</f>
        <v>0</v>
      </c>
      <c r="W449" s="25" t="n">
        <f aca="false">V449*12</f>
        <v>0</v>
      </c>
      <c r="X449" s="23" t="str">
        <f aca="false">IF(Q449="","MISSING FROM EXPORT",IF(ABS(V449)&lt;0.005,"CLEAR",IF(V449&gt;0,"UNDERBILLING","OVERBILLING")))</f>
        <v>CLEAR</v>
      </c>
      <c r="Y449" s="25" t="n">
        <f aca="false">IF(F449="COMMERCIAL",ROUND(P449*0.35,2),0)</f>
        <v>0</v>
      </c>
      <c r="Z449" s="23" t="str">
        <f aca="false">IF(F449="COMMERCIAL","VERIFY SIGNED AGREEMENT","NO EXCEPTION")</f>
        <v>NO EXCEPTION</v>
      </c>
      <c r="AA449" s="23" t="str">
        <f aca="false">IF(AND(C449="covered",N449&gt;40),"COVERED &gt;40 FT","")</f>
        <v/>
      </c>
      <c r="AB449" s="23" t="s">
        <v>5241</v>
      </c>
      <c r="AC449" s="23" t="s">
        <v>5242</v>
      </c>
      <c r="AD449" s="23" t="s">
        <v>2807</v>
      </c>
    </row>
    <row r="450" customFormat="false" ht="17.9" hidden="false" customHeight="false" outlineLevel="0" collapsed="false">
      <c r="A450" s="20" t="s">
        <v>5243</v>
      </c>
      <c r="B450" s="20" t="s">
        <v>79</v>
      </c>
      <c r="C450" s="20" t="s">
        <v>5162</v>
      </c>
      <c r="D450" s="20" t="s">
        <v>5244</v>
      </c>
      <c r="E450" s="20" t="s">
        <v>5245</v>
      </c>
      <c r="F450" s="20" t="s">
        <v>2833</v>
      </c>
      <c r="G450" s="20" t="s">
        <v>2903</v>
      </c>
      <c r="H450" s="22" t="n">
        <v>22.1</v>
      </c>
      <c r="I450" s="22" t="n">
        <v>22.1</v>
      </c>
      <c r="J450" s="22" t="n">
        <f aca="false">H450-I450</f>
        <v>0</v>
      </c>
      <c r="K450" s="20" t="str">
        <f aca="false">IF(ABS(J450)&lt;0.001,"MATCH - PAPER CHECK-IN NOT SUPPLIED","DATA MISMATCH")</f>
        <v>MATCH - PAPER CHECK-IN NOT SUPPLIED</v>
      </c>
      <c r="L450" s="22" t="n">
        <v>24</v>
      </c>
      <c r="M450" s="22" t="n">
        <f aca="false">ROUNDUP(H450,0)</f>
        <v>23</v>
      </c>
      <c r="N450" s="24" t="n">
        <f aca="false">MAX(L450,M450)</f>
        <v>24</v>
      </c>
      <c r="O450" s="25" t="n">
        <v>10.4</v>
      </c>
      <c r="P450" s="25" t="n">
        <f aca="false">N450*O450</f>
        <v>249.6</v>
      </c>
      <c r="Q450" s="23" t="s">
        <v>5246</v>
      </c>
      <c r="R450" s="23" t="s">
        <v>2804</v>
      </c>
      <c r="S450" s="24" t="n">
        <v>24</v>
      </c>
      <c r="T450" s="25" t="n">
        <v>10.4</v>
      </c>
      <c r="U450" s="25" t="n">
        <v>249.6</v>
      </c>
      <c r="V450" s="25" t="n">
        <f aca="false">P450-U450</f>
        <v>0</v>
      </c>
      <c r="W450" s="25" t="n">
        <f aca="false">V450*12</f>
        <v>0</v>
      </c>
      <c r="X450" s="23" t="str">
        <f aca="false">IF(Q450="","MISSING FROM EXPORT",IF(ABS(V450)&lt;0.005,"CLEAR",IF(V450&gt;0,"UNDERBILLING","OVERBILLING")))</f>
        <v>CLEAR</v>
      </c>
      <c r="Y450" s="25" t="n">
        <f aca="false">IF(F450="COMMERCIAL",ROUND(P450*0.35,2),0)</f>
        <v>0</v>
      </c>
      <c r="Z450" s="23" t="str">
        <f aca="false">IF(F450="COMMERCIAL","VERIFY SIGNED AGREEMENT","NO EXCEPTION")</f>
        <v>NO EXCEPTION</v>
      </c>
      <c r="AA450" s="23" t="str">
        <f aca="false">IF(AND(C450="covered",N450&gt;40),"COVERED &gt;40 FT","")</f>
        <v/>
      </c>
      <c r="AB450" s="23" t="s">
        <v>5247</v>
      </c>
      <c r="AC450" s="23" t="s">
        <v>5248</v>
      </c>
      <c r="AD450" s="23" t="s">
        <v>2807</v>
      </c>
    </row>
    <row r="451" customFormat="false" ht="17.9" hidden="false" customHeight="false" outlineLevel="0" collapsed="false">
      <c r="A451" s="20" t="s">
        <v>5249</v>
      </c>
      <c r="B451" s="20" t="s">
        <v>79</v>
      </c>
      <c r="C451" s="20" t="s">
        <v>5162</v>
      </c>
      <c r="D451" s="20" t="s">
        <v>5250</v>
      </c>
      <c r="E451" s="20" t="s">
        <v>5251</v>
      </c>
      <c r="F451" s="20" t="s">
        <v>2818</v>
      </c>
      <c r="G451" s="20" t="s">
        <v>2907</v>
      </c>
      <c r="H451" s="22" t="n">
        <v>43.5</v>
      </c>
      <c r="I451" s="22" t="n">
        <v>43.5</v>
      </c>
      <c r="J451" s="22" t="n">
        <f aca="false">H451-I451</f>
        <v>0</v>
      </c>
      <c r="K451" s="20" t="str">
        <f aca="false">IF(ABS(J451)&lt;0.001,"MATCH - PAPER CHECK-IN NOT SUPPLIED","DATA MISMATCH")</f>
        <v>MATCH - PAPER CHECK-IN NOT SUPPLIED</v>
      </c>
      <c r="L451" s="22" t="n">
        <v>24</v>
      </c>
      <c r="M451" s="22" t="n">
        <f aca="false">ROUNDUP(H451,0)</f>
        <v>44</v>
      </c>
      <c r="N451" s="24" t="n">
        <f aca="false">MAX(L451,M451)</f>
        <v>44</v>
      </c>
      <c r="O451" s="25" t="n">
        <v>10.4</v>
      </c>
      <c r="P451" s="25" t="n">
        <f aca="false">N451*O451</f>
        <v>457.6</v>
      </c>
      <c r="Q451" s="23" t="s">
        <v>5252</v>
      </c>
      <c r="R451" s="23" t="s">
        <v>2804</v>
      </c>
      <c r="S451" s="24" t="n">
        <v>44</v>
      </c>
      <c r="T451" s="25" t="n">
        <v>10.4</v>
      </c>
      <c r="U451" s="25" t="n">
        <v>457.6</v>
      </c>
      <c r="V451" s="25" t="n">
        <f aca="false">P451-U451</f>
        <v>0</v>
      </c>
      <c r="W451" s="25" t="n">
        <f aca="false">V451*12</f>
        <v>0</v>
      </c>
      <c r="X451" s="23" t="str">
        <f aca="false">IF(Q451="","MISSING FROM EXPORT",IF(ABS(V451)&lt;0.005,"CLEAR",IF(V451&gt;0,"UNDERBILLING","OVERBILLING")))</f>
        <v>CLEAR</v>
      </c>
      <c r="Y451" s="25" t="n">
        <f aca="false">IF(F451="COMMERCIAL",ROUND(P451*0.35,2),0)</f>
        <v>0</v>
      </c>
      <c r="Z451" s="23" t="str">
        <f aca="false">IF(F451="COMMERCIAL","VERIFY SIGNED AGREEMENT","NO EXCEPTION")</f>
        <v>NO EXCEPTION</v>
      </c>
      <c r="AA451" s="23" t="str">
        <f aca="false">IF(AND(C451="covered",N451&gt;40),"COVERED &gt;40 FT","")</f>
        <v>COVERED &gt;40 FT</v>
      </c>
      <c r="AB451" s="23" t="s">
        <v>5253</v>
      </c>
      <c r="AC451" s="23" t="s">
        <v>5254</v>
      </c>
      <c r="AD451" s="23" t="s">
        <v>2807</v>
      </c>
    </row>
    <row r="452" customFormat="false" ht="17.9" hidden="false" customHeight="false" outlineLevel="0" collapsed="false">
      <c r="A452" s="20" t="s">
        <v>5255</v>
      </c>
      <c r="B452" s="20" t="s">
        <v>79</v>
      </c>
      <c r="C452" s="20" t="s">
        <v>5162</v>
      </c>
      <c r="D452" s="20" t="s">
        <v>5256</v>
      </c>
      <c r="E452" s="20" t="s">
        <v>5257</v>
      </c>
      <c r="F452" s="20" t="s">
        <v>2818</v>
      </c>
      <c r="G452" s="20" t="s">
        <v>2914</v>
      </c>
      <c r="H452" s="22" t="n">
        <v>30.8</v>
      </c>
      <c r="I452" s="22" t="n">
        <v>30.8</v>
      </c>
      <c r="J452" s="22" t="n">
        <f aca="false">H452-I452</f>
        <v>0</v>
      </c>
      <c r="K452" s="20" t="str">
        <f aca="false">IF(ABS(J452)&lt;0.001,"MATCH - PAPER CHECK-IN NOT SUPPLIED","DATA MISMATCH")</f>
        <v>MATCH - PAPER CHECK-IN NOT SUPPLIED</v>
      </c>
      <c r="L452" s="22" t="n">
        <v>32</v>
      </c>
      <c r="M452" s="22" t="n">
        <f aca="false">ROUNDUP(H452,0)</f>
        <v>31</v>
      </c>
      <c r="N452" s="24" t="n">
        <f aca="false">MAX(L452,M452)</f>
        <v>32</v>
      </c>
      <c r="O452" s="25" t="n">
        <v>10.4</v>
      </c>
      <c r="P452" s="25" t="n">
        <f aca="false">N452*O452</f>
        <v>332.8</v>
      </c>
      <c r="Q452" s="23" t="s">
        <v>5258</v>
      </c>
      <c r="R452" s="23" t="s">
        <v>2804</v>
      </c>
      <c r="S452" s="24" t="n">
        <v>32</v>
      </c>
      <c r="T452" s="25" t="n">
        <v>10.4</v>
      </c>
      <c r="U452" s="25" t="n">
        <v>332.8</v>
      </c>
      <c r="V452" s="25" t="n">
        <f aca="false">P452-U452</f>
        <v>0</v>
      </c>
      <c r="W452" s="25" t="n">
        <f aca="false">V452*12</f>
        <v>0</v>
      </c>
      <c r="X452" s="23" t="str">
        <f aca="false">IF(Q452="","MISSING FROM EXPORT",IF(ABS(V452)&lt;0.005,"CLEAR",IF(V452&gt;0,"UNDERBILLING","OVERBILLING")))</f>
        <v>CLEAR</v>
      </c>
      <c r="Y452" s="25" t="n">
        <f aca="false">IF(F452="COMMERCIAL",ROUND(P452*0.35,2),0)</f>
        <v>0</v>
      </c>
      <c r="Z452" s="23" t="str">
        <f aca="false">IF(F452="COMMERCIAL","VERIFY SIGNED AGREEMENT","NO EXCEPTION")</f>
        <v>NO EXCEPTION</v>
      </c>
      <c r="AA452" s="23" t="str">
        <f aca="false">IF(AND(C452="covered",N452&gt;40),"COVERED &gt;40 FT","")</f>
        <v/>
      </c>
      <c r="AB452" s="23" t="s">
        <v>5259</v>
      </c>
      <c r="AC452" s="23" t="s">
        <v>5260</v>
      </c>
      <c r="AD452" s="23" t="s">
        <v>2807</v>
      </c>
    </row>
    <row r="453" customFormat="false" ht="17.9" hidden="false" customHeight="false" outlineLevel="0" collapsed="false">
      <c r="A453" s="20" t="s">
        <v>331</v>
      </c>
      <c r="B453" s="20" t="s">
        <v>79</v>
      </c>
      <c r="C453" s="20" t="s">
        <v>5162</v>
      </c>
      <c r="D453" s="20" t="s">
        <v>5261</v>
      </c>
      <c r="E453" s="20" t="s">
        <v>5262</v>
      </c>
      <c r="F453" s="20" t="s">
        <v>2810</v>
      </c>
      <c r="G453" s="20" t="s">
        <v>2921</v>
      </c>
      <c r="H453" s="22" t="n">
        <v>51.3</v>
      </c>
      <c r="I453" s="22" t="n">
        <v>51.3</v>
      </c>
      <c r="J453" s="22" t="n">
        <f aca="false">H453-I453</f>
        <v>0</v>
      </c>
      <c r="K453" s="20" t="str">
        <f aca="false">IF(ABS(J453)&lt;0.001,"MATCH - PAPER CHECK-IN NOT SUPPLIED","DATA MISMATCH")</f>
        <v>MATCH - PAPER CHECK-IN NOT SUPPLIED</v>
      </c>
      <c r="L453" s="22" t="n">
        <v>32</v>
      </c>
      <c r="M453" s="22" t="n">
        <f aca="false">ROUNDUP(H453,0)</f>
        <v>52</v>
      </c>
      <c r="N453" s="24" t="n">
        <f aca="false">MAX(L453,M453)</f>
        <v>52</v>
      </c>
      <c r="O453" s="25" t="n">
        <v>10.4</v>
      </c>
      <c r="P453" s="25" t="n">
        <f aca="false">N453*O453</f>
        <v>540.8</v>
      </c>
      <c r="Q453" s="23" t="s">
        <v>5263</v>
      </c>
      <c r="R453" s="23" t="s">
        <v>2804</v>
      </c>
      <c r="S453" s="24" t="n">
        <v>52</v>
      </c>
      <c r="T453" s="25" t="n">
        <v>10.4</v>
      </c>
      <c r="U453" s="25" t="n">
        <v>540.8</v>
      </c>
      <c r="V453" s="25" t="n">
        <f aca="false">P453-U453</f>
        <v>0</v>
      </c>
      <c r="W453" s="25" t="n">
        <f aca="false">V453*12</f>
        <v>0</v>
      </c>
      <c r="X453" s="23" t="str">
        <f aca="false">IF(Q453="","MISSING FROM EXPORT",IF(ABS(V453)&lt;0.005,"CLEAR",IF(V453&gt;0,"UNDERBILLING","OVERBILLING")))</f>
        <v>CLEAR</v>
      </c>
      <c r="Y453" s="25" t="n">
        <f aca="false">IF(F453="COMMERCIAL",ROUND(P453*0.35,2),0)</f>
        <v>0</v>
      </c>
      <c r="Z453" s="23" t="str">
        <f aca="false">IF(F453="COMMERCIAL","VERIFY SIGNED AGREEMENT","NO EXCEPTION")</f>
        <v>NO EXCEPTION</v>
      </c>
      <c r="AA453" s="23" t="str">
        <f aca="false">IF(AND(C453="covered",N453&gt;40),"COVERED &gt;40 FT","")</f>
        <v>COVERED &gt;40 FT</v>
      </c>
      <c r="AB453" s="23" t="s">
        <v>5264</v>
      </c>
      <c r="AC453" s="23" t="s">
        <v>5265</v>
      </c>
      <c r="AD453" s="23" t="s">
        <v>2807</v>
      </c>
    </row>
    <row r="454" customFormat="false" ht="17.9" hidden="false" customHeight="false" outlineLevel="0" collapsed="false">
      <c r="A454" s="20" t="s">
        <v>5266</v>
      </c>
      <c r="B454" s="20" t="s">
        <v>79</v>
      </c>
      <c r="C454" s="20" t="s">
        <v>5162</v>
      </c>
      <c r="D454" s="20" t="s">
        <v>5267</v>
      </c>
      <c r="E454" s="20" t="s">
        <v>5268</v>
      </c>
      <c r="F454" s="20" t="s">
        <v>2818</v>
      </c>
      <c r="G454" s="20" t="s">
        <v>2927</v>
      </c>
      <c r="H454" s="22" t="n">
        <v>48.2</v>
      </c>
      <c r="I454" s="22" t="n">
        <v>48.2</v>
      </c>
      <c r="J454" s="22" t="n">
        <f aca="false">H454-I454</f>
        <v>0</v>
      </c>
      <c r="K454" s="20" t="str">
        <f aca="false">IF(ABS(J454)&lt;0.001,"MATCH - PAPER CHECK-IN NOT SUPPLIED","DATA MISMATCH")</f>
        <v>MATCH - PAPER CHECK-IN NOT SUPPLIED</v>
      </c>
      <c r="L454" s="22" t="n">
        <v>36</v>
      </c>
      <c r="M454" s="22" t="n">
        <f aca="false">ROUNDUP(H454,0)</f>
        <v>49</v>
      </c>
      <c r="N454" s="24" t="n">
        <f aca="false">MAX(L454,M454)</f>
        <v>49</v>
      </c>
      <c r="O454" s="25" t="n">
        <v>10.4</v>
      </c>
      <c r="P454" s="25" t="n">
        <f aca="false">N454*O454</f>
        <v>509.6</v>
      </c>
      <c r="Q454" s="23" t="s">
        <v>5269</v>
      </c>
      <c r="R454" s="23" t="s">
        <v>2804</v>
      </c>
      <c r="S454" s="24" t="n">
        <v>49</v>
      </c>
      <c r="T454" s="25" t="n">
        <v>10.4</v>
      </c>
      <c r="U454" s="25" t="n">
        <v>509.6</v>
      </c>
      <c r="V454" s="25" t="n">
        <f aca="false">P454-U454</f>
        <v>0</v>
      </c>
      <c r="W454" s="25" t="n">
        <f aca="false">V454*12</f>
        <v>0</v>
      </c>
      <c r="X454" s="23" t="str">
        <f aca="false">IF(Q454="","MISSING FROM EXPORT",IF(ABS(V454)&lt;0.005,"CLEAR",IF(V454&gt;0,"UNDERBILLING","OVERBILLING")))</f>
        <v>CLEAR</v>
      </c>
      <c r="Y454" s="25" t="n">
        <f aca="false">IF(F454="COMMERCIAL",ROUND(P454*0.35,2),0)</f>
        <v>0</v>
      </c>
      <c r="Z454" s="23" t="str">
        <f aca="false">IF(F454="COMMERCIAL","VERIFY SIGNED AGREEMENT","NO EXCEPTION")</f>
        <v>NO EXCEPTION</v>
      </c>
      <c r="AA454" s="23" t="str">
        <f aca="false">IF(AND(C454="covered",N454&gt;40),"COVERED &gt;40 FT","")</f>
        <v>COVERED &gt;40 FT</v>
      </c>
      <c r="AB454" s="23" t="s">
        <v>5270</v>
      </c>
      <c r="AC454" s="23" t="s">
        <v>5271</v>
      </c>
      <c r="AD454" s="23" t="s">
        <v>2807</v>
      </c>
    </row>
    <row r="455" customFormat="false" ht="17.9" hidden="false" customHeight="false" outlineLevel="0" collapsed="false">
      <c r="A455" s="20" t="s">
        <v>5272</v>
      </c>
      <c r="B455" s="20" t="s">
        <v>79</v>
      </c>
      <c r="C455" s="20" t="s">
        <v>5162</v>
      </c>
      <c r="D455" s="20" t="s">
        <v>965</v>
      </c>
      <c r="E455" s="20" t="s">
        <v>5273</v>
      </c>
      <c r="F455" s="20" t="s">
        <v>2801</v>
      </c>
      <c r="G455" s="20" t="s">
        <v>2935</v>
      </c>
      <c r="H455" s="22" t="n">
        <v>25.3</v>
      </c>
      <c r="I455" s="22" t="n">
        <v>25.3</v>
      </c>
      <c r="J455" s="22" t="n">
        <f aca="false">H455-I455</f>
        <v>0</v>
      </c>
      <c r="K455" s="20" t="str">
        <f aca="false">IF(ABS(J455)&lt;0.001,"MATCH - PAPER CHECK-IN NOT SUPPLIED","DATA MISMATCH")</f>
        <v>MATCH - PAPER CHECK-IN NOT SUPPLIED</v>
      </c>
      <c r="L455" s="22" t="n">
        <v>32</v>
      </c>
      <c r="M455" s="22" t="n">
        <f aca="false">ROUNDUP(H455,0)</f>
        <v>26</v>
      </c>
      <c r="N455" s="24" t="n">
        <f aca="false">MAX(L455,M455)</f>
        <v>32</v>
      </c>
      <c r="O455" s="25" t="n">
        <v>10.4</v>
      </c>
      <c r="P455" s="25" t="n">
        <f aca="false">N455*O455</f>
        <v>332.8</v>
      </c>
      <c r="Q455" s="23" t="s">
        <v>5274</v>
      </c>
      <c r="R455" s="23" t="s">
        <v>2804</v>
      </c>
      <c r="S455" s="24" t="n">
        <v>32</v>
      </c>
      <c r="T455" s="25" t="n">
        <v>10.4</v>
      </c>
      <c r="U455" s="25" t="n">
        <v>332.8</v>
      </c>
      <c r="V455" s="25" t="n">
        <f aca="false">P455-U455</f>
        <v>0</v>
      </c>
      <c r="W455" s="25" t="n">
        <f aca="false">V455*12</f>
        <v>0</v>
      </c>
      <c r="X455" s="23" t="str">
        <f aca="false">IF(Q455="","MISSING FROM EXPORT",IF(ABS(V455)&lt;0.005,"CLEAR",IF(V455&gt;0,"UNDERBILLING","OVERBILLING")))</f>
        <v>CLEAR</v>
      </c>
      <c r="Y455" s="25" t="n">
        <f aca="false">IF(F455="COMMERCIAL",ROUND(P455*0.35,2),0)</f>
        <v>0</v>
      </c>
      <c r="Z455" s="23" t="str">
        <f aca="false">IF(F455="COMMERCIAL","VERIFY SIGNED AGREEMENT","NO EXCEPTION")</f>
        <v>NO EXCEPTION</v>
      </c>
      <c r="AA455" s="23" t="str">
        <f aca="false">IF(AND(C455="covered",N455&gt;40),"COVERED &gt;40 FT","")</f>
        <v/>
      </c>
      <c r="AB455" s="23" t="s">
        <v>5275</v>
      </c>
      <c r="AC455" s="23" t="s">
        <v>5276</v>
      </c>
      <c r="AD455" s="23" t="s">
        <v>2807</v>
      </c>
    </row>
    <row r="456" customFormat="false" ht="17.9" hidden="false" customHeight="false" outlineLevel="0" collapsed="false">
      <c r="A456" s="20" t="s">
        <v>1278</v>
      </c>
      <c r="B456" s="20" t="s">
        <v>79</v>
      </c>
      <c r="C456" s="20" t="s">
        <v>5162</v>
      </c>
      <c r="D456" s="20" t="s">
        <v>5277</v>
      </c>
      <c r="E456" s="20" t="s">
        <v>5278</v>
      </c>
      <c r="F456" s="20" t="s">
        <v>2833</v>
      </c>
      <c r="G456" s="20" t="s">
        <v>2941</v>
      </c>
      <c r="H456" s="22" t="n">
        <v>38.8</v>
      </c>
      <c r="I456" s="22" t="n">
        <v>38.8</v>
      </c>
      <c r="J456" s="22" t="n">
        <f aca="false">H456-I456</f>
        <v>0</v>
      </c>
      <c r="K456" s="20" t="str">
        <f aca="false">IF(ABS(J456)&lt;0.001,"MATCH - PAPER CHECK-IN NOT SUPPLIED","DATA MISMATCH")</f>
        <v>MATCH - PAPER CHECK-IN NOT SUPPLIED</v>
      </c>
      <c r="L456" s="22" t="n">
        <v>28</v>
      </c>
      <c r="M456" s="22" t="n">
        <f aca="false">ROUNDUP(H456,0)</f>
        <v>39</v>
      </c>
      <c r="N456" s="24" t="n">
        <f aca="false">MAX(L456,M456)</f>
        <v>39</v>
      </c>
      <c r="O456" s="25" t="n">
        <v>10.4</v>
      </c>
      <c r="P456" s="25" t="n">
        <f aca="false">N456*O456</f>
        <v>405.6</v>
      </c>
      <c r="Q456" s="23" t="s">
        <v>5279</v>
      </c>
      <c r="R456" s="23" t="s">
        <v>2804</v>
      </c>
      <c r="S456" s="24" t="n">
        <v>39</v>
      </c>
      <c r="T456" s="25" t="n">
        <v>10.4</v>
      </c>
      <c r="U456" s="25" t="n">
        <v>405.6</v>
      </c>
      <c r="V456" s="25" t="n">
        <f aca="false">P456-U456</f>
        <v>0</v>
      </c>
      <c r="W456" s="25" t="n">
        <f aca="false">V456*12</f>
        <v>0</v>
      </c>
      <c r="X456" s="23" t="str">
        <f aca="false">IF(Q456="","MISSING FROM EXPORT",IF(ABS(V456)&lt;0.005,"CLEAR",IF(V456&gt;0,"UNDERBILLING","OVERBILLING")))</f>
        <v>CLEAR</v>
      </c>
      <c r="Y456" s="25" t="n">
        <f aca="false">IF(F456="COMMERCIAL",ROUND(P456*0.35,2),0)</f>
        <v>0</v>
      </c>
      <c r="Z456" s="23" t="str">
        <f aca="false">IF(F456="COMMERCIAL","VERIFY SIGNED AGREEMENT","NO EXCEPTION")</f>
        <v>NO EXCEPTION</v>
      </c>
      <c r="AA456" s="23" t="str">
        <f aca="false">IF(AND(C456="covered",N456&gt;40),"COVERED &gt;40 FT","")</f>
        <v/>
      </c>
      <c r="AB456" s="23" t="s">
        <v>5280</v>
      </c>
      <c r="AC456" s="23" t="s">
        <v>5281</v>
      </c>
      <c r="AD456" s="23" t="s">
        <v>2807</v>
      </c>
    </row>
    <row r="457" customFormat="false" ht="17.9" hidden="false" customHeight="false" outlineLevel="0" collapsed="false">
      <c r="A457" s="20" t="s">
        <v>5282</v>
      </c>
      <c r="B457" s="20" t="s">
        <v>79</v>
      </c>
      <c r="C457" s="20" t="s">
        <v>5162</v>
      </c>
      <c r="D457" s="20" t="s">
        <v>5283</v>
      </c>
      <c r="E457" s="20" t="s">
        <v>5284</v>
      </c>
      <c r="F457" s="20" t="s">
        <v>2833</v>
      </c>
      <c r="G457" s="20" t="s">
        <v>2948</v>
      </c>
      <c r="H457" s="22" t="n">
        <v>51.3</v>
      </c>
      <c r="I457" s="22" t="n">
        <v>51.3</v>
      </c>
      <c r="J457" s="22" t="n">
        <f aca="false">H457-I457</f>
        <v>0</v>
      </c>
      <c r="K457" s="20" t="str">
        <f aca="false">IF(ABS(J457)&lt;0.001,"MATCH - PAPER CHECK-IN NOT SUPPLIED","DATA MISMATCH")</f>
        <v>MATCH - PAPER CHECK-IN NOT SUPPLIED</v>
      </c>
      <c r="L457" s="22" t="n">
        <v>36</v>
      </c>
      <c r="M457" s="22" t="n">
        <f aca="false">ROUNDUP(H457,0)</f>
        <v>52</v>
      </c>
      <c r="N457" s="24" t="n">
        <f aca="false">MAX(L457,M457)</f>
        <v>52</v>
      </c>
      <c r="O457" s="25" t="n">
        <v>10.4</v>
      </c>
      <c r="P457" s="25" t="n">
        <f aca="false">N457*O457</f>
        <v>540.8</v>
      </c>
      <c r="Q457" s="23" t="s">
        <v>5285</v>
      </c>
      <c r="R457" s="23" t="s">
        <v>2804</v>
      </c>
      <c r="S457" s="24" t="n">
        <v>52</v>
      </c>
      <c r="T457" s="25" t="n">
        <v>10.4</v>
      </c>
      <c r="U457" s="25" t="n">
        <v>540.8</v>
      </c>
      <c r="V457" s="25" t="n">
        <f aca="false">P457-U457</f>
        <v>0</v>
      </c>
      <c r="W457" s="25" t="n">
        <f aca="false">V457*12</f>
        <v>0</v>
      </c>
      <c r="X457" s="23" t="str">
        <f aca="false">IF(Q457="","MISSING FROM EXPORT",IF(ABS(V457)&lt;0.005,"CLEAR",IF(V457&gt;0,"UNDERBILLING","OVERBILLING")))</f>
        <v>CLEAR</v>
      </c>
      <c r="Y457" s="25" t="n">
        <f aca="false">IF(F457="COMMERCIAL",ROUND(P457*0.35,2),0)</f>
        <v>0</v>
      </c>
      <c r="Z457" s="23" t="str">
        <f aca="false">IF(F457="COMMERCIAL","VERIFY SIGNED AGREEMENT","NO EXCEPTION")</f>
        <v>NO EXCEPTION</v>
      </c>
      <c r="AA457" s="23" t="str">
        <f aca="false">IF(AND(C457="covered",N457&gt;40),"COVERED &gt;40 FT","")</f>
        <v>COVERED &gt;40 FT</v>
      </c>
      <c r="AB457" s="23" t="s">
        <v>5286</v>
      </c>
      <c r="AC457" s="23" t="s">
        <v>5287</v>
      </c>
      <c r="AD457" s="23" t="s">
        <v>2807</v>
      </c>
    </row>
    <row r="458" customFormat="false" ht="17.9" hidden="false" customHeight="false" outlineLevel="0" collapsed="false">
      <c r="A458" s="20" t="s">
        <v>5288</v>
      </c>
      <c r="B458" s="20" t="s">
        <v>79</v>
      </c>
      <c r="C458" s="20" t="s">
        <v>5162</v>
      </c>
      <c r="D458" s="20" t="s">
        <v>5289</v>
      </c>
      <c r="E458" s="20" t="s">
        <v>5290</v>
      </c>
      <c r="F458" s="20" t="s">
        <v>2857</v>
      </c>
      <c r="G458" s="20" t="s">
        <v>2955</v>
      </c>
      <c r="H458" s="22" t="n">
        <v>37.5</v>
      </c>
      <c r="I458" s="22" t="n">
        <v>37.5</v>
      </c>
      <c r="J458" s="22" t="n">
        <f aca="false">H458-I458</f>
        <v>0</v>
      </c>
      <c r="K458" s="20" t="str">
        <f aca="false">IF(ABS(J458)&lt;0.001,"MATCH - PAPER CHECK-IN NOT SUPPLIED","DATA MISMATCH")</f>
        <v>MATCH - PAPER CHECK-IN NOT SUPPLIED</v>
      </c>
      <c r="L458" s="22" t="n">
        <v>36</v>
      </c>
      <c r="M458" s="22" t="n">
        <f aca="false">ROUNDUP(H458,0)</f>
        <v>38</v>
      </c>
      <c r="N458" s="24" t="n">
        <f aca="false">MAX(L458,M458)</f>
        <v>38</v>
      </c>
      <c r="O458" s="25" t="n">
        <v>10.4</v>
      </c>
      <c r="P458" s="25" t="n">
        <f aca="false">N458*O458</f>
        <v>395.2</v>
      </c>
      <c r="Q458" s="23" t="s">
        <v>5291</v>
      </c>
      <c r="R458" s="23" t="s">
        <v>2804</v>
      </c>
      <c r="S458" s="24" t="n">
        <v>38</v>
      </c>
      <c r="T458" s="25" t="n">
        <v>10.4</v>
      </c>
      <c r="U458" s="25" t="n">
        <v>395.2</v>
      </c>
      <c r="V458" s="25" t="n">
        <f aca="false">P458-U458</f>
        <v>0</v>
      </c>
      <c r="W458" s="25" t="n">
        <f aca="false">V458*12</f>
        <v>0</v>
      </c>
      <c r="X458" s="23" t="str">
        <f aca="false">IF(Q458="","MISSING FROM EXPORT",IF(ABS(V458)&lt;0.005,"CLEAR",IF(V458&gt;0,"UNDERBILLING","OVERBILLING")))</f>
        <v>CLEAR</v>
      </c>
      <c r="Y458" s="25" t="n">
        <f aca="false">IF(F458="COMMERCIAL",ROUND(P458*0.35,2),0)</f>
        <v>0</v>
      </c>
      <c r="Z458" s="23" t="str">
        <f aca="false">IF(F458="COMMERCIAL","VERIFY SIGNED AGREEMENT","NO EXCEPTION")</f>
        <v>NO EXCEPTION</v>
      </c>
      <c r="AA458" s="23" t="str">
        <f aca="false">IF(AND(C458="covered",N458&gt;40),"COVERED &gt;40 FT","")</f>
        <v/>
      </c>
      <c r="AB458" s="23" t="s">
        <v>5292</v>
      </c>
      <c r="AC458" s="23" t="s">
        <v>5293</v>
      </c>
      <c r="AD458" s="23" t="s">
        <v>2807</v>
      </c>
    </row>
    <row r="459" customFormat="false" ht="17.9" hidden="false" customHeight="false" outlineLevel="0" collapsed="false">
      <c r="A459" s="20" t="s">
        <v>704</v>
      </c>
      <c r="B459" s="20" t="s">
        <v>79</v>
      </c>
      <c r="C459" s="20" t="s">
        <v>5162</v>
      </c>
      <c r="D459" s="20" t="s">
        <v>5294</v>
      </c>
      <c r="E459" s="20" t="s">
        <v>5295</v>
      </c>
      <c r="F459" s="20" t="s">
        <v>2857</v>
      </c>
      <c r="G459" s="20" t="s">
        <v>2960</v>
      </c>
      <c r="H459" s="22" t="n">
        <v>28.3</v>
      </c>
      <c r="I459" s="22" t="n">
        <v>28.3</v>
      </c>
      <c r="J459" s="22" t="n">
        <f aca="false">H459-I459</f>
        <v>0</v>
      </c>
      <c r="K459" s="20" t="str">
        <f aca="false">IF(ABS(J459)&lt;0.001,"MATCH - PAPER CHECK-IN NOT SUPPLIED","DATA MISMATCH")</f>
        <v>MATCH - PAPER CHECK-IN NOT SUPPLIED</v>
      </c>
      <c r="L459" s="22" t="n">
        <v>28</v>
      </c>
      <c r="M459" s="22" t="n">
        <f aca="false">ROUNDUP(H459,0)</f>
        <v>29</v>
      </c>
      <c r="N459" s="24" t="n">
        <f aca="false">MAX(L459,M459)</f>
        <v>29</v>
      </c>
      <c r="O459" s="25" t="n">
        <v>10.4</v>
      </c>
      <c r="P459" s="25" t="n">
        <f aca="false">N459*O459</f>
        <v>301.6</v>
      </c>
      <c r="Q459" s="23" t="s">
        <v>5296</v>
      </c>
      <c r="R459" s="23" t="s">
        <v>2804</v>
      </c>
      <c r="S459" s="24" t="n">
        <v>29</v>
      </c>
      <c r="T459" s="25" t="n">
        <v>10.4</v>
      </c>
      <c r="U459" s="25" t="n">
        <v>301.6</v>
      </c>
      <c r="V459" s="25" t="n">
        <f aca="false">P459-U459</f>
        <v>0</v>
      </c>
      <c r="W459" s="25" t="n">
        <f aca="false">V459*12</f>
        <v>0</v>
      </c>
      <c r="X459" s="23" t="str">
        <f aca="false">IF(Q459="","MISSING FROM EXPORT",IF(ABS(V459)&lt;0.005,"CLEAR",IF(V459&gt;0,"UNDERBILLING","OVERBILLING")))</f>
        <v>CLEAR</v>
      </c>
      <c r="Y459" s="25" t="n">
        <f aca="false">IF(F459="COMMERCIAL",ROUND(P459*0.35,2),0)</f>
        <v>0</v>
      </c>
      <c r="Z459" s="23" t="str">
        <f aca="false">IF(F459="COMMERCIAL","VERIFY SIGNED AGREEMENT","NO EXCEPTION")</f>
        <v>NO EXCEPTION</v>
      </c>
      <c r="AA459" s="23" t="str">
        <f aca="false">IF(AND(C459="covered",N459&gt;40),"COVERED &gt;40 FT","")</f>
        <v/>
      </c>
      <c r="AB459" s="23" t="s">
        <v>5297</v>
      </c>
      <c r="AC459" s="23" t="s">
        <v>5298</v>
      </c>
      <c r="AD459" s="23" t="s">
        <v>2807</v>
      </c>
    </row>
    <row r="460" customFormat="false" ht="17.9" hidden="false" customHeight="false" outlineLevel="0" collapsed="false">
      <c r="A460" s="20" t="s">
        <v>198</v>
      </c>
      <c r="B460" s="20" t="s">
        <v>79</v>
      </c>
      <c r="C460" s="20" t="s">
        <v>5162</v>
      </c>
      <c r="D460" s="20" t="s">
        <v>5299</v>
      </c>
      <c r="E460" s="20" t="s">
        <v>5300</v>
      </c>
      <c r="F460" s="20" t="s">
        <v>2833</v>
      </c>
      <c r="G460" s="20" t="s">
        <v>2967</v>
      </c>
      <c r="H460" s="22" t="n">
        <v>35.6</v>
      </c>
      <c r="I460" s="22" t="n">
        <v>35.6</v>
      </c>
      <c r="J460" s="22" t="n">
        <f aca="false">H460-I460</f>
        <v>0</v>
      </c>
      <c r="K460" s="20" t="str">
        <f aca="false">IF(ABS(J460)&lt;0.001,"MATCH - PAPER CHECK-IN NOT SUPPLIED","DATA MISMATCH")</f>
        <v>MATCH - PAPER CHECK-IN NOT SUPPLIED</v>
      </c>
      <c r="L460" s="22" t="n">
        <v>28</v>
      </c>
      <c r="M460" s="22" t="n">
        <f aca="false">ROUNDUP(H460,0)</f>
        <v>36</v>
      </c>
      <c r="N460" s="24" t="n">
        <f aca="false">MAX(L460,M460)</f>
        <v>36</v>
      </c>
      <c r="O460" s="25" t="n">
        <v>10.4</v>
      </c>
      <c r="P460" s="25" t="n">
        <f aca="false">N460*O460</f>
        <v>374.4</v>
      </c>
      <c r="Q460" s="23" t="s">
        <v>5301</v>
      </c>
      <c r="R460" s="23" t="s">
        <v>2804</v>
      </c>
      <c r="S460" s="24" t="n">
        <v>36</v>
      </c>
      <c r="T460" s="25" t="n">
        <v>10.4</v>
      </c>
      <c r="U460" s="25" t="n">
        <v>374.4</v>
      </c>
      <c r="V460" s="25" t="n">
        <f aca="false">P460-U460</f>
        <v>0</v>
      </c>
      <c r="W460" s="25" t="n">
        <f aca="false">V460*12</f>
        <v>0</v>
      </c>
      <c r="X460" s="23" t="str">
        <f aca="false">IF(Q460="","MISSING FROM EXPORT",IF(ABS(V460)&lt;0.005,"CLEAR",IF(V460&gt;0,"UNDERBILLING","OVERBILLING")))</f>
        <v>CLEAR</v>
      </c>
      <c r="Y460" s="25" t="n">
        <f aca="false">IF(F460="COMMERCIAL",ROUND(P460*0.35,2),0)</f>
        <v>0</v>
      </c>
      <c r="Z460" s="23" t="str">
        <f aca="false">IF(F460="COMMERCIAL","VERIFY SIGNED AGREEMENT","NO EXCEPTION")</f>
        <v>NO EXCEPTION</v>
      </c>
      <c r="AA460" s="23" t="str">
        <f aca="false">IF(AND(C460="covered",N460&gt;40),"COVERED &gt;40 FT","")</f>
        <v/>
      </c>
      <c r="AB460" s="23" t="s">
        <v>5302</v>
      </c>
      <c r="AC460" s="23" t="s">
        <v>5303</v>
      </c>
      <c r="AD460" s="23" t="s">
        <v>2807</v>
      </c>
    </row>
    <row r="461" customFormat="false" ht="17.9" hidden="false" customHeight="false" outlineLevel="0" collapsed="false">
      <c r="A461" s="20" t="s">
        <v>5304</v>
      </c>
      <c r="B461" s="20" t="s">
        <v>79</v>
      </c>
      <c r="C461" s="20" t="s">
        <v>5162</v>
      </c>
      <c r="D461" s="20" t="s">
        <v>5305</v>
      </c>
      <c r="E461" s="20" t="s">
        <v>5306</v>
      </c>
      <c r="F461" s="20" t="s">
        <v>2833</v>
      </c>
      <c r="G461" s="20" t="s">
        <v>4354</v>
      </c>
      <c r="H461" s="22" t="n">
        <v>23</v>
      </c>
      <c r="I461" s="22" t="n">
        <v>23</v>
      </c>
      <c r="J461" s="22" t="n">
        <f aca="false">H461-I461</f>
        <v>0</v>
      </c>
      <c r="K461" s="20" t="str">
        <f aca="false">IF(ABS(J461)&lt;0.001,"MATCH - PAPER CHECK-IN NOT SUPPLIED","DATA MISMATCH")</f>
        <v>MATCH - PAPER CHECK-IN NOT SUPPLIED</v>
      </c>
      <c r="L461" s="22" t="n">
        <v>40</v>
      </c>
      <c r="M461" s="22" t="n">
        <f aca="false">ROUNDUP(H461,0)</f>
        <v>23</v>
      </c>
      <c r="N461" s="24" t="n">
        <f aca="false">MAX(L461,M461)</f>
        <v>40</v>
      </c>
      <c r="O461" s="25" t="n">
        <v>10.4</v>
      </c>
      <c r="P461" s="25" t="n">
        <f aca="false">N461*O461</f>
        <v>416</v>
      </c>
      <c r="Q461" s="23" t="s">
        <v>5307</v>
      </c>
      <c r="R461" s="23" t="s">
        <v>2804</v>
      </c>
      <c r="S461" s="24" t="n">
        <v>40</v>
      </c>
      <c r="T461" s="25" t="n">
        <v>10.4</v>
      </c>
      <c r="U461" s="25" t="n">
        <v>416</v>
      </c>
      <c r="V461" s="25" t="n">
        <f aca="false">P461-U461</f>
        <v>0</v>
      </c>
      <c r="W461" s="25" t="n">
        <f aca="false">V461*12</f>
        <v>0</v>
      </c>
      <c r="X461" s="23" t="str">
        <f aca="false">IF(Q461="","MISSING FROM EXPORT",IF(ABS(V461)&lt;0.005,"CLEAR",IF(V461&gt;0,"UNDERBILLING","OVERBILLING")))</f>
        <v>CLEAR</v>
      </c>
      <c r="Y461" s="25" t="n">
        <f aca="false">IF(F461="COMMERCIAL",ROUND(P461*0.35,2),0)</f>
        <v>0</v>
      </c>
      <c r="Z461" s="23" t="str">
        <f aca="false">IF(F461="COMMERCIAL","VERIFY SIGNED AGREEMENT","NO EXCEPTION")</f>
        <v>NO EXCEPTION</v>
      </c>
      <c r="AA461" s="23" t="str">
        <f aca="false">IF(AND(C461="covered",N461&gt;40),"COVERED &gt;40 FT","")</f>
        <v/>
      </c>
      <c r="AB461" s="23" t="s">
        <v>5308</v>
      </c>
      <c r="AC461" s="23" t="s">
        <v>5309</v>
      </c>
      <c r="AD461" s="23" t="s">
        <v>2807</v>
      </c>
    </row>
    <row r="462" customFormat="false" ht="17.9" hidden="false" customHeight="false" outlineLevel="0" collapsed="false">
      <c r="A462" s="20" t="s">
        <v>5310</v>
      </c>
      <c r="B462" s="20" t="s">
        <v>79</v>
      </c>
      <c r="C462" s="20" t="s">
        <v>5162</v>
      </c>
      <c r="D462" s="20" t="s">
        <v>1088</v>
      </c>
      <c r="E462" s="20" t="s">
        <v>5311</v>
      </c>
      <c r="F462" s="20" t="s">
        <v>2898</v>
      </c>
      <c r="G462" s="20" t="s">
        <v>2974</v>
      </c>
      <c r="H462" s="22" t="n">
        <v>41.4</v>
      </c>
      <c r="I462" s="22" t="n">
        <v>41.4</v>
      </c>
      <c r="J462" s="22" t="n">
        <f aca="false">H462-I462</f>
        <v>0</v>
      </c>
      <c r="K462" s="20" t="str">
        <f aca="false">IF(ABS(J462)&lt;0.001,"MATCH - PAPER CHECK-IN NOT SUPPLIED","DATA MISMATCH")</f>
        <v>MATCH - PAPER CHECK-IN NOT SUPPLIED</v>
      </c>
      <c r="L462" s="22" t="n">
        <v>24</v>
      </c>
      <c r="M462" s="22" t="n">
        <f aca="false">ROUNDUP(H462,0)</f>
        <v>42</v>
      </c>
      <c r="N462" s="24" t="n">
        <f aca="false">MAX(L462,M462)</f>
        <v>42</v>
      </c>
      <c r="O462" s="25" t="n">
        <v>10.4</v>
      </c>
      <c r="P462" s="25" t="n">
        <f aca="false">N462*O462</f>
        <v>436.8</v>
      </c>
      <c r="Q462" s="23" t="s">
        <v>5312</v>
      </c>
      <c r="R462" s="23" t="s">
        <v>2804</v>
      </c>
      <c r="S462" s="24" t="n">
        <v>42</v>
      </c>
      <c r="T462" s="25" t="n">
        <v>10.4</v>
      </c>
      <c r="U462" s="25" t="n">
        <v>436.8</v>
      </c>
      <c r="V462" s="25" t="n">
        <f aca="false">P462-U462</f>
        <v>0</v>
      </c>
      <c r="W462" s="25" t="n">
        <f aca="false">V462*12</f>
        <v>0</v>
      </c>
      <c r="X462" s="23" t="str">
        <f aca="false">IF(Q462="","MISSING FROM EXPORT",IF(ABS(V462)&lt;0.005,"CLEAR",IF(V462&gt;0,"UNDERBILLING","OVERBILLING")))</f>
        <v>CLEAR</v>
      </c>
      <c r="Y462" s="25" t="n">
        <f aca="false">IF(F462="COMMERCIAL",ROUND(P462*0.35,2),0)</f>
        <v>0</v>
      </c>
      <c r="Z462" s="23" t="str">
        <f aca="false">IF(F462="COMMERCIAL","VERIFY SIGNED AGREEMENT","NO EXCEPTION")</f>
        <v>NO EXCEPTION</v>
      </c>
      <c r="AA462" s="23" t="str">
        <f aca="false">IF(AND(C462="covered",N462&gt;40),"COVERED &gt;40 FT","")</f>
        <v>COVERED &gt;40 FT</v>
      </c>
      <c r="AB462" s="23" t="s">
        <v>5313</v>
      </c>
      <c r="AC462" s="23" t="s">
        <v>5314</v>
      </c>
      <c r="AD462" s="23" t="s">
        <v>2807</v>
      </c>
    </row>
    <row r="463" customFormat="false" ht="17.9" hidden="false" customHeight="false" outlineLevel="0" collapsed="false">
      <c r="A463" s="20" t="s">
        <v>1272</v>
      </c>
      <c r="B463" s="20" t="s">
        <v>79</v>
      </c>
      <c r="C463" s="20" t="s">
        <v>5162</v>
      </c>
      <c r="D463" s="20" t="s">
        <v>5315</v>
      </c>
      <c r="E463" s="20" t="s">
        <v>5316</v>
      </c>
      <c r="F463" s="20" t="s">
        <v>2833</v>
      </c>
      <c r="G463" s="20" t="s">
        <v>2988</v>
      </c>
      <c r="H463" s="22" t="n">
        <v>35.9</v>
      </c>
      <c r="I463" s="22" t="n">
        <v>35.9</v>
      </c>
      <c r="J463" s="22" t="n">
        <f aca="false">H463-I463</f>
        <v>0</v>
      </c>
      <c r="K463" s="20" t="str">
        <f aca="false">IF(ABS(J463)&lt;0.001,"MATCH - PAPER CHECK-IN NOT SUPPLIED","DATA MISMATCH")</f>
        <v>MATCH - PAPER CHECK-IN NOT SUPPLIED</v>
      </c>
      <c r="L463" s="22" t="n">
        <v>32</v>
      </c>
      <c r="M463" s="22" t="n">
        <f aca="false">ROUNDUP(H463,0)</f>
        <v>36</v>
      </c>
      <c r="N463" s="24" t="n">
        <f aca="false">MAX(L463,M463)</f>
        <v>36</v>
      </c>
      <c r="O463" s="25" t="n">
        <v>10.4</v>
      </c>
      <c r="P463" s="25" t="n">
        <f aca="false">N463*O463</f>
        <v>374.4</v>
      </c>
      <c r="Q463" s="23" t="s">
        <v>5317</v>
      </c>
      <c r="R463" s="23" t="s">
        <v>2804</v>
      </c>
      <c r="S463" s="24" t="n">
        <v>36</v>
      </c>
      <c r="T463" s="25" t="n">
        <v>10.4</v>
      </c>
      <c r="U463" s="25" t="n">
        <v>374.4</v>
      </c>
      <c r="V463" s="25" t="n">
        <f aca="false">P463-U463</f>
        <v>0</v>
      </c>
      <c r="W463" s="25" t="n">
        <f aca="false">V463*12</f>
        <v>0</v>
      </c>
      <c r="X463" s="23" t="str">
        <f aca="false">IF(Q463="","MISSING FROM EXPORT",IF(ABS(V463)&lt;0.005,"CLEAR",IF(V463&gt;0,"UNDERBILLING","OVERBILLING")))</f>
        <v>CLEAR</v>
      </c>
      <c r="Y463" s="25" t="n">
        <f aca="false">IF(F463="COMMERCIAL",ROUND(P463*0.35,2),0)</f>
        <v>0</v>
      </c>
      <c r="Z463" s="23" t="str">
        <f aca="false">IF(F463="COMMERCIAL","VERIFY SIGNED AGREEMENT","NO EXCEPTION")</f>
        <v>NO EXCEPTION</v>
      </c>
      <c r="AA463" s="23" t="str">
        <f aca="false">IF(AND(C463="covered",N463&gt;40),"COVERED &gt;40 FT","")</f>
        <v/>
      </c>
      <c r="AB463" s="23" t="s">
        <v>5318</v>
      </c>
      <c r="AC463" s="23" t="s">
        <v>5319</v>
      </c>
      <c r="AD463" s="23" t="s">
        <v>2807</v>
      </c>
    </row>
    <row r="464" customFormat="false" ht="17.9" hidden="false" customHeight="false" outlineLevel="0" collapsed="false">
      <c r="A464" s="20" t="s">
        <v>5320</v>
      </c>
      <c r="B464" s="20" t="s">
        <v>79</v>
      </c>
      <c r="C464" s="20" t="s">
        <v>5162</v>
      </c>
      <c r="D464" s="20" t="s">
        <v>5321</v>
      </c>
      <c r="E464" s="20" t="s">
        <v>5322</v>
      </c>
      <c r="F464" s="20" t="s">
        <v>2833</v>
      </c>
      <c r="G464" s="20" t="s">
        <v>2994</v>
      </c>
      <c r="H464" s="22" t="n">
        <v>19.8</v>
      </c>
      <c r="I464" s="22" t="n">
        <v>19.8</v>
      </c>
      <c r="J464" s="22" t="n">
        <f aca="false">H464-I464</f>
        <v>0</v>
      </c>
      <c r="K464" s="20" t="str">
        <f aca="false">IF(ABS(J464)&lt;0.001,"MATCH - PAPER CHECK-IN NOT SUPPLIED","DATA MISMATCH")</f>
        <v>MATCH - PAPER CHECK-IN NOT SUPPLIED</v>
      </c>
      <c r="L464" s="22" t="n">
        <v>32</v>
      </c>
      <c r="M464" s="22" t="n">
        <f aca="false">ROUNDUP(H464,0)</f>
        <v>20</v>
      </c>
      <c r="N464" s="24" t="n">
        <f aca="false">MAX(L464,M464)</f>
        <v>32</v>
      </c>
      <c r="O464" s="25" t="n">
        <v>10.4</v>
      </c>
      <c r="P464" s="25" t="n">
        <f aca="false">N464*O464</f>
        <v>332.8</v>
      </c>
      <c r="Q464" s="23" t="s">
        <v>5323</v>
      </c>
      <c r="R464" s="23" t="s">
        <v>2804</v>
      </c>
      <c r="S464" s="24" t="n">
        <v>32</v>
      </c>
      <c r="T464" s="25" t="n">
        <v>10.4</v>
      </c>
      <c r="U464" s="25" t="n">
        <v>332.8</v>
      </c>
      <c r="V464" s="25" t="n">
        <f aca="false">P464-U464</f>
        <v>0</v>
      </c>
      <c r="W464" s="25" t="n">
        <f aca="false">V464*12</f>
        <v>0</v>
      </c>
      <c r="X464" s="23" t="str">
        <f aca="false">IF(Q464="","MISSING FROM EXPORT",IF(ABS(V464)&lt;0.005,"CLEAR",IF(V464&gt;0,"UNDERBILLING","OVERBILLING")))</f>
        <v>CLEAR</v>
      </c>
      <c r="Y464" s="25" t="n">
        <f aca="false">IF(F464="COMMERCIAL",ROUND(P464*0.35,2),0)</f>
        <v>0</v>
      </c>
      <c r="Z464" s="23" t="str">
        <f aca="false">IF(F464="COMMERCIAL","VERIFY SIGNED AGREEMENT","NO EXCEPTION")</f>
        <v>NO EXCEPTION</v>
      </c>
      <c r="AA464" s="23" t="str">
        <f aca="false">IF(AND(C464="covered",N464&gt;40),"COVERED &gt;40 FT","")</f>
        <v/>
      </c>
      <c r="AB464" s="23" t="s">
        <v>5324</v>
      </c>
      <c r="AC464" s="23" t="s">
        <v>5325</v>
      </c>
      <c r="AD464" s="23" t="s">
        <v>2807</v>
      </c>
    </row>
    <row r="465" customFormat="false" ht="17.9" hidden="false" customHeight="false" outlineLevel="0" collapsed="false">
      <c r="A465" s="20" t="s">
        <v>5326</v>
      </c>
      <c r="B465" s="20" t="s">
        <v>79</v>
      </c>
      <c r="C465" s="20" t="s">
        <v>5162</v>
      </c>
      <c r="D465" s="20" t="s">
        <v>1157</v>
      </c>
      <c r="E465" s="20" t="s">
        <v>1158</v>
      </c>
      <c r="F465" s="20" t="s">
        <v>2833</v>
      </c>
      <c r="G465" s="20" t="s">
        <v>3001</v>
      </c>
      <c r="H465" s="22" t="n">
        <v>24.8</v>
      </c>
      <c r="I465" s="22" t="n">
        <v>24.8</v>
      </c>
      <c r="J465" s="22" t="n">
        <f aca="false">H465-I465</f>
        <v>0</v>
      </c>
      <c r="K465" s="20" t="str">
        <f aca="false">IF(ABS(J465)&lt;0.001,"MATCH - PAPER CHECK-IN NOT SUPPLIED","DATA MISMATCH")</f>
        <v>MATCH - PAPER CHECK-IN NOT SUPPLIED</v>
      </c>
      <c r="L465" s="22" t="n">
        <v>40</v>
      </c>
      <c r="M465" s="22" t="n">
        <f aca="false">ROUNDUP(H465,0)</f>
        <v>25</v>
      </c>
      <c r="N465" s="24" t="n">
        <f aca="false">MAX(L465,M465)</f>
        <v>40</v>
      </c>
      <c r="O465" s="25" t="n">
        <v>10.4</v>
      </c>
      <c r="P465" s="25" t="n">
        <f aca="false">N465*O465</f>
        <v>416</v>
      </c>
      <c r="Q465" s="23" t="s">
        <v>5327</v>
      </c>
      <c r="R465" s="23" t="s">
        <v>2804</v>
      </c>
      <c r="S465" s="24" t="n">
        <v>40</v>
      </c>
      <c r="T465" s="25" t="n">
        <v>10.4</v>
      </c>
      <c r="U465" s="25" t="n">
        <v>416</v>
      </c>
      <c r="V465" s="25" t="n">
        <f aca="false">P465-U465</f>
        <v>0</v>
      </c>
      <c r="W465" s="25" t="n">
        <f aca="false">V465*12</f>
        <v>0</v>
      </c>
      <c r="X465" s="23" t="str">
        <f aca="false">IF(Q465="","MISSING FROM EXPORT",IF(ABS(V465)&lt;0.005,"CLEAR",IF(V465&gt;0,"UNDERBILLING","OVERBILLING")))</f>
        <v>CLEAR</v>
      </c>
      <c r="Y465" s="25" t="n">
        <f aca="false">IF(F465="COMMERCIAL",ROUND(P465*0.35,2),0)</f>
        <v>0</v>
      </c>
      <c r="Z465" s="23" t="str">
        <f aca="false">IF(F465="COMMERCIAL","VERIFY SIGNED AGREEMENT","NO EXCEPTION")</f>
        <v>NO EXCEPTION</v>
      </c>
      <c r="AA465" s="23" t="str">
        <f aca="false">IF(AND(C465="covered",N465&gt;40),"COVERED &gt;40 FT","")</f>
        <v/>
      </c>
      <c r="AB465" s="23" t="s">
        <v>5328</v>
      </c>
      <c r="AC465" s="23" t="s">
        <v>5329</v>
      </c>
      <c r="AD465" s="23" t="s">
        <v>2807</v>
      </c>
    </row>
    <row r="466" customFormat="false" ht="17.9" hidden="false" customHeight="false" outlineLevel="0" collapsed="false">
      <c r="A466" s="20" t="s">
        <v>5330</v>
      </c>
      <c r="B466" s="20" t="s">
        <v>79</v>
      </c>
      <c r="C466" s="20" t="s">
        <v>5162</v>
      </c>
      <c r="D466" s="20" t="s">
        <v>5331</v>
      </c>
      <c r="E466" s="20" t="s">
        <v>5332</v>
      </c>
      <c r="F466" s="20" t="s">
        <v>2801</v>
      </c>
      <c r="G466" s="20" t="s">
        <v>3015</v>
      </c>
      <c r="H466" s="22" t="n">
        <v>57.4</v>
      </c>
      <c r="I466" s="22" t="n">
        <v>57.4</v>
      </c>
      <c r="J466" s="22" t="n">
        <f aca="false">H466-I466</f>
        <v>0</v>
      </c>
      <c r="K466" s="20" t="str">
        <f aca="false">IF(ABS(J466)&lt;0.001,"MATCH - PAPER CHECK-IN NOT SUPPLIED","DATA MISMATCH")</f>
        <v>MATCH - PAPER CHECK-IN NOT SUPPLIED</v>
      </c>
      <c r="L466" s="22" t="n">
        <v>24</v>
      </c>
      <c r="M466" s="22" t="n">
        <f aca="false">ROUNDUP(H466,0)</f>
        <v>58</v>
      </c>
      <c r="N466" s="24" t="n">
        <f aca="false">MAX(L466,M466)</f>
        <v>58</v>
      </c>
      <c r="O466" s="25" t="n">
        <v>10.4</v>
      </c>
      <c r="P466" s="25" t="n">
        <f aca="false">N466*O466</f>
        <v>603.2</v>
      </c>
      <c r="Q466" s="23" t="s">
        <v>5333</v>
      </c>
      <c r="R466" s="23" t="s">
        <v>2804</v>
      </c>
      <c r="S466" s="24" t="n">
        <v>58</v>
      </c>
      <c r="T466" s="25" t="n">
        <v>10.4</v>
      </c>
      <c r="U466" s="25" t="n">
        <v>603.2</v>
      </c>
      <c r="V466" s="25" t="n">
        <f aca="false">P466-U466</f>
        <v>0</v>
      </c>
      <c r="W466" s="25" t="n">
        <f aca="false">V466*12</f>
        <v>0</v>
      </c>
      <c r="X466" s="23" t="str">
        <f aca="false">IF(Q466="","MISSING FROM EXPORT",IF(ABS(V466)&lt;0.005,"CLEAR",IF(V466&gt;0,"UNDERBILLING","OVERBILLING")))</f>
        <v>CLEAR</v>
      </c>
      <c r="Y466" s="25" t="n">
        <f aca="false">IF(F466="COMMERCIAL",ROUND(P466*0.35,2),0)</f>
        <v>0</v>
      </c>
      <c r="Z466" s="23" t="str">
        <f aca="false">IF(F466="COMMERCIAL","VERIFY SIGNED AGREEMENT","NO EXCEPTION")</f>
        <v>NO EXCEPTION</v>
      </c>
      <c r="AA466" s="23" t="str">
        <f aca="false">IF(AND(C466="covered",N466&gt;40),"COVERED &gt;40 FT","")</f>
        <v>COVERED &gt;40 FT</v>
      </c>
      <c r="AB466" s="23" t="s">
        <v>5334</v>
      </c>
      <c r="AC466" s="23" t="s">
        <v>5335</v>
      </c>
      <c r="AD466" s="23" t="s">
        <v>2807</v>
      </c>
    </row>
    <row r="467" customFormat="false" ht="17.9" hidden="false" customHeight="false" outlineLevel="0" collapsed="false">
      <c r="A467" s="20" t="s">
        <v>5336</v>
      </c>
      <c r="B467" s="20" t="s">
        <v>79</v>
      </c>
      <c r="C467" s="20" t="s">
        <v>5162</v>
      </c>
      <c r="D467" s="20" t="s">
        <v>5337</v>
      </c>
      <c r="E467" s="20" t="s">
        <v>5338</v>
      </c>
      <c r="F467" s="20" t="s">
        <v>2833</v>
      </c>
      <c r="G467" s="20" t="s">
        <v>4401</v>
      </c>
      <c r="H467" s="22" t="n">
        <v>49.7</v>
      </c>
      <c r="I467" s="22" t="n">
        <v>49.7</v>
      </c>
      <c r="J467" s="22" t="n">
        <f aca="false">H467-I467</f>
        <v>0</v>
      </c>
      <c r="K467" s="20" t="str">
        <f aca="false">IF(ABS(J467)&lt;0.001,"MATCH - PAPER CHECK-IN NOT SUPPLIED","DATA MISMATCH")</f>
        <v>MATCH - PAPER CHECK-IN NOT SUPPLIED</v>
      </c>
      <c r="L467" s="22" t="n">
        <v>40</v>
      </c>
      <c r="M467" s="22" t="n">
        <f aca="false">ROUNDUP(H467,0)</f>
        <v>50</v>
      </c>
      <c r="N467" s="24" t="n">
        <f aca="false">MAX(L467,M467)</f>
        <v>50</v>
      </c>
      <c r="O467" s="25" t="n">
        <v>10.4</v>
      </c>
      <c r="P467" s="25" t="n">
        <f aca="false">N467*O467</f>
        <v>520</v>
      </c>
      <c r="Q467" s="23" t="s">
        <v>5339</v>
      </c>
      <c r="R467" s="23" t="s">
        <v>2804</v>
      </c>
      <c r="S467" s="24" t="n">
        <v>50</v>
      </c>
      <c r="T467" s="25" t="n">
        <v>10.4</v>
      </c>
      <c r="U467" s="25" t="n">
        <v>520</v>
      </c>
      <c r="V467" s="25" t="n">
        <f aca="false">P467-U467</f>
        <v>0</v>
      </c>
      <c r="W467" s="25" t="n">
        <f aca="false">V467*12</f>
        <v>0</v>
      </c>
      <c r="X467" s="23" t="str">
        <f aca="false">IF(Q467="","MISSING FROM EXPORT",IF(ABS(V467)&lt;0.005,"CLEAR",IF(V467&gt;0,"UNDERBILLING","OVERBILLING")))</f>
        <v>CLEAR</v>
      </c>
      <c r="Y467" s="25" t="n">
        <f aca="false">IF(F467="COMMERCIAL",ROUND(P467*0.35,2),0)</f>
        <v>0</v>
      </c>
      <c r="Z467" s="23" t="str">
        <f aca="false">IF(F467="COMMERCIAL","VERIFY SIGNED AGREEMENT","NO EXCEPTION")</f>
        <v>NO EXCEPTION</v>
      </c>
      <c r="AA467" s="23" t="str">
        <f aca="false">IF(AND(C467="covered",N467&gt;40),"COVERED &gt;40 FT","")</f>
        <v>COVERED &gt;40 FT</v>
      </c>
      <c r="AB467" s="23" t="s">
        <v>5340</v>
      </c>
      <c r="AC467" s="23" t="s">
        <v>5341</v>
      </c>
      <c r="AD467" s="23" t="s">
        <v>2807</v>
      </c>
    </row>
    <row r="468" customFormat="false" ht="17.9" hidden="false" customHeight="false" outlineLevel="0" collapsed="false">
      <c r="A468" s="20" t="s">
        <v>5342</v>
      </c>
      <c r="B468" s="20" t="s">
        <v>79</v>
      </c>
      <c r="C468" s="20" t="s">
        <v>5162</v>
      </c>
      <c r="D468" s="20" t="s">
        <v>2164</v>
      </c>
      <c r="E468" s="20" t="s">
        <v>2165</v>
      </c>
      <c r="F468" s="20" t="s">
        <v>2833</v>
      </c>
      <c r="G468" s="20" t="s">
        <v>3022</v>
      </c>
      <c r="H468" s="22" t="n">
        <v>31</v>
      </c>
      <c r="I468" s="22" t="n">
        <v>31</v>
      </c>
      <c r="J468" s="22" t="n">
        <f aca="false">H468-I468</f>
        <v>0</v>
      </c>
      <c r="K468" s="20" t="str">
        <f aca="false">IF(ABS(J468)&lt;0.001,"MATCH - PAPER CHECK-IN NOT SUPPLIED","DATA MISMATCH")</f>
        <v>MATCH - PAPER CHECK-IN NOT SUPPLIED</v>
      </c>
      <c r="L468" s="22" t="n">
        <v>28</v>
      </c>
      <c r="M468" s="22" t="n">
        <f aca="false">ROUNDUP(H468,0)</f>
        <v>31</v>
      </c>
      <c r="N468" s="24" t="n">
        <f aca="false">MAX(L468,M468)</f>
        <v>31</v>
      </c>
      <c r="O468" s="25" t="n">
        <v>10.4</v>
      </c>
      <c r="P468" s="25" t="n">
        <f aca="false">N468*O468</f>
        <v>322.4</v>
      </c>
      <c r="Q468" s="23" t="s">
        <v>5343</v>
      </c>
      <c r="R468" s="23" t="s">
        <v>2804</v>
      </c>
      <c r="S468" s="24" t="n">
        <v>31</v>
      </c>
      <c r="T468" s="25" t="n">
        <v>10.4</v>
      </c>
      <c r="U468" s="25" t="n">
        <v>322.4</v>
      </c>
      <c r="V468" s="25" t="n">
        <f aca="false">P468-U468</f>
        <v>0</v>
      </c>
      <c r="W468" s="25" t="n">
        <f aca="false">V468*12</f>
        <v>0</v>
      </c>
      <c r="X468" s="23" t="str">
        <f aca="false">IF(Q468="","MISSING FROM EXPORT",IF(ABS(V468)&lt;0.005,"CLEAR",IF(V468&gt;0,"UNDERBILLING","OVERBILLING")))</f>
        <v>CLEAR</v>
      </c>
      <c r="Y468" s="25" t="n">
        <f aca="false">IF(F468="COMMERCIAL",ROUND(P468*0.35,2),0)</f>
        <v>0</v>
      </c>
      <c r="Z468" s="23" t="str">
        <f aca="false">IF(F468="COMMERCIAL","VERIFY SIGNED AGREEMENT","NO EXCEPTION")</f>
        <v>NO EXCEPTION</v>
      </c>
      <c r="AA468" s="23" t="str">
        <f aca="false">IF(AND(C468="covered",N468&gt;40),"COVERED &gt;40 FT","")</f>
        <v/>
      </c>
      <c r="AB468" s="23" t="s">
        <v>5344</v>
      </c>
      <c r="AC468" s="23" t="s">
        <v>5345</v>
      </c>
      <c r="AD468" s="23" t="s">
        <v>2807</v>
      </c>
    </row>
    <row r="469" customFormat="false" ht="17.9" hidden="false" customHeight="false" outlineLevel="0" collapsed="false">
      <c r="A469" s="20" t="s">
        <v>1054</v>
      </c>
      <c r="B469" s="20" t="s">
        <v>79</v>
      </c>
      <c r="C469" s="20" t="s">
        <v>5162</v>
      </c>
      <c r="D469" s="20" t="s">
        <v>5346</v>
      </c>
      <c r="E469" s="20" t="s">
        <v>5347</v>
      </c>
      <c r="F469" s="20" t="s">
        <v>2857</v>
      </c>
      <c r="G469" s="20" t="s">
        <v>3029</v>
      </c>
      <c r="H469" s="22" t="n">
        <v>26.3</v>
      </c>
      <c r="I469" s="22" t="n">
        <v>26.3</v>
      </c>
      <c r="J469" s="22" t="n">
        <f aca="false">H469-I469</f>
        <v>0</v>
      </c>
      <c r="K469" s="20" t="str">
        <f aca="false">IF(ABS(J469)&lt;0.001,"MATCH - PAPER CHECK-IN NOT SUPPLIED","DATA MISMATCH")</f>
        <v>MATCH - PAPER CHECK-IN NOT SUPPLIED</v>
      </c>
      <c r="L469" s="22" t="n">
        <v>28</v>
      </c>
      <c r="M469" s="22" t="n">
        <f aca="false">ROUNDUP(H469,0)</f>
        <v>27</v>
      </c>
      <c r="N469" s="24" t="n">
        <f aca="false">MAX(L469,M469)</f>
        <v>28</v>
      </c>
      <c r="O469" s="25" t="n">
        <v>10.4</v>
      </c>
      <c r="P469" s="25" t="n">
        <f aca="false">N469*O469</f>
        <v>291.2</v>
      </c>
      <c r="Q469" s="23" t="s">
        <v>5348</v>
      </c>
      <c r="R469" s="23" t="s">
        <v>2804</v>
      </c>
      <c r="S469" s="24" t="n">
        <v>28</v>
      </c>
      <c r="T469" s="25" t="n">
        <v>10.4</v>
      </c>
      <c r="U469" s="25" t="n">
        <v>291.2</v>
      </c>
      <c r="V469" s="25" t="n">
        <f aca="false">P469-U469</f>
        <v>0</v>
      </c>
      <c r="W469" s="25" t="n">
        <f aca="false">V469*12</f>
        <v>0</v>
      </c>
      <c r="X469" s="23" t="str">
        <f aca="false">IF(Q469="","MISSING FROM EXPORT",IF(ABS(V469)&lt;0.005,"CLEAR",IF(V469&gt;0,"UNDERBILLING","OVERBILLING")))</f>
        <v>CLEAR</v>
      </c>
      <c r="Y469" s="25" t="n">
        <f aca="false">IF(F469="COMMERCIAL",ROUND(P469*0.35,2),0)</f>
        <v>0</v>
      </c>
      <c r="Z469" s="23" t="str">
        <f aca="false">IF(F469="COMMERCIAL","VERIFY SIGNED AGREEMENT","NO EXCEPTION")</f>
        <v>NO EXCEPTION</v>
      </c>
      <c r="AA469" s="23" t="str">
        <f aca="false">IF(AND(C469="covered",N469&gt;40),"COVERED &gt;40 FT","")</f>
        <v/>
      </c>
      <c r="AB469" s="23" t="s">
        <v>5349</v>
      </c>
      <c r="AC469" s="23" t="s">
        <v>5350</v>
      </c>
      <c r="AD469" s="23" t="s">
        <v>2807</v>
      </c>
    </row>
    <row r="470" customFormat="false" ht="17.9" hidden="false" customHeight="false" outlineLevel="0" collapsed="false">
      <c r="A470" s="20" t="s">
        <v>847</v>
      </c>
      <c r="B470" s="20" t="s">
        <v>79</v>
      </c>
      <c r="C470" s="20" t="s">
        <v>5162</v>
      </c>
      <c r="D470" s="20" t="s">
        <v>5351</v>
      </c>
      <c r="E470" s="20" t="s">
        <v>5352</v>
      </c>
      <c r="F470" s="20" t="s">
        <v>2833</v>
      </c>
      <c r="G470" s="20" t="s">
        <v>3036</v>
      </c>
      <c r="H470" s="22" t="n">
        <v>57</v>
      </c>
      <c r="I470" s="22" t="n">
        <v>57</v>
      </c>
      <c r="J470" s="22" t="n">
        <f aca="false">H470-I470</f>
        <v>0</v>
      </c>
      <c r="K470" s="20" t="str">
        <f aca="false">IF(ABS(J470)&lt;0.001,"MATCH - PAPER CHECK-IN NOT SUPPLIED","DATA MISMATCH")</f>
        <v>MATCH - PAPER CHECK-IN NOT SUPPLIED</v>
      </c>
      <c r="L470" s="22" t="n">
        <v>32</v>
      </c>
      <c r="M470" s="22" t="n">
        <f aca="false">ROUNDUP(H470,0)</f>
        <v>57</v>
      </c>
      <c r="N470" s="24" t="n">
        <f aca="false">MAX(L470,M470)</f>
        <v>57</v>
      </c>
      <c r="O470" s="25" t="n">
        <v>10.4</v>
      </c>
      <c r="P470" s="25" t="n">
        <f aca="false">N470*O470</f>
        <v>592.8</v>
      </c>
      <c r="Q470" s="23" t="s">
        <v>5353</v>
      </c>
      <c r="R470" s="23" t="s">
        <v>2804</v>
      </c>
      <c r="S470" s="24" t="n">
        <v>57</v>
      </c>
      <c r="T470" s="25" t="n">
        <v>10.4</v>
      </c>
      <c r="U470" s="25" t="n">
        <v>592.8</v>
      </c>
      <c r="V470" s="25" t="n">
        <f aca="false">P470-U470</f>
        <v>0</v>
      </c>
      <c r="W470" s="25" t="n">
        <f aca="false">V470*12</f>
        <v>0</v>
      </c>
      <c r="X470" s="23" t="str">
        <f aca="false">IF(Q470="","MISSING FROM EXPORT",IF(ABS(V470)&lt;0.005,"CLEAR",IF(V470&gt;0,"UNDERBILLING","OVERBILLING")))</f>
        <v>CLEAR</v>
      </c>
      <c r="Y470" s="25" t="n">
        <f aca="false">IF(F470="COMMERCIAL",ROUND(P470*0.35,2),0)</f>
        <v>0</v>
      </c>
      <c r="Z470" s="23" t="str">
        <f aca="false">IF(F470="COMMERCIAL","VERIFY SIGNED AGREEMENT","NO EXCEPTION")</f>
        <v>NO EXCEPTION</v>
      </c>
      <c r="AA470" s="23" t="str">
        <f aca="false">IF(AND(C470="covered",N470&gt;40),"COVERED &gt;40 FT","")</f>
        <v>COVERED &gt;40 FT</v>
      </c>
      <c r="AB470" s="23" t="s">
        <v>5354</v>
      </c>
      <c r="AC470" s="23" t="s">
        <v>5355</v>
      </c>
      <c r="AD470" s="23" t="s">
        <v>2807</v>
      </c>
    </row>
    <row r="471" customFormat="false" ht="17.9" hidden="false" customHeight="false" outlineLevel="0" collapsed="false">
      <c r="A471" s="20" t="s">
        <v>5356</v>
      </c>
      <c r="B471" s="20" t="s">
        <v>79</v>
      </c>
      <c r="C471" s="20" t="s">
        <v>5162</v>
      </c>
      <c r="D471" s="20" t="s">
        <v>5357</v>
      </c>
      <c r="E471" s="20" t="s">
        <v>5358</v>
      </c>
      <c r="F471" s="20" t="s">
        <v>2833</v>
      </c>
      <c r="G471" s="20" t="s">
        <v>3041</v>
      </c>
      <c r="H471" s="22" t="n">
        <v>58.7</v>
      </c>
      <c r="I471" s="22" t="n">
        <v>58.7</v>
      </c>
      <c r="J471" s="22" t="n">
        <f aca="false">H471-I471</f>
        <v>0</v>
      </c>
      <c r="K471" s="20" t="str">
        <f aca="false">IF(ABS(J471)&lt;0.001,"MATCH - PAPER CHECK-IN NOT SUPPLIED","DATA MISMATCH")</f>
        <v>MATCH - PAPER CHECK-IN NOT SUPPLIED</v>
      </c>
      <c r="L471" s="22" t="n">
        <v>40</v>
      </c>
      <c r="M471" s="22" t="n">
        <f aca="false">ROUNDUP(H471,0)</f>
        <v>59</v>
      </c>
      <c r="N471" s="24" t="n">
        <f aca="false">MAX(L471,M471)</f>
        <v>59</v>
      </c>
      <c r="O471" s="25" t="n">
        <v>10.4</v>
      </c>
      <c r="P471" s="25" t="n">
        <f aca="false">N471*O471</f>
        <v>613.6</v>
      </c>
      <c r="Q471" s="23" t="s">
        <v>5359</v>
      </c>
      <c r="R471" s="23" t="s">
        <v>2804</v>
      </c>
      <c r="S471" s="24" t="n">
        <v>59</v>
      </c>
      <c r="T471" s="25" t="n">
        <v>10.4</v>
      </c>
      <c r="U471" s="25" t="n">
        <v>613.6</v>
      </c>
      <c r="V471" s="25" t="n">
        <f aca="false">P471-U471</f>
        <v>0</v>
      </c>
      <c r="W471" s="25" t="n">
        <f aca="false">V471*12</f>
        <v>0</v>
      </c>
      <c r="X471" s="23" t="str">
        <f aca="false">IF(Q471="","MISSING FROM EXPORT",IF(ABS(V471)&lt;0.005,"CLEAR",IF(V471&gt;0,"UNDERBILLING","OVERBILLING")))</f>
        <v>CLEAR</v>
      </c>
      <c r="Y471" s="25" t="n">
        <f aca="false">IF(F471="COMMERCIAL",ROUND(P471*0.35,2),0)</f>
        <v>0</v>
      </c>
      <c r="Z471" s="23" t="str">
        <f aca="false">IF(F471="COMMERCIAL","VERIFY SIGNED AGREEMENT","NO EXCEPTION")</f>
        <v>NO EXCEPTION</v>
      </c>
      <c r="AA471" s="23" t="str">
        <f aca="false">IF(AND(C471="covered",N471&gt;40),"COVERED &gt;40 FT","")</f>
        <v>COVERED &gt;40 FT</v>
      </c>
      <c r="AB471" s="23" t="s">
        <v>5360</v>
      </c>
      <c r="AC471" s="23" t="s">
        <v>5361</v>
      </c>
      <c r="AD471" s="23" t="s">
        <v>2807</v>
      </c>
    </row>
    <row r="472" customFormat="false" ht="17.9" hidden="false" customHeight="false" outlineLevel="0" collapsed="false">
      <c r="A472" s="20" t="s">
        <v>5362</v>
      </c>
      <c r="B472" s="20" t="s">
        <v>79</v>
      </c>
      <c r="C472" s="20" t="s">
        <v>5162</v>
      </c>
      <c r="D472" s="20" t="s">
        <v>5363</v>
      </c>
      <c r="E472" s="20" t="s">
        <v>5364</v>
      </c>
      <c r="F472" s="20" t="s">
        <v>2833</v>
      </c>
      <c r="G472" s="20" t="s">
        <v>3048</v>
      </c>
      <c r="H472" s="22" t="n">
        <v>41.6</v>
      </c>
      <c r="I472" s="22" t="n">
        <v>41.6</v>
      </c>
      <c r="J472" s="22" t="n">
        <f aca="false">H472-I472</f>
        <v>0</v>
      </c>
      <c r="K472" s="20" t="str">
        <f aca="false">IF(ABS(J472)&lt;0.001,"MATCH - PAPER CHECK-IN NOT SUPPLIED","DATA MISMATCH")</f>
        <v>MATCH - PAPER CHECK-IN NOT SUPPLIED</v>
      </c>
      <c r="L472" s="22" t="n">
        <v>24</v>
      </c>
      <c r="M472" s="22" t="n">
        <f aca="false">ROUNDUP(H472,0)</f>
        <v>42</v>
      </c>
      <c r="N472" s="24" t="n">
        <f aca="false">MAX(L472,M472)</f>
        <v>42</v>
      </c>
      <c r="O472" s="25" t="n">
        <v>10.4</v>
      </c>
      <c r="P472" s="25" t="n">
        <f aca="false">N472*O472</f>
        <v>436.8</v>
      </c>
      <c r="Q472" s="23" t="s">
        <v>5365</v>
      </c>
      <c r="R472" s="23" t="s">
        <v>2804</v>
      </c>
      <c r="S472" s="24" t="n">
        <v>42</v>
      </c>
      <c r="T472" s="25" t="n">
        <v>10.4</v>
      </c>
      <c r="U472" s="25" t="n">
        <v>436.8</v>
      </c>
      <c r="V472" s="25" t="n">
        <f aca="false">P472-U472</f>
        <v>0</v>
      </c>
      <c r="W472" s="25" t="n">
        <f aca="false">V472*12</f>
        <v>0</v>
      </c>
      <c r="X472" s="23" t="str">
        <f aca="false">IF(Q472="","MISSING FROM EXPORT",IF(ABS(V472)&lt;0.005,"CLEAR",IF(V472&gt;0,"UNDERBILLING","OVERBILLING")))</f>
        <v>CLEAR</v>
      </c>
      <c r="Y472" s="25" t="n">
        <f aca="false">IF(F472="COMMERCIAL",ROUND(P472*0.35,2),0)</f>
        <v>0</v>
      </c>
      <c r="Z472" s="23" t="str">
        <f aca="false">IF(F472="COMMERCIAL","VERIFY SIGNED AGREEMENT","NO EXCEPTION")</f>
        <v>NO EXCEPTION</v>
      </c>
      <c r="AA472" s="23" t="str">
        <f aca="false">IF(AND(C472="covered",N472&gt;40),"COVERED &gt;40 FT","")</f>
        <v>COVERED &gt;40 FT</v>
      </c>
      <c r="AB472" s="23" t="s">
        <v>5366</v>
      </c>
      <c r="AC472" s="23" t="s">
        <v>5367</v>
      </c>
      <c r="AD472" s="23" t="s">
        <v>2807</v>
      </c>
    </row>
    <row r="473" customFormat="false" ht="17.9" hidden="false" customHeight="false" outlineLevel="0" collapsed="false">
      <c r="A473" s="20" t="s">
        <v>381</v>
      </c>
      <c r="B473" s="20" t="s">
        <v>79</v>
      </c>
      <c r="C473" s="20" t="s">
        <v>5162</v>
      </c>
      <c r="D473" s="20" t="s">
        <v>5368</v>
      </c>
      <c r="E473" s="20" t="s">
        <v>5369</v>
      </c>
      <c r="F473" s="20" t="s">
        <v>2833</v>
      </c>
      <c r="G473" s="20" t="s">
        <v>3055</v>
      </c>
      <c r="H473" s="22" t="n">
        <v>46.9</v>
      </c>
      <c r="I473" s="22" t="n">
        <v>46.9</v>
      </c>
      <c r="J473" s="22" t="n">
        <f aca="false">H473-I473</f>
        <v>0</v>
      </c>
      <c r="K473" s="20" t="str">
        <f aca="false">IF(ABS(J473)&lt;0.001,"MATCH - PAPER CHECK-IN NOT SUPPLIED","DATA MISMATCH")</f>
        <v>MATCH - PAPER CHECK-IN NOT SUPPLIED</v>
      </c>
      <c r="L473" s="22" t="n">
        <v>28</v>
      </c>
      <c r="M473" s="22" t="n">
        <f aca="false">ROUNDUP(H473,0)</f>
        <v>47</v>
      </c>
      <c r="N473" s="24" t="n">
        <f aca="false">MAX(L473,M473)</f>
        <v>47</v>
      </c>
      <c r="O473" s="25" t="n">
        <v>10.4</v>
      </c>
      <c r="P473" s="25" t="n">
        <f aca="false">N473*O473</f>
        <v>488.8</v>
      </c>
      <c r="Q473" s="23" t="s">
        <v>5370</v>
      </c>
      <c r="R473" s="23" t="s">
        <v>2804</v>
      </c>
      <c r="S473" s="24" t="n">
        <v>47</v>
      </c>
      <c r="T473" s="25" t="n">
        <v>10.4</v>
      </c>
      <c r="U473" s="25" t="n">
        <v>488.8</v>
      </c>
      <c r="V473" s="25" t="n">
        <f aca="false">P473-U473</f>
        <v>0</v>
      </c>
      <c r="W473" s="25" t="n">
        <f aca="false">V473*12</f>
        <v>0</v>
      </c>
      <c r="X473" s="23" t="str">
        <f aca="false">IF(Q473="","MISSING FROM EXPORT",IF(ABS(V473)&lt;0.005,"CLEAR",IF(V473&gt;0,"UNDERBILLING","OVERBILLING")))</f>
        <v>CLEAR</v>
      </c>
      <c r="Y473" s="25" t="n">
        <f aca="false">IF(F473="COMMERCIAL",ROUND(P473*0.35,2),0)</f>
        <v>0</v>
      </c>
      <c r="Z473" s="23" t="str">
        <f aca="false">IF(F473="COMMERCIAL","VERIFY SIGNED AGREEMENT","NO EXCEPTION")</f>
        <v>NO EXCEPTION</v>
      </c>
      <c r="AA473" s="23" t="str">
        <f aca="false">IF(AND(C473="covered",N473&gt;40),"COVERED &gt;40 FT","")</f>
        <v>COVERED &gt;40 FT</v>
      </c>
      <c r="AB473" s="23" t="s">
        <v>5371</v>
      </c>
      <c r="AC473" s="23" t="s">
        <v>5372</v>
      </c>
      <c r="AD473" s="23" t="s">
        <v>2807</v>
      </c>
    </row>
    <row r="474" customFormat="false" ht="17.9" hidden="false" customHeight="false" outlineLevel="0" collapsed="false">
      <c r="A474" s="20" t="s">
        <v>367</v>
      </c>
      <c r="B474" s="20" t="s">
        <v>79</v>
      </c>
      <c r="C474" s="20" t="s">
        <v>5162</v>
      </c>
      <c r="D474" s="20" t="s">
        <v>5373</v>
      </c>
      <c r="E474" s="20" t="s">
        <v>5374</v>
      </c>
      <c r="F474" s="20" t="s">
        <v>2869</v>
      </c>
      <c r="G474" s="20" t="s">
        <v>3062</v>
      </c>
      <c r="H474" s="22" t="n">
        <v>45.1</v>
      </c>
      <c r="I474" s="22" t="n">
        <v>45.1</v>
      </c>
      <c r="J474" s="22" t="n">
        <f aca="false">H474-I474</f>
        <v>0</v>
      </c>
      <c r="K474" s="20" t="str">
        <f aca="false">IF(ABS(J474)&lt;0.001,"MATCH - PAPER CHECK-IN NOT SUPPLIED","DATA MISMATCH")</f>
        <v>MATCH - PAPER CHECK-IN NOT SUPPLIED</v>
      </c>
      <c r="L474" s="22" t="n">
        <v>28</v>
      </c>
      <c r="M474" s="22" t="n">
        <f aca="false">ROUNDUP(H474,0)</f>
        <v>46</v>
      </c>
      <c r="N474" s="24" t="n">
        <f aca="false">MAX(L474,M474)</f>
        <v>46</v>
      </c>
      <c r="O474" s="25" t="n">
        <v>10.4</v>
      </c>
      <c r="P474" s="25" t="n">
        <f aca="false">N474*O474</f>
        <v>478.4</v>
      </c>
      <c r="Q474" s="23" t="s">
        <v>5375</v>
      </c>
      <c r="R474" s="23" t="s">
        <v>2804</v>
      </c>
      <c r="S474" s="24" t="n">
        <v>46</v>
      </c>
      <c r="T474" s="25" t="n">
        <v>10.4</v>
      </c>
      <c r="U474" s="25" t="n">
        <v>478.4</v>
      </c>
      <c r="V474" s="25" t="n">
        <f aca="false">P474-U474</f>
        <v>0</v>
      </c>
      <c r="W474" s="25" t="n">
        <f aca="false">V474*12</f>
        <v>0</v>
      </c>
      <c r="X474" s="23" t="str">
        <f aca="false">IF(Q474="","MISSING FROM EXPORT",IF(ABS(V474)&lt;0.005,"CLEAR",IF(V474&gt;0,"UNDERBILLING","OVERBILLING")))</f>
        <v>CLEAR</v>
      </c>
      <c r="Y474" s="25" t="n">
        <f aca="false">IF(F474="COMMERCIAL",ROUND(P474*0.35,2),0)</f>
        <v>0</v>
      </c>
      <c r="Z474" s="23" t="str">
        <f aca="false">IF(F474="COMMERCIAL","VERIFY SIGNED AGREEMENT","NO EXCEPTION")</f>
        <v>NO EXCEPTION</v>
      </c>
      <c r="AA474" s="23" t="str">
        <f aca="false">IF(AND(C474="covered",N474&gt;40),"COVERED &gt;40 FT","")</f>
        <v>COVERED &gt;40 FT</v>
      </c>
      <c r="AB474" s="23" t="s">
        <v>5376</v>
      </c>
      <c r="AC474" s="23" t="s">
        <v>5377</v>
      </c>
      <c r="AD474" s="23" t="s">
        <v>2807</v>
      </c>
    </row>
    <row r="475" customFormat="false" ht="17.9" hidden="false" customHeight="false" outlineLevel="0" collapsed="false">
      <c r="A475" s="20" t="s">
        <v>5378</v>
      </c>
      <c r="B475" s="20" t="s">
        <v>79</v>
      </c>
      <c r="C475" s="20" t="s">
        <v>5162</v>
      </c>
      <c r="D475" s="20" t="s">
        <v>5379</v>
      </c>
      <c r="E475" s="20" t="s">
        <v>5380</v>
      </c>
      <c r="F475" s="20" t="s">
        <v>2833</v>
      </c>
      <c r="G475" s="20" t="s">
        <v>3069</v>
      </c>
      <c r="H475" s="22" t="n">
        <v>57.8</v>
      </c>
      <c r="I475" s="22" t="n">
        <v>57.8</v>
      </c>
      <c r="J475" s="22" t="n">
        <f aca="false">H475-I475</f>
        <v>0</v>
      </c>
      <c r="K475" s="20" t="str">
        <f aca="false">IF(ABS(J475)&lt;0.001,"MATCH - PAPER CHECK-IN NOT SUPPLIED","DATA MISMATCH")</f>
        <v>MATCH - PAPER CHECK-IN NOT SUPPLIED</v>
      </c>
      <c r="L475" s="22" t="n">
        <v>24</v>
      </c>
      <c r="M475" s="22" t="n">
        <f aca="false">ROUNDUP(H475,0)</f>
        <v>58</v>
      </c>
      <c r="N475" s="24" t="n">
        <f aca="false">MAX(L475,M475)</f>
        <v>58</v>
      </c>
      <c r="O475" s="25" t="n">
        <v>10.4</v>
      </c>
      <c r="P475" s="25" t="n">
        <f aca="false">N475*O475</f>
        <v>603.2</v>
      </c>
      <c r="Q475" s="23" t="s">
        <v>5381</v>
      </c>
      <c r="R475" s="23" t="s">
        <v>2804</v>
      </c>
      <c r="S475" s="24" t="n">
        <v>58</v>
      </c>
      <c r="T475" s="25" t="n">
        <v>10.4</v>
      </c>
      <c r="U475" s="25" t="n">
        <v>603.2</v>
      </c>
      <c r="V475" s="25" t="n">
        <f aca="false">P475-U475</f>
        <v>0</v>
      </c>
      <c r="W475" s="25" t="n">
        <f aca="false">V475*12</f>
        <v>0</v>
      </c>
      <c r="X475" s="23" t="str">
        <f aca="false">IF(Q475="","MISSING FROM EXPORT",IF(ABS(V475)&lt;0.005,"CLEAR",IF(V475&gt;0,"UNDERBILLING","OVERBILLING")))</f>
        <v>CLEAR</v>
      </c>
      <c r="Y475" s="25" t="n">
        <f aca="false">IF(F475="COMMERCIAL",ROUND(P475*0.35,2),0)</f>
        <v>0</v>
      </c>
      <c r="Z475" s="23" t="str">
        <f aca="false">IF(F475="COMMERCIAL","VERIFY SIGNED AGREEMENT","NO EXCEPTION")</f>
        <v>NO EXCEPTION</v>
      </c>
      <c r="AA475" s="23" t="str">
        <f aca="false">IF(AND(C475="covered",N475&gt;40),"COVERED &gt;40 FT","")</f>
        <v>COVERED &gt;40 FT</v>
      </c>
      <c r="AB475" s="23" t="s">
        <v>5382</v>
      </c>
      <c r="AC475" s="23" t="s">
        <v>5383</v>
      </c>
      <c r="AD475" s="23" t="s">
        <v>2807</v>
      </c>
    </row>
    <row r="476" customFormat="false" ht="17.9" hidden="false" customHeight="false" outlineLevel="0" collapsed="false">
      <c r="A476" s="20" t="s">
        <v>5384</v>
      </c>
      <c r="B476" s="20" t="s">
        <v>79</v>
      </c>
      <c r="C476" s="20" t="s">
        <v>5162</v>
      </c>
      <c r="D476" s="20" t="s">
        <v>5385</v>
      </c>
      <c r="E476" s="20" t="s">
        <v>5386</v>
      </c>
      <c r="F476" s="20" t="s">
        <v>2818</v>
      </c>
      <c r="G476" s="20" t="s">
        <v>3076</v>
      </c>
      <c r="H476" s="22" t="n">
        <v>25.5</v>
      </c>
      <c r="I476" s="22" t="n">
        <v>25.5</v>
      </c>
      <c r="J476" s="22" t="n">
        <f aca="false">H476-I476</f>
        <v>0</v>
      </c>
      <c r="K476" s="20" t="str">
        <f aca="false">IF(ABS(J476)&lt;0.001,"MATCH - PAPER CHECK-IN NOT SUPPLIED","DATA MISMATCH")</f>
        <v>MATCH - PAPER CHECK-IN NOT SUPPLIED</v>
      </c>
      <c r="L476" s="22" t="n">
        <v>36</v>
      </c>
      <c r="M476" s="22" t="n">
        <f aca="false">ROUNDUP(H476,0)</f>
        <v>26</v>
      </c>
      <c r="N476" s="24" t="n">
        <f aca="false">MAX(L476,M476)</f>
        <v>36</v>
      </c>
      <c r="O476" s="25" t="n">
        <v>10.4</v>
      </c>
      <c r="P476" s="25" t="n">
        <f aca="false">N476*O476</f>
        <v>374.4</v>
      </c>
      <c r="Q476" s="23" t="s">
        <v>5387</v>
      </c>
      <c r="R476" s="23" t="s">
        <v>2804</v>
      </c>
      <c r="S476" s="24" t="n">
        <v>36</v>
      </c>
      <c r="T476" s="25" t="n">
        <v>10.4</v>
      </c>
      <c r="U476" s="25" t="n">
        <v>374.4</v>
      </c>
      <c r="V476" s="25" t="n">
        <f aca="false">P476-U476</f>
        <v>0</v>
      </c>
      <c r="W476" s="25" t="n">
        <f aca="false">V476*12</f>
        <v>0</v>
      </c>
      <c r="X476" s="23" t="str">
        <f aca="false">IF(Q476="","MISSING FROM EXPORT",IF(ABS(V476)&lt;0.005,"CLEAR",IF(V476&gt;0,"UNDERBILLING","OVERBILLING")))</f>
        <v>CLEAR</v>
      </c>
      <c r="Y476" s="25" t="n">
        <f aca="false">IF(F476="COMMERCIAL",ROUND(P476*0.35,2),0)</f>
        <v>0</v>
      </c>
      <c r="Z476" s="23" t="str">
        <f aca="false">IF(F476="COMMERCIAL","VERIFY SIGNED AGREEMENT","NO EXCEPTION")</f>
        <v>NO EXCEPTION</v>
      </c>
      <c r="AA476" s="23" t="str">
        <f aca="false">IF(AND(C476="covered",N476&gt;40),"COVERED &gt;40 FT","")</f>
        <v/>
      </c>
      <c r="AB476" s="23" t="s">
        <v>5388</v>
      </c>
      <c r="AC476" s="23" t="s">
        <v>5389</v>
      </c>
      <c r="AD476" s="23" t="s">
        <v>2807</v>
      </c>
    </row>
    <row r="477" customFormat="false" ht="17.9" hidden="false" customHeight="false" outlineLevel="0" collapsed="false">
      <c r="A477" s="20" t="s">
        <v>5390</v>
      </c>
      <c r="B477" s="20" t="s">
        <v>79</v>
      </c>
      <c r="C477" s="20" t="s">
        <v>5162</v>
      </c>
      <c r="D477" s="20" t="s">
        <v>5391</v>
      </c>
      <c r="E477" s="20" t="s">
        <v>5392</v>
      </c>
      <c r="F477" s="20" t="s">
        <v>2818</v>
      </c>
      <c r="G477" s="20" t="s">
        <v>3083</v>
      </c>
      <c r="H477" s="22" t="n">
        <v>49.8</v>
      </c>
      <c r="I477" s="22" t="n">
        <v>49.8</v>
      </c>
      <c r="J477" s="22" t="n">
        <f aca="false">H477-I477</f>
        <v>0</v>
      </c>
      <c r="K477" s="20" t="str">
        <f aca="false">IF(ABS(J477)&lt;0.001,"MATCH - PAPER CHECK-IN NOT SUPPLIED","DATA MISMATCH")</f>
        <v>MATCH - PAPER CHECK-IN NOT SUPPLIED</v>
      </c>
      <c r="L477" s="22" t="n">
        <v>24</v>
      </c>
      <c r="M477" s="22" t="n">
        <f aca="false">ROUNDUP(H477,0)</f>
        <v>50</v>
      </c>
      <c r="N477" s="24" t="n">
        <f aca="false">MAX(L477,M477)</f>
        <v>50</v>
      </c>
      <c r="O477" s="25" t="n">
        <v>10.4</v>
      </c>
      <c r="P477" s="25" t="n">
        <f aca="false">N477*O477</f>
        <v>520</v>
      </c>
      <c r="Q477" s="23" t="s">
        <v>5393</v>
      </c>
      <c r="R477" s="23" t="s">
        <v>2804</v>
      </c>
      <c r="S477" s="24" t="n">
        <v>50</v>
      </c>
      <c r="T477" s="25" t="n">
        <v>10.4</v>
      </c>
      <c r="U477" s="25" t="n">
        <v>520</v>
      </c>
      <c r="V477" s="25" t="n">
        <f aca="false">P477-U477</f>
        <v>0</v>
      </c>
      <c r="W477" s="25" t="n">
        <f aca="false">V477*12</f>
        <v>0</v>
      </c>
      <c r="X477" s="23" t="str">
        <f aca="false">IF(Q477="","MISSING FROM EXPORT",IF(ABS(V477)&lt;0.005,"CLEAR",IF(V477&gt;0,"UNDERBILLING","OVERBILLING")))</f>
        <v>CLEAR</v>
      </c>
      <c r="Y477" s="25" t="n">
        <f aca="false">IF(F477="COMMERCIAL",ROUND(P477*0.35,2),0)</f>
        <v>0</v>
      </c>
      <c r="Z477" s="23" t="str">
        <f aca="false">IF(F477="COMMERCIAL","VERIFY SIGNED AGREEMENT","NO EXCEPTION")</f>
        <v>NO EXCEPTION</v>
      </c>
      <c r="AA477" s="23" t="str">
        <f aca="false">IF(AND(C477="covered",N477&gt;40),"COVERED &gt;40 FT","")</f>
        <v>COVERED &gt;40 FT</v>
      </c>
      <c r="AB477" s="23" t="s">
        <v>5394</v>
      </c>
      <c r="AC477" s="23" t="s">
        <v>5395</v>
      </c>
      <c r="AD477" s="23" t="s">
        <v>2807</v>
      </c>
    </row>
    <row r="478" customFormat="false" ht="17.9" hidden="false" customHeight="false" outlineLevel="0" collapsed="false">
      <c r="A478" s="20" t="s">
        <v>5396</v>
      </c>
      <c r="B478" s="20" t="s">
        <v>79</v>
      </c>
      <c r="C478" s="20" t="s">
        <v>5162</v>
      </c>
      <c r="D478" s="20" t="s">
        <v>5397</v>
      </c>
      <c r="E478" s="20" t="s">
        <v>5398</v>
      </c>
      <c r="F478" s="20" t="s">
        <v>2857</v>
      </c>
      <c r="G478" s="20" t="s">
        <v>3090</v>
      </c>
      <c r="H478" s="22" t="n">
        <v>26.7</v>
      </c>
      <c r="I478" s="22" t="n">
        <v>26.7</v>
      </c>
      <c r="J478" s="22" t="n">
        <f aca="false">H478-I478</f>
        <v>0</v>
      </c>
      <c r="K478" s="20" t="str">
        <f aca="false">IF(ABS(J478)&lt;0.001,"MATCH - PAPER CHECK-IN NOT SUPPLIED","DATA MISMATCH")</f>
        <v>MATCH - PAPER CHECK-IN NOT SUPPLIED</v>
      </c>
      <c r="L478" s="22" t="n">
        <v>40</v>
      </c>
      <c r="M478" s="22" t="n">
        <f aca="false">ROUNDUP(H478,0)</f>
        <v>27</v>
      </c>
      <c r="N478" s="24" t="n">
        <f aca="false">MAX(L478,M478)</f>
        <v>40</v>
      </c>
      <c r="O478" s="25" t="n">
        <v>10.4</v>
      </c>
      <c r="P478" s="25" t="n">
        <f aca="false">N478*O478</f>
        <v>416</v>
      </c>
      <c r="Q478" s="23" t="s">
        <v>5399</v>
      </c>
      <c r="R478" s="23" t="s">
        <v>2804</v>
      </c>
      <c r="S478" s="24" t="n">
        <v>40</v>
      </c>
      <c r="T478" s="25" t="n">
        <v>10.4</v>
      </c>
      <c r="U478" s="25" t="n">
        <v>416</v>
      </c>
      <c r="V478" s="25" t="n">
        <f aca="false">P478-U478</f>
        <v>0</v>
      </c>
      <c r="W478" s="25" t="n">
        <f aca="false">V478*12</f>
        <v>0</v>
      </c>
      <c r="X478" s="23" t="str">
        <f aca="false">IF(Q478="","MISSING FROM EXPORT",IF(ABS(V478)&lt;0.005,"CLEAR",IF(V478&gt;0,"UNDERBILLING","OVERBILLING")))</f>
        <v>CLEAR</v>
      </c>
      <c r="Y478" s="25" t="n">
        <f aca="false">IF(F478="COMMERCIAL",ROUND(P478*0.35,2),0)</f>
        <v>0</v>
      </c>
      <c r="Z478" s="23" t="str">
        <f aca="false">IF(F478="COMMERCIAL","VERIFY SIGNED AGREEMENT","NO EXCEPTION")</f>
        <v>NO EXCEPTION</v>
      </c>
      <c r="AA478" s="23" t="str">
        <f aca="false">IF(AND(C478="covered",N478&gt;40),"COVERED &gt;40 FT","")</f>
        <v/>
      </c>
      <c r="AB478" s="23" t="s">
        <v>5400</v>
      </c>
      <c r="AC478" s="23" t="s">
        <v>5401</v>
      </c>
      <c r="AD478" s="23" t="s">
        <v>2807</v>
      </c>
    </row>
    <row r="479" customFormat="false" ht="17.9" hidden="false" customHeight="false" outlineLevel="0" collapsed="false">
      <c r="A479" s="20" t="s">
        <v>5402</v>
      </c>
      <c r="B479" s="20" t="s">
        <v>79</v>
      </c>
      <c r="C479" s="20" t="s">
        <v>5162</v>
      </c>
      <c r="D479" s="20" t="s">
        <v>5403</v>
      </c>
      <c r="E479" s="20" t="s">
        <v>5404</v>
      </c>
      <c r="F479" s="20" t="s">
        <v>2857</v>
      </c>
      <c r="G479" s="20" t="s">
        <v>4452</v>
      </c>
      <c r="H479" s="22" t="n">
        <v>18.4</v>
      </c>
      <c r="I479" s="22" t="n">
        <v>18.4</v>
      </c>
      <c r="J479" s="22" t="n">
        <f aca="false">H479-I479</f>
        <v>0</v>
      </c>
      <c r="K479" s="20" t="str">
        <f aca="false">IF(ABS(J479)&lt;0.001,"MATCH - PAPER CHECK-IN NOT SUPPLIED","DATA MISMATCH")</f>
        <v>MATCH - PAPER CHECK-IN NOT SUPPLIED</v>
      </c>
      <c r="L479" s="22" t="n">
        <v>28</v>
      </c>
      <c r="M479" s="22" t="n">
        <f aca="false">ROUNDUP(H479,0)</f>
        <v>19</v>
      </c>
      <c r="N479" s="24" t="n">
        <f aca="false">MAX(L479,M479)</f>
        <v>28</v>
      </c>
      <c r="O479" s="25" t="n">
        <v>10.4</v>
      </c>
      <c r="P479" s="25" t="n">
        <f aca="false">N479*O479</f>
        <v>291.2</v>
      </c>
      <c r="Q479" s="23" t="s">
        <v>5405</v>
      </c>
      <c r="R479" s="23" t="s">
        <v>2804</v>
      </c>
      <c r="S479" s="24" t="n">
        <v>28</v>
      </c>
      <c r="T479" s="25" t="n">
        <v>10.4</v>
      </c>
      <c r="U479" s="25" t="n">
        <v>291.2</v>
      </c>
      <c r="V479" s="25" t="n">
        <f aca="false">P479-U479</f>
        <v>0</v>
      </c>
      <c r="W479" s="25" t="n">
        <f aca="false">V479*12</f>
        <v>0</v>
      </c>
      <c r="X479" s="23" t="str">
        <f aca="false">IF(Q479="","MISSING FROM EXPORT",IF(ABS(V479)&lt;0.005,"CLEAR",IF(V479&gt;0,"UNDERBILLING","OVERBILLING")))</f>
        <v>CLEAR</v>
      </c>
      <c r="Y479" s="25" t="n">
        <f aca="false">IF(F479="COMMERCIAL",ROUND(P479*0.35,2),0)</f>
        <v>0</v>
      </c>
      <c r="Z479" s="23" t="str">
        <f aca="false">IF(F479="COMMERCIAL","VERIFY SIGNED AGREEMENT","NO EXCEPTION")</f>
        <v>NO EXCEPTION</v>
      </c>
      <c r="AA479" s="23" t="str">
        <f aca="false">IF(AND(C479="covered",N479&gt;40),"COVERED &gt;40 FT","")</f>
        <v/>
      </c>
      <c r="AB479" s="23" t="s">
        <v>5406</v>
      </c>
      <c r="AC479" s="23" t="s">
        <v>5407</v>
      </c>
      <c r="AD479" s="23" t="s">
        <v>2807</v>
      </c>
    </row>
    <row r="480" customFormat="false" ht="17.9" hidden="false" customHeight="false" outlineLevel="0" collapsed="false">
      <c r="A480" s="20" t="s">
        <v>5408</v>
      </c>
      <c r="B480" s="20" t="s">
        <v>79</v>
      </c>
      <c r="C480" s="20" t="s">
        <v>5162</v>
      </c>
      <c r="D480" s="20" t="s">
        <v>2547</v>
      </c>
      <c r="E480" s="20" t="s">
        <v>5409</v>
      </c>
      <c r="F480" s="20" t="s">
        <v>2810</v>
      </c>
      <c r="G480" s="20" t="s">
        <v>3097</v>
      </c>
      <c r="H480" s="22" t="n">
        <v>37.3</v>
      </c>
      <c r="I480" s="22" t="n">
        <v>37.3</v>
      </c>
      <c r="J480" s="22" t="n">
        <f aca="false">H480-I480</f>
        <v>0</v>
      </c>
      <c r="K480" s="20" t="str">
        <f aca="false">IF(ABS(J480)&lt;0.001,"MATCH - PAPER CHECK-IN NOT SUPPLIED","DATA MISMATCH")</f>
        <v>MATCH - PAPER CHECK-IN NOT SUPPLIED</v>
      </c>
      <c r="L480" s="22" t="n">
        <v>32</v>
      </c>
      <c r="M480" s="22" t="n">
        <f aca="false">ROUNDUP(H480,0)</f>
        <v>38</v>
      </c>
      <c r="N480" s="24" t="n">
        <f aca="false">MAX(L480,M480)</f>
        <v>38</v>
      </c>
      <c r="O480" s="25" t="n">
        <v>10.4</v>
      </c>
      <c r="P480" s="25" t="n">
        <f aca="false">N480*O480</f>
        <v>395.2</v>
      </c>
      <c r="Q480" s="23" t="s">
        <v>5410</v>
      </c>
      <c r="R480" s="23" t="s">
        <v>2804</v>
      </c>
      <c r="S480" s="24" t="n">
        <v>38</v>
      </c>
      <c r="T480" s="25" t="n">
        <v>10.4</v>
      </c>
      <c r="U480" s="25" t="n">
        <v>395.2</v>
      </c>
      <c r="V480" s="25" t="n">
        <f aca="false">P480-U480</f>
        <v>0</v>
      </c>
      <c r="W480" s="25" t="n">
        <f aca="false">V480*12</f>
        <v>0</v>
      </c>
      <c r="X480" s="23" t="str">
        <f aca="false">IF(Q480="","MISSING FROM EXPORT",IF(ABS(V480)&lt;0.005,"CLEAR",IF(V480&gt;0,"UNDERBILLING","OVERBILLING")))</f>
        <v>CLEAR</v>
      </c>
      <c r="Y480" s="25" t="n">
        <f aca="false">IF(F480="COMMERCIAL",ROUND(P480*0.35,2),0)</f>
        <v>0</v>
      </c>
      <c r="Z480" s="23" t="str">
        <f aca="false">IF(F480="COMMERCIAL","VERIFY SIGNED AGREEMENT","NO EXCEPTION")</f>
        <v>NO EXCEPTION</v>
      </c>
      <c r="AA480" s="23" t="str">
        <f aca="false">IF(AND(C480="covered",N480&gt;40),"COVERED &gt;40 FT","")</f>
        <v/>
      </c>
      <c r="AB480" s="23" t="s">
        <v>5411</v>
      </c>
      <c r="AC480" s="23" t="s">
        <v>5412</v>
      </c>
      <c r="AD480" s="23" t="s">
        <v>2807</v>
      </c>
    </row>
    <row r="481" customFormat="false" ht="17.9" hidden="false" customHeight="false" outlineLevel="0" collapsed="false">
      <c r="A481" s="20" t="s">
        <v>979</v>
      </c>
      <c r="B481" s="20" t="s">
        <v>79</v>
      </c>
      <c r="C481" s="20" t="s">
        <v>5162</v>
      </c>
      <c r="D481" s="20" t="s">
        <v>5413</v>
      </c>
      <c r="E481" s="20" t="s">
        <v>5414</v>
      </c>
      <c r="F481" s="20" t="s">
        <v>2810</v>
      </c>
      <c r="G481" s="20" t="s">
        <v>3104</v>
      </c>
      <c r="H481" s="22" t="n">
        <v>54</v>
      </c>
      <c r="I481" s="22" t="n">
        <v>54</v>
      </c>
      <c r="J481" s="22" t="n">
        <f aca="false">H481-I481</f>
        <v>0</v>
      </c>
      <c r="K481" s="20" t="str">
        <f aca="false">IF(ABS(J481)&lt;0.001,"MATCH - PAPER CHECK-IN NOT SUPPLIED","DATA MISMATCH")</f>
        <v>MATCH - PAPER CHECK-IN NOT SUPPLIED</v>
      </c>
      <c r="L481" s="22" t="n">
        <v>32</v>
      </c>
      <c r="M481" s="22" t="n">
        <f aca="false">ROUNDUP(H481,0)</f>
        <v>54</v>
      </c>
      <c r="N481" s="24" t="n">
        <f aca="false">MAX(L481,M481)</f>
        <v>54</v>
      </c>
      <c r="O481" s="25" t="n">
        <v>10.4</v>
      </c>
      <c r="P481" s="25" t="n">
        <f aca="false">N481*O481</f>
        <v>561.6</v>
      </c>
      <c r="Q481" s="23" t="s">
        <v>5415</v>
      </c>
      <c r="R481" s="23" t="s">
        <v>2804</v>
      </c>
      <c r="S481" s="24" t="n">
        <v>54</v>
      </c>
      <c r="T481" s="25" t="n">
        <v>10.4</v>
      </c>
      <c r="U481" s="25" t="n">
        <v>561.6</v>
      </c>
      <c r="V481" s="25" t="n">
        <f aca="false">P481-U481</f>
        <v>0</v>
      </c>
      <c r="W481" s="25" t="n">
        <f aca="false">V481*12</f>
        <v>0</v>
      </c>
      <c r="X481" s="23" t="str">
        <f aca="false">IF(Q481="","MISSING FROM EXPORT",IF(ABS(V481)&lt;0.005,"CLEAR",IF(V481&gt;0,"UNDERBILLING","OVERBILLING")))</f>
        <v>CLEAR</v>
      </c>
      <c r="Y481" s="25" t="n">
        <f aca="false">IF(F481="COMMERCIAL",ROUND(P481*0.35,2),0)</f>
        <v>0</v>
      </c>
      <c r="Z481" s="23" t="str">
        <f aca="false">IF(F481="COMMERCIAL","VERIFY SIGNED AGREEMENT","NO EXCEPTION")</f>
        <v>NO EXCEPTION</v>
      </c>
      <c r="AA481" s="23" t="str">
        <f aca="false">IF(AND(C481="covered",N481&gt;40),"COVERED &gt;40 FT","")</f>
        <v>COVERED &gt;40 FT</v>
      </c>
      <c r="AB481" s="23" t="s">
        <v>5416</v>
      </c>
      <c r="AC481" s="23" t="s">
        <v>5417</v>
      </c>
      <c r="AD481" s="23" t="s">
        <v>2807</v>
      </c>
    </row>
    <row r="482" customFormat="false" ht="17.9" hidden="false" customHeight="false" outlineLevel="0" collapsed="false">
      <c r="A482" s="20" t="s">
        <v>5418</v>
      </c>
      <c r="B482" s="20" t="s">
        <v>79</v>
      </c>
      <c r="C482" s="20" t="s">
        <v>5162</v>
      </c>
      <c r="D482" s="20" t="s">
        <v>2325</v>
      </c>
      <c r="E482" s="20" t="s">
        <v>2326</v>
      </c>
      <c r="F482" s="20" t="s">
        <v>2833</v>
      </c>
      <c r="G482" s="20" t="s">
        <v>3117</v>
      </c>
      <c r="H482" s="22" t="n">
        <v>19.4</v>
      </c>
      <c r="I482" s="22" t="n">
        <v>19.4</v>
      </c>
      <c r="J482" s="22" t="n">
        <f aca="false">H482-I482</f>
        <v>0</v>
      </c>
      <c r="K482" s="20" t="str">
        <f aca="false">IF(ABS(J482)&lt;0.001,"MATCH - PAPER CHECK-IN NOT SUPPLIED","DATA MISMATCH")</f>
        <v>MATCH - PAPER CHECK-IN NOT SUPPLIED</v>
      </c>
      <c r="L482" s="22" t="n">
        <v>32</v>
      </c>
      <c r="M482" s="22" t="n">
        <f aca="false">ROUNDUP(H482,0)</f>
        <v>20</v>
      </c>
      <c r="N482" s="24" t="n">
        <f aca="false">MAX(L482,M482)</f>
        <v>32</v>
      </c>
      <c r="O482" s="25" t="n">
        <v>10.4</v>
      </c>
      <c r="P482" s="25" t="n">
        <f aca="false">N482*O482</f>
        <v>332.8</v>
      </c>
      <c r="Q482" s="23" t="s">
        <v>5419</v>
      </c>
      <c r="R482" s="23" t="s">
        <v>2804</v>
      </c>
      <c r="S482" s="24" t="n">
        <v>32</v>
      </c>
      <c r="T482" s="25" t="n">
        <v>10.4</v>
      </c>
      <c r="U482" s="25" t="n">
        <v>332.8</v>
      </c>
      <c r="V482" s="25" t="n">
        <f aca="false">P482-U482</f>
        <v>0</v>
      </c>
      <c r="W482" s="25" t="n">
        <f aca="false">V482*12</f>
        <v>0</v>
      </c>
      <c r="X482" s="23" t="str">
        <f aca="false">IF(Q482="","MISSING FROM EXPORT",IF(ABS(V482)&lt;0.005,"CLEAR",IF(V482&gt;0,"UNDERBILLING","OVERBILLING")))</f>
        <v>CLEAR</v>
      </c>
      <c r="Y482" s="25" t="n">
        <f aca="false">IF(F482="COMMERCIAL",ROUND(P482*0.35,2),0)</f>
        <v>0</v>
      </c>
      <c r="Z482" s="23" t="str">
        <f aca="false">IF(F482="COMMERCIAL","VERIFY SIGNED AGREEMENT","NO EXCEPTION")</f>
        <v>NO EXCEPTION</v>
      </c>
      <c r="AA482" s="23" t="str">
        <f aca="false">IF(AND(C482="covered",N482&gt;40),"COVERED &gt;40 FT","")</f>
        <v/>
      </c>
      <c r="AB482" s="23" t="s">
        <v>5420</v>
      </c>
      <c r="AC482" s="23" t="s">
        <v>5421</v>
      </c>
      <c r="AD482" s="23" t="s">
        <v>2807</v>
      </c>
    </row>
    <row r="483" customFormat="false" ht="17.9" hidden="false" customHeight="false" outlineLevel="0" collapsed="false">
      <c r="A483" s="20" t="s">
        <v>5422</v>
      </c>
      <c r="B483" s="20" t="s">
        <v>79</v>
      </c>
      <c r="C483" s="20" t="s">
        <v>5162</v>
      </c>
      <c r="D483" s="20" t="s">
        <v>5423</v>
      </c>
      <c r="E483" s="20" t="s">
        <v>5424</v>
      </c>
      <c r="F483" s="20" t="s">
        <v>2810</v>
      </c>
      <c r="G483" s="20" t="s">
        <v>3123</v>
      </c>
      <c r="H483" s="22" t="n">
        <v>54.1</v>
      </c>
      <c r="I483" s="22" t="n">
        <v>54.1</v>
      </c>
      <c r="J483" s="22" t="n">
        <f aca="false">H483-I483</f>
        <v>0</v>
      </c>
      <c r="K483" s="20" t="str">
        <f aca="false">IF(ABS(J483)&lt;0.001,"MATCH - PAPER CHECK-IN NOT SUPPLIED","DATA MISMATCH")</f>
        <v>MATCH - PAPER CHECK-IN NOT SUPPLIED</v>
      </c>
      <c r="L483" s="22" t="n">
        <v>32</v>
      </c>
      <c r="M483" s="22" t="n">
        <f aca="false">ROUNDUP(H483,0)</f>
        <v>55</v>
      </c>
      <c r="N483" s="24" t="n">
        <f aca="false">MAX(L483,M483)</f>
        <v>55</v>
      </c>
      <c r="O483" s="25" t="n">
        <v>10.4</v>
      </c>
      <c r="P483" s="25" t="n">
        <f aca="false">N483*O483</f>
        <v>572</v>
      </c>
      <c r="Q483" s="23" t="s">
        <v>5425</v>
      </c>
      <c r="R483" s="23" t="s">
        <v>2804</v>
      </c>
      <c r="S483" s="24" t="n">
        <v>55</v>
      </c>
      <c r="T483" s="25" t="n">
        <v>10.4</v>
      </c>
      <c r="U483" s="25" t="n">
        <v>572</v>
      </c>
      <c r="V483" s="25" t="n">
        <f aca="false">P483-U483</f>
        <v>0</v>
      </c>
      <c r="W483" s="25" t="n">
        <f aca="false">V483*12</f>
        <v>0</v>
      </c>
      <c r="X483" s="23" t="str">
        <f aca="false">IF(Q483="","MISSING FROM EXPORT",IF(ABS(V483)&lt;0.005,"CLEAR",IF(V483&gt;0,"UNDERBILLING","OVERBILLING")))</f>
        <v>CLEAR</v>
      </c>
      <c r="Y483" s="25" t="n">
        <f aca="false">IF(F483="COMMERCIAL",ROUND(P483*0.35,2),0)</f>
        <v>0</v>
      </c>
      <c r="Z483" s="23" t="str">
        <f aca="false">IF(F483="COMMERCIAL","VERIFY SIGNED AGREEMENT","NO EXCEPTION")</f>
        <v>NO EXCEPTION</v>
      </c>
      <c r="AA483" s="23" t="str">
        <f aca="false">IF(AND(C483="covered",N483&gt;40),"COVERED &gt;40 FT","")</f>
        <v>COVERED &gt;40 FT</v>
      </c>
      <c r="AB483" s="23" t="s">
        <v>5426</v>
      </c>
      <c r="AC483" s="23" t="s">
        <v>5427</v>
      </c>
      <c r="AD483" s="23" t="s">
        <v>2807</v>
      </c>
    </row>
    <row r="484" customFormat="false" ht="17.9" hidden="false" customHeight="false" outlineLevel="0" collapsed="false">
      <c r="A484" s="20" t="s">
        <v>674</v>
      </c>
      <c r="B484" s="20" t="s">
        <v>79</v>
      </c>
      <c r="C484" s="20" t="s">
        <v>5162</v>
      </c>
      <c r="D484" s="20" t="s">
        <v>5428</v>
      </c>
      <c r="E484" s="20" t="s">
        <v>5429</v>
      </c>
      <c r="F484" s="20" t="s">
        <v>2818</v>
      </c>
      <c r="G484" s="20" t="s">
        <v>3130</v>
      </c>
      <c r="H484" s="22" t="n">
        <v>60.7</v>
      </c>
      <c r="I484" s="22" t="n">
        <v>60.7</v>
      </c>
      <c r="J484" s="22" t="n">
        <f aca="false">H484-I484</f>
        <v>0</v>
      </c>
      <c r="K484" s="20" t="str">
        <f aca="false">IF(ABS(J484)&lt;0.001,"MATCH - PAPER CHECK-IN NOT SUPPLIED","DATA MISMATCH")</f>
        <v>MATCH - PAPER CHECK-IN NOT SUPPLIED</v>
      </c>
      <c r="L484" s="22" t="n">
        <v>36</v>
      </c>
      <c r="M484" s="22" t="n">
        <f aca="false">ROUNDUP(H484,0)</f>
        <v>61</v>
      </c>
      <c r="N484" s="24" t="n">
        <f aca="false">MAX(L484,M484)</f>
        <v>61</v>
      </c>
      <c r="O484" s="25" t="n">
        <v>10.4</v>
      </c>
      <c r="P484" s="25" t="n">
        <f aca="false">N484*O484</f>
        <v>634.4</v>
      </c>
      <c r="Q484" s="23" t="s">
        <v>5430</v>
      </c>
      <c r="R484" s="23" t="s">
        <v>2804</v>
      </c>
      <c r="S484" s="24" t="n">
        <v>61</v>
      </c>
      <c r="T484" s="25" t="n">
        <v>10.4</v>
      </c>
      <c r="U484" s="25" t="n">
        <v>634.4</v>
      </c>
      <c r="V484" s="25" t="n">
        <f aca="false">P484-U484</f>
        <v>0</v>
      </c>
      <c r="W484" s="25" t="n">
        <f aca="false">V484*12</f>
        <v>0</v>
      </c>
      <c r="X484" s="23" t="str">
        <f aca="false">IF(Q484="","MISSING FROM EXPORT",IF(ABS(V484)&lt;0.005,"CLEAR",IF(V484&gt;0,"UNDERBILLING","OVERBILLING")))</f>
        <v>CLEAR</v>
      </c>
      <c r="Y484" s="25" t="n">
        <f aca="false">IF(F484="COMMERCIAL",ROUND(P484*0.35,2),0)</f>
        <v>0</v>
      </c>
      <c r="Z484" s="23" t="str">
        <f aca="false">IF(F484="COMMERCIAL","VERIFY SIGNED AGREEMENT","NO EXCEPTION")</f>
        <v>NO EXCEPTION</v>
      </c>
      <c r="AA484" s="23" t="str">
        <f aca="false">IF(AND(C484="covered",N484&gt;40),"COVERED &gt;40 FT","")</f>
        <v>COVERED &gt;40 FT</v>
      </c>
      <c r="AB484" s="23" t="s">
        <v>5431</v>
      </c>
      <c r="AC484" s="23" t="s">
        <v>5432</v>
      </c>
      <c r="AD484" s="23" t="s">
        <v>2807</v>
      </c>
    </row>
    <row r="485" customFormat="false" ht="17.9" hidden="false" customHeight="false" outlineLevel="0" collapsed="false">
      <c r="A485" s="20" t="s">
        <v>5433</v>
      </c>
      <c r="B485" s="20" t="s">
        <v>79</v>
      </c>
      <c r="C485" s="20" t="s">
        <v>5162</v>
      </c>
      <c r="D485" s="20" t="s">
        <v>5434</v>
      </c>
      <c r="E485" s="20" t="s">
        <v>5435</v>
      </c>
      <c r="F485" s="20" t="s">
        <v>2898</v>
      </c>
      <c r="G485" s="20" t="s">
        <v>3144</v>
      </c>
      <c r="H485" s="22" t="n">
        <v>42.3</v>
      </c>
      <c r="I485" s="22" t="n">
        <v>42.3</v>
      </c>
      <c r="J485" s="22" t="n">
        <f aca="false">H485-I485</f>
        <v>0</v>
      </c>
      <c r="K485" s="20" t="str">
        <f aca="false">IF(ABS(J485)&lt;0.001,"MATCH - PAPER CHECK-IN NOT SUPPLIED","DATA MISMATCH")</f>
        <v>MATCH - PAPER CHECK-IN NOT SUPPLIED</v>
      </c>
      <c r="L485" s="22" t="n">
        <v>40</v>
      </c>
      <c r="M485" s="22" t="n">
        <f aca="false">ROUNDUP(H485,0)</f>
        <v>43</v>
      </c>
      <c r="N485" s="24" t="n">
        <f aca="false">MAX(L485,M485)</f>
        <v>43</v>
      </c>
      <c r="O485" s="25" t="n">
        <v>10.4</v>
      </c>
      <c r="P485" s="25" t="n">
        <f aca="false">N485*O485</f>
        <v>447.2</v>
      </c>
      <c r="Q485" s="23" t="s">
        <v>5436</v>
      </c>
      <c r="R485" s="23" t="s">
        <v>2804</v>
      </c>
      <c r="S485" s="24" t="n">
        <v>43</v>
      </c>
      <c r="T485" s="25" t="n">
        <v>10.4</v>
      </c>
      <c r="U485" s="25" t="n">
        <v>447.2</v>
      </c>
      <c r="V485" s="25" t="n">
        <f aca="false">P485-U485</f>
        <v>0</v>
      </c>
      <c r="W485" s="25" t="n">
        <f aca="false">V485*12</f>
        <v>0</v>
      </c>
      <c r="X485" s="23" t="str">
        <f aca="false">IF(Q485="","MISSING FROM EXPORT",IF(ABS(V485)&lt;0.005,"CLEAR",IF(V485&gt;0,"UNDERBILLING","OVERBILLING")))</f>
        <v>CLEAR</v>
      </c>
      <c r="Y485" s="25" t="n">
        <f aca="false">IF(F485="COMMERCIAL",ROUND(P485*0.35,2),0)</f>
        <v>0</v>
      </c>
      <c r="Z485" s="23" t="str">
        <f aca="false">IF(F485="COMMERCIAL","VERIFY SIGNED AGREEMENT","NO EXCEPTION")</f>
        <v>NO EXCEPTION</v>
      </c>
      <c r="AA485" s="23" t="str">
        <f aca="false">IF(AND(C485="covered",N485&gt;40),"COVERED &gt;40 FT","")</f>
        <v>COVERED &gt;40 FT</v>
      </c>
      <c r="AB485" s="23" t="s">
        <v>5437</v>
      </c>
      <c r="AC485" s="23" t="s">
        <v>5438</v>
      </c>
      <c r="AD485" s="23" t="s">
        <v>2807</v>
      </c>
    </row>
    <row r="486" customFormat="false" ht="17.9" hidden="false" customHeight="false" outlineLevel="0" collapsed="false">
      <c r="A486" s="20" t="s">
        <v>5439</v>
      </c>
      <c r="B486" s="20" t="s">
        <v>79</v>
      </c>
      <c r="C486" s="20" t="s">
        <v>5162</v>
      </c>
      <c r="D486" s="20" t="s">
        <v>5440</v>
      </c>
      <c r="E486" s="20" t="s">
        <v>5441</v>
      </c>
      <c r="F486" s="20" t="s">
        <v>2869</v>
      </c>
      <c r="G486" s="20" t="s">
        <v>3151</v>
      </c>
      <c r="H486" s="22" t="n">
        <v>23.9</v>
      </c>
      <c r="I486" s="22" t="n">
        <v>23.9</v>
      </c>
      <c r="J486" s="22" t="n">
        <f aca="false">H486-I486</f>
        <v>0</v>
      </c>
      <c r="K486" s="20" t="str">
        <f aca="false">IF(ABS(J486)&lt;0.001,"MATCH - PAPER CHECK-IN NOT SUPPLIED","DATA MISMATCH")</f>
        <v>MATCH - PAPER CHECK-IN NOT SUPPLIED</v>
      </c>
      <c r="L486" s="22" t="n">
        <v>24</v>
      </c>
      <c r="M486" s="22" t="n">
        <f aca="false">ROUNDUP(H486,0)</f>
        <v>24</v>
      </c>
      <c r="N486" s="24" t="n">
        <f aca="false">MAX(L486,M486)</f>
        <v>24</v>
      </c>
      <c r="O486" s="25" t="n">
        <v>10.4</v>
      </c>
      <c r="P486" s="25" t="n">
        <f aca="false">N486*O486</f>
        <v>249.6</v>
      </c>
      <c r="Q486" s="23" t="s">
        <v>5442</v>
      </c>
      <c r="R486" s="23" t="s">
        <v>2804</v>
      </c>
      <c r="S486" s="24" t="n">
        <v>24</v>
      </c>
      <c r="T486" s="25" t="n">
        <v>10.4</v>
      </c>
      <c r="U486" s="25" t="n">
        <v>249.6</v>
      </c>
      <c r="V486" s="25" t="n">
        <f aca="false">P486-U486</f>
        <v>0</v>
      </c>
      <c r="W486" s="25" t="n">
        <f aca="false">V486*12</f>
        <v>0</v>
      </c>
      <c r="X486" s="23" t="str">
        <f aca="false">IF(Q486="","MISSING FROM EXPORT",IF(ABS(V486)&lt;0.005,"CLEAR",IF(V486&gt;0,"UNDERBILLING","OVERBILLING")))</f>
        <v>CLEAR</v>
      </c>
      <c r="Y486" s="25" t="n">
        <f aca="false">IF(F486="COMMERCIAL",ROUND(P486*0.35,2),0)</f>
        <v>0</v>
      </c>
      <c r="Z486" s="23" t="str">
        <f aca="false">IF(F486="COMMERCIAL","VERIFY SIGNED AGREEMENT","NO EXCEPTION")</f>
        <v>NO EXCEPTION</v>
      </c>
      <c r="AA486" s="23" t="str">
        <f aca="false">IF(AND(C486="covered",N486&gt;40),"COVERED &gt;40 FT","")</f>
        <v/>
      </c>
      <c r="AB486" s="23" t="s">
        <v>5443</v>
      </c>
      <c r="AC486" s="23" t="s">
        <v>5444</v>
      </c>
      <c r="AD486" s="23" t="s">
        <v>2807</v>
      </c>
    </row>
    <row r="487" customFormat="false" ht="17.9" hidden="false" customHeight="false" outlineLevel="0" collapsed="false">
      <c r="A487" s="20" t="s">
        <v>1718</v>
      </c>
      <c r="B487" s="20" t="s">
        <v>79</v>
      </c>
      <c r="C487" s="20" t="s">
        <v>5162</v>
      </c>
      <c r="D487" s="20" t="s">
        <v>2001</v>
      </c>
      <c r="E487" s="20" t="s">
        <v>5445</v>
      </c>
      <c r="F487" s="20" t="s">
        <v>2934</v>
      </c>
      <c r="G487" s="20" t="s">
        <v>3158</v>
      </c>
      <c r="H487" s="22" t="n">
        <v>31.1</v>
      </c>
      <c r="I487" s="22" t="n">
        <v>31.1</v>
      </c>
      <c r="J487" s="22" t="n">
        <f aca="false">H487-I487</f>
        <v>0</v>
      </c>
      <c r="K487" s="20" t="str">
        <f aca="false">IF(ABS(J487)&lt;0.001,"MATCH - PAPER CHECK-IN NOT SUPPLIED","DATA MISMATCH")</f>
        <v>MATCH - PAPER CHECK-IN NOT SUPPLIED</v>
      </c>
      <c r="L487" s="22" t="n">
        <v>24</v>
      </c>
      <c r="M487" s="22" t="n">
        <f aca="false">ROUNDUP(H487,0)</f>
        <v>32</v>
      </c>
      <c r="N487" s="24" t="n">
        <f aca="false">MAX(L487,M487)</f>
        <v>32</v>
      </c>
      <c r="O487" s="25" t="n">
        <v>10.4</v>
      </c>
      <c r="P487" s="25" t="n">
        <f aca="false">N487*O487</f>
        <v>332.8</v>
      </c>
      <c r="Q487" s="23" t="s">
        <v>5446</v>
      </c>
      <c r="R487" s="23" t="s">
        <v>2804</v>
      </c>
      <c r="S487" s="24" t="n">
        <v>32</v>
      </c>
      <c r="T487" s="25" t="n">
        <v>10.4</v>
      </c>
      <c r="U487" s="25" t="n">
        <v>332.8</v>
      </c>
      <c r="V487" s="25" t="n">
        <f aca="false">P487-U487</f>
        <v>0</v>
      </c>
      <c r="W487" s="25" t="n">
        <f aca="false">V487*12</f>
        <v>0</v>
      </c>
      <c r="X487" s="23" t="str">
        <f aca="false">IF(Q487="","MISSING FROM EXPORT",IF(ABS(V487)&lt;0.005,"CLEAR",IF(V487&gt;0,"UNDERBILLING","OVERBILLING")))</f>
        <v>CLEAR</v>
      </c>
      <c r="Y487" s="25" t="n">
        <f aca="false">IF(F487="COMMERCIAL",ROUND(P487*0.35,2),0)</f>
        <v>116.48</v>
      </c>
      <c r="Z487" s="23" t="str">
        <f aca="false">IF(F487="COMMERCIAL","VERIFY SIGNED AGREEMENT","NO EXCEPTION")</f>
        <v>VERIFY SIGNED AGREEMENT</v>
      </c>
      <c r="AA487" s="23" t="str">
        <f aca="false">IF(AND(C487="covered",N487&gt;40),"COVERED &gt;40 FT","")</f>
        <v/>
      </c>
      <c r="AB487" s="23" t="s">
        <v>5447</v>
      </c>
      <c r="AC487" s="23" t="s">
        <v>5448</v>
      </c>
      <c r="AD487" s="23" t="s">
        <v>2807</v>
      </c>
    </row>
    <row r="488" customFormat="false" ht="17.9" hidden="false" customHeight="false" outlineLevel="0" collapsed="false">
      <c r="A488" s="20" t="s">
        <v>5449</v>
      </c>
      <c r="B488" s="20" t="s">
        <v>79</v>
      </c>
      <c r="C488" s="20" t="s">
        <v>5162</v>
      </c>
      <c r="D488" s="20" t="s">
        <v>5450</v>
      </c>
      <c r="E488" s="20" t="s">
        <v>5451</v>
      </c>
      <c r="F488" s="20" t="s">
        <v>2833</v>
      </c>
      <c r="G488" s="20" t="s">
        <v>3165</v>
      </c>
      <c r="H488" s="22" t="n">
        <v>24.8</v>
      </c>
      <c r="I488" s="22" t="n">
        <v>24.8</v>
      </c>
      <c r="J488" s="22" t="n">
        <f aca="false">H488-I488</f>
        <v>0</v>
      </c>
      <c r="K488" s="20" t="str">
        <f aca="false">IF(ABS(J488)&lt;0.001,"MATCH - PAPER CHECK-IN NOT SUPPLIED","DATA MISMATCH")</f>
        <v>MATCH - PAPER CHECK-IN NOT SUPPLIED</v>
      </c>
      <c r="L488" s="22" t="n">
        <v>32</v>
      </c>
      <c r="M488" s="22" t="n">
        <f aca="false">ROUNDUP(H488,0)</f>
        <v>25</v>
      </c>
      <c r="N488" s="24" t="n">
        <f aca="false">MAX(L488,M488)</f>
        <v>32</v>
      </c>
      <c r="O488" s="25" t="n">
        <v>10.4</v>
      </c>
      <c r="P488" s="25" t="n">
        <f aca="false">N488*O488</f>
        <v>332.8</v>
      </c>
      <c r="Q488" s="23" t="s">
        <v>5452</v>
      </c>
      <c r="R488" s="23" t="s">
        <v>2804</v>
      </c>
      <c r="S488" s="24" t="n">
        <v>32</v>
      </c>
      <c r="T488" s="25" t="n">
        <v>10.4</v>
      </c>
      <c r="U488" s="25" t="n">
        <v>332.8</v>
      </c>
      <c r="V488" s="25" t="n">
        <f aca="false">P488-U488</f>
        <v>0</v>
      </c>
      <c r="W488" s="25" t="n">
        <f aca="false">V488*12</f>
        <v>0</v>
      </c>
      <c r="X488" s="23" t="str">
        <f aca="false">IF(Q488="","MISSING FROM EXPORT",IF(ABS(V488)&lt;0.005,"CLEAR",IF(V488&gt;0,"UNDERBILLING","OVERBILLING")))</f>
        <v>CLEAR</v>
      </c>
      <c r="Y488" s="25" t="n">
        <f aca="false">IF(F488="COMMERCIAL",ROUND(P488*0.35,2),0)</f>
        <v>0</v>
      </c>
      <c r="Z488" s="23" t="str">
        <f aca="false">IF(F488="COMMERCIAL","VERIFY SIGNED AGREEMENT","NO EXCEPTION")</f>
        <v>NO EXCEPTION</v>
      </c>
      <c r="AA488" s="23" t="str">
        <f aca="false">IF(AND(C488="covered",N488&gt;40),"COVERED &gt;40 FT","")</f>
        <v/>
      </c>
      <c r="AB488" s="23" t="s">
        <v>5453</v>
      </c>
      <c r="AC488" s="23" t="s">
        <v>5454</v>
      </c>
      <c r="AD488" s="23" t="s">
        <v>2807</v>
      </c>
    </row>
    <row r="489" customFormat="false" ht="17.9" hidden="false" customHeight="false" outlineLevel="0" collapsed="false">
      <c r="A489" s="20" t="s">
        <v>5455</v>
      </c>
      <c r="B489" s="20" t="s">
        <v>79</v>
      </c>
      <c r="C489" s="20" t="s">
        <v>5162</v>
      </c>
      <c r="D489" s="20" t="s">
        <v>5456</v>
      </c>
      <c r="E489" s="20" t="s">
        <v>5457</v>
      </c>
      <c r="F489" s="20" t="s">
        <v>2898</v>
      </c>
      <c r="G489" s="20" t="s">
        <v>3172</v>
      </c>
      <c r="H489" s="22" t="n">
        <v>26.3</v>
      </c>
      <c r="I489" s="22" t="n">
        <v>26.3</v>
      </c>
      <c r="J489" s="22" t="n">
        <f aca="false">H489-I489</f>
        <v>0</v>
      </c>
      <c r="K489" s="20" t="str">
        <f aca="false">IF(ABS(J489)&lt;0.001,"MATCH - PAPER CHECK-IN NOT SUPPLIED","DATA MISMATCH")</f>
        <v>MATCH - PAPER CHECK-IN NOT SUPPLIED</v>
      </c>
      <c r="L489" s="22" t="n">
        <v>32</v>
      </c>
      <c r="M489" s="22" t="n">
        <f aca="false">ROUNDUP(H489,0)</f>
        <v>27</v>
      </c>
      <c r="N489" s="24" t="n">
        <f aca="false">MAX(L489,M489)</f>
        <v>32</v>
      </c>
      <c r="O489" s="25" t="n">
        <v>10.4</v>
      </c>
      <c r="P489" s="25" t="n">
        <f aca="false">N489*O489</f>
        <v>332.8</v>
      </c>
      <c r="Q489" s="23" t="s">
        <v>5458</v>
      </c>
      <c r="R489" s="23" t="s">
        <v>2804</v>
      </c>
      <c r="S489" s="24" t="n">
        <v>32</v>
      </c>
      <c r="T489" s="25" t="n">
        <v>10.4</v>
      </c>
      <c r="U489" s="25" t="n">
        <v>332.8</v>
      </c>
      <c r="V489" s="25" t="n">
        <f aca="false">P489-U489</f>
        <v>0</v>
      </c>
      <c r="W489" s="25" t="n">
        <f aca="false">V489*12</f>
        <v>0</v>
      </c>
      <c r="X489" s="23" t="str">
        <f aca="false">IF(Q489="","MISSING FROM EXPORT",IF(ABS(V489)&lt;0.005,"CLEAR",IF(V489&gt;0,"UNDERBILLING","OVERBILLING")))</f>
        <v>CLEAR</v>
      </c>
      <c r="Y489" s="25" t="n">
        <f aca="false">IF(F489="COMMERCIAL",ROUND(P489*0.35,2),0)</f>
        <v>0</v>
      </c>
      <c r="Z489" s="23" t="str">
        <f aca="false">IF(F489="COMMERCIAL","VERIFY SIGNED AGREEMENT","NO EXCEPTION")</f>
        <v>NO EXCEPTION</v>
      </c>
      <c r="AA489" s="23" t="str">
        <f aca="false">IF(AND(C489="covered",N489&gt;40),"COVERED &gt;40 FT","")</f>
        <v/>
      </c>
      <c r="AB489" s="23" t="s">
        <v>5459</v>
      </c>
      <c r="AC489" s="23" t="s">
        <v>5460</v>
      </c>
      <c r="AD489" s="23" t="s">
        <v>2807</v>
      </c>
    </row>
    <row r="490" customFormat="false" ht="17.9" hidden="false" customHeight="false" outlineLevel="0" collapsed="false">
      <c r="A490" s="20" t="s">
        <v>5461</v>
      </c>
      <c r="B490" s="20" t="s">
        <v>79</v>
      </c>
      <c r="C490" s="20" t="s">
        <v>5162</v>
      </c>
      <c r="D490" s="20" t="s">
        <v>5462</v>
      </c>
      <c r="E490" s="20" t="s">
        <v>5463</v>
      </c>
      <c r="F490" s="20" t="s">
        <v>2833</v>
      </c>
      <c r="G490" s="20" t="s">
        <v>3179</v>
      </c>
      <c r="H490" s="22" t="n">
        <v>31.6</v>
      </c>
      <c r="I490" s="22" t="n">
        <v>31.6</v>
      </c>
      <c r="J490" s="22" t="n">
        <f aca="false">H490-I490</f>
        <v>0</v>
      </c>
      <c r="K490" s="20" t="str">
        <f aca="false">IF(ABS(J490)&lt;0.001,"MATCH - PAPER CHECK-IN NOT SUPPLIED","DATA MISMATCH")</f>
        <v>MATCH - PAPER CHECK-IN NOT SUPPLIED</v>
      </c>
      <c r="L490" s="22" t="n">
        <v>24</v>
      </c>
      <c r="M490" s="22" t="n">
        <f aca="false">ROUNDUP(H490,0)</f>
        <v>32</v>
      </c>
      <c r="N490" s="24" t="n">
        <f aca="false">MAX(L490,M490)</f>
        <v>32</v>
      </c>
      <c r="O490" s="25" t="n">
        <v>10.4</v>
      </c>
      <c r="P490" s="25" t="n">
        <f aca="false">N490*O490</f>
        <v>332.8</v>
      </c>
      <c r="Q490" s="23" t="s">
        <v>5464</v>
      </c>
      <c r="R490" s="23" t="s">
        <v>2804</v>
      </c>
      <c r="S490" s="24" t="n">
        <v>32</v>
      </c>
      <c r="T490" s="25" t="n">
        <v>10.4</v>
      </c>
      <c r="U490" s="25" t="n">
        <v>332.8</v>
      </c>
      <c r="V490" s="25" t="n">
        <f aca="false">P490-U490</f>
        <v>0</v>
      </c>
      <c r="W490" s="25" t="n">
        <f aca="false">V490*12</f>
        <v>0</v>
      </c>
      <c r="X490" s="23" t="str">
        <f aca="false">IF(Q490="","MISSING FROM EXPORT",IF(ABS(V490)&lt;0.005,"CLEAR",IF(V490&gt;0,"UNDERBILLING","OVERBILLING")))</f>
        <v>CLEAR</v>
      </c>
      <c r="Y490" s="25" t="n">
        <f aca="false">IF(F490="COMMERCIAL",ROUND(P490*0.35,2),0)</f>
        <v>0</v>
      </c>
      <c r="Z490" s="23" t="str">
        <f aca="false">IF(F490="COMMERCIAL","VERIFY SIGNED AGREEMENT","NO EXCEPTION")</f>
        <v>NO EXCEPTION</v>
      </c>
      <c r="AA490" s="23" t="str">
        <f aca="false">IF(AND(C490="covered",N490&gt;40),"COVERED &gt;40 FT","")</f>
        <v/>
      </c>
      <c r="AB490" s="23" t="s">
        <v>5465</v>
      </c>
      <c r="AC490" s="23" t="s">
        <v>5466</v>
      </c>
      <c r="AD490" s="23" t="s">
        <v>2807</v>
      </c>
    </row>
    <row r="491" customFormat="false" ht="17.9" hidden="false" customHeight="false" outlineLevel="0" collapsed="false">
      <c r="A491" s="20" t="s">
        <v>1170</v>
      </c>
      <c r="B491" s="20" t="s">
        <v>79</v>
      </c>
      <c r="C491" s="20" t="s">
        <v>5162</v>
      </c>
      <c r="D491" s="20" t="s">
        <v>5467</v>
      </c>
      <c r="E491" s="20" t="s">
        <v>5468</v>
      </c>
      <c r="F491" s="20" t="s">
        <v>2869</v>
      </c>
      <c r="G491" s="20" t="s">
        <v>3186</v>
      </c>
      <c r="H491" s="22" t="n">
        <v>53.5</v>
      </c>
      <c r="I491" s="22" t="n">
        <v>53.5</v>
      </c>
      <c r="J491" s="22" t="n">
        <f aca="false">H491-I491</f>
        <v>0</v>
      </c>
      <c r="K491" s="20" t="str">
        <f aca="false">IF(ABS(J491)&lt;0.001,"MATCH - PAPER CHECK-IN NOT SUPPLIED","DATA MISMATCH")</f>
        <v>MATCH - PAPER CHECK-IN NOT SUPPLIED</v>
      </c>
      <c r="L491" s="22" t="n">
        <v>40</v>
      </c>
      <c r="M491" s="22" t="n">
        <f aca="false">ROUNDUP(H491,0)</f>
        <v>54</v>
      </c>
      <c r="N491" s="24" t="n">
        <f aca="false">MAX(L491,M491)</f>
        <v>54</v>
      </c>
      <c r="O491" s="25" t="n">
        <v>10.4</v>
      </c>
      <c r="P491" s="25" t="n">
        <f aca="false">N491*O491</f>
        <v>561.6</v>
      </c>
      <c r="Q491" s="23" t="s">
        <v>5469</v>
      </c>
      <c r="R491" s="23" t="s">
        <v>2804</v>
      </c>
      <c r="S491" s="24" t="n">
        <v>54</v>
      </c>
      <c r="T491" s="25" t="n">
        <v>10.4</v>
      </c>
      <c r="U491" s="25" t="n">
        <v>561.6</v>
      </c>
      <c r="V491" s="25" t="n">
        <f aca="false">P491-U491</f>
        <v>0</v>
      </c>
      <c r="W491" s="25" t="n">
        <f aca="false">V491*12</f>
        <v>0</v>
      </c>
      <c r="X491" s="23" t="str">
        <f aca="false">IF(Q491="","MISSING FROM EXPORT",IF(ABS(V491)&lt;0.005,"CLEAR",IF(V491&gt;0,"UNDERBILLING","OVERBILLING")))</f>
        <v>CLEAR</v>
      </c>
      <c r="Y491" s="25" t="n">
        <f aca="false">IF(F491="COMMERCIAL",ROUND(P491*0.35,2),0)</f>
        <v>0</v>
      </c>
      <c r="Z491" s="23" t="str">
        <f aca="false">IF(F491="COMMERCIAL","VERIFY SIGNED AGREEMENT","NO EXCEPTION")</f>
        <v>NO EXCEPTION</v>
      </c>
      <c r="AA491" s="23" t="str">
        <f aca="false">IF(AND(C491="covered",N491&gt;40),"COVERED &gt;40 FT","")</f>
        <v>COVERED &gt;40 FT</v>
      </c>
      <c r="AB491" s="23" t="s">
        <v>5470</v>
      </c>
      <c r="AC491" s="23" t="s">
        <v>5471</v>
      </c>
      <c r="AD491" s="23" t="s">
        <v>2807</v>
      </c>
    </row>
    <row r="492" customFormat="false" ht="17.9" hidden="false" customHeight="false" outlineLevel="0" collapsed="false">
      <c r="A492" s="20" t="s">
        <v>78</v>
      </c>
      <c r="B492" s="20" t="s">
        <v>79</v>
      </c>
      <c r="C492" s="20" t="s">
        <v>5162</v>
      </c>
      <c r="D492" s="20" t="s">
        <v>1076</v>
      </c>
      <c r="E492" s="20" t="s">
        <v>5472</v>
      </c>
      <c r="F492" s="20" t="s">
        <v>2818</v>
      </c>
      <c r="G492" s="20" t="s">
        <v>3193</v>
      </c>
      <c r="H492" s="22" t="n">
        <v>22.7</v>
      </c>
      <c r="I492" s="22" t="n">
        <v>22.7</v>
      </c>
      <c r="J492" s="22" t="n">
        <f aca="false">H492-I492</f>
        <v>0</v>
      </c>
      <c r="K492" s="20" t="str">
        <f aca="false">IF(ABS(J492)&lt;0.001,"MATCH - PAPER CHECK-IN NOT SUPPLIED","DATA MISMATCH")</f>
        <v>MATCH - PAPER CHECK-IN NOT SUPPLIED</v>
      </c>
      <c r="L492" s="22" t="n">
        <v>40</v>
      </c>
      <c r="M492" s="22" t="n">
        <f aca="false">ROUNDUP(H492,0)</f>
        <v>23</v>
      </c>
      <c r="N492" s="24" t="n">
        <f aca="false">MAX(L492,M492)</f>
        <v>40</v>
      </c>
      <c r="O492" s="25" t="n">
        <v>10.4</v>
      </c>
      <c r="P492" s="25" t="n">
        <f aca="false">N492*O492</f>
        <v>416</v>
      </c>
      <c r="Q492" s="23" t="s">
        <v>5473</v>
      </c>
      <c r="R492" s="23" t="s">
        <v>2804</v>
      </c>
      <c r="S492" s="24" t="n">
        <v>40</v>
      </c>
      <c r="T492" s="25" t="n">
        <v>10.4</v>
      </c>
      <c r="U492" s="25" t="n">
        <v>416</v>
      </c>
      <c r="V492" s="25" t="n">
        <f aca="false">P492-U492</f>
        <v>0</v>
      </c>
      <c r="W492" s="25" t="n">
        <f aca="false">V492*12</f>
        <v>0</v>
      </c>
      <c r="X492" s="23" t="str">
        <f aca="false">IF(Q492="","MISSING FROM EXPORT",IF(ABS(V492)&lt;0.005,"CLEAR",IF(V492&gt;0,"UNDERBILLING","OVERBILLING")))</f>
        <v>CLEAR</v>
      </c>
      <c r="Y492" s="25" t="n">
        <f aca="false">IF(F492="COMMERCIAL",ROUND(P492*0.35,2),0)</f>
        <v>0</v>
      </c>
      <c r="Z492" s="23" t="str">
        <f aca="false">IF(F492="COMMERCIAL","VERIFY SIGNED AGREEMENT","NO EXCEPTION")</f>
        <v>NO EXCEPTION</v>
      </c>
      <c r="AA492" s="23" t="str">
        <f aca="false">IF(AND(C492="covered",N492&gt;40),"COVERED &gt;40 FT","")</f>
        <v/>
      </c>
      <c r="AB492" s="23" t="s">
        <v>5474</v>
      </c>
      <c r="AC492" s="23" t="s">
        <v>5475</v>
      </c>
      <c r="AD492" s="23" t="s">
        <v>2807</v>
      </c>
    </row>
    <row r="493" customFormat="false" ht="17.9" hidden="false" customHeight="false" outlineLevel="0" collapsed="false">
      <c r="A493" s="20" t="s">
        <v>5476</v>
      </c>
      <c r="B493" s="20" t="s">
        <v>79</v>
      </c>
      <c r="C493" s="20" t="s">
        <v>5162</v>
      </c>
      <c r="D493" s="20" t="s">
        <v>5477</v>
      </c>
      <c r="E493" s="20" t="s">
        <v>5478</v>
      </c>
      <c r="F493" s="20" t="s">
        <v>2833</v>
      </c>
      <c r="G493" s="20" t="s">
        <v>3200</v>
      </c>
      <c r="H493" s="22" t="n">
        <v>34.5</v>
      </c>
      <c r="I493" s="22" t="n">
        <v>34.5</v>
      </c>
      <c r="J493" s="22" t="n">
        <f aca="false">H493-I493</f>
        <v>0</v>
      </c>
      <c r="K493" s="20" t="str">
        <f aca="false">IF(ABS(J493)&lt;0.001,"MATCH - PAPER CHECK-IN NOT SUPPLIED","DATA MISMATCH")</f>
        <v>MATCH - PAPER CHECK-IN NOT SUPPLIED</v>
      </c>
      <c r="L493" s="22" t="n">
        <v>32</v>
      </c>
      <c r="M493" s="22" t="n">
        <f aca="false">ROUNDUP(H493,0)</f>
        <v>35</v>
      </c>
      <c r="N493" s="24" t="n">
        <f aca="false">MAX(L493,M493)</f>
        <v>35</v>
      </c>
      <c r="O493" s="25" t="n">
        <v>10.4</v>
      </c>
      <c r="P493" s="25" t="n">
        <f aca="false">N493*O493</f>
        <v>364</v>
      </c>
      <c r="Q493" s="23" t="s">
        <v>5479</v>
      </c>
      <c r="R493" s="23" t="s">
        <v>2804</v>
      </c>
      <c r="S493" s="24" t="n">
        <v>35</v>
      </c>
      <c r="T493" s="25" t="n">
        <v>10.4</v>
      </c>
      <c r="U493" s="25" t="n">
        <v>364</v>
      </c>
      <c r="V493" s="25" t="n">
        <f aca="false">P493-U493</f>
        <v>0</v>
      </c>
      <c r="W493" s="25" t="n">
        <f aca="false">V493*12</f>
        <v>0</v>
      </c>
      <c r="X493" s="23" t="str">
        <f aca="false">IF(Q493="","MISSING FROM EXPORT",IF(ABS(V493)&lt;0.005,"CLEAR",IF(V493&gt;0,"UNDERBILLING","OVERBILLING")))</f>
        <v>CLEAR</v>
      </c>
      <c r="Y493" s="25" t="n">
        <f aca="false">IF(F493="COMMERCIAL",ROUND(P493*0.35,2),0)</f>
        <v>0</v>
      </c>
      <c r="Z493" s="23" t="str">
        <f aca="false">IF(F493="COMMERCIAL","VERIFY SIGNED AGREEMENT","NO EXCEPTION")</f>
        <v>NO EXCEPTION</v>
      </c>
      <c r="AA493" s="23" t="str">
        <f aca="false">IF(AND(C493="covered",N493&gt;40),"COVERED &gt;40 FT","")</f>
        <v/>
      </c>
      <c r="AB493" s="23" t="s">
        <v>5480</v>
      </c>
      <c r="AC493" s="23" t="s">
        <v>5481</v>
      </c>
      <c r="AD493" s="23" t="s">
        <v>2807</v>
      </c>
    </row>
    <row r="494" customFormat="false" ht="17.9" hidden="false" customHeight="false" outlineLevel="0" collapsed="false">
      <c r="A494" s="20" t="s">
        <v>5482</v>
      </c>
      <c r="B494" s="20" t="s">
        <v>79</v>
      </c>
      <c r="C494" s="20" t="s">
        <v>5162</v>
      </c>
      <c r="D494" s="20" t="s">
        <v>1162</v>
      </c>
      <c r="E494" s="20" t="s">
        <v>1163</v>
      </c>
      <c r="F494" s="20" t="s">
        <v>2857</v>
      </c>
      <c r="G494" s="20" t="s">
        <v>4543</v>
      </c>
      <c r="H494" s="22" t="n">
        <v>53.4</v>
      </c>
      <c r="I494" s="22" t="n">
        <v>53.4</v>
      </c>
      <c r="J494" s="22" t="n">
        <f aca="false">H494-I494</f>
        <v>0</v>
      </c>
      <c r="K494" s="20" t="str">
        <f aca="false">IF(ABS(J494)&lt;0.001,"MATCH - PAPER CHECK-IN NOT SUPPLIED","DATA MISMATCH")</f>
        <v>MATCH - PAPER CHECK-IN NOT SUPPLIED</v>
      </c>
      <c r="L494" s="22" t="n">
        <v>24</v>
      </c>
      <c r="M494" s="22" t="n">
        <f aca="false">ROUNDUP(H494,0)</f>
        <v>54</v>
      </c>
      <c r="N494" s="24" t="n">
        <f aca="false">MAX(L494,M494)</f>
        <v>54</v>
      </c>
      <c r="O494" s="25" t="n">
        <v>10.4</v>
      </c>
      <c r="P494" s="25" t="n">
        <f aca="false">N494*O494</f>
        <v>561.6</v>
      </c>
      <c r="Q494" s="23" t="s">
        <v>5483</v>
      </c>
      <c r="R494" s="23" t="s">
        <v>2804</v>
      </c>
      <c r="S494" s="24" t="n">
        <v>54</v>
      </c>
      <c r="T494" s="25" t="n">
        <v>10.4</v>
      </c>
      <c r="U494" s="25" t="n">
        <v>561.6</v>
      </c>
      <c r="V494" s="25" t="n">
        <f aca="false">P494-U494</f>
        <v>0</v>
      </c>
      <c r="W494" s="25" t="n">
        <f aca="false">V494*12</f>
        <v>0</v>
      </c>
      <c r="X494" s="23" t="str">
        <f aca="false">IF(Q494="","MISSING FROM EXPORT",IF(ABS(V494)&lt;0.005,"CLEAR",IF(V494&gt;0,"UNDERBILLING","OVERBILLING")))</f>
        <v>CLEAR</v>
      </c>
      <c r="Y494" s="25" t="n">
        <f aca="false">IF(F494="COMMERCIAL",ROUND(P494*0.35,2),0)</f>
        <v>0</v>
      </c>
      <c r="Z494" s="23" t="str">
        <f aca="false">IF(F494="COMMERCIAL","VERIFY SIGNED AGREEMENT","NO EXCEPTION")</f>
        <v>NO EXCEPTION</v>
      </c>
      <c r="AA494" s="23" t="str">
        <f aca="false">IF(AND(C494="covered",N494&gt;40),"COVERED &gt;40 FT","")</f>
        <v>COVERED &gt;40 FT</v>
      </c>
      <c r="AB494" s="23" t="s">
        <v>5484</v>
      </c>
      <c r="AC494" s="23" t="s">
        <v>5485</v>
      </c>
      <c r="AD494" s="23" t="s">
        <v>2807</v>
      </c>
    </row>
    <row r="495" customFormat="false" ht="17.9" hidden="false" customHeight="false" outlineLevel="0" collapsed="false">
      <c r="A495" s="20" t="s">
        <v>5486</v>
      </c>
      <c r="B495" s="20" t="s">
        <v>79</v>
      </c>
      <c r="C495" s="20" t="s">
        <v>5162</v>
      </c>
      <c r="D495" s="20" t="s">
        <v>5487</v>
      </c>
      <c r="E495" s="20" t="s">
        <v>5488</v>
      </c>
      <c r="F495" s="20" t="s">
        <v>2818</v>
      </c>
      <c r="G495" s="20" t="s">
        <v>3213</v>
      </c>
      <c r="H495" s="22" t="n">
        <v>34.2</v>
      </c>
      <c r="I495" s="22" t="n">
        <v>34.2</v>
      </c>
      <c r="J495" s="22" t="n">
        <f aca="false">H495-I495</f>
        <v>0</v>
      </c>
      <c r="K495" s="20" t="str">
        <f aca="false">IF(ABS(J495)&lt;0.001,"MATCH - PAPER CHECK-IN NOT SUPPLIED","DATA MISMATCH")</f>
        <v>MATCH - PAPER CHECK-IN NOT SUPPLIED</v>
      </c>
      <c r="L495" s="22" t="n">
        <v>28</v>
      </c>
      <c r="M495" s="22" t="n">
        <f aca="false">ROUNDUP(H495,0)</f>
        <v>35</v>
      </c>
      <c r="N495" s="24" t="n">
        <f aca="false">MAX(L495,M495)</f>
        <v>35</v>
      </c>
      <c r="O495" s="25" t="n">
        <v>10.4</v>
      </c>
      <c r="P495" s="25" t="n">
        <f aca="false">N495*O495</f>
        <v>364</v>
      </c>
      <c r="Q495" s="23" t="s">
        <v>5489</v>
      </c>
      <c r="R495" s="23" t="s">
        <v>2804</v>
      </c>
      <c r="S495" s="24" t="n">
        <v>35</v>
      </c>
      <c r="T495" s="25" t="n">
        <v>10.4</v>
      </c>
      <c r="U495" s="25" t="n">
        <v>364</v>
      </c>
      <c r="V495" s="25" t="n">
        <f aca="false">P495-U495</f>
        <v>0</v>
      </c>
      <c r="W495" s="25" t="n">
        <f aca="false">V495*12</f>
        <v>0</v>
      </c>
      <c r="X495" s="23" t="str">
        <f aca="false">IF(Q495="","MISSING FROM EXPORT",IF(ABS(V495)&lt;0.005,"CLEAR",IF(V495&gt;0,"UNDERBILLING","OVERBILLING")))</f>
        <v>CLEAR</v>
      </c>
      <c r="Y495" s="25" t="n">
        <f aca="false">IF(F495="COMMERCIAL",ROUND(P495*0.35,2),0)</f>
        <v>0</v>
      </c>
      <c r="Z495" s="23" t="str">
        <f aca="false">IF(F495="COMMERCIAL","VERIFY SIGNED AGREEMENT","NO EXCEPTION")</f>
        <v>NO EXCEPTION</v>
      </c>
      <c r="AA495" s="23" t="str">
        <f aca="false">IF(AND(C495="covered",N495&gt;40),"COVERED &gt;40 FT","")</f>
        <v/>
      </c>
      <c r="AB495" s="23" t="s">
        <v>5490</v>
      </c>
      <c r="AC495" s="23" t="s">
        <v>5491</v>
      </c>
      <c r="AD495" s="23" t="s">
        <v>2807</v>
      </c>
    </row>
    <row r="496" customFormat="false" ht="17.9" hidden="false" customHeight="false" outlineLevel="0" collapsed="false">
      <c r="A496" s="20" t="s">
        <v>5492</v>
      </c>
      <c r="B496" s="20" t="s">
        <v>79</v>
      </c>
      <c r="C496" s="20" t="s">
        <v>5162</v>
      </c>
      <c r="D496" s="20" t="s">
        <v>5493</v>
      </c>
      <c r="E496" s="20" t="s">
        <v>5494</v>
      </c>
      <c r="F496" s="20" t="s">
        <v>2810</v>
      </c>
      <c r="G496" s="20" t="s">
        <v>3220</v>
      </c>
      <c r="H496" s="22" t="n">
        <v>57.4</v>
      </c>
      <c r="I496" s="22" t="n">
        <v>57.4</v>
      </c>
      <c r="J496" s="22" t="n">
        <f aca="false">H496-I496</f>
        <v>0</v>
      </c>
      <c r="K496" s="20" t="str">
        <f aca="false">IF(ABS(J496)&lt;0.001,"MATCH - PAPER CHECK-IN NOT SUPPLIED","DATA MISMATCH")</f>
        <v>MATCH - PAPER CHECK-IN NOT SUPPLIED</v>
      </c>
      <c r="L496" s="22" t="n">
        <v>24</v>
      </c>
      <c r="M496" s="22" t="n">
        <f aca="false">ROUNDUP(H496,0)</f>
        <v>58</v>
      </c>
      <c r="N496" s="24" t="n">
        <f aca="false">MAX(L496,M496)</f>
        <v>58</v>
      </c>
      <c r="O496" s="25" t="n">
        <v>10.4</v>
      </c>
      <c r="P496" s="25" t="n">
        <f aca="false">N496*O496</f>
        <v>603.2</v>
      </c>
      <c r="Q496" s="23" t="s">
        <v>5495</v>
      </c>
      <c r="R496" s="23" t="s">
        <v>2804</v>
      </c>
      <c r="S496" s="24" t="n">
        <v>58</v>
      </c>
      <c r="T496" s="25" t="n">
        <v>10.4</v>
      </c>
      <c r="U496" s="25" t="n">
        <v>603.2</v>
      </c>
      <c r="V496" s="25" t="n">
        <f aca="false">P496-U496</f>
        <v>0</v>
      </c>
      <c r="W496" s="25" t="n">
        <f aca="false">V496*12</f>
        <v>0</v>
      </c>
      <c r="X496" s="23" t="str">
        <f aca="false">IF(Q496="","MISSING FROM EXPORT",IF(ABS(V496)&lt;0.005,"CLEAR",IF(V496&gt;0,"UNDERBILLING","OVERBILLING")))</f>
        <v>CLEAR</v>
      </c>
      <c r="Y496" s="25" t="n">
        <f aca="false">IF(F496="COMMERCIAL",ROUND(P496*0.35,2),0)</f>
        <v>0</v>
      </c>
      <c r="Z496" s="23" t="str">
        <f aca="false">IF(F496="COMMERCIAL","VERIFY SIGNED AGREEMENT","NO EXCEPTION")</f>
        <v>NO EXCEPTION</v>
      </c>
      <c r="AA496" s="23" t="str">
        <f aca="false">IF(AND(C496="covered",N496&gt;40),"COVERED &gt;40 FT","")</f>
        <v>COVERED &gt;40 FT</v>
      </c>
      <c r="AB496" s="23" t="s">
        <v>5496</v>
      </c>
      <c r="AC496" s="23" t="s">
        <v>5497</v>
      </c>
      <c r="AD496" s="23" t="s">
        <v>2807</v>
      </c>
    </row>
    <row r="497" customFormat="false" ht="17.9" hidden="false" customHeight="false" outlineLevel="0" collapsed="false">
      <c r="A497" s="20" t="s">
        <v>5498</v>
      </c>
      <c r="B497" s="20" t="s">
        <v>79</v>
      </c>
      <c r="C497" s="20" t="s">
        <v>5162</v>
      </c>
      <c r="D497" s="20" t="s">
        <v>5499</v>
      </c>
      <c r="E497" s="20" t="s">
        <v>5500</v>
      </c>
      <c r="F497" s="20" t="s">
        <v>2833</v>
      </c>
      <c r="G497" s="20" t="s">
        <v>3225</v>
      </c>
      <c r="H497" s="22" t="n">
        <v>48.5</v>
      </c>
      <c r="I497" s="22" t="n">
        <v>48.5</v>
      </c>
      <c r="J497" s="22" t="n">
        <f aca="false">H497-I497</f>
        <v>0</v>
      </c>
      <c r="K497" s="20" t="str">
        <f aca="false">IF(ABS(J497)&lt;0.001,"MATCH - PAPER CHECK-IN NOT SUPPLIED","DATA MISMATCH")</f>
        <v>MATCH - PAPER CHECK-IN NOT SUPPLIED</v>
      </c>
      <c r="L497" s="22" t="n">
        <v>24</v>
      </c>
      <c r="M497" s="22" t="n">
        <f aca="false">ROUNDUP(H497,0)</f>
        <v>49</v>
      </c>
      <c r="N497" s="24" t="n">
        <f aca="false">MAX(L497,M497)</f>
        <v>49</v>
      </c>
      <c r="O497" s="25" t="n">
        <v>10.4</v>
      </c>
      <c r="P497" s="25" t="n">
        <f aca="false">N497*O497</f>
        <v>509.6</v>
      </c>
      <c r="Q497" s="23" t="s">
        <v>5501</v>
      </c>
      <c r="R497" s="23" t="s">
        <v>2804</v>
      </c>
      <c r="S497" s="24" t="n">
        <v>49</v>
      </c>
      <c r="T497" s="25" t="n">
        <v>10.4</v>
      </c>
      <c r="U497" s="25" t="n">
        <v>509.6</v>
      </c>
      <c r="V497" s="25" t="n">
        <f aca="false">P497-U497</f>
        <v>0</v>
      </c>
      <c r="W497" s="25" t="n">
        <f aca="false">V497*12</f>
        <v>0</v>
      </c>
      <c r="X497" s="23" t="str">
        <f aca="false">IF(Q497="","MISSING FROM EXPORT",IF(ABS(V497)&lt;0.005,"CLEAR",IF(V497&gt;0,"UNDERBILLING","OVERBILLING")))</f>
        <v>CLEAR</v>
      </c>
      <c r="Y497" s="25" t="n">
        <f aca="false">IF(F497="COMMERCIAL",ROUND(P497*0.35,2),0)</f>
        <v>0</v>
      </c>
      <c r="Z497" s="23" t="str">
        <f aca="false">IF(F497="COMMERCIAL","VERIFY SIGNED AGREEMENT","NO EXCEPTION")</f>
        <v>NO EXCEPTION</v>
      </c>
      <c r="AA497" s="23" t="str">
        <f aca="false">IF(AND(C497="covered",N497&gt;40),"COVERED &gt;40 FT","")</f>
        <v>COVERED &gt;40 FT</v>
      </c>
      <c r="AB497" s="23" t="s">
        <v>5502</v>
      </c>
      <c r="AC497" s="23" t="s">
        <v>5503</v>
      </c>
      <c r="AD497" s="23" t="s">
        <v>2807</v>
      </c>
    </row>
    <row r="498" customFormat="false" ht="17.9" hidden="false" customHeight="false" outlineLevel="0" collapsed="false">
      <c r="A498" s="20" t="s">
        <v>866</v>
      </c>
      <c r="B498" s="20" t="s">
        <v>79</v>
      </c>
      <c r="C498" s="20" t="s">
        <v>5162</v>
      </c>
      <c r="D498" s="20" t="s">
        <v>5504</v>
      </c>
      <c r="E498" s="20" t="s">
        <v>5505</v>
      </c>
      <c r="F498" s="20" t="s">
        <v>2833</v>
      </c>
      <c r="G498" s="20" t="s">
        <v>3229</v>
      </c>
      <c r="H498" s="22" t="n">
        <v>44.5</v>
      </c>
      <c r="I498" s="22" t="n">
        <v>44.5</v>
      </c>
      <c r="J498" s="22" t="n">
        <f aca="false">H498-I498</f>
        <v>0</v>
      </c>
      <c r="K498" s="20" t="str">
        <f aca="false">IF(ABS(J498)&lt;0.001,"MATCH - PAPER CHECK-IN NOT SUPPLIED","DATA MISMATCH")</f>
        <v>MATCH - PAPER CHECK-IN NOT SUPPLIED</v>
      </c>
      <c r="L498" s="22" t="n">
        <v>32</v>
      </c>
      <c r="M498" s="22" t="n">
        <f aca="false">ROUNDUP(H498,0)</f>
        <v>45</v>
      </c>
      <c r="N498" s="24" t="n">
        <f aca="false">MAX(L498,M498)</f>
        <v>45</v>
      </c>
      <c r="O498" s="25" t="n">
        <v>10.4</v>
      </c>
      <c r="P498" s="25" t="n">
        <f aca="false">N498*O498</f>
        <v>468</v>
      </c>
      <c r="Q498" s="23" t="s">
        <v>5506</v>
      </c>
      <c r="R498" s="23" t="s">
        <v>2804</v>
      </c>
      <c r="S498" s="24" t="n">
        <v>45</v>
      </c>
      <c r="T498" s="25" t="n">
        <v>10.4</v>
      </c>
      <c r="U498" s="25" t="n">
        <v>468</v>
      </c>
      <c r="V498" s="25" t="n">
        <f aca="false">P498-U498</f>
        <v>0</v>
      </c>
      <c r="W498" s="25" t="n">
        <f aca="false">V498*12</f>
        <v>0</v>
      </c>
      <c r="X498" s="23" t="str">
        <f aca="false">IF(Q498="","MISSING FROM EXPORT",IF(ABS(V498)&lt;0.005,"CLEAR",IF(V498&gt;0,"UNDERBILLING","OVERBILLING")))</f>
        <v>CLEAR</v>
      </c>
      <c r="Y498" s="25" t="n">
        <f aca="false">IF(F498="COMMERCIAL",ROUND(P498*0.35,2),0)</f>
        <v>0</v>
      </c>
      <c r="Z498" s="23" t="str">
        <f aca="false">IF(F498="COMMERCIAL","VERIFY SIGNED AGREEMENT","NO EXCEPTION")</f>
        <v>NO EXCEPTION</v>
      </c>
      <c r="AA498" s="23" t="str">
        <f aca="false">IF(AND(C498="covered",N498&gt;40),"COVERED &gt;40 FT","")</f>
        <v>COVERED &gt;40 FT</v>
      </c>
      <c r="AB498" s="23" t="s">
        <v>5507</v>
      </c>
      <c r="AC498" s="23" t="s">
        <v>5508</v>
      </c>
      <c r="AD498" s="23" t="s">
        <v>2807</v>
      </c>
    </row>
    <row r="499" customFormat="false" ht="17.9" hidden="false" customHeight="false" outlineLevel="0" collapsed="false">
      <c r="A499" s="20" t="s">
        <v>307</v>
      </c>
      <c r="B499" s="20" t="s">
        <v>79</v>
      </c>
      <c r="C499" s="20" t="s">
        <v>5162</v>
      </c>
      <c r="D499" s="20" t="s">
        <v>5509</v>
      </c>
      <c r="E499" s="20" t="s">
        <v>5510</v>
      </c>
      <c r="F499" s="20" t="s">
        <v>2833</v>
      </c>
      <c r="G499" s="20" t="s">
        <v>3243</v>
      </c>
      <c r="H499" s="22" t="n">
        <v>36.5</v>
      </c>
      <c r="I499" s="22" t="n">
        <v>36.5</v>
      </c>
      <c r="J499" s="22" t="n">
        <f aca="false">H499-I499</f>
        <v>0</v>
      </c>
      <c r="K499" s="20" t="str">
        <f aca="false">IF(ABS(J499)&lt;0.001,"MATCH - PAPER CHECK-IN NOT SUPPLIED","DATA MISMATCH")</f>
        <v>MATCH - PAPER CHECK-IN NOT SUPPLIED</v>
      </c>
      <c r="L499" s="22" t="n">
        <v>28</v>
      </c>
      <c r="M499" s="22" t="n">
        <f aca="false">ROUNDUP(H499,0)</f>
        <v>37</v>
      </c>
      <c r="N499" s="24" t="n">
        <f aca="false">MAX(L499,M499)</f>
        <v>37</v>
      </c>
      <c r="O499" s="25" t="n">
        <v>10.4</v>
      </c>
      <c r="P499" s="25" t="n">
        <f aca="false">N499*O499</f>
        <v>384.8</v>
      </c>
      <c r="Q499" s="23" t="s">
        <v>5511</v>
      </c>
      <c r="R499" s="23" t="s">
        <v>2804</v>
      </c>
      <c r="S499" s="24" t="n">
        <v>37</v>
      </c>
      <c r="T499" s="25" t="n">
        <v>10.4</v>
      </c>
      <c r="U499" s="25" t="n">
        <v>384.8</v>
      </c>
      <c r="V499" s="25" t="n">
        <f aca="false">P499-U499</f>
        <v>0</v>
      </c>
      <c r="W499" s="25" t="n">
        <f aca="false">V499*12</f>
        <v>0</v>
      </c>
      <c r="X499" s="23" t="str">
        <f aca="false">IF(Q499="","MISSING FROM EXPORT",IF(ABS(V499)&lt;0.005,"CLEAR",IF(V499&gt;0,"UNDERBILLING","OVERBILLING")))</f>
        <v>CLEAR</v>
      </c>
      <c r="Y499" s="25" t="n">
        <f aca="false">IF(F499="COMMERCIAL",ROUND(P499*0.35,2),0)</f>
        <v>0</v>
      </c>
      <c r="Z499" s="23" t="str">
        <f aca="false">IF(F499="COMMERCIAL","VERIFY SIGNED AGREEMENT","NO EXCEPTION")</f>
        <v>NO EXCEPTION</v>
      </c>
      <c r="AA499" s="23" t="str">
        <f aca="false">IF(AND(C499="covered",N499&gt;40),"COVERED &gt;40 FT","")</f>
        <v/>
      </c>
      <c r="AB499" s="23" t="s">
        <v>5512</v>
      </c>
      <c r="AC499" s="23" t="s">
        <v>5513</v>
      </c>
      <c r="AD499" s="23" t="s">
        <v>2807</v>
      </c>
    </row>
    <row r="500" customFormat="false" ht="17.9" hidden="false" customHeight="false" outlineLevel="0" collapsed="false">
      <c r="A500" s="20" t="s">
        <v>5514</v>
      </c>
      <c r="B500" s="20" t="s">
        <v>79</v>
      </c>
      <c r="C500" s="20" t="s">
        <v>5162</v>
      </c>
      <c r="D500" s="20" t="s">
        <v>5515</v>
      </c>
      <c r="E500" s="20" t="s">
        <v>5516</v>
      </c>
      <c r="F500" s="20" t="s">
        <v>2833</v>
      </c>
      <c r="G500" s="20" t="s">
        <v>3250</v>
      </c>
      <c r="H500" s="22" t="n">
        <v>46.9</v>
      </c>
      <c r="I500" s="22" t="n">
        <v>46.9</v>
      </c>
      <c r="J500" s="22" t="n">
        <f aca="false">H500-I500</f>
        <v>0</v>
      </c>
      <c r="K500" s="20" t="str">
        <f aca="false">IF(ABS(J500)&lt;0.001,"MATCH - PAPER CHECK-IN NOT SUPPLIED","DATA MISMATCH")</f>
        <v>MATCH - PAPER CHECK-IN NOT SUPPLIED</v>
      </c>
      <c r="L500" s="22" t="n">
        <v>24</v>
      </c>
      <c r="M500" s="22" t="n">
        <f aca="false">ROUNDUP(H500,0)</f>
        <v>47</v>
      </c>
      <c r="N500" s="24" t="n">
        <f aca="false">MAX(L500,M500)</f>
        <v>47</v>
      </c>
      <c r="O500" s="25" t="n">
        <v>10.4</v>
      </c>
      <c r="P500" s="25" t="n">
        <f aca="false">N500*O500</f>
        <v>488.8</v>
      </c>
      <c r="Q500" s="23" t="s">
        <v>5517</v>
      </c>
      <c r="R500" s="23" t="s">
        <v>2804</v>
      </c>
      <c r="S500" s="24" t="n">
        <v>47</v>
      </c>
      <c r="T500" s="25" t="n">
        <v>10.4</v>
      </c>
      <c r="U500" s="25" t="n">
        <v>488.8</v>
      </c>
      <c r="V500" s="25" t="n">
        <f aca="false">P500-U500</f>
        <v>0</v>
      </c>
      <c r="W500" s="25" t="n">
        <f aca="false">V500*12</f>
        <v>0</v>
      </c>
      <c r="X500" s="23" t="str">
        <f aca="false">IF(Q500="","MISSING FROM EXPORT",IF(ABS(V500)&lt;0.005,"CLEAR",IF(V500&gt;0,"UNDERBILLING","OVERBILLING")))</f>
        <v>CLEAR</v>
      </c>
      <c r="Y500" s="25" t="n">
        <f aca="false">IF(F500="COMMERCIAL",ROUND(P500*0.35,2),0)</f>
        <v>0</v>
      </c>
      <c r="Z500" s="23" t="str">
        <f aca="false">IF(F500="COMMERCIAL","VERIFY SIGNED AGREEMENT","NO EXCEPTION")</f>
        <v>NO EXCEPTION</v>
      </c>
      <c r="AA500" s="23" t="str">
        <f aca="false">IF(AND(C500="covered",N500&gt;40),"COVERED &gt;40 FT","")</f>
        <v>COVERED &gt;40 FT</v>
      </c>
      <c r="AB500" s="23" t="s">
        <v>5518</v>
      </c>
      <c r="AC500" s="23" t="s">
        <v>5519</v>
      </c>
      <c r="AD500" s="23" t="s">
        <v>2807</v>
      </c>
    </row>
    <row r="501" customFormat="false" ht="17.9" hidden="false" customHeight="false" outlineLevel="0" collapsed="false">
      <c r="A501" s="20" t="s">
        <v>5520</v>
      </c>
      <c r="B501" s="20" t="s">
        <v>79</v>
      </c>
      <c r="C501" s="20" t="s">
        <v>5162</v>
      </c>
      <c r="D501" s="20" t="s">
        <v>5521</v>
      </c>
      <c r="E501" s="20" t="s">
        <v>5522</v>
      </c>
      <c r="F501" s="20" t="s">
        <v>2833</v>
      </c>
      <c r="G501" s="20" t="s">
        <v>3257</v>
      </c>
      <c r="H501" s="22" t="n">
        <v>27.2</v>
      </c>
      <c r="I501" s="22" t="n">
        <v>27.2</v>
      </c>
      <c r="J501" s="22" t="n">
        <f aca="false">H501-I501</f>
        <v>0</v>
      </c>
      <c r="K501" s="20" t="str">
        <f aca="false">IF(ABS(J501)&lt;0.001,"MATCH - PAPER CHECK-IN NOT SUPPLIED","DATA MISMATCH")</f>
        <v>MATCH - PAPER CHECK-IN NOT SUPPLIED</v>
      </c>
      <c r="L501" s="22" t="n">
        <v>24</v>
      </c>
      <c r="M501" s="22" t="n">
        <f aca="false">ROUNDUP(H501,0)</f>
        <v>28</v>
      </c>
      <c r="N501" s="24" t="n">
        <f aca="false">MAX(L501,M501)</f>
        <v>28</v>
      </c>
      <c r="O501" s="25" t="n">
        <v>10.4</v>
      </c>
      <c r="P501" s="25" t="n">
        <f aca="false">N501*O501</f>
        <v>291.2</v>
      </c>
      <c r="Q501" s="23" t="s">
        <v>5523</v>
      </c>
      <c r="R501" s="23" t="s">
        <v>2804</v>
      </c>
      <c r="S501" s="24" t="n">
        <v>28</v>
      </c>
      <c r="T501" s="25" t="n">
        <v>10.4</v>
      </c>
      <c r="U501" s="25" t="n">
        <v>291.2</v>
      </c>
      <c r="V501" s="25" t="n">
        <f aca="false">P501-U501</f>
        <v>0</v>
      </c>
      <c r="W501" s="25" t="n">
        <f aca="false">V501*12</f>
        <v>0</v>
      </c>
      <c r="X501" s="23" t="str">
        <f aca="false">IF(Q501="","MISSING FROM EXPORT",IF(ABS(V501)&lt;0.005,"CLEAR",IF(V501&gt;0,"UNDERBILLING","OVERBILLING")))</f>
        <v>CLEAR</v>
      </c>
      <c r="Y501" s="25" t="n">
        <f aca="false">IF(F501="COMMERCIAL",ROUND(P501*0.35,2),0)</f>
        <v>0</v>
      </c>
      <c r="Z501" s="23" t="str">
        <f aca="false">IF(F501="COMMERCIAL","VERIFY SIGNED AGREEMENT","NO EXCEPTION")</f>
        <v>NO EXCEPTION</v>
      </c>
      <c r="AA501" s="23" t="str">
        <f aca="false">IF(AND(C501="covered",N501&gt;40),"COVERED &gt;40 FT","")</f>
        <v/>
      </c>
      <c r="AB501" s="23" t="s">
        <v>5524</v>
      </c>
      <c r="AC501" s="23" t="s">
        <v>5525</v>
      </c>
      <c r="AD501" s="23" t="s">
        <v>2807</v>
      </c>
    </row>
    <row r="502" customFormat="false" ht="17.9" hidden="false" customHeight="false" outlineLevel="0" collapsed="false">
      <c r="A502" s="20" t="s">
        <v>5526</v>
      </c>
      <c r="B502" s="20" t="s">
        <v>79</v>
      </c>
      <c r="C502" s="20" t="s">
        <v>5162</v>
      </c>
      <c r="D502" s="20" t="s">
        <v>5527</v>
      </c>
      <c r="E502" s="20" t="s">
        <v>4347</v>
      </c>
      <c r="F502" s="20" t="s">
        <v>2833</v>
      </c>
      <c r="G502" s="20" t="s">
        <v>3264</v>
      </c>
      <c r="H502" s="22" t="n">
        <v>34.5</v>
      </c>
      <c r="I502" s="22" t="n">
        <v>34.5</v>
      </c>
      <c r="J502" s="22" t="n">
        <f aca="false">H502-I502</f>
        <v>0</v>
      </c>
      <c r="K502" s="20" t="str">
        <f aca="false">IF(ABS(J502)&lt;0.001,"MATCH - PAPER CHECK-IN NOT SUPPLIED","DATA MISMATCH")</f>
        <v>MATCH - PAPER CHECK-IN NOT SUPPLIED</v>
      </c>
      <c r="L502" s="22" t="n">
        <v>24</v>
      </c>
      <c r="M502" s="22" t="n">
        <f aca="false">ROUNDUP(H502,0)</f>
        <v>35</v>
      </c>
      <c r="N502" s="24" t="n">
        <f aca="false">MAX(L502,M502)</f>
        <v>35</v>
      </c>
      <c r="O502" s="25" t="n">
        <v>10.4</v>
      </c>
      <c r="P502" s="25" t="n">
        <f aca="false">N502*O502</f>
        <v>364</v>
      </c>
      <c r="Q502" s="23" t="s">
        <v>5528</v>
      </c>
      <c r="R502" s="23" t="s">
        <v>2804</v>
      </c>
      <c r="S502" s="24" t="n">
        <v>35</v>
      </c>
      <c r="T502" s="25" t="n">
        <v>10.4</v>
      </c>
      <c r="U502" s="25" t="n">
        <v>364</v>
      </c>
      <c r="V502" s="25" t="n">
        <f aca="false">P502-U502</f>
        <v>0</v>
      </c>
      <c r="W502" s="25" t="n">
        <f aca="false">V502*12</f>
        <v>0</v>
      </c>
      <c r="X502" s="23" t="str">
        <f aca="false">IF(Q502="","MISSING FROM EXPORT",IF(ABS(V502)&lt;0.005,"CLEAR",IF(V502&gt;0,"UNDERBILLING","OVERBILLING")))</f>
        <v>CLEAR</v>
      </c>
      <c r="Y502" s="25" t="n">
        <f aca="false">IF(F502="COMMERCIAL",ROUND(P502*0.35,2),0)</f>
        <v>0</v>
      </c>
      <c r="Z502" s="23" t="str">
        <f aca="false">IF(F502="COMMERCIAL","VERIFY SIGNED AGREEMENT","NO EXCEPTION")</f>
        <v>NO EXCEPTION</v>
      </c>
      <c r="AA502" s="23" t="str">
        <f aca="false">IF(AND(C502="covered",N502&gt;40),"COVERED &gt;40 FT","")</f>
        <v/>
      </c>
      <c r="AB502" s="23" t="s">
        <v>5529</v>
      </c>
      <c r="AC502" s="23" t="s">
        <v>5530</v>
      </c>
      <c r="AD502" s="23" t="s">
        <v>2807</v>
      </c>
    </row>
    <row r="503" customFormat="false" ht="17.9" hidden="false" customHeight="false" outlineLevel="0" collapsed="false">
      <c r="A503" s="20" t="s">
        <v>5531</v>
      </c>
      <c r="B503" s="20" t="s">
        <v>79</v>
      </c>
      <c r="C503" s="20" t="s">
        <v>5162</v>
      </c>
      <c r="D503" s="20" t="s">
        <v>5532</v>
      </c>
      <c r="E503" s="20" t="s">
        <v>5533</v>
      </c>
      <c r="F503" s="20" t="s">
        <v>2810</v>
      </c>
      <c r="G503" s="20" t="s">
        <v>3271</v>
      </c>
      <c r="H503" s="22" t="n">
        <v>59.6</v>
      </c>
      <c r="I503" s="22" t="n">
        <v>59.6</v>
      </c>
      <c r="J503" s="22" t="n">
        <f aca="false">H503-I503</f>
        <v>0</v>
      </c>
      <c r="K503" s="20" t="str">
        <f aca="false">IF(ABS(J503)&lt;0.001,"MATCH - PAPER CHECK-IN NOT SUPPLIED","DATA MISMATCH")</f>
        <v>MATCH - PAPER CHECK-IN NOT SUPPLIED</v>
      </c>
      <c r="L503" s="22" t="n">
        <v>24</v>
      </c>
      <c r="M503" s="22" t="n">
        <f aca="false">ROUNDUP(H503,0)</f>
        <v>60</v>
      </c>
      <c r="N503" s="24" t="n">
        <f aca="false">MAX(L503,M503)</f>
        <v>60</v>
      </c>
      <c r="O503" s="25" t="n">
        <v>10.4</v>
      </c>
      <c r="P503" s="25" t="n">
        <f aca="false">N503*O503</f>
        <v>624</v>
      </c>
      <c r="Q503" s="23" t="s">
        <v>5534</v>
      </c>
      <c r="R503" s="23" t="s">
        <v>2804</v>
      </c>
      <c r="S503" s="24" t="n">
        <v>60</v>
      </c>
      <c r="T503" s="25" t="n">
        <v>10.4</v>
      </c>
      <c r="U503" s="25" t="n">
        <v>624</v>
      </c>
      <c r="V503" s="25" t="n">
        <f aca="false">P503-U503</f>
        <v>0</v>
      </c>
      <c r="W503" s="25" t="n">
        <f aca="false">V503*12</f>
        <v>0</v>
      </c>
      <c r="X503" s="23" t="str">
        <f aca="false">IF(Q503="","MISSING FROM EXPORT",IF(ABS(V503)&lt;0.005,"CLEAR",IF(V503&gt;0,"UNDERBILLING","OVERBILLING")))</f>
        <v>CLEAR</v>
      </c>
      <c r="Y503" s="25" t="n">
        <f aca="false">IF(F503="COMMERCIAL",ROUND(P503*0.35,2),0)</f>
        <v>0</v>
      </c>
      <c r="Z503" s="23" t="str">
        <f aca="false">IF(F503="COMMERCIAL","VERIFY SIGNED AGREEMENT","NO EXCEPTION")</f>
        <v>NO EXCEPTION</v>
      </c>
      <c r="AA503" s="23" t="str">
        <f aca="false">IF(AND(C503="covered",N503&gt;40),"COVERED &gt;40 FT","")</f>
        <v>COVERED &gt;40 FT</v>
      </c>
      <c r="AB503" s="23" t="s">
        <v>5535</v>
      </c>
      <c r="AC503" s="23" t="s">
        <v>5536</v>
      </c>
      <c r="AD503" s="23" t="s">
        <v>2807</v>
      </c>
    </row>
    <row r="504" customFormat="false" ht="17.9" hidden="false" customHeight="false" outlineLevel="0" collapsed="false">
      <c r="A504" s="20" t="s">
        <v>5537</v>
      </c>
      <c r="B504" s="20" t="s">
        <v>79</v>
      </c>
      <c r="C504" s="20" t="s">
        <v>5162</v>
      </c>
      <c r="D504" s="20" t="s">
        <v>2703</v>
      </c>
      <c r="E504" s="20" t="s">
        <v>5538</v>
      </c>
      <c r="F504" s="20" t="s">
        <v>2934</v>
      </c>
      <c r="G504" s="20" t="s">
        <v>3277</v>
      </c>
      <c r="H504" s="22" t="n">
        <v>38.4</v>
      </c>
      <c r="I504" s="22" t="n">
        <v>38.4</v>
      </c>
      <c r="J504" s="22" t="n">
        <f aca="false">H504-I504</f>
        <v>0</v>
      </c>
      <c r="K504" s="20" t="str">
        <f aca="false">IF(ABS(J504)&lt;0.001,"MATCH - PAPER CHECK-IN NOT SUPPLIED","DATA MISMATCH")</f>
        <v>MATCH - PAPER CHECK-IN NOT SUPPLIED</v>
      </c>
      <c r="L504" s="22" t="n">
        <v>28</v>
      </c>
      <c r="M504" s="22" t="n">
        <f aca="false">ROUNDUP(H504,0)</f>
        <v>39</v>
      </c>
      <c r="N504" s="24" t="n">
        <f aca="false">MAX(L504,M504)</f>
        <v>39</v>
      </c>
      <c r="O504" s="25" t="n">
        <v>10.4</v>
      </c>
      <c r="P504" s="25" t="n">
        <f aca="false">N504*O504</f>
        <v>405.6</v>
      </c>
      <c r="Q504" s="23" t="s">
        <v>5539</v>
      </c>
      <c r="R504" s="23" t="s">
        <v>2804</v>
      </c>
      <c r="S504" s="24" t="n">
        <v>39</v>
      </c>
      <c r="T504" s="25" t="n">
        <v>10.4</v>
      </c>
      <c r="U504" s="25" t="n">
        <v>405.6</v>
      </c>
      <c r="V504" s="25" t="n">
        <f aca="false">P504-U504</f>
        <v>0</v>
      </c>
      <c r="W504" s="25" t="n">
        <f aca="false">V504*12</f>
        <v>0</v>
      </c>
      <c r="X504" s="23" t="str">
        <f aca="false">IF(Q504="","MISSING FROM EXPORT",IF(ABS(V504)&lt;0.005,"CLEAR",IF(V504&gt;0,"UNDERBILLING","OVERBILLING")))</f>
        <v>CLEAR</v>
      </c>
      <c r="Y504" s="25" t="n">
        <f aca="false">IF(F504="COMMERCIAL",ROUND(P504*0.35,2),0)</f>
        <v>141.96</v>
      </c>
      <c r="Z504" s="23" t="str">
        <f aca="false">IF(F504="COMMERCIAL","VERIFY SIGNED AGREEMENT","NO EXCEPTION")</f>
        <v>VERIFY SIGNED AGREEMENT</v>
      </c>
      <c r="AA504" s="23" t="str">
        <f aca="false">IF(AND(C504="covered",N504&gt;40),"COVERED &gt;40 FT","")</f>
        <v/>
      </c>
      <c r="AB504" s="23" t="s">
        <v>5540</v>
      </c>
      <c r="AC504" s="23" t="s">
        <v>5541</v>
      </c>
      <c r="AD504" s="23" t="s">
        <v>2807</v>
      </c>
    </row>
    <row r="505" customFormat="false" ht="17.9" hidden="false" customHeight="false" outlineLevel="0" collapsed="false">
      <c r="A505" s="20" t="s">
        <v>5542</v>
      </c>
      <c r="B505" s="20" t="s">
        <v>79</v>
      </c>
      <c r="C505" s="20" t="s">
        <v>5162</v>
      </c>
      <c r="D505" s="20" t="s">
        <v>5543</v>
      </c>
      <c r="E505" s="20" t="s">
        <v>5544</v>
      </c>
      <c r="F505" s="20" t="s">
        <v>2810</v>
      </c>
      <c r="G505" s="20" t="s">
        <v>3284</v>
      </c>
      <c r="H505" s="22" t="n">
        <v>23.9</v>
      </c>
      <c r="I505" s="22" t="n">
        <v>23.9</v>
      </c>
      <c r="J505" s="22" t="n">
        <f aca="false">H505-I505</f>
        <v>0</v>
      </c>
      <c r="K505" s="20" t="str">
        <f aca="false">IF(ABS(J505)&lt;0.001,"MATCH - PAPER CHECK-IN NOT SUPPLIED","DATA MISMATCH")</f>
        <v>MATCH - PAPER CHECK-IN NOT SUPPLIED</v>
      </c>
      <c r="L505" s="22" t="n">
        <v>40</v>
      </c>
      <c r="M505" s="22" t="n">
        <f aca="false">ROUNDUP(H505,0)</f>
        <v>24</v>
      </c>
      <c r="N505" s="24" t="n">
        <f aca="false">MAX(L505,M505)</f>
        <v>40</v>
      </c>
      <c r="O505" s="25" t="n">
        <v>10.4</v>
      </c>
      <c r="P505" s="25" t="n">
        <f aca="false">N505*O505</f>
        <v>416</v>
      </c>
      <c r="Q505" s="23" t="s">
        <v>5545</v>
      </c>
      <c r="R505" s="23" t="s">
        <v>2804</v>
      </c>
      <c r="S505" s="24" t="n">
        <v>40</v>
      </c>
      <c r="T505" s="25" t="n">
        <v>10.4</v>
      </c>
      <c r="U505" s="25" t="n">
        <v>416</v>
      </c>
      <c r="V505" s="25" t="n">
        <f aca="false">P505-U505</f>
        <v>0</v>
      </c>
      <c r="W505" s="25" t="n">
        <f aca="false">V505*12</f>
        <v>0</v>
      </c>
      <c r="X505" s="23" t="str">
        <f aca="false">IF(Q505="","MISSING FROM EXPORT",IF(ABS(V505)&lt;0.005,"CLEAR",IF(V505&gt;0,"UNDERBILLING","OVERBILLING")))</f>
        <v>CLEAR</v>
      </c>
      <c r="Y505" s="25" t="n">
        <f aca="false">IF(F505="COMMERCIAL",ROUND(P505*0.35,2),0)</f>
        <v>0</v>
      </c>
      <c r="Z505" s="23" t="str">
        <f aca="false">IF(F505="COMMERCIAL","VERIFY SIGNED AGREEMENT","NO EXCEPTION")</f>
        <v>NO EXCEPTION</v>
      </c>
      <c r="AA505" s="23" t="str">
        <f aca="false">IF(AND(C505="covered",N505&gt;40),"COVERED &gt;40 FT","")</f>
        <v/>
      </c>
      <c r="AB505" s="23" t="s">
        <v>5546</v>
      </c>
      <c r="AC505" s="23" t="s">
        <v>5547</v>
      </c>
      <c r="AD505" s="23" t="s">
        <v>2807</v>
      </c>
    </row>
    <row r="506" customFormat="false" ht="17.9" hidden="false" customHeight="false" outlineLevel="0" collapsed="false">
      <c r="A506" s="20" t="s">
        <v>5548</v>
      </c>
      <c r="B506" s="20" t="s">
        <v>79</v>
      </c>
      <c r="C506" s="20" t="s">
        <v>5162</v>
      </c>
      <c r="D506" s="20" t="s">
        <v>5549</v>
      </c>
      <c r="E506" s="20" t="s">
        <v>5550</v>
      </c>
      <c r="F506" s="20" t="s">
        <v>2810</v>
      </c>
      <c r="G506" s="20" t="s">
        <v>3289</v>
      </c>
      <c r="H506" s="22" t="n">
        <v>48.1</v>
      </c>
      <c r="I506" s="22" t="n">
        <v>48.1</v>
      </c>
      <c r="J506" s="22" t="n">
        <f aca="false">H506-I506</f>
        <v>0</v>
      </c>
      <c r="K506" s="20" t="str">
        <f aca="false">IF(ABS(J506)&lt;0.001,"MATCH - PAPER CHECK-IN NOT SUPPLIED","DATA MISMATCH")</f>
        <v>MATCH - PAPER CHECK-IN NOT SUPPLIED</v>
      </c>
      <c r="L506" s="22" t="n">
        <v>32</v>
      </c>
      <c r="M506" s="22" t="n">
        <f aca="false">ROUNDUP(H506,0)</f>
        <v>49</v>
      </c>
      <c r="N506" s="24" t="n">
        <f aca="false">MAX(L506,M506)</f>
        <v>49</v>
      </c>
      <c r="O506" s="25" t="n">
        <v>10.4</v>
      </c>
      <c r="P506" s="25" t="n">
        <f aca="false">N506*O506</f>
        <v>509.6</v>
      </c>
      <c r="Q506" s="23" t="s">
        <v>5551</v>
      </c>
      <c r="R506" s="23" t="s">
        <v>2804</v>
      </c>
      <c r="S506" s="24" t="n">
        <v>49</v>
      </c>
      <c r="T506" s="25" t="n">
        <v>10.4</v>
      </c>
      <c r="U506" s="25" t="n">
        <v>509.6</v>
      </c>
      <c r="V506" s="25" t="n">
        <f aca="false">P506-U506</f>
        <v>0</v>
      </c>
      <c r="W506" s="25" t="n">
        <f aca="false">V506*12</f>
        <v>0</v>
      </c>
      <c r="X506" s="23" t="str">
        <f aca="false">IF(Q506="","MISSING FROM EXPORT",IF(ABS(V506)&lt;0.005,"CLEAR",IF(V506&gt;0,"UNDERBILLING","OVERBILLING")))</f>
        <v>CLEAR</v>
      </c>
      <c r="Y506" s="25" t="n">
        <f aca="false">IF(F506="COMMERCIAL",ROUND(P506*0.35,2),0)</f>
        <v>0</v>
      </c>
      <c r="Z506" s="23" t="str">
        <f aca="false">IF(F506="COMMERCIAL","VERIFY SIGNED AGREEMENT","NO EXCEPTION")</f>
        <v>NO EXCEPTION</v>
      </c>
      <c r="AA506" s="23" t="str">
        <f aca="false">IF(AND(C506="covered",N506&gt;40),"COVERED &gt;40 FT","")</f>
        <v>COVERED &gt;40 FT</v>
      </c>
      <c r="AB506" s="23" t="s">
        <v>5552</v>
      </c>
      <c r="AC506" s="23" t="s">
        <v>5553</v>
      </c>
      <c r="AD506" s="23" t="s">
        <v>2807</v>
      </c>
    </row>
    <row r="507" customFormat="false" ht="17.9" hidden="false" customHeight="false" outlineLevel="0" collapsed="false">
      <c r="A507" s="20" t="s">
        <v>5554</v>
      </c>
      <c r="B507" s="20" t="s">
        <v>79</v>
      </c>
      <c r="C507" s="20" t="s">
        <v>5162</v>
      </c>
      <c r="D507" s="20" t="s">
        <v>5555</v>
      </c>
      <c r="E507" s="20" t="s">
        <v>5556</v>
      </c>
      <c r="F507" s="20" t="s">
        <v>2833</v>
      </c>
      <c r="G507" s="20" t="s">
        <v>3296</v>
      </c>
      <c r="H507" s="22" t="n">
        <v>39.7</v>
      </c>
      <c r="I507" s="22" t="n">
        <v>39.7</v>
      </c>
      <c r="J507" s="22" t="n">
        <f aca="false">H507-I507</f>
        <v>0</v>
      </c>
      <c r="K507" s="20" t="str">
        <f aca="false">IF(ABS(J507)&lt;0.001,"MATCH - PAPER CHECK-IN NOT SUPPLIED","DATA MISMATCH")</f>
        <v>MATCH - PAPER CHECK-IN NOT SUPPLIED</v>
      </c>
      <c r="L507" s="22" t="n">
        <v>24</v>
      </c>
      <c r="M507" s="22" t="n">
        <f aca="false">ROUNDUP(H507,0)</f>
        <v>40</v>
      </c>
      <c r="N507" s="24" t="n">
        <f aca="false">MAX(L507,M507)</f>
        <v>40</v>
      </c>
      <c r="O507" s="25" t="n">
        <v>10.4</v>
      </c>
      <c r="P507" s="25" t="n">
        <f aca="false">N507*O507</f>
        <v>416</v>
      </c>
      <c r="Q507" s="23" t="s">
        <v>5557</v>
      </c>
      <c r="R507" s="23" t="s">
        <v>2804</v>
      </c>
      <c r="S507" s="24" t="n">
        <v>40</v>
      </c>
      <c r="T507" s="25" t="n">
        <v>10.4</v>
      </c>
      <c r="U507" s="25" t="n">
        <v>416</v>
      </c>
      <c r="V507" s="25" t="n">
        <f aca="false">P507-U507</f>
        <v>0</v>
      </c>
      <c r="W507" s="25" t="n">
        <f aca="false">V507*12</f>
        <v>0</v>
      </c>
      <c r="X507" s="23" t="str">
        <f aca="false">IF(Q507="","MISSING FROM EXPORT",IF(ABS(V507)&lt;0.005,"CLEAR",IF(V507&gt;0,"UNDERBILLING","OVERBILLING")))</f>
        <v>CLEAR</v>
      </c>
      <c r="Y507" s="25" t="n">
        <f aca="false">IF(F507="COMMERCIAL",ROUND(P507*0.35,2),0)</f>
        <v>0</v>
      </c>
      <c r="Z507" s="23" t="str">
        <f aca="false">IF(F507="COMMERCIAL","VERIFY SIGNED AGREEMENT","NO EXCEPTION")</f>
        <v>NO EXCEPTION</v>
      </c>
      <c r="AA507" s="23" t="str">
        <f aca="false">IF(AND(C507="covered",N507&gt;40),"COVERED &gt;40 FT","")</f>
        <v/>
      </c>
      <c r="AB507" s="23" t="s">
        <v>5558</v>
      </c>
      <c r="AC507" s="23" t="s">
        <v>5559</v>
      </c>
      <c r="AD507" s="23" t="s">
        <v>2807</v>
      </c>
    </row>
    <row r="508" customFormat="false" ht="17.9" hidden="false" customHeight="false" outlineLevel="0" collapsed="false">
      <c r="A508" s="20" t="s">
        <v>5560</v>
      </c>
      <c r="B508" s="20" t="s">
        <v>79</v>
      </c>
      <c r="C508" s="20" t="s">
        <v>5162</v>
      </c>
      <c r="D508" s="20" t="s">
        <v>5561</v>
      </c>
      <c r="E508" s="20" t="s">
        <v>5562</v>
      </c>
      <c r="F508" s="20" t="s">
        <v>2857</v>
      </c>
      <c r="G508" s="20" t="s">
        <v>3303</v>
      </c>
      <c r="H508" s="22" t="n">
        <v>24.6</v>
      </c>
      <c r="I508" s="22" t="n">
        <v>24.6</v>
      </c>
      <c r="J508" s="22" t="n">
        <f aca="false">H508-I508</f>
        <v>0</v>
      </c>
      <c r="K508" s="20" t="str">
        <f aca="false">IF(ABS(J508)&lt;0.001,"MATCH - PAPER CHECK-IN NOT SUPPLIED","DATA MISMATCH")</f>
        <v>MATCH - PAPER CHECK-IN NOT SUPPLIED</v>
      </c>
      <c r="L508" s="22" t="n">
        <v>24</v>
      </c>
      <c r="M508" s="22" t="n">
        <f aca="false">ROUNDUP(H508,0)</f>
        <v>25</v>
      </c>
      <c r="N508" s="24" t="n">
        <f aca="false">MAX(L508,M508)</f>
        <v>25</v>
      </c>
      <c r="O508" s="25" t="n">
        <v>10.4</v>
      </c>
      <c r="P508" s="25" t="n">
        <f aca="false">N508*O508</f>
        <v>260</v>
      </c>
      <c r="Q508" s="23" t="s">
        <v>5563</v>
      </c>
      <c r="R508" s="23" t="s">
        <v>2804</v>
      </c>
      <c r="S508" s="24" t="n">
        <v>25</v>
      </c>
      <c r="T508" s="25" t="n">
        <v>10.4</v>
      </c>
      <c r="U508" s="25" t="n">
        <v>260</v>
      </c>
      <c r="V508" s="25" t="n">
        <f aca="false">P508-U508</f>
        <v>0</v>
      </c>
      <c r="W508" s="25" t="n">
        <f aca="false">V508*12</f>
        <v>0</v>
      </c>
      <c r="X508" s="23" t="str">
        <f aca="false">IF(Q508="","MISSING FROM EXPORT",IF(ABS(V508)&lt;0.005,"CLEAR",IF(V508&gt;0,"UNDERBILLING","OVERBILLING")))</f>
        <v>CLEAR</v>
      </c>
      <c r="Y508" s="25" t="n">
        <f aca="false">IF(F508="COMMERCIAL",ROUND(P508*0.35,2),0)</f>
        <v>0</v>
      </c>
      <c r="Z508" s="23" t="str">
        <f aca="false">IF(F508="COMMERCIAL","VERIFY SIGNED AGREEMENT","NO EXCEPTION")</f>
        <v>NO EXCEPTION</v>
      </c>
      <c r="AA508" s="23" t="str">
        <f aca="false">IF(AND(C508="covered",N508&gt;40),"COVERED &gt;40 FT","")</f>
        <v/>
      </c>
      <c r="AB508" s="23" t="s">
        <v>5564</v>
      </c>
      <c r="AC508" s="23" t="s">
        <v>5565</v>
      </c>
      <c r="AD508" s="23" t="s">
        <v>2807</v>
      </c>
    </row>
    <row r="509" customFormat="false" ht="17.9" hidden="false" customHeight="false" outlineLevel="0" collapsed="false">
      <c r="A509" s="20" t="s">
        <v>519</v>
      </c>
      <c r="B509" s="20" t="s">
        <v>79</v>
      </c>
      <c r="C509" s="20" t="s">
        <v>5162</v>
      </c>
      <c r="D509" s="20" t="s">
        <v>5566</v>
      </c>
      <c r="E509" s="20" t="s">
        <v>5567</v>
      </c>
      <c r="F509" s="20" t="s">
        <v>2869</v>
      </c>
      <c r="G509" s="20" t="s">
        <v>3310</v>
      </c>
      <c r="H509" s="22" t="n">
        <v>41.2</v>
      </c>
      <c r="I509" s="22" t="n">
        <v>41.2</v>
      </c>
      <c r="J509" s="22" t="n">
        <f aca="false">H509-I509</f>
        <v>0</v>
      </c>
      <c r="K509" s="20" t="str">
        <f aca="false">IF(ABS(J509)&lt;0.001,"MATCH - PAPER CHECK-IN NOT SUPPLIED","DATA MISMATCH")</f>
        <v>MATCH - PAPER CHECK-IN NOT SUPPLIED</v>
      </c>
      <c r="L509" s="22" t="n">
        <v>32</v>
      </c>
      <c r="M509" s="22" t="n">
        <f aca="false">ROUNDUP(H509,0)</f>
        <v>42</v>
      </c>
      <c r="N509" s="24" t="n">
        <f aca="false">MAX(L509,M509)</f>
        <v>42</v>
      </c>
      <c r="O509" s="25" t="n">
        <v>10.4</v>
      </c>
      <c r="P509" s="25" t="n">
        <f aca="false">N509*O509</f>
        <v>436.8</v>
      </c>
      <c r="Q509" s="23" t="s">
        <v>5568</v>
      </c>
      <c r="R509" s="23" t="s">
        <v>2804</v>
      </c>
      <c r="S509" s="24" t="n">
        <v>42</v>
      </c>
      <c r="T509" s="25" t="n">
        <v>10.4</v>
      </c>
      <c r="U509" s="25" t="n">
        <v>436.8</v>
      </c>
      <c r="V509" s="25" t="n">
        <f aca="false">P509-U509</f>
        <v>0</v>
      </c>
      <c r="W509" s="25" t="n">
        <f aca="false">V509*12</f>
        <v>0</v>
      </c>
      <c r="X509" s="23" t="str">
        <f aca="false">IF(Q509="","MISSING FROM EXPORT",IF(ABS(V509)&lt;0.005,"CLEAR",IF(V509&gt;0,"UNDERBILLING","OVERBILLING")))</f>
        <v>CLEAR</v>
      </c>
      <c r="Y509" s="25" t="n">
        <f aca="false">IF(F509="COMMERCIAL",ROUND(P509*0.35,2),0)</f>
        <v>0</v>
      </c>
      <c r="Z509" s="23" t="str">
        <f aca="false">IF(F509="COMMERCIAL","VERIFY SIGNED AGREEMENT","NO EXCEPTION")</f>
        <v>NO EXCEPTION</v>
      </c>
      <c r="AA509" s="23" t="str">
        <f aca="false">IF(AND(C509="covered",N509&gt;40),"COVERED &gt;40 FT","")</f>
        <v>COVERED &gt;40 FT</v>
      </c>
      <c r="AB509" s="23" t="s">
        <v>5569</v>
      </c>
      <c r="AC509" s="23" t="s">
        <v>5570</v>
      </c>
      <c r="AD509" s="23" t="s">
        <v>2807</v>
      </c>
    </row>
    <row r="510" customFormat="false" ht="17.9" hidden="false" customHeight="false" outlineLevel="0" collapsed="false">
      <c r="A510" s="20" t="s">
        <v>1397</v>
      </c>
      <c r="B510" s="20" t="s">
        <v>79</v>
      </c>
      <c r="C510" s="20" t="s">
        <v>5162</v>
      </c>
      <c r="D510" s="20" t="s">
        <v>5571</v>
      </c>
      <c r="E510" s="20" t="s">
        <v>5572</v>
      </c>
      <c r="F510" s="20" t="s">
        <v>2934</v>
      </c>
      <c r="G510" s="20" t="s">
        <v>3317</v>
      </c>
      <c r="H510" s="22" t="n">
        <v>23.7</v>
      </c>
      <c r="I510" s="22" t="n">
        <v>23.7</v>
      </c>
      <c r="J510" s="22" t="n">
        <f aca="false">H510-I510</f>
        <v>0</v>
      </c>
      <c r="K510" s="20" t="str">
        <f aca="false">IF(ABS(J510)&lt;0.001,"MATCH - PAPER CHECK-IN NOT SUPPLIED","DATA MISMATCH")</f>
        <v>MATCH - PAPER CHECK-IN NOT SUPPLIED</v>
      </c>
      <c r="L510" s="22" t="n">
        <v>28</v>
      </c>
      <c r="M510" s="22" t="n">
        <f aca="false">ROUNDUP(H510,0)</f>
        <v>24</v>
      </c>
      <c r="N510" s="24" t="n">
        <f aca="false">MAX(L510,M510)</f>
        <v>28</v>
      </c>
      <c r="O510" s="25" t="n">
        <v>10.4</v>
      </c>
      <c r="P510" s="25" t="n">
        <f aca="false">N510*O510</f>
        <v>291.2</v>
      </c>
      <c r="Q510" s="23" t="s">
        <v>5573</v>
      </c>
      <c r="R510" s="23" t="s">
        <v>2804</v>
      </c>
      <c r="S510" s="24" t="n">
        <v>28</v>
      </c>
      <c r="T510" s="25" t="n">
        <v>10.4</v>
      </c>
      <c r="U510" s="25" t="n">
        <v>291.2</v>
      </c>
      <c r="V510" s="25" t="n">
        <f aca="false">P510-U510</f>
        <v>0</v>
      </c>
      <c r="W510" s="25" t="n">
        <f aca="false">V510*12</f>
        <v>0</v>
      </c>
      <c r="X510" s="23" t="str">
        <f aca="false">IF(Q510="","MISSING FROM EXPORT",IF(ABS(V510)&lt;0.005,"CLEAR",IF(V510&gt;0,"UNDERBILLING","OVERBILLING")))</f>
        <v>CLEAR</v>
      </c>
      <c r="Y510" s="25" t="n">
        <f aca="false">IF(F510="COMMERCIAL",ROUND(P510*0.35,2),0)</f>
        <v>101.92</v>
      </c>
      <c r="Z510" s="23" t="str">
        <f aca="false">IF(F510="COMMERCIAL","VERIFY SIGNED AGREEMENT","NO EXCEPTION")</f>
        <v>VERIFY SIGNED AGREEMENT</v>
      </c>
      <c r="AA510" s="23" t="str">
        <f aca="false">IF(AND(C510="covered",N510&gt;40),"COVERED &gt;40 FT","")</f>
        <v/>
      </c>
      <c r="AB510" s="23" t="s">
        <v>5574</v>
      </c>
      <c r="AC510" s="23" t="s">
        <v>5575</v>
      </c>
      <c r="AD510" s="23" t="s">
        <v>2807</v>
      </c>
    </row>
    <row r="511" customFormat="false" ht="17.9" hidden="false" customHeight="false" outlineLevel="0" collapsed="false">
      <c r="A511" s="20" t="s">
        <v>5576</v>
      </c>
      <c r="B511" s="20" t="s">
        <v>79</v>
      </c>
      <c r="C511" s="20" t="s">
        <v>5162</v>
      </c>
      <c r="D511" s="20" t="s">
        <v>5577</v>
      </c>
      <c r="E511" s="20" t="s">
        <v>5578</v>
      </c>
      <c r="F511" s="20" t="s">
        <v>2857</v>
      </c>
      <c r="G511" s="20" t="s">
        <v>3330</v>
      </c>
      <c r="H511" s="22" t="n">
        <v>35.9</v>
      </c>
      <c r="I511" s="22" t="n">
        <v>35.9</v>
      </c>
      <c r="J511" s="22" t="n">
        <f aca="false">H511-I511</f>
        <v>0</v>
      </c>
      <c r="K511" s="20" t="str">
        <f aca="false">IF(ABS(J511)&lt;0.001,"MATCH - PAPER CHECK-IN NOT SUPPLIED","DATA MISMATCH")</f>
        <v>MATCH - PAPER CHECK-IN NOT SUPPLIED</v>
      </c>
      <c r="L511" s="22" t="n">
        <v>24</v>
      </c>
      <c r="M511" s="22" t="n">
        <f aca="false">ROUNDUP(H511,0)</f>
        <v>36</v>
      </c>
      <c r="N511" s="24" t="n">
        <f aca="false">MAX(L511,M511)</f>
        <v>36</v>
      </c>
      <c r="O511" s="25" t="n">
        <v>10.4</v>
      </c>
      <c r="P511" s="25" t="n">
        <f aca="false">N511*O511</f>
        <v>374.4</v>
      </c>
      <c r="Q511" s="23" t="s">
        <v>5579</v>
      </c>
      <c r="R511" s="23" t="s">
        <v>2804</v>
      </c>
      <c r="S511" s="24" t="n">
        <v>36</v>
      </c>
      <c r="T511" s="25" t="n">
        <v>10.4</v>
      </c>
      <c r="U511" s="25" t="n">
        <v>374.4</v>
      </c>
      <c r="V511" s="25" t="n">
        <f aca="false">P511-U511</f>
        <v>0</v>
      </c>
      <c r="W511" s="25" t="n">
        <f aca="false">V511*12</f>
        <v>0</v>
      </c>
      <c r="X511" s="23" t="str">
        <f aca="false">IF(Q511="","MISSING FROM EXPORT",IF(ABS(V511)&lt;0.005,"CLEAR",IF(V511&gt;0,"UNDERBILLING","OVERBILLING")))</f>
        <v>CLEAR</v>
      </c>
      <c r="Y511" s="25" t="n">
        <f aca="false">IF(F511="COMMERCIAL",ROUND(P511*0.35,2),0)</f>
        <v>0</v>
      </c>
      <c r="Z511" s="23" t="str">
        <f aca="false">IF(F511="COMMERCIAL","VERIFY SIGNED AGREEMENT","NO EXCEPTION")</f>
        <v>NO EXCEPTION</v>
      </c>
      <c r="AA511" s="23" t="str">
        <f aca="false">IF(AND(C511="covered",N511&gt;40),"COVERED &gt;40 FT","")</f>
        <v/>
      </c>
      <c r="AB511" s="23" t="s">
        <v>5580</v>
      </c>
      <c r="AC511" s="23" t="s">
        <v>5581</v>
      </c>
      <c r="AD511" s="23" t="s">
        <v>2807</v>
      </c>
    </row>
    <row r="512" customFormat="false" ht="17.9" hidden="false" customHeight="false" outlineLevel="0" collapsed="false">
      <c r="A512" s="20" t="s">
        <v>632</v>
      </c>
      <c r="B512" s="20" t="s">
        <v>79</v>
      </c>
      <c r="C512" s="20" t="s">
        <v>5162</v>
      </c>
      <c r="D512" s="20" t="s">
        <v>5582</v>
      </c>
      <c r="E512" s="20" t="s">
        <v>5583</v>
      </c>
      <c r="F512" s="20" t="s">
        <v>2810</v>
      </c>
      <c r="G512" s="20" t="s">
        <v>3337</v>
      </c>
      <c r="H512" s="22" t="n">
        <v>47.8</v>
      </c>
      <c r="I512" s="22" t="n">
        <v>47.8</v>
      </c>
      <c r="J512" s="22" t="n">
        <f aca="false">H512-I512</f>
        <v>0</v>
      </c>
      <c r="K512" s="20" t="str">
        <f aca="false">IF(ABS(J512)&lt;0.001,"MATCH - PAPER CHECK-IN NOT SUPPLIED","DATA MISMATCH")</f>
        <v>MATCH - PAPER CHECK-IN NOT SUPPLIED</v>
      </c>
      <c r="L512" s="22" t="n">
        <v>24</v>
      </c>
      <c r="M512" s="22" t="n">
        <f aca="false">ROUNDUP(H512,0)</f>
        <v>48</v>
      </c>
      <c r="N512" s="24" t="n">
        <f aca="false">MAX(L512,M512)</f>
        <v>48</v>
      </c>
      <c r="O512" s="25" t="n">
        <v>10.4</v>
      </c>
      <c r="P512" s="25" t="n">
        <f aca="false">N512*O512</f>
        <v>499.2</v>
      </c>
      <c r="Q512" s="23" t="s">
        <v>5584</v>
      </c>
      <c r="R512" s="23" t="s">
        <v>2804</v>
      </c>
      <c r="S512" s="24" t="n">
        <v>48</v>
      </c>
      <c r="T512" s="25" t="n">
        <v>10.4</v>
      </c>
      <c r="U512" s="25" t="n">
        <v>499.2</v>
      </c>
      <c r="V512" s="25" t="n">
        <f aca="false">P512-U512</f>
        <v>0</v>
      </c>
      <c r="W512" s="25" t="n">
        <f aca="false">V512*12</f>
        <v>0</v>
      </c>
      <c r="X512" s="23" t="str">
        <f aca="false">IF(Q512="","MISSING FROM EXPORT",IF(ABS(V512)&lt;0.005,"CLEAR",IF(V512&gt;0,"UNDERBILLING","OVERBILLING")))</f>
        <v>CLEAR</v>
      </c>
      <c r="Y512" s="25" t="n">
        <f aca="false">IF(F512="COMMERCIAL",ROUND(P512*0.35,2),0)</f>
        <v>0</v>
      </c>
      <c r="Z512" s="23" t="str">
        <f aca="false">IF(F512="COMMERCIAL","VERIFY SIGNED AGREEMENT","NO EXCEPTION")</f>
        <v>NO EXCEPTION</v>
      </c>
      <c r="AA512" s="23" t="str">
        <f aca="false">IF(AND(C512="covered",N512&gt;40),"COVERED &gt;40 FT","")</f>
        <v>COVERED &gt;40 FT</v>
      </c>
      <c r="AB512" s="23" t="s">
        <v>5585</v>
      </c>
      <c r="AC512" s="23" t="s">
        <v>5586</v>
      </c>
      <c r="AD512" s="23" t="s">
        <v>2807</v>
      </c>
    </row>
    <row r="513" customFormat="false" ht="17.9" hidden="false" customHeight="false" outlineLevel="0" collapsed="false">
      <c r="A513" s="20" t="s">
        <v>5587</v>
      </c>
      <c r="B513" s="20" t="s">
        <v>79</v>
      </c>
      <c r="C513" s="20" t="s">
        <v>5162</v>
      </c>
      <c r="D513" s="20" t="s">
        <v>5588</v>
      </c>
      <c r="E513" s="20" t="s">
        <v>5589</v>
      </c>
      <c r="F513" s="20" t="s">
        <v>2857</v>
      </c>
      <c r="G513" s="20" t="s">
        <v>3344</v>
      </c>
      <c r="H513" s="22" t="n">
        <v>60.9</v>
      </c>
      <c r="I513" s="22" t="n">
        <v>60.9</v>
      </c>
      <c r="J513" s="22" t="n">
        <f aca="false">H513-I513</f>
        <v>0</v>
      </c>
      <c r="K513" s="20" t="str">
        <f aca="false">IF(ABS(J513)&lt;0.001,"MATCH - PAPER CHECK-IN NOT SUPPLIED","DATA MISMATCH")</f>
        <v>MATCH - PAPER CHECK-IN NOT SUPPLIED</v>
      </c>
      <c r="L513" s="22" t="n">
        <v>40</v>
      </c>
      <c r="M513" s="22" t="n">
        <f aca="false">ROUNDUP(H513,0)</f>
        <v>61</v>
      </c>
      <c r="N513" s="24" t="n">
        <f aca="false">MAX(L513,M513)</f>
        <v>61</v>
      </c>
      <c r="O513" s="25" t="n">
        <v>10.4</v>
      </c>
      <c r="P513" s="25" t="n">
        <f aca="false">N513*O513</f>
        <v>634.4</v>
      </c>
      <c r="Q513" s="23" t="s">
        <v>5590</v>
      </c>
      <c r="R513" s="23" t="s">
        <v>2804</v>
      </c>
      <c r="S513" s="24" t="n">
        <v>61</v>
      </c>
      <c r="T513" s="25" t="n">
        <v>10.4</v>
      </c>
      <c r="U513" s="25" t="n">
        <v>634.4</v>
      </c>
      <c r="V513" s="25" t="n">
        <f aca="false">P513-U513</f>
        <v>0</v>
      </c>
      <c r="W513" s="25" t="n">
        <f aca="false">V513*12</f>
        <v>0</v>
      </c>
      <c r="X513" s="23" t="str">
        <f aca="false">IF(Q513="","MISSING FROM EXPORT",IF(ABS(V513)&lt;0.005,"CLEAR",IF(V513&gt;0,"UNDERBILLING","OVERBILLING")))</f>
        <v>CLEAR</v>
      </c>
      <c r="Y513" s="25" t="n">
        <f aca="false">IF(F513="COMMERCIAL",ROUND(P513*0.35,2),0)</f>
        <v>0</v>
      </c>
      <c r="Z513" s="23" t="str">
        <f aca="false">IF(F513="COMMERCIAL","VERIFY SIGNED AGREEMENT","NO EXCEPTION")</f>
        <v>NO EXCEPTION</v>
      </c>
      <c r="AA513" s="23" t="str">
        <f aca="false">IF(AND(C513="covered",N513&gt;40),"COVERED &gt;40 FT","")</f>
        <v>COVERED &gt;40 FT</v>
      </c>
      <c r="AB513" s="23" t="s">
        <v>5591</v>
      </c>
      <c r="AC513" s="23" t="s">
        <v>5592</v>
      </c>
      <c r="AD513" s="23" t="s">
        <v>2807</v>
      </c>
    </row>
    <row r="514" customFormat="false" ht="17.9" hidden="false" customHeight="false" outlineLevel="0" collapsed="false">
      <c r="A514" s="20" t="s">
        <v>5593</v>
      </c>
      <c r="B514" s="20" t="s">
        <v>79</v>
      </c>
      <c r="C514" s="20" t="s">
        <v>5162</v>
      </c>
      <c r="D514" s="20" t="s">
        <v>5594</v>
      </c>
      <c r="E514" s="20" t="s">
        <v>5595</v>
      </c>
      <c r="F514" s="20" t="s">
        <v>2934</v>
      </c>
      <c r="G514" s="20" t="s">
        <v>3351</v>
      </c>
      <c r="H514" s="22" t="n">
        <v>43.7</v>
      </c>
      <c r="I514" s="22" t="n">
        <v>43.7</v>
      </c>
      <c r="J514" s="22" t="n">
        <f aca="false">H514-I514</f>
        <v>0</v>
      </c>
      <c r="K514" s="20" t="str">
        <f aca="false">IF(ABS(J514)&lt;0.001,"MATCH - PAPER CHECK-IN NOT SUPPLIED","DATA MISMATCH")</f>
        <v>MATCH - PAPER CHECK-IN NOT SUPPLIED</v>
      </c>
      <c r="L514" s="22" t="n">
        <v>24</v>
      </c>
      <c r="M514" s="22" t="n">
        <f aca="false">ROUNDUP(H514,0)</f>
        <v>44</v>
      </c>
      <c r="N514" s="24" t="n">
        <f aca="false">MAX(L514,M514)</f>
        <v>44</v>
      </c>
      <c r="O514" s="25" t="n">
        <v>10.4</v>
      </c>
      <c r="P514" s="25" t="n">
        <f aca="false">N514*O514</f>
        <v>457.6</v>
      </c>
      <c r="Q514" s="23" t="s">
        <v>5596</v>
      </c>
      <c r="R514" s="23" t="s">
        <v>2804</v>
      </c>
      <c r="S514" s="24" t="n">
        <v>44</v>
      </c>
      <c r="T514" s="25" t="n">
        <v>10.4</v>
      </c>
      <c r="U514" s="25" t="n">
        <v>457.6</v>
      </c>
      <c r="V514" s="25" t="n">
        <f aca="false">P514-U514</f>
        <v>0</v>
      </c>
      <c r="W514" s="25" t="n">
        <f aca="false">V514*12</f>
        <v>0</v>
      </c>
      <c r="X514" s="23" t="str">
        <f aca="false">IF(Q514="","MISSING FROM EXPORT",IF(ABS(V514)&lt;0.005,"CLEAR",IF(V514&gt;0,"UNDERBILLING","OVERBILLING")))</f>
        <v>CLEAR</v>
      </c>
      <c r="Y514" s="25" t="n">
        <f aca="false">IF(F514="COMMERCIAL",ROUND(P514*0.35,2),0)</f>
        <v>160.16</v>
      </c>
      <c r="Z514" s="23" t="str">
        <f aca="false">IF(F514="COMMERCIAL","VERIFY SIGNED AGREEMENT","NO EXCEPTION")</f>
        <v>VERIFY SIGNED AGREEMENT</v>
      </c>
      <c r="AA514" s="23" t="str">
        <f aca="false">IF(AND(C514="covered",N514&gt;40),"COVERED &gt;40 FT","")</f>
        <v>COVERED &gt;40 FT</v>
      </c>
      <c r="AB514" s="23" t="s">
        <v>5597</v>
      </c>
      <c r="AC514" s="23" t="s">
        <v>5598</v>
      </c>
      <c r="AD514" s="23" t="s">
        <v>2807</v>
      </c>
    </row>
    <row r="515" customFormat="false" ht="17.9" hidden="false" customHeight="false" outlineLevel="0" collapsed="false">
      <c r="A515" s="20" t="s">
        <v>5599</v>
      </c>
      <c r="B515" s="20" t="s">
        <v>79</v>
      </c>
      <c r="C515" s="20" t="s">
        <v>5162</v>
      </c>
      <c r="D515" s="20" t="s">
        <v>5600</v>
      </c>
      <c r="E515" s="20" t="s">
        <v>5601</v>
      </c>
      <c r="F515" s="20" t="s">
        <v>2898</v>
      </c>
      <c r="G515" s="20" t="s">
        <v>3356</v>
      </c>
      <c r="H515" s="22" t="n">
        <v>44.4</v>
      </c>
      <c r="I515" s="22" t="n">
        <v>44.4</v>
      </c>
      <c r="J515" s="22" t="n">
        <f aca="false">H515-I515</f>
        <v>0</v>
      </c>
      <c r="K515" s="20" t="str">
        <f aca="false">IF(ABS(J515)&lt;0.001,"MATCH - PAPER CHECK-IN NOT SUPPLIED","DATA MISMATCH")</f>
        <v>MATCH - PAPER CHECK-IN NOT SUPPLIED</v>
      </c>
      <c r="L515" s="22" t="n">
        <v>24</v>
      </c>
      <c r="M515" s="22" t="n">
        <f aca="false">ROUNDUP(H515,0)</f>
        <v>45</v>
      </c>
      <c r="N515" s="24" t="n">
        <f aca="false">MAX(L515,M515)</f>
        <v>45</v>
      </c>
      <c r="O515" s="25" t="n">
        <v>10.4</v>
      </c>
      <c r="P515" s="25" t="n">
        <f aca="false">N515*O515</f>
        <v>468</v>
      </c>
      <c r="Q515" s="23" t="s">
        <v>5602</v>
      </c>
      <c r="R515" s="23" t="s">
        <v>2804</v>
      </c>
      <c r="S515" s="24" t="n">
        <v>45</v>
      </c>
      <c r="T515" s="25" t="n">
        <v>10.4</v>
      </c>
      <c r="U515" s="25" t="n">
        <v>468</v>
      </c>
      <c r="V515" s="25" t="n">
        <f aca="false">P515-U515</f>
        <v>0</v>
      </c>
      <c r="W515" s="25" t="n">
        <f aca="false">V515*12</f>
        <v>0</v>
      </c>
      <c r="X515" s="23" t="str">
        <f aca="false">IF(Q515="","MISSING FROM EXPORT",IF(ABS(V515)&lt;0.005,"CLEAR",IF(V515&gt;0,"UNDERBILLING","OVERBILLING")))</f>
        <v>CLEAR</v>
      </c>
      <c r="Y515" s="25" t="n">
        <f aca="false">IF(F515="COMMERCIAL",ROUND(P515*0.35,2),0)</f>
        <v>0</v>
      </c>
      <c r="Z515" s="23" t="str">
        <f aca="false">IF(F515="COMMERCIAL","VERIFY SIGNED AGREEMENT","NO EXCEPTION")</f>
        <v>NO EXCEPTION</v>
      </c>
      <c r="AA515" s="23" t="str">
        <f aca="false">IF(AND(C515="covered",N515&gt;40),"COVERED &gt;40 FT","")</f>
        <v>COVERED &gt;40 FT</v>
      </c>
      <c r="AB515" s="23" t="s">
        <v>5603</v>
      </c>
      <c r="AC515" s="23" t="s">
        <v>5604</v>
      </c>
      <c r="AD515" s="23" t="s">
        <v>2807</v>
      </c>
    </row>
    <row r="516" customFormat="false" ht="17.9" hidden="false" customHeight="false" outlineLevel="0" collapsed="false">
      <c r="A516" s="20" t="s">
        <v>5605</v>
      </c>
      <c r="B516" s="20" t="s">
        <v>79</v>
      </c>
      <c r="C516" s="20" t="s">
        <v>5162</v>
      </c>
      <c r="D516" s="20" t="s">
        <v>1064</v>
      </c>
      <c r="E516" s="20" t="s">
        <v>1065</v>
      </c>
      <c r="F516" s="20" t="s">
        <v>2833</v>
      </c>
      <c r="G516" s="20" t="s">
        <v>3362</v>
      </c>
      <c r="H516" s="22" t="n">
        <v>28.9</v>
      </c>
      <c r="I516" s="22" t="n">
        <v>28.9</v>
      </c>
      <c r="J516" s="22" t="n">
        <f aca="false">H516-I516</f>
        <v>0</v>
      </c>
      <c r="K516" s="20" t="str">
        <f aca="false">IF(ABS(J516)&lt;0.001,"MATCH - PAPER CHECK-IN NOT SUPPLIED","DATA MISMATCH")</f>
        <v>MATCH - PAPER CHECK-IN NOT SUPPLIED</v>
      </c>
      <c r="L516" s="22" t="n">
        <v>36</v>
      </c>
      <c r="M516" s="22" t="n">
        <f aca="false">ROUNDUP(H516,0)</f>
        <v>29</v>
      </c>
      <c r="N516" s="24" t="n">
        <f aca="false">MAX(L516,M516)</f>
        <v>36</v>
      </c>
      <c r="O516" s="25" t="n">
        <v>10.4</v>
      </c>
      <c r="P516" s="25" t="n">
        <f aca="false">N516*O516</f>
        <v>374.4</v>
      </c>
      <c r="Q516" s="23" t="s">
        <v>5606</v>
      </c>
      <c r="R516" s="23" t="s">
        <v>2804</v>
      </c>
      <c r="S516" s="24" t="n">
        <v>36</v>
      </c>
      <c r="T516" s="25" t="n">
        <v>10.4</v>
      </c>
      <c r="U516" s="25" t="n">
        <v>374.4</v>
      </c>
      <c r="V516" s="25" t="n">
        <f aca="false">P516-U516</f>
        <v>0</v>
      </c>
      <c r="W516" s="25" t="n">
        <f aca="false">V516*12</f>
        <v>0</v>
      </c>
      <c r="X516" s="23" t="str">
        <f aca="false">IF(Q516="","MISSING FROM EXPORT",IF(ABS(V516)&lt;0.005,"CLEAR",IF(V516&gt;0,"UNDERBILLING","OVERBILLING")))</f>
        <v>CLEAR</v>
      </c>
      <c r="Y516" s="25" t="n">
        <f aca="false">IF(F516="COMMERCIAL",ROUND(P516*0.35,2),0)</f>
        <v>0</v>
      </c>
      <c r="Z516" s="23" t="str">
        <f aca="false">IF(F516="COMMERCIAL","VERIFY SIGNED AGREEMENT","NO EXCEPTION")</f>
        <v>NO EXCEPTION</v>
      </c>
      <c r="AA516" s="23" t="str">
        <f aca="false">IF(AND(C516="covered",N516&gt;40),"COVERED &gt;40 FT","")</f>
        <v/>
      </c>
      <c r="AB516" s="23" t="s">
        <v>5607</v>
      </c>
      <c r="AC516" s="23" t="s">
        <v>5608</v>
      </c>
      <c r="AD516" s="23" t="s">
        <v>2807</v>
      </c>
    </row>
    <row r="517" customFormat="false" ht="17.9" hidden="false" customHeight="false" outlineLevel="0" collapsed="false">
      <c r="A517" s="20" t="s">
        <v>5609</v>
      </c>
      <c r="B517" s="20" t="s">
        <v>79</v>
      </c>
      <c r="C517" s="20" t="s">
        <v>5162</v>
      </c>
      <c r="D517" s="20" t="s">
        <v>5610</v>
      </c>
      <c r="E517" s="20" t="s">
        <v>5611</v>
      </c>
      <c r="F517" s="20" t="s">
        <v>2810</v>
      </c>
      <c r="G517" s="20" t="s">
        <v>3366</v>
      </c>
      <c r="H517" s="22" t="n">
        <v>25.1</v>
      </c>
      <c r="I517" s="22" t="n">
        <v>25.1</v>
      </c>
      <c r="J517" s="22" t="n">
        <f aca="false">H517-I517</f>
        <v>0</v>
      </c>
      <c r="K517" s="20" t="str">
        <f aca="false">IF(ABS(J517)&lt;0.001,"MATCH - PAPER CHECK-IN NOT SUPPLIED","DATA MISMATCH")</f>
        <v>MATCH - PAPER CHECK-IN NOT SUPPLIED</v>
      </c>
      <c r="L517" s="22" t="n">
        <v>28</v>
      </c>
      <c r="M517" s="22" t="n">
        <f aca="false">ROUNDUP(H517,0)</f>
        <v>26</v>
      </c>
      <c r="N517" s="24" t="n">
        <f aca="false">MAX(L517,M517)</f>
        <v>28</v>
      </c>
      <c r="O517" s="25" t="n">
        <v>10.4</v>
      </c>
      <c r="P517" s="25" t="n">
        <f aca="false">N517*O517</f>
        <v>291.2</v>
      </c>
      <c r="Q517" s="23" t="s">
        <v>5612</v>
      </c>
      <c r="R517" s="23" t="s">
        <v>2804</v>
      </c>
      <c r="S517" s="24" t="n">
        <v>28</v>
      </c>
      <c r="T517" s="25" t="n">
        <v>10.4</v>
      </c>
      <c r="U517" s="25" t="n">
        <v>291.2</v>
      </c>
      <c r="V517" s="25" t="n">
        <f aca="false">P517-U517</f>
        <v>0</v>
      </c>
      <c r="W517" s="25" t="n">
        <f aca="false">V517*12</f>
        <v>0</v>
      </c>
      <c r="X517" s="23" t="str">
        <f aca="false">IF(Q517="","MISSING FROM EXPORT",IF(ABS(V517)&lt;0.005,"CLEAR",IF(V517&gt;0,"UNDERBILLING","OVERBILLING")))</f>
        <v>CLEAR</v>
      </c>
      <c r="Y517" s="25" t="n">
        <f aca="false">IF(F517="COMMERCIAL",ROUND(P517*0.35,2),0)</f>
        <v>0</v>
      </c>
      <c r="Z517" s="23" t="str">
        <f aca="false">IF(F517="COMMERCIAL","VERIFY SIGNED AGREEMENT","NO EXCEPTION")</f>
        <v>NO EXCEPTION</v>
      </c>
      <c r="AA517" s="23" t="str">
        <f aca="false">IF(AND(C517="covered",N517&gt;40),"COVERED &gt;40 FT","")</f>
        <v/>
      </c>
      <c r="AB517" s="23" t="s">
        <v>5613</v>
      </c>
      <c r="AC517" s="23" t="s">
        <v>5614</v>
      </c>
      <c r="AD517" s="23" t="s">
        <v>2807</v>
      </c>
    </row>
    <row r="518" customFormat="false" ht="17.9" hidden="false" customHeight="false" outlineLevel="0" collapsed="false">
      <c r="A518" s="20" t="s">
        <v>5615</v>
      </c>
      <c r="B518" s="20" t="s">
        <v>79</v>
      </c>
      <c r="C518" s="20" t="s">
        <v>5162</v>
      </c>
      <c r="D518" s="20" t="s">
        <v>5616</v>
      </c>
      <c r="E518" s="20" t="s">
        <v>5617</v>
      </c>
      <c r="F518" s="20" t="s">
        <v>2801</v>
      </c>
      <c r="G518" s="20" t="s">
        <v>4685</v>
      </c>
      <c r="H518" s="22" t="n">
        <v>33.5</v>
      </c>
      <c r="I518" s="22" t="n">
        <v>33.5</v>
      </c>
      <c r="J518" s="22" t="n">
        <f aca="false">H518-I518</f>
        <v>0</v>
      </c>
      <c r="K518" s="20" t="str">
        <f aca="false">IF(ABS(J518)&lt;0.001,"MATCH - PAPER CHECK-IN NOT SUPPLIED","DATA MISMATCH")</f>
        <v>MATCH - PAPER CHECK-IN NOT SUPPLIED</v>
      </c>
      <c r="L518" s="22" t="n">
        <v>32</v>
      </c>
      <c r="M518" s="22" t="n">
        <f aca="false">ROUNDUP(H518,0)</f>
        <v>34</v>
      </c>
      <c r="N518" s="24" t="n">
        <f aca="false">MAX(L518,M518)</f>
        <v>34</v>
      </c>
      <c r="O518" s="25" t="n">
        <v>10.4</v>
      </c>
      <c r="P518" s="25" t="n">
        <f aca="false">N518*O518</f>
        <v>353.6</v>
      </c>
      <c r="Q518" s="23" t="s">
        <v>5618</v>
      </c>
      <c r="R518" s="23" t="s">
        <v>2804</v>
      </c>
      <c r="S518" s="24" t="n">
        <v>34</v>
      </c>
      <c r="T518" s="25" t="n">
        <v>10.4</v>
      </c>
      <c r="U518" s="25" t="n">
        <v>353.6</v>
      </c>
      <c r="V518" s="25" t="n">
        <f aca="false">P518-U518</f>
        <v>0</v>
      </c>
      <c r="W518" s="25" t="n">
        <f aca="false">V518*12</f>
        <v>0</v>
      </c>
      <c r="X518" s="23" t="str">
        <f aca="false">IF(Q518="","MISSING FROM EXPORT",IF(ABS(V518)&lt;0.005,"CLEAR",IF(V518&gt;0,"UNDERBILLING","OVERBILLING")))</f>
        <v>CLEAR</v>
      </c>
      <c r="Y518" s="25" t="n">
        <f aca="false">IF(F518="COMMERCIAL",ROUND(P518*0.35,2),0)</f>
        <v>0</v>
      </c>
      <c r="Z518" s="23" t="str">
        <f aca="false">IF(F518="COMMERCIAL","VERIFY SIGNED AGREEMENT","NO EXCEPTION")</f>
        <v>NO EXCEPTION</v>
      </c>
      <c r="AA518" s="23" t="str">
        <f aca="false">IF(AND(C518="covered",N518&gt;40),"COVERED &gt;40 FT","")</f>
        <v/>
      </c>
      <c r="AB518" s="23" t="s">
        <v>5619</v>
      </c>
      <c r="AC518" s="23" t="s">
        <v>5620</v>
      </c>
      <c r="AD518" s="23" t="s">
        <v>2807</v>
      </c>
    </row>
    <row r="519" customFormat="false" ht="17.9" hidden="false" customHeight="false" outlineLevel="0" collapsed="false">
      <c r="A519" s="20" t="s">
        <v>5621</v>
      </c>
      <c r="B519" s="20" t="s">
        <v>79</v>
      </c>
      <c r="C519" s="20" t="s">
        <v>5162</v>
      </c>
      <c r="D519" s="20" t="s">
        <v>5622</v>
      </c>
      <c r="E519" s="20" t="s">
        <v>5623</v>
      </c>
      <c r="F519" s="20" t="s">
        <v>2801</v>
      </c>
      <c r="G519" s="20" t="s">
        <v>3373</v>
      </c>
      <c r="H519" s="22" t="n">
        <v>34.6</v>
      </c>
      <c r="I519" s="22" t="n">
        <v>34.6</v>
      </c>
      <c r="J519" s="22" t="n">
        <f aca="false">H519-I519</f>
        <v>0</v>
      </c>
      <c r="K519" s="20" t="str">
        <f aca="false">IF(ABS(J519)&lt;0.001,"MATCH - PAPER CHECK-IN NOT SUPPLIED","DATA MISMATCH")</f>
        <v>MATCH - PAPER CHECK-IN NOT SUPPLIED</v>
      </c>
      <c r="L519" s="22" t="n">
        <v>40</v>
      </c>
      <c r="M519" s="22" t="n">
        <f aca="false">ROUNDUP(H519,0)</f>
        <v>35</v>
      </c>
      <c r="N519" s="24" t="n">
        <f aca="false">MAX(L519,M519)</f>
        <v>40</v>
      </c>
      <c r="O519" s="25" t="n">
        <v>10.4</v>
      </c>
      <c r="P519" s="25" t="n">
        <f aca="false">N519*O519</f>
        <v>416</v>
      </c>
      <c r="Q519" s="23" t="s">
        <v>5624</v>
      </c>
      <c r="R519" s="23" t="s">
        <v>2804</v>
      </c>
      <c r="S519" s="24" t="n">
        <v>40</v>
      </c>
      <c r="T519" s="25" t="n">
        <v>10.4</v>
      </c>
      <c r="U519" s="25" t="n">
        <v>416</v>
      </c>
      <c r="V519" s="25" t="n">
        <f aca="false">P519-U519</f>
        <v>0</v>
      </c>
      <c r="W519" s="25" t="n">
        <f aca="false">V519*12</f>
        <v>0</v>
      </c>
      <c r="X519" s="23" t="str">
        <f aca="false">IF(Q519="","MISSING FROM EXPORT",IF(ABS(V519)&lt;0.005,"CLEAR",IF(V519&gt;0,"UNDERBILLING","OVERBILLING")))</f>
        <v>CLEAR</v>
      </c>
      <c r="Y519" s="25" t="n">
        <f aca="false">IF(F519="COMMERCIAL",ROUND(P519*0.35,2),0)</f>
        <v>0</v>
      </c>
      <c r="Z519" s="23" t="str">
        <f aca="false">IF(F519="COMMERCIAL","VERIFY SIGNED AGREEMENT","NO EXCEPTION")</f>
        <v>NO EXCEPTION</v>
      </c>
      <c r="AA519" s="23" t="str">
        <f aca="false">IF(AND(C519="covered",N519&gt;40),"COVERED &gt;40 FT","")</f>
        <v/>
      </c>
      <c r="AB519" s="23" t="s">
        <v>5625</v>
      </c>
      <c r="AC519" s="23" t="s">
        <v>5626</v>
      </c>
      <c r="AD519" s="23" t="s">
        <v>2807</v>
      </c>
    </row>
    <row r="520" customFormat="false" ht="17.9" hidden="false" customHeight="false" outlineLevel="0" collapsed="false">
      <c r="A520" s="20" t="s">
        <v>5627</v>
      </c>
      <c r="B520" s="20" t="s">
        <v>79</v>
      </c>
      <c r="C520" s="20" t="s">
        <v>5162</v>
      </c>
      <c r="D520" s="20" t="s">
        <v>5628</v>
      </c>
      <c r="E520" s="20" t="s">
        <v>5629</v>
      </c>
      <c r="F520" s="20" t="s">
        <v>2934</v>
      </c>
      <c r="G520" s="20" t="s">
        <v>3380</v>
      </c>
      <c r="H520" s="22" t="n">
        <v>28.5</v>
      </c>
      <c r="I520" s="22" t="n">
        <v>28.5</v>
      </c>
      <c r="J520" s="22" t="n">
        <f aca="false">H520-I520</f>
        <v>0</v>
      </c>
      <c r="K520" s="20" t="str">
        <f aca="false">IF(ABS(J520)&lt;0.001,"MATCH - PAPER CHECK-IN NOT SUPPLIED","DATA MISMATCH")</f>
        <v>MATCH - PAPER CHECK-IN NOT SUPPLIED</v>
      </c>
      <c r="L520" s="22" t="n">
        <v>28</v>
      </c>
      <c r="M520" s="22" t="n">
        <f aca="false">ROUNDUP(H520,0)</f>
        <v>29</v>
      </c>
      <c r="N520" s="24" t="n">
        <f aca="false">MAX(L520,M520)</f>
        <v>29</v>
      </c>
      <c r="O520" s="25" t="n">
        <v>10.4</v>
      </c>
      <c r="P520" s="25" t="n">
        <f aca="false">N520*O520</f>
        <v>301.6</v>
      </c>
      <c r="Q520" s="23" t="s">
        <v>5630</v>
      </c>
      <c r="R520" s="23" t="s">
        <v>2804</v>
      </c>
      <c r="S520" s="24" t="n">
        <v>29</v>
      </c>
      <c r="T520" s="25" t="n">
        <v>10.4</v>
      </c>
      <c r="U520" s="25" t="n">
        <v>301.6</v>
      </c>
      <c r="V520" s="25" t="n">
        <f aca="false">P520-U520</f>
        <v>0</v>
      </c>
      <c r="W520" s="25" t="n">
        <f aca="false">V520*12</f>
        <v>0</v>
      </c>
      <c r="X520" s="23" t="str">
        <f aca="false">IF(Q520="","MISSING FROM EXPORT",IF(ABS(V520)&lt;0.005,"CLEAR",IF(V520&gt;0,"UNDERBILLING","OVERBILLING")))</f>
        <v>CLEAR</v>
      </c>
      <c r="Y520" s="25" t="n">
        <f aca="false">IF(F520="COMMERCIAL",ROUND(P520*0.35,2),0)</f>
        <v>105.56</v>
      </c>
      <c r="Z520" s="23" t="str">
        <f aca="false">IF(F520="COMMERCIAL","VERIFY SIGNED AGREEMENT","NO EXCEPTION")</f>
        <v>VERIFY SIGNED AGREEMENT</v>
      </c>
      <c r="AA520" s="23" t="str">
        <f aca="false">IF(AND(C520="covered",N520&gt;40),"COVERED &gt;40 FT","")</f>
        <v/>
      </c>
      <c r="AB520" s="23" t="s">
        <v>5631</v>
      </c>
      <c r="AC520" s="23" t="s">
        <v>5632</v>
      </c>
      <c r="AD520" s="23" t="s">
        <v>2807</v>
      </c>
    </row>
    <row r="521" customFormat="false" ht="17.9" hidden="false" customHeight="false" outlineLevel="0" collapsed="false">
      <c r="A521" s="20" t="s">
        <v>5633</v>
      </c>
      <c r="B521" s="20" t="s">
        <v>79</v>
      </c>
      <c r="C521" s="20" t="s">
        <v>5162</v>
      </c>
      <c r="D521" s="20" t="s">
        <v>5634</v>
      </c>
      <c r="E521" s="20" t="s">
        <v>5635</v>
      </c>
      <c r="F521" s="20" t="s">
        <v>2869</v>
      </c>
      <c r="G521" s="20" t="s">
        <v>3387</v>
      </c>
      <c r="H521" s="22" t="n">
        <v>53.6</v>
      </c>
      <c r="I521" s="22" t="n">
        <v>53.6</v>
      </c>
      <c r="J521" s="22" t="n">
        <f aca="false">H521-I521</f>
        <v>0</v>
      </c>
      <c r="K521" s="20" t="str">
        <f aca="false">IF(ABS(J521)&lt;0.001,"MATCH - PAPER CHECK-IN NOT SUPPLIED","DATA MISMATCH")</f>
        <v>MATCH - PAPER CHECK-IN NOT SUPPLIED</v>
      </c>
      <c r="L521" s="22" t="n">
        <v>32</v>
      </c>
      <c r="M521" s="22" t="n">
        <f aca="false">ROUNDUP(H521,0)</f>
        <v>54</v>
      </c>
      <c r="N521" s="24" t="n">
        <f aca="false">MAX(L521,M521)</f>
        <v>54</v>
      </c>
      <c r="O521" s="25" t="n">
        <v>10.4</v>
      </c>
      <c r="P521" s="25" t="n">
        <f aca="false">N521*O521</f>
        <v>561.6</v>
      </c>
      <c r="Q521" s="23" t="s">
        <v>5636</v>
      </c>
      <c r="R521" s="23" t="s">
        <v>2804</v>
      </c>
      <c r="S521" s="24" t="n">
        <v>54</v>
      </c>
      <c r="T521" s="25" t="n">
        <v>10.4</v>
      </c>
      <c r="U521" s="25" t="n">
        <v>561.6</v>
      </c>
      <c r="V521" s="25" t="n">
        <f aca="false">P521-U521</f>
        <v>0</v>
      </c>
      <c r="W521" s="25" t="n">
        <f aca="false">V521*12</f>
        <v>0</v>
      </c>
      <c r="X521" s="23" t="str">
        <f aca="false">IF(Q521="","MISSING FROM EXPORT",IF(ABS(V521)&lt;0.005,"CLEAR",IF(V521&gt;0,"UNDERBILLING","OVERBILLING")))</f>
        <v>CLEAR</v>
      </c>
      <c r="Y521" s="25" t="n">
        <f aca="false">IF(F521="COMMERCIAL",ROUND(P521*0.35,2),0)</f>
        <v>0</v>
      </c>
      <c r="Z521" s="23" t="str">
        <f aca="false">IF(F521="COMMERCIAL","VERIFY SIGNED AGREEMENT","NO EXCEPTION")</f>
        <v>NO EXCEPTION</v>
      </c>
      <c r="AA521" s="23" t="str">
        <f aca="false">IF(AND(C521="covered",N521&gt;40),"COVERED &gt;40 FT","")</f>
        <v>COVERED &gt;40 FT</v>
      </c>
      <c r="AB521" s="23" t="s">
        <v>5637</v>
      </c>
      <c r="AC521" s="23" t="s">
        <v>5638</v>
      </c>
      <c r="AD521" s="23" t="s">
        <v>2807</v>
      </c>
    </row>
    <row r="522" customFormat="false" ht="17.9" hidden="false" customHeight="false" outlineLevel="0" collapsed="false">
      <c r="A522" s="20" t="s">
        <v>5639</v>
      </c>
      <c r="B522" s="20" t="s">
        <v>79</v>
      </c>
      <c r="C522" s="20" t="s">
        <v>5162</v>
      </c>
      <c r="D522" s="20" t="s">
        <v>5640</v>
      </c>
      <c r="E522" s="20" t="s">
        <v>5641</v>
      </c>
      <c r="F522" s="20" t="s">
        <v>2833</v>
      </c>
      <c r="G522" s="20" t="s">
        <v>3394</v>
      </c>
      <c r="H522" s="22" t="n">
        <v>34</v>
      </c>
      <c r="I522" s="22" t="n">
        <v>34</v>
      </c>
      <c r="J522" s="22" t="n">
        <f aca="false">H522-I522</f>
        <v>0</v>
      </c>
      <c r="K522" s="20" t="str">
        <f aca="false">IF(ABS(J522)&lt;0.001,"MATCH - PAPER CHECK-IN NOT SUPPLIED","DATA MISMATCH")</f>
        <v>MATCH - PAPER CHECK-IN NOT SUPPLIED</v>
      </c>
      <c r="L522" s="22" t="n">
        <v>24</v>
      </c>
      <c r="M522" s="22" t="n">
        <f aca="false">ROUNDUP(H522,0)</f>
        <v>34</v>
      </c>
      <c r="N522" s="24" t="n">
        <f aca="false">MAX(L522,M522)</f>
        <v>34</v>
      </c>
      <c r="O522" s="25" t="n">
        <v>10.4</v>
      </c>
      <c r="P522" s="25" t="n">
        <f aca="false">N522*O522</f>
        <v>353.6</v>
      </c>
      <c r="Q522" s="23" t="s">
        <v>5642</v>
      </c>
      <c r="R522" s="23" t="s">
        <v>2804</v>
      </c>
      <c r="S522" s="24" t="n">
        <v>34</v>
      </c>
      <c r="T522" s="25" t="n">
        <v>10.4</v>
      </c>
      <c r="U522" s="25" t="n">
        <v>353.6</v>
      </c>
      <c r="V522" s="25" t="n">
        <f aca="false">P522-U522</f>
        <v>0</v>
      </c>
      <c r="W522" s="25" t="n">
        <f aca="false">V522*12</f>
        <v>0</v>
      </c>
      <c r="X522" s="23" t="str">
        <f aca="false">IF(Q522="","MISSING FROM EXPORT",IF(ABS(V522)&lt;0.005,"CLEAR",IF(V522&gt;0,"UNDERBILLING","OVERBILLING")))</f>
        <v>CLEAR</v>
      </c>
      <c r="Y522" s="25" t="n">
        <f aca="false">IF(F522="COMMERCIAL",ROUND(P522*0.35,2),0)</f>
        <v>0</v>
      </c>
      <c r="Z522" s="23" t="str">
        <f aca="false">IF(F522="COMMERCIAL","VERIFY SIGNED AGREEMENT","NO EXCEPTION")</f>
        <v>NO EXCEPTION</v>
      </c>
      <c r="AA522" s="23" t="str">
        <f aca="false">IF(AND(C522="covered",N522&gt;40),"COVERED &gt;40 FT","")</f>
        <v/>
      </c>
      <c r="AB522" s="23" t="s">
        <v>5643</v>
      </c>
      <c r="AC522" s="23" t="s">
        <v>5644</v>
      </c>
      <c r="AD522" s="23" t="s">
        <v>2807</v>
      </c>
    </row>
    <row r="523" customFormat="false" ht="17.9" hidden="false" customHeight="false" outlineLevel="0" collapsed="false">
      <c r="A523" s="20" t="s">
        <v>1503</v>
      </c>
      <c r="B523" s="20" t="s">
        <v>79</v>
      </c>
      <c r="C523" s="20" t="s">
        <v>5162</v>
      </c>
      <c r="D523" s="20" t="s">
        <v>5645</v>
      </c>
      <c r="E523" s="20" t="s">
        <v>5646</v>
      </c>
      <c r="F523" s="20" t="s">
        <v>2857</v>
      </c>
      <c r="G523" s="20" t="s">
        <v>3401</v>
      </c>
      <c r="H523" s="22" t="n">
        <v>57.8</v>
      </c>
      <c r="I523" s="22" t="n">
        <v>57.8</v>
      </c>
      <c r="J523" s="22" t="n">
        <f aca="false">H523-I523</f>
        <v>0</v>
      </c>
      <c r="K523" s="20" t="str">
        <f aca="false">IF(ABS(J523)&lt;0.001,"MATCH - PAPER CHECK-IN NOT SUPPLIED","DATA MISMATCH")</f>
        <v>MATCH - PAPER CHECK-IN NOT SUPPLIED</v>
      </c>
      <c r="L523" s="22" t="n">
        <v>28</v>
      </c>
      <c r="M523" s="22" t="n">
        <f aca="false">ROUNDUP(H523,0)</f>
        <v>58</v>
      </c>
      <c r="N523" s="24" t="n">
        <f aca="false">MAX(L523,M523)</f>
        <v>58</v>
      </c>
      <c r="O523" s="25" t="n">
        <v>10.4</v>
      </c>
      <c r="P523" s="25" t="n">
        <f aca="false">N523*O523</f>
        <v>603.2</v>
      </c>
      <c r="Q523" s="23" t="s">
        <v>5647</v>
      </c>
      <c r="R523" s="23" t="s">
        <v>2804</v>
      </c>
      <c r="S523" s="24" t="n">
        <v>58</v>
      </c>
      <c r="T523" s="25" t="n">
        <v>10.4</v>
      </c>
      <c r="U523" s="25" t="n">
        <v>603.2</v>
      </c>
      <c r="V523" s="25" t="n">
        <f aca="false">P523-U523</f>
        <v>0</v>
      </c>
      <c r="W523" s="25" t="n">
        <f aca="false">V523*12</f>
        <v>0</v>
      </c>
      <c r="X523" s="23" t="str">
        <f aca="false">IF(Q523="","MISSING FROM EXPORT",IF(ABS(V523)&lt;0.005,"CLEAR",IF(V523&gt;0,"UNDERBILLING","OVERBILLING")))</f>
        <v>CLEAR</v>
      </c>
      <c r="Y523" s="25" t="n">
        <f aca="false">IF(F523="COMMERCIAL",ROUND(P523*0.35,2),0)</f>
        <v>0</v>
      </c>
      <c r="Z523" s="23" t="str">
        <f aca="false">IF(F523="COMMERCIAL","VERIFY SIGNED AGREEMENT","NO EXCEPTION")</f>
        <v>NO EXCEPTION</v>
      </c>
      <c r="AA523" s="23" t="str">
        <f aca="false">IF(AND(C523="covered",N523&gt;40),"COVERED &gt;40 FT","")</f>
        <v>COVERED &gt;40 FT</v>
      </c>
      <c r="AB523" s="23" t="s">
        <v>5648</v>
      </c>
      <c r="AC523" s="23" t="s">
        <v>5649</v>
      </c>
      <c r="AD523" s="23" t="s">
        <v>2807</v>
      </c>
    </row>
    <row r="524" customFormat="false" ht="17.9" hidden="false" customHeight="false" outlineLevel="0" collapsed="false">
      <c r="A524" s="20" t="s">
        <v>5650</v>
      </c>
      <c r="B524" s="20" t="s">
        <v>79</v>
      </c>
      <c r="C524" s="20" t="s">
        <v>5162</v>
      </c>
      <c r="D524" s="20" t="s">
        <v>5651</v>
      </c>
      <c r="E524" s="20" t="s">
        <v>5652</v>
      </c>
      <c r="F524" s="20" t="s">
        <v>2934</v>
      </c>
      <c r="G524" s="20" t="s">
        <v>3408</v>
      </c>
      <c r="H524" s="22" t="n">
        <v>57.9</v>
      </c>
      <c r="I524" s="22" t="n">
        <v>57.9</v>
      </c>
      <c r="J524" s="22" t="n">
        <f aca="false">H524-I524</f>
        <v>0</v>
      </c>
      <c r="K524" s="20" t="str">
        <f aca="false">IF(ABS(J524)&lt;0.001,"MATCH - PAPER CHECK-IN NOT SUPPLIED","DATA MISMATCH")</f>
        <v>MATCH - PAPER CHECK-IN NOT SUPPLIED</v>
      </c>
      <c r="L524" s="22" t="n">
        <v>28</v>
      </c>
      <c r="M524" s="22" t="n">
        <f aca="false">ROUNDUP(H524,0)</f>
        <v>58</v>
      </c>
      <c r="N524" s="24" t="n">
        <f aca="false">MAX(L524,M524)</f>
        <v>58</v>
      </c>
      <c r="O524" s="25" t="n">
        <v>10.4</v>
      </c>
      <c r="P524" s="25" t="n">
        <f aca="false">N524*O524</f>
        <v>603.2</v>
      </c>
      <c r="Q524" s="23" t="s">
        <v>5653</v>
      </c>
      <c r="R524" s="23" t="s">
        <v>2804</v>
      </c>
      <c r="S524" s="24" t="n">
        <v>58</v>
      </c>
      <c r="T524" s="25" t="n">
        <v>10.4</v>
      </c>
      <c r="U524" s="25" t="n">
        <v>603.2</v>
      </c>
      <c r="V524" s="25" t="n">
        <f aca="false">P524-U524</f>
        <v>0</v>
      </c>
      <c r="W524" s="25" t="n">
        <f aca="false">V524*12</f>
        <v>0</v>
      </c>
      <c r="X524" s="23" t="str">
        <f aca="false">IF(Q524="","MISSING FROM EXPORT",IF(ABS(V524)&lt;0.005,"CLEAR",IF(V524&gt;0,"UNDERBILLING","OVERBILLING")))</f>
        <v>CLEAR</v>
      </c>
      <c r="Y524" s="25" t="n">
        <f aca="false">IF(F524="COMMERCIAL",ROUND(P524*0.35,2),0)</f>
        <v>211.12</v>
      </c>
      <c r="Z524" s="23" t="str">
        <f aca="false">IF(F524="COMMERCIAL","VERIFY SIGNED AGREEMENT","NO EXCEPTION")</f>
        <v>VERIFY SIGNED AGREEMENT</v>
      </c>
      <c r="AA524" s="23" t="str">
        <f aca="false">IF(AND(C524="covered",N524&gt;40),"COVERED &gt;40 FT","")</f>
        <v>COVERED &gt;40 FT</v>
      </c>
      <c r="AB524" s="23" t="s">
        <v>5654</v>
      </c>
      <c r="AC524" s="23" t="s">
        <v>5655</v>
      </c>
      <c r="AD524" s="23" t="s">
        <v>2807</v>
      </c>
    </row>
    <row r="525" customFormat="false" ht="17.9" hidden="false" customHeight="false" outlineLevel="0" collapsed="false">
      <c r="A525" s="20" t="s">
        <v>5656</v>
      </c>
      <c r="B525" s="20" t="s">
        <v>79</v>
      </c>
      <c r="C525" s="20" t="s">
        <v>5162</v>
      </c>
      <c r="D525" s="20" t="s">
        <v>5657</v>
      </c>
      <c r="E525" s="20" t="s">
        <v>5658</v>
      </c>
      <c r="F525" s="20" t="s">
        <v>2833</v>
      </c>
      <c r="G525" s="20" t="s">
        <v>3415</v>
      </c>
      <c r="H525" s="22" t="n">
        <v>46.7</v>
      </c>
      <c r="I525" s="22" t="n">
        <v>46.7</v>
      </c>
      <c r="J525" s="22" t="n">
        <f aca="false">H525-I525</f>
        <v>0</v>
      </c>
      <c r="K525" s="20" t="str">
        <f aca="false">IF(ABS(J525)&lt;0.001,"MATCH - PAPER CHECK-IN NOT SUPPLIED","DATA MISMATCH")</f>
        <v>MATCH - PAPER CHECK-IN NOT SUPPLIED</v>
      </c>
      <c r="L525" s="22" t="n">
        <v>24</v>
      </c>
      <c r="M525" s="22" t="n">
        <f aca="false">ROUNDUP(H525,0)</f>
        <v>47</v>
      </c>
      <c r="N525" s="24" t="n">
        <f aca="false">MAX(L525,M525)</f>
        <v>47</v>
      </c>
      <c r="O525" s="25" t="n">
        <v>10.4</v>
      </c>
      <c r="P525" s="25" t="n">
        <f aca="false">N525*O525</f>
        <v>488.8</v>
      </c>
      <c r="Q525" s="23" t="s">
        <v>5659</v>
      </c>
      <c r="R525" s="23" t="s">
        <v>2804</v>
      </c>
      <c r="S525" s="24" t="n">
        <v>47</v>
      </c>
      <c r="T525" s="25" t="n">
        <v>10.4</v>
      </c>
      <c r="U525" s="25" t="n">
        <v>488.8</v>
      </c>
      <c r="V525" s="25" t="n">
        <f aca="false">P525-U525</f>
        <v>0</v>
      </c>
      <c r="W525" s="25" t="n">
        <f aca="false">V525*12</f>
        <v>0</v>
      </c>
      <c r="X525" s="23" t="str">
        <f aca="false">IF(Q525="","MISSING FROM EXPORT",IF(ABS(V525)&lt;0.005,"CLEAR",IF(V525&gt;0,"UNDERBILLING","OVERBILLING")))</f>
        <v>CLEAR</v>
      </c>
      <c r="Y525" s="25" t="n">
        <f aca="false">IF(F525="COMMERCIAL",ROUND(P525*0.35,2),0)</f>
        <v>0</v>
      </c>
      <c r="Z525" s="23" t="str">
        <f aca="false">IF(F525="COMMERCIAL","VERIFY SIGNED AGREEMENT","NO EXCEPTION")</f>
        <v>NO EXCEPTION</v>
      </c>
      <c r="AA525" s="23" t="str">
        <f aca="false">IF(AND(C525="covered",N525&gt;40),"COVERED &gt;40 FT","")</f>
        <v>COVERED &gt;40 FT</v>
      </c>
      <c r="AB525" s="23" t="s">
        <v>5660</v>
      </c>
      <c r="AC525" s="23" t="s">
        <v>5661</v>
      </c>
      <c r="AD525" s="23" t="s">
        <v>2807</v>
      </c>
    </row>
    <row r="526" customFormat="false" ht="17.9" hidden="false" customHeight="false" outlineLevel="0" collapsed="false">
      <c r="A526" s="20" t="s">
        <v>5662</v>
      </c>
      <c r="B526" s="20" t="s">
        <v>79</v>
      </c>
      <c r="C526" s="20" t="s">
        <v>5162</v>
      </c>
      <c r="D526" s="20" t="s">
        <v>1384</v>
      </c>
      <c r="E526" s="20" t="s">
        <v>5663</v>
      </c>
      <c r="F526" s="20" t="s">
        <v>2810</v>
      </c>
      <c r="G526" s="20" t="s">
        <v>3422</v>
      </c>
      <c r="H526" s="22" t="n">
        <v>41</v>
      </c>
      <c r="I526" s="22" t="n">
        <v>41</v>
      </c>
      <c r="J526" s="22" t="n">
        <f aca="false">H526-I526</f>
        <v>0</v>
      </c>
      <c r="K526" s="20" t="str">
        <f aca="false">IF(ABS(J526)&lt;0.001,"MATCH - PAPER CHECK-IN NOT SUPPLIED","DATA MISMATCH")</f>
        <v>MATCH - PAPER CHECK-IN NOT SUPPLIED</v>
      </c>
      <c r="L526" s="22" t="n">
        <v>32</v>
      </c>
      <c r="M526" s="22" t="n">
        <f aca="false">ROUNDUP(H526,0)</f>
        <v>41</v>
      </c>
      <c r="N526" s="24" t="n">
        <f aca="false">MAX(L526,M526)</f>
        <v>41</v>
      </c>
      <c r="O526" s="25" t="n">
        <v>10.4</v>
      </c>
      <c r="P526" s="25" t="n">
        <f aca="false">N526*O526</f>
        <v>426.4</v>
      </c>
      <c r="Q526" s="23" t="s">
        <v>5664</v>
      </c>
      <c r="R526" s="23" t="s">
        <v>2804</v>
      </c>
      <c r="S526" s="24" t="n">
        <v>41</v>
      </c>
      <c r="T526" s="25" t="n">
        <v>10.4</v>
      </c>
      <c r="U526" s="25" t="n">
        <v>426.4</v>
      </c>
      <c r="V526" s="25" t="n">
        <f aca="false">P526-U526</f>
        <v>0</v>
      </c>
      <c r="W526" s="25" t="n">
        <f aca="false">V526*12</f>
        <v>0</v>
      </c>
      <c r="X526" s="23" t="str">
        <f aca="false">IF(Q526="","MISSING FROM EXPORT",IF(ABS(V526)&lt;0.005,"CLEAR",IF(V526&gt;0,"UNDERBILLING","OVERBILLING")))</f>
        <v>CLEAR</v>
      </c>
      <c r="Y526" s="25" t="n">
        <f aca="false">IF(F526="COMMERCIAL",ROUND(P526*0.35,2),0)</f>
        <v>0</v>
      </c>
      <c r="Z526" s="23" t="str">
        <f aca="false">IF(F526="COMMERCIAL","VERIFY SIGNED AGREEMENT","NO EXCEPTION")</f>
        <v>NO EXCEPTION</v>
      </c>
      <c r="AA526" s="23" t="str">
        <f aca="false">IF(AND(C526="covered",N526&gt;40),"COVERED &gt;40 FT","")</f>
        <v>COVERED &gt;40 FT</v>
      </c>
      <c r="AB526" s="23" t="s">
        <v>5665</v>
      </c>
      <c r="AC526" s="23" t="s">
        <v>5666</v>
      </c>
      <c r="AD526" s="23" t="s">
        <v>2807</v>
      </c>
    </row>
    <row r="527" customFormat="false" ht="17.9" hidden="false" customHeight="false" outlineLevel="0" collapsed="false">
      <c r="A527" s="20" t="s">
        <v>5667</v>
      </c>
      <c r="B527" s="20" t="s">
        <v>79</v>
      </c>
      <c r="C527" s="20" t="s">
        <v>5162</v>
      </c>
      <c r="D527" s="20" t="s">
        <v>2340</v>
      </c>
      <c r="E527" s="20" t="s">
        <v>5668</v>
      </c>
      <c r="F527" s="20" t="s">
        <v>2801</v>
      </c>
      <c r="G527" s="20" t="s">
        <v>3429</v>
      </c>
      <c r="H527" s="22" t="n">
        <v>56.6</v>
      </c>
      <c r="I527" s="22" t="n">
        <v>56.6</v>
      </c>
      <c r="J527" s="22" t="n">
        <f aca="false">H527-I527</f>
        <v>0</v>
      </c>
      <c r="K527" s="20" t="str">
        <f aca="false">IF(ABS(J527)&lt;0.001,"MATCH - PAPER CHECK-IN NOT SUPPLIED","DATA MISMATCH")</f>
        <v>MATCH - PAPER CHECK-IN NOT SUPPLIED</v>
      </c>
      <c r="L527" s="22" t="n">
        <v>24</v>
      </c>
      <c r="M527" s="22" t="n">
        <f aca="false">ROUNDUP(H527,0)</f>
        <v>57</v>
      </c>
      <c r="N527" s="24" t="n">
        <f aca="false">MAX(L527,M527)</f>
        <v>57</v>
      </c>
      <c r="O527" s="25" t="n">
        <v>10.4</v>
      </c>
      <c r="P527" s="25" t="n">
        <f aca="false">N527*O527</f>
        <v>592.8</v>
      </c>
      <c r="Q527" s="23" t="s">
        <v>5669</v>
      </c>
      <c r="R527" s="23" t="s">
        <v>2804</v>
      </c>
      <c r="S527" s="24" t="n">
        <v>57</v>
      </c>
      <c r="T527" s="25" t="n">
        <v>10.4</v>
      </c>
      <c r="U527" s="25" t="n">
        <v>592.8</v>
      </c>
      <c r="V527" s="25" t="n">
        <f aca="false">P527-U527</f>
        <v>0</v>
      </c>
      <c r="W527" s="25" t="n">
        <f aca="false">V527*12</f>
        <v>0</v>
      </c>
      <c r="X527" s="23" t="str">
        <f aca="false">IF(Q527="","MISSING FROM EXPORT",IF(ABS(V527)&lt;0.005,"CLEAR",IF(V527&gt;0,"UNDERBILLING","OVERBILLING")))</f>
        <v>CLEAR</v>
      </c>
      <c r="Y527" s="25" t="n">
        <f aca="false">IF(F527="COMMERCIAL",ROUND(P527*0.35,2),0)</f>
        <v>0</v>
      </c>
      <c r="Z527" s="23" t="str">
        <f aca="false">IF(F527="COMMERCIAL","VERIFY SIGNED AGREEMENT","NO EXCEPTION")</f>
        <v>NO EXCEPTION</v>
      </c>
      <c r="AA527" s="23" t="str">
        <f aca="false">IF(AND(C527="covered",N527&gt;40),"COVERED &gt;40 FT","")</f>
        <v>COVERED &gt;40 FT</v>
      </c>
      <c r="AB527" s="23" t="s">
        <v>5670</v>
      </c>
      <c r="AC527" s="23" t="s">
        <v>5671</v>
      </c>
      <c r="AD527" s="23" t="s">
        <v>2807</v>
      </c>
    </row>
    <row r="528" customFormat="false" ht="17.9" hidden="false" customHeight="false" outlineLevel="0" collapsed="false">
      <c r="A528" s="20" t="s">
        <v>5672</v>
      </c>
      <c r="B528" s="20" t="s">
        <v>79</v>
      </c>
      <c r="C528" s="20" t="s">
        <v>5162</v>
      </c>
      <c r="D528" s="20" t="s">
        <v>5673</v>
      </c>
      <c r="E528" s="20" t="s">
        <v>5674</v>
      </c>
      <c r="F528" s="20" t="s">
        <v>2833</v>
      </c>
      <c r="G528" s="20" t="s">
        <v>4730</v>
      </c>
      <c r="H528" s="22" t="n">
        <v>50</v>
      </c>
      <c r="I528" s="22" t="n">
        <v>50</v>
      </c>
      <c r="J528" s="22" t="n">
        <f aca="false">H528-I528</f>
        <v>0</v>
      </c>
      <c r="K528" s="20" t="str">
        <f aca="false">IF(ABS(J528)&lt;0.001,"MATCH - PAPER CHECK-IN NOT SUPPLIED","DATA MISMATCH")</f>
        <v>MATCH - PAPER CHECK-IN NOT SUPPLIED</v>
      </c>
      <c r="L528" s="22" t="n">
        <v>32</v>
      </c>
      <c r="M528" s="22" t="n">
        <f aca="false">ROUNDUP(H528,0)</f>
        <v>50</v>
      </c>
      <c r="N528" s="24" t="n">
        <f aca="false">MAX(L528,M528)</f>
        <v>50</v>
      </c>
      <c r="O528" s="25" t="n">
        <v>10.4</v>
      </c>
      <c r="P528" s="25" t="n">
        <f aca="false">N528*O528</f>
        <v>520</v>
      </c>
      <c r="Q528" s="23" t="s">
        <v>5675</v>
      </c>
      <c r="R528" s="23" t="s">
        <v>2804</v>
      </c>
      <c r="S528" s="24" t="n">
        <v>50</v>
      </c>
      <c r="T528" s="25" t="n">
        <v>10.4</v>
      </c>
      <c r="U528" s="25" t="n">
        <v>520</v>
      </c>
      <c r="V528" s="25" t="n">
        <f aca="false">P528-U528</f>
        <v>0</v>
      </c>
      <c r="W528" s="25" t="n">
        <f aca="false">V528*12</f>
        <v>0</v>
      </c>
      <c r="X528" s="23" t="str">
        <f aca="false">IF(Q528="","MISSING FROM EXPORT",IF(ABS(V528)&lt;0.005,"CLEAR",IF(V528&gt;0,"UNDERBILLING","OVERBILLING")))</f>
        <v>CLEAR</v>
      </c>
      <c r="Y528" s="25" t="n">
        <f aca="false">IF(F528="COMMERCIAL",ROUND(P528*0.35,2),0)</f>
        <v>0</v>
      </c>
      <c r="Z528" s="23" t="str">
        <f aca="false">IF(F528="COMMERCIAL","VERIFY SIGNED AGREEMENT","NO EXCEPTION")</f>
        <v>NO EXCEPTION</v>
      </c>
      <c r="AA528" s="23" t="str">
        <f aca="false">IF(AND(C528="covered",N528&gt;40),"COVERED &gt;40 FT","")</f>
        <v>COVERED &gt;40 FT</v>
      </c>
      <c r="AB528" s="23" t="s">
        <v>5676</v>
      </c>
      <c r="AC528" s="23" t="s">
        <v>5677</v>
      </c>
      <c r="AD528" s="23" t="s">
        <v>2807</v>
      </c>
    </row>
    <row r="529" customFormat="false" ht="17.9" hidden="false" customHeight="false" outlineLevel="0" collapsed="false">
      <c r="A529" s="20" t="s">
        <v>5678</v>
      </c>
      <c r="B529" s="20" t="s">
        <v>79</v>
      </c>
      <c r="C529" s="20" t="s">
        <v>5162</v>
      </c>
      <c r="D529" s="20" t="s">
        <v>5679</v>
      </c>
      <c r="E529" s="20" t="s">
        <v>5680</v>
      </c>
      <c r="F529" s="20" t="s">
        <v>2833</v>
      </c>
      <c r="G529" s="20" t="s">
        <v>3435</v>
      </c>
      <c r="H529" s="22" t="n">
        <v>58.7</v>
      </c>
      <c r="I529" s="22" t="n">
        <v>58.7</v>
      </c>
      <c r="J529" s="22" t="n">
        <f aca="false">H529-I529</f>
        <v>0</v>
      </c>
      <c r="K529" s="20" t="str">
        <f aca="false">IF(ABS(J529)&lt;0.001,"MATCH - PAPER CHECK-IN NOT SUPPLIED","DATA MISMATCH")</f>
        <v>MATCH - PAPER CHECK-IN NOT SUPPLIED</v>
      </c>
      <c r="L529" s="22" t="n">
        <v>36</v>
      </c>
      <c r="M529" s="22" t="n">
        <f aca="false">ROUNDUP(H529,0)</f>
        <v>59</v>
      </c>
      <c r="N529" s="24" t="n">
        <f aca="false">MAX(L529,M529)</f>
        <v>59</v>
      </c>
      <c r="O529" s="25" t="n">
        <v>10.4</v>
      </c>
      <c r="P529" s="25" t="n">
        <f aca="false">N529*O529</f>
        <v>613.6</v>
      </c>
      <c r="Q529" s="23" t="s">
        <v>5681</v>
      </c>
      <c r="R529" s="23" t="s">
        <v>2804</v>
      </c>
      <c r="S529" s="24" t="n">
        <v>59</v>
      </c>
      <c r="T529" s="25" t="n">
        <v>10.4</v>
      </c>
      <c r="U529" s="25" t="n">
        <v>613.6</v>
      </c>
      <c r="V529" s="25" t="n">
        <f aca="false">P529-U529</f>
        <v>0</v>
      </c>
      <c r="W529" s="25" t="n">
        <f aca="false">V529*12</f>
        <v>0</v>
      </c>
      <c r="X529" s="23" t="str">
        <f aca="false">IF(Q529="","MISSING FROM EXPORT",IF(ABS(V529)&lt;0.005,"CLEAR",IF(V529&gt;0,"UNDERBILLING","OVERBILLING")))</f>
        <v>CLEAR</v>
      </c>
      <c r="Y529" s="25" t="n">
        <f aca="false">IF(F529="COMMERCIAL",ROUND(P529*0.35,2),0)</f>
        <v>0</v>
      </c>
      <c r="Z529" s="23" t="str">
        <f aca="false">IF(F529="COMMERCIAL","VERIFY SIGNED AGREEMENT","NO EXCEPTION")</f>
        <v>NO EXCEPTION</v>
      </c>
      <c r="AA529" s="23" t="str">
        <f aca="false">IF(AND(C529="covered",N529&gt;40),"COVERED &gt;40 FT","")</f>
        <v>COVERED &gt;40 FT</v>
      </c>
      <c r="AB529" s="23" t="s">
        <v>5682</v>
      </c>
      <c r="AC529" s="23" t="s">
        <v>5683</v>
      </c>
      <c r="AD529" s="23" t="s">
        <v>2807</v>
      </c>
    </row>
    <row r="530" customFormat="false" ht="17.9" hidden="false" customHeight="false" outlineLevel="0" collapsed="false">
      <c r="A530" s="20" t="s">
        <v>5684</v>
      </c>
      <c r="B530" s="20" t="s">
        <v>79</v>
      </c>
      <c r="C530" s="20" t="s">
        <v>5162</v>
      </c>
      <c r="D530" s="20" t="s">
        <v>5685</v>
      </c>
      <c r="E530" s="20" t="s">
        <v>5686</v>
      </c>
      <c r="F530" s="20" t="s">
        <v>2857</v>
      </c>
      <c r="G530" s="20" t="s">
        <v>3441</v>
      </c>
      <c r="H530" s="22" t="n">
        <v>23.7</v>
      </c>
      <c r="I530" s="22" t="n">
        <v>23.7</v>
      </c>
      <c r="J530" s="22" t="n">
        <f aca="false">H530-I530</f>
        <v>0</v>
      </c>
      <c r="K530" s="20" t="str">
        <f aca="false">IF(ABS(J530)&lt;0.001,"MATCH - PAPER CHECK-IN NOT SUPPLIED","DATA MISMATCH")</f>
        <v>MATCH - PAPER CHECK-IN NOT SUPPLIED</v>
      </c>
      <c r="L530" s="22" t="n">
        <v>40</v>
      </c>
      <c r="M530" s="22" t="n">
        <f aca="false">ROUNDUP(H530,0)</f>
        <v>24</v>
      </c>
      <c r="N530" s="24" t="n">
        <f aca="false">MAX(L530,M530)</f>
        <v>40</v>
      </c>
      <c r="O530" s="25" t="n">
        <v>10.4</v>
      </c>
      <c r="P530" s="25" t="n">
        <f aca="false">N530*O530</f>
        <v>416</v>
      </c>
      <c r="Q530" s="23" t="s">
        <v>5687</v>
      </c>
      <c r="R530" s="23" t="s">
        <v>2804</v>
      </c>
      <c r="S530" s="24" t="n">
        <v>40</v>
      </c>
      <c r="T530" s="25" t="n">
        <v>10.4</v>
      </c>
      <c r="U530" s="25" t="n">
        <v>416</v>
      </c>
      <c r="V530" s="25" t="n">
        <f aca="false">P530-U530</f>
        <v>0</v>
      </c>
      <c r="W530" s="25" t="n">
        <f aca="false">V530*12</f>
        <v>0</v>
      </c>
      <c r="X530" s="23" t="str">
        <f aca="false">IF(Q530="","MISSING FROM EXPORT",IF(ABS(V530)&lt;0.005,"CLEAR",IF(V530&gt;0,"UNDERBILLING","OVERBILLING")))</f>
        <v>CLEAR</v>
      </c>
      <c r="Y530" s="25" t="n">
        <f aca="false">IF(F530="COMMERCIAL",ROUND(P530*0.35,2),0)</f>
        <v>0</v>
      </c>
      <c r="Z530" s="23" t="str">
        <f aca="false">IF(F530="COMMERCIAL","VERIFY SIGNED AGREEMENT","NO EXCEPTION")</f>
        <v>NO EXCEPTION</v>
      </c>
      <c r="AA530" s="23" t="str">
        <f aca="false">IF(AND(C530="covered",N530&gt;40),"COVERED &gt;40 FT","")</f>
        <v/>
      </c>
      <c r="AB530" s="23" t="s">
        <v>5688</v>
      </c>
      <c r="AC530" s="23" t="s">
        <v>5689</v>
      </c>
      <c r="AD530" s="23" t="s">
        <v>2807</v>
      </c>
    </row>
    <row r="531" customFormat="false" ht="17.9" hidden="false" customHeight="false" outlineLevel="0" collapsed="false">
      <c r="A531" s="20" t="s">
        <v>5690</v>
      </c>
      <c r="B531" s="20" t="s">
        <v>79</v>
      </c>
      <c r="C531" s="20" t="s">
        <v>5162</v>
      </c>
      <c r="D531" s="20" t="s">
        <v>5691</v>
      </c>
      <c r="E531" s="20" t="s">
        <v>5692</v>
      </c>
      <c r="F531" s="20" t="s">
        <v>2833</v>
      </c>
      <c r="G531" s="20" t="s">
        <v>3448</v>
      </c>
      <c r="H531" s="22" t="n">
        <v>19</v>
      </c>
      <c r="I531" s="22" t="n">
        <v>19</v>
      </c>
      <c r="J531" s="22" t="n">
        <f aca="false">H531-I531</f>
        <v>0</v>
      </c>
      <c r="K531" s="20" t="str">
        <f aca="false">IF(ABS(J531)&lt;0.001,"MATCH - PAPER CHECK-IN NOT SUPPLIED","DATA MISMATCH")</f>
        <v>MATCH - PAPER CHECK-IN NOT SUPPLIED</v>
      </c>
      <c r="L531" s="22" t="n">
        <v>40</v>
      </c>
      <c r="M531" s="22" t="n">
        <f aca="false">ROUNDUP(H531,0)</f>
        <v>19</v>
      </c>
      <c r="N531" s="24" t="n">
        <f aca="false">MAX(L531,M531)</f>
        <v>40</v>
      </c>
      <c r="O531" s="25" t="n">
        <v>10.4</v>
      </c>
      <c r="P531" s="25" t="n">
        <f aca="false">N531*O531</f>
        <v>416</v>
      </c>
      <c r="Q531" s="23" t="s">
        <v>5693</v>
      </c>
      <c r="R531" s="23" t="s">
        <v>2804</v>
      </c>
      <c r="S531" s="24" t="n">
        <v>40</v>
      </c>
      <c r="T531" s="25" t="n">
        <v>10.4</v>
      </c>
      <c r="U531" s="25" t="n">
        <v>416</v>
      </c>
      <c r="V531" s="25" t="n">
        <f aca="false">P531-U531</f>
        <v>0</v>
      </c>
      <c r="W531" s="25" t="n">
        <f aca="false">V531*12</f>
        <v>0</v>
      </c>
      <c r="X531" s="23" t="str">
        <f aca="false">IF(Q531="","MISSING FROM EXPORT",IF(ABS(V531)&lt;0.005,"CLEAR",IF(V531&gt;0,"UNDERBILLING","OVERBILLING")))</f>
        <v>CLEAR</v>
      </c>
      <c r="Y531" s="25" t="n">
        <f aca="false">IF(F531="COMMERCIAL",ROUND(P531*0.35,2),0)</f>
        <v>0</v>
      </c>
      <c r="Z531" s="23" t="str">
        <f aca="false">IF(F531="COMMERCIAL","VERIFY SIGNED AGREEMENT","NO EXCEPTION")</f>
        <v>NO EXCEPTION</v>
      </c>
      <c r="AA531" s="23" t="str">
        <f aca="false">IF(AND(C531="covered",N531&gt;40),"COVERED &gt;40 FT","")</f>
        <v/>
      </c>
      <c r="AB531" s="23" t="s">
        <v>5694</v>
      </c>
      <c r="AC531" s="23" t="s">
        <v>5695</v>
      </c>
      <c r="AD531" s="23" t="s">
        <v>2807</v>
      </c>
    </row>
    <row r="532" customFormat="false" ht="17.9" hidden="false" customHeight="false" outlineLevel="0" collapsed="false">
      <c r="A532" s="20" t="s">
        <v>926</v>
      </c>
      <c r="B532" s="20" t="s">
        <v>79</v>
      </c>
      <c r="C532" s="20" t="s">
        <v>5162</v>
      </c>
      <c r="D532" s="20" t="s">
        <v>5696</v>
      </c>
      <c r="E532" s="20" t="s">
        <v>5697</v>
      </c>
      <c r="F532" s="20" t="s">
        <v>2833</v>
      </c>
      <c r="G532" s="20" t="s">
        <v>3455</v>
      </c>
      <c r="H532" s="22" t="n">
        <v>40.2</v>
      </c>
      <c r="I532" s="22" t="n">
        <v>40.2</v>
      </c>
      <c r="J532" s="22" t="n">
        <f aca="false">H532-I532</f>
        <v>0</v>
      </c>
      <c r="K532" s="20" t="str">
        <f aca="false">IF(ABS(J532)&lt;0.001,"MATCH - PAPER CHECK-IN NOT SUPPLIED","DATA MISMATCH")</f>
        <v>MATCH - PAPER CHECK-IN NOT SUPPLIED</v>
      </c>
      <c r="L532" s="22" t="n">
        <v>24</v>
      </c>
      <c r="M532" s="22" t="n">
        <f aca="false">ROUNDUP(H532,0)</f>
        <v>41</v>
      </c>
      <c r="N532" s="24" t="n">
        <f aca="false">MAX(L532,M532)</f>
        <v>41</v>
      </c>
      <c r="O532" s="25" t="n">
        <v>10.4</v>
      </c>
      <c r="P532" s="25" t="n">
        <f aca="false">N532*O532</f>
        <v>426.4</v>
      </c>
      <c r="Q532" s="23" t="s">
        <v>5698</v>
      </c>
      <c r="R532" s="23" t="s">
        <v>2804</v>
      </c>
      <c r="S532" s="24" t="n">
        <v>41</v>
      </c>
      <c r="T532" s="25" t="n">
        <v>10.4</v>
      </c>
      <c r="U532" s="25" t="n">
        <v>426.4</v>
      </c>
      <c r="V532" s="25" t="n">
        <f aca="false">P532-U532</f>
        <v>0</v>
      </c>
      <c r="W532" s="25" t="n">
        <f aca="false">V532*12</f>
        <v>0</v>
      </c>
      <c r="X532" s="23" t="str">
        <f aca="false">IF(Q532="","MISSING FROM EXPORT",IF(ABS(V532)&lt;0.005,"CLEAR",IF(V532&gt;0,"UNDERBILLING","OVERBILLING")))</f>
        <v>CLEAR</v>
      </c>
      <c r="Y532" s="25" t="n">
        <f aca="false">IF(F532="COMMERCIAL",ROUND(P532*0.35,2),0)</f>
        <v>0</v>
      </c>
      <c r="Z532" s="23" t="str">
        <f aca="false">IF(F532="COMMERCIAL","VERIFY SIGNED AGREEMENT","NO EXCEPTION")</f>
        <v>NO EXCEPTION</v>
      </c>
      <c r="AA532" s="23" t="str">
        <f aca="false">IF(AND(C532="covered",N532&gt;40),"COVERED &gt;40 FT","")</f>
        <v>COVERED &gt;40 FT</v>
      </c>
      <c r="AB532" s="23" t="s">
        <v>5699</v>
      </c>
      <c r="AC532" s="23" t="s">
        <v>5700</v>
      </c>
      <c r="AD532" s="23" t="s">
        <v>2807</v>
      </c>
    </row>
    <row r="533" customFormat="false" ht="17.9" hidden="false" customHeight="false" outlineLevel="0" collapsed="false">
      <c r="A533" s="20" t="s">
        <v>1410</v>
      </c>
      <c r="B533" s="20" t="s">
        <v>79</v>
      </c>
      <c r="C533" s="20" t="s">
        <v>5162</v>
      </c>
      <c r="D533" s="20" t="s">
        <v>5701</v>
      </c>
      <c r="E533" s="20" t="s">
        <v>5702</v>
      </c>
      <c r="F533" s="20" t="s">
        <v>2857</v>
      </c>
      <c r="G533" s="20" t="s">
        <v>3462</v>
      </c>
      <c r="H533" s="22" t="n">
        <v>23.3</v>
      </c>
      <c r="I533" s="22" t="n">
        <v>23.3</v>
      </c>
      <c r="J533" s="22" t="n">
        <f aca="false">H533-I533</f>
        <v>0</v>
      </c>
      <c r="K533" s="20" t="str">
        <f aca="false">IF(ABS(J533)&lt;0.001,"MATCH - PAPER CHECK-IN NOT SUPPLIED","DATA MISMATCH")</f>
        <v>MATCH - PAPER CHECK-IN NOT SUPPLIED</v>
      </c>
      <c r="L533" s="22" t="n">
        <v>28</v>
      </c>
      <c r="M533" s="22" t="n">
        <f aca="false">ROUNDUP(H533,0)</f>
        <v>24</v>
      </c>
      <c r="N533" s="24" t="n">
        <f aca="false">MAX(L533,M533)</f>
        <v>28</v>
      </c>
      <c r="O533" s="25" t="n">
        <v>10.4</v>
      </c>
      <c r="P533" s="25" t="n">
        <f aca="false">N533*O533</f>
        <v>291.2</v>
      </c>
      <c r="Q533" s="23" t="s">
        <v>5703</v>
      </c>
      <c r="R533" s="23" t="s">
        <v>2804</v>
      </c>
      <c r="S533" s="24" t="n">
        <v>28</v>
      </c>
      <c r="T533" s="25" t="n">
        <v>10.4</v>
      </c>
      <c r="U533" s="25" t="n">
        <v>291.2</v>
      </c>
      <c r="V533" s="25" t="n">
        <f aca="false">P533-U533</f>
        <v>0</v>
      </c>
      <c r="W533" s="25" t="n">
        <f aca="false">V533*12</f>
        <v>0</v>
      </c>
      <c r="X533" s="23" t="str">
        <f aca="false">IF(Q533="","MISSING FROM EXPORT",IF(ABS(V533)&lt;0.005,"CLEAR",IF(V533&gt;0,"UNDERBILLING","OVERBILLING")))</f>
        <v>CLEAR</v>
      </c>
      <c r="Y533" s="25" t="n">
        <f aca="false">IF(F533="COMMERCIAL",ROUND(P533*0.35,2),0)</f>
        <v>0</v>
      </c>
      <c r="Z533" s="23" t="str">
        <f aca="false">IF(F533="COMMERCIAL","VERIFY SIGNED AGREEMENT","NO EXCEPTION")</f>
        <v>NO EXCEPTION</v>
      </c>
      <c r="AA533" s="23" t="str">
        <f aca="false">IF(AND(C533="covered",N533&gt;40),"COVERED &gt;40 FT","")</f>
        <v/>
      </c>
      <c r="AB533" s="23" t="s">
        <v>5704</v>
      </c>
      <c r="AC533" s="23" t="s">
        <v>5705</v>
      </c>
      <c r="AD533" s="23" t="s">
        <v>2807</v>
      </c>
    </row>
    <row r="534" customFormat="false" ht="17.9" hidden="false" customHeight="false" outlineLevel="0" collapsed="false">
      <c r="A534" s="20" t="s">
        <v>483</v>
      </c>
      <c r="B534" s="20" t="s">
        <v>79</v>
      </c>
      <c r="C534" s="20" t="s">
        <v>5162</v>
      </c>
      <c r="D534" s="20" t="s">
        <v>2426</v>
      </c>
      <c r="E534" s="20" t="s">
        <v>2427</v>
      </c>
      <c r="F534" s="20" t="s">
        <v>2833</v>
      </c>
      <c r="G534" s="20" t="s">
        <v>3474</v>
      </c>
      <c r="H534" s="22" t="n">
        <v>18.9</v>
      </c>
      <c r="I534" s="22" t="n">
        <v>18.9</v>
      </c>
      <c r="J534" s="22" t="n">
        <f aca="false">H534-I534</f>
        <v>0</v>
      </c>
      <c r="K534" s="20" t="str">
        <f aca="false">IF(ABS(J534)&lt;0.001,"MATCH - PAPER CHECK-IN NOT SUPPLIED","DATA MISMATCH")</f>
        <v>MATCH - PAPER CHECK-IN NOT SUPPLIED</v>
      </c>
      <c r="L534" s="22" t="n">
        <v>40</v>
      </c>
      <c r="M534" s="22" t="n">
        <f aca="false">ROUNDUP(H534,0)</f>
        <v>19</v>
      </c>
      <c r="N534" s="24" t="n">
        <f aca="false">MAX(L534,M534)</f>
        <v>40</v>
      </c>
      <c r="O534" s="25" t="n">
        <v>10.4</v>
      </c>
      <c r="P534" s="25" t="n">
        <f aca="false">N534*O534</f>
        <v>416</v>
      </c>
      <c r="Q534" s="23" t="s">
        <v>5706</v>
      </c>
      <c r="R534" s="23" t="s">
        <v>2804</v>
      </c>
      <c r="S534" s="24" t="n">
        <v>40</v>
      </c>
      <c r="T534" s="25" t="n">
        <v>10.4</v>
      </c>
      <c r="U534" s="25" t="n">
        <v>416</v>
      </c>
      <c r="V534" s="25" t="n">
        <f aca="false">P534-U534</f>
        <v>0</v>
      </c>
      <c r="W534" s="25" t="n">
        <f aca="false">V534*12</f>
        <v>0</v>
      </c>
      <c r="X534" s="23" t="str">
        <f aca="false">IF(Q534="","MISSING FROM EXPORT",IF(ABS(V534)&lt;0.005,"CLEAR",IF(V534&gt;0,"UNDERBILLING","OVERBILLING")))</f>
        <v>CLEAR</v>
      </c>
      <c r="Y534" s="25" t="n">
        <f aca="false">IF(F534="COMMERCIAL",ROUND(P534*0.35,2),0)</f>
        <v>0</v>
      </c>
      <c r="Z534" s="23" t="str">
        <f aca="false">IF(F534="COMMERCIAL","VERIFY SIGNED AGREEMENT","NO EXCEPTION")</f>
        <v>NO EXCEPTION</v>
      </c>
      <c r="AA534" s="23" t="str">
        <f aca="false">IF(AND(C534="covered",N534&gt;40),"COVERED &gt;40 FT","")</f>
        <v/>
      </c>
      <c r="AB534" s="23" t="s">
        <v>5707</v>
      </c>
      <c r="AC534" s="23" t="s">
        <v>5708</v>
      </c>
      <c r="AD534" s="23" t="s">
        <v>2807</v>
      </c>
    </row>
    <row r="535" customFormat="false" ht="17.9" hidden="false" customHeight="false" outlineLevel="0" collapsed="false">
      <c r="A535" s="20" t="s">
        <v>5709</v>
      </c>
      <c r="B535" s="20" t="s">
        <v>79</v>
      </c>
      <c r="C535" s="20" t="s">
        <v>5162</v>
      </c>
      <c r="D535" s="20" t="s">
        <v>5710</v>
      </c>
      <c r="E535" s="20" t="s">
        <v>5711</v>
      </c>
      <c r="F535" s="20" t="s">
        <v>2833</v>
      </c>
      <c r="G535" s="20" t="s">
        <v>3481</v>
      </c>
      <c r="H535" s="22" t="n">
        <v>55</v>
      </c>
      <c r="I535" s="22" t="n">
        <v>55</v>
      </c>
      <c r="J535" s="22" t="n">
        <f aca="false">H535-I535</f>
        <v>0</v>
      </c>
      <c r="K535" s="20" t="str">
        <f aca="false">IF(ABS(J535)&lt;0.001,"MATCH - PAPER CHECK-IN NOT SUPPLIED","DATA MISMATCH")</f>
        <v>MATCH - PAPER CHECK-IN NOT SUPPLIED</v>
      </c>
      <c r="L535" s="22" t="n">
        <v>36</v>
      </c>
      <c r="M535" s="22" t="n">
        <f aca="false">ROUNDUP(H535,0)</f>
        <v>55</v>
      </c>
      <c r="N535" s="24" t="n">
        <f aca="false">MAX(L535,M535)</f>
        <v>55</v>
      </c>
      <c r="O535" s="25" t="n">
        <v>10.4</v>
      </c>
      <c r="P535" s="25" t="n">
        <f aca="false">N535*O535</f>
        <v>572</v>
      </c>
      <c r="Q535" s="23" t="s">
        <v>5712</v>
      </c>
      <c r="R535" s="23" t="s">
        <v>2804</v>
      </c>
      <c r="S535" s="24" t="n">
        <v>55</v>
      </c>
      <c r="T535" s="25" t="n">
        <v>10.4</v>
      </c>
      <c r="U535" s="25" t="n">
        <v>572</v>
      </c>
      <c r="V535" s="25" t="n">
        <f aca="false">P535-U535</f>
        <v>0</v>
      </c>
      <c r="W535" s="25" t="n">
        <f aca="false">V535*12</f>
        <v>0</v>
      </c>
      <c r="X535" s="23" t="str">
        <f aca="false">IF(Q535="","MISSING FROM EXPORT",IF(ABS(V535)&lt;0.005,"CLEAR",IF(V535&gt;0,"UNDERBILLING","OVERBILLING")))</f>
        <v>CLEAR</v>
      </c>
      <c r="Y535" s="25" t="n">
        <f aca="false">IF(F535="COMMERCIAL",ROUND(P535*0.35,2),0)</f>
        <v>0</v>
      </c>
      <c r="Z535" s="23" t="str">
        <f aca="false">IF(F535="COMMERCIAL","VERIFY SIGNED AGREEMENT","NO EXCEPTION")</f>
        <v>NO EXCEPTION</v>
      </c>
      <c r="AA535" s="23" t="str">
        <f aca="false">IF(AND(C535="covered",N535&gt;40),"COVERED &gt;40 FT","")</f>
        <v>COVERED &gt;40 FT</v>
      </c>
      <c r="AB535" s="23" t="s">
        <v>5713</v>
      </c>
      <c r="AC535" s="23" t="s">
        <v>5714</v>
      </c>
      <c r="AD535" s="23" t="s">
        <v>2807</v>
      </c>
    </row>
    <row r="536" customFormat="false" ht="17.9" hidden="false" customHeight="false" outlineLevel="0" collapsed="false">
      <c r="A536" s="20" t="s">
        <v>5715</v>
      </c>
      <c r="B536" s="20" t="s">
        <v>79</v>
      </c>
      <c r="C536" s="20" t="s">
        <v>5162</v>
      </c>
      <c r="D536" s="20" t="s">
        <v>5716</v>
      </c>
      <c r="E536" s="20" t="s">
        <v>5717</v>
      </c>
      <c r="F536" s="20" t="s">
        <v>2857</v>
      </c>
      <c r="G536" s="20" t="s">
        <v>3487</v>
      </c>
      <c r="H536" s="22" t="n">
        <v>34.6</v>
      </c>
      <c r="I536" s="22" t="n">
        <v>34.6</v>
      </c>
      <c r="J536" s="22" t="n">
        <f aca="false">H536-I536</f>
        <v>0</v>
      </c>
      <c r="K536" s="20" t="str">
        <f aca="false">IF(ABS(J536)&lt;0.001,"MATCH - PAPER CHECK-IN NOT SUPPLIED","DATA MISMATCH")</f>
        <v>MATCH - PAPER CHECK-IN NOT SUPPLIED</v>
      </c>
      <c r="L536" s="22" t="n">
        <v>36</v>
      </c>
      <c r="M536" s="22" t="n">
        <f aca="false">ROUNDUP(H536,0)</f>
        <v>35</v>
      </c>
      <c r="N536" s="24" t="n">
        <f aca="false">MAX(L536,M536)</f>
        <v>36</v>
      </c>
      <c r="O536" s="25" t="n">
        <v>10.4</v>
      </c>
      <c r="P536" s="25" t="n">
        <f aca="false">N536*O536</f>
        <v>374.4</v>
      </c>
      <c r="Q536" s="23" t="s">
        <v>5718</v>
      </c>
      <c r="R536" s="23" t="s">
        <v>2804</v>
      </c>
      <c r="S536" s="24" t="n">
        <v>36</v>
      </c>
      <c r="T536" s="25" t="n">
        <v>10.4</v>
      </c>
      <c r="U536" s="25" t="n">
        <v>374.4</v>
      </c>
      <c r="V536" s="25" t="n">
        <f aca="false">P536-U536</f>
        <v>0</v>
      </c>
      <c r="W536" s="25" t="n">
        <f aca="false">V536*12</f>
        <v>0</v>
      </c>
      <c r="X536" s="23" t="str">
        <f aca="false">IF(Q536="","MISSING FROM EXPORT",IF(ABS(V536)&lt;0.005,"CLEAR",IF(V536&gt;0,"UNDERBILLING","OVERBILLING")))</f>
        <v>CLEAR</v>
      </c>
      <c r="Y536" s="25" t="n">
        <f aca="false">IF(F536="COMMERCIAL",ROUND(P536*0.35,2),0)</f>
        <v>0</v>
      </c>
      <c r="Z536" s="23" t="str">
        <f aca="false">IF(F536="COMMERCIAL","VERIFY SIGNED AGREEMENT","NO EXCEPTION")</f>
        <v>NO EXCEPTION</v>
      </c>
      <c r="AA536" s="23" t="str">
        <f aca="false">IF(AND(C536="covered",N536&gt;40),"COVERED &gt;40 FT","")</f>
        <v/>
      </c>
      <c r="AB536" s="23" t="s">
        <v>5719</v>
      </c>
      <c r="AC536" s="23" t="s">
        <v>5720</v>
      </c>
      <c r="AD536" s="23" t="s">
        <v>2807</v>
      </c>
    </row>
    <row r="537" customFormat="false" ht="17.9" hidden="false" customHeight="false" outlineLevel="0" collapsed="false">
      <c r="A537" s="20" t="s">
        <v>5721</v>
      </c>
      <c r="B537" s="20" t="s">
        <v>79</v>
      </c>
      <c r="C537" s="20" t="s">
        <v>5162</v>
      </c>
      <c r="D537" s="20" t="s">
        <v>275</v>
      </c>
      <c r="E537" s="20" t="s">
        <v>5722</v>
      </c>
      <c r="F537" s="20" t="s">
        <v>2801</v>
      </c>
      <c r="G537" s="20" t="s">
        <v>3493</v>
      </c>
      <c r="H537" s="22" t="n">
        <v>36.5</v>
      </c>
      <c r="I537" s="22" t="n">
        <v>36.5</v>
      </c>
      <c r="J537" s="22" t="n">
        <f aca="false">H537-I537</f>
        <v>0</v>
      </c>
      <c r="K537" s="20" t="str">
        <f aca="false">IF(ABS(J537)&lt;0.001,"MATCH - PAPER CHECK-IN NOT SUPPLIED","DATA MISMATCH")</f>
        <v>MATCH - PAPER CHECK-IN NOT SUPPLIED</v>
      </c>
      <c r="L537" s="22" t="n">
        <v>32</v>
      </c>
      <c r="M537" s="22" t="n">
        <f aca="false">ROUNDUP(H537,0)</f>
        <v>37</v>
      </c>
      <c r="N537" s="24" t="n">
        <f aca="false">MAX(L537,M537)</f>
        <v>37</v>
      </c>
      <c r="O537" s="25" t="n">
        <v>10.4</v>
      </c>
      <c r="P537" s="25" t="n">
        <f aca="false">N537*O537</f>
        <v>384.8</v>
      </c>
      <c r="Q537" s="23" t="s">
        <v>5723</v>
      </c>
      <c r="R537" s="23" t="s">
        <v>2804</v>
      </c>
      <c r="S537" s="24" t="n">
        <v>37</v>
      </c>
      <c r="T537" s="25" t="n">
        <v>10.4</v>
      </c>
      <c r="U537" s="25" t="n">
        <v>384.8</v>
      </c>
      <c r="V537" s="25" t="n">
        <f aca="false">P537-U537</f>
        <v>0</v>
      </c>
      <c r="W537" s="25" t="n">
        <f aca="false">V537*12</f>
        <v>0</v>
      </c>
      <c r="X537" s="23" t="str">
        <f aca="false">IF(Q537="","MISSING FROM EXPORT",IF(ABS(V537)&lt;0.005,"CLEAR",IF(V537&gt;0,"UNDERBILLING","OVERBILLING")))</f>
        <v>CLEAR</v>
      </c>
      <c r="Y537" s="25" t="n">
        <f aca="false">IF(F537="COMMERCIAL",ROUND(P537*0.35,2),0)</f>
        <v>0</v>
      </c>
      <c r="Z537" s="23" t="str">
        <f aca="false">IF(F537="COMMERCIAL","VERIFY SIGNED AGREEMENT","NO EXCEPTION")</f>
        <v>NO EXCEPTION</v>
      </c>
      <c r="AA537" s="23" t="str">
        <f aca="false">IF(AND(C537="covered",N537&gt;40),"COVERED &gt;40 FT","")</f>
        <v/>
      </c>
      <c r="AB537" s="23" t="s">
        <v>5724</v>
      </c>
      <c r="AC537" s="23" t="s">
        <v>5725</v>
      </c>
      <c r="AD537" s="23" t="s">
        <v>2807</v>
      </c>
    </row>
    <row r="538" customFormat="false" ht="17.9" hidden="false" customHeight="false" outlineLevel="0" collapsed="false">
      <c r="A538" s="20" t="s">
        <v>405</v>
      </c>
      <c r="B538" s="20" t="s">
        <v>79</v>
      </c>
      <c r="C538" s="20" t="s">
        <v>5162</v>
      </c>
      <c r="D538" s="20" t="s">
        <v>5726</v>
      </c>
      <c r="E538" s="20" t="s">
        <v>5727</v>
      </c>
      <c r="F538" s="20" t="s">
        <v>2898</v>
      </c>
      <c r="G538" s="20" t="s">
        <v>3500</v>
      </c>
      <c r="H538" s="22" t="n">
        <v>38.5</v>
      </c>
      <c r="I538" s="22" t="n">
        <v>38.5</v>
      </c>
      <c r="J538" s="22" t="n">
        <f aca="false">H538-I538</f>
        <v>0</v>
      </c>
      <c r="K538" s="20" t="str">
        <f aca="false">IF(ABS(J538)&lt;0.001,"MATCH - PAPER CHECK-IN NOT SUPPLIED","DATA MISMATCH")</f>
        <v>MATCH - PAPER CHECK-IN NOT SUPPLIED</v>
      </c>
      <c r="L538" s="22" t="n">
        <v>32</v>
      </c>
      <c r="M538" s="22" t="n">
        <f aca="false">ROUNDUP(H538,0)</f>
        <v>39</v>
      </c>
      <c r="N538" s="24" t="n">
        <f aca="false">MAX(L538,M538)</f>
        <v>39</v>
      </c>
      <c r="O538" s="25" t="n">
        <v>10.4</v>
      </c>
      <c r="P538" s="25" t="n">
        <f aca="false">N538*O538</f>
        <v>405.6</v>
      </c>
      <c r="Q538" s="23" t="s">
        <v>5728</v>
      </c>
      <c r="R538" s="23" t="s">
        <v>2804</v>
      </c>
      <c r="S538" s="24" t="n">
        <v>39</v>
      </c>
      <c r="T538" s="25" t="n">
        <v>10.4</v>
      </c>
      <c r="U538" s="25" t="n">
        <v>405.6</v>
      </c>
      <c r="V538" s="25" t="n">
        <f aca="false">P538-U538</f>
        <v>0</v>
      </c>
      <c r="W538" s="25" t="n">
        <f aca="false">V538*12</f>
        <v>0</v>
      </c>
      <c r="X538" s="23" t="str">
        <f aca="false">IF(Q538="","MISSING FROM EXPORT",IF(ABS(V538)&lt;0.005,"CLEAR",IF(V538&gt;0,"UNDERBILLING","OVERBILLING")))</f>
        <v>CLEAR</v>
      </c>
      <c r="Y538" s="25" t="n">
        <f aca="false">IF(F538="COMMERCIAL",ROUND(P538*0.35,2),0)</f>
        <v>0</v>
      </c>
      <c r="Z538" s="23" t="str">
        <f aca="false">IF(F538="COMMERCIAL","VERIFY SIGNED AGREEMENT","NO EXCEPTION")</f>
        <v>NO EXCEPTION</v>
      </c>
      <c r="AA538" s="23" t="str">
        <f aca="false">IF(AND(C538="covered",N538&gt;40),"COVERED &gt;40 FT","")</f>
        <v/>
      </c>
      <c r="AB538" s="23" t="s">
        <v>5729</v>
      </c>
      <c r="AC538" s="23" t="s">
        <v>5730</v>
      </c>
      <c r="AD538" s="23" t="s">
        <v>2807</v>
      </c>
    </row>
    <row r="539" customFormat="false" ht="17.9" hidden="false" customHeight="false" outlineLevel="0" collapsed="false">
      <c r="A539" s="20" t="s">
        <v>5731</v>
      </c>
      <c r="B539" s="20" t="s">
        <v>79</v>
      </c>
      <c r="C539" s="20" t="s">
        <v>5162</v>
      </c>
      <c r="D539" s="20" t="s">
        <v>5732</v>
      </c>
      <c r="E539" s="20" t="s">
        <v>5733</v>
      </c>
      <c r="F539" s="20" t="s">
        <v>2833</v>
      </c>
      <c r="G539" s="20" t="s">
        <v>3507</v>
      </c>
      <c r="H539" s="22" t="n">
        <v>39.5</v>
      </c>
      <c r="I539" s="22" t="n">
        <v>39.5</v>
      </c>
      <c r="J539" s="22" t="n">
        <f aca="false">H539-I539</f>
        <v>0</v>
      </c>
      <c r="K539" s="20" t="str">
        <f aca="false">IF(ABS(J539)&lt;0.001,"MATCH - PAPER CHECK-IN NOT SUPPLIED","DATA MISMATCH")</f>
        <v>MATCH - PAPER CHECK-IN NOT SUPPLIED</v>
      </c>
      <c r="L539" s="22" t="n">
        <v>40</v>
      </c>
      <c r="M539" s="22" t="n">
        <f aca="false">ROUNDUP(H539,0)</f>
        <v>40</v>
      </c>
      <c r="N539" s="24" t="n">
        <f aca="false">MAX(L539,M539)</f>
        <v>40</v>
      </c>
      <c r="O539" s="25" t="n">
        <v>10.4</v>
      </c>
      <c r="P539" s="25" t="n">
        <f aca="false">N539*O539</f>
        <v>416</v>
      </c>
      <c r="Q539" s="23" t="s">
        <v>5734</v>
      </c>
      <c r="R539" s="23" t="s">
        <v>2804</v>
      </c>
      <c r="S539" s="24" t="n">
        <v>40</v>
      </c>
      <c r="T539" s="25" t="n">
        <v>10.4</v>
      </c>
      <c r="U539" s="25" t="n">
        <v>416</v>
      </c>
      <c r="V539" s="25" t="n">
        <f aca="false">P539-U539</f>
        <v>0</v>
      </c>
      <c r="W539" s="25" t="n">
        <f aca="false">V539*12</f>
        <v>0</v>
      </c>
      <c r="X539" s="23" t="str">
        <f aca="false">IF(Q539="","MISSING FROM EXPORT",IF(ABS(V539)&lt;0.005,"CLEAR",IF(V539&gt;0,"UNDERBILLING","OVERBILLING")))</f>
        <v>CLEAR</v>
      </c>
      <c r="Y539" s="25" t="n">
        <f aca="false">IF(F539="COMMERCIAL",ROUND(P539*0.35,2),0)</f>
        <v>0</v>
      </c>
      <c r="Z539" s="23" t="str">
        <f aca="false">IF(F539="COMMERCIAL","VERIFY SIGNED AGREEMENT","NO EXCEPTION")</f>
        <v>NO EXCEPTION</v>
      </c>
      <c r="AA539" s="23" t="str">
        <f aca="false">IF(AND(C539="covered",N539&gt;40),"COVERED &gt;40 FT","")</f>
        <v/>
      </c>
      <c r="AB539" s="23" t="s">
        <v>5735</v>
      </c>
      <c r="AC539" s="23" t="s">
        <v>5736</v>
      </c>
      <c r="AD539" s="23" t="s">
        <v>2807</v>
      </c>
    </row>
    <row r="540" customFormat="false" ht="17.9" hidden="false" customHeight="false" outlineLevel="0" collapsed="false">
      <c r="A540" s="20" t="s">
        <v>5737</v>
      </c>
      <c r="B540" s="20" t="s">
        <v>79</v>
      </c>
      <c r="C540" s="20" t="s">
        <v>5162</v>
      </c>
      <c r="D540" s="20" t="s">
        <v>5738</v>
      </c>
      <c r="E540" s="20" t="s">
        <v>5739</v>
      </c>
      <c r="F540" s="20" t="s">
        <v>2857</v>
      </c>
      <c r="G540" s="20" t="s">
        <v>3511</v>
      </c>
      <c r="H540" s="22" t="n">
        <v>60.6</v>
      </c>
      <c r="I540" s="22" t="n">
        <v>60.6</v>
      </c>
      <c r="J540" s="22" t="n">
        <f aca="false">H540-I540</f>
        <v>0</v>
      </c>
      <c r="K540" s="20" t="str">
        <f aca="false">IF(ABS(J540)&lt;0.001,"MATCH - PAPER CHECK-IN NOT SUPPLIED","DATA MISMATCH")</f>
        <v>MATCH - PAPER CHECK-IN NOT SUPPLIED</v>
      </c>
      <c r="L540" s="22" t="n">
        <v>40</v>
      </c>
      <c r="M540" s="22" t="n">
        <f aca="false">ROUNDUP(H540,0)</f>
        <v>61</v>
      </c>
      <c r="N540" s="24" t="n">
        <f aca="false">MAX(L540,M540)</f>
        <v>61</v>
      </c>
      <c r="O540" s="25" t="n">
        <v>10.4</v>
      </c>
      <c r="P540" s="25" t="n">
        <f aca="false">N540*O540</f>
        <v>634.4</v>
      </c>
      <c r="Q540" s="23" t="s">
        <v>5740</v>
      </c>
      <c r="R540" s="23" t="s">
        <v>2804</v>
      </c>
      <c r="S540" s="24" t="n">
        <v>61</v>
      </c>
      <c r="T540" s="25" t="n">
        <v>10.4</v>
      </c>
      <c r="U540" s="25" t="n">
        <v>634.4</v>
      </c>
      <c r="V540" s="25" t="n">
        <f aca="false">P540-U540</f>
        <v>0</v>
      </c>
      <c r="W540" s="25" t="n">
        <f aca="false">V540*12</f>
        <v>0</v>
      </c>
      <c r="X540" s="23" t="str">
        <f aca="false">IF(Q540="","MISSING FROM EXPORT",IF(ABS(V540)&lt;0.005,"CLEAR",IF(V540&gt;0,"UNDERBILLING","OVERBILLING")))</f>
        <v>CLEAR</v>
      </c>
      <c r="Y540" s="25" t="n">
        <f aca="false">IF(F540="COMMERCIAL",ROUND(P540*0.35,2),0)</f>
        <v>0</v>
      </c>
      <c r="Z540" s="23" t="str">
        <f aca="false">IF(F540="COMMERCIAL","VERIFY SIGNED AGREEMENT","NO EXCEPTION")</f>
        <v>NO EXCEPTION</v>
      </c>
      <c r="AA540" s="23" t="str">
        <f aca="false">IF(AND(C540="covered",N540&gt;40),"COVERED &gt;40 FT","")</f>
        <v>COVERED &gt;40 FT</v>
      </c>
      <c r="AB540" s="23" t="s">
        <v>5741</v>
      </c>
      <c r="AC540" s="23" t="s">
        <v>5742</v>
      </c>
      <c r="AD540" s="23" t="s">
        <v>2807</v>
      </c>
    </row>
    <row r="541" customFormat="false" ht="17.9" hidden="false" customHeight="false" outlineLevel="0" collapsed="false">
      <c r="A541" s="20" t="s">
        <v>5743</v>
      </c>
      <c r="B541" s="20" t="s">
        <v>79</v>
      </c>
      <c r="C541" s="20" t="s">
        <v>5162</v>
      </c>
      <c r="D541" s="20" t="s">
        <v>5744</v>
      </c>
      <c r="E541" s="20" t="s">
        <v>5745</v>
      </c>
      <c r="F541" s="20" t="s">
        <v>2810</v>
      </c>
      <c r="G541" s="20" t="s">
        <v>3517</v>
      </c>
      <c r="H541" s="22" t="n">
        <v>24.2</v>
      </c>
      <c r="I541" s="22" t="n">
        <v>24.2</v>
      </c>
      <c r="J541" s="22" t="n">
        <f aca="false">H541-I541</f>
        <v>0</v>
      </c>
      <c r="K541" s="20" t="str">
        <f aca="false">IF(ABS(J541)&lt;0.001,"MATCH - PAPER CHECK-IN NOT SUPPLIED","DATA MISMATCH")</f>
        <v>MATCH - PAPER CHECK-IN NOT SUPPLIED</v>
      </c>
      <c r="L541" s="22" t="n">
        <v>24</v>
      </c>
      <c r="M541" s="22" t="n">
        <f aca="false">ROUNDUP(H541,0)</f>
        <v>25</v>
      </c>
      <c r="N541" s="24" t="n">
        <f aca="false">MAX(L541,M541)</f>
        <v>25</v>
      </c>
      <c r="O541" s="25" t="n">
        <v>10.4</v>
      </c>
      <c r="P541" s="25" t="n">
        <f aca="false">N541*O541</f>
        <v>260</v>
      </c>
      <c r="Q541" s="23" t="s">
        <v>5746</v>
      </c>
      <c r="R541" s="23" t="s">
        <v>2804</v>
      </c>
      <c r="S541" s="24" t="n">
        <v>25</v>
      </c>
      <c r="T541" s="25" t="n">
        <v>10.4</v>
      </c>
      <c r="U541" s="25" t="n">
        <v>260</v>
      </c>
      <c r="V541" s="25" t="n">
        <f aca="false">P541-U541</f>
        <v>0</v>
      </c>
      <c r="W541" s="25" t="n">
        <f aca="false">V541*12</f>
        <v>0</v>
      </c>
      <c r="X541" s="23" t="str">
        <f aca="false">IF(Q541="","MISSING FROM EXPORT",IF(ABS(V541)&lt;0.005,"CLEAR",IF(V541&gt;0,"UNDERBILLING","OVERBILLING")))</f>
        <v>CLEAR</v>
      </c>
      <c r="Y541" s="25" t="n">
        <f aca="false">IF(F541="COMMERCIAL",ROUND(P541*0.35,2),0)</f>
        <v>0</v>
      </c>
      <c r="Z541" s="23" t="str">
        <f aca="false">IF(F541="COMMERCIAL","VERIFY SIGNED AGREEMENT","NO EXCEPTION")</f>
        <v>NO EXCEPTION</v>
      </c>
      <c r="AA541" s="23" t="str">
        <f aca="false">IF(AND(C541="covered",N541&gt;40),"COVERED &gt;40 FT","")</f>
        <v/>
      </c>
      <c r="AB541" s="23" t="s">
        <v>5747</v>
      </c>
      <c r="AC541" s="23" t="s">
        <v>5748</v>
      </c>
      <c r="AD541" s="23" t="s">
        <v>2807</v>
      </c>
    </row>
    <row r="542" customFormat="false" ht="17.9" hidden="false" customHeight="false" outlineLevel="0" collapsed="false">
      <c r="A542" s="20" t="s">
        <v>5749</v>
      </c>
      <c r="B542" s="20" t="s">
        <v>79</v>
      </c>
      <c r="C542" s="20" t="s">
        <v>5162</v>
      </c>
      <c r="D542" s="20" t="s">
        <v>1945</v>
      </c>
      <c r="E542" s="20" t="s">
        <v>1946</v>
      </c>
      <c r="F542" s="20" t="s">
        <v>2857</v>
      </c>
      <c r="G542" s="20" t="s">
        <v>3523</v>
      </c>
      <c r="H542" s="22" t="n">
        <v>24.6</v>
      </c>
      <c r="I542" s="22" t="n">
        <v>24.6</v>
      </c>
      <c r="J542" s="22" t="n">
        <f aca="false">H542-I542</f>
        <v>0</v>
      </c>
      <c r="K542" s="20" t="str">
        <f aca="false">IF(ABS(J542)&lt;0.001,"MATCH - PAPER CHECK-IN NOT SUPPLIED","DATA MISMATCH")</f>
        <v>MATCH - PAPER CHECK-IN NOT SUPPLIED</v>
      </c>
      <c r="L542" s="22" t="n">
        <v>28</v>
      </c>
      <c r="M542" s="22" t="n">
        <f aca="false">ROUNDUP(H542,0)</f>
        <v>25</v>
      </c>
      <c r="N542" s="24" t="n">
        <f aca="false">MAX(L542,M542)</f>
        <v>28</v>
      </c>
      <c r="O542" s="25" t="n">
        <v>10.4</v>
      </c>
      <c r="P542" s="25" t="n">
        <f aca="false">N542*O542</f>
        <v>291.2</v>
      </c>
      <c r="Q542" s="23" t="s">
        <v>5750</v>
      </c>
      <c r="R542" s="23" t="s">
        <v>2804</v>
      </c>
      <c r="S542" s="24" t="n">
        <v>28</v>
      </c>
      <c r="T542" s="25" t="n">
        <v>10.4</v>
      </c>
      <c r="U542" s="25" t="n">
        <v>291.2</v>
      </c>
      <c r="V542" s="25" t="n">
        <f aca="false">P542-U542</f>
        <v>0</v>
      </c>
      <c r="W542" s="25" t="n">
        <f aca="false">V542*12</f>
        <v>0</v>
      </c>
      <c r="X542" s="23" t="str">
        <f aca="false">IF(Q542="","MISSING FROM EXPORT",IF(ABS(V542)&lt;0.005,"CLEAR",IF(V542&gt;0,"UNDERBILLING","OVERBILLING")))</f>
        <v>CLEAR</v>
      </c>
      <c r="Y542" s="25" t="n">
        <f aca="false">IF(F542="COMMERCIAL",ROUND(P542*0.35,2),0)</f>
        <v>0</v>
      </c>
      <c r="Z542" s="23" t="str">
        <f aca="false">IF(F542="COMMERCIAL","VERIFY SIGNED AGREEMENT","NO EXCEPTION")</f>
        <v>NO EXCEPTION</v>
      </c>
      <c r="AA542" s="23" t="str">
        <f aca="false">IF(AND(C542="covered",N542&gt;40),"COVERED &gt;40 FT","")</f>
        <v/>
      </c>
      <c r="AB542" s="23" t="s">
        <v>5751</v>
      </c>
      <c r="AC542" s="23" t="s">
        <v>5752</v>
      </c>
      <c r="AD542" s="23" t="s">
        <v>2807</v>
      </c>
    </row>
    <row r="543" customFormat="false" ht="17.9" hidden="false" customHeight="false" outlineLevel="0" collapsed="false">
      <c r="A543" s="20" t="s">
        <v>1700</v>
      </c>
      <c r="B543" s="20" t="s">
        <v>79</v>
      </c>
      <c r="C543" s="20" t="s">
        <v>5162</v>
      </c>
      <c r="D543" s="20" t="s">
        <v>1704</v>
      </c>
      <c r="E543" s="20" t="s">
        <v>1705</v>
      </c>
      <c r="F543" s="20" t="s">
        <v>2833</v>
      </c>
      <c r="G543" s="20" t="s">
        <v>3530</v>
      </c>
      <c r="H543" s="22" t="n">
        <v>29.3</v>
      </c>
      <c r="I543" s="22" t="n">
        <v>29.3</v>
      </c>
      <c r="J543" s="22" t="n">
        <f aca="false">H543-I543</f>
        <v>0</v>
      </c>
      <c r="K543" s="20" t="str">
        <f aca="false">IF(ABS(J543)&lt;0.001,"MATCH - PAPER CHECK-IN NOT SUPPLIED","DATA MISMATCH")</f>
        <v>MATCH - PAPER CHECK-IN NOT SUPPLIED</v>
      </c>
      <c r="L543" s="22" t="n">
        <v>24</v>
      </c>
      <c r="M543" s="22" t="n">
        <f aca="false">ROUNDUP(H543,0)</f>
        <v>30</v>
      </c>
      <c r="N543" s="24" t="n">
        <f aca="false">MAX(L543,M543)</f>
        <v>30</v>
      </c>
      <c r="O543" s="25" t="n">
        <v>10.4</v>
      </c>
      <c r="P543" s="25" t="n">
        <f aca="false">N543*O543</f>
        <v>312</v>
      </c>
      <c r="Q543" s="23" t="s">
        <v>5753</v>
      </c>
      <c r="R543" s="23" t="s">
        <v>2804</v>
      </c>
      <c r="S543" s="24" t="n">
        <v>30</v>
      </c>
      <c r="T543" s="25" t="n">
        <v>10.4</v>
      </c>
      <c r="U543" s="25" t="n">
        <v>312</v>
      </c>
      <c r="V543" s="25" t="n">
        <f aca="false">P543-U543</f>
        <v>0</v>
      </c>
      <c r="W543" s="25" t="n">
        <f aca="false">V543*12</f>
        <v>0</v>
      </c>
      <c r="X543" s="23" t="str">
        <f aca="false">IF(Q543="","MISSING FROM EXPORT",IF(ABS(V543)&lt;0.005,"CLEAR",IF(V543&gt;0,"UNDERBILLING","OVERBILLING")))</f>
        <v>CLEAR</v>
      </c>
      <c r="Y543" s="25" t="n">
        <f aca="false">IF(F543="COMMERCIAL",ROUND(P543*0.35,2),0)</f>
        <v>0</v>
      </c>
      <c r="Z543" s="23" t="str">
        <f aca="false">IF(F543="COMMERCIAL","VERIFY SIGNED AGREEMENT","NO EXCEPTION")</f>
        <v>NO EXCEPTION</v>
      </c>
      <c r="AA543" s="23" t="str">
        <f aca="false">IF(AND(C543="covered",N543&gt;40),"COVERED &gt;40 FT","")</f>
        <v/>
      </c>
      <c r="AB543" s="23" t="s">
        <v>5754</v>
      </c>
      <c r="AC543" s="23" t="s">
        <v>5755</v>
      </c>
      <c r="AD543" s="23" t="s">
        <v>2807</v>
      </c>
    </row>
    <row r="544" customFormat="false" ht="17.9" hidden="false" customHeight="false" outlineLevel="0" collapsed="false">
      <c r="A544" s="20" t="s">
        <v>5756</v>
      </c>
      <c r="B544" s="20" t="s">
        <v>79</v>
      </c>
      <c r="C544" s="20" t="s">
        <v>5162</v>
      </c>
      <c r="D544" s="20" t="s">
        <v>2675</v>
      </c>
      <c r="E544" s="20" t="s">
        <v>5757</v>
      </c>
      <c r="F544" s="20" t="s">
        <v>2818</v>
      </c>
      <c r="G544" s="20" t="s">
        <v>3537</v>
      </c>
      <c r="H544" s="22" t="n">
        <v>57.7</v>
      </c>
      <c r="I544" s="22" t="n">
        <v>57.7</v>
      </c>
      <c r="J544" s="22" t="n">
        <f aca="false">H544-I544</f>
        <v>0</v>
      </c>
      <c r="K544" s="20" t="str">
        <f aca="false">IF(ABS(J544)&lt;0.001,"MATCH - PAPER CHECK-IN NOT SUPPLIED","DATA MISMATCH")</f>
        <v>MATCH - PAPER CHECK-IN NOT SUPPLIED</v>
      </c>
      <c r="L544" s="22" t="n">
        <v>36</v>
      </c>
      <c r="M544" s="22" t="n">
        <f aca="false">ROUNDUP(H544,0)</f>
        <v>58</v>
      </c>
      <c r="N544" s="24" t="n">
        <f aca="false">MAX(L544,M544)</f>
        <v>58</v>
      </c>
      <c r="O544" s="25" t="n">
        <v>10.4</v>
      </c>
      <c r="P544" s="25" t="n">
        <f aca="false">N544*O544</f>
        <v>603.2</v>
      </c>
      <c r="Q544" s="23" t="s">
        <v>5758</v>
      </c>
      <c r="R544" s="23" t="s">
        <v>2804</v>
      </c>
      <c r="S544" s="24" t="n">
        <v>58</v>
      </c>
      <c r="T544" s="25" t="n">
        <v>10.4</v>
      </c>
      <c r="U544" s="25" t="n">
        <v>603.2</v>
      </c>
      <c r="V544" s="25" t="n">
        <f aca="false">P544-U544</f>
        <v>0</v>
      </c>
      <c r="W544" s="25" t="n">
        <f aca="false">V544*12</f>
        <v>0</v>
      </c>
      <c r="X544" s="23" t="str">
        <f aca="false">IF(Q544="","MISSING FROM EXPORT",IF(ABS(V544)&lt;0.005,"CLEAR",IF(V544&gt;0,"UNDERBILLING","OVERBILLING")))</f>
        <v>CLEAR</v>
      </c>
      <c r="Y544" s="25" t="n">
        <f aca="false">IF(F544="COMMERCIAL",ROUND(P544*0.35,2),0)</f>
        <v>0</v>
      </c>
      <c r="Z544" s="23" t="str">
        <f aca="false">IF(F544="COMMERCIAL","VERIFY SIGNED AGREEMENT","NO EXCEPTION")</f>
        <v>NO EXCEPTION</v>
      </c>
      <c r="AA544" s="23" t="str">
        <f aca="false">IF(AND(C544="covered",N544&gt;40),"COVERED &gt;40 FT","")</f>
        <v>COVERED &gt;40 FT</v>
      </c>
      <c r="AB544" s="23" t="s">
        <v>5759</v>
      </c>
      <c r="AC544" s="23" t="s">
        <v>5760</v>
      </c>
      <c r="AD544" s="23" t="s">
        <v>2807</v>
      </c>
    </row>
    <row r="545" customFormat="false" ht="17.9" hidden="false" customHeight="false" outlineLevel="0" collapsed="false">
      <c r="A545" s="20" t="s">
        <v>5761</v>
      </c>
      <c r="B545" s="20" t="s">
        <v>79</v>
      </c>
      <c r="C545" s="20" t="s">
        <v>5162</v>
      </c>
      <c r="D545" s="20" t="s">
        <v>5762</v>
      </c>
      <c r="E545" s="20" t="s">
        <v>5763</v>
      </c>
      <c r="F545" s="20" t="s">
        <v>2857</v>
      </c>
      <c r="G545" s="20" t="s">
        <v>3544</v>
      </c>
      <c r="H545" s="22" t="n">
        <v>32.2</v>
      </c>
      <c r="I545" s="22" t="n">
        <v>32.2</v>
      </c>
      <c r="J545" s="22" t="n">
        <f aca="false">H545-I545</f>
        <v>0</v>
      </c>
      <c r="K545" s="20" t="str">
        <f aca="false">IF(ABS(J545)&lt;0.001,"MATCH - PAPER CHECK-IN NOT SUPPLIED","DATA MISMATCH")</f>
        <v>MATCH - PAPER CHECK-IN NOT SUPPLIED</v>
      </c>
      <c r="L545" s="22" t="n">
        <v>28</v>
      </c>
      <c r="M545" s="22" t="n">
        <f aca="false">ROUNDUP(H545,0)</f>
        <v>33</v>
      </c>
      <c r="N545" s="24" t="n">
        <f aca="false">MAX(L545,M545)</f>
        <v>33</v>
      </c>
      <c r="O545" s="25" t="n">
        <v>10.4</v>
      </c>
      <c r="P545" s="25" t="n">
        <f aca="false">N545*O545</f>
        <v>343.2</v>
      </c>
      <c r="Q545" s="23" t="s">
        <v>5764</v>
      </c>
      <c r="R545" s="23" t="s">
        <v>2804</v>
      </c>
      <c r="S545" s="24" t="n">
        <v>33</v>
      </c>
      <c r="T545" s="25" t="n">
        <v>10.4</v>
      </c>
      <c r="U545" s="25" t="n">
        <v>343.2</v>
      </c>
      <c r="V545" s="25" t="n">
        <f aca="false">P545-U545</f>
        <v>0</v>
      </c>
      <c r="W545" s="25" t="n">
        <f aca="false">V545*12</f>
        <v>0</v>
      </c>
      <c r="X545" s="23" t="str">
        <f aca="false">IF(Q545="","MISSING FROM EXPORT",IF(ABS(V545)&lt;0.005,"CLEAR",IF(V545&gt;0,"UNDERBILLING","OVERBILLING")))</f>
        <v>CLEAR</v>
      </c>
      <c r="Y545" s="25" t="n">
        <f aca="false">IF(F545="COMMERCIAL",ROUND(P545*0.35,2),0)</f>
        <v>0</v>
      </c>
      <c r="Z545" s="23" t="str">
        <f aca="false">IF(F545="COMMERCIAL","VERIFY SIGNED AGREEMENT","NO EXCEPTION")</f>
        <v>NO EXCEPTION</v>
      </c>
      <c r="AA545" s="23" t="str">
        <f aca="false">IF(AND(C545="covered",N545&gt;40),"COVERED &gt;40 FT","")</f>
        <v/>
      </c>
      <c r="AB545" s="23" t="s">
        <v>5765</v>
      </c>
      <c r="AC545" s="23" t="s">
        <v>5766</v>
      </c>
      <c r="AD545" s="23" t="s">
        <v>2807</v>
      </c>
    </row>
    <row r="546" customFormat="false" ht="17.9" hidden="false" customHeight="false" outlineLevel="0" collapsed="false">
      <c r="A546" s="20" t="s">
        <v>580</v>
      </c>
      <c r="B546" s="20" t="s">
        <v>79</v>
      </c>
      <c r="C546" s="20" t="s">
        <v>5162</v>
      </c>
      <c r="D546" s="20" t="s">
        <v>5767</v>
      </c>
      <c r="E546" s="20" t="s">
        <v>5768</v>
      </c>
      <c r="F546" s="20" t="s">
        <v>2857</v>
      </c>
      <c r="G546" s="20" t="s">
        <v>3551</v>
      </c>
      <c r="H546" s="22" t="n">
        <v>51</v>
      </c>
      <c r="I546" s="22" t="n">
        <v>51</v>
      </c>
      <c r="J546" s="22" t="n">
        <f aca="false">H546-I546</f>
        <v>0</v>
      </c>
      <c r="K546" s="20" t="str">
        <f aca="false">IF(ABS(J546)&lt;0.001,"MATCH - PAPER CHECK-IN NOT SUPPLIED","DATA MISMATCH")</f>
        <v>MATCH - PAPER CHECK-IN NOT SUPPLIED</v>
      </c>
      <c r="L546" s="22" t="n">
        <v>40</v>
      </c>
      <c r="M546" s="22" t="n">
        <f aca="false">ROUNDUP(H546,0)</f>
        <v>51</v>
      </c>
      <c r="N546" s="24" t="n">
        <f aca="false">MAX(L546,M546)</f>
        <v>51</v>
      </c>
      <c r="O546" s="25" t="n">
        <v>10.4</v>
      </c>
      <c r="P546" s="25" t="n">
        <f aca="false">N546*O546</f>
        <v>530.4</v>
      </c>
      <c r="Q546" s="23" t="s">
        <v>5769</v>
      </c>
      <c r="R546" s="23" t="s">
        <v>2804</v>
      </c>
      <c r="S546" s="24" t="n">
        <v>51</v>
      </c>
      <c r="T546" s="25" t="n">
        <v>10.4</v>
      </c>
      <c r="U546" s="25" t="n">
        <v>530.4</v>
      </c>
      <c r="V546" s="25" t="n">
        <f aca="false">P546-U546</f>
        <v>0</v>
      </c>
      <c r="W546" s="25" t="n">
        <f aca="false">V546*12</f>
        <v>0</v>
      </c>
      <c r="X546" s="23" t="str">
        <f aca="false">IF(Q546="","MISSING FROM EXPORT",IF(ABS(V546)&lt;0.005,"CLEAR",IF(V546&gt;0,"UNDERBILLING","OVERBILLING")))</f>
        <v>CLEAR</v>
      </c>
      <c r="Y546" s="25" t="n">
        <f aca="false">IF(F546="COMMERCIAL",ROUND(P546*0.35,2),0)</f>
        <v>0</v>
      </c>
      <c r="Z546" s="23" t="str">
        <f aca="false">IF(F546="COMMERCIAL","VERIFY SIGNED AGREEMENT","NO EXCEPTION")</f>
        <v>NO EXCEPTION</v>
      </c>
      <c r="AA546" s="23" t="str">
        <f aca="false">IF(AND(C546="covered",N546&gt;40),"COVERED &gt;40 FT","")</f>
        <v>COVERED &gt;40 FT</v>
      </c>
      <c r="AB546" s="23" t="s">
        <v>5770</v>
      </c>
      <c r="AC546" s="23" t="s">
        <v>5771</v>
      </c>
      <c r="AD546" s="23" t="s">
        <v>2807</v>
      </c>
    </row>
    <row r="547" customFormat="false" ht="17.9" hidden="false" customHeight="false" outlineLevel="0" collapsed="false">
      <c r="A547" s="20" t="s">
        <v>5772</v>
      </c>
      <c r="B547" s="20" t="s">
        <v>79</v>
      </c>
      <c r="C547" s="20" t="s">
        <v>5162</v>
      </c>
      <c r="D547" s="20" t="s">
        <v>5773</v>
      </c>
      <c r="E547" s="20" t="s">
        <v>5774</v>
      </c>
      <c r="F547" s="20" t="s">
        <v>2934</v>
      </c>
      <c r="G547" s="20" t="s">
        <v>3558</v>
      </c>
      <c r="H547" s="22" t="n">
        <v>50.9</v>
      </c>
      <c r="I547" s="22" t="n">
        <v>50.9</v>
      </c>
      <c r="J547" s="22" t="n">
        <f aca="false">H547-I547</f>
        <v>0</v>
      </c>
      <c r="K547" s="20" t="str">
        <f aca="false">IF(ABS(J547)&lt;0.001,"MATCH - PAPER CHECK-IN NOT SUPPLIED","DATA MISMATCH")</f>
        <v>MATCH - PAPER CHECK-IN NOT SUPPLIED</v>
      </c>
      <c r="L547" s="22" t="n">
        <v>24</v>
      </c>
      <c r="M547" s="22" t="n">
        <f aca="false">ROUNDUP(H547,0)</f>
        <v>51</v>
      </c>
      <c r="N547" s="24" t="n">
        <f aca="false">MAX(L547,M547)</f>
        <v>51</v>
      </c>
      <c r="O547" s="25" t="n">
        <v>10.4</v>
      </c>
      <c r="P547" s="25" t="n">
        <f aca="false">N547*O547</f>
        <v>530.4</v>
      </c>
      <c r="Q547" s="23" t="s">
        <v>5775</v>
      </c>
      <c r="R547" s="23" t="s">
        <v>2804</v>
      </c>
      <c r="S547" s="24" t="n">
        <v>51</v>
      </c>
      <c r="T547" s="25" t="n">
        <v>10.4</v>
      </c>
      <c r="U547" s="25" t="n">
        <v>530.4</v>
      </c>
      <c r="V547" s="25" t="n">
        <f aca="false">P547-U547</f>
        <v>0</v>
      </c>
      <c r="W547" s="25" t="n">
        <f aca="false">V547*12</f>
        <v>0</v>
      </c>
      <c r="X547" s="23" t="str">
        <f aca="false">IF(Q547="","MISSING FROM EXPORT",IF(ABS(V547)&lt;0.005,"CLEAR",IF(V547&gt;0,"UNDERBILLING","OVERBILLING")))</f>
        <v>CLEAR</v>
      </c>
      <c r="Y547" s="25" t="n">
        <f aca="false">IF(F547="COMMERCIAL",ROUND(P547*0.35,2),0)</f>
        <v>185.64</v>
      </c>
      <c r="Z547" s="23" t="str">
        <f aca="false">IF(F547="COMMERCIAL","VERIFY SIGNED AGREEMENT","NO EXCEPTION")</f>
        <v>VERIFY SIGNED AGREEMENT</v>
      </c>
      <c r="AA547" s="23" t="str">
        <f aca="false">IF(AND(C547="covered",N547&gt;40),"COVERED &gt;40 FT","")</f>
        <v>COVERED &gt;40 FT</v>
      </c>
      <c r="AB547" s="23" t="s">
        <v>5776</v>
      </c>
      <c r="AC547" s="23" t="s">
        <v>5777</v>
      </c>
      <c r="AD547" s="23" t="s">
        <v>2807</v>
      </c>
    </row>
    <row r="548" customFormat="false" ht="17.9" hidden="false" customHeight="false" outlineLevel="0" collapsed="false">
      <c r="A548" s="20" t="s">
        <v>5778</v>
      </c>
      <c r="B548" s="20" t="s">
        <v>79</v>
      </c>
      <c r="C548" s="20" t="s">
        <v>5162</v>
      </c>
      <c r="D548" s="20" t="s">
        <v>5779</v>
      </c>
      <c r="E548" s="20" t="s">
        <v>5780</v>
      </c>
      <c r="F548" s="20" t="s">
        <v>2833</v>
      </c>
      <c r="G548" s="20" t="s">
        <v>3565</v>
      </c>
      <c r="H548" s="22" t="n">
        <v>61.2</v>
      </c>
      <c r="I548" s="22" t="n">
        <v>61.2</v>
      </c>
      <c r="J548" s="22" t="n">
        <f aca="false">H548-I548</f>
        <v>0</v>
      </c>
      <c r="K548" s="20" t="str">
        <f aca="false">IF(ABS(J548)&lt;0.001,"MATCH - PAPER CHECK-IN NOT SUPPLIED","DATA MISMATCH")</f>
        <v>MATCH - PAPER CHECK-IN NOT SUPPLIED</v>
      </c>
      <c r="L548" s="22" t="n">
        <v>24</v>
      </c>
      <c r="M548" s="22" t="n">
        <f aca="false">ROUNDUP(H548,0)</f>
        <v>62</v>
      </c>
      <c r="N548" s="24" t="n">
        <f aca="false">MAX(L548,M548)</f>
        <v>62</v>
      </c>
      <c r="O548" s="25" t="n">
        <v>10.4</v>
      </c>
      <c r="P548" s="25" t="n">
        <f aca="false">N548*O548</f>
        <v>644.8</v>
      </c>
      <c r="Q548" s="23" t="s">
        <v>5781</v>
      </c>
      <c r="R548" s="23" t="s">
        <v>2804</v>
      </c>
      <c r="S548" s="24" t="n">
        <v>62</v>
      </c>
      <c r="T548" s="25" t="n">
        <v>10.4</v>
      </c>
      <c r="U548" s="25" t="n">
        <v>644.8</v>
      </c>
      <c r="V548" s="25" t="n">
        <f aca="false">P548-U548</f>
        <v>0</v>
      </c>
      <c r="W548" s="25" t="n">
        <f aca="false">V548*12</f>
        <v>0</v>
      </c>
      <c r="X548" s="23" t="str">
        <f aca="false">IF(Q548="","MISSING FROM EXPORT",IF(ABS(V548)&lt;0.005,"CLEAR",IF(V548&gt;0,"UNDERBILLING","OVERBILLING")))</f>
        <v>CLEAR</v>
      </c>
      <c r="Y548" s="25" t="n">
        <f aca="false">IF(F548="COMMERCIAL",ROUND(P548*0.35,2),0)</f>
        <v>0</v>
      </c>
      <c r="Z548" s="23" t="str">
        <f aca="false">IF(F548="COMMERCIAL","VERIFY SIGNED AGREEMENT","NO EXCEPTION")</f>
        <v>NO EXCEPTION</v>
      </c>
      <c r="AA548" s="23" t="str">
        <f aca="false">IF(AND(C548="covered",N548&gt;40),"COVERED &gt;40 FT","")</f>
        <v>COVERED &gt;40 FT</v>
      </c>
      <c r="AB548" s="23" t="s">
        <v>5782</v>
      </c>
      <c r="AC548" s="23" t="s">
        <v>5783</v>
      </c>
      <c r="AD548" s="23" t="s">
        <v>2807</v>
      </c>
    </row>
    <row r="549" customFormat="false" ht="17.9" hidden="false" customHeight="false" outlineLevel="0" collapsed="false">
      <c r="A549" s="20" t="s">
        <v>5784</v>
      </c>
      <c r="B549" s="20" t="s">
        <v>79</v>
      </c>
      <c r="C549" s="20" t="s">
        <v>5162</v>
      </c>
      <c r="D549" s="20" t="s">
        <v>5785</v>
      </c>
      <c r="E549" s="20" t="s">
        <v>5786</v>
      </c>
      <c r="F549" s="20" t="s">
        <v>2934</v>
      </c>
      <c r="G549" s="20" t="s">
        <v>3571</v>
      </c>
      <c r="H549" s="22" t="n">
        <v>30.7</v>
      </c>
      <c r="I549" s="22" t="n">
        <v>30.7</v>
      </c>
      <c r="J549" s="22" t="n">
        <f aca="false">H549-I549</f>
        <v>0</v>
      </c>
      <c r="K549" s="20" t="str">
        <f aca="false">IF(ABS(J549)&lt;0.001,"MATCH - PAPER CHECK-IN NOT SUPPLIED","DATA MISMATCH")</f>
        <v>MATCH - PAPER CHECK-IN NOT SUPPLIED</v>
      </c>
      <c r="L549" s="22" t="n">
        <v>40</v>
      </c>
      <c r="M549" s="22" t="n">
        <f aca="false">ROUNDUP(H549,0)</f>
        <v>31</v>
      </c>
      <c r="N549" s="24" t="n">
        <f aca="false">MAX(L549,M549)</f>
        <v>40</v>
      </c>
      <c r="O549" s="25" t="n">
        <v>10.4</v>
      </c>
      <c r="P549" s="25" t="n">
        <f aca="false">N549*O549</f>
        <v>416</v>
      </c>
      <c r="Q549" s="23" t="s">
        <v>5787</v>
      </c>
      <c r="R549" s="23" t="s">
        <v>2804</v>
      </c>
      <c r="S549" s="24" t="n">
        <v>40</v>
      </c>
      <c r="T549" s="25" t="n">
        <v>10.4</v>
      </c>
      <c r="U549" s="25" t="n">
        <v>416</v>
      </c>
      <c r="V549" s="25" t="n">
        <f aca="false">P549-U549</f>
        <v>0</v>
      </c>
      <c r="W549" s="25" t="n">
        <f aca="false">V549*12</f>
        <v>0</v>
      </c>
      <c r="X549" s="23" t="str">
        <f aca="false">IF(Q549="","MISSING FROM EXPORT",IF(ABS(V549)&lt;0.005,"CLEAR",IF(V549&gt;0,"UNDERBILLING","OVERBILLING")))</f>
        <v>CLEAR</v>
      </c>
      <c r="Y549" s="25" t="n">
        <f aca="false">IF(F549="COMMERCIAL",ROUND(P549*0.35,2),0)</f>
        <v>145.6</v>
      </c>
      <c r="Z549" s="23" t="str">
        <f aca="false">IF(F549="COMMERCIAL","VERIFY SIGNED AGREEMENT","NO EXCEPTION")</f>
        <v>VERIFY SIGNED AGREEMENT</v>
      </c>
      <c r="AA549" s="23" t="str">
        <f aca="false">IF(AND(C549="covered",N549&gt;40),"COVERED &gt;40 FT","")</f>
        <v/>
      </c>
      <c r="AB549" s="23" t="s">
        <v>5788</v>
      </c>
      <c r="AC549" s="23" t="s">
        <v>5789</v>
      </c>
      <c r="AD549" s="23" t="s">
        <v>2807</v>
      </c>
    </row>
    <row r="550" customFormat="false" ht="17.9" hidden="false" customHeight="false" outlineLevel="0" collapsed="false">
      <c r="A550" s="20" t="s">
        <v>5790</v>
      </c>
      <c r="B550" s="20" t="s">
        <v>79</v>
      </c>
      <c r="C550" s="20" t="s">
        <v>5162</v>
      </c>
      <c r="D550" s="20" t="s">
        <v>5791</v>
      </c>
      <c r="E550" s="20" t="s">
        <v>5792</v>
      </c>
      <c r="F550" s="20" t="s">
        <v>2869</v>
      </c>
      <c r="G550" s="20" t="s">
        <v>3577</v>
      </c>
      <c r="H550" s="22" t="n">
        <v>22.6</v>
      </c>
      <c r="I550" s="22" t="n">
        <v>22.6</v>
      </c>
      <c r="J550" s="22" t="n">
        <f aca="false">H550-I550</f>
        <v>0</v>
      </c>
      <c r="K550" s="20" t="str">
        <f aca="false">IF(ABS(J550)&lt;0.001,"MATCH - PAPER CHECK-IN NOT SUPPLIED","DATA MISMATCH")</f>
        <v>MATCH - PAPER CHECK-IN NOT SUPPLIED</v>
      </c>
      <c r="L550" s="22" t="n">
        <v>28</v>
      </c>
      <c r="M550" s="22" t="n">
        <f aca="false">ROUNDUP(H550,0)</f>
        <v>23</v>
      </c>
      <c r="N550" s="24" t="n">
        <f aca="false">MAX(L550,M550)</f>
        <v>28</v>
      </c>
      <c r="O550" s="25" t="n">
        <v>10.4</v>
      </c>
      <c r="P550" s="25" t="n">
        <f aca="false">N550*O550</f>
        <v>291.2</v>
      </c>
      <c r="Q550" s="23" t="s">
        <v>5793</v>
      </c>
      <c r="R550" s="23" t="s">
        <v>2804</v>
      </c>
      <c r="S550" s="24" t="n">
        <v>28</v>
      </c>
      <c r="T550" s="25" t="n">
        <v>10.4</v>
      </c>
      <c r="U550" s="25" t="n">
        <v>291.2</v>
      </c>
      <c r="V550" s="25" t="n">
        <f aca="false">P550-U550</f>
        <v>0</v>
      </c>
      <c r="W550" s="25" t="n">
        <f aca="false">V550*12</f>
        <v>0</v>
      </c>
      <c r="X550" s="23" t="str">
        <f aca="false">IF(Q550="","MISSING FROM EXPORT",IF(ABS(V550)&lt;0.005,"CLEAR",IF(V550&gt;0,"UNDERBILLING","OVERBILLING")))</f>
        <v>CLEAR</v>
      </c>
      <c r="Y550" s="25" t="n">
        <f aca="false">IF(F550="COMMERCIAL",ROUND(P550*0.35,2),0)</f>
        <v>0</v>
      </c>
      <c r="Z550" s="23" t="str">
        <f aca="false">IF(F550="COMMERCIAL","VERIFY SIGNED AGREEMENT","NO EXCEPTION")</f>
        <v>NO EXCEPTION</v>
      </c>
      <c r="AA550" s="23" t="str">
        <f aca="false">IF(AND(C550="covered",N550&gt;40),"COVERED &gt;40 FT","")</f>
        <v/>
      </c>
      <c r="AB550" s="23" t="s">
        <v>5794</v>
      </c>
      <c r="AC550" s="23" t="s">
        <v>5795</v>
      </c>
      <c r="AD550" s="23" t="s">
        <v>2807</v>
      </c>
    </row>
    <row r="551" customFormat="false" ht="17.9" hidden="false" customHeight="false" outlineLevel="0" collapsed="false">
      <c r="A551" s="20" t="s">
        <v>1892</v>
      </c>
      <c r="B551" s="20" t="s">
        <v>79</v>
      </c>
      <c r="C551" s="20" t="s">
        <v>5162</v>
      </c>
      <c r="D551" s="20" t="s">
        <v>5796</v>
      </c>
      <c r="E551" s="20" t="s">
        <v>5797</v>
      </c>
      <c r="F551" s="20" t="s">
        <v>2898</v>
      </c>
      <c r="G551" s="20" t="s">
        <v>3584</v>
      </c>
      <c r="H551" s="22" t="n">
        <v>37.3</v>
      </c>
      <c r="I551" s="22" t="n">
        <v>37.3</v>
      </c>
      <c r="J551" s="22" t="n">
        <f aca="false">H551-I551</f>
        <v>0</v>
      </c>
      <c r="K551" s="20" t="str">
        <f aca="false">IF(ABS(J551)&lt;0.001,"MATCH - PAPER CHECK-IN NOT SUPPLIED","DATA MISMATCH")</f>
        <v>MATCH - PAPER CHECK-IN NOT SUPPLIED</v>
      </c>
      <c r="L551" s="22" t="n">
        <v>24</v>
      </c>
      <c r="M551" s="22" t="n">
        <f aca="false">ROUNDUP(H551,0)</f>
        <v>38</v>
      </c>
      <c r="N551" s="24" t="n">
        <f aca="false">MAX(L551,M551)</f>
        <v>38</v>
      </c>
      <c r="O551" s="25" t="n">
        <v>10.4</v>
      </c>
      <c r="P551" s="25" t="n">
        <f aca="false">N551*O551</f>
        <v>395.2</v>
      </c>
      <c r="Q551" s="23" t="s">
        <v>5798</v>
      </c>
      <c r="R551" s="23" t="s">
        <v>2804</v>
      </c>
      <c r="S551" s="24" t="n">
        <v>38</v>
      </c>
      <c r="T551" s="25" t="n">
        <v>10.4</v>
      </c>
      <c r="U551" s="25" t="n">
        <v>395.2</v>
      </c>
      <c r="V551" s="25" t="n">
        <f aca="false">P551-U551</f>
        <v>0</v>
      </c>
      <c r="W551" s="25" t="n">
        <f aca="false">V551*12</f>
        <v>0</v>
      </c>
      <c r="X551" s="23" t="str">
        <f aca="false">IF(Q551="","MISSING FROM EXPORT",IF(ABS(V551)&lt;0.005,"CLEAR",IF(V551&gt;0,"UNDERBILLING","OVERBILLING")))</f>
        <v>CLEAR</v>
      </c>
      <c r="Y551" s="25" t="n">
        <f aca="false">IF(F551="COMMERCIAL",ROUND(P551*0.35,2),0)</f>
        <v>0</v>
      </c>
      <c r="Z551" s="23" t="str">
        <f aca="false">IF(F551="COMMERCIAL","VERIFY SIGNED AGREEMENT","NO EXCEPTION")</f>
        <v>NO EXCEPTION</v>
      </c>
      <c r="AA551" s="23" t="str">
        <f aca="false">IF(AND(C551="covered",N551&gt;40),"COVERED &gt;40 FT","")</f>
        <v/>
      </c>
      <c r="AB551" s="23" t="s">
        <v>5799</v>
      </c>
      <c r="AC551" s="23" t="s">
        <v>5800</v>
      </c>
      <c r="AD551" s="23" t="s">
        <v>2807</v>
      </c>
    </row>
    <row r="552" customFormat="false" ht="17.9" hidden="false" customHeight="false" outlineLevel="0" collapsed="false">
      <c r="A552" s="20" t="s">
        <v>5801</v>
      </c>
      <c r="B552" s="20" t="s">
        <v>79</v>
      </c>
      <c r="C552" s="20" t="s">
        <v>5162</v>
      </c>
      <c r="D552" s="20" t="s">
        <v>5802</v>
      </c>
      <c r="E552" s="20" t="s">
        <v>5803</v>
      </c>
      <c r="F552" s="20" t="s">
        <v>2810</v>
      </c>
      <c r="G552" s="20" t="s">
        <v>3590</v>
      </c>
      <c r="H552" s="22" t="n">
        <v>34.5</v>
      </c>
      <c r="I552" s="22" t="n">
        <v>34.5</v>
      </c>
      <c r="J552" s="22" t="n">
        <f aca="false">H552-I552</f>
        <v>0</v>
      </c>
      <c r="K552" s="20" t="str">
        <f aca="false">IF(ABS(J552)&lt;0.001,"MATCH - PAPER CHECK-IN NOT SUPPLIED","DATA MISMATCH")</f>
        <v>MATCH - PAPER CHECK-IN NOT SUPPLIED</v>
      </c>
      <c r="L552" s="22" t="n">
        <v>28</v>
      </c>
      <c r="M552" s="22" t="n">
        <f aca="false">ROUNDUP(H552,0)</f>
        <v>35</v>
      </c>
      <c r="N552" s="24" t="n">
        <f aca="false">MAX(L552,M552)</f>
        <v>35</v>
      </c>
      <c r="O552" s="25" t="n">
        <v>10.4</v>
      </c>
      <c r="P552" s="25" t="n">
        <f aca="false">N552*O552</f>
        <v>364</v>
      </c>
      <c r="Q552" s="23" t="s">
        <v>5804</v>
      </c>
      <c r="R552" s="23" t="s">
        <v>2804</v>
      </c>
      <c r="S552" s="24" t="n">
        <v>35</v>
      </c>
      <c r="T552" s="25" t="n">
        <v>10.4</v>
      </c>
      <c r="U552" s="25" t="n">
        <v>364</v>
      </c>
      <c r="V552" s="25" t="n">
        <f aca="false">P552-U552</f>
        <v>0</v>
      </c>
      <c r="W552" s="25" t="n">
        <f aca="false">V552*12</f>
        <v>0</v>
      </c>
      <c r="X552" s="23" t="str">
        <f aca="false">IF(Q552="","MISSING FROM EXPORT",IF(ABS(V552)&lt;0.005,"CLEAR",IF(V552&gt;0,"UNDERBILLING","OVERBILLING")))</f>
        <v>CLEAR</v>
      </c>
      <c r="Y552" s="25" t="n">
        <f aca="false">IF(F552="COMMERCIAL",ROUND(P552*0.35,2),0)</f>
        <v>0</v>
      </c>
      <c r="Z552" s="23" t="str">
        <f aca="false">IF(F552="COMMERCIAL","VERIFY SIGNED AGREEMENT","NO EXCEPTION")</f>
        <v>NO EXCEPTION</v>
      </c>
      <c r="AA552" s="23" t="str">
        <f aca="false">IF(AND(C552="covered",N552&gt;40),"COVERED &gt;40 FT","")</f>
        <v/>
      </c>
      <c r="AB552" s="23" t="s">
        <v>5805</v>
      </c>
      <c r="AC552" s="23" t="s">
        <v>5806</v>
      </c>
      <c r="AD552" s="23" t="s">
        <v>2807</v>
      </c>
    </row>
    <row r="553" customFormat="false" ht="17.9" hidden="false" customHeight="false" outlineLevel="0" collapsed="false">
      <c r="A553" s="20" t="s">
        <v>5807</v>
      </c>
      <c r="B553" s="20" t="s">
        <v>79</v>
      </c>
      <c r="C553" s="20" t="s">
        <v>5162</v>
      </c>
      <c r="D553" s="20" t="s">
        <v>5808</v>
      </c>
      <c r="E553" s="20" t="s">
        <v>5809</v>
      </c>
      <c r="F553" s="20" t="s">
        <v>2857</v>
      </c>
      <c r="G553" s="20" t="s">
        <v>3596</v>
      </c>
      <c r="H553" s="22" t="n">
        <v>60.7</v>
      </c>
      <c r="I553" s="22" t="n">
        <v>60.7</v>
      </c>
      <c r="J553" s="22" t="n">
        <f aca="false">H553-I553</f>
        <v>0</v>
      </c>
      <c r="K553" s="20" t="str">
        <f aca="false">IF(ABS(J553)&lt;0.001,"MATCH - PAPER CHECK-IN NOT SUPPLIED","DATA MISMATCH")</f>
        <v>MATCH - PAPER CHECK-IN NOT SUPPLIED</v>
      </c>
      <c r="L553" s="22" t="n">
        <v>24</v>
      </c>
      <c r="M553" s="22" t="n">
        <f aca="false">ROUNDUP(H553,0)</f>
        <v>61</v>
      </c>
      <c r="N553" s="24" t="n">
        <f aca="false">MAX(L553,M553)</f>
        <v>61</v>
      </c>
      <c r="O553" s="25" t="n">
        <v>10.4</v>
      </c>
      <c r="P553" s="25" t="n">
        <f aca="false">N553*O553</f>
        <v>634.4</v>
      </c>
      <c r="Q553" s="23" t="s">
        <v>5810</v>
      </c>
      <c r="R553" s="23" t="s">
        <v>2804</v>
      </c>
      <c r="S553" s="24" t="n">
        <v>61</v>
      </c>
      <c r="T553" s="25" t="n">
        <v>10.4</v>
      </c>
      <c r="U553" s="25" t="n">
        <v>634.4</v>
      </c>
      <c r="V553" s="25" t="n">
        <f aca="false">P553-U553</f>
        <v>0</v>
      </c>
      <c r="W553" s="25" t="n">
        <f aca="false">V553*12</f>
        <v>0</v>
      </c>
      <c r="X553" s="23" t="str">
        <f aca="false">IF(Q553="","MISSING FROM EXPORT",IF(ABS(V553)&lt;0.005,"CLEAR",IF(V553&gt;0,"UNDERBILLING","OVERBILLING")))</f>
        <v>CLEAR</v>
      </c>
      <c r="Y553" s="25" t="n">
        <f aca="false">IF(F553="COMMERCIAL",ROUND(P553*0.35,2),0)</f>
        <v>0</v>
      </c>
      <c r="Z553" s="23" t="str">
        <f aca="false">IF(F553="COMMERCIAL","VERIFY SIGNED AGREEMENT","NO EXCEPTION")</f>
        <v>NO EXCEPTION</v>
      </c>
      <c r="AA553" s="23" t="str">
        <f aca="false">IF(AND(C553="covered",N553&gt;40),"COVERED &gt;40 FT","")</f>
        <v>COVERED &gt;40 FT</v>
      </c>
      <c r="AB553" s="23" t="s">
        <v>5811</v>
      </c>
      <c r="AC553" s="23" t="s">
        <v>5812</v>
      </c>
      <c r="AD553" s="23" t="s">
        <v>2807</v>
      </c>
    </row>
    <row r="554" customFormat="false" ht="17.9" hidden="false" customHeight="false" outlineLevel="0" collapsed="false">
      <c r="A554" s="20" t="s">
        <v>5813</v>
      </c>
      <c r="B554" s="20" t="s">
        <v>79</v>
      </c>
      <c r="C554" s="20" t="s">
        <v>5162</v>
      </c>
      <c r="D554" s="20" t="s">
        <v>5814</v>
      </c>
      <c r="E554" s="20" t="s">
        <v>5815</v>
      </c>
      <c r="F554" s="20" t="s">
        <v>2810</v>
      </c>
      <c r="G554" s="20" t="s">
        <v>4814</v>
      </c>
      <c r="H554" s="22" t="n">
        <v>18.6</v>
      </c>
      <c r="I554" s="22" t="n">
        <v>18.6</v>
      </c>
      <c r="J554" s="22" t="n">
        <f aca="false">H554-I554</f>
        <v>0</v>
      </c>
      <c r="K554" s="20" t="str">
        <f aca="false">IF(ABS(J554)&lt;0.001,"MATCH - PAPER CHECK-IN NOT SUPPLIED","DATA MISMATCH")</f>
        <v>MATCH - PAPER CHECK-IN NOT SUPPLIED</v>
      </c>
      <c r="L554" s="22" t="n">
        <v>32</v>
      </c>
      <c r="M554" s="22" t="n">
        <f aca="false">ROUNDUP(H554,0)</f>
        <v>19</v>
      </c>
      <c r="N554" s="24" t="n">
        <f aca="false">MAX(L554,M554)</f>
        <v>32</v>
      </c>
      <c r="O554" s="25" t="n">
        <v>10.4</v>
      </c>
      <c r="P554" s="25" t="n">
        <f aca="false">N554*O554</f>
        <v>332.8</v>
      </c>
      <c r="Q554" s="23" t="s">
        <v>5816</v>
      </c>
      <c r="R554" s="23" t="s">
        <v>2804</v>
      </c>
      <c r="S554" s="24" t="n">
        <v>32</v>
      </c>
      <c r="T554" s="25" t="n">
        <v>10.4</v>
      </c>
      <c r="U554" s="25" t="n">
        <v>332.8</v>
      </c>
      <c r="V554" s="25" t="n">
        <f aca="false">P554-U554</f>
        <v>0</v>
      </c>
      <c r="W554" s="25" t="n">
        <f aca="false">V554*12</f>
        <v>0</v>
      </c>
      <c r="X554" s="23" t="str">
        <f aca="false">IF(Q554="","MISSING FROM EXPORT",IF(ABS(V554)&lt;0.005,"CLEAR",IF(V554&gt;0,"UNDERBILLING","OVERBILLING")))</f>
        <v>CLEAR</v>
      </c>
      <c r="Y554" s="25" t="n">
        <f aca="false">IF(F554="COMMERCIAL",ROUND(P554*0.35,2),0)</f>
        <v>0</v>
      </c>
      <c r="Z554" s="23" t="str">
        <f aca="false">IF(F554="COMMERCIAL","VERIFY SIGNED AGREEMENT","NO EXCEPTION")</f>
        <v>NO EXCEPTION</v>
      </c>
      <c r="AA554" s="23" t="str">
        <f aca="false">IF(AND(C554="covered",N554&gt;40),"COVERED &gt;40 FT","")</f>
        <v/>
      </c>
      <c r="AB554" s="23" t="s">
        <v>5817</v>
      </c>
      <c r="AC554" s="23" t="s">
        <v>5818</v>
      </c>
      <c r="AD554" s="23" t="s">
        <v>2807</v>
      </c>
    </row>
    <row r="555" customFormat="false" ht="17.9" hidden="false" customHeight="false" outlineLevel="0" collapsed="false">
      <c r="A555" s="20" t="s">
        <v>5819</v>
      </c>
      <c r="B555" s="20" t="s">
        <v>79</v>
      </c>
      <c r="C555" s="20" t="s">
        <v>5162</v>
      </c>
      <c r="D555" s="20" t="s">
        <v>5820</v>
      </c>
      <c r="E555" s="20" t="s">
        <v>5821</v>
      </c>
      <c r="F555" s="20" t="s">
        <v>2801</v>
      </c>
      <c r="G555" s="20" t="s">
        <v>4819</v>
      </c>
      <c r="H555" s="22" t="n">
        <v>52.8</v>
      </c>
      <c r="I555" s="22" t="n">
        <v>52.8</v>
      </c>
      <c r="J555" s="22" t="n">
        <f aca="false">H555-I555</f>
        <v>0</v>
      </c>
      <c r="K555" s="20" t="str">
        <f aca="false">IF(ABS(J555)&lt;0.001,"MATCH - PAPER CHECK-IN NOT SUPPLIED","DATA MISMATCH")</f>
        <v>MATCH - PAPER CHECK-IN NOT SUPPLIED</v>
      </c>
      <c r="L555" s="22" t="n">
        <v>24</v>
      </c>
      <c r="M555" s="22" t="n">
        <f aca="false">ROUNDUP(H555,0)</f>
        <v>53</v>
      </c>
      <c r="N555" s="24" t="n">
        <f aca="false">MAX(L555,M555)</f>
        <v>53</v>
      </c>
      <c r="O555" s="25" t="n">
        <v>10.4</v>
      </c>
      <c r="P555" s="25" t="n">
        <f aca="false">N555*O555</f>
        <v>551.2</v>
      </c>
      <c r="Q555" s="23" t="s">
        <v>5822</v>
      </c>
      <c r="R555" s="23" t="s">
        <v>2804</v>
      </c>
      <c r="S555" s="24" t="n">
        <v>53</v>
      </c>
      <c r="T555" s="25" t="n">
        <v>10.4</v>
      </c>
      <c r="U555" s="25" t="n">
        <v>551.2</v>
      </c>
      <c r="V555" s="25" t="n">
        <f aca="false">P555-U555</f>
        <v>0</v>
      </c>
      <c r="W555" s="25" t="n">
        <f aca="false">V555*12</f>
        <v>0</v>
      </c>
      <c r="X555" s="23" t="str">
        <f aca="false">IF(Q555="","MISSING FROM EXPORT",IF(ABS(V555)&lt;0.005,"CLEAR",IF(V555&gt;0,"UNDERBILLING","OVERBILLING")))</f>
        <v>CLEAR</v>
      </c>
      <c r="Y555" s="25" t="n">
        <f aca="false">IF(F555="COMMERCIAL",ROUND(P555*0.35,2),0)</f>
        <v>0</v>
      </c>
      <c r="Z555" s="23" t="str">
        <f aca="false">IF(F555="COMMERCIAL","VERIFY SIGNED AGREEMENT","NO EXCEPTION")</f>
        <v>NO EXCEPTION</v>
      </c>
      <c r="AA555" s="23" t="str">
        <f aca="false">IF(AND(C555="covered",N555&gt;40),"COVERED &gt;40 FT","")</f>
        <v>COVERED &gt;40 FT</v>
      </c>
      <c r="AB555" s="23" t="s">
        <v>5823</v>
      </c>
      <c r="AC555" s="23" t="s">
        <v>5824</v>
      </c>
      <c r="AD555" s="23" t="s">
        <v>2807</v>
      </c>
    </row>
    <row r="556" customFormat="false" ht="17.9" hidden="false" customHeight="false" outlineLevel="0" collapsed="false">
      <c r="A556" s="20" t="s">
        <v>1623</v>
      </c>
      <c r="B556" s="20" t="s">
        <v>79</v>
      </c>
      <c r="C556" s="20" t="s">
        <v>5162</v>
      </c>
      <c r="D556" s="20" t="s">
        <v>5825</v>
      </c>
      <c r="E556" s="20" t="s">
        <v>5826</v>
      </c>
      <c r="F556" s="20" t="s">
        <v>2857</v>
      </c>
      <c r="G556" s="20" t="s">
        <v>3601</v>
      </c>
      <c r="H556" s="22" t="n">
        <v>18.7</v>
      </c>
      <c r="I556" s="22" t="n">
        <v>18.7</v>
      </c>
      <c r="J556" s="22" t="n">
        <f aca="false">H556-I556</f>
        <v>0</v>
      </c>
      <c r="K556" s="20" t="str">
        <f aca="false">IF(ABS(J556)&lt;0.001,"MATCH - PAPER CHECK-IN NOT SUPPLIED","DATA MISMATCH")</f>
        <v>MATCH - PAPER CHECK-IN NOT SUPPLIED</v>
      </c>
      <c r="L556" s="22" t="n">
        <v>28</v>
      </c>
      <c r="M556" s="22" t="n">
        <f aca="false">ROUNDUP(H556,0)</f>
        <v>19</v>
      </c>
      <c r="N556" s="24" t="n">
        <f aca="false">MAX(L556,M556)</f>
        <v>28</v>
      </c>
      <c r="O556" s="25" t="n">
        <v>10.4</v>
      </c>
      <c r="P556" s="25" t="n">
        <f aca="false">N556*O556</f>
        <v>291.2</v>
      </c>
      <c r="Q556" s="23" t="s">
        <v>5827</v>
      </c>
      <c r="R556" s="23" t="s">
        <v>2804</v>
      </c>
      <c r="S556" s="24" t="n">
        <v>28</v>
      </c>
      <c r="T556" s="25" t="n">
        <v>10.4</v>
      </c>
      <c r="U556" s="25" t="n">
        <v>291.2</v>
      </c>
      <c r="V556" s="25" t="n">
        <f aca="false">P556-U556</f>
        <v>0</v>
      </c>
      <c r="W556" s="25" t="n">
        <f aca="false">V556*12</f>
        <v>0</v>
      </c>
      <c r="X556" s="23" t="str">
        <f aca="false">IF(Q556="","MISSING FROM EXPORT",IF(ABS(V556)&lt;0.005,"CLEAR",IF(V556&gt;0,"UNDERBILLING","OVERBILLING")))</f>
        <v>CLEAR</v>
      </c>
      <c r="Y556" s="25" t="n">
        <f aca="false">IF(F556="COMMERCIAL",ROUND(P556*0.35,2),0)</f>
        <v>0</v>
      </c>
      <c r="Z556" s="23" t="str">
        <f aca="false">IF(F556="COMMERCIAL","VERIFY SIGNED AGREEMENT","NO EXCEPTION")</f>
        <v>NO EXCEPTION</v>
      </c>
      <c r="AA556" s="23" t="str">
        <f aca="false">IF(AND(C556="covered",N556&gt;40),"COVERED &gt;40 FT","")</f>
        <v/>
      </c>
      <c r="AB556" s="23" t="s">
        <v>5828</v>
      </c>
      <c r="AC556" s="23" t="s">
        <v>5829</v>
      </c>
      <c r="AD556" s="23" t="s">
        <v>2807</v>
      </c>
    </row>
    <row r="557" customFormat="false" ht="17.9" hidden="false" customHeight="false" outlineLevel="0" collapsed="false">
      <c r="A557" s="20" t="s">
        <v>5830</v>
      </c>
      <c r="B557" s="20" t="s">
        <v>79</v>
      </c>
      <c r="C557" s="20" t="s">
        <v>5162</v>
      </c>
      <c r="D557" s="20" t="s">
        <v>5831</v>
      </c>
      <c r="E557" s="20" t="s">
        <v>5832</v>
      </c>
      <c r="F557" s="20" t="s">
        <v>2857</v>
      </c>
      <c r="G557" s="20" t="s">
        <v>3608</v>
      </c>
      <c r="H557" s="22" t="n">
        <v>37.5</v>
      </c>
      <c r="I557" s="22" t="n">
        <v>37.5</v>
      </c>
      <c r="J557" s="22" t="n">
        <f aca="false">H557-I557</f>
        <v>0</v>
      </c>
      <c r="K557" s="20" t="str">
        <f aca="false">IF(ABS(J557)&lt;0.001,"MATCH - PAPER CHECK-IN NOT SUPPLIED","DATA MISMATCH")</f>
        <v>MATCH - PAPER CHECK-IN NOT SUPPLIED</v>
      </c>
      <c r="L557" s="22" t="n">
        <v>36</v>
      </c>
      <c r="M557" s="22" t="n">
        <f aca="false">ROUNDUP(H557,0)</f>
        <v>38</v>
      </c>
      <c r="N557" s="24" t="n">
        <f aca="false">MAX(L557,M557)</f>
        <v>38</v>
      </c>
      <c r="O557" s="25" t="n">
        <v>10.4</v>
      </c>
      <c r="P557" s="25" t="n">
        <f aca="false">N557*O557</f>
        <v>395.2</v>
      </c>
      <c r="Q557" s="23" t="s">
        <v>5833</v>
      </c>
      <c r="R557" s="23" t="s">
        <v>2804</v>
      </c>
      <c r="S557" s="24" t="n">
        <v>38</v>
      </c>
      <c r="T557" s="25" t="n">
        <v>10.4</v>
      </c>
      <c r="U557" s="25" t="n">
        <v>395.2</v>
      </c>
      <c r="V557" s="25" t="n">
        <f aca="false">P557-U557</f>
        <v>0</v>
      </c>
      <c r="W557" s="25" t="n">
        <f aca="false">V557*12</f>
        <v>0</v>
      </c>
      <c r="X557" s="23" t="str">
        <f aca="false">IF(Q557="","MISSING FROM EXPORT",IF(ABS(V557)&lt;0.005,"CLEAR",IF(V557&gt;0,"UNDERBILLING","OVERBILLING")))</f>
        <v>CLEAR</v>
      </c>
      <c r="Y557" s="25" t="n">
        <f aca="false">IF(F557="COMMERCIAL",ROUND(P557*0.35,2),0)</f>
        <v>0</v>
      </c>
      <c r="Z557" s="23" t="str">
        <f aca="false">IF(F557="COMMERCIAL","VERIFY SIGNED AGREEMENT","NO EXCEPTION")</f>
        <v>NO EXCEPTION</v>
      </c>
      <c r="AA557" s="23" t="str">
        <f aca="false">IF(AND(C557="covered",N557&gt;40),"COVERED &gt;40 FT","")</f>
        <v/>
      </c>
      <c r="AB557" s="23" t="s">
        <v>5834</v>
      </c>
      <c r="AC557" s="23" t="s">
        <v>5835</v>
      </c>
      <c r="AD557" s="23" t="s">
        <v>2807</v>
      </c>
    </row>
    <row r="558" customFormat="false" ht="17.9" hidden="false" customHeight="false" outlineLevel="0" collapsed="false">
      <c r="A558" s="20" t="s">
        <v>1310</v>
      </c>
      <c r="B558" s="20" t="s">
        <v>79</v>
      </c>
      <c r="C558" s="20" t="s">
        <v>5162</v>
      </c>
      <c r="D558" s="20" t="s">
        <v>5836</v>
      </c>
      <c r="E558" s="20" t="s">
        <v>5837</v>
      </c>
      <c r="F558" s="20" t="s">
        <v>2869</v>
      </c>
      <c r="G558" s="20" t="s">
        <v>3614</v>
      </c>
      <c r="H558" s="22" t="n">
        <v>51.4</v>
      </c>
      <c r="I558" s="22" t="n">
        <v>51.4</v>
      </c>
      <c r="J558" s="22" t="n">
        <f aca="false">H558-I558</f>
        <v>0</v>
      </c>
      <c r="K558" s="20" t="str">
        <f aca="false">IF(ABS(J558)&lt;0.001,"MATCH - PAPER CHECK-IN NOT SUPPLIED","DATA MISMATCH")</f>
        <v>MATCH - PAPER CHECK-IN NOT SUPPLIED</v>
      </c>
      <c r="L558" s="22" t="n">
        <v>24</v>
      </c>
      <c r="M558" s="22" t="n">
        <f aca="false">ROUNDUP(H558,0)</f>
        <v>52</v>
      </c>
      <c r="N558" s="24" t="n">
        <f aca="false">MAX(L558,M558)</f>
        <v>52</v>
      </c>
      <c r="O558" s="25" t="n">
        <v>10.4</v>
      </c>
      <c r="P558" s="25" t="n">
        <f aca="false">N558*O558</f>
        <v>540.8</v>
      </c>
      <c r="Q558" s="23" t="s">
        <v>5838</v>
      </c>
      <c r="R558" s="23" t="s">
        <v>2804</v>
      </c>
      <c r="S558" s="24" t="n">
        <v>52</v>
      </c>
      <c r="T558" s="25" t="n">
        <v>10.4</v>
      </c>
      <c r="U558" s="25" t="n">
        <v>540.8</v>
      </c>
      <c r="V558" s="25" t="n">
        <f aca="false">P558-U558</f>
        <v>0</v>
      </c>
      <c r="W558" s="25" t="n">
        <f aca="false">V558*12</f>
        <v>0</v>
      </c>
      <c r="X558" s="23" t="str">
        <f aca="false">IF(Q558="","MISSING FROM EXPORT",IF(ABS(V558)&lt;0.005,"CLEAR",IF(V558&gt;0,"UNDERBILLING","OVERBILLING")))</f>
        <v>CLEAR</v>
      </c>
      <c r="Y558" s="25" t="n">
        <f aca="false">IF(F558="COMMERCIAL",ROUND(P558*0.35,2),0)</f>
        <v>0</v>
      </c>
      <c r="Z558" s="23" t="str">
        <f aca="false">IF(F558="COMMERCIAL","VERIFY SIGNED AGREEMENT","NO EXCEPTION")</f>
        <v>NO EXCEPTION</v>
      </c>
      <c r="AA558" s="23" t="str">
        <f aca="false">IF(AND(C558="covered",N558&gt;40),"COVERED &gt;40 FT","")</f>
        <v>COVERED &gt;40 FT</v>
      </c>
      <c r="AB558" s="23" t="s">
        <v>5839</v>
      </c>
      <c r="AC558" s="23" t="s">
        <v>5840</v>
      </c>
      <c r="AD558" s="23" t="s">
        <v>2807</v>
      </c>
    </row>
    <row r="559" customFormat="false" ht="17.9" hidden="false" customHeight="false" outlineLevel="0" collapsed="false">
      <c r="A559" s="20" t="s">
        <v>5841</v>
      </c>
      <c r="B559" s="20" t="s">
        <v>79</v>
      </c>
      <c r="C559" s="20" t="s">
        <v>5162</v>
      </c>
      <c r="D559" s="20" t="s">
        <v>5842</v>
      </c>
      <c r="E559" s="20" t="s">
        <v>5843</v>
      </c>
      <c r="F559" s="20" t="s">
        <v>2898</v>
      </c>
      <c r="G559" s="20" t="s">
        <v>3621</v>
      </c>
      <c r="H559" s="22" t="n">
        <v>35.6</v>
      </c>
      <c r="I559" s="22" t="n">
        <v>35.6</v>
      </c>
      <c r="J559" s="22" t="n">
        <f aca="false">H559-I559</f>
        <v>0</v>
      </c>
      <c r="K559" s="20" t="str">
        <f aca="false">IF(ABS(J559)&lt;0.001,"MATCH - PAPER CHECK-IN NOT SUPPLIED","DATA MISMATCH")</f>
        <v>MATCH - PAPER CHECK-IN NOT SUPPLIED</v>
      </c>
      <c r="L559" s="22" t="n">
        <v>28</v>
      </c>
      <c r="M559" s="22" t="n">
        <f aca="false">ROUNDUP(H559,0)</f>
        <v>36</v>
      </c>
      <c r="N559" s="24" t="n">
        <f aca="false">MAX(L559,M559)</f>
        <v>36</v>
      </c>
      <c r="O559" s="25" t="n">
        <v>10.4</v>
      </c>
      <c r="P559" s="25" t="n">
        <f aca="false">N559*O559</f>
        <v>374.4</v>
      </c>
      <c r="Q559" s="23" t="s">
        <v>5844</v>
      </c>
      <c r="R559" s="23" t="s">
        <v>2804</v>
      </c>
      <c r="S559" s="24" t="n">
        <v>36</v>
      </c>
      <c r="T559" s="25" t="n">
        <v>10.4</v>
      </c>
      <c r="U559" s="25" t="n">
        <v>374.4</v>
      </c>
      <c r="V559" s="25" t="n">
        <f aca="false">P559-U559</f>
        <v>0</v>
      </c>
      <c r="W559" s="25" t="n">
        <f aca="false">V559*12</f>
        <v>0</v>
      </c>
      <c r="X559" s="23" t="str">
        <f aca="false">IF(Q559="","MISSING FROM EXPORT",IF(ABS(V559)&lt;0.005,"CLEAR",IF(V559&gt;0,"UNDERBILLING","OVERBILLING")))</f>
        <v>CLEAR</v>
      </c>
      <c r="Y559" s="25" t="n">
        <f aca="false">IF(F559="COMMERCIAL",ROUND(P559*0.35,2),0)</f>
        <v>0</v>
      </c>
      <c r="Z559" s="23" t="str">
        <f aca="false">IF(F559="COMMERCIAL","VERIFY SIGNED AGREEMENT","NO EXCEPTION")</f>
        <v>NO EXCEPTION</v>
      </c>
      <c r="AA559" s="23" t="str">
        <f aca="false">IF(AND(C559="covered",N559&gt;40),"COVERED &gt;40 FT","")</f>
        <v/>
      </c>
      <c r="AB559" s="23" t="s">
        <v>5845</v>
      </c>
      <c r="AC559" s="23" t="s">
        <v>5846</v>
      </c>
      <c r="AD559" s="23" t="s">
        <v>2807</v>
      </c>
    </row>
    <row r="560" customFormat="false" ht="17.9" hidden="false" customHeight="false" outlineLevel="0" collapsed="false">
      <c r="A560" s="20" t="s">
        <v>5847</v>
      </c>
      <c r="B560" s="20" t="s">
        <v>79</v>
      </c>
      <c r="C560" s="20" t="s">
        <v>5162</v>
      </c>
      <c r="D560" s="20" t="s">
        <v>5848</v>
      </c>
      <c r="E560" s="20" t="s">
        <v>5849</v>
      </c>
      <c r="F560" s="20" t="s">
        <v>2898</v>
      </c>
      <c r="G560" s="20" t="s">
        <v>3628</v>
      </c>
      <c r="H560" s="22" t="n">
        <v>30.1</v>
      </c>
      <c r="I560" s="22" t="n">
        <v>30.1</v>
      </c>
      <c r="J560" s="22" t="n">
        <f aca="false">H560-I560</f>
        <v>0</v>
      </c>
      <c r="K560" s="20" t="str">
        <f aca="false">IF(ABS(J560)&lt;0.001,"MATCH - PAPER CHECK-IN NOT SUPPLIED","DATA MISMATCH")</f>
        <v>MATCH - PAPER CHECK-IN NOT SUPPLIED</v>
      </c>
      <c r="L560" s="22" t="n">
        <v>32</v>
      </c>
      <c r="M560" s="22" t="n">
        <f aca="false">ROUNDUP(H560,0)</f>
        <v>31</v>
      </c>
      <c r="N560" s="24" t="n">
        <f aca="false">MAX(L560,M560)</f>
        <v>32</v>
      </c>
      <c r="O560" s="25" t="n">
        <v>10.4</v>
      </c>
      <c r="P560" s="25" t="n">
        <f aca="false">N560*O560</f>
        <v>332.8</v>
      </c>
      <c r="Q560" s="23" t="s">
        <v>5850</v>
      </c>
      <c r="R560" s="23" t="s">
        <v>2804</v>
      </c>
      <c r="S560" s="24" t="n">
        <v>32</v>
      </c>
      <c r="T560" s="25" t="n">
        <v>10.4</v>
      </c>
      <c r="U560" s="25" t="n">
        <v>332.8</v>
      </c>
      <c r="V560" s="25" t="n">
        <f aca="false">P560-U560</f>
        <v>0</v>
      </c>
      <c r="W560" s="25" t="n">
        <f aca="false">V560*12</f>
        <v>0</v>
      </c>
      <c r="X560" s="23" t="str">
        <f aca="false">IF(Q560="","MISSING FROM EXPORT",IF(ABS(V560)&lt;0.005,"CLEAR",IF(V560&gt;0,"UNDERBILLING","OVERBILLING")))</f>
        <v>CLEAR</v>
      </c>
      <c r="Y560" s="25" t="n">
        <f aca="false">IF(F560="COMMERCIAL",ROUND(P560*0.35,2),0)</f>
        <v>0</v>
      </c>
      <c r="Z560" s="23" t="str">
        <f aca="false">IF(F560="COMMERCIAL","VERIFY SIGNED AGREEMENT","NO EXCEPTION")</f>
        <v>NO EXCEPTION</v>
      </c>
      <c r="AA560" s="23" t="str">
        <f aca="false">IF(AND(C560="covered",N560&gt;40),"COVERED &gt;40 FT","")</f>
        <v/>
      </c>
      <c r="AB560" s="23" t="s">
        <v>5851</v>
      </c>
      <c r="AC560" s="23" t="s">
        <v>5852</v>
      </c>
      <c r="AD560" s="23" t="s">
        <v>2807</v>
      </c>
    </row>
    <row r="561" customFormat="false" ht="17.9" hidden="false" customHeight="false" outlineLevel="0" collapsed="false">
      <c r="A561" s="20" t="s">
        <v>5853</v>
      </c>
      <c r="B561" s="20" t="s">
        <v>79</v>
      </c>
      <c r="C561" s="20" t="s">
        <v>5162</v>
      </c>
      <c r="D561" s="20" t="s">
        <v>5854</v>
      </c>
      <c r="E561" s="20" t="s">
        <v>5855</v>
      </c>
      <c r="F561" s="20" t="s">
        <v>2833</v>
      </c>
      <c r="G561" s="20" t="s">
        <v>4838</v>
      </c>
      <c r="H561" s="22" t="n">
        <v>40.5</v>
      </c>
      <c r="I561" s="22" t="n">
        <v>40.5</v>
      </c>
      <c r="J561" s="22" t="n">
        <f aca="false">H561-I561</f>
        <v>0</v>
      </c>
      <c r="K561" s="20" t="str">
        <f aca="false">IF(ABS(J561)&lt;0.001,"MATCH - PAPER CHECK-IN NOT SUPPLIED","DATA MISMATCH")</f>
        <v>MATCH - PAPER CHECK-IN NOT SUPPLIED</v>
      </c>
      <c r="L561" s="22" t="n">
        <v>32</v>
      </c>
      <c r="M561" s="22" t="n">
        <f aca="false">ROUNDUP(H561,0)</f>
        <v>41</v>
      </c>
      <c r="N561" s="24" t="n">
        <f aca="false">MAX(L561,M561)</f>
        <v>41</v>
      </c>
      <c r="O561" s="25" t="n">
        <v>10.4</v>
      </c>
      <c r="P561" s="25" t="n">
        <f aca="false">N561*O561</f>
        <v>426.4</v>
      </c>
      <c r="Q561" s="23" t="s">
        <v>5856</v>
      </c>
      <c r="R561" s="23" t="s">
        <v>2804</v>
      </c>
      <c r="S561" s="24" t="n">
        <v>41</v>
      </c>
      <c r="T561" s="25" t="n">
        <v>10.4</v>
      </c>
      <c r="U561" s="25" t="n">
        <v>426.4</v>
      </c>
      <c r="V561" s="25" t="n">
        <f aca="false">P561-U561</f>
        <v>0</v>
      </c>
      <c r="W561" s="25" t="n">
        <f aca="false">V561*12</f>
        <v>0</v>
      </c>
      <c r="X561" s="23" t="str">
        <f aca="false">IF(Q561="","MISSING FROM EXPORT",IF(ABS(V561)&lt;0.005,"CLEAR",IF(V561&gt;0,"UNDERBILLING","OVERBILLING")))</f>
        <v>CLEAR</v>
      </c>
      <c r="Y561" s="25" t="n">
        <f aca="false">IF(F561="COMMERCIAL",ROUND(P561*0.35,2),0)</f>
        <v>0</v>
      </c>
      <c r="Z561" s="23" t="str">
        <f aca="false">IF(F561="COMMERCIAL","VERIFY SIGNED AGREEMENT","NO EXCEPTION")</f>
        <v>NO EXCEPTION</v>
      </c>
      <c r="AA561" s="23" t="str">
        <f aca="false">IF(AND(C561="covered",N561&gt;40),"COVERED &gt;40 FT","")</f>
        <v>COVERED &gt;40 FT</v>
      </c>
      <c r="AB561" s="23" t="s">
        <v>5857</v>
      </c>
      <c r="AC561" s="23" t="s">
        <v>5858</v>
      </c>
      <c r="AD561" s="23" t="s">
        <v>2807</v>
      </c>
    </row>
    <row r="562" customFormat="false" ht="17.9" hidden="false" customHeight="false" outlineLevel="0" collapsed="false">
      <c r="A562" s="20" t="s">
        <v>5859</v>
      </c>
      <c r="B562" s="20" t="s">
        <v>79</v>
      </c>
      <c r="C562" s="20" t="s">
        <v>5162</v>
      </c>
      <c r="D562" s="20" t="s">
        <v>5860</v>
      </c>
      <c r="E562" s="20" t="s">
        <v>5861</v>
      </c>
      <c r="F562" s="20" t="s">
        <v>2869</v>
      </c>
      <c r="G562" s="20" t="s">
        <v>3635</v>
      </c>
      <c r="H562" s="22" t="n">
        <v>22</v>
      </c>
      <c r="I562" s="22" t="n">
        <v>22</v>
      </c>
      <c r="J562" s="22" t="n">
        <f aca="false">H562-I562</f>
        <v>0</v>
      </c>
      <c r="K562" s="20" t="str">
        <f aca="false">IF(ABS(J562)&lt;0.001,"MATCH - PAPER CHECK-IN NOT SUPPLIED","DATA MISMATCH")</f>
        <v>MATCH - PAPER CHECK-IN NOT SUPPLIED</v>
      </c>
      <c r="L562" s="22" t="n">
        <v>40</v>
      </c>
      <c r="M562" s="22" t="n">
        <f aca="false">ROUNDUP(H562,0)</f>
        <v>22</v>
      </c>
      <c r="N562" s="24" t="n">
        <f aca="false">MAX(L562,M562)</f>
        <v>40</v>
      </c>
      <c r="O562" s="25" t="n">
        <v>10.4</v>
      </c>
      <c r="P562" s="25" t="n">
        <f aca="false">N562*O562</f>
        <v>416</v>
      </c>
      <c r="Q562" s="23" t="s">
        <v>5862</v>
      </c>
      <c r="R562" s="23" t="s">
        <v>2804</v>
      </c>
      <c r="S562" s="24" t="n">
        <v>40</v>
      </c>
      <c r="T562" s="25" t="n">
        <v>10.4</v>
      </c>
      <c r="U562" s="25" t="n">
        <v>416</v>
      </c>
      <c r="V562" s="25" t="n">
        <f aca="false">P562-U562</f>
        <v>0</v>
      </c>
      <c r="W562" s="25" t="n">
        <f aca="false">V562*12</f>
        <v>0</v>
      </c>
      <c r="X562" s="23" t="str">
        <f aca="false">IF(Q562="","MISSING FROM EXPORT",IF(ABS(V562)&lt;0.005,"CLEAR",IF(V562&gt;0,"UNDERBILLING","OVERBILLING")))</f>
        <v>CLEAR</v>
      </c>
      <c r="Y562" s="25" t="n">
        <f aca="false">IF(F562="COMMERCIAL",ROUND(P562*0.35,2),0)</f>
        <v>0</v>
      </c>
      <c r="Z562" s="23" t="str">
        <f aca="false">IF(F562="COMMERCIAL","VERIFY SIGNED AGREEMENT","NO EXCEPTION")</f>
        <v>NO EXCEPTION</v>
      </c>
      <c r="AA562" s="23" t="str">
        <f aca="false">IF(AND(C562="covered",N562&gt;40),"COVERED &gt;40 FT","")</f>
        <v/>
      </c>
      <c r="AB562" s="23" t="s">
        <v>5863</v>
      </c>
      <c r="AC562" s="23" t="s">
        <v>5864</v>
      </c>
      <c r="AD562" s="23" t="s">
        <v>2807</v>
      </c>
    </row>
    <row r="563" customFormat="false" ht="17.9" hidden="false" customHeight="false" outlineLevel="0" collapsed="false">
      <c r="A563" s="20" t="s">
        <v>5865</v>
      </c>
      <c r="B563" s="20" t="s">
        <v>79</v>
      </c>
      <c r="C563" s="20" t="s">
        <v>5162</v>
      </c>
      <c r="D563" s="20" t="s">
        <v>1779</v>
      </c>
      <c r="E563" s="20" t="s">
        <v>1780</v>
      </c>
      <c r="F563" s="20" t="s">
        <v>2833</v>
      </c>
      <c r="G563" s="20" t="s">
        <v>4846</v>
      </c>
      <c r="H563" s="22" t="n">
        <v>39.4</v>
      </c>
      <c r="I563" s="22" t="n">
        <v>39.4</v>
      </c>
      <c r="J563" s="22" t="n">
        <f aca="false">H563-I563</f>
        <v>0</v>
      </c>
      <c r="K563" s="20" t="str">
        <f aca="false">IF(ABS(J563)&lt;0.001,"MATCH - PAPER CHECK-IN NOT SUPPLIED","DATA MISMATCH")</f>
        <v>MATCH - PAPER CHECK-IN NOT SUPPLIED</v>
      </c>
      <c r="L563" s="22" t="n">
        <v>32</v>
      </c>
      <c r="M563" s="22" t="n">
        <f aca="false">ROUNDUP(H563,0)</f>
        <v>40</v>
      </c>
      <c r="N563" s="24" t="n">
        <f aca="false">MAX(L563,M563)</f>
        <v>40</v>
      </c>
      <c r="O563" s="25" t="n">
        <v>10.4</v>
      </c>
      <c r="P563" s="25" t="n">
        <f aca="false">N563*O563</f>
        <v>416</v>
      </c>
      <c r="Q563" s="23" t="s">
        <v>5866</v>
      </c>
      <c r="R563" s="23" t="s">
        <v>2804</v>
      </c>
      <c r="S563" s="24" t="n">
        <v>40</v>
      </c>
      <c r="T563" s="25" t="n">
        <v>10.4</v>
      </c>
      <c r="U563" s="25" t="n">
        <v>416</v>
      </c>
      <c r="V563" s="25" t="n">
        <f aca="false">P563-U563</f>
        <v>0</v>
      </c>
      <c r="W563" s="25" t="n">
        <f aca="false">V563*12</f>
        <v>0</v>
      </c>
      <c r="X563" s="23" t="str">
        <f aca="false">IF(Q563="","MISSING FROM EXPORT",IF(ABS(V563)&lt;0.005,"CLEAR",IF(V563&gt;0,"UNDERBILLING","OVERBILLING")))</f>
        <v>CLEAR</v>
      </c>
      <c r="Y563" s="25" t="n">
        <f aca="false">IF(F563="COMMERCIAL",ROUND(P563*0.35,2),0)</f>
        <v>0</v>
      </c>
      <c r="Z563" s="23" t="str">
        <f aca="false">IF(F563="COMMERCIAL","VERIFY SIGNED AGREEMENT","NO EXCEPTION")</f>
        <v>NO EXCEPTION</v>
      </c>
      <c r="AA563" s="23" t="str">
        <f aca="false">IF(AND(C563="covered",N563&gt;40),"COVERED &gt;40 FT","")</f>
        <v/>
      </c>
      <c r="AB563" s="23" t="s">
        <v>5867</v>
      </c>
      <c r="AC563" s="23" t="s">
        <v>5868</v>
      </c>
      <c r="AD563" s="23" t="s">
        <v>2807</v>
      </c>
    </row>
    <row r="564" customFormat="false" ht="17.9" hidden="false" customHeight="false" outlineLevel="0" collapsed="false">
      <c r="A564" s="20" t="s">
        <v>5869</v>
      </c>
      <c r="B564" s="20" t="s">
        <v>79</v>
      </c>
      <c r="C564" s="20" t="s">
        <v>5162</v>
      </c>
      <c r="D564" s="20" t="s">
        <v>5870</v>
      </c>
      <c r="E564" s="20" t="s">
        <v>5871</v>
      </c>
      <c r="F564" s="20" t="s">
        <v>2833</v>
      </c>
      <c r="G564" s="20" t="s">
        <v>3642</v>
      </c>
      <c r="H564" s="22" t="n">
        <v>53.9</v>
      </c>
      <c r="I564" s="22" t="n">
        <v>53.9</v>
      </c>
      <c r="J564" s="22" t="n">
        <f aca="false">H564-I564</f>
        <v>0</v>
      </c>
      <c r="K564" s="20" t="str">
        <f aca="false">IF(ABS(J564)&lt;0.001,"MATCH - PAPER CHECK-IN NOT SUPPLIED","DATA MISMATCH")</f>
        <v>MATCH - PAPER CHECK-IN NOT SUPPLIED</v>
      </c>
      <c r="L564" s="22" t="n">
        <v>32</v>
      </c>
      <c r="M564" s="22" t="n">
        <f aca="false">ROUNDUP(H564,0)</f>
        <v>54</v>
      </c>
      <c r="N564" s="24" t="n">
        <f aca="false">MAX(L564,M564)</f>
        <v>54</v>
      </c>
      <c r="O564" s="25" t="n">
        <v>10.4</v>
      </c>
      <c r="P564" s="25" t="n">
        <f aca="false">N564*O564</f>
        <v>561.6</v>
      </c>
      <c r="Q564" s="23" t="s">
        <v>5872</v>
      </c>
      <c r="R564" s="23" t="s">
        <v>2804</v>
      </c>
      <c r="S564" s="24" t="n">
        <v>54</v>
      </c>
      <c r="T564" s="25" t="n">
        <v>10.4</v>
      </c>
      <c r="U564" s="25" t="n">
        <v>561.6</v>
      </c>
      <c r="V564" s="25" t="n">
        <f aca="false">P564-U564</f>
        <v>0</v>
      </c>
      <c r="W564" s="25" t="n">
        <f aca="false">V564*12</f>
        <v>0</v>
      </c>
      <c r="X564" s="23" t="str">
        <f aca="false">IF(Q564="","MISSING FROM EXPORT",IF(ABS(V564)&lt;0.005,"CLEAR",IF(V564&gt;0,"UNDERBILLING","OVERBILLING")))</f>
        <v>CLEAR</v>
      </c>
      <c r="Y564" s="25" t="n">
        <f aca="false">IF(F564="COMMERCIAL",ROUND(P564*0.35,2),0)</f>
        <v>0</v>
      </c>
      <c r="Z564" s="23" t="str">
        <f aca="false">IF(F564="COMMERCIAL","VERIFY SIGNED AGREEMENT","NO EXCEPTION")</f>
        <v>NO EXCEPTION</v>
      </c>
      <c r="AA564" s="23" t="str">
        <f aca="false">IF(AND(C564="covered",N564&gt;40),"COVERED &gt;40 FT","")</f>
        <v>COVERED &gt;40 FT</v>
      </c>
      <c r="AB564" s="23" t="s">
        <v>5873</v>
      </c>
      <c r="AC564" s="23" t="s">
        <v>5874</v>
      </c>
      <c r="AD564" s="23" t="s">
        <v>2807</v>
      </c>
    </row>
    <row r="565" customFormat="false" ht="17.9" hidden="false" customHeight="false" outlineLevel="0" collapsed="false">
      <c r="A565" s="20" t="s">
        <v>5875</v>
      </c>
      <c r="B565" s="20" t="s">
        <v>79</v>
      </c>
      <c r="C565" s="20" t="s">
        <v>5162</v>
      </c>
      <c r="D565" s="20" t="s">
        <v>5876</v>
      </c>
      <c r="E565" s="20" t="s">
        <v>5877</v>
      </c>
      <c r="F565" s="20" t="s">
        <v>2934</v>
      </c>
      <c r="G565" s="20" t="s">
        <v>3648</v>
      </c>
      <c r="H565" s="22" t="n">
        <v>49.8</v>
      </c>
      <c r="I565" s="22" t="n">
        <v>49.8</v>
      </c>
      <c r="J565" s="22" t="n">
        <f aca="false">H565-I565</f>
        <v>0</v>
      </c>
      <c r="K565" s="20" t="str">
        <f aca="false">IF(ABS(J565)&lt;0.001,"MATCH - PAPER CHECK-IN NOT SUPPLIED","DATA MISMATCH")</f>
        <v>MATCH - PAPER CHECK-IN NOT SUPPLIED</v>
      </c>
      <c r="L565" s="22" t="n">
        <v>40</v>
      </c>
      <c r="M565" s="22" t="n">
        <f aca="false">ROUNDUP(H565,0)</f>
        <v>50</v>
      </c>
      <c r="N565" s="24" t="n">
        <f aca="false">MAX(L565,M565)</f>
        <v>50</v>
      </c>
      <c r="O565" s="25" t="n">
        <v>10.4</v>
      </c>
      <c r="P565" s="25" t="n">
        <f aca="false">N565*O565</f>
        <v>520</v>
      </c>
      <c r="Q565" s="23" t="s">
        <v>5878</v>
      </c>
      <c r="R565" s="23" t="s">
        <v>2804</v>
      </c>
      <c r="S565" s="24" t="n">
        <v>50</v>
      </c>
      <c r="T565" s="25" t="n">
        <v>10.4</v>
      </c>
      <c r="U565" s="25" t="n">
        <v>520</v>
      </c>
      <c r="V565" s="25" t="n">
        <f aca="false">P565-U565</f>
        <v>0</v>
      </c>
      <c r="W565" s="25" t="n">
        <f aca="false">V565*12</f>
        <v>0</v>
      </c>
      <c r="X565" s="23" t="str">
        <f aca="false">IF(Q565="","MISSING FROM EXPORT",IF(ABS(V565)&lt;0.005,"CLEAR",IF(V565&gt;0,"UNDERBILLING","OVERBILLING")))</f>
        <v>CLEAR</v>
      </c>
      <c r="Y565" s="25" t="n">
        <f aca="false">IF(F565="COMMERCIAL",ROUND(P565*0.35,2),0)</f>
        <v>182</v>
      </c>
      <c r="Z565" s="23" t="str">
        <f aca="false">IF(F565="COMMERCIAL","VERIFY SIGNED AGREEMENT","NO EXCEPTION")</f>
        <v>VERIFY SIGNED AGREEMENT</v>
      </c>
      <c r="AA565" s="23" t="str">
        <f aca="false">IF(AND(C565="covered",N565&gt;40),"COVERED &gt;40 FT","")</f>
        <v>COVERED &gt;40 FT</v>
      </c>
      <c r="AB565" s="23" t="s">
        <v>5879</v>
      </c>
      <c r="AC565" s="23" t="s">
        <v>5880</v>
      </c>
      <c r="AD565" s="23" t="s">
        <v>2807</v>
      </c>
    </row>
    <row r="566" customFormat="false" ht="17.9" hidden="false" customHeight="false" outlineLevel="0" collapsed="false">
      <c r="A566" s="20" t="s">
        <v>5881</v>
      </c>
      <c r="B566" s="20" t="s">
        <v>79</v>
      </c>
      <c r="C566" s="20" t="s">
        <v>5162</v>
      </c>
      <c r="D566" s="20" t="s">
        <v>5882</v>
      </c>
      <c r="E566" s="20" t="s">
        <v>5883</v>
      </c>
      <c r="F566" s="20" t="s">
        <v>2810</v>
      </c>
      <c r="G566" s="20" t="s">
        <v>5884</v>
      </c>
      <c r="H566" s="22" t="n">
        <v>43.4</v>
      </c>
      <c r="I566" s="22" t="n">
        <v>43.4</v>
      </c>
      <c r="J566" s="22" t="n">
        <f aca="false">H566-I566</f>
        <v>0</v>
      </c>
      <c r="K566" s="20" t="str">
        <f aca="false">IF(ABS(J566)&lt;0.001,"MATCH - PAPER CHECK-IN NOT SUPPLIED","DATA MISMATCH")</f>
        <v>MATCH - PAPER CHECK-IN NOT SUPPLIED</v>
      </c>
      <c r="L566" s="22" t="n">
        <v>24</v>
      </c>
      <c r="M566" s="22" t="n">
        <f aca="false">ROUNDUP(H566,0)</f>
        <v>44</v>
      </c>
      <c r="N566" s="24" t="n">
        <f aca="false">MAX(L566,M566)</f>
        <v>44</v>
      </c>
      <c r="O566" s="25" t="n">
        <v>10.4</v>
      </c>
      <c r="P566" s="25" t="n">
        <f aca="false">N566*O566</f>
        <v>457.6</v>
      </c>
      <c r="Q566" s="23" t="s">
        <v>5885</v>
      </c>
      <c r="R566" s="23" t="s">
        <v>2804</v>
      </c>
      <c r="S566" s="24" t="n">
        <v>44</v>
      </c>
      <c r="T566" s="25" t="n">
        <v>10.4</v>
      </c>
      <c r="U566" s="25" t="n">
        <v>457.6</v>
      </c>
      <c r="V566" s="25" t="n">
        <f aca="false">P566-U566</f>
        <v>0</v>
      </c>
      <c r="W566" s="25" t="n">
        <f aca="false">V566*12</f>
        <v>0</v>
      </c>
      <c r="X566" s="23" t="str">
        <f aca="false">IF(Q566="","MISSING FROM EXPORT",IF(ABS(V566)&lt;0.005,"CLEAR",IF(V566&gt;0,"UNDERBILLING","OVERBILLING")))</f>
        <v>CLEAR</v>
      </c>
      <c r="Y566" s="25" t="n">
        <f aca="false">IF(F566="COMMERCIAL",ROUND(P566*0.35,2),0)</f>
        <v>0</v>
      </c>
      <c r="Z566" s="23" t="str">
        <f aca="false">IF(F566="COMMERCIAL","VERIFY SIGNED AGREEMENT","NO EXCEPTION")</f>
        <v>NO EXCEPTION</v>
      </c>
      <c r="AA566" s="23" t="str">
        <f aca="false">IF(AND(C566="covered",N566&gt;40),"COVERED &gt;40 FT","")</f>
        <v>COVERED &gt;40 FT</v>
      </c>
      <c r="AB566" s="23" t="s">
        <v>5886</v>
      </c>
      <c r="AC566" s="23" t="s">
        <v>5887</v>
      </c>
      <c r="AD566" s="23" t="s">
        <v>2807</v>
      </c>
    </row>
    <row r="567" customFormat="false" ht="17.9" hidden="false" customHeight="false" outlineLevel="0" collapsed="false">
      <c r="A567" s="20" t="s">
        <v>5888</v>
      </c>
      <c r="B567" s="20" t="s">
        <v>79</v>
      </c>
      <c r="C567" s="20" t="s">
        <v>5162</v>
      </c>
      <c r="D567" s="20" t="s">
        <v>5889</v>
      </c>
      <c r="E567" s="20" t="s">
        <v>5890</v>
      </c>
      <c r="F567" s="20" t="s">
        <v>2801</v>
      </c>
      <c r="G567" s="20" t="s">
        <v>3655</v>
      </c>
      <c r="H567" s="22" t="n">
        <v>51.4</v>
      </c>
      <c r="I567" s="22" t="n">
        <v>51.4</v>
      </c>
      <c r="J567" s="22" t="n">
        <f aca="false">H567-I567</f>
        <v>0</v>
      </c>
      <c r="K567" s="20" t="str">
        <f aca="false">IF(ABS(J567)&lt;0.001,"MATCH - PAPER CHECK-IN NOT SUPPLIED","DATA MISMATCH")</f>
        <v>MATCH - PAPER CHECK-IN NOT SUPPLIED</v>
      </c>
      <c r="L567" s="22" t="n">
        <v>32</v>
      </c>
      <c r="M567" s="22" t="n">
        <f aca="false">ROUNDUP(H567,0)</f>
        <v>52</v>
      </c>
      <c r="N567" s="24" t="n">
        <f aca="false">MAX(L567,M567)</f>
        <v>52</v>
      </c>
      <c r="O567" s="25" t="n">
        <v>10.4</v>
      </c>
      <c r="P567" s="25" t="n">
        <f aca="false">N567*O567</f>
        <v>540.8</v>
      </c>
      <c r="Q567" s="23" t="s">
        <v>5891</v>
      </c>
      <c r="R567" s="23" t="s">
        <v>2804</v>
      </c>
      <c r="S567" s="24" t="n">
        <v>52</v>
      </c>
      <c r="T567" s="25" t="n">
        <v>10.4</v>
      </c>
      <c r="U567" s="25" t="n">
        <v>540.8</v>
      </c>
      <c r="V567" s="25" t="n">
        <f aca="false">P567-U567</f>
        <v>0</v>
      </c>
      <c r="W567" s="25" t="n">
        <f aca="false">V567*12</f>
        <v>0</v>
      </c>
      <c r="X567" s="23" t="str">
        <f aca="false">IF(Q567="","MISSING FROM EXPORT",IF(ABS(V567)&lt;0.005,"CLEAR",IF(V567&gt;0,"UNDERBILLING","OVERBILLING")))</f>
        <v>CLEAR</v>
      </c>
      <c r="Y567" s="25" t="n">
        <f aca="false">IF(F567="COMMERCIAL",ROUND(P567*0.35,2),0)</f>
        <v>0</v>
      </c>
      <c r="Z567" s="23" t="str">
        <f aca="false">IF(F567="COMMERCIAL","VERIFY SIGNED AGREEMENT","NO EXCEPTION")</f>
        <v>NO EXCEPTION</v>
      </c>
      <c r="AA567" s="23" t="str">
        <f aca="false">IF(AND(C567="covered",N567&gt;40),"COVERED &gt;40 FT","")</f>
        <v>COVERED &gt;40 FT</v>
      </c>
      <c r="AB567" s="23" t="s">
        <v>5892</v>
      </c>
      <c r="AC567" s="23" t="s">
        <v>5893</v>
      </c>
      <c r="AD567" s="23" t="s">
        <v>2807</v>
      </c>
    </row>
    <row r="568" customFormat="false" ht="17.9" hidden="false" customHeight="false" outlineLevel="0" collapsed="false">
      <c r="A568" s="20" t="s">
        <v>5894</v>
      </c>
      <c r="B568" s="20" t="s">
        <v>79</v>
      </c>
      <c r="C568" s="20" t="s">
        <v>5162</v>
      </c>
      <c r="D568" s="20" t="s">
        <v>5895</v>
      </c>
      <c r="E568" s="20" t="s">
        <v>5896</v>
      </c>
      <c r="F568" s="20" t="s">
        <v>2833</v>
      </c>
      <c r="G568" s="20" t="s">
        <v>3662</v>
      </c>
      <c r="H568" s="22" t="n">
        <v>58.9</v>
      </c>
      <c r="I568" s="22" t="n">
        <v>58.9</v>
      </c>
      <c r="J568" s="22" t="n">
        <f aca="false">H568-I568</f>
        <v>0</v>
      </c>
      <c r="K568" s="20" t="str">
        <f aca="false">IF(ABS(J568)&lt;0.001,"MATCH - PAPER CHECK-IN NOT SUPPLIED","DATA MISMATCH")</f>
        <v>MATCH - PAPER CHECK-IN NOT SUPPLIED</v>
      </c>
      <c r="L568" s="22" t="n">
        <v>40</v>
      </c>
      <c r="M568" s="22" t="n">
        <f aca="false">ROUNDUP(H568,0)</f>
        <v>59</v>
      </c>
      <c r="N568" s="24" t="n">
        <f aca="false">MAX(L568,M568)</f>
        <v>59</v>
      </c>
      <c r="O568" s="25" t="n">
        <v>10.4</v>
      </c>
      <c r="P568" s="25" t="n">
        <f aca="false">N568*O568</f>
        <v>613.6</v>
      </c>
      <c r="Q568" s="23" t="s">
        <v>5897</v>
      </c>
      <c r="R568" s="23" t="s">
        <v>2804</v>
      </c>
      <c r="S568" s="24" t="n">
        <v>59</v>
      </c>
      <c r="T568" s="25" t="n">
        <v>10.4</v>
      </c>
      <c r="U568" s="25" t="n">
        <v>613.6</v>
      </c>
      <c r="V568" s="25" t="n">
        <f aca="false">P568-U568</f>
        <v>0</v>
      </c>
      <c r="W568" s="25" t="n">
        <f aca="false">V568*12</f>
        <v>0</v>
      </c>
      <c r="X568" s="23" t="str">
        <f aca="false">IF(Q568="","MISSING FROM EXPORT",IF(ABS(V568)&lt;0.005,"CLEAR",IF(V568&gt;0,"UNDERBILLING","OVERBILLING")))</f>
        <v>CLEAR</v>
      </c>
      <c r="Y568" s="25" t="n">
        <f aca="false">IF(F568="COMMERCIAL",ROUND(P568*0.35,2),0)</f>
        <v>0</v>
      </c>
      <c r="Z568" s="23" t="str">
        <f aca="false">IF(F568="COMMERCIAL","VERIFY SIGNED AGREEMENT","NO EXCEPTION")</f>
        <v>NO EXCEPTION</v>
      </c>
      <c r="AA568" s="23" t="str">
        <f aca="false">IF(AND(C568="covered",N568&gt;40),"COVERED &gt;40 FT","")</f>
        <v>COVERED &gt;40 FT</v>
      </c>
      <c r="AB568" s="23" t="s">
        <v>5898</v>
      </c>
      <c r="AC568" s="23" t="s">
        <v>5899</v>
      </c>
      <c r="AD568" s="23" t="s">
        <v>2807</v>
      </c>
    </row>
    <row r="569" customFormat="false" ht="17.9" hidden="false" customHeight="false" outlineLevel="0" collapsed="false">
      <c r="A569" s="20" t="s">
        <v>5900</v>
      </c>
      <c r="B569" s="20" t="s">
        <v>79</v>
      </c>
      <c r="C569" s="20" t="s">
        <v>5162</v>
      </c>
      <c r="D569" s="20" t="s">
        <v>5901</v>
      </c>
      <c r="E569" s="20" t="s">
        <v>5902</v>
      </c>
      <c r="F569" s="20" t="s">
        <v>2898</v>
      </c>
      <c r="G569" s="20" t="s">
        <v>3669</v>
      </c>
      <c r="H569" s="22" t="n">
        <v>52.4</v>
      </c>
      <c r="I569" s="22" t="n">
        <v>52.4</v>
      </c>
      <c r="J569" s="22" t="n">
        <f aca="false">H569-I569</f>
        <v>0</v>
      </c>
      <c r="K569" s="20" t="str">
        <f aca="false">IF(ABS(J569)&lt;0.001,"MATCH - PAPER CHECK-IN NOT SUPPLIED","DATA MISMATCH")</f>
        <v>MATCH - PAPER CHECK-IN NOT SUPPLIED</v>
      </c>
      <c r="L569" s="22" t="n">
        <v>28</v>
      </c>
      <c r="M569" s="22" t="n">
        <f aca="false">ROUNDUP(H569,0)</f>
        <v>53</v>
      </c>
      <c r="N569" s="24" t="n">
        <f aca="false">MAX(L569,M569)</f>
        <v>53</v>
      </c>
      <c r="O569" s="25" t="n">
        <v>10.4</v>
      </c>
      <c r="P569" s="25" t="n">
        <f aca="false">N569*O569</f>
        <v>551.2</v>
      </c>
      <c r="Q569" s="23" t="s">
        <v>5903</v>
      </c>
      <c r="R569" s="23" t="s">
        <v>2804</v>
      </c>
      <c r="S569" s="24" t="n">
        <v>53</v>
      </c>
      <c r="T569" s="25" t="n">
        <v>10.4</v>
      </c>
      <c r="U569" s="25" t="n">
        <v>551.2</v>
      </c>
      <c r="V569" s="25" t="n">
        <f aca="false">P569-U569</f>
        <v>0</v>
      </c>
      <c r="W569" s="25" t="n">
        <f aca="false">V569*12</f>
        <v>0</v>
      </c>
      <c r="X569" s="23" t="str">
        <f aca="false">IF(Q569="","MISSING FROM EXPORT",IF(ABS(V569)&lt;0.005,"CLEAR",IF(V569&gt;0,"UNDERBILLING","OVERBILLING")))</f>
        <v>CLEAR</v>
      </c>
      <c r="Y569" s="25" t="n">
        <f aca="false">IF(F569="COMMERCIAL",ROUND(P569*0.35,2),0)</f>
        <v>0</v>
      </c>
      <c r="Z569" s="23" t="str">
        <f aca="false">IF(F569="COMMERCIAL","VERIFY SIGNED AGREEMENT","NO EXCEPTION")</f>
        <v>NO EXCEPTION</v>
      </c>
      <c r="AA569" s="23" t="str">
        <f aca="false">IF(AND(C569="covered",N569&gt;40),"COVERED &gt;40 FT","")</f>
        <v>COVERED &gt;40 FT</v>
      </c>
      <c r="AB569" s="23" t="s">
        <v>5904</v>
      </c>
      <c r="AC569" s="23" t="s">
        <v>5905</v>
      </c>
      <c r="AD569" s="23" t="s">
        <v>2807</v>
      </c>
    </row>
    <row r="570" customFormat="false" ht="17.9" hidden="false" customHeight="false" outlineLevel="0" collapsed="false">
      <c r="A570" s="20" t="s">
        <v>1530</v>
      </c>
      <c r="B570" s="20" t="s">
        <v>79</v>
      </c>
      <c r="C570" s="20" t="s">
        <v>5162</v>
      </c>
      <c r="D570" s="20" t="s">
        <v>2335</v>
      </c>
      <c r="E570" s="20" t="s">
        <v>2336</v>
      </c>
      <c r="F570" s="20" t="s">
        <v>2857</v>
      </c>
      <c r="G570" s="20" t="s">
        <v>3676</v>
      </c>
      <c r="H570" s="22" t="n">
        <v>43.6</v>
      </c>
      <c r="I570" s="22" t="n">
        <v>43.6</v>
      </c>
      <c r="J570" s="22" t="n">
        <f aca="false">H570-I570</f>
        <v>0</v>
      </c>
      <c r="K570" s="20" t="str">
        <f aca="false">IF(ABS(J570)&lt;0.001,"MATCH - PAPER CHECK-IN NOT SUPPLIED","DATA MISMATCH")</f>
        <v>MATCH - PAPER CHECK-IN NOT SUPPLIED</v>
      </c>
      <c r="L570" s="22" t="n">
        <v>24</v>
      </c>
      <c r="M570" s="22" t="n">
        <f aca="false">ROUNDUP(H570,0)</f>
        <v>44</v>
      </c>
      <c r="N570" s="24" t="n">
        <f aca="false">MAX(L570,M570)</f>
        <v>44</v>
      </c>
      <c r="O570" s="25" t="n">
        <v>10.4</v>
      </c>
      <c r="P570" s="25" t="n">
        <f aca="false">N570*O570</f>
        <v>457.6</v>
      </c>
      <c r="Q570" s="23" t="s">
        <v>5906</v>
      </c>
      <c r="R570" s="23" t="s">
        <v>2804</v>
      </c>
      <c r="S570" s="24" t="n">
        <v>44</v>
      </c>
      <c r="T570" s="25" t="n">
        <v>10.4</v>
      </c>
      <c r="U570" s="25" t="n">
        <v>457.6</v>
      </c>
      <c r="V570" s="25" t="n">
        <f aca="false">P570-U570</f>
        <v>0</v>
      </c>
      <c r="W570" s="25" t="n">
        <f aca="false">V570*12</f>
        <v>0</v>
      </c>
      <c r="X570" s="23" t="str">
        <f aca="false">IF(Q570="","MISSING FROM EXPORT",IF(ABS(V570)&lt;0.005,"CLEAR",IF(V570&gt;0,"UNDERBILLING","OVERBILLING")))</f>
        <v>CLEAR</v>
      </c>
      <c r="Y570" s="25" t="n">
        <f aca="false">IF(F570="COMMERCIAL",ROUND(P570*0.35,2),0)</f>
        <v>0</v>
      </c>
      <c r="Z570" s="23" t="str">
        <f aca="false">IF(F570="COMMERCIAL","VERIFY SIGNED AGREEMENT","NO EXCEPTION")</f>
        <v>NO EXCEPTION</v>
      </c>
      <c r="AA570" s="23" t="str">
        <f aca="false">IF(AND(C570="covered",N570&gt;40),"COVERED &gt;40 FT","")</f>
        <v>COVERED &gt;40 FT</v>
      </c>
      <c r="AB570" s="23" t="s">
        <v>5907</v>
      </c>
      <c r="AC570" s="23" t="s">
        <v>5908</v>
      </c>
      <c r="AD570" s="23" t="s">
        <v>2807</v>
      </c>
    </row>
    <row r="571" customFormat="false" ht="17.9" hidden="false" customHeight="false" outlineLevel="0" collapsed="false">
      <c r="A571" s="20" t="s">
        <v>586</v>
      </c>
      <c r="B571" s="20" t="s">
        <v>79</v>
      </c>
      <c r="C571" s="20" t="s">
        <v>5162</v>
      </c>
      <c r="D571" s="20" t="s">
        <v>5909</v>
      </c>
      <c r="E571" s="20" t="s">
        <v>5910</v>
      </c>
      <c r="F571" s="20" t="s">
        <v>2857</v>
      </c>
      <c r="G571" s="20" t="s">
        <v>3683</v>
      </c>
      <c r="H571" s="22" t="n">
        <v>43.6</v>
      </c>
      <c r="I571" s="22" t="n">
        <v>43.6</v>
      </c>
      <c r="J571" s="22" t="n">
        <f aca="false">H571-I571</f>
        <v>0</v>
      </c>
      <c r="K571" s="20" t="str">
        <f aca="false">IF(ABS(J571)&lt;0.001,"MATCH - PAPER CHECK-IN NOT SUPPLIED","DATA MISMATCH")</f>
        <v>MATCH - PAPER CHECK-IN NOT SUPPLIED</v>
      </c>
      <c r="L571" s="22" t="n">
        <v>28</v>
      </c>
      <c r="M571" s="22" t="n">
        <f aca="false">ROUNDUP(H571,0)</f>
        <v>44</v>
      </c>
      <c r="N571" s="24" t="n">
        <f aca="false">MAX(L571,M571)</f>
        <v>44</v>
      </c>
      <c r="O571" s="25" t="n">
        <v>10.4</v>
      </c>
      <c r="P571" s="25" t="n">
        <f aca="false">N571*O571</f>
        <v>457.6</v>
      </c>
      <c r="Q571" s="23" t="s">
        <v>5911</v>
      </c>
      <c r="R571" s="23" t="s">
        <v>2804</v>
      </c>
      <c r="S571" s="24" t="n">
        <v>44</v>
      </c>
      <c r="T571" s="25" t="n">
        <v>10.4</v>
      </c>
      <c r="U571" s="25" t="n">
        <v>457.6</v>
      </c>
      <c r="V571" s="25" t="n">
        <f aca="false">P571-U571</f>
        <v>0</v>
      </c>
      <c r="W571" s="25" t="n">
        <f aca="false">V571*12</f>
        <v>0</v>
      </c>
      <c r="X571" s="23" t="str">
        <f aca="false">IF(Q571="","MISSING FROM EXPORT",IF(ABS(V571)&lt;0.005,"CLEAR",IF(V571&gt;0,"UNDERBILLING","OVERBILLING")))</f>
        <v>CLEAR</v>
      </c>
      <c r="Y571" s="25" t="n">
        <f aca="false">IF(F571="COMMERCIAL",ROUND(P571*0.35,2),0)</f>
        <v>0</v>
      </c>
      <c r="Z571" s="23" t="str">
        <f aca="false">IF(F571="COMMERCIAL","VERIFY SIGNED AGREEMENT","NO EXCEPTION")</f>
        <v>NO EXCEPTION</v>
      </c>
      <c r="AA571" s="23" t="str">
        <f aca="false">IF(AND(C571="covered",N571&gt;40),"COVERED &gt;40 FT","")</f>
        <v>COVERED &gt;40 FT</v>
      </c>
      <c r="AB571" s="23" t="s">
        <v>5912</v>
      </c>
      <c r="AC571" s="23" t="s">
        <v>5913</v>
      </c>
      <c r="AD571" s="23" t="s">
        <v>2807</v>
      </c>
    </row>
    <row r="572" customFormat="false" ht="17.9" hidden="false" customHeight="false" outlineLevel="0" collapsed="false">
      <c r="A572" s="20" t="s">
        <v>5914</v>
      </c>
      <c r="B572" s="20" t="s">
        <v>79</v>
      </c>
      <c r="C572" s="20" t="s">
        <v>5162</v>
      </c>
      <c r="D572" s="20" t="s">
        <v>5915</v>
      </c>
      <c r="E572" s="20" t="s">
        <v>5916</v>
      </c>
      <c r="F572" s="20" t="s">
        <v>2898</v>
      </c>
      <c r="G572" s="20" t="s">
        <v>4872</v>
      </c>
      <c r="H572" s="22" t="n">
        <v>45.6</v>
      </c>
      <c r="I572" s="22" t="n">
        <v>45.6</v>
      </c>
      <c r="J572" s="22" t="n">
        <f aca="false">H572-I572</f>
        <v>0</v>
      </c>
      <c r="K572" s="20" t="str">
        <f aca="false">IF(ABS(J572)&lt;0.001,"MATCH - PAPER CHECK-IN NOT SUPPLIED","DATA MISMATCH")</f>
        <v>MATCH - PAPER CHECK-IN NOT SUPPLIED</v>
      </c>
      <c r="L572" s="22" t="n">
        <v>28</v>
      </c>
      <c r="M572" s="22" t="n">
        <f aca="false">ROUNDUP(H572,0)</f>
        <v>46</v>
      </c>
      <c r="N572" s="24" t="n">
        <f aca="false">MAX(L572,M572)</f>
        <v>46</v>
      </c>
      <c r="O572" s="25" t="n">
        <v>10.4</v>
      </c>
      <c r="P572" s="25" t="n">
        <f aca="false">N572*O572</f>
        <v>478.4</v>
      </c>
      <c r="Q572" s="23" t="s">
        <v>5917</v>
      </c>
      <c r="R572" s="23" t="s">
        <v>2804</v>
      </c>
      <c r="S572" s="24" t="n">
        <v>46</v>
      </c>
      <c r="T572" s="25" t="n">
        <v>10.4</v>
      </c>
      <c r="U572" s="25" t="n">
        <v>478.4</v>
      </c>
      <c r="V572" s="25" t="n">
        <f aca="false">P572-U572</f>
        <v>0</v>
      </c>
      <c r="W572" s="25" t="n">
        <f aca="false">V572*12</f>
        <v>0</v>
      </c>
      <c r="X572" s="23" t="str">
        <f aca="false">IF(Q572="","MISSING FROM EXPORT",IF(ABS(V572)&lt;0.005,"CLEAR",IF(V572&gt;0,"UNDERBILLING","OVERBILLING")))</f>
        <v>CLEAR</v>
      </c>
      <c r="Y572" s="25" t="n">
        <f aca="false">IF(F572="COMMERCIAL",ROUND(P572*0.35,2),0)</f>
        <v>0</v>
      </c>
      <c r="Z572" s="23" t="str">
        <f aca="false">IF(F572="COMMERCIAL","VERIFY SIGNED AGREEMENT","NO EXCEPTION")</f>
        <v>NO EXCEPTION</v>
      </c>
      <c r="AA572" s="23" t="str">
        <f aca="false">IF(AND(C572="covered",N572&gt;40),"COVERED &gt;40 FT","")</f>
        <v>COVERED &gt;40 FT</v>
      </c>
      <c r="AB572" s="23" t="s">
        <v>5918</v>
      </c>
      <c r="AC572" s="23" t="s">
        <v>5919</v>
      </c>
      <c r="AD572" s="23" t="s">
        <v>2807</v>
      </c>
    </row>
    <row r="573" customFormat="false" ht="17.9" hidden="false" customHeight="false" outlineLevel="0" collapsed="false">
      <c r="A573" s="20" t="s">
        <v>5920</v>
      </c>
      <c r="B573" s="20" t="s">
        <v>79</v>
      </c>
      <c r="C573" s="20" t="s">
        <v>5162</v>
      </c>
      <c r="D573" s="20" t="s">
        <v>5921</v>
      </c>
      <c r="E573" s="20" t="s">
        <v>5922</v>
      </c>
      <c r="F573" s="20" t="s">
        <v>2810</v>
      </c>
      <c r="G573" s="20" t="s">
        <v>3689</v>
      </c>
      <c r="H573" s="22" t="n">
        <v>43.3</v>
      </c>
      <c r="I573" s="22" t="n">
        <v>43.3</v>
      </c>
      <c r="J573" s="22" t="n">
        <f aca="false">H573-I573</f>
        <v>0</v>
      </c>
      <c r="K573" s="20" t="str">
        <f aca="false">IF(ABS(J573)&lt;0.001,"MATCH - PAPER CHECK-IN NOT SUPPLIED","DATA MISMATCH")</f>
        <v>MATCH - PAPER CHECK-IN NOT SUPPLIED</v>
      </c>
      <c r="L573" s="22" t="n">
        <v>32</v>
      </c>
      <c r="M573" s="22" t="n">
        <f aca="false">ROUNDUP(H573,0)</f>
        <v>44</v>
      </c>
      <c r="N573" s="24" t="n">
        <f aca="false">MAX(L573,M573)</f>
        <v>44</v>
      </c>
      <c r="O573" s="25" t="n">
        <v>10.4</v>
      </c>
      <c r="P573" s="25" t="n">
        <f aca="false">N573*O573</f>
        <v>457.6</v>
      </c>
      <c r="Q573" s="23" t="s">
        <v>5923</v>
      </c>
      <c r="R573" s="23" t="s">
        <v>2804</v>
      </c>
      <c r="S573" s="24" t="n">
        <v>44</v>
      </c>
      <c r="T573" s="25" t="n">
        <v>10.4</v>
      </c>
      <c r="U573" s="25" t="n">
        <v>457.6</v>
      </c>
      <c r="V573" s="25" t="n">
        <f aca="false">P573-U573</f>
        <v>0</v>
      </c>
      <c r="W573" s="25" t="n">
        <f aca="false">V573*12</f>
        <v>0</v>
      </c>
      <c r="X573" s="23" t="str">
        <f aca="false">IF(Q573="","MISSING FROM EXPORT",IF(ABS(V573)&lt;0.005,"CLEAR",IF(V573&gt;0,"UNDERBILLING","OVERBILLING")))</f>
        <v>CLEAR</v>
      </c>
      <c r="Y573" s="25" t="n">
        <f aca="false">IF(F573="COMMERCIAL",ROUND(P573*0.35,2),0)</f>
        <v>0</v>
      </c>
      <c r="Z573" s="23" t="str">
        <f aca="false">IF(F573="COMMERCIAL","VERIFY SIGNED AGREEMENT","NO EXCEPTION")</f>
        <v>NO EXCEPTION</v>
      </c>
      <c r="AA573" s="23" t="str">
        <f aca="false">IF(AND(C573="covered",N573&gt;40),"COVERED &gt;40 FT","")</f>
        <v>COVERED &gt;40 FT</v>
      </c>
      <c r="AB573" s="23" t="s">
        <v>5924</v>
      </c>
      <c r="AC573" s="23" t="s">
        <v>5925</v>
      </c>
      <c r="AD573" s="23" t="s">
        <v>2807</v>
      </c>
    </row>
    <row r="574" customFormat="false" ht="17.9" hidden="false" customHeight="false" outlineLevel="0" collapsed="false">
      <c r="A574" s="20" t="s">
        <v>5926</v>
      </c>
      <c r="B574" s="20" t="s">
        <v>79</v>
      </c>
      <c r="C574" s="20" t="s">
        <v>5162</v>
      </c>
      <c r="D574" s="20" t="s">
        <v>1195</v>
      </c>
      <c r="E574" s="20" t="s">
        <v>5927</v>
      </c>
      <c r="F574" s="20" t="s">
        <v>2810</v>
      </c>
      <c r="G574" s="20" t="s">
        <v>3694</v>
      </c>
      <c r="H574" s="22" t="n">
        <v>45.7</v>
      </c>
      <c r="I574" s="22" t="n">
        <v>45.7</v>
      </c>
      <c r="J574" s="22" t="n">
        <f aca="false">H574-I574</f>
        <v>0</v>
      </c>
      <c r="K574" s="20" t="str">
        <f aca="false">IF(ABS(J574)&lt;0.001,"MATCH - PAPER CHECK-IN NOT SUPPLIED","DATA MISMATCH")</f>
        <v>MATCH - PAPER CHECK-IN NOT SUPPLIED</v>
      </c>
      <c r="L574" s="22" t="n">
        <v>28</v>
      </c>
      <c r="M574" s="22" t="n">
        <f aca="false">ROUNDUP(H574,0)</f>
        <v>46</v>
      </c>
      <c r="N574" s="24" t="n">
        <f aca="false">MAX(L574,M574)</f>
        <v>46</v>
      </c>
      <c r="O574" s="25" t="n">
        <v>10.4</v>
      </c>
      <c r="P574" s="25" t="n">
        <f aca="false">N574*O574</f>
        <v>478.4</v>
      </c>
      <c r="Q574" s="23" t="s">
        <v>5928</v>
      </c>
      <c r="R574" s="23" t="s">
        <v>2804</v>
      </c>
      <c r="S574" s="24" t="n">
        <v>46</v>
      </c>
      <c r="T574" s="25" t="n">
        <v>10.4</v>
      </c>
      <c r="U574" s="25" t="n">
        <v>478.4</v>
      </c>
      <c r="V574" s="25" t="n">
        <f aca="false">P574-U574</f>
        <v>0</v>
      </c>
      <c r="W574" s="25" t="n">
        <f aca="false">V574*12</f>
        <v>0</v>
      </c>
      <c r="X574" s="23" t="str">
        <f aca="false">IF(Q574="","MISSING FROM EXPORT",IF(ABS(V574)&lt;0.005,"CLEAR",IF(V574&gt;0,"UNDERBILLING","OVERBILLING")))</f>
        <v>CLEAR</v>
      </c>
      <c r="Y574" s="25" t="n">
        <f aca="false">IF(F574="COMMERCIAL",ROUND(P574*0.35,2),0)</f>
        <v>0</v>
      </c>
      <c r="Z574" s="23" t="str">
        <f aca="false">IF(F574="COMMERCIAL","VERIFY SIGNED AGREEMENT","NO EXCEPTION")</f>
        <v>NO EXCEPTION</v>
      </c>
      <c r="AA574" s="23" t="str">
        <f aca="false">IF(AND(C574="covered",N574&gt;40),"COVERED &gt;40 FT","")</f>
        <v>COVERED &gt;40 FT</v>
      </c>
      <c r="AB574" s="23" t="s">
        <v>5929</v>
      </c>
      <c r="AC574" s="23" t="s">
        <v>5930</v>
      </c>
      <c r="AD574" s="23" t="s">
        <v>2807</v>
      </c>
    </row>
    <row r="575" customFormat="false" ht="17.9" hidden="false" customHeight="false" outlineLevel="0" collapsed="false">
      <c r="A575" s="20" t="s">
        <v>5931</v>
      </c>
      <c r="B575" s="20" t="s">
        <v>79</v>
      </c>
      <c r="C575" s="20" t="s">
        <v>5162</v>
      </c>
      <c r="D575" s="20" t="s">
        <v>5932</v>
      </c>
      <c r="E575" s="20" t="s">
        <v>5933</v>
      </c>
      <c r="F575" s="20" t="s">
        <v>2934</v>
      </c>
      <c r="G575" s="20" t="s">
        <v>3701</v>
      </c>
      <c r="H575" s="22" t="n">
        <v>33.7</v>
      </c>
      <c r="I575" s="22" t="n">
        <v>33.7</v>
      </c>
      <c r="J575" s="22" t="n">
        <f aca="false">H575-I575</f>
        <v>0</v>
      </c>
      <c r="K575" s="20" t="str">
        <f aca="false">IF(ABS(J575)&lt;0.001,"MATCH - PAPER CHECK-IN NOT SUPPLIED","DATA MISMATCH")</f>
        <v>MATCH - PAPER CHECK-IN NOT SUPPLIED</v>
      </c>
      <c r="L575" s="22" t="n">
        <v>28</v>
      </c>
      <c r="M575" s="22" t="n">
        <f aca="false">ROUNDUP(H575,0)</f>
        <v>34</v>
      </c>
      <c r="N575" s="24" t="n">
        <f aca="false">MAX(L575,M575)</f>
        <v>34</v>
      </c>
      <c r="O575" s="25" t="n">
        <v>10.4</v>
      </c>
      <c r="P575" s="25" t="n">
        <f aca="false">N575*O575</f>
        <v>353.6</v>
      </c>
      <c r="Q575" s="23" t="s">
        <v>5934</v>
      </c>
      <c r="R575" s="23" t="s">
        <v>2804</v>
      </c>
      <c r="S575" s="24" t="n">
        <v>34</v>
      </c>
      <c r="T575" s="25" t="n">
        <v>10.4</v>
      </c>
      <c r="U575" s="25" t="n">
        <v>353.6</v>
      </c>
      <c r="V575" s="25" t="n">
        <f aca="false">P575-U575</f>
        <v>0</v>
      </c>
      <c r="W575" s="25" t="n">
        <f aca="false">V575*12</f>
        <v>0</v>
      </c>
      <c r="X575" s="23" t="str">
        <f aca="false">IF(Q575="","MISSING FROM EXPORT",IF(ABS(V575)&lt;0.005,"CLEAR",IF(V575&gt;0,"UNDERBILLING","OVERBILLING")))</f>
        <v>CLEAR</v>
      </c>
      <c r="Y575" s="25" t="n">
        <f aca="false">IF(F575="COMMERCIAL",ROUND(P575*0.35,2),0)</f>
        <v>123.76</v>
      </c>
      <c r="Z575" s="23" t="str">
        <f aca="false">IF(F575="COMMERCIAL","VERIFY SIGNED AGREEMENT","NO EXCEPTION")</f>
        <v>VERIFY SIGNED AGREEMENT</v>
      </c>
      <c r="AA575" s="23" t="str">
        <f aca="false">IF(AND(C575="covered",N575&gt;40),"COVERED &gt;40 FT","")</f>
        <v/>
      </c>
      <c r="AB575" s="23" t="s">
        <v>5935</v>
      </c>
      <c r="AC575" s="23" t="s">
        <v>5936</v>
      </c>
      <c r="AD575" s="23" t="s">
        <v>2807</v>
      </c>
    </row>
    <row r="576" customFormat="false" ht="17.9" hidden="false" customHeight="false" outlineLevel="0" collapsed="false">
      <c r="A576" s="20" t="s">
        <v>5937</v>
      </c>
      <c r="B576" s="20" t="s">
        <v>79</v>
      </c>
      <c r="C576" s="20" t="s">
        <v>5162</v>
      </c>
      <c r="D576" s="20" t="s">
        <v>5938</v>
      </c>
      <c r="E576" s="20" t="s">
        <v>5939</v>
      </c>
      <c r="F576" s="20" t="s">
        <v>2857</v>
      </c>
      <c r="G576" s="20" t="s">
        <v>4882</v>
      </c>
      <c r="H576" s="22" t="n">
        <v>43.4</v>
      </c>
      <c r="I576" s="22" t="n">
        <v>43.4</v>
      </c>
      <c r="J576" s="22" t="n">
        <f aca="false">H576-I576</f>
        <v>0</v>
      </c>
      <c r="K576" s="20" t="str">
        <f aca="false">IF(ABS(J576)&lt;0.001,"MATCH - PAPER CHECK-IN NOT SUPPLIED","DATA MISMATCH")</f>
        <v>MATCH - PAPER CHECK-IN NOT SUPPLIED</v>
      </c>
      <c r="L576" s="22" t="n">
        <v>36</v>
      </c>
      <c r="M576" s="22" t="n">
        <f aca="false">ROUNDUP(H576,0)</f>
        <v>44</v>
      </c>
      <c r="N576" s="24" t="n">
        <f aca="false">MAX(L576,M576)</f>
        <v>44</v>
      </c>
      <c r="O576" s="25" t="n">
        <v>10.4</v>
      </c>
      <c r="P576" s="25" t="n">
        <f aca="false">N576*O576</f>
        <v>457.6</v>
      </c>
      <c r="Q576" s="23" t="s">
        <v>5940</v>
      </c>
      <c r="R576" s="23" t="s">
        <v>2804</v>
      </c>
      <c r="S576" s="24" t="n">
        <v>44</v>
      </c>
      <c r="T576" s="25" t="n">
        <v>10.4</v>
      </c>
      <c r="U576" s="25" t="n">
        <v>457.6</v>
      </c>
      <c r="V576" s="25" t="n">
        <f aca="false">P576-U576</f>
        <v>0</v>
      </c>
      <c r="W576" s="25" t="n">
        <f aca="false">V576*12</f>
        <v>0</v>
      </c>
      <c r="X576" s="23" t="str">
        <f aca="false">IF(Q576="","MISSING FROM EXPORT",IF(ABS(V576)&lt;0.005,"CLEAR",IF(V576&gt;0,"UNDERBILLING","OVERBILLING")))</f>
        <v>CLEAR</v>
      </c>
      <c r="Y576" s="25" t="n">
        <f aca="false">IF(F576="COMMERCIAL",ROUND(P576*0.35,2),0)</f>
        <v>0</v>
      </c>
      <c r="Z576" s="23" t="str">
        <f aca="false">IF(F576="COMMERCIAL","VERIFY SIGNED AGREEMENT","NO EXCEPTION")</f>
        <v>NO EXCEPTION</v>
      </c>
      <c r="AA576" s="23" t="str">
        <f aca="false">IF(AND(C576="covered",N576&gt;40),"COVERED &gt;40 FT","")</f>
        <v>COVERED &gt;40 FT</v>
      </c>
      <c r="AB576" s="23" t="s">
        <v>5941</v>
      </c>
      <c r="AC576" s="23" t="s">
        <v>5942</v>
      </c>
      <c r="AD576" s="23" t="s">
        <v>2807</v>
      </c>
    </row>
    <row r="577" customFormat="false" ht="17.9" hidden="false" customHeight="false" outlineLevel="0" collapsed="false">
      <c r="A577" s="20" t="s">
        <v>5943</v>
      </c>
      <c r="B577" s="20" t="s">
        <v>79</v>
      </c>
      <c r="C577" s="20" t="s">
        <v>5162</v>
      </c>
      <c r="D577" s="20" t="s">
        <v>5944</v>
      </c>
      <c r="E577" s="20" t="s">
        <v>5945</v>
      </c>
      <c r="F577" s="20" t="s">
        <v>2869</v>
      </c>
      <c r="G577" s="20" t="s">
        <v>3708</v>
      </c>
      <c r="H577" s="22" t="n">
        <v>36.1</v>
      </c>
      <c r="I577" s="22" t="n">
        <v>36.1</v>
      </c>
      <c r="J577" s="22" t="n">
        <f aca="false">H577-I577</f>
        <v>0</v>
      </c>
      <c r="K577" s="20" t="str">
        <f aca="false">IF(ABS(J577)&lt;0.001,"MATCH - PAPER CHECK-IN NOT SUPPLIED","DATA MISMATCH")</f>
        <v>MATCH - PAPER CHECK-IN NOT SUPPLIED</v>
      </c>
      <c r="L577" s="22" t="n">
        <v>36</v>
      </c>
      <c r="M577" s="22" t="n">
        <f aca="false">ROUNDUP(H577,0)</f>
        <v>37</v>
      </c>
      <c r="N577" s="24" t="n">
        <f aca="false">MAX(L577,M577)</f>
        <v>37</v>
      </c>
      <c r="O577" s="25" t="n">
        <v>10.4</v>
      </c>
      <c r="P577" s="25" t="n">
        <f aca="false">N577*O577</f>
        <v>384.8</v>
      </c>
      <c r="Q577" s="23" t="s">
        <v>5946</v>
      </c>
      <c r="R577" s="23" t="s">
        <v>2804</v>
      </c>
      <c r="S577" s="24" t="n">
        <v>37</v>
      </c>
      <c r="T577" s="25" t="n">
        <v>10.4</v>
      </c>
      <c r="U577" s="25" t="n">
        <v>384.8</v>
      </c>
      <c r="V577" s="25" t="n">
        <f aca="false">P577-U577</f>
        <v>0</v>
      </c>
      <c r="W577" s="25" t="n">
        <f aca="false">V577*12</f>
        <v>0</v>
      </c>
      <c r="X577" s="23" t="str">
        <f aca="false">IF(Q577="","MISSING FROM EXPORT",IF(ABS(V577)&lt;0.005,"CLEAR",IF(V577&gt;0,"UNDERBILLING","OVERBILLING")))</f>
        <v>CLEAR</v>
      </c>
      <c r="Y577" s="25" t="n">
        <f aca="false">IF(F577="COMMERCIAL",ROUND(P577*0.35,2),0)</f>
        <v>0</v>
      </c>
      <c r="Z577" s="23" t="str">
        <f aca="false">IF(F577="COMMERCIAL","VERIFY SIGNED AGREEMENT","NO EXCEPTION")</f>
        <v>NO EXCEPTION</v>
      </c>
      <c r="AA577" s="23" t="str">
        <f aca="false">IF(AND(C577="covered",N577&gt;40),"COVERED &gt;40 FT","")</f>
        <v/>
      </c>
      <c r="AB577" s="23" t="s">
        <v>5947</v>
      </c>
      <c r="AC577" s="23" t="s">
        <v>5948</v>
      </c>
      <c r="AD577" s="23" t="s">
        <v>2807</v>
      </c>
    </row>
    <row r="578" customFormat="false" ht="17.9" hidden="false" customHeight="false" outlineLevel="0" collapsed="false">
      <c r="A578" s="20" t="s">
        <v>5949</v>
      </c>
      <c r="B578" s="20" t="s">
        <v>79</v>
      </c>
      <c r="C578" s="20" t="s">
        <v>5162</v>
      </c>
      <c r="D578" s="20" t="s">
        <v>5950</v>
      </c>
      <c r="E578" s="20" t="s">
        <v>5951</v>
      </c>
      <c r="F578" s="20" t="s">
        <v>2818</v>
      </c>
      <c r="G578" s="20" t="s">
        <v>3715</v>
      </c>
      <c r="H578" s="22" t="n">
        <v>39.1</v>
      </c>
      <c r="I578" s="22" t="n">
        <v>39.1</v>
      </c>
      <c r="J578" s="22" t="n">
        <f aca="false">H578-I578</f>
        <v>0</v>
      </c>
      <c r="K578" s="20" t="str">
        <f aca="false">IF(ABS(J578)&lt;0.001,"MATCH - PAPER CHECK-IN NOT SUPPLIED","DATA MISMATCH")</f>
        <v>MATCH - PAPER CHECK-IN NOT SUPPLIED</v>
      </c>
      <c r="L578" s="22" t="n">
        <v>40</v>
      </c>
      <c r="M578" s="22" t="n">
        <f aca="false">ROUNDUP(H578,0)</f>
        <v>40</v>
      </c>
      <c r="N578" s="24" t="n">
        <f aca="false">MAX(L578,M578)</f>
        <v>40</v>
      </c>
      <c r="O578" s="25" t="n">
        <v>10.4</v>
      </c>
      <c r="P578" s="25" t="n">
        <f aca="false">N578*O578</f>
        <v>416</v>
      </c>
      <c r="Q578" s="23" t="s">
        <v>5952</v>
      </c>
      <c r="R578" s="23" t="s">
        <v>2804</v>
      </c>
      <c r="S578" s="24" t="n">
        <v>40</v>
      </c>
      <c r="T578" s="25" t="n">
        <v>10.4</v>
      </c>
      <c r="U578" s="25" t="n">
        <v>416</v>
      </c>
      <c r="V578" s="25" t="n">
        <f aca="false">P578-U578</f>
        <v>0</v>
      </c>
      <c r="W578" s="25" t="n">
        <f aca="false">V578*12</f>
        <v>0</v>
      </c>
      <c r="X578" s="23" t="str">
        <f aca="false">IF(Q578="","MISSING FROM EXPORT",IF(ABS(V578)&lt;0.005,"CLEAR",IF(V578&gt;0,"UNDERBILLING","OVERBILLING")))</f>
        <v>CLEAR</v>
      </c>
      <c r="Y578" s="25" t="n">
        <f aca="false">IF(F578="COMMERCIAL",ROUND(P578*0.35,2),0)</f>
        <v>0</v>
      </c>
      <c r="Z578" s="23" t="str">
        <f aca="false">IF(F578="COMMERCIAL","VERIFY SIGNED AGREEMENT","NO EXCEPTION")</f>
        <v>NO EXCEPTION</v>
      </c>
      <c r="AA578" s="23" t="str">
        <f aca="false">IF(AND(C578="covered",N578&gt;40),"COVERED &gt;40 FT","")</f>
        <v/>
      </c>
      <c r="AB578" s="23" t="s">
        <v>5953</v>
      </c>
      <c r="AC578" s="23" t="s">
        <v>5954</v>
      </c>
      <c r="AD578" s="23" t="s">
        <v>2807</v>
      </c>
    </row>
    <row r="579" customFormat="false" ht="17.9" hidden="false" customHeight="false" outlineLevel="0" collapsed="false">
      <c r="A579" s="20" t="s">
        <v>5955</v>
      </c>
      <c r="B579" s="20" t="s">
        <v>79</v>
      </c>
      <c r="C579" s="20" t="s">
        <v>5162</v>
      </c>
      <c r="D579" s="20" t="s">
        <v>5956</v>
      </c>
      <c r="E579" s="20" t="s">
        <v>5957</v>
      </c>
      <c r="F579" s="20" t="s">
        <v>2857</v>
      </c>
      <c r="G579" s="20" t="s">
        <v>3722</v>
      </c>
      <c r="H579" s="22" t="n">
        <v>31.9</v>
      </c>
      <c r="I579" s="22" t="n">
        <v>31.9</v>
      </c>
      <c r="J579" s="22" t="n">
        <f aca="false">H579-I579</f>
        <v>0</v>
      </c>
      <c r="K579" s="20" t="str">
        <f aca="false">IF(ABS(J579)&lt;0.001,"MATCH - PAPER CHECK-IN NOT SUPPLIED","DATA MISMATCH")</f>
        <v>MATCH - PAPER CHECK-IN NOT SUPPLIED</v>
      </c>
      <c r="L579" s="22" t="n">
        <v>24</v>
      </c>
      <c r="M579" s="22" t="n">
        <f aca="false">ROUNDUP(H579,0)</f>
        <v>32</v>
      </c>
      <c r="N579" s="24" t="n">
        <f aca="false">MAX(L579,M579)</f>
        <v>32</v>
      </c>
      <c r="O579" s="25" t="n">
        <v>10.4</v>
      </c>
      <c r="P579" s="25" t="n">
        <f aca="false">N579*O579</f>
        <v>332.8</v>
      </c>
      <c r="Q579" s="23" t="s">
        <v>5958</v>
      </c>
      <c r="R579" s="23" t="s">
        <v>2804</v>
      </c>
      <c r="S579" s="24" t="n">
        <v>32</v>
      </c>
      <c r="T579" s="25" t="n">
        <v>10.4</v>
      </c>
      <c r="U579" s="25" t="n">
        <v>332.8</v>
      </c>
      <c r="V579" s="25" t="n">
        <f aca="false">P579-U579</f>
        <v>0</v>
      </c>
      <c r="W579" s="25" t="n">
        <f aca="false">V579*12</f>
        <v>0</v>
      </c>
      <c r="X579" s="23" t="str">
        <f aca="false">IF(Q579="","MISSING FROM EXPORT",IF(ABS(V579)&lt;0.005,"CLEAR",IF(V579&gt;0,"UNDERBILLING","OVERBILLING")))</f>
        <v>CLEAR</v>
      </c>
      <c r="Y579" s="25" t="n">
        <f aca="false">IF(F579="COMMERCIAL",ROUND(P579*0.35,2),0)</f>
        <v>0</v>
      </c>
      <c r="Z579" s="23" t="str">
        <f aca="false">IF(F579="COMMERCIAL","VERIFY SIGNED AGREEMENT","NO EXCEPTION")</f>
        <v>NO EXCEPTION</v>
      </c>
      <c r="AA579" s="23" t="str">
        <f aca="false">IF(AND(C579="covered",N579&gt;40),"COVERED &gt;40 FT","")</f>
        <v/>
      </c>
      <c r="AB579" s="23" t="s">
        <v>5959</v>
      </c>
      <c r="AC579" s="23" t="s">
        <v>5960</v>
      </c>
      <c r="AD579" s="23" t="s">
        <v>2807</v>
      </c>
    </row>
    <row r="580" customFormat="false" ht="17.9" hidden="false" customHeight="false" outlineLevel="0" collapsed="false">
      <c r="A580" s="20" t="s">
        <v>1108</v>
      </c>
      <c r="B580" s="20" t="s">
        <v>79</v>
      </c>
      <c r="C580" s="20" t="s">
        <v>5162</v>
      </c>
      <c r="D580" s="20" t="s">
        <v>5961</v>
      </c>
      <c r="E580" s="20" t="s">
        <v>5962</v>
      </c>
      <c r="F580" s="20" t="s">
        <v>2833</v>
      </c>
      <c r="G580" s="20" t="s">
        <v>3729</v>
      </c>
      <c r="H580" s="22" t="n">
        <v>55.9</v>
      </c>
      <c r="I580" s="22" t="n">
        <v>55.9</v>
      </c>
      <c r="J580" s="22" t="n">
        <f aca="false">H580-I580</f>
        <v>0</v>
      </c>
      <c r="K580" s="20" t="str">
        <f aca="false">IF(ABS(J580)&lt;0.001,"MATCH - PAPER CHECK-IN NOT SUPPLIED","DATA MISMATCH")</f>
        <v>MATCH - PAPER CHECK-IN NOT SUPPLIED</v>
      </c>
      <c r="L580" s="22" t="n">
        <v>32</v>
      </c>
      <c r="M580" s="22" t="n">
        <f aca="false">ROUNDUP(H580,0)</f>
        <v>56</v>
      </c>
      <c r="N580" s="24" t="n">
        <f aca="false">MAX(L580,M580)</f>
        <v>56</v>
      </c>
      <c r="O580" s="25" t="n">
        <v>10.4</v>
      </c>
      <c r="P580" s="25" t="n">
        <f aca="false">N580*O580</f>
        <v>582.4</v>
      </c>
      <c r="Q580" s="23" t="s">
        <v>5963</v>
      </c>
      <c r="R580" s="23" t="s">
        <v>2804</v>
      </c>
      <c r="S580" s="24" t="n">
        <v>56</v>
      </c>
      <c r="T580" s="25" t="n">
        <v>10.4</v>
      </c>
      <c r="U580" s="25" t="n">
        <v>582.4</v>
      </c>
      <c r="V580" s="25" t="n">
        <f aca="false">P580-U580</f>
        <v>0</v>
      </c>
      <c r="W580" s="25" t="n">
        <f aca="false">V580*12</f>
        <v>0</v>
      </c>
      <c r="X580" s="23" t="str">
        <f aca="false">IF(Q580="","MISSING FROM EXPORT",IF(ABS(V580)&lt;0.005,"CLEAR",IF(V580&gt;0,"UNDERBILLING","OVERBILLING")))</f>
        <v>CLEAR</v>
      </c>
      <c r="Y580" s="25" t="n">
        <f aca="false">IF(F580="COMMERCIAL",ROUND(P580*0.35,2),0)</f>
        <v>0</v>
      </c>
      <c r="Z580" s="23" t="str">
        <f aca="false">IF(F580="COMMERCIAL","VERIFY SIGNED AGREEMENT","NO EXCEPTION")</f>
        <v>NO EXCEPTION</v>
      </c>
      <c r="AA580" s="23" t="str">
        <f aca="false">IF(AND(C580="covered",N580&gt;40),"COVERED &gt;40 FT","")</f>
        <v>COVERED &gt;40 FT</v>
      </c>
      <c r="AB580" s="23" t="s">
        <v>5964</v>
      </c>
      <c r="AC580" s="23" t="s">
        <v>5965</v>
      </c>
      <c r="AD580" s="23" t="s">
        <v>2807</v>
      </c>
    </row>
    <row r="581" customFormat="false" ht="17.9" hidden="false" customHeight="false" outlineLevel="0" collapsed="false">
      <c r="A581" s="20" t="s">
        <v>5966</v>
      </c>
      <c r="B581" s="20" t="s">
        <v>79</v>
      </c>
      <c r="C581" s="20" t="s">
        <v>5162</v>
      </c>
      <c r="D581" s="20" t="s">
        <v>5967</v>
      </c>
      <c r="E581" s="20" t="s">
        <v>5968</v>
      </c>
      <c r="F581" s="20" t="s">
        <v>2810</v>
      </c>
      <c r="G581" s="20" t="s">
        <v>3735</v>
      </c>
      <c r="H581" s="22" t="n">
        <v>40.5</v>
      </c>
      <c r="I581" s="22" t="n">
        <v>40.5</v>
      </c>
      <c r="J581" s="22" t="n">
        <f aca="false">H581-I581</f>
        <v>0</v>
      </c>
      <c r="K581" s="20" t="str">
        <f aca="false">IF(ABS(J581)&lt;0.001,"MATCH - PAPER CHECK-IN NOT SUPPLIED","DATA MISMATCH")</f>
        <v>MATCH - PAPER CHECK-IN NOT SUPPLIED</v>
      </c>
      <c r="L581" s="22" t="n">
        <v>24</v>
      </c>
      <c r="M581" s="22" t="n">
        <f aca="false">ROUNDUP(H581,0)</f>
        <v>41</v>
      </c>
      <c r="N581" s="24" t="n">
        <f aca="false">MAX(L581,M581)</f>
        <v>41</v>
      </c>
      <c r="O581" s="25" t="n">
        <v>10.4</v>
      </c>
      <c r="P581" s="25" t="n">
        <f aca="false">N581*O581</f>
        <v>426.4</v>
      </c>
      <c r="Q581" s="23" t="s">
        <v>5969</v>
      </c>
      <c r="R581" s="23" t="s">
        <v>2804</v>
      </c>
      <c r="S581" s="24" t="n">
        <v>41</v>
      </c>
      <c r="T581" s="25" t="n">
        <v>10.4</v>
      </c>
      <c r="U581" s="25" t="n">
        <v>426.4</v>
      </c>
      <c r="V581" s="25" t="n">
        <f aca="false">P581-U581</f>
        <v>0</v>
      </c>
      <c r="W581" s="25" t="n">
        <f aca="false">V581*12</f>
        <v>0</v>
      </c>
      <c r="X581" s="23" t="str">
        <f aca="false">IF(Q581="","MISSING FROM EXPORT",IF(ABS(V581)&lt;0.005,"CLEAR",IF(V581&gt;0,"UNDERBILLING","OVERBILLING")))</f>
        <v>CLEAR</v>
      </c>
      <c r="Y581" s="25" t="n">
        <f aca="false">IF(F581="COMMERCIAL",ROUND(P581*0.35,2),0)</f>
        <v>0</v>
      </c>
      <c r="Z581" s="23" t="str">
        <f aca="false">IF(F581="COMMERCIAL","VERIFY SIGNED AGREEMENT","NO EXCEPTION")</f>
        <v>NO EXCEPTION</v>
      </c>
      <c r="AA581" s="23" t="str">
        <f aca="false">IF(AND(C581="covered",N581&gt;40),"COVERED &gt;40 FT","")</f>
        <v>COVERED &gt;40 FT</v>
      </c>
      <c r="AB581" s="23" t="s">
        <v>5970</v>
      </c>
      <c r="AC581" s="23" t="s">
        <v>5971</v>
      </c>
      <c r="AD581" s="23" t="s">
        <v>2807</v>
      </c>
    </row>
    <row r="582" customFormat="false" ht="17.9" hidden="false" customHeight="false" outlineLevel="0" collapsed="false">
      <c r="A582" s="20" t="s">
        <v>5972</v>
      </c>
      <c r="B582" s="20" t="s">
        <v>79</v>
      </c>
      <c r="C582" s="20" t="s">
        <v>5162</v>
      </c>
      <c r="D582" s="20" t="s">
        <v>5973</v>
      </c>
      <c r="E582" s="20" t="s">
        <v>5974</v>
      </c>
      <c r="F582" s="20" t="s">
        <v>2833</v>
      </c>
      <c r="G582" s="20" t="s">
        <v>3742</v>
      </c>
      <c r="H582" s="22" t="n">
        <v>55.2</v>
      </c>
      <c r="I582" s="22" t="n">
        <v>55.2</v>
      </c>
      <c r="J582" s="22" t="n">
        <f aca="false">H582-I582</f>
        <v>0</v>
      </c>
      <c r="K582" s="20" t="str">
        <f aca="false">IF(ABS(J582)&lt;0.001,"MATCH - PAPER CHECK-IN NOT SUPPLIED","DATA MISMATCH")</f>
        <v>MATCH - PAPER CHECK-IN NOT SUPPLIED</v>
      </c>
      <c r="L582" s="22" t="n">
        <v>24</v>
      </c>
      <c r="M582" s="22" t="n">
        <f aca="false">ROUNDUP(H582,0)</f>
        <v>56</v>
      </c>
      <c r="N582" s="24" t="n">
        <f aca="false">MAX(L582,M582)</f>
        <v>56</v>
      </c>
      <c r="O582" s="25" t="n">
        <v>10.4</v>
      </c>
      <c r="P582" s="25" t="n">
        <f aca="false">N582*O582</f>
        <v>582.4</v>
      </c>
      <c r="Q582" s="23" t="s">
        <v>5975</v>
      </c>
      <c r="R582" s="23" t="s">
        <v>2804</v>
      </c>
      <c r="S582" s="24" t="n">
        <v>56</v>
      </c>
      <c r="T582" s="25" t="n">
        <v>10.4</v>
      </c>
      <c r="U582" s="25" t="n">
        <v>582.4</v>
      </c>
      <c r="V582" s="25" t="n">
        <f aca="false">P582-U582</f>
        <v>0</v>
      </c>
      <c r="W582" s="25" t="n">
        <f aca="false">V582*12</f>
        <v>0</v>
      </c>
      <c r="X582" s="23" t="str">
        <f aca="false">IF(Q582="","MISSING FROM EXPORT",IF(ABS(V582)&lt;0.005,"CLEAR",IF(V582&gt;0,"UNDERBILLING","OVERBILLING")))</f>
        <v>CLEAR</v>
      </c>
      <c r="Y582" s="25" t="n">
        <f aca="false">IF(F582="COMMERCIAL",ROUND(P582*0.35,2),0)</f>
        <v>0</v>
      </c>
      <c r="Z582" s="23" t="str">
        <f aca="false">IF(F582="COMMERCIAL","VERIFY SIGNED AGREEMENT","NO EXCEPTION")</f>
        <v>NO EXCEPTION</v>
      </c>
      <c r="AA582" s="23" t="str">
        <f aca="false">IF(AND(C582="covered",N582&gt;40),"COVERED &gt;40 FT","")</f>
        <v>COVERED &gt;40 FT</v>
      </c>
      <c r="AB582" s="23" t="s">
        <v>5976</v>
      </c>
      <c r="AC582" s="23" t="s">
        <v>5977</v>
      </c>
      <c r="AD582" s="23" t="s">
        <v>2807</v>
      </c>
    </row>
    <row r="583" customFormat="false" ht="17.9" hidden="false" customHeight="false" outlineLevel="0" collapsed="false">
      <c r="A583" s="20" t="s">
        <v>5978</v>
      </c>
      <c r="B583" s="20" t="s">
        <v>79</v>
      </c>
      <c r="C583" s="20" t="s">
        <v>5162</v>
      </c>
      <c r="D583" s="20" t="s">
        <v>5979</v>
      </c>
      <c r="E583" s="20" t="s">
        <v>5980</v>
      </c>
      <c r="F583" s="20" t="s">
        <v>2934</v>
      </c>
      <c r="G583" s="20" t="s">
        <v>3749</v>
      </c>
      <c r="H583" s="22" t="n">
        <v>25.4</v>
      </c>
      <c r="I583" s="22" t="n">
        <v>25.4</v>
      </c>
      <c r="J583" s="22" t="n">
        <f aca="false">H583-I583</f>
        <v>0</v>
      </c>
      <c r="K583" s="20" t="str">
        <f aca="false">IF(ABS(J583)&lt;0.001,"MATCH - PAPER CHECK-IN NOT SUPPLIED","DATA MISMATCH")</f>
        <v>MATCH - PAPER CHECK-IN NOT SUPPLIED</v>
      </c>
      <c r="L583" s="22" t="n">
        <v>32</v>
      </c>
      <c r="M583" s="22" t="n">
        <f aca="false">ROUNDUP(H583,0)</f>
        <v>26</v>
      </c>
      <c r="N583" s="24" t="n">
        <f aca="false">MAX(L583,M583)</f>
        <v>32</v>
      </c>
      <c r="O583" s="25" t="n">
        <v>10.4</v>
      </c>
      <c r="P583" s="25" t="n">
        <f aca="false">N583*O583</f>
        <v>332.8</v>
      </c>
      <c r="Q583" s="23" t="s">
        <v>5981</v>
      </c>
      <c r="R583" s="23" t="s">
        <v>2804</v>
      </c>
      <c r="S583" s="24" t="n">
        <v>32</v>
      </c>
      <c r="T583" s="25" t="n">
        <v>10.4</v>
      </c>
      <c r="U583" s="25" t="n">
        <v>332.8</v>
      </c>
      <c r="V583" s="25" t="n">
        <f aca="false">P583-U583</f>
        <v>0</v>
      </c>
      <c r="W583" s="25" t="n">
        <f aca="false">V583*12</f>
        <v>0</v>
      </c>
      <c r="X583" s="23" t="str">
        <f aca="false">IF(Q583="","MISSING FROM EXPORT",IF(ABS(V583)&lt;0.005,"CLEAR",IF(V583&gt;0,"UNDERBILLING","OVERBILLING")))</f>
        <v>CLEAR</v>
      </c>
      <c r="Y583" s="25" t="n">
        <f aca="false">IF(F583="COMMERCIAL",ROUND(P583*0.35,2),0)</f>
        <v>116.48</v>
      </c>
      <c r="Z583" s="23" t="str">
        <f aca="false">IF(F583="COMMERCIAL","VERIFY SIGNED AGREEMENT","NO EXCEPTION")</f>
        <v>VERIFY SIGNED AGREEMENT</v>
      </c>
      <c r="AA583" s="23" t="str">
        <f aca="false">IF(AND(C583="covered",N583&gt;40),"COVERED &gt;40 FT","")</f>
        <v/>
      </c>
      <c r="AB583" s="23" t="s">
        <v>5982</v>
      </c>
      <c r="AC583" s="23" t="s">
        <v>5983</v>
      </c>
      <c r="AD583" s="23" t="s">
        <v>2807</v>
      </c>
    </row>
    <row r="584" customFormat="false" ht="17.9" hidden="false" customHeight="false" outlineLevel="0" collapsed="false">
      <c r="A584" s="20" t="s">
        <v>5984</v>
      </c>
      <c r="B584" s="20" t="s">
        <v>79</v>
      </c>
      <c r="C584" s="20" t="s">
        <v>5162</v>
      </c>
      <c r="D584" s="20" t="s">
        <v>5985</v>
      </c>
      <c r="E584" s="20" t="s">
        <v>5986</v>
      </c>
      <c r="F584" s="20" t="s">
        <v>2818</v>
      </c>
      <c r="G584" s="20" t="s">
        <v>3754</v>
      </c>
      <c r="H584" s="22" t="n">
        <v>32.7</v>
      </c>
      <c r="I584" s="22" t="n">
        <v>32.7</v>
      </c>
      <c r="J584" s="22" t="n">
        <f aca="false">H584-I584</f>
        <v>0</v>
      </c>
      <c r="K584" s="20" t="str">
        <f aca="false">IF(ABS(J584)&lt;0.001,"MATCH - PAPER CHECK-IN NOT SUPPLIED","DATA MISMATCH")</f>
        <v>MATCH - PAPER CHECK-IN NOT SUPPLIED</v>
      </c>
      <c r="L584" s="22" t="n">
        <v>32</v>
      </c>
      <c r="M584" s="22" t="n">
        <f aca="false">ROUNDUP(H584,0)</f>
        <v>33</v>
      </c>
      <c r="N584" s="24" t="n">
        <f aca="false">MAX(L584,M584)</f>
        <v>33</v>
      </c>
      <c r="O584" s="25" t="n">
        <v>10.4</v>
      </c>
      <c r="P584" s="25" t="n">
        <f aca="false">N584*O584</f>
        <v>343.2</v>
      </c>
      <c r="Q584" s="23" t="s">
        <v>5987</v>
      </c>
      <c r="R584" s="23" t="s">
        <v>2804</v>
      </c>
      <c r="S584" s="24" t="n">
        <v>33</v>
      </c>
      <c r="T584" s="25" t="n">
        <v>10.4</v>
      </c>
      <c r="U584" s="25" t="n">
        <v>343.2</v>
      </c>
      <c r="V584" s="25" t="n">
        <f aca="false">P584-U584</f>
        <v>0</v>
      </c>
      <c r="W584" s="25" t="n">
        <f aca="false">V584*12</f>
        <v>0</v>
      </c>
      <c r="X584" s="23" t="str">
        <f aca="false">IF(Q584="","MISSING FROM EXPORT",IF(ABS(V584)&lt;0.005,"CLEAR",IF(V584&gt;0,"UNDERBILLING","OVERBILLING")))</f>
        <v>CLEAR</v>
      </c>
      <c r="Y584" s="25" t="n">
        <f aca="false">IF(F584="COMMERCIAL",ROUND(P584*0.35,2),0)</f>
        <v>0</v>
      </c>
      <c r="Z584" s="23" t="str">
        <f aca="false">IF(F584="COMMERCIAL","VERIFY SIGNED AGREEMENT","NO EXCEPTION")</f>
        <v>NO EXCEPTION</v>
      </c>
      <c r="AA584" s="23" t="str">
        <f aca="false">IF(AND(C584="covered",N584&gt;40),"COVERED &gt;40 FT","")</f>
        <v/>
      </c>
      <c r="AB584" s="23" t="s">
        <v>5988</v>
      </c>
      <c r="AC584" s="23" t="s">
        <v>5989</v>
      </c>
      <c r="AD584" s="23" t="s">
        <v>2807</v>
      </c>
    </row>
    <row r="585" customFormat="false" ht="17.9" hidden="false" customHeight="false" outlineLevel="0" collapsed="false">
      <c r="A585" s="20" t="s">
        <v>5990</v>
      </c>
      <c r="B585" s="20" t="s">
        <v>79</v>
      </c>
      <c r="C585" s="20" t="s">
        <v>5162</v>
      </c>
      <c r="D585" s="20" t="s">
        <v>5991</v>
      </c>
      <c r="E585" s="20" t="s">
        <v>5992</v>
      </c>
      <c r="F585" s="20" t="s">
        <v>2869</v>
      </c>
      <c r="G585" s="20" t="s">
        <v>3761</v>
      </c>
      <c r="H585" s="22" t="n">
        <v>53.5</v>
      </c>
      <c r="I585" s="22" t="n">
        <v>53.5</v>
      </c>
      <c r="J585" s="22" t="n">
        <f aca="false">H585-I585</f>
        <v>0</v>
      </c>
      <c r="K585" s="20" t="str">
        <f aca="false">IF(ABS(J585)&lt;0.001,"MATCH - PAPER CHECK-IN NOT SUPPLIED","DATA MISMATCH")</f>
        <v>MATCH - PAPER CHECK-IN NOT SUPPLIED</v>
      </c>
      <c r="L585" s="22" t="n">
        <v>32</v>
      </c>
      <c r="M585" s="22" t="n">
        <f aca="false">ROUNDUP(H585,0)</f>
        <v>54</v>
      </c>
      <c r="N585" s="24" t="n">
        <f aca="false">MAX(L585,M585)</f>
        <v>54</v>
      </c>
      <c r="O585" s="25" t="n">
        <v>10.4</v>
      </c>
      <c r="P585" s="25" t="n">
        <f aca="false">N585*O585</f>
        <v>561.6</v>
      </c>
      <c r="Q585" s="23" t="s">
        <v>5993</v>
      </c>
      <c r="R585" s="23" t="s">
        <v>2804</v>
      </c>
      <c r="S585" s="24" t="n">
        <v>54</v>
      </c>
      <c r="T585" s="25" t="n">
        <v>10.4</v>
      </c>
      <c r="U585" s="25" t="n">
        <v>561.6</v>
      </c>
      <c r="V585" s="25" t="n">
        <f aca="false">P585-U585</f>
        <v>0</v>
      </c>
      <c r="W585" s="25" t="n">
        <f aca="false">V585*12</f>
        <v>0</v>
      </c>
      <c r="X585" s="23" t="str">
        <f aca="false">IF(Q585="","MISSING FROM EXPORT",IF(ABS(V585)&lt;0.005,"CLEAR",IF(V585&gt;0,"UNDERBILLING","OVERBILLING")))</f>
        <v>CLEAR</v>
      </c>
      <c r="Y585" s="25" t="n">
        <f aca="false">IF(F585="COMMERCIAL",ROUND(P585*0.35,2),0)</f>
        <v>0</v>
      </c>
      <c r="Z585" s="23" t="str">
        <f aca="false">IF(F585="COMMERCIAL","VERIFY SIGNED AGREEMENT","NO EXCEPTION")</f>
        <v>NO EXCEPTION</v>
      </c>
      <c r="AA585" s="23" t="str">
        <f aca="false">IF(AND(C585="covered",N585&gt;40),"COVERED &gt;40 FT","")</f>
        <v>COVERED &gt;40 FT</v>
      </c>
      <c r="AB585" s="23" t="s">
        <v>5994</v>
      </c>
      <c r="AC585" s="23" t="s">
        <v>5995</v>
      </c>
      <c r="AD585" s="23" t="s">
        <v>2807</v>
      </c>
    </row>
    <row r="586" customFormat="false" ht="17.9" hidden="false" customHeight="false" outlineLevel="0" collapsed="false">
      <c r="A586" s="20" t="s">
        <v>820</v>
      </c>
      <c r="B586" s="20" t="s">
        <v>79</v>
      </c>
      <c r="C586" s="20" t="s">
        <v>5162</v>
      </c>
      <c r="D586" s="20" t="s">
        <v>5996</v>
      </c>
      <c r="E586" s="20" t="s">
        <v>5997</v>
      </c>
      <c r="F586" s="20" t="s">
        <v>2869</v>
      </c>
      <c r="G586" s="20" t="s">
        <v>3775</v>
      </c>
      <c r="H586" s="22" t="n">
        <v>59.7</v>
      </c>
      <c r="I586" s="22" t="n">
        <v>59.7</v>
      </c>
      <c r="J586" s="22" t="n">
        <f aca="false">H586-I586</f>
        <v>0</v>
      </c>
      <c r="K586" s="20" t="str">
        <f aca="false">IF(ABS(J586)&lt;0.001,"MATCH - PAPER CHECK-IN NOT SUPPLIED","DATA MISMATCH")</f>
        <v>MATCH - PAPER CHECK-IN NOT SUPPLIED</v>
      </c>
      <c r="L586" s="22" t="n">
        <v>24</v>
      </c>
      <c r="M586" s="22" t="n">
        <f aca="false">ROUNDUP(H586,0)</f>
        <v>60</v>
      </c>
      <c r="N586" s="24" t="n">
        <f aca="false">MAX(L586,M586)</f>
        <v>60</v>
      </c>
      <c r="O586" s="25" t="n">
        <v>10.4</v>
      </c>
      <c r="P586" s="25" t="n">
        <f aca="false">N586*O586</f>
        <v>624</v>
      </c>
      <c r="Q586" s="23" t="s">
        <v>5998</v>
      </c>
      <c r="R586" s="23" t="s">
        <v>2804</v>
      </c>
      <c r="S586" s="24" t="n">
        <v>60</v>
      </c>
      <c r="T586" s="25" t="n">
        <v>10.4</v>
      </c>
      <c r="U586" s="25" t="n">
        <v>624</v>
      </c>
      <c r="V586" s="25" t="n">
        <f aca="false">P586-U586</f>
        <v>0</v>
      </c>
      <c r="W586" s="25" t="n">
        <f aca="false">V586*12</f>
        <v>0</v>
      </c>
      <c r="X586" s="23" t="str">
        <f aca="false">IF(Q586="","MISSING FROM EXPORT",IF(ABS(V586)&lt;0.005,"CLEAR",IF(V586&gt;0,"UNDERBILLING","OVERBILLING")))</f>
        <v>CLEAR</v>
      </c>
      <c r="Y586" s="25" t="n">
        <f aca="false">IF(F586="COMMERCIAL",ROUND(P586*0.35,2),0)</f>
        <v>0</v>
      </c>
      <c r="Z586" s="23" t="str">
        <f aca="false">IF(F586="COMMERCIAL","VERIFY SIGNED AGREEMENT","NO EXCEPTION")</f>
        <v>NO EXCEPTION</v>
      </c>
      <c r="AA586" s="23" t="str">
        <f aca="false">IF(AND(C586="covered",N586&gt;40),"COVERED &gt;40 FT","")</f>
        <v>COVERED &gt;40 FT</v>
      </c>
      <c r="AB586" s="23" t="s">
        <v>5999</v>
      </c>
      <c r="AC586" s="23" t="s">
        <v>6000</v>
      </c>
      <c r="AD586" s="23" t="s">
        <v>2807</v>
      </c>
    </row>
    <row r="587" customFormat="false" ht="17.9" hidden="false" customHeight="false" outlineLevel="0" collapsed="false">
      <c r="A587" s="20" t="s">
        <v>6001</v>
      </c>
      <c r="B587" s="20" t="s">
        <v>79</v>
      </c>
      <c r="C587" s="20" t="s">
        <v>5162</v>
      </c>
      <c r="D587" s="20" t="s">
        <v>6002</v>
      </c>
      <c r="E587" s="20" t="s">
        <v>5629</v>
      </c>
      <c r="F587" s="20" t="s">
        <v>2869</v>
      </c>
      <c r="G587" s="20" t="s">
        <v>3782</v>
      </c>
      <c r="H587" s="22" t="n">
        <v>37.7</v>
      </c>
      <c r="I587" s="22" t="n">
        <v>37.7</v>
      </c>
      <c r="J587" s="22" t="n">
        <f aca="false">H587-I587</f>
        <v>0</v>
      </c>
      <c r="K587" s="20" t="str">
        <f aca="false">IF(ABS(J587)&lt;0.001,"MATCH - PAPER CHECK-IN NOT SUPPLIED","DATA MISMATCH")</f>
        <v>MATCH - PAPER CHECK-IN NOT SUPPLIED</v>
      </c>
      <c r="L587" s="22" t="n">
        <v>28</v>
      </c>
      <c r="M587" s="22" t="n">
        <f aca="false">ROUNDUP(H587,0)</f>
        <v>38</v>
      </c>
      <c r="N587" s="24" t="n">
        <f aca="false">MAX(L587,M587)</f>
        <v>38</v>
      </c>
      <c r="O587" s="25" t="n">
        <v>10.4</v>
      </c>
      <c r="P587" s="25" t="n">
        <f aca="false">N587*O587</f>
        <v>395.2</v>
      </c>
      <c r="Q587" s="23" t="s">
        <v>6003</v>
      </c>
      <c r="R587" s="23" t="s">
        <v>2804</v>
      </c>
      <c r="S587" s="24" t="n">
        <v>38</v>
      </c>
      <c r="T587" s="25" t="n">
        <v>10.4</v>
      </c>
      <c r="U587" s="25" t="n">
        <v>395.2</v>
      </c>
      <c r="V587" s="25" t="n">
        <f aca="false">P587-U587</f>
        <v>0</v>
      </c>
      <c r="W587" s="25" t="n">
        <f aca="false">V587*12</f>
        <v>0</v>
      </c>
      <c r="X587" s="23" t="str">
        <f aca="false">IF(Q587="","MISSING FROM EXPORT",IF(ABS(V587)&lt;0.005,"CLEAR",IF(V587&gt;0,"UNDERBILLING","OVERBILLING")))</f>
        <v>CLEAR</v>
      </c>
      <c r="Y587" s="25" t="n">
        <f aca="false">IF(F587="COMMERCIAL",ROUND(P587*0.35,2),0)</f>
        <v>0</v>
      </c>
      <c r="Z587" s="23" t="str">
        <f aca="false">IF(F587="COMMERCIAL","VERIFY SIGNED AGREEMENT","NO EXCEPTION")</f>
        <v>NO EXCEPTION</v>
      </c>
      <c r="AA587" s="23" t="str">
        <f aca="false">IF(AND(C587="covered",N587&gt;40),"COVERED &gt;40 FT","")</f>
        <v/>
      </c>
      <c r="AB587" s="23" t="s">
        <v>6004</v>
      </c>
      <c r="AC587" s="23" t="s">
        <v>6005</v>
      </c>
      <c r="AD587" s="23" t="s">
        <v>2807</v>
      </c>
    </row>
    <row r="588" customFormat="false" ht="17.9" hidden="false" customHeight="false" outlineLevel="0" collapsed="false">
      <c r="A588" s="20" t="s">
        <v>6006</v>
      </c>
      <c r="B588" s="20" t="s">
        <v>79</v>
      </c>
      <c r="C588" s="20" t="s">
        <v>5162</v>
      </c>
      <c r="D588" s="20" t="s">
        <v>6007</v>
      </c>
      <c r="E588" s="20" t="s">
        <v>6008</v>
      </c>
      <c r="F588" s="20" t="s">
        <v>2833</v>
      </c>
      <c r="G588" s="20" t="s">
        <v>3789</v>
      </c>
      <c r="H588" s="22" t="n">
        <v>56.3</v>
      </c>
      <c r="I588" s="22" t="n">
        <v>56.3</v>
      </c>
      <c r="J588" s="22" t="n">
        <f aca="false">H588-I588</f>
        <v>0</v>
      </c>
      <c r="K588" s="20" t="str">
        <f aca="false">IF(ABS(J588)&lt;0.001,"MATCH - PAPER CHECK-IN NOT SUPPLIED","DATA MISMATCH")</f>
        <v>MATCH - PAPER CHECK-IN NOT SUPPLIED</v>
      </c>
      <c r="L588" s="22" t="n">
        <v>28</v>
      </c>
      <c r="M588" s="22" t="n">
        <f aca="false">ROUNDUP(H588,0)</f>
        <v>57</v>
      </c>
      <c r="N588" s="24" t="n">
        <f aca="false">MAX(L588,M588)</f>
        <v>57</v>
      </c>
      <c r="O588" s="25" t="n">
        <v>10.4</v>
      </c>
      <c r="P588" s="25" t="n">
        <f aca="false">N588*O588</f>
        <v>592.8</v>
      </c>
      <c r="Q588" s="23" t="s">
        <v>6009</v>
      </c>
      <c r="R588" s="23" t="s">
        <v>2804</v>
      </c>
      <c r="S588" s="24" t="n">
        <v>57</v>
      </c>
      <c r="T588" s="25" t="n">
        <v>10.4</v>
      </c>
      <c r="U588" s="25" t="n">
        <v>592.8</v>
      </c>
      <c r="V588" s="25" t="n">
        <f aca="false">P588-U588</f>
        <v>0</v>
      </c>
      <c r="W588" s="25" t="n">
        <f aca="false">V588*12</f>
        <v>0</v>
      </c>
      <c r="X588" s="23" t="str">
        <f aca="false">IF(Q588="","MISSING FROM EXPORT",IF(ABS(V588)&lt;0.005,"CLEAR",IF(V588&gt;0,"UNDERBILLING","OVERBILLING")))</f>
        <v>CLEAR</v>
      </c>
      <c r="Y588" s="25" t="n">
        <f aca="false">IF(F588="COMMERCIAL",ROUND(P588*0.35,2),0)</f>
        <v>0</v>
      </c>
      <c r="Z588" s="23" t="str">
        <f aca="false">IF(F588="COMMERCIAL","VERIFY SIGNED AGREEMENT","NO EXCEPTION")</f>
        <v>NO EXCEPTION</v>
      </c>
      <c r="AA588" s="23" t="str">
        <f aca="false">IF(AND(C588="covered",N588&gt;40),"COVERED &gt;40 FT","")</f>
        <v>COVERED &gt;40 FT</v>
      </c>
      <c r="AB588" s="23" t="s">
        <v>6010</v>
      </c>
      <c r="AC588" s="23" t="s">
        <v>6011</v>
      </c>
      <c r="AD588" s="23" t="s">
        <v>2807</v>
      </c>
    </row>
    <row r="589" customFormat="false" ht="17.9" hidden="false" customHeight="false" outlineLevel="0" collapsed="false">
      <c r="A589" s="20" t="s">
        <v>6012</v>
      </c>
      <c r="B589" s="20" t="s">
        <v>79</v>
      </c>
      <c r="C589" s="20" t="s">
        <v>5162</v>
      </c>
      <c r="D589" s="20" t="s">
        <v>6013</v>
      </c>
      <c r="E589" s="20" t="s">
        <v>6014</v>
      </c>
      <c r="F589" s="20" t="s">
        <v>2833</v>
      </c>
      <c r="G589" s="20" t="s">
        <v>3796</v>
      </c>
      <c r="H589" s="22" t="n">
        <v>46.1</v>
      </c>
      <c r="I589" s="22" t="n">
        <v>46.1</v>
      </c>
      <c r="J589" s="22" t="n">
        <f aca="false">H589-I589</f>
        <v>0</v>
      </c>
      <c r="K589" s="20" t="str">
        <f aca="false">IF(ABS(J589)&lt;0.001,"MATCH - PAPER CHECK-IN NOT SUPPLIED","DATA MISMATCH")</f>
        <v>MATCH - PAPER CHECK-IN NOT SUPPLIED</v>
      </c>
      <c r="L589" s="22" t="n">
        <v>36</v>
      </c>
      <c r="M589" s="22" t="n">
        <f aca="false">ROUNDUP(H589,0)</f>
        <v>47</v>
      </c>
      <c r="N589" s="24" t="n">
        <f aca="false">MAX(L589,M589)</f>
        <v>47</v>
      </c>
      <c r="O589" s="25" t="n">
        <v>10.4</v>
      </c>
      <c r="P589" s="25" t="n">
        <f aca="false">N589*O589</f>
        <v>488.8</v>
      </c>
      <c r="Q589" s="23" t="s">
        <v>6015</v>
      </c>
      <c r="R589" s="23" t="s">
        <v>2804</v>
      </c>
      <c r="S589" s="24" t="n">
        <v>47</v>
      </c>
      <c r="T589" s="25" t="n">
        <v>10.4</v>
      </c>
      <c r="U589" s="25" t="n">
        <v>488.8</v>
      </c>
      <c r="V589" s="25" t="n">
        <f aca="false">P589-U589</f>
        <v>0</v>
      </c>
      <c r="W589" s="25" t="n">
        <f aca="false">V589*12</f>
        <v>0</v>
      </c>
      <c r="X589" s="23" t="str">
        <f aca="false">IF(Q589="","MISSING FROM EXPORT",IF(ABS(V589)&lt;0.005,"CLEAR",IF(V589&gt;0,"UNDERBILLING","OVERBILLING")))</f>
        <v>CLEAR</v>
      </c>
      <c r="Y589" s="25" t="n">
        <f aca="false">IF(F589="COMMERCIAL",ROUND(P589*0.35,2),0)</f>
        <v>0</v>
      </c>
      <c r="Z589" s="23" t="str">
        <f aca="false">IF(F589="COMMERCIAL","VERIFY SIGNED AGREEMENT","NO EXCEPTION")</f>
        <v>NO EXCEPTION</v>
      </c>
      <c r="AA589" s="23" t="str">
        <f aca="false">IF(AND(C589="covered",N589&gt;40),"COVERED &gt;40 FT","")</f>
        <v>COVERED &gt;40 FT</v>
      </c>
      <c r="AB589" s="23" t="s">
        <v>6016</v>
      </c>
      <c r="AC589" s="23" t="s">
        <v>6017</v>
      </c>
      <c r="AD589" s="23" t="s">
        <v>2807</v>
      </c>
    </row>
    <row r="590" customFormat="false" ht="17.9" hidden="false" customHeight="false" outlineLevel="0" collapsed="false">
      <c r="A590" s="20" t="s">
        <v>6018</v>
      </c>
      <c r="B590" s="20" t="s">
        <v>79</v>
      </c>
      <c r="C590" s="20" t="s">
        <v>5162</v>
      </c>
      <c r="D590" s="20" t="s">
        <v>1314</v>
      </c>
      <c r="E590" s="20" t="s">
        <v>6019</v>
      </c>
      <c r="F590" s="20" t="s">
        <v>2810</v>
      </c>
      <c r="G590" s="20" t="s">
        <v>3803</v>
      </c>
      <c r="H590" s="22" t="n">
        <v>35.1</v>
      </c>
      <c r="I590" s="22" t="n">
        <v>35.1</v>
      </c>
      <c r="J590" s="22" t="n">
        <f aca="false">H590-I590</f>
        <v>0</v>
      </c>
      <c r="K590" s="20" t="str">
        <f aca="false">IF(ABS(J590)&lt;0.001,"MATCH - PAPER CHECK-IN NOT SUPPLIED","DATA MISMATCH")</f>
        <v>MATCH - PAPER CHECK-IN NOT SUPPLIED</v>
      </c>
      <c r="L590" s="22" t="n">
        <v>40</v>
      </c>
      <c r="M590" s="22" t="n">
        <f aca="false">ROUNDUP(H590,0)</f>
        <v>36</v>
      </c>
      <c r="N590" s="24" t="n">
        <f aca="false">MAX(L590,M590)</f>
        <v>40</v>
      </c>
      <c r="O590" s="25" t="n">
        <v>10.4</v>
      </c>
      <c r="P590" s="25" t="n">
        <f aca="false">N590*O590</f>
        <v>416</v>
      </c>
      <c r="Q590" s="23" t="s">
        <v>6020</v>
      </c>
      <c r="R590" s="23" t="s">
        <v>2804</v>
      </c>
      <c r="S590" s="24" t="n">
        <v>40</v>
      </c>
      <c r="T590" s="25" t="n">
        <v>10.4</v>
      </c>
      <c r="U590" s="25" t="n">
        <v>416</v>
      </c>
      <c r="V590" s="25" t="n">
        <f aca="false">P590-U590</f>
        <v>0</v>
      </c>
      <c r="W590" s="25" t="n">
        <f aca="false">V590*12</f>
        <v>0</v>
      </c>
      <c r="X590" s="23" t="str">
        <f aca="false">IF(Q590="","MISSING FROM EXPORT",IF(ABS(V590)&lt;0.005,"CLEAR",IF(V590&gt;0,"UNDERBILLING","OVERBILLING")))</f>
        <v>CLEAR</v>
      </c>
      <c r="Y590" s="25" t="n">
        <f aca="false">IF(F590="COMMERCIAL",ROUND(P590*0.35,2),0)</f>
        <v>0</v>
      </c>
      <c r="Z590" s="23" t="str">
        <f aca="false">IF(F590="COMMERCIAL","VERIFY SIGNED AGREEMENT","NO EXCEPTION")</f>
        <v>NO EXCEPTION</v>
      </c>
      <c r="AA590" s="23" t="str">
        <f aca="false">IF(AND(C590="covered",N590&gt;40),"COVERED &gt;40 FT","")</f>
        <v/>
      </c>
      <c r="AB590" s="23" t="s">
        <v>6021</v>
      </c>
      <c r="AC590" s="23" t="s">
        <v>6022</v>
      </c>
      <c r="AD590" s="23" t="s">
        <v>2807</v>
      </c>
    </row>
    <row r="591" customFormat="false" ht="17.9" hidden="false" customHeight="false" outlineLevel="0" collapsed="false">
      <c r="A591" s="20" t="s">
        <v>1114</v>
      </c>
      <c r="B591" s="20" t="s">
        <v>79</v>
      </c>
      <c r="C591" s="20" t="s">
        <v>5162</v>
      </c>
      <c r="D591" s="20" t="s">
        <v>6023</v>
      </c>
      <c r="E591" s="20" t="s">
        <v>6024</v>
      </c>
      <c r="F591" s="20" t="s">
        <v>2857</v>
      </c>
      <c r="G591" s="20" t="s">
        <v>3808</v>
      </c>
      <c r="H591" s="22" t="n">
        <v>47.8</v>
      </c>
      <c r="I591" s="22" t="n">
        <v>47.8</v>
      </c>
      <c r="J591" s="22" t="n">
        <f aca="false">H591-I591</f>
        <v>0</v>
      </c>
      <c r="K591" s="20" t="str">
        <f aca="false">IF(ABS(J591)&lt;0.001,"MATCH - PAPER CHECK-IN NOT SUPPLIED","DATA MISMATCH")</f>
        <v>MATCH - PAPER CHECK-IN NOT SUPPLIED</v>
      </c>
      <c r="L591" s="22" t="n">
        <v>28</v>
      </c>
      <c r="M591" s="22" t="n">
        <f aca="false">ROUNDUP(H591,0)</f>
        <v>48</v>
      </c>
      <c r="N591" s="24" t="n">
        <f aca="false">MAX(L591,M591)</f>
        <v>48</v>
      </c>
      <c r="O591" s="25" t="n">
        <v>10.4</v>
      </c>
      <c r="P591" s="25" t="n">
        <f aca="false">N591*O591</f>
        <v>499.2</v>
      </c>
      <c r="Q591" s="23" t="s">
        <v>6025</v>
      </c>
      <c r="R591" s="23" t="s">
        <v>2804</v>
      </c>
      <c r="S591" s="24" t="n">
        <v>48</v>
      </c>
      <c r="T591" s="25" t="n">
        <v>10.4</v>
      </c>
      <c r="U591" s="25" t="n">
        <v>499.2</v>
      </c>
      <c r="V591" s="25" t="n">
        <f aca="false">P591-U591</f>
        <v>0</v>
      </c>
      <c r="W591" s="25" t="n">
        <f aca="false">V591*12</f>
        <v>0</v>
      </c>
      <c r="X591" s="23" t="str">
        <f aca="false">IF(Q591="","MISSING FROM EXPORT",IF(ABS(V591)&lt;0.005,"CLEAR",IF(V591&gt;0,"UNDERBILLING","OVERBILLING")))</f>
        <v>CLEAR</v>
      </c>
      <c r="Y591" s="25" t="n">
        <f aca="false">IF(F591="COMMERCIAL",ROUND(P591*0.35,2),0)</f>
        <v>0</v>
      </c>
      <c r="Z591" s="23" t="str">
        <f aca="false">IF(F591="COMMERCIAL","VERIFY SIGNED AGREEMENT","NO EXCEPTION")</f>
        <v>NO EXCEPTION</v>
      </c>
      <c r="AA591" s="23" t="str">
        <f aca="false">IF(AND(C591="covered",N591&gt;40),"COVERED &gt;40 FT","")</f>
        <v>COVERED &gt;40 FT</v>
      </c>
      <c r="AB591" s="23" t="s">
        <v>6026</v>
      </c>
      <c r="AC591" s="23" t="s">
        <v>6027</v>
      </c>
      <c r="AD591" s="23" t="s">
        <v>2807</v>
      </c>
    </row>
    <row r="592" customFormat="false" ht="17.9" hidden="false" customHeight="false" outlineLevel="0" collapsed="false">
      <c r="A592" s="20" t="s">
        <v>6028</v>
      </c>
      <c r="B592" s="20" t="s">
        <v>79</v>
      </c>
      <c r="C592" s="20" t="s">
        <v>5162</v>
      </c>
      <c r="D592" s="20" t="s">
        <v>6029</v>
      </c>
      <c r="E592" s="20" t="s">
        <v>6030</v>
      </c>
      <c r="F592" s="20" t="s">
        <v>2857</v>
      </c>
      <c r="G592" s="20" t="s">
        <v>3819</v>
      </c>
      <c r="H592" s="22" t="n">
        <v>39.6</v>
      </c>
      <c r="I592" s="22" t="n">
        <v>39.6</v>
      </c>
      <c r="J592" s="22" t="n">
        <f aca="false">H592-I592</f>
        <v>0</v>
      </c>
      <c r="K592" s="20" t="str">
        <f aca="false">IF(ABS(J592)&lt;0.001,"MATCH - PAPER CHECK-IN NOT SUPPLIED","DATA MISMATCH")</f>
        <v>MATCH - PAPER CHECK-IN NOT SUPPLIED</v>
      </c>
      <c r="L592" s="22" t="n">
        <v>36</v>
      </c>
      <c r="M592" s="22" t="n">
        <f aca="false">ROUNDUP(H592,0)</f>
        <v>40</v>
      </c>
      <c r="N592" s="24" t="n">
        <f aca="false">MAX(L592,M592)</f>
        <v>40</v>
      </c>
      <c r="O592" s="25" t="n">
        <v>10.4</v>
      </c>
      <c r="P592" s="25" t="n">
        <f aca="false">N592*O592</f>
        <v>416</v>
      </c>
      <c r="Q592" s="23" t="s">
        <v>6031</v>
      </c>
      <c r="R592" s="23" t="s">
        <v>2804</v>
      </c>
      <c r="S592" s="24" t="n">
        <v>40</v>
      </c>
      <c r="T592" s="25" t="n">
        <v>10.4</v>
      </c>
      <c r="U592" s="25" t="n">
        <v>416</v>
      </c>
      <c r="V592" s="25" t="n">
        <f aca="false">P592-U592</f>
        <v>0</v>
      </c>
      <c r="W592" s="25" t="n">
        <f aca="false">V592*12</f>
        <v>0</v>
      </c>
      <c r="X592" s="23" t="str">
        <f aca="false">IF(Q592="","MISSING FROM EXPORT",IF(ABS(V592)&lt;0.005,"CLEAR",IF(V592&gt;0,"UNDERBILLING","OVERBILLING")))</f>
        <v>CLEAR</v>
      </c>
      <c r="Y592" s="25" t="n">
        <f aca="false">IF(F592="COMMERCIAL",ROUND(P592*0.35,2),0)</f>
        <v>0</v>
      </c>
      <c r="Z592" s="23" t="str">
        <f aca="false">IF(F592="COMMERCIAL","VERIFY SIGNED AGREEMENT","NO EXCEPTION")</f>
        <v>NO EXCEPTION</v>
      </c>
      <c r="AA592" s="23" t="str">
        <f aca="false">IF(AND(C592="covered",N592&gt;40),"COVERED &gt;40 FT","")</f>
        <v/>
      </c>
      <c r="AB592" s="23" t="s">
        <v>6032</v>
      </c>
      <c r="AC592" s="23" t="s">
        <v>6033</v>
      </c>
      <c r="AD592" s="23" t="s">
        <v>2807</v>
      </c>
    </row>
    <row r="593" customFormat="false" ht="17.9" hidden="false" customHeight="false" outlineLevel="0" collapsed="false">
      <c r="A593" s="20" t="s">
        <v>1427</v>
      </c>
      <c r="B593" s="20" t="s">
        <v>79</v>
      </c>
      <c r="C593" s="20" t="s">
        <v>5162</v>
      </c>
      <c r="D593" s="20" t="s">
        <v>6034</v>
      </c>
      <c r="E593" s="20" t="s">
        <v>6035</v>
      </c>
      <c r="F593" s="20" t="s">
        <v>2833</v>
      </c>
      <c r="G593" s="20" t="s">
        <v>3826</v>
      </c>
      <c r="H593" s="22" t="n">
        <v>55.1</v>
      </c>
      <c r="I593" s="22" t="n">
        <v>55.1</v>
      </c>
      <c r="J593" s="22" t="n">
        <f aca="false">H593-I593</f>
        <v>0</v>
      </c>
      <c r="K593" s="20" t="str">
        <f aca="false">IF(ABS(J593)&lt;0.001,"MATCH - PAPER CHECK-IN NOT SUPPLIED","DATA MISMATCH")</f>
        <v>MATCH - PAPER CHECK-IN NOT SUPPLIED</v>
      </c>
      <c r="L593" s="22" t="n">
        <v>36</v>
      </c>
      <c r="M593" s="22" t="n">
        <f aca="false">ROUNDUP(H593,0)</f>
        <v>56</v>
      </c>
      <c r="N593" s="24" t="n">
        <f aca="false">MAX(L593,M593)</f>
        <v>56</v>
      </c>
      <c r="O593" s="25" t="n">
        <v>10.4</v>
      </c>
      <c r="P593" s="25" t="n">
        <f aca="false">N593*O593</f>
        <v>582.4</v>
      </c>
      <c r="Q593" s="23" t="s">
        <v>6036</v>
      </c>
      <c r="R593" s="23" t="s">
        <v>2804</v>
      </c>
      <c r="S593" s="24" t="n">
        <v>56</v>
      </c>
      <c r="T593" s="25" t="n">
        <v>10.4</v>
      </c>
      <c r="U593" s="25" t="n">
        <v>582.4</v>
      </c>
      <c r="V593" s="25" t="n">
        <f aca="false">P593-U593</f>
        <v>0</v>
      </c>
      <c r="W593" s="25" t="n">
        <f aca="false">V593*12</f>
        <v>0</v>
      </c>
      <c r="X593" s="23" t="str">
        <f aca="false">IF(Q593="","MISSING FROM EXPORT",IF(ABS(V593)&lt;0.005,"CLEAR",IF(V593&gt;0,"UNDERBILLING","OVERBILLING")))</f>
        <v>CLEAR</v>
      </c>
      <c r="Y593" s="25" t="n">
        <f aca="false">IF(F593="COMMERCIAL",ROUND(P593*0.35,2),0)</f>
        <v>0</v>
      </c>
      <c r="Z593" s="23" t="str">
        <f aca="false">IF(F593="COMMERCIAL","VERIFY SIGNED AGREEMENT","NO EXCEPTION")</f>
        <v>NO EXCEPTION</v>
      </c>
      <c r="AA593" s="23" t="str">
        <f aca="false">IF(AND(C593="covered",N593&gt;40),"COVERED &gt;40 FT","")</f>
        <v>COVERED &gt;40 FT</v>
      </c>
      <c r="AB593" s="23" t="s">
        <v>6037</v>
      </c>
      <c r="AC593" s="23" t="s">
        <v>6038</v>
      </c>
      <c r="AD593" s="23" t="s">
        <v>2807</v>
      </c>
    </row>
    <row r="594" customFormat="false" ht="17.9" hidden="false" customHeight="false" outlineLevel="0" collapsed="false">
      <c r="A594" s="20" t="s">
        <v>6039</v>
      </c>
      <c r="B594" s="20" t="s">
        <v>79</v>
      </c>
      <c r="C594" s="20" t="s">
        <v>5162</v>
      </c>
      <c r="D594" s="20" t="s">
        <v>2156</v>
      </c>
      <c r="E594" s="20" t="s">
        <v>2157</v>
      </c>
      <c r="F594" s="20" t="s">
        <v>2833</v>
      </c>
      <c r="G594" s="20" t="s">
        <v>3833</v>
      </c>
      <c r="H594" s="22" t="n">
        <v>40.6</v>
      </c>
      <c r="I594" s="22" t="n">
        <v>40.6</v>
      </c>
      <c r="J594" s="22" t="n">
        <f aca="false">H594-I594</f>
        <v>0</v>
      </c>
      <c r="K594" s="20" t="str">
        <f aca="false">IF(ABS(J594)&lt;0.001,"MATCH - PAPER CHECK-IN NOT SUPPLIED","DATA MISMATCH")</f>
        <v>MATCH - PAPER CHECK-IN NOT SUPPLIED</v>
      </c>
      <c r="L594" s="22" t="n">
        <v>24</v>
      </c>
      <c r="M594" s="22" t="n">
        <f aca="false">ROUNDUP(H594,0)</f>
        <v>41</v>
      </c>
      <c r="N594" s="24" t="n">
        <f aca="false">MAX(L594,M594)</f>
        <v>41</v>
      </c>
      <c r="O594" s="25" t="n">
        <v>10.4</v>
      </c>
      <c r="P594" s="25" t="n">
        <f aca="false">N594*O594</f>
        <v>426.4</v>
      </c>
      <c r="Q594" s="23" t="s">
        <v>6040</v>
      </c>
      <c r="R594" s="23" t="s">
        <v>2804</v>
      </c>
      <c r="S594" s="24" t="n">
        <v>41</v>
      </c>
      <c r="T594" s="25" t="n">
        <v>10.4</v>
      </c>
      <c r="U594" s="25" t="n">
        <v>426.4</v>
      </c>
      <c r="V594" s="25" t="n">
        <f aca="false">P594-U594</f>
        <v>0</v>
      </c>
      <c r="W594" s="25" t="n">
        <f aca="false">V594*12</f>
        <v>0</v>
      </c>
      <c r="X594" s="23" t="str">
        <f aca="false">IF(Q594="","MISSING FROM EXPORT",IF(ABS(V594)&lt;0.005,"CLEAR",IF(V594&gt;0,"UNDERBILLING","OVERBILLING")))</f>
        <v>CLEAR</v>
      </c>
      <c r="Y594" s="25" t="n">
        <f aca="false">IF(F594="COMMERCIAL",ROUND(P594*0.35,2),0)</f>
        <v>0</v>
      </c>
      <c r="Z594" s="23" t="str">
        <f aca="false">IF(F594="COMMERCIAL","VERIFY SIGNED AGREEMENT","NO EXCEPTION")</f>
        <v>NO EXCEPTION</v>
      </c>
      <c r="AA594" s="23" t="str">
        <f aca="false">IF(AND(C594="covered",N594&gt;40),"COVERED &gt;40 FT","")</f>
        <v>COVERED &gt;40 FT</v>
      </c>
      <c r="AB594" s="23" t="s">
        <v>6041</v>
      </c>
      <c r="AC594" s="23" t="s">
        <v>6042</v>
      </c>
      <c r="AD594" s="23" t="s">
        <v>2807</v>
      </c>
    </row>
    <row r="595" customFormat="false" ht="17.9" hidden="false" customHeight="false" outlineLevel="0" collapsed="false">
      <c r="A595" s="20" t="s">
        <v>6043</v>
      </c>
      <c r="B595" s="20" t="s">
        <v>79</v>
      </c>
      <c r="C595" s="20" t="s">
        <v>5162</v>
      </c>
      <c r="D595" s="20" t="s">
        <v>6044</v>
      </c>
      <c r="E595" s="20" t="s">
        <v>6045</v>
      </c>
      <c r="F595" s="20" t="s">
        <v>2833</v>
      </c>
      <c r="G595" s="20" t="s">
        <v>3840</v>
      </c>
      <c r="H595" s="22" t="n">
        <v>42.3</v>
      </c>
      <c r="I595" s="22" t="n">
        <v>42.3</v>
      </c>
      <c r="J595" s="22" t="n">
        <f aca="false">H595-I595</f>
        <v>0</v>
      </c>
      <c r="K595" s="20" t="str">
        <f aca="false">IF(ABS(J595)&lt;0.001,"MATCH - PAPER CHECK-IN NOT SUPPLIED","DATA MISMATCH")</f>
        <v>MATCH - PAPER CHECK-IN NOT SUPPLIED</v>
      </c>
      <c r="L595" s="22" t="n">
        <v>40</v>
      </c>
      <c r="M595" s="22" t="n">
        <f aca="false">ROUNDUP(H595,0)</f>
        <v>43</v>
      </c>
      <c r="N595" s="24" t="n">
        <f aca="false">MAX(L595,M595)</f>
        <v>43</v>
      </c>
      <c r="O595" s="25" t="n">
        <v>10.4</v>
      </c>
      <c r="P595" s="25" t="n">
        <f aca="false">N595*O595</f>
        <v>447.2</v>
      </c>
      <c r="Q595" s="23" t="s">
        <v>6046</v>
      </c>
      <c r="R595" s="23" t="s">
        <v>2804</v>
      </c>
      <c r="S595" s="24" t="n">
        <v>43</v>
      </c>
      <c r="T595" s="25" t="n">
        <v>10.4</v>
      </c>
      <c r="U595" s="25" t="n">
        <v>447.2</v>
      </c>
      <c r="V595" s="25" t="n">
        <f aca="false">P595-U595</f>
        <v>0</v>
      </c>
      <c r="W595" s="25" t="n">
        <f aca="false">V595*12</f>
        <v>0</v>
      </c>
      <c r="X595" s="23" t="str">
        <f aca="false">IF(Q595="","MISSING FROM EXPORT",IF(ABS(V595)&lt;0.005,"CLEAR",IF(V595&gt;0,"UNDERBILLING","OVERBILLING")))</f>
        <v>CLEAR</v>
      </c>
      <c r="Y595" s="25" t="n">
        <f aca="false">IF(F595="COMMERCIAL",ROUND(P595*0.35,2),0)</f>
        <v>0</v>
      </c>
      <c r="Z595" s="23" t="str">
        <f aca="false">IF(F595="COMMERCIAL","VERIFY SIGNED AGREEMENT","NO EXCEPTION")</f>
        <v>NO EXCEPTION</v>
      </c>
      <c r="AA595" s="23" t="str">
        <f aca="false">IF(AND(C595="covered",N595&gt;40),"COVERED &gt;40 FT","")</f>
        <v>COVERED &gt;40 FT</v>
      </c>
      <c r="AB595" s="23" t="s">
        <v>6047</v>
      </c>
      <c r="AC595" s="23" t="s">
        <v>6048</v>
      </c>
      <c r="AD595" s="23" t="s">
        <v>2807</v>
      </c>
    </row>
    <row r="596" customFormat="false" ht="17.9" hidden="false" customHeight="false" outlineLevel="0" collapsed="false">
      <c r="A596" s="20" t="s">
        <v>6049</v>
      </c>
      <c r="B596" s="20" t="s">
        <v>79</v>
      </c>
      <c r="C596" s="20" t="s">
        <v>5162</v>
      </c>
      <c r="D596" s="20" t="s">
        <v>2011</v>
      </c>
      <c r="E596" s="20" t="s">
        <v>6050</v>
      </c>
      <c r="F596" s="20" t="s">
        <v>2869</v>
      </c>
      <c r="G596" s="20" t="s">
        <v>3847</v>
      </c>
      <c r="H596" s="22" t="n">
        <v>34.3</v>
      </c>
      <c r="I596" s="22" t="n">
        <v>34.3</v>
      </c>
      <c r="J596" s="22" t="n">
        <f aca="false">H596-I596</f>
        <v>0</v>
      </c>
      <c r="K596" s="20" t="str">
        <f aca="false">IF(ABS(J596)&lt;0.001,"MATCH - PAPER CHECK-IN NOT SUPPLIED","DATA MISMATCH")</f>
        <v>MATCH - PAPER CHECK-IN NOT SUPPLIED</v>
      </c>
      <c r="L596" s="22" t="n">
        <v>28</v>
      </c>
      <c r="M596" s="22" t="n">
        <f aca="false">ROUNDUP(H596,0)</f>
        <v>35</v>
      </c>
      <c r="N596" s="24" t="n">
        <f aca="false">MAX(L596,M596)</f>
        <v>35</v>
      </c>
      <c r="O596" s="25" t="n">
        <v>10.4</v>
      </c>
      <c r="P596" s="25" t="n">
        <f aca="false">N596*O596</f>
        <v>364</v>
      </c>
      <c r="Q596" s="23" t="s">
        <v>6051</v>
      </c>
      <c r="R596" s="23" t="s">
        <v>2804</v>
      </c>
      <c r="S596" s="24" t="n">
        <v>35</v>
      </c>
      <c r="T596" s="25" t="n">
        <v>10.4</v>
      </c>
      <c r="U596" s="25" t="n">
        <v>364</v>
      </c>
      <c r="V596" s="25" t="n">
        <f aca="false">P596-U596</f>
        <v>0</v>
      </c>
      <c r="W596" s="25" t="n">
        <f aca="false">V596*12</f>
        <v>0</v>
      </c>
      <c r="X596" s="23" t="str">
        <f aca="false">IF(Q596="","MISSING FROM EXPORT",IF(ABS(V596)&lt;0.005,"CLEAR",IF(V596&gt;0,"UNDERBILLING","OVERBILLING")))</f>
        <v>CLEAR</v>
      </c>
      <c r="Y596" s="25" t="n">
        <f aca="false">IF(F596="COMMERCIAL",ROUND(P596*0.35,2),0)</f>
        <v>0</v>
      </c>
      <c r="Z596" s="23" t="str">
        <f aca="false">IF(F596="COMMERCIAL","VERIFY SIGNED AGREEMENT","NO EXCEPTION")</f>
        <v>NO EXCEPTION</v>
      </c>
      <c r="AA596" s="23" t="str">
        <f aca="false">IF(AND(C596="covered",N596&gt;40),"COVERED &gt;40 FT","")</f>
        <v/>
      </c>
      <c r="AB596" s="23" t="s">
        <v>6052</v>
      </c>
      <c r="AC596" s="23" t="s">
        <v>6053</v>
      </c>
      <c r="AD596" s="23" t="s">
        <v>2807</v>
      </c>
    </row>
    <row r="597" customFormat="false" ht="17.9" hidden="false" customHeight="false" outlineLevel="0" collapsed="false">
      <c r="A597" s="20" t="s">
        <v>6054</v>
      </c>
      <c r="B597" s="20" t="s">
        <v>79</v>
      </c>
      <c r="C597" s="20" t="s">
        <v>5162</v>
      </c>
      <c r="D597" s="20" t="s">
        <v>6055</v>
      </c>
      <c r="E597" s="20" t="s">
        <v>6056</v>
      </c>
      <c r="F597" s="20" t="s">
        <v>2810</v>
      </c>
      <c r="G597" s="20" t="s">
        <v>3859</v>
      </c>
      <c r="H597" s="22" t="n">
        <v>51.3</v>
      </c>
      <c r="I597" s="22" t="n">
        <v>51.3</v>
      </c>
      <c r="J597" s="22" t="n">
        <f aca="false">H597-I597</f>
        <v>0</v>
      </c>
      <c r="K597" s="20" t="str">
        <f aca="false">IF(ABS(J597)&lt;0.001,"MATCH - PAPER CHECK-IN NOT SUPPLIED","DATA MISMATCH")</f>
        <v>MATCH - PAPER CHECK-IN NOT SUPPLIED</v>
      </c>
      <c r="L597" s="22" t="n">
        <v>36</v>
      </c>
      <c r="M597" s="22" t="n">
        <f aca="false">ROUNDUP(H597,0)</f>
        <v>52</v>
      </c>
      <c r="N597" s="24" t="n">
        <f aca="false">MAX(L597,M597)</f>
        <v>52</v>
      </c>
      <c r="O597" s="25" t="n">
        <v>10.4</v>
      </c>
      <c r="P597" s="25" t="n">
        <f aca="false">N597*O597</f>
        <v>540.8</v>
      </c>
      <c r="Q597" s="23" t="s">
        <v>6057</v>
      </c>
      <c r="R597" s="23" t="s">
        <v>2804</v>
      </c>
      <c r="S597" s="24" t="n">
        <v>52</v>
      </c>
      <c r="T597" s="25" t="n">
        <v>10.4</v>
      </c>
      <c r="U597" s="25" t="n">
        <v>540.8</v>
      </c>
      <c r="V597" s="25" t="n">
        <f aca="false">P597-U597</f>
        <v>0</v>
      </c>
      <c r="W597" s="25" t="n">
        <f aca="false">V597*12</f>
        <v>0</v>
      </c>
      <c r="X597" s="23" t="str">
        <f aca="false">IF(Q597="","MISSING FROM EXPORT",IF(ABS(V597)&lt;0.005,"CLEAR",IF(V597&gt;0,"UNDERBILLING","OVERBILLING")))</f>
        <v>CLEAR</v>
      </c>
      <c r="Y597" s="25" t="n">
        <f aca="false">IF(F597="COMMERCIAL",ROUND(P597*0.35,2),0)</f>
        <v>0</v>
      </c>
      <c r="Z597" s="23" t="str">
        <f aca="false">IF(F597="COMMERCIAL","VERIFY SIGNED AGREEMENT","NO EXCEPTION")</f>
        <v>NO EXCEPTION</v>
      </c>
      <c r="AA597" s="23" t="str">
        <f aca="false">IF(AND(C597="covered",N597&gt;40),"COVERED &gt;40 FT","")</f>
        <v>COVERED &gt;40 FT</v>
      </c>
      <c r="AB597" s="23" t="s">
        <v>6058</v>
      </c>
      <c r="AC597" s="23" t="s">
        <v>6059</v>
      </c>
      <c r="AD597" s="23" t="s">
        <v>2807</v>
      </c>
    </row>
    <row r="598" customFormat="false" ht="17.9" hidden="false" customHeight="false" outlineLevel="0" collapsed="false">
      <c r="A598" s="20" t="s">
        <v>6060</v>
      </c>
      <c r="B598" s="20" t="s">
        <v>79</v>
      </c>
      <c r="C598" s="20" t="s">
        <v>5162</v>
      </c>
      <c r="D598" s="20" t="s">
        <v>6061</v>
      </c>
      <c r="E598" s="20" t="s">
        <v>6062</v>
      </c>
      <c r="F598" s="20" t="s">
        <v>2833</v>
      </c>
      <c r="G598" s="20" t="s">
        <v>3864</v>
      </c>
      <c r="H598" s="22" t="n">
        <v>25.6</v>
      </c>
      <c r="I598" s="22" t="n">
        <v>25.6</v>
      </c>
      <c r="J598" s="22" t="n">
        <f aca="false">H598-I598</f>
        <v>0</v>
      </c>
      <c r="K598" s="20" t="str">
        <f aca="false">IF(ABS(J598)&lt;0.001,"MATCH - PAPER CHECK-IN NOT SUPPLIED","DATA MISMATCH")</f>
        <v>MATCH - PAPER CHECK-IN NOT SUPPLIED</v>
      </c>
      <c r="L598" s="22" t="n">
        <v>28</v>
      </c>
      <c r="M598" s="22" t="n">
        <f aca="false">ROUNDUP(H598,0)</f>
        <v>26</v>
      </c>
      <c r="N598" s="24" t="n">
        <f aca="false">MAX(L598,M598)</f>
        <v>28</v>
      </c>
      <c r="O598" s="25" t="n">
        <v>10.4</v>
      </c>
      <c r="P598" s="25" t="n">
        <f aca="false">N598*O598</f>
        <v>291.2</v>
      </c>
      <c r="Q598" s="23" t="s">
        <v>6063</v>
      </c>
      <c r="R598" s="23" t="s">
        <v>2804</v>
      </c>
      <c r="S598" s="24" t="n">
        <v>28</v>
      </c>
      <c r="T598" s="25" t="n">
        <v>10.4</v>
      </c>
      <c r="U598" s="25" t="n">
        <v>291.2</v>
      </c>
      <c r="V598" s="25" t="n">
        <f aca="false">P598-U598</f>
        <v>0</v>
      </c>
      <c r="W598" s="25" t="n">
        <f aca="false">V598*12</f>
        <v>0</v>
      </c>
      <c r="X598" s="23" t="str">
        <f aca="false">IF(Q598="","MISSING FROM EXPORT",IF(ABS(V598)&lt;0.005,"CLEAR",IF(V598&gt;0,"UNDERBILLING","OVERBILLING")))</f>
        <v>CLEAR</v>
      </c>
      <c r="Y598" s="25" t="n">
        <f aca="false">IF(F598="COMMERCIAL",ROUND(P598*0.35,2),0)</f>
        <v>0</v>
      </c>
      <c r="Z598" s="23" t="str">
        <f aca="false">IF(F598="COMMERCIAL","VERIFY SIGNED AGREEMENT","NO EXCEPTION")</f>
        <v>NO EXCEPTION</v>
      </c>
      <c r="AA598" s="23" t="str">
        <f aca="false">IF(AND(C598="covered",N598&gt;40),"COVERED &gt;40 FT","")</f>
        <v/>
      </c>
      <c r="AB598" s="23" t="s">
        <v>6064</v>
      </c>
      <c r="AC598" s="23" t="s">
        <v>6065</v>
      </c>
      <c r="AD598" s="23" t="s">
        <v>2807</v>
      </c>
    </row>
    <row r="599" customFormat="false" ht="17.9" hidden="false" customHeight="false" outlineLevel="0" collapsed="false">
      <c r="A599" s="20" t="s">
        <v>6066</v>
      </c>
      <c r="B599" s="20" t="s">
        <v>79</v>
      </c>
      <c r="C599" s="20" t="s">
        <v>5162</v>
      </c>
      <c r="D599" s="20" t="s">
        <v>6067</v>
      </c>
      <c r="E599" s="20" t="s">
        <v>6068</v>
      </c>
      <c r="F599" s="20" t="s">
        <v>2857</v>
      </c>
      <c r="G599" s="20" t="s">
        <v>3870</v>
      </c>
      <c r="H599" s="22" t="n">
        <v>37.5</v>
      </c>
      <c r="I599" s="22" t="n">
        <v>37.5</v>
      </c>
      <c r="J599" s="22" t="n">
        <f aca="false">H599-I599</f>
        <v>0</v>
      </c>
      <c r="K599" s="20" t="str">
        <f aca="false">IF(ABS(J599)&lt;0.001,"MATCH - PAPER CHECK-IN NOT SUPPLIED","DATA MISMATCH")</f>
        <v>MATCH - PAPER CHECK-IN NOT SUPPLIED</v>
      </c>
      <c r="L599" s="22" t="n">
        <v>32</v>
      </c>
      <c r="M599" s="22" t="n">
        <f aca="false">ROUNDUP(H599,0)</f>
        <v>38</v>
      </c>
      <c r="N599" s="24" t="n">
        <f aca="false">MAX(L599,M599)</f>
        <v>38</v>
      </c>
      <c r="O599" s="25" t="n">
        <v>10.4</v>
      </c>
      <c r="P599" s="25" t="n">
        <f aca="false">N599*O599</f>
        <v>395.2</v>
      </c>
      <c r="Q599" s="23" t="s">
        <v>6069</v>
      </c>
      <c r="R599" s="23" t="s">
        <v>2804</v>
      </c>
      <c r="S599" s="24" t="n">
        <v>38</v>
      </c>
      <c r="T599" s="25" t="n">
        <v>10.4</v>
      </c>
      <c r="U599" s="25" t="n">
        <v>395.2</v>
      </c>
      <c r="V599" s="25" t="n">
        <f aca="false">P599-U599</f>
        <v>0</v>
      </c>
      <c r="W599" s="25" t="n">
        <f aca="false">V599*12</f>
        <v>0</v>
      </c>
      <c r="X599" s="23" t="str">
        <f aca="false">IF(Q599="","MISSING FROM EXPORT",IF(ABS(V599)&lt;0.005,"CLEAR",IF(V599&gt;0,"UNDERBILLING","OVERBILLING")))</f>
        <v>CLEAR</v>
      </c>
      <c r="Y599" s="25" t="n">
        <f aca="false">IF(F599="COMMERCIAL",ROUND(P599*0.35,2),0)</f>
        <v>0</v>
      </c>
      <c r="Z599" s="23" t="str">
        <f aca="false">IF(F599="COMMERCIAL","VERIFY SIGNED AGREEMENT","NO EXCEPTION")</f>
        <v>NO EXCEPTION</v>
      </c>
      <c r="AA599" s="23" t="str">
        <f aca="false">IF(AND(C599="covered",N599&gt;40),"COVERED &gt;40 FT","")</f>
        <v/>
      </c>
      <c r="AB599" s="23" t="s">
        <v>6070</v>
      </c>
      <c r="AC599" s="23" t="s">
        <v>6071</v>
      </c>
      <c r="AD599" s="23" t="s">
        <v>2807</v>
      </c>
    </row>
    <row r="600" customFormat="false" ht="17.9" hidden="false" customHeight="false" outlineLevel="0" collapsed="false">
      <c r="A600" s="20" t="s">
        <v>6072</v>
      </c>
      <c r="B600" s="20" t="s">
        <v>79</v>
      </c>
      <c r="C600" s="20" t="s">
        <v>5162</v>
      </c>
      <c r="D600" s="20" t="s">
        <v>6073</v>
      </c>
      <c r="E600" s="20" t="s">
        <v>6074</v>
      </c>
      <c r="F600" s="20" t="s">
        <v>2810</v>
      </c>
      <c r="G600" s="20" t="s">
        <v>3876</v>
      </c>
      <c r="H600" s="22" t="n">
        <v>34.5</v>
      </c>
      <c r="I600" s="22" t="n">
        <v>34.5</v>
      </c>
      <c r="J600" s="22" t="n">
        <f aca="false">H600-I600</f>
        <v>0</v>
      </c>
      <c r="K600" s="20" t="str">
        <f aca="false">IF(ABS(J600)&lt;0.001,"MATCH - PAPER CHECK-IN NOT SUPPLIED","DATA MISMATCH")</f>
        <v>MATCH - PAPER CHECK-IN NOT SUPPLIED</v>
      </c>
      <c r="L600" s="22" t="n">
        <v>32</v>
      </c>
      <c r="M600" s="22" t="n">
        <f aca="false">ROUNDUP(H600,0)</f>
        <v>35</v>
      </c>
      <c r="N600" s="24" t="n">
        <f aca="false">MAX(L600,M600)</f>
        <v>35</v>
      </c>
      <c r="O600" s="25" t="n">
        <v>10.4</v>
      </c>
      <c r="P600" s="25" t="n">
        <f aca="false">N600*O600</f>
        <v>364</v>
      </c>
      <c r="Q600" s="23" t="s">
        <v>6075</v>
      </c>
      <c r="R600" s="23" t="s">
        <v>2804</v>
      </c>
      <c r="S600" s="24" t="n">
        <v>35</v>
      </c>
      <c r="T600" s="25" t="n">
        <v>10.4</v>
      </c>
      <c r="U600" s="25" t="n">
        <v>364</v>
      </c>
      <c r="V600" s="25" t="n">
        <f aca="false">P600-U600</f>
        <v>0</v>
      </c>
      <c r="W600" s="25" t="n">
        <f aca="false">V600*12</f>
        <v>0</v>
      </c>
      <c r="X600" s="23" t="str">
        <f aca="false">IF(Q600="","MISSING FROM EXPORT",IF(ABS(V600)&lt;0.005,"CLEAR",IF(V600&gt;0,"UNDERBILLING","OVERBILLING")))</f>
        <v>CLEAR</v>
      </c>
      <c r="Y600" s="25" t="n">
        <f aca="false">IF(F600="COMMERCIAL",ROUND(P600*0.35,2),0)</f>
        <v>0</v>
      </c>
      <c r="Z600" s="23" t="str">
        <f aca="false">IF(F600="COMMERCIAL","VERIFY SIGNED AGREEMENT","NO EXCEPTION")</f>
        <v>NO EXCEPTION</v>
      </c>
      <c r="AA600" s="23" t="str">
        <f aca="false">IF(AND(C600="covered",N600&gt;40),"COVERED &gt;40 FT","")</f>
        <v/>
      </c>
      <c r="AB600" s="23" t="s">
        <v>6076</v>
      </c>
      <c r="AC600" s="23" t="s">
        <v>6077</v>
      </c>
      <c r="AD600" s="23" t="s">
        <v>2807</v>
      </c>
    </row>
    <row r="601" customFormat="false" ht="17.9" hidden="false" customHeight="false" outlineLevel="0" collapsed="false">
      <c r="A601" s="20" t="s">
        <v>6078</v>
      </c>
      <c r="B601" s="20" t="s">
        <v>79</v>
      </c>
      <c r="C601" s="20" t="s">
        <v>5162</v>
      </c>
      <c r="D601" s="20" t="s">
        <v>2585</v>
      </c>
      <c r="E601" s="20" t="s">
        <v>2586</v>
      </c>
      <c r="F601" s="20" t="s">
        <v>2833</v>
      </c>
      <c r="G601" s="20" t="s">
        <v>3882</v>
      </c>
      <c r="H601" s="22" t="n">
        <v>49.8</v>
      </c>
      <c r="I601" s="22" t="n">
        <v>49.8</v>
      </c>
      <c r="J601" s="22" t="n">
        <f aca="false">H601-I601</f>
        <v>0</v>
      </c>
      <c r="K601" s="20" t="str">
        <f aca="false">IF(ABS(J601)&lt;0.001,"MATCH - PAPER CHECK-IN NOT SUPPLIED","DATA MISMATCH")</f>
        <v>MATCH - PAPER CHECK-IN NOT SUPPLIED</v>
      </c>
      <c r="L601" s="22" t="n">
        <v>24</v>
      </c>
      <c r="M601" s="22" t="n">
        <f aca="false">ROUNDUP(H601,0)</f>
        <v>50</v>
      </c>
      <c r="N601" s="24" t="n">
        <f aca="false">MAX(L601,M601)</f>
        <v>50</v>
      </c>
      <c r="O601" s="25" t="n">
        <v>10.4</v>
      </c>
      <c r="P601" s="25" t="n">
        <f aca="false">N601*O601</f>
        <v>520</v>
      </c>
      <c r="Q601" s="23" t="s">
        <v>6079</v>
      </c>
      <c r="R601" s="23" t="s">
        <v>2804</v>
      </c>
      <c r="S601" s="24" t="n">
        <v>50</v>
      </c>
      <c r="T601" s="25" t="n">
        <v>10.4</v>
      </c>
      <c r="U601" s="25" t="n">
        <v>520</v>
      </c>
      <c r="V601" s="25" t="n">
        <f aca="false">P601-U601</f>
        <v>0</v>
      </c>
      <c r="W601" s="25" t="n">
        <f aca="false">V601*12</f>
        <v>0</v>
      </c>
      <c r="X601" s="23" t="str">
        <f aca="false">IF(Q601="","MISSING FROM EXPORT",IF(ABS(V601)&lt;0.005,"CLEAR",IF(V601&gt;0,"UNDERBILLING","OVERBILLING")))</f>
        <v>CLEAR</v>
      </c>
      <c r="Y601" s="25" t="n">
        <f aca="false">IF(F601="COMMERCIAL",ROUND(P601*0.35,2),0)</f>
        <v>0</v>
      </c>
      <c r="Z601" s="23" t="str">
        <f aca="false">IF(F601="COMMERCIAL","VERIFY SIGNED AGREEMENT","NO EXCEPTION")</f>
        <v>NO EXCEPTION</v>
      </c>
      <c r="AA601" s="23" t="str">
        <f aca="false">IF(AND(C601="covered",N601&gt;40),"COVERED &gt;40 FT","")</f>
        <v>COVERED &gt;40 FT</v>
      </c>
      <c r="AB601" s="23" t="s">
        <v>6080</v>
      </c>
      <c r="AC601" s="23" t="s">
        <v>6081</v>
      </c>
      <c r="AD601" s="23" t="s">
        <v>2807</v>
      </c>
    </row>
    <row r="602" customFormat="false" ht="17.9" hidden="false" customHeight="false" outlineLevel="0" collapsed="false">
      <c r="A602" s="20" t="s">
        <v>1298</v>
      </c>
      <c r="B602" s="20" t="s">
        <v>79</v>
      </c>
      <c r="C602" s="20" t="s">
        <v>5162</v>
      </c>
      <c r="D602" s="20" t="s">
        <v>6082</v>
      </c>
      <c r="E602" s="20" t="s">
        <v>6083</v>
      </c>
      <c r="F602" s="20" t="s">
        <v>2833</v>
      </c>
      <c r="G602" s="20" t="s">
        <v>3887</v>
      </c>
      <c r="H602" s="22" t="n">
        <v>47.4</v>
      </c>
      <c r="I602" s="22" t="n">
        <v>47.4</v>
      </c>
      <c r="J602" s="22" t="n">
        <f aca="false">H602-I602</f>
        <v>0</v>
      </c>
      <c r="K602" s="20" t="str">
        <f aca="false">IF(ABS(J602)&lt;0.001,"MATCH - PAPER CHECK-IN NOT SUPPLIED","DATA MISMATCH")</f>
        <v>MATCH - PAPER CHECK-IN NOT SUPPLIED</v>
      </c>
      <c r="L602" s="22" t="n">
        <v>28</v>
      </c>
      <c r="M602" s="22" t="n">
        <f aca="false">ROUNDUP(H602,0)</f>
        <v>48</v>
      </c>
      <c r="N602" s="24" t="n">
        <f aca="false">MAX(L602,M602)</f>
        <v>48</v>
      </c>
      <c r="O602" s="25" t="n">
        <v>10.4</v>
      </c>
      <c r="P602" s="25" t="n">
        <f aca="false">N602*O602</f>
        <v>499.2</v>
      </c>
      <c r="Q602" s="23" t="s">
        <v>6084</v>
      </c>
      <c r="R602" s="23" t="s">
        <v>2804</v>
      </c>
      <c r="S602" s="24" t="n">
        <v>48</v>
      </c>
      <c r="T602" s="25" t="n">
        <v>10.4</v>
      </c>
      <c r="U602" s="25" t="n">
        <v>499.2</v>
      </c>
      <c r="V602" s="25" t="n">
        <f aca="false">P602-U602</f>
        <v>0</v>
      </c>
      <c r="W602" s="25" t="n">
        <f aca="false">V602*12</f>
        <v>0</v>
      </c>
      <c r="X602" s="23" t="str">
        <f aca="false">IF(Q602="","MISSING FROM EXPORT",IF(ABS(V602)&lt;0.005,"CLEAR",IF(V602&gt;0,"UNDERBILLING","OVERBILLING")))</f>
        <v>CLEAR</v>
      </c>
      <c r="Y602" s="25" t="n">
        <f aca="false">IF(F602="COMMERCIAL",ROUND(P602*0.35,2),0)</f>
        <v>0</v>
      </c>
      <c r="Z602" s="23" t="str">
        <f aca="false">IF(F602="COMMERCIAL","VERIFY SIGNED AGREEMENT","NO EXCEPTION")</f>
        <v>NO EXCEPTION</v>
      </c>
      <c r="AA602" s="23" t="str">
        <f aca="false">IF(AND(C602="covered",N602&gt;40),"COVERED &gt;40 FT","")</f>
        <v>COVERED &gt;40 FT</v>
      </c>
      <c r="AB602" s="23" t="s">
        <v>6085</v>
      </c>
      <c r="AC602" s="23" t="s">
        <v>6086</v>
      </c>
      <c r="AD602" s="23" t="s">
        <v>2807</v>
      </c>
    </row>
    <row r="603" customFormat="false" ht="17.9" hidden="false" customHeight="false" outlineLevel="0" collapsed="false">
      <c r="A603" s="20" t="s">
        <v>1179</v>
      </c>
      <c r="B603" s="20" t="s">
        <v>79</v>
      </c>
      <c r="C603" s="20" t="s">
        <v>5162</v>
      </c>
      <c r="D603" s="20" t="s">
        <v>6087</v>
      </c>
      <c r="E603" s="20" t="s">
        <v>6088</v>
      </c>
      <c r="F603" s="20" t="s">
        <v>2934</v>
      </c>
      <c r="G603" s="20" t="s">
        <v>3894</v>
      </c>
      <c r="H603" s="22" t="n">
        <v>22.2</v>
      </c>
      <c r="I603" s="22" t="n">
        <v>22.2</v>
      </c>
      <c r="J603" s="22" t="n">
        <f aca="false">H603-I603</f>
        <v>0</v>
      </c>
      <c r="K603" s="20" t="str">
        <f aca="false">IF(ABS(J603)&lt;0.001,"MATCH - PAPER CHECK-IN NOT SUPPLIED","DATA MISMATCH")</f>
        <v>MATCH - PAPER CHECK-IN NOT SUPPLIED</v>
      </c>
      <c r="L603" s="22" t="n">
        <v>32</v>
      </c>
      <c r="M603" s="22" t="n">
        <f aca="false">ROUNDUP(H603,0)</f>
        <v>23</v>
      </c>
      <c r="N603" s="24" t="n">
        <f aca="false">MAX(L603,M603)</f>
        <v>32</v>
      </c>
      <c r="O603" s="25" t="n">
        <v>10.4</v>
      </c>
      <c r="P603" s="25" t="n">
        <f aca="false">N603*O603</f>
        <v>332.8</v>
      </c>
      <c r="Q603" s="23" t="s">
        <v>6089</v>
      </c>
      <c r="R603" s="23" t="s">
        <v>2804</v>
      </c>
      <c r="S603" s="24" t="n">
        <v>32</v>
      </c>
      <c r="T603" s="25" t="n">
        <v>10.4</v>
      </c>
      <c r="U603" s="25" t="n">
        <v>332.8</v>
      </c>
      <c r="V603" s="25" t="n">
        <f aca="false">P603-U603</f>
        <v>0</v>
      </c>
      <c r="W603" s="25" t="n">
        <f aca="false">V603*12</f>
        <v>0</v>
      </c>
      <c r="X603" s="23" t="str">
        <f aca="false">IF(Q603="","MISSING FROM EXPORT",IF(ABS(V603)&lt;0.005,"CLEAR",IF(V603&gt;0,"UNDERBILLING","OVERBILLING")))</f>
        <v>CLEAR</v>
      </c>
      <c r="Y603" s="25" t="n">
        <f aca="false">IF(F603="COMMERCIAL",ROUND(P603*0.35,2),0)</f>
        <v>116.48</v>
      </c>
      <c r="Z603" s="23" t="str">
        <f aca="false">IF(F603="COMMERCIAL","VERIFY SIGNED AGREEMENT","NO EXCEPTION")</f>
        <v>VERIFY SIGNED AGREEMENT</v>
      </c>
      <c r="AA603" s="23" t="str">
        <f aca="false">IF(AND(C603="covered",N603&gt;40),"COVERED &gt;40 FT","")</f>
        <v/>
      </c>
      <c r="AB603" s="23" t="s">
        <v>6090</v>
      </c>
      <c r="AC603" s="23" t="s">
        <v>6091</v>
      </c>
      <c r="AD603" s="23" t="s">
        <v>2807</v>
      </c>
    </row>
    <row r="604" customFormat="false" ht="17.9" hidden="false" customHeight="false" outlineLevel="0" collapsed="false">
      <c r="A604" s="20" t="s">
        <v>6092</v>
      </c>
      <c r="B604" s="20" t="s">
        <v>79</v>
      </c>
      <c r="C604" s="20" t="s">
        <v>5162</v>
      </c>
      <c r="D604" s="20" t="s">
        <v>6093</v>
      </c>
      <c r="E604" s="20" t="s">
        <v>6094</v>
      </c>
      <c r="F604" s="20" t="s">
        <v>2833</v>
      </c>
      <c r="G604" s="20" t="s">
        <v>3901</v>
      </c>
      <c r="H604" s="22" t="n">
        <v>60.9</v>
      </c>
      <c r="I604" s="22" t="n">
        <v>60.9</v>
      </c>
      <c r="J604" s="22" t="n">
        <f aca="false">H604-I604</f>
        <v>0</v>
      </c>
      <c r="K604" s="20" t="str">
        <f aca="false">IF(ABS(J604)&lt;0.001,"MATCH - PAPER CHECK-IN NOT SUPPLIED","DATA MISMATCH")</f>
        <v>MATCH - PAPER CHECK-IN NOT SUPPLIED</v>
      </c>
      <c r="L604" s="22" t="n">
        <v>28</v>
      </c>
      <c r="M604" s="22" t="n">
        <f aca="false">ROUNDUP(H604,0)</f>
        <v>61</v>
      </c>
      <c r="N604" s="24" t="n">
        <f aca="false">MAX(L604,M604)</f>
        <v>61</v>
      </c>
      <c r="O604" s="25" t="n">
        <v>10.4</v>
      </c>
      <c r="P604" s="25" t="n">
        <f aca="false">N604*O604</f>
        <v>634.4</v>
      </c>
      <c r="Q604" s="23" t="s">
        <v>6095</v>
      </c>
      <c r="R604" s="23" t="s">
        <v>2804</v>
      </c>
      <c r="S604" s="24" t="n">
        <v>61</v>
      </c>
      <c r="T604" s="25" t="n">
        <v>10.4</v>
      </c>
      <c r="U604" s="25" t="n">
        <v>634.4</v>
      </c>
      <c r="V604" s="25" t="n">
        <f aca="false">P604-U604</f>
        <v>0</v>
      </c>
      <c r="W604" s="25" t="n">
        <f aca="false">V604*12</f>
        <v>0</v>
      </c>
      <c r="X604" s="23" t="str">
        <f aca="false">IF(Q604="","MISSING FROM EXPORT",IF(ABS(V604)&lt;0.005,"CLEAR",IF(V604&gt;0,"UNDERBILLING","OVERBILLING")))</f>
        <v>CLEAR</v>
      </c>
      <c r="Y604" s="25" t="n">
        <f aca="false">IF(F604="COMMERCIAL",ROUND(P604*0.35,2),0)</f>
        <v>0</v>
      </c>
      <c r="Z604" s="23" t="str">
        <f aca="false">IF(F604="COMMERCIAL","VERIFY SIGNED AGREEMENT","NO EXCEPTION")</f>
        <v>NO EXCEPTION</v>
      </c>
      <c r="AA604" s="23" t="str">
        <f aca="false">IF(AND(C604="covered",N604&gt;40),"COVERED &gt;40 FT","")</f>
        <v>COVERED &gt;40 FT</v>
      </c>
      <c r="AB604" s="23" t="s">
        <v>6096</v>
      </c>
      <c r="AC604" s="23" t="s">
        <v>6097</v>
      </c>
      <c r="AD604" s="23" t="s">
        <v>2807</v>
      </c>
    </row>
    <row r="605" customFormat="false" ht="17.9" hidden="false" customHeight="false" outlineLevel="0" collapsed="false">
      <c r="A605" s="20" t="s">
        <v>6098</v>
      </c>
      <c r="B605" s="20" t="s">
        <v>79</v>
      </c>
      <c r="C605" s="20" t="s">
        <v>5162</v>
      </c>
      <c r="D605" s="20" t="s">
        <v>6099</v>
      </c>
      <c r="E605" s="20" t="s">
        <v>6100</v>
      </c>
      <c r="F605" s="20" t="s">
        <v>2810</v>
      </c>
      <c r="G605" s="20" t="s">
        <v>3907</v>
      </c>
      <c r="H605" s="22" t="n">
        <v>19.1</v>
      </c>
      <c r="I605" s="22" t="n">
        <v>19.1</v>
      </c>
      <c r="J605" s="22" t="n">
        <f aca="false">H605-I605</f>
        <v>0</v>
      </c>
      <c r="K605" s="20" t="str">
        <f aca="false">IF(ABS(J605)&lt;0.001,"MATCH - PAPER CHECK-IN NOT SUPPLIED","DATA MISMATCH")</f>
        <v>MATCH - PAPER CHECK-IN NOT SUPPLIED</v>
      </c>
      <c r="L605" s="22" t="n">
        <v>32</v>
      </c>
      <c r="M605" s="22" t="n">
        <f aca="false">ROUNDUP(H605,0)</f>
        <v>20</v>
      </c>
      <c r="N605" s="24" t="n">
        <f aca="false">MAX(L605,M605)</f>
        <v>32</v>
      </c>
      <c r="O605" s="25" t="n">
        <v>10.4</v>
      </c>
      <c r="P605" s="25" t="n">
        <f aca="false">N605*O605</f>
        <v>332.8</v>
      </c>
      <c r="Q605" s="23" t="s">
        <v>6101</v>
      </c>
      <c r="R605" s="23" t="s">
        <v>2804</v>
      </c>
      <c r="S605" s="24" t="n">
        <v>32</v>
      </c>
      <c r="T605" s="25" t="n">
        <v>10.4</v>
      </c>
      <c r="U605" s="25" t="n">
        <v>332.8</v>
      </c>
      <c r="V605" s="25" t="n">
        <f aca="false">P605-U605</f>
        <v>0</v>
      </c>
      <c r="W605" s="25" t="n">
        <f aca="false">V605*12</f>
        <v>0</v>
      </c>
      <c r="X605" s="23" t="str">
        <f aca="false">IF(Q605="","MISSING FROM EXPORT",IF(ABS(V605)&lt;0.005,"CLEAR",IF(V605&gt;0,"UNDERBILLING","OVERBILLING")))</f>
        <v>CLEAR</v>
      </c>
      <c r="Y605" s="25" t="n">
        <f aca="false">IF(F605="COMMERCIAL",ROUND(P605*0.35,2),0)</f>
        <v>0</v>
      </c>
      <c r="Z605" s="23" t="str">
        <f aca="false">IF(F605="COMMERCIAL","VERIFY SIGNED AGREEMENT","NO EXCEPTION")</f>
        <v>NO EXCEPTION</v>
      </c>
      <c r="AA605" s="23" t="str">
        <f aca="false">IF(AND(C605="covered",N605&gt;40),"COVERED &gt;40 FT","")</f>
        <v/>
      </c>
      <c r="AB605" s="23" t="s">
        <v>6102</v>
      </c>
      <c r="AC605" s="23" t="s">
        <v>6103</v>
      </c>
      <c r="AD605" s="23" t="s">
        <v>2807</v>
      </c>
    </row>
    <row r="606" customFormat="false" ht="17.9" hidden="false" customHeight="false" outlineLevel="0" collapsed="false">
      <c r="A606" s="20" t="s">
        <v>1763</v>
      </c>
      <c r="B606" s="20" t="s">
        <v>79</v>
      </c>
      <c r="C606" s="20" t="s">
        <v>5162</v>
      </c>
      <c r="D606" s="20" t="s">
        <v>1761</v>
      </c>
      <c r="E606" s="20" t="s">
        <v>1762</v>
      </c>
      <c r="F606" s="20" t="s">
        <v>2833</v>
      </c>
      <c r="G606" s="20" t="s">
        <v>4991</v>
      </c>
      <c r="H606" s="22" t="n">
        <v>43.9</v>
      </c>
      <c r="I606" s="22" t="n">
        <v>43.9</v>
      </c>
      <c r="J606" s="22" t="n">
        <f aca="false">H606-I606</f>
        <v>0</v>
      </c>
      <c r="K606" s="20" t="str">
        <f aca="false">IF(ABS(J606)&lt;0.001,"MATCH - PAPER CHECK-IN NOT SUPPLIED","DATA MISMATCH")</f>
        <v>MATCH - PAPER CHECK-IN NOT SUPPLIED</v>
      </c>
      <c r="L606" s="22" t="n">
        <v>32</v>
      </c>
      <c r="M606" s="22" t="n">
        <f aca="false">ROUNDUP(H606,0)</f>
        <v>44</v>
      </c>
      <c r="N606" s="24" t="n">
        <f aca="false">MAX(L606,M606)</f>
        <v>44</v>
      </c>
      <c r="O606" s="25" t="n">
        <v>10.4</v>
      </c>
      <c r="P606" s="25" t="n">
        <f aca="false">N606*O606</f>
        <v>457.6</v>
      </c>
      <c r="Q606" s="23" t="s">
        <v>6104</v>
      </c>
      <c r="R606" s="23" t="s">
        <v>2804</v>
      </c>
      <c r="S606" s="24" t="n">
        <v>44</v>
      </c>
      <c r="T606" s="25" t="n">
        <v>10.4</v>
      </c>
      <c r="U606" s="25" t="n">
        <v>457.6</v>
      </c>
      <c r="V606" s="25" t="n">
        <f aca="false">P606-U606</f>
        <v>0</v>
      </c>
      <c r="W606" s="25" t="n">
        <f aca="false">V606*12</f>
        <v>0</v>
      </c>
      <c r="X606" s="23" t="str">
        <f aca="false">IF(Q606="","MISSING FROM EXPORT",IF(ABS(V606)&lt;0.005,"CLEAR",IF(V606&gt;0,"UNDERBILLING","OVERBILLING")))</f>
        <v>CLEAR</v>
      </c>
      <c r="Y606" s="25" t="n">
        <f aca="false">IF(F606="COMMERCIAL",ROUND(P606*0.35,2),0)</f>
        <v>0</v>
      </c>
      <c r="Z606" s="23" t="str">
        <f aca="false">IF(F606="COMMERCIAL","VERIFY SIGNED AGREEMENT","NO EXCEPTION")</f>
        <v>NO EXCEPTION</v>
      </c>
      <c r="AA606" s="23" t="str">
        <f aca="false">IF(AND(C606="covered",N606&gt;40),"COVERED &gt;40 FT","")</f>
        <v>COVERED &gt;40 FT</v>
      </c>
      <c r="AB606" s="23" t="s">
        <v>6105</v>
      </c>
      <c r="AC606" s="23" t="s">
        <v>6106</v>
      </c>
      <c r="AD606" s="23" t="s">
        <v>2807</v>
      </c>
    </row>
    <row r="607" customFormat="false" ht="17.9" hidden="false" customHeight="false" outlineLevel="0" collapsed="false">
      <c r="A607" s="20" t="s">
        <v>6107</v>
      </c>
      <c r="B607" s="20" t="s">
        <v>79</v>
      </c>
      <c r="C607" s="20" t="s">
        <v>5162</v>
      </c>
      <c r="D607" s="20" t="s">
        <v>6108</v>
      </c>
      <c r="E607" s="20" t="s">
        <v>6109</v>
      </c>
      <c r="F607" s="20" t="s">
        <v>2818</v>
      </c>
      <c r="G607" s="20" t="s">
        <v>3914</v>
      </c>
      <c r="H607" s="22" t="n">
        <v>53.2</v>
      </c>
      <c r="I607" s="22" t="n">
        <v>53.2</v>
      </c>
      <c r="J607" s="22" t="n">
        <f aca="false">H607-I607</f>
        <v>0</v>
      </c>
      <c r="K607" s="20" t="str">
        <f aca="false">IF(ABS(J607)&lt;0.001,"MATCH - PAPER CHECK-IN NOT SUPPLIED","DATA MISMATCH")</f>
        <v>MATCH - PAPER CHECK-IN NOT SUPPLIED</v>
      </c>
      <c r="L607" s="22" t="n">
        <v>28</v>
      </c>
      <c r="M607" s="22" t="n">
        <f aca="false">ROUNDUP(H607,0)</f>
        <v>54</v>
      </c>
      <c r="N607" s="24" t="n">
        <f aca="false">MAX(L607,M607)</f>
        <v>54</v>
      </c>
      <c r="O607" s="25" t="n">
        <v>10.4</v>
      </c>
      <c r="P607" s="25" t="n">
        <f aca="false">N607*O607</f>
        <v>561.6</v>
      </c>
      <c r="Q607" s="23" t="s">
        <v>6110</v>
      </c>
      <c r="R607" s="23" t="s">
        <v>2804</v>
      </c>
      <c r="S607" s="24" t="n">
        <v>54</v>
      </c>
      <c r="T607" s="25" t="n">
        <v>10.4</v>
      </c>
      <c r="U607" s="25" t="n">
        <v>561.6</v>
      </c>
      <c r="V607" s="25" t="n">
        <f aca="false">P607-U607</f>
        <v>0</v>
      </c>
      <c r="W607" s="25" t="n">
        <f aca="false">V607*12</f>
        <v>0</v>
      </c>
      <c r="X607" s="23" t="str">
        <f aca="false">IF(Q607="","MISSING FROM EXPORT",IF(ABS(V607)&lt;0.005,"CLEAR",IF(V607&gt;0,"UNDERBILLING","OVERBILLING")))</f>
        <v>CLEAR</v>
      </c>
      <c r="Y607" s="25" t="n">
        <f aca="false">IF(F607="COMMERCIAL",ROUND(P607*0.35,2),0)</f>
        <v>0</v>
      </c>
      <c r="Z607" s="23" t="str">
        <f aca="false">IF(F607="COMMERCIAL","VERIFY SIGNED AGREEMENT","NO EXCEPTION")</f>
        <v>NO EXCEPTION</v>
      </c>
      <c r="AA607" s="23" t="str">
        <f aca="false">IF(AND(C607="covered",N607&gt;40),"COVERED &gt;40 FT","")</f>
        <v>COVERED &gt;40 FT</v>
      </c>
      <c r="AB607" s="23" t="s">
        <v>6111</v>
      </c>
      <c r="AC607" s="23" t="s">
        <v>6112</v>
      </c>
      <c r="AD607" s="23" t="s">
        <v>2807</v>
      </c>
    </row>
    <row r="608" customFormat="false" ht="17.9" hidden="false" customHeight="false" outlineLevel="0" collapsed="false">
      <c r="A608" s="20" t="s">
        <v>1078</v>
      </c>
      <c r="B608" s="20" t="s">
        <v>79</v>
      </c>
      <c r="C608" s="20" t="s">
        <v>5162</v>
      </c>
      <c r="D608" s="20" t="s">
        <v>6113</v>
      </c>
      <c r="E608" s="20" t="s">
        <v>6114</v>
      </c>
      <c r="F608" s="20" t="s">
        <v>2810</v>
      </c>
      <c r="G608" s="20" t="s">
        <v>3921</v>
      </c>
      <c r="H608" s="22" t="n">
        <v>60.7</v>
      </c>
      <c r="I608" s="22" t="n">
        <v>60.7</v>
      </c>
      <c r="J608" s="22" t="n">
        <f aca="false">H608-I608</f>
        <v>0</v>
      </c>
      <c r="K608" s="20" t="str">
        <f aca="false">IF(ABS(J608)&lt;0.001,"MATCH - PAPER CHECK-IN NOT SUPPLIED","DATA MISMATCH")</f>
        <v>MATCH - PAPER CHECK-IN NOT SUPPLIED</v>
      </c>
      <c r="L608" s="22" t="n">
        <v>36</v>
      </c>
      <c r="M608" s="22" t="n">
        <f aca="false">ROUNDUP(H608,0)</f>
        <v>61</v>
      </c>
      <c r="N608" s="24" t="n">
        <f aca="false">MAX(L608,M608)</f>
        <v>61</v>
      </c>
      <c r="O608" s="25" t="n">
        <v>10.4</v>
      </c>
      <c r="P608" s="25" t="n">
        <f aca="false">N608*O608</f>
        <v>634.4</v>
      </c>
      <c r="Q608" s="23" t="s">
        <v>6115</v>
      </c>
      <c r="R608" s="23" t="s">
        <v>2804</v>
      </c>
      <c r="S608" s="24" t="n">
        <v>61</v>
      </c>
      <c r="T608" s="25" t="n">
        <v>10.4</v>
      </c>
      <c r="U608" s="25" t="n">
        <v>634.4</v>
      </c>
      <c r="V608" s="25" t="n">
        <f aca="false">P608-U608</f>
        <v>0</v>
      </c>
      <c r="W608" s="25" t="n">
        <f aca="false">V608*12</f>
        <v>0</v>
      </c>
      <c r="X608" s="23" t="str">
        <f aca="false">IF(Q608="","MISSING FROM EXPORT",IF(ABS(V608)&lt;0.005,"CLEAR",IF(V608&gt;0,"UNDERBILLING","OVERBILLING")))</f>
        <v>CLEAR</v>
      </c>
      <c r="Y608" s="25" t="n">
        <f aca="false">IF(F608="COMMERCIAL",ROUND(P608*0.35,2),0)</f>
        <v>0</v>
      </c>
      <c r="Z608" s="23" t="str">
        <f aca="false">IF(F608="COMMERCIAL","VERIFY SIGNED AGREEMENT","NO EXCEPTION")</f>
        <v>NO EXCEPTION</v>
      </c>
      <c r="AA608" s="23" t="str">
        <f aca="false">IF(AND(C608="covered",N608&gt;40),"COVERED &gt;40 FT","")</f>
        <v>COVERED &gt;40 FT</v>
      </c>
      <c r="AB608" s="23" t="s">
        <v>6116</v>
      </c>
      <c r="AC608" s="23" t="s">
        <v>6117</v>
      </c>
      <c r="AD608" s="23" t="s">
        <v>2807</v>
      </c>
    </row>
    <row r="609" customFormat="false" ht="17.9" hidden="false" customHeight="false" outlineLevel="0" collapsed="false">
      <c r="A609" s="20" t="s">
        <v>6118</v>
      </c>
      <c r="B609" s="20" t="s">
        <v>79</v>
      </c>
      <c r="C609" s="20" t="s">
        <v>5162</v>
      </c>
      <c r="D609" s="20" t="s">
        <v>6119</v>
      </c>
      <c r="E609" s="20" t="s">
        <v>6120</v>
      </c>
      <c r="F609" s="20" t="s">
        <v>2833</v>
      </c>
      <c r="G609" s="20" t="s">
        <v>3928</v>
      </c>
      <c r="H609" s="22" t="n">
        <v>42.5</v>
      </c>
      <c r="I609" s="22" t="n">
        <v>42.5</v>
      </c>
      <c r="J609" s="22" t="n">
        <f aca="false">H609-I609</f>
        <v>0</v>
      </c>
      <c r="K609" s="20" t="str">
        <f aca="false">IF(ABS(J609)&lt;0.001,"MATCH - PAPER CHECK-IN NOT SUPPLIED","DATA MISMATCH")</f>
        <v>MATCH - PAPER CHECK-IN NOT SUPPLIED</v>
      </c>
      <c r="L609" s="22" t="n">
        <v>24</v>
      </c>
      <c r="M609" s="22" t="n">
        <f aca="false">ROUNDUP(H609,0)</f>
        <v>43</v>
      </c>
      <c r="N609" s="24" t="n">
        <f aca="false">MAX(L609,M609)</f>
        <v>43</v>
      </c>
      <c r="O609" s="25" t="n">
        <v>10.4</v>
      </c>
      <c r="P609" s="25" t="n">
        <f aca="false">N609*O609</f>
        <v>447.2</v>
      </c>
      <c r="Q609" s="23" t="s">
        <v>6121</v>
      </c>
      <c r="R609" s="23" t="s">
        <v>2804</v>
      </c>
      <c r="S609" s="24" t="n">
        <v>43</v>
      </c>
      <c r="T609" s="25" t="n">
        <v>10.4</v>
      </c>
      <c r="U609" s="25" t="n">
        <v>447.2</v>
      </c>
      <c r="V609" s="25" t="n">
        <f aca="false">P609-U609</f>
        <v>0</v>
      </c>
      <c r="W609" s="25" t="n">
        <f aca="false">V609*12</f>
        <v>0</v>
      </c>
      <c r="X609" s="23" t="str">
        <f aca="false">IF(Q609="","MISSING FROM EXPORT",IF(ABS(V609)&lt;0.005,"CLEAR",IF(V609&gt;0,"UNDERBILLING","OVERBILLING")))</f>
        <v>CLEAR</v>
      </c>
      <c r="Y609" s="25" t="n">
        <f aca="false">IF(F609="COMMERCIAL",ROUND(P609*0.35,2),0)</f>
        <v>0</v>
      </c>
      <c r="Z609" s="23" t="str">
        <f aca="false">IF(F609="COMMERCIAL","VERIFY SIGNED AGREEMENT","NO EXCEPTION")</f>
        <v>NO EXCEPTION</v>
      </c>
      <c r="AA609" s="23" t="str">
        <f aca="false">IF(AND(C609="covered",N609&gt;40),"COVERED &gt;40 FT","")</f>
        <v>COVERED &gt;40 FT</v>
      </c>
      <c r="AB609" s="23" t="s">
        <v>6122</v>
      </c>
      <c r="AC609" s="23" t="s">
        <v>6123</v>
      </c>
      <c r="AD609" s="23" t="s">
        <v>2807</v>
      </c>
    </row>
    <row r="610" customFormat="false" ht="17.9" hidden="false" customHeight="false" outlineLevel="0" collapsed="false">
      <c r="A610" s="20" t="s">
        <v>6124</v>
      </c>
      <c r="B610" s="20" t="s">
        <v>79</v>
      </c>
      <c r="C610" s="20" t="s">
        <v>5162</v>
      </c>
      <c r="D610" s="20" t="s">
        <v>6125</v>
      </c>
      <c r="E610" s="20" t="s">
        <v>6126</v>
      </c>
      <c r="F610" s="20" t="s">
        <v>2934</v>
      </c>
      <c r="G610" s="20" t="s">
        <v>6127</v>
      </c>
      <c r="H610" s="22" t="n">
        <v>48.1</v>
      </c>
      <c r="I610" s="22" t="n">
        <v>48.1</v>
      </c>
      <c r="J610" s="22" t="n">
        <f aca="false">H610-I610</f>
        <v>0</v>
      </c>
      <c r="K610" s="20" t="str">
        <f aca="false">IF(ABS(J610)&lt;0.001,"MATCH - PAPER CHECK-IN NOT SUPPLIED","DATA MISMATCH")</f>
        <v>MATCH - PAPER CHECK-IN NOT SUPPLIED</v>
      </c>
      <c r="L610" s="22" t="n">
        <v>40</v>
      </c>
      <c r="M610" s="22" t="n">
        <f aca="false">ROUNDUP(H610,0)</f>
        <v>49</v>
      </c>
      <c r="N610" s="24" t="n">
        <f aca="false">MAX(L610,M610)</f>
        <v>49</v>
      </c>
      <c r="O610" s="25" t="n">
        <v>10.4</v>
      </c>
      <c r="P610" s="25" t="n">
        <f aca="false">N610*O610</f>
        <v>509.6</v>
      </c>
      <c r="Q610" s="23" t="s">
        <v>6128</v>
      </c>
      <c r="R610" s="23" t="s">
        <v>2804</v>
      </c>
      <c r="S610" s="24" t="n">
        <v>49</v>
      </c>
      <c r="T610" s="25" t="n">
        <v>10.4</v>
      </c>
      <c r="U610" s="25" t="n">
        <v>509.6</v>
      </c>
      <c r="V610" s="25" t="n">
        <f aca="false">P610-U610</f>
        <v>0</v>
      </c>
      <c r="W610" s="25" t="n">
        <f aca="false">V610*12</f>
        <v>0</v>
      </c>
      <c r="X610" s="23" t="str">
        <f aca="false">IF(Q610="","MISSING FROM EXPORT",IF(ABS(V610)&lt;0.005,"CLEAR",IF(V610&gt;0,"UNDERBILLING","OVERBILLING")))</f>
        <v>CLEAR</v>
      </c>
      <c r="Y610" s="25" t="n">
        <f aca="false">IF(F610="COMMERCIAL",ROUND(P610*0.35,2),0)</f>
        <v>178.36</v>
      </c>
      <c r="Z610" s="23" t="str">
        <f aca="false">IF(F610="COMMERCIAL","VERIFY SIGNED AGREEMENT","NO EXCEPTION")</f>
        <v>VERIFY SIGNED AGREEMENT</v>
      </c>
      <c r="AA610" s="23" t="str">
        <f aca="false">IF(AND(C610="covered",N610&gt;40),"COVERED &gt;40 FT","")</f>
        <v>COVERED &gt;40 FT</v>
      </c>
      <c r="AB610" s="23" t="s">
        <v>6129</v>
      </c>
      <c r="AC610" s="23" t="s">
        <v>6130</v>
      </c>
      <c r="AD610" s="23" t="s">
        <v>2807</v>
      </c>
    </row>
    <row r="611" customFormat="false" ht="17.9" hidden="false" customHeight="false" outlineLevel="0" collapsed="false">
      <c r="A611" s="20" t="s">
        <v>1242</v>
      </c>
      <c r="B611" s="20" t="s">
        <v>79</v>
      </c>
      <c r="C611" s="20" t="s">
        <v>5162</v>
      </c>
      <c r="D611" s="20" t="s">
        <v>6131</v>
      </c>
      <c r="E611" s="20" t="s">
        <v>6132</v>
      </c>
      <c r="F611" s="20" t="s">
        <v>2833</v>
      </c>
      <c r="G611" s="20" t="s">
        <v>3935</v>
      </c>
      <c r="H611" s="22" t="n">
        <v>24.3</v>
      </c>
      <c r="I611" s="22" t="n">
        <v>24.3</v>
      </c>
      <c r="J611" s="22" t="n">
        <f aca="false">H611-I611</f>
        <v>0</v>
      </c>
      <c r="K611" s="20" t="str">
        <f aca="false">IF(ABS(J611)&lt;0.001,"MATCH - PAPER CHECK-IN NOT SUPPLIED","DATA MISMATCH")</f>
        <v>MATCH - PAPER CHECK-IN NOT SUPPLIED</v>
      </c>
      <c r="L611" s="22" t="n">
        <v>40</v>
      </c>
      <c r="M611" s="22" t="n">
        <f aca="false">ROUNDUP(H611,0)</f>
        <v>25</v>
      </c>
      <c r="N611" s="24" t="n">
        <f aca="false">MAX(L611,M611)</f>
        <v>40</v>
      </c>
      <c r="O611" s="25" t="n">
        <v>10.4</v>
      </c>
      <c r="P611" s="25" t="n">
        <f aca="false">N611*O611</f>
        <v>416</v>
      </c>
      <c r="Q611" s="23" t="s">
        <v>6133</v>
      </c>
      <c r="R611" s="23" t="s">
        <v>2804</v>
      </c>
      <c r="S611" s="24" t="n">
        <v>40</v>
      </c>
      <c r="T611" s="25" t="n">
        <v>10.4</v>
      </c>
      <c r="U611" s="25" t="n">
        <v>416</v>
      </c>
      <c r="V611" s="25" t="n">
        <f aca="false">P611-U611</f>
        <v>0</v>
      </c>
      <c r="W611" s="25" t="n">
        <f aca="false">V611*12</f>
        <v>0</v>
      </c>
      <c r="X611" s="23" t="str">
        <f aca="false">IF(Q611="","MISSING FROM EXPORT",IF(ABS(V611)&lt;0.005,"CLEAR",IF(V611&gt;0,"UNDERBILLING","OVERBILLING")))</f>
        <v>CLEAR</v>
      </c>
      <c r="Y611" s="25" t="n">
        <f aca="false">IF(F611="COMMERCIAL",ROUND(P611*0.35,2),0)</f>
        <v>0</v>
      </c>
      <c r="Z611" s="23" t="str">
        <f aca="false">IF(F611="COMMERCIAL","VERIFY SIGNED AGREEMENT","NO EXCEPTION")</f>
        <v>NO EXCEPTION</v>
      </c>
      <c r="AA611" s="23" t="str">
        <f aca="false">IF(AND(C611="covered",N611&gt;40),"COVERED &gt;40 FT","")</f>
        <v/>
      </c>
      <c r="AB611" s="23" t="s">
        <v>6134</v>
      </c>
      <c r="AC611" s="23" t="s">
        <v>6135</v>
      </c>
      <c r="AD611" s="23" t="s">
        <v>2807</v>
      </c>
    </row>
    <row r="612" customFormat="false" ht="17.9" hidden="false" customHeight="false" outlineLevel="0" collapsed="false">
      <c r="A612" s="20" t="s">
        <v>6136</v>
      </c>
      <c r="B612" s="20" t="s">
        <v>79</v>
      </c>
      <c r="C612" s="20" t="s">
        <v>5162</v>
      </c>
      <c r="D612" s="20" t="s">
        <v>6137</v>
      </c>
      <c r="E612" s="20" t="s">
        <v>6138</v>
      </c>
      <c r="F612" s="20" t="s">
        <v>2833</v>
      </c>
      <c r="G612" s="20" t="s">
        <v>3939</v>
      </c>
      <c r="H612" s="22" t="n">
        <v>57.6</v>
      </c>
      <c r="I612" s="22" t="n">
        <v>57.6</v>
      </c>
      <c r="J612" s="22" t="n">
        <f aca="false">H612-I612</f>
        <v>0</v>
      </c>
      <c r="K612" s="20" t="str">
        <f aca="false">IF(ABS(J612)&lt;0.001,"MATCH - PAPER CHECK-IN NOT SUPPLIED","DATA MISMATCH")</f>
        <v>MATCH - PAPER CHECK-IN NOT SUPPLIED</v>
      </c>
      <c r="L612" s="22" t="n">
        <v>32</v>
      </c>
      <c r="M612" s="22" t="n">
        <f aca="false">ROUNDUP(H612,0)</f>
        <v>58</v>
      </c>
      <c r="N612" s="24" t="n">
        <f aca="false">MAX(L612,M612)</f>
        <v>58</v>
      </c>
      <c r="O612" s="25" t="n">
        <v>10.4</v>
      </c>
      <c r="P612" s="25" t="n">
        <f aca="false">N612*O612</f>
        <v>603.2</v>
      </c>
      <c r="Q612" s="23" t="s">
        <v>6139</v>
      </c>
      <c r="R612" s="23" t="s">
        <v>2804</v>
      </c>
      <c r="S612" s="24" t="n">
        <v>58</v>
      </c>
      <c r="T612" s="25" t="n">
        <v>10.4</v>
      </c>
      <c r="U612" s="25" t="n">
        <v>603.2</v>
      </c>
      <c r="V612" s="25" t="n">
        <f aca="false">P612-U612</f>
        <v>0</v>
      </c>
      <c r="W612" s="25" t="n">
        <f aca="false">V612*12</f>
        <v>0</v>
      </c>
      <c r="X612" s="23" t="str">
        <f aca="false">IF(Q612="","MISSING FROM EXPORT",IF(ABS(V612)&lt;0.005,"CLEAR",IF(V612&gt;0,"UNDERBILLING","OVERBILLING")))</f>
        <v>CLEAR</v>
      </c>
      <c r="Y612" s="25" t="n">
        <f aca="false">IF(F612="COMMERCIAL",ROUND(P612*0.35,2),0)</f>
        <v>0</v>
      </c>
      <c r="Z612" s="23" t="str">
        <f aca="false">IF(F612="COMMERCIAL","VERIFY SIGNED AGREEMENT","NO EXCEPTION")</f>
        <v>NO EXCEPTION</v>
      </c>
      <c r="AA612" s="23" t="str">
        <f aca="false">IF(AND(C612="covered",N612&gt;40),"COVERED &gt;40 FT","")</f>
        <v>COVERED &gt;40 FT</v>
      </c>
      <c r="AB612" s="23" t="s">
        <v>6140</v>
      </c>
      <c r="AC612" s="23" t="s">
        <v>6141</v>
      </c>
      <c r="AD612" s="23" t="s">
        <v>2807</v>
      </c>
    </row>
    <row r="613" customFormat="false" ht="17.9" hidden="false" customHeight="false" outlineLevel="0" collapsed="false">
      <c r="A613" s="20" t="s">
        <v>6142</v>
      </c>
      <c r="B613" s="20" t="s">
        <v>79</v>
      </c>
      <c r="C613" s="20" t="s">
        <v>5162</v>
      </c>
      <c r="D613" s="20" t="s">
        <v>323</v>
      </c>
      <c r="E613" s="20" t="s">
        <v>6143</v>
      </c>
      <c r="F613" s="20" t="s">
        <v>2934</v>
      </c>
      <c r="G613" s="20" t="s">
        <v>3946</v>
      </c>
      <c r="H613" s="22" t="n">
        <v>20.2</v>
      </c>
      <c r="I613" s="22" t="n">
        <v>20.2</v>
      </c>
      <c r="J613" s="22" t="n">
        <f aca="false">H613-I613</f>
        <v>0</v>
      </c>
      <c r="K613" s="20" t="str">
        <f aca="false">IF(ABS(J613)&lt;0.001,"MATCH - PAPER CHECK-IN NOT SUPPLIED","DATA MISMATCH")</f>
        <v>MATCH - PAPER CHECK-IN NOT SUPPLIED</v>
      </c>
      <c r="L613" s="22" t="n">
        <v>36</v>
      </c>
      <c r="M613" s="22" t="n">
        <f aca="false">ROUNDUP(H613,0)</f>
        <v>21</v>
      </c>
      <c r="N613" s="24" t="n">
        <f aca="false">MAX(L613,M613)</f>
        <v>36</v>
      </c>
      <c r="O613" s="25" t="n">
        <v>10.4</v>
      </c>
      <c r="P613" s="25" t="n">
        <f aca="false">N613*O613</f>
        <v>374.4</v>
      </c>
      <c r="Q613" s="23" t="s">
        <v>6144</v>
      </c>
      <c r="R613" s="23" t="s">
        <v>2804</v>
      </c>
      <c r="S613" s="24" t="n">
        <v>36</v>
      </c>
      <c r="T613" s="25" t="n">
        <v>10.4</v>
      </c>
      <c r="U613" s="25" t="n">
        <v>374.4</v>
      </c>
      <c r="V613" s="25" t="n">
        <f aca="false">P613-U613</f>
        <v>0</v>
      </c>
      <c r="W613" s="25" t="n">
        <f aca="false">V613*12</f>
        <v>0</v>
      </c>
      <c r="X613" s="23" t="str">
        <f aca="false">IF(Q613="","MISSING FROM EXPORT",IF(ABS(V613)&lt;0.005,"CLEAR",IF(V613&gt;0,"UNDERBILLING","OVERBILLING")))</f>
        <v>CLEAR</v>
      </c>
      <c r="Y613" s="25" t="n">
        <f aca="false">IF(F613="COMMERCIAL",ROUND(P613*0.35,2),0)</f>
        <v>131.04</v>
      </c>
      <c r="Z613" s="23" t="str">
        <f aca="false">IF(F613="COMMERCIAL","VERIFY SIGNED AGREEMENT","NO EXCEPTION")</f>
        <v>VERIFY SIGNED AGREEMENT</v>
      </c>
      <c r="AA613" s="23" t="str">
        <f aca="false">IF(AND(C613="covered",N613&gt;40),"COVERED &gt;40 FT","")</f>
        <v/>
      </c>
      <c r="AB613" s="23" t="s">
        <v>6145</v>
      </c>
      <c r="AC613" s="23" t="s">
        <v>6146</v>
      </c>
      <c r="AD613" s="23" t="s">
        <v>2807</v>
      </c>
    </row>
    <row r="614" customFormat="false" ht="17.9" hidden="false" customHeight="false" outlineLevel="0" collapsed="false">
      <c r="A614" s="20" t="s">
        <v>6147</v>
      </c>
      <c r="B614" s="20" t="s">
        <v>79</v>
      </c>
      <c r="C614" s="20" t="s">
        <v>5162</v>
      </c>
      <c r="D614" s="20" t="s">
        <v>6148</v>
      </c>
      <c r="E614" s="20" t="s">
        <v>6149</v>
      </c>
      <c r="F614" s="20" t="s">
        <v>2898</v>
      </c>
      <c r="G614" s="20" t="s">
        <v>3953</v>
      </c>
      <c r="H614" s="22" t="n">
        <v>61.6</v>
      </c>
      <c r="I614" s="22" t="n">
        <v>61.6</v>
      </c>
      <c r="J614" s="22" t="n">
        <f aca="false">H614-I614</f>
        <v>0</v>
      </c>
      <c r="K614" s="20" t="str">
        <f aca="false">IF(ABS(J614)&lt;0.001,"MATCH - PAPER CHECK-IN NOT SUPPLIED","DATA MISMATCH")</f>
        <v>MATCH - PAPER CHECK-IN NOT SUPPLIED</v>
      </c>
      <c r="L614" s="22" t="n">
        <v>32</v>
      </c>
      <c r="M614" s="22" t="n">
        <f aca="false">ROUNDUP(H614,0)</f>
        <v>62</v>
      </c>
      <c r="N614" s="24" t="n">
        <f aca="false">MAX(L614,M614)</f>
        <v>62</v>
      </c>
      <c r="O614" s="25" t="n">
        <v>10.4</v>
      </c>
      <c r="P614" s="25" t="n">
        <f aca="false">N614*O614</f>
        <v>644.8</v>
      </c>
      <c r="Q614" s="23" t="s">
        <v>6150</v>
      </c>
      <c r="R614" s="23" t="s">
        <v>2804</v>
      </c>
      <c r="S614" s="24" t="n">
        <v>62</v>
      </c>
      <c r="T614" s="25" t="n">
        <v>10.4</v>
      </c>
      <c r="U614" s="25" t="n">
        <v>644.8</v>
      </c>
      <c r="V614" s="25" t="n">
        <f aca="false">P614-U614</f>
        <v>0</v>
      </c>
      <c r="W614" s="25" t="n">
        <f aca="false">V614*12</f>
        <v>0</v>
      </c>
      <c r="X614" s="23" t="str">
        <f aca="false">IF(Q614="","MISSING FROM EXPORT",IF(ABS(V614)&lt;0.005,"CLEAR",IF(V614&gt;0,"UNDERBILLING","OVERBILLING")))</f>
        <v>CLEAR</v>
      </c>
      <c r="Y614" s="25" t="n">
        <f aca="false">IF(F614="COMMERCIAL",ROUND(P614*0.35,2),0)</f>
        <v>0</v>
      </c>
      <c r="Z614" s="23" t="str">
        <f aca="false">IF(F614="COMMERCIAL","VERIFY SIGNED AGREEMENT","NO EXCEPTION")</f>
        <v>NO EXCEPTION</v>
      </c>
      <c r="AA614" s="23" t="str">
        <f aca="false">IF(AND(C614="covered",N614&gt;40),"COVERED &gt;40 FT","")</f>
        <v>COVERED &gt;40 FT</v>
      </c>
      <c r="AB614" s="23" t="s">
        <v>6151</v>
      </c>
      <c r="AC614" s="23" t="s">
        <v>6152</v>
      </c>
      <c r="AD614" s="23" t="s">
        <v>2807</v>
      </c>
    </row>
    <row r="615" customFormat="false" ht="17.9" hidden="false" customHeight="false" outlineLevel="0" collapsed="false">
      <c r="A615" s="20" t="s">
        <v>6153</v>
      </c>
      <c r="B615" s="20" t="s">
        <v>79</v>
      </c>
      <c r="C615" s="20" t="s">
        <v>5162</v>
      </c>
      <c r="D615" s="20" t="s">
        <v>6154</v>
      </c>
      <c r="E615" s="20" t="s">
        <v>6155</v>
      </c>
      <c r="F615" s="20" t="s">
        <v>2801</v>
      </c>
      <c r="G615" s="20" t="s">
        <v>3960</v>
      </c>
      <c r="H615" s="22" t="n">
        <v>53.6</v>
      </c>
      <c r="I615" s="22" t="n">
        <v>53.6</v>
      </c>
      <c r="J615" s="22" t="n">
        <f aca="false">H615-I615</f>
        <v>0</v>
      </c>
      <c r="K615" s="20" t="str">
        <f aca="false">IF(ABS(J615)&lt;0.001,"MATCH - PAPER CHECK-IN NOT SUPPLIED","DATA MISMATCH")</f>
        <v>MATCH - PAPER CHECK-IN NOT SUPPLIED</v>
      </c>
      <c r="L615" s="22" t="n">
        <v>36</v>
      </c>
      <c r="M615" s="22" t="n">
        <f aca="false">ROUNDUP(H615,0)</f>
        <v>54</v>
      </c>
      <c r="N615" s="24" t="n">
        <f aca="false">MAX(L615,M615)</f>
        <v>54</v>
      </c>
      <c r="O615" s="25" t="n">
        <v>10.4</v>
      </c>
      <c r="P615" s="25" t="n">
        <f aca="false">N615*O615</f>
        <v>561.6</v>
      </c>
      <c r="Q615" s="23" t="s">
        <v>6156</v>
      </c>
      <c r="R615" s="23" t="s">
        <v>2804</v>
      </c>
      <c r="S615" s="24" t="n">
        <v>54</v>
      </c>
      <c r="T615" s="25" t="n">
        <v>10.4</v>
      </c>
      <c r="U615" s="25" t="n">
        <v>561.6</v>
      </c>
      <c r="V615" s="25" t="n">
        <f aca="false">P615-U615</f>
        <v>0</v>
      </c>
      <c r="W615" s="25" t="n">
        <f aca="false">V615*12</f>
        <v>0</v>
      </c>
      <c r="X615" s="23" t="str">
        <f aca="false">IF(Q615="","MISSING FROM EXPORT",IF(ABS(V615)&lt;0.005,"CLEAR",IF(V615&gt;0,"UNDERBILLING","OVERBILLING")))</f>
        <v>CLEAR</v>
      </c>
      <c r="Y615" s="25" t="n">
        <f aca="false">IF(F615="COMMERCIAL",ROUND(P615*0.35,2),0)</f>
        <v>0</v>
      </c>
      <c r="Z615" s="23" t="str">
        <f aca="false">IF(F615="COMMERCIAL","VERIFY SIGNED AGREEMENT","NO EXCEPTION")</f>
        <v>NO EXCEPTION</v>
      </c>
      <c r="AA615" s="23" t="str">
        <f aca="false">IF(AND(C615="covered",N615&gt;40),"COVERED &gt;40 FT","")</f>
        <v>COVERED &gt;40 FT</v>
      </c>
      <c r="AB615" s="23" t="s">
        <v>6157</v>
      </c>
      <c r="AC615" s="23" t="s">
        <v>6158</v>
      </c>
      <c r="AD615" s="23" t="s">
        <v>2807</v>
      </c>
    </row>
    <row r="616" customFormat="false" ht="17.9" hidden="false" customHeight="false" outlineLevel="0" collapsed="false">
      <c r="A616" s="20" t="s">
        <v>91</v>
      </c>
      <c r="B616" s="20" t="s">
        <v>79</v>
      </c>
      <c r="C616" s="20" t="s">
        <v>5162</v>
      </c>
      <c r="D616" s="20" t="s">
        <v>6159</v>
      </c>
      <c r="E616" s="20" t="s">
        <v>6160</v>
      </c>
      <c r="F616" s="20" t="s">
        <v>2810</v>
      </c>
      <c r="G616" s="20" t="s">
        <v>3967</v>
      </c>
      <c r="H616" s="22" t="n">
        <v>57.3</v>
      </c>
      <c r="I616" s="22" t="n">
        <v>57.3</v>
      </c>
      <c r="J616" s="22" t="n">
        <f aca="false">H616-I616</f>
        <v>0</v>
      </c>
      <c r="K616" s="20" t="str">
        <f aca="false">IF(ABS(J616)&lt;0.001,"MATCH - PAPER CHECK-IN NOT SUPPLIED","DATA MISMATCH")</f>
        <v>MATCH - PAPER CHECK-IN NOT SUPPLIED</v>
      </c>
      <c r="L616" s="22" t="n">
        <v>28</v>
      </c>
      <c r="M616" s="22" t="n">
        <f aca="false">ROUNDUP(H616,0)</f>
        <v>58</v>
      </c>
      <c r="N616" s="24" t="n">
        <f aca="false">MAX(L616,M616)</f>
        <v>58</v>
      </c>
      <c r="O616" s="25" t="n">
        <v>10.4</v>
      </c>
      <c r="P616" s="25" t="n">
        <f aca="false">N616*O616</f>
        <v>603.2</v>
      </c>
      <c r="Q616" s="23" t="s">
        <v>6161</v>
      </c>
      <c r="R616" s="23" t="s">
        <v>2804</v>
      </c>
      <c r="S616" s="24" t="n">
        <v>58</v>
      </c>
      <c r="T616" s="25" t="n">
        <v>10.4</v>
      </c>
      <c r="U616" s="25" t="n">
        <v>603.2</v>
      </c>
      <c r="V616" s="25" t="n">
        <f aca="false">P616-U616</f>
        <v>0</v>
      </c>
      <c r="W616" s="25" t="n">
        <f aca="false">V616*12</f>
        <v>0</v>
      </c>
      <c r="X616" s="23" t="str">
        <f aca="false">IF(Q616="","MISSING FROM EXPORT",IF(ABS(V616)&lt;0.005,"CLEAR",IF(V616&gt;0,"UNDERBILLING","OVERBILLING")))</f>
        <v>CLEAR</v>
      </c>
      <c r="Y616" s="25" t="n">
        <f aca="false">IF(F616="COMMERCIAL",ROUND(P616*0.35,2),0)</f>
        <v>0</v>
      </c>
      <c r="Z616" s="23" t="str">
        <f aca="false">IF(F616="COMMERCIAL","VERIFY SIGNED AGREEMENT","NO EXCEPTION")</f>
        <v>NO EXCEPTION</v>
      </c>
      <c r="AA616" s="23" t="str">
        <f aca="false">IF(AND(C616="covered",N616&gt;40),"COVERED &gt;40 FT","")</f>
        <v>COVERED &gt;40 FT</v>
      </c>
      <c r="AB616" s="23" t="s">
        <v>6162</v>
      </c>
      <c r="AC616" s="23" t="s">
        <v>6163</v>
      </c>
      <c r="AD616" s="23" t="s">
        <v>2807</v>
      </c>
    </row>
    <row r="617" customFormat="false" ht="17.9" hidden="false" customHeight="false" outlineLevel="0" collapsed="false">
      <c r="A617" s="20" t="s">
        <v>6164</v>
      </c>
      <c r="B617" s="20" t="s">
        <v>79</v>
      </c>
      <c r="C617" s="20" t="s">
        <v>5162</v>
      </c>
      <c r="D617" s="20" t="s">
        <v>6165</v>
      </c>
      <c r="E617" s="20" t="s">
        <v>6166</v>
      </c>
      <c r="F617" s="20" t="s">
        <v>2857</v>
      </c>
      <c r="G617" s="20" t="s">
        <v>3973</v>
      </c>
      <c r="H617" s="22" t="n">
        <v>45.7</v>
      </c>
      <c r="I617" s="22" t="n">
        <v>45.7</v>
      </c>
      <c r="J617" s="22" t="n">
        <f aca="false">H617-I617</f>
        <v>0</v>
      </c>
      <c r="K617" s="20" t="str">
        <f aca="false">IF(ABS(J617)&lt;0.001,"MATCH - PAPER CHECK-IN NOT SUPPLIED","DATA MISMATCH")</f>
        <v>MATCH - PAPER CHECK-IN NOT SUPPLIED</v>
      </c>
      <c r="L617" s="22" t="n">
        <v>24</v>
      </c>
      <c r="M617" s="22" t="n">
        <f aca="false">ROUNDUP(H617,0)</f>
        <v>46</v>
      </c>
      <c r="N617" s="24" t="n">
        <f aca="false">MAX(L617,M617)</f>
        <v>46</v>
      </c>
      <c r="O617" s="25" t="n">
        <v>10.4</v>
      </c>
      <c r="P617" s="25" t="n">
        <f aca="false">N617*O617</f>
        <v>478.4</v>
      </c>
      <c r="Q617" s="23" t="s">
        <v>6167</v>
      </c>
      <c r="R617" s="23" t="s">
        <v>2804</v>
      </c>
      <c r="S617" s="24" t="n">
        <v>46</v>
      </c>
      <c r="T617" s="25" t="n">
        <v>10.4</v>
      </c>
      <c r="U617" s="25" t="n">
        <v>478.4</v>
      </c>
      <c r="V617" s="25" t="n">
        <f aca="false">P617-U617</f>
        <v>0</v>
      </c>
      <c r="W617" s="25" t="n">
        <f aca="false">V617*12</f>
        <v>0</v>
      </c>
      <c r="X617" s="23" t="str">
        <f aca="false">IF(Q617="","MISSING FROM EXPORT",IF(ABS(V617)&lt;0.005,"CLEAR",IF(V617&gt;0,"UNDERBILLING","OVERBILLING")))</f>
        <v>CLEAR</v>
      </c>
      <c r="Y617" s="25" t="n">
        <f aca="false">IF(F617="COMMERCIAL",ROUND(P617*0.35,2),0)</f>
        <v>0</v>
      </c>
      <c r="Z617" s="23" t="str">
        <f aca="false">IF(F617="COMMERCIAL","VERIFY SIGNED AGREEMENT","NO EXCEPTION")</f>
        <v>NO EXCEPTION</v>
      </c>
      <c r="AA617" s="23" t="str">
        <f aca="false">IF(AND(C617="covered",N617&gt;40),"COVERED &gt;40 FT","")</f>
        <v>COVERED &gt;40 FT</v>
      </c>
      <c r="AB617" s="23" t="s">
        <v>6168</v>
      </c>
      <c r="AC617" s="23" t="s">
        <v>6169</v>
      </c>
      <c r="AD617" s="23" t="s">
        <v>2807</v>
      </c>
    </row>
    <row r="618" customFormat="false" ht="17.9" hidden="false" customHeight="false" outlineLevel="0" collapsed="false">
      <c r="A618" s="20" t="s">
        <v>1514</v>
      </c>
      <c r="B618" s="20" t="s">
        <v>79</v>
      </c>
      <c r="C618" s="20" t="s">
        <v>5162</v>
      </c>
      <c r="D618" s="20" t="s">
        <v>6170</v>
      </c>
      <c r="E618" s="20" t="s">
        <v>6171</v>
      </c>
      <c r="F618" s="20" t="s">
        <v>2857</v>
      </c>
      <c r="G618" s="20" t="s">
        <v>3980</v>
      </c>
      <c r="H618" s="22" t="n">
        <v>49.9</v>
      </c>
      <c r="I618" s="22" t="n">
        <v>49.9</v>
      </c>
      <c r="J618" s="22" t="n">
        <f aca="false">H618-I618</f>
        <v>0</v>
      </c>
      <c r="K618" s="20" t="str">
        <f aca="false">IF(ABS(J618)&lt;0.001,"MATCH - PAPER CHECK-IN NOT SUPPLIED","DATA MISMATCH")</f>
        <v>MATCH - PAPER CHECK-IN NOT SUPPLIED</v>
      </c>
      <c r="L618" s="22" t="n">
        <v>28</v>
      </c>
      <c r="M618" s="22" t="n">
        <f aca="false">ROUNDUP(H618,0)</f>
        <v>50</v>
      </c>
      <c r="N618" s="24" t="n">
        <f aca="false">MAX(L618,M618)</f>
        <v>50</v>
      </c>
      <c r="O618" s="25" t="n">
        <v>10.4</v>
      </c>
      <c r="P618" s="25" t="n">
        <f aca="false">N618*O618</f>
        <v>520</v>
      </c>
      <c r="Q618" s="23" t="s">
        <v>6172</v>
      </c>
      <c r="R618" s="23" t="s">
        <v>2804</v>
      </c>
      <c r="S618" s="24" t="n">
        <v>50</v>
      </c>
      <c r="T618" s="25" t="n">
        <v>10.4</v>
      </c>
      <c r="U618" s="25" t="n">
        <v>520</v>
      </c>
      <c r="V618" s="25" t="n">
        <f aca="false">P618-U618</f>
        <v>0</v>
      </c>
      <c r="W618" s="25" t="n">
        <f aca="false">V618*12</f>
        <v>0</v>
      </c>
      <c r="X618" s="23" t="str">
        <f aca="false">IF(Q618="","MISSING FROM EXPORT",IF(ABS(V618)&lt;0.005,"CLEAR",IF(V618&gt;0,"UNDERBILLING","OVERBILLING")))</f>
        <v>CLEAR</v>
      </c>
      <c r="Y618" s="25" t="n">
        <f aca="false">IF(F618="COMMERCIAL",ROUND(P618*0.35,2),0)</f>
        <v>0</v>
      </c>
      <c r="Z618" s="23" t="str">
        <f aca="false">IF(F618="COMMERCIAL","VERIFY SIGNED AGREEMENT","NO EXCEPTION")</f>
        <v>NO EXCEPTION</v>
      </c>
      <c r="AA618" s="23" t="str">
        <f aca="false">IF(AND(C618="covered",N618&gt;40),"COVERED &gt;40 FT","")</f>
        <v>COVERED &gt;40 FT</v>
      </c>
      <c r="AB618" s="23" t="s">
        <v>6173</v>
      </c>
      <c r="AC618" s="23" t="s">
        <v>6174</v>
      </c>
      <c r="AD618" s="23" t="s">
        <v>2807</v>
      </c>
    </row>
    <row r="619" customFormat="false" ht="17.9" hidden="false" customHeight="false" outlineLevel="0" collapsed="false">
      <c r="A619" s="20" t="s">
        <v>6175</v>
      </c>
      <c r="B619" s="20" t="s">
        <v>79</v>
      </c>
      <c r="C619" s="20" t="s">
        <v>5162</v>
      </c>
      <c r="D619" s="20" t="s">
        <v>1168</v>
      </c>
      <c r="E619" s="20" t="s">
        <v>6176</v>
      </c>
      <c r="F619" s="20" t="s">
        <v>2898</v>
      </c>
      <c r="G619" s="20" t="s">
        <v>3986</v>
      </c>
      <c r="H619" s="22" t="n">
        <v>46.7</v>
      </c>
      <c r="I619" s="22" t="n">
        <v>46.7</v>
      </c>
      <c r="J619" s="22" t="n">
        <f aca="false">H619-I619</f>
        <v>0</v>
      </c>
      <c r="K619" s="20" t="str">
        <f aca="false">IF(ABS(J619)&lt;0.001,"MATCH - PAPER CHECK-IN NOT SUPPLIED","DATA MISMATCH")</f>
        <v>MATCH - PAPER CHECK-IN NOT SUPPLIED</v>
      </c>
      <c r="L619" s="22" t="n">
        <v>24</v>
      </c>
      <c r="M619" s="22" t="n">
        <f aca="false">ROUNDUP(H619,0)</f>
        <v>47</v>
      </c>
      <c r="N619" s="24" t="n">
        <f aca="false">MAX(L619,M619)</f>
        <v>47</v>
      </c>
      <c r="O619" s="25" t="n">
        <v>10.4</v>
      </c>
      <c r="P619" s="25" t="n">
        <f aca="false">N619*O619</f>
        <v>488.8</v>
      </c>
      <c r="Q619" s="23" t="s">
        <v>6177</v>
      </c>
      <c r="R619" s="23" t="s">
        <v>2804</v>
      </c>
      <c r="S619" s="24" t="n">
        <v>47</v>
      </c>
      <c r="T619" s="25" t="n">
        <v>10.4</v>
      </c>
      <c r="U619" s="25" t="n">
        <v>488.8</v>
      </c>
      <c r="V619" s="25" t="n">
        <f aca="false">P619-U619</f>
        <v>0</v>
      </c>
      <c r="W619" s="25" t="n">
        <f aca="false">V619*12</f>
        <v>0</v>
      </c>
      <c r="X619" s="23" t="str">
        <f aca="false">IF(Q619="","MISSING FROM EXPORT",IF(ABS(V619)&lt;0.005,"CLEAR",IF(V619&gt;0,"UNDERBILLING","OVERBILLING")))</f>
        <v>CLEAR</v>
      </c>
      <c r="Y619" s="25" t="n">
        <f aca="false">IF(F619="COMMERCIAL",ROUND(P619*0.35,2),0)</f>
        <v>0</v>
      </c>
      <c r="Z619" s="23" t="str">
        <f aca="false">IF(F619="COMMERCIAL","VERIFY SIGNED AGREEMENT","NO EXCEPTION")</f>
        <v>NO EXCEPTION</v>
      </c>
      <c r="AA619" s="23" t="str">
        <f aca="false">IF(AND(C619="covered",N619&gt;40),"COVERED &gt;40 FT","")</f>
        <v>COVERED &gt;40 FT</v>
      </c>
      <c r="AB619" s="23" t="s">
        <v>6178</v>
      </c>
      <c r="AC619" s="23" t="s">
        <v>6179</v>
      </c>
      <c r="AD619" s="23" t="s">
        <v>2807</v>
      </c>
    </row>
    <row r="620" customFormat="false" ht="17.9" hidden="false" customHeight="false" outlineLevel="0" collapsed="false">
      <c r="A620" s="20" t="s">
        <v>6180</v>
      </c>
      <c r="B620" s="20" t="s">
        <v>79</v>
      </c>
      <c r="C620" s="20" t="s">
        <v>5162</v>
      </c>
      <c r="D620" s="20" t="s">
        <v>6181</v>
      </c>
      <c r="E620" s="20" t="s">
        <v>6182</v>
      </c>
      <c r="F620" s="20" t="s">
        <v>2857</v>
      </c>
      <c r="G620" s="20" t="s">
        <v>3991</v>
      </c>
      <c r="H620" s="22" t="n">
        <v>38</v>
      </c>
      <c r="I620" s="22" t="n">
        <v>38</v>
      </c>
      <c r="J620" s="22" t="n">
        <f aca="false">H620-I620</f>
        <v>0</v>
      </c>
      <c r="K620" s="20" t="str">
        <f aca="false">IF(ABS(J620)&lt;0.001,"MATCH - PAPER CHECK-IN NOT SUPPLIED","DATA MISMATCH")</f>
        <v>MATCH - PAPER CHECK-IN NOT SUPPLIED</v>
      </c>
      <c r="L620" s="22" t="n">
        <v>28</v>
      </c>
      <c r="M620" s="22" t="n">
        <f aca="false">ROUNDUP(H620,0)</f>
        <v>38</v>
      </c>
      <c r="N620" s="24" t="n">
        <f aca="false">MAX(L620,M620)</f>
        <v>38</v>
      </c>
      <c r="O620" s="25" t="n">
        <v>10.4</v>
      </c>
      <c r="P620" s="25" t="n">
        <f aca="false">N620*O620</f>
        <v>395.2</v>
      </c>
      <c r="Q620" s="23" t="s">
        <v>6183</v>
      </c>
      <c r="R620" s="23" t="s">
        <v>2804</v>
      </c>
      <c r="S620" s="24" t="n">
        <v>38</v>
      </c>
      <c r="T620" s="25" t="n">
        <v>10.4</v>
      </c>
      <c r="U620" s="25" t="n">
        <v>395.2</v>
      </c>
      <c r="V620" s="25" t="n">
        <f aca="false">P620-U620</f>
        <v>0</v>
      </c>
      <c r="W620" s="25" t="n">
        <f aca="false">V620*12</f>
        <v>0</v>
      </c>
      <c r="X620" s="23" t="str">
        <f aca="false">IF(Q620="","MISSING FROM EXPORT",IF(ABS(V620)&lt;0.005,"CLEAR",IF(V620&gt;0,"UNDERBILLING","OVERBILLING")))</f>
        <v>CLEAR</v>
      </c>
      <c r="Y620" s="25" t="n">
        <f aca="false">IF(F620="COMMERCIAL",ROUND(P620*0.35,2),0)</f>
        <v>0</v>
      </c>
      <c r="Z620" s="23" t="str">
        <f aca="false">IF(F620="COMMERCIAL","VERIFY SIGNED AGREEMENT","NO EXCEPTION")</f>
        <v>NO EXCEPTION</v>
      </c>
      <c r="AA620" s="23" t="str">
        <f aca="false">IF(AND(C620="covered",N620&gt;40),"COVERED &gt;40 FT","")</f>
        <v/>
      </c>
      <c r="AB620" s="23" t="s">
        <v>6184</v>
      </c>
      <c r="AC620" s="23" t="s">
        <v>6185</v>
      </c>
      <c r="AD620" s="23" t="s">
        <v>2807</v>
      </c>
    </row>
    <row r="621" customFormat="false" ht="17.9" hidden="false" customHeight="false" outlineLevel="0" collapsed="false">
      <c r="A621" s="20" t="s">
        <v>6186</v>
      </c>
      <c r="B621" s="20" t="s">
        <v>79</v>
      </c>
      <c r="C621" s="20" t="s">
        <v>5162</v>
      </c>
      <c r="D621" s="20" t="s">
        <v>935</v>
      </c>
      <c r="E621" s="20" t="s">
        <v>6187</v>
      </c>
      <c r="F621" s="20" t="s">
        <v>2818</v>
      </c>
      <c r="G621" s="20" t="s">
        <v>3998</v>
      </c>
      <c r="H621" s="22" t="n">
        <v>43.3</v>
      </c>
      <c r="I621" s="22" t="n">
        <v>43.3</v>
      </c>
      <c r="J621" s="22" t="n">
        <f aca="false">H621-I621</f>
        <v>0</v>
      </c>
      <c r="K621" s="20" t="str">
        <f aca="false">IF(ABS(J621)&lt;0.001,"MATCH - PAPER CHECK-IN NOT SUPPLIED","DATA MISMATCH")</f>
        <v>MATCH - PAPER CHECK-IN NOT SUPPLIED</v>
      </c>
      <c r="L621" s="22" t="n">
        <v>24</v>
      </c>
      <c r="M621" s="22" t="n">
        <f aca="false">ROUNDUP(H621,0)</f>
        <v>44</v>
      </c>
      <c r="N621" s="24" t="n">
        <f aca="false">MAX(L621,M621)</f>
        <v>44</v>
      </c>
      <c r="O621" s="25" t="n">
        <v>10.4</v>
      </c>
      <c r="P621" s="25" t="n">
        <f aca="false">N621*O621</f>
        <v>457.6</v>
      </c>
      <c r="Q621" s="23" t="s">
        <v>6188</v>
      </c>
      <c r="R621" s="23" t="s">
        <v>2804</v>
      </c>
      <c r="S621" s="24" t="n">
        <v>44</v>
      </c>
      <c r="T621" s="25" t="n">
        <v>10.4</v>
      </c>
      <c r="U621" s="25" t="n">
        <v>457.6</v>
      </c>
      <c r="V621" s="25" t="n">
        <f aca="false">P621-U621</f>
        <v>0</v>
      </c>
      <c r="W621" s="25" t="n">
        <f aca="false">V621*12</f>
        <v>0</v>
      </c>
      <c r="X621" s="23" t="str">
        <f aca="false">IF(Q621="","MISSING FROM EXPORT",IF(ABS(V621)&lt;0.005,"CLEAR",IF(V621&gt;0,"UNDERBILLING","OVERBILLING")))</f>
        <v>CLEAR</v>
      </c>
      <c r="Y621" s="25" t="n">
        <f aca="false">IF(F621="COMMERCIAL",ROUND(P621*0.35,2),0)</f>
        <v>0</v>
      </c>
      <c r="Z621" s="23" t="str">
        <f aca="false">IF(F621="COMMERCIAL","VERIFY SIGNED AGREEMENT","NO EXCEPTION")</f>
        <v>NO EXCEPTION</v>
      </c>
      <c r="AA621" s="23" t="str">
        <f aca="false">IF(AND(C621="covered",N621&gt;40),"COVERED &gt;40 FT","")</f>
        <v>COVERED &gt;40 FT</v>
      </c>
      <c r="AB621" s="23" t="s">
        <v>6189</v>
      </c>
      <c r="AC621" s="23" t="s">
        <v>6190</v>
      </c>
      <c r="AD621" s="23" t="s">
        <v>2807</v>
      </c>
    </row>
    <row r="622" customFormat="false" ht="17.9" hidden="false" customHeight="false" outlineLevel="0" collapsed="false">
      <c r="A622" s="20" t="s">
        <v>6191</v>
      </c>
      <c r="B622" s="20" t="s">
        <v>79</v>
      </c>
      <c r="C622" s="20" t="s">
        <v>5162</v>
      </c>
      <c r="D622" s="20" t="s">
        <v>6192</v>
      </c>
      <c r="E622" s="20" t="s">
        <v>6193</v>
      </c>
      <c r="F622" s="20" t="s">
        <v>2801</v>
      </c>
      <c r="G622" s="20" t="s">
        <v>4005</v>
      </c>
      <c r="H622" s="22" t="n">
        <v>32.6</v>
      </c>
      <c r="I622" s="22" t="n">
        <v>32.6</v>
      </c>
      <c r="J622" s="22" t="n">
        <f aca="false">H622-I622</f>
        <v>0</v>
      </c>
      <c r="K622" s="20" t="str">
        <f aca="false">IF(ABS(J622)&lt;0.001,"MATCH - PAPER CHECK-IN NOT SUPPLIED","DATA MISMATCH")</f>
        <v>MATCH - PAPER CHECK-IN NOT SUPPLIED</v>
      </c>
      <c r="L622" s="22" t="n">
        <v>32</v>
      </c>
      <c r="M622" s="22" t="n">
        <f aca="false">ROUNDUP(H622,0)</f>
        <v>33</v>
      </c>
      <c r="N622" s="24" t="n">
        <f aca="false">MAX(L622,M622)</f>
        <v>33</v>
      </c>
      <c r="O622" s="25" t="n">
        <v>10.4</v>
      </c>
      <c r="P622" s="25" t="n">
        <f aca="false">N622*O622</f>
        <v>343.2</v>
      </c>
      <c r="Q622" s="23" t="s">
        <v>6194</v>
      </c>
      <c r="R622" s="23" t="s">
        <v>2804</v>
      </c>
      <c r="S622" s="24" t="n">
        <v>33</v>
      </c>
      <c r="T622" s="25" t="n">
        <v>10.4</v>
      </c>
      <c r="U622" s="25" t="n">
        <v>343.2</v>
      </c>
      <c r="V622" s="25" t="n">
        <f aca="false">P622-U622</f>
        <v>0</v>
      </c>
      <c r="W622" s="25" t="n">
        <f aca="false">V622*12</f>
        <v>0</v>
      </c>
      <c r="X622" s="23" t="str">
        <f aca="false">IF(Q622="","MISSING FROM EXPORT",IF(ABS(V622)&lt;0.005,"CLEAR",IF(V622&gt;0,"UNDERBILLING","OVERBILLING")))</f>
        <v>CLEAR</v>
      </c>
      <c r="Y622" s="25" t="n">
        <f aca="false">IF(F622="COMMERCIAL",ROUND(P622*0.35,2),0)</f>
        <v>0</v>
      </c>
      <c r="Z622" s="23" t="str">
        <f aca="false">IF(F622="COMMERCIAL","VERIFY SIGNED AGREEMENT","NO EXCEPTION")</f>
        <v>NO EXCEPTION</v>
      </c>
      <c r="AA622" s="23" t="str">
        <f aca="false">IF(AND(C622="covered",N622&gt;40),"COVERED &gt;40 FT","")</f>
        <v/>
      </c>
      <c r="AB622" s="23" t="s">
        <v>6195</v>
      </c>
      <c r="AC622" s="23" t="s">
        <v>6196</v>
      </c>
      <c r="AD622" s="23" t="s">
        <v>2807</v>
      </c>
    </row>
    <row r="623" customFormat="false" ht="17.9" hidden="false" customHeight="false" outlineLevel="0" collapsed="false">
      <c r="A623" s="20" t="s">
        <v>6197</v>
      </c>
      <c r="B623" s="20" t="s">
        <v>79</v>
      </c>
      <c r="C623" s="20" t="s">
        <v>5162</v>
      </c>
      <c r="D623" s="20" t="s">
        <v>6198</v>
      </c>
      <c r="E623" s="20" t="s">
        <v>6199</v>
      </c>
      <c r="F623" s="20" t="s">
        <v>2833</v>
      </c>
      <c r="G623" s="20" t="s">
        <v>4012</v>
      </c>
      <c r="H623" s="22" t="n">
        <v>43.1</v>
      </c>
      <c r="I623" s="22" t="n">
        <v>43.1</v>
      </c>
      <c r="J623" s="22" t="n">
        <f aca="false">H623-I623</f>
        <v>0</v>
      </c>
      <c r="K623" s="20" t="str">
        <f aca="false">IF(ABS(J623)&lt;0.001,"MATCH - PAPER CHECK-IN NOT SUPPLIED","DATA MISMATCH")</f>
        <v>MATCH - PAPER CHECK-IN NOT SUPPLIED</v>
      </c>
      <c r="L623" s="22" t="n">
        <v>32</v>
      </c>
      <c r="M623" s="22" t="n">
        <f aca="false">ROUNDUP(H623,0)</f>
        <v>44</v>
      </c>
      <c r="N623" s="24" t="n">
        <f aca="false">MAX(L623,M623)</f>
        <v>44</v>
      </c>
      <c r="O623" s="25" t="n">
        <v>10.4</v>
      </c>
      <c r="P623" s="25" t="n">
        <f aca="false">N623*O623</f>
        <v>457.6</v>
      </c>
      <c r="Q623" s="23" t="s">
        <v>6200</v>
      </c>
      <c r="R623" s="23" t="s">
        <v>2804</v>
      </c>
      <c r="S623" s="24" t="n">
        <v>44</v>
      </c>
      <c r="T623" s="25" t="n">
        <v>10.4</v>
      </c>
      <c r="U623" s="25" t="n">
        <v>457.6</v>
      </c>
      <c r="V623" s="25" t="n">
        <f aca="false">P623-U623</f>
        <v>0</v>
      </c>
      <c r="W623" s="25" t="n">
        <f aca="false">V623*12</f>
        <v>0</v>
      </c>
      <c r="X623" s="23" t="str">
        <f aca="false">IF(Q623="","MISSING FROM EXPORT",IF(ABS(V623)&lt;0.005,"CLEAR",IF(V623&gt;0,"UNDERBILLING","OVERBILLING")))</f>
        <v>CLEAR</v>
      </c>
      <c r="Y623" s="25" t="n">
        <f aca="false">IF(F623="COMMERCIAL",ROUND(P623*0.35,2),0)</f>
        <v>0</v>
      </c>
      <c r="Z623" s="23" t="str">
        <f aca="false">IF(F623="COMMERCIAL","VERIFY SIGNED AGREEMENT","NO EXCEPTION")</f>
        <v>NO EXCEPTION</v>
      </c>
      <c r="AA623" s="23" t="str">
        <f aca="false">IF(AND(C623="covered",N623&gt;40),"COVERED &gt;40 FT","")</f>
        <v>COVERED &gt;40 FT</v>
      </c>
      <c r="AB623" s="23" t="s">
        <v>6201</v>
      </c>
      <c r="AC623" s="23" t="s">
        <v>6202</v>
      </c>
      <c r="AD623" s="23" t="s">
        <v>2807</v>
      </c>
    </row>
    <row r="624" customFormat="false" ht="17.9" hidden="false" customHeight="false" outlineLevel="0" collapsed="false">
      <c r="A624" s="20" t="s">
        <v>6203</v>
      </c>
      <c r="B624" s="20" t="s">
        <v>79</v>
      </c>
      <c r="C624" s="20" t="s">
        <v>5162</v>
      </c>
      <c r="D624" s="20" t="s">
        <v>6204</v>
      </c>
      <c r="E624" s="20" t="s">
        <v>6205</v>
      </c>
      <c r="F624" s="20" t="s">
        <v>2801</v>
      </c>
      <c r="G624" s="20" t="s">
        <v>4019</v>
      </c>
      <c r="H624" s="22" t="n">
        <v>35.1</v>
      </c>
      <c r="I624" s="22" t="n">
        <v>35.1</v>
      </c>
      <c r="J624" s="22" t="n">
        <f aca="false">H624-I624</f>
        <v>0</v>
      </c>
      <c r="K624" s="20" t="str">
        <f aca="false">IF(ABS(J624)&lt;0.001,"MATCH - PAPER CHECK-IN NOT SUPPLIED","DATA MISMATCH")</f>
        <v>MATCH - PAPER CHECK-IN NOT SUPPLIED</v>
      </c>
      <c r="L624" s="22" t="n">
        <v>40</v>
      </c>
      <c r="M624" s="22" t="n">
        <f aca="false">ROUNDUP(H624,0)</f>
        <v>36</v>
      </c>
      <c r="N624" s="24" t="n">
        <f aca="false">MAX(L624,M624)</f>
        <v>40</v>
      </c>
      <c r="O624" s="25" t="n">
        <v>10.4</v>
      </c>
      <c r="P624" s="25" t="n">
        <f aca="false">N624*O624</f>
        <v>416</v>
      </c>
      <c r="Q624" s="23" t="s">
        <v>6206</v>
      </c>
      <c r="R624" s="23" t="s">
        <v>2804</v>
      </c>
      <c r="S624" s="24" t="n">
        <v>40</v>
      </c>
      <c r="T624" s="25" t="n">
        <v>10.4</v>
      </c>
      <c r="U624" s="25" t="n">
        <v>416</v>
      </c>
      <c r="V624" s="25" t="n">
        <f aca="false">P624-U624</f>
        <v>0</v>
      </c>
      <c r="W624" s="25" t="n">
        <f aca="false">V624*12</f>
        <v>0</v>
      </c>
      <c r="X624" s="23" t="str">
        <f aca="false">IF(Q624="","MISSING FROM EXPORT",IF(ABS(V624)&lt;0.005,"CLEAR",IF(V624&gt;0,"UNDERBILLING","OVERBILLING")))</f>
        <v>CLEAR</v>
      </c>
      <c r="Y624" s="25" t="n">
        <f aca="false">IF(F624="COMMERCIAL",ROUND(P624*0.35,2),0)</f>
        <v>0</v>
      </c>
      <c r="Z624" s="23" t="str">
        <f aca="false">IF(F624="COMMERCIAL","VERIFY SIGNED AGREEMENT","NO EXCEPTION")</f>
        <v>NO EXCEPTION</v>
      </c>
      <c r="AA624" s="23" t="str">
        <f aca="false">IF(AND(C624="covered",N624&gt;40),"COVERED &gt;40 FT","")</f>
        <v/>
      </c>
      <c r="AB624" s="23" t="s">
        <v>6207</v>
      </c>
      <c r="AC624" s="23" t="s">
        <v>6208</v>
      </c>
      <c r="AD624" s="23" t="s">
        <v>2807</v>
      </c>
    </row>
    <row r="625" customFormat="false" ht="17.9" hidden="false" customHeight="false" outlineLevel="0" collapsed="false">
      <c r="A625" s="20" t="s">
        <v>1617</v>
      </c>
      <c r="B625" s="20" t="s">
        <v>79</v>
      </c>
      <c r="C625" s="20" t="s">
        <v>5162</v>
      </c>
      <c r="D625" s="20" t="s">
        <v>6209</v>
      </c>
      <c r="E625" s="20" t="s">
        <v>6210</v>
      </c>
      <c r="F625" s="20" t="s">
        <v>2801</v>
      </c>
      <c r="G625" s="20" t="s">
        <v>4026</v>
      </c>
      <c r="H625" s="22" t="n">
        <v>35.1</v>
      </c>
      <c r="I625" s="22" t="n">
        <v>35.1</v>
      </c>
      <c r="J625" s="22" t="n">
        <f aca="false">H625-I625</f>
        <v>0</v>
      </c>
      <c r="K625" s="20" t="str">
        <f aca="false">IF(ABS(J625)&lt;0.001,"MATCH - PAPER CHECK-IN NOT SUPPLIED","DATA MISMATCH")</f>
        <v>MATCH - PAPER CHECK-IN NOT SUPPLIED</v>
      </c>
      <c r="L625" s="22" t="n">
        <v>32</v>
      </c>
      <c r="M625" s="22" t="n">
        <f aca="false">ROUNDUP(H625,0)</f>
        <v>36</v>
      </c>
      <c r="N625" s="24" t="n">
        <f aca="false">MAX(L625,M625)</f>
        <v>36</v>
      </c>
      <c r="O625" s="25" t="n">
        <v>10.4</v>
      </c>
      <c r="P625" s="25" t="n">
        <f aca="false">N625*O625</f>
        <v>374.4</v>
      </c>
      <c r="Q625" s="23" t="s">
        <v>6211</v>
      </c>
      <c r="R625" s="23" t="s">
        <v>2804</v>
      </c>
      <c r="S625" s="24" t="n">
        <v>36</v>
      </c>
      <c r="T625" s="25" t="n">
        <v>10.4</v>
      </c>
      <c r="U625" s="25" t="n">
        <v>374.4</v>
      </c>
      <c r="V625" s="25" t="n">
        <f aca="false">P625-U625</f>
        <v>0</v>
      </c>
      <c r="W625" s="25" t="n">
        <f aca="false">V625*12</f>
        <v>0</v>
      </c>
      <c r="X625" s="23" t="str">
        <f aca="false">IF(Q625="","MISSING FROM EXPORT",IF(ABS(V625)&lt;0.005,"CLEAR",IF(V625&gt;0,"UNDERBILLING","OVERBILLING")))</f>
        <v>CLEAR</v>
      </c>
      <c r="Y625" s="25" t="n">
        <f aca="false">IF(F625="COMMERCIAL",ROUND(P625*0.35,2),0)</f>
        <v>0</v>
      </c>
      <c r="Z625" s="23" t="str">
        <f aca="false">IF(F625="COMMERCIAL","VERIFY SIGNED AGREEMENT","NO EXCEPTION")</f>
        <v>NO EXCEPTION</v>
      </c>
      <c r="AA625" s="23" t="str">
        <f aca="false">IF(AND(C625="covered",N625&gt;40),"COVERED &gt;40 FT","")</f>
        <v/>
      </c>
      <c r="AB625" s="23" t="s">
        <v>6212</v>
      </c>
      <c r="AC625" s="23" t="s">
        <v>6213</v>
      </c>
      <c r="AD625" s="23" t="s">
        <v>2807</v>
      </c>
    </row>
    <row r="626" customFormat="false" ht="17.9" hidden="false" customHeight="false" outlineLevel="0" collapsed="false">
      <c r="A626" s="20" t="s">
        <v>6214</v>
      </c>
      <c r="B626" s="20" t="s">
        <v>79</v>
      </c>
      <c r="C626" s="20" t="s">
        <v>5162</v>
      </c>
      <c r="D626" s="20" t="s">
        <v>6215</v>
      </c>
      <c r="E626" s="20" t="s">
        <v>6216</v>
      </c>
      <c r="F626" s="20" t="s">
        <v>2857</v>
      </c>
      <c r="G626" s="20" t="s">
        <v>4039</v>
      </c>
      <c r="H626" s="22" t="n">
        <v>34.5</v>
      </c>
      <c r="I626" s="22" t="n">
        <v>34.5</v>
      </c>
      <c r="J626" s="22" t="n">
        <f aca="false">H626-I626</f>
        <v>0</v>
      </c>
      <c r="K626" s="20" t="str">
        <f aca="false">IF(ABS(J626)&lt;0.001,"MATCH - PAPER CHECK-IN NOT SUPPLIED","DATA MISMATCH")</f>
        <v>MATCH - PAPER CHECK-IN NOT SUPPLIED</v>
      </c>
      <c r="L626" s="22" t="n">
        <v>36</v>
      </c>
      <c r="M626" s="22" t="n">
        <f aca="false">ROUNDUP(H626,0)</f>
        <v>35</v>
      </c>
      <c r="N626" s="24" t="n">
        <f aca="false">MAX(L626,M626)</f>
        <v>36</v>
      </c>
      <c r="O626" s="25" t="n">
        <v>10.4</v>
      </c>
      <c r="P626" s="25" t="n">
        <f aca="false">N626*O626</f>
        <v>374.4</v>
      </c>
      <c r="Q626" s="23" t="s">
        <v>6217</v>
      </c>
      <c r="R626" s="23" t="s">
        <v>2804</v>
      </c>
      <c r="S626" s="24" t="n">
        <v>36</v>
      </c>
      <c r="T626" s="25" t="n">
        <v>10.4</v>
      </c>
      <c r="U626" s="25" t="n">
        <v>374.4</v>
      </c>
      <c r="V626" s="25" t="n">
        <f aca="false">P626-U626</f>
        <v>0</v>
      </c>
      <c r="W626" s="25" t="n">
        <f aca="false">V626*12</f>
        <v>0</v>
      </c>
      <c r="X626" s="23" t="str">
        <f aca="false">IF(Q626="","MISSING FROM EXPORT",IF(ABS(V626)&lt;0.005,"CLEAR",IF(V626&gt;0,"UNDERBILLING","OVERBILLING")))</f>
        <v>CLEAR</v>
      </c>
      <c r="Y626" s="25" t="n">
        <f aca="false">IF(F626="COMMERCIAL",ROUND(P626*0.35,2),0)</f>
        <v>0</v>
      </c>
      <c r="Z626" s="23" t="str">
        <f aca="false">IF(F626="COMMERCIAL","VERIFY SIGNED AGREEMENT","NO EXCEPTION")</f>
        <v>NO EXCEPTION</v>
      </c>
      <c r="AA626" s="23" t="str">
        <f aca="false">IF(AND(C626="covered",N626&gt;40),"COVERED &gt;40 FT","")</f>
        <v/>
      </c>
      <c r="AB626" s="23" t="s">
        <v>6218</v>
      </c>
      <c r="AC626" s="23" t="s">
        <v>6219</v>
      </c>
      <c r="AD626" s="23" t="s">
        <v>2807</v>
      </c>
    </row>
    <row r="627" customFormat="false" ht="17.9" hidden="false" customHeight="false" outlineLevel="0" collapsed="false">
      <c r="A627" s="20" t="s">
        <v>6220</v>
      </c>
      <c r="B627" s="20" t="s">
        <v>79</v>
      </c>
      <c r="C627" s="20" t="s">
        <v>5162</v>
      </c>
      <c r="D627" s="20" t="s">
        <v>6221</v>
      </c>
      <c r="E627" s="20" t="s">
        <v>6222</v>
      </c>
      <c r="F627" s="20" t="s">
        <v>2934</v>
      </c>
      <c r="G627" s="20" t="s">
        <v>4046</v>
      </c>
      <c r="H627" s="22" t="n">
        <v>58.2</v>
      </c>
      <c r="I627" s="22" t="n">
        <v>58.2</v>
      </c>
      <c r="J627" s="22" t="n">
        <f aca="false">H627-I627</f>
        <v>0</v>
      </c>
      <c r="K627" s="20" t="str">
        <f aca="false">IF(ABS(J627)&lt;0.001,"MATCH - PAPER CHECK-IN NOT SUPPLIED","DATA MISMATCH")</f>
        <v>MATCH - PAPER CHECK-IN NOT SUPPLIED</v>
      </c>
      <c r="L627" s="22" t="n">
        <v>36</v>
      </c>
      <c r="M627" s="22" t="n">
        <f aca="false">ROUNDUP(H627,0)</f>
        <v>59</v>
      </c>
      <c r="N627" s="24" t="n">
        <f aca="false">MAX(L627,M627)</f>
        <v>59</v>
      </c>
      <c r="O627" s="25" t="n">
        <v>10.4</v>
      </c>
      <c r="P627" s="25" t="n">
        <f aca="false">N627*O627</f>
        <v>613.6</v>
      </c>
      <c r="Q627" s="23" t="s">
        <v>6223</v>
      </c>
      <c r="R627" s="23" t="s">
        <v>2804</v>
      </c>
      <c r="S627" s="24" t="n">
        <v>59</v>
      </c>
      <c r="T627" s="25" t="n">
        <v>10.4</v>
      </c>
      <c r="U627" s="25" t="n">
        <v>613.6</v>
      </c>
      <c r="V627" s="25" t="n">
        <f aca="false">P627-U627</f>
        <v>0</v>
      </c>
      <c r="W627" s="25" t="n">
        <f aca="false">V627*12</f>
        <v>0</v>
      </c>
      <c r="X627" s="23" t="str">
        <f aca="false">IF(Q627="","MISSING FROM EXPORT",IF(ABS(V627)&lt;0.005,"CLEAR",IF(V627&gt;0,"UNDERBILLING","OVERBILLING")))</f>
        <v>CLEAR</v>
      </c>
      <c r="Y627" s="25" t="n">
        <f aca="false">IF(F627="COMMERCIAL",ROUND(P627*0.35,2),0)</f>
        <v>214.76</v>
      </c>
      <c r="Z627" s="23" t="str">
        <f aca="false">IF(F627="COMMERCIAL","VERIFY SIGNED AGREEMENT","NO EXCEPTION")</f>
        <v>VERIFY SIGNED AGREEMENT</v>
      </c>
      <c r="AA627" s="23" t="str">
        <f aca="false">IF(AND(C627="covered",N627&gt;40),"COVERED &gt;40 FT","")</f>
        <v>COVERED &gt;40 FT</v>
      </c>
      <c r="AB627" s="23" t="s">
        <v>6224</v>
      </c>
      <c r="AC627" s="23" t="s">
        <v>6225</v>
      </c>
      <c r="AD627" s="23" t="s">
        <v>2807</v>
      </c>
    </row>
    <row r="628" customFormat="false" ht="17.9" hidden="false" customHeight="false" outlineLevel="0" collapsed="false">
      <c r="A628" s="20" t="s">
        <v>6226</v>
      </c>
      <c r="B628" s="20" t="s">
        <v>79</v>
      </c>
      <c r="C628" s="20" t="s">
        <v>5162</v>
      </c>
      <c r="D628" s="20" t="s">
        <v>6227</v>
      </c>
      <c r="E628" s="20" t="s">
        <v>6228</v>
      </c>
      <c r="F628" s="20" t="s">
        <v>2934</v>
      </c>
      <c r="G628" s="20" t="s">
        <v>4053</v>
      </c>
      <c r="H628" s="22" t="n">
        <v>24.5</v>
      </c>
      <c r="I628" s="22" t="n">
        <v>24.5</v>
      </c>
      <c r="J628" s="22" t="n">
        <f aca="false">H628-I628</f>
        <v>0</v>
      </c>
      <c r="K628" s="20" t="str">
        <f aca="false">IF(ABS(J628)&lt;0.001,"MATCH - PAPER CHECK-IN NOT SUPPLIED","DATA MISMATCH")</f>
        <v>MATCH - PAPER CHECK-IN NOT SUPPLIED</v>
      </c>
      <c r="L628" s="22" t="n">
        <v>32</v>
      </c>
      <c r="M628" s="22" t="n">
        <f aca="false">ROUNDUP(H628,0)</f>
        <v>25</v>
      </c>
      <c r="N628" s="24" t="n">
        <f aca="false">MAX(L628,M628)</f>
        <v>32</v>
      </c>
      <c r="O628" s="25" t="n">
        <v>10.4</v>
      </c>
      <c r="P628" s="25" t="n">
        <f aca="false">N628*O628</f>
        <v>332.8</v>
      </c>
      <c r="Q628" s="23" t="s">
        <v>6229</v>
      </c>
      <c r="R628" s="23" t="s">
        <v>2804</v>
      </c>
      <c r="S628" s="24" t="n">
        <v>32</v>
      </c>
      <c r="T628" s="25" t="n">
        <v>10.4</v>
      </c>
      <c r="U628" s="25" t="n">
        <v>332.8</v>
      </c>
      <c r="V628" s="25" t="n">
        <f aca="false">P628-U628</f>
        <v>0</v>
      </c>
      <c r="W628" s="25" t="n">
        <f aca="false">V628*12</f>
        <v>0</v>
      </c>
      <c r="X628" s="23" t="str">
        <f aca="false">IF(Q628="","MISSING FROM EXPORT",IF(ABS(V628)&lt;0.005,"CLEAR",IF(V628&gt;0,"UNDERBILLING","OVERBILLING")))</f>
        <v>CLEAR</v>
      </c>
      <c r="Y628" s="25" t="n">
        <f aca="false">IF(F628="COMMERCIAL",ROUND(P628*0.35,2),0)</f>
        <v>116.48</v>
      </c>
      <c r="Z628" s="23" t="str">
        <f aca="false">IF(F628="COMMERCIAL","VERIFY SIGNED AGREEMENT","NO EXCEPTION")</f>
        <v>VERIFY SIGNED AGREEMENT</v>
      </c>
      <c r="AA628" s="23" t="str">
        <f aca="false">IF(AND(C628="covered",N628&gt;40),"COVERED &gt;40 FT","")</f>
        <v/>
      </c>
      <c r="AB628" s="23" t="s">
        <v>6230</v>
      </c>
      <c r="AC628" s="23" t="s">
        <v>6231</v>
      </c>
      <c r="AD628" s="23" t="s">
        <v>2807</v>
      </c>
    </row>
    <row r="629" customFormat="false" ht="17.9" hidden="false" customHeight="false" outlineLevel="0" collapsed="false">
      <c r="A629" s="20" t="s">
        <v>6232</v>
      </c>
      <c r="B629" s="20" t="s">
        <v>79</v>
      </c>
      <c r="C629" s="20" t="s">
        <v>5162</v>
      </c>
      <c r="D629" s="20" t="s">
        <v>6233</v>
      </c>
      <c r="E629" s="20" t="s">
        <v>6234</v>
      </c>
      <c r="F629" s="20" t="s">
        <v>2934</v>
      </c>
      <c r="G629" s="20" t="s">
        <v>4060</v>
      </c>
      <c r="H629" s="22" t="n">
        <v>38.3</v>
      </c>
      <c r="I629" s="22" t="n">
        <v>38.3</v>
      </c>
      <c r="J629" s="22" t="n">
        <f aca="false">H629-I629</f>
        <v>0</v>
      </c>
      <c r="K629" s="20" t="str">
        <f aca="false">IF(ABS(J629)&lt;0.001,"MATCH - PAPER CHECK-IN NOT SUPPLIED","DATA MISMATCH")</f>
        <v>MATCH - PAPER CHECK-IN NOT SUPPLIED</v>
      </c>
      <c r="L629" s="22" t="n">
        <v>28</v>
      </c>
      <c r="M629" s="22" t="n">
        <f aca="false">ROUNDUP(H629,0)</f>
        <v>39</v>
      </c>
      <c r="N629" s="24" t="n">
        <f aca="false">MAX(L629,M629)</f>
        <v>39</v>
      </c>
      <c r="O629" s="25" t="n">
        <v>10.4</v>
      </c>
      <c r="P629" s="25" t="n">
        <f aca="false">N629*O629</f>
        <v>405.6</v>
      </c>
      <c r="Q629" s="23" t="s">
        <v>6235</v>
      </c>
      <c r="R629" s="23" t="s">
        <v>2804</v>
      </c>
      <c r="S629" s="24" t="n">
        <v>39</v>
      </c>
      <c r="T629" s="25" t="n">
        <v>10.4</v>
      </c>
      <c r="U629" s="25" t="n">
        <v>405.6</v>
      </c>
      <c r="V629" s="25" t="n">
        <f aca="false">P629-U629</f>
        <v>0</v>
      </c>
      <c r="W629" s="25" t="n">
        <f aca="false">V629*12</f>
        <v>0</v>
      </c>
      <c r="X629" s="23" t="str">
        <f aca="false">IF(Q629="","MISSING FROM EXPORT",IF(ABS(V629)&lt;0.005,"CLEAR",IF(V629&gt;0,"UNDERBILLING","OVERBILLING")))</f>
        <v>CLEAR</v>
      </c>
      <c r="Y629" s="25" t="n">
        <f aca="false">IF(F629="COMMERCIAL",ROUND(P629*0.35,2),0)</f>
        <v>141.96</v>
      </c>
      <c r="Z629" s="23" t="str">
        <f aca="false">IF(F629="COMMERCIAL","VERIFY SIGNED AGREEMENT","NO EXCEPTION")</f>
        <v>VERIFY SIGNED AGREEMENT</v>
      </c>
      <c r="AA629" s="23" t="str">
        <f aca="false">IF(AND(C629="covered",N629&gt;40),"COVERED &gt;40 FT","")</f>
        <v/>
      </c>
      <c r="AB629" s="23" t="s">
        <v>6236</v>
      </c>
      <c r="AC629" s="23" t="s">
        <v>6237</v>
      </c>
      <c r="AD629" s="23" t="s">
        <v>2807</v>
      </c>
    </row>
    <row r="630" customFormat="false" ht="17.9" hidden="false" customHeight="false" outlineLevel="0" collapsed="false">
      <c r="A630" s="20" t="s">
        <v>6238</v>
      </c>
      <c r="B630" s="20" t="s">
        <v>79</v>
      </c>
      <c r="C630" s="20" t="s">
        <v>5162</v>
      </c>
      <c r="D630" s="20" t="s">
        <v>6239</v>
      </c>
      <c r="E630" s="20" t="s">
        <v>6240</v>
      </c>
      <c r="F630" s="20" t="s">
        <v>2801</v>
      </c>
      <c r="G630" s="20" t="s">
        <v>4067</v>
      </c>
      <c r="H630" s="22" t="n">
        <v>24.8</v>
      </c>
      <c r="I630" s="22" t="n">
        <v>24.8</v>
      </c>
      <c r="J630" s="22" t="n">
        <f aca="false">H630-I630</f>
        <v>0</v>
      </c>
      <c r="K630" s="20" t="str">
        <f aca="false">IF(ABS(J630)&lt;0.001,"MATCH - PAPER CHECK-IN NOT SUPPLIED","DATA MISMATCH")</f>
        <v>MATCH - PAPER CHECK-IN NOT SUPPLIED</v>
      </c>
      <c r="L630" s="22" t="n">
        <v>28</v>
      </c>
      <c r="M630" s="22" t="n">
        <f aca="false">ROUNDUP(H630,0)</f>
        <v>25</v>
      </c>
      <c r="N630" s="24" t="n">
        <f aca="false">MAX(L630,M630)</f>
        <v>28</v>
      </c>
      <c r="O630" s="25" t="n">
        <v>10.4</v>
      </c>
      <c r="P630" s="25" t="n">
        <f aca="false">N630*O630</f>
        <v>291.2</v>
      </c>
      <c r="Q630" s="23" t="s">
        <v>6241</v>
      </c>
      <c r="R630" s="23" t="s">
        <v>2804</v>
      </c>
      <c r="S630" s="24" t="n">
        <v>28</v>
      </c>
      <c r="T630" s="25" t="n">
        <v>10.4</v>
      </c>
      <c r="U630" s="25" t="n">
        <v>291.2</v>
      </c>
      <c r="V630" s="25" t="n">
        <f aca="false">P630-U630</f>
        <v>0</v>
      </c>
      <c r="W630" s="25" t="n">
        <f aca="false">V630*12</f>
        <v>0</v>
      </c>
      <c r="X630" s="23" t="str">
        <f aca="false">IF(Q630="","MISSING FROM EXPORT",IF(ABS(V630)&lt;0.005,"CLEAR",IF(V630&gt;0,"UNDERBILLING","OVERBILLING")))</f>
        <v>CLEAR</v>
      </c>
      <c r="Y630" s="25" t="n">
        <f aca="false">IF(F630="COMMERCIAL",ROUND(P630*0.35,2),0)</f>
        <v>0</v>
      </c>
      <c r="Z630" s="23" t="str">
        <f aca="false">IF(F630="COMMERCIAL","VERIFY SIGNED AGREEMENT","NO EXCEPTION")</f>
        <v>NO EXCEPTION</v>
      </c>
      <c r="AA630" s="23" t="str">
        <f aca="false">IF(AND(C630="covered",N630&gt;40),"COVERED &gt;40 FT","")</f>
        <v/>
      </c>
      <c r="AB630" s="23" t="s">
        <v>6242</v>
      </c>
      <c r="AC630" s="23" t="s">
        <v>6243</v>
      </c>
      <c r="AD630" s="23" t="s">
        <v>2807</v>
      </c>
    </row>
    <row r="631" customFormat="false" ht="17.9" hidden="false" customHeight="false" outlineLevel="0" collapsed="false">
      <c r="A631" s="20" t="s">
        <v>6244</v>
      </c>
      <c r="B631" s="20" t="s">
        <v>79</v>
      </c>
      <c r="C631" s="20" t="s">
        <v>5162</v>
      </c>
      <c r="D631" s="20" t="s">
        <v>1851</v>
      </c>
      <c r="E631" s="20" t="s">
        <v>6245</v>
      </c>
      <c r="F631" s="20" t="s">
        <v>2898</v>
      </c>
      <c r="G631" s="20" t="s">
        <v>4074</v>
      </c>
      <c r="H631" s="22" t="n">
        <v>58</v>
      </c>
      <c r="I631" s="22" t="n">
        <v>58</v>
      </c>
      <c r="J631" s="22" t="n">
        <f aca="false">H631-I631</f>
        <v>0</v>
      </c>
      <c r="K631" s="20" t="str">
        <f aca="false">IF(ABS(J631)&lt;0.001,"MATCH - PAPER CHECK-IN NOT SUPPLIED","DATA MISMATCH")</f>
        <v>MATCH - PAPER CHECK-IN NOT SUPPLIED</v>
      </c>
      <c r="L631" s="22" t="n">
        <v>24</v>
      </c>
      <c r="M631" s="22" t="n">
        <f aca="false">ROUNDUP(H631,0)</f>
        <v>58</v>
      </c>
      <c r="N631" s="24" t="n">
        <f aca="false">MAX(L631,M631)</f>
        <v>58</v>
      </c>
      <c r="O631" s="25" t="n">
        <v>10.4</v>
      </c>
      <c r="P631" s="25" t="n">
        <f aca="false">N631*O631</f>
        <v>603.2</v>
      </c>
      <c r="Q631" s="23" t="s">
        <v>6246</v>
      </c>
      <c r="R631" s="23" t="s">
        <v>2804</v>
      </c>
      <c r="S631" s="24" t="n">
        <v>58</v>
      </c>
      <c r="T631" s="25" t="n">
        <v>10.4</v>
      </c>
      <c r="U631" s="25" t="n">
        <v>603.2</v>
      </c>
      <c r="V631" s="25" t="n">
        <f aca="false">P631-U631</f>
        <v>0</v>
      </c>
      <c r="W631" s="25" t="n">
        <f aca="false">V631*12</f>
        <v>0</v>
      </c>
      <c r="X631" s="23" t="str">
        <f aca="false">IF(Q631="","MISSING FROM EXPORT",IF(ABS(V631)&lt;0.005,"CLEAR",IF(V631&gt;0,"UNDERBILLING","OVERBILLING")))</f>
        <v>CLEAR</v>
      </c>
      <c r="Y631" s="25" t="n">
        <f aca="false">IF(F631="COMMERCIAL",ROUND(P631*0.35,2),0)</f>
        <v>0</v>
      </c>
      <c r="Z631" s="23" t="str">
        <f aca="false">IF(F631="COMMERCIAL","VERIFY SIGNED AGREEMENT","NO EXCEPTION")</f>
        <v>NO EXCEPTION</v>
      </c>
      <c r="AA631" s="23" t="str">
        <f aca="false">IF(AND(C631="covered",N631&gt;40),"COVERED &gt;40 FT","")</f>
        <v>COVERED &gt;40 FT</v>
      </c>
      <c r="AB631" s="23" t="s">
        <v>6247</v>
      </c>
      <c r="AC631" s="23" t="s">
        <v>6248</v>
      </c>
      <c r="AD631" s="23" t="s">
        <v>2807</v>
      </c>
    </row>
    <row r="632" customFormat="false" ht="17.9" hidden="false" customHeight="false" outlineLevel="0" collapsed="false">
      <c r="A632" s="20" t="s">
        <v>1757</v>
      </c>
      <c r="B632" s="20" t="s">
        <v>79</v>
      </c>
      <c r="C632" s="20" t="s">
        <v>5162</v>
      </c>
      <c r="D632" s="20" t="s">
        <v>6249</v>
      </c>
      <c r="E632" s="20" t="s">
        <v>6250</v>
      </c>
      <c r="F632" s="20" t="s">
        <v>2810</v>
      </c>
      <c r="G632" s="20" t="s">
        <v>4081</v>
      </c>
      <c r="H632" s="22" t="n">
        <v>21</v>
      </c>
      <c r="I632" s="22" t="n">
        <v>21</v>
      </c>
      <c r="J632" s="22" t="n">
        <f aca="false">H632-I632</f>
        <v>0</v>
      </c>
      <c r="K632" s="20" t="str">
        <f aca="false">IF(ABS(J632)&lt;0.001,"MATCH - PAPER CHECK-IN NOT SUPPLIED","DATA MISMATCH")</f>
        <v>MATCH - PAPER CHECK-IN NOT SUPPLIED</v>
      </c>
      <c r="L632" s="22" t="n">
        <v>24</v>
      </c>
      <c r="M632" s="22" t="n">
        <f aca="false">ROUNDUP(H632,0)</f>
        <v>21</v>
      </c>
      <c r="N632" s="24" t="n">
        <f aca="false">MAX(L632,M632)</f>
        <v>24</v>
      </c>
      <c r="O632" s="25" t="n">
        <v>10.4</v>
      </c>
      <c r="P632" s="25" t="n">
        <f aca="false">N632*O632</f>
        <v>249.6</v>
      </c>
      <c r="Q632" s="23" t="s">
        <v>6251</v>
      </c>
      <c r="R632" s="23" t="s">
        <v>2804</v>
      </c>
      <c r="S632" s="24" t="n">
        <v>24</v>
      </c>
      <c r="T632" s="25" t="n">
        <v>10.4</v>
      </c>
      <c r="U632" s="25" t="n">
        <v>249.6</v>
      </c>
      <c r="V632" s="25" t="n">
        <f aca="false">P632-U632</f>
        <v>0</v>
      </c>
      <c r="W632" s="25" t="n">
        <f aca="false">V632*12</f>
        <v>0</v>
      </c>
      <c r="X632" s="23" t="str">
        <f aca="false">IF(Q632="","MISSING FROM EXPORT",IF(ABS(V632)&lt;0.005,"CLEAR",IF(V632&gt;0,"UNDERBILLING","OVERBILLING")))</f>
        <v>CLEAR</v>
      </c>
      <c r="Y632" s="25" t="n">
        <f aca="false">IF(F632="COMMERCIAL",ROUND(P632*0.35,2),0)</f>
        <v>0</v>
      </c>
      <c r="Z632" s="23" t="str">
        <f aca="false">IF(F632="COMMERCIAL","VERIFY SIGNED AGREEMENT","NO EXCEPTION")</f>
        <v>NO EXCEPTION</v>
      </c>
      <c r="AA632" s="23" t="str">
        <f aca="false">IF(AND(C632="covered",N632&gt;40),"COVERED &gt;40 FT","")</f>
        <v/>
      </c>
      <c r="AB632" s="23" t="s">
        <v>6252</v>
      </c>
      <c r="AC632" s="23" t="s">
        <v>6253</v>
      </c>
      <c r="AD632" s="23" t="s">
        <v>2807</v>
      </c>
    </row>
    <row r="633" customFormat="false" ht="17.9" hidden="false" customHeight="false" outlineLevel="0" collapsed="false">
      <c r="A633" s="20" t="s">
        <v>6254</v>
      </c>
      <c r="B633" s="20" t="s">
        <v>79</v>
      </c>
      <c r="C633" s="20" t="s">
        <v>5162</v>
      </c>
      <c r="D633" s="20" t="s">
        <v>6255</v>
      </c>
      <c r="E633" s="20" t="s">
        <v>6256</v>
      </c>
      <c r="F633" s="20" t="s">
        <v>2934</v>
      </c>
      <c r="G633" s="20" t="s">
        <v>6257</v>
      </c>
      <c r="H633" s="22" t="n">
        <v>59.9</v>
      </c>
      <c r="I633" s="22" t="n">
        <v>59.9</v>
      </c>
      <c r="J633" s="22" t="n">
        <f aca="false">H633-I633</f>
        <v>0</v>
      </c>
      <c r="K633" s="20" t="str">
        <f aca="false">IF(ABS(J633)&lt;0.001,"MATCH - PAPER CHECK-IN NOT SUPPLIED","DATA MISMATCH")</f>
        <v>MATCH - PAPER CHECK-IN NOT SUPPLIED</v>
      </c>
      <c r="L633" s="22" t="n">
        <v>28</v>
      </c>
      <c r="M633" s="22" t="n">
        <f aca="false">ROUNDUP(H633,0)</f>
        <v>60</v>
      </c>
      <c r="N633" s="24" t="n">
        <f aca="false">MAX(L633,M633)</f>
        <v>60</v>
      </c>
      <c r="O633" s="25" t="n">
        <v>10.4</v>
      </c>
      <c r="P633" s="25" t="n">
        <f aca="false">N633*O633</f>
        <v>624</v>
      </c>
      <c r="Q633" s="23" t="s">
        <v>6258</v>
      </c>
      <c r="R633" s="23" t="s">
        <v>2804</v>
      </c>
      <c r="S633" s="24" t="n">
        <v>60</v>
      </c>
      <c r="T633" s="25" t="n">
        <v>10.4</v>
      </c>
      <c r="U633" s="25" t="n">
        <v>624</v>
      </c>
      <c r="V633" s="25" t="n">
        <f aca="false">P633-U633</f>
        <v>0</v>
      </c>
      <c r="W633" s="25" t="n">
        <f aca="false">V633*12</f>
        <v>0</v>
      </c>
      <c r="X633" s="23" t="str">
        <f aca="false">IF(Q633="","MISSING FROM EXPORT",IF(ABS(V633)&lt;0.005,"CLEAR",IF(V633&gt;0,"UNDERBILLING","OVERBILLING")))</f>
        <v>CLEAR</v>
      </c>
      <c r="Y633" s="25" t="n">
        <f aca="false">IF(F633="COMMERCIAL",ROUND(P633*0.35,2),0)</f>
        <v>218.4</v>
      </c>
      <c r="Z633" s="23" t="str">
        <f aca="false">IF(F633="COMMERCIAL","VERIFY SIGNED AGREEMENT","NO EXCEPTION")</f>
        <v>VERIFY SIGNED AGREEMENT</v>
      </c>
      <c r="AA633" s="23" t="str">
        <f aca="false">IF(AND(C633="covered",N633&gt;40),"COVERED &gt;40 FT","")</f>
        <v>COVERED &gt;40 FT</v>
      </c>
      <c r="AB633" s="23" t="s">
        <v>6259</v>
      </c>
      <c r="AC633" s="23" t="s">
        <v>6260</v>
      </c>
      <c r="AD633" s="23" t="s">
        <v>2807</v>
      </c>
    </row>
    <row r="634" customFormat="false" ht="17.9" hidden="false" customHeight="false" outlineLevel="0" collapsed="false">
      <c r="A634" s="20" t="s">
        <v>878</v>
      </c>
      <c r="B634" s="20" t="s">
        <v>79</v>
      </c>
      <c r="C634" s="20" t="s">
        <v>5162</v>
      </c>
      <c r="D634" s="20" t="s">
        <v>6261</v>
      </c>
      <c r="E634" s="20" t="s">
        <v>6262</v>
      </c>
      <c r="F634" s="20" t="s">
        <v>2898</v>
      </c>
      <c r="G634" s="20" t="s">
        <v>4088</v>
      </c>
      <c r="H634" s="22" t="n">
        <v>54.4</v>
      </c>
      <c r="I634" s="22" t="n">
        <v>54.4</v>
      </c>
      <c r="J634" s="22" t="n">
        <f aca="false">H634-I634</f>
        <v>0</v>
      </c>
      <c r="K634" s="20" t="str">
        <f aca="false">IF(ABS(J634)&lt;0.001,"MATCH - PAPER CHECK-IN NOT SUPPLIED","DATA MISMATCH")</f>
        <v>MATCH - PAPER CHECK-IN NOT SUPPLIED</v>
      </c>
      <c r="L634" s="22" t="n">
        <v>40</v>
      </c>
      <c r="M634" s="22" t="n">
        <f aca="false">ROUNDUP(H634,0)</f>
        <v>55</v>
      </c>
      <c r="N634" s="24" t="n">
        <f aca="false">MAX(L634,M634)</f>
        <v>55</v>
      </c>
      <c r="O634" s="25" t="n">
        <v>10.4</v>
      </c>
      <c r="P634" s="25" t="n">
        <f aca="false">N634*O634</f>
        <v>572</v>
      </c>
      <c r="Q634" s="23" t="s">
        <v>6263</v>
      </c>
      <c r="R634" s="23" t="s">
        <v>2804</v>
      </c>
      <c r="S634" s="24" t="n">
        <v>55</v>
      </c>
      <c r="T634" s="25" t="n">
        <v>10.4</v>
      </c>
      <c r="U634" s="25" t="n">
        <v>572</v>
      </c>
      <c r="V634" s="25" t="n">
        <f aca="false">P634-U634</f>
        <v>0</v>
      </c>
      <c r="W634" s="25" t="n">
        <f aca="false">V634*12</f>
        <v>0</v>
      </c>
      <c r="X634" s="23" t="str">
        <f aca="false">IF(Q634="","MISSING FROM EXPORT",IF(ABS(V634)&lt;0.005,"CLEAR",IF(V634&gt;0,"UNDERBILLING","OVERBILLING")))</f>
        <v>CLEAR</v>
      </c>
      <c r="Y634" s="25" t="n">
        <f aca="false">IF(F634="COMMERCIAL",ROUND(P634*0.35,2),0)</f>
        <v>0</v>
      </c>
      <c r="Z634" s="23" t="str">
        <f aca="false">IF(F634="COMMERCIAL","VERIFY SIGNED AGREEMENT","NO EXCEPTION")</f>
        <v>NO EXCEPTION</v>
      </c>
      <c r="AA634" s="23" t="str">
        <f aca="false">IF(AND(C634="covered",N634&gt;40),"COVERED &gt;40 FT","")</f>
        <v>COVERED &gt;40 FT</v>
      </c>
      <c r="AB634" s="23" t="s">
        <v>6264</v>
      </c>
      <c r="AC634" s="23" t="s">
        <v>6265</v>
      </c>
      <c r="AD634" s="23" t="s">
        <v>2807</v>
      </c>
    </row>
    <row r="635" customFormat="false" ht="17.9" hidden="false" customHeight="false" outlineLevel="0" collapsed="false">
      <c r="A635" s="20" t="s">
        <v>6266</v>
      </c>
      <c r="B635" s="20" t="s">
        <v>79</v>
      </c>
      <c r="C635" s="20" t="s">
        <v>5162</v>
      </c>
      <c r="D635" s="20" t="s">
        <v>6267</v>
      </c>
      <c r="E635" s="20" t="s">
        <v>6268</v>
      </c>
      <c r="F635" s="20" t="s">
        <v>2898</v>
      </c>
      <c r="G635" s="20" t="s">
        <v>4093</v>
      </c>
      <c r="H635" s="22" t="n">
        <v>62</v>
      </c>
      <c r="I635" s="22" t="n">
        <v>62</v>
      </c>
      <c r="J635" s="22" t="n">
        <f aca="false">H635-I635</f>
        <v>0</v>
      </c>
      <c r="K635" s="20" t="str">
        <f aca="false">IF(ABS(J635)&lt;0.001,"MATCH - PAPER CHECK-IN NOT SUPPLIED","DATA MISMATCH")</f>
        <v>MATCH - PAPER CHECK-IN NOT SUPPLIED</v>
      </c>
      <c r="L635" s="22" t="n">
        <v>32</v>
      </c>
      <c r="M635" s="22" t="n">
        <f aca="false">ROUNDUP(H635,0)</f>
        <v>62</v>
      </c>
      <c r="N635" s="24" t="n">
        <f aca="false">MAX(L635,M635)</f>
        <v>62</v>
      </c>
      <c r="O635" s="25" t="n">
        <v>10.4</v>
      </c>
      <c r="P635" s="25" t="n">
        <f aca="false">N635*O635</f>
        <v>644.8</v>
      </c>
      <c r="Q635" s="23" t="s">
        <v>6269</v>
      </c>
      <c r="R635" s="23" t="s">
        <v>2804</v>
      </c>
      <c r="S635" s="24" t="n">
        <v>62</v>
      </c>
      <c r="T635" s="25" t="n">
        <v>10.4</v>
      </c>
      <c r="U635" s="25" t="n">
        <v>644.8</v>
      </c>
      <c r="V635" s="25" t="n">
        <f aca="false">P635-U635</f>
        <v>0</v>
      </c>
      <c r="W635" s="25" t="n">
        <f aca="false">V635*12</f>
        <v>0</v>
      </c>
      <c r="X635" s="23" t="str">
        <f aca="false">IF(Q635="","MISSING FROM EXPORT",IF(ABS(V635)&lt;0.005,"CLEAR",IF(V635&gt;0,"UNDERBILLING","OVERBILLING")))</f>
        <v>CLEAR</v>
      </c>
      <c r="Y635" s="25" t="n">
        <f aca="false">IF(F635="COMMERCIAL",ROUND(P635*0.35,2),0)</f>
        <v>0</v>
      </c>
      <c r="Z635" s="23" t="str">
        <f aca="false">IF(F635="COMMERCIAL","VERIFY SIGNED AGREEMENT","NO EXCEPTION")</f>
        <v>NO EXCEPTION</v>
      </c>
      <c r="AA635" s="23" t="str">
        <f aca="false">IF(AND(C635="covered",N635&gt;40),"COVERED &gt;40 FT","")</f>
        <v>COVERED &gt;40 FT</v>
      </c>
      <c r="AB635" s="23" t="s">
        <v>6270</v>
      </c>
      <c r="AC635" s="23" t="s">
        <v>6271</v>
      </c>
      <c r="AD635" s="23" t="s">
        <v>2807</v>
      </c>
    </row>
    <row r="636" customFormat="false" ht="17.9" hidden="false" customHeight="false" outlineLevel="0" collapsed="false">
      <c r="A636" s="20" t="s">
        <v>6272</v>
      </c>
      <c r="B636" s="20" t="s">
        <v>79</v>
      </c>
      <c r="C636" s="20" t="s">
        <v>5162</v>
      </c>
      <c r="D636" s="20" t="s">
        <v>6273</v>
      </c>
      <c r="E636" s="20" t="s">
        <v>6274</v>
      </c>
      <c r="F636" s="20" t="s">
        <v>2934</v>
      </c>
      <c r="G636" s="20" t="s">
        <v>4099</v>
      </c>
      <c r="H636" s="22" t="n">
        <v>56.2</v>
      </c>
      <c r="I636" s="22" t="n">
        <v>56.2</v>
      </c>
      <c r="J636" s="22" t="n">
        <f aca="false">H636-I636</f>
        <v>0</v>
      </c>
      <c r="K636" s="20" t="str">
        <f aca="false">IF(ABS(J636)&lt;0.001,"MATCH - PAPER CHECK-IN NOT SUPPLIED","DATA MISMATCH")</f>
        <v>MATCH - PAPER CHECK-IN NOT SUPPLIED</v>
      </c>
      <c r="L636" s="22" t="n">
        <v>28</v>
      </c>
      <c r="M636" s="22" t="n">
        <f aca="false">ROUNDUP(H636,0)</f>
        <v>57</v>
      </c>
      <c r="N636" s="24" t="n">
        <f aca="false">MAX(L636,M636)</f>
        <v>57</v>
      </c>
      <c r="O636" s="25" t="n">
        <v>10.4</v>
      </c>
      <c r="P636" s="25" t="n">
        <f aca="false">N636*O636</f>
        <v>592.8</v>
      </c>
      <c r="Q636" s="23" t="s">
        <v>6275</v>
      </c>
      <c r="R636" s="23" t="s">
        <v>2804</v>
      </c>
      <c r="S636" s="24" t="n">
        <v>57</v>
      </c>
      <c r="T636" s="25" t="n">
        <v>10.4</v>
      </c>
      <c r="U636" s="25" t="n">
        <v>592.8</v>
      </c>
      <c r="V636" s="25" t="n">
        <f aca="false">P636-U636</f>
        <v>0</v>
      </c>
      <c r="W636" s="25" t="n">
        <f aca="false">V636*12</f>
        <v>0</v>
      </c>
      <c r="X636" s="23" t="str">
        <f aca="false">IF(Q636="","MISSING FROM EXPORT",IF(ABS(V636)&lt;0.005,"CLEAR",IF(V636&gt;0,"UNDERBILLING","OVERBILLING")))</f>
        <v>CLEAR</v>
      </c>
      <c r="Y636" s="25" t="n">
        <f aca="false">IF(F636="COMMERCIAL",ROUND(P636*0.35,2),0)</f>
        <v>207.48</v>
      </c>
      <c r="Z636" s="23" t="str">
        <f aca="false">IF(F636="COMMERCIAL","VERIFY SIGNED AGREEMENT","NO EXCEPTION")</f>
        <v>VERIFY SIGNED AGREEMENT</v>
      </c>
      <c r="AA636" s="23" t="str">
        <f aca="false">IF(AND(C636="covered",N636&gt;40),"COVERED &gt;40 FT","")</f>
        <v>COVERED &gt;40 FT</v>
      </c>
      <c r="AB636" s="23" t="s">
        <v>6276</v>
      </c>
      <c r="AC636" s="23" t="s">
        <v>6277</v>
      </c>
      <c r="AD636" s="23" t="s">
        <v>2807</v>
      </c>
    </row>
    <row r="637" customFormat="false" ht="17.9" hidden="false" customHeight="false" outlineLevel="0" collapsed="false">
      <c r="A637" s="20" t="s">
        <v>6278</v>
      </c>
      <c r="B637" s="20" t="s">
        <v>79</v>
      </c>
      <c r="C637" s="20" t="s">
        <v>5162</v>
      </c>
      <c r="D637" s="20" t="s">
        <v>6279</v>
      </c>
      <c r="E637" s="20" t="s">
        <v>6280</v>
      </c>
      <c r="F637" s="20" t="s">
        <v>2857</v>
      </c>
      <c r="G637" s="20" t="s">
        <v>5096</v>
      </c>
      <c r="H637" s="22" t="n">
        <v>33.9</v>
      </c>
      <c r="I637" s="22" t="n">
        <v>33.9</v>
      </c>
      <c r="J637" s="22" t="n">
        <f aca="false">H637-I637</f>
        <v>0</v>
      </c>
      <c r="K637" s="20" t="str">
        <f aca="false">IF(ABS(J637)&lt;0.001,"MATCH - PAPER CHECK-IN NOT SUPPLIED","DATA MISMATCH")</f>
        <v>MATCH - PAPER CHECK-IN NOT SUPPLIED</v>
      </c>
      <c r="L637" s="22" t="n">
        <v>24</v>
      </c>
      <c r="M637" s="22" t="n">
        <f aca="false">ROUNDUP(H637,0)</f>
        <v>34</v>
      </c>
      <c r="N637" s="24" t="n">
        <f aca="false">MAX(L637,M637)</f>
        <v>34</v>
      </c>
      <c r="O637" s="25" t="n">
        <v>10.4</v>
      </c>
      <c r="P637" s="25" t="n">
        <f aca="false">N637*O637</f>
        <v>353.6</v>
      </c>
      <c r="Q637" s="23" t="s">
        <v>6281</v>
      </c>
      <c r="R637" s="23" t="s">
        <v>2804</v>
      </c>
      <c r="S637" s="24" t="n">
        <v>34</v>
      </c>
      <c r="T637" s="25" t="n">
        <v>10.4</v>
      </c>
      <c r="U637" s="25" t="n">
        <v>353.6</v>
      </c>
      <c r="V637" s="25" t="n">
        <f aca="false">P637-U637</f>
        <v>0</v>
      </c>
      <c r="W637" s="25" t="n">
        <f aca="false">V637*12</f>
        <v>0</v>
      </c>
      <c r="X637" s="23" t="str">
        <f aca="false">IF(Q637="","MISSING FROM EXPORT",IF(ABS(V637)&lt;0.005,"CLEAR",IF(V637&gt;0,"UNDERBILLING","OVERBILLING")))</f>
        <v>CLEAR</v>
      </c>
      <c r="Y637" s="25" t="n">
        <f aca="false">IF(F637="COMMERCIAL",ROUND(P637*0.35,2),0)</f>
        <v>0</v>
      </c>
      <c r="Z637" s="23" t="str">
        <f aca="false">IF(F637="COMMERCIAL","VERIFY SIGNED AGREEMENT","NO EXCEPTION")</f>
        <v>NO EXCEPTION</v>
      </c>
      <c r="AA637" s="23" t="str">
        <f aca="false">IF(AND(C637="covered",N637&gt;40),"COVERED &gt;40 FT","")</f>
        <v/>
      </c>
      <c r="AB637" s="23" t="s">
        <v>6282</v>
      </c>
      <c r="AC637" s="23" t="s">
        <v>6283</v>
      </c>
      <c r="AD637" s="23" t="s">
        <v>2807</v>
      </c>
    </row>
    <row r="638" customFormat="false" ht="17.9" hidden="false" customHeight="false" outlineLevel="0" collapsed="false">
      <c r="A638" s="20" t="s">
        <v>6284</v>
      </c>
      <c r="B638" s="20" t="s">
        <v>79</v>
      </c>
      <c r="C638" s="20" t="s">
        <v>5162</v>
      </c>
      <c r="D638" s="20" t="s">
        <v>6285</v>
      </c>
      <c r="E638" s="20" t="s">
        <v>6286</v>
      </c>
      <c r="F638" s="20" t="s">
        <v>2934</v>
      </c>
      <c r="G638" s="20" t="s">
        <v>4106</v>
      </c>
      <c r="H638" s="22" t="n">
        <v>38</v>
      </c>
      <c r="I638" s="22" t="n">
        <v>38</v>
      </c>
      <c r="J638" s="22" t="n">
        <f aca="false">H638-I638</f>
        <v>0</v>
      </c>
      <c r="K638" s="20" t="str">
        <f aca="false">IF(ABS(J638)&lt;0.001,"MATCH - PAPER CHECK-IN NOT SUPPLIED","DATA MISMATCH")</f>
        <v>MATCH - PAPER CHECK-IN NOT SUPPLIED</v>
      </c>
      <c r="L638" s="22" t="n">
        <v>28</v>
      </c>
      <c r="M638" s="22" t="n">
        <f aca="false">ROUNDUP(H638,0)</f>
        <v>38</v>
      </c>
      <c r="N638" s="24" t="n">
        <f aca="false">MAX(L638,M638)</f>
        <v>38</v>
      </c>
      <c r="O638" s="25" t="n">
        <v>10.4</v>
      </c>
      <c r="P638" s="25" t="n">
        <f aca="false">N638*O638</f>
        <v>395.2</v>
      </c>
      <c r="Q638" s="23" t="s">
        <v>6287</v>
      </c>
      <c r="R638" s="23" t="s">
        <v>2804</v>
      </c>
      <c r="S638" s="24" t="n">
        <v>38</v>
      </c>
      <c r="T638" s="25" t="n">
        <v>10.4</v>
      </c>
      <c r="U638" s="25" t="n">
        <v>395.2</v>
      </c>
      <c r="V638" s="25" t="n">
        <f aca="false">P638-U638</f>
        <v>0</v>
      </c>
      <c r="W638" s="25" t="n">
        <f aca="false">V638*12</f>
        <v>0</v>
      </c>
      <c r="X638" s="23" t="str">
        <f aca="false">IF(Q638="","MISSING FROM EXPORT",IF(ABS(V638)&lt;0.005,"CLEAR",IF(V638&gt;0,"UNDERBILLING","OVERBILLING")))</f>
        <v>CLEAR</v>
      </c>
      <c r="Y638" s="25" t="n">
        <f aca="false">IF(F638="COMMERCIAL",ROUND(P638*0.35,2),0)</f>
        <v>138.32</v>
      </c>
      <c r="Z638" s="23" t="str">
        <f aca="false">IF(F638="COMMERCIAL","VERIFY SIGNED AGREEMENT","NO EXCEPTION")</f>
        <v>VERIFY SIGNED AGREEMENT</v>
      </c>
      <c r="AA638" s="23" t="str">
        <f aca="false">IF(AND(C638="covered",N638&gt;40),"COVERED &gt;40 FT","")</f>
        <v/>
      </c>
      <c r="AB638" s="23" t="s">
        <v>6288</v>
      </c>
      <c r="AC638" s="23" t="s">
        <v>6289</v>
      </c>
      <c r="AD638" s="23" t="s">
        <v>2807</v>
      </c>
    </row>
    <row r="639" customFormat="false" ht="17.9" hidden="false" customHeight="false" outlineLevel="0" collapsed="false">
      <c r="A639" s="20" t="s">
        <v>6290</v>
      </c>
      <c r="B639" s="20" t="s">
        <v>79</v>
      </c>
      <c r="C639" s="20" t="s">
        <v>5162</v>
      </c>
      <c r="D639" s="20" t="s">
        <v>6291</v>
      </c>
      <c r="E639" s="20" t="s">
        <v>6292</v>
      </c>
      <c r="F639" s="20" t="s">
        <v>2857</v>
      </c>
      <c r="G639" s="20" t="s">
        <v>5105</v>
      </c>
      <c r="H639" s="22" t="n">
        <v>19.5</v>
      </c>
      <c r="I639" s="22" t="n">
        <v>19.5</v>
      </c>
      <c r="J639" s="22" t="n">
        <f aca="false">H639-I639</f>
        <v>0</v>
      </c>
      <c r="K639" s="20" t="str">
        <f aca="false">IF(ABS(J639)&lt;0.001,"MATCH - PAPER CHECK-IN NOT SUPPLIED","DATA MISMATCH")</f>
        <v>MATCH - PAPER CHECK-IN NOT SUPPLIED</v>
      </c>
      <c r="L639" s="22" t="n">
        <v>36</v>
      </c>
      <c r="M639" s="22" t="n">
        <f aca="false">ROUNDUP(H639,0)</f>
        <v>20</v>
      </c>
      <c r="N639" s="24" t="n">
        <f aca="false">MAX(L639,M639)</f>
        <v>36</v>
      </c>
      <c r="O639" s="25" t="n">
        <v>10.4</v>
      </c>
      <c r="P639" s="25" t="n">
        <f aca="false">N639*O639</f>
        <v>374.4</v>
      </c>
      <c r="Q639" s="23" t="s">
        <v>6293</v>
      </c>
      <c r="R639" s="23" t="s">
        <v>2804</v>
      </c>
      <c r="S639" s="24" t="n">
        <v>36</v>
      </c>
      <c r="T639" s="25" t="n">
        <v>10.4</v>
      </c>
      <c r="U639" s="25" t="n">
        <v>374.4</v>
      </c>
      <c r="V639" s="25" t="n">
        <f aca="false">P639-U639</f>
        <v>0</v>
      </c>
      <c r="W639" s="25" t="n">
        <f aca="false">V639*12</f>
        <v>0</v>
      </c>
      <c r="X639" s="23" t="str">
        <f aca="false">IF(Q639="","MISSING FROM EXPORT",IF(ABS(V639)&lt;0.005,"CLEAR",IF(V639&gt;0,"UNDERBILLING","OVERBILLING")))</f>
        <v>CLEAR</v>
      </c>
      <c r="Y639" s="25" t="n">
        <f aca="false">IF(F639="COMMERCIAL",ROUND(P639*0.35,2),0)</f>
        <v>0</v>
      </c>
      <c r="Z639" s="23" t="str">
        <f aca="false">IF(F639="COMMERCIAL","VERIFY SIGNED AGREEMENT","NO EXCEPTION")</f>
        <v>NO EXCEPTION</v>
      </c>
      <c r="AA639" s="23" t="str">
        <f aca="false">IF(AND(C639="covered",N639&gt;40),"COVERED &gt;40 FT","")</f>
        <v/>
      </c>
      <c r="AB639" s="23" t="s">
        <v>6294</v>
      </c>
      <c r="AC639" s="23" t="s">
        <v>6295</v>
      </c>
      <c r="AD639" s="23" t="s">
        <v>2807</v>
      </c>
    </row>
    <row r="640" customFormat="false" ht="17.9" hidden="false" customHeight="false" outlineLevel="0" collapsed="false">
      <c r="A640" s="20" t="s">
        <v>6296</v>
      </c>
      <c r="B640" s="20" t="s">
        <v>79</v>
      </c>
      <c r="C640" s="20" t="s">
        <v>5162</v>
      </c>
      <c r="D640" s="20" t="s">
        <v>6297</v>
      </c>
      <c r="E640" s="20" t="s">
        <v>6298</v>
      </c>
      <c r="F640" s="20" t="s">
        <v>2934</v>
      </c>
      <c r="G640" s="20" t="s">
        <v>4112</v>
      </c>
      <c r="H640" s="22" t="n">
        <v>57.9</v>
      </c>
      <c r="I640" s="22" t="n">
        <v>57.9</v>
      </c>
      <c r="J640" s="22" t="n">
        <f aca="false">H640-I640</f>
        <v>0</v>
      </c>
      <c r="K640" s="20" t="str">
        <f aca="false">IF(ABS(J640)&lt;0.001,"MATCH - PAPER CHECK-IN NOT SUPPLIED","DATA MISMATCH")</f>
        <v>MATCH - PAPER CHECK-IN NOT SUPPLIED</v>
      </c>
      <c r="L640" s="22" t="n">
        <v>32</v>
      </c>
      <c r="M640" s="22" t="n">
        <f aca="false">ROUNDUP(H640,0)</f>
        <v>58</v>
      </c>
      <c r="N640" s="24" t="n">
        <f aca="false">MAX(L640,M640)</f>
        <v>58</v>
      </c>
      <c r="O640" s="25" t="n">
        <v>10.4</v>
      </c>
      <c r="P640" s="25" t="n">
        <f aca="false">N640*O640</f>
        <v>603.2</v>
      </c>
      <c r="Q640" s="23" t="s">
        <v>6299</v>
      </c>
      <c r="R640" s="23" t="s">
        <v>2804</v>
      </c>
      <c r="S640" s="24" t="n">
        <v>58</v>
      </c>
      <c r="T640" s="25" t="n">
        <v>10.4</v>
      </c>
      <c r="U640" s="25" t="n">
        <v>603.2</v>
      </c>
      <c r="V640" s="25" t="n">
        <f aca="false">P640-U640</f>
        <v>0</v>
      </c>
      <c r="W640" s="25" t="n">
        <f aca="false">V640*12</f>
        <v>0</v>
      </c>
      <c r="X640" s="23" t="str">
        <f aca="false">IF(Q640="","MISSING FROM EXPORT",IF(ABS(V640)&lt;0.005,"CLEAR",IF(V640&gt;0,"UNDERBILLING","OVERBILLING")))</f>
        <v>CLEAR</v>
      </c>
      <c r="Y640" s="25" t="n">
        <f aca="false">IF(F640="COMMERCIAL",ROUND(P640*0.35,2),0)</f>
        <v>211.12</v>
      </c>
      <c r="Z640" s="23" t="str">
        <f aca="false">IF(F640="COMMERCIAL","VERIFY SIGNED AGREEMENT","NO EXCEPTION")</f>
        <v>VERIFY SIGNED AGREEMENT</v>
      </c>
      <c r="AA640" s="23" t="str">
        <f aca="false">IF(AND(C640="covered",N640&gt;40),"COVERED &gt;40 FT","")</f>
        <v>COVERED &gt;40 FT</v>
      </c>
      <c r="AB640" s="23" t="s">
        <v>6300</v>
      </c>
      <c r="AC640" s="23" t="s">
        <v>6301</v>
      </c>
      <c r="AD640" s="23" t="s">
        <v>2807</v>
      </c>
    </row>
    <row r="641" customFormat="false" ht="17.9" hidden="false" customHeight="false" outlineLevel="0" collapsed="false">
      <c r="A641" s="20" t="s">
        <v>6302</v>
      </c>
      <c r="B641" s="20" t="s">
        <v>79</v>
      </c>
      <c r="C641" s="20" t="s">
        <v>5162</v>
      </c>
      <c r="D641" s="20" t="s">
        <v>6303</v>
      </c>
      <c r="E641" s="20" t="s">
        <v>6304</v>
      </c>
      <c r="F641" s="20" t="s">
        <v>2833</v>
      </c>
      <c r="G641" s="20" t="s">
        <v>4119</v>
      </c>
      <c r="H641" s="22" t="n">
        <v>58.9</v>
      </c>
      <c r="I641" s="22" t="n">
        <v>58.9</v>
      </c>
      <c r="J641" s="22" t="n">
        <f aca="false">H641-I641</f>
        <v>0</v>
      </c>
      <c r="K641" s="20" t="str">
        <f aca="false">IF(ABS(J641)&lt;0.001,"MATCH - PAPER CHECK-IN NOT SUPPLIED","DATA MISMATCH")</f>
        <v>MATCH - PAPER CHECK-IN NOT SUPPLIED</v>
      </c>
      <c r="L641" s="22" t="n">
        <v>32</v>
      </c>
      <c r="M641" s="22" t="n">
        <f aca="false">ROUNDUP(H641,0)</f>
        <v>59</v>
      </c>
      <c r="N641" s="24" t="n">
        <f aca="false">MAX(L641,M641)</f>
        <v>59</v>
      </c>
      <c r="O641" s="25" t="n">
        <v>10.4</v>
      </c>
      <c r="P641" s="25" t="n">
        <f aca="false">N641*O641</f>
        <v>613.6</v>
      </c>
      <c r="Q641" s="23" t="s">
        <v>6305</v>
      </c>
      <c r="R641" s="23" t="s">
        <v>2804</v>
      </c>
      <c r="S641" s="24" t="n">
        <v>59</v>
      </c>
      <c r="T641" s="25" t="n">
        <v>10.4</v>
      </c>
      <c r="U641" s="25" t="n">
        <v>613.6</v>
      </c>
      <c r="V641" s="25" t="n">
        <f aca="false">P641-U641</f>
        <v>0</v>
      </c>
      <c r="W641" s="25" t="n">
        <f aca="false">V641*12</f>
        <v>0</v>
      </c>
      <c r="X641" s="23" t="str">
        <f aca="false">IF(Q641="","MISSING FROM EXPORT",IF(ABS(V641)&lt;0.005,"CLEAR",IF(V641&gt;0,"UNDERBILLING","OVERBILLING")))</f>
        <v>CLEAR</v>
      </c>
      <c r="Y641" s="25" t="n">
        <f aca="false">IF(F641="COMMERCIAL",ROUND(P641*0.35,2),0)</f>
        <v>0</v>
      </c>
      <c r="Z641" s="23" t="str">
        <f aca="false">IF(F641="COMMERCIAL","VERIFY SIGNED AGREEMENT","NO EXCEPTION")</f>
        <v>NO EXCEPTION</v>
      </c>
      <c r="AA641" s="23" t="str">
        <f aca="false">IF(AND(C641="covered",N641&gt;40),"COVERED &gt;40 FT","")</f>
        <v>COVERED &gt;40 FT</v>
      </c>
      <c r="AB641" s="23" t="s">
        <v>6306</v>
      </c>
      <c r="AC641" s="23" t="s">
        <v>6307</v>
      </c>
      <c r="AD641" s="23" t="s">
        <v>2807</v>
      </c>
    </row>
    <row r="642" customFormat="false" ht="17.9" hidden="false" customHeight="false" outlineLevel="0" collapsed="false">
      <c r="A642" s="20" t="s">
        <v>1876</v>
      </c>
      <c r="B642" s="20" t="s">
        <v>79</v>
      </c>
      <c r="C642" s="20" t="s">
        <v>5162</v>
      </c>
      <c r="D642" s="20" t="s">
        <v>6308</v>
      </c>
      <c r="E642" s="20" t="s">
        <v>6309</v>
      </c>
      <c r="F642" s="20" t="s">
        <v>2833</v>
      </c>
      <c r="G642" s="20" t="s">
        <v>5115</v>
      </c>
      <c r="H642" s="22" t="n">
        <v>19.3</v>
      </c>
      <c r="I642" s="22" t="n">
        <v>19.3</v>
      </c>
      <c r="J642" s="22" t="n">
        <f aca="false">H642-I642</f>
        <v>0</v>
      </c>
      <c r="K642" s="20" t="str">
        <f aca="false">IF(ABS(J642)&lt;0.001,"MATCH - PAPER CHECK-IN NOT SUPPLIED","DATA MISMATCH")</f>
        <v>MATCH - PAPER CHECK-IN NOT SUPPLIED</v>
      </c>
      <c r="L642" s="22" t="n">
        <v>32</v>
      </c>
      <c r="M642" s="22" t="n">
        <f aca="false">ROUNDUP(H642,0)</f>
        <v>20</v>
      </c>
      <c r="N642" s="24" t="n">
        <f aca="false">MAX(L642,M642)</f>
        <v>32</v>
      </c>
      <c r="O642" s="25" t="n">
        <v>10.4</v>
      </c>
      <c r="P642" s="25" t="n">
        <f aca="false">N642*O642</f>
        <v>332.8</v>
      </c>
      <c r="Q642" s="23" t="s">
        <v>6310</v>
      </c>
      <c r="R642" s="23" t="s">
        <v>2804</v>
      </c>
      <c r="S642" s="24" t="n">
        <v>32</v>
      </c>
      <c r="T642" s="25" t="n">
        <v>10.4</v>
      </c>
      <c r="U642" s="25" t="n">
        <v>332.8</v>
      </c>
      <c r="V642" s="25" t="n">
        <f aca="false">P642-U642</f>
        <v>0</v>
      </c>
      <c r="W642" s="25" t="n">
        <f aca="false">V642*12</f>
        <v>0</v>
      </c>
      <c r="X642" s="23" t="str">
        <f aca="false">IF(Q642="","MISSING FROM EXPORT",IF(ABS(V642)&lt;0.005,"CLEAR",IF(V642&gt;0,"UNDERBILLING","OVERBILLING")))</f>
        <v>CLEAR</v>
      </c>
      <c r="Y642" s="25" t="n">
        <f aca="false">IF(F642="COMMERCIAL",ROUND(P642*0.35,2),0)</f>
        <v>0</v>
      </c>
      <c r="Z642" s="23" t="str">
        <f aca="false">IF(F642="COMMERCIAL","VERIFY SIGNED AGREEMENT","NO EXCEPTION")</f>
        <v>NO EXCEPTION</v>
      </c>
      <c r="AA642" s="23" t="str">
        <f aca="false">IF(AND(C642="covered",N642&gt;40),"COVERED &gt;40 FT","")</f>
        <v/>
      </c>
      <c r="AB642" s="23" t="s">
        <v>6311</v>
      </c>
      <c r="AC642" s="23" t="s">
        <v>6312</v>
      </c>
      <c r="AD642" s="23" t="s">
        <v>2807</v>
      </c>
    </row>
    <row r="643" customFormat="false" ht="17.9" hidden="false" customHeight="false" outlineLevel="0" collapsed="false">
      <c r="A643" s="20" t="s">
        <v>6313</v>
      </c>
      <c r="B643" s="20" t="s">
        <v>79</v>
      </c>
      <c r="C643" s="20" t="s">
        <v>5162</v>
      </c>
      <c r="D643" s="20" t="s">
        <v>6314</v>
      </c>
      <c r="E643" s="20" t="s">
        <v>6315</v>
      </c>
      <c r="F643" s="20" t="s">
        <v>2801</v>
      </c>
      <c r="G643" s="20" t="s">
        <v>4126</v>
      </c>
      <c r="H643" s="22" t="n">
        <v>61.8</v>
      </c>
      <c r="I643" s="22" t="n">
        <v>61.8</v>
      </c>
      <c r="J643" s="22" t="n">
        <f aca="false">H643-I643</f>
        <v>0</v>
      </c>
      <c r="K643" s="20" t="str">
        <f aca="false">IF(ABS(J643)&lt;0.001,"MATCH - PAPER CHECK-IN NOT SUPPLIED","DATA MISMATCH")</f>
        <v>MATCH - PAPER CHECK-IN NOT SUPPLIED</v>
      </c>
      <c r="L643" s="22" t="n">
        <v>32</v>
      </c>
      <c r="M643" s="22" t="n">
        <f aca="false">ROUNDUP(H643,0)</f>
        <v>62</v>
      </c>
      <c r="N643" s="24" t="n">
        <f aca="false">MAX(L643,M643)</f>
        <v>62</v>
      </c>
      <c r="O643" s="25" t="n">
        <v>10.4</v>
      </c>
      <c r="P643" s="25" t="n">
        <f aca="false">N643*O643</f>
        <v>644.8</v>
      </c>
      <c r="Q643" s="23" t="s">
        <v>6316</v>
      </c>
      <c r="R643" s="23" t="s">
        <v>2804</v>
      </c>
      <c r="S643" s="24" t="n">
        <v>62</v>
      </c>
      <c r="T643" s="25" t="n">
        <v>10.4</v>
      </c>
      <c r="U643" s="25" t="n">
        <v>644.8</v>
      </c>
      <c r="V643" s="25" t="n">
        <f aca="false">P643-U643</f>
        <v>0</v>
      </c>
      <c r="W643" s="25" t="n">
        <f aca="false">V643*12</f>
        <v>0</v>
      </c>
      <c r="X643" s="23" t="str">
        <f aca="false">IF(Q643="","MISSING FROM EXPORT",IF(ABS(V643)&lt;0.005,"CLEAR",IF(V643&gt;0,"UNDERBILLING","OVERBILLING")))</f>
        <v>CLEAR</v>
      </c>
      <c r="Y643" s="25" t="n">
        <f aca="false">IF(F643="COMMERCIAL",ROUND(P643*0.35,2),0)</f>
        <v>0</v>
      </c>
      <c r="Z643" s="23" t="str">
        <f aca="false">IF(F643="COMMERCIAL","VERIFY SIGNED AGREEMENT","NO EXCEPTION")</f>
        <v>NO EXCEPTION</v>
      </c>
      <c r="AA643" s="23" t="str">
        <f aca="false">IF(AND(C643="covered",N643&gt;40),"COVERED &gt;40 FT","")</f>
        <v>COVERED &gt;40 FT</v>
      </c>
      <c r="AB643" s="23" t="s">
        <v>6317</v>
      </c>
      <c r="AC643" s="23" t="s">
        <v>6318</v>
      </c>
      <c r="AD643" s="23" t="s">
        <v>2807</v>
      </c>
    </row>
    <row r="644" customFormat="false" ht="17.9" hidden="false" customHeight="false" outlineLevel="0" collapsed="false">
      <c r="A644" s="20" t="s">
        <v>6319</v>
      </c>
      <c r="B644" s="20" t="s">
        <v>79</v>
      </c>
      <c r="C644" s="20" t="s">
        <v>5162</v>
      </c>
      <c r="D644" s="20" t="s">
        <v>900</v>
      </c>
      <c r="E644" s="20" t="s">
        <v>901</v>
      </c>
      <c r="F644" s="20" t="s">
        <v>2833</v>
      </c>
      <c r="G644" s="20" t="s">
        <v>4133</v>
      </c>
      <c r="H644" s="22" t="n">
        <v>40.9</v>
      </c>
      <c r="I644" s="22" t="n">
        <v>40.9</v>
      </c>
      <c r="J644" s="22" t="n">
        <f aca="false">H644-I644</f>
        <v>0</v>
      </c>
      <c r="K644" s="20" t="str">
        <f aca="false">IF(ABS(J644)&lt;0.001,"MATCH - PAPER CHECK-IN NOT SUPPLIED","DATA MISMATCH")</f>
        <v>MATCH - PAPER CHECK-IN NOT SUPPLIED</v>
      </c>
      <c r="L644" s="22" t="n">
        <v>24</v>
      </c>
      <c r="M644" s="22" t="n">
        <f aca="false">ROUNDUP(H644,0)</f>
        <v>41</v>
      </c>
      <c r="N644" s="24" t="n">
        <f aca="false">MAX(L644,M644)</f>
        <v>41</v>
      </c>
      <c r="O644" s="25" t="n">
        <v>10.4</v>
      </c>
      <c r="P644" s="25" t="n">
        <f aca="false">N644*O644</f>
        <v>426.4</v>
      </c>
      <c r="Q644" s="23" t="s">
        <v>6320</v>
      </c>
      <c r="R644" s="23" t="s">
        <v>2804</v>
      </c>
      <c r="S644" s="24" t="n">
        <v>41</v>
      </c>
      <c r="T644" s="25" t="n">
        <v>10.4</v>
      </c>
      <c r="U644" s="25" t="n">
        <v>426.4</v>
      </c>
      <c r="V644" s="25" t="n">
        <f aca="false">P644-U644</f>
        <v>0</v>
      </c>
      <c r="W644" s="25" t="n">
        <f aca="false">V644*12</f>
        <v>0</v>
      </c>
      <c r="X644" s="23" t="str">
        <f aca="false">IF(Q644="","MISSING FROM EXPORT",IF(ABS(V644)&lt;0.005,"CLEAR",IF(V644&gt;0,"UNDERBILLING","OVERBILLING")))</f>
        <v>CLEAR</v>
      </c>
      <c r="Y644" s="25" t="n">
        <f aca="false">IF(F644="COMMERCIAL",ROUND(P644*0.35,2),0)</f>
        <v>0</v>
      </c>
      <c r="Z644" s="23" t="str">
        <f aca="false">IF(F644="COMMERCIAL","VERIFY SIGNED AGREEMENT","NO EXCEPTION")</f>
        <v>NO EXCEPTION</v>
      </c>
      <c r="AA644" s="23" t="str">
        <f aca="false">IF(AND(C644="covered",N644&gt;40),"COVERED &gt;40 FT","")</f>
        <v>COVERED &gt;40 FT</v>
      </c>
      <c r="AB644" s="23" t="s">
        <v>6321</v>
      </c>
      <c r="AC644" s="23" t="s">
        <v>6322</v>
      </c>
      <c r="AD644" s="23" t="s">
        <v>2807</v>
      </c>
    </row>
    <row r="645" customFormat="false" ht="17.9" hidden="false" customHeight="false" outlineLevel="0" collapsed="false">
      <c r="A645" s="20" t="s">
        <v>6323</v>
      </c>
      <c r="B645" s="20" t="s">
        <v>79</v>
      </c>
      <c r="C645" s="20" t="s">
        <v>5162</v>
      </c>
      <c r="D645" s="20" t="s">
        <v>6324</v>
      </c>
      <c r="E645" s="20" t="s">
        <v>6325</v>
      </c>
      <c r="F645" s="20" t="s">
        <v>2857</v>
      </c>
      <c r="G645" s="20" t="s">
        <v>4140</v>
      </c>
      <c r="H645" s="22" t="n">
        <v>28.7</v>
      </c>
      <c r="I645" s="22" t="n">
        <v>28.7</v>
      </c>
      <c r="J645" s="22" t="n">
        <f aca="false">H645-I645</f>
        <v>0</v>
      </c>
      <c r="K645" s="20" t="str">
        <f aca="false">IF(ABS(J645)&lt;0.001,"MATCH - PAPER CHECK-IN NOT SUPPLIED","DATA MISMATCH")</f>
        <v>MATCH - PAPER CHECK-IN NOT SUPPLIED</v>
      </c>
      <c r="L645" s="22" t="n">
        <v>28</v>
      </c>
      <c r="M645" s="22" t="n">
        <f aca="false">ROUNDUP(H645,0)</f>
        <v>29</v>
      </c>
      <c r="N645" s="24" t="n">
        <f aca="false">MAX(L645,M645)</f>
        <v>29</v>
      </c>
      <c r="O645" s="25" t="n">
        <v>10.4</v>
      </c>
      <c r="P645" s="25" t="n">
        <f aca="false">N645*O645</f>
        <v>301.6</v>
      </c>
      <c r="Q645" s="23" t="s">
        <v>6326</v>
      </c>
      <c r="R645" s="23" t="s">
        <v>2804</v>
      </c>
      <c r="S645" s="24" t="n">
        <v>29</v>
      </c>
      <c r="T645" s="25" t="n">
        <v>10.4</v>
      </c>
      <c r="U645" s="25" t="n">
        <v>301.6</v>
      </c>
      <c r="V645" s="25" t="n">
        <f aca="false">P645-U645</f>
        <v>0</v>
      </c>
      <c r="W645" s="25" t="n">
        <f aca="false">V645*12</f>
        <v>0</v>
      </c>
      <c r="X645" s="23" t="str">
        <f aca="false">IF(Q645="","MISSING FROM EXPORT",IF(ABS(V645)&lt;0.005,"CLEAR",IF(V645&gt;0,"UNDERBILLING","OVERBILLING")))</f>
        <v>CLEAR</v>
      </c>
      <c r="Y645" s="25" t="n">
        <f aca="false">IF(F645="COMMERCIAL",ROUND(P645*0.35,2),0)</f>
        <v>0</v>
      </c>
      <c r="Z645" s="23" t="str">
        <f aca="false">IF(F645="COMMERCIAL","VERIFY SIGNED AGREEMENT","NO EXCEPTION")</f>
        <v>NO EXCEPTION</v>
      </c>
      <c r="AA645" s="23" t="str">
        <f aca="false">IF(AND(C645="covered",N645&gt;40),"COVERED &gt;40 FT","")</f>
        <v/>
      </c>
      <c r="AB645" s="23" t="s">
        <v>6327</v>
      </c>
      <c r="AC645" s="23" t="s">
        <v>6328</v>
      </c>
      <c r="AD645" s="23" t="s">
        <v>2807</v>
      </c>
    </row>
    <row r="646" customFormat="false" ht="17.9" hidden="false" customHeight="false" outlineLevel="0" collapsed="false">
      <c r="A646" s="20" t="s">
        <v>6329</v>
      </c>
      <c r="B646" s="20" t="s">
        <v>79</v>
      </c>
      <c r="C646" s="20" t="s">
        <v>5162</v>
      </c>
      <c r="D646" s="20" t="s">
        <v>409</v>
      </c>
      <c r="E646" s="20" t="s">
        <v>410</v>
      </c>
      <c r="F646" s="20" t="s">
        <v>2833</v>
      </c>
      <c r="G646" s="20" t="s">
        <v>4147</v>
      </c>
      <c r="H646" s="22" t="n">
        <v>19.5</v>
      </c>
      <c r="I646" s="22" t="n">
        <v>19.5</v>
      </c>
      <c r="J646" s="22" t="n">
        <f aca="false">H646-I646</f>
        <v>0</v>
      </c>
      <c r="K646" s="20" t="str">
        <f aca="false">IF(ABS(J646)&lt;0.001,"MATCH - PAPER CHECK-IN NOT SUPPLIED","DATA MISMATCH")</f>
        <v>MATCH - PAPER CHECK-IN NOT SUPPLIED</v>
      </c>
      <c r="L646" s="22" t="n">
        <v>28</v>
      </c>
      <c r="M646" s="22" t="n">
        <f aca="false">ROUNDUP(H646,0)</f>
        <v>20</v>
      </c>
      <c r="N646" s="24" t="n">
        <f aca="false">MAX(L646,M646)</f>
        <v>28</v>
      </c>
      <c r="O646" s="25" t="n">
        <v>10.4</v>
      </c>
      <c r="P646" s="25" t="n">
        <f aca="false">N646*O646</f>
        <v>291.2</v>
      </c>
      <c r="Q646" s="23" t="s">
        <v>6330</v>
      </c>
      <c r="R646" s="23" t="s">
        <v>2804</v>
      </c>
      <c r="S646" s="24" t="n">
        <v>28</v>
      </c>
      <c r="T646" s="25" t="n">
        <v>10.4</v>
      </c>
      <c r="U646" s="25" t="n">
        <v>291.2</v>
      </c>
      <c r="V646" s="25" t="n">
        <f aca="false">P646-U646</f>
        <v>0</v>
      </c>
      <c r="W646" s="25" t="n">
        <f aca="false">V646*12</f>
        <v>0</v>
      </c>
      <c r="X646" s="23" t="str">
        <f aca="false">IF(Q646="","MISSING FROM EXPORT",IF(ABS(V646)&lt;0.005,"CLEAR",IF(V646&gt;0,"UNDERBILLING","OVERBILLING")))</f>
        <v>CLEAR</v>
      </c>
      <c r="Y646" s="25" t="n">
        <f aca="false">IF(F646="COMMERCIAL",ROUND(P646*0.35,2),0)</f>
        <v>0</v>
      </c>
      <c r="Z646" s="23" t="str">
        <f aca="false">IF(F646="COMMERCIAL","VERIFY SIGNED AGREEMENT","NO EXCEPTION")</f>
        <v>NO EXCEPTION</v>
      </c>
      <c r="AA646" s="23" t="str">
        <f aca="false">IF(AND(C646="covered",N646&gt;40),"COVERED &gt;40 FT","")</f>
        <v/>
      </c>
      <c r="AB646" s="23" t="s">
        <v>6331</v>
      </c>
      <c r="AC646" s="23" t="s">
        <v>6332</v>
      </c>
      <c r="AD646" s="23" t="s">
        <v>2807</v>
      </c>
    </row>
    <row r="647" customFormat="false" ht="17.9" hidden="false" customHeight="false" outlineLevel="0" collapsed="false">
      <c r="A647" s="20" t="s">
        <v>6333</v>
      </c>
      <c r="B647" s="20" t="s">
        <v>79</v>
      </c>
      <c r="C647" s="20" t="s">
        <v>5162</v>
      </c>
      <c r="D647" s="20" t="s">
        <v>317</v>
      </c>
      <c r="E647" s="20" t="s">
        <v>6334</v>
      </c>
      <c r="F647" s="20" t="s">
        <v>2818</v>
      </c>
      <c r="G647" s="20" t="s">
        <v>4154</v>
      </c>
      <c r="H647" s="22" t="n">
        <v>19.4</v>
      </c>
      <c r="I647" s="22" t="n">
        <v>19.4</v>
      </c>
      <c r="J647" s="22" t="n">
        <f aca="false">H647-I647</f>
        <v>0</v>
      </c>
      <c r="K647" s="20" t="str">
        <f aca="false">IF(ABS(J647)&lt;0.001,"MATCH - PAPER CHECK-IN NOT SUPPLIED","DATA MISMATCH")</f>
        <v>MATCH - PAPER CHECK-IN NOT SUPPLIED</v>
      </c>
      <c r="L647" s="22" t="n">
        <v>24</v>
      </c>
      <c r="M647" s="22" t="n">
        <f aca="false">ROUNDUP(H647,0)</f>
        <v>20</v>
      </c>
      <c r="N647" s="24" t="n">
        <f aca="false">MAX(L647,M647)</f>
        <v>24</v>
      </c>
      <c r="O647" s="25" t="n">
        <v>10.4</v>
      </c>
      <c r="P647" s="25" t="n">
        <f aca="false">N647*O647</f>
        <v>249.6</v>
      </c>
      <c r="Q647" s="23" t="s">
        <v>6335</v>
      </c>
      <c r="R647" s="23" t="s">
        <v>2804</v>
      </c>
      <c r="S647" s="24" t="n">
        <v>24</v>
      </c>
      <c r="T647" s="25" t="n">
        <v>10.4</v>
      </c>
      <c r="U647" s="25" t="n">
        <v>249.6</v>
      </c>
      <c r="V647" s="25" t="n">
        <f aca="false">P647-U647</f>
        <v>0</v>
      </c>
      <c r="W647" s="25" t="n">
        <f aca="false">V647*12</f>
        <v>0</v>
      </c>
      <c r="X647" s="23" t="str">
        <f aca="false">IF(Q647="","MISSING FROM EXPORT",IF(ABS(V647)&lt;0.005,"CLEAR",IF(V647&gt;0,"UNDERBILLING","OVERBILLING")))</f>
        <v>CLEAR</v>
      </c>
      <c r="Y647" s="25" t="n">
        <f aca="false">IF(F647="COMMERCIAL",ROUND(P647*0.35,2),0)</f>
        <v>0</v>
      </c>
      <c r="Z647" s="23" t="str">
        <f aca="false">IF(F647="COMMERCIAL","VERIFY SIGNED AGREEMENT","NO EXCEPTION")</f>
        <v>NO EXCEPTION</v>
      </c>
      <c r="AA647" s="23" t="str">
        <f aca="false">IF(AND(C647="covered",N647&gt;40),"COVERED &gt;40 FT","")</f>
        <v/>
      </c>
      <c r="AB647" s="23" t="s">
        <v>6336</v>
      </c>
      <c r="AC647" s="23" t="s">
        <v>6337</v>
      </c>
      <c r="AD647" s="23" t="s">
        <v>2807</v>
      </c>
    </row>
    <row r="648" customFormat="false" ht="17.9" hidden="false" customHeight="false" outlineLevel="0" collapsed="false">
      <c r="A648" s="20" t="s">
        <v>6338</v>
      </c>
      <c r="B648" s="20" t="s">
        <v>79</v>
      </c>
      <c r="C648" s="20" t="s">
        <v>5162</v>
      </c>
      <c r="D648" s="20" t="s">
        <v>6339</v>
      </c>
      <c r="E648" s="20" t="s">
        <v>6340</v>
      </c>
      <c r="F648" s="20" t="s">
        <v>2898</v>
      </c>
      <c r="G648" s="20" t="s">
        <v>4165</v>
      </c>
      <c r="H648" s="22" t="n">
        <v>25.9</v>
      </c>
      <c r="I648" s="22" t="n">
        <v>25.9</v>
      </c>
      <c r="J648" s="22" t="n">
        <f aca="false">H648-I648</f>
        <v>0</v>
      </c>
      <c r="K648" s="20" t="str">
        <f aca="false">IF(ABS(J648)&lt;0.001,"MATCH - PAPER CHECK-IN NOT SUPPLIED","DATA MISMATCH")</f>
        <v>MATCH - PAPER CHECK-IN NOT SUPPLIED</v>
      </c>
      <c r="L648" s="22" t="n">
        <v>28</v>
      </c>
      <c r="M648" s="22" t="n">
        <f aca="false">ROUNDUP(H648,0)</f>
        <v>26</v>
      </c>
      <c r="N648" s="24" t="n">
        <f aca="false">MAX(L648,M648)</f>
        <v>28</v>
      </c>
      <c r="O648" s="25" t="n">
        <v>10.4</v>
      </c>
      <c r="P648" s="25" t="n">
        <f aca="false">N648*O648</f>
        <v>291.2</v>
      </c>
      <c r="Q648" s="23" t="s">
        <v>6341</v>
      </c>
      <c r="R648" s="23" t="s">
        <v>2804</v>
      </c>
      <c r="S648" s="24" t="n">
        <v>28</v>
      </c>
      <c r="T648" s="25" t="n">
        <v>10.4</v>
      </c>
      <c r="U648" s="25" t="n">
        <v>291.2</v>
      </c>
      <c r="V648" s="25" t="n">
        <f aca="false">P648-U648</f>
        <v>0</v>
      </c>
      <c r="W648" s="25" t="n">
        <f aca="false">V648*12</f>
        <v>0</v>
      </c>
      <c r="X648" s="23" t="str">
        <f aca="false">IF(Q648="","MISSING FROM EXPORT",IF(ABS(V648)&lt;0.005,"CLEAR",IF(V648&gt;0,"UNDERBILLING","OVERBILLING")))</f>
        <v>CLEAR</v>
      </c>
      <c r="Y648" s="25" t="n">
        <f aca="false">IF(F648="COMMERCIAL",ROUND(P648*0.35,2),0)</f>
        <v>0</v>
      </c>
      <c r="Z648" s="23" t="str">
        <f aca="false">IF(F648="COMMERCIAL","VERIFY SIGNED AGREEMENT","NO EXCEPTION")</f>
        <v>NO EXCEPTION</v>
      </c>
      <c r="AA648" s="23" t="str">
        <f aca="false">IF(AND(C648="covered",N648&gt;40),"COVERED &gt;40 FT","")</f>
        <v/>
      </c>
      <c r="AB648" s="23" t="s">
        <v>6342</v>
      </c>
      <c r="AC648" s="23" t="s">
        <v>6343</v>
      </c>
      <c r="AD648" s="23" t="s">
        <v>2807</v>
      </c>
    </row>
    <row r="649" customFormat="false" ht="17.9" hidden="false" customHeight="false" outlineLevel="0" collapsed="false">
      <c r="A649" s="20" t="s">
        <v>6344</v>
      </c>
      <c r="B649" s="20" t="s">
        <v>79</v>
      </c>
      <c r="C649" s="20" t="s">
        <v>5162</v>
      </c>
      <c r="D649" s="20" t="s">
        <v>6345</v>
      </c>
      <c r="E649" s="20" t="s">
        <v>6346</v>
      </c>
      <c r="F649" s="20" t="s">
        <v>2934</v>
      </c>
      <c r="G649" s="20" t="s">
        <v>4172</v>
      </c>
      <c r="H649" s="22" t="n">
        <v>55.1</v>
      </c>
      <c r="I649" s="22" t="n">
        <v>55.1</v>
      </c>
      <c r="J649" s="22" t="n">
        <f aca="false">H649-I649</f>
        <v>0</v>
      </c>
      <c r="K649" s="20" t="str">
        <f aca="false">IF(ABS(J649)&lt;0.001,"MATCH - PAPER CHECK-IN NOT SUPPLIED","DATA MISMATCH")</f>
        <v>MATCH - PAPER CHECK-IN NOT SUPPLIED</v>
      </c>
      <c r="L649" s="22" t="n">
        <v>32</v>
      </c>
      <c r="M649" s="22" t="n">
        <f aca="false">ROUNDUP(H649,0)</f>
        <v>56</v>
      </c>
      <c r="N649" s="24" t="n">
        <f aca="false">MAX(L649,M649)</f>
        <v>56</v>
      </c>
      <c r="O649" s="25" t="n">
        <v>10.4</v>
      </c>
      <c r="P649" s="25" t="n">
        <f aca="false">N649*O649</f>
        <v>582.4</v>
      </c>
      <c r="Q649" s="23" t="s">
        <v>6347</v>
      </c>
      <c r="R649" s="23" t="s">
        <v>2804</v>
      </c>
      <c r="S649" s="24" t="n">
        <v>56</v>
      </c>
      <c r="T649" s="25" t="n">
        <v>10.4</v>
      </c>
      <c r="U649" s="25" t="n">
        <v>582.4</v>
      </c>
      <c r="V649" s="25" t="n">
        <f aca="false">P649-U649</f>
        <v>0</v>
      </c>
      <c r="W649" s="25" t="n">
        <f aca="false">V649*12</f>
        <v>0</v>
      </c>
      <c r="X649" s="23" t="str">
        <f aca="false">IF(Q649="","MISSING FROM EXPORT",IF(ABS(V649)&lt;0.005,"CLEAR",IF(V649&gt;0,"UNDERBILLING","OVERBILLING")))</f>
        <v>CLEAR</v>
      </c>
      <c r="Y649" s="25" t="n">
        <f aca="false">IF(F649="COMMERCIAL",ROUND(P649*0.35,2),0)</f>
        <v>203.84</v>
      </c>
      <c r="Z649" s="23" t="str">
        <f aca="false">IF(F649="COMMERCIAL","VERIFY SIGNED AGREEMENT","NO EXCEPTION")</f>
        <v>VERIFY SIGNED AGREEMENT</v>
      </c>
      <c r="AA649" s="23" t="str">
        <f aca="false">IF(AND(C649="covered",N649&gt;40),"COVERED &gt;40 FT","")</f>
        <v>COVERED &gt;40 FT</v>
      </c>
      <c r="AB649" s="23" t="s">
        <v>6348</v>
      </c>
      <c r="AC649" s="23" t="s">
        <v>6349</v>
      </c>
      <c r="AD649" s="23" t="s">
        <v>2807</v>
      </c>
    </row>
    <row r="650" customFormat="false" ht="17.9" hidden="false" customHeight="false" outlineLevel="0" collapsed="false">
      <c r="A650" s="20" t="s">
        <v>6350</v>
      </c>
      <c r="B650" s="20" t="s">
        <v>79</v>
      </c>
      <c r="C650" s="20" t="s">
        <v>5162</v>
      </c>
      <c r="D650" s="20" t="s">
        <v>6351</v>
      </c>
      <c r="E650" s="20" t="s">
        <v>6352</v>
      </c>
      <c r="F650" s="20" t="s">
        <v>2833</v>
      </c>
      <c r="G650" s="20" t="s">
        <v>4179</v>
      </c>
      <c r="H650" s="22" t="n">
        <v>53.2</v>
      </c>
      <c r="I650" s="22" t="n">
        <v>53.2</v>
      </c>
      <c r="J650" s="22" t="n">
        <f aca="false">H650-I650</f>
        <v>0</v>
      </c>
      <c r="K650" s="20" t="str">
        <f aca="false">IF(ABS(J650)&lt;0.001,"MATCH - PAPER CHECK-IN NOT SUPPLIED","DATA MISMATCH")</f>
        <v>MATCH - PAPER CHECK-IN NOT SUPPLIED</v>
      </c>
      <c r="L650" s="22" t="n">
        <v>32</v>
      </c>
      <c r="M650" s="22" t="n">
        <f aca="false">ROUNDUP(H650,0)</f>
        <v>54</v>
      </c>
      <c r="N650" s="24" t="n">
        <f aca="false">MAX(L650,M650)</f>
        <v>54</v>
      </c>
      <c r="O650" s="25" t="n">
        <v>10.4</v>
      </c>
      <c r="P650" s="25" t="n">
        <f aca="false">N650*O650</f>
        <v>561.6</v>
      </c>
      <c r="Q650" s="23" t="s">
        <v>6353</v>
      </c>
      <c r="R650" s="23" t="s">
        <v>2804</v>
      </c>
      <c r="S650" s="24" t="n">
        <v>54</v>
      </c>
      <c r="T650" s="25" t="n">
        <v>10.4</v>
      </c>
      <c r="U650" s="25" t="n">
        <v>561.6</v>
      </c>
      <c r="V650" s="25" t="n">
        <f aca="false">P650-U650</f>
        <v>0</v>
      </c>
      <c r="W650" s="25" t="n">
        <f aca="false">V650*12</f>
        <v>0</v>
      </c>
      <c r="X650" s="23" t="str">
        <f aca="false">IF(Q650="","MISSING FROM EXPORT",IF(ABS(V650)&lt;0.005,"CLEAR",IF(V650&gt;0,"UNDERBILLING","OVERBILLING")))</f>
        <v>CLEAR</v>
      </c>
      <c r="Y650" s="25" t="n">
        <f aca="false">IF(F650="COMMERCIAL",ROUND(P650*0.35,2),0)</f>
        <v>0</v>
      </c>
      <c r="Z650" s="23" t="str">
        <f aca="false">IF(F650="COMMERCIAL","VERIFY SIGNED AGREEMENT","NO EXCEPTION")</f>
        <v>NO EXCEPTION</v>
      </c>
      <c r="AA650" s="23" t="str">
        <f aca="false">IF(AND(C650="covered",N650&gt;40),"COVERED &gt;40 FT","")</f>
        <v>COVERED &gt;40 FT</v>
      </c>
      <c r="AB650" s="23" t="s">
        <v>6354</v>
      </c>
      <c r="AC650" s="23" t="s">
        <v>6355</v>
      </c>
      <c r="AD650" s="23" t="s">
        <v>2807</v>
      </c>
    </row>
    <row r="651" customFormat="false" ht="17.9" hidden="false" customHeight="false" outlineLevel="0" collapsed="false">
      <c r="A651" s="20" t="s">
        <v>6356</v>
      </c>
      <c r="B651" s="20" t="s">
        <v>79</v>
      </c>
      <c r="C651" s="20" t="s">
        <v>5162</v>
      </c>
      <c r="D651" s="20" t="s">
        <v>6357</v>
      </c>
      <c r="E651" s="20" t="s">
        <v>6358</v>
      </c>
      <c r="F651" s="20" t="s">
        <v>2833</v>
      </c>
      <c r="G651" s="20" t="s">
        <v>5151</v>
      </c>
      <c r="H651" s="22" t="n">
        <v>25.1</v>
      </c>
      <c r="I651" s="22" t="n">
        <v>25.1</v>
      </c>
      <c r="J651" s="22" t="n">
        <f aca="false">H651-I651</f>
        <v>0</v>
      </c>
      <c r="K651" s="20" t="str">
        <f aca="false">IF(ABS(J651)&lt;0.001,"MATCH - PAPER CHECK-IN NOT SUPPLIED","DATA MISMATCH")</f>
        <v>MATCH - PAPER CHECK-IN NOT SUPPLIED</v>
      </c>
      <c r="L651" s="22" t="n">
        <v>32</v>
      </c>
      <c r="M651" s="22" t="n">
        <f aca="false">ROUNDUP(H651,0)</f>
        <v>26</v>
      </c>
      <c r="N651" s="24" t="n">
        <f aca="false">MAX(L651,M651)</f>
        <v>32</v>
      </c>
      <c r="O651" s="25" t="n">
        <v>10.4</v>
      </c>
      <c r="P651" s="25" t="n">
        <f aca="false">N651*O651</f>
        <v>332.8</v>
      </c>
      <c r="Q651" s="23" t="s">
        <v>6359</v>
      </c>
      <c r="R651" s="23" t="s">
        <v>2804</v>
      </c>
      <c r="S651" s="24" t="n">
        <v>32</v>
      </c>
      <c r="T651" s="25" t="n">
        <v>10.4</v>
      </c>
      <c r="U651" s="25" t="n">
        <v>332.8</v>
      </c>
      <c r="V651" s="25" t="n">
        <f aca="false">P651-U651</f>
        <v>0</v>
      </c>
      <c r="W651" s="25" t="n">
        <f aca="false">V651*12</f>
        <v>0</v>
      </c>
      <c r="X651" s="23" t="str">
        <f aca="false">IF(Q651="","MISSING FROM EXPORT",IF(ABS(V651)&lt;0.005,"CLEAR",IF(V651&gt;0,"UNDERBILLING","OVERBILLING")))</f>
        <v>CLEAR</v>
      </c>
      <c r="Y651" s="25" t="n">
        <f aca="false">IF(F651="COMMERCIAL",ROUND(P651*0.35,2),0)</f>
        <v>0</v>
      </c>
      <c r="Z651" s="23" t="str">
        <f aca="false">IF(F651="COMMERCIAL","VERIFY SIGNED AGREEMENT","NO EXCEPTION")</f>
        <v>NO EXCEPTION</v>
      </c>
      <c r="AA651" s="23" t="str">
        <f aca="false">IF(AND(C651="covered",N651&gt;40),"COVERED &gt;40 FT","")</f>
        <v/>
      </c>
      <c r="AB651" s="23" t="s">
        <v>6360</v>
      </c>
      <c r="AC651" s="23" t="s">
        <v>6361</v>
      </c>
      <c r="AD651" s="23" t="s">
        <v>2807</v>
      </c>
    </row>
    <row r="652" customFormat="false" ht="17.9" hidden="false" customHeight="false" outlineLevel="0" collapsed="false">
      <c r="A652" s="20" t="s">
        <v>6362</v>
      </c>
      <c r="B652" s="20" t="s">
        <v>79</v>
      </c>
      <c r="C652" s="20" t="s">
        <v>5162</v>
      </c>
      <c r="D652" s="20" t="s">
        <v>6363</v>
      </c>
      <c r="E652" s="20" t="s">
        <v>6364</v>
      </c>
      <c r="F652" s="20" t="s">
        <v>2810</v>
      </c>
      <c r="G652" s="20" t="s">
        <v>4189</v>
      </c>
      <c r="H652" s="22" t="n">
        <v>36.2</v>
      </c>
      <c r="I652" s="22" t="n">
        <v>36.2</v>
      </c>
      <c r="J652" s="22" t="n">
        <f aca="false">H652-I652</f>
        <v>0</v>
      </c>
      <c r="K652" s="20" t="str">
        <f aca="false">IF(ABS(J652)&lt;0.001,"MATCH - PAPER CHECK-IN NOT SUPPLIED","DATA MISMATCH")</f>
        <v>MATCH - PAPER CHECK-IN NOT SUPPLIED</v>
      </c>
      <c r="L652" s="22" t="n">
        <v>24</v>
      </c>
      <c r="M652" s="22" t="n">
        <f aca="false">ROUNDUP(H652,0)</f>
        <v>37</v>
      </c>
      <c r="N652" s="24" t="n">
        <f aca="false">MAX(L652,M652)</f>
        <v>37</v>
      </c>
      <c r="O652" s="25" t="n">
        <v>10.4</v>
      </c>
      <c r="P652" s="25" t="n">
        <f aca="false">N652*O652</f>
        <v>384.8</v>
      </c>
      <c r="Q652" s="23" t="s">
        <v>6365</v>
      </c>
      <c r="R652" s="23" t="s">
        <v>2804</v>
      </c>
      <c r="S652" s="24" t="n">
        <v>37</v>
      </c>
      <c r="T652" s="25" t="n">
        <v>10.4</v>
      </c>
      <c r="U652" s="25" t="n">
        <v>384.8</v>
      </c>
      <c r="V652" s="25" t="n">
        <f aca="false">P652-U652</f>
        <v>0</v>
      </c>
      <c r="W652" s="25" t="n">
        <f aca="false">V652*12</f>
        <v>0</v>
      </c>
      <c r="X652" s="23" t="str">
        <f aca="false">IF(Q652="","MISSING FROM EXPORT",IF(ABS(V652)&lt;0.005,"CLEAR",IF(V652&gt;0,"UNDERBILLING","OVERBILLING")))</f>
        <v>CLEAR</v>
      </c>
      <c r="Y652" s="25" t="n">
        <f aca="false">IF(F652="COMMERCIAL",ROUND(P652*0.35,2),0)</f>
        <v>0</v>
      </c>
      <c r="Z652" s="23" t="str">
        <f aca="false">IF(F652="COMMERCIAL","VERIFY SIGNED AGREEMENT","NO EXCEPTION")</f>
        <v>NO EXCEPTION</v>
      </c>
      <c r="AA652" s="23" t="str">
        <f aca="false">IF(AND(C652="covered",N652&gt;40),"COVERED &gt;40 FT","")</f>
        <v/>
      </c>
      <c r="AB652" s="23" t="s">
        <v>6366</v>
      </c>
      <c r="AC652" s="23" t="s">
        <v>6367</v>
      </c>
      <c r="AD652" s="23" t="s">
        <v>2807</v>
      </c>
    </row>
    <row r="653" customFormat="false" ht="17.9" hidden="false" customHeight="false" outlineLevel="0" collapsed="false">
      <c r="A653" s="20" t="s">
        <v>6368</v>
      </c>
      <c r="B653" s="20" t="s">
        <v>79</v>
      </c>
      <c r="C653" s="20" t="s">
        <v>5162</v>
      </c>
      <c r="D653" s="20" t="s">
        <v>6369</v>
      </c>
      <c r="E653" s="20" t="s">
        <v>6370</v>
      </c>
      <c r="F653" s="20" t="s">
        <v>2833</v>
      </c>
      <c r="G653" s="20" t="s">
        <v>4194</v>
      </c>
      <c r="H653" s="22" t="n">
        <v>28.7</v>
      </c>
      <c r="I653" s="22" t="n">
        <v>28.7</v>
      </c>
      <c r="J653" s="22" t="n">
        <f aca="false">H653-I653</f>
        <v>0</v>
      </c>
      <c r="K653" s="20" t="str">
        <f aca="false">IF(ABS(J653)&lt;0.001,"MATCH - PAPER CHECK-IN NOT SUPPLIED","DATA MISMATCH")</f>
        <v>MATCH - PAPER CHECK-IN NOT SUPPLIED</v>
      </c>
      <c r="L653" s="22" t="n">
        <v>24</v>
      </c>
      <c r="M653" s="22" t="n">
        <f aca="false">ROUNDUP(H653,0)</f>
        <v>29</v>
      </c>
      <c r="N653" s="24" t="n">
        <f aca="false">MAX(L653,M653)</f>
        <v>29</v>
      </c>
      <c r="O653" s="25" t="n">
        <v>10.4</v>
      </c>
      <c r="P653" s="25" t="n">
        <f aca="false">N653*O653</f>
        <v>301.6</v>
      </c>
      <c r="Q653" s="23" t="s">
        <v>6371</v>
      </c>
      <c r="R653" s="23" t="s">
        <v>2804</v>
      </c>
      <c r="S653" s="24" t="n">
        <v>29</v>
      </c>
      <c r="T653" s="25" t="n">
        <v>10.4</v>
      </c>
      <c r="U653" s="25" t="n">
        <v>301.6</v>
      </c>
      <c r="V653" s="25" t="n">
        <f aca="false">P653-U653</f>
        <v>0</v>
      </c>
      <c r="W653" s="25" t="n">
        <f aca="false">V653*12</f>
        <v>0</v>
      </c>
      <c r="X653" s="23" t="str">
        <f aca="false">IF(Q653="","MISSING FROM EXPORT",IF(ABS(V653)&lt;0.005,"CLEAR",IF(V653&gt;0,"UNDERBILLING","OVERBILLING")))</f>
        <v>CLEAR</v>
      </c>
      <c r="Y653" s="25" t="n">
        <f aca="false">IF(F653="COMMERCIAL",ROUND(P653*0.35,2),0)</f>
        <v>0</v>
      </c>
      <c r="Z653" s="23" t="str">
        <f aca="false">IF(F653="COMMERCIAL","VERIFY SIGNED AGREEMENT","NO EXCEPTION")</f>
        <v>NO EXCEPTION</v>
      </c>
      <c r="AA653" s="23" t="str">
        <f aca="false">IF(AND(C653="covered",N653&gt;40),"COVERED &gt;40 FT","")</f>
        <v/>
      </c>
      <c r="AB653" s="23" t="s">
        <v>6372</v>
      </c>
      <c r="AC653" s="23" t="s">
        <v>6373</v>
      </c>
      <c r="AD653" s="23" t="s">
        <v>2807</v>
      </c>
    </row>
    <row r="654" customFormat="false" ht="17.9" hidden="false" customHeight="false" outlineLevel="0" collapsed="false">
      <c r="A654" s="20" t="s">
        <v>6374</v>
      </c>
      <c r="B654" s="20" t="s">
        <v>79</v>
      </c>
      <c r="C654" s="20" t="s">
        <v>5162</v>
      </c>
      <c r="D654" s="20" t="s">
        <v>6375</v>
      </c>
      <c r="E654" s="20" t="s">
        <v>6376</v>
      </c>
      <c r="F654" s="20" t="s">
        <v>2898</v>
      </c>
      <c r="G654" s="20" t="s">
        <v>4201</v>
      </c>
      <c r="H654" s="22" t="n">
        <v>20</v>
      </c>
      <c r="I654" s="22" t="n">
        <v>20</v>
      </c>
      <c r="J654" s="22" t="n">
        <f aca="false">H654-I654</f>
        <v>0</v>
      </c>
      <c r="K654" s="20" t="str">
        <f aca="false">IF(ABS(J654)&lt;0.001,"MATCH - PAPER CHECK-IN NOT SUPPLIED","DATA MISMATCH")</f>
        <v>MATCH - PAPER CHECK-IN NOT SUPPLIED</v>
      </c>
      <c r="L654" s="22" t="n">
        <v>24</v>
      </c>
      <c r="M654" s="22" t="n">
        <f aca="false">ROUNDUP(H654,0)</f>
        <v>20</v>
      </c>
      <c r="N654" s="24" t="n">
        <f aca="false">MAX(L654,M654)</f>
        <v>24</v>
      </c>
      <c r="O654" s="25" t="n">
        <v>10.4</v>
      </c>
      <c r="P654" s="25" t="n">
        <f aca="false">N654*O654</f>
        <v>249.6</v>
      </c>
      <c r="Q654" s="23" t="s">
        <v>6377</v>
      </c>
      <c r="R654" s="23" t="s">
        <v>2804</v>
      </c>
      <c r="S654" s="24" t="n">
        <v>24</v>
      </c>
      <c r="T654" s="25" t="n">
        <v>10.4</v>
      </c>
      <c r="U654" s="25" t="n">
        <v>249.6</v>
      </c>
      <c r="V654" s="25" t="n">
        <f aca="false">P654-U654</f>
        <v>0</v>
      </c>
      <c r="W654" s="25" t="n">
        <f aca="false">V654*12</f>
        <v>0</v>
      </c>
      <c r="X654" s="23" t="str">
        <f aca="false">IF(Q654="","MISSING FROM EXPORT",IF(ABS(V654)&lt;0.005,"CLEAR",IF(V654&gt;0,"UNDERBILLING","OVERBILLING")))</f>
        <v>CLEAR</v>
      </c>
      <c r="Y654" s="25" t="n">
        <f aca="false">IF(F654="COMMERCIAL",ROUND(P654*0.35,2),0)</f>
        <v>0</v>
      </c>
      <c r="Z654" s="23" t="str">
        <f aca="false">IF(F654="COMMERCIAL","VERIFY SIGNED AGREEMENT","NO EXCEPTION")</f>
        <v>NO EXCEPTION</v>
      </c>
      <c r="AA654" s="23" t="str">
        <f aca="false">IF(AND(C654="covered",N654&gt;40),"COVERED &gt;40 FT","")</f>
        <v/>
      </c>
      <c r="AB654" s="23" t="s">
        <v>6378</v>
      </c>
      <c r="AC654" s="23" t="s">
        <v>6379</v>
      </c>
      <c r="AD654" s="23" t="s">
        <v>2807</v>
      </c>
    </row>
    <row r="655" customFormat="false" ht="17.9" hidden="false" customHeight="false" outlineLevel="0" collapsed="false">
      <c r="A655" s="20" t="s">
        <v>884</v>
      </c>
      <c r="B655" s="20" t="s">
        <v>79</v>
      </c>
      <c r="C655" s="20" t="s">
        <v>5162</v>
      </c>
      <c r="D655" s="20" t="s">
        <v>6380</v>
      </c>
      <c r="E655" s="20" t="s">
        <v>6381</v>
      </c>
      <c r="F655" s="20" t="s">
        <v>2833</v>
      </c>
      <c r="G655" s="20" t="s">
        <v>4208</v>
      </c>
      <c r="H655" s="22" t="n">
        <v>53.7</v>
      </c>
      <c r="I655" s="22" t="n">
        <v>53.7</v>
      </c>
      <c r="J655" s="22" t="n">
        <f aca="false">H655-I655</f>
        <v>0</v>
      </c>
      <c r="K655" s="20" t="str">
        <f aca="false">IF(ABS(J655)&lt;0.001,"MATCH - PAPER CHECK-IN NOT SUPPLIED","DATA MISMATCH")</f>
        <v>MATCH - PAPER CHECK-IN NOT SUPPLIED</v>
      </c>
      <c r="L655" s="22" t="n">
        <v>32</v>
      </c>
      <c r="M655" s="22" t="n">
        <f aca="false">ROUNDUP(H655,0)</f>
        <v>54</v>
      </c>
      <c r="N655" s="24" t="n">
        <f aca="false">MAX(L655,M655)</f>
        <v>54</v>
      </c>
      <c r="O655" s="25" t="n">
        <v>10.4</v>
      </c>
      <c r="P655" s="25" t="n">
        <f aca="false">N655*O655</f>
        <v>561.6</v>
      </c>
      <c r="Q655" s="23" t="s">
        <v>6382</v>
      </c>
      <c r="R655" s="23" t="s">
        <v>2804</v>
      </c>
      <c r="S655" s="24" t="n">
        <v>54</v>
      </c>
      <c r="T655" s="25" t="n">
        <v>10.4</v>
      </c>
      <c r="U655" s="25" t="n">
        <v>561.6</v>
      </c>
      <c r="V655" s="25" t="n">
        <f aca="false">P655-U655</f>
        <v>0</v>
      </c>
      <c r="W655" s="25" t="n">
        <f aca="false">V655*12</f>
        <v>0</v>
      </c>
      <c r="X655" s="23" t="str">
        <f aca="false">IF(Q655="","MISSING FROM EXPORT",IF(ABS(V655)&lt;0.005,"CLEAR",IF(V655&gt;0,"UNDERBILLING","OVERBILLING")))</f>
        <v>CLEAR</v>
      </c>
      <c r="Y655" s="25" t="n">
        <f aca="false">IF(F655="COMMERCIAL",ROUND(P655*0.35,2),0)</f>
        <v>0</v>
      </c>
      <c r="Z655" s="23" t="str">
        <f aca="false">IF(F655="COMMERCIAL","VERIFY SIGNED AGREEMENT","NO EXCEPTION")</f>
        <v>NO EXCEPTION</v>
      </c>
      <c r="AA655" s="23" t="str">
        <f aca="false">IF(AND(C655="covered",N655&gt;40),"COVERED &gt;40 FT","")</f>
        <v>COVERED &gt;40 FT</v>
      </c>
      <c r="AB655" s="23" t="s">
        <v>6383</v>
      </c>
      <c r="AC655" s="23" t="s">
        <v>6384</v>
      </c>
      <c r="AD655" s="23" t="s">
        <v>2807</v>
      </c>
    </row>
    <row r="656" customFormat="false" ht="17.9" hidden="false" customHeight="false" outlineLevel="0" collapsed="false">
      <c r="A656" s="20" t="s">
        <v>1706</v>
      </c>
      <c r="B656" s="20" t="s">
        <v>79</v>
      </c>
      <c r="C656" s="20" t="s">
        <v>5162</v>
      </c>
      <c r="D656" s="20" t="s">
        <v>6385</v>
      </c>
      <c r="E656" s="20" t="s">
        <v>6386</v>
      </c>
      <c r="F656" s="20" t="s">
        <v>2833</v>
      </c>
      <c r="G656" s="20" t="s">
        <v>6387</v>
      </c>
      <c r="H656" s="22" t="n">
        <v>54.9</v>
      </c>
      <c r="I656" s="22" t="n">
        <v>54.9</v>
      </c>
      <c r="J656" s="22" t="n">
        <f aca="false">H656-I656</f>
        <v>0</v>
      </c>
      <c r="K656" s="20" t="str">
        <f aca="false">IF(ABS(J656)&lt;0.001,"MATCH - PAPER CHECK-IN NOT SUPPLIED","DATA MISMATCH")</f>
        <v>MATCH - PAPER CHECK-IN NOT SUPPLIED</v>
      </c>
      <c r="L656" s="22" t="n">
        <v>28</v>
      </c>
      <c r="M656" s="22" t="n">
        <f aca="false">ROUNDUP(H656,0)</f>
        <v>55</v>
      </c>
      <c r="N656" s="24" t="n">
        <f aca="false">MAX(L656,M656)</f>
        <v>55</v>
      </c>
      <c r="O656" s="25" t="n">
        <v>10.4</v>
      </c>
      <c r="P656" s="25" t="n">
        <f aca="false">N656*O656</f>
        <v>572</v>
      </c>
      <c r="Q656" s="23" t="s">
        <v>6388</v>
      </c>
      <c r="R656" s="23" t="s">
        <v>2804</v>
      </c>
      <c r="S656" s="24" t="n">
        <v>55</v>
      </c>
      <c r="T656" s="25" t="n">
        <v>10.4</v>
      </c>
      <c r="U656" s="25" t="n">
        <v>572</v>
      </c>
      <c r="V656" s="25" t="n">
        <f aca="false">P656-U656</f>
        <v>0</v>
      </c>
      <c r="W656" s="25" t="n">
        <f aca="false">V656*12</f>
        <v>0</v>
      </c>
      <c r="X656" s="23" t="str">
        <f aca="false">IF(Q656="","MISSING FROM EXPORT",IF(ABS(V656)&lt;0.005,"CLEAR",IF(V656&gt;0,"UNDERBILLING","OVERBILLING")))</f>
        <v>CLEAR</v>
      </c>
      <c r="Y656" s="25" t="n">
        <f aca="false">IF(F656="COMMERCIAL",ROUND(P656*0.35,2),0)</f>
        <v>0</v>
      </c>
      <c r="Z656" s="23" t="str">
        <f aca="false">IF(F656="COMMERCIAL","VERIFY SIGNED AGREEMENT","NO EXCEPTION")</f>
        <v>NO EXCEPTION</v>
      </c>
      <c r="AA656" s="23" t="str">
        <f aca="false">IF(AND(C656="covered",N656&gt;40),"COVERED &gt;40 FT","")</f>
        <v>COVERED &gt;40 FT</v>
      </c>
      <c r="AB656" s="23" t="s">
        <v>6389</v>
      </c>
      <c r="AC656" s="23" t="s">
        <v>6390</v>
      </c>
      <c r="AD656" s="23" t="s">
        <v>2807</v>
      </c>
    </row>
    <row r="657" customFormat="false" ht="17.9" hidden="false" customHeight="false" outlineLevel="0" collapsed="false">
      <c r="A657" s="20" t="s">
        <v>1819</v>
      </c>
      <c r="B657" s="20" t="s">
        <v>79</v>
      </c>
      <c r="C657" s="20" t="s">
        <v>5162</v>
      </c>
      <c r="D657" s="20" t="s">
        <v>6391</v>
      </c>
      <c r="E657" s="20" t="s">
        <v>6392</v>
      </c>
      <c r="F657" s="20" t="s">
        <v>2801</v>
      </c>
      <c r="G657" s="20" t="s">
        <v>6393</v>
      </c>
      <c r="H657" s="22" t="n">
        <v>23.2</v>
      </c>
      <c r="I657" s="22" t="n">
        <v>23.2</v>
      </c>
      <c r="J657" s="22" t="n">
        <f aca="false">H657-I657</f>
        <v>0</v>
      </c>
      <c r="K657" s="20" t="str">
        <f aca="false">IF(ABS(J657)&lt;0.001,"MATCH - PAPER CHECK-IN NOT SUPPLIED","DATA MISMATCH")</f>
        <v>MATCH - PAPER CHECK-IN NOT SUPPLIED</v>
      </c>
      <c r="L657" s="22" t="n">
        <v>32</v>
      </c>
      <c r="M657" s="22" t="n">
        <f aca="false">ROUNDUP(H657,0)</f>
        <v>24</v>
      </c>
      <c r="N657" s="24" t="n">
        <f aca="false">MAX(L657,M657)</f>
        <v>32</v>
      </c>
      <c r="O657" s="25" t="n">
        <v>10.4</v>
      </c>
      <c r="P657" s="25" t="n">
        <f aca="false">N657*O657</f>
        <v>332.8</v>
      </c>
      <c r="Q657" s="23" t="s">
        <v>6394</v>
      </c>
      <c r="R657" s="23" t="s">
        <v>2804</v>
      </c>
      <c r="S657" s="24" t="n">
        <v>32</v>
      </c>
      <c r="T657" s="25" t="n">
        <v>10.4</v>
      </c>
      <c r="U657" s="25" t="n">
        <v>332.8</v>
      </c>
      <c r="V657" s="25" t="n">
        <f aca="false">P657-U657</f>
        <v>0</v>
      </c>
      <c r="W657" s="25" t="n">
        <f aca="false">V657*12</f>
        <v>0</v>
      </c>
      <c r="X657" s="23" t="str">
        <f aca="false">IF(Q657="","MISSING FROM EXPORT",IF(ABS(V657)&lt;0.005,"CLEAR",IF(V657&gt;0,"UNDERBILLING","OVERBILLING")))</f>
        <v>CLEAR</v>
      </c>
      <c r="Y657" s="25" t="n">
        <f aca="false">IF(F657="COMMERCIAL",ROUND(P657*0.35,2),0)</f>
        <v>0</v>
      </c>
      <c r="Z657" s="23" t="str">
        <f aca="false">IF(F657="COMMERCIAL","VERIFY SIGNED AGREEMENT","NO EXCEPTION")</f>
        <v>NO EXCEPTION</v>
      </c>
      <c r="AA657" s="23" t="str">
        <f aca="false">IF(AND(C657="covered",N657&gt;40),"COVERED &gt;40 FT","")</f>
        <v/>
      </c>
      <c r="AB657" s="23" t="s">
        <v>6395</v>
      </c>
      <c r="AC657" s="23" t="s">
        <v>6396</v>
      </c>
      <c r="AD657" s="23" t="s">
        <v>2807</v>
      </c>
    </row>
    <row r="658" customFormat="false" ht="17.9" hidden="false" customHeight="false" outlineLevel="0" collapsed="false">
      <c r="A658" s="20" t="s">
        <v>239</v>
      </c>
      <c r="B658" s="20" t="s">
        <v>79</v>
      </c>
      <c r="C658" s="20" t="s">
        <v>5162</v>
      </c>
      <c r="D658" s="20" t="s">
        <v>6397</v>
      </c>
      <c r="E658" s="20" t="s">
        <v>6398</v>
      </c>
      <c r="F658" s="20" t="s">
        <v>2869</v>
      </c>
      <c r="G658" s="20" t="s">
        <v>6399</v>
      </c>
      <c r="H658" s="22" t="n">
        <v>53.6</v>
      </c>
      <c r="I658" s="22" t="n">
        <v>53.6</v>
      </c>
      <c r="J658" s="22" t="n">
        <f aca="false">H658-I658</f>
        <v>0</v>
      </c>
      <c r="K658" s="20" t="str">
        <f aca="false">IF(ABS(J658)&lt;0.001,"MATCH - PAPER CHECK-IN NOT SUPPLIED","DATA MISMATCH")</f>
        <v>MATCH - PAPER CHECK-IN NOT SUPPLIED</v>
      </c>
      <c r="L658" s="22" t="n">
        <v>32</v>
      </c>
      <c r="M658" s="22" t="n">
        <f aca="false">ROUNDUP(H658,0)</f>
        <v>54</v>
      </c>
      <c r="N658" s="24" t="n">
        <f aca="false">MAX(L658,M658)</f>
        <v>54</v>
      </c>
      <c r="O658" s="25" t="n">
        <v>10.4</v>
      </c>
      <c r="P658" s="25" t="n">
        <f aca="false">N658*O658</f>
        <v>561.6</v>
      </c>
      <c r="Q658" s="23" t="s">
        <v>6400</v>
      </c>
      <c r="R658" s="23" t="s">
        <v>2804</v>
      </c>
      <c r="S658" s="24" t="n">
        <v>54</v>
      </c>
      <c r="T658" s="25" t="n">
        <v>10.4</v>
      </c>
      <c r="U658" s="25" t="n">
        <v>561.6</v>
      </c>
      <c r="V658" s="25" t="n">
        <f aca="false">P658-U658</f>
        <v>0</v>
      </c>
      <c r="W658" s="25" t="n">
        <f aca="false">V658*12</f>
        <v>0</v>
      </c>
      <c r="X658" s="23" t="str">
        <f aca="false">IF(Q658="","MISSING FROM EXPORT",IF(ABS(V658)&lt;0.005,"CLEAR",IF(V658&gt;0,"UNDERBILLING","OVERBILLING")))</f>
        <v>CLEAR</v>
      </c>
      <c r="Y658" s="25" t="n">
        <f aca="false">IF(F658="COMMERCIAL",ROUND(P658*0.35,2),0)</f>
        <v>0</v>
      </c>
      <c r="Z658" s="23" t="str">
        <f aca="false">IF(F658="COMMERCIAL","VERIFY SIGNED AGREEMENT","NO EXCEPTION")</f>
        <v>NO EXCEPTION</v>
      </c>
      <c r="AA658" s="23" t="str">
        <f aca="false">IF(AND(C658="covered",N658&gt;40),"COVERED &gt;40 FT","")</f>
        <v>COVERED &gt;40 FT</v>
      </c>
      <c r="AB658" s="23" t="s">
        <v>6401</v>
      </c>
      <c r="AC658" s="23" t="s">
        <v>6402</v>
      </c>
      <c r="AD658" s="23" t="s">
        <v>2807</v>
      </c>
    </row>
    <row r="659" customFormat="false" ht="17.9" hidden="false" customHeight="false" outlineLevel="0" collapsed="false">
      <c r="A659" s="20" t="s">
        <v>1781</v>
      </c>
      <c r="B659" s="20" t="s">
        <v>79</v>
      </c>
      <c r="C659" s="20" t="s">
        <v>5162</v>
      </c>
      <c r="D659" s="20" t="s">
        <v>6403</v>
      </c>
      <c r="E659" s="20" t="s">
        <v>6404</v>
      </c>
      <c r="F659" s="20" t="s">
        <v>2857</v>
      </c>
      <c r="G659" s="20" t="s">
        <v>6405</v>
      </c>
      <c r="H659" s="22" t="n">
        <v>48.9</v>
      </c>
      <c r="I659" s="22" t="n">
        <v>48.9</v>
      </c>
      <c r="J659" s="22" t="n">
        <f aca="false">H659-I659</f>
        <v>0</v>
      </c>
      <c r="K659" s="20" t="str">
        <f aca="false">IF(ABS(J659)&lt;0.001,"MATCH - PAPER CHECK-IN NOT SUPPLIED","DATA MISMATCH")</f>
        <v>MATCH - PAPER CHECK-IN NOT SUPPLIED</v>
      </c>
      <c r="L659" s="22" t="n">
        <v>36</v>
      </c>
      <c r="M659" s="22" t="n">
        <f aca="false">ROUNDUP(H659,0)</f>
        <v>49</v>
      </c>
      <c r="N659" s="24" t="n">
        <f aca="false">MAX(L659,M659)</f>
        <v>49</v>
      </c>
      <c r="O659" s="25" t="n">
        <v>10.4</v>
      </c>
      <c r="P659" s="25" t="n">
        <f aca="false">N659*O659</f>
        <v>509.6</v>
      </c>
      <c r="Q659" s="23" t="s">
        <v>6406</v>
      </c>
      <c r="R659" s="23" t="s">
        <v>2804</v>
      </c>
      <c r="S659" s="24" t="n">
        <v>49</v>
      </c>
      <c r="T659" s="25" t="n">
        <v>10.4</v>
      </c>
      <c r="U659" s="25" t="n">
        <v>509.6</v>
      </c>
      <c r="V659" s="25" t="n">
        <f aca="false">P659-U659</f>
        <v>0</v>
      </c>
      <c r="W659" s="25" t="n">
        <f aca="false">V659*12</f>
        <v>0</v>
      </c>
      <c r="X659" s="23" t="str">
        <f aca="false">IF(Q659="","MISSING FROM EXPORT",IF(ABS(V659)&lt;0.005,"CLEAR",IF(V659&gt;0,"UNDERBILLING","OVERBILLING")))</f>
        <v>CLEAR</v>
      </c>
      <c r="Y659" s="25" t="n">
        <f aca="false">IF(F659="COMMERCIAL",ROUND(P659*0.35,2),0)</f>
        <v>0</v>
      </c>
      <c r="Z659" s="23" t="str">
        <f aca="false">IF(F659="COMMERCIAL","VERIFY SIGNED AGREEMENT","NO EXCEPTION")</f>
        <v>NO EXCEPTION</v>
      </c>
      <c r="AA659" s="23" t="str">
        <f aca="false">IF(AND(C659="covered",N659&gt;40),"COVERED &gt;40 FT","")</f>
        <v>COVERED &gt;40 FT</v>
      </c>
      <c r="AB659" s="23" t="s">
        <v>6407</v>
      </c>
      <c r="AC659" s="23" t="s">
        <v>6408</v>
      </c>
      <c r="AD659" s="23" t="s">
        <v>2807</v>
      </c>
    </row>
    <row r="660" customFormat="false" ht="17.9" hidden="false" customHeight="false" outlineLevel="0" collapsed="false">
      <c r="A660" s="20" t="s">
        <v>6409</v>
      </c>
      <c r="B660" s="20" t="s">
        <v>79</v>
      </c>
      <c r="C660" s="20" t="s">
        <v>5162</v>
      </c>
      <c r="D660" s="20" t="s">
        <v>6410</v>
      </c>
      <c r="E660" s="20" t="s">
        <v>6411</v>
      </c>
      <c r="F660" s="20" t="s">
        <v>2801</v>
      </c>
      <c r="G660" s="20" t="s">
        <v>6412</v>
      </c>
      <c r="H660" s="22" t="n">
        <v>18.6</v>
      </c>
      <c r="I660" s="22" t="n">
        <v>18.6</v>
      </c>
      <c r="J660" s="22" t="n">
        <f aca="false">H660-I660</f>
        <v>0</v>
      </c>
      <c r="K660" s="20" t="str">
        <f aca="false">IF(ABS(J660)&lt;0.001,"MATCH - PAPER CHECK-IN NOT SUPPLIED","DATA MISMATCH")</f>
        <v>MATCH - PAPER CHECK-IN NOT SUPPLIED</v>
      </c>
      <c r="L660" s="22" t="n">
        <v>24</v>
      </c>
      <c r="M660" s="22" t="n">
        <f aca="false">ROUNDUP(H660,0)</f>
        <v>19</v>
      </c>
      <c r="N660" s="24" t="n">
        <f aca="false">MAX(L660,M660)</f>
        <v>24</v>
      </c>
      <c r="O660" s="25" t="n">
        <v>10.4</v>
      </c>
      <c r="P660" s="25" t="n">
        <f aca="false">N660*O660</f>
        <v>249.6</v>
      </c>
      <c r="Q660" s="23" t="s">
        <v>6413</v>
      </c>
      <c r="R660" s="23" t="s">
        <v>2804</v>
      </c>
      <c r="S660" s="24" t="n">
        <v>24</v>
      </c>
      <c r="T660" s="25" t="n">
        <v>10.4</v>
      </c>
      <c r="U660" s="25" t="n">
        <v>249.6</v>
      </c>
      <c r="V660" s="25" t="n">
        <f aca="false">P660-U660</f>
        <v>0</v>
      </c>
      <c r="W660" s="25" t="n">
        <f aca="false">V660*12</f>
        <v>0</v>
      </c>
      <c r="X660" s="23" t="str">
        <f aca="false">IF(Q660="","MISSING FROM EXPORT",IF(ABS(V660)&lt;0.005,"CLEAR",IF(V660&gt;0,"UNDERBILLING","OVERBILLING")))</f>
        <v>CLEAR</v>
      </c>
      <c r="Y660" s="25" t="n">
        <f aca="false">IF(F660="COMMERCIAL",ROUND(P660*0.35,2),0)</f>
        <v>0</v>
      </c>
      <c r="Z660" s="23" t="str">
        <f aca="false">IF(F660="COMMERCIAL","VERIFY SIGNED AGREEMENT","NO EXCEPTION")</f>
        <v>NO EXCEPTION</v>
      </c>
      <c r="AA660" s="23" t="str">
        <f aca="false">IF(AND(C660="covered",N660&gt;40),"COVERED &gt;40 FT","")</f>
        <v/>
      </c>
      <c r="AB660" s="23" t="s">
        <v>6414</v>
      </c>
      <c r="AC660" s="23" t="s">
        <v>6415</v>
      </c>
      <c r="AD660" s="23" t="s">
        <v>2807</v>
      </c>
    </row>
    <row r="661" customFormat="false" ht="17.9" hidden="false" customHeight="false" outlineLevel="0" collapsed="false">
      <c r="A661" s="20" t="s">
        <v>1147</v>
      </c>
      <c r="B661" s="20" t="s">
        <v>79</v>
      </c>
      <c r="C661" s="20" t="s">
        <v>5162</v>
      </c>
      <c r="D661" s="20" t="s">
        <v>6416</v>
      </c>
      <c r="E661" s="20" t="s">
        <v>6417</v>
      </c>
      <c r="F661" s="20" t="s">
        <v>2833</v>
      </c>
      <c r="G661" s="20" t="s">
        <v>6418</v>
      </c>
      <c r="H661" s="22" t="n">
        <v>47.6</v>
      </c>
      <c r="I661" s="22" t="n">
        <v>47.6</v>
      </c>
      <c r="J661" s="22" t="n">
        <f aca="false">H661-I661</f>
        <v>0</v>
      </c>
      <c r="K661" s="20" t="str">
        <f aca="false">IF(ABS(J661)&lt;0.001,"MATCH - PAPER CHECK-IN NOT SUPPLIED","DATA MISMATCH")</f>
        <v>MATCH - PAPER CHECK-IN NOT SUPPLIED</v>
      </c>
      <c r="L661" s="22" t="n">
        <v>28</v>
      </c>
      <c r="M661" s="22" t="n">
        <f aca="false">ROUNDUP(H661,0)</f>
        <v>48</v>
      </c>
      <c r="N661" s="24" t="n">
        <f aca="false">MAX(L661,M661)</f>
        <v>48</v>
      </c>
      <c r="O661" s="25" t="n">
        <v>10.4</v>
      </c>
      <c r="P661" s="25" t="n">
        <f aca="false">N661*O661</f>
        <v>499.2</v>
      </c>
      <c r="Q661" s="23" t="s">
        <v>6419</v>
      </c>
      <c r="R661" s="23" t="s">
        <v>2804</v>
      </c>
      <c r="S661" s="24" t="n">
        <v>48</v>
      </c>
      <c r="T661" s="25" t="n">
        <v>10.4</v>
      </c>
      <c r="U661" s="25" t="n">
        <v>499.2</v>
      </c>
      <c r="V661" s="25" t="n">
        <f aca="false">P661-U661</f>
        <v>0</v>
      </c>
      <c r="W661" s="25" t="n">
        <f aca="false">V661*12</f>
        <v>0</v>
      </c>
      <c r="X661" s="23" t="str">
        <f aca="false">IF(Q661="","MISSING FROM EXPORT",IF(ABS(V661)&lt;0.005,"CLEAR",IF(V661&gt;0,"UNDERBILLING","OVERBILLING")))</f>
        <v>CLEAR</v>
      </c>
      <c r="Y661" s="25" t="n">
        <f aca="false">IF(F661="COMMERCIAL",ROUND(P661*0.35,2),0)</f>
        <v>0</v>
      </c>
      <c r="Z661" s="23" t="str">
        <f aca="false">IF(F661="COMMERCIAL","VERIFY SIGNED AGREEMENT","NO EXCEPTION")</f>
        <v>NO EXCEPTION</v>
      </c>
      <c r="AA661" s="23" t="str">
        <f aca="false">IF(AND(C661="covered",N661&gt;40),"COVERED &gt;40 FT","")</f>
        <v>COVERED &gt;40 FT</v>
      </c>
      <c r="AB661" s="23" t="s">
        <v>6420</v>
      </c>
      <c r="AC661" s="23" t="s">
        <v>6421</v>
      </c>
      <c r="AD661" s="23" t="s">
        <v>2807</v>
      </c>
    </row>
    <row r="662" customFormat="false" ht="17.9" hidden="false" customHeight="false" outlineLevel="0" collapsed="false">
      <c r="A662" s="20" t="s">
        <v>1191</v>
      </c>
      <c r="B662" s="20" t="s">
        <v>79</v>
      </c>
      <c r="C662" s="20" t="s">
        <v>5162</v>
      </c>
      <c r="D662" s="20" t="s">
        <v>6422</v>
      </c>
      <c r="E662" s="20" t="s">
        <v>6423</v>
      </c>
      <c r="F662" s="20" t="s">
        <v>2833</v>
      </c>
      <c r="G662" s="20" t="s">
        <v>6424</v>
      </c>
      <c r="H662" s="22" t="n">
        <v>30.9</v>
      </c>
      <c r="I662" s="22" t="n">
        <v>30.9</v>
      </c>
      <c r="J662" s="22" t="n">
        <f aca="false">H662-I662</f>
        <v>0</v>
      </c>
      <c r="K662" s="20" t="str">
        <f aca="false">IF(ABS(J662)&lt;0.001,"MATCH - PAPER CHECK-IN NOT SUPPLIED","DATA MISMATCH")</f>
        <v>MATCH - PAPER CHECK-IN NOT SUPPLIED</v>
      </c>
      <c r="L662" s="22" t="n">
        <v>32</v>
      </c>
      <c r="M662" s="22" t="n">
        <f aca="false">ROUNDUP(H662,0)</f>
        <v>31</v>
      </c>
      <c r="N662" s="24" t="n">
        <f aca="false">MAX(L662,M662)</f>
        <v>32</v>
      </c>
      <c r="O662" s="25" t="n">
        <v>10.4</v>
      </c>
      <c r="P662" s="25" t="n">
        <f aca="false">N662*O662</f>
        <v>332.8</v>
      </c>
      <c r="Q662" s="23" t="s">
        <v>6425</v>
      </c>
      <c r="R662" s="23" t="s">
        <v>2804</v>
      </c>
      <c r="S662" s="24" t="n">
        <v>32</v>
      </c>
      <c r="T662" s="25" t="n">
        <v>10.4</v>
      </c>
      <c r="U662" s="25" t="n">
        <v>332.8</v>
      </c>
      <c r="V662" s="25" t="n">
        <f aca="false">P662-U662</f>
        <v>0</v>
      </c>
      <c r="W662" s="25" t="n">
        <f aca="false">V662*12</f>
        <v>0</v>
      </c>
      <c r="X662" s="23" t="str">
        <f aca="false">IF(Q662="","MISSING FROM EXPORT",IF(ABS(V662)&lt;0.005,"CLEAR",IF(V662&gt;0,"UNDERBILLING","OVERBILLING")))</f>
        <v>CLEAR</v>
      </c>
      <c r="Y662" s="25" t="n">
        <f aca="false">IF(F662="COMMERCIAL",ROUND(P662*0.35,2),0)</f>
        <v>0</v>
      </c>
      <c r="Z662" s="23" t="str">
        <f aca="false">IF(F662="COMMERCIAL","VERIFY SIGNED AGREEMENT","NO EXCEPTION")</f>
        <v>NO EXCEPTION</v>
      </c>
      <c r="AA662" s="23" t="str">
        <f aca="false">IF(AND(C662="covered",N662&gt;40),"COVERED &gt;40 FT","")</f>
        <v/>
      </c>
      <c r="AB662" s="23" t="s">
        <v>6426</v>
      </c>
      <c r="AC662" s="23" t="s">
        <v>6427</v>
      </c>
      <c r="AD662" s="23" t="s">
        <v>2807</v>
      </c>
    </row>
    <row r="663" customFormat="false" ht="17.9" hidden="false" customHeight="false" outlineLevel="0" collapsed="false">
      <c r="A663" s="20" t="s">
        <v>1591</v>
      </c>
      <c r="B663" s="20" t="s">
        <v>79</v>
      </c>
      <c r="C663" s="20" t="s">
        <v>5162</v>
      </c>
      <c r="D663" s="20" t="s">
        <v>6428</v>
      </c>
      <c r="E663" s="20" t="s">
        <v>6429</v>
      </c>
      <c r="F663" s="20" t="s">
        <v>2857</v>
      </c>
      <c r="G663" s="20" t="s">
        <v>6430</v>
      </c>
      <c r="H663" s="22" t="n">
        <v>29.2</v>
      </c>
      <c r="I663" s="22" t="n">
        <v>29.2</v>
      </c>
      <c r="J663" s="22" t="n">
        <f aca="false">H663-I663</f>
        <v>0</v>
      </c>
      <c r="K663" s="20" t="str">
        <f aca="false">IF(ABS(J663)&lt;0.001,"MATCH - PAPER CHECK-IN NOT SUPPLIED","DATA MISMATCH")</f>
        <v>MATCH - PAPER CHECK-IN NOT SUPPLIED</v>
      </c>
      <c r="L663" s="22" t="n">
        <v>24</v>
      </c>
      <c r="M663" s="22" t="n">
        <f aca="false">ROUNDUP(H663,0)</f>
        <v>30</v>
      </c>
      <c r="N663" s="24" t="n">
        <f aca="false">MAX(L663,M663)</f>
        <v>30</v>
      </c>
      <c r="O663" s="25" t="n">
        <v>10.4</v>
      </c>
      <c r="P663" s="25" t="n">
        <f aca="false">N663*O663</f>
        <v>312</v>
      </c>
      <c r="Q663" s="23" t="s">
        <v>6431</v>
      </c>
      <c r="R663" s="23" t="s">
        <v>2804</v>
      </c>
      <c r="S663" s="24" t="n">
        <v>30</v>
      </c>
      <c r="T663" s="25" t="n">
        <v>10.4</v>
      </c>
      <c r="U663" s="25" t="n">
        <v>312</v>
      </c>
      <c r="V663" s="25" t="n">
        <f aca="false">P663-U663</f>
        <v>0</v>
      </c>
      <c r="W663" s="25" t="n">
        <f aca="false">V663*12</f>
        <v>0</v>
      </c>
      <c r="X663" s="23" t="str">
        <f aca="false">IF(Q663="","MISSING FROM EXPORT",IF(ABS(V663)&lt;0.005,"CLEAR",IF(V663&gt;0,"UNDERBILLING","OVERBILLING")))</f>
        <v>CLEAR</v>
      </c>
      <c r="Y663" s="25" t="n">
        <f aca="false">IF(F663="COMMERCIAL",ROUND(P663*0.35,2),0)</f>
        <v>0</v>
      </c>
      <c r="Z663" s="23" t="str">
        <f aca="false">IF(F663="COMMERCIAL","VERIFY SIGNED AGREEMENT","NO EXCEPTION")</f>
        <v>NO EXCEPTION</v>
      </c>
      <c r="AA663" s="23" t="str">
        <f aca="false">IF(AND(C663="covered",N663&gt;40),"COVERED &gt;40 FT","")</f>
        <v/>
      </c>
      <c r="AB663" s="23" t="s">
        <v>6432</v>
      </c>
      <c r="AC663" s="23" t="s">
        <v>6433</v>
      </c>
      <c r="AD663" s="23" t="s">
        <v>2807</v>
      </c>
    </row>
    <row r="664" customFormat="false" ht="17.9" hidden="false" customHeight="false" outlineLevel="0" collapsed="false">
      <c r="A664" s="20" t="s">
        <v>6434</v>
      </c>
      <c r="B664" s="20" t="s">
        <v>79</v>
      </c>
      <c r="C664" s="20" t="s">
        <v>5162</v>
      </c>
      <c r="D664" s="20" t="s">
        <v>6435</v>
      </c>
      <c r="E664" s="20" t="s">
        <v>6436</v>
      </c>
      <c r="F664" s="20" t="s">
        <v>2857</v>
      </c>
      <c r="G664" s="20" t="s">
        <v>6437</v>
      </c>
      <c r="H664" s="22" t="n">
        <v>34.1</v>
      </c>
      <c r="I664" s="22" t="n">
        <v>34.1</v>
      </c>
      <c r="J664" s="22" t="n">
        <f aca="false">H664-I664</f>
        <v>0</v>
      </c>
      <c r="K664" s="20" t="str">
        <f aca="false">IF(ABS(J664)&lt;0.001,"MATCH - PAPER CHECK-IN NOT SUPPLIED","DATA MISMATCH")</f>
        <v>MATCH - PAPER CHECK-IN NOT SUPPLIED</v>
      </c>
      <c r="L664" s="22" t="n">
        <v>24</v>
      </c>
      <c r="M664" s="22" t="n">
        <f aca="false">ROUNDUP(H664,0)</f>
        <v>35</v>
      </c>
      <c r="N664" s="24" t="n">
        <f aca="false">MAX(L664,M664)</f>
        <v>35</v>
      </c>
      <c r="O664" s="25" t="n">
        <v>10.4</v>
      </c>
      <c r="P664" s="25" t="n">
        <f aca="false">N664*O664</f>
        <v>364</v>
      </c>
      <c r="Q664" s="23" t="s">
        <v>6438</v>
      </c>
      <c r="R664" s="23" t="s">
        <v>2804</v>
      </c>
      <c r="S664" s="24" t="n">
        <v>35</v>
      </c>
      <c r="T664" s="25" t="n">
        <v>10.4</v>
      </c>
      <c r="U664" s="25" t="n">
        <v>364</v>
      </c>
      <c r="V664" s="25" t="n">
        <f aca="false">P664-U664</f>
        <v>0</v>
      </c>
      <c r="W664" s="25" t="n">
        <f aca="false">V664*12</f>
        <v>0</v>
      </c>
      <c r="X664" s="23" t="str">
        <f aca="false">IF(Q664="","MISSING FROM EXPORT",IF(ABS(V664)&lt;0.005,"CLEAR",IF(V664&gt;0,"UNDERBILLING","OVERBILLING")))</f>
        <v>CLEAR</v>
      </c>
      <c r="Y664" s="25" t="n">
        <f aca="false">IF(F664="COMMERCIAL",ROUND(P664*0.35,2),0)</f>
        <v>0</v>
      </c>
      <c r="Z664" s="23" t="str">
        <f aca="false">IF(F664="COMMERCIAL","VERIFY SIGNED AGREEMENT","NO EXCEPTION")</f>
        <v>NO EXCEPTION</v>
      </c>
      <c r="AA664" s="23" t="str">
        <f aca="false">IF(AND(C664="covered",N664&gt;40),"COVERED &gt;40 FT","")</f>
        <v/>
      </c>
      <c r="AB664" s="23" t="s">
        <v>6439</v>
      </c>
      <c r="AC664" s="23" t="s">
        <v>6440</v>
      </c>
      <c r="AD664" s="23" t="s">
        <v>2807</v>
      </c>
    </row>
    <row r="665" customFormat="false" ht="17.9" hidden="false" customHeight="false" outlineLevel="0" collapsed="false">
      <c r="A665" s="20" t="s">
        <v>6441</v>
      </c>
      <c r="B665" s="20" t="s">
        <v>79</v>
      </c>
      <c r="C665" s="20" t="s">
        <v>5162</v>
      </c>
      <c r="D665" s="20" t="s">
        <v>1668</v>
      </c>
      <c r="E665" s="20" t="s">
        <v>1669</v>
      </c>
      <c r="F665" s="20" t="s">
        <v>2833</v>
      </c>
      <c r="G665" s="20" t="s">
        <v>6442</v>
      </c>
      <c r="H665" s="22" t="n">
        <v>54.5</v>
      </c>
      <c r="I665" s="22" t="n">
        <v>54.5</v>
      </c>
      <c r="J665" s="22" t="n">
        <f aca="false">H665-I665</f>
        <v>0</v>
      </c>
      <c r="K665" s="20" t="str">
        <f aca="false">IF(ABS(J665)&lt;0.001,"MATCH - PAPER CHECK-IN NOT SUPPLIED","DATA MISMATCH")</f>
        <v>MATCH - PAPER CHECK-IN NOT SUPPLIED</v>
      </c>
      <c r="L665" s="22" t="n">
        <v>32</v>
      </c>
      <c r="M665" s="22" t="n">
        <f aca="false">ROUNDUP(H665,0)</f>
        <v>55</v>
      </c>
      <c r="N665" s="24" t="n">
        <f aca="false">MAX(L665,M665)</f>
        <v>55</v>
      </c>
      <c r="O665" s="25" t="n">
        <v>10.4</v>
      </c>
      <c r="P665" s="25" t="n">
        <f aca="false">N665*O665</f>
        <v>572</v>
      </c>
      <c r="Q665" s="23" t="s">
        <v>6443</v>
      </c>
      <c r="R665" s="23" t="s">
        <v>2804</v>
      </c>
      <c r="S665" s="24" t="n">
        <v>55</v>
      </c>
      <c r="T665" s="25" t="n">
        <v>10.4</v>
      </c>
      <c r="U665" s="25" t="n">
        <v>572</v>
      </c>
      <c r="V665" s="25" t="n">
        <f aca="false">P665-U665</f>
        <v>0</v>
      </c>
      <c r="W665" s="25" t="n">
        <f aca="false">V665*12</f>
        <v>0</v>
      </c>
      <c r="X665" s="23" t="str">
        <f aca="false">IF(Q665="","MISSING FROM EXPORT",IF(ABS(V665)&lt;0.005,"CLEAR",IF(V665&gt;0,"UNDERBILLING","OVERBILLING")))</f>
        <v>CLEAR</v>
      </c>
      <c r="Y665" s="25" t="n">
        <f aca="false">IF(F665="COMMERCIAL",ROUND(P665*0.35,2),0)</f>
        <v>0</v>
      </c>
      <c r="Z665" s="23" t="str">
        <f aca="false">IF(F665="COMMERCIAL","VERIFY SIGNED AGREEMENT","NO EXCEPTION")</f>
        <v>NO EXCEPTION</v>
      </c>
      <c r="AA665" s="23" t="str">
        <f aca="false">IF(AND(C665="covered",N665&gt;40),"COVERED &gt;40 FT","")</f>
        <v>COVERED &gt;40 FT</v>
      </c>
      <c r="AB665" s="23" t="s">
        <v>6444</v>
      </c>
      <c r="AC665" s="23" t="s">
        <v>6445</v>
      </c>
      <c r="AD665" s="23" t="s">
        <v>2807</v>
      </c>
    </row>
    <row r="666" customFormat="false" ht="17.9" hidden="false" customHeight="false" outlineLevel="0" collapsed="false">
      <c r="A666" s="20" t="s">
        <v>6446</v>
      </c>
      <c r="B666" s="20" t="s">
        <v>79</v>
      </c>
      <c r="C666" s="20" t="s">
        <v>5162</v>
      </c>
      <c r="D666" s="20" t="s">
        <v>6447</v>
      </c>
      <c r="E666" s="20" t="s">
        <v>6448</v>
      </c>
      <c r="F666" s="20" t="s">
        <v>2869</v>
      </c>
      <c r="G666" s="20" t="s">
        <v>6449</v>
      </c>
      <c r="H666" s="22" t="n">
        <v>34.5</v>
      </c>
      <c r="I666" s="22" t="n">
        <v>34.5</v>
      </c>
      <c r="J666" s="22" t="n">
        <f aca="false">H666-I666</f>
        <v>0</v>
      </c>
      <c r="K666" s="20" t="str">
        <f aca="false">IF(ABS(J666)&lt;0.001,"MATCH - PAPER CHECK-IN NOT SUPPLIED","DATA MISMATCH")</f>
        <v>MATCH - PAPER CHECK-IN NOT SUPPLIED</v>
      </c>
      <c r="L666" s="22" t="n">
        <v>40</v>
      </c>
      <c r="M666" s="22" t="n">
        <f aca="false">ROUNDUP(H666,0)</f>
        <v>35</v>
      </c>
      <c r="N666" s="24" t="n">
        <f aca="false">MAX(L666,M666)</f>
        <v>40</v>
      </c>
      <c r="O666" s="25" t="n">
        <v>10.4</v>
      </c>
      <c r="P666" s="25" t="n">
        <f aca="false">N666*O666</f>
        <v>416</v>
      </c>
      <c r="Q666" s="23" t="s">
        <v>6450</v>
      </c>
      <c r="R666" s="23" t="s">
        <v>2804</v>
      </c>
      <c r="S666" s="24" t="n">
        <v>40</v>
      </c>
      <c r="T666" s="25" t="n">
        <v>10.4</v>
      </c>
      <c r="U666" s="25" t="n">
        <v>416</v>
      </c>
      <c r="V666" s="25" t="n">
        <f aca="false">P666-U666</f>
        <v>0</v>
      </c>
      <c r="W666" s="25" t="n">
        <f aca="false">V666*12</f>
        <v>0</v>
      </c>
      <c r="X666" s="23" t="str">
        <f aca="false">IF(Q666="","MISSING FROM EXPORT",IF(ABS(V666)&lt;0.005,"CLEAR",IF(V666&gt;0,"UNDERBILLING","OVERBILLING")))</f>
        <v>CLEAR</v>
      </c>
      <c r="Y666" s="25" t="n">
        <f aca="false">IF(F666="COMMERCIAL",ROUND(P666*0.35,2),0)</f>
        <v>0</v>
      </c>
      <c r="Z666" s="23" t="str">
        <f aca="false">IF(F666="COMMERCIAL","VERIFY SIGNED AGREEMENT","NO EXCEPTION")</f>
        <v>NO EXCEPTION</v>
      </c>
      <c r="AA666" s="23" t="str">
        <f aca="false">IF(AND(C666="covered",N666&gt;40),"COVERED &gt;40 FT","")</f>
        <v/>
      </c>
      <c r="AB666" s="23" t="s">
        <v>6451</v>
      </c>
      <c r="AC666" s="23" t="s">
        <v>6452</v>
      </c>
      <c r="AD666" s="23" t="s">
        <v>2807</v>
      </c>
    </row>
    <row r="667" customFormat="false" ht="17.9" hidden="false" customHeight="false" outlineLevel="0" collapsed="false">
      <c r="A667" s="20" t="s">
        <v>6453</v>
      </c>
      <c r="B667" s="20" t="s">
        <v>79</v>
      </c>
      <c r="C667" s="20" t="s">
        <v>5162</v>
      </c>
      <c r="D667" s="20" t="s">
        <v>6454</v>
      </c>
      <c r="E667" s="20" t="s">
        <v>6455</v>
      </c>
      <c r="F667" s="20" t="s">
        <v>2833</v>
      </c>
      <c r="G667" s="20" t="s">
        <v>6456</v>
      </c>
      <c r="H667" s="22" t="n">
        <v>18</v>
      </c>
      <c r="I667" s="22" t="n">
        <v>18</v>
      </c>
      <c r="J667" s="22" t="n">
        <f aca="false">H667-I667</f>
        <v>0</v>
      </c>
      <c r="K667" s="20" t="str">
        <f aca="false">IF(ABS(J667)&lt;0.001,"MATCH - PAPER CHECK-IN NOT SUPPLIED","DATA MISMATCH")</f>
        <v>MATCH - PAPER CHECK-IN NOT SUPPLIED</v>
      </c>
      <c r="L667" s="22" t="n">
        <v>24</v>
      </c>
      <c r="M667" s="22" t="n">
        <f aca="false">ROUNDUP(H667,0)</f>
        <v>18</v>
      </c>
      <c r="N667" s="24" t="n">
        <f aca="false">MAX(L667,M667)</f>
        <v>24</v>
      </c>
      <c r="O667" s="25" t="n">
        <v>10.4</v>
      </c>
      <c r="P667" s="25" t="n">
        <f aca="false">N667*O667</f>
        <v>249.6</v>
      </c>
      <c r="Q667" s="23" t="s">
        <v>6457</v>
      </c>
      <c r="R667" s="23" t="s">
        <v>2804</v>
      </c>
      <c r="S667" s="24" t="n">
        <v>24</v>
      </c>
      <c r="T667" s="25" t="n">
        <v>10.4</v>
      </c>
      <c r="U667" s="25" t="n">
        <v>249.6</v>
      </c>
      <c r="V667" s="25" t="n">
        <f aca="false">P667-U667</f>
        <v>0</v>
      </c>
      <c r="W667" s="25" t="n">
        <f aca="false">V667*12</f>
        <v>0</v>
      </c>
      <c r="X667" s="23" t="str">
        <f aca="false">IF(Q667="","MISSING FROM EXPORT",IF(ABS(V667)&lt;0.005,"CLEAR",IF(V667&gt;0,"UNDERBILLING","OVERBILLING")))</f>
        <v>CLEAR</v>
      </c>
      <c r="Y667" s="25" t="n">
        <f aca="false">IF(F667="COMMERCIAL",ROUND(P667*0.35,2),0)</f>
        <v>0</v>
      </c>
      <c r="Z667" s="23" t="str">
        <f aca="false">IF(F667="COMMERCIAL","VERIFY SIGNED AGREEMENT","NO EXCEPTION")</f>
        <v>NO EXCEPTION</v>
      </c>
      <c r="AA667" s="23" t="str">
        <f aca="false">IF(AND(C667="covered",N667&gt;40),"COVERED &gt;40 FT","")</f>
        <v/>
      </c>
      <c r="AB667" s="23" t="s">
        <v>6458</v>
      </c>
      <c r="AC667" s="23" t="s">
        <v>6459</v>
      </c>
      <c r="AD667" s="23" t="s">
        <v>2807</v>
      </c>
    </row>
    <row r="668" customFormat="false" ht="17.9" hidden="false" customHeight="false" outlineLevel="0" collapsed="false">
      <c r="A668" s="20" t="s">
        <v>6460</v>
      </c>
      <c r="B668" s="20" t="s">
        <v>79</v>
      </c>
      <c r="C668" s="20" t="s">
        <v>5162</v>
      </c>
      <c r="D668" s="20" t="s">
        <v>6461</v>
      </c>
      <c r="E668" s="20" t="s">
        <v>6462</v>
      </c>
      <c r="F668" s="20" t="s">
        <v>2833</v>
      </c>
      <c r="G668" s="20" t="s">
        <v>6463</v>
      </c>
      <c r="H668" s="22" t="n">
        <v>21.4</v>
      </c>
      <c r="I668" s="22" t="n">
        <v>21.4</v>
      </c>
      <c r="J668" s="22" t="n">
        <f aca="false">H668-I668</f>
        <v>0</v>
      </c>
      <c r="K668" s="20" t="str">
        <f aca="false">IF(ABS(J668)&lt;0.001,"MATCH - PAPER CHECK-IN NOT SUPPLIED","DATA MISMATCH")</f>
        <v>MATCH - PAPER CHECK-IN NOT SUPPLIED</v>
      </c>
      <c r="L668" s="22" t="n">
        <v>32</v>
      </c>
      <c r="M668" s="22" t="n">
        <f aca="false">ROUNDUP(H668,0)</f>
        <v>22</v>
      </c>
      <c r="N668" s="24" t="n">
        <f aca="false">MAX(L668,M668)</f>
        <v>32</v>
      </c>
      <c r="O668" s="25" t="n">
        <v>10.4</v>
      </c>
      <c r="P668" s="25" t="n">
        <f aca="false">N668*O668</f>
        <v>332.8</v>
      </c>
      <c r="Q668" s="23" t="s">
        <v>6464</v>
      </c>
      <c r="R668" s="23" t="s">
        <v>2804</v>
      </c>
      <c r="S668" s="24" t="n">
        <v>32</v>
      </c>
      <c r="T668" s="25" t="n">
        <v>10.4</v>
      </c>
      <c r="U668" s="25" t="n">
        <v>332.8</v>
      </c>
      <c r="V668" s="25" t="n">
        <f aca="false">P668-U668</f>
        <v>0</v>
      </c>
      <c r="W668" s="25" t="n">
        <f aca="false">V668*12</f>
        <v>0</v>
      </c>
      <c r="X668" s="23" t="str">
        <f aca="false">IF(Q668="","MISSING FROM EXPORT",IF(ABS(V668)&lt;0.005,"CLEAR",IF(V668&gt;0,"UNDERBILLING","OVERBILLING")))</f>
        <v>CLEAR</v>
      </c>
      <c r="Y668" s="25" t="n">
        <f aca="false">IF(F668="COMMERCIAL",ROUND(P668*0.35,2),0)</f>
        <v>0</v>
      </c>
      <c r="Z668" s="23" t="str">
        <f aca="false">IF(F668="COMMERCIAL","VERIFY SIGNED AGREEMENT","NO EXCEPTION")</f>
        <v>NO EXCEPTION</v>
      </c>
      <c r="AA668" s="23" t="str">
        <f aca="false">IF(AND(C668="covered",N668&gt;40),"COVERED &gt;40 FT","")</f>
        <v/>
      </c>
      <c r="AB668" s="23" t="s">
        <v>6465</v>
      </c>
      <c r="AC668" s="23" t="s">
        <v>6466</v>
      </c>
      <c r="AD668" s="23" t="s">
        <v>2807</v>
      </c>
    </row>
    <row r="669" customFormat="false" ht="17.9" hidden="false" customHeight="false" outlineLevel="0" collapsed="false">
      <c r="A669" s="20" t="s">
        <v>6467</v>
      </c>
      <c r="B669" s="20" t="s">
        <v>79</v>
      </c>
      <c r="C669" s="20" t="s">
        <v>5162</v>
      </c>
      <c r="D669" s="20" t="s">
        <v>6468</v>
      </c>
      <c r="E669" s="20" t="s">
        <v>6469</v>
      </c>
      <c r="F669" s="20" t="s">
        <v>2857</v>
      </c>
      <c r="G669" s="20" t="s">
        <v>6470</v>
      </c>
      <c r="H669" s="22" t="n">
        <v>58.7</v>
      </c>
      <c r="I669" s="22" t="n">
        <v>58.7</v>
      </c>
      <c r="J669" s="22" t="n">
        <f aca="false">H669-I669</f>
        <v>0</v>
      </c>
      <c r="K669" s="20" t="str">
        <f aca="false">IF(ABS(J669)&lt;0.001,"MATCH - PAPER CHECK-IN NOT SUPPLIED","DATA MISMATCH")</f>
        <v>MATCH - PAPER CHECK-IN NOT SUPPLIED</v>
      </c>
      <c r="L669" s="22" t="n">
        <v>28</v>
      </c>
      <c r="M669" s="22" t="n">
        <f aca="false">ROUNDUP(H669,0)</f>
        <v>59</v>
      </c>
      <c r="N669" s="24" t="n">
        <f aca="false">MAX(L669,M669)</f>
        <v>59</v>
      </c>
      <c r="O669" s="25" t="n">
        <v>10.4</v>
      </c>
      <c r="P669" s="25" t="n">
        <f aca="false">N669*O669</f>
        <v>613.6</v>
      </c>
      <c r="Q669" s="23" t="s">
        <v>6471</v>
      </c>
      <c r="R669" s="23" t="s">
        <v>2804</v>
      </c>
      <c r="S669" s="24" t="n">
        <v>59</v>
      </c>
      <c r="T669" s="25" t="n">
        <v>10.4</v>
      </c>
      <c r="U669" s="25" t="n">
        <v>613.6</v>
      </c>
      <c r="V669" s="25" t="n">
        <f aca="false">P669-U669</f>
        <v>0</v>
      </c>
      <c r="W669" s="25" t="n">
        <f aca="false">V669*12</f>
        <v>0</v>
      </c>
      <c r="X669" s="23" t="str">
        <f aca="false">IF(Q669="","MISSING FROM EXPORT",IF(ABS(V669)&lt;0.005,"CLEAR",IF(V669&gt;0,"UNDERBILLING","OVERBILLING")))</f>
        <v>CLEAR</v>
      </c>
      <c r="Y669" s="25" t="n">
        <f aca="false">IF(F669="COMMERCIAL",ROUND(P669*0.35,2),0)</f>
        <v>0</v>
      </c>
      <c r="Z669" s="23" t="str">
        <f aca="false">IF(F669="COMMERCIAL","VERIFY SIGNED AGREEMENT","NO EXCEPTION")</f>
        <v>NO EXCEPTION</v>
      </c>
      <c r="AA669" s="23" t="str">
        <f aca="false">IF(AND(C669="covered",N669&gt;40),"COVERED &gt;40 FT","")</f>
        <v>COVERED &gt;40 FT</v>
      </c>
      <c r="AB669" s="23" t="s">
        <v>6472</v>
      </c>
      <c r="AC669" s="23" t="s">
        <v>6473</v>
      </c>
      <c r="AD669" s="23" t="s">
        <v>2807</v>
      </c>
    </row>
    <row r="670" customFormat="false" ht="17.9" hidden="false" customHeight="false" outlineLevel="0" collapsed="false">
      <c r="A670" s="20" t="s">
        <v>131</v>
      </c>
      <c r="B670" s="20" t="s">
        <v>79</v>
      </c>
      <c r="C670" s="20" t="s">
        <v>5162</v>
      </c>
      <c r="D670" s="20" t="s">
        <v>6474</v>
      </c>
      <c r="E670" s="20" t="s">
        <v>6475</v>
      </c>
      <c r="F670" s="20" t="s">
        <v>2869</v>
      </c>
      <c r="G670" s="20" t="s">
        <v>6476</v>
      </c>
      <c r="H670" s="22" t="n">
        <v>36.8</v>
      </c>
      <c r="I670" s="22" t="n">
        <v>36.8</v>
      </c>
      <c r="J670" s="22" t="n">
        <f aca="false">H670-I670</f>
        <v>0</v>
      </c>
      <c r="K670" s="20" t="str">
        <f aca="false">IF(ABS(J670)&lt;0.001,"MATCH - PAPER CHECK-IN NOT SUPPLIED","DATA MISMATCH")</f>
        <v>MATCH - PAPER CHECK-IN NOT SUPPLIED</v>
      </c>
      <c r="L670" s="22" t="n">
        <v>28</v>
      </c>
      <c r="M670" s="22" t="n">
        <f aca="false">ROUNDUP(H670,0)</f>
        <v>37</v>
      </c>
      <c r="N670" s="24" t="n">
        <f aca="false">MAX(L670,M670)</f>
        <v>37</v>
      </c>
      <c r="O670" s="25" t="n">
        <v>10.4</v>
      </c>
      <c r="P670" s="25" t="n">
        <f aca="false">N670*O670</f>
        <v>384.8</v>
      </c>
      <c r="Q670" s="23" t="s">
        <v>6477</v>
      </c>
      <c r="R670" s="23" t="s">
        <v>2804</v>
      </c>
      <c r="S670" s="24" t="n">
        <v>37</v>
      </c>
      <c r="T670" s="25" t="n">
        <v>10.4</v>
      </c>
      <c r="U670" s="25" t="n">
        <v>384.8</v>
      </c>
      <c r="V670" s="25" t="n">
        <f aca="false">P670-U670</f>
        <v>0</v>
      </c>
      <c r="W670" s="25" t="n">
        <f aca="false">V670*12</f>
        <v>0</v>
      </c>
      <c r="X670" s="23" t="str">
        <f aca="false">IF(Q670="","MISSING FROM EXPORT",IF(ABS(V670)&lt;0.005,"CLEAR",IF(V670&gt;0,"UNDERBILLING","OVERBILLING")))</f>
        <v>CLEAR</v>
      </c>
      <c r="Y670" s="25" t="n">
        <f aca="false">IF(F670="COMMERCIAL",ROUND(P670*0.35,2),0)</f>
        <v>0</v>
      </c>
      <c r="Z670" s="23" t="str">
        <f aca="false">IF(F670="COMMERCIAL","VERIFY SIGNED AGREEMENT","NO EXCEPTION")</f>
        <v>NO EXCEPTION</v>
      </c>
      <c r="AA670" s="23" t="str">
        <f aca="false">IF(AND(C670="covered",N670&gt;40),"COVERED &gt;40 FT","")</f>
        <v/>
      </c>
      <c r="AB670" s="23" t="s">
        <v>6478</v>
      </c>
      <c r="AC670" s="23" t="s">
        <v>6479</v>
      </c>
      <c r="AD670" s="23" t="s">
        <v>2807</v>
      </c>
    </row>
    <row r="671" customFormat="false" ht="17.9" hidden="false" customHeight="false" outlineLevel="0" collapsed="false">
      <c r="A671" s="20" t="s">
        <v>6480</v>
      </c>
      <c r="B671" s="20" t="s">
        <v>79</v>
      </c>
      <c r="C671" s="20" t="s">
        <v>5162</v>
      </c>
      <c r="D671" s="20" t="s">
        <v>6481</v>
      </c>
      <c r="E671" s="20" t="s">
        <v>6482</v>
      </c>
      <c r="F671" s="20" t="s">
        <v>2857</v>
      </c>
      <c r="G671" s="20" t="s">
        <v>6483</v>
      </c>
      <c r="H671" s="22" t="n">
        <v>62</v>
      </c>
      <c r="I671" s="22" t="n">
        <v>62</v>
      </c>
      <c r="J671" s="22" t="n">
        <f aca="false">H671-I671</f>
        <v>0</v>
      </c>
      <c r="K671" s="20" t="str">
        <f aca="false">IF(ABS(J671)&lt;0.001,"MATCH - PAPER CHECK-IN NOT SUPPLIED","DATA MISMATCH")</f>
        <v>MATCH - PAPER CHECK-IN NOT SUPPLIED</v>
      </c>
      <c r="L671" s="22" t="n">
        <v>24</v>
      </c>
      <c r="M671" s="22" t="n">
        <f aca="false">ROUNDUP(H671,0)</f>
        <v>62</v>
      </c>
      <c r="N671" s="24" t="n">
        <f aca="false">MAX(L671,M671)</f>
        <v>62</v>
      </c>
      <c r="O671" s="25" t="n">
        <v>10.4</v>
      </c>
      <c r="P671" s="25" t="n">
        <f aca="false">N671*O671</f>
        <v>644.8</v>
      </c>
      <c r="Q671" s="23" t="s">
        <v>6484</v>
      </c>
      <c r="R671" s="23" t="s">
        <v>2804</v>
      </c>
      <c r="S671" s="24" t="n">
        <v>62</v>
      </c>
      <c r="T671" s="25" t="n">
        <v>10.4</v>
      </c>
      <c r="U671" s="25" t="n">
        <v>644.8</v>
      </c>
      <c r="V671" s="25" t="n">
        <f aca="false">P671-U671</f>
        <v>0</v>
      </c>
      <c r="W671" s="25" t="n">
        <f aca="false">V671*12</f>
        <v>0</v>
      </c>
      <c r="X671" s="23" t="str">
        <f aca="false">IF(Q671="","MISSING FROM EXPORT",IF(ABS(V671)&lt;0.005,"CLEAR",IF(V671&gt;0,"UNDERBILLING","OVERBILLING")))</f>
        <v>CLEAR</v>
      </c>
      <c r="Y671" s="25" t="n">
        <f aca="false">IF(F671="COMMERCIAL",ROUND(P671*0.35,2),0)</f>
        <v>0</v>
      </c>
      <c r="Z671" s="23" t="str">
        <f aca="false">IF(F671="COMMERCIAL","VERIFY SIGNED AGREEMENT","NO EXCEPTION")</f>
        <v>NO EXCEPTION</v>
      </c>
      <c r="AA671" s="23" t="str">
        <f aca="false">IF(AND(C671="covered",N671&gt;40),"COVERED &gt;40 FT","")</f>
        <v>COVERED &gt;40 FT</v>
      </c>
      <c r="AB671" s="23" t="s">
        <v>6485</v>
      </c>
      <c r="AC671" s="23" t="s">
        <v>6486</v>
      </c>
      <c r="AD671" s="23" t="s">
        <v>2807</v>
      </c>
    </row>
    <row r="672" customFormat="false" ht="17.9" hidden="false" customHeight="false" outlineLevel="0" collapsed="false">
      <c r="A672" s="20" t="s">
        <v>6487</v>
      </c>
      <c r="B672" s="20" t="s">
        <v>79</v>
      </c>
      <c r="C672" s="20" t="s">
        <v>5162</v>
      </c>
      <c r="D672" s="20" t="s">
        <v>6488</v>
      </c>
      <c r="E672" s="20" t="s">
        <v>6489</v>
      </c>
      <c r="F672" s="20" t="s">
        <v>2869</v>
      </c>
      <c r="G672" s="20" t="s">
        <v>6490</v>
      </c>
      <c r="H672" s="22" t="n">
        <v>59.8</v>
      </c>
      <c r="I672" s="22" t="n">
        <v>59.8</v>
      </c>
      <c r="J672" s="22" t="n">
        <f aca="false">H672-I672</f>
        <v>0</v>
      </c>
      <c r="K672" s="20" t="str">
        <f aca="false">IF(ABS(J672)&lt;0.001,"MATCH - PAPER CHECK-IN NOT SUPPLIED","DATA MISMATCH")</f>
        <v>MATCH - PAPER CHECK-IN NOT SUPPLIED</v>
      </c>
      <c r="L672" s="22" t="n">
        <v>24</v>
      </c>
      <c r="M672" s="22" t="n">
        <f aca="false">ROUNDUP(H672,0)</f>
        <v>60</v>
      </c>
      <c r="N672" s="24" t="n">
        <f aca="false">MAX(L672,M672)</f>
        <v>60</v>
      </c>
      <c r="O672" s="25" t="n">
        <v>10.4</v>
      </c>
      <c r="P672" s="25" t="n">
        <f aca="false">N672*O672</f>
        <v>624</v>
      </c>
      <c r="Q672" s="23" t="s">
        <v>6491</v>
      </c>
      <c r="R672" s="23" t="s">
        <v>2804</v>
      </c>
      <c r="S672" s="24" t="n">
        <v>60</v>
      </c>
      <c r="T672" s="25" t="n">
        <v>10.4</v>
      </c>
      <c r="U672" s="25" t="n">
        <v>624</v>
      </c>
      <c r="V672" s="25" t="n">
        <f aca="false">P672-U672</f>
        <v>0</v>
      </c>
      <c r="W672" s="25" t="n">
        <f aca="false">V672*12</f>
        <v>0</v>
      </c>
      <c r="X672" s="23" t="str">
        <f aca="false">IF(Q672="","MISSING FROM EXPORT",IF(ABS(V672)&lt;0.005,"CLEAR",IF(V672&gt;0,"UNDERBILLING","OVERBILLING")))</f>
        <v>CLEAR</v>
      </c>
      <c r="Y672" s="25" t="n">
        <f aca="false">IF(F672="COMMERCIAL",ROUND(P672*0.35,2),0)</f>
        <v>0</v>
      </c>
      <c r="Z672" s="23" t="str">
        <f aca="false">IF(F672="COMMERCIAL","VERIFY SIGNED AGREEMENT","NO EXCEPTION")</f>
        <v>NO EXCEPTION</v>
      </c>
      <c r="AA672" s="23" t="str">
        <f aca="false">IF(AND(C672="covered",N672&gt;40),"COVERED &gt;40 FT","")</f>
        <v>COVERED &gt;40 FT</v>
      </c>
      <c r="AB672" s="23" t="s">
        <v>6492</v>
      </c>
      <c r="AC672" s="23" t="s">
        <v>6493</v>
      </c>
      <c r="AD672" s="23" t="s">
        <v>2807</v>
      </c>
    </row>
    <row r="673" customFormat="false" ht="17.9" hidden="false" customHeight="false" outlineLevel="0" collapsed="false">
      <c r="A673" s="20" t="s">
        <v>6494</v>
      </c>
      <c r="B673" s="20" t="s">
        <v>79</v>
      </c>
      <c r="C673" s="20" t="s">
        <v>5162</v>
      </c>
      <c r="D673" s="20" t="s">
        <v>6495</v>
      </c>
      <c r="E673" s="20" t="s">
        <v>6496</v>
      </c>
      <c r="F673" s="20" t="s">
        <v>2869</v>
      </c>
      <c r="G673" s="20" t="s">
        <v>6497</v>
      </c>
      <c r="H673" s="22" t="n">
        <v>41.3</v>
      </c>
      <c r="I673" s="22" t="n">
        <v>41.3</v>
      </c>
      <c r="J673" s="22" t="n">
        <f aca="false">H673-I673</f>
        <v>0</v>
      </c>
      <c r="K673" s="20" t="str">
        <f aca="false">IF(ABS(J673)&lt;0.001,"MATCH - PAPER CHECK-IN NOT SUPPLIED","DATA MISMATCH")</f>
        <v>MATCH - PAPER CHECK-IN NOT SUPPLIED</v>
      </c>
      <c r="L673" s="22" t="n">
        <v>32</v>
      </c>
      <c r="M673" s="22" t="n">
        <f aca="false">ROUNDUP(H673,0)</f>
        <v>42</v>
      </c>
      <c r="N673" s="24" t="n">
        <f aca="false">MAX(L673,M673)</f>
        <v>42</v>
      </c>
      <c r="O673" s="25" t="n">
        <v>10.4</v>
      </c>
      <c r="P673" s="25" t="n">
        <f aca="false">N673*O673</f>
        <v>436.8</v>
      </c>
      <c r="Q673" s="23" t="s">
        <v>6498</v>
      </c>
      <c r="R673" s="23" t="s">
        <v>2804</v>
      </c>
      <c r="S673" s="24" t="n">
        <v>42</v>
      </c>
      <c r="T673" s="25" t="n">
        <v>10.4</v>
      </c>
      <c r="U673" s="25" t="n">
        <v>436.8</v>
      </c>
      <c r="V673" s="25" t="n">
        <f aca="false">P673-U673</f>
        <v>0</v>
      </c>
      <c r="W673" s="25" t="n">
        <f aca="false">V673*12</f>
        <v>0</v>
      </c>
      <c r="X673" s="23" t="str">
        <f aca="false">IF(Q673="","MISSING FROM EXPORT",IF(ABS(V673)&lt;0.005,"CLEAR",IF(V673&gt;0,"UNDERBILLING","OVERBILLING")))</f>
        <v>CLEAR</v>
      </c>
      <c r="Y673" s="25" t="n">
        <f aca="false">IF(F673="COMMERCIAL",ROUND(P673*0.35,2),0)</f>
        <v>0</v>
      </c>
      <c r="Z673" s="23" t="str">
        <f aca="false">IF(F673="COMMERCIAL","VERIFY SIGNED AGREEMENT","NO EXCEPTION")</f>
        <v>NO EXCEPTION</v>
      </c>
      <c r="AA673" s="23" t="str">
        <f aca="false">IF(AND(C673="covered",N673&gt;40),"COVERED &gt;40 FT","")</f>
        <v>COVERED &gt;40 FT</v>
      </c>
      <c r="AB673" s="23" t="s">
        <v>6499</v>
      </c>
      <c r="AC673" s="23" t="s">
        <v>6500</v>
      </c>
      <c r="AD673" s="23" t="s">
        <v>2807</v>
      </c>
    </row>
    <row r="674" customFormat="false" ht="17.9" hidden="false" customHeight="false" outlineLevel="0" collapsed="false">
      <c r="A674" s="20" t="s">
        <v>6501</v>
      </c>
      <c r="B674" s="20" t="s">
        <v>79</v>
      </c>
      <c r="C674" s="20" t="s">
        <v>5162</v>
      </c>
      <c r="D674" s="20" t="s">
        <v>6502</v>
      </c>
      <c r="E674" s="20" t="s">
        <v>6503</v>
      </c>
      <c r="F674" s="20" t="s">
        <v>2934</v>
      </c>
      <c r="G674" s="20" t="s">
        <v>6504</v>
      </c>
      <c r="H674" s="22" t="n">
        <v>24.1</v>
      </c>
      <c r="I674" s="22" t="n">
        <v>24.1</v>
      </c>
      <c r="J674" s="22" t="n">
        <f aca="false">H674-I674</f>
        <v>0</v>
      </c>
      <c r="K674" s="20" t="str">
        <f aca="false">IF(ABS(J674)&lt;0.001,"MATCH - PAPER CHECK-IN NOT SUPPLIED","DATA MISMATCH")</f>
        <v>MATCH - PAPER CHECK-IN NOT SUPPLIED</v>
      </c>
      <c r="L674" s="22" t="n">
        <v>32</v>
      </c>
      <c r="M674" s="22" t="n">
        <f aca="false">ROUNDUP(H674,0)</f>
        <v>25</v>
      </c>
      <c r="N674" s="24" t="n">
        <f aca="false">MAX(L674,M674)</f>
        <v>32</v>
      </c>
      <c r="O674" s="25" t="n">
        <v>10.4</v>
      </c>
      <c r="P674" s="25" t="n">
        <f aca="false">N674*O674</f>
        <v>332.8</v>
      </c>
      <c r="Q674" s="23" t="s">
        <v>6505</v>
      </c>
      <c r="R674" s="23" t="s">
        <v>2804</v>
      </c>
      <c r="S674" s="24" t="n">
        <v>32</v>
      </c>
      <c r="T674" s="25" t="n">
        <v>10.4</v>
      </c>
      <c r="U674" s="25" t="n">
        <v>332.8</v>
      </c>
      <c r="V674" s="25" t="n">
        <f aca="false">P674-U674</f>
        <v>0</v>
      </c>
      <c r="W674" s="25" t="n">
        <f aca="false">V674*12</f>
        <v>0</v>
      </c>
      <c r="X674" s="23" t="str">
        <f aca="false">IF(Q674="","MISSING FROM EXPORT",IF(ABS(V674)&lt;0.005,"CLEAR",IF(V674&gt;0,"UNDERBILLING","OVERBILLING")))</f>
        <v>CLEAR</v>
      </c>
      <c r="Y674" s="25" t="n">
        <f aca="false">IF(F674="COMMERCIAL",ROUND(P674*0.35,2),0)</f>
        <v>116.48</v>
      </c>
      <c r="Z674" s="23" t="str">
        <f aca="false">IF(F674="COMMERCIAL","VERIFY SIGNED AGREEMENT","NO EXCEPTION")</f>
        <v>VERIFY SIGNED AGREEMENT</v>
      </c>
      <c r="AA674" s="23" t="str">
        <f aca="false">IF(AND(C674="covered",N674&gt;40),"COVERED &gt;40 FT","")</f>
        <v/>
      </c>
      <c r="AB674" s="23" t="s">
        <v>6506</v>
      </c>
      <c r="AC674" s="23" t="s">
        <v>6507</v>
      </c>
      <c r="AD674" s="23" t="s">
        <v>2807</v>
      </c>
    </row>
    <row r="675" customFormat="false" ht="17.9" hidden="false" customHeight="false" outlineLevel="0" collapsed="false">
      <c r="A675" s="20" t="s">
        <v>6508</v>
      </c>
      <c r="B675" s="20" t="s">
        <v>166</v>
      </c>
      <c r="C675" s="20" t="s">
        <v>2798</v>
      </c>
      <c r="D675" s="20" t="s">
        <v>6509</v>
      </c>
      <c r="E675" s="20" t="s">
        <v>6510</v>
      </c>
      <c r="F675" s="20" t="s">
        <v>2857</v>
      </c>
      <c r="G675" s="20" t="s">
        <v>2802</v>
      </c>
      <c r="H675" s="22" t="n">
        <v>27.6</v>
      </c>
      <c r="I675" s="22" t="n">
        <v>27.6</v>
      </c>
      <c r="J675" s="22" t="n">
        <f aca="false">H675-I675</f>
        <v>0</v>
      </c>
      <c r="K675" s="20" t="str">
        <f aca="false">IF(ABS(J675)&lt;0.001,"MATCH - PAPER CHECK-IN NOT SUPPLIED","DATA MISMATCH")</f>
        <v>MATCH - PAPER CHECK-IN NOT SUPPLIED</v>
      </c>
      <c r="L675" s="22" t="n">
        <v>70</v>
      </c>
      <c r="M675" s="22" t="n">
        <f aca="false">ROUNDUP(H675,0)</f>
        <v>28</v>
      </c>
      <c r="N675" s="24" t="n">
        <f aca="false">MAX(L675,M675)</f>
        <v>70</v>
      </c>
      <c r="O675" s="25" t="n">
        <v>7.55</v>
      </c>
      <c r="P675" s="25" t="n">
        <f aca="false">N675*O675</f>
        <v>528.5</v>
      </c>
      <c r="Q675" s="23"/>
      <c r="R675" s="23"/>
      <c r="S675" s="24"/>
      <c r="T675" s="25"/>
      <c r="U675" s="25" t="n">
        <v>0</v>
      </c>
      <c r="V675" s="25" t="n">
        <f aca="false">P675-U675</f>
        <v>528.5</v>
      </c>
      <c r="W675" s="25" t="n">
        <f aca="false">V675*12</f>
        <v>6342</v>
      </c>
      <c r="X675" s="23" t="str">
        <f aca="false">IF(Q675="","MISSING FROM EXPORT",IF(ABS(V675)&lt;0.005,"CLEAR",IF(V675&gt;0,"UNDERBILLING","OVERBILLING")))</f>
        <v>MISSING FROM EXPORT</v>
      </c>
      <c r="Y675" s="25" t="n">
        <f aca="false">IF(F675="COMMERCIAL",ROUND(P675*0.35,2),0)</f>
        <v>0</v>
      </c>
      <c r="Z675" s="23" t="str">
        <f aca="false">IF(F675="COMMERCIAL","VERIFY SIGNED AGREEMENT","NO EXCEPTION")</f>
        <v>NO EXCEPTION</v>
      </c>
      <c r="AA675" s="23" t="str">
        <f aca="false">IF(AND(C675="covered",N675&gt;40),"COVERED &gt;40 FT","")</f>
        <v/>
      </c>
      <c r="AB675" s="23" t="s">
        <v>4705</v>
      </c>
      <c r="AC675" s="23" t="s">
        <v>6511</v>
      </c>
      <c r="AD675" s="23" t="s">
        <v>2807</v>
      </c>
    </row>
    <row r="676" customFormat="false" ht="17.9" hidden="false" customHeight="false" outlineLevel="0" collapsed="false">
      <c r="A676" s="20" t="s">
        <v>1164</v>
      </c>
      <c r="B676" s="20" t="s">
        <v>166</v>
      </c>
      <c r="C676" s="20" t="s">
        <v>2798</v>
      </c>
      <c r="D676" s="20" t="s">
        <v>6512</v>
      </c>
      <c r="E676" s="20" t="s">
        <v>6513</v>
      </c>
      <c r="F676" s="20" t="s">
        <v>2833</v>
      </c>
      <c r="G676" s="20" t="s">
        <v>2811</v>
      </c>
      <c r="H676" s="22" t="n">
        <v>44.3</v>
      </c>
      <c r="I676" s="22" t="n">
        <v>44.3</v>
      </c>
      <c r="J676" s="22" t="n">
        <f aca="false">H676-I676</f>
        <v>0</v>
      </c>
      <c r="K676" s="20" t="str">
        <f aca="false">IF(ABS(J676)&lt;0.001,"MATCH - PAPER CHECK-IN NOT SUPPLIED","DATA MISMATCH")</f>
        <v>MATCH - PAPER CHECK-IN NOT SUPPLIED</v>
      </c>
      <c r="L676" s="22" t="n">
        <v>32</v>
      </c>
      <c r="M676" s="22" t="n">
        <f aca="false">ROUNDUP(H676,0)</f>
        <v>45</v>
      </c>
      <c r="N676" s="24" t="n">
        <f aca="false">MAX(L676,M676)</f>
        <v>45</v>
      </c>
      <c r="O676" s="25" t="n">
        <v>7.55</v>
      </c>
      <c r="P676" s="25" t="n">
        <f aca="false">N676*O676</f>
        <v>339.75</v>
      </c>
      <c r="Q676" s="23"/>
      <c r="R676" s="23"/>
      <c r="S676" s="24"/>
      <c r="T676" s="25"/>
      <c r="U676" s="25" t="n">
        <v>0</v>
      </c>
      <c r="V676" s="25" t="n">
        <f aca="false">P676-U676</f>
        <v>339.75</v>
      </c>
      <c r="W676" s="25" t="n">
        <f aca="false">V676*12</f>
        <v>4077</v>
      </c>
      <c r="X676" s="23" t="str">
        <f aca="false">IF(Q676="","MISSING FROM EXPORT",IF(ABS(V676)&lt;0.005,"CLEAR",IF(V676&gt;0,"UNDERBILLING","OVERBILLING")))</f>
        <v>MISSING FROM EXPORT</v>
      </c>
      <c r="Y676" s="25" t="n">
        <f aca="false">IF(F676="COMMERCIAL",ROUND(P676*0.35,2),0)</f>
        <v>0</v>
      </c>
      <c r="Z676" s="23" t="str">
        <f aca="false">IF(F676="COMMERCIAL","VERIFY SIGNED AGREEMENT","NO EXCEPTION")</f>
        <v>NO EXCEPTION</v>
      </c>
      <c r="AA676" s="23" t="str">
        <f aca="false">IF(AND(C676="covered",N676&gt;40),"COVERED &gt;40 FT","")</f>
        <v/>
      </c>
      <c r="AB676" s="23" t="s">
        <v>4705</v>
      </c>
      <c r="AC676" s="23" t="s">
        <v>6514</v>
      </c>
      <c r="AD676" s="23" t="s">
        <v>2807</v>
      </c>
    </row>
    <row r="677" customFormat="false" ht="17.9" hidden="false" customHeight="false" outlineLevel="0" collapsed="false">
      <c r="A677" s="20" t="s">
        <v>6515</v>
      </c>
      <c r="B677" s="20" t="s">
        <v>166</v>
      </c>
      <c r="C677" s="20" t="s">
        <v>2798</v>
      </c>
      <c r="D677" s="20" t="s">
        <v>6516</v>
      </c>
      <c r="E677" s="20" t="s">
        <v>6517</v>
      </c>
      <c r="F677" s="20" t="s">
        <v>2833</v>
      </c>
      <c r="G677" s="20" t="s">
        <v>2819</v>
      </c>
      <c r="H677" s="22" t="n">
        <v>55.5</v>
      </c>
      <c r="I677" s="22" t="n">
        <v>55.5</v>
      </c>
      <c r="J677" s="22" t="n">
        <f aca="false">H677-I677</f>
        <v>0</v>
      </c>
      <c r="K677" s="20" t="str">
        <f aca="false">IF(ABS(J677)&lt;0.001,"MATCH - PAPER CHECK-IN NOT SUPPLIED","DATA MISMATCH")</f>
        <v>MATCH - PAPER CHECK-IN NOT SUPPLIED</v>
      </c>
      <c r="L677" s="22" t="n">
        <v>36</v>
      </c>
      <c r="M677" s="22" t="n">
        <f aca="false">ROUNDUP(H677,0)</f>
        <v>56</v>
      </c>
      <c r="N677" s="24" t="n">
        <f aca="false">MAX(L677,M677)</f>
        <v>56</v>
      </c>
      <c r="O677" s="25" t="n">
        <v>7.55</v>
      </c>
      <c r="P677" s="25" t="n">
        <f aca="false">N677*O677</f>
        <v>422.8</v>
      </c>
      <c r="Q677" s="23"/>
      <c r="R677" s="23"/>
      <c r="S677" s="24"/>
      <c r="T677" s="25"/>
      <c r="U677" s="25" t="n">
        <v>0</v>
      </c>
      <c r="V677" s="25" t="n">
        <f aca="false">P677-U677</f>
        <v>422.8</v>
      </c>
      <c r="W677" s="25" t="n">
        <f aca="false">V677*12</f>
        <v>5073.6</v>
      </c>
      <c r="X677" s="23" t="str">
        <f aca="false">IF(Q677="","MISSING FROM EXPORT",IF(ABS(V677)&lt;0.005,"CLEAR",IF(V677&gt;0,"UNDERBILLING","OVERBILLING")))</f>
        <v>MISSING FROM EXPORT</v>
      </c>
      <c r="Y677" s="25" t="n">
        <f aca="false">IF(F677="COMMERCIAL",ROUND(P677*0.35,2),0)</f>
        <v>0</v>
      </c>
      <c r="Z677" s="23" t="str">
        <f aca="false">IF(F677="COMMERCIAL","VERIFY SIGNED AGREEMENT","NO EXCEPTION")</f>
        <v>NO EXCEPTION</v>
      </c>
      <c r="AA677" s="23" t="str">
        <f aca="false">IF(AND(C677="covered",N677&gt;40),"COVERED &gt;40 FT","")</f>
        <v/>
      </c>
      <c r="AB677" s="23" t="s">
        <v>4705</v>
      </c>
      <c r="AC677" s="23" t="s">
        <v>6518</v>
      </c>
      <c r="AD677" s="23" t="s">
        <v>2807</v>
      </c>
    </row>
    <row r="678" customFormat="false" ht="17.9" hidden="false" customHeight="false" outlineLevel="0" collapsed="false">
      <c r="A678" s="20" t="s">
        <v>1728</v>
      </c>
      <c r="B678" s="20" t="s">
        <v>166</v>
      </c>
      <c r="C678" s="20" t="s">
        <v>2798</v>
      </c>
      <c r="D678" s="20" t="s">
        <v>6519</v>
      </c>
      <c r="E678" s="20" t="s">
        <v>6520</v>
      </c>
      <c r="F678" s="20" t="s">
        <v>2833</v>
      </c>
      <c r="G678" s="20" t="s">
        <v>4226</v>
      </c>
      <c r="H678" s="22" t="n">
        <v>52.4</v>
      </c>
      <c r="I678" s="22" t="n">
        <v>52.4</v>
      </c>
      <c r="J678" s="22" t="n">
        <f aca="false">H678-I678</f>
        <v>0</v>
      </c>
      <c r="K678" s="20" t="str">
        <f aca="false">IF(ABS(J678)&lt;0.001,"MATCH - PAPER CHECK-IN NOT SUPPLIED","DATA MISMATCH")</f>
        <v>MATCH - PAPER CHECK-IN NOT SUPPLIED</v>
      </c>
      <c r="L678" s="22" t="n">
        <v>50</v>
      </c>
      <c r="M678" s="22" t="n">
        <f aca="false">ROUNDUP(H678,0)</f>
        <v>53</v>
      </c>
      <c r="N678" s="24" t="n">
        <f aca="false">MAX(L678,M678)</f>
        <v>53</v>
      </c>
      <c r="O678" s="25" t="n">
        <v>7.55</v>
      </c>
      <c r="P678" s="25" t="n">
        <f aca="false">N678*O678</f>
        <v>400.15</v>
      </c>
      <c r="Q678" s="23"/>
      <c r="R678" s="23"/>
      <c r="S678" s="24"/>
      <c r="T678" s="25"/>
      <c r="U678" s="25" t="n">
        <v>0</v>
      </c>
      <c r="V678" s="25" t="n">
        <f aca="false">P678-U678</f>
        <v>400.15</v>
      </c>
      <c r="W678" s="25" t="n">
        <f aca="false">V678*12</f>
        <v>4801.8</v>
      </c>
      <c r="X678" s="23" t="str">
        <f aca="false">IF(Q678="","MISSING FROM EXPORT",IF(ABS(V678)&lt;0.005,"CLEAR",IF(V678&gt;0,"UNDERBILLING","OVERBILLING")))</f>
        <v>MISSING FROM EXPORT</v>
      </c>
      <c r="Y678" s="25" t="n">
        <f aca="false">IF(F678="COMMERCIAL",ROUND(P678*0.35,2),0)</f>
        <v>0</v>
      </c>
      <c r="Z678" s="23" t="str">
        <f aca="false">IF(F678="COMMERCIAL","VERIFY SIGNED AGREEMENT","NO EXCEPTION")</f>
        <v>NO EXCEPTION</v>
      </c>
      <c r="AA678" s="23" t="str">
        <f aca="false">IF(AND(C678="covered",N678&gt;40),"COVERED &gt;40 FT","")</f>
        <v/>
      </c>
      <c r="AB678" s="23" t="s">
        <v>4705</v>
      </c>
      <c r="AC678" s="23" t="s">
        <v>6521</v>
      </c>
      <c r="AD678" s="23" t="s">
        <v>2807</v>
      </c>
    </row>
    <row r="679" customFormat="false" ht="17.9" hidden="false" customHeight="false" outlineLevel="0" collapsed="false">
      <c r="A679" s="20" t="s">
        <v>1090</v>
      </c>
      <c r="B679" s="20" t="s">
        <v>166</v>
      </c>
      <c r="C679" s="20" t="s">
        <v>2798</v>
      </c>
      <c r="D679" s="20" t="s">
        <v>6522</v>
      </c>
      <c r="E679" s="20" t="s">
        <v>6523</v>
      </c>
      <c r="F679" s="20" t="s">
        <v>2833</v>
      </c>
      <c r="G679" s="20" t="s">
        <v>2834</v>
      </c>
      <c r="H679" s="22" t="n">
        <v>36.9</v>
      </c>
      <c r="I679" s="22" t="n">
        <v>36.9</v>
      </c>
      <c r="J679" s="22" t="n">
        <f aca="false">H679-I679</f>
        <v>0</v>
      </c>
      <c r="K679" s="20" t="str">
        <f aca="false">IF(ABS(J679)&lt;0.001,"MATCH - PAPER CHECK-IN NOT SUPPLIED","DATA MISMATCH")</f>
        <v>MATCH - PAPER CHECK-IN NOT SUPPLIED</v>
      </c>
      <c r="L679" s="22" t="n">
        <v>28</v>
      </c>
      <c r="M679" s="22" t="n">
        <f aca="false">ROUNDUP(H679,0)</f>
        <v>37</v>
      </c>
      <c r="N679" s="24" t="n">
        <f aca="false">MAX(L679,M679)</f>
        <v>37</v>
      </c>
      <c r="O679" s="25" t="n">
        <v>7.55</v>
      </c>
      <c r="P679" s="25" t="n">
        <f aca="false">N679*O679</f>
        <v>279.35</v>
      </c>
      <c r="Q679" s="23"/>
      <c r="R679" s="23"/>
      <c r="S679" s="24"/>
      <c r="T679" s="25"/>
      <c r="U679" s="25" t="n">
        <v>0</v>
      </c>
      <c r="V679" s="25" t="n">
        <f aca="false">P679-U679</f>
        <v>279.35</v>
      </c>
      <c r="W679" s="25" t="n">
        <f aca="false">V679*12</f>
        <v>3352.2</v>
      </c>
      <c r="X679" s="23" t="str">
        <f aca="false">IF(Q679="","MISSING FROM EXPORT",IF(ABS(V679)&lt;0.005,"CLEAR",IF(V679&gt;0,"UNDERBILLING","OVERBILLING")))</f>
        <v>MISSING FROM EXPORT</v>
      </c>
      <c r="Y679" s="25" t="n">
        <f aca="false">IF(F679="COMMERCIAL",ROUND(P679*0.35,2),0)</f>
        <v>0</v>
      </c>
      <c r="Z679" s="23" t="str">
        <f aca="false">IF(F679="COMMERCIAL","VERIFY SIGNED AGREEMENT","NO EXCEPTION")</f>
        <v>NO EXCEPTION</v>
      </c>
      <c r="AA679" s="23" t="str">
        <f aca="false">IF(AND(C679="covered",N679&gt;40),"COVERED &gt;40 FT","")</f>
        <v/>
      </c>
      <c r="AB679" s="23" t="s">
        <v>4705</v>
      </c>
      <c r="AC679" s="23" t="s">
        <v>6524</v>
      </c>
      <c r="AD679" s="23" t="s">
        <v>2807</v>
      </c>
    </row>
    <row r="680" customFormat="false" ht="17.9" hidden="false" customHeight="false" outlineLevel="0" collapsed="false">
      <c r="A680" s="20" t="s">
        <v>890</v>
      </c>
      <c r="B680" s="20" t="s">
        <v>166</v>
      </c>
      <c r="C680" s="20" t="s">
        <v>2798</v>
      </c>
      <c r="D680" s="20" t="s">
        <v>6525</v>
      </c>
      <c r="E680" s="20" t="s">
        <v>6526</v>
      </c>
      <c r="F680" s="20" t="s">
        <v>2833</v>
      </c>
      <c r="G680" s="20" t="s">
        <v>2838</v>
      </c>
      <c r="H680" s="22" t="n">
        <v>47.8</v>
      </c>
      <c r="I680" s="22" t="n">
        <v>47.8</v>
      </c>
      <c r="J680" s="22" t="n">
        <f aca="false">H680-I680</f>
        <v>0</v>
      </c>
      <c r="K680" s="20" t="str">
        <f aca="false">IF(ABS(J680)&lt;0.001,"MATCH - PAPER CHECK-IN NOT SUPPLIED","DATA MISMATCH")</f>
        <v>MATCH - PAPER CHECK-IN NOT SUPPLIED</v>
      </c>
      <c r="L680" s="22" t="n">
        <v>40</v>
      </c>
      <c r="M680" s="22" t="n">
        <f aca="false">ROUNDUP(H680,0)</f>
        <v>48</v>
      </c>
      <c r="N680" s="24" t="n">
        <f aca="false">MAX(L680,M680)</f>
        <v>48</v>
      </c>
      <c r="O680" s="25" t="n">
        <v>7.55</v>
      </c>
      <c r="P680" s="25" t="n">
        <f aca="false">N680*O680</f>
        <v>362.4</v>
      </c>
      <c r="Q680" s="23"/>
      <c r="R680" s="23"/>
      <c r="S680" s="24"/>
      <c r="T680" s="25"/>
      <c r="U680" s="25" t="n">
        <v>0</v>
      </c>
      <c r="V680" s="25" t="n">
        <f aca="false">P680-U680</f>
        <v>362.4</v>
      </c>
      <c r="W680" s="25" t="n">
        <f aca="false">V680*12</f>
        <v>4348.8</v>
      </c>
      <c r="X680" s="23" t="str">
        <f aca="false">IF(Q680="","MISSING FROM EXPORT",IF(ABS(V680)&lt;0.005,"CLEAR",IF(V680&gt;0,"UNDERBILLING","OVERBILLING")))</f>
        <v>MISSING FROM EXPORT</v>
      </c>
      <c r="Y680" s="25" t="n">
        <f aca="false">IF(F680="COMMERCIAL",ROUND(P680*0.35,2),0)</f>
        <v>0</v>
      </c>
      <c r="Z680" s="23" t="str">
        <f aca="false">IF(F680="COMMERCIAL","VERIFY SIGNED AGREEMENT","NO EXCEPTION")</f>
        <v>NO EXCEPTION</v>
      </c>
      <c r="AA680" s="23" t="str">
        <f aca="false">IF(AND(C680="covered",N680&gt;40),"COVERED &gt;40 FT","")</f>
        <v/>
      </c>
      <c r="AB680" s="23" t="s">
        <v>4705</v>
      </c>
      <c r="AC680" s="23" t="s">
        <v>6527</v>
      </c>
      <c r="AD680" s="23" t="s">
        <v>2807</v>
      </c>
    </row>
    <row r="681" customFormat="false" ht="17.9" hidden="false" customHeight="false" outlineLevel="0" collapsed="false">
      <c r="A681" s="20" t="s">
        <v>6528</v>
      </c>
      <c r="B681" s="20" t="s">
        <v>166</v>
      </c>
      <c r="C681" s="20" t="s">
        <v>2798</v>
      </c>
      <c r="D681" s="20" t="s">
        <v>6529</v>
      </c>
      <c r="E681" s="20" t="s">
        <v>6530</v>
      </c>
      <c r="F681" s="20" t="s">
        <v>2833</v>
      </c>
      <c r="G681" s="20" t="s">
        <v>2845</v>
      </c>
      <c r="H681" s="22" t="n">
        <v>34</v>
      </c>
      <c r="I681" s="22" t="n">
        <v>34</v>
      </c>
      <c r="J681" s="22" t="n">
        <f aca="false">H681-I681</f>
        <v>0</v>
      </c>
      <c r="K681" s="20" t="str">
        <f aca="false">IF(ABS(J681)&lt;0.001,"MATCH - PAPER CHECK-IN NOT SUPPLIED","DATA MISMATCH")</f>
        <v>MATCH - PAPER CHECK-IN NOT SUPPLIED</v>
      </c>
      <c r="L681" s="22" t="n">
        <v>28</v>
      </c>
      <c r="M681" s="22" t="n">
        <f aca="false">ROUNDUP(H681,0)</f>
        <v>34</v>
      </c>
      <c r="N681" s="24" t="n">
        <f aca="false">MAX(L681,M681)</f>
        <v>34</v>
      </c>
      <c r="O681" s="25" t="n">
        <v>7.55</v>
      </c>
      <c r="P681" s="25" t="n">
        <f aca="false">N681*O681</f>
        <v>256.7</v>
      </c>
      <c r="Q681" s="23"/>
      <c r="R681" s="23"/>
      <c r="S681" s="24"/>
      <c r="T681" s="25"/>
      <c r="U681" s="25" t="n">
        <v>0</v>
      </c>
      <c r="V681" s="25" t="n">
        <f aca="false">P681-U681</f>
        <v>256.7</v>
      </c>
      <c r="W681" s="25" t="n">
        <f aca="false">V681*12</f>
        <v>3080.4</v>
      </c>
      <c r="X681" s="23" t="str">
        <f aca="false">IF(Q681="","MISSING FROM EXPORT",IF(ABS(V681)&lt;0.005,"CLEAR",IF(V681&gt;0,"UNDERBILLING","OVERBILLING")))</f>
        <v>MISSING FROM EXPORT</v>
      </c>
      <c r="Y681" s="25" t="n">
        <f aca="false">IF(F681="COMMERCIAL",ROUND(P681*0.35,2),0)</f>
        <v>0</v>
      </c>
      <c r="Z681" s="23" t="str">
        <f aca="false">IF(F681="COMMERCIAL","VERIFY SIGNED AGREEMENT","NO EXCEPTION")</f>
        <v>NO EXCEPTION</v>
      </c>
      <c r="AA681" s="23" t="str">
        <f aca="false">IF(AND(C681="covered",N681&gt;40),"COVERED &gt;40 FT","")</f>
        <v/>
      </c>
      <c r="AB681" s="23" t="s">
        <v>4705</v>
      </c>
      <c r="AC681" s="23" t="s">
        <v>6531</v>
      </c>
      <c r="AD681" s="23" t="s">
        <v>2807</v>
      </c>
    </row>
    <row r="682" customFormat="false" ht="17.9" hidden="false" customHeight="false" outlineLevel="0" collapsed="false">
      <c r="A682" s="20" t="s">
        <v>227</v>
      </c>
      <c r="B682" s="20" t="s">
        <v>166</v>
      </c>
      <c r="C682" s="20" t="s">
        <v>2798</v>
      </c>
      <c r="D682" s="20" t="s">
        <v>6532</v>
      </c>
      <c r="E682" s="20" t="s">
        <v>6533</v>
      </c>
      <c r="F682" s="20" t="s">
        <v>2934</v>
      </c>
      <c r="G682" s="20" t="s">
        <v>2851</v>
      </c>
      <c r="H682" s="22" t="n">
        <v>24.7</v>
      </c>
      <c r="I682" s="22" t="n">
        <v>24.7</v>
      </c>
      <c r="J682" s="22" t="n">
        <f aca="false">H682-I682</f>
        <v>0</v>
      </c>
      <c r="K682" s="20" t="str">
        <f aca="false">IF(ABS(J682)&lt;0.001,"MATCH - PAPER CHECK-IN NOT SUPPLIED","DATA MISMATCH")</f>
        <v>MATCH - PAPER CHECK-IN NOT SUPPLIED</v>
      </c>
      <c r="L682" s="22" t="n">
        <v>32</v>
      </c>
      <c r="M682" s="22" t="n">
        <f aca="false">ROUNDUP(H682,0)</f>
        <v>25</v>
      </c>
      <c r="N682" s="24" t="n">
        <f aca="false">MAX(L682,M682)</f>
        <v>32</v>
      </c>
      <c r="O682" s="25" t="n">
        <v>7.55</v>
      </c>
      <c r="P682" s="25" t="n">
        <f aca="false">N682*O682</f>
        <v>241.6</v>
      </c>
      <c r="Q682" s="23"/>
      <c r="R682" s="23"/>
      <c r="S682" s="24"/>
      <c r="T682" s="25"/>
      <c r="U682" s="25" t="n">
        <v>0</v>
      </c>
      <c r="V682" s="25" t="n">
        <f aca="false">P682-U682</f>
        <v>241.6</v>
      </c>
      <c r="W682" s="25" t="n">
        <f aca="false">V682*12</f>
        <v>2899.2</v>
      </c>
      <c r="X682" s="23" t="str">
        <f aca="false">IF(Q682="","MISSING FROM EXPORT",IF(ABS(V682)&lt;0.005,"CLEAR",IF(V682&gt;0,"UNDERBILLING","OVERBILLING")))</f>
        <v>MISSING FROM EXPORT</v>
      </c>
      <c r="Y682" s="25" t="n">
        <f aca="false">IF(F682="COMMERCIAL",ROUND(P682*0.35,2),0)</f>
        <v>84.56</v>
      </c>
      <c r="Z682" s="23" t="str">
        <f aca="false">IF(F682="COMMERCIAL","VERIFY SIGNED AGREEMENT","NO EXCEPTION")</f>
        <v>VERIFY SIGNED AGREEMENT</v>
      </c>
      <c r="AA682" s="23" t="str">
        <f aca="false">IF(AND(C682="covered",N682&gt;40),"COVERED &gt;40 FT","")</f>
        <v/>
      </c>
      <c r="AB682" s="23" t="s">
        <v>4705</v>
      </c>
      <c r="AC682" s="23" t="s">
        <v>6534</v>
      </c>
      <c r="AD682" s="23" t="s">
        <v>2807</v>
      </c>
    </row>
    <row r="683" customFormat="false" ht="17.9" hidden="false" customHeight="false" outlineLevel="0" collapsed="false">
      <c r="A683" s="20" t="s">
        <v>6535</v>
      </c>
      <c r="B683" s="20" t="s">
        <v>166</v>
      </c>
      <c r="C683" s="20" t="s">
        <v>2798</v>
      </c>
      <c r="D683" s="20" t="s">
        <v>1972</v>
      </c>
      <c r="E683" s="20" t="s">
        <v>1973</v>
      </c>
      <c r="F683" s="20" t="s">
        <v>2857</v>
      </c>
      <c r="G683" s="20" t="s">
        <v>2858</v>
      </c>
      <c r="H683" s="22" t="n">
        <v>34.6</v>
      </c>
      <c r="I683" s="22" t="n">
        <v>34.6</v>
      </c>
      <c r="J683" s="22" t="n">
        <f aca="false">H683-I683</f>
        <v>0</v>
      </c>
      <c r="K683" s="20" t="str">
        <f aca="false">IF(ABS(J683)&lt;0.001,"MATCH - PAPER CHECK-IN NOT SUPPLIED","DATA MISMATCH")</f>
        <v>MATCH - PAPER CHECK-IN NOT SUPPLIED</v>
      </c>
      <c r="L683" s="22" t="n">
        <v>28</v>
      </c>
      <c r="M683" s="22" t="n">
        <f aca="false">ROUNDUP(H683,0)</f>
        <v>35</v>
      </c>
      <c r="N683" s="24" t="n">
        <f aca="false">MAX(L683,M683)</f>
        <v>35</v>
      </c>
      <c r="O683" s="25" t="n">
        <v>7.55</v>
      </c>
      <c r="P683" s="25" t="n">
        <f aca="false">N683*O683</f>
        <v>264.25</v>
      </c>
      <c r="Q683" s="23"/>
      <c r="R683" s="23"/>
      <c r="S683" s="24"/>
      <c r="T683" s="25"/>
      <c r="U683" s="25" t="n">
        <v>0</v>
      </c>
      <c r="V683" s="25" t="n">
        <f aca="false">P683-U683</f>
        <v>264.25</v>
      </c>
      <c r="W683" s="25" t="n">
        <f aca="false">V683*12</f>
        <v>3171</v>
      </c>
      <c r="X683" s="23" t="str">
        <f aca="false">IF(Q683="","MISSING FROM EXPORT",IF(ABS(V683)&lt;0.005,"CLEAR",IF(V683&gt;0,"UNDERBILLING","OVERBILLING")))</f>
        <v>MISSING FROM EXPORT</v>
      </c>
      <c r="Y683" s="25" t="n">
        <f aca="false">IF(F683="COMMERCIAL",ROUND(P683*0.35,2),0)</f>
        <v>0</v>
      </c>
      <c r="Z683" s="23" t="str">
        <f aca="false">IF(F683="COMMERCIAL","VERIFY SIGNED AGREEMENT","NO EXCEPTION")</f>
        <v>NO EXCEPTION</v>
      </c>
      <c r="AA683" s="23" t="str">
        <f aca="false">IF(AND(C683="covered",N683&gt;40),"COVERED &gt;40 FT","")</f>
        <v/>
      </c>
      <c r="AB683" s="23" t="s">
        <v>4705</v>
      </c>
      <c r="AC683" s="23" t="s">
        <v>6536</v>
      </c>
      <c r="AD683" s="23" t="s">
        <v>2807</v>
      </c>
    </row>
    <row r="684" customFormat="false" ht="17.9" hidden="false" customHeight="false" outlineLevel="0" collapsed="false">
      <c r="A684" s="20" t="s">
        <v>6537</v>
      </c>
      <c r="B684" s="20" t="s">
        <v>166</v>
      </c>
      <c r="C684" s="20" t="s">
        <v>2798</v>
      </c>
      <c r="D684" s="20" t="s">
        <v>6538</v>
      </c>
      <c r="E684" s="20" t="s">
        <v>6539</v>
      </c>
      <c r="F684" s="20" t="s">
        <v>2833</v>
      </c>
      <c r="G684" s="20" t="s">
        <v>2862</v>
      </c>
      <c r="H684" s="22" t="n">
        <v>30.5</v>
      </c>
      <c r="I684" s="22" t="n">
        <v>30.5</v>
      </c>
      <c r="J684" s="22" t="n">
        <f aca="false">H684-I684</f>
        <v>0</v>
      </c>
      <c r="K684" s="20" t="str">
        <f aca="false">IF(ABS(J684)&lt;0.001,"MATCH - PAPER CHECK-IN NOT SUPPLIED","DATA MISMATCH")</f>
        <v>MATCH - PAPER CHECK-IN NOT SUPPLIED</v>
      </c>
      <c r="L684" s="22" t="n">
        <v>45</v>
      </c>
      <c r="M684" s="22" t="n">
        <f aca="false">ROUNDUP(H684,0)</f>
        <v>31</v>
      </c>
      <c r="N684" s="24" t="n">
        <f aca="false">MAX(L684,M684)</f>
        <v>45</v>
      </c>
      <c r="O684" s="25" t="n">
        <v>7.55</v>
      </c>
      <c r="P684" s="25" t="n">
        <f aca="false">N684*O684</f>
        <v>339.75</v>
      </c>
      <c r="Q684" s="23"/>
      <c r="R684" s="23"/>
      <c r="S684" s="24"/>
      <c r="T684" s="25"/>
      <c r="U684" s="25" t="n">
        <v>0</v>
      </c>
      <c r="V684" s="25" t="n">
        <f aca="false">P684-U684</f>
        <v>339.75</v>
      </c>
      <c r="W684" s="25" t="n">
        <f aca="false">V684*12</f>
        <v>4077</v>
      </c>
      <c r="X684" s="23" t="str">
        <f aca="false">IF(Q684="","MISSING FROM EXPORT",IF(ABS(V684)&lt;0.005,"CLEAR",IF(V684&gt;0,"UNDERBILLING","OVERBILLING")))</f>
        <v>MISSING FROM EXPORT</v>
      </c>
      <c r="Y684" s="25" t="n">
        <f aca="false">IF(F684="COMMERCIAL",ROUND(P684*0.35,2),0)</f>
        <v>0</v>
      </c>
      <c r="Z684" s="23" t="str">
        <f aca="false">IF(F684="COMMERCIAL","VERIFY SIGNED AGREEMENT","NO EXCEPTION")</f>
        <v>NO EXCEPTION</v>
      </c>
      <c r="AA684" s="23" t="str">
        <f aca="false">IF(AND(C684="covered",N684&gt;40),"COVERED &gt;40 FT","")</f>
        <v/>
      </c>
      <c r="AB684" s="23" t="s">
        <v>4705</v>
      </c>
      <c r="AC684" s="23" t="s">
        <v>6540</v>
      </c>
      <c r="AD684" s="23" t="s">
        <v>2807</v>
      </c>
    </row>
    <row r="685" customFormat="false" ht="17.9" hidden="false" customHeight="false" outlineLevel="0" collapsed="false">
      <c r="A685" s="20" t="s">
        <v>6541</v>
      </c>
      <c r="B685" s="20" t="s">
        <v>166</v>
      </c>
      <c r="C685" s="20" t="s">
        <v>2798</v>
      </c>
      <c r="D685" s="20" t="s">
        <v>6542</v>
      </c>
      <c r="E685" s="20" t="s">
        <v>6543</v>
      </c>
      <c r="F685" s="20" t="s">
        <v>2833</v>
      </c>
      <c r="G685" s="20" t="s">
        <v>2870</v>
      </c>
      <c r="H685" s="22" t="n">
        <v>49.9</v>
      </c>
      <c r="I685" s="22" t="n">
        <v>49.9</v>
      </c>
      <c r="J685" s="22" t="n">
        <f aca="false">H685-I685</f>
        <v>0</v>
      </c>
      <c r="K685" s="20" t="str">
        <f aca="false">IF(ABS(J685)&lt;0.001,"MATCH - PAPER CHECK-IN NOT SUPPLIED","DATA MISMATCH")</f>
        <v>MATCH - PAPER CHECK-IN NOT SUPPLIED</v>
      </c>
      <c r="L685" s="22" t="n">
        <v>32</v>
      </c>
      <c r="M685" s="22" t="n">
        <f aca="false">ROUNDUP(H685,0)</f>
        <v>50</v>
      </c>
      <c r="N685" s="24" t="n">
        <f aca="false">MAX(L685,M685)</f>
        <v>50</v>
      </c>
      <c r="O685" s="25" t="n">
        <v>7.55</v>
      </c>
      <c r="P685" s="25" t="n">
        <f aca="false">N685*O685</f>
        <v>377.5</v>
      </c>
      <c r="Q685" s="23"/>
      <c r="R685" s="23"/>
      <c r="S685" s="24"/>
      <c r="T685" s="25"/>
      <c r="U685" s="25" t="n">
        <v>0</v>
      </c>
      <c r="V685" s="25" t="n">
        <f aca="false">P685-U685</f>
        <v>377.5</v>
      </c>
      <c r="W685" s="25" t="n">
        <f aca="false">V685*12</f>
        <v>4530</v>
      </c>
      <c r="X685" s="23" t="str">
        <f aca="false">IF(Q685="","MISSING FROM EXPORT",IF(ABS(V685)&lt;0.005,"CLEAR",IF(V685&gt;0,"UNDERBILLING","OVERBILLING")))</f>
        <v>MISSING FROM EXPORT</v>
      </c>
      <c r="Y685" s="25" t="n">
        <f aca="false">IF(F685="COMMERCIAL",ROUND(P685*0.35,2),0)</f>
        <v>0</v>
      </c>
      <c r="Z685" s="23" t="str">
        <f aca="false">IF(F685="COMMERCIAL","VERIFY SIGNED AGREEMENT","NO EXCEPTION")</f>
        <v>NO EXCEPTION</v>
      </c>
      <c r="AA685" s="23" t="str">
        <f aca="false">IF(AND(C685="covered",N685&gt;40),"COVERED &gt;40 FT","")</f>
        <v/>
      </c>
      <c r="AB685" s="23" t="s">
        <v>4705</v>
      </c>
      <c r="AC685" s="23" t="s">
        <v>6544</v>
      </c>
      <c r="AD685" s="23" t="s">
        <v>2807</v>
      </c>
    </row>
    <row r="686" customFormat="false" ht="17.9" hidden="false" customHeight="false" outlineLevel="0" collapsed="false">
      <c r="A686" s="20" t="s">
        <v>6545</v>
      </c>
      <c r="B686" s="20" t="s">
        <v>166</v>
      </c>
      <c r="C686" s="20" t="s">
        <v>2798</v>
      </c>
      <c r="D686" s="20" t="s">
        <v>6546</v>
      </c>
      <c r="E686" s="20" t="s">
        <v>6547</v>
      </c>
      <c r="F686" s="20" t="s">
        <v>2898</v>
      </c>
      <c r="G686" s="20" t="s">
        <v>2877</v>
      </c>
      <c r="H686" s="22" t="n">
        <v>50.7</v>
      </c>
      <c r="I686" s="22" t="n">
        <v>50.7</v>
      </c>
      <c r="J686" s="22" t="n">
        <f aca="false">H686-I686</f>
        <v>0</v>
      </c>
      <c r="K686" s="20" t="str">
        <f aca="false">IF(ABS(J686)&lt;0.001,"MATCH - PAPER CHECK-IN NOT SUPPLIED","DATA MISMATCH")</f>
        <v>MATCH - PAPER CHECK-IN NOT SUPPLIED</v>
      </c>
      <c r="L686" s="22" t="n">
        <v>36</v>
      </c>
      <c r="M686" s="22" t="n">
        <f aca="false">ROUNDUP(H686,0)</f>
        <v>51</v>
      </c>
      <c r="N686" s="24" t="n">
        <f aca="false">MAX(L686,M686)</f>
        <v>51</v>
      </c>
      <c r="O686" s="25" t="n">
        <v>7.55</v>
      </c>
      <c r="P686" s="25" t="n">
        <f aca="false">N686*O686</f>
        <v>385.05</v>
      </c>
      <c r="Q686" s="23"/>
      <c r="R686" s="23"/>
      <c r="S686" s="24"/>
      <c r="T686" s="25"/>
      <c r="U686" s="25" t="n">
        <v>0</v>
      </c>
      <c r="V686" s="25" t="n">
        <f aca="false">P686-U686</f>
        <v>385.05</v>
      </c>
      <c r="W686" s="25" t="n">
        <f aca="false">V686*12</f>
        <v>4620.6</v>
      </c>
      <c r="X686" s="23" t="str">
        <f aca="false">IF(Q686="","MISSING FROM EXPORT",IF(ABS(V686)&lt;0.005,"CLEAR",IF(V686&gt;0,"UNDERBILLING","OVERBILLING")))</f>
        <v>MISSING FROM EXPORT</v>
      </c>
      <c r="Y686" s="25" t="n">
        <f aca="false">IF(F686="COMMERCIAL",ROUND(P686*0.35,2),0)</f>
        <v>0</v>
      </c>
      <c r="Z686" s="23" t="str">
        <f aca="false">IF(F686="COMMERCIAL","VERIFY SIGNED AGREEMENT","NO EXCEPTION")</f>
        <v>NO EXCEPTION</v>
      </c>
      <c r="AA686" s="23" t="str">
        <f aca="false">IF(AND(C686="covered",N686&gt;40),"COVERED &gt;40 FT","")</f>
        <v/>
      </c>
      <c r="AB686" s="23" t="s">
        <v>4705</v>
      </c>
      <c r="AC686" s="23" t="s">
        <v>6548</v>
      </c>
      <c r="AD686" s="23" t="s">
        <v>2807</v>
      </c>
    </row>
    <row r="687" customFormat="false" ht="17.9" hidden="false" customHeight="false" outlineLevel="0" collapsed="false">
      <c r="A687" s="20" t="s">
        <v>6549</v>
      </c>
      <c r="B687" s="20" t="s">
        <v>166</v>
      </c>
      <c r="C687" s="20" t="s">
        <v>2798</v>
      </c>
      <c r="D687" s="20" t="s">
        <v>6550</v>
      </c>
      <c r="E687" s="20" t="s">
        <v>6551</v>
      </c>
      <c r="F687" s="20" t="s">
        <v>2833</v>
      </c>
      <c r="G687" s="20" t="s">
        <v>2884</v>
      </c>
      <c r="H687" s="22" t="n">
        <v>21</v>
      </c>
      <c r="I687" s="22" t="n">
        <v>21</v>
      </c>
      <c r="J687" s="22" t="n">
        <f aca="false">H687-I687</f>
        <v>0</v>
      </c>
      <c r="K687" s="20" t="str">
        <f aca="false">IF(ABS(J687)&lt;0.001,"MATCH - PAPER CHECK-IN NOT SUPPLIED","DATA MISMATCH")</f>
        <v>MATCH - PAPER CHECK-IN NOT SUPPLIED</v>
      </c>
      <c r="L687" s="22" t="n">
        <v>32</v>
      </c>
      <c r="M687" s="22" t="n">
        <f aca="false">ROUNDUP(H687,0)</f>
        <v>21</v>
      </c>
      <c r="N687" s="24" t="n">
        <f aca="false">MAX(L687,M687)</f>
        <v>32</v>
      </c>
      <c r="O687" s="25" t="n">
        <v>7.55</v>
      </c>
      <c r="P687" s="25" t="n">
        <f aca="false">N687*O687</f>
        <v>241.6</v>
      </c>
      <c r="Q687" s="23"/>
      <c r="R687" s="23"/>
      <c r="S687" s="24"/>
      <c r="T687" s="25"/>
      <c r="U687" s="25" t="n">
        <v>0</v>
      </c>
      <c r="V687" s="25" t="n">
        <f aca="false">P687-U687</f>
        <v>241.6</v>
      </c>
      <c r="W687" s="25" t="n">
        <f aca="false">V687*12</f>
        <v>2899.2</v>
      </c>
      <c r="X687" s="23" t="str">
        <f aca="false">IF(Q687="","MISSING FROM EXPORT",IF(ABS(V687)&lt;0.005,"CLEAR",IF(V687&gt;0,"UNDERBILLING","OVERBILLING")))</f>
        <v>MISSING FROM EXPORT</v>
      </c>
      <c r="Y687" s="25" t="n">
        <f aca="false">IF(F687="COMMERCIAL",ROUND(P687*0.35,2),0)</f>
        <v>0</v>
      </c>
      <c r="Z687" s="23" t="str">
        <f aca="false">IF(F687="COMMERCIAL","VERIFY SIGNED AGREEMENT","NO EXCEPTION")</f>
        <v>NO EXCEPTION</v>
      </c>
      <c r="AA687" s="23" t="str">
        <f aca="false">IF(AND(C687="covered",N687&gt;40),"COVERED &gt;40 FT","")</f>
        <v/>
      </c>
      <c r="AB687" s="23" t="s">
        <v>4705</v>
      </c>
      <c r="AC687" s="23" t="s">
        <v>6552</v>
      </c>
      <c r="AD687" s="23" t="s">
        <v>2807</v>
      </c>
    </row>
    <row r="688" customFormat="false" ht="17.9" hidden="false" customHeight="false" outlineLevel="0" collapsed="false">
      <c r="A688" s="20" t="s">
        <v>1496</v>
      </c>
      <c r="B688" s="20" t="s">
        <v>166</v>
      </c>
      <c r="C688" s="20" t="s">
        <v>2798</v>
      </c>
      <c r="D688" s="20" t="s">
        <v>783</v>
      </c>
      <c r="E688" s="20" t="s">
        <v>784</v>
      </c>
      <c r="F688" s="20" t="s">
        <v>2833</v>
      </c>
      <c r="G688" s="20" t="s">
        <v>2891</v>
      </c>
      <c r="H688" s="22" t="n">
        <v>19.8</v>
      </c>
      <c r="I688" s="22" t="n">
        <v>19.8</v>
      </c>
      <c r="J688" s="22" t="n">
        <f aca="false">H688-I688</f>
        <v>0</v>
      </c>
      <c r="K688" s="20" t="str">
        <f aca="false">IF(ABS(J688)&lt;0.001,"MATCH - PAPER CHECK-IN NOT SUPPLIED","DATA MISMATCH")</f>
        <v>MATCH - PAPER CHECK-IN NOT SUPPLIED</v>
      </c>
      <c r="L688" s="22" t="n">
        <v>24</v>
      </c>
      <c r="M688" s="22" t="n">
        <f aca="false">ROUNDUP(H688,0)</f>
        <v>20</v>
      </c>
      <c r="N688" s="24" t="n">
        <f aca="false">MAX(L688,M688)</f>
        <v>24</v>
      </c>
      <c r="O688" s="25" t="n">
        <v>7.55</v>
      </c>
      <c r="P688" s="25" t="n">
        <f aca="false">N688*O688</f>
        <v>181.2</v>
      </c>
      <c r="Q688" s="23"/>
      <c r="R688" s="23"/>
      <c r="S688" s="24"/>
      <c r="T688" s="25"/>
      <c r="U688" s="25" t="n">
        <v>0</v>
      </c>
      <c r="V688" s="25" t="n">
        <f aca="false">P688-U688</f>
        <v>181.2</v>
      </c>
      <c r="W688" s="25" t="n">
        <f aca="false">V688*12</f>
        <v>2174.4</v>
      </c>
      <c r="X688" s="23" t="str">
        <f aca="false">IF(Q688="","MISSING FROM EXPORT",IF(ABS(V688)&lt;0.005,"CLEAR",IF(V688&gt;0,"UNDERBILLING","OVERBILLING")))</f>
        <v>MISSING FROM EXPORT</v>
      </c>
      <c r="Y688" s="25" t="n">
        <f aca="false">IF(F688="COMMERCIAL",ROUND(P688*0.35,2),0)</f>
        <v>0</v>
      </c>
      <c r="Z688" s="23" t="str">
        <f aca="false">IF(F688="COMMERCIAL","VERIFY SIGNED AGREEMENT","NO EXCEPTION")</f>
        <v>NO EXCEPTION</v>
      </c>
      <c r="AA688" s="23" t="str">
        <f aca="false">IF(AND(C688="covered",N688&gt;40),"COVERED &gt;40 FT","")</f>
        <v/>
      </c>
      <c r="AB688" s="23" t="s">
        <v>4705</v>
      </c>
      <c r="AC688" s="23" t="s">
        <v>6553</v>
      </c>
      <c r="AD688" s="23" t="s">
        <v>2807</v>
      </c>
    </row>
    <row r="689" customFormat="false" ht="17.9" hidden="false" customHeight="false" outlineLevel="0" collapsed="false">
      <c r="A689" s="20" t="s">
        <v>6554</v>
      </c>
      <c r="B689" s="20" t="s">
        <v>166</v>
      </c>
      <c r="C689" s="20" t="s">
        <v>2798</v>
      </c>
      <c r="D689" s="20" t="s">
        <v>1213</v>
      </c>
      <c r="E689" s="20" t="s">
        <v>1214</v>
      </c>
      <c r="F689" s="20" t="s">
        <v>2833</v>
      </c>
      <c r="G689" s="20" t="s">
        <v>2899</v>
      </c>
      <c r="H689" s="22" t="n">
        <v>43.2</v>
      </c>
      <c r="I689" s="22" t="n">
        <v>43.2</v>
      </c>
      <c r="J689" s="22" t="n">
        <f aca="false">H689-I689</f>
        <v>0</v>
      </c>
      <c r="K689" s="20" t="str">
        <f aca="false">IF(ABS(J689)&lt;0.001,"MATCH - PAPER CHECK-IN NOT SUPPLIED","DATA MISMATCH")</f>
        <v>MATCH - PAPER CHECK-IN NOT SUPPLIED</v>
      </c>
      <c r="L689" s="22" t="n">
        <v>70</v>
      </c>
      <c r="M689" s="22" t="n">
        <f aca="false">ROUNDUP(H689,0)</f>
        <v>44</v>
      </c>
      <c r="N689" s="24" t="n">
        <f aca="false">MAX(L689,M689)</f>
        <v>70</v>
      </c>
      <c r="O689" s="25" t="n">
        <v>7.55</v>
      </c>
      <c r="P689" s="25" t="n">
        <f aca="false">N689*O689</f>
        <v>528.5</v>
      </c>
      <c r="Q689" s="23"/>
      <c r="R689" s="23"/>
      <c r="S689" s="24"/>
      <c r="T689" s="25"/>
      <c r="U689" s="25" t="n">
        <v>0</v>
      </c>
      <c r="V689" s="25" t="n">
        <f aca="false">P689-U689</f>
        <v>528.5</v>
      </c>
      <c r="W689" s="25" t="n">
        <f aca="false">V689*12</f>
        <v>6342</v>
      </c>
      <c r="X689" s="23" t="str">
        <f aca="false">IF(Q689="","MISSING FROM EXPORT",IF(ABS(V689)&lt;0.005,"CLEAR",IF(V689&gt;0,"UNDERBILLING","OVERBILLING")))</f>
        <v>MISSING FROM EXPORT</v>
      </c>
      <c r="Y689" s="25" t="n">
        <f aca="false">IF(F689="COMMERCIAL",ROUND(P689*0.35,2),0)</f>
        <v>0</v>
      </c>
      <c r="Z689" s="23" t="str">
        <f aca="false">IF(F689="COMMERCIAL","VERIFY SIGNED AGREEMENT","NO EXCEPTION")</f>
        <v>NO EXCEPTION</v>
      </c>
      <c r="AA689" s="23" t="str">
        <f aca="false">IF(AND(C689="covered",N689&gt;40),"COVERED &gt;40 FT","")</f>
        <v/>
      </c>
      <c r="AB689" s="23" t="s">
        <v>4705</v>
      </c>
      <c r="AC689" s="23" t="s">
        <v>6555</v>
      </c>
      <c r="AD689" s="23" t="s">
        <v>2807</v>
      </c>
    </row>
    <row r="690" customFormat="false" ht="17.9" hidden="false" customHeight="false" outlineLevel="0" collapsed="false">
      <c r="A690" s="20" t="s">
        <v>6556</v>
      </c>
      <c r="B690" s="20" t="s">
        <v>166</v>
      </c>
      <c r="C690" s="20" t="s">
        <v>2798</v>
      </c>
      <c r="D690" s="20" t="s">
        <v>6557</v>
      </c>
      <c r="E690" s="20" t="s">
        <v>6558</v>
      </c>
      <c r="F690" s="20" t="s">
        <v>2818</v>
      </c>
      <c r="G690" s="20" t="s">
        <v>4296</v>
      </c>
      <c r="H690" s="22" t="n">
        <v>31.6</v>
      </c>
      <c r="I690" s="22" t="n">
        <v>31.6</v>
      </c>
      <c r="J690" s="22" t="n">
        <f aca="false">H690-I690</f>
        <v>0</v>
      </c>
      <c r="K690" s="20" t="str">
        <f aca="false">IF(ABS(J690)&lt;0.001,"MATCH - PAPER CHECK-IN NOT SUPPLIED","DATA MISMATCH")</f>
        <v>MATCH - PAPER CHECK-IN NOT SUPPLIED</v>
      </c>
      <c r="L690" s="22" t="n">
        <v>24</v>
      </c>
      <c r="M690" s="22" t="n">
        <f aca="false">ROUNDUP(H690,0)</f>
        <v>32</v>
      </c>
      <c r="N690" s="24" t="n">
        <f aca="false">MAX(L690,M690)</f>
        <v>32</v>
      </c>
      <c r="O690" s="25" t="n">
        <v>7.55</v>
      </c>
      <c r="P690" s="25" t="n">
        <f aca="false">N690*O690</f>
        <v>241.6</v>
      </c>
      <c r="Q690" s="23"/>
      <c r="R690" s="23"/>
      <c r="S690" s="24"/>
      <c r="T690" s="25"/>
      <c r="U690" s="25" t="n">
        <v>0</v>
      </c>
      <c r="V690" s="25" t="n">
        <f aca="false">P690-U690</f>
        <v>241.6</v>
      </c>
      <c r="W690" s="25" t="n">
        <f aca="false">V690*12</f>
        <v>2899.2</v>
      </c>
      <c r="X690" s="23" t="str">
        <f aca="false">IF(Q690="","MISSING FROM EXPORT",IF(ABS(V690)&lt;0.005,"CLEAR",IF(V690&gt;0,"UNDERBILLING","OVERBILLING")))</f>
        <v>MISSING FROM EXPORT</v>
      </c>
      <c r="Y690" s="25" t="n">
        <f aca="false">IF(F690="COMMERCIAL",ROUND(P690*0.35,2),0)</f>
        <v>0</v>
      </c>
      <c r="Z690" s="23" t="str">
        <f aca="false">IF(F690="COMMERCIAL","VERIFY SIGNED AGREEMENT","NO EXCEPTION")</f>
        <v>NO EXCEPTION</v>
      </c>
      <c r="AA690" s="23" t="str">
        <f aca="false">IF(AND(C690="covered",N690&gt;40),"COVERED &gt;40 FT","")</f>
        <v/>
      </c>
      <c r="AB690" s="23" t="s">
        <v>4705</v>
      </c>
      <c r="AC690" s="23" t="s">
        <v>6559</v>
      </c>
      <c r="AD690" s="23" t="s">
        <v>2807</v>
      </c>
    </row>
    <row r="691" customFormat="false" ht="17.9" hidden="false" customHeight="false" outlineLevel="0" collapsed="false">
      <c r="A691" s="20" t="s">
        <v>6560</v>
      </c>
      <c r="B691" s="20" t="s">
        <v>166</v>
      </c>
      <c r="C691" s="20" t="s">
        <v>2798</v>
      </c>
      <c r="D691" s="20" t="s">
        <v>6561</v>
      </c>
      <c r="E691" s="20" t="s">
        <v>6562</v>
      </c>
      <c r="F691" s="20" t="s">
        <v>2857</v>
      </c>
      <c r="G691" s="20" t="s">
        <v>2903</v>
      </c>
      <c r="H691" s="22" t="n">
        <v>52.3</v>
      </c>
      <c r="I691" s="22" t="n">
        <v>52.3</v>
      </c>
      <c r="J691" s="22" t="n">
        <f aca="false">H691-I691</f>
        <v>0</v>
      </c>
      <c r="K691" s="20" t="str">
        <f aca="false">IF(ABS(J691)&lt;0.001,"MATCH - PAPER CHECK-IN NOT SUPPLIED","DATA MISMATCH")</f>
        <v>MATCH - PAPER CHECK-IN NOT SUPPLIED</v>
      </c>
      <c r="L691" s="22" t="n">
        <v>60</v>
      </c>
      <c r="M691" s="22" t="n">
        <f aca="false">ROUNDUP(H691,0)</f>
        <v>53</v>
      </c>
      <c r="N691" s="24" t="n">
        <f aca="false">MAX(L691,M691)</f>
        <v>60</v>
      </c>
      <c r="O691" s="25" t="n">
        <v>7.55</v>
      </c>
      <c r="P691" s="25" t="n">
        <f aca="false">N691*O691</f>
        <v>453</v>
      </c>
      <c r="Q691" s="23"/>
      <c r="R691" s="23"/>
      <c r="S691" s="24"/>
      <c r="T691" s="25"/>
      <c r="U691" s="25" t="n">
        <v>0</v>
      </c>
      <c r="V691" s="25" t="n">
        <f aca="false">P691-U691</f>
        <v>453</v>
      </c>
      <c r="W691" s="25" t="n">
        <f aca="false">V691*12</f>
        <v>5436</v>
      </c>
      <c r="X691" s="23" t="str">
        <f aca="false">IF(Q691="","MISSING FROM EXPORT",IF(ABS(V691)&lt;0.005,"CLEAR",IF(V691&gt;0,"UNDERBILLING","OVERBILLING")))</f>
        <v>MISSING FROM EXPORT</v>
      </c>
      <c r="Y691" s="25" t="n">
        <f aca="false">IF(F691="COMMERCIAL",ROUND(P691*0.35,2),0)</f>
        <v>0</v>
      </c>
      <c r="Z691" s="23" t="str">
        <f aca="false">IF(F691="COMMERCIAL","VERIFY SIGNED AGREEMENT","NO EXCEPTION")</f>
        <v>NO EXCEPTION</v>
      </c>
      <c r="AA691" s="23" t="str">
        <f aca="false">IF(AND(C691="covered",N691&gt;40),"COVERED &gt;40 FT","")</f>
        <v/>
      </c>
      <c r="AB691" s="23" t="s">
        <v>4705</v>
      </c>
      <c r="AC691" s="23" t="s">
        <v>6563</v>
      </c>
      <c r="AD691" s="23" t="s">
        <v>2807</v>
      </c>
    </row>
    <row r="692" customFormat="false" ht="17.9" hidden="false" customHeight="false" outlineLevel="0" collapsed="false">
      <c r="A692" s="20" t="s">
        <v>6564</v>
      </c>
      <c r="B692" s="20" t="s">
        <v>166</v>
      </c>
      <c r="C692" s="20" t="s">
        <v>2798</v>
      </c>
      <c r="D692" s="20" t="s">
        <v>6565</v>
      </c>
      <c r="E692" s="20" t="s">
        <v>6566</v>
      </c>
      <c r="F692" s="20" t="s">
        <v>2801</v>
      </c>
      <c r="G692" s="20" t="s">
        <v>2907</v>
      </c>
      <c r="H692" s="22" t="n">
        <v>27.8</v>
      </c>
      <c r="I692" s="22" t="n">
        <v>27.8</v>
      </c>
      <c r="J692" s="22" t="n">
        <f aca="false">H692-I692</f>
        <v>0</v>
      </c>
      <c r="K692" s="20" t="str">
        <f aca="false">IF(ABS(J692)&lt;0.001,"MATCH - PAPER CHECK-IN NOT SUPPLIED","DATA MISMATCH")</f>
        <v>MATCH - PAPER CHECK-IN NOT SUPPLIED</v>
      </c>
      <c r="L692" s="22" t="n">
        <v>32</v>
      </c>
      <c r="M692" s="22" t="n">
        <f aca="false">ROUNDUP(H692,0)</f>
        <v>28</v>
      </c>
      <c r="N692" s="24" t="n">
        <f aca="false">MAX(L692,M692)</f>
        <v>32</v>
      </c>
      <c r="O692" s="25" t="n">
        <v>7.55</v>
      </c>
      <c r="P692" s="25" t="n">
        <f aca="false">N692*O692</f>
        <v>241.6</v>
      </c>
      <c r="Q692" s="23"/>
      <c r="R692" s="23"/>
      <c r="S692" s="24"/>
      <c r="T692" s="25"/>
      <c r="U692" s="25" t="n">
        <v>0</v>
      </c>
      <c r="V692" s="25" t="n">
        <f aca="false">P692-U692</f>
        <v>241.6</v>
      </c>
      <c r="W692" s="25" t="n">
        <f aca="false">V692*12</f>
        <v>2899.2</v>
      </c>
      <c r="X692" s="23" t="str">
        <f aca="false">IF(Q692="","MISSING FROM EXPORT",IF(ABS(V692)&lt;0.005,"CLEAR",IF(V692&gt;0,"UNDERBILLING","OVERBILLING")))</f>
        <v>MISSING FROM EXPORT</v>
      </c>
      <c r="Y692" s="25" t="n">
        <f aca="false">IF(F692="COMMERCIAL",ROUND(P692*0.35,2),0)</f>
        <v>0</v>
      </c>
      <c r="Z692" s="23" t="str">
        <f aca="false">IF(F692="COMMERCIAL","VERIFY SIGNED AGREEMENT","NO EXCEPTION")</f>
        <v>NO EXCEPTION</v>
      </c>
      <c r="AA692" s="23" t="str">
        <f aca="false">IF(AND(C692="covered",N692&gt;40),"COVERED &gt;40 FT","")</f>
        <v/>
      </c>
      <c r="AB692" s="23" t="s">
        <v>4705</v>
      </c>
      <c r="AC692" s="23" t="s">
        <v>6567</v>
      </c>
      <c r="AD692" s="23" t="s">
        <v>2807</v>
      </c>
    </row>
    <row r="693" customFormat="false" ht="17.9" hidden="false" customHeight="false" outlineLevel="0" collapsed="false">
      <c r="A693" s="20" t="s">
        <v>1039</v>
      </c>
      <c r="B693" s="20" t="s">
        <v>166</v>
      </c>
      <c r="C693" s="20" t="s">
        <v>2798</v>
      </c>
      <c r="D693" s="20" t="s">
        <v>6568</v>
      </c>
      <c r="E693" s="20" t="s">
        <v>6569</v>
      </c>
      <c r="F693" s="20" t="s">
        <v>2818</v>
      </c>
      <c r="G693" s="20" t="s">
        <v>2914</v>
      </c>
      <c r="H693" s="22" t="n">
        <v>57.3</v>
      </c>
      <c r="I693" s="22" t="n">
        <v>57.3</v>
      </c>
      <c r="J693" s="22" t="n">
        <f aca="false">H693-I693</f>
        <v>0</v>
      </c>
      <c r="K693" s="20" t="str">
        <f aca="false">IF(ABS(J693)&lt;0.001,"MATCH - PAPER CHECK-IN NOT SUPPLIED","DATA MISMATCH")</f>
        <v>MATCH - PAPER CHECK-IN NOT SUPPLIED</v>
      </c>
      <c r="L693" s="22" t="n">
        <v>40</v>
      </c>
      <c r="M693" s="22" t="n">
        <f aca="false">ROUNDUP(H693,0)</f>
        <v>58</v>
      </c>
      <c r="N693" s="24" t="n">
        <f aca="false">MAX(L693,M693)</f>
        <v>58</v>
      </c>
      <c r="O693" s="25" t="n">
        <v>7.55</v>
      </c>
      <c r="P693" s="25" t="n">
        <f aca="false">N693*O693</f>
        <v>437.9</v>
      </c>
      <c r="Q693" s="23"/>
      <c r="R693" s="23"/>
      <c r="S693" s="24"/>
      <c r="T693" s="25"/>
      <c r="U693" s="25" t="n">
        <v>0</v>
      </c>
      <c r="V693" s="25" t="n">
        <f aca="false">P693-U693</f>
        <v>437.9</v>
      </c>
      <c r="W693" s="25" t="n">
        <f aca="false">V693*12</f>
        <v>5254.8</v>
      </c>
      <c r="X693" s="23" t="str">
        <f aca="false">IF(Q693="","MISSING FROM EXPORT",IF(ABS(V693)&lt;0.005,"CLEAR",IF(V693&gt;0,"UNDERBILLING","OVERBILLING")))</f>
        <v>MISSING FROM EXPORT</v>
      </c>
      <c r="Y693" s="25" t="n">
        <f aca="false">IF(F693="COMMERCIAL",ROUND(P693*0.35,2),0)</f>
        <v>0</v>
      </c>
      <c r="Z693" s="23" t="str">
        <f aca="false">IF(F693="COMMERCIAL","VERIFY SIGNED AGREEMENT","NO EXCEPTION")</f>
        <v>NO EXCEPTION</v>
      </c>
      <c r="AA693" s="23" t="str">
        <f aca="false">IF(AND(C693="covered",N693&gt;40),"COVERED &gt;40 FT","")</f>
        <v/>
      </c>
      <c r="AB693" s="23" t="s">
        <v>4705</v>
      </c>
      <c r="AC693" s="23" t="s">
        <v>6570</v>
      </c>
      <c r="AD693" s="23" t="s">
        <v>2807</v>
      </c>
    </row>
    <row r="694" customFormat="false" ht="17.9" hidden="false" customHeight="false" outlineLevel="0" collapsed="false">
      <c r="A694" s="20" t="s">
        <v>6571</v>
      </c>
      <c r="B694" s="20" t="s">
        <v>166</v>
      </c>
      <c r="C694" s="20" t="s">
        <v>2798</v>
      </c>
      <c r="D694" s="20" t="s">
        <v>6572</v>
      </c>
      <c r="E694" s="20" t="s">
        <v>6573</v>
      </c>
      <c r="F694" s="20" t="s">
        <v>2833</v>
      </c>
      <c r="G694" s="20" t="s">
        <v>2921</v>
      </c>
      <c r="H694" s="22" t="n">
        <v>53.4</v>
      </c>
      <c r="I694" s="22" t="n">
        <v>53.4</v>
      </c>
      <c r="J694" s="22" t="n">
        <f aca="false">H694-I694</f>
        <v>0</v>
      </c>
      <c r="K694" s="20" t="str">
        <f aca="false">IF(ABS(J694)&lt;0.001,"MATCH - PAPER CHECK-IN NOT SUPPLIED","DATA MISMATCH")</f>
        <v>MATCH - PAPER CHECK-IN NOT SUPPLIED</v>
      </c>
      <c r="L694" s="22" t="n">
        <v>80</v>
      </c>
      <c r="M694" s="22" t="n">
        <f aca="false">ROUNDUP(H694,0)</f>
        <v>54</v>
      </c>
      <c r="N694" s="24" t="n">
        <f aca="false">MAX(L694,M694)</f>
        <v>80</v>
      </c>
      <c r="O694" s="25" t="n">
        <v>7.55</v>
      </c>
      <c r="P694" s="25" t="n">
        <f aca="false">N694*O694</f>
        <v>604</v>
      </c>
      <c r="Q694" s="23"/>
      <c r="R694" s="23"/>
      <c r="S694" s="24"/>
      <c r="T694" s="25"/>
      <c r="U694" s="25" t="n">
        <v>0</v>
      </c>
      <c r="V694" s="25" t="n">
        <f aca="false">P694-U694</f>
        <v>604</v>
      </c>
      <c r="W694" s="25" t="n">
        <f aca="false">V694*12</f>
        <v>7248</v>
      </c>
      <c r="X694" s="23" t="str">
        <f aca="false">IF(Q694="","MISSING FROM EXPORT",IF(ABS(V694)&lt;0.005,"CLEAR",IF(V694&gt;0,"UNDERBILLING","OVERBILLING")))</f>
        <v>MISSING FROM EXPORT</v>
      </c>
      <c r="Y694" s="25" t="n">
        <f aca="false">IF(F694="COMMERCIAL",ROUND(P694*0.35,2),0)</f>
        <v>0</v>
      </c>
      <c r="Z694" s="23" t="str">
        <f aca="false">IF(F694="COMMERCIAL","VERIFY SIGNED AGREEMENT","NO EXCEPTION")</f>
        <v>NO EXCEPTION</v>
      </c>
      <c r="AA694" s="23" t="str">
        <f aca="false">IF(AND(C694="covered",N694&gt;40),"COVERED &gt;40 FT","")</f>
        <v/>
      </c>
      <c r="AB694" s="23" t="s">
        <v>4705</v>
      </c>
      <c r="AC694" s="23" t="s">
        <v>6574</v>
      </c>
      <c r="AD694" s="23" t="s">
        <v>2807</v>
      </c>
    </row>
    <row r="695" customFormat="false" ht="17.9" hidden="false" customHeight="false" outlineLevel="0" collapsed="false">
      <c r="A695" s="20" t="s">
        <v>6575</v>
      </c>
      <c r="B695" s="20" t="s">
        <v>166</v>
      </c>
      <c r="C695" s="20" t="s">
        <v>2798</v>
      </c>
      <c r="D695" s="20" t="s">
        <v>6576</v>
      </c>
      <c r="E695" s="20" t="s">
        <v>6577</v>
      </c>
      <c r="F695" s="20" t="s">
        <v>2801</v>
      </c>
      <c r="G695" s="20" t="s">
        <v>2927</v>
      </c>
      <c r="H695" s="22" t="n">
        <v>23.5</v>
      </c>
      <c r="I695" s="22" t="n">
        <v>23.5</v>
      </c>
      <c r="J695" s="22" t="n">
        <f aca="false">H695-I695</f>
        <v>0</v>
      </c>
      <c r="K695" s="20" t="str">
        <f aca="false">IF(ABS(J695)&lt;0.001,"MATCH - PAPER CHECK-IN NOT SUPPLIED","DATA MISMATCH")</f>
        <v>MATCH - PAPER CHECK-IN NOT SUPPLIED</v>
      </c>
      <c r="L695" s="22" t="n">
        <v>24</v>
      </c>
      <c r="M695" s="22" t="n">
        <f aca="false">ROUNDUP(H695,0)</f>
        <v>24</v>
      </c>
      <c r="N695" s="24" t="n">
        <f aca="false">MAX(L695,M695)</f>
        <v>24</v>
      </c>
      <c r="O695" s="25" t="n">
        <v>7.55</v>
      </c>
      <c r="P695" s="25" t="n">
        <f aca="false">N695*O695</f>
        <v>181.2</v>
      </c>
      <c r="Q695" s="23"/>
      <c r="R695" s="23"/>
      <c r="S695" s="24"/>
      <c r="T695" s="25"/>
      <c r="U695" s="25" t="n">
        <v>0</v>
      </c>
      <c r="V695" s="25" t="n">
        <f aca="false">P695-U695</f>
        <v>181.2</v>
      </c>
      <c r="W695" s="25" t="n">
        <f aca="false">V695*12</f>
        <v>2174.4</v>
      </c>
      <c r="X695" s="23" t="str">
        <f aca="false">IF(Q695="","MISSING FROM EXPORT",IF(ABS(V695)&lt;0.005,"CLEAR",IF(V695&gt;0,"UNDERBILLING","OVERBILLING")))</f>
        <v>MISSING FROM EXPORT</v>
      </c>
      <c r="Y695" s="25" t="n">
        <f aca="false">IF(F695="COMMERCIAL",ROUND(P695*0.35,2),0)</f>
        <v>0</v>
      </c>
      <c r="Z695" s="23" t="str">
        <f aca="false">IF(F695="COMMERCIAL","VERIFY SIGNED AGREEMENT","NO EXCEPTION")</f>
        <v>NO EXCEPTION</v>
      </c>
      <c r="AA695" s="23" t="str">
        <f aca="false">IF(AND(C695="covered",N695&gt;40),"COVERED &gt;40 FT","")</f>
        <v/>
      </c>
      <c r="AB695" s="23" t="s">
        <v>4705</v>
      </c>
      <c r="AC695" s="23" t="s">
        <v>6578</v>
      </c>
      <c r="AD695" s="23" t="s">
        <v>2807</v>
      </c>
    </row>
    <row r="696" customFormat="false" ht="17.9" hidden="false" customHeight="false" outlineLevel="0" collapsed="false">
      <c r="A696" s="20" t="s">
        <v>6579</v>
      </c>
      <c r="B696" s="20" t="s">
        <v>166</v>
      </c>
      <c r="C696" s="20" t="s">
        <v>2798</v>
      </c>
      <c r="D696" s="20" t="s">
        <v>6580</v>
      </c>
      <c r="E696" s="20" t="s">
        <v>6581</v>
      </c>
      <c r="F696" s="20" t="s">
        <v>2833</v>
      </c>
      <c r="G696" s="20" t="s">
        <v>2948</v>
      </c>
      <c r="H696" s="22" t="n">
        <v>39.8</v>
      </c>
      <c r="I696" s="22" t="n">
        <v>39.8</v>
      </c>
      <c r="J696" s="22" t="n">
        <f aca="false">H696-I696</f>
        <v>0</v>
      </c>
      <c r="K696" s="20" t="str">
        <f aca="false">IF(ABS(J696)&lt;0.001,"MATCH - PAPER CHECK-IN NOT SUPPLIED","DATA MISMATCH")</f>
        <v>MATCH - PAPER CHECK-IN NOT SUPPLIED</v>
      </c>
      <c r="L696" s="22" t="n">
        <v>32</v>
      </c>
      <c r="M696" s="22" t="n">
        <f aca="false">ROUNDUP(H696,0)</f>
        <v>40</v>
      </c>
      <c r="N696" s="24" t="n">
        <f aca="false">MAX(L696,M696)</f>
        <v>40</v>
      </c>
      <c r="O696" s="25" t="n">
        <v>7.55</v>
      </c>
      <c r="P696" s="25" t="n">
        <f aca="false">N696*O696</f>
        <v>302</v>
      </c>
      <c r="Q696" s="23"/>
      <c r="R696" s="23"/>
      <c r="S696" s="24"/>
      <c r="T696" s="25"/>
      <c r="U696" s="25" t="n">
        <v>0</v>
      </c>
      <c r="V696" s="25" t="n">
        <f aca="false">P696-U696</f>
        <v>302</v>
      </c>
      <c r="W696" s="25" t="n">
        <f aca="false">V696*12</f>
        <v>3624</v>
      </c>
      <c r="X696" s="23" t="str">
        <f aca="false">IF(Q696="","MISSING FROM EXPORT",IF(ABS(V696)&lt;0.005,"CLEAR",IF(V696&gt;0,"UNDERBILLING","OVERBILLING")))</f>
        <v>MISSING FROM EXPORT</v>
      </c>
      <c r="Y696" s="25" t="n">
        <f aca="false">IF(F696="COMMERCIAL",ROUND(P696*0.35,2),0)</f>
        <v>0</v>
      </c>
      <c r="Z696" s="23" t="str">
        <f aca="false">IF(F696="COMMERCIAL","VERIFY SIGNED AGREEMENT","NO EXCEPTION")</f>
        <v>NO EXCEPTION</v>
      </c>
      <c r="AA696" s="23" t="str">
        <f aca="false">IF(AND(C696="covered",N696&gt;40),"COVERED &gt;40 FT","")</f>
        <v/>
      </c>
      <c r="AB696" s="23" t="s">
        <v>4705</v>
      </c>
      <c r="AC696" s="23" t="s">
        <v>6582</v>
      </c>
      <c r="AD696" s="23" t="s">
        <v>2807</v>
      </c>
    </row>
    <row r="697" customFormat="false" ht="17.9" hidden="false" customHeight="false" outlineLevel="0" collapsed="false">
      <c r="A697" s="20" t="s">
        <v>6583</v>
      </c>
      <c r="B697" s="20" t="s">
        <v>166</v>
      </c>
      <c r="C697" s="20" t="s">
        <v>2798</v>
      </c>
      <c r="D697" s="20" t="s">
        <v>6584</v>
      </c>
      <c r="E697" s="20" t="s">
        <v>6585</v>
      </c>
      <c r="F697" s="20" t="s">
        <v>2801</v>
      </c>
      <c r="G697" s="20" t="s">
        <v>2955</v>
      </c>
      <c r="H697" s="22" t="n">
        <v>57.9</v>
      </c>
      <c r="I697" s="22" t="n">
        <v>57.9</v>
      </c>
      <c r="J697" s="22" t="n">
        <f aca="false">H697-I697</f>
        <v>0</v>
      </c>
      <c r="K697" s="20" t="str">
        <f aca="false">IF(ABS(J697)&lt;0.001,"MATCH - PAPER CHECK-IN NOT SUPPLIED","DATA MISMATCH")</f>
        <v>MATCH - PAPER CHECK-IN NOT SUPPLIED</v>
      </c>
      <c r="L697" s="22" t="n">
        <v>80</v>
      </c>
      <c r="M697" s="22" t="n">
        <f aca="false">ROUNDUP(H697,0)</f>
        <v>58</v>
      </c>
      <c r="N697" s="24" t="n">
        <f aca="false">MAX(L697,M697)</f>
        <v>80</v>
      </c>
      <c r="O697" s="25" t="n">
        <v>7.55</v>
      </c>
      <c r="P697" s="25" t="n">
        <f aca="false">N697*O697</f>
        <v>604</v>
      </c>
      <c r="Q697" s="23"/>
      <c r="R697" s="23"/>
      <c r="S697" s="24"/>
      <c r="T697" s="25"/>
      <c r="U697" s="25" t="n">
        <v>0</v>
      </c>
      <c r="V697" s="25" t="n">
        <f aca="false">P697-U697</f>
        <v>604</v>
      </c>
      <c r="W697" s="25" t="n">
        <f aca="false">V697*12</f>
        <v>7248</v>
      </c>
      <c r="X697" s="23" t="str">
        <f aca="false">IF(Q697="","MISSING FROM EXPORT",IF(ABS(V697)&lt;0.005,"CLEAR",IF(V697&gt;0,"UNDERBILLING","OVERBILLING")))</f>
        <v>MISSING FROM EXPORT</v>
      </c>
      <c r="Y697" s="25" t="n">
        <f aca="false">IF(F697="COMMERCIAL",ROUND(P697*0.35,2),0)</f>
        <v>0</v>
      </c>
      <c r="Z697" s="23" t="str">
        <f aca="false">IF(F697="COMMERCIAL","VERIFY SIGNED AGREEMENT","NO EXCEPTION")</f>
        <v>NO EXCEPTION</v>
      </c>
      <c r="AA697" s="23" t="str">
        <f aca="false">IF(AND(C697="covered",N697&gt;40),"COVERED &gt;40 FT","")</f>
        <v/>
      </c>
      <c r="AB697" s="23" t="s">
        <v>4705</v>
      </c>
      <c r="AC697" s="23" t="s">
        <v>6586</v>
      </c>
      <c r="AD697" s="23" t="s">
        <v>2807</v>
      </c>
    </row>
    <row r="698" customFormat="false" ht="17.9" hidden="false" customHeight="false" outlineLevel="0" collapsed="false">
      <c r="A698" s="20" t="s">
        <v>6587</v>
      </c>
      <c r="B698" s="20" t="s">
        <v>166</v>
      </c>
      <c r="C698" s="20" t="s">
        <v>2798</v>
      </c>
      <c r="D698" s="20" t="s">
        <v>602</v>
      </c>
      <c r="E698" s="20" t="s">
        <v>6588</v>
      </c>
      <c r="F698" s="20" t="s">
        <v>2898</v>
      </c>
      <c r="G698" s="20" t="s">
        <v>2967</v>
      </c>
      <c r="H698" s="22" t="n">
        <v>24.6</v>
      </c>
      <c r="I698" s="22" t="n">
        <v>24.6</v>
      </c>
      <c r="J698" s="22" t="n">
        <f aca="false">H698-I698</f>
        <v>0</v>
      </c>
      <c r="K698" s="20" t="str">
        <f aca="false">IF(ABS(J698)&lt;0.001,"MATCH - PAPER CHECK-IN NOT SUPPLIED","DATA MISMATCH")</f>
        <v>MATCH - PAPER CHECK-IN NOT SUPPLIED</v>
      </c>
      <c r="L698" s="22" t="n">
        <v>32</v>
      </c>
      <c r="M698" s="22" t="n">
        <f aca="false">ROUNDUP(H698,0)</f>
        <v>25</v>
      </c>
      <c r="N698" s="24" t="n">
        <f aca="false">MAX(L698,M698)</f>
        <v>32</v>
      </c>
      <c r="O698" s="25" t="n">
        <v>7.55</v>
      </c>
      <c r="P698" s="25" t="n">
        <f aca="false">N698*O698</f>
        <v>241.6</v>
      </c>
      <c r="Q698" s="23"/>
      <c r="R698" s="23"/>
      <c r="S698" s="24"/>
      <c r="T698" s="25"/>
      <c r="U698" s="25" t="n">
        <v>0</v>
      </c>
      <c r="V698" s="25" t="n">
        <f aca="false">P698-U698</f>
        <v>241.6</v>
      </c>
      <c r="W698" s="25" t="n">
        <f aca="false">V698*12</f>
        <v>2899.2</v>
      </c>
      <c r="X698" s="23" t="str">
        <f aca="false">IF(Q698="","MISSING FROM EXPORT",IF(ABS(V698)&lt;0.005,"CLEAR",IF(V698&gt;0,"UNDERBILLING","OVERBILLING")))</f>
        <v>MISSING FROM EXPORT</v>
      </c>
      <c r="Y698" s="25" t="n">
        <f aca="false">IF(F698="COMMERCIAL",ROUND(P698*0.35,2),0)</f>
        <v>0</v>
      </c>
      <c r="Z698" s="23" t="str">
        <f aca="false">IF(F698="COMMERCIAL","VERIFY SIGNED AGREEMENT","NO EXCEPTION")</f>
        <v>NO EXCEPTION</v>
      </c>
      <c r="AA698" s="23" t="str">
        <f aca="false">IF(AND(C698="covered",N698&gt;40),"COVERED &gt;40 FT","")</f>
        <v/>
      </c>
      <c r="AB698" s="23" t="s">
        <v>4705</v>
      </c>
      <c r="AC698" s="23" t="s">
        <v>6589</v>
      </c>
      <c r="AD698" s="23" t="s">
        <v>2807</v>
      </c>
    </row>
    <row r="699" customFormat="false" ht="17.9" hidden="false" customHeight="false" outlineLevel="0" collapsed="false">
      <c r="A699" s="20" t="s">
        <v>375</v>
      </c>
      <c r="B699" s="20" t="s">
        <v>166</v>
      </c>
      <c r="C699" s="20" t="s">
        <v>2798</v>
      </c>
      <c r="D699" s="20" t="s">
        <v>6590</v>
      </c>
      <c r="E699" s="20" t="s">
        <v>6591</v>
      </c>
      <c r="F699" s="20" t="s">
        <v>2801</v>
      </c>
      <c r="G699" s="20" t="s">
        <v>4354</v>
      </c>
      <c r="H699" s="22" t="n">
        <v>48.4</v>
      </c>
      <c r="I699" s="22" t="n">
        <v>48.4</v>
      </c>
      <c r="J699" s="22" t="n">
        <f aca="false">H699-I699</f>
        <v>0</v>
      </c>
      <c r="K699" s="20" t="str">
        <f aca="false">IF(ABS(J699)&lt;0.001,"MATCH - PAPER CHECK-IN NOT SUPPLIED","DATA MISMATCH")</f>
        <v>MATCH - PAPER CHECK-IN NOT SUPPLIED</v>
      </c>
      <c r="L699" s="22" t="n">
        <v>45</v>
      </c>
      <c r="M699" s="22" t="n">
        <f aca="false">ROUNDUP(H699,0)</f>
        <v>49</v>
      </c>
      <c r="N699" s="24" t="n">
        <f aca="false">MAX(L699,M699)</f>
        <v>49</v>
      </c>
      <c r="O699" s="25" t="n">
        <v>7.55</v>
      </c>
      <c r="P699" s="25" t="n">
        <f aca="false">N699*O699</f>
        <v>369.95</v>
      </c>
      <c r="Q699" s="23"/>
      <c r="R699" s="23"/>
      <c r="S699" s="24"/>
      <c r="T699" s="25"/>
      <c r="U699" s="25" t="n">
        <v>0</v>
      </c>
      <c r="V699" s="25" t="n">
        <f aca="false">P699-U699</f>
        <v>369.95</v>
      </c>
      <c r="W699" s="25" t="n">
        <f aca="false">V699*12</f>
        <v>4439.4</v>
      </c>
      <c r="X699" s="23" t="str">
        <f aca="false">IF(Q699="","MISSING FROM EXPORT",IF(ABS(V699)&lt;0.005,"CLEAR",IF(V699&gt;0,"UNDERBILLING","OVERBILLING")))</f>
        <v>MISSING FROM EXPORT</v>
      </c>
      <c r="Y699" s="25" t="n">
        <f aca="false">IF(F699="COMMERCIAL",ROUND(P699*0.35,2),0)</f>
        <v>0</v>
      </c>
      <c r="Z699" s="23" t="str">
        <f aca="false">IF(F699="COMMERCIAL","VERIFY SIGNED AGREEMENT","NO EXCEPTION")</f>
        <v>NO EXCEPTION</v>
      </c>
      <c r="AA699" s="23" t="str">
        <f aca="false">IF(AND(C699="covered",N699&gt;40),"COVERED &gt;40 FT","")</f>
        <v/>
      </c>
      <c r="AB699" s="23" t="s">
        <v>4705</v>
      </c>
      <c r="AC699" s="23" t="s">
        <v>6592</v>
      </c>
      <c r="AD699" s="23" t="s">
        <v>2807</v>
      </c>
    </row>
    <row r="700" customFormat="false" ht="17.9" hidden="false" customHeight="false" outlineLevel="0" collapsed="false">
      <c r="A700" s="20" t="s">
        <v>6593</v>
      </c>
      <c r="B700" s="20" t="s">
        <v>166</v>
      </c>
      <c r="C700" s="20" t="s">
        <v>2798</v>
      </c>
      <c r="D700" s="20" t="s">
        <v>6594</v>
      </c>
      <c r="E700" s="20" t="s">
        <v>6595</v>
      </c>
      <c r="F700" s="20" t="s">
        <v>2857</v>
      </c>
      <c r="G700" s="20" t="s">
        <v>2974</v>
      </c>
      <c r="H700" s="22" t="n">
        <v>27.3</v>
      </c>
      <c r="I700" s="22" t="n">
        <v>27.3</v>
      </c>
      <c r="J700" s="22" t="n">
        <f aca="false">H700-I700</f>
        <v>0</v>
      </c>
      <c r="K700" s="20" t="str">
        <f aca="false">IF(ABS(J700)&lt;0.001,"MATCH - PAPER CHECK-IN NOT SUPPLIED","DATA MISMATCH")</f>
        <v>MATCH - PAPER CHECK-IN NOT SUPPLIED</v>
      </c>
      <c r="L700" s="22" t="n">
        <v>32</v>
      </c>
      <c r="M700" s="22" t="n">
        <f aca="false">ROUNDUP(H700,0)</f>
        <v>28</v>
      </c>
      <c r="N700" s="24" t="n">
        <f aca="false">MAX(L700,M700)</f>
        <v>32</v>
      </c>
      <c r="O700" s="25" t="n">
        <v>7.55</v>
      </c>
      <c r="P700" s="25" t="n">
        <f aca="false">N700*O700</f>
        <v>241.6</v>
      </c>
      <c r="Q700" s="23"/>
      <c r="R700" s="23"/>
      <c r="S700" s="24"/>
      <c r="T700" s="25"/>
      <c r="U700" s="25" t="n">
        <v>0</v>
      </c>
      <c r="V700" s="25" t="n">
        <f aca="false">P700-U700</f>
        <v>241.6</v>
      </c>
      <c r="W700" s="25" t="n">
        <f aca="false">V700*12</f>
        <v>2899.2</v>
      </c>
      <c r="X700" s="23" t="str">
        <f aca="false">IF(Q700="","MISSING FROM EXPORT",IF(ABS(V700)&lt;0.005,"CLEAR",IF(V700&gt;0,"UNDERBILLING","OVERBILLING")))</f>
        <v>MISSING FROM EXPORT</v>
      </c>
      <c r="Y700" s="25" t="n">
        <f aca="false">IF(F700="COMMERCIAL",ROUND(P700*0.35,2),0)</f>
        <v>0</v>
      </c>
      <c r="Z700" s="23" t="str">
        <f aca="false">IF(F700="COMMERCIAL","VERIFY SIGNED AGREEMENT","NO EXCEPTION")</f>
        <v>NO EXCEPTION</v>
      </c>
      <c r="AA700" s="23" t="str">
        <f aca="false">IF(AND(C700="covered",N700&gt;40),"COVERED &gt;40 FT","")</f>
        <v/>
      </c>
      <c r="AB700" s="23" t="s">
        <v>4705</v>
      </c>
      <c r="AC700" s="23" t="s">
        <v>6596</v>
      </c>
      <c r="AD700" s="23" t="s">
        <v>2807</v>
      </c>
    </row>
    <row r="701" customFormat="false" ht="17.9" hidden="false" customHeight="false" outlineLevel="0" collapsed="false">
      <c r="A701" s="20" t="s">
        <v>6597</v>
      </c>
      <c r="B701" s="20" t="s">
        <v>166</v>
      </c>
      <c r="C701" s="20" t="s">
        <v>2798</v>
      </c>
      <c r="D701" s="20" t="s">
        <v>540</v>
      </c>
      <c r="E701" s="20" t="s">
        <v>541</v>
      </c>
      <c r="F701" s="20" t="s">
        <v>2833</v>
      </c>
      <c r="G701" s="20" t="s">
        <v>2981</v>
      </c>
      <c r="H701" s="22" t="n">
        <v>46</v>
      </c>
      <c r="I701" s="22" t="n">
        <v>46</v>
      </c>
      <c r="J701" s="22" t="n">
        <f aca="false">H701-I701</f>
        <v>0</v>
      </c>
      <c r="K701" s="20" t="str">
        <f aca="false">IF(ABS(J701)&lt;0.001,"MATCH - PAPER CHECK-IN NOT SUPPLIED","DATA MISMATCH")</f>
        <v>MATCH - PAPER CHECK-IN NOT SUPPLIED</v>
      </c>
      <c r="L701" s="22" t="n">
        <v>24</v>
      </c>
      <c r="M701" s="22" t="n">
        <f aca="false">ROUNDUP(H701,0)</f>
        <v>46</v>
      </c>
      <c r="N701" s="24" t="n">
        <f aca="false">MAX(L701,M701)</f>
        <v>46</v>
      </c>
      <c r="O701" s="25" t="n">
        <v>7.55</v>
      </c>
      <c r="P701" s="25" t="n">
        <f aca="false">N701*O701</f>
        <v>347.3</v>
      </c>
      <c r="Q701" s="23"/>
      <c r="R701" s="23"/>
      <c r="S701" s="24"/>
      <c r="T701" s="25"/>
      <c r="U701" s="25" t="n">
        <v>0</v>
      </c>
      <c r="V701" s="25" t="n">
        <f aca="false">P701-U701</f>
        <v>347.3</v>
      </c>
      <c r="W701" s="25" t="n">
        <f aca="false">V701*12</f>
        <v>4167.6</v>
      </c>
      <c r="X701" s="23" t="str">
        <f aca="false">IF(Q701="","MISSING FROM EXPORT",IF(ABS(V701)&lt;0.005,"CLEAR",IF(V701&gt;0,"UNDERBILLING","OVERBILLING")))</f>
        <v>MISSING FROM EXPORT</v>
      </c>
      <c r="Y701" s="25" t="n">
        <f aca="false">IF(F701="COMMERCIAL",ROUND(P701*0.35,2),0)</f>
        <v>0</v>
      </c>
      <c r="Z701" s="23" t="str">
        <f aca="false">IF(F701="COMMERCIAL","VERIFY SIGNED AGREEMENT","NO EXCEPTION")</f>
        <v>NO EXCEPTION</v>
      </c>
      <c r="AA701" s="23" t="str">
        <f aca="false">IF(AND(C701="covered",N701&gt;40),"COVERED &gt;40 FT","")</f>
        <v/>
      </c>
      <c r="AB701" s="23" t="s">
        <v>4705</v>
      </c>
      <c r="AC701" s="23" t="s">
        <v>6598</v>
      </c>
      <c r="AD701" s="23" t="s">
        <v>2807</v>
      </c>
    </row>
    <row r="702" customFormat="false" ht="17.9" hidden="false" customHeight="false" outlineLevel="0" collapsed="false">
      <c r="A702" s="20" t="s">
        <v>6599</v>
      </c>
      <c r="B702" s="20" t="s">
        <v>166</v>
      </c>
      <c r="C702" s="20" t="s">
        <v>2798</v>
      </c>
      <c r="D702" s="20" t="s">
        <v>6600</v>
      </c>
      <c r="E702" s="20" t="s">
        <v>6601</v>
      </c>
      <c r="F702" s="20" t="s">
        <v>2857</v>
      </c>
      <c r="G702" s="20" t="s">
        <v>2988</v>
      </c>
      <c r="H702" s="22" t="n">
        <v>27.6</v>
      </c>
      <c r="I702" s="22" t="n">
        <v>27.6</v>
      </c>
      <c r="J702" s="22" t="n">
        <f aca="false">H702-I702</f>
        <v>0</v>
      </c>
      <c r="K702" s="20" t="str">
        <f aca="false">IF(ABS(J702)&lt;0.001,"MATCH - PAPER CHECK-IN NOT SUPPLIED","DATA MISMATCH")</f>
        <v>MATCH - PAPER CHECK-IN NOT SUPPLIED</v>
      </c>
      <c r="L702" s="22" t="n">
        <v>24</v>
      </c>
      <c r="M702" s="22" t="n">
        <f aca="false">ROUNDUP(H702,0)</f>
        <v>28</v>
      </c>
      <c r="N702" s="24" t="n">
        <f aca="false">MAX(L702,M702)</f>
        <v>28</v>
      </c>
      <c r="O702" s="25" t="n">
        <v>7.55</v>
      </c>
      <c r="P702" s="25" t="n">
        <f aca="false">N702*O702</f>
        <v>211.4</v>
      </c>
      <c r="Q702" s="23"/>
      <c r="R702" s="23"/>
      <c r="S702" s="24"/>
      <c r="T702" s="25"/>
      <c r="U702" s="25" t="n">
        <v>0</v>
      </c>
      <c r="V702" s="25" t="n">
        <f aca="false">P702-U702</f>
        <v>211.4</v>
      </c>
      <c r="W702" s="25" t="n">
        <f aca="false">V702*12</f>
        <v>2536.8</v>
      </c>
      <c r="X702" s="23" t="str">
        <f aca="false">IF(Q702="","MISSING FROM EXPORT",IF(ABS(V702)&lt;0.005,"CLEAR",IF(V702&gt;0,"UNDERBILLING","OVERBILLING")))</f>
        <v>MISSING FROM EXPORT</v>
      </c>
      <c r="Y702" s="25" t="n">
        <f aca="false">IF(F702="COMMERCIAL",ROUND(P702*0.35,2),0)</f>
        <v>0</v>
      </c>
      <c r="Z702" s="23" t="str">
        <f aca="false">IF(F702="COMMERCIAL","VERIFY SIGNED AGREEMENT","NO EXCEPTION")</f>
        <v>NO EXCEPTION</v>
      </c>
      <c r="AA702" s="23" t="str">
        <f aca="false">IF(AND(C702="covered",N702&gt;40),"COVERED &gt;40 FT","")</f>
        <v/>
      </c>
      <c r="AB702" s="23" t="s">
        <v>4705</v>
      </c>
      <c r="AC702" s="23" t="s">
        <v>6602</v>
      </c>
      <c r="AD702" s="23" t="s">
        <v>2807</v>
      </c>
    </row>
    <row r="703" customFormat="false" ht="17.9" hidden="false" customHeight="false" outlineLevel="0" collapsed="false">
      <c r="A703" s="20" t="s">
        <v>531</v>
      </c>
      <c r="B703" s="20" t="s">
        <v>166</v>
      </c>
      <c r="C703" s="20" t="s">
        <v>2798</v>
      </c>
      <c r="D703" s="20" t="s">
        <v>2665</v>
      </c>
      <c r="E703" s="20" t="s">
        <v>6603</v>
      </c>
      <c r="F703" s="20" t="s">
        <v>2898</v>
      </c>
      <c r="G703" s="20" t="s">
        <v>2994</v>
      </c>
      <c r="H703" s="22" t="n">
        <v>46.5</v>
      </c>
      <c r="I703" s="22" t="n">
        <v>46.5</v>
      </c>
      <c r="J703" s="22" t="n">
        <f aca="false">H703-I703</f>
        <v>0</v>
      </c>
      <c r="K703" s="20" t="str">
        <f aca="false">IF(ABS(J703)&lt;0.001,"MATCH - PAPER CHECK-IN NOT SUPPLIED","DATA MISMATCH")</f>
        <v>MATCH - PAPER CHECK-IN NOT SUPPLIED</v>
      </c>
      <c r="L703" s="22" t="n">
        <v>24</v>
      </c>
      <c r="M703" s="22" t="n">
        <f aca="false">ROUNDUP(H703,0)</f>
        <v>47</v>
      </c>
      <c r="N703" s="24" t="n">
        <f aca="false">MAX(L703,M703)</f>
        <v>47</v>
      </c>
      <c r="O703" s="25" t="n">
        <v>7.55</v>
      </c>
      <c r="P703" s="25" t="n">
        <f aca="false">N703*O703</f>
        <v>354.85</v>
      </c>
      <c r="Q703" s="23"/>
      <c r="R703" s="23"/>
      <c r="S703" s="24"/>
      <c r="T703" s="25"/>
      <c r="U703" s="25" t="n">
        <v>0</v>
      </c>
      <c r="V703" s="25" t="n">
        <f aca="false">P703-U703</f>
        <v>354.85</v>
      </c>
      <c r="W703" s="25" t="n">
        <f aca="false">V703*12</f>
        <v>4258.2</v>
      </c>
      <c r="X703" s="23" t="str">
        <f aca="false">IF(Q703="","MISSING FROM EXPORT",IF(ABS(V703)&lt;0.005,"CLEAR",IF(V703&gt;0,"UNDERBILLING","OVERBILLING")))</f>
        <v>MISSING FROM EXPORT</v>
      </c>
      <c r="Y703" s="25" t="n">
        <f aca="false">IF(F703="COMMERCIAL",ROUND(P703*0.35,2),0)</f>
        <v>0</v>
      </c>
      <c r="Z703" s="23" t="str">
        <f aca="false">IF(F703="COMMERCIAL","VERIFY SIGNED AGREEMENT","NO EXCEPTION")</f>
        <v>NO EXCEPTION</v>
      </c>
      <c r="AA703" s="23" t="str">
        <f aca="false">IF(AND(C703="covered",N703&gt;40),"COVERED &gt;40 FT","")</f>
        <v/>
      </c>
      <c r="AB703" s="23" t="s">
        <v>4705</v>
      </c>
      <c r="AC703" s="23" t="s">
        <v>6604</v>
      </c>
      <c r="AD703" s="23" t="s">
        <v>2807</v>
      </c>
    </row>
    <row r="704" customFormat="false" ht="17.9" hidden="false" customHeight="false" outlineLevel="0" collapsed="false">
      <c r="A704" s="20" t="s">
        <v>165</v>
      </c>
      <c r="B704" s="20" t="s">
        <v>166</v>
      </c>
      <c r="C704" s="20" t="s">
        <v>2798</v>
      </c>
      <c r="D704" s="20" t="s">
        <v>6605</v>
      </c>
      <c r="E704" s="20" t="s">
        <v>6606</v>
      </c>
      <c r="F704" s="20" t="s">
        <v>2810</v>
      </c>
      <c r="G704" s="20" t="s">
        <v>3001</v>
      </c>
      <c r="H704" s="22" t="n">
        <v>39.1</v>
      </c>
      <c r="I704" s="22" t="n">
        <v>39.1</v>
      </c>
      <c r="J704" s="22" t="n">
        <f aca="false">H704-I704</f>
        <v>0</v>
      </c>
      <c r="K704" s="20" t="str">
        <f aca="false">IF(ABS(J704)&lt;0.001,"MATCH - PAPER CHECK-IN NOT SUPPLIED","DATA MISMATCH")</f>
        <v>MATCH - PAPER CHECK-IN NOT SUPPLIED</v>
      </c>
      <c r="L704" s="22" t="n">
        <v>24</v>
      </c>
      <c r="M704" s="22" t="n">
        <f aca="false">ROUNDUP(H704,0)</f>
        <v>40</v>
      </c>
      <c r="N704" s="24" t="n">
        <f aca="false">MAX(L704,M704)</f>
        <v>40</v>
      </c>
      <c r="O704" s="25" t="n">
        <v>7.55</v>
      </c>
      <c r="P704" s="25" t="n">
        <f aca="false">N704*O704</f>
        <v>302</v>
      </c>
      <c r="Q704" s="23"/>
      <c r="R704" s="23"/>
      <c r="S704" s="24"/>
      <c r="T704" s="25"/>
      <c r="U704" s="25" t="n">
        <v>0</v>
      </c>
      <c r="V704" s="25" t="n">
        <f aca="false">P704-U704</f>
        <v>302</v>
      </c>
      <c r="W704" s="25" t="n">
        <f aca="false">V704*12</f>
        <v>3624</v>
      </c>
      <c r="X704" s="23" t="str">
        <f aca="false">IF(Q704="","MISSING FROM EXPORT",IF(ABS(V704)&lt;0.005,"CLEAR",IF(V704&gt;0,"UNDERBILLING","OVERBILLING")))</f>
        <v>MISSING FROM EXPORT</v>
      </c>
      <c r="Y704" s="25" t="n">
        <f aca="false">IF(F704="COMMERCIAL",ROUND(P704*0.35,2),0)</f>
        <v>0</v>
      </c>
      <c r="Z704" s="23" t="str">
        <f aca="false">IF(F704="COMMERCIAL","VERIFY SIGNED AGREEMENT","NO EXCEPTION")</f>
        <v>NO EXCEPTION</v>
      </c>
      <c r="AA704" s="23" t="str">
        <f aca="false">IF(AND(C704="covered",N704&gt;40),"COVERED &gt;40 FT","")</f>
        <v/>
      </c>
      <c r="AB704" s="23" t="s">
        <v>4705</v>
      </c>
      <c r="AC704" s="23" t="s">
        <v>6607</v>
      </c>
      <c r="AD704" s="23" t="s">
        <v>2807</v>
      </c>
    </row>
    <row r="705" customFormat="false" ht="17.9" hidden="false" customHeight="false" outlineLevel="0" collapsed="false">
      <c r="A705" s="20" t="s">
        <v>6608</v>
      </c>
      <c r="B705" s="20" t="s">
        <v>166</v>
      </c>
      <c r="C705" s="20" t="s">
        <v>2798</v>
      </c>
      <c r="D705" s="20" t="s">
        <v>6609</v>
      </c>
      <c r="E705" s="20" t="s">
        <v>6610</v>
      </c>
      <c r="F705" s="20" t="s">
        <v>2869</v>
      </c>
      <c r="G705" s="20" t="s">
        <v>3008</v>
      </c>
      <c r="H705" s="22" t="n">
        <v>60.3</v>
      </c>
      <c r="I705" s="22" t="n">
        <v>60.3</v>
      </c>
      <c r="J705" s="22" t="n">
        <f aca="false">H705-I705</f>
        <v>0</v>
      </c>
      <c r="K705" s="20" t="str">
        <f aca="false">IF(ABS(J705)&lt;0.001,"MATCH - PAPER CHECK-IN NOT SUPPLIED","DATA MISMATCH")</f>
        <v>MATCH - PAPER CHECK-IN NOT SUPPLIED</v>
      </c>
      <c r="L705" s="22" t="n">
        <v>45</v>
      </c>
      <c r="M705" s="22" t="n">
        <f aca="false">ROUNDUP(H705,0)</f>
        <v>61</v>
      </c>
      <c r="N705" s="24" t="n">
        <f aca="false">MAX(L705,M705)</f>
        <v>61</v>
      </c>
      <c r="O705" s="25" t="n">
        <v>7.55</v>
      </c>
      <c r="P705" s="25" t="n">
        <f aca="false">N705*O705</f>
        <v>460.55</v>
      </c>
      <c r="Q705" s="23"/>
      <c r="R705" s="23"/>
      <c r="S705" s="24"/>
      <c r="T705" s="25"/>
      <c r="U705" s="25" t="n">
        <v>0</v>
      </c>
      <c r="V705" s="25" t="n">
        <f aca="false">P705-U705</f>
        <v>460.55</v>
      </c>
      <c r="W705" s="25" t="n">
        <f aca="false">V705*12</f>
        <v>5526.6</v>
      </c>
      <c r="X705" s="23" t="str">
        <f aca="false">IF(Q705="","MISSING FROM EXPORT",IF(ABS(V705)&lt;0.005,"CLEAR",IF(V705&gt;0,"UNDERBILLING","OVERBILLING")))</f>
        <v>MISSING FROM EXPORT</v>
      </c>
      <c r="Y705" s="25" t="n">
        <f aca="false">IF(F705="COMMERCIAL",ROUND(P705*0.35,2),0)</f>
        <v>0</v>
      </c>
      <c r="Z705" s="23" t="str">
        <f aca="false">IF(F705="COMMERCIAL","VERIFY SIGNED AGREEMENT","NO EXCEPTION")</f>
        <v>NO EXCEPTION</v>
      </c>
      <c r="AA705" s="23" t="str">
        <f aca="false">IF(AND(C705="covered",N705&gt;40),"COVERED &gt;40 FT","")</f>
        <v/>
      </c>
      <c r="AB705" s="23" t="s">
        <v>4705</v>
      </c>
      <c r="AC705" s="23" t="s">
        <v>6611</v>
      </c>
      <c r="AD705" s="23" t="s">
        <v>2807</v>
      </c>
    </row>
    <row r="706" customFormat="false" ht="17.9" hidden="false" customHeight="false" outlineLevel="0" collapsed="false">
      <c r="A706" s="20" t="s">
        <v>6612</v>
      </c>
      <c r="B706" s="20" t="s">
        <v>166</v>
      </c>
      <c r="C706" s="20" t="s">
        <v>2798</v>
      </c>
      <c r="D706" s="20" t="s">
        <v>6613</v>
      </c>
      <c r="E706" s="20" t="s">
        <v>6614</v>
      </c>
      <c r="F706" s="20" t="s">
        <v>2869</v>
      </c>
      <c r="G706" s="20" t="s">
        <v>3015</v>
      </c>
      <c r="H706" s="22" t="n">
        <v>58.9</v>
      </c>
      <c r="I706" s="22" t="n">
        <v>58.9</v>
      </c>
      <c r="J706" s="22" t="n">
        <f aca="false">H706-I706</f>
        <v>0</v>
      </c>
      <c r="K706" s="20" t="str">
        <f aca="false">IF(ABS(J706)&lt;0.001,"MATCH - PAPER CHECK-IN NOT SUPPLIED","DATA MISMATCH")</f>
        <v>MATCH - PAPER CHECK-IN NOT SUPPLIED</v>
      </c>
      <c r="L706" s="22" t="n">
        <v>32</v>
      </c>
      <c r="M706" s="22" t="n">
        <f aca="false">ROUNDUP(H706,0)</f>
        <v>59</v>
      </c>
      <c r="N706" s="24" t="n">
        <f aca="false">MAX(L706,M706)</f>
        <v>59</v>
      </c>
      <c r="O706" s="25" t="n">
        <v>7.55</v>
      </c>
      <c r="P706" s="25" t="n">
        <f aca="false">N706*O706</f>
        <v>445.45</v>
      </c>
      <c r="Q706" s="23"/>
      <c r="R706" s="23"/>
      <c r="S706" s="24"/>
      <c r="T706" s="25"/>
      <c r="U706" s="25" t="n">
        <v>0</v>
      </c>
      <c r="V706" s="25" t="n">
        <f aca="false">P706-U706</f>
        <v>445.45</v>
      </c>
      <c r="W706" s="25" t="n">
        <f aca="false">V706*12</f>
        <v>5345.4</v>
      </c>
      <c r="X706" s="23" t="str">
        <f aca="false">IF(Q706="","MISSING FROM EXPORT",IF(ABS(V706)&lt;0.005,"CLEAR",IF(V706&gt;0,"UNDERBILLING","OVERBILLING")))</f>
        <v>MISSING FROM EXPORT</v>
      </c>
      <c r="Y706" s="25" t="n">
        <f aca="false">IF(F706="COMMERCIAL",ROUND(P706*0.35,2),0)</f>
        <v>0</v>
      </c>
      <c r="Z706" s="23" t="str">
        <f aca="false">IF(F706="COMMERCIAL","VERIFY SIGNED AGREEMENT","NO EXCEPTION")</f>
        <v>NO EXCEPTION</v>
      </c>
      <c r="AA706" s="23" t="str">
        <f aca="false">IF(AND(C706="covered",N706&gt;40),"COVERED &gt;40 FT","")</f>
        <v/>
      </c>
      <c r="AB706" s="23" t="s">
        <v>4705</v>
      </c>
      <c r="AC706" s="23" t="s">
        <v>6615</v>
      </c>
      <c r="AD706" s="23" t="s">
        <v>2807</v>
      </c>
    </row>
    <row r="707" customFormat="false" ht="17.9" hidden="false" customHeight="false" outlineLevel="0" collapsed="false">
      <c r="A707" s="20" t="s">
        <v>1694</v>
      </c>
      <c r="B707" s="20" t="s">
        <v>166</v>
      </c>
      <c r="C707" s="20" t="s">
        <v>2798</v>
      </c>
      <c r="D707" s="20" t="s">
        <v>2193</v>
      </c>
      <c r="E707" s="20" t="s">
        <v>6616</v>
      </c>
      <c r="F707" s="20" t="s">
        <v>2818</v>
      </c>
      <c r="G707" s="20" t="s">
        <v>4401</v>
      </c>
      <c r="H707" s="22" t="n">
        <v>22.7</v>
      </c>
      <c r="I707" s="22" t="n">
        <v>22.7</v>
      </c>
      <c r="J707" s="22" t="n">
        <f aca="false">H707-I707</f>
        <v>0</v>
      </c>
      <c r="K707" s="20" t="str">
        <f aca="false">IF(ABS(J707)&lt;0.001,"MATCH - PAPER CHECK-IN NOT SUPPLIED","DATA MISMATCH")</f>
        <v>MATCH - PAPER CHECK-IN NOT SUPPLIED</v>
      </c>
      <c r="L707" s="22" t="n">
        <v>40</v>
      </c>
      <c r="M707" s="22" t="n">
        <f aca="false">ROUNDUP(H707,0)</f>
        <v>23</v>
      </c>
      <c r="N707" s="24" t="n">
        <f aca="false">MAX(L707,M707)</f>
        <v>40</v>
      </c>
      <c r="O707" s="25" t="n">
        <v>7.55</v>
      </c>
      <c r="P707" s="25" t="n">
        <f aca="false">N707*O707</f>
        <v>302</v>
      </c>
      <c r="Q707" s="23"/>
      <c r="R707" s="23"/>
      <c r="S707" s="24"/>
      <c r="T707" s="25"/>
      <c r="U707" s="25" t="n">
        <v>0</v>
      </c>
      <c r="V707" s="25" t="n">
        <f aca="false">P707-U707</f>
        <v>302</v>
      </c>
      <c r="W707" s="25" t="n">
        <f aca="false">V707*12</f>
        <v>3624</v>
      </c>
      <c r="X707" s="23" t="str">
        <f aca="false">IF(Q707="","MISSING FROM EXPORT",IF(ABS(V707)&lt;0.005,"CLEAR",IF(V707&gt;0,"UNDERBILLING","OVERBILLING")))</f>
        <v>MISSING FROM EXPORT</v>
      </c>
      <c r="Y707" s="25" t="n">
        <f aca="false">IF(F707="COMMERCIAL",ROUND(P707*0.35,2),0)</f>
        <v>0</v>
      </c>
      <c r="Z707" s="23" t="str">
        <f aca="false">IF(F707="COMMERCIAL","VERIFY SIGNED AGREEMENT","NO EXCEPTION")</f>
        <v>NO EXCEPTION</v>
      </c>
      <c r="AA707" s="23" t="str">
        <f aca="false">IF(AND(C707="covered",N707&gt;40),"COVERED &gt;40 FT","")</f>
        <v/>
      </c>
      <c r="AB707" s="23" t="s">
        <v>4705</v>
      </c>
      <c r="AC707" s="23" t="s">
        <v>6617</v>
      </c>
      <c r="AD707" s="23" t="s">
        <v>2807</v>
      </c>
    </row>
    <row r="708" customFormat="false" ht="17.9" hidden="false" customHeight="false" outlineLevel="0" collapsed="false">
      <c r="A708" s="20" t="s">
        <v>1026</v>
      </c>
      <c r="B708" s="20" t="s">
        <v>166</v>
      </c>
      <c r="C708" s="20" t="s">
        <v>2798</v>
      </c>
      <c r="D708" s="20" t="s">
        <v>6618</v>
      </c>
      <c r="E708" s="20" t="s">
        <v>6619</v>
      </c>
      <c r="F708" s="20" t="s">
        <v>2934</v>
      </c>
      <c r="G708" s="20" t="s">
        <v>3022</v>
      </c>
      <c r="H708" s="22" t="n">
        <v>58.1</v>
      </c>
      <c r="I708" s="22" t="n">
        <v>58.1</v>
      </c>
      <c r="J708" s="22" t="n">
        <f aca="false">H708-I708</f>
        <v>0</v>
      </c>
      <c r="K708" s="20" t="str">
        <f aca="false">IF(ABS(J708)&lt;0.001,"MATCH - PAPER CHECK-IN NOT SUPPLIED","DATA MISMATCH")</f>
        <v>MATCH - PAPER CHECK-IN NOT SUPPLIED</v>
      </c>
      <c r="L708" s="22" t="n">
        <v>28</v>
      </c>
      <c r="M708" s="22" t="n">
        <f aca="false">ROUNDUP(H708,0)</f>
        <v>59</v>
      </c>
      <c r="N708" s="24" t="n">
        <f aca="false">MAX(L708,M708)</f>
        <v>59</v>
      </c>
      <c r="O708" s="25" t="n">
        <v>7.55</v>
      </c>
      <c r="P708" s="25" t="n">
        <f aca="false">N708*O708</f>
        <v>445.45</v>
      </c>
      <c r="Q708" s="23"/>
      <c r="R708" s="23"/>
      <c r="S708" s="24"/>
      <c r="T708" s="25"/>
      <c r="U708" s="25" t="n">
        <v>0</v>
      </c>
      <c r="V708" s="25" t="n">
        <f aca="false">P708-U708</f>
        <v>445.45</v>
      </c>
      <c r="W708" s="25" t="n">
        <f aca="false">V708*12</f>
        <v>5345.4</v>
      </c>
      <c r="X708" s="23" t="str">
        <f aca="false">IF(Q708="","MISSING FROM EXPORT",IF(ABS(V708)&lt;0.005,"CLEAR",IF(V708&gt;0,"UNDERBILLING","OVERBILLING")))</f>
        <v>MISSING FROM EXPORT</v>
      </c>
      <c r="Y708" s="25" t="n">
        <f aca="false">IF(F708="COMMERCIAL",ROUND(P708*0.35,2),0)</f>
        <v>155.91</v>
      </c>
      <c r="Z708" s="23" t="str">
        <f aca="false">IF(F708="COMMERCIAL","VERIFY SIGNED AGREEMENT","NO EXCEPTION")</f>
        <v>VERIFY SIGNED AGREEMENT</v>
      </c>
      <c r="AA708" s="23" t="str">
        <f aca="false">IF(AND(C708="covered",N708&gt;40),"COVERED &gt;40 FT","")</f>
        <v/>
      </c>
      <c r="AB708" s="23" t="s">
        <v>4705</v>
      </c>
      <c r="AC708" s="23" t="s">
        <v>6620</v>
      </c>
      <c r="AD708" s="23" t="s">
        <v>2807</v>
      </c>
    </row>
    <row r="709" customFormat="false" ht="17.9" hidden="false" customHeight="false" outlineLevel="0" collapsed="false">
      <c r="A709" s="20" t="s">
        <v>6621</v>
      </c>
      <c r="B709" s="20" t="s">
        <v>166</v>
      </c>
      <c r="C709" s="20" t="s">
        <v>2798</v>
      </c>
      <c r="D709" s="20" t="s">
        <v>6622</v>
      </c>
      <c r="E709" s="20" t="s">
        <v>6623</v>
      </c>
      <c r="F709" s="20" t="s">
        <v>2833</v>
      </c>
      <c r="G709" s="20" t="s">
        <v>3029</v>
      </c>
      <c r="H709" s="22" t="n">
        <v>47.1</v>
      </c>
      <c r="I709" s="22" t="n">
        <v>47.1</v>
      </c>
      <c r="J709" s="22" t="n">
        <f aca="false">H709-I709</f>
        <v>0</v>
      </c>
      <c r="K709" s="20" t="str">
        <f aca="false">IF(ABS(J709)&lt;0.001,"MATCH - PAPER CHECK-IN NOT SUPPLIED","DATA MISMATCH")</f>
        <v>MATCH - PAPER CHECK-IN NOT SUPPLIED</v>
      </c>
      <c r="L709" s="22" t="n">
        <v>70</v>
      </c>
      <c r="M709" s="22" t="n">
        <f aca="false">ROUNDUP(H709,0)</f>
        <v>48</v>
      </c>
      <c r="N709" s="24" t="n">
        <f aca="false">MAX(L709,M709)</f>
        <v>70</v>
      </c>
      <c r="O709" s="25" t="n">
        <v>7.55</v>
      </c>
      <c r="P709" s="25" t="n">
        <f aca="false">N709*O709</f>
        <v>528.5</v>
      </c>
      <c r="Q709" s="23"/>
      <c r="R709" s="23"/>
      <c r="S709" s="24"/>
      <c r="T709" s="25"/>
      <c r="U709" s="25" t="n">
        <v>0</v>
      </c>
      <c r="V709" s="25" t="n">
        <f aca="false">P709-U709</f>
        <v>528.5</v>
      </c>
      <c r="W709" s="25" t="n">
        <f aca="false">V709*12</f>
        <v>6342</v>
      </c>
      <c r="X709" s="23" t="str">
        <f aca="false">IF(Q709="","MISSING FROM EXPORT",IF(ABS(V709)&lt;0.005,"CLEAR",IF(V709&gt;0,"UNDERBILLING","OVERBILLING")))</f>
        <v>MISSING FROM EXPORT</v>
      </c>
      <c r="Y709" s="25" t="n">
        <f aca="false">IF(F709="COMMERCIAL",ROUND(P709*0.35,2),0)</f>
        <v>0</v>
      </c>
      <c r="Z709" s="23" t="str">
        <f aca="false">IF(F709="COMMERCIAL","VERIFY SIGNED AGREEMENT","NO EXCEPTION")</f>
        <v>NO EXCEPTION</v>
      </c>
      <c r="AA709" s="23" t="str">
        <f aca="false">IF(AND(C709="covered",N709&gt;40),"COVERED &gt;40 FT","")</f>
        <v/>
      </c>
      <c r="AB709" s="23" t="s">
        <v>4705</v>
      </c>
      <c r="AC709" s="23" t="s">
        <v>6624</v>
      </c>
      <c r="AD709" s="23" t="s">
        <v>2807</v>
      </c>
    </row>
    <row r="710" customFormat="false" ht="17.9" hidden="false" customHeight="false" outlineLevel="0" collapsed="false">
      <c r="A710" s="20" t="s">
        <v>6625</v>
      </c>
      <c r="B710" s="20" t="s">
        <v>166</v>
      </c>
      <c r="C710" s="20" t="s">
        <v>2798</v>
      </c>
      <c r="D710" s="20" t="s">
        <v>6626</v>
      </c>
      <c r="E710" s="20" t="s">
        <v>6627</v>
      </c>
      <c r="F710" s="20" t="s">
        <v>2898</v>
      </c>
      <c r="G710" s="20" t="s">
        <v>3036</v>
      </c>
      <c r="H710" s="22" t="n">
        <v>37.5</v>
      </c>
      <c r="I710" s="22" t="n">
        <v>37.5</v>
      </c>
      <c r="J710" s="22" t="n">
        <f aca="false">H710-I710</f>
        <v>0</v>
      </c>
      <c r="K710" s="20" t="str">
        <f aca="false">IF(ABS(J710)&lt;0.001,"MATCH - PAPER CHECK-IN NOT SUPPLIED","DATA MISMATCH")</f>
        <v>MATCH - PAPER CHECK-IN NOT SUPPLIED</v>
      </c>
      <c r="L710" s="22" t="n">
        <v>28</v>
      </c>
      <c r="M710" s="22" t="n">
        <f aca="false">ROUNDUP(H710,0)</f>
        <v>38</v>
      </c>
      <c r="N710" s="24" t="n">
        <f aca="false">MAX(L710,M710)</f>
        <v>38</v>
      </c>
      <c r="O710" s="25" t="n">
        <v>7.55</v>
      </c>
      <c r="P710" s="25" t="n">
        <f aca="false">N710*O710</f>
        <v>286.9</v>
      </c>
      <c r="Q710" s="23"/>
      <c r="R710" s="23"/>
      <c r="S710" s="24"/>
      <c r="T710" s="25"/>
      <c r="U710" s="25" t="n">
        <v>0</v>
      </c>
      <c r="V710" s="25" t="n">
        <f aca="false">P710-U710</f>
        <v>286.9</v>
      </c>
      <c r="W710" s="25" t="n">
        <f aca="false">V710*12</f>
        <v>3442.8</v>
      </c>
      <c r="X710" s="23" t="str">
        <f aca="false">IF(Q710="","MISSING FROM EXPORT",IF(ABS(V710)&lt;0.005,"CLEAR",IF(V710&gt;0,"UNDERBILLING","OVERBILLING")))</f>
        <v>MISSING FROM EXPORT</v>
      </c>
      <c r="Y710" s="25" t="n">
        <f aca="false">IF(F710="COMMERCIAL",ROUND(P710*0.35,2),0)</f>
        <v>0</v>
      </c>
      <c r="Z710" s="23" t="str">
        <f aca="false">IF(F710="COMMERCIAL","VERIFY SIGNED AGREEMENT","NO EXCEPTION")</f>
        <v>NO EXCEPTION</v>
      </c>
      <c r="AA710" s="23" t="str">
        <f aca="false">IF(AND(C710="covered",N710&gt;40),"COVERED &gt;40 FT","")</f>
        <v/>
      </c>
      <c r="AB710" s="23" t="s">
        <v>4705</v>
      </c>
      <c r="AC710" s="23" t="s">
        <v>6628</v>
      </c>
      <c r="AD710" s="23" t="s">
        <v>2807</v>
      </c>
    </row>
    <row r="711" customFormat="false" ht="17.9" hidden="false" customHeight="false" outlineLevel="0" collapsed="false">
      <c r="A711" s="20" t="s">
        <v>6629</v>
      </c>
      <c r="B711" s="20" t="s">
        <v>166</v>
      </c>
      <c r="C711" s="20" t="s">
        <v>2798</v>
      </c>
      <c r="D711" s="20" t="s">
        <v>6630</v>
      </c>
      <c r="E711" s="20" t="s">
        <v>6631</v>
      </c>
      <c r="F711" s="20" t="s">
        <v>2857</v>
      </c>
      <c r="G711" s="20" t="s">
        <v>3041</v>
      </c>
      <c r="H711" s="22" t="n">
        <v>44.2</v>
      </c>
      <c r="I711" s="22" t="n">
        <v>44.2</v>
      </c>
      <c r="J711" s="22" t="n">
        <f aca="false">H711-I711</f>
        <v>0</v>
      </c>
      <c r="K711" s="20" t="str">
        <f aca="false">IF(ABS(J711)&lt;0.001,"MATCH - PAPER CHECK-IN NOT SUPPLIED","DATA MISMATCH")</f>
        <v>MATCH - PAPER CHECK-IN NOT SUPPLIED</v>
      </c>
      <c r="L711" s="22" t="n">
        <v>50</v>
      </c>
      <c r="M711" s="22" t="n">
        <f aca="false">ROUNDUP(H711,0)</f>
        <v>45</v>
      </c>
      <c r="N711" s="24" t="n">
        <f aca="false">MAX(L711,M711)</f>
        <v>50</v>
      </c>
      <c r="O711" s="25" t="n">
        <v>7.55</v>
      </c>
      <c r="P711" s="25" t="n">
        <f aca="false">N711*O711</f>
        <v>377.5</v>
      </c>
      <c r="Q711" s="23"/>
      <c r="R711" s="23"/>
      <c r="S711" s="24"/>
      <c r="T711" s="25"/>
      <c r="U711" s="25" t="n">
        <v>0</v>
      </c>
      <c r="V711" s="25" t="n">
        <f aca="false">P711-U711</f>
        <v>377.5</v>
      </c>
      <c r="W711" s="25" t="n">
        <f aca="false">V711*12</f>
        <v>4530</v>
      </c>
      <c r="X711" s="23" t="str">
        <f aca="false">IF(Q711="","MISSING FROM EXPORT",IF(ABS(V711)&lt;0.005,"CLEAR",IF(V711&gt;0,"UNDERBILLING","OVERBILLING")))</f>
        <v>MISSING FROM EXPORT</v>
      </c>
      <c r="Y711" s="25" t="n">
        <f aca="false">IF(F711="COMMERCIAL",ROUND(P711*0.35,2),0)</f>
        <v>0</v>
      </c>
      <c r="Z711" s="23" t="str">
        <f aca="false">IF(F711="COMMERCIAL","VERIFY SIGNED AGREEMENT","NO EXCEPTION")</f>
        <v>NO EXCEPTION</v>
      </c>
      <c r="AA711" s="23" t="str">
        <f aca="false">IF(AND(C711="covered",N711&gt;40),"COVERED &gt;40 FT","")</f>
        <v/>
      </c>
      <c r="AB711" s="23" t="s">
        <v>4705</v>
      </c>
      <c r="AC711" s="23" t="s">
        <v>6632</v>
      </c>
      <c r="AD711" s="23" t="s">
        <v>2807</v>
      </c>
    </row>
    <row r="712" customFormat="false" ht="17.9" hidden="false" customHeight="false" outlineLevel="0" collapsed="false">
      <c r="A712" s="20" t="s">
        <v>6633</v>
      </c>
      <c r="B712" s="20" t="s">
        <v>166</v>
      </c>
      <c r="C712" s="20" t="s">
        <v>2798</v>
      </c>
      <c r="D712" s="20" t="s">
        <v>6634</v>
      </c>
      <c r="E712" s="20" t="s">
        <v>6635</v>
      </c>
      <c r="F712" s="20" t="s">
        <v>2833</v>
      </c>
      <c r="G712" s="20" t="s">
        <v>3048</v>
      </c>
      <c r="H712" s="22" t="n">
        <v>48.8</v>
      </c>
      <c r="I712" s="22" t="n">
        <v>48.8</v>
      </c>
      <c r="J712" s="22" t="n">
        <f aca="false">H712-I712</f>
        <v>0</v>
      </c>
      <c r="K712" s="20" t="str">
        <f aca="false">IF(ABS(J712)&lt;0.001,"MATCH - PAPER CHECK-IN NOT SUPPLIED","DATA MISMATCH")</f>
        <v>MATCH - PAPER CHECK-IN NOT SUPPLIED</v>
      </c>
      <c r="L712" s="22" t="n">
        <v>50</v>
      </c>
      <c r="M712" s="22" t="n">
        <f aca="false">ROUNDUP(H712,0)</f>
        <v>49</v>
      </c>
      <c r="N712" s="24" t="n">
        <f aca="false">MAX(L712,M712)</f>
        <v>50</v>
      </c>
      <c r="O712" s="25" t="n">
        <v>7.55</v>
      </c>
      <c r="P712" s="25" t="n">
        <f aca="false">N712*O712</f>
        <v>377.5</v>
      </c>
      <c r="Q712" s="23"/>
      <c r="R712" s="23"/>
      <c r="S712" s="24"/>
      <c r="T712" s="25"/>
      <c r="U712" s="25" t="n">
        <v>0</v>
      </c>
      <c r="V712" s="25" t="n">
        <f aca="false">P712-U712</f>
        <v>377.5</v>
      </c>
      <c r="W712" s="25" t="n">
        <f aca="false">V712*12</f>
        <v>4530</v>
      </c>
      <c r="X712" s="23" t="str">
        <f aca="false">IF(Q712="","MISSING FROM EXPORT",IF(ABS(V712)&lt;0.005,"CLEAR",IF(V712&gt;0,"UNDERBILLING","OVERBILLING")))</f>
        <v>MISSING FROM EXPORT</v>
      </c>
      <c r="Y712" s="25" t="n">
        <f aca="false">IF(F712="COMMERCIAL",ROUND(P712*0.35,2),0)</f>
        <v>0</v>
      </c>
      <c r="Z712" s="23" t="str">
        <f aca="false">IF(F712="COMMERCIAL","VERIFY SIGNED AGREEMENT","NO EXCEPTION")</f>
        <v>NO EXCEPTION</v>
      </c>
      <c r="AA712" s="23" t="str">
        <f aca="false">IF(AND(C712="covered",N712&gt;40),"COVERED &gt;40 FT","")</f>
        <v/>
      </c>
      <c r="AB712" s="23" t="s">
        <v>4705</v>
      </c>
      <c r="AC712" s="23" t="s">
        <v>6636</v>
      </c>
      <c r="AD712" s="23" t="s">
        <v>2807</v>
      </c>
    </row>
    <row r="713" customFormat="false" ht="17.9" hidden="false" customHeight="false" outlineLevel="0" collapsed="false">
      <c r="A713" s="20" t="s">
        <v>6637</v>
      </c>
      <c r="B713" s="20" t="s">
        <v>166</v>
      </c>
      <c r="C713" s="20" t="s">
        <v>2798</v>
      </c>
      <c r="D713" s="20" t="s">
        <v>6638</v>
      </c>
      <c r="E713" s="20" t="s">
        <v>6639</v>
      </c>
      <c r="F713" s="20" t="s">
        <v>2898</v>
      </c>
      <c r="G713" s="20" t="s">
        <v>3055</v>
      </c>
      <c r="H713" s="22" t="n">
        <v>51.5</v>
      </c>
      <c r="I713" s="22" t="n">
        <v>51.5</v>
      </c>
      <c r="J713" s="22" t="n">
        <f aca="false">H713-I713</f>
        <v>0</v>
      </c>
      <c r="K713" s="20" t="str">
        <f aca="false">IF(ABS(J713)&lt;0.001,"MATCH - PAPER CHECK-IN NOT SUPPLIED","DATA MISMATCH")</f>
        <v>MATCH - PAPER CHECK-IN NOT SUPPLIED</v>
      </c>
      <c r="L713" s="22" t="n">
        <v>28</v>
      </c>
      <c r="M713" s="22" t="n">
        <f aca="false">ROUNDUP(H713,0)</f>
        <v>52</v>
      </c>
      <c r="N713" s="24" t="n">
        <f aca="false">MAX(L713,M713)</f>
        <v>52</v>
      </c>
      <c r="O713" s="25" t="n">
        <v>7.55</v>
      </c>
      <c r="P713" s="25" t="n">
        <f aca="false">N713*O713</f>
        <v>392.6</v>
      </c>
      <c r="Q713" s="23"/>
      <c r="R713" s="23"/>
      <c r="S713" s="24"/>
      <c r="T713" s="25"/>
      <c r="U713" s="25" t="n">
        <v>0</v>
      </c>
      <c r="V713" s="25" t="n">
        <f aca="false">P713-U713</f>
        <v>392.6</v>
      </c>
      <c r="W713" s="25" t="n">
        <f aca="false">V713*12</f>
        <v>4711.2</v>
      </c>
      <c r="X713" s="23" t="str">
        <f aca="false">IF(Q713="","MISSING FROM EXPORT",IF(ABS(V713)&lt;0.005,"CLEAR",IF(V713&gt;0,"UNDERBILLING","OVERBILLING")))</f>
        <v>MISSING FROM EXPORT</v>
      </c>
      <c r="Y713" s="25" t="n">
        <f aca="false">IF(F713="COMMERCIAL",ROUND(P713*0.35,2),0)</f>
        <v>0</v>
      </c>
      <c r="Z713" s="23" t="str">
        <f aca="false">IF(F713="COMMERCIAL","VERIFY SIGNED AGREEMENT","NO EXCEPTION")</f>
        <v>NO EXCEPTION</v>
      </c>
      <c r="AA713" s="23" t="str">
        <f aca="false">IF(AND(C713="covered",N713&gt;40),"COVERED &gt;40 FT","")</f>
        <v/>
      </c>
      <c r="AB713" s="23" t="s">
        <v>4705</v>
      </c>
      <c r="AC713" s="23" t="s">
        <v>6640</v>
      </c>
      <c r="AD713" s="23" t="s">
        <v>2807</v>
      </c>
    </row>
    <row r="714" customFormat="false" ht="17.9" hidden="false" customHeight="false" outlineLevel="0" collapsed="false">
      <c r="A714" s="20" t="s">
        <v>6641</v>
      </c>
      <c r="B714" s="20" t="s">
        <v>166</v>
      </c>
      <c r="C714" s="20" t="s">
        <v>2798</v>
      </c>
      <c r="D714" s="20" t="s">
        <v>6642</v>
      </c>
      <c r="E714" s="20" t="s">
        <v>6643</v>
      </c>
      <c r="F714" s="20" t="s">
        <v>2833</v>
      </c>
      <c r="G714" s="20" t="s">
        <v>3062</v>
      </c>
      <c r="H714" s="22" t="n">
        <v>26.4</v>
      </c>
      <c r="I714" s="22" t="n">
        <v>26.4</v>
      </c>
      <c r="J714" s="22" t="n">
        <f aca="false">H714-I714</f>
        <v>0</v>
      </c>
      <c r="K714" s="20" t="str">
        <f aca="false">IF(ABS(J714)&lt;0.001,"MATCH - PAPER CHECK-IN NOT SUPPLIED","DATA MISMATCH")</f>
        <v>MATCH - PAPER CHECK-IN NOT SUPPLIED</v>
      </c>
      <c r="L714" s="22" t="n">
        <v>40</v>
      </c>
      <c r="M714" s="22" t="n">
        <f aca="false">ROUNDUP(H714,0)</f>
        <v>27</v>
      </c>
      <c r="N714" s="24" t="n">
        <f aca="false">MAX(L714,M714)</f>
        <v>40</v>
      </c>
      <c r="O714" s="25" t="n">
        <v>7.55</v>
      </c>
      <c r="P714" s="25" t="n">
        <f aca="false">N714*O714</f>
        <v>302</v>
      </c>
      <c r="Q714" s="23"/>
      <c r="R714" s="23"/>
      <c r="S714" s="24"/>
      <c r="T714" s="25"/>
      <c r="U714" s="25" t="n">
        <v>0</v>
      </c>
      <c r="V714" s="25" t="n">
        <f aca="false">P714-U714</f>
        <v>302</v>
      </c>
      <c r="W714" s="25" t="n">
        <f aca="false">V714*12</f>
        <v>3624</v>
      </c>
      <c r="X714" s="23" t="str">
        <f aca="false">IF(Q714="","MISSING FROM EXPORT",IF(ABS(V714)&lt;0.005,"CLEAR",IF(V714&gt;0,"UNDERBILLING","OVERBILLING")))</f>
        <v>MISSING FROM EXPORT</v>
      </c>
      <c r="Y714" s="25" t="n">
        <f aca="false">IF(F714="COMMERCIAL",ROUND(P714*0.35,2),0)</f>
        <v>0</v>
      </c>
      <c r="Z714" s="23" t="str">
        <f aca="false">IF(F714="COMMERCIAL","VERIFY SIGNED AGREEMENT","NO EXCEPTION")</f>
        <v>NO EXCEPTION</v>
      </c>
      <c r="AA714" s="23" t="str">
        <f aca="false">IF(AND(C714="covered",N714&gt;40),"COVERED &gt;40 FT","")</f>
        <v/>
      </c>
      <c r="AB714" s="23" t="s">
        <v>4705</v>
      </c>
      <c r="AC714" s="23" t="s">
        <v>6644</v>
      </c>
      <c r="AD714" s="23" t="s">
        <v>2807</v>
      </c>
    </row>
    <row r="715" customFormat="false" ht="17.9" hidden="false" customHeight="false" outlineLevel="0" collapsed="false">
      <c r="A715" s="20" t="s">
        <v>1474</v>
      </c>
      <c r="B715" s="20" t="s">
        <v>166</v>
      </c>
      <c r="C715" s="20" t="s">
        <v>2798</v>
      </c>
      <c r="D715" s="20" t="s">
        <v>6645</v>
      </c>
      <c r="E715" s="20" t="s">
        <v>6646</v>
      </c>
      <c r="F715" s="20" t="s">
        <v>2833</v>
      </c>
      <c r="G715" s="20" t="s">
        <v>3076</v>
      </c>
      <c r="H715" s="22" t="n">
        <v>23.2</v>
      </c>
      <c r="I715" s="22" t="n">
        <v>23.2</v>
      </c>
      <c r="J715" s="22" t="n">
        <f aca="false">H715-I715</f>
        <v>0</v>
      </c>
      <c r="K715" s="20" t="str">
        <f aca="false">IF(ABS(J715)&lt;0.001,"MATCH - PAPER CHECK-IN NOT SUPPLIED","DATA MISMATCH")</f>
        <v>MATCH - PAPER CHECK-IN NOT SUPPLIED</v>
      </c>
      <c r="L715" s="22" t="n">
        <v>32</v>
      </c>
      <c r="M715" s="22" t="n">
        <f aca="false">ROUNDUP(H715,0)</f>
        <v>24</v>
      </c>
      <c r="N715" s="24" t="n">
        <f aca="false">MAX(L715,M715)</f>
        <v>32</v>
      </c>
      <c r="O715" s="25" t="n">
        <v>7.55</v>
      </c>
      <c r="P715" s="25" t="n">
        <f aca="false">N715*O715</f>
        <v>241.6</v>
      </c>
      <c r="Q715" s="23"/>
      <c r="R715" s="23"/>
      <c r="S715" s="24"/>
      <c r="T715" s="25"/>
      <c r="U715" s="25" t="n">
        <v>0</v>
      </c>
      <c r="V715" s="25" t="n">
        <f aca="false">P715-U715</f>
        <v>241.6</v>
      </c>
      <c r="W715" s="25" t="n">
        <f aca="false">V715*12</f>
        <v>2899.2</v>
      </c>
      <c r="X715" s="23" t="str">
        <f aca="false">IF(Q715="","MISSING FROM EXPORT",IF(ABS(V715)&lt;0.005,"CLEAR",IF(V715&gt;0,"UNDERBILLING","OVERBILLING")))</f>
        <v>MISSING FROM EXPORT</v>
      </c>
      <c r="Y715" s="25" t="n">
        <f aca="false">IF(F715="COMMERCIAL",ROUND(P715*0.35,2),0)</f>
        <v>0</v>
      </c>
      <c r="Z715" s="23" t="str">
        <f aca="false">IF(F715="COMMERCIAL","VERIFY SIGNED AGREEMENT","NO EXCEPTION")</f>
        <v>NO EXCEPTION</v>
      </c>
      <c r="AA715" s="23" t="str">
        <f aca="false">IF(AND(C715="covered",N715&gt;40),"COVERED &gt;40 FT","")</f>
        <v/>
      </c>
      <c r="AB715" s="23" t="s">
        <v>4705</v>
      </c>
      <c r="AC715" s="23" t="s">
        <v>6647</v>
      </c>
      <c r="AD715" s="23" t="s">
        <v>2807</v>
      </c>
    </row>
    <row r="716" customFormat="false" ht="17.9" hidden="false" customHeight="false" outlineLevel="0" collapsed="false">
      <c r="A716" s="20" t="s">
        <v>6648</v>
      </c>
      <c r="B716" s="20" t="s">
        <v>166</v>
      </c>
      <c r="C716" s="20" t="s">
        <v>2798</v>
      </c>
      <c r="D716" s="20" t="s">
        <v>6649</v>
      </c>
      <c r="E716" s="20" t="s">
        <v>6650</v>
      </c>
      <c r="F716" s="20" t="s">
        <v>2934</v>
      </c>
      <c r="G716" s="20" t="s">
        <v>3083</v>
      </c>
      <c r="H716" s="22" t="n">
        <v>48.6</v>
      </c>
      <c r="I716" s="22" t="n">
        <v>48.6</v>
      </c>
      <c r="J716" s="22" t="n">
        <f aca="false">H716-I716</f>
        <v>0</v>
      </c>
      <c r="K716" s="20" t="str">
        <f aca="false">IF(ABS(J716)&lt;0.001,"MATCH - PAPER CHECK-IN NOT SUPPLIED","DATA MISMATCH")</f>
        <v>MATCH - PAPER CHECK-IN NOT SUPPLIED</v>
      </c>
      <c r="L716" s="22" t="n">
        <v>80</v>
      </c>
      <c r="M716" s="22" t="n">
        <f aca="false">ROUNDUP(H716,0)</f>
        <v>49</v>
      </c>
      <c r="N716" s="24" t="n">
        <f aca="false">MAX(L716,M716)</f>
        <v>80</v>
      </c>
      <c r="O716" s="25" t="n">
        <v>7.55</v>
      </c>
      <c r="P716" s="25" t="n">
        <f aca="false">N716*O716</f>
        <v>604</v>
      </c>
      <c r="Q716" s="23"/>
      <c r="R716" s="23"/>
      <c r="S716" s="24"/>
      <c r="T716" s="25"/>
      <c r="U716" s="25" t="n">
        <v>0</v>
      </c>
      <c r="V716" s="25" t="n">
        <f aca="false">P716-U716</f>
        <v>604</v>
      </c>
      <c r="W716" s="25" t="n">
        <f aca="false">V716*12</f>
        <v>7248</v>
      </c>
      <c r="X716" s="23" t="str">
        <f aca="false">IF(Q716="","MISSING FROM EXPORT",IF(ABS(V716)&lt;0.005,"CLEAR",IF(V716&gt;0,"UNDERBILLING","OVERBILLING")))</f>
        <v>MISSING FROM EXPORT</v>
      </c>
      <c r="Y716" s="25" t="n">
        <f aca="false">IF(F716="COMMERCIAL",ROUND(P716*0.35,2),0)</f>
        <v>211.4</v>
      </c>
      <c r="Z716" s="23" t="str">
        <f aca="false">IF(F716="COMMERCIAL","VERIFY SIGNED AGREEMENT","NO EXCEPTION")</f>
        <v>VERIFY SIGNED AGREEMENT</v>
      </c>
      <c r="AA716" s="23" t="str">
        <f aca="false">IF(AND(C716="covered",N716&gt;40),"COVERED &gt;40 FT","")</f>
        <v/>
      </c>
      <c r="AB716" s="23" t="s">
        <v>4705</v>
      </c>
      <c r="AC716" s="23" t="s">
        <v>6651</v>
      </c>
      <c r="AD716" s="23" t="s">
        <v>2807</v>
      </c>
    </row>
    <row r="717" customFormat="false" ht="17.9" hidden="false" customHeight="false" outlineLevel="0" collapsed="false">
      <c r="A717" s="20" t="s">
        <v>6652</v>
      </c>
      <c r="B717" s="20" t="s">
        <v>166</v>
      </c>
      <c r="C717" s="20" t="s">
        <v>2798</v>
      </c>
      <c r="D717" s="20" t="s">
        <v>6653</v>
      </c>
      <c r="E717" s="20" t="s">
        <v>6654</v>
      </c>
      <c r="F717" s="20" t="s">
        <v>2833</v>
      </c>
      <c r="G717" s="20" t="s">
        <v>3090</v>
      </c>
      <c r="H717" s="22" t="n">
        <v>30.9</v>
      </c>
      <c r="I717" s="22" t="n">
        <v>30.9</v>
      </c>
      <c r="J717" s="22" t="n">
        <f aca="false">H717-I717</f>
        <v>0</v>
      </c>
      <c r="K717" s="20" t="str">
        <f aca="false">IF(ABS(J717)&lt;0.001,"MATCH - PAPER CHECK-IN NOT SUPPLIED","DATA MISMATCH")</f>
        <v>MATCH - PAPER CHECK-IN NOT SUPPLIED</v>
      </c>
      <c r="L717" s="22" t="n">
        <v>32</v>
      </c>
      <c r="M717" s="22" t="n">
        <f aca="false">ROUNDUP(H717,0)</f>
        <v>31</v>
      </c>
      <c r="N717" s="24" t="n">
        <f aca="false">MAX(L717,M717)</f>
        <v>32</v>
      </c>
      <c r="O717" s="25" t="n">
        <v>7.55</v>
      </c>
      <c r="P717" s="25" t="n">
        <f aca="false">N717*O717</f>
        <v>241.6</v>
      </c>
      <c r="Q717" s="23"/>
      <c r="R717" s="23"/>
      <c r="S717" s="24"/>
      <c r="T717" s="25"/>
      <c r="U717" s="25" t="n">
        <v>0</v>
      </c>
      <c r="V717" s="25" t="n">
        <f aca="false">P717-U717</f>
        <v>241.6</v>
      </c>
      <c r="W717" s="25" t="n">
        <f aca="false">V717*12</f>
        <v>2899.2</v>
      </c>
      <c r="X717" s="23" t="str">
        <f aca="false">IF(Q717="","MISSING FROM EXPORT",IF(ABS(V717)&lt;0.005,"CLEAR",IF(V717&gt;0,"UNDERBILLING","OVERBILLING")))</f>
        <v>MISSING FROM EXPORT</v>
      </c>
      <c r="Y717" s="25" t="n">
        <f aca="false">IF(F717="COMMERCIAL",ROUND(P717*0.35,2),0)</f>
        <v>0</v>
      </c>
      <c r="Z717" s="23" t="str">
        <f aca="false">IF(F717="COMMERCIAL","VERIFY SIGNED AGREEMENT","NO EXCEPTION")</f>
        <v>NO EXCEPTION</v>
      </c>
      <c r="AA717" s="23" t="str">
        <f aca="false">IF(AND(C717="covered",N717&gt;40),"COVERED &gt;40 FT","")</f>
        <v/>
      </c>
      <c r="AB717" s="23" t="s">
        <v>4705</v>
      </c>
      <c r="AC717" s="23" t="s">
        <v>6655</v>
      </c>
      <c r="AD717" s="23" t="s">
        <v>2807</v>
      </c>
    </row>
    <row r="718" customFormat="false" ht="17.9" hidden="false" customHeight="false" outlineLevel="0" collapsed="false">
      <c r="A718" s="20" t="s">
        <v>6656</v>
      </c>
      <c r="B718" s="20" t="s">
        <v>166</v>
      </c>
      <c r="C718" s="20" t="s">
        <v>2798</v>
      </c>
      <c r="D718" s="20" t="s">
        <v>6657</v>
      </c>
      <c r="E718" s="20" t="s">
        <v>6658</v>
      </c>
      <c r="F718" s="20" t="s">
        <v>2857</v>
      </c>
      <c r="G718" s="20" t="s">
        <v>4452</v>
      </c>
      <c r="H718" s="22" t="n">
        <v>57.4</v>
      </c>
      <c r="I718" s="22" t="n">
        <v>57.4</v>
      </c>
      <c r="J718" s="22" t="n">
        <f aca="false">H718-I718</f>
        <v>0</v>
      </c>
      <c r="K718" s="20" t="str">
        <f aca="false">IF(ABS(J718)&lt;0.001,"MATCH - PAPER CHECK-IN NOT SUPPLIED","DATA MISMATCH")</f>
        <v>MATCH - PAPER CHECK-IN NOT SUPPLIED</v>
      </c>
      <c r="L718" s="22" t="n">
        <v>70</v>
      </c>
      <c r="M718" s="22" t="n">
        <f aca="false">ROUNDUP(H718,0)</f>
        <v>58</v>
      </c>
      <c r="N718" s="24" t="n">
        <f aca="false">MAX(L718,M718)</f>
        <v>70</v>
      </c>
      <c r="O718" s="25" t="n">
        <v>7.55</v>
      </c>
      <c r="P718" s="25" t="n">
        <f aca="false">N718*O718</f>
        <v>528.5</v>
      </c>
      <c r="Q718" s="23"/>
      <c r="R718" s="23"/>
      <c r="S718" s="24"/>
      <c r="T718" s="25"/>
      <c r="U718" s="25" t="n">
        <v>0</v>
      </c>
      <c r="V718" s="25" t="n">
        <f aca="false">P718-U718</f>
        <v>528.5</v>
      </c>
      <c r="W718" s="25" t="n">
        <f aca="false">V718*12</f>
        <v>6342</v>
      </c>
      <c r="X718" s="23" t="str">
        <f aca="false">IF(Q718="","MISSING FROM EXPORT",IF(ABS(V718)&lt;0.005,"CLEAR",IF(V718&gt;0,"UNDERBILLING","OVERBILLING")))</f>
        <v>MISSING FROM EXPORT</v>
      </c>
      <c r="Y718" s="25" t="n">
        <f aca="false">IF(F718="COMMERCIAL",ROUND(P718*0.35,2),0)</f>
        <v>0</v>
      </c>
      <c r="Z718" s="23" t="str">
        <f aca="false">IF(F718="COMMERCIAL","VERIFY SIGNED AGREEMENT","NO EXCEPTION")</f>
        <v>NO EXCEPTION</v>
      </c>
      <c r="AA718" s="23" t="str">
        <f aca="false">IF(AND(C718="covered",N718&gt;40),"COVERED &gt;40 FT","")</f>
        <v/>
      </c>
      <c r="AB718" s="23" t="s">
        <v>4705</v>
      </c>
      <c r="AC718" s="23" t="s">
        <v>6659</v>
      </c>
      <c r="AD718" s="23" t="s">
        <v>2807</v>
      </c>
    </row>
    <row r="719" customFormat="false" ht="17.9" hidden="false" customHeight="false" outlineLevel="0" collapsed="false">
      <c r="A719" s="20" t="s">
        <v>854</v>
      </c>
      <c r="B719" s="20" t="s">
        <v>166</v>
      </c>
      <c r="C719" s="20" t="s">
        <v>2798</v>
      </c>
      <c r="D719" s="20" t="s">
        <v>6660</v>
      </c>
      <c r="E719" s="20" t="s">
        <v>6661</v>
      </c>
      <c r="F719" s="20" t="s">
        <v>2810</v>
      </c>
      <c r="G719" s="20" t="s">
        <v>3097</v>
      </c>
      <c r="H719" s="22" t="n">
        <v>20.7</v>
      </c>
      <c r="I719" s="22" t="n">
        <v>20.7</v>
      </c>
      <c r="J719" s="22" t="n">
        <f aca="false">H719-I719</f>
        <v>0</v>
      </c>
      <c r="K719" s="20" t="str">
        <f aca="false">IF(ABS(J719)&lt;0.001,"MATCH - PAPER CHECK-IN NOT SUPPLIED","DATA MISMATCH")</f>
        <v>MATCH - PAPER CHECK-IN NOT SUPPLIED</v>
      </c>
      <c r="L719" s="22" t="n">
        <v>28</v>
      </c>
      <c r="M719" s="22" t="n">
        <f aca="false">ROUNDUP(H719,0)</f>
        <v>21</v>
      </c>
      <c r="N719" s="24" t="n">
        <f aca="false">MAX(L719,M719)</f>
        <v>28</v>
      </c>
      <c r="O719" s="25" t="n">
        <v>7.55</v>
      </c>
      <c r="P719" s="25" t="n">
        <f aca="false">N719*O719</f>
        <v>211.4</v>
      </c>
      <c r="Q719" s="23"/>
      <c r="R719" s="23"/>
      <c r="S719" s="24"/>
      <c r="T719" s="25"/>
      <c r="U719" s="25" t="n">
        <v>0</v>
      </c>
      <c r="V719" s="25" t="n">
        <f aca="false">P719-U719</f>
        <v>211.4</v>
      </c>
      <c r="W719" s="25" t="n">
        <f aca="false">V719*12</f>
        <v>2536.8</v>
      </c>
      <c r="X719" s="23" t="str">
        <f aca="false">IF(Q719="","MISSING FROM EXPORT",IF(ABS(V719)&lt;0.005,"CLEAR",IF(V719&gt;0,"UNDERBILLING","OVERBILLING")))</f>
        <v>MISSING FROM EXPORT</v>
      </c>
      <c r="Y719" s="25" t="n">
        <f aca="false">IF(F719="COMMERCIAL",ROUND(P719*0.35,2),0)</f>
        <v>0</v>
      </c>
      <c r="Z719" s="23" t="str">
        <f aca="false">IF(F719="COMMERCIAL","VERIFY SIGNED AGREEMENT","NO EXCEPTION")</f>
        <v>NO EXCEPTION</v>
      </c>
      <c r="AA719" s="23" t="str">
        <f aca="false">IF(AND(C719="covered",N719&gt;40),"COVERED &gt;40 FT","")</f>
        <v/>
      </c>
      <c r="AB719" s="23" t="s">
        <v>4705</v>
      </c>
      <c r="AC719" s="23" t="s">
        <v>6662</v>
      </c>
      <c r="AD719" s="23" t="s">
        <v>2807</v>
      </c>
    </row>
    <row r="720" customFormat="false" ht="17.9" hidden="false" customHeight="false" outlineLevel="0" collapsed="false">
      <c r="A720" s="20" t="s">
        <v>6663</v>
      </c>
      <c r="B720" s="20" t="s">
        <v>166</v>
      </c>
      <c r="C720" s="20" t="s">
        <v>2798</v>
      </c>
      <c r="D720" s="20" t="s">
        <v>6664</v>
      </c>
      <c r="E720" s="20" t="s">
        <v>6665</v>
      </c>
      <c r="F720" s="20" t="s">
        <v>2833</v>
      </c>
      <c r="G720" s="20" t="s">
        <v>3104</v>
      </c>
      <c r="H720" s="22" t="n">
        <v>30</v>
      </c>
      <c r="I720" s="22" t="n">
        <v>30</v>
      </c>
      <c r="J720" s="22" t="n">
        <f aca="false">H720-I720</f>
        <v>0</v>
      </c>
      <c r="K720" s="20" t="str">
        <f aca="false">IF(ABS(J720)&lt;0.001,"MATCH - PAPER CHECK-IN NOT SUPPLIED","DATA MISMATCH")</f>
        <v>MATCH - PAPER CHECK-IN NOT SUPPLIED</v>
      </c>
      <c r="L720" s="22" t="n">
        <v>24</v>
      </c>
      <c r="M720" s="22" t="n">
        <f aca="false">ROUNDUP(H720,0)</f>
        <v>30</v>
      </c>
      <c r="N720" s="24" t="n">
        <f aca="false">MAX(L720,M720)</f>
        <v>30</v>
      </c>
      <c r="O720" s="25" t="n">
        <v>7.55</v>
      </c>
      <c r="P720" s="25" t="n">
        <f aca="false">N720*O720</f>
        <v>226.5</v>
      </c>
      <c r="Q720" s="23"/>
      <c r="R720" s="23"/>
      <c r="S720" s="24"/>
      <c r="T720" s="25"/>
      <c r="U720" s="25" t="n">
        <v>0</v>
      </c>
      <c r="V720" s="25" t="n">
        <f aca="false">P720-U720</f>
        <v>226.5</v>
      </c>
      <c r="W720" s="25" t="n">
        <f aca="false">V720*12</f>
        <v>2718</v>
      </c>
      <c r="X720" s="23" t="str">
        <f aca="false">IF(Q720="","MISSING FROM EXPORT",IF(ABS(V720)&lt;0.005,"CLEAR",IF(V720&gt;0,"UNDERBILLING","OVERBILLING")))</f>
        <v>MISSING FROM EXPORT</v>
      </c>
      <c r="Y720" s="25" t="n">
        <f aca="false">IF(F720="COMMERCIAL",ROUND(P720*0.35,2),0)</f>
        <v>0</v>
      </c>
      <c r="Z720" s="23" t="str">
        <f aca="false">IF(F720="COMMERCIAL","VERIFY SIGNED AGREEMENT","NO EXCEPTION")</f>
        <v>NO EXCEPTION</v>
      </c>
      <c r="AA720" s="23" t="str">
        <f aca="false">IF(AND(C720="covered",N720&gt;40),"COVERED &gt;40 FT","")</f>
        <v/>
      </c>
      <c r="AB720" s="23" t="s">
        <v>4705</v>
      </c>
      <c r="AC720" s="23" t="s">
        <v>6666</v>
      </c>
      <c r="AD720" s="23" t="s">
        <v>2807</v>
      </c>
    </row>
    <row r="721" customFormat="false" ht="17.9" hidden="false" customHeight="false" outlineLevel="0" collapsed="false">
      <c r="A721" s="20" t="s">
        <v>6667</v>
      </c>
      <c r="B721" s="20" t="s">
        <v>166</v>
      </c>
      <c r="C721" s="20" t="s">
        <v>2798</v>
      </c>
      <c r="D721" s="20" t="s">
        <v>6668</v>
      </c>
      <c r="E721" s="20" t="s">
        <v>6669</v>
      </c>
      <c r="F721" s="20" t="s">
        <v>2857</v>
      </c>
      <c r="G721" s="20" t="s">
        <v>3110</v>
      </c>
      <c r="H721" s="22" t="n">
        <v>58.1</v>
      </c>
      <c r="I721" s="22" t="n">
        <v>58.1</v>
      </c>
      <c r="J721" s="22" t="n">
        <f aca="false">H721-I721</f>
        <v>0</v>
      </c>
      <c r="K721" s="20" t="str">
        <f aca="false">IF(ABS(J721)&lt;0.001,"MATCH - PAPER CHECK-IN NOT SUPPLIED","DATA MISMATCH")</f>
        <v>MATCH - PAPER CHECK-IN NOT SUPPLIED</v>
      </c>
      <c r="L721" s="22" t="n">
        <v>24</v>
      </c>
      <c r="M721" s="22" t="n">
        <f aca="false">ROUNDUP(H721,0)</f>
        <v>59</v>
      </c>
      <c r="N721" s="24" t="n">
        <f aca="false">MAX(L721,M721)</f>
        <v>59</v>
      </c>
      <c r="O721" s="25" t="n">
        <v>7.55</v>
      </c>
      <c r="P721" s="25" t="n">
        <f aca="false">N721*O721</f>
        <v>445.45</v>
      </c>
      <c r="Q721" s="23"/>
      <c r="R721" s="23"/>
      <c r="S721" s="24"/>
      <c r="T721" s="25"/>
      <c r="U721" s="25" t="n">
        <v>0</v>
      </c>
      <c r="V721" s="25" t="n">
        <f aca="false">P721-U721</f>
        <v>445.45</v>
      </c>
      <c r="W721" s="25" t="n">
        <f aca="false">V721*12</f>
        <v>5345.4</v>
      </c>
      <c r="X721" s="23" t="str">
        <f aca="false">IF(Q721="","MISSING FROM EXPORT",IF(ABS(V721)&lt;0.005,"CLEAR",IF(V721&gt;0,"UNDERBILLING","OVERBILLING")))</f>
        <v>MISSING FROM EXPORT</v>
      </c>
      <c r="Y721" s="25" t="n">
        <f aca="false">IF(F721="COMMERCIAL",ROUND(P721*0.35,2),0)</f>
        <v>0</v>
      </c>
      <c r="Z721" s="23" t="str">
        <f aca="false">IF(F721="COMMERCIAL","VERIFY SIGNED AGREEMENT","NO EXCEPTION")</f>
        <v>NO EXCEPTION</v>
      </c>
      <c r="AA721" s="23" t="str">
        <f aca="false">IF(AND(C721="covered",N721&gt;40),"COVERED &gt;40 FT","")</f>
        <v/>
      </c>
      <c r="AB721" s="23" t="s">
        <v>4705</v>
      </c>
      <c r="AC721" s="23" t="s">
        <v>6670</v>
      </c>
      <c r="AD721" s="23" t="s">
        <v>2807</v>
      </c>
    </row>
    <row r="722" customFormat="false" ht="17.9" hidden="false" customHeight="false" outlineLevel="0" collapsed="false">
      <c r="A722" s="20" t="s">
        <v>6671</v>
      </c>
      <c r="B722" s="20" t="s">
        <v>166</v>
      </c>
      <c r="C722" s="20" t="s">
        <v>2798</v>
      </c>
      <c r="D722" s="20" t="s">
        <v>6672</v>
      </c>
      <c r="E722" s="20" t="s">
        <v>6673</v>
      </c>
      <c r="F722" s="20" t="s">
        <v>2833</v>
      </c>
      <c r="G722" s="20" t="s">
        <v>3117</v>
      </c>
      <c r="H722" s="22" t="n">
        <v>58.3</v>
      </c>
      <c r="I722" s="22" t="n">
        <v>58.3</v>
      </c>
      <c r="J722" s="22" t="n">
        <f aca="false">H722-I722</f>
        <v>0</v>
      </c>
      <c r="K722" s="20" t="str">
        <f aca="false">IF(ABS(J722)&lt;0.001,"MATCH - PAPER CHECK-IN NOT SUPPLIED","DATA MISMATCH")</f>
        <v>MATCH - PAPER CHECK-IN NOT SUPPLIED</v>
      </c>
      <c r="L722" s="22" t="n">
        <v>70</v>
      </c>
      <c r="M722" s="22" t="n">
        <f aca="false">ROUNDUP(H722,0)</f>
        <v>59</v>
      </c>
      <c r="N722" s="24" t="n">
        <f aca="false">MAX(L722,M722)</f>
        <v>70</v>
      </c>
      <c r="O722" s="25" t="n">
        <v>7.55</v>
      </c>
      <c r="P722" s="25" t="n">
        <f aca="false">N722*O722</f>
        <v>528.5</v>
      </c>
      <c r="Q722" s="23"/>
      <c r="R722" s="23"/>
      <c r="S722" s="24"/>
      <c r="T722" s="25"/>
      <c r="U722" s="25" t="n">
        <v>0</v>
      </c>
      <c r="V722" s="25" t="n">
        <f aca="false">P722-U722</f>
        <v>528.5</v>
      </c>
      <c r="W722" s="25" t="n">
        <f aca="false">V722*12</f>
        <v>6342</v>
      </c>
      <c r="X722" s="23" t="str">
        <f aca="false">IF(Q722="","MISSING FROM EXPORT",IF(ABS(V722)&lt;0.005,"CLEAR",IF(V722&gt;0,"UNDERBILLING","OVERBILLING")))</f>
        <v>MISSING FROM EXPORT</v>
      </c>
      <c r="Y722" s="25" t="n">
        <f aca="false">IF(F722="COMMERCIAL",ROUND(P722*0.35,2),0)</f>
        <v>0</v>
      </c>
      <c r="Z722" s="23" t="str">
        <f aca="false">IF(F722="COMMERCIAL","VERIFY SIGNED AGREEMENT","NO EXCEPTION")</f>
        <v>NO EXCEPTION</v>
      </c>
      <c r="AA722" s="23" t="str">
        <f aca="false">IF(AND(C722="covered",N722&gt;40),"COVERED &gt;40 FT","")</f>
        <v/>
      </c>
      <c r="AB722" s="23" t="s">
        <v>4705</v>
      </c>
      <c r="AC722" s="23" t="s">
        <v>6674</v>
      </c>
      <c r="AD722" s="23" t="s">
        <v>2807</v>
      </c>
    </row>
    <row r="723" customFormat="false" ht="17.9" hidden="false" customHeight="false" outlineLevel="0" collapsed="false">
      <c r="A723" s="20" t="s">
        <v>662</v>
      </c>
      <c r="B723" s="20" t="s">
        <v>166</v>
      </c>
      <c r="C723" s="20" t="s">
        <v>2798</v>
      </c>
      <c r="D723" s="20" t="s">
        <v>6675</v>
      </c>
      <c r="E723" s="20" t="s">
        <v>6676</v>
      </c>
      <c r="F723" s="20" t="s">
        <v>2810</v>
      </c>
      <c r="G723" s="20" t="s">
        <v>3123</v>
      </c>
      <c r="H723" s="22" t="n">
        <v>35.4</v>
      </c>
      <c r="I723" s="22" t="n">
        <v>35.4</v>
      </c>
      <c r="J723" s="22" t="n">
        <f aca="false">H723-I723</f>
        <v>0</v>
      </c>
      <c r="K723" s="20" t="str">
        <f aca="false">IF(ABS(J723)&lt;0.001,"MATCH - PAPER CHECK-IN NOT SUPPLIED","DATA MISMATCH")</f>
        <v>MATCH - PAPER CHECK-IN NOT SUPPLIED</v>
      </c>
      <c r="L723" s="22" t="n">
        <v>70</v>
      </c>
      <c r="M723" s="22" t="n">
        <f aca="false">ROUNDUP(H723,0)</f>
        <v>36</v>
      </c>
      <c r="N723" s="24" t="n">
        <f aca="false">MAX(L723,M723)</f>
        <v>70</v>
      </c>
      <c r="O723" s="25" t="n">
        <v>7.55</v>
      </c>
      <c r="P723" s="25" t="n">
        <f aca="false">N723*O723</f>
        <v>528.5</v>
      </c>
      <c r="Q723" s="23"/>
      <c r="R723" s="23"/>
      <c r="S723" s="24"/>
      <c r="T723" s="25"/>
      <c r="U723" s="25" t="n">
        <v>0</v>
      </c>
      <c r="V723" s="25" t="n">
        <f aca="false">P723-U723</f>
        <v>528.5</v>
      </c>
      <c r="W723" s="25" t="n">
        <f aca="false">V723*12</f>
        <v>6342</v>
      </c>
      <c r="X723" s="23" t="str">
        <f aca="false">IF(Q723="","MISSING FROM EXPORT",IF(ABS(V723)&lt;0.005,"CLEAR",IF(V723&gt;0,"UNDERBILLING","OVERBILLING")))</f>
        <v>MISSING FROM EXPORT</v>
      </c>
      <c r="Y723" s="25" t="n">
        <f aca="false">IF(F723="COMMERCIAL",ROUND(P723*0.35,2),0)</f>
        <v>0</v>
      </c>
      <c r="Z723" s="23" t="str">
        <f aca="false">IF(F723="COMMERCIAL","VERIFY SIGNED AGREEMENT","NO EXCEPTION")</f>
        <v>NO EXCEPTION</v>
      </c>
      <c r="AA723" s="23" t="str">
        <f aca="false">IF(AND(C723="covered",N723&gt;40),"COVERED &gt;40 FT","")</f>
        <v/>
      </c>
      <c r="AB723" s="23" t="s">
        <v>4705</v>
      </c>
      <c r="AC723" s="23" t="s">
        <v>6677</v>
      </c>
      <c r="AD723" s="23" t="s">
        <v>2807</v>
      </c>
    </row>
    <row r="724" customFormat="false" ht="17.9" hidden="false" customHeight="false" outlineLevel="0" collapsed="false">
      <c r="A724" s="20" t="s">
        <v>1688</v>
      </c>
      <c r="B724" s="20" t="s">
        <v>166</v>
      </c>
      <c r="C724" s="20" t="s">
        <v>2798</v>
      </c>
      <c r="D724" s="20" t="s">
        <v>6678</v>
      </c>
      <c r="E724" s="20" t="s">
        <v>6679</v>
      </c>
      <c r="F724" s="20" t="s">
        <v>2857</v>
      </c>
      <c r="G724" s="20" t="s">
        <v>3130</v>
      </c>
      <c r="H724" s="22" t="n">
        <v>60.3</v>
      </c>
      <c r="I724" s="22" t="n">
        <v>60.3</v>
      </c>
      <c r="J724" s="22" t="n">
        <f aca="false">H724-I724</f>
        <v>0</v>
      </c>
      <c r="K724" s="20" t="str">
        <f aca="false">IF(ABS(J724)&lt;0.001,"MATCH - PAPER CHECK-IN NOT SUPPLIED","DATA MISMATCH")</f>
        <v>MATCH - PAPER CHECK-IN NOT SUPPLIED</v>
      </c>
      <c r="L724" s="22" t="n">
        <v>32</v>
      </c>
      <c r="M724" s="22" t="n">
        <f aca="false">ROUNDUP(H724,0)</f>
        <v>61</v>
      </c>
      <c r="N724" s="24" t="n">
        <f aca="false">MAX(L724,M724)</f>
        <v>61</v>
      </c>
      <c r="O724" s="25" t="n">
        <v>7.55</v>
      </c>
      <c r="P724" s="25" t="n">
        <f aca="false">N724*O724</f>
        <v>460.55</v>
      </c>
      <c r="Q724" s="23"/>
      <c r="R724" s="23"/>
      <c r="S724" s="24"/>
      <c r="T724" s="25"/>
      <c r="U724" s="25" t="n">
        <v>0</v>
      </c>
      <c r="V724" s="25" t="n">
        <f aca="false">P724-U724</f>
        <v>460.55</v>
      </c>
      <c r="W724" s="25" t="n">
        <f aca="false">V724*12</f>
        <v>5526.6</v>
      </c>
      <c r="X724" s="23" t="str">
        <f aca="false">IF(Q724="","MISSING FROM EXPORT",IF(ABS(V724)&lt;0.005,"CLEAR",IF(V724&gt;0,"UNDERBILLING","OVERBILLING")))</f>
        <v>MISSING FROM EXPORT</v>
      </c>
      <c r="Y724" s="25" t="n">
        <f aca="false">IF(F724="COMMERCIAL",ROUND(P724*0.35,2),0)</f>
        <v>0</v>
      </c>
      <c r="Z724" s="23" t="str">
        <f aca="false">IF(F724="COMMERCIAL","VERIFY SIGNED AGREEMENT","NO EXCEPTION")</f>
        <v>NO EXCEPTION</v>
      </c>
      <c r="AA724" s="23" t="str">
        <f aca="false">IF(AND(C724="covered",N724&gt;40),"COVERED &gt;40 FT","")</f>
        <v/>
      </c>
      <c r="AB724" s="23" t="s">
        <v>4705</v>
      </c>
      <c r="AC724" s="23" t="s">
        <v>6680</v>
      </c>
      <c r="AD724" s="23" t="s">
        <v>2807</v>
      </c>
    </row>
    <row r="725" customFormat="false" ht="17.9" hidden="false" customHeight="false" outlineLevel="0" collapsed="false">
      <c r="A725" s="20" t="s">
        <v>6681</v>
      </c>
      <c r="B725" s="20" t="s">
        <v>166</v>
      </c>
      <c r="C725" s="20" t="s">
        <v>2798</v>
      </c>
      <c r="D725" s="20" t="s">
        <v>6682</v>
      </c>
      <c r="E725" s="20" t="s">
        <v>6683</v>
      </c>
      <c r="F725" s="20" t="s">
        <v>2833</v>
      </c>
      <c r="G725" s="20" t="s">
        <v>3137</v>
      </c>
      <c r="H725" s="22" t="n">
        <v>20.9</v>
      </c>
      <c r="I725" s="22" t="n">
        <v>20.9</v>
      </c>
      <c r="J725" s="22" t="n">
        <f aca="false">H725-I725</f>
        <v>0</v>
      </c>
      <c r="K725" s="20" t="str">
        <f aca="false">IF(ABS(J725)&lt;0.001,"MATCH - PAPER CHECK-IN NOT SUPPLIED","DATA MISMATCH")</f>
        <v>MATCH - PAPER CHECK-IN NOT SUPPLIED</v>
      </c>
      <c r="L725" s="22" t="n">
        <v>50</v>
      </c>
      <c r="M725" s="22" t="n">
        <f aca="false">ROUNDUP(H725,0)</f>
        <v>21</v>
      </c>
      <c r="N725" s="24" t="n">
        <f aca="false">MAX(L725,M725)</f>
        <v>50</v>
      </c>
      <c r="O725" s="25" t="n">
        <v>7.55</v>
      </c>
      <c r="P725" s="25" t="n">
        <f aca="false">N725*O725</f>
        <v>377.5</v>
      </c>
      <c r="Q725" s="23"/>
      <c r="R725" s="23"/>
      <c r="S725" s="24"/>
      <c r="T725" s="25"/>
      <c r="U725" s="25" t="n">
        <v>0</v>
      </c>
      <c r="V725" s="25" t="n">
        <f aca="false">P725-U725</f>
        <v>377.5</v>
      </c>
      <c r="W725" s="25" t="n">
        <f aca="false">V725*12</f>
        <v>4530</v>
      </c>
      <c r="X725" s="23" t="str">
        <f aca="false">IF(Q725="","MISSING FROM EXPORT",IF(ABS(V725)&lt;0.005,"CLEAR",IF(V725&gt;0,"UNDERBILLING","OVERBILLING")))</f>
        <v>MISSING FROM EXPORT</v>
      </c>
      <c r="Y725" s="25" t="n">
        <f aca="false">IF(F725="COMMERCIAL",ROUND(P725*0.35,2),0)</f>
        <v>0</v>
      </c>
      <c r="Z725" s="23" t="str">
        <f aca="false">IF(F725="COMMERCIAL","VERIFY SIGNED AGREEMENT","NO EXCEPTION")</f>
        <v>NO EXCEPTION</v>
      </c>
      <c r="AA725" s="23" t="str">
        <f aca="false">IF(AND(C725="covered",N725&gt;40),"COVERED &gt;40 FT","")</f>
        <v/>
      </c>
      <c r="AB725" s="23" t="s">
        <v>4705</v>
      </c>
      <c r="AC725" s="23" t="s">
        <v>6684</v>
      </c>
      <c r="AD725" s="23" t="s">
        <v>2807</v>
      </c>
    </row>
    <row r="726" customFormat="false" ht="17.9" hidden="false" customHeight="false" outlineLevel="0" collapsed="false">
      <c r="A726" s="20" t="s">
        <v>6685</v>
      </c>
      <c r="B726" s="20" t="s">
        <v>166</v>
      </c>
      <c r="C726" s="20" t="s">
        <v>2798</v>
      </c>
      <c r="D726" s="20" t="s">
        <v>6686</v>
      </c>
      <c r="E726" s="20" t="s">
        <v>6687</v>
      </c>
      <c r="F726" s="20" t="s">
        <v>2833</v>
      </c>
      <c r="G726" s="20" t="s">
        <v>3144</v>
      </c>
      <c r="H726" s="22" t="n">
        <v>26.6</v>
      </c>
      <c r="I726" s="22" t="n">
        <v>26.6</v>
      </c>
      <c r="J726" s="22" t="n">
        <f aca="false">H726-I726</f>
        <v>0</v>
      </c>
      <c r="K726" s="20" t="str">
        <f aca="false">IF(ABS(J726)&lt;0.001,"MATCH - PAPER CHECK-IN NOT SUPPLIED","DATA MISMATCH")</f>
        <v>MATCH - PAPER CHECK-IN NOT SUPPLIED</v>
      </c>
      <c r="L726" s="22" t="n">
        <v>40</v>
      </c>
      <c r="M726" s="22" t="n">
        <f aca="false">ROUNDUP(H726,0)</f>
        <v>27</v>
      </c>
      <c r="N726" s="24" t="n">
        <f aca="false">MAX(L726,M726)</f>
        <v>40</v>
      </c>
      <c r="O726" s="25" t="n">
        <v>7.55</v>
      </c>
      <c r="P726" s="25" t="n">
        <f aca="false">N726*O726</f>
        <v>302</v>
      </c>
      <c r="Q726" s="23"/>
      <c r="R726" s="23"/>
      <c r="S726" s="24"/>
      <c r="T726" s="25"/>
      <c r="U726" s="25" t="n">
        <v>0</v>
      </c>
      <c r="V726" s="25" t="n">
        <f aca="false">P726-U726</f>
        <v>302</v>
      </c>
      <c r="W726" s="25" t="n">
        <f aca="false">V726*12</f>
        <v>3624</v>
      </c>
      <c r="X726" s="23" t="str">
        <f aca="false">IF(Q726="","MISSING FROM EXPORT",IF(ABS(V726)&lt;0.005,"CLEAR",IF(V726&gt;0,"UNDERBILLING","OVERBILLING")))</f>
        <v>MISSING FROM EXPORT</v>
      </c>
      <c r="Y726" s="25" t="n">
        <f aca="false">IF(F726="COMMERCIAL",ROUND(P726*0.35,2),0)</f>
        <v>0</v>
      </c>
      <c r="Z726" s="23" t="str">
        <f aca="false">IF(F726="COMMERCIAL","VERIFY SIGNED AGREEMENT","NO EXCEPTION")</f>
        <v>NO EXCEPTION</v>
      </c>
      <c r="AA726" s="23" t="str">
        <f aca="false">IF(AND(C726="covered",N726&gt;40),"COVERED &gt;40 FT","")</f>
        <v/>
      </c>
      <c r="AB726" s="23" t="s">
        <v>4705</v>
      </c>
      <c r="AC726" s="23" t="s">
        <v>6688</v>
      </c>
      <c r="AD726" s="23" t="s">
        <v>2807</v>
      </c>
    </row>
    <row r="727" customFormat="false" ht="17.9" hidden="false" customHeight="false" outlineLevel="0" collapsed="false">
      <c r="A727" s="20" t="s">
        <v>6689</v>
      </c>
      <c r="B727" s="20" t="s">
        <v>166</v>
      </c>
      <c r="C727" s="20" t="s">
        <v>2798</v>
      </c>
      <c r="D727" s="20" t="s">
        <v>6690</v>
      </c>
      <c r="E727" s="20" t="s">
        <v>6691</v>
      </c>
      <c r="F727" s="20" t="s">
        <v>2869</v>
      </c>
      <c r="G727" s="20" t="s">
        <v>3151</v>
      </c>
      <c r="H727" s="22" t="n">
        <v>43.8</v>
      </c>
      <c r="I727" s="22" t="n">
        <v>43.8</v>
      </c>
      <c r="J727" s="22" t="n">
        <f aca="false">H727-I727</f>
        <v>0</v>
      </c>
      <c r="K727" s="20" t="str">
        <f aca="false">IF(ABS(J727)&lt;0.001,"MATCH - PAPER CHECK-IN NOT SUPPLIED","DATA MISMATCH")</f>
        <v>MATCH - PAPER CHECK-IN NOT SUPPLIED</v>
      </c>
      <c r="L727" s="22" t="n">
        <v>28</v>
      </c>
      <c r="M727" s="22" t="n">
        <f aca="false">ROUNDUP(H727,0)</f>
        <v>44</v>
      </c>
      <c r="N727" s="24" t="n">
        <f aca="false">MAX(L727,M727)</f>
        <v>44</v>
      </c>
      <c r="O727" s="25" t="n">
        <v>7.55</v>
      </c>
      <c r="P727" s="25" t="n">
        <f aca="false">N727*O727</f>
        <v>332.2</v>
      </c>
      <c r="Q727" s="23"/>
      <c r="R727" s="23"/>
      <c r="S727" s="24"/>
      <c r="T727" s="25"/>
      <c r="U727" s="25" t="n">
        <v>0</v>
      </c>
      <c r="V727" s="25" t="n">
        <f aca="false">P727-U727</f>
        <v>332.2</v>
      </c>
      <c r="W727" s="25" t="n">
        <f aca="false">V727*12</f>
        <v>3986.4</v>
      </c>
      <c r="X727" s="23" t="str">
        <f aca="false">IF(Q727="","MISSING FROM EXPORT",IF(ABS(V727)&lt;0.005,"CLEAR",IF(V727&gt;0,"UNDERBILLING","OVERBILLING")))</f>
        <v>MISSING FROM EXPORT</v>
      </c>
      <c r="Y727" s="25" t="n">
        <f aca="false">IF(F727="COMMERCIAL",ROUND(P727*0.35,2),0)</f>
        <v>0</v>
      </c>
      <c r="Z727" s="23" t="str">
        <f aca="false">IF(F727="COMMERCIAL","VERIFY SIGNED AGREEMENT","NO EXCEPTION")</f>
        <v>NO EXCEPTION</v>
      </c>
      <c r="AA727" s="23" t="str">
        <f aca="false">IF(AND(C727="covered",N727&gt;40),"COVERED &gt;40 FT","")</f>
        <v/>
      </c>
      <c r="AB727" s="23" t="s">
        <v>4705</v>
      </c>
      <c r="AC727" s="23" t="s">
        <v>6692</v>
      </c>
      <c r="AD727" s="23" t="s">
        <v>2807</v>
      </c>
    </row>
    <row r="728" customFormat="false" ht="17.9" hidden="false" customHeight="false" outlineLevel="0" collapsed="false">
      <c r="A728" s="20" t="s">
        <v>6693</v>
      </c>
      <c r="B728" s="20" t="s">
        <v>166</v>
      </c>
      <c r="C728" s="20" t="s">
        <v>2798</v>
      </c>
      <c r="D728" s="20" t="s">
        <v>6694</v>
      </c>
      <c r="E728" s="20" t="s">
        <v>6695</v>
      </c>
      <c r="F728" s="20" t="s">
        <v>2801</v>
      </c>
      <c r="G728" s="20" t="s">
        <v>3158</v>
      </c>
      <c r="H728" s="22" t="n">
        <v>37.7</v>
      </c>
      <c r="I728" s="22" t="n">
        <v>37.7</v>
      </c>
      <c r="J728" s="22" t="n">
        <f aca="false">H728-I728</f>
        <v>0</v>
      </c>
      <c r="K728" s="20" t="str">
        <f aca="false">IF(ABS(J728)&lt;0.001,"MATCH - PAPER CHECK-IN NOT SUPPLIED","DATA MISMATCH")</f>
        <v>MATCH - PAPER CHECK-IN NOT SUPPLIED</v>
      </c>
      <c r="L728" s="22" t="n">
        <v>50</v>
      </c>
      <c r="M728" s="22" t="n">
        <f aca="false">ROUNDUP(H728,0)</f>
        <v>38</v>
      </c>
      <c r="N728" s="24" t="n">
        <f aca="false">MAX(L728,M728)</f>
        <v>50</v>
      </c>
      <c r="O728" s="25" t="n">
        <v>7.55</v>
      </c>
      <c r="P728" s="25" t="n">
        <f aca="false">N728*O728</f>
        <v>377.5</v>
      </c>
      <c r="Q728" s="23"/>
      <c r="R728" s="23"/>
      <c r="S728" s="24"/>
      <c r="T728" s="25"/>
      <c r="U728" s="25" t="n">
        <v>0</v>
      </c>
      <c r="V728" s="25" t="n">
        <f aca="false">P728-U728</f>
        <v>377.5</v>
      </c>
      <c r="W728" s="25" t="n">
        <f aca="false">V728*12</f>
        <v>4530</v>
      </c>
      <c r="X728" s="23" t="str">
        <f aca="false">IF(Q728="","MISSING FROM EXPORT",IF(ABS(V728)&lt;0.005,"CLEAR",IF(V728&gt;0,"UNDERBILLING","OVERBILLING")))</f>
        <v>MISSING FROM EXPORT</v>
      </c>
      <c r="Y728" s="25" t="n">
        <f aca="false">IF(F728="COMMERCIAL",ROUND(P728*0.35,2),0)</f>
        <v>0</v>
      </c>
      <c r="Z728" s="23" t="str">
        <f aca="false">IF(F728="COMMERCIAL","VERIFY SIGNED AGREEMENT","NO EXCEPTION")</f>
        <v>NO EXCEPTION</v>
      </c>
      <c r="AA728" s="23" t="str">
        <f aca="false">IF(AND(C728="covered",N728&gt;40),"COVERED &gt;40 FT","")</f>
        <v/>
      </c>
      <c r="AB728" s="23" t="s">
        <v>4705</v>
      </c>
      <c r="AC728" s="23" t="s">
        <v>6696</v>
      </c>
      <c r="AD728" s="23" t="s">
        <v>2807</v>
      </c>
    </row>
    <row r="729" customFormat="false" ht="17.9" hidden="false" customHeight="false" outlineLevel="0" collapsed="false">
      <c r="A729" s="20" t="s">
        <v>961</v>
      </c>
      <c r="B729" s="20" t="s">
        <v>166</v>
      </c>
      <c r="C729" s="20" t="s">
        <v>2798</v>
      </c>
      <c r="D729" s="20" t="s">
        <v>6697</v>
      </c>
      <c r="E729" s="20" t="s">
        <v>6698</v>
      </c>
      <c r="F729" s="20" t="s">
        <v>2869</v>
      </c>
      <c r="G729" s="20" t="s">
        <v>3165</v>
      </c>
      <c r="H729" s="22" t="n">
        <v>52.1</v>
      </c>
      <c r="I729" s="22" t="n">
        <v>52.1</v>
      </c>
      <c r="J729" s="22" t="n">
        <f aca="false">H729-I729</f>
        <v>0</v>
      </c>
      <c r="K729" s="20" t="str">
        <f aca="false">IF(ABS(J729)&lt;0.001,"MATCH - PAPER CHECK-IN NOT SUPPLIED","DATA MISMATCH")</f>
        <v>MATCH - PAPER CHECK-IN NOT SUPPLIED</v>
      </c>
      <c r="L729" s="22" t="n">
        <v>24</v>
      </c>
      <c r="M729" s="22" t="n">
        <f aca="false">ROUNDUP(H729,0)</f>
        <v>53</v>
      </c>
      <c r="N729" s="24" t="n">
        <f aca="false">MAX(L729,M729)</f>
        <v>53</v>
      </c>
      <c r="O729" s="25" t="n">
        <v>7.55</v>
      </c>
      <c r="P729" s="25" t="n">
        <f aca="false">N729*O729</f>
        <v>400.15</v>
      </c>
      <c r="Q729" s="23"/>
      <c r="R729" s="23"/>
      <c r="S729" s="24"/>
      <c r="T729" s="25"/>
      <c r="U729" s="25" t="n">
        <v>0</v>
      </c>
      <c r="V729" s="25" t="n">
        <f aca="false">P729-U729</f>
        <v>400.15</v>
      </c>
      <c r="W729" s="25" t="n">
        <f aca="false">V729*12</f>
        <v>4801.8</v>
      </c>
      <c r="X729" s="23" t="str">
        <f aca="false">IF(Q729="","MISSING FROM EXPORT",IF(ABS(V729)&lt;0.005,"CLEAR",IF(V729&gt;0,"UNDERBILLING","OVERBILLING")))</f>
        <v>MISSING FROM EXPORT</v>
      </c>
      <c r="Y729" s="25" t="n">
        <f aca="false">IF(F729="COMMERCIAL",ROUND(P729*0.35,2),0)</f>
        <v>0</v>
      </c>
      <c r="Z729" s="23" t="str">
        <f aca="false">IF(F729="COMMERCIAL","VERIFY SIGNED AGREEMENT","NO EXCEPTION")</f>
        <v>NO EXCEPTION</v>
      </c>
      <c r="AA729" s="23" t="str">
        <f aca="false">IF(AND(C729="covered",N729&gt;40),"COVERED &gt;40 FT","")</f>
        <v/>
      </c>
      <c r="AB729" s="23" t="s">
        <v>4705</v>
      </c>
      <c r="AC729" s="23" t="s">
        <v>6699</v>
      </c>
      <c r="AD729" s="23" t="s">
        <v>2807</v>
      </c>
    </row>
    <row r="730" customFormat="false" ht="17.9" hidden="false" customHeight="false" outlineLevel="0" collapsed="false">
      <c r="A730" s="20" t="s">
        <v>411</v>
      </c>
      <c r="B730" s="20" t="s">
        <v>166</v>
      </c>
      <c r="C730" s="20" t="s">
        <v>2798</v>
      </c>
      <c r="D730" s="20" t="s">
        <v>6700</v>
      </c>
      <c r="E730" s="20" t="s">
        <v>6701</v>
      </c>
      <c r="F730" s="20" t="s">
        <v>2869</v>
      </c>
      <c r="G730" s="20" t="s">
        <v>3172</v>
      </c>
      <c r="H730" s="22" t="n">
        <v>59.9</v>
      </c>
      <c r="I730" s="22" t="n">
        <v>59.9</v>
      </c>
      <c r="J730" s="22" t="n">
        <f aca="false">H730-I730</f>
        <v>0</v>
      </c>
      <c r="K730" s="20" t="str">
        <f aca="false">IF(ABS(J730)&lt;0.001,"MATCH - PAPER CHECK-IN NOT SUPPLIED","DATA MISMATCH")</f>
        <v>MATCH - PAPER CHECK-IN NOT SUPPLIED</v>
      </c>
      <c r="L730" s="22" t="n">
        <v>70</v>
      </c>
      <c r="M730" s="22" t="n">
        <f aca="false">ROUNDUP(H730,0)</f>
        <v>60</v>
      </c>
      <c r="N730" s="24" t="n">
        <f aca="false">MAX(L730,M730)</f>
        <v>70</v>
      </c>
      <c r="O730" s="25" t="n">
        <v>7.55</v>
      </c>
      <c r="P730" s="25" t="n">
        <f aca="false">N730*O730</f>
        <v>528.5</v>
      </c>
      <c r="Q730" s="23"/>
      <c r="R730" s="23"/>
      <c r="S730" s="24"/>
      <c r="T730" s="25"/>
      <c r="U730" s="25" t="n">
        <v>0</v>
      </c>
      <c r="V730" s="25" t="n">
        <f aca="false">P730-U730</f>
        <v>528.5</v>
      </c>
      <c r="W730" s="25" t="n">
        <f aca="false">V730*12</f>
        <v>6342</v>
      </c>
      <c r="X730" s="23" t="str">
        <f aca="false">IF(Q730="","MISSING FROM EXPORT",IF(ABS(V730)&lt;0.005,"CLEAR",IF(V730&gt;0,"UNDERBILLING","OVERBILLING")))</f>
        <v>MISSING FROM EXPORT</v>
      </c>
      <c r="Y730" s="25" t="n">
        <f aca="false">IF(F730="COMMERCIAL",ROUND(P730*0.35,2),0)</f>
        <v>0</v>
      </c>
      <c r="Z730" s="23" t="str">
        <f aca="false">IF(F730="COMMERCIAL","VERIFY SIGNED AGREEMENT","NO EXCEPTION")</f>
        <v>NO EXCEPTION</v>
      </c>
      <c r="AA730" s="23" t="str">
        <f aca="false">IF(AND(C730="covered",N730&gt;40),"COVERED &gt;40 FT","")</f>
        <v/>
      </c>
      <c r="AB730" s="23" t="s">
        <v>4705</v>
      </c>
      <c r="AC730" s="23" t="s">
        <v>6702</v>
      </c>
      <c r="AD730" s="23" t="s">
        <v>2807</v>
      </c>
    </row>
    <row r="731" customFormat="false" ht="17.9" hidden="false" customHeight="false" outlineLevel="0" collapsed="false">
      <c r="A731" s="20" t="s">
        <v>6703</v>
      </c>
      <c r="B731" s="20" t="s">
        <v>166</v>
      </c>
      <c r="C731" s="20" t="s">
        <v>2798</v>
      </c>
      <c r="D731" s="20" t="s">
        <v>6704</v>
      </c>
      <c r="E731" s="20" t="s">
        <v>6705</v>
      </c>
      <c r="F731" s="20" t="s">
        <v>2810</v>
      </c>
      <c r="G731" s="20" t="s">
        <v>3179</v>
      </c>
      <c r="H731" s="22" t="n">
        <v>55.5</v>
      </c>
      <c r="I731" s="22" t="n">
        <v>55.5</v>
      </c>
      <c r="J731" s="22" t="n">
        <f aca="false">H731-I731</f>
        <v>0</v>
      </c>
      <c r="K731" s="20" t="str">
        <f aca="false">IF(ABS(J731)&lt;0.001,"MATCH - PAPER CHECK-IN NOT SUPPLIED","DATA MISMATCH")</f>
        <v>MATCH - PAPER CHECK-IN NOT SUPPLIED</v>
      </c>
      <c r="L731" s="22" t="n">
        <v>24</v>
      </c>
      <c r="M731" s="22" t="n">
        <f aca="false">ROUNDUP(H731,0)</f>
        <v>56</v>
      </c>
      <c r="N731" s="24" t="n">
        <f aca="false">MAX(L731,M731)</f>
        <v>56</v>
      </c>
      <c r="O731" s="25" t="n">
        <v>7.55</v>
      </c>
      <c r="P731" s="25" t="n">
        <f aca="false">N731*O731</f>
        <v>422.8</v>
      </c>
      <c r="Q731" s="23"/>
      <c r="R731" s="23"/>
      <c r="S731" s="24"/>
      <c r="T731" s="25"/>
      <c r="U731" s="25" t="n">
        <v>0</v>
      </c>
      <c r="V731" s="25" t="n">
        <f aca="false">P731-U731</f>
        <v>422.8</v>
      </c>
      <c r="W731" s="25" t="n">
        <f aca="false">V731*12</f>
        <v>5073.6</v>
      </c>
      <c r="X731" s="23" t="str">
        <f aca="false">IF(Q731="","MISSING FROM EXPORT",IF(ABS(V731)&lt;0.005,"CLEAR",IF(V731&gt;0,"UNDERBILLING","OVERBILLING")))</f>
        <v>MISSING FROM EXPORT</v>
      </c>
      <c r="Y731" s="25" t="n">
        <f aca="false">IF(F731="COMMERCIAL",ROUND(P731*0.35,2),0)</f>
        <v>0</v>
      </c>
      <c r="Z731" s="23" t="str">
        <f aca="false">IF(F731="COMMERCIAL","VERIFY SIGNED AGREEMENT","NO EXCEPTION")</f>
        <v>NO EXCEPTION</v>
      </c>
      <c r="AA731" s="23" t="str">
        <f aca="false">IF(AND(C731="covered",N731&gt;40),"COVERED &gt;40 FT","")</f>
        <v/>
      </c>
      <c r="AB731" s="23" t="s">
        <v>4705</v>
      </c>
      <c r="AC731" s="23" t="s">
        <v>6706</v>
      </c>
      <c r="AD731" s="23" t="s">
        <v>2807</v>
      </c>
    </row>
    <row r="732" customFormat="false" ht="17.9" hidden="false" customHeight="false" outlineLevel="0" collapsed="false">
      <c r="A732" s="20" t="s">
        <v>6707</v>
      </c>
      <c r="B732" s="20" t="s">
        <v>166</v>
      </c>
      <c r="C732" s="20" t="s">
        <v>2798</v>
      </c>
      <c r="D732" s="20" t="s">
        <v>6708</v>
      </c>
      <c r="E732" s="20" t="s">
        <v>6709</v>
      </c>
      <c r="F732" s="20" t="s">
        <v>2833</v>
      </c>
      <c r="G732" s="20" t="s">
        <v>3186</v>
      </c>
      <c r="H732" s="22" t="n">
        <v>32.9</v>
      </c>
      <c r="I732" s="22" t="n">
        <v>32.9</v>
      </c>
      <c r="J732" s="22" t="n">
        <f aca="false">H732-I732</f>
        <v>0</v>
      </c>
      <c r="K732" s="20" t="str">
        <f aca="false">IF(ABS(J732)&lt;0.001,"MATCH - PAPER CHECK-IN NOT SUPPLIED","DATA MISMATCH")</f>
        <v>MATCH - PAPER CHECK-IN NOT SUPPLIED</v>
      </c>
      <c r="L732" s="22" t="n">
        <v>24</v>
      </c>
      <c r="M732" s="22" t="n">
        <f aca="false">ROUNDUP(H732,0)</f>
        <v>33</v>
      </c>
      <c r="N732" s="24" t="n">
        <f aca="false">MAX(L732,M732)</f>
        <v>33</v>
      </c>
      <c r="O732" s="25" t="n">
        <v>7.55</v>
      </c>
      <c r="P732" s="25" t="n">
        <f aca="false">N732*O732</f>
        <v>249.15</v>
      </c>
      <c r="Q732" s="23"/>
      <c r="R732" s="23"/>
      <c r="S732" s="24"/>
      <c r="T732" s="25"/>
      <c r="U732" s="25" t="n">
        <v>0</v>
      </c>
      <c r="V732" s="25" t="n">
        <f aca="false">P732-U732</f>
        <v>249.15</v>
      </c>
      <c r="W732" s="25" t="n">
        <f aca="false">V732*12</f>
        <v>2989.8</v>
      </c>
      <c r="X732" s="23" t="str">
        <f aca="false">IF(Q732="","MISSING FROM EXPORT",IF(ABS(V732)&lt;0.005,"CLEAR",IF(V732&gt;0,"UNDERBILLING","OVERBILLING")))</f>
        <v>MISSING FROM EXPORT</v>
      </c>
      <c r="Y732" s="25" t="n">
        <f aca="false">IF(F732="COMMERCIAL",ROUND(P732*0.35,2),0)</f>
        <v>0</v>
      </c>
      <c r="Z732" s="23" t="str">
        <f aca="false">IF(F732="COMMERCIAL","VERIFY SIGNED AGREEMENT","NO EXCEPTION")</f>
        <v>NO EXCEPTION</v>
      </c>
      <c r="AA732" s="23" t="str">
        <f aca="false">IF(AND(C732="covered",N732&gt;40),"COVERED &gt;40 FT","")</f>
        <v/>
      </c>
      <c r="AB732" s="23" t="s">
        <v>4705</v>
      </c>
      <c r="AC732" s="23" t="s">
        <v>6710</v>
      </c>
      <c r="AD732" s="23" t="s">
        <v>2807</v>
      </c>
    </row>
    <row r="733" customFormat="false" ht="17.9" hidden="false" customHeight="false" outlineLevel="0" collapsed="false">
      <c r="A733" s="20" t="s">
        <v>6711</v>
      </c>
      <c r="B733" s="20" t="s">
        <v>166</v>
      </c>
      <c r="C733" s="20" t="s">
        <v>2798</v>
      </c>
      <c r="D733" s="20" t="s">
        <v>6712</v>
      </c>
      <c r="E733" s="20" t="s">
        <v>6713</v>
      </c>
      <c r="F733" s="20" t="s">
        <v>2857</v>
      </c>
      <c r="G733" s="20" t="s">
        <v>3193</v>
      </c>
      <c r="H733" s="22" t="n">
        <v>45.8</v>
      </c>
      <c r="I733" s="22" t="n">
        <v>45.8</v>
      </c>
      <c r="J733" s="22" t="n">
        <f aca="false">H733-I733</f>
        <v>0</v>
      </c>
      <c r="K733" s="20" t="str">
        <f aca="false">IF(ABS(J733)&lt;0.001,"MATCH - PAPER CHECK-IN NOT SUPPLIED","DATA MISMATCH")</f>
        <v>MATCH - PAPER CHECK-IN NOT SUPPLIED</v>
      </c>
      <c r="L733" s="22" t="n">
        <v>28</v>
      </c>
      <c r="M733" s="22" t="n">
        <f aca="false">ROUNDUP(H733,0)</f>
        <v>46</v>
      </c>
      <c r="N733" s="24" t="n">
        <f aca="false">MAX(L733,M733)</f>
        <v>46</v>
      </c>
      <c r="O733" s="25" t="n">
        <v>7.55</v>
      </c>
      <c r="P733" s="25" t="n">
        <f aca="false">N733*O733</f>
        <v>347.3</v>
      </c>
      <c r="Q733" s="23"/>
      <c r="R733" s="23"/>
      <c r="S733" s="24"/>
      <c r="T733" s="25"/>
      <c r="U733" s="25" t="n">
        <v>0</v>
      </c>
      <c r="V733" s="25" t="n">
        <f aca="false">P733-U733</f>
        <v>347.3</v>
      </c>
      <c r="W733" s="25" t="n">
        <f aca="false">V733*12</f>
        <v>4167.6</v>
      </c>
      <c r="X733" s="23" t="str">
        <f aca="false">IF(Q733="","MISSING FROM EXPORT",IF(ABS(V733)&lt;0.005,"CLEAR",IF(V733&gt;0,"UNDERBILLING","OVERBILLING")))</f>
        <v>MISSING FROM EXPORT</v>
      </c>
      <c r="Y733" s="25" t="n">
        <f aca="false">IF(F733="COMMERCIAL",ROUND(P733*0.35,2),0)</f>
        <v>0</v>
      </c>
      <c r="Z733" s="23" t="str">
        <f aca="false">IF(F733="COMMERCIAL","VERIFY SIGNED AGREEMENT","NO EXCEPTION")</f>
        <v>NO EXCEPTION</v>
      </c>
      <c r="AA733" s="23" t="str">
        <f aca="false">IF(AND(C733="covered",N733&gt;40),"COVERED &gt;40 FT","")</f>
        <v/>
      </c>
      <c r="AB733" s="23" t="s">
        <v>4705</v>
      </c>
      <c r="AC733" s="23" t="s">
        <v>6714</v>
      </c>
      <c r="AD733" s="23" t="s">
        <v>2807</v>
      </c>
    </row>
    <row r="734" customFormat="false" ht="17.9" hidden="false" customHeight="false" outlineLevel="0" collapsed="false">
      <c r="A734" s="20" t="s">
        <v>6715</v>
      </c>
      <c r="B734" s="20" t="s">
        <v>166</v>
      </c>
      <c r="C734" s="20" t="s">
        <v>2798</v>
      </c>
      <c r="D734" s="20" t="s">
        <v>6716</v>
      </c>
      <c r="E734" s="20" t="s">
        <v>6717</v>
      </c>
      <c r="F734" s="20" t="s">
        <v>2934</v>
      </c>
      <c r="G734" s="20" t="s">
        <v>3200</v>
      </c>
      <c r="H734" s="22" t="n">
        <v>27.1</v>
      </c>
      <c r="I734" s="22" t="n">
        <v>27.1</v>
      </c>
      <c r="J734" s="22" t="n">
        <f aca="false">H734-I734</f>
        <v>0</v>
      </c>
      <c r="K734" s="20" t="str">
        <f aca="false">IF(ABS(J734)&lt;0.001,"MATCH - PAPER CHECK-IN NOT SUPPLIED","DATA MISMATCH")</f>
        <v>MATCH - PAPER CHECK-IN NOT SUPPLIED</v>
      </c>
      <c r="L734" s="22" t="n">
        <v>28</v>
      </c>
      <c r="M734" s="22" t="n">
        <f aca="false">ROUNDUP(H734,0)</f>
        <v>28</v>
      </c>
      <c r="N734" s="24" t="n">
        <f aca="false">MAX(L734,M734)</f>
        <v>28</v>
      </c>
      <c r="O734" s="25" t="n">
        <v>7.55</v>
      </c>
      <c r="P734" s="25" t="n">
        <f aca="false">N734*O734</f>
        <v>211.4</v>
      </c>
      <c r="Q734" s="23"/>
      <c r="R734" s="23"/>
      <c r="S734" s="24"/>
      <c r="T734" s="25"/>
      <c r="U734" s="25" t="n">
        <v>0</v>
      </c>
      <c r="V734" s="25" t="n">
        <f aca="false">P734-U734</f>
        <v>211.4</v>
      </c>
      <c r="W734" s="25" t="n">
        <f aca="false">V734*12</f>
        <v>2536.8</v>
      </c>
      <c r="X734" s="23" t="str">
        <f aca="false">IF(Q734="","MISSING FROM EXPORT",IF(ABS(V734)&lt;0.005,"CLEAR",IF(V734&gt;0,"UNDERBILLING","OVERBILLING")))</f>
        <v>MISSING FROM EXPORT</v>
      </c>
      <c r="Y734" s="25" t="n">
        <f aca="false">IF(F734="COMMERCIAL",ROUND(P734*0.35,2),0)</f>
        <v>73.99</v>
      </c>
      <c r="Z734" s="23" t="str">
        <f aca="false">IF(F734="COMMERCIAL","VERIFY SIGNED AGREEMENT","NO EXCEPTION")</f>
        <v>VERIFY SIGNED AGREEMENT</v>
      </c>
      <c r="AA734" s="23" t="str">
        <f aca="false">IF(AND(C734="covered",N734&gt;40),"COVERED &gt;40 FT","")</f>
        <v/>
      </c>
      <c r="AB734" s="23" t="s">
        <v>4705</v>
      </c>
      <c r="AC734" s="23" t="s">
        <v>6718</v>
      </c>
      <c r="AD734" s="23" t="s">
        <v>2807</v>
      </c>
    </row>
    <row r="735" customFormat="false" ht="17.9" hidden="false" customHeight="false" outlineLevel="0" collapsed="false">
      <c r="A735" s="20" t="s">
        <v>908</v>
      </c>
      <c r="B735" s="20" t="s">
        <v>166</v>
      </c>
      <c r="C735" s="20" t="s">
        <v>2798</v>
      </c>
      <c r="D735" s="20" t="s">
        <v>6719</v>
      </c>
      <c r="E735" s="20" t="s">
        <v>6720</v>
      </c>
      <c r="F735" s="20" t="s">
        <v>2818</v>
      </c>
      <c r="G735" s="20" t="s">
        <v>3206</v>
      </c>
      <c r="H735" s="22" t="n">
        <v>53.4</v>
      </c>
      <c r="I735" s="22" t="n">
        <v>53.4</v>
      </c>
      <c r="J735" s="22" t="n">
        <f aca="false">H735-I735</f>
        <v>0</v>
      </c>
      <c r="K735" s="20" t="str">
        <f aca="false">IF(ABS(J735)&lt;0.001,"MATCH - PAPER CHECK-IN NOT SUPPLIED","DATA MISMATCH")</f>
        <v>MATCH - PAPER CHECK-IN NOT SUPPLIED</v>
      </c>
      <c r="L735" s="22" t="n">
        <v>32</v>
      </c>
      <c r="M735" s="22" t="n">
        <f aca="false">ROUNDUP(H735,0)</f>
        <v>54</v>
      </c>
      <c r="N735" s="24" t="n">
        <f aca="false">MAX(L735,M735)</f>
        <v>54</v>
      </c>
      <c r="O735" s="25" t="n">
        <v>7.55</v>
      </c>
      <c r="P735" s="25" t="n">
        <f aca="false">N735*O735</f>
        <v>407.7</v>
      </c>
      <c r="Q735" s="23"/>
      <c r="R735" s="23"/>
      <c r="S735" s="24"/>
      <c r="T735" s="25"/>
      <c r="U735" s="25" t="n">
        <v>0</v>
      </c>
      <c r="V735" s="25" t="n">
        <f aca="false">P735-U735</f>
        <v>407.7</v>
      </c>
      <c r="W735" s="25" t="n">
        <f aca="false">V735*12</f>
        <v>4892.4</v>
      </c>
      <c r="X735" s="23" t="str">
        <f aca="false">IF(Q735="","MISSING FROM EXPORT",IF(ABS(V735)&lt;0.005,"CLEAR",IF(V735&gt;0,"UNDERBILLING","OVERBILLING")))</f>
        <v>MISSING FROM EXPORT</v>
      </c>
      <c r="Y735" s="25" t="n">
        <f aca="false">IF(F735="COMMERCIAL",ROUND(P735*0.35,2),0)</f>
        <v>0</v>
      </c>
      <c r="Z735" s="23" t="str">
        <f aca="false">IF(F735="COMMERCIAL","VERIFY SIGNED AGREEMENT","NO EXCEPTION")</f>
        <v>NO EXCEPTION</v>
      </c>
      <c r="AA735" s="23" t="str">
        <f aca="false">IF(AND(C735="covered",N735&gt;40),"COVERED &gt;40 FT","")</f>
        <v/>
      </c>
      <c r="AB735" s="23" t="s">
        <v>4705</v>
      </c>
      <c r="AC735" s="23" t="s">
        <v>6721</v>
      </c>
      <c r="AD735" s="23" t="s">
        <v>2807</v>
      </c>
    </row>
    <row r="736" customFormat="false" ht="17.9" hidden="false" customHeight="false" outlineLevel="0" collapsed="false">
      <c r="A736" s="20" t="s">
        <v>6722</v>
      </c>
      <c r="B736" s="20" t="s">
        <v>166</v>
      </c>
      <c r="C736" s="20" t="s">
        <v>2798</v>
      </c>
      <c r="D736" s="20" t="s">
        <v>6723</v>
      </c>
      <c r="E736" s="20" t="s">
        <v>6724</v>
      </c>
      <c r="F736" s="20" t="s">
        <v>2810</v>
      </c>
      <c r="G736" s="20" t="s">
        <v>4543</v>
      </c>
      <c r="H736" s="22" t="n">
        <v>28.9</v>
      </c>
      <c r="I736" s="22" t="n">
        <v>28.9</v>
      </c>
      <c r="J736" s="22" t="n">
        <f aca="false">H736-I736</f>
        <v>0</v>
      </c>
      <c r="K736" s="20" t="str">
        <f aca="false">IF(ABS(J736)&lt;0.001,"MATCH - PAPER CHECK-IN NOT SUPPLIED","DATA MISMATCH")</f>
        <v>MATCH - PAPER CHECK-IN NOT SUPPLIED</v>
      </c>
      <c r="L736" s="22" t="n">
        <v>36</v>
      </c>
      <c r="M736" s="22" t="n">
        <f aca="false">ROUNDUP(H736,0)</f>
        <v>29</v>
      </c>
      <c r="N736" s="24" t="n">
        <f aca="false">MAX(L736,M736)</f>
        <v>36</v>
      </c>
      <c r="O736" s="25" t="n">
        <v>7.55</v>
      </c>
      <c r="P736" s="25" t="n">
        <f aca="false">N736*O736</f>
        <v>271.8</v>
      </c>
      <c r="Q736" s="23"/>
      <c r="R736" s="23"/>
      <c r="S736" s="24"/>
      <c r="T736" s="25"/>
      <c r="U736" s="25" t="n">
        <v>0</v>
      </c>
      <c r="V736" s="25" t="n">
        <f aca="false">P736-U736</f>
        <v>271.8</v>
      </c>
      <c r="W736" s="25" t="n">
        <f aca="false">V736*12</f>
        <v>3261.6</v>
      </c>
      <c r="X736" s="23" t="str">
        <f aca="false">IF(Q736="","MISSING FROM EXPORT",IF(ABS(V736)&lt;0.005,"CLEAR",IF(V736&gt;0,"UNDERBILLING","OVERBILLING")))</f>
        <v>MISSING FROM EXPORT</v>
      </c>
      <c r="Y736" s="25" t="n">
        <f aca="false">IF(F736="COMMERCIAL",ROUND(P736*0.35,2),0)</f>
        <v>0</v>
      </c>
      <c r="Z736" s="23" t="str">
        <f aca="false">IF(F736="COMMERCIAL","VERIFY SIGNED AGREEMENT","NO EXCEPTION")</f>
        <v>NO EXCEPTION</v>
      </c>
      <c r="AA736" s="23" t="str">
        <f aca="false">IF(AND(C736="covered",N736&gt;40),"COVERED &gt;40 FT","")</f>
        <v/>
      </c>
      <c r="AB736" s="23" t="s">
        <v>4705</v>
      </c>
      <c r="AC736" s="23" t="s">
        <v>6725</v>
      </c>
      <c r="AD736" s="23" t="s">
        <v>2807</v>
      </c>
    </row>
    <row r="737" customFormat="false" ht="17.9" hidden="false" customHeight="false" outlineLevel="0" collapsed="false">
      <c r="A737" s="20" t="s">
        <v>6726</v>
      </c>
      <c r="B737" s="20" t="s">
        <v>166</v>
      </c>
      <c r="C737" s="20" t="s">
        <v>2798</v>
      </c>
      <c r="D737" s="20" t="s">
        <v>6727</v>
      </c>
      <c r="E737" s="20" t="s">
        <v>6728</v>
      </c>
      <c r="F737" s="20" t="s">
        <v>2833</v>
      </c>
      <c r="G737" s="20" t="s">
        <v>3213</v>
      </c>
      <c r="H737" s="22" t="n">
        <v>24</v>
      </c>
      <c r="I737" s="22" t="n">
        <v>24</v>
      </c>
      <c r="J737" s="22" t="n">
        <f aca="false">H737-I737</f>
        <v>0</v>
      </c>
      <c r="K737" s="20" t="str">
        <f aca="false">IF(ABS(J737)&lt;0.001,"MATCH - PAPER CHECK-IN NOT SUPPLIED","DATA MISMATCH")</f>
        <v>MATCH - PAPER CHECK-IN NOT SUPPLIED</v>
      </c>
      <c r="L737" s="22" t="n">
        <v>45</v>
      </c>
      <c r="M737" s="22" t="n">
        <f aca="false">ROUNDUP(H737,0)</f>
        <v>24</v>
      </c>
      <c r="N737" s="24" t="n">
        <f aca="false">MAX(L737,M737)</f>
        <v>45</v>
      </c>
      <c r="O737" s="25" t="n">
        <v>7.55</v>
      </c>
      <c r="P737" s="25" t="n">
        <f aca="false">N737*O737</f>
        <v>339.75</v>
      </c>
      <c r="Q737" s="23"/>
      <c r="R737" s="23"/>
      <c r="S737" s="24"/>
      <c r="T737" s="25"/>
      <c r="U737" s="25" t="n">
        <v>0</v>
      </c>
      <c r="V737" s="25" t="n">
        <f aca="false">P737-U737</f>
        <v>339.75</v>
      </c>
      <c r="W737" s="25" t="n">
        <f aca="false">V737*12</f>
        <v>4077</v>
      </c>
      <c r="X737" s="23" t="str">
        <f aca="false">IF(Q737="","MISSING FROM EXPORT",IF(ABS(V737)&lt;0.005,"CLEAR",IF(V737&gt;0,"UNDERBILLING","OVERBILLING")))</f>
        <v>MISSING FROM EXPORT</v>
      </c>
      <c r="Y737" s="25" t="n">
        <f aca="false">IF(F737="COMMERCIAL",ROUND(P737*0.35,2),0)</f>
        <v>0</v>
      </c>
      <c r="Z737" s="23" t="str">
        <f aca="false">IF(F737="COMMERCIAL","VERIFY SIGNED AGREEMENT","NO EXCEPTION")</f>
        <v>NO EXCEPTION</v>
      </c>
      <c r="AA737" s="23" t="str">
        <f aca="false">IF(AND(C737="covered",N737&gt;40),"COVERED &gt;40 FT","")</f>
        <v/>
      </c>
      <c r="AB737" s="23" t="s">
        <v>4705</v>
      </c>
      <c r="AC737" s="23" t="s">
        <v>6729</v>
      </c>
      <c r="AD737" s="23" t="s">
        <v>2807</v>
      </c>
    </row>
    <row r="738" customFormat="false" ht="17.9" hidden="false" customHeight="false" outlineLevel="0" collapsed="false">
      <c r="A738" s="20" t="s">
        <v>6730</v>
      </c>
      <c r="B738" s="20" t="s">
        <v>166</v>
      </c>
      <c r="C738" s="20" t="s">
        <v>2798</v>
      </c>
      <c r="D738" s="20" t="s">
        <v>6731</v>
      </c>
      <c r="E738" s="20" t="s">
        <v>6732</v>
      </c>
      <c r="F738" s="20" t="s">
        <v>2934</v>
      </c>
      <c r="G738" s="20" t="s">
        <v>3220</v>
      </c>
      <c r="H738" s="22" t="n">
        <v>35.5</v>
      </c>
      <c r="I738" s="22" t="n">
        <v>35.5</v>
      </c>
      <c r="J738" s="22" t="n">
        <f aca="false">H738-I738</f>
        <v>0</v>
      </c>
      <c r="K738" s="20" t="str">
        <f aca="false">IF(ABS(J738)&lt;0.001,"MATCH - PAPER CHECK-IN NOT SUPPLIED","DATA MISMATCH")</f>
        <v>MATCH - PAPER CHECK-IN NOT SUPPLIED</v>
      </c>
      <c r="L738" s="22" t="n">
        <v>24</v>
      </c>
      <c r="M738" s="22" t="n">
        <f aca="false">ROUNDUP(H738,0)</f>
        <v>36</v>
      </c>
      <c r="N738" s="24" t="n">
        <f aca="false">MAX(L738,M738)</f>
        <v>36</v>
      </c>
      <c r="O738" s="25" t="n">
        <v>7.55</v>
      </c>
      <c r="P738" s="25" t="n">
        <f aca="false">N738*O738</f>
        <v>271.8</v>
      </c>
      <c r="Q738" s="23"/>
      <c r="R738" s="23"/>
      <c r="S738" s="24"/>
      <c r="T738" s="25"/>
      <c r="U738" s="25" t="n">
        <v>0</v>
      </c>
      <c r="V738" s="25" t="n">
        <f aca="false">P738-U738</f>
        <v>271.8</v>
      </c>
      <c r="W738" s="25" t="n">
        <f aca="false">V738*12</f>
        <v>3261.6</v>
      </c>
      <c r="X738" s="23" t="str">
        <f aca="false">IF(Q738="","MISSING FROM EXPORT",IF(ABS(V738)&lt;0.005,"CLEAR",IF(V738&gt;0,"UNDERBILLING","OVERBILLING")))</f>
        <v>MISSING FROM EXPORT</v>
      </c>
      <c r="Y738" s="25" t="n">
        <f aca="false">IF(F738="COMMERCIAL",ROUND(P738*0.35,2),0)</f>
        <v>95.13</v>
      </c>
      <c r="Z738" s="23" t="str">
        <f aca="false">IF(F738="COMMERCIAL","VERIFY SIGNED AGREEMENT","NO EXCEPTION")</f>
        <v>VERIFY SIGNED AGREEMENT</v>
      </c>
      <c r="AA738" s="23" t="str">
        <f aca="false">IF(AND(C738="covered",N738&gt;40),"COVERED &gt;40 FT","")</f>
        <v/>
      </c>
      <c r="AB738" s="23" t="s">
        <v>4705</v>
      </c>
      <c r="AC738" s="23" t="s">
        <v>6733</v>
      </c>
      <c r="AD738" s="23" t="s">
        <v>2807</v>
      </c>
    </row>
    <row r="739" customFormat="false" ht="17.9" hidden="false" customHeight="false" outlineLevel="0" collapsed="false">
      <c r="A739" s="20" t="s">
        <v>6734</v>
      </c>
      <c r="B739" s="20" t="s">
        <v>166</v>
      </c>
      <c r="C739" s="20" t="s">
        <v>2798</v>
      </c>
      <c r="D739" s="20" t="s">
        <v>6735</v>
      </c>
      <c r="E739" s="20" t="s">
        <v>6736</v>
      </c>
      <c r="F739" s="20" t="s">
        <v>2898</v>
      </c>
      <c r="G739" s="20" t="s">
        <v>3225</v>
      </c>
      <c r="H739" s="22" t="n">
        <v>47.1</v>
      </c>
      <c r="I739" s="22" t="n">
        <v>47.1</v>
      </c>
      <c r="J739" s="22" t="n">
        <f aca="false">H739-I739</f>
        <v>0</v>
      </c>
      <c r="K739" s="20" t="str">
        <f aca="false">IF(ABS(J739)&lt;0.001,"MATCH - PAPER CHECK-IN NOT SUPPLIED","DATA MISMATCH")</f>
        <v>MATCH - PAPER CHECK-IN NOT SUPPLIED</v>
      </c>
      <c r="L739" s="22" t="n">
        <v>70</v>
      </c>
      <c r="M739" s="22" t="n">
        <f aca="false">ROUNDUP(H739,0)</f>
        <v>48</v>
      </c>
      <c r="N739" s="24" t="n">
        <f aca="false">MAX(L739,M739)</f>
        <v>70</v>
      </c>
      <c r="O739" s="25" t="n">
        <v>7.55</v>
      </c>
      <c r="P739" s="25" t="n">
        <f aca="false">N739*O739</f>
        <v>528.5</v>
      </c>
      <c r="Q739" s="23"/>
      <c r="R739" s="23"/>
      <c r="S739" s="24"/>
      <c r="T739" s="25"/>
      <c r="U739" s="25" t="n">
        <v>0</v>
      </c>
      <c r="V739" s="25" t="n">
        <f aca="false">P739-U739</f>
        <v>528.5</v>
      </c>
      <c r="W739" s="25" t="n">
        <f aca="false">V739*12</f>
        <v>6342</v>
      </c>
      <c r="X739" s="23" t="str">
        <f aca="false">IF(Q739="","MISSING FROM EXPORT",IF(ABS(V739)&lt;0.005,"CLEAR",IF(V739&gt;0,"UNDERBILLING","OVERBILLING")))</f>
        <v>MISSING FROM EXPORT</v>
      </c>
      <c r="Y739" s="25" t="n">
        <f aca="false">IF(F739="COMMERCIAL",ROUND(P739*0.35,2),0)</f>
        <v>0</v>
      </c>
      <c r="Z739" s="23" t="str">
        <f aca="false">IF(F739="COMMERCIAL","VERIFY SIGNED AGREEMENT","NO EXCEPTION")</f>
        <v>NO EXCEPTION</v>
      </c>
      <c r="AA739" s="23" t="str">
        <f aca="false">IF(AND(C739="covered",N739&gt;40),"COVERED &gt;40 FT","")</f>
        <v/>
      </c>
      <c r="AB739" s="23" t="s">
        <v>4705</v>
      </c>
      <c r="AC739" s="23" t="s">
        <v>6737</v>
      </c>
      <c r="AD739" s="23" t="s">
        <v>2807</v>
      </c>
    </row>
    <row r="740" customFormat="false" ht="17.9" hidden="false" customHeight="false" outlineLevel="0" collapsed="false">
      <c r="A740" s="20" t="s">
        <v>6738</v>
      </c>
      <c r="B740" s="20" t="s">
        <v>166</v>
      </c>
      <c r="C740" s="20" t="s">
        <v>2798</v>
      </c>
      <c r="D740" s="20" t="s">
        <v>6739</v>
      </c>
      <c r="E740" s="20" t="s">
        <v>6740</v>
      </c>
      <c r="F740" s="20" t="s">
        <v>2801</v>
      </c>
      <c r="G740" s="20" t="s">
        <v>3229</v>
      </c>
      <c r="H740" s="22" t="n">
        <v>48.1</v>
      </c>
      <c r="I740" s="22" t="n">
        <v>48.1</v>
      </c>
      <c r="J740" s="22" t="n">
        <f aca="false">H740-I740</f>
        <v>0</v>
      </c>
      <c r="K740" s="20" t="str">
        <f aca="false">IF(ABS(J740)&lt;0.001,"MATCH - PAPER CHECK-IN NOT SUPPLIED","DATA MISMATCH")</f>
        <v>MATCH - PAPER CHECK-IN NOT SUPPLIED</v>
      </c>
      <c r="L740" s="22" t="n">
        <v>32</v>
      </c>
      <c r="M740" s="22" t="n">
        <f aca="false">ROUNDUP(H740,0)</f>
        <v>49</v>
      </c>
      <c r="N740" s="24" t="n">
        <f aca="false">MAX(L740,M740)</f>
        <v>49</v>
      </c>
      <c r="O740" s="25" t="n">
        <v>7.55</v>
      </c>
      <c r="P740" s="25" t="n">
        <f aca="false">N740*O740</f>
        <v>369.95</v>
      </c>
      <c r="Q740" s="23"/>
      <c r="R740" s="23"/>
      <c r="S740" s="24"/>
      <c r="T740" s="25"/>
      <c r="U740" s="25" t="n">
        <v>0</v>
      </c>
      <c r="V740" s="25" t="n">
        <f aca="false">P740-U740</f>
        <v>369.95</v>
      </c>
      <c r="W740" s="25" t="n">
        <f aca="false">V740*12</f>
        <v>4439.4</v>
      </c>
      <c r="X740" s="23" t="str">
        <f aca="false">IF(Q740="","MISSING FROM EXPORT",IF(ABS(V740)&lt;0.005,"CLEAR",IF(V740&gt;0,"UNDERBILLING","OVERBILLING")))</f>
        <v>MISSING FROM EXPORT</v>
      </c>
      <c r="Y740" s="25" t="n">
        <f aca="false">IF(F740="COMMERCIAL",ROUND(P740*0.35,2),0)</f>
        <v>0</v>
      </c>
      <c r="Z740" s="23" t="str">
        <f aca="false">IF(F740="COMMERCIAL","VERIFY SIGNED AGREEMENT","NO EXCEPTION")</f>
        <v>NO EXCEPTION</v>
      </c>
      <c r="AA740" s="23" t="str">
        <f aca="false">IF(AND(C740="covered",N740&gt;40),"COVERED &gt;40 FT","")</f>
        <v/>
      </c>
      <c r="AB740" s="23" t="s">
        <v>4705</v>
      </c>
      <c r="AC740" s="23" t="s">
        <v>6741</v>
      </c>
      <c r="AD740" s="23" t="s">
        <v>2807</v>
      </c>
    </row>
    <row r="741" customFormat="false" ht="17.9" hidden="false" customHeight="false" outlineLevel="0" collapsed="false">
      <c r="A741" s="20" t="s">
        <v>598</v>
      </c>
      <c r="B741" s="20" t="s">
        <v>166</v>
      </c>
      <c r="C741" s="20" t="s">
        <v>2798</v>
      </c>
      <c r="D741" s="20" t="s">
        <v>6742</v>
      </c>
      <c r="E741" s="20" t="s">
        <v>6743</v>
      </c>
      <c r="F741" s="20" t="s">
        <v>2833</v>
      </c>
      <c r="G741" s="20" t="s">
        <v>3236</v>
      </c>
      <c r="H741" s="22" t="n">
        <v>23.8</v>
      </c>
      <c r="I741" s="22" t="n">
        <v>23.8</v>
      </c>
      <c r="J741" s="22" t="n">
        <f aca="false">H741-I741</f>
        <v>0</v>
      </c>
      <c r="K741" s="20" t="str">
        <f aca="false">IF(ABS(J741)&lt;0.001,"MATCH - PAPER CHECK-IN NOT SUPPLIED","DATA MISMATCH")</f>
        <v>MATCH - PAPER CHECK-IN NOT SUPPLIED</v>
      </c>
      <c r="L741" s="22" t="n">
        <v>60</v>
      </c>
      <c r="M741" s="22" t="n">
        <f aca="false">ROUNDUP(H741,0)</f>
        <v>24</v>
      </c>
      <c r="N741" s="24" t="n">
        <f aca="false">MAX(L741,M741)</f>
        <v>60</v>
      </c>
      <c r="O741" s="25" t="n">
        <v>7.55</v>
      </c>
      <c r="P741" s="25" t="n">
        <f aca="false">N741*O741</f>
        <v>453</v>
      </c>
      <c r="Q741" s="23"/>
      <c r="R741" s="23"/>
      <c r="S741" s="24"/>
      <c r="T741" s="25"/>
      <c r="U741" s="25" t="n">
        <v>0</v>
      </c>
      <c r="V741" s="25" t="n">
        <f aca="false">P741-U741</f>
        <v>453</v>
      </c>
      <c r="W741" s="25" t="n">
        <f aca="false">V741*12</f>
        <v>5436</v>
      </c>
      <c r="X741" s="23" t="str">
        <f aca="false">IF(Q741="","MISSING FROM EXPORT",IF(ABS(V741)&lt;0.005,"CLEAR",IF(V741&gt;0,"UNDERBILLING","OVERBILLING")))</f>
        <v>MISSING FROM EXPORT</v>
      </c>
      <c r="Y741" s="25" t="n">
        <f aca="false">IF(F741="COMMERCIAL",ROUND(P741*0.35,2),0)</f>
        <v>0</v>
      </c>
      <c r="Z741" s="23" t="str">
        <f aca="false">IF(F741="COMMERCIAL","VERIFY SIGNED AGREEMENT","NO EXCEPTION")</f>
        <v>NO EXCEPTION</v>
      </c>
      <c r="AA741" s="23" t="str">
        <f aca="false">IF(AND(C741="covered",N741&gt;40),"COVERED &gt;40 FT","")</f>
        <v/>
      </c>
      <c r="AB741" s="23" t="s">
        <v>4705</v>
      </c>
      <c r="AC741" s="23" t="s">
        <v>6744</v>
      </c>
      <c r="AD741" s="23" t="s">
        <v>2807</v>
      </c>
    </row>
    <row r="742" customFormat="false" ht="17.9" hidden="false" customHeight="false" outlineLevel="0" collapsed="false">
      <c r="A742" s="20" t="s">
        <v>1492</v>
      </c>
      <c r="B742" s="20" t="s">
        <v>166</v>
      </c>
      <c r="C742" s="20" t="s">
        <v>2798</v>
      </c>
      <c r="D742" s="20" t="s">
        <v>6745</v>
      </c>
      <c r="E742" s="20" t="s">
        <v>6746</v>
      </c>
      <c r="F742" s="20" t="s">
        <v>2833</v>
      </c>
      <c r="G742" s="20" t="s">
        <v>3243</v>
      </c>
      <c r="H742" s="22" t="n">
        <v>53.9</v>
      </c>
      <c r="I742" s="22" t="n">
        <v>53.9</v>
      </c>
      <c r="J742" s="22" t="n">
        <f aca="false">H742-I742</f>
        <v>0</v>
      </c>
      <c r="K742" s="20" t="str">
        <f aca="false">IF(ABS(J742)&lt;0.001,"MATCH - PAPER CHECK-IN NOT SUPPLIED","DATA MISMATCH")</f>
        <v>MATCH - PAPER CHECK-IN NOT SUPPLIED</v>
      </c>
      <c r="L742" s="22" t="n">
        <v>32</v>
      </c>
      <c r="M742" s="22" t="n">
        <f aca="false">ROUNDUP(H742,0)</f>
        <v>54</v>
      </c>
      <c r="N742" s="24" t="n">
        <f aca="false">MAX(L742,M742)</f>
        <v>54</v>
      </c>
      <c r="O742" s="25" t="n">
        <v>7.55</v>
      </c>
      <c r="P742" s="25" t="n">
        <f aca="false">N742*O742</f>
        <v>407.7</v>
      </c>
      <c r="Q742" s="23"/>
      <c r="R742" s="23"/>
      <c r="S742" s="24"/>
      <c r="T742" s="25"/>
      <c r="U742" s="25" t="n">
        <v>0</v>
      </c>
      <c r="V742" s="25" t="n">
        <f aca="false">P742-U742</f>
        <v>407.7</v>
      </c>
      <c r="W742" s="25" t="n">
        <f aca="false">V742*12</f>
        <v>4892.4</v>
      </c>
      <c r="X742" s="23" t="str">
        <f aca="false">IF(Q742="","MISSING FROM EXPORT",IF(ABS(V742)&lt;0.005,"CLEAR",IF(V742&gt;0,"UNDERBILLING","OVERBILLING")))</f>
        <v>MISSING FROM EXPORT</v>
      </c>
      <c r="Y742" s="25" t="n">
        <f aca="false">IF(F742="COMMERCIAL",ROUND(P742*0.35,2),0)</f>
        <v>0</v>
      </c>
      <c r="Z742" s="23" t="str">
        <f aca="false">IF(F742="COMMERCIAL","VERIFY SIGNED AGREEMENT","NO EXCEPTION")</f>
        <v>NO EXCEPTION</v>
      </c>
      <c r="AA742" s="23" t="str">
        <f aca="false">IF(AND(C742="covered",N742&gt;40),"COVERED &gt;40 FT","")</f>
        <v/>
      </c>
      <c r="AB742" s="23" t="s">
        <v>4705</v>
      </c>
      <c r="AC742" s="23" t="s">
        <v>6747</v>
      </c>
      <c r="AD742" s="23" t="s">
        <v>2807</v>
      </c>
    </row>
    <row r="743" customFormat="false" ht="17.9" hidden="false" customHeight="false" outlineLevel="0" collapsed="false">
      <c r="A743" s="20" t="s">
        <v>718</v>
      </c>
      <c r="B743" s="20" t="s">
        <v>166</v>
      </c>
      <c r="C743" s="20" t="s">
        <v>2798</v>
      </c>
      <c r="D743" s="20" t="s">
        <v>6748</v>
      </c>
      <c r="E743" s="20" t="s">
        <v>6749</v>
      </c>
      <c r="F743" s="20" t="s">
        <v>2801</v>
      </c>
      <c r="G743" s="20" t="s">
        <v>3250</v>
      </c>
      <c r="H743" s="22" t="n">
        <v>47.7</v>
      </c>
      <c r="I743" s="22" t="n">
        <v>47.7</v>
      </c>
      <c r="J743" s="22" t="n">
        <f aca="false">H743-I743</f>
        <v>0</v>
      </c>
      <c r="K743" s="20" t="str">
        <f aca="false">IF(ABS(J743)&lt;0.001,"MATCH - PAPER CHECK-IN NOT SUPPLIED","DATA MISMATCH")</f>
        <v>MATCH - PAPER CHECK-IN NOT SUPPLIED</v>
      </c>
      <c r="L743" s="22" t="n">
        <v>24</v>
      </c>
      <c r="M743" s="22" t="n">
        <f aca="false">ROUNDUP(H743,0)</f>
        <v>48</v>
      </c>
      <c r="N743" s="24" t="n">
        <f aca="false">MAX(L743,M743)</f>
        <v>48</v>
      </c>
      <c r="O743" s="25" t="n">
        <v>7.55</v>
      </c>
      <c r="P743" s="25" t="n">
        <f aca="false">N743*O743</f>
        <v>362.4</v>
      </c>
      <c r="Q743" s="23"/>
      <c r="R743" s="23"/>
      <c r="S743" s="24"/>
      <c r="T743" s="25"/>
      <c r="U743" s="25" t="n">
        <v>0</v>
      </c>
      <c r="V743" s="25" t="n">
        <f aca="false">P743-U743</f>
        <v>362.4</v>
      </c>
      <c r="W743" s="25" t="n">
        <f aca="false">V743*12</f>
        <v>4348.8</v>
      </c>
      <c r="X743" s="23" t="str">
        <f aca="false">IF(Q743="","MISSING FROM EXPORT",IF(ABS(V743)&lt;0.005,"CLEAR",IF(V743&gt;0,"UNDERBILLING","OVERBILLING")))</f>
        <v>MISSING FROM EXPORT</v>
      </c>
      <c r="Y743" s="25" t="n">
        <f aca="false">IF(F743="COMMERCIAL",ROUND(P743*0.35,2),0)</f>
        <v>0</v>
      </c>
      <c r="Z743" s="23" t="str">
        <f aca="false">IF(F743="COMMERCIAL","VERIFY SIGNED AGREEMENT","NO EXCEPTION")</f>
        <v>NO EXCEPTION</v>
      </c>
      <c r="AA743" s="23" t="str">
        <f aca="false">IF(AND(C743="covered",N743&gt;40),"COVERED &gt;40 FT","")</f>
        <v/>
      </c>
      <c r="AB743" s="23" t="s">
        <v>4705</v>
      </c>
      <c r="AC743" s="23" t="s">
        <v>6750</v>
      </c>
      <c r="AD743" s="23" t="s">
        <v>2807</v>
      </c>
    </row>
    <row r="744" customFormat="false" ht="17.9" hidden="false" customHeight="false" outlineLevel="0" collapsed="false">
      <c r="A744" s="20" t="s">
        <v>6751</v>
      </c>
      <c r="B744" s="20" t="s">
        <v>166</v>
      </c>
      <c r="C744" s="20" t="s">
        <v>2798</v>
      </c>
      <c r="D744" s="20" t="s">
        <v>403</v>
      </c>
      <c r="E744" s="20" t="s">
        <v>6752</v>
      </c>
      <c r="F744" s="20" t="s">
        <v>2818</v>
      </c>
      <c r="G744" s="20" t="s">
        <v>3257</v>
      </c>
      <c r="H744" s="22" t="n">
        <v>54.9</v>
      </c>
      <c r="I744" s="22" t="n">
        <v>54.9</v>
      </c>
      <c r="J744" s="22" t="n">
        <f aca="false">H744-I744</f>
        <v>0</v>
      </c>
      <c r="K744" s="20" t="str">
        <f aca="false">IF(ABS(J744)&lt;0.001,"MATCH - PAPER CHECK-IN NOT SUPPLIED","DATA MISMATCH")</f>
        <v>MATCH - PAPER CHECK-IN NOT SUPPLIED</v>
      </c>
      <c r="L744" s="22" t="n">
        <v>40</v>
      </c>
      <c r="M744" s="22" t="n">
        <f aca="false">ROUNDUP(H744,0)</f>
        <v>55</v>
      </c>
      <c r="N744" s="24" t="n">
        <f aca="false">MAX(L744,M744)</f>
        <v>55</v>
      </c>
      <c r="O744" s="25" t="n">
        <v>7.55</v>
      </c>
      <c r="P744" s="25" t="n">
        <f aca="false">N744*O744</f>
        <v>415.25</v>
      </c>
      <c r="Q744" s="23"/>
      <c r="R744" s="23"/>
      <c r="S744" s="24"/>
      <c r="T744" s="25"/>
      <c r="U744" s="25" t="n">
        <v>0</v>
      </c>
      <c r="V744" s="25" t="n">
        <f aca="false">P744-U744</f>
        <v>415.25</v>
      </c>
      <c r="W744" s="25" t="n">
        <f aca="false">V744*12</f>
        <v>4983</v>
      </c>
      <c r="X744" s="23" t="str">
        <f aca="false">IF(Q744="","MISSING FROM EXPORT",IF(ABS(V744)&lt;0.005,"CLEAR",IF(V744&gt;0,"UNDERBILLING","OVERBILLING")))</f>
        <v>MISSING FROM EXPORT</v>
      </c>
      <c r="Y744" s="25" t="n">
        <f aca="false">IF(F744="COMMERCIAL",ROUND(P744*0.35,2),0)</f>
        <v>0</v>
      </c>
      <c r="Z744" s="23" t="str">
        <f aca="false">IF(F744="COMMERCIAL","VERIFY SIGNED AGREEMENT","NO EXCEPTION")</f>
        <v>NO EXCEPTION</v>
      </c>
      <c r="AA744" s="23" t="str">
        <f aca="false">IF(AND(C744="covered",N744&gt;40),"COVERED &gt;40 FT","")</f>
        <v/>
      </c>
      <c r="AB744" s="23" t="s">
        <v>4705</v>
      </c>
      <c r="AC744" s="23" t="s">
        <v>6753</v>
      </c>
      <c r="AD744" s="23" t="s">
        <v>2807</v>
      </c>
    </row>
    <row r="745" customFormat="false" ht="17.9" hidden="false" customHeight="false" outlineLevel="0" collapsed="false">
      <c r="A745" s="20" t="s">
        <v>313</v>
      </c>
      <c r="B745" s="20" t="s">
        <v>166</v>
      </c>
      <c r="C745" s="20" t="s">
        <v>2798</v>
      </c>
      <c r="D745" s="20" t="s">
        <v>6754</v>
      </c>
      <c r="E745" s="20" t="s">
        <v>6755</v>
      </c>
      <c r="F745" s="20" t="s">
        <v>2818</v>
      </c>
      <c r="G745" s="20" t="s">
        <v>3264</v>
      </c>
      <c r="H745" s="22" t="n">
        <v>57.3</v>
      </c>
      <c r="I745" s="22" t="n">
        <v>57.3</v>
      </c>
      <c r="J745" s="22" t="n">
        <f aca="false">H745-I745</f>
        <v>0</v>
      </c>
      <c r="K745" s="20" t="str">
        <f aca="false">IF(ABS(J745)&lt;0.001,"MATCH - PAPER CHECK-IN NOT SUPPLIED","DATA MISMATCH")</f>
        <v>MATCH - PAPER CHECK-IN NOT SUPPLIED</v>
      </c>
      <c r="L745" s="22" t="n">
        <v>45</v>
      </c>
      <c r="M745" s="22" t="n">
        <f aca="false">ROUNDUP(H745,0)</f>
        <v>58</v>
      </c>
      <c r="N745" s="24" t="n">
        <f aca="false">MAX(L745,M745)</f>
        <v>58</v>
      </c>
      <c r="O745" s="25" t="n">
        <v>7.55</v>
      </c>
      <c r="P745" s="25" t="n">
        <f aca="false">N745*O745</f>
        <v>437.9</v>
      </c>
      <c r="Q745" s="23"/>
      <c r="R745" s="23"/>
      <c r="S745" s="24"/>
      <c r="T745" s="25"/>
      <c r="U745" s="25" t="n">
        <v>0</v>
      </c>
      <c r="V745" s="25" t="n">
        <f aca="false">P745-U745</f>
        <v>437.9</v>
      </c>
      <c r="W745" s="25" t="n">
        <f aca="false">V745*12</f>
        <v>5254.8</v>
      </c>
      <c r="X745" s="23" t="str">
        <f aca="false">IF(Q745="","MISSING FROM EXPORT",IF(ABS(V745)&lt;0.005,"CLEAR",IF(V745&gt;0,"UNDERBILLING","OVERBILLING")))</f>
        <v>MISSING FROM EXPORT</v>
      </c>
      <c r="Y745" s="25" t="n">
        <f aca="false">IF(F745="COMMERCIAL",ROUND(P745*0.35,2),0)</f>
        <v>0</v>
      </c>
      <c r="Z745" s="23" t="str">
        <f aca="false">IF(F745="COMMERCIAL","VERIFY SIGNED AGREEMENT","NO EXCEPTION")</f>
        <v>NO EXCEPTION</v>
      </c>
      <c r="AA745" s="23" t="str">
        <f aca="false">IF(AND(C745="covered",N745&gt;40),"COVERED &gt;40 FT","")</f>
        <v/>
      </c>
      <c r="AB745" s="23" t="s">
        <v>4705</v>
      </c>
      <c r="AC745" s="23" t="s">
        <v>6756</v>
      </c>
      <c r="AD745" s="23" t="s">
        <v>2807</v>
      </c>
    </row>
    <row r="746" customFormat="false" ht="17.9" hidden="false" customHeight="false" outlineLevel="0" collapsed="false">
      <c r="A746" s="20" t="s">
        <v>616</v>
      </c>
      <c r="B746" s="20" t="s">
        <v>166</v>
      </c>
      <c r="C746" s="20" t="s">
        <v>2798</v>
      </c>
      <c r="D746" s="20" t="s">
        <v>6757</v>
      </c>
      <c r="E746" s="20" t="s">
        <v>6758</v>
      </c>
      <c r="F746" s="20" t="s">
        <v>2833</v>
      </c>
      <c r="G746" s="20" t="s">
        <v>3271</v>
      </c>
      <c r="H746" s="22" t="n">
        <v>55.3</v>
      </c>
      <c r="I746" s="22" t="n">
        <v>55.3</v>
      </c>
      <c r="J746" s="22" t="n">
        <f aca="false">H746-I746</f>
        <v>0</v>
      </c>
      <c r="K746" s="20" t="str">
        <f aca="false">IF(ABS(J746)&lt;0.001,"MATCH - PAPER CHECK-IN NOT SUPPLIED","DATA MISMATCH")</f>
        <v>MATCH - PAPER CHECK-IN NOT SUPPLIED</v>
      </c>
      <c r="L746" s="22" t="n">
        <v>40</v>
      </c>
      <c r="M746" s="22" t="n">
        <f aca="false">ROUNDUP(H746,0)</f>
        <v>56</v>
      </c>
      <c r="N746" s="24" t="n">
        <f aca="false">MAX(L746,M746)</f>
        <v>56</v>
      </c>
      <c r="O746" s="25" t="n">
        <v>7.55</v>
      </c>
      <c r="P746" s="25" t="n">
        <f aca="false">N746*O746</f>
        <v>422.8</v>
      </c>
      <c r="Q746" s="23"/>
      <c r="R746" s="23"/>
      <c r="S746" s="24"/>
      <c r="T746" s="25"/>
      <c r="U746" s="25" t="n">
        <v>0</v>
      </c>
      <c r="V746" s="25" t="n">
        <f aca="false">P746-U746</f>
        <v>422.8</v>
      </c>
      <c r="W746" s="25" t="n">
        <f aca="false">V746*12</f>
        <v>5073.6</v>
      </c>
      <c r="X746" s="23" t="str">
        <f aca="false">IF(Q746="","MISSING FROM EXPORT",IF(ABS(V746)&lt;0.005,"CLEAR",IF(V746&gt;0,"UNDERBILLING","OVERBILLING")))</f>
        <v>MISSING FROM EXPORT</v>
      </c>
      <c r="Y746" s="25" t="n">
        <f aca="false">IF(F746="COMMERCIAL",ROUND(P746*0.35,2),0)</f>
        <v>0</v>
      </c>
      <c r="Z746" s="23" t="str">
        <f aca="false">IF(F746="COMMERCIAL","VERIFY SIGNED AGREEMENT","NO EXCEPTION")</f>
        <v>NO EXCEPTION</v>
      </c>
      <c r="AA746" s="23" t="str">
        <f aca="false">IF(AND(C746="covered",N746&gt;40),"COVERED &gt;40 FT","")</f>
        <v/>
      </c>
      <c r="AB746" s="23" t="s">
        <v>4705</v>
      </c>
      <c r="AC746" s="23" t="s">
        <v>6759</v>
      </c>
      <c r="AD746" s="23" t="s">
        <v>2807</v>
      </c>
    </row>
    <row r="747" customFormat="false" ht="17.9" hidden="false" customHeight="false" outlineLevel="0" collapsed="false">
      <c r="A747" s="20" t="s">
        <v>1036</v>
      </c>
      <c r="B747" s="20" t="s">
        <v>166</v>
      </c>
      <c r="C747" s="20" t="s">
        <v>2798</v>
      </c>
      <c r="D747" s="20" t="s">
        <v>6760</v>
      </c>
      <c r="E747" s="20" t="s">
        <v>6761</v>
      </c>
      <c r="F747" s="20" t="s">
        <v>2833</v>
      </c>
      <c r="G747" s="20" t="s">
        <v>3277</v>
      </c>
      <c r="H747" s="22" t="n">
        <v>32.7</v>
      </c>
      <c r="I747" s="22" t="n">
        <v>32.7</v>
      </c>
      <c r="J747" s="22" t="n">
        <f aca="false">H747-I747</f>
        <v>0</v>
      </c>
      <c r="K747" s="20" t="str">
        <f aca="false">IF(ABS(J747)&lt;0.001,"MATCH - PAPER CHECK-IN NOT SUPPLIED","DATA MISMATCH")</f>
        <v>MATCH - PAPER CHECK-IN NOT SUPPLIED</v>
      </c>
      <c r="L747" s="22" t="n">
        <v>24</v>
      </c>
      <c r="M747" s="22" t="n">
        <f aca="false">ROUNDUP(H747,0)</f>
        <v>33</v>
      </c>
      <c r="N747" s="24" t="n">
        <f aca="false">MAX(L747,M747)</f>
        <v>33</v>
      </c>
      <c r="O747" s="25" t="n">
        <v>7.55</v>
      </c>
      <c r="P747" s="25" t="n">
        <f aca="false">N747*O747</f>
        <v>249.15</v>
      </c>
      <c r="Q747" s="23"/>
      <c r="R747" s="23"/>
      <c r="S747" s="24"/>
      <c r="T747" s="25"/>
      <c r="U747" s="25" t="n">
        <v>0</v>
      </c>
      <c r="V747" s="25" t="n">
        <f aca="false">P747-U747</f>
        <v>249.15</v>
      </c>
      <c r="W747" s="25" t="n">
        <f aca="false">V747*12</f>
        <v>2989.8</v>
      </c>
      <c r="X747" s="23" t="str">
        <f aca="false">IF(Q747="","MISSING FROM EXPORT",IF(ABS(V747)&lt;0.005,"CLEAR",IF(V747&gt;0,"UNDERBILLING","OVERBILLING")))</f>
        <v>MISSING FROM EXPORT</v>
      </c>
      <c r="Y747" s="25" t="n">
        <f aca="false">IF(F747="COMMERCIAL",ROUND(P747*0.35,2),0)</f>
        <v>0</v>
      </c>
      <c r="Z747" s="23" t="str">
        <f aca="false">IF(F747="COMMERCIAL","VERIFY SIGNED AGREEMENT","NO EXCEPTION")</f>
        <v>NO EXCEPTION</v>
      </c>
      <c r="AA747" s="23" t="str">
        <f aca="false">IF(AND(C747="covered",N747&gt;40),"COVERED &gt;40 FT","")</f>
        <v/>
      </c>
      <c r="AB747" s="23" t="s">
        <v>4705</v>
      </c>
      <c r="AC747" s="23" t="s">
        <v>6762</v>
      </c>
      <c r="AD747" s="23" t="s">
        <v>2807</v>
      </c>
    </row>
    <row r="748" customFormat="false" ht="17.9" hidden="false" customHeight="false" outlineLevel="0" collapsed="false">
      <c r="A748" s="20" t="s">
        <v>1557</v>
      </c>
      <c r="B748" s="20" t="s">
        <v>166</v>
      </c>
      <c r="C748" s="20" t="s">
        <v>2798</v>
      </c>
      <c r="D748" s="20" t="s">
        <v>6763</v>
      </c>
      <c r="E748" s="20" t="s">
        <v>6764</v>
      </c>
      <c r="F748" s="20" t="s">
        <v>2810</v>
      </c>
      <c r="G748" s="20" t="s">
        <v>3284</v>
      </c>
      <c r="H748" s="22" t="n">
        <v>50.7</v>
      </c>
      <c r="I748" s="22" t="n">
        <v>50.7</v>
      </c>
      <c r="J748" s="22" t="n">
        <f aca="false">H748-I748</f>
        <v>0</v>
      </c>
      <c r="K748" s="20" t="str">
        <f aca="false">IF(ABS(J748)&lt;0.001,"MATCH - PAPER CHECK-IN NOT SUPPLIED","DATA MISMATCH")</f>
        <v>MATCH - PAPER CHECK-IN NOT SUPPLIED</v>
      </c>
      <c r="L748" s="22" t="n">
        <v>28</v>
      </c>
      <c r="M748" s="22" t="n">
        <f aca="false">ROUNDUP(H748,0)</f>
        <v>51</v>
      </c>
      <c r="N748" s="24" t="n">
        <f aca="false">MAX(L748,M748)</f>
        <v>51</v>
      </c>
      <c r="O748" s="25" t="n">
        <v>7.55</v>
      </c>
      <c r="P748" s="25" t="n">
        <f aca="false">N748*O748</f>
        <v>385.05</v>
      </c>
      <c r="Q748" s="23"/>
      <c r="R748" s="23"/>
      <c r="S748" s="24"/>
      <c r="T748" s="25"/>
      <c r="U748" s="25" t="n">
        <v>0</v>
      </c>
      <c r="V748" s="25" t="n">
        <f aca="false">P748-U748</f>
        <v>385.05</v>
      </c>
      <c r="W748" s="25" t="n">
        <f aca="false">V748*12</f>
        <v>4620.6</v>
      </c>
      <c r="X748" s="23" t="str">
        <f aca="false">IF(Q748="","MISSING FROM EXPORT",IF(ABS(V748)&lt;0.005,"CLEAR",IF(V748&gt;0,"UNDERBILLING","OVERBILLING")))</f>
        <v>MISSING FROM EXPORT</v>
      </c>
      <c r="Y748" s="25" t="n">
        <f aca="false">IF(F748="COMMERCIAL",ROUND(P748*0.35,2),0)</f>
        <v>0</v>
      </c>
      <c r="Z748" s="23" t="str">
        <f aca="false">IF(F748="COMMERCIAL","VERIFY SIGNED AGREEMENT","NO EXCEPTION")</f>
        <v>NO EXCEPTION</v>
      </c>
      <c r="AA748" s="23" t="str">
        <f aca="false">IF(AND(C748="covered",N748&gt;40),"COVERED &gt;40 FT","")</f>
        <v/>
      </c>
      <c r="AB748" s="23" t="s">
        <v>4705</v>
      </c>
      <c r="AC748" s="23" t="s">
        <v>6765</v>
      </c>
      <c r="AD748" s="23" t="s">
        <v>2807</v>
      </c>
    </row>
    <row r="749" customFormat="false" ht="17.9" hidden="false" customHeight="false" outlineLevel="0" collapsed="false">
      <c r="A749" s="20" t="s">
        <v>6766</v>
      </c>
      <c r="B749" s="20" t="s">
        <v>166</v>
      </c>
      <c r="C749" s="20" t="s">
        <v>2798</v>
      </c>
      <c r="D749" s="20" t="s">
        <v>1993</v>
      </c>
      <c r="E749" s="20" t="s">
        <v>1994</v>
      </c>
      <c r="F749" s="20" t="s">
        <v>2833</v>
      </c>
      <c r="G749" s="20" t="s">
        <v>3289</v>
      </c>
      <c r="H749" s="22" t="n">
        <v>28.6</v>
      </c>
      <c r="I749" s="22" t="n">
        <v>28.6</v>
      </c>
      <c r="J749" s="22" t="n">
        <f aca="false">H749-I749</f>
        <v>0</v>
      </c>
      <c r="K749" s="20" t="str">
        <f aca="false">IF(ABS(J749)&lt;0.001,"MATCH - PAPER CHECK-IN NOT SUPPLIED","DATA MISMATCH")</f>
        <v>MATCH - PAPER CHECK-IN NOT SUPPLIED</v>
      </c>
      <c r="L749" s="22" t="n">
        <v>40</v>
      </c>
      <c r="M749" s="22" t="n">
        <f aca="false">ROUNDUP(H749,0)</f>
        <v>29</v>
      </c>
      <c r="N749" s="24" t="n">
        <f aca="false">MAX(L749,M749)</f>
        <v>40</v>
      </c>
      <c r="O749" s="25" t="n">
        <v>7.55</v>
      </c>
      <c r="P749" s="25" t="n">
        <f aca="false">N749*O749</f>
        <v>302</v>
      </c>
      <c r="Q749" s="23"/>
      <c r="R749" s="23"/>
      <c r="S749" s="24"/>
      <c r="T749" s="25"/>
      <c r="U749" s="25" t="n">
        <v>0</v>
      </c>
      <c r="V749" s="25" t="n">
        <f aca="false">P749-U749</f>
        <v>302</v>
      </c>
      <c r="W749" s="25" t="n">
        <f aca="false">V749*12</f>
        <v>3624</v>
      </c>
      <c r="X749" s="23" t="str">
        <f aca="false">IF(Q749="","MISSING FROM EXPORT",IF(ABS(V749)&lt;0.005,"CLEAR",IF(V749&gt;0,"UNDERBILLING","OVERBILLING")))</f>
        <v>MISSING FROM EXPORT</v>
      </c>
      <c r="Y749" s="25" t="n">
        <f aca="false">IF(F749="COMMERCIAL",ROUND(P749*0.35,2),0)</f>
        <v>0</v>
      </c>
      <c r="Z749" s="23" t="str">
        <f aca="false">IF(F749="COMMERCIAL","VERIFY SIGNED AGREEMENT","NO EXCEPTION")</f>
        <v>NO EXCEPTION</v>
      </c>
      <c r="AA749" s="23" t="str">
        <f aca="false">IF(AND(C749="covered",N749&gt;40),"COVERED &gt;40 FT","")</f>
        <v/>
      </c>
      <c r="AB749" s="23" t="s">
        <v>4705</v>
      </c>
      <c r="AC749" s="23" t="s">
        <v>6767</v>
      </c>
      <c r="AD749" s="23" t="s">
        <v>2807</v>
      </c>
    </row>
    <row r="750" customFormat="false" ht="17.9" hidden="false" customHeight="false" outlineLevel="0" collapsed="false">
      <c r="A750" s="20" t="s">
        <v>1185</v>
      </c>
      <c r="B750" s="20" t="s">
        <v>166</v>
      </c>
      <c r="C750" s="20" t="s">
        <v>2798</v>
      </c>
      <c r="D750" s="20" t="s">
        <v>6768</v>
      </c>
      <c r="E750" s="20" t="s">
        <v>6769</v>
      </c>
      <c r="F750" s="20" t="s">
        <v>2857</v>
      </c>
      <c r="G750" s="20" t="s">
        <v>3296</v>
      </c>
      <c r="H750" s="22" t="n">
        <v>31.4</v>
      </c>
      <c r="I750" s="22" t="n">
        <v>31.4</v>
      </c>
      <c r="J750" s="22" t="n">
        <f aca="false">H750-I750</f>
        <v>0</v>
      </c>
      <c r="K750" s="20" t="str">
        <f aca="false">IF(ABS(J750)&lt;0.001,"MATCH - PAPER CHECK-IN NOT SUPPLIED","DATA MISMATCH")</f>
        <v>MATCH - PAPER CHECK-IN NOT SUPPLIED</v>
      </c>
      <c r="L750" s="22" t="n">
        <v>24</v>
      </c>
      <c r="M750" s="22" t="n">
        <f aca="false">ROUNDUP(H750,0)</f>
        <v>32</v>
      </c>
      <c r="N750" s="24" t="n">
        <f aca="false">MAX(L750,M750)</f>
        <v>32</v>
      </c>
      <c r="O750" s="25" t="n">
        <v>7.55</v>
      </c>
      <c r="P750" s="25" t="n">
        <f aca="false">N750*O750</f>
        <v>241.6</v>
      </c>
      <c r="Q750" s="23"/>
      <c r="R750" s="23"/>
      <c r="S750" s="24"/>
      <c r="T750" s="25"/>
      <c r="U750" s="25" t="n">
        <v>0</v>
      </c>
      <c r="V750" s="25" t="n">
        <f aca="false">P750-U750</f>
        <v>241.6</v>
      </c>
      <c r="W750" s="25" t="n">
        <f aca="false">V750*12</f>
        <v>2899.2</v>
      </c>
      <c r="X750" s="23" t="str">
        <f aca="false">IF(Q750="","MISSING FROM EXPORT",IF(ABS(V750)&lt;0.005,"CLEAR",IF(V750&gt;0,"UNDERBILLING","OVERBILLING")))</f>
        <v>MISSING FROM EXPORT</v>
      </c>
      <c r="Y750" s="25" t="n">
        <f aca="false">IF(F750="COMMERCIAL",ROUND(P750*0.35,2),0)</f>
        <v>0</v>
      </c>
      <c r="Z750" s="23" t="str">
        <f aca="false">IF(F750="COMMERCIAL","VERIFY SIGNED AGREEMENT","NO EXCEPTION")</f>
        <v>NO EXCEPTION</v>
      </c>
      <c r="AA750" s="23" t="str">
        <f aca="false">IF(AND(C750="covered",N750&gt;40),"COVERED &gt;40 FT","")</f>
        <v/>
      </c>
      <c r="AB750" s="23" t="s">
        <v>4705</v>
      </c>
      <c r="AC750" s="23" t="s">
        <v>6770</v>
      </c>
      <c r="AD750" s="23" t="s">
        <v>2807</v>
      </c>
    </row>
    <row r="751" customFormat="false" ht="17.9" hidden="false" customHeight="false" outlineLevel="0" collapsed="false">
      <c r="A751" s="20" t="s">
        <v>1248</v>
      </c>
      <c r="B751" s="20" t="s">
        <v>166</v>
      </c>
      <c r="C751" s="20" t="s">
        <v>2798</v>
      </c>
      <c r="D751" s="20" t="s">
        <v>6771</v>
      </c>
      <c r="E751" s="20" t="s">
        <v>6772</v>
      </c>
      <c r="F751" s="20" t="s">
        <v>2857</v>
      </c>
      <c r="G751" s="20" t="s">
        <v>3303</v>
      </c>
      <c r="H751" s="22" t="n">
        <v>28.3</v>
      </c>
      <c r="I751" s="22" t="n">
        <v>28.3</v>
      </c>
      <c r="J751" s="22" t="n">
        <f aca="false">H751-I751</f>
        <v>0</v>
      </c>
      <c r="K751" s="20" t="str">
        <f aca="false">IF(ABS(J751)&lt;0.001,"MATCH - PAPER CHECK-IN NOT SUPPLIED","DATA MISMATCH")</f>
        <v>MATCH - PAPER CHECK-IN NOT SUPPLIED</v>
      </c>
      <c r="L751" s="22" t="n">
        <v>24</v>
      </c>
      <c r="M751" s="22" t="n">
        <f aca="false">ROUNDUP(H751,0)</f>
        <v>29</v>
      </c>
      <c r="N751" s="24" t="n">
        <f aca="false">MAX(L751,M751)</f>
        <v>29</v>
      </c>
      <c r="O751" s="25" t="n">
        <v>7.55</v>
      </c>
      <c r="P751" s="25" t="n">
        <f aca="false">N751*O751</f>
        <v>218.95</v>
      </c>
      <c r="Q751" s="23"/>
      <c r="R751" s="23"/>
      <c r="S751" s="24"/>
      <c r="T751" s="25"/>
      <c r="U751" s="25" t="n">
        <v>0</v>
      </c>
      <c r="V751" s="25" t="n">
        <f aca="false">P751-U751</f>
        <v>218.95</v>
      </c>
      <c r="W751" s="25" t="n">
        <f aca="false">V751*12</f>
        <v>2627.4</v>
      </c>
      <c r="X751" s="23" t="str">
        <f aca="false">IF(Q751="","MISSING FROM EXPORT",IF(ABS(V751)&lt;0.005,"CLEAR",IF(V751&gt;0,"UNDERBILLING","OVERBILLING")))</f>
        <v>MISSING FROM EXPORT</v>
      </c>
      <c r="Y751" s="25" t="n">
        <f aca="false">IF(F751="COMMERCIAL",ROUND(P751*0.35,2),0)</f>
        <v>0</v>
      </c>
      <c r="Z751" s="23" t="str">
        <f aca="false">IF(F751="COMMERCIAL","VERIFY SIGNED AGREEMENT","NO EXCEPTION")</f>
        <v>NO EXCEPTION</v>
      </c>
      <c r="AA751" s="23" t="str">
        <f aca="false">IF(AND(C751="covered",N751&gt;40),"COVERED &gt;40 FT","")</f>
        <v/>
      </c>
      <c r="AB751" s="23" t="s">
        <v>4705</v>
      </c>
      <c r="AC751" s="23" t="s">
        <v>6773</v>
      </c>
      <c r="AD751" s="23" t="s">
        <v>2807</v>
      </c>
    </row>
    <row r="752" customFormat="false" ht="17.9" hidden="false" customHeight="false" outlineLevel="0" collapsed="false">
      <c r="A752" s="20" t="s">
        <v>6774</v>
      </c>
      <c r="B752" s="20" t="s">
        <v>166</v>
      </c>
      <c r="C752" s="20" t="s">
        <v>2798</v>
      </c>
      <c r="D752" s="20" t="s">
        <v>6775</v>
      </c>
      <c r="E752" s="20" t="s">
        <v>6776</v>
      </c>
      <c r="F752" s="20" t="s">
        <v>2857</v>
      </c>
      <c r="G752" s="20" t="s">
        <v>3310</v>
      </c>
      <c r="H752" s="22" t="n">
        <v>53.3</v>
      </c>
      <c r="I752" s="22" t="n">
        <v>53.3</v>
      </c>
      <c r="J752" s="22" t="n">
        <f aca="false">H752-I752</f>
        <v>0</v>
      </c>
      <c r="K752" s="20" t="str">
        <f aca="false">IF(ABS(J752)&lt;0.001,"MATCH - PAPER CHECK-IN NOT SUPPLIED","DATA MISMATCH")</f>
        <v>MATCH - PAPER CHECK-IN NOT SUPPLIED</v>
      </c>
      <c r="L752" s="22" t="n">
        <v>70</v>
      </c>
      <c r="M752" s="22" t="n">
        <f aca="false">ROUNDUP(H752,0)</f>
        <v>54</v>
      </c>
      <c r="N752" s="24" t="n">
        <f aca="false">MAX(L752,M752)</f>
        <v>70</v>
      </c>
      <c r="O752" s="25" t="n">
        <v>7.55</v>
      </c>
      <c r="P752" s="25" t="n">
        <f aca="false">N752*O752</f>
        <v>528.5</v>
      </c>
      <c r="Q752" s="23"/>
      <c r="R752" s="23"/>
      <c r="S752" s="24"/>
      <c r="T752" s="25"/>
      <c r="U752" s="25" t="n">
        <v>0</v>
      </c>
      <c r="V752" s="25" t="n">
        <f aca="false">P752-U752</f>
        <v>528.5</v>
      </c>
      <c r="W752" s="25" t="n">
        <f aca="false">V752*12</f>
        <v>6342</v>
      </c>
      <c r="X752" s="23" t="str">
        <f aca="false">IF(Q752="","MISSING FROM EXPORT",IF(ABS(V752)&lt;0.005,"CLEAR",IF(V752&gt;0,"UNDERBILLING","OVERBILLING")))</f>
        <v>MISSING FROM EXPORT</v>
      </c>
      <c r="Y752" s="25" t="n">
        <f aca="false">IF(F752="COMMERCIAL",ROUND(P752*0.35,2),0)</f>
        <v>0</v>
      </c>
      <c r="Z752" s="23" t="str">
        <f aca="false">IF(F752="COMMERCIAL","VERIFY SIGNED AGREEMENT","NO EXCEPTION")</f>
        <v>NO EXCEPTION</v>
      </c>
      <c r="AA752" s="23" t="str">
        <f aca="false">IF(AND(C752="covered",N752&gt;40),"COVERED &gt;40 FT","")</f>
        <v/>
      </c>
      <c r="AB752" s="23" t="s">
        <v>4705</v>
      </c>
      <c r="AC752" s="23" t="s">
        <v>6777</v>
      </c>
      <c r="AD752" s="23" t="s">
        <v>2807</v>
      </c>
    </row>
    <row r="753" customFormat="false" ht="17.9" hidden="false" customHeight="false" outlineLevel="0" collapsed="false">
      <c r="A753" s="20" t="s">
        <v>6778</v>
      </c>
      <c r="B753" s="20" t="s">
        <v>166</v>
      </c>
      <c r="C753" s="20" t="s">
        <v>2798</v>
      </c>
      <c r="D753" s="20" t="s">
        <v>6779</v>
      </c>
      <c r="E753" s="20" t="s">
        <v>6780</v>
      </c>
      <c r="F753" s="20" t="s">
        <v>2833</v>
      </c>
      <c r="G753" s="20" t="s">
        <v>3317</v>
      </c>
      <c r="H753" s="22" t="n">
        <v>27.8</v>
      </c>
      <c r="I753" s="22" t="n">
        <v>27.8</v>
      </c>
      <c r="J753" s="22" t="n">
        <f aca="false">H753-I753</f>
        <v>0</v>
      </c>
      <c r="K753" s="20" t="str">
        <f aca="false">IF(ABS(J753)&lt;0.001,"MATCH - PAPER CHECK-IN NOT SUPPLIED","DATA MISMATCH")</f>
        <v>MATCH - PAPER CHECK-IN NOT SUPPLIED</v>
      </c>
      <c r="L753" s="22" t="n">
        <v>45</v>
      </c>
      <c r="M753" s="22" t="n">
        <f aca="false">ROUNDUP(H753,0)</f>
        <v>28</v>
      </c>
      <c r="N753" s="24" t="n">
        <f aca="false">MAX(L753,M753)</f>
        <v>45</v>
      </c>
      <c r="O753" s="25" t="n">
        <v>7.55</v>
      </c>
      <c r="P753" s="25" t="n">
        <f aca="false">N753*O753</f>
        <v>339.75</v>
      </c>
      <c r="Q753" s="23"/>
      <c r="R753" s="23"/>
      <c r="S753" s="24"/>
      <c r="T753" s="25"/>
      <c r="U753" s="25" t="n">
        <v>0</v>
      </c>
      <c r="V753" s="25" t="n">
        <f aca="false">P753-U753</f>
        <v>339.75</v>
      </c>
      <c r="W753" s="25" t="n">
        <f aca="false">V753*12</f>
        <v>4077</v>
      </c>
      <c r="X753" s="23" t="str">
        <f aca="false">IF(Q753="","MISSING FROM EXPORT",IF(ABS(V753)&lt;0.005,"CLEAR",IF(V753&gt;0,"UNDERBILLING","OVERBILLING")))</f>
        <v>MISSING FROM EXPORT</v>
      </c>
      <c r="Y753" s="25" t="n">
        <f aca="false">IF(F753="COMMERCIAL",ROUND(P753*0.35,2),0)</f>
        <v>0</v>
      </c>
      <c r="Z753" s="23" t="str">
        <f aca="false">IF(F753="COMMERCIAL","VERIFY SIGNED AGREEMENT","NO EXCEPTION")</f>
        <v>NO EXCEPTION</v>
      </c>
      <c r="AA753" s="23" t="str">
        <f aca="false">IF(AND(C753="covered",N753&gt;40),"COVERED &gt;40 FT","")</f>
        <v/>
      </c>
      <c r="AB753" s="23" t="s">
        <v>4705</v>
      </c>
      <c r="AC753" s="23" t="s">
        <v>6781</v>
      </c>
      <c r="AD753" s="23" t="s">
        <v>2807</v>
      </c>
    </row>
    <row r="754" customFormat="false" ht="17.9" hidden="false" customHeight="false" outlineLevel="0" collapsed="false">
      <c r="A754" s="20" t="s">
        <v>6782</v>
      </c>
      <c r="B754" s="20" t="s">
        <v>166</v>
      </c>
      <c r="C754" s="20" t="s">
        <v>2798</v>
      </c>
      <c r="D754" s="20" t="s">
        <v>6783</v>
      </c>
      <c r="E754" s="20" t="s">
        <v>6784</v>
      </c>
      <c r="F754" s="20" t="s">
        <v>2810</v>
      </c>
      <c r="G754" s="20" t="s">
        <v>3324</v>
      </c>
      <c r="H754" s="22" t="n">
        <v>59.1</v>
      </c>
      <c r="I754" s="22" t="n">
        <v>59.1</v>
      </c>
      <c r="J754" s="22" t="n">
        <f aca="false">H754-I754</f>
        <v>0</v>
      </c>
      <c r="K754" s="20" t="str">
        <f aca="false">IF(ABS(J754)&lt;0.001,"MATCH - PAPER CHECK-IN NOT SUPPLIED","DATA MISMATCH")</f>
        <v>MATCH - PAPER CHECK-IN NOT SUPPLIED</v>
      </c>
      <c r="L754" s="22" t="n">
        <v>32</v>
      </c>
      <c r="M754" s="22" t="n">
        <f aca="false">ROUNDUP(H754,0)</f>
        <v>60</v>
      </c>
      <c r="N754" s="24" t="n">
        <f aca="false">MAX(L754,M754)</f>
        <v>60</v>
      </c>
      <c r="O754" s="25" t="n">
        <v>7.55</v>
      </c>
      <c r="P754" s="25" t="n">
        <f aca="false">N754*O754</f>
        <v>453</v>
      </c>
      <c r="Q754" s="23"/>
      <c r="R754" s="23"/>
      <c r="S754" s="24"/>
      <c r="T754" s="25"/>
      <c r="U754" s="25" t="n">
        <v>0</v>
      </c>
      <c r="V754" s="25" t="n">
        <f aca="false">P754-U754</f>
        <v>453</v>
      </c>
      <c r="W754" s="25" t="n">
        <f aca="false">V754*12</f>
        <v>5436</v>
      </c>
      <c r="X754" s="23" t="str">
        <f aca="false">IF(Q754="","MISSING FROM EXPORT",IF(ABS(V754)&lt;0.005,"CLEAR",IF(V754&gt;0,"UNDERBILLING","OVERBILLING")))</f>
        <v>MISSING FROM EXPORT</v>
      </c>
      <c r="Y754" s="25" t="n">
        <f aca="false">IF(F754="COMMERCIAL",ROUND(P754*0.35,2),0)</f>
        <v>0</v>
      </c>
      <c r="Z754" s="23" t="str">
        <f aca="false">IF(F754="COMMERCIAL","VERIFY SIGNED AGREEMENT","NO EXCEPTION")</f>
        <v>NO EXCEPTION</v>
      </c>
      <c r="AA754" s="23" t="str">
        <f aca="false">IF(AND(C754="covered",N754&gt;40),"COVERED &gt;40 FT","")</f>
        <v/>
      </c>
      <c r="AB754" s="23" t="s">
        <v>4705</v>
      </c>
      <c r="AC754" s="23" t="s">
        <v>6785</v>
      </c>
      <c r="AD754" s="23" t="s">
        <v>2807</v>
      </c>
    </row>
    <row r="755" customFormat="false" ht="17.9" hidden="false" customHeight="false" outlineLevel="0" collapsed="false">
      <c r="A755" s="20" t="s">
        <v>6786</v>
      </c>
      <c r="B755" s="20" t="s">
        <v>166</v>
      </c>
      <c r="C755" s="20" t="s">
        <v>2798</v>
      </c>
      <c r="D755" s="20" t="s">
        <v>6787</v>
      </c>
      <c r="E755" s="20" t="s">
        <v>6788</v>
      </c>
      <c r="F755" s="20" t="s">
        <v>2833</v>
      </c>
      <c r="G755" s="20" t="s">
        <v>3330</v>
      </c>
      <c r="H755" s="22" t="n">
        <v>41.5</v>
      </c>
      <c r="I755" s="22" t="n">
        <v>41.5</v>
      </c>
      <c r="J755" s="22" t="n">
        <f aca="false">H755-I755</f>
        <v>0</v>
      </c>
      <c r="K755" s="20" t="str">
        <f aca="false">IF(ABS(J755)&lt;0.001,"MATCH - PAPER CHECK-IN NOT SUPPLIED","DATA MISMATCH")</f>
        <v>MATCH - PAPER CHECK-IN NOT SUPPLIED</v>
      </c>
      <c r="L755" s="22" t="n">
        <v>28</v>
      </c>
      <c r="M755" s="22" t="n">
        <f aca="false">ROUNDUP(H755,0)</f>
        <v>42</v>
      </c>
      <c r="N755" s="24" t="n">
        <f aca="false">MAX(L755,M755)</f>
        <v>42</v>
      </c>
      <c r="O755" s="25" t="n">
        <v>7.55</v>
      </c>
      <c r="P755" s="25" t="n">
        <f aca="false">N755*O755</f>
        <v>317.1</v>
      </c>
      <c r="Q755" s="23"/>
      <c r="R755" s="23"/>
      <c r="S755" s="24"/>
      <c r="T755" s="25"/>
      <c r="U755" s="25" t="n">
        <v>0</v>
      </c>
      <c r="V755" s="25" t="n">
        <f aca="false">P755-U755</f>
        <v>317.1</v>
      </c>
      <c r="W755" s="25" t="n">
        <f aca="false">V755*12</f>
        <v>3805.2</v>
      </c>
      <c r="X755" s="23" t="str">
        <f aca="false">IF(Q755="","MISSING FROM EXPORT",IF(ABS(V755)&lt;0.005,"CLEAR",IF(V755&gt;0,"UNDERBILLING","OVERBILLING")))</f>
        <v>MISSING FROM EXPORT</v>
      </c>
      <c r="Y755" s="25" t="n">
        <f aca="false">IF(F755="COMMERCIAL",ROUND(P755*0.35,2),0)</f>
        <v>0</v>
      </c>
      <c r="Z755" s="23" t="str">
        <f aca="false">IF(F755="COMMERCIAL","VERIFY SIGNED AGREEMENT","NO EXCEPTION")</f>
        <v>NO EXCEPTION</v>
      </c>
      <c r="AA755" s="23" t="str">
        <f aca="false">IF(AND(C755="covered",N755&gt;40),"COVERED &gt;40 FT","")</f>
        <v/>
      </c>
      <c r="AB755" s="23" t="s">
        <v>4705</v>
      </c>
      <c r="AC755" s="23" t="s">
        <v>6789</v>
      </c>
      <c r="AD755" s="23" t="s">
        <v>2807</v>
      </c>
    </row>
    <row r="756" customFormat="false" ht="17.9" hidden="false" customHeight="false" outlineLevel="0" collapsed="false">
      <c r="A756" s="20" t="s">
        <v>1813</v>
      </c>
      <c r="B756" s="20" t="s">
        <v>166</v>
      </c>
      <c r="C756" s="20" t="s">
        <v>2798</v>
      </c>
      <c r="D756" s="20" t="s">
        <v>6790</v>
      </c>
      <c r="E756" s="20" t="s">
        <v>6791</v>
      </c>
      <c r="F756" s="20" t="s">
        <v>2857</v>
      </c>
      <c r="G756" s="20" t="s">
        <v>3337</v>
      </c>
      <c r="H756" s="22" t="n">
        <v>41.9</v>
      </c>
      <c r="I756" s="22" t="n">
        <v>41.9</v>
      </c>
      <c r="J756" s="22" t="n">
        <f aca="false">H756-I756</f>
        <v>0</v>
      </c>
      <c r="K756" s="20" t="str">
        <f aca="false">IF(ABS(J756)&lt;0.001,"MATCH - PAPER CHECK-IN NOT SUPPLIED","DATA MISMATCH")</f>
        <v>MATCH - PAPER CHECK-IN NOT SUPPLIED</v>
      </c>
      <c r="L756" s="22" t="n">
        <v>28</v>
      </c>
      <c r="M756" s="22" t="n">
        <f aca="false">ROUNDUP(H756,0)</f>
        <v>42</v>
      </c>
      <c r="N756" s="24" t="n">
        <f aca="false">MAX(L756,M756)</f>
        <v>42</v>
      </c>
      <c r="O756" s="25" t="n">
        <v>7.55</v>
      </c>
      <c r="P756" s="25" t="n">
        <f aca="false">N756*O756</f>
        <v>317.1</v>
      </c>
      <c r="Q756" s="23"/>
      <c r="R756" s="23"/>
      <c r="S756" s="24"/>
      <c r="T756" s="25"/>
      <c r="U756" s="25" t="n">
        <v>0</v>
      </c>
      <c r="V756" s="25" t="n">
        <f aca="false">P756-U756</f>
        <v>317.1</v>
      </c>
      <c r="W756" s="25" t="n">
        <f aca="false">V756*12</f>
        <v>3805.2</v>
      </c>
      <c r="X756" s="23" t="str">
        <f aca="false">IF(Q756="","MISSING FROM EXPORT",IF(ABS(V756)&lt;0.005,"CLEAR",IF(V756&gt;0,"UNDERBILLING","OVERBILLING")))</f>
        <v>MISSING FROM EXPORT</v>
      </c>
      <c r="Y756" s="25" t="n">
        <f aca="false">IF(F756="COMMERCIAL",ROUND(P756*0.35,2),0)</f>
        <v>0</v>
      </c>
      <c r="Z756" s="23" t="str">
        <f aca="false">IF(F756="COMMERCIAL","VERIFY SIGNED AGREEMENT","NO EXCEPTION")</f>
        <v>NO EXCEPTION</v>
      </c>
      <c r="AA756" s="23" t="str">
        <f aca="false">IF(AND(C756="covered",N756&gt;40),"COVERED &gt;40 FT","")</f>
        <v/>
      </c>
      <c r="AB756" s="23" t="s">
        <v>4705</v>
      </c>
      <c r="AC756" s="23" t="s">
        <v>6792</v>
      </c>
      <c r="AD756" s="23" t="s">
        <v>2807</v>
      </c>
    </row>
    <row r="757" customFormat="false" ht="17.9" hidden="false" customHeight="false" outlineLevel="0" collapsed="false">
      <c r="A757" s="20" t="s">
        <v>6793</v>
      </c>
      <c r="B757" s="20" t="s">
        <v>166</v>
      </c>
      <c r="C757" s="20" t="s">
        <v>2798</v>
      </c>
      <c r="D757" s="20" t="s">
        <v>6794</v>
      </c>
      <c r="E757" s="20" t="s">
        <v>6795</v>
      </c>
      <c r="F757" s="20" t="s">
        <v>2833</v>
      </c>
      <c r="G757" s="20" t="s">
        <v>3351</v>
      </c>
      <c r="H757" s="22" t="n">
        <v>38.2</v>
      </c>
      <c r="I757" s="22" t="n">
        <v>38.2</v>
      </c>
      <c r="J757" s="22" t="n">
        <f aca="false">H757-I757</f>
        <v>0</v>
      </c>
      <c r="K757" s="20" t="str">
        <f aca="false">IF(ABS(J757)&lt;0.001,"MATCH - PAPER CHECK-IN NOT SUPPLIED","DATA MISMATCH")</f>
        <v>MATCH - PAPER CHECK-IN NOT SUPPLIED</v>
      </c>
      <c r="L757" s="22" t="n">
        <v>45</v>
      </c>
      <c r="M757" s="22" t="n">
        <f aca="false">ROUNDUP(H757,0)</f>
        <v>39</v>
      </c>
      <c r="N757" s="24" t="n">
        <f aca="false">MAX(L757,M757)</f>
        <v>45</v>
      </c>
      <c r="O757" s="25" t="n">
        <v>7.55</v>
      </c>
      <c r="P757" s="25" t="n">
        <f aca="false">N757*O757</f>
        <v>339.75</v>
      </c>
      <c r="Q757" s="23"/>
      <c r="R757" s="23"/>
      <c r="S757" s="24"/>
      <c r="T757" s="25"/>
      <c r="U757" s="25" t="n">
        <v>0</v>
      </c>
      <c r="V757" s="25" t="n">
        <f aca="false">P757-U757</f>
        <v>339.75</v>
      </c>
      <c r="W757" s="25" t="n">
        <f aca="false">V757*12</f>
        <v>4077</v>
      </c>
      <c r="X757" s="23" t="str">
        <f aca="false">IF(Q757="","MISSING FROM EXPORT",IF(ABS(V757)&lt;0.005,"CLEAR",IF(V757&gt;0,"UNDERBILLING","OVERBILLING")))</f>
        <v>MISSING FROM EXPORT</v>
      </c>
      <c r="Y757" s="25" t="n">
        <f aca="false">IF(F757="COMMERCIAL",ROUND(P757*0.35,2),0)</f>
        <v>0</v>
      </c>
      <c r="Z757" s="23" t="str">
        <f aca="false">IF(F757="COMMERCIAL","VERIFY SIGNED AGREEMENT","NO EXCEPTION")</f>
        <v>NO EXCEPTION</v>
      </c>
      <c r="AA757" s="23" t="str">
        <f aca="false">IF(AND(C757="covered",N757&gt;40),"COVERED &gt;40 FT","")</f>
        <v/>
      </c>
      <c r="AB757" s="23" t="s">
        <v>4705</v>
      </c>
      <c r="AC757" s="23" t="s">
        <v>6796</v>
      </c>
      <c r="AD757" s="23" t="s">
        <v>2807</v>
      </c>
    </row>
    <row r="758" customFormat="false" ht="17.9" hidden="false" customHeight="false" outlineLevel="0" collapsed="false">
      <c r="A758" s="20" t="s">
        <v>1664</v>
      </c>
      <c r="B758" s="20" t="s">
        <v>166</v>
      </c>
      <c r="C758" s="20" t="s">
        <v>2798</v>
      </c>
      <c r="D758" s="20" t="s">
        <v>6797</v>
      </c>
      <c r="E758" s="20" t="s">
        <v>6798</v>
      </c>
      <c r="F758" s="20" t="s">
        <v>2810</v>
      </c>
      <c r="G758" s="20" t="s">
        <v>3356</v>
      </c>
      <c r="H758" s="22" t="n">
        <v>48.2</v>
      </c>
      <c r="I758" s="22" t="n">
        <v>48.2</v>
      </c>
      <c r="J758" s="22" t="n">
        <f aca="false">H758-I758</f>
        <v>0</v>
      </c>
      <c r="K758" s="20" t="str">
        <f aca="false">IF(ABS(J758)&lt;0.001,"MATCH - PAPER CHECK-IN NOT SUPPLIED","DATA MISMATCH")</f>
        <v>MATCH - PAPER CHECK-IN NOT SUPPLIED</v>
      </c>
      <c r="L758" s="22" t="n">
        <v>32</v>
      </c>
      <c r="M758" s="22" t="n">
        <f aca="false">ROUNDUP(H758,0)</f>
        <v>49</v>
      </c>
      <c r="N758" s="24" t="n">
        <f aca="false">MAX(L758,M758)</f>
        <v>49</v>
      </c>
      <c r="O758" s="25" t="n">
        <v>7.55</v>
      </c>
      <c r="P758" s="25" t="n">
        <f aca="false">N758*O758</f>
        <v>369.95</v>
      </c>
      <c r="Q758" s="23"/>
      <c r="R758" s="23"/>
      <c r="S758" s="24"/>
      <c r="T758" s="25"/>
      <c r="U758" s="25" t="n">
        <v>0</v>
      </c>
      <c r="V758" s="25" t="n">
        <f aca="false">P758-U758</f>
        <v>369.95</v>
      </c>
      <c r="W758" s="25" t="n">
        <f aca="false">V758*12</f>
        <v>4439.4</v>
      </c>
      <c r="X758" s="23" t="str">
        <f aca="false">IF(Q758="","MISSING FROM EXPORT",IF(ABS(V758)&lt;0.005,"CLEAR",IF(V758&gt;0,"UNDERBILLING","OVERBILLING")))</f>
        <v>MISSING FROM EXPORT</v>
      </c>
      <c r="Y758" s="25" t="n">
        <f aca="false">IF(F758="COMMERCIAL",ROUND(P758*0.35,2),0)</f>
        <v>0</v>
      </c>
      <c r="Z758" s="23" t="str">
        <f aca="false">IF(F758="COMMERCIAL","VERIFY SIGNED AGREEMENT","NO EXCEPTION")</f>
        <v>NO EXCEPTION</v>
      </c>
      <c r="AA758" s="23" t="str">
        <f aca="false">IF(AND(C758="covered",N758&gt;40),"COVERED &gt;40 FT","")</f>
        <v/>
      </c>
      <c r="AB758" s="23" t="s">
        <v>4705</v>
      </c>
      <c r="AC758" s="23" t="s">
        <v>6799</v>
      </c>
      <c r="AD758" s="23" t="s">
        <v>2807</v>
      </c>
    </row>
    <row r="759" customFormat="false" ht="17.9" hidden="false" customHeight="false" outlineLevel="0" collapsed="false">
      <c r="A759" s="20" t="s">
        <v>1341</v>
      </c>
      <c r="B759" s="20" t="s">
        <v>166</v>
      </c>
      <c r="C759" s="20" t="s">
        <v>2798</v>
      </c>
      <c r="D759" s="20" t="s">
        <v>6800</v>
      </c>
      <c r="E759" s="20" t="s">
        <v>6801</v>
      </c>
      <c r="F759" s="20" t="s">
        <v>2818</v>
      </c>
      <c r="G759" s="20" t="s">
        <v>3362</v>
      </c>
      <c r="H759" s="22" t="n">
        <v>61.2</v>
      </c>
      <c r="I759" s="22" t="n">
        <v>61.2</v>
      </c>
      <c r="J759" s="22" t="n">
        <f aca="false">H759-I759</f>
        <v>0</v>
      </c>
      <c r="K759" s="20" t="str">
        <f aca="false">IF(ABS(J759)&lt;0.001,"MATCH - PAPER CHECK-IN NOT SUPPLIED","DATA MISMATCH")</f>
        <v>MATCH - PAPER CHECK-IN NOT SUPPLIED</v>
      </c>
      <c r="L759" s="22" t="n">
        <v>32</v>
      </c>
      <c r="M759" s="22" t="n">
        <f aca="false">ROUNDUP(H759,0)</f>
        <v>62</v>
      </c>
      <c r="N759" s="24" t="n">
        <f aca="false">MAX(L759,M759)</f>
        <v>62</v>
      </c>
      <c r="O759" s="25" t="n">
        <v>7.55</v>
      </c>
      <c r="P759" s="25" t="n">
        <f aca="false">N759*O759</f>
        <v>468.1</v>
      </c>
      <c r="Q759" s="23"/>
      <c r="R759" s="23"/>
      <c r="S759" s="24"/>
      <c r="T759" s="25"/>
      <c r="U759" s="25" t="n">
        <v>0</v>
      </c>
      <c r="V759" s="25" t="n">
        <f aca="false">P759-U759</f>
        <v>468.1</v>
      </c>
      <c r="W759" s="25" t="n">
        <f aca="false">V759*12</f>
        <v>5617.2</v>
      </c>
      <c r="X759" s="23" t="str">
        <f aca="false">IF(Q759="","MISSING FROM EXPORT",IF(ABS(V759)&lt;0.005,"CLEAR",IF(V759&gt;0,"UNDERBILLING","OVERBILLING")))</f>
        <v>MISSING FROM EXPORT</v>
      </c>
      <c r="Y759" s="25" t="n">
        <f aca="false">IF(F759="COMMERCIAL",ROUND(P759*0.35,2),0)</f>
        <v>0</v>
      </c>
      <c r="Z759" s="23" t="str">
        <f aca="false">IF(F759="COMMERCIAL","VERIFY SIGNED AGREEMENT","NO EXCEPTION")</f>
        <v>NO EXCEPTION</v>
      </c>
      <c r="AA759" s="23" t="str">
        <f aca="false">IF(AND(C759="covered",N759&gt;40),"COVERED &gt;40 FT","")</f>
        <v/>
      </c>
      <c r="AB759" s="23" t="s">
        <v>4705</v>
      </c>
      <c r="AC759" s="23" t="s">
        <v>6802</v>
      </c>
      <c r="AD759" s="23" t="s">
        <v>2807</v>
      </c>
    </row>
    <row r="760" customFormat="false" ht="17.9" hidden="false" customHeight="false" outlineLevel="0" collapsed="false">
      <c r="A760" s="20" t="s">
        <v>6803</v>
      </c>
      <c r="B760" s="20" t="s">
        <v>166</v>
      </c>
      <c r="C760" s="20" t="s">
        <v>2798</v>
      </c>
      <c r="D760" s="20" t="s">
        <v>6804</v>
      </c>
      <c r="E760" s="20" t="s">
        <v>6805</v>
      </c>
      <c r="F760" s="20" t="s">
        <v>2857</v>
      </c>
      <c r="G760" s="20" t="s">
        <v>3366</v>
      </c>
      <c r="H760" s="22" t="n">
        <v>48.4</v>
      </c>
      <c r="I760" s="22" t="n">
        <v>48.4</v>
      </c>
      <c r="J760" s="22" t="n">
        <f aca="false">H760-I760</f>
        <v>0</v>
      </c>
      <c r="K760" s="20" t="str">
        <f aca="false">IF(ABS(J760)&lt;0.001,"MATCH - PAPER CHECK-IN NOT SUPPLIED","DATA MISMATCH")</f>
        <v>MATCH - PAPER CHECK-IN NOT SUPPLIED</v>
      </c>
      <c r="L760" s="22" t="n">
        <v>60</v>
      </c>
      <c r="M760" s="22" t="n">
        <f aca="false">ROUNDUP(H760,0)</f>
        <v>49</v>
      </c>
      <c r="N760" s="24" t="n">
        <f aca="false">MAX(L760,M760)</f>
        <v>60</v>
      </c>
      <c r="O760" s="25" t="n">
        <v>7.55</v>
      </c>
      <c r="P760" s="25" t="n">
        <f aca="false">N760*O760</f>
        <v>453</v>
      </c>
      <c r="Q760" s="23"/>
      <c r="R760" s="23"/>
      <c r="S760" s="24"/>
      <c r="T760" s="25"/>
      <c r="U760" s="25" t="n">
        <v>0</v>
      </c>
      <c r="V760" s="25" t="n">
        <f aca="false">P760-U760</f>
        <v>453</v>
      </c>
      <c r="W760" s="25" t="n">
        <f aca="false">V760*12</f>
        <v>5436</v>
      </c>
      <c r="X760" s="23" t="str">
        <f aca="false">IF(Q760="","MISSING FROM EXPORT",IF(ABS(V760)&lt;0.005,"CLEAR",IF(V760&gt;0,"UNDERBILLING","OVERBILLING")))</f>
        <v>MISSING FROM EXPORT</v>
      </c>
      <c r="Y760" s="25" t="n">
        <f aca="false">IF(F760="COMMERCIAL",ROUND(P760*0.35,2),0)</f>
        <v>0</v>
      </c>
      <c r="Z760" s="23" t="str">
        <f aca="false">IF(F760="COMMERCIAL","VERIFY SIGNED AGREEMENT","NO EXCEPTION")</f>
        <v>NO EXCEPTION</v>
      </c>
      <c r="AA760" s="23" t="str">
        <f aca="false">IF(AND(C760="covered",N760&gt;40),"COVERED &gt;40 FT","")</f>
        <v/>
      </c>
      <c r="AB760" s="23" t="s">
        <v>4705</v>
      </c>
      <c r="AC760" s="23" t="s">
        <v>6806</v>
      </c>
      <c r="AD760" s="23" t="s">
        <v>2807</v>
      </c>
    </row>
    <row r="761" customFormat="false" ht="17.9" hidden="false" customHeight="false" outlineLevel="0" collapsed="false">
      <c r="A761" s="20" t="s">
        <v>6807</v>
      </c>
      <c r="B761" s="20" t="s">
        <v>166</v>
      </c>
      <c r="C761" s="20" t="s">
        <v>2798</v>
      </c>
      <c r="D761" s="20" t="s">
        <v>6808</v>
      </c>
      <c r="E761" s="20" t="s">
        <v>6809</v>
      </c>
      <c r="F761" s="20" t="s">
        <v>2898</v>
      </c>
      <c r="G761" s="20" t="s">
        <v>4685</v>
      </c>
      <c r="H761" s="22" t="n">
        <v>26.5</v>
      </c>
      <c r="I761" s="22" t="n">
        <v>26.5</v>
      </c>
      <c r="J761" s="22" t="n">
        <f aca="false">H761-I761</f>
        <v>0</v>
      </c>
      <c r="K761" s="20" t="str">
        <f aca="false">IF(ABS(J761)&lt;0.001,"MATCH - PAPER CHECK-IN NOT SUPPLIED","DATA MISMATCH")</f>
        <v>MATCH - PAPER CHECK-IN NOT SUPPLIED</v>
      </c>
      <c r="L761" s="22" t="n">
        <v>24</v>
      </c>
      <c r="M761" s="22" t="n">
        <f aca="false">ROUNDUP(H761,0)</f>
        <v>27</v>
      </c>
      <c r="N761" s="24" t="n">
        <f aca="false">MAX(L761,M761)</f>
        <v>27</v>
      </c>
      <c r="O761" s="25" t="n">
        <v>7.55</v>
      </c>
      <c r="P761" s="25" t="n">
        <f aca="false">N761*O761</f>
        <v>203.85</v>
      </c>
      <c r="Q761" s="23"/>
      <c r="R761" s="23"/>
      <c r="S761" s="24"/>
      <c r="T761" s="25"/>
      <c r="U761" s="25" t="n">
        <v>0</v>
      </c>
      <c r="V761" s="25" t="n">
        <f aca="false">P761-U761</f>
        <v>203.85</v>
      </c>
      <c r="W761" s="25" t="n">
        <f aca="false">V761*12</f>
        <v>2446.2</v>
      </c>
      <c r="X761" s="23" t="str">
        <f aca="false">IF(Q761="","MISSING FROM EXPORT",IF(ABS(V761)&lt;0.005,"CLEAR",IF(V761&gt;0,"UNDERBILLING","OVERBILLING")))</f>
        <v>MISSING FROM EXPORT</v>
      </c>
      <c r="Y761" s="25" t="n">
        <f aca="false">IF(F761="COMMERCIAL",ROUND(P761*0.35,2),0)</f>
        <v>0</v>
      </c>
      <c r="Z761" s="23" t="str">
        <f aca="false">IF(F761="COMMERCIAL","VERIFY SIGNED AGREEMENT","NO EXCEPTION")</f>
        <v>NO EXCEPTION</v>
      </c>
      <c r="AA761" s="23" t="str">
        <f aca="false">IF(AND(C761="covered",N761&gt;40),"COVERED &gt;40 FT","")</f>
        <v/>
      </c>
      <c r="AB761" s="23" t="s">
        <v>4705</v>
      </c>
      <c r="AC761" s="23" t="s">
        <v>6810</v>
      </c>
      <c r="AD761" s="23" t="s">
        <v>2807</v>
      </c>
    </row>
    <row r="762" customFormat="false" ht="17.9" hidden="false" customHeight="false" outlineLevel="0" collapsed="false">
      <c r="A762" s="20" t="s">
        <v>6811</v>
      </c>
      <c r="B762" s="20" t="s">
        <v>166</v>
      </c>
      <c r="C762" s="20" t="s">
        <v>2798</v>
      </c>
      <c r="D762" s="20" t="s">
        <v>6812</v>
      </c>
      <c r="E762" s="20" t="s">
        <v>6813</v>
      </c>
      <c r="F762" s="20" t="s">
        <v>2801</v>
      </c>
      <c r="G762" s="20" t="s">
        <v>3373</v>
      </c>
      <c r="H762" s="22" t="n">
        <v>53.2</v>
      </c>
      <c r="I762" s="22" t="n">
        <v>53.2</v>
      </c>
      <c r="J762" s="22" t="n">
        <f aca="false">H762-I762</f>
        <v>0</v>
      </c>
      <c r="K762" s="20" t="str">
        <f aca="false">IF(ABS(J762)&lt;0.001,"MATCH - PAPER CHECK-IN NOT SUPPLIED","DATA MISMATCH")</f>
        <v>MATCH - PAPER CHECK-IN NOT SUPPLIED</v>
      </c>
      <c r="L762" s="22" t="n">
        <v>80</v>
      </c>
      <c r="M762" s="22" t="n">
        <f aca="false">ROUNDUP(H762,0)</f>
        <v>54</v>
      </c>
      <c r="N762" s="24" t="n">
        <f aca="false">MAX(L762,M762)</f>
        <v>80</v>
      </c>
      <c r="O762" s="25" t="n">
        <v>7.55</v>
      </c>
      <c r="P762" s="25" t="n">
        <f aca="false">N762*O762</f>
        <v>604</v>
      </c>
      <c r="Q762" s="23"/>
      <c r="R762" s="23"/>
      <c r="S762" s="24"/>
      <c r="T762" s="25"/>
      <c r="U762" s="25" t="n">
        <v>0</v>
      </c>
      <c r="V762" s="25" t="n">
        <f aca="false">P762-U762</f>
        <v>604</v>
      </c>
      <c r="W762" s="25" t="n">
        <f aca="false">V762*12</f>
        <v>7248</v>
      </c>
      <c r="X762" s="23" t="str">
        <f aca="false">IF(Q762="","MISSING FROM EXPORT",IF(ABS(V762)&lt;0.005,"CLEAR",IF(V762&gt;0,"UNDERBILLING","OVERBILLING")))</f>
        <v>MISSING FROM EXPORT</v>
      </c>
      <c r="Y762" s="25" t="n">
        <f aca="false">IF(F762="COMMERCIAL",ROUND(P762*0.35,2),0)</f>
        <v>0</v>
      </c>
      <c r="Z762" s="23" t="str">
        <f aca="false">IF(F762="COMMERCIAL","VERIFY SIGNED AGREEMENT","NO EXCEPTION")</f>
        <v>NO EXCEPTION</v>
      </c>
      <c r="AA762" s="23" t="str">
        <f aca="false">IF(AND(C762="covered",N762&gt;40),"COVERED &gt;40 FT","")</f>
        <v/>
      </c>
      <c r="AB762" s="23" t="s">
        <v>4705</v>
      </c>
      <c r="AC762" s="23" t="s">
        <v>6814</v>
      </c>
      <c r="AD762" s="23" t="s">
        <v>2807</v>
      </c>
    </row>
    <row r="763" customFormat="false" ht="17.9" hidden="false" customHeight="false" outlineLevel="0" collapsed="false">
      <c r="A763" s="20" t="s">
        <v>6815</v>
      </c>
      <c r="B763" s="20" t="s">
        <v>166</v>
      </c>
      <c r="C763" s="20" t="s">
        <v>2798</v>
      </c>
      <c r="D763" s="20" t="s">
        <v>6816</v>
      </c>
      <c r="E763" s="20" t="s">
        <v>6817</v>
      </c>
      <c r="F763" s="20" t="s">
        <v>2833</v>
      </c>
      <c r="G763" s="20" t="s">
        <v>3380</v>
      </c>
      <c r="H763" s="22" t="n">
        <v>52.5</v>
      </c>
      <c r="I763" s="22" t="n">
        <v>52.5</v>
      </c>
      <c r="J763" s="22" t="n">
        <f aca="false">H763-I763</f>
        <v>0</v>
      </c>
      <c r="K763" s="20" t="str">
        <f aca="false">IF(ABS(J763)&lt;0.001,"MATCH - PAPER CHECK-IN NOT SUPPLIED","DATA MISMATCH")</f>
        <v>MATCH - PAPER CHECK-IN NOT SUPPLIED</v>
      </c>
      <c r="L763" s="22" t="n">
        <v>24</v>
      </c>
      <c r="M763" s="22" t="n">
        <f aca="false">ROUNDUP(H763,0)</f>
        <v>53</v>
      </c>
      <c r="N763" s="24" t="n">
        <f aca="false">MAX(L763,M763)</f>
        <v>53</v>
      </c>
      <c r="O763" s="25" t="n">
        <v>7.55</v>
      </c>
      <c r="P763" s="25" t="n">
        <f aca="false">N763*O763</f>
        <v>400.15</v>
      </c>
      <c r="Q763" s="23"/>
      <c r="R763" s="23"/>
      <c r="S763" s="24"/>
      <c r="T763" s="25"/>
      <c r="U763" s="25" t="n">
        <v>0</v>
      </c>
      <c r="V763" s="25" t="n">
        <f aca="false">P763-U763</f>
        <v>400.15</v>
      </c>
      <c r="W763" s="25" t="n">
        <f aca="false">V763*12</f>
        <v>4801.8</v>
      </c>
      <c r="X763" s="23" t="str">
        <f aca="false">IF(Q763="","MISSING FROM EXPORT",IF(ABS(V763)&lt;0.005,"CLEAR",IF(V763&gt;0,"UNDERBILLING","OVERBILLING")))</f>
        <v>MISSING FROM EXPORT</v>
      </c>
      <c r="Y763" s="25" t="n">
        <f aca="false">IF(F763="COMMERCIAL",ROUND(P763*0.35,2),0)</f>
        <v>0</v>
      </c>
      <c r="Z763" s="23" t="str">
        <f aca="false">IF(F763="COMMERCIAL","VERIFY SIGNED AGREEMENT","NO EXCEPTION")</f>
        <v>NO EXCEPTION</v>
      </c>
      <c r="AA763" s="23" t="str">
        <f aca="false">IF(AND(C763="covered",N763&gt;40),"COVERED &gt;40 FT","")</f>
        <v/>
      </c>
      <c r="AB763" s="23" t="s">
        <v>4705</v>
      </c>
      <c r="AC763" s="23" t="s">
        <v>6818</v>
      </c>
      <c r="AD763" s="23" t="s">
        <v>2807</v>
      </c>
    </row>
    <row r="764" customFormat="false" ht="17.9" hidden="false" customHeight="false" outlineLevel="0" collapsed="false">
      <c r="A764" s="20" t="s">
        <v>6819</v>
      </c>
      <c r="B764" s="20" t="s">
        <v>166</v>
      </c>
      <c r="C764" s="20" t="s">
        <v>2798</v>
      </c>
      <c r="D764" s="20" t="s">
        <v>6820</v>
      </c>
      <c r="E764" s="20" t="s">
        <v>6821</v>
      </c>
      <c r="F764" s="20" t="s">
        <v>2810</v>
      </c>
      <c r="G764" s="20" t="s">
        <v>3387</v>
      </c>
      <c r="H764" s="22" t="n">
        <v>40.6</v>
      </c>
      <c r="I764" s="22" t="n">
        <v>40.6</v>
      </c>
      <c r="J764" s="22" t="n">
        <f aca="false">H764-I764</f>
        <v>0</v>
      </c>
      <c r="K764" s="20" t="str">
        <f aca="false">IF(ABS(J764)&lt;0.001,"MATCH - PAPER CHECK-IN NOT SUPPLIED","DATA MISMATCH")</f>
        <v>MATCH - PAPER CHECK-IN NOT SUPPLIED</v>
      </c>
      <c r="L764" s="22" t="n">
        <v>80</v>
      </c>
      <c r="M764" s="22" t="n">
        <f aca="false">ROUNDUP(H764,0)</f>
        <v>41</v>
      </c>
      <c r="N764" s="24" t="n">
        <f aca="false">MAX(L764,M764)</f>
        <v>80</v>
      </c>
      <c r="O764" s="25" t="n">
        <v>7.55</v>
      </c>
      <c r="P764" s="25" t="n">
        <f aca="false">N764*O764</f>
        <v>604</v>
      </c>
      <c r="Q764" s="23"/>
      <c r="R764" s="23"/>
      <c r="S764" s="24"/>
      <c r="T764" s="25"/>
      <c r="U764" s="25" t="n">
        <v>0</v>
      </c>
      <c r="V764" s="25" t="n">
        <f aca="false">P764-U764</f>
        <v>604</v>
      </c>
      <c r="W764" s="25" t="n">
        <f aca="false">V764*12</f>
        <v>7248</v>
      </c>
      <c r="X764" s="23" t="str">
        <f aca="false">IF(Q764="","MISSING FROM EXPORT",IF(ABS(V764)&lt;0.005,"CLEAR",IF(V764&gt;0,"UNDERBILLING","OVERBILLING")))</f>
        <v>MISSING FROM EXPORT</v>
      </c>
      <c r="Y764" s="25" t="n">
        <f aca="false">IF(F764="COMMERCIAL",ROUND(P764*0.35,2),0)</f>
        <v>0</v>
      </c>
      <c r="Z764" s="23" t="str">
        <f aca="false">IF(F764="COMMERCIAL","VERIFY SIGNED AGREEMENT","NO EXCEPTION")</f>
        <v>NO EXCEPTION</v>
      </c>
      <c r="AA764" s="23" t="str">
        <f aca="false">IF(AND(C764="covered",N764&gt;40),"COVERED &gt;40 FT","")</f>
        <v/>
      </c>
      <c r="AB764" s="23" t="s">
        <v>4705</v>
      </c>
      <c r="AC764" s="23" t="s">
        <v>6822</v>
      </c>
      <c r="AD764" s="23" t="s">
        <v>2807</v>
      </c>
    </row>
    <row r="765" customFormat="false" ht="17.9" hidden="false" customHeight="false" outlineLevel="0" collapsed="false">
      <c r="A765" s="20" t="s">
        <v>6823</v>
      </c>
      <c r="B765" s="20" t="s">
        <v>166</v>
      </c>
      <c r="C765" s="20" t="s">
        <v>2798</v>
      </c>
      <c r="D765" s="20" t="s">
        <v>6824</v>
      </c>
      <c r="E765" s="20" t="s">
        <v>6825</v>
      </c>
      <c r="F765" s="20" t="s">
        <v>2833</v>
      </c>
      <c r="G765" s="20" t="s">
        <v>3394</v>
      </c>
      <c r="H765" s="22" t="n">
        <v>37.5</v>
      </c>
      <c r="I765" s="22" t="n">
        <v>37.5</v>
      </c>
      <c r="J765" s="22" t="n">
        <f aca="false">H765-I765</f>
        <v>0</v>
      </c>
      <c r="K765" s="20" t="str">
        <f aca="false">IF(ABS(J765)&lt;0.001,"MATCH - PAPER CHECK-IN NOT SUPPLIED","DATA MISMATCH")</f>
        <v>MATCH - PAPER CHECK-IN NOT SUPPLIED</v>
      </c>
      <c r="L765" s="22" t="n">
        <v>45</v>
      </c>
      <c r="M765" s="22" t="n">
        <f aca="false">ROUNDUP(H765,0)</f>
        <v>38</v>
      </c>
      <c r="N765" s="24" t="n">
        <f aca="false">MAX(L765,M765)</f>
        <v>45</v>
      </c>
      <c r="O765" s="25" t="n">
        <v>7.55</v>
      </c>
      <c r="P765" s="25" t="n">
        <f aca="false">N765*O765</f>
        <v>339.75</v>
      </c>
      <c r="Q765" s="23"/>
      <c r="R765" s="23"/>
      <c r="S765" s="24"/>
      <c r="T765" s="25"/>
      <c r="U765" s="25" t="n">
        <v>0</v>
      </c>
      <c r="V765" s="25" t="n">
        <f aca="false">P765-U765</f>
        <v>339.75</v>
      </c>
      <c r="W765" s="25" t="n">
        <f aca="false">V765*12</f>
        <v>4077</v>
      </c>
      <c r="X765" s="23" t="str">
        <f aca="false">IF(Q765="","MISSING FROM EXPORT",IF(ABS(V765)&lt;0.005,"CLEAR",IF(V765&gt;0,"UNDERBILLING","OVERBILLING")))</f>
        <v>MISSING FROM EXPORT</v>
      </c>
      <c r="Y765" s="25" t="n">
        <f aca="false">IF(F765="COMMERCIAL",ROUND(P765*0.35,2),0)</f>
        <v>0</v>
      </c>
      <c r="Z765" s="23" t="str">
        <f aca="false">IF(F765="COMMERCIAL","VERIFY SIGNED AGREEMENT","NO EXCEPTION")</f>
        <v>NO EXCEPTION</v>
      </c>
      <c r="AA765" s="23" t="str">
        <f aca="false">IF(AND(C765="covered",N765&gt;40),"COVERED &gt;40 FT","")</f>
        <v/>
      </c>
      <c r="AB765" s="23" t="s">
        <v>4705</v>
      </c>
      <c r="AC765" s="23" t="s">
        <v>6826</v>
      </c>
      <c r="AD765" s="23" t="s">
        <v>2807</v>
      </c>
    </row>
    <row r="766" customFormat="false" ht="17.9" hidden="false" customHeight="false" outlineLevel="0" collapsed="false">
      <c r="A766" s="20" t="s">
        <v>6827</v>
      </c>
      <c r="B766" s="20" t="s">
        <v>166</v>
      </c>
      <c r="C766" s="20" t="s">
        <v>2798</v>
      </c>
      <c r="D766" s="20" t="s">
        <v>6828</v>
      </c>
      <c r="E766" s="20" t="s">
        <v>6829</v>
      </c>
      <c r="F766" s="20" t="s">
        <v>2833</v>
      </c>
      <c r="G766" s="20" t="s">
        <v>3401</v>
      </c>
      <c r="H766" s="22" t="n">
        <v>54.6</v>
      </c>
      <c r="I766" s="22" t="n">
        <v>54.6</v>
      </c>
      <c r="J766" s="22" t="n">
        <f aca="false">H766-I766</f>
        <v>0</v>
      </c>
      <c r="K766" s="20" t="str">
        <f aca="false">IF(ABS(J766)&lt;0.001,"MATCH - PAPER CHECK-IN NOT SUPPLIED","DATA MISMATCH")</f>
        <v>MATCH - PAPER CHECK-IN NOT SUPPLIED</v>
      </c>
      <c r="L766" s="22" t="n">
        <v>70</v>
      </c>
      <c r="M766" s="22" t="n">
        <f aca="false">ROUNDUP(H766,0)</f>
        <v>55</v>
      </c>
      <c r="N766" s="24" t="n">
        <f aca="false">MAX(L766,M766)</f>
        <v>70</v>
      </c>
      <c r="O766" s="25" t="n">
        <v>7.55</v>
      </c>
      <c r="P766" s="25" t="n">
        <f aca="false">N766*O766</f>
        <v>528.5</v>
      </c>
      <c r="Q766" s="23"/>
      <c r="R766" s="23"/>
      <c r="S766" s="24"/>
      <c r="T766" s="25"/>
      <c r="U766" s="25" t="n">
        <v>0</v>
      </c>
      <c r="V766" s="25" t="n">
        <f aca="false">P766-U766</f>
        <v>528.5</v>
      </c>
      <c r="W766" s="25" t="n">
        <f aca="false">V766*12</f>
        <v>6342</v>
      </c>
      <c r="X766" s="23" t="str">
        <f aca="false">IF(Q766="","MISSING FROM EXPORT",IF(ABS(V766)&lt;0.005,"CLEAR",IF(V766&gt;0,"UNDERBILLING","OVERBILLING")))</f>
        <v>MISSING FROM EXPORT</v>
      </c>
      <c r="Y766" s="25" t="n">
        <f aca="false">IF(F766="COMMERCIAL",ROUND(P766*0.35,2),0)</f>
        <v>0</v>
      </c>
      <c r="Z766" s="23" t="str">
        <f aca="false">IF(F766="COMMERCIAL","VERIFY SIGNED AGREEMENT","NO EXCEPTION")</f>
        <v>NO EXCEPTION</v>
      </c>
      <c r="AA766" s="23" t="str">
        <f aca="false">IF(AND(C766="covered",N766&gt;40),"COVERED &gt;40 FT","")</f>
        <v/>
      </c>
      <c r="AB766" s="23" t="s">
        <v>4705</v>
      </c>
      <c r="AC766" s="23" t="s">
        <v>6830</v>
      </c>
      <c r="AD766" s="23" t="s">
        <v>2807</v>
      </c>
    </row>
    <row r="767" customFormat="false" ht="17.9" hidden="false" customHeight="false" outlineLevel="0" collapsed="false">
      <c r="A767" s="20" t="s">
        <v>6831</v>
      </c>
      <c r="B767" s="20" t="s">
        <v>166</v>
      </c>
      <c r="C767" s="20" t="s">
        <v>2798</v>
      </c>
      <c r="D767" s="20" t="s">
        <v>6832</v>
      </c>
      <c r="E767" s="20" t="s">
        <v>6833</v>
      </c>
      <c r="F767" s="20" t="s">
        <v>2898</v>
      </c>
      <c r="G767" s="20" t="s">
        <v>3408</v>
      </c>
      <c r="H767" s="22" t="n">
        <v>46.1</v>
      </c>
      <c r="I767" s="22" t="n">
        <v>46.1</v>
      </c>
      <c r="J767" s="22" t="n">
        <f aca="false">H767-I767</f>
        <v>0</v>
      </c>
      <c r="K767" s="20" t="str">
        <f aca="false">IF(ABS(J767)&lt;0.001,"MATCH - PAPER CHECK-IN NOT SUPPLIED","DATA MISMATCH")</f>
        <v>MATCH - PAPER CHECK-IN NOT SUPPLIED</v>
      </c>
      <c r="L767" s="22" t="n">
        <v>80</v>
      </c>
      <c r="M767" s="22" t="n">
        <f aca="false">ROUNDUP(H767,0)</f>
        <v>47</v>
      </c>
      <c r="N767" s="24" t="n">
        <f aca="false">MAX(L767,M767)</f>
        <v>80</v>
      </c>
      <c r="O767" s="25" t="n">
        <v>7.55</v>
      </c>
      <c r="P767" s="25" t="n">
        <f aca="false">N767*O767</f>
        <v>604</v>
      </c>
      <c r="Q767" s="23"/>
      <c r="R767" s="23"/>
      <c r="S767" s="24"/>
      <c r="T767" s="25"/>
      <c r="U767" s="25" t="n">
        <v>0</v>
      </c>
      <c r="V767" s="25" t="n">
        <f aca="false">P767-U767</f>
        <v>604</v>
      </c>
      <c r="W767" s="25" t="n">
        <f aca="false">V767*12</f>
        <v>7248</v>
      </c>
      <c r="X767" s="23" t="str">
        <f aca="false">IF(Q767="","MISSING FROM EXPORT",IF(ABS(V767)&lt;0.005,"CLEAR",IF(V767&gt;0,"UNDERBILLING","OVERBILLING")))</f>
        <v>MISSING FROM EXPORT</v>
      </c>
      <c r="Y767" s="25" t="n">
        <f aca="false">IF(F767="COMMERCIAL",ROUND(P767*0.35,2),0)</f>
        <v>0</v>
      </c>
      <c r="Z767" s="23" t="str">
        <f aca="false">IF(F767="COMMERCIAL","VERIFY SIGNED AGREEMENT","NO EXCEPTION")</f>
        <v>NO EXCEPTION</v>
      </c>
      <c r="AA767" s="23" t="str">
        <f aca="false">IF(AND(C767="covered",N767&gt;40),"COVERED &gt;40 FT","")</f>
        <v/>
      </c>
      <c r="AB767" s="23" t="s">
        <v>4705</v>
      </c>
      <c r="AC767" s="23" t="s">
        <v>6834</v>
      </c>
      <c r="AD767" s="23" t="s">
        <v>2807</v>
      </c>
    </row>
    <row r="768" customFormat="false" ht="17.9" hidden="false" customHeight="false" outlineLevel="0" collapsed="false">
      <c r="A768" s="20" t="s">
        <v>6835</v>
      </c>
      <c r="B768" s="20" t="s">
        <v>166</v>
      </c>
      <c r="C768" s="20" t="s">
        <v>2798</v>
      </c>
      <c r="D768" s="20" t="s">
        <v>1145</v>
      </c>
      <c r="E768" s="20" t="s">
        <v>6836</v>
      </c>
      <c r="F768" s="20" t="s">
        <v>2934</v>
      </c>
      <c r="G768" s="20" t="s">
        <v>3415</v>
      </c>
      <c r="H768" s="22" t="n">
        <v>47.8</v>
      </c>
      <c r="I768" s="22" t="n">
        <v>47.8</v>
      </c>
      <c r="J768" s="22" t="n">
        <f aca="false">H768-I768</f>
        <v>0</v>
      </c>
      <c r="K768" s="20" t="str">
        <f aca="false">IF(ABS(J768)&lt;0.001,"MATCH - PAPER CHECK-IN NOT SUPPLIED","DATA MISMATCH")</f>
        <v>MATCH - PAPER CHECK-IN NOT SUPPLIED</v>
      </c>
      <c r="L768" s="22" t="n">
        <v>32</v>
      </c>
      <c r="M768" s="22" t="n">
        <f aca="false">ROUNDUP(H768,0)</f>
        <v>48</v>
      </c>
      <c r="N768" s="24" t="n">
        <f aca="false">MAX(L768,M768)</f>
        <v>48</v>
      </c>
      <c r="O768" s="25" t="n">
        <v>7.55</v>
      </c>
      <c r="P768" s="25" t="n">
        <f aca="false">N768*O768</f>
        <v>362.4</v>
      </c>
      <c r="Q768" s="23"/>
      <c r="R768" s="23"/>
      <c r="S768" s="24"/>
      <c r="T768" s="25"/>
      <c r="U768" s="25" t="n">
        <v>0</v>
      </c>
      <c r="V768" s="25" t="n">
        <f aca="false">P768-U768</f>
        <v>362.4</v>
      </c>
      <c r="W768" s="25" t="n">
        <f aca="false">V768*12</f>
        <v>4348.8</v>
      </c>
      <c r="X768" s="23" t="str">
        <f aca="false">IF(Q768="","MISSING FROM EXPORT",IF(ABS(V768)&lt;0.005,"CLEAR",IF(V768&gt;0,"UNDERBILLING","OVERBILLING")))</f>
        <v>MISSING FROM EXPORT</v>
      </c>
      <c r="Y768" s="25" t="n">
        <f aca="false">IF(F768="COMMERCIAL",ROUND(P768*0.35,2),0)</f>
        <v>126.84</v>
      </c>
      <c r="Z768" s="23" t="str">
        <f aca="false">IF(F768="COMMERCIAL","VERIFY SIGNED AGREEMENT","NO EXCEPTION")</f>
        <v>VERIFY SIGNED AGREEMENT</v>
      </c>
      <c r="AA768" s="23" t="str">
        <f aca="false">IF(AND(C768="covered",N768&gt;40),"COVERED &gt;40 FT","")</f>
        <v/>
      </c>
      <c r="AB768" s="23" t="s">
        <v>4705</v>
      </c>
      <c r="AC768" s="23" t="s">
        <v>6837</v>
      </c>
      <c r="AD768" s="23" t="s">
        <v>2807</v>
      </c>
    </row>
    <row r="769" customFormat="false" ht="17.9" hidden="false" customHeight="false" outlineLevel="0" collapsed="false">
      <c r="A769" s="20" t="s">
        <v>6838</v>
      </c>
      <c r="B769" s="20" t="s">
        <v>166</v>
      </c>
      <c r="C769" s="20" t="s">
        <v>2798</v>
      </c>
      <c r="D769" s="20" t="s">
        <v>6839</v>
      </c>
      <c r="E769" s="20" t="s">
        <v>6840</v>
      </c>
      <c r="F769" s="20" t="s">
        <v>2857</v>
      </c>
      <c r="G769" s="20" t="s">
        <v>3422</v>
      </c>
      <c r="H769" s="22" t="n">
        <v>27.5</v>
      </c>
      <c r="I769" s="22" t="n">
        <v>27.5</v>
      </c>
      <c r="J769" s="22" t="n">
        <f aca="false">H769-I769</f>
        <v>0</v>
      </c>
      <c r="K769" s="20" t="str">
        <f aca="false">IF(ABS(J769)&lt;0.001,"MATCH - PAPER CHECK-IN NOT SUPPLIED","DATA MISMATCH")</f>
        <v>MATCH - PAPER CHECK-IN NOT SUPPLIED</v>
      </c>
      <c r="L769" s="22" t="n">
        <v>24</v>
      </c>
      <c r="M769" s="22" t="n">
        <f aca="false">ROUNDUP(H769,0)</f>
        <v>28</v>
      </c>
      <c r="N769" s="24" t="n">
        <f aca="false">MAX(L769,M769)</f>
        <v>28</v>
      </c>
      <c r="O769" s="25" t="n">
        <v>7.55</v>
      </c>
      <c r="P769" s="25" t="n">
        <f aca="false">N769*O769</f>
        <v>211.4</v>
      </c>
      <c r="Q769" s="23"/>
      <c r="R769" s="23"/>
      <c r="S769" s="24"/>
      <c r="T769" s="25"/>
      <c r="U769" s="25" t="n">
        <v>0</v>
      </c>
      <c r="V769" s="25" t="n">
        <f aca="false">P769-U769</f>
        <v>211.4</v>
      </c>
      <c r="W769" s="25" t="n">
        <f aca="false">V769*12</f>
        <v>2536.8</v>
      </c>
      <c r="X769" s="23" t="str">
        <f aca="false">IF(Q769="","MISSING FROM EXPORT",IF(ABS(V769)&lt;0.005,"CLEAR",IF(V769&gt;0,"UNDERBILLING","OVERBILLING")))</f>
        <v>MISSING FROM EXPORT</v>
      </c>
      <c r="Y769" s="25" t="n">
        <f aca="false">IF(F769="COMMERCIAL",ROUND(P769*0.35,2),0)</f>
        <v>0</v>
      </c>
      <c r="Z769" s="23" t="str">
        <f aca="false">IF(F769="COMMERCIAL","VERIFY SIGNED AGREEMENT","NO EXCEPTION")</f>
        <v>NO EXCEPTION</v>
      </c>
      <c r="AA769" s="23" t="str">
        <f aca="false">IF(AND(C769="covered",N769&gt;40),"COVERED &gt;40 FT","")</f>
        <v/>
      </c>
      <c r="AB769" s="23" t="s">
        <v>4705</v>
      </c>
      <c r="AC769" s="23" t="s">
        <v>6841</v>
      </c>
      <c r="AD769" s="23" t="s">
        <v>2807</v>
      </c>
    </row>
    <row r="770" customFormat="false" ht="17.9" hidden="false" customHeight="false" outlineLevel="0" collapsed="false">
      <c r="A770" s="20" t="s">
        <v>6842</v>
      </c>
      <c r="B770" s="20" t="s">
        <v>166</v>
      </c>
      <c r="C770" s="20" t="s">
        <v>2798</v>
      </c>
      <c r="D770" s="20" t="s">
        <v>6843</v>
      </c>
      <c r="E770" s="20" t="s">
        <v>6844</v>
      </c>
      <c r="F770" s="20" t="s">
        <v>2818</v>
      </c>
      <c r="G770" s="20" t="s">
        <v>4730</v>
      </c>
      <c r="H770" s="22" t="n">
        <v>35.6</v>
      </c>
      <c r="I770" s="22" t="n">
        <v>35.6</v>
      </c>
      <c r="J770" s="22" t="n">
        <f aca="false">H770-I770</f>
        <v>0</v>
      </c>
      <c r="K770" s="20" t="str">
        <f aca="false">IF(ABS(J770)&lt;0.001,"MATCH - PAPER CHECK-IN NOT SUPPLIED","DATA MISMATCH")</f>
        <v>MATCH - PAPER CHECK-IN NOT SUPPLIED</v>
      </c>
      <c r="L770" s="22" t="n">
        <v>32</v>
      </c>
      <c r="M770" s="22" t="n">
        <f aca="false">ROUNDUP(H770,0)</f>
        <v>36</v>
      </c>
      <c r="N770" s="24" t="n">
        <f aca="false">MAX(L770,M770)</f>
        <v>36</v>
      </c>
      <c r="O770" s="25" t="n">
        <v>7.55</v>
      </c>
      <c r="P770" s="25" t="n">
        <f aca="false">N770*O770</f>
        <v>271.8</v>
      </c>
      <c r="Q770" s="23"/>
      <c r="R770" s="23"/>
      <c r="S770" s="24"/>
      <c r="T770" s="25"/>
      <c r="U770" s="25" t="n">
        <v>0</v>
      </c>
      <c r="V770" s="25" t="n">
        <f aca="false">P770-U770</f>
        <v>271.8</v>
      </c>
      <c r="W770" s="25" t="n">
        <f aca="false">V770*12</f>
        <v>3261.6</v>
      </c>
      <c r="X770" s="23" t="str">
        <f aca="false">IF(Q770="","MISSING FROM EXPORT",IF(ABS(V770)&lt;0.005,"CLEAR",IF(V770&gt;0,"UNDERBILLING","OVERBILLING")))</f>
        <v>MISSING FROM EXPORT</v>
      </c>
      <c r="Y770" s="25" t="n">
        <f aca="false">IF(F770="COMMERCIAL",ROUND(P770*0.35,2),0)</f>
        <v>0</v>
      </c>
      <c r="Z770" s="23" t="str">
        <f aca="false">IF(F770="COMMERCIAL","VERIFY SIGNED AGREEMENT","NO EXCEPTION")</f>
        <v>NO EXCEPTION</v>
      </c>
      <c r="AA770" s="23" t="str">
        <f aca="false">IF(AND(C770="covered",N770&gt;40),"COVERED &gt;40 FT","")</f>
        <v/>
      </c>
      <c r="AB770" s="23" t="s">
        <v>4705</v>
      </c>
      <c r="AC770" s="23" t="s">
        <v>6845</v>
      </c>
      <c r="AD770" s="23" t="s">
        <v>2807</v>
      </c>
    </row>
    <row r="771" customFormat="false" ht="17.9" hidden="false" customHeight="false" outlineLevel="0" collapsed="false">
      <c r="A771" s="20" t="s">
        <v>6846</v>
      </c>
      <c r="B771" s="20" t="s">
        <v>166</v>
      </c>
      <c r="C771" s="20" t="s">
        <v>2798</v>
      </c>
      <c r="D771" s="20" t="s">
        <v>6847</v>
      </c>
      <c r="E771" s="20" t="s">
        <v>6848</v>
      </c>
      <c r="F771" s="20" t="s">
        <v>2810</v>
      </c>
      <c r="G771" s="20" t="s">
        <v>3435</v>
      </c>
      <c r="H771" s="22" t="n">
        <v>19.9</v>
      </c>
      <c r="I771" s="22" t="n">
        <v>19.9</v>
      </c>
      <c r="J771" s="22" t="n">
        <f aca="false">H771-I771</f>
        <v>0</v>
      </c>
      <c r="K771" s="20" t="str">
        <f aca="false">IF(ABS(J771)&lt;0.001,"MATCH - PAPER CHECK-IN NOT SUPPLIED","DATA MISMATCH")</f>
        <v>MATCH - PAPER CHECK-IN NOT SUPPLIED</v>
      </c>
      <c r="L771" s="22" t="n">
        <v>32</v>
      </c>
      <c r="M771" s="22" t="n">
        <f aca="false">ROUNDUP(H771,0)</f>
        <v>20</v>
      </c>
      <c r="N771" s="24" t="n">
        <f aca="false">MAX(L771,M771)</f>
        <v>32</v>
      </c>
      <c r="O771" s="25" t="n">
        <v>7.55</v>
      </c>
      <c r="P771" s="25" t="n">
        <f aca="false">N771*O771</f>
        <v>241.6</v>
      </c>
      <c r="Q771" s="23"/>
      <c r="R771" s="23"/>
      <c r="S771" s="24"/>
      <c r="T771" s="25"/>
      <c r="U771" s="25" t="n">
        <v>0</v>
      </c>
      <c r="V771" s="25" t="n">
        <f aca="false">P771-U771</f>
        <v>241.6</v>
      </c>
      <c r="W771" s="25" t="n">
        <f aca="false">V771*12</f>
        <v>2899.2</v>
      </c>
      <c r="X771" s="23" t="str">
        <f aca="false">IF(Q771="","MISSING FROM EXPORT",IF(ABS(V771)&lt;0.005,"CLEAR",IF(V771&gt;0,"UNDERBILLING","OVERBILLING")))</f>
        <v>MISSING FROM EXPORT</v>
      </c>
      <c r="Y771" s="25" t="n">
        <f aca="false">IF(F771="COMMERCIAL",ROUND(P771*0.35,2),0)</f>
        <v>0</v>
      </c>
      <c r="Z771" s="23" t="str">
        <f aca="false">IF(F771="COMMERCIAL","VERIFY SIGNED AGREEMENT","NO EXCEPTION")</f>
        <v>NO EXCEPTION</v>
      </c>
      <c r="AA771" s="23" t="str">
        <f aca="false">IF(AND(C771="covered",N771&gt;40),"COVERED &gt;40 FT","")</f>
        <v/>
      </c>
      <c r="AB771" s="23" t="s">
        <v>4705</v>
      </c>
      <c r="AC771" s="23" t="s">
        <v>6849</v>
      </c>
      <c r="AD771" s="23" t="s">
        <v>2807</v>
      </c>
    </row>
    <row r="772" customFormat="false" ht="17.9" hidden="false" customHeight="false" outlineLevel="0" collapsed="false">
      <c r="A772" s="20" t="s">
        <v>6850</v>
      </c>
      <c r="B772" s="20" t="s">
        <v>166</v>
      </c>
      <c r="C772" s="20" t="s">
        <v>2798</v>
      </c>
      <c r="D772" s="20" t="s">
        <v>1082</v>
      </c>
      <c r="E772" s="20" t="s">
        <v>1083</v>
      </c>
      <c r="F772" s="20" t="s">
        <v>2857</v>
      </c>
      <c r="G772" s="20" t="s">
        <v>3441</v>
      </c>
      <c r="H772" s="22" t="n">
        <v>55.4</v>
      </c>
      <c r="I772" s="22" t="n">
        <v>55.4</v>
      </c>
      <c r="J772" s="22" t="n">
        <f aca="false">H772-I772</f>
        <v>0</v>
      </c>
      <c r="K772" s="20" t="str">
        <f aca="false">IF(ABS(J772)&lt;0.001,"MATCH - PAPER CHECK-IN NOT SUPPLIED","DATA MISMATCH")</f>
        <v>MATCH - PAPER CHECK-IN NOT SUPPLIED</v>
      </c>
      <c r="L772" s="22" t="n">
        <v>36</v>
      </c>
      <c r="M772" s="22" t="n">
        <f aca="false">ROUNDUP(H772,0)</f>
        <v>56</v>
      </c>
      <c r="N772" s="24" t="n">
        <f aca="false">MAX(L772,M772)</f>
        <v>56</v>
      </c>
      <c r="O772" s="25" t="n">
        <v>7.55</v>
      </c>
      <c r="P772" s="25" t="n">
        <f aca="false">N772*O772</f>
        <v>422.8</v>
      </c>
      <c r="Q772" s="23"/>
      <c r="R772" s="23"/>
      <c r="S772" s="24"/>
      <c r="T772" s="25"/>
      <c r="U772" s="25" t="n">
        <v>0</v>
      </c>
      <c r="V772" s="25" t="n">
        <f aca="false">P772-U772</f>
        <v>422.8</v>
      </c>
      <c r="W772" s="25" t="n">
        <f aca="false">V772*12</f>
        <v>5073.6</v>
      </c>
      <c r="X772" s="23" t="str">
        <f aca="false">IF(Q772="","MISSING FROM EXPORT",IF(ABS(V772)&lt;0.005,"CLEAR",IF(V772&gt;0,"UNDERBILLING","OVERBILLING")))</f>
        <v>MISSING FROM EXPORT</v>
      </c>
      <c r="Y772" s="25" t="n">
        <f aca="false">IF(F772="COMMERCIAL",ROUND(P772*0.35,2),0)</f>
        <v>0</v>
      </c>
      <c r="Z772" s="23" t="str">
        <f aca="false">IF(F772="COMMERCIAL","VERIFY SIGNED AGREEMENT","NO EXCEPTION")</f>
        <v>NO EXCEPTION</v>
      </c>
      <c r="AA772" s="23" t="str">
        <f aca="false">IF(AND(C772="covered",N772&gt;40),"COVERED &gt;40 FT","")</f>
        <v/>
      </c>
      <c r="AB772" s="23" t="s">
        <v>4705</v>
      </c>
      <c r="AC772" s="23" t="s">
        <v>6851</v>
      </c>
      <c r="AD772" s="23" t="s">
        <v>2807</v>
      </c>
    </row>
    <row r="773" customFormat="false" ht="17.9" hidden="false" customHeight="false" outlineLevel="0" collapsed="false">
      <c r="A773" s="20" t="s">
        <v>6852</v>
      </c>
      <c r="B773" s="20" t="s">
        <v>166</v>
      </c>
      <c r="C773" s="20" t="s">
        <v>2798</v>
      </c>
      <c r="D773" s="20" t="s">
        <v>672</v>
      </c>
      <c r="E773" s="20" t="s">
        <v>6853</v>
      </c>
      <c r="F773" s="20" t="s">
        <v>2818</v>
      </c>
      <c r="G773" s="20" t="s">
        <v>3448</v>
      </c>
      <c r="H773" s="22" t="n">
        <v>52.6</v>
      </c>
      <c r="I773" s="22" t="n">
        <v>52.6</v>
      </c>
      <c r="J773" s="22" t="n">
        <f aca="false">H773-I773</f>
        <v>0</v>
      </c>
      <c r="K773" s="20" t="str">
        <f aca="false">IF(ABS(J773)&lt;0.001,"MATCH - PAPER CHECK-IN NOT SUPPLIED","DATA MISMATCH")</f>
        <v>MATCH - PAPER CHECK-IN NOT SUPPLIED</v>
      </c>
      <c r="L773" s="22" t="n">
        <v>45</v>
      </c>
      <c r="M773" s="22" t="n">
        <f aca="false">ROUNDUP(H773,0)</f>
        <v>53</v>
      </c>
      <c r="N773" s="24" t="n">
        <f aca="false">MAX(L773,M773)</f>
        <v>53</v>
      </c>
      <c r="O773" s="25" t="n">
        <v>7.55</v>
      </c>
      <c r="P773" s="25" t="n">
        <f aca="false">N773*O773</f>
        <v>400.15</v>
      </c>
      <c r="Q773" s="23"/>
      <c r="R773" s="23"/>
      <c r="S773" s="24"/>
      <c r="T773" s="25"/>
      <c r="U773" s="25" t="n">
        <v>0</v>
      </c>
      <c r="V773" s="25" t="n">
        <f aca="false">P773-U773</f>
        <v>400.15</v>
      </c>
      <c r="W773" s="25" t="n">
        <f aca="false">V773*12</f>
        <v>4801.8</v>
      </c>
      <c r="X773" s="23" t="str">
        <f aca="false">IF(Q773="","MISSING FROM EXPORT",IF(ABS(V773)&lt;0.005,"CLEAR",IF(V773&gt;0,"UNDERBILLING","OVERBILLING")))</f>
        <v>MISSING FROM EXPORT</v>
      </c>
      <c r="Y773" s="25" t="n">
        <f aca="false">IF(F773="COMMERCIAL",ROUND(P773*0.35,2),0)</f>
        <v>0</v>
      </c>
      <c r="Z773" s="23" t="str">
        <f aca="false">IF(F773="COMMERCIAL","VERIFY SIGNED AGREEMENT","NO EXCEPTION")</f>
        <v>NO EXCEPTION</v>
      </c>
      <c r="AA773" s="23" t="str">
        <f aca="false">IF(AND(C773="covered",N773&gt;40),"COVERED &gt;40 FT","")</f>
        <v/>
      </c>
      <c r="AB773" s="23" t="s">
        <v>4705</v>
      </c>
      <c r="AC773" s="23" t="s">
        <v>6854</v>
      </c>
      <c r="AD773" s="23" t="s">
        <v>2807</v>
      </c>
    </row>
    <row r="774" customFormat="false" ht="17.9" hidden="false" customHeight="false" outlineLevel="0" collapsed="false">
      <c r="A774" s="20" t="s">
        <v>6855</v>
      </c>
      <c r="B774" s="20" t="s">
        <v>166</v>
      </c>
      <c r="C774" s="20" t="s">
        <v>2798</v>
      </c>
      <c r="D774" s="20" t="s">
        <v>6856</v>
      </c>
      <c r="E774" s="20" t="s">
        <v>6857</v>
      </c>
      <c r="F774" s="20" t="s">
        <v>2810</v>
      </c>
      <c r="G774" s="20" t="s">
        <v>3462</v>
      </c>
      <c r="H774" s="22" t="n">
        <v>20.1</v>
      </c>
      <c r="I774" s="22" t="n">
        <v>20.1</v>
      </c>
      <c r="J774" s="22" t="n">
        <f aca="false">H774-I774</f>
        <v>0</v>
      </c>
      <c r="K774" s="20" t="str">
        <f aca="false">IF(ABS(J774)&lt;0.001,"MATCH - PAPER CHECK-IN NOT SUPPLIED","DATA MISMATCH")</f>
        <v>MATCH - PAPER CHECK-IN NOT SUPPLIED</v>
      </c>
      <c r="L774" s="22" t="n">
        <v>45</v>
      </c>
      <c r="M774" s="22" t="n">
        <f aca="false">ROUNDUP(H774,0)</f>
        <v>21</v>
      </c>
      <c r="N774" s="24" t="n">
        <f aca="false">MAX(L774,M774)</f>
        <v>45</v>
      </c>
      <c r="O774" s="25" t="n">
        <v>7.55</v>
      </c>
      <c r="P774" s="25" t="n">
        <f aca="false">N774*O774</f>
        <v>339.75</v>
      </c>
      <c r="Q774" s="23"/>
      <c r="R774" s="23"/>
      <c r="S774" s="24"/>
      <c r="T774" s="25"/>
      <c r="U774" s="25" t="n">
        <v>0</v>
      </c>
      <c r="V774" s="25" t="n">
        <f aca="false">P774-U774</f>
        <v>339.75</v>
      </c>
      <c r="W774" s="25" t="n">
        <f aca="false">V774*12</f>
        <v>4077</v>
      </c>
      <c r="X774" s="23" t="str">
        <f aca="false">IF(Q774="","MISSING FROM EXPORT",IF(ABS(V774)&lt;0.005,"CLEAR",IF(V774&gt;0,"UNDERBILLING","OVERBILLING")))</f>
        <v>MISSING FROM EXPORT</v>
      </c>
      <c r="Y774" s="25" t="n">
        <f aca="false">IF(F774="COMMERCIAL",ROUND(P774*0.35,2),0)</f>
        <v>0</v>
      </c>
      <c r="Z774" s="23" t="str">
        <f aca="false">IF(F774="COMMERCIAL","VERIFY SIGNED AGREEMENT","NO EXCEPTION")</f>
        <v>NO EXCEPTION</v>
      </c>
      <c r="AA774" s="23" t="str">
        <f aca="false">IF(AND(C774="covered",N774&gt;40),"COVERED &gt;40 FT","")</f>
        <v/>
      </c>
      <c r="AB774" s="23" t="s">
        <v>4705</v>
      </c>
      <c r="AC774" s="23" t="s">
        <v>6858</v>
      </c>
      <c r="AD774" s="23" t="s">
        <v>2807</v>
      </c>
    </row>
    <row r="775" customFormat="false" ht="17.9" hidden="false" customHeight="false" outlineLevel="0" collapsed="false">
      <c r="A775" s="20" t="s">
        <v>6859</v>
      </c>
      <c r="B775" s="20" t="s">
        <v>166</v>
      </c>
      <c r="C775" s="20" t="s">
        <v>2798</v>
      </c>
      <c r="D775" s="20" t="s">
        <v>6860</v>
      </c>
      <c r="E775" s="20" t="s">
        <v>6861</v>
      </c>
      <c r="F775" s="20" t="s">
        <v>2869</v>
      </c>
      <c r="G775" s="20" t="s">
        <v>3467</v>
      </c>
      <c r="H775" s="22" t="n">
        <v>22.8</v>
      </c>
      <c r="I775" s="22" t="n">
        <v>22.8</v>
      </c>
      <c r="J775" s="22" t="n">
        <f aca="false">H775-I775</f>
        <v>0</v>
      </c>
      <c r="K775" s="20" t="str">
        <f aca="false">IF(ABS(J775)&lt;0.001,"MATCH - PAPER CHECK-IN NOT SUPPLIED","DATA MISMATCH")</f>
        <v>MATCH - PAPER CHECK-IN NOT SUPPLIED</v>
      </c>
      <c r="L775" s="22" t="n">
        <v>40</v>
      </c>
      <c r="M775" s="22" t="n">
        <f aca="false">ROUNDUP(H775,0)</f>
        <v>23</v>
      </c>
      <c r="N775" s="24" t="n">
        <f aca="false">MAX(L775,M775)</f>
        <v>40</v>
      </c>
      <c r="O775" s="25" t="n">
        <v>7.55</v>
      </c>
      <c r="P775" s="25" t="n">
        <f aca="false">N775*O775</f>
        <v>302</v>
      </c>
      <c r="Q775" s="23"/>
      <c r="R775" s="23"/>
      <c r="S775" s="24"/>
      <c r="T775" s="25"/>
      <c r="U775" s="25" t="n">
        <v>0</v>
      </c>
      <c r="V775" s="25" t="n">
        <f aca="false">P775-U775</f>
        <v>302</v>
      </c>
      <c r="W775" s="25" t="n">
        <f aca="false">V775*12</f>
        <v>3624</v>
      </c>
      <c r="X775" s="23" t="str">
        <f aca="false">IF(Q775="","MISSING FROM EXPORT",IF(ABS(V775)&lt;0.005,"CLEAR",IF(V775&gt;0,"UNDERBILLING","OVERBILLING")))</f>
        <v>MISSING FROM EXPORT</v>
      </c>
      <c r="Y775" s="25" t="n">
        <f aca="false">IF(F775="COMMERCIAL",ROUND(P775*0.35,2),0)</f>
        <v>0</v>
      </c>
      <c r="Z775" s="23" t="str">
        <f aca="false">IF(F775="COMMERCIAL","VERIFY SIGNED AGREEMENT","NO EXCEPTION")</f>
        <v>NO EXCEPTION</v>
      </c>
      <c r="AA775" s="23" t="str">
        <f aca="false">IF(AND(C775="covered",N775&gt;40),"COVERED &gt;40 FT","")</f>
        <v/>
      </c>
      <c r="AB775" s="23" t="s">
        <v>4705</v>
      </c>
      <c r="AC775" s="23" t="s">
        <v>6862</v>
      </c>
      <c r="AD775" s="23" t="s">
        <v>2807</v>
      </c>
    </row>
    <row r="776" customFormat="false" ht="17.9" hidden="false" customHeight="false" outlineLevel="0" collapsed="false">
      <c r="A776" s="20" t="s">
        <v>6863</v>
      </c>
      <c r="B776" s="20" t="s">
        <v>166</v>
      </c>
      <c r="C776" s="20" t="s">
        <v>2798</v>
      </c>
      <c r="D776" s="20" t="s">
        <v>6864</v>
      </c>
      <c r="E776" s="20" t="s">
        <v>6865</v>
      </c>
      <c r="F776" s="20" t="s">
        <v>2833</v>
      </c>
      <c r="G776" s="20" t="s">
        <v>3474</v>
      </c>
      <c r="H776" s="22" t="n">
        <v>36.4</v>
      </c>
      <c r="I776" s="22" t="n">
        <v>36.4</v>
      </c>
      <c r="J776" s="22" t="n">
        <f aca="false">H776-I776</f>
        <v>0</v>
      </c>
      <c r="K776" s="20" t="str">
        <f aca="false">IF(ABS(J776)&lt;0.001,"MATCH - PAPER CHECK-IN NOT SUPPLIED","DATA MISMATCH")</f>
        <v>MATCH - PAPER CHECK-IN NOT SUPPLIED</v>
      </c>
      <c r="L776" s="22" t="n">
        <v>60</v>
      </c>
      <c r="M776" s="22" t="n">
        <f aca="false">ROUNDUP(H776,0)</f>
        <v>37</v>
      </c>
      <c r="N776" s="24" t="n">
        <f aca="false">MAX(L776,M776)</f>
        <v>60</v>
      </c>
      <c r="O776" s="25" t="n">
        <v>7.55</v>
      </c>
      <c r="P776" s="25" t="n">
        <f aca="false">N776*O776</f>
        <v>453</v>
      </c>
      <c r="Q776" s="23"/>
      <c r="R776" s="23"/>
      <c r="S776" s="24"/>
      <c r="T776" s="25"/>
      <c r="U776" s="25" t="n">
        <v>0</v>
      </c>
      <c r="V776" s="25" t="n">
        <f aca="false">P776-U776</f>
        <v>453</v>
      </c>
      <c r="W776" s="25" t="n">
        <f aca="false">V776*12</f>
        <v>5436</v>
      </c>
      <c r="X776" s="23" t="str">
        <f aca="false">IF(Q776="","MISSING FROM EXPORT",IF(ABS(V776)&lt;0.005,"CLEAR",IF(V776&gt;0,"UNDERBILLING","OVERBILLING")))</f>
        <v>MISSING FROM EXPORT</v>
      </c>
      <c r="Y776" s="25" t="n">
        <f aca="false">IF(F776="COMMERCIAL",ROUND(P776*0.35,2),0)</f>
        <v>0</v>
      </c>
      <c r="Z776" s="23" t="str">
        <f aca="false">IF(F776="COMMERCIAL","VERIFY SIGNED AGREEMENT","NO EXCEPTION")</f>
        <v>NO EXCEPTION</v>
      </c>
      <c r="AA776" s="23" t="str">
        <f aca="false">IF(AND(C776="covered",N776&gt;40),"COVERED &gt;40 FT","")</f>
        <v/>
      </c>
      <c r="AB776" s="23" t="s">
        <v>4705</v>
      </c>
      <c r="AC776" s="23" t="s">
        <v>6866</v>
      </c>
      <c r="AD776" s="23" t="s">
        <v>2807</v>
      </c>
    </row>
    <row r="777" customFormat="false" ht="17.9" hidden="false" customHeight="false" outlineLevel="0" collapsed="false">
      <c r="A777" s="20" t="s">
        <v>6867</v>
      </c>
      <c r="B777" s="20" t="s">
        <v>166</v>
      </c>
      <c r="C777" s="20" t="s">
        <v>2798</v>
      </c>
      <c r="D777" s="20" t="s">
        <v>6868</v>
      </c>
      <c r="E777" s="20" t="s">
        <v>6869</v>
      </c>
      <c r="F777" s="20" t="s">
        <v>2833</v>
      </c>
      <c r="G777" s="20" t="s">
        <v>3487</v>
      </c>
      <c r="H777" s="22" t="n">
        <v>24.9</v>
      </c>
      <c r="I777" s="22" t="n">
        <v>24.9</v>
      </c>
      <c r="J777" s="22" t="n">
        <f aca="false">H777-I777</f>
        <v>0</v>
      </c>
      <c r="K777" s="20" t="str">
        <f aca="false">IF(ABS(J777)&lt;0.001,"MATCH - PAPER CHECK-IN NOT SUPPLIED","DATA MISMATCH")</f>
        <v>MATCH - PAPER CHECK-IN NOT SUPPLIED</v>
      </c>
      <c r="L777" s="22" t="n">
        <v>45</v>
      </c>
      <c r="M777" s="22" t="n">
        <f aca="false">ROUNDUP(H777,0)</f>
        <v>25</v>
      </c>
      <c r="N777" s="24" t="n">
        <f aca="false">MAX(L777,M777)</f>
        <v>45</v>
      </c>
      <c r="O777" s="25" t="n">
        <v>7.55</v>
      </c>
      <c r="P777" s="25" t="n">
        <f aca="false">N777*O777</f>
        <v>339.75</v>
      </c>
      <c r="Q777" s="23"/>
      <c r="R777" s="23"/>
      <c r="S777" s="24"/>
      <c r="T777" s="25"/>
      <c r="U777" s="25" t="n">
        <v>0</v>
      </c>
      <c r="V777" s="25" t="n">
        <f aca="false">P777-U777</f>
        <v>339.75</v>
      </c>
      <c r="W777" s="25" t="n">
        <f aca="false">V777*12</f>
        <v>4077</v>
      </c>
      <c r="X777" s="23" t="str">
        <f aca="false">IF(Q777="","MISSING FROM EXPORT",IF(ABS(V777)&lt;0.005,"CLEAR",IF(V777&gt;0,"UNDERBILLING","OVERBILLING")))</f>
        <v>MISSING FROM EXPORT</v>
      </c>
      <c r="Y777" s="25" t="n">
        <f aca="false">IF(F777="COMMERCIAL",ROUND(P777*0.35,2),0)</f>
        <v>0</v>
      </c>
      <c r="Z777" s="23" t="str">
        <f aca="false">IF(F777="COMMERCIAL","VERIFY SIGNED AGREEMENT","NO EXCEPTION")</f>
        <v>NO EXCEPTION</v>
      </c>
      <c r="AA777" s="23" t="str">
        <f aca="false">IF(AND(C777="covered",N777&gt;40),"COVERED &gt;40 FT","")</f>
        <v/>
      </c>
      <c r="AB777" s="23" t="s">
        <v>4705</v>
      </c>
      <c r="AC777" s="23" t="s">
        <v>6870</v>
      </c>
      <c r="AD777" s="23" t="s">
        <v>2807</v>
      </c>
    </row>
    <row r="778" customFormat="false" ht="17.9" hidden="false" customHeight="false" outlineLevel="0" collapsed="false">
      <c r="A778" s="20" t="s">
        <v>6871</v>
      </c>
      <c r="B778" s="20" t="s">
        <v>166</v>
      </c>
      <c r="C778" s="20" t="s">
        <v>2798</v>
      </c>
      <c r="D778" s="20" t="s">
        <v>6872</v>
      </c>
      <c r="E778" s="20" t="s">
        <v>6873</v>
      </c>
      <c r="F778" s="20" t="s">
        <v>2857</v>
      </c>
      <c r="G778" s="20" t="s">
        <v>3500</v>
      </c>
      <c r="H778" s="22" t="n">
        <v>25.7</v>
      </c>
      <c r="I778" s="22" t="n">
        <v>25.7</v>
      </c>
      <c r="J778" s="22" t="n">
        <f aca="false">H778-I778</f>
        <v>0</v>
      </c>
      <c r="K778" s="20" t="str">
        <f aca="false">IF(ABS(J778)&lt;0.001,"MATCH - PAPER CHECK-IN NOT SUPPLIED","DATA MISMATCH")</f>
        <v>MATCH - PAPER CHECK-IN NOT SUPPLIED</v>
      </c>
      <c r="L778" s="22" t="n">
        <v>45</v>
      </c>
      <c r="M778" s="22" t="n">
        <f aca="false">ROUNDUP(H778,0)</f>
        <v>26</v>
      </c>
      <c r="N778" s="24" t="n">
        <f aca="false">MAX(L778,M778)</f>
        <v>45</v>
      </c>
      <c r="O778" s="25" t="n">
        <v>7.55</v>
      </c>
      <c r="P778" s="25" t="n">
        <f aca="false">N778*O778</f>
        <v>339.75</v>
      </c>
      <c r="Q778" s="23"/>
      <c r="R778" s="23"/>
      <c r="S778" s="24"/>
      <c r="T778" s="25"/>
      <c r="U778" s="25" t="n">
        <v>0</v>
      </c>
      <c r="V778" s="25" t="n">
        <f aca="false">P778-U778</f>
        <v>339.75</v>
      </c>
      <c r="W778" s="25" t="n">
        <f aca="false">V778*12</f>
        <v>4077</v>
      </c>
      <c r="X778" s="23" t="str">
        <f aca="false">IF(Q778="","MISSING FROM EXPORT",IF(ABS(V778)&lt;0.005,"CLEAR",IF(V778&gt;0,"UNDERBILLING","OVERBILLING")))</f>
        <v>MISSING FROM EXPORT</v>
      </c>
      <c r="Y778" s="25" t="n">
        <f aca="false">IF(F778="COMMERCIAL",ROUND(P778*0.35,2),0)</f>
        <v>0</v>
      </c>
      <c r="Z778" s="23" t="str">
        <f aca="false">IF(F778="COMMERCIAL","VERIFY SIGNED AGREEMENT","NO EXCEPTION")</f>
        <v>NO EXCEPTION</v>
      </c>
      <c r="AA778" s="23" t="str">
        <f aca="false">IF(AND(C778="covered",N778&gt;40),"COVERED &gt;40 FT","")</f>
        <v/>
      </c>
      <c r="AB778" s="23" t="s">
        <v>4705</v>
      </c>
      <c r="AC778" s="23" t="s">
        <v>6874</v>
      </c>
      <c r="AD778" s="23" t="s">
        <v>2807</v>
      </c>
    </row>
    <row r="779" customFormat="false" ht="17.9" hidden="false" customHeight="false" outlineLevel="0" collapsed="false">
      <c r="A779" s="20" t="s">
        <v>6875</v>
      </c>
      <c r="B779" s="20" t="s">
        <v>166</v>
      </c>
      <c r="C779" s="20" t="s">
        <v>2798</v>
      </c>
      <c r="D779" s="20" t="s">
        <v>6876</v>
      </c>
      <c r="E779" s="20" t="s">
        <v>6877</v>
      </c>
      <c r="F779" s="20" t="s">
        <v>2857</v>
      </c>
      <c r="G779" s="20" t="s">
        <v>3507</v>
      </c>
      <c r="H779" s="22" t="n">
        <v>54.6</v>
      </c>
      <c r="I779" s="22" t="n">
        <v>54.6</v>
      </c>
      <c r="J779" s="22" t="n">
        <f aca="false">H779-I779</f>
        <v>0</v>
      </c>
      <c r="K779" s="20" t="str">
        <f aca="false">IF(ABS(J779)&lt;0.001,"MATCH - PAPER CHECK-IN NOT SUPPLIED","DATA MISMATCH")</f>
        <v>MATCH - PAPER CHECK-IN NOT SUPPLIED</v>
      </c>
      <c r="L779" s="22" t="n">
        <v>28</v>
      </c>
      <c r="M779" s="22" t="n">
        <f aca="false">ROUNDUP(H779,0)</f>
        <v>55</v>
      </c>
      <c r="N779" s="24" t="n">
        <f aca="false">MAX(L779,M779)</f>
        <v>55</v>
      </c>
      <c r="O779" s="25" t="n">
        <v>7.55</v>
      </c>
      <c r="P779" s="25" t="n">
        <f aca="false">N779*O779</f>
        <v>415.25</v>
      </c>
      <c r="Q779" s="23"/>
      <c r="R779" s="23"/>
      <c r="S779" s="24"/>
      <c r="T779" s="25"/>
      <c r="U779" s="25" t="n">
        <v>0</v>
      </c>
      <c r="V779" s="25" t="n">
        <f aca="false">P779-U779</f>
        <v>415.25</v>
      </c>
      <c r="W779" s="25" t="n">
        <f aca="false">V779*12</f>
        <v>4983</v>
      </c>
      <c r="X779" s="23" t="str">
        <f aca="false">IF(Q779="","MISSING FROM EXPORT",IF(ABS(V779)&lt;0.005,"CLEAR",IF(V779&gt;0,"UNDERBILLING","OVERBILLING")))</f>
        <v>MISSING FROM EXPORT</v>
      </c>
      <c r="Y779" s="25" t="n">
        <f aca="false">IF(F779="COMMERCIAL",ROUND(P779*0.35,2),0)</f>
        <v>0</v>
      </c>
      <c r="Z779" s="23" t="str">
        <f aca="false">IF(F779="COMMERCIAL","VERIFY SIGNED AGREEMENT","NO EXCEPTION")</f>
        <v>NO EXCEPTION</v>
      </c>
      <c r="AA779" s="23" t="str">
        <f aca="false">IF(AND(C779="covered",N779&gt;40),"COVERED &gt;40 FT","")</f>
        <v/>
      </c>
      <c r="AB779" s="23" t="s">
        <v>4705</v>
      </c>
      <c r="AC779" s="23" t="s">
        <v>6878</v>
      </c>
      <c r="AD779" s="23" t="s">
        <v>2807</v>
      </c>
    </row>
    <row r="780" customFormat="false" ht="17.9" hidden="false" customHeight="false" outlineLevel="0" collapsed="false">
      <c r="A780" s="20" t="s">
        <v>6879</v>
      </c>
      <c r="B780" s="20" t="s">
        <v>166</v>
      </c>
      <c r="C780" s="20" t="s">
        <v>2798</v>
      </c>
      <c r="D780" s="20" t="s">
        <v>6880</v>
      </c>
      <c r="E780" s="20" t="s">
        <v>6881</v>
      </c>
      <c r="F780" s="20" t="s">
        <v>2810</v>
      </c>
      <c r="G780" s="20" t="s">
        <v>3511</v>
      </c>
      <c r="H780" s="22" t="n">
        <v>31.6</v>
      </c>
      <c r="I780" s="22" t="n">
        <v>31.6</v>
      </c>
      <c r="J780" s="22" t="n">
        <f aca="false">H780-I780</f>
        <v>0</v>
      </c>
      <c r="K780" s="20" t="str">
        <f aca="false">IF(ABS(J780)&lt;0.001,"MATCH - PAPER CHECK-IN NOT SUPPLIED","DATA MISMATCH")</f>
        <v>MATCH - PAPER CHECK-IN NOT SUPPLIED</v>
      </c>
      <c r="L780" s="22" t="n">
        <v>40</v>
      </c>
      <c r="M780" s="22" t="n">
        <f aca="false">ROUNDUP(H780,0)</f>
        <v>32</v>
      </c>
      <c r="N780" s="24" t="n">
        <f aca="false">MAX(L780,M780)</f>
        <v>40</v>
      </c>
      <c r="O780" s="25" t="n">
        <v>7.55</v>
      </c>
      <c r="P780" s="25" t="n">
        <f aca="false">N780*O780</f>
        <v>302</v>
      </c>
      <c r="Q780" s="23"/>
      <c r="R780" s="23"/>
      <c r="S780" s="24"/>
      <c r="T780" s="25"/>
      <c r="U780" s="25" t="n">
        <v>0</v>
      </c>
      <c r="V780" s="25" t="n">
        <f aca="false">P780-U780</f>
        <v>302</v>
      </c>
      <c r="W780" s="25" t="n">
        <f aca="false">V780*12</f>
        <v>3624</v>
      </c>
      <c r="X780" s="23" t="str">
        <f aca="false">IF(Q780="","MISSING FROM EXPORT",IF(ABS(V780)&lt;0.005,"CLEAR",IF(V780&gt;0,"UNDERBILLING","OVERBILLING")))</f>
        <v>MISSING FROM EXPORT</v>
      </c>
      <c r="Y780" s="25" t="n">
        <f aca="false">IF(F780="COMMERCIAL",ROUND(P780*0.35,2),0)</f>
        <v>0</v>
      </c>
      <c r="Z780" s="23" t="str">
        <f aca="false">IF(F780="COMMERCIAL","VERIFY SIGNED AGREEMENT","NO EXCEPTION")</f>
        <v>NO EXCEPTION</v>
      </c>
      <c r="AA780" s="23" t="str">
        <f aca="false">IF(AND(C780="covered",N780&gt;40),"COVERED &gt;40 FT","")</f>
        <v/>
      </c>
      <c r="AB780" s="23" t="s">
        <v>4705</v>
      </c>
      <c r="AC780" s="23" t="s">
        <v>6882</v>
      </c>
      <c r="AD780" s="23" t="s">
        <v>2807</v>
      </c>
    </row>
    <row r="781" customFormat="false" ht="17.9" hidden="false" customHeight="false" outlineLevel="0" collapsed="false">
      <c r="A781" s="20" t="s">
        <v>6883</v>
      </c>
      <c r="B781" s="20" t="s">
        <v>166</v>
      </c>
      <c r="C781" s="20" t="s">
        <v>2798</v>
      </c>
      <c r="D781" s="20" t="s">
        <v>6884</v>
      </c>
      <c r="E781" s="20" t="s">
        <v>6885</v>
      </c>
      <c r="F781" s="20" t="s">
        <v>2810</v>
      </c>
      <c r="G781" s="20" t="s">
        <v>3517</v>
      </c>
      <c r="H781" s="22" t="n">
        <v>47.2</v>
      </c>
      <c r="I781" s="22" t="n">
        <v>47.2</v>
      </c>
      <c r="J781" s="22" t="n">
        <f aca="false">H781-I781</f>
        <v>0</v>
      </c>
      <c r="K781" s="20" t="str">
        <f aca="false">IF(ABS(J781)&lt;0.001,"MATCH - PAPER CHECK-IN NOT SUPPLIED","DATA MISMATCH")</f>
        <v>MATCH - PAPER CHECK-IN NOT SUPPLIED</v>
      </c>
      <c r="L781" s="22" t="n">
        <v>32</v>
      </c>
      <c r="M781" s="22" t="n">
        <f aca="false">ROUNDUP(H781,0)</f>
        <v>48</v>
      </c>
      <c r="N781" s="24" t="n">
        <f aca="false">MAX(L781,M781)</f>
        <v>48</v>
      </c>
      <c r="O781" s="25" t="n">
        <v>7.55</v>
      </c>
      <c r="P781" s="25" t="n">
        <f aca="false">N781*O781</f>
        <v>362.4</v>
      </c>
      <c r="Q781" s="23"/>
      <c r="R781" s="23"/>
      <c r="S781" s="24"/>
      <c r="T781" s="25"/>
      <c r="U781" s="25" t="n">
        <v>0</v>
      </c>
      <c r="V781" s="25" t="n">
        <f aca="false">P781-U781</f>
        <v>362.4</v>
      </c>
      <c r="W781" s="25" t="n">
        <f aca="false">V781*12</f>
        <v>4348.8</v>
      </c>
      <c r="X781" s="23" t="str">
        <f aca="false">IF(Q781="","MISSING FROM EXPORT",IF(ABS(V781)&lt;0.005,"CLEAR",IF(V781&gt;0,"UNDERBILLING","OVERBILLING")))</f>
        <v>MISSING FROM EXPORT</v>
      </c>
      <c r="Y781" s="25" t="n">
        <f aca="false">IF(F781="COMMERCIAL",ROUND(P781*0.35,2),0)</f>
        <v>0</v>
      </c>
      <c r="Z781" s="23" t="str">
        <f aca="false">IF(F781="COMMERCIAL","VERIFY SIGNED AGREEMENT","NO EXCEPTION")</f>
        <v>NO EXCEPTION</v>
      </c>
      <c r="AA781" s="23" t="str">
        <f aca="false">IF(AND(C781="covered",N781&gt;40),"COVERED &gt;40 FT","")</f>
        <v/>
      </c>
      <c r="AB781" s="23" t="s">
        <v>4705</v>
      </c>
      <c r="AC781" s="23" t="s">
        <v>6886</v>
      </c>
      <c r="AD781" s="23" t="s">
        <v>2807</v>
      </c>
    </row>
    <row r="782" customFormat="false" ht="17.9" hidden="false" customHeight="false" outlineLevel="0" collapsed="false">
      <c r="A782" s="20" t="s">
        <v>6887</v>
      </c>
      <c r="B782" s="20" t="s">
        <v>166</v>
      </c>
      <c r="C782" s="20" t="s">
        <v>2798</v>
      </c>
      <c r="D782" s="20" t="s">
        <v>2290</v>
      </c>
      <c r="E782" s="20" t="s">
        <v>2291</v>
      </c>
      <c r="F782" s="20" t="s">
        <v>2857</v>
      </c>
      <c r="G782" s="20" t="s">
        <v>3523</v>
      </c>
      <c r="H782" s="22" t="n">
        <v>40.4</v>
      </c>
      <c r="I782" s="22" t="n">
        <v>40.4</v>
      </c>
      <c r="J782" s="22" t="n">
        <f aca="false">H782-I782</f>
        <v>0</v>
      </c>
      <c r="K782" s="20" t="str">
        <f aca="false">IF(ABS(J782)&lt;0.001,"MATCH - PAPER CHECK-IN NOT SUPPLIED","DATA MISMATCH")</f>
        <v>MATCH - PAPER CHECK-IN NOT SUPPLIED</v>
      </c>
      <c r="L782" s="22" t="n">
        <v>24</v>
      </c>
      <c r="M782" s="22" t="n">
        <f aca="false">ROUNDUP(H782,0)</f>
        <v>41</v>
      </c>
      <c r="N782" s="24" t="n">
        <f aca="false">MAX(L782,M782)</f>
        <v>41</v>
      </c>
      <c r="O782" s="25" t="n">
        <v>7.55</v>
      </c>
      <c r="P782" s="25" t="n">
        <f aca="false">N782*O782</f>
        <v>309.55</v>
      </c>
      <c r="Q782" s="23"/>
      <c r="R782" s="23"/>
      <c r="S782" s="24"/>
      <c r="T782" s="25"/>
      <c r="U782" s="25" t="n">
        <v>0</v>
      </c>
      <c r="V782" s="25" t="n">
        <f aca="false">P782-U782</f>
        <v>309.55</v>
      </c>
      <c r="W782" s="25" t="n">
        <f aca="false">V782*12</f>
        <v>3714.6</v>
      </c>
      <c r="X782" s="23" t="str">
        <f aca="false">IF(Q782="","MISSING FROM EXPORT",IF(ABS(V782)&lt;0.005,"CLEAR",IF(V782&gt;0,"UNDERBILLING","OVERBILLING")))</f>
        <v>MISSING FROM EXPORT</v>
      </c>
      <c r="Y782" s="25" t="n">
        <f aca="false">IF(F782="COMMERCIAL",ROUND(P782*0.35,2),0)</f>
        <v>0</v>
      </c>
      <c r="Z782" s="23" t="str">
        <f aca="false">IF(F782="COMMERCIAL","VERIFY SIGNED AGREEMENT","NO EXCEPTION")</f>
        <v>NO EXCEPTION</v>
      </c>
      <c r="AA782" s="23" t="str">
        <f aca="false">IF(AND(C782="covered",N782&gt;40),"COVERED &gt;40 FT","")</f>
        <v/>
      </c>
      <c r="AB782" s="23" t="s">
        <v>4705</v>
      </c>
      <c r="AC782" s="23" t="s">
        <v>6888</v>
      </c>
      <c r="AD782" s="23" t="s">
        <v>2807</v>
      </c>
    </row>
    <row r="783" customFormat="false" ht="17.9" hidden="false" customHeight="false" outlineLevel="0" collapsed="false">
      <c r="A783" s="20" t="s">
        <v>772</v>
      </c>
      <c r="B783" s="20" t="s">
        <v>166</v>
      </c>
      <c r="C783" s="20" t="s">
        <v>2798</v>
      </c>
      <c r="D783" s="20" t="s">
        <v>6889</v>
      </c>
      <c r="E783" s="20" t="s">
        <v>6890</v>
      </c>
      <c r="F783" s="20" t="s">
        <v>2801</v>
      </c>
      <c r="G783" s="20" t="s">
        <v>3530</v>
      </c>
      <c r="H783" s="22" t="n">
        <v>34.5</v>
      </c>
      <c r="I783" s="22" t="n">
        <v>34.5</v>
      </c>
      <c r="J783" s="22" t="n">
        <f aca="false">H783-I783</f>
        <v>0</v>
      </c>
      <c r="K783" s="20" t="str">
        <f aca="false">IF(ABS(J783)&lt;0.001,"MATCH - PAPER CHECK-IN NOT SUPPLIED","DATA MISMATCH")</f>
        <v>MATCH - PAPER CHECK-IN NOT SUPPLIED</v>
      </c>
      <c r="L783" s="22" t="n">
        <v>24</v>
      </c>
      <c r="M783" s="22" t="n">
        <f aca="false">ROUNDUP(H783,0)</f>
        <v>35</v>
      </c>
      <c r="N783" s="24" t="n">
        <f aca="false">MAX(L783,M783)</f>
        <v>35</v>
      </c>
      <c r="O783" s="25" t="n">
        <v>7.55</v>
      </c>
      <c r="P783" s="25" t="n">
        <f aca="false">N783*O783</f>
        <v>264.25</v>
      </c>
      <c r="Q783" s="23"/>
      <c r="R783" s="23"/>
      <c r="S783" s="24"/>
      <c r="T783" s="25"/>
      <c r="U783" s="25" t="n">
        <v>0</v>
      </c>
      <c r="V783" s="25" t="n">
        <f aca="false">P783-U783</f>
        <v>264.25</v>
      </c>
      <c r="W783" s="25" t="n">
        <f aca="false">V783*12</f>
        <v>3171</v>
      </c>
      <c r="X783" s="23" t="str">
        <f aca="false">IF(Q783="","MISSING FROM EXPORT",IF(ABS(V783)&lt;0.005,"CLEAR",IF(V783&gt;0,"UNDERBILLING","OVERBILLING")))</f>
        <v>MISSING FROM EXPORT</v>
      </c>
      <c r="Y783" s="25" t="n">
        <f aca="false">IF(F783="COMMERCIAL",ROUND(P783*0.35,2),0)</f>
        <v>0</v>
      </c>
      <c r="Z783" s="23" t="str">
        <f aca="false">IF(F783="COMMERCIAL","VERIFY SIGNED AGREEMENT","NO EXCEPTION")</f>
        <v>NO EXCEPTION</v>
      </c>
      <c r="AA783" s="23" t="str">
        <f aca="false">IF(AND(C783="covered",N783&gt;40),"COVERED &gt;40 FT","")</f>
        <v/>
      </c>
      <c r="AB783" s="23" t="s">
        <v>4705</v>
      </c>
      <c r="AC783" s="23" t="s">
        <v>6891</v>
      </c>
      <c r="AD783" s="23" t="s">
        <v>2807</v>
      </c>
    </row>
    <row r="784" customFormat="false" ht="17.9" hidden="false" customHeight="false" outlineLevel="0" collapsed="false">
      <c r="A784" s="20" t="s">
        <v>399</v>
      </c>
      <c r="B784" s="20" t="s">
        <v>166</v>
      </c>
      <c r="C784" s="20" t="s">
        <v>2798</v>
      </c>
      <c r="D784" s="20" t="s">
        <v>620</v>
      </c>
      <c r="E784" s="20" t="s">
        <v>6892</v>
      </c>
      <c r="F784" s="20" t="s">
        <v>2810</v>
      </c>
      <c r="G784" s="20" t="s">
        <v>3537</v>
      </c>
      <c r="H784" s="22" t="n">
        <v>52.7</v>
      </c>
      <c r="I784" s="22" t="n">
        <v>52.7</v>
      </c>
      <c r="J784" s="22" t="n">
        <f aca="false">H784-I784</f>
        <v>0</v>
      </c>
      <c r="K784" s="20" t="str">
        <f aca="false">IF(ABS(J784)&lt;0.001,"MATCH - PAPER CHECK-IN NOT SUPPLIED","DATA MISMATCH")</f>
        <v>MATCH - PAPER CHECK-IN NOT SUPPLIED</v>
      </c>
      <c r="L784" s="22" t="n">
        <v>40</v>
      </c>
      <c r="M784" s="22" t="n">
        <f aca="false">ROUNDUP(H784,0)</f>
        <v>53</v>
      </c>
      <c r="N784" s="24" t="n">
        <f aca="false">MAX(L784,M784)</f>
        <v>53</v>
      </c>
      <c r="O784" s="25" t="n">
        <v>7.55</v>
      </c>
      <c r="P784" s="25" t="n">
        <f aca="false">N784*O784</f>
        <v>400.15</v>
      </c>
      <c r="Q784" s="23"/>
      <c r="R784" s="23"/>
      <c r="S784" s="24"/>
      <c r="T784" s="25"/>
      <c r="U784" s="25" t="n">
        <v>0</v>
      </c>
      <c r="V784" s="25" t="n">
        <f aca="false">P784-U784</f>
        <v>400.15</v>
      </c>
      <c r="W784" s="25" t="n">
        <f aca="false">V784*12</f>
        <v>4801.8</v>
      </c>
      <c r="X784" s="23" t="str">
        <f aca="false">IF(Q784="","MISSING FROM EXPORT",IF(ABS(V784)&lt;0.005,"CLEAR",IF(V784&gt;0,"UNDERBILLING","OVERBILLING")))</f>
        <v>MISSING FROM EXPORT</v>
      </c>
      <c r="Y784" s="25" t="n">
        <f aca="false">IF(F784="COMMERCIAL",ROUND(P784*0.35,2),0)</f>
        <v>0</v>
      </c>
      <c r="Z784" s="23" t="str">
        <f aca="false">IF(F784="COMMERCIAL","VERIFY SIGNED AGREEMENT","NO EXCEPTION")</f>
        <v>NO EXCEPTION</v>
      </c>
      <c r="AA784" s="23" t="str">
        <f aca="false">IF(AND(C784="covered",N784&gt;40),"COVERED &gt;40 FT","")</f>
        <v/>
      </c>
      <c r="AB784" s="23" t="s">
        <v>4705</v>
      </c>
      <c r="AC784" s="23" t="s">
        <v>6893</v>
      </c>
      <c r="AD784" s="23" t="s">
        <v>2807</v>
      </c>
    </row>
    <row r="785" customFormat="false" ht="17.9" hidden="false" customHeight="false" outlineLevel="0" collapsed="false">
      <c r="A785" s="20" t="s">
        <v>1102</v>
      </c>
      <c r="B785" s="20" t="s">
        <v>166</v>
      </c>
      <c r="C785" s="20" t="s">
        <v>2798</v>
      </c>
      <c r="D785" s="20" t="s">
        <v>6894</v>
      </c>
      <c r="E785" s="20" t="s">
        <v>6895</v>
      </c>
      <c r="F785" s="20" t="s">
        <v>2810</v>
      </c>
      <c r="G785" s="20" t="s">
        <v>3544</v>
      </c>
      <c r="H785" s="22" t="n">
        <v>33.2</v>
      </c>
      <c r="I785" s="22" t="n">
        <v>33.2</v>
      </c>
      <c r="J785" s="22" t="n">
        <f aca="false">H785-I785</f>
        <v>0</v>
      </c>
      <c r="K785" s="20" t="str">
        <f aca="false">IF(ABS(J785)&lt;0.001,"MATCH - PAPER CHECK-IN NOT SUPPLIED","DATA MISMATCH")</f>
        <v>MATCH - PAPER CHECK-IN NOT SUPPLIED</v>
      </c>
      <c r="L785" s="22" t="n">
        <v>32</v>
      </c>
      <c r="M785" s="22" t="n">
        <f aca="false">ROUNDUP(H785,0)</f>
        <v>34</v>
      </c>
      <c r="N785" s="24" t="n">
        <f aca="false">MAX(L785,M785)</f>
        <v>34</v>
      </c>
      <c r="O785" s="25" t="n">
        <v>7.55</v>
      </c>
      <c r="P785" s="25" t="n">
        <f aca="false">N785*O785</f>
        <v>256.7</v>
      </c>
      <c r="Q785" s="23"/>
      <c r="R785" s="23"/>
      <c r="S785" s="24"/>
      <c r="T785" s="25"/>
      <c r="U785" s="25" t="n">
        <v>0</v>
      </c>
      <c r="V785" s="25" t="n">
        <f aca="false">P785-U785</f>
        <v>256.7</v>
      </c>
      <c r="W785" s="25" t="n">
        <f aca="false">V785*12</f>
        <v>3080.4</v>
      </c>
      <c r="X785" s="23" t="str">
        <f aca="false">IF(Q785="","MISSING FROM EXPORT",IF(ABS(V785)&lt;0.005,"CLEAR",IF(V785&gt;0,"UNDERBILLING","OVERBILLING")))</f>
        <v>MISSING FROM EXPORT</v>
      </c>
      <c r="Y785" s="25" t="n">
        <f aca="false">IF(F785="COMMERCIAL",ROUND(P785*0.35,2),0)</f>
        <v>0</v>
      </c>
      <c r="Z785" s="23" t="str">
        <f aca="false">IF(F785="COMMERCIAL","VERIFY SIGNED AGREEMENT","NO EXCEPTION")</f>
        <v>NO EXCEPTION</v>
      </c>
      <c r="AA785" s="23" t="str">
        <f aca="false">IF(AND(C785="covered",N785&gt;40),"COVERED &gt;40 FT","")</f>
        <v/>
      </c>
      <c r="AB785" s="23" t="s">
        <v>4705</v>
      </c>
      <c r="AC785" s="23" t="s">
        <v>6896</v>
      </c>
      <c r="AD785" s="23" t="s">
        <v>2807</v>
      </c>
    </row>
    <row r="786" customFormat="false" ht="17.9" hidden="false" customHeight="false" outlineLevel="0" collapsed="false">
      <c r="A786" s="20" t="s">
        <v>6897</v>
      </c>
      <c r="B786" s="20" t="s">
        <v>166</v>
      </c>
      <c r="C786" s="20" t="s">
        <v>2798</v>
      </c>
      <c r="D786" s="20" t="s">
        <v>1902</v>
      </c>
      <c r="E786" s="20" t="s">
        <v>1903</v>
      </c>
      <c r="F786" s="20" t="s">
        <v>2833</v>
      </c>
      <c r="G786" s="20" t="s">
        <v>3551</v>
      </c>
      <c r="H786" s="22" t="n">
        <v>21</v>
      </c>
      <c r="I786" s="22" t="n">
        <v>21</v>
      </c>
      <c r="J786" s="22" t="n">
        <f aca="false">H786-I786</f>
        <v>0</v>
      </c>
      <c r="K786" s="20" t="str">
        <f aca="false">IF(ABS(J786)&lt;0.001,"MATCH - PAPER CHECK-IN NOT SUPPLIED","DATA MISMATCH")</f>
        <v>MATCH - PAPER CHECK-IN NOT SUPPLIED</v>
      </c>
      <c r="L786" s="22" t="n">
        <v>80</v>
      </c>
      <c r="M786" s="22" t="n">
        <f aca="false">ROUNDUP(H786,0)</f>
        <v>21</v>
      </c>
      <c r="N786" s="24" t="n">
        <f aca="false">MAX(L786,M786)</f>
        <v>80</v>
      </c>
      <c r="O786" s="25" t="n">
        <v>7.55</v>
      </c>
      <c r="P786" s="25" t="n">
        <f aca="false">N786*O786</f>
        <v>604</v>
      </c>
      <c r="Q786" s="23"/>
      <c r="R786" s="23"/>
      <c r="S786" s="24"/>
      <c r="T786" s="25"/>
      <c r="U786" s="25" t="n">
        <v>0</v>
      </c>
      <c r="V786" s="25" t="n">
        <f aca="false">P786-U786</f>
        <v>604</v>
      </c>
      <c r="W786" s="25" t="n">
        <f aca="false">V786*12</f>
        <v>7248</v>
      </c>
      <c r="X786" s="23" t="str">
        <f aca="false">IF(Q786="","MISSING FROM EXPORT",IF(ABS(V786)&lt;0.005,"CLEAR",IF(V786&gt;0,"UNDERBILLING","OVERBILLING")))</f>
        <v>MISSING FROM EXPORT</v>
      </c>
      <c r="Y786" s="25" t="n">
        <f aca="false">IF(F786="COMMERCIAL",ROUND(P786*0.35,2),0)</f>
        <v>0</v>
      </c>
      <c r="Z786" s="23" t="str">
        <f aca="false">IF(F786="COMMERCIAL","VERIFY SIGNED AGREEMENT","NO EXCEPTION")</f>
        <v>NO EXCEPTION</v>
      </c>
      <c r="AA786" s="23" t="str">
        <f aca="false">IF(AND(C786="covered",N786&gt;40),"COVERED &gt;40 FT","")</f>
        <v/>
      </c>
      <c r="AB786" s="23" t="s">
        <v>4705</v>
      </c>
      <c r="AC786" s="23" t="s">
        <v>6898</v>
      </c>
      <c r="AD786" s="23" t="s">
        <v>2807</v>
      </c>
    </row>
    <row r="787" customFormat="false" ht="17.9" hidden="false" customHeight="false" outlineLevel="0" collapsed="false">
      <c r="A787" s="20" t="s">
        <v>6899</v>
      </c>
      <c r="B787" s="20" t="s">
        <v>166</v>
      </c>
      <c r="C787" s="20" t="s">
        <v>2798</v>
      </c>
      <c r="D787" s="20" t="s">
        <v>6900</v>
      </c>
      <c r="E787" s="20" t="s">
        <v>6901</v>
      </c>
      <c r="F787" s="20" t="s">
        <v>2833</v>
      </c>
      <c r="G787" s="20" t="s">
        <v>3558</v>
      </c>
      <c r="H787" s="22" t="n">
        <v>41.9</v>
      </c>
      <c r="I787" s="22" t="n">
        <v>41.9</v>
      </c>
      <c r="J787" s="22" t="n">
        <f aca="false">H787-I787</f>
        <v>0</v>
      </c>
      <c r="K787" s="20" t="str">
        <f aca="false">IF(ABS(J787)&lt;0.001,"MATCH - PAPER CHECK-IN NOT SUPPLIED","DATA MISMATCH")</f>
        <v>MATCH - PAPER CHECK-IN NOT SUPPLIED</v>
      </c>
      <c r="L787" s="22" t="n">
        <v>24</v>
      </c>
      <c r="M787" s="22" t="n">
        <f aca="false">ROUNDUP(H787,0)</f>
        <v>42</v>
      </c>
      <c r="N787" s="24" t="n">
        <f aca="false">MAX(L787,M787)</f>
        <v>42</v>
      </c>
      <c r="O787" s="25" t="n">
        <v>7.55</v>
      </c>
      <c r="P787" s="25" t="n">
        <f aca="false">N787*O787</f>
        <v>317.1</v>
      </c>
      <c r="Q787" s="23"/>
      <c r="R787" s="23"/>
      <c r="S787" s="24"/>
      <c r="T787" s="25"/>
      <c r="U787" s="25" t="n">
        <v>0</v>
      </c>
      <c r="V787" s="25" t="n">
        <f aca="false">P787-U787</f>
        <v>317.1</v>
      </c>
      <c r="W787" s="25" t="n">
        <f aca="false">V787*12</f>
        <v>3805.2</v>
      </c>
      <c r="X787" s="23" t="str">
        <f aca="false">IF(Q787="","MISSING FROM EXPORT",IF(ABS(V787)&lt;0.005,"CLEAR",IF(V787&gt;0,"UNDERBILLING","OVERBILLING")))</f>
        <v>MISSING FROM EXPORT</v>
      </c>
      <c r="Y787" s="25" t="n">
        <f aca="false">IF(F787="COMMERCIAL",ROUND(P787*0.35,2),0)</f>
        <v>0</v>
      </c>
      <c r="Z787" s="23" t="str">
        <f aca="false">IF(F787="COMMERCIAL","VERIFY SIGNED AGREEMENT","NO EXCEPTION")</f>
        <v>NO EXCEPTION</v>
      </c>
      <c r="AA787" s="23" t="str">
        <f aca="false">IF(AND(C787="covered",N787&gt;40),"COVERED &gt;40 FT","")</f>
        <v/>
      </c>
      <c r="AB787" s="23" t="s">
        <v>4705</v>
      </c>
      <c r="AC787" s="23" t="s">
        <v>6902</v>
      </c>
      <c r="AD787" s="23" t="s">
        <v>2807</v>
      </c>
    </row>
    <row r="788" customFormat="false" ht="17.9" hidden="false" customHeight="false" outlineLevel="0" collapsed="false">
      <c r="A788" s="20" t="s">
        <v>6903</v>
      </c>
      <c r="B788" s="20" t="s">
        <v>166</v>
      </c>
      <c r="C788" s="20" t="s">
        <v>2798</v>
      </c>
      <c r="D788" s="20" t="s">
        <v>6904</v>
      </c>
      <c r="E788" s="20" t="s">
        <v>6905</v>
      </c>
      <c r="F788" s="20" t="s">
        <v>2869</v>
      </c>
      <c r="G788" s="20" t="s">
        <v>3565</v>
      </c>
      <c r="H788" s="22" t="n">
        <v>47.1</v>
      </c>
      <c r="I788" s="22" t="n">
        <v>47.1</v>
      </c>
      <c r="J788" s="22" t="n">
        <f aca="false">H788-I788</f>
        <v>0</v>
      </c>
      <c r="K788" s="20" t="str">
        <f aca="false">IF(ABS(J788)&lt;0.001,"MATCH - PAPER CHECK-IN NOT SUPPLIED","DATA MISMATCH")</f>
        <v>MATCH - PAPER CHECK-IN NOT SUPPLIED</v>
      </c>
      <c r="L788" s="22" t="n">
        <v>80</v>
      </c>
      <c r="M788" s="22" t="n">
        <f aca="false">ROUNDUP(H788,0)</f>
        <v>48</v>
      </c>
      <c r="N788" s="24" t="n">
        <f aca="false">MAX(L788,M788)</f>
        <v>80</v>
      </c>
      <c r="O788" s="25" t="n">
        <v>7.55</v>
      </c>
      <c r="P788" s="25" t="n">
        <f aca="false">N788*O788</f>
        <v>604</v>
      </c>
      <c r="Q788" s="23"/>
      <c r="R788" s="23"/>
      <c r="S788" s="24"/>
      <c r="T788" s="25"/>
      <c r="U788" s="25" t="n">
        <v>0</v>
      </c>
      <c r="V788" s="25" t="n">
        <f aca="false">P788-U788</f>
        <v>604</v>
      </c>
      <c r="W788" s="25" t="n">
        <f aca="false">V788*12</f>
        <v>7248</v>
      </c>
      <c r="X788" s="23" t="str">
        <f aca="false">IF(Q788="","MISSING FROM EXPORT",IF(ABS(V788)&lt;0.005,"CLEAR",IF(V788&gt;0,"UNDERBILLING","OVERBILLING")))</f>
        <v>MISSING FROM EXPORT</v>
      </c>
      <c r="Y788" s="25" t="n">
        <f aca="false">IF(F788="COMMERCIAL",ROUND(P788*0.35,2),0)</f>
        <v>0</v>
      </c>
      <c r="Z788" s="23" t="str">
        <f aca="false">IF(F788="COMMERCIAL","VERIFY SIGNED AGREEMENT","NO EXCEPTION")</f>
        <v>NO EXCEPTION</v>
      </c>
      <c r="AA788" s="23" t="str">
        <f aca="false">IF(AND(C788="covered",N788&gt;40),"COVERED &gt;40 FT","")</f>
        <v/>
      </c>
      <c r="AB788" s="23" t="s">
        <v>4705</v>
      </c>
      <c r="AC788" s="23" t="s">
        <v>6906</v>
      </c>
      <c r="AD788" s="23" t="s">
        <v>2807</v>
      </c>
    </row>
    <row r="789" customFormat="false" ht="17.9" hidden="false" customHeight="false" outlineLevel="0" collapsed="false">
      <c r="A789" s="20" t="s">
        <v>967</v>
      </c>
      <c r="B789" s="20" t="s">
        <v>166</v>
      </c>
      <c r="C789" s="20" t="s">
        <v>2798</v>
      </c>
      <c r="D789" s="20" t="s">
        <v>6907</v>
      </c>
      <c r="E789" s="20" t="s">
        <v>6908</v>
      </c>
      <c r="F789" s="20" t="s">
        <v>2801</v>
      </c>
      <c r="G789" s="20" t="s">
        <v>3571</v>
      </c>
      <c r="H789" s="22" t="n">
        <v>30.9</v>
      </c>
      <c r="I789" s="22" t="n">
        <v>30.9</v>
      </c>
      <c r="J789" s="22" t="n">
        <f aca="false">H789-I789</f>
        <v>0</v>
      </c>
      <c r="K789" s="20" t="str">
        <f aca="false">IF(ABS(J789)&lt;0.001,"MATCH - PAPER CHECK-IN NOT SUPPLIED","DATA MISMATCH")</f>
        <v>MATCH - PAPER CHECK-IN NOT SUPPLIED</v>
      </c>
      <c r="L789" s="22" t="n">
        <v>40</v>
      </c>
      <c r="M789" s="22" t="n">
        <f aca="false">ROUNDUP(H789,0)</f>
        <v>31</v>
      </c>
      <c r="N789" s="24" t="n">
        <f aca="false">MAX(L789,M789)</f>
        <v>40</v>
      </c>
      <c r="O789" s="25" t="n">
        <v>7.55</v>
      </c>
      <c r="P789" s="25" t="n">
        <f aca="false">N789*O789</f>
        <v>302</v>
      </c>
      <c r="Q789" s="23"/>
      <c r="R789" s="23"/>
      <c r="S789" s="24"/>
      <c r="T789" s="25"/>
      <c r="U789" s="25" t="n">
        <v>0</v>
      </c>
      <c r="V789" s="25" t="n">
        <f aca="false">P789-U789</f>
        <v>302</v>
      </c>
      <c r="W789" s="25" t="n">
        <f aca="false">V789*12</f>
        <v>3624</v>
      </c>
      <c r="X789" s="23" t="str">
        <f aca="false">IF(Q789="","MISSING FROM EXPORT",IF(ABS(V789)&lt;0.005,"CLEAR",IF(V789&gt;0,"UNDERBILLING","OVERBILLING")))</f>
        <v>MISSING FROM EXPORT</v>
      </c>
      <c r="Y789" s="25" t="n">
        <f aca="false">IF(F789="COMMERCIAL",ROUND(P789*0.35,2),0)</f>
        <v>0</v>
      </c>
      <c r="Z789" s="23" t="str">
        <f aca="false">IF(F789="COMMERCIAL","VERIFY SIGNED AGREEMENT","NO EXCEPTION")</f>
        <v>NO EXCEPTION</v>
      </c>
      <c r="AA789" s="23" t="str">
        <f aca="false">IF(AND(C789="covered",N789&gt;40),"COVERED &gt;40 FT","")</f>
        <v/>
      </c>
      <c r="AB789" s="23" t="s">
        <v>4705</v>
      </c>
      <c r="AC789" s="23" t="s">
        <v>6909</v>
      </c>
      <c r="AD789" s="23" t="s">
        <v>2807</v>
      </c>
    </row>
    <row r="790" customFormat="false" ht="17.9" hidden="false" customHeight="false" outlineLevel="0" collapsed="false">
      <c r="A790" s="20" t="s">
        <v>6910</v>
      </c>
      <c r="B790" s="20" t="s">
        <v>166</v>
      </c>
      <c r="C790" s="20" t="s">
        <v>2798</v>
      </c>
      <c r="D790" s="20" t="s">
        <v>6911</v>
      </c>
      <c r="E790" s="20" t="s">
        <v>6912</v>
      </c>
      <c r="F790" s="20" t="s">
        <v>2801</v>
      </c>
      <c r="G790" s="20" t="s">
        <v>3584</v>
      </c>
      <c r="H790" s="22" t="n">
        <v>37</v>
      </c>
      <c r="I790" s="22" t="n">
        <v>37</v>
      </c>
      <c r="J790" s="22" t="n">
        <f aca="false">H790-I790</f>
        <v>0</v>
      </c>
      <c r="K790" s="20" t="str">
        <f aca="false">IF(ABS(J790)&lt;0.001,"MATCH - PAPER CHECK-IN NOT SUPPLIED","DATA MISMATCH")</f>
        <v>MATCH - PAPER CHECK-IN NOT SUPPLIED</v>
      </c>
      <c r="L790" s="22" t="n">
        <v>36</v>
      </c>
      <c r="M790" s="22" t="n">
        <f aca="false">ROUNDUP(H790,0)</f>
        <v>37</v>
      </c>
      <c r="N790" s="24" t="n">
        <f aca="false">MAX(L790,M790)</f>
        <v>37</v>
      </c>
      <c r="O790" s="25" t="n">
        <v>7.55</v>
      </c>
      <c r="P790" s="25" t="n">
        <f aca="false">N790*O790</f>
        <v>279.35</v>
      </c>
      <c r="Q790" s="23"/>
      <c r="R790" s="23"/>
      <c r="S790" s="24"/>
      <c r="T790" s="25"/>
      <c r="U790" s="25" t="n">
        <v>0</v>
      </c>
      <c r="V790" s="25" t="n">
        <f aca="false">P790-U790</f>
        <v>279.35</v>
      </c>
      <c r="W790" s="25" t="n">
        <f aca="false">V790*12</f>
        <v>3352.2</v>
      </c>
      <c r="X790" s="23" t="str">
        <f aca="false">IF(Q790="","MISSING FROM EXPORT",IF(ABS(V790)&lt;0.005,"CLEAR",IF(V790&gt;0,"UNDERBILLING","OVERBILLING")))</f>
        <v>MISSING FROM EXPORT</v>
      </c>
      <c r="Y790" s="25" t="n">
        <f aca="false">IF(F790="COMMERCIAL",ROUND(P790*0.35,2),0)</f>
        <v>0</v>
      </c>
      <c r="Z790" s="23" t="str">
        <f aca="false">IF(F790="COMMERCIAL","VERIFY SIGNED AGREEMENT","NO EXCEPTION")</f>
        <v>NO EXCEPTION</v>
      </c>
      <c r="AA790" s="23" t="str">
        <f aca="false">IF(AND(C790="covered",N790&gt;40),"COVERED &gt;40 FT","")</f>
        <v/>
      </c>
      <c r="AB790" s="23" t="s">
        <v>4705</v>
      </c>
      <c r="AC790" s="23" t="s">
        <v>6913</v>
      </c>
      <c r="AD790" s="23" t="s">
        <v>2807</v>
      </c>
    </row>
    <row r="791" customFormat="false" ht="17.9" hidden="false" customHeight="false" outlineLevel="0" collapsed="false">
      <c r="A791" s="20" t="s">
        <v>638</v>
      </c>
      <c r="B791" s="20" t="s">
        <v>166</v>
      </c>
      <c r="C791" s="20" t="s">
        <v>2798</v>
      </c>
      <c r="D791" s="20" t="s">
        <v>6914</v>
      </c>
      <c r="E791" s="20" t="s">
        <v>6915</v>
      </c>
      <c r="F791" s="20" t="s">
        <v>2833</v>
      </c>
      <c r="G791" s="20" t="s">
        <v>3590</v>
      </c>
      <c r="H791" s="22" t="n">
        <v>31.7</v>
      </c>
      <c r="I791" s="22" t="n">
        <v>31.7</v>
      </c>
      <c r="J791" s="22" t="n">
        <f aca="false">H791-I791</f>
        <v>0</v>
      </c>
      <c r="K791" s="20" t="str">
        <f aca="false">IF(ABS(J791)&lt;0.001,"MATCH - PAPER CHECK-IN NOT SUPPLIED","DATA MISMATCH")</f>
        <v>MATCH - PAPER CHECK-IN NOT SUPPLIED</v>
      </c>
      <c r="L791" s="22" t="n">
        <v>60</v>
      </c>
      <c r="M791" s="22" t="n">
        <f aca="false">ROUNDUP(H791,0)</f>
        <v>32</v>
      </c>
      <c r="N791" s="24" t="n">
        <f aca="false">MAX(L791,M791)</f>
        <v>60</v>
      </c>
      <c r="O791" s="25" t="n">
        <v>7.55</v>
      </c>
      <c r="P791" s="25" t="n">
        <f aca="false">N791*O791</f>
        <v>453</v>
      </c>
      <c r="Q791" s="23"/>
      <c r="R791" s="23"/>
      <c r="S791" s="24"/>
      <c r="T791" s="25"/>
      <c r="U791" s="25" t="n">
        <v>0</v>
      </c>
      <c r="V791" s="25" t="n">
        <f aca="false">P791-U791</f>
        <v>453</v>
      </c>
      <c r="W791" s="25" t="n">
        <f aca="false">V791*12</f>
        <v>5436</v>
      </c>
      <c r="X791" s="23" t="str">
        <f aca="false">IF(Q791="","MISSING FROM EXPORT",IF(ABS(V791)&lt;0.005,"CLEAR",IF(V791&gt;0,"UNDERBILLING","OVERBILLING")))</f>
        <v>MISSING FROM EXPORT</v>
      </c>
      <c r="Y791" s="25" t="n">
        <f aca="false">IF(F791="COMMERCIAL",ROUND(P791*0.35,2),0)</f>
        <v>0</v>
      </c>
      <c r="Z791" s="23" t="str">
        <f aca="false">IF(F791="COMMERCIAL","VERIFY SIGNED AGREEMENT","NO EXCEPTION")</f>
        <v>NO EXCEPTION</v>
      </c>
      <c r="AA791" s="23" t="str">
        <f aca="false">IF(AND(C791="covered",N791&gt;40),"COVERED &gt;40 FT","")</f>
        <v/>
      </c>
      <c r="AB791" s="23" t="s">
        <v>4705</v>
      </c>
      <c r="AC791" s="23" t="s">
        <v>6916</v>
      </c>
      <c r="AD791" s="23" t="s">
        <v>2807</v>
      </c>
    </row>
    <row r="792" customFormat="false" ht="17.9" hidden="false" customHeight="false" outlineLevel="0" collapsed="false">
      <c r="A792" s="20" t="s">
        <v>6917</v>
      </c>
      <c r="B792" s="20" t="s">
        <v>166</v>
      </c>
      <c r="C792" s="20" t="s">
        <v>2798</v>
      </c>
      <c r="D792" s="20" t="s">
        <v>6918</v>
      </c>
      <c r="E792" s="20" t="s">
        <v>6919</v>
      </c>
      <c r="F792" s="20" t="s">
        <v>2833</v>
      </c>
      <c r="G792" s="20" t="s">
        <v>3596</v>
      </c>
      <c r="H792" s="22" t="n">
        <v>24.7</v>
      </c>
      <c r="I792" s="22" t="n">
        <v>24.7</v>
      </c>
      <c r="J792" s="22" t="n">
        <f aca="false">H792-I792</f>
        <v>0</v>
      </c>
      <c r="K792" s="20" t="str">
        <f aca="false">IF(ABS(J792)&lt;0.001,"MATCH - PAPER CHECK-IN NOT SUPPLIED","DATA MISMATCH")</f>
        <v>MATCH - PAPER CHECK-IN NOT SUPPLIED</v>
      </c>
      <c r="L792" s="22" t="n">
        <v>36</v>
      </c>
      <c r="M792" s="22" t="n">
        <f aca="false">ROUNDUP(H792,0)</f>
        <v>25</v>
      </c>
      <c r="N792" s="24" t="n">
        <f aca="false">MAX(L792,M792)</f>
        <v>36</v>
      </c>
      <c r="O792" s="25" t="n">
        <v>7.55</v>
      </c>
      <c r="P792" s="25" t="n">
        <f aca="false">N792*O792</f>
        <v>271.8</v>
      </c>
      <c r="Q792" s="23"/>
      <c r="R792" s="23"/>
      <c r="S792" s="24"/>
      <c r="T792" s="25"/>
      <c r="U792" s="25" t="n">
        <v>0</v>
      </c>
      <c r="V792" s="25" t="n">
        <f aca="false">P792-U792</f>
        <v>271.8</v>
      </c>
      <c r="W792" s="25" t="n">
        <f aca="false">V792*12</f>
        <v>3261.6</v>
      </c>
      <c r="X792" s="23" t="str">
        <f aca="false">IF(Q792="","MISSING FROM EXPORT",IF(ABS(V792)&lt;0.005,"CLEAR",IF(V792&gt;0,"UNDERBILLING","OVERBILLING")))</f>
        <v>MISSING FROM EXPORT</v>
      </c>
      <c r="Y792" s="25" t="n">
        <f aca="false">IF(F792="COMMERCIAL",ROUND(P792*0.35,2),0)</f>
        <v>0</v>
      </c>
      <c r="Z792" s="23" t="str">
        <f aca="false">IF(F792="COMMERCIAL","VERIFY SIGNED AGREEMENT","NO EXCEPTION")</f>
        <v>NO EXCEPTION</v>
      </c>
      <c r="AA792" s="23" t="str">
        <f aca="false">IF(AND(C792="covered",N792&gt;40),"COVERED &gt;40 FT","")</f>
        <v/>
      </c>
      <c r="AB792" s="23" t="s">
        <v>4705</v>
      </c>
      <c r="AC792" s="23" t="s">
        <v>6920</v>
      </c>
      <c r="AD792" s="23" t="s">
        <v>2807</v>
      </c>
    </row>
    <row r="793" customFormat="false" ht="17.9" hidden="false" customHeight="false" outlineLevel="0" collapsed="false">
      <c r="A793" s="20" t="s">
        <v>6921</v>
      </c>
      <c r="B793" s="20" t="s">
        <v>166</v>
      </c>
      <c r="C793" s="20" t="s">
        <v>2798</v>
      </c>
      <c r="D793" s="20" t="s">
        <v>6922</v>
      </c>
      <c r="E793" s="20" t="s">
        <v>6923</v>
      </c>
      <c r="F793" s="20" t="s">
        <v>2857</v>
      </c>
      <c r="G793" s="20" t="s">
        <v>4814</v>
      </c>
      <c r="H793" s="22" t="n">
        <v>45</v>
      </c>
      <c r="I793" s="22" t="n">
        <v>45</v>
      </c>
      <c r="J793" s="22" t="n">
        <f aca="false">H793-I793</f>
        <v>0</v>
      </c>
      <c r="K793" s="20" t="str">
        <f aca="false">IF(ABS(J793)&lt;0.001,"MATCH - PAPER CHECK-IN NOT SUPPLIED","DATA MISMATCH")</f>
        <v>MATCH - PAPER CHECK-IN NOT SUPPLIED</v>
      </c>
      <c r="L793" s="22" t="n">
        <v>24</v>
      </c>
      <c r="M793" s="22" t="n">
        <f aca="false">ROUNDUP(H793,0)</f>
        <v>45</v>
      </c>
      <c r="N793" s="24" t="n">
        <f aca="false">MAX(L793,M793)</f>
        <v>45</v>
      </c>
      <c r="O793" s="25" t="n">
        <v>7.55</v>
      </c>
      <c r="P793" s="25" t="n">
        <f aca="false">N793*O793</f>
        <v>339.75</v>
      </c>
      <c r="Q793" s="23"/>
      <c r="R793" s="23"/>
      <c r="S793" s="24"/>
      <c r="T793" s="25"/>
      <c r="U793" s="25" t="n">
        <v>0</v>
      </c>
      <c r="V793" s="25" t="n">
        <f aca="false">P793-U793</f>
        <v>339.75</v>
      </c>
      <c r="W793" s="25" t="n">
        <f aca="false">V793*12</f>
        <v>4077</v>
      </c>
      <c r="X793" s="23" t="str">
        <f aca="false">IF(Q793="","MISSING FROM EXPORT",IF(ABS(V793)&lt;0.005,"CLEAR",IF(V793&gt;0,"UNDERBILLING","OVERBILLING")))</f>
        <v>MISSING FROM EXPORT</v>
      </c>
      <c r="Y793" s="25" t="n">
        <f aca="false">IF(F793="COMMERCIAL",ROUND(P793*0.35,2),0)</f>
        <v>0</v>
      </c>
      <c r="Z793" s="23" t="str">
        <f aca="false">IF(F793="COMMERCIAL","VERIFY SIGNED AGREEMENT","NO EXCEPTION")</f>
        <v>NO EXCEPTION</v>
      </c>
      <c r="AA793" s="23" t="str">
        <f aca="false">IF(AND(C793="covered",N793&gt;40),"COVERED &gt;40 FT","")</f>
        <v/>
      </c>
      <c r="AB793" s="23" t="s">
        <v>4705</v>
      </c>
      <c r="AC793" s="23" t="s">
        <v>6924</v>
      </c>
      <c r="AD793" s="23" t="s">
        <v>2807</v>
      </c>
    </row>
    <row r="794" customFormat="false" ht="17.9" hidden="false" customHeight="false" outlineLevel="0" collapsed="false">
      <c r="A794" s="20" t="s">
        <v>6925</v>
      </c>
      <c r="B794" s="20" t="s">
        <v>166</v>
      </c>
      <c r="C794" s="20" t="s">
        <v>2798</v>
      </c>
      <c r="D794" s="20" t="s">
        <v>6926</v>
      </c>
      <c r="E794" s="20" t="s">
        <v>6927</v>
      </c>
      <c r="F794" s="20" t="s">
        <v>2833</v>
      </c>
      <c r="G794" s="20" t="s">
        <v>4819</v>
      </c>
      <c r="H794" s="22" t="n">
        <v>53.6</v>
      </c>
      <c r="I794" s="22" t="n">
        <v>53.6</v>
      </c>
      <c r="J794" s="22" t="n">
        <f aca="false">H794-I794</f>
        <v>0</v>
      </c>
      <c r="K794" s="20" t="str">
        <f aca="false">IF(ABS(J794)&lt;0.001,"MATCH - PAPER CHECK-IN NOT SUPPLIED","DATA MISMATCH")</f>
        <v>MATCH - PAPER CHECK-IN NOT SUPPLIED</v>
      </c>
      <c r="L794" s="22" t="n">
        <v>28</v>
      </c>
      <c r="M794" s="22" t="n">
        <f aca="false">ROUNDUP(H794,0)</f>
        <v>54</v>
      </c>
      <c r="N794" s="24" t="n">
        <f aca="false">MAX(L794,M794)</f>
        <v>54</v>
      </c>
      <c r="O794" s="25" t="n">
        <v>7.55</v>
      </c>
      <c r="P794" s="25" t="n">
        <f aca="false">N794*O794</f>
        <v>407.7</v>
      </c>
      <c r="Q794" s="23"/>
      <c r="R794" s="23"/>
      <c r="S794" s="24"/>
      <c r="T794" s="25"/>
      <c r="U794" s="25" t="n">
        <v>0</v>
      </c>
      <c r="V794" s="25" t="n">
        <f aca="false">P794-U794</f>
        <v>407.7</v>
      </c>
      <c r="W794" s="25" t="n">
        <f aca="false">V794*12</f>
        <v>4892.4</v>
      </c>
      <c r="X794" s="23" t="str">
        <f aca="false">IF(Q794="","MISSING FROM EXPORT",IF(ABS(V794)&lt;0.005,"CLEAR",IF(V794&gt;0,"UNDERBILLING","OVERBILLING")))</f>
        <v>MISSING FROM EXPORT</v>
      </c>
      <c r="Y794" s="25" t="n">
        <f aca="false">IF(F794="COMMERCIAL",ROUND(P794*0.35,2),0)</f>
        <v>0</v>
      </c>
      <c r="Z794" s="23" t="str">
        <f aca="false">IF(F794="COMMERCIAL","VERIFY SIGNED AGREEMENT","NO EXCEPTION")</f>
        <v>NO EXCEPTION</v>
      </c>
      <c r="AA794" s="23" t="str">
        <f aca="false">IF(AND(C794="covered",N794&gt;40),"COVERED &gt;40 FT","")</f>
        <v/>
      </c>
      <c r="AB794" s="23" t="s">
        <v>4705</v>
      </c>
      <c r="AC794" s="23" t="s">
        <v>6928</v>
      </c>
      <c r="AD794" s="23" t="s">
        <v>2807</v>
      </c>
    </row>
    <row r="795" customFormat="false" ht="17.9" hidden="false" customHeight="false" outlineLevel="0" collapsed="false">
      <c r="A795" s="20" t="s">
        <v>6929</v>
      </c>
      <c r="B795" s="20" t="s">
        <v>166</v>
      </c>
      <c r="C795" s="20" t="s">
        <v>2798</v>
      </c>
      <c r="D795" s="20" t="s">
        <v>6930</v>
      </c>
      <c r="E795" s="20" t="s">
        <v>6931</v>
      </c>
      <c r="F795" s="20" t="s">
        <v>2898</v>
      </c>
      <c r="G795" s="20" t="s">
        <v>3601</v>
      </c>
      <c r="H795" s="22" t="n">
        <v>49.5</v>
      </c>
      <c r="I795" s="22" t="n">
        <v>49.5</v>
      </c>
      <c r="J795" s="22" t="n">
        <f aca="false">H795-I795</f>
        <v>0</v>
      </c>
      <c r="K795" s="20" t="str">
        <f aca="false">IF(ABS(J795)&lt;0.001,"MATCH - PAPER CHECK-IN NOT SUPPLIED","DATA MISMATCH")</f>
        <v>MATCH - PAPER CHECK-IN NOT SUPPLIED</v>
      </c>
      <c r="L795" s="22" t="n">
        <v>80</v>
      </c>
      <c r="M795" s="22" t="n">
        <f aca="false">ROUNDUP(H795,0)</f>
        <v>50</v>
      </c>
      <c r="N795" s="24" t="n">
        <f aca="false">MAX(L795,M795)</f>
        <v>80</v>
      </c>
      <c r="O795" s="25" t="n">
        <v>7.55</v>
      </c>
      <c r="P795" s="25" t="n">
        <f aca="false">N795*O795</f>
        <v>604</v>
      </c>
      <c r="Q795" s="23"/>
      <c r="R795" s="23"/>
      <c r="S795" s="24"/>
      <c r="T795" s="25"/>
      <c r="U795" s="25" t="n">
        <v>0</v>
      </c>
      <c r="V795" s="25" t="n">
        <f aca="false">P795-U795</f>
        <v>604</v>
      </c>
      <c r="W795" s="25" t="n">
        <f aca="false">V795*12</f>
        <v>7248</v>
      </c>
      <c r="X795" s="23" t="str">
        <f aca="false">IF(Q795="","MISSING FROM EXPORT",IF(ABS(V795)&lt;0.005,"CLEAR",IF(V795&gt;0,"UNDERBILLING","OVERBILLING")))</f>
        <v>MISSING FROM EXPORT</v>
      </c>
      <c r="Y795" s="25" t="n">
        <f aca="false">IF(F795="COMMERCIAL",ROUND(P795*0.35,2),0)</f>
        <v>0</v>
      </c>
      <c r="Z795" s="23" t="str">
        <f aca="false">IF(F795="COMMERCIAL","VERIFY SIGNED AGREEMENT","NO EXCEPTION")</f>
        <v>NO EXCEPTION</v>
      </c>
      <c r="AA795" s="23" t="str">
        <f aca="false">IF(AND(C795="covered",N795&gt;40),"COVERED &gt;40 FT","")</f>
        <v/>
      </c>
      <c r="AB795" s="23" t="s">
        <v>4705</v>
      </c>
      <c r="AC795" s="23" t="s">
        <v>6932</v>
      </c>
      <c r="AD795" s="23" t="s">
        <v>2807</v>
      </c>
    </row>
    <row r="796" customFormat="false" ht="17.9" hidden="false" customHeight="false" outlineLevel="0" collapsed="false">
      <c r="A796" s="20" t="s">
        <v>6933</v>
      </c>
      <c r="B796" s="20" t="s">
        <v>166</v>
      </c>
      <c r="C796" s="20" t="s">
        <v>2798</v>
      </c>
      <c r="D796" s="20" t="s">
        <v>6934</v>
      </c>
      <c r="E796" s="20" t="s">
        <v>6935</v>
      </c>
      <c r="F796" s="20" t="s">
        <v>2869</v>
      </c>
      <c r="G796" s="20" t="s">
        <v>3608</v>
      </c>
      <c r="H796" s="22" t="n">
        <v>27.7</v>
      </c>
      <c r="I796" s="22" t="n">
        <v>27.7</v>
      </c>
      <c r="J796" s="22" t="n">
        <f aca="false">H796-I796</f>
        <v>0</v>
      </c>
      <c r="K796" s="20" t="str">
        <f aca="false">IF(ABS(J796)&lt;0.001,"MATCH - PAPER CHECK-IN NOT SUPPLIED","DATA MISMATCH")</f>
        <v>MATCH - PAPER CHECK-IN NOT SUPPLIED</v>
      </c>
      <c r="L796" s="22" t="n">
        <v>45</v>
      </c>
      <c r="M796" s="22" t="n">
        <f aca="false">ROUNDUP(H796,0)</f>
        <v>28</v>
      </c>
      <c r="N796" s="24" t="n">
        <f aca="false">MAX(L796,M796)</f>
        <v>45</v>
      </c>
      <c r="O796" s="25" t="n">
        <v>7.55</v>
      </c>
      <c r="P796" s="25" t="n">
        <f aca="false">N796*O796</f>
        <v>339.75</v>
      </c>
      <c r="Q796" s="23"/>
      <c r="R796" s="23"/>
      <c r="S796" s="24"/>
      <c r="T796" s="25"/>
      <c r="U796" s="25" t="n">
        <v>0</v>
      </c>
      <c r="V796" s="25" t="n">
        <f aca="false">P796-U796</f>
        <v>339.75</v>
      </c>
      <c r="W796" s="25" t="n">
        <f aca="false">V796*12</f>
        <v>4077</v>
      </c>
      <c r="X796" s="23" t="str">
        <f aca="false">IF(Q796="","MISSING FROM EXPORT",IF(ABS(V796)&lt;0.005,"CLEAR",IF(V796&gt;0,"UNDERBILLING","OVERBILLING")))</f>
        <v>MISSING FROM EXPORT</v>
      </c>
      <c r="Y796" s="25" t="n">
        <f aca="false">IF(F796="COMMERCIAL",ROUND(P796*0.35,2),0)</f>
        <v>0</v>
      </c>
      <c r="Z796" s="23" t="str">
        <f aca="false">IF(F796="COMMERCIAL","VERIFY SIGNED AGREEMENT","NO EXCEPTION")</f>
        <v>NO EXCEPTION</v>
      </c>
      <c r="AA796" s="23" t="str">
        <f aca="false">IF(AND(C796="covered",N796&gt;40),"COVERED &gt;40 FT","")</f>
        <v/>
      </c>
      <c r="AB796" s="23" t="s">
        <v>4705</v>
      </c>
      <c r="AC796" s="23" t="s">
        <v>6936</v>
      </c>
      <c r="AD796" s="23" t="s">
        <v>2807</v>
      </c>
    </row>
    <row r="797" customFormat="false" ht="17.9" hidden="false" customHeight="false" outlineLevel="0" collapsed="false">
      <c r="A797" s="20" t="s">
        <v>686</v>
      </c>
      <c r="B797" s="20" t="s">
        <v>166</v>
      </c>
      <c r="C797" s="20" t="s">
        <v>2798</v>
      </c>
      <c r="D797" s="20" t="s">
        <v>6937</v>
      </c>
      <c r="E797" s="20" t="s">
        <v>6938</v>
      </c>
      <c r="F797" s="20" t="s">
        <v>2857</v>
      </c>
      <c r="G797" s="20" t="s">
        <v>3614</v>
      </c>
      <c r="H797" s="22" t="n">
        <v>41.8</v>
      </c>
      <c r="I797" s="22" t="n">
        <v>41.8</v>
      </c>
      <c r="J797" s="22" t="n">
        <f aca="false">H797-I797</f>
        <v>0</v>
      </c>
      <c r="K797" s="20" t="str">
        <f aca="false">IF(ABS(J797)&lt;0.001,"MATCH - PAPER CHECK-IN NOT SUPPLIED","DATA MISMATCH")</f>
        <v>MATCH - PAPER CHECK-IN NOT SUPPLIED</v>
      </c>
      <c r="L797" s="22" t="n">
        <v>24</v>
      </c>
      <c r="M797" s="22" t="n">
        <f aca="false">ROUNDUP(H797,0)</f>
        <v>42</v>
      </c>
      <c r="N797" s="24" t="n">
        <f aca="false">MAX(L797,M797)</f>
        <v>42</v>
      </c>
      <c r="O797" s="25" t="n">
        <v>7.55</v>
      </c>
      <c r="P797" s="25" t="n">
        <f aca="false">N797*O797</f>
        <v>317.1</v>
      </c>
      <c r="Q797" s="23"/>
      <c r="R797" s="23"/>
      <c r="S797" s="24"/>
      <c r="T797" s="25"/>
      <c r="U797" s="25" t="n">
        <v>0</v>
      </c>
      <c r="V797" s="25" t="n">
        <f aca="false">P797-U797</f>
        <v>317.1</v>
      </c>
      <c r="W797" s="25" t="n">
        <f aca="false">V797*12</f>
        <v>3805.2</v>
      </c>
      <c r="X797" s="23" t="str">
        <f aca="false">IF(Q797="","MISSING FROM EXPORT",IF(ABS(V797)&lt;0.005,"CLEAR",IF(V797&gt;0,"UNDERBILLING","OVERBILLING")))</f>
        <v>MISSING FROM EXPORT</v>
      </c>
      <c r="Y797" s="25" t="n">
        <f aca="false">IF(F797="COMMERCIAL",ROUND(P797*0.35,2),0)</f>
        <v>0</v>
      </c>
      <c r="Z797" s="23" t="str">
        <f aca="false">IF(F797="COMMERCIAL","VERIFY SIGNED AGREEMENT","NO EXCEPTION")</f>
        <v>NO EXCEPTION</v>
      </c>
      <c r="AA797" s="23" t="str">
        <f aca="false">IF(AND(C797="covered",N797&gt;40),"COVERED &gt;40 FT","")</f>
        <v/>
      </c>
      <c r="AB797" s="23" t="s">
        <v>4705</v>
      </c>
      <c r="AC797" s="23" t="s">
        <v>6939</v>
      </c>
      <c r="AD797" s="23" t="s">
        <v>2807</v>
      </c>
    </row>
    <row r="798" customFormat="false" ht="17.9" hidden="false" customHeight="false" outlineLevel="0" collapsed="false">
      <c r="A798" s="20" t="s">
        <v>186</v>
      </c>
      <c r="B798" s="20" t="s">
        <v>166</v>
      </c>
      <c r="C798" s="20" t="s">
        <v>2798</v>
      </c>
      <c r="D798" s="20" t="s">
        <v>6940</v>
      </c>
      <c r="E798" s="20" t="s">
        <v>6941</v>
      </c>
      <c r="F798" s="20" t="s">
        <v>2818</v>
      </c>
      <c r="G798" s="20" t="s">
        <v>3621</v>
      </c>
      <c r="H798" s="22" t="n">
        <v>26.3</v>
      </c>
      <c r="I798" s="22" t="n">
        <v>26.3</v>
      </c>
      <c r="J798" s="22" t="n">
        <f aca="false">H798-I798</f>
        <v>0</v>
      </c>
      <c r="K798" s="20" t="str">
        <f aca="false">IF(ABS(J798)&lt;0.001,"MATCH - PAPER CHECK-IN NOT SUPPLIED","DATA MISMATCH")</f>
        <v>MATCH - PAPER CHECK-IN NOT SUPPLIED</v>
      </c>
      <c r="L798" s="22" t="n">
        <v>36</v>
      </c>
      <c r="M798" s="22" t="n">
        <f aca="false">ROUNDUP(H798,0)</f>
        <v>27</v>
      </c>
      <c r="N798" s="24" t="n">
        <f aca="false">MAX(L798,M798)</f>
        <v>36</v>
      </c>
      <c r="O798" s="25" t="n">
        <v>7.55</v>
      </c>
      <c r="P798" s="25" t="n">
        <f aca="false">N798*O798</f>
        <v>271.8</v>
      </c>
      <c r="Q798" s="23"/>
      <c r="R798" s="23"/>
      <c r="S798" s="24"/>
      <c r="T798" s="25"/>
      <c r="U798" s="25" t="n">
        <v>0</v>
      </c>
      <c r="V798" s="25" t="n">
        <f aca="false">P798-U798</f>
        <v>271.8</v>
      </c>
      <c r="W798" s="25" t="n">
        <f aca="false">V798*12</f>
        <v>3261.6</v>
      </c>
      <c r="X798" s="23" t="str">
        <f aca="false">IF(Q798="","MISSING FROM EXPORT",IF(ABS(V798)&lt;0.005,"CLEAR",IF(V798&gt;0,"UNDERBILLING","OVERBILLING")))</f>
        <v>MISSING FROM EXPORT</v>
      </c>
      <c r="Y798" s="25" t="n">
        <f aca="false">IF(F798="COMMERCIAL",ROUND(P798*0.35,2),0)</f>
        <v>0</v>
      </c>
      <c r="Z798" s="23" t="str">
        <f aca="false">IF(F798="COMMERCIAL","VERIFY SIGNED AGREEMENT","NO EXCEPTION")</f>
        <v>NO EXCEPTION</v>
      </c>
      <c r="AA798" s="23" t="str">
        <f aca="false">IF(AND(C798="covered",N798&gt;40),"COVERED &gt;40 FT","")</f>
        <v/>
      </c>
      <c r="AB798" s="23" t="s">
        <v>4705</v>
      </c>
      <c r="AC798" s="23" t="s">
        <v>6942</v>
      </c>
      <c r="AD798" s="23" t="s">
        <v>2807</v>
      </c>
    </row>
    <row r="799" customFormat="false" ht="17.9" hidden="false" customHeight="false" outlineLevel="0" collapsed="false">
      <c r="A799" s="20" t="s">
        <v>6943</v>
      </c>
      <c r="B799" s="20" t="s">
        <v>166</v>
      </c>
      <c r="C799" s="20" t="s">
        <v>2798</v>
      </c>
      <c r="D799" s="20" t="s">
        <v>2464</v>
      </c>
      <c r="E799" s="20" t="s">
        <v>6944</v>
      </c>
      <c r="F799" s="20" t="s">
        <v>2818</v>
      </c>
      <c r="G799" s="20" t="s">
        <v>4836</v>
      </c>
      <c r="H799" s="22" t="n">
        <v>26.3</v>
      </c>
      <c r="I799" s="22" t="n">
        <v>26.3</v>
      </c>
      <c r="J799" s="22" t="n">
        <f aca="false">H799-I799</f>
        <v>0</v>
      </c>
      <c r="K799" s="20" t="str">
        <f aca="false">IF(ABS(J799)&lt;0.001,"MATCH - PAPER CHECK-IN NOT SUPPLIED","DATA MISMATCH")</f>
        <v>MATCH - PAPER CHECK-IN NOT SUPPLIED</v>
      </c>
      <c r="L799" s="22" t="n">
        <v>24</v>
      </c>
      <c r="M799" s="22" t="n">
        <f aca="false">ROUNDUP(H799,0)</f>
        <v>27</v>
      </c>
      <c r="N799" s="24" t="n">
        <f aca="false">MAX(L799,M799)</f>
        <v>27</v>
      </c>
      <c r="O799" s="25" t="n">
        <v>7.55</v>
      </c>
      <c r="P799" s="25" t="n">
        <f aca="false">N799*O799</f>
        <v>203.85</v>
      </c>
      <c r="Q799" s="23"/>
      <c r="R799" s="23"/>
      <c r="S799" s="24"/>
      <c r="T799" s="25"/>
      <c r="U799" s="25" t="n">
        <v>0</v>
      </c>
      <c r="V799" s="25" t="n">
        <f aca="false">P799-U799</f>
        <v>203.85</v>
      </c>
      <c r="W799" s="25" t="n">
        <f aca="false">V799*12</f>
        <v>2446.2</v>
      </c>
      <c r="X799" s="23" t="str">
        <f aca="false">IF(Q799="","MISSING FROM EXPORT",IF(ABS(V799)&lt;0.005,"CLEAR",IF(V799&gt;0,"UNDERBILLING","OVERBILLING")))</f>
        <v>MISSING FROM EXPORT</v>
      </c>
      <c r="Y799" s="25" t="n">
        <f aca="false">IF(F799="COMMERCIAL",ROUND(P799*0.35,2),0)</f>
        <v>0</v>
      </c>
      <c r="Z799" s="23" t="str">
        <f aca="false">IF(F799="COMMERCIAL","VERIFY SIGNED AGREEMENT","NO EXCEPTION")</f>
        <v>NO EXCEPTION</v>
      </c>
      <c r="AA799" s="23" t="str">
        <f aca="false">IF(AND(C799="covered",N799&gt;40),"COVERED &gt;40 FT","")</f>
        <v/>
      </c>
      <c r="AB799" s="23" t="s">
        <v>4705</v>
      </c>
      <c r="AC799" s="23" t="s">
        <v>6945</v>
      </c>
      <c r="AD799" s="23" t="s">
        <v>2807</v>
      </c>
    </row>
    <row r="800" customFormat="false" ht="17.9" hidden="false" customHeight="false" outlineLevel="0" collapsed="false">
      <c r="A800" s="20" t="s">
        <v>6946</v>
      </c>
      <c r="B800" s="20" t="s">
        <v>166</v>
      </c>
      <c r="C800" s="20" t="s">
        <v>2798</v>
      </c>
      <c r="D800" s="20" t="s">
        <v>6947</v>
      </c>
      <c r="E800" s="20" t="s">
        <v>6948</v>
      </c>
      <c r="F800" s="20" t="s">
        <v>2833</v>
      </c>
      <c r="G800" s="20" t="s">
        <v>4838</v>
      </c>
      <c r="H800" s="22" t="n">
        <v>61.4</v>
      </c>
      <c r="I800" s="22" t="n">
        <v>61.4</v>
      </c>
      <c r="J800" s="22" t="n">
        <f aca="false">H800-I800</f>
        <v>0</v>
      </c>
      <c r="K800" s="20" t="str">
        <f aca="false">IF(ABS(J800)&lt;0.001,"MATCH - PAPER CHECK-IN NOT SUPPLIED","DATA MISMATCH")</f>
        <v>MATCH - PAPER CHECK-IN NOT SUPPLIED</v>
      </c>
      <c r="L800" s="22" t="n">
        <v>60</v>
      </c>
      <c r="M800" s="22" t="n">
        <f aca="false">ROUNDUP(H800,0)</f>
        <v>62</v>
      </c>
      <c r="N800" s="24" t="n">
        <f aca="false">MAX(L800,M800)</f>
        <v>62</v>
      </c>
      <c r="O800" s="25" t="n">
        <v>7.55</v>
      </c>
      <c r="P800" s="25" t="n">
        <f aca="false">N800*O800</f>
        <v>468.1</v>
      </c>
      <c r="Q800" s="23"/>
      <c r="R800" s="23"/>
      <c r="S800" s="24"/>
      <c r="T800" s="25"/>
      <c r="U800" s="25" t="n">
        <v>0</v>
      </c>
      <c r="V800" s="25" t="n">
        <f aca="false">P800-U800</f>
        <v>468.1</v>
      </c>
      <c r="W800" s="25" t="n">
        <f aca="false">V800*12</f>
        <v>5617.2</v>
      </c>
      <c r="X800" s="23" t="str">
        <f aca="false">IF(Q800="","MISSING FROM EXPORT",IF(ABS(V800)&lt;0.005,"CLEAR",IF(V800&gt;0,"UNDERBILLING","OVERBILLING")))</f>
        <v>MISSING FROM EXPORT</v>
      </c>
      <c r="Y800" s="25" t="n">
        <f aca="false">IF(F800="COMMERCIAL",ROUND(P800*0.35,2),0)</f>
        <v>0</v>
      </c>
      <c r="Z800" s="23" t="str">
        <f aca="false">IF(F800="COMMERCIAL","VERIFY SIGNED AGREEMENT","NO EXCEPTION")</f>
        <v>NO EXCEPTION</v>
      </c>
      <c r="AA800" s="23" t="str">
        <f aca="false">IF(AND(C800="covered",N800&gt;40),"COVERED &gt;40 FT","")</f>
        <v/>
      </c>
      <c r="AB800" s="23" t="s">
        <v>4705</v>
      </c>
      <c r="AC800" s="23" t="s">
        <v>6949</v>
      </c>
      <c r="AD800" s="23" t="s">
        <v>2807</v>
      </c>
    </row>
    <row r="801" customFormat="false" ht="17.9" hidden="false" customHeight="false" outlineLevel="0" collapsed="false">
      <c r="A801" s="20" t="s">
        <v>6950</v>
      </c>
      <c r="B801" s="20" t="s">
        <v>166</v>
      </c>
      <c r="C801" s="20" t="s">
        <v>2798</v>
      </c>
      <c r="D801" s="20" t="s">
        <v>6951</v>
      </c>
      <c r="E801" s="20" t="s">
        <v>6952</v>
      </c>
      <c r="F801" s="20" t="s">
        <v>2833</v>
      </c>
      <c r="G801" s="20" t="s">
        <v>3635</v>
      </c>
      <c r="H801" s="22" t="n">
        <v>25.8</v>
      </c>
      <c r="I801" s="22" t="n">
        <v>25.8</v>
      </c>
      <c r="J801" s="22" t="n">
        <f aca="false">H801-I801</f>
        <v>0</v>
      </c>
      <c r="K801" s="20" t="str">
        <f aca="false">IF(ABS(J801)&lt;0.001,"MATCH - PAPER CHECK-IN NOT SUPPLIED","DATA MISMATCH")</f>
        <v>MATCH - PAPER CHECK-IN NOT SUPPLIED</v>
      </c>
      <c r="L801" s="22" t="n">
        <v>32</v>
      </c>
      <c r="M801" s="22" t="n">
        <f aca="false">ROUNDUP(H801,0)</f>
        <v>26</v>
      </c>
      <c r="N801" s="24" t="n">
        <f aca="false">MAX(L801,M801)</f>
        <v>32</v>
      </c>
      <c r="O801" s="25" t="n">
        <v>7.55</v>
      </c>
      <c r="P801" s="25" t="n">
        <f aca="false">N801*O801</f>
        <v>241.6</v>
      </c>
      <c r="Q801" s="23"/>
      <c r="R801" s="23"/>
      <c r="S801" s="24"/>
      <c r="T801" s="25"/>
      <c r="U801" s="25" t="n">
        <v>0</v>
      </c>
      <c r="V801" s="25" t="n">
        <f aca="false">P801-U801</f>
        <v>241.6</v>
      </c>
      <c r="W801" s="25" t="n">
        <f aca="false">V801*12</f>
        <v>2899.2</v>
      </c>
      <c r="X801" s="23" t="str">
        <f aca="false">IF(Q801="","MISSING FROM EXPORT",IF(ABS(V801)&lt;0.005,"CLEAR",IF(V801&gt;0,"UNDERBILLING","OVERBILLING")))</f>
        <v>MISSING FROM EXPORT</v>
      </c>
      <c r="Y801" s="25" t="n">
        <f aca="false">IF(F801="COMMERCIAL",ROUND(P801*0.35,2),0)</f>
        <v>0</v>
      </c>
      <c r="Z801" s="23" t="str">
        <f aca="false">IF(F801="COMMERCIAL","VERIFY SIGNED AGREEMENT","NO EXCEPTION")</f>
        <v>NO EXCEPTION</v>
      </c>
      <c r="AA801" s="23" t="str">
        <f aca="false">IF(AND(C801="covered",N801&gt;40),"COVERED &gt;40 FT","")</f>
        <v/>
      </c>
      <c r="AB801" s="23" t="s">
        <v>4705</v>
      </c>
      <c r="AC801" s="23" t="s">
        <v>6953</v>
      </c>
      <c r="AD801" s="23" t="s">
        <v>2807</v>
      </c>
    </row>
    <row r="802" customFormat="false" ht="17.9" hidden="false" customHeight="false" outlineLevel="0" collapsed="false">
      <c r="A802" s="20" t="s">
        <v>6954</v>
      </c>
      <c r="B802" s="20" t="s">
        <v>166</v>
      </c>
      <c r="C802" s="20" t="s">
        <v>2798</v>
      </c>
      <c r="D802" s="20" t="s">
        <v>6955</v>
      </c>
      <c r="E802" s="20" t="s">
        <v>6956</v>
      </c>
      <c r="F802" s="20" t="s">
        <v>2833</v>
      </c>
      <c r="G802" s="20" t="s">
        <v>4846</v>
      </c>
      <c r="H802" s="22" t="n">
        <v>34.1</v>
      </c>
      <c r="I802" s="22" t="n">
        <v>34.1</v>
      </c>
      <c r="J802" s="22" t="n">
        <f aca="false">H802-I802</f>
        <v>0</v>
      </c>
      <c r="K802" s="20" t="str">
        <f aca="false">IF(ABS(J802)&lt;0.001,"MATCH - PAPER CHECK-IN NOT SUPPLIED","DATA MISMATCH")</f>
        <v>MATCH - PAPER CHECK-IN NOT SUPPLIED</v>
      </c>
      <c r="L802" s="22" t="n">
        <v>32</v>
      </c>
      <c r="M802" s="22" t="n">
        <f aca="false">ROUNDUP(H802,0)</f>
        <v>35</v>
      </c>
      <c r="N802" s="24" t="n">
        <f aca="false">MAX(L802,M802)</f>
        <v>35</v>
      </c>
      <c r="O802" s="25" t="n">
        <v>7.55</v>
      </c>
      <c r="P802" s="25" t="n">
        <f aca="false">N802*O802</f>
        <v>264.25</v>
      </c>
      <c r="Q802" s="23"/>
      <c r="R802" s="23"/>
      <c r="S802" s="24"/>
      <c r="T802" s="25"/>
      <c r="U802" s="25" t="n">
        <v>0</v>
      </c>
      <c r="V802" s="25" t="n">
        <f aca="false">P802-U802</f>
        <v>264.25</v>
      </c>
      <c r="W802" s="25" t="n">
        <f aca="false">V802*12</f>
        <v>3171</v>
      </c>
      <c r="X802" s="23" t="str">
        <f aca="false">IF(Q802="","MISSING FROM EXPORT",IF(ABS(V802)&lt;0.005,"CLEAR",IF(V802&gt;0,"UNDERBILLING","OVERBILLING")))</f>
        <v>MISSING FROM EXPORT</v>
      </c>
      <c r="Y802" s="25" t="n">
        <f aca="false">IF(F802="COMMERCIAL",ROUND(P802*0.35,2),0)</f>
        <v>0</v>
      </c>
      <c r="Z802" s="23" t="str">
        <f aca="false">IF(F802="COMMERCIAL","VERIFY SIGNED AGREEMENT","NO EXCEPTION")</f>
        <v>NO EXCEPTION</v>
      </c>
      <c r="AA802" s="23" t="str">
        <f aca="false">IF(AND(C802="covered",N802&gt;40),"COVERED &gt;40 FT","")</f>
        <v/>
      </c>
      <c r="AB802" s="23" t="s">
        <v>4705</v>
      </c>
      <c r="AC802" s="23" t="s">
        <v>6957</v>
      </c>
      <c r="AD802" s="23" t="s">
        <v>2807</v>
      </c>
    </row>
    <row r="803" customFormat="false" ht="17.9" hidden="false" customHeight="false" outlineLevel="0" collapsed="false">
      <c r="A803" s="20" t="s">
        <v>221</v>
      </c>
      <c r="B803" s="20" t="s">
        <v>166</v>
      </c>
      <c r="C803" s="20" t="s">
        <v>2798</v>
      </c>
      <c r="D803" s="20" t="s">
        <v>6958</v>
      </c>
      <c r="E803" s="20" t="s">
        <v>6959</v>
      </c>
      <c r="F803" s="20" t="s">
        <v>2869</v>
      </c>
      <c r="G803" s="20" t="s">
        <v>3642</v>
      </c>
      <c r="H803" s="22" t="n">
        <v>41.8</v>
      </c>
      <c r="I803" s="22" t="n">
        <v>41.8</v>
      </c>
      <c r="J803" s="22" t="n">
        <f aca="false">H803-I803</f>
        <v>0</v>
      </c>
      <c r="K803" s="20" t="str">
        <f aca="false">IF(ABS(J803)&lt;0.001,"MATCH - PAPER CHECK-IN NOT SUPPLIED","DATA MISMATCH")</f>
        <v>MATCH - PAPER CHECK-IN NOT SUPPLIED</v>
      </c>
      <c r="L803" s="22" t="n">
        <v>28</v>
      </c>
      <c r="M803" s="22" t="n">
        <f aca="false">ROUNDUP(H803,0)</f>
        <v>42</v>
      </c>
      <c r="N803" s="24" t="n">
        <f aca="false">MAX(L803,M803)</f>
        <v>42</v>
      </c>
      <c r="O803" s="25" t="n">
        <v>7.55</v>
      </c>
      <c r="P803" s="25" t="n">
        <f aca="false">N803*O803</f>
        <v>317.1</v>
      </c>
      <c r="Q803" s="23"/>
      <c r="R803" s="23"/>
      <c r="S803" s="24"/>
      <c r="T803" s="25"/>
      <c r="U803" s="25" t="n">
        <v>0</v>
      </c>
      <c r="V803" s="25" t="n">
        <f aca="false">P803-U803</f>
        <v>317.1</v>
      </c>
      <c r="W803" s="25" t="n">
        <f aca="false">V803*12</f>
        <v>3805.2</v>
      </c>
      <c r="X803" s="23" t="str">
        <f aca="false">IF(Q803="","MISSING FROM EXPORT",IF(ABS(V803)&lt;0.005,"CLEAR",IF(V803&gt;0,"UNDERBILLING","OVERBILLING")))</f>
        <v>MISSING FROM EXPORT</v>
      </c>
      <c r="Y803" s="25" t="n">
        <f aca="false">IF(F803="COMMERCIAL",ROUND(P803*0.35,2),0)</f>
        <v>0</v>
      </c>
      <c r="Z803" s="23" t="str">
        <f aca="false">IF(F803="COMMERCIAL","VERIFY SIGNED AGREEMENT","NO EXCEPTION")</f>
        <v>NO EXCEPTION</v>
      </c>
      <c r="AA803" s="23" t="str">
        <f aca="false">IF(AND(C803="covered",N803&gt;40),"COVERED &gt;40 FT","")</f>
        <v/>
      </c>
      <c r="AB803" s="23" t="s">
        <v>4705</v>
      </c>
      <c r="AC803" s="23" t="s">
        <v>6960</v>
      </c>
      <c r="AD803" s="23" t="s">
        <v>2807</v>
      </c>
    </row>
    <row r="804" customFormat="false" ht="17.9" hidden="false" customHeight="false" outlineLevel="0" collapsed="false">
      <c r="A804" s="20" t="s">
        <v>1352</v>
      </c>
      <c r="B804" s="20" t="s">
        <v>166</v>
      </c>
      <c r="C804" s="20" t="s">
        <v>2798</v>
      </c>
      <c r="D804" s="20" t="s">
        <v>6961</v>
      </c>
      <c r="E804" s="20" t="s">
        <v>6962</v>
      </c>
      <c r="F804" s="20" t="s">
        <v>2934</v>
      </c>
      <c r="G804" s="20" t="s">
        <v>3648</v>
      </c>
      <c r="H804" s="22" t="n">
        <v>32.4</v>
      </c>
      <c r="I804" s="22" t="n">
        <v>32.4</v>
      </c>
      <c r="J804" s="22" t="n">
        <f aca="false">H804-I804</f>
        <v>0</v>
      </c>
      <c r="K804" s="20" t="str">
        <f aca="false">IF(ABS(J804)&lt;0.001,"MATCH - PAPER CHECK-IN NOT SUPPLIED","DATA MISMATCH")</f>
        <v>MATCH - PAPER CHECK-IN NOT SUPPLIED</v>
      </c>
      <c r="L804" s="22" t="n">
        <v>24</v>
      </c>
      <c r="M804" s="22" t="n">
        <f aca="false">ROUNDUP(H804,0)</f>
        <v>33</v>
      </c>
      <c r="N804" s="24" t="n">
        <f aca="false">MAX(L804,M804)</f>
        <v>33</v>
      </c>
      <c r="O804" s="25" t="n">
        <v>7.55</v>
      </c>
      <c r="P804" s="25" t="n">
        <f aca="false">N804*O804</f>
        <v>249.15</v>
      </c>
      <c r="Q804" s="23"/>
      <c r="R804" s="23"/>
      <c r="S804" s="24"/>
      <c r="T804" s="25"/>
      <c r="U804" s="25" t="n">
        <v>0</v>
      </c>
      <c r="V804" s="25" t="n">
        <f aca="false">P804-U804</f>
        <v>249.15</v>
      </c>
      <c r="W804" s="25" t="n">
        <f aca="false">V804*12</f>
        <v>2989.8</v>
      </c>
      <c r="X804" s="23" t="str">
        <f aca="false">IF(Q804="","MISSING FROM EXPORT",IF(ABS(V804)&lt;0.005,"CLEAR",IF(V804&gt;0,"UNDERBILLING","OVERBILLING")))</f>
        <v>MISSING FROM EXPORT</v>
      </c>
      <c r="Y804" s="25" t="n">
        <f aca="false">IF(F804="COMMERCIAL",ROUND(P804*0.35,2),0)</f>
        <v>87.2</v>
      </c>
      <c r="Z804" s="23" t="str">
        <f aca="false">IF(F804="COMMERCIAL","VERIFY SIGNED AGREEMENT","NO EXCEPTION")</f>
        <v>VERIFY SIGNED AGREEMENT</v>
      </c>
      <c r="AA804" s="23" t="str">
        <f aca="false">IF(AND(C804="covered",N804&gt;40),"COVERED &gt;40 FT","")</f>
        <v/>
      </c>
      <c r="AB804" s="23" t="s">
        <v>4705</v>
      </c>
      <c r="AC804" s="23" t="s">
        <v>6963</v>
      </c>
      <c r="AD804" s="23" t="s">
        <v>2807</v>
      </c>
    </row>
    <row r="805" customFormat="false" ht="17.9" hidden="false" customHeight="false" outlineLevel="0" collapsed="false">
      <c r="A805" s="20" t="s">
        <v>6964</v>
      </c>
      <c r="B805" s="20" t="s">
        <v>166</v>
      </c>
      <c r="C805" s="20" t="s">
        <v>2798</v>
      </c>
      <c r="D805" s="20" t="s">
        <v>6965</v>
      </c>
      <c r="E805" s="20" t="s">
        <v>6966</v>
      </c>
      <c r="F805" s="20" t="s">
        <v>2818</v>
      </c>
      <c r="G805" s="20" t="s">
        <v>5884</v>
      </c>
      <c r="H805" s="22" t="n">
        <v>37.3</v>
      </c>
      <c r="I805" s="22" t="n">
        <v>37.3</v>
      </c>
      <c r="J805" s="22" t="n">
        <f aca="false">H805-I805</f>
        <v>0</v>
      </c>
      <c r="K805" s="20" t="str">
        <f aca="false">IF(ABS(J805)&lt;0.001,"MATCH - PAPER CHECK-IN NOT SUPPLIED","DATA MISMATCH")</f>
        <v>MATCH - PAPER CHECK-IN NOT SUPPLIED</v>
      </c>
      <c r="L805" s="22" t="n">
        <v>28</v>
      </c>
      <c r="M805" s="22" t="n">
        <f aca="false">ROUNDUP(H805,0)</f>
        <v>38</v>
      </c>
      <c r="N805" s="24" t="n">
        <f aca="false">MAX(L805,M805)</f>
        <v>38</v>
      </c>
      <c r="O805" s="25" t="n">
        <v>7.55</v>
      </c>
      <c r="P805" s="25" t="n">
        <f aca="false">N805*O805</f>
        <v>286.9</v>
      </c>
      <c r="Q805" s="23"/>
      <c r="R805" s="23"/>
      <c r="S805" s="24"/>
      <c r="T805" s="25"/>
      <c r="U805" s="25" t="n">
        <v>0</v>
      </c>
      <c r="V805" s="25" t="n">
        <f aca="false">P805-U805</f>
        <v>286.9</v>
      </c>
      <c r="W805" s="25" t="n">
        <f aca="false">V805*12</f>
        <v>3442.8</v>
      </c>
      <c r="X805" s="23" t="str">
        <f aca="false">IF(Q805="","MISSING FROM EXPORT",IF(ABS(V805)&lt;0.005,"CLEAR",IF(V805&gt;0,"UNDERBILLING","OVERBILLING")))</f>
        <v>MISSING FROM EXPORT</v>
      </c>
      <c r="Y805" s="25" t="n">
        <f aca="false">IF(F805="COMMERCIAL",ROUND(P805*0.35,2),0)</f>
        <v>0</v>
      </c>
      <c r="Z805" s="23" t="str">
        <f aca="false">IF(F805="COMMERCIAL","VERIFY SIGNED AGREEMENT","NO EXCEPTION")</f>
        <v>NO EXCEPTION</v>
      </c>
      <c r="AA805" s="23" t="str">
        <f aca="false">IF(AND(C805="covered",N805&gt;40),"COVERED &gt;40 FT","")</f>
        <v/>
      </c>
      <c r="AB805" s="23" t="s">
        <v>4705</v>
      </c>
      <c r="AC805" s="23" t="s">
        <v>6967</v>
      </c>
      <c r="AD805" s="23" t="s">
        <v>2807</v>
      </c>
    </row>
    <row r="806" customFormat="false" ht="17.9" hidden="false" customHeight="false" outlineLevel="0" collapsed="false">
      <c r="A806" s="20" t="s">
        <v>6968</v>
      </c>
      <c r="B806" s="20" t="s">
        <v>166</v>
      </c>
      <c r="C806" s="20" t="s">
        <v>2798</v>
      </c>
      <c r="D806" s="20" t="s">
        <v>6969</v>
      </c>
      <c r="E806" s="20" t="s">
        <v>6970</v>
      </c>
      <c r="F806" s="20" t="s">
        <v>2857</v>
      </c>
      <c r="G806" s="20" t="s">
        <v>3655</v>
      </c>
      <c r="H806" s="22" t="n">
        <v>19.2</v>
      </c>
      <c r="I806" s="22" t="n">
        <v>19.2</v>
      </c>
      <c r="J806" s="22" t="n">
        <f aca="false">H806-I806</f>
        <v>0</v>
      </c>
      <c r="K806" s="20" t="str">
        <f aca="false">IF(ABS(J806)&lt;0.001,"MATCH - PAPER CHECK-IN NOT SUPPLIED","DATA MISMATCH")</f>
        <v>MATCH - PAPER CHECK-IN NOT SUPPLIED</v>
      </c>
      <c r="L806" s="22" t="n">
        <v>50</v>
      </c>
      <c r="M806" s="22" t="n">
        <f aca="false">ROUNDUP(H806,0)</f>
        <v>20</v>
      </c>
      <c r="N806" s="24" t="n">
        <f aca="false">MAX(L806,M806)</f>
        <v>50</v>
      </c>
      <c r="O806" s="25" t="n">
        <v>7.55</v>
      </c>
      <c r="P806" s="25" t="n">
        <f aca="false">N806*O806</f>
        <v>377.5</v>
      </c>
      <c r="Q806" s="23"/>
      <c r="R806" s="23"/>
      <c r="S806" s="24"/>
      <c r="T806" s="25"/>
      <c r="U806" s="25" t="n">
        <v>0</v>
      </c>
      <c r="V806" s="25" t="n">
        <f aca="false">P806-U806</f>
        <v>377.5</v>
      </c>
      <c r="W806" s="25" t="n">
        <f aca="false">V806*12</f>
        <v>4530</v>
      </c>
      <c r="X806" s="23" t="str">
        <f aca="false">IF(Q806="","MISSING FROM EXPORT",IF(ABS(V806)&lt;0.005,"CLEAR",IF(V806&gt;0,"UNDERBILLING","OVERBILLING")))</f>
        <v>MISSING FROM EXPORT</v>
      </c>
      <c r="Y806" s="25" t="n">
        <f aca="false">IF(F806="COMMERCIAL",ROUND(P806*0.35,2),0)</f>
        <v>0</v>
      </c>
      <c r="Z806" s="23" t="str">
        <f aca="false">IF(F806="COMMERCIAL","VERIFY SIGNED AGREEMENT","NO EXCEPTION")</f>
        <v>NO EXCEPTION</v>
      </c>
      <c r="AA806" s="23" t="str">
        <f aca="false">IF(AND(C806="covered",N806&gt;40),"COVERED &gt;40 FT","")</f>
        <v/>
      </c>
      <c r="AB806" s="23" t="s">
        <v>4705</v>
      </c>
      <c r="AC806" s="23" t="s">
        <v>6971</v>
      </c>
      <c r="AD806" s="23" t="s">
        <v>2807</v>
      </c>
    </row>
    <row r="807" customFormat="false" ht="17.9" hidden="false" customHeight="false" outlineLevel="0" collapsed="false">
      <c r="A807" s="20" t="s">
        <v>6972</v>
      </c>
      <c r="B807" s="20" t="s">
        <v>166</v>
      </c>
      <c r="C807" s="20" t="s">
        <v>2798</v>
      </c>
      <c r="D807" s="20" t="s">
        <v>708</v>
      </c>
      <c r="E807" s="20" t="s">
        <v>709</v>
      </c>
      <c r="F807" s="20" t="s">
        <v>2833</v>
      </c>
      <c r="G807" s="20" t="s">
        <v>3662</v>
      </c>
      <c r="H807" s="22" t="n">
        <v>23.6</v>
      </c>
      <c r="I807" s="22" t="n">
        <v>23.6</v>
      </c>
      <c r="J807" s="22" t="n">
        <f aca="false">H807-I807</f>
        <v>0</v>
      </c>
      <c r="K807" s="20" t="str">
        <f aca="false">IF(ABS(J807)&lt;0.001,"MATCH - PAPER CHECK-IN NOT SUPPLIED","DATA MISMATCH")</f>
        <v>MATCH - PAPER CHECK-IN NOT SUPPLIED</v>
      </c>
      <c r="L807" s="22" t="n">
        <v>32</v>
      </c>
      <c r="M807" s="22" t="n">
        <f aca="false">ROUNDUP(H807,0)</f>
        <v>24</v>
      </c>
      <c r="N807" s="24" t="n">
        <f aca="false">MAX(L807,M807)</f>
        <v>32</v>
      </c>
      <c r="O807" s="25" t="n">
        <v>7.55</v>
      </c>
      <c r="P807" s="25" t="n">
        <f aca="false">N807*O807</f>
        <v>241.6</v>
      </c>
      <c r="Q807" s="23"/>
      <c r="R807" s="23"/>
      <c r="S807" s="24"/>
      <c r="T807" s="25"/>
      <c r="U807" s="25" t="n">
        <v>0</v>
      </c>
      <c r="V807" s="25" t="n">
        <f aca="false">P807-U807</f>
        <v>241.6</v>
      </c>
      <c r="W807" s="25" t="n">
        <f aca="false">V807*12</f>
        <v>2899.2</v>
      </c>
      <c r="X807" s="23" t="str">
        <f aca="false">IF(Q807="","MISSING FROM EXPORT",IF(ABS(V807)&lt;0.005,"CLEAR",IF(V807&gt;0,"UNDERBILLING","OVERBILLING")))</f>
        <v>MISSING FROM EXPORT</v>
      </c>
      <c r="Y807" s="25" t="n">
        <f aca="false">IF(F807="COMMERCIAL",ROUND(P807*0.35,2),0)</f>
        <v>0</v>
      </c>
      <c r="Z807" s="23" t="str">
        <f aca="false">IF(F807="COMMERCIAL","VERIFY SIGNED AGREEMENT","NO EXCEPTION")</f>
        <v>NO EXCEPTION</v>
      </c>
      <c r="AA807" s="23" t="str">
        <f aca="false">IF(AND(C807="covered",N807&gt;40),"COVERED &gt;40 FT","")</f>
        <v/>
      </c>
      <c r="AB807" s="23" t="s">
        <v>4705</v>
      </c>
      <c r="AC807" s="23" t="s">
        <v>6973</v>
      </c>
      <c r="AD807" s="23" t="s">
        <v>2807</v>
      </c>
    </row>
    <row r="808" customFormat="false" ht="17.9" hidden="false" customHeight="false" outlineLevel="0" collapsed="false">
      <c r="A808" s="20" t="s">
        <v>1203</v>
      </c>
      <c r="B808" s="20" t="s">
        <v>166</v>
      </c>
      <c r="C808" s="20" t="s">
        <v>2798</v>
      </c>
      <c r="D808" s="20" t="s">
        <v>6974</v>
      </c>
      <c r="E808" s="20" t="s">
        <v>6975</v>
      </c>
      <c r="F808" s="20" t="s">
        <v>2857</v>
      </c>
      <c r="G808" s="20" t="s">
        <v>3669</v>
      </c>
      <c r="H808" s="22" t="n">
        <v>25.3</v>
      </c>
      <c r="I808" s="22" t="n">
        <v>25.3</v>
      </c>
      <c r="J808" s="22" t="n">
        <f aca="false">H808-I808</f>
        <v>0</v>
      </c>
      <c r="K808" s="20" t="str">
        <f aca="false">IF(ABS(J808)&lt;0.001,"MATCH - PAPER CHECK-IN NOT SUPPLIED","DATA MISMATCH")</f>
        <v>MATCH - PAPER CHECK-IN NOT SUPPLIED</v>
      </c>
      <c r="L808" s="22" t="n">
        <v>70</v>
      </c>
      <c r="M808" s="22" t="n">
        <f aca="false">ROUNDUP(H808,0)</f>
        <v>26</v>
      </c>
      <c r="N808" s="24" t="n">
        <f aca="false">MAX(L808,M808)</f>
        <v>70</v>
      </c>
      <c r="O808" s="25" t="n">
        <v>7.55</v>
      </c>
      <c r="P808" s="25" t="n">
        <f aca="false">N808*O808</f>
        <v>528.5</v>
      </c>
      <c r="Q808" s="23"/>
      <c r="R808" s="23"/>
      <c r="S808" s="24"/>
      <c r="T808" s="25"/>
      <c r="U808" s="25" t="n">
        <v>0</v>
      </c>
      <c r="V808" s="25" t="n">
        <f aca="false">P808-U808</f>
        <v>528.5</v>
      </c>
      <c r="W808" s="25" t="n">
        <f aca="false">V808*12</f>
        <v>6342</v>
      </c>
      <c r="X808" s="23" t="str">
        <f aca="false">IF(Q808="","MISSING FROM EXPORT",IF(ABS(V808)&lt;0.005,"CLEAR",IF(V808&gt;0,"UNDERBILLING","OVERBILLING")))</f>
        <v>MISSING FROM EXPORT</v>
      </c>
      <c r="Y808" s="25" t="n">
        <f aca="false">IF(F808="COMMERCIAL",ROUND(P808*0.35,2),0)</f>
        <v>0</v>
      </c>
      <c r="Z808" s="23" t="str">
        <f aca="false">IF(F808="COMMERCIAL","VERIFY SIGNED AGREEMENT","NO EXCEPTION")</f>
        <v>NO EXCEPTION</v>
      </c>
      <c r="AA808" s="23" t="str">
        <f aca="false">IF(AND(C808="covered",N808&gt;40),"COVERED &gt;40 FT","")</f>
        <v/>
      </c>
      <c r="AB808" s="23" t="s">
        <v>4705</v>
      </c>
      <c r="AC808" s="23" t="s">
        <v>6976</v>
      </c>
      <c r="AD808" s="23" t="s">
        <v>2807</v>
      </c>
    </row>
    <row r="809" customFormat="false" ht="17.9" hidden="false" customHeight="false" outlineLevel="0" collapsed="false">
      <c r="A809" s="20" t="s">
        <v>6977</v>
      </c>
      <c r="B809" s="20" t="s">
        <v>166</v>
      </c>
      <c r="C809" s="20" t="s">
        <v>2798</v>
      </c>
      <c r="D809" s="20" t="s">
        <v>6978</v>
      </c>
      <c r="E809" s="20" t="s">
        <v>6979</v>
      </c>
      <c r="F809" s="20" t="s">
        <v>2869</v>
      </c>
      <c r="G809" s="20" t="s">
        <v>3676</v>
      </c>
      <c r="H809" s="22" t="n">
        <v>48.9</v>
      </c>
      <c r="I809" s="22" t="n">
        <v>48.9</v>
      </c>
      <c r="J809" s="22" t="n">
        <f aca="false">H809-I809</f>
        <v>0</v>
      </c>
      <c r="K809" s="20" t="str">
        <f aca="false">IF(ABS(J809)&lt;0.001,"MATCH - PAPER CHECK-IN NOT SUPPLIED","DATA MISMATCH")</f>
        <v>MATCH - PAPER CHECK-IN NOT SUPPLIED</v>
      </c>
      <c r="L809" s="22" t="n">
        <v>28</v>
      </c>
      <c r="M809" s="22" t="n">
        <f aca="false">ROUNDUP(H809,0)</f>
        <v>49</v>
      </c>
      <c r="N809" s="24" t="n">
        <f aca="false">MAX(L809,M809)</f>
        <v>49</v>
      </c>
      <c r="O809" s="25" t="n">
        <v>7.55</v>
      </c>
      <c r="P809" s="25" t="n">
        <f aca="false">N809*O809</f>
        <v>369.95</v>
      </c>
      <c r="Q809" s="23"/>
      <c r="R809" s="23"/>
      <c r="S809" s="24"/>
      <c r="T809" s="25"/>
      <c r="U809" s="25" t="n">
        <v>0</v>
      </c>
      <c r="V809" s="25" t="n">
        <f aca="false">P809-U809</f>
        <v>369.95</v>
      </c>
      <c r="W809" s="25" t="n">
        <f aca="false">V809*12</f>
        <v>4439.4</v>
      </c>
      <c r="X809" s="23" t="str">
        <f aca="false">IF(Q809="","MISSING FROM EXPORT",IF(ABS(V809)&lt;0.005,"CLEAR",IF(V809&gt;0,"UNDERBILLING","OVERBILLING")))</f>
        <v>MISSING FROM EXPORT</v>
      </c>
      <c r="Y809" s="25" t="n">
        <f aca="false">IF(F809="COMMERCIAL",ROUND(P809*0.35,2),0)</f>
        <v>0</v>
      </c>
      <c r="Z809" s="23" t="str">
        <f aca="false">IF(F809="COMMERCIAL","VERIFY SIGNED AGREEMENT","NO EXCEPTION")</f>
        <v>NO EXCEPTION</v>
      </c>
      <c r="AA809" s="23" t="str">
        <f aca="false">IF(AND(C809="covered",N809&gt;40),"COVERED &gt;40 FT","")</f>
        <v/>
      </c>
      <c r="AB809" s="23" t="s">
        <v>4705</v>
      </c>
      <c r="AC809" s="23" t="s">
        <v>6980</v>
      </c>
      <c r="AD809" s="23" t="s">
        <v>2807</v>
      </c>
    </row>
    <row r="810" customFormat="false" ht="17.9" hidden="false" customHeight="false" outlineLevel="0" collapsed="false">
      <c r="A810" s="20" t="s">
        <v>6981</v>
      </c>
      <c r="B810" s="20" t="s">
        <v>166</v>
      </c>
      <c r="C810" s="20" t="s">
        <v>2798</v>
      </c>
      <c r="D810" s="20" t="s">
        <v>6982</v>
      </c>
      <c r="E810" s="20" t="s">
        <v>6983</v>
      </c>
      <c r="F810" s="20" t="s">
        <v>2818</v>
      </c>
      <c r="G810" s="20" t="s">
        <v>3683</v>
      </c>
      <c r="H810" s="22" t="n">
        <v>44.5</v>
      </c>
      <c r="I810" s="22" t="n">
        <v>44.5</v>
      </c>
      <c r="J810" s="22" t="n">
        <f aca="false">H810-I810</f>
        <v>0</v>
      </c>
      <c r="K810" s="20" t="str">
        <f aca="false">IF(ABS(J810)&lt;0.001,"MATCH - PAPER CHECK-IN NOT SUPPLIED","DATA MISMATCH")</f>
        <v>MATCH - PAPER CHECK-IN NOT SUPPLIED</v>
      </c>
      <c r="L810" s="22" t="n">
        <v>28</v>
      </c>
      <c r="M810" s="22" t="n">
        <f aca="false">ROUNDUP(H810,0)</f>
        <v>45</v>
      </c>
      <c r="N810" s="24" t="n">
        <f aca="false">MAX(L810,M810)</f>
        <v>45</v>
      </c>
      <c r="O810" s="25" t="n">
        <v>7.55</v>
      </c>
      <c r="P810" s="25" t="n">
        <f aca="false">N810*O810</f>
        <v>339.75</v>
      </c>
      <c r="Q810" s="23"/>
      <c r="R810" s="23"/>
      <c r="S810" s="24"/>
      <c r="T810" s="25"/>
      <c r="U810" s="25" t="n">
        <v>0</v>
      </c>
      <c r="V810" s="25" t="n">
        <f aca="false">P810-U810</f>
        <v>339.75</v>
      </c>
      <c r="W810" s="25" t="n">
        <f aca="false">V810*12</f>
        <v>4077</v>
      </c>
      <c r="X810" s="23" t="str">
        <f aca="false">IF(Q810="","MISSING FROM EXPORT",IF(ABS(V810)&lt;0.005,"CLEAR",IF(V810&gt;0,"UNDERBILLING","OVERBILLING")))</f>
        <v>MISSING FROM EXPORT</v>
      </c>
      <c r="Y810" s="25" t="n">
        <f aca="false">IF(F810="COMMERCIAL",ROUND(P810*0.35,2),0)</f>
        <v>0</v>
      </c>
      <c r="Z810" s="23" t="str">
        <f aca="false">IF(F810="COMMERCIAL","VERIFY SIGNED AGREEMENT","NO EXCEPTION")</f>
        <v>NO EXCEPTION</v>
      </c>
      <c r="AA810" s="23" t="str">
        <f aca="false">IF(AND(C810="covered",N810&gt;40),"COVERED &gt;40 FT","")</f>
        <v/>
      </c>
      <c r="AB810" s="23" t="s">
        <v>4705</v>
      </c>
      <c r="AC810" s="23" t="s">
        <v>6984</v>
      </c>
      <c r="AD810" s="23" t="s">
        <v>2807</v>
      </c>
    </row>
    <row r="811" customFormat="false" ht="17.9" hidden="false" customHeight="false" outlineLevel="0" collapsed="false">
      <c r="A811" s="20" t="s">
        <v>6985</v>
      </c>
      <c r="B811" s="20" t="s">
        <v>166</v>
      </c>
      <c r="C811" s="20" t="s">
        <v>2798</v>
      </c>
      <c r="D811" s="20" t="s">
        <v>6986</v>
      </c>
      <c r="E811" s="20" t="s">
        <v>6987</v>
      </c>
      <c r="F811" s="20" t="s">
        <v>2833</v>
      </c>
      <c r="G811" s="20" t="s">
        <v>4872</v>
      </c>
      <c r="H811" s="22" t="n">
        <v>38.7</v>
      </c>
      <c r="I811" s="22" t="n">
        <v>38.7</v>
      </c>
      <c r="J811" s="22" t="n">
        <f aca="false">H811-I811</f>
        <v>0</v>
      </c>
      <c r="K811" s="20" t="str">
        <f aca="false">IF(ABS(J811)&lt;0.001,"MATCH - PAPER CHECK-IN NOT SUPPLIED","DATA MISMATCH")</f>
        <v>MATCH - PAPER CHECK-IN NOT SUPPLIED</v>
      </c>
      <c r="L811" s="22" t="n">
        <v>45</v>
      </c>
      <c r="M811" s="22" t="n">
        <f aca="false">ROUNDUP(H811,0)</f>
        <v>39</v>
      </c>
      <c r="N811" s="24" t="n">
        <f aca="false">MAX(L811,M811)</f>
        <v>45</v>
      </c>
      <c r="O811" s="25" t="n">
        <v>7.55</v>
      </c>
      <c r="P811" s="25" t="n">
        <f aca="false">N811*O811</f>
        <v>339.75</v>
      </c>
      <c r="Q811" s="23"/>
      <c r="R811" s="23"/>
      <c r="S811" s="24"/>
      <c r="T811" s="25"/>
      <c r="U811" s="25" t="n">
        <v>0</v>
      </c>
      <c r="V811" s="25" t="n">
        <f aca="false">P811-U811</f>
        <v>339.75</v>
      </c>
      <c r="W811" s="25" t="n">
        <f aca="false">V811*12</f>
        <v>4077</v>
      </c>
      <c r="X811" s="23" t="str">
        <f aca="false">IF(Q811="","MISSING FROM EXPORT",IF(ABS(V811)&lt;0.005,"CLEAR",IF(V811&gt;0,"UNDERBILLING","OVERBILLING")))</f>
        <v>MISSING FROM EXPORT</v>
      </c>
      <c r="Y811" s="25" t="n">
        <f aca="false">IF(F811="COMMERCIAL",ROUND(P811*0.35,2),0)</f>
        <v>0</v>
      </c>
      <c r="Z811" s="23" t="str">
        <f aca="false">IF(F811="COMMERCIAL","VERIFY SIGNED AGREEMENT","NO EXCEPTION")</f>
        <v>NO EXCEPTION</v>
      </c>
      <c r="AA811" s="23" t="str">
        <f aca="false">IF(AND(C811="covered",N811&gt;40),"COVERED &gt;40 FT","")</f>
        <v/>
      </c>
      <c r="AB811" s="23" t="s">
        <v>4705</v>
      </c>
      <c r="AC811" s="23" t="s">
        <v>6988</v>
      </c>
      <c r="AD811" s="23" t="s">
        <v>2807</v>
      </c>
    </row>
    <row r="812" customFormat="false" ht="17.9" hidden="false" customHeight="false" outlineLevel="0" collapsed="false">
      <c r="A812" s="20" t="s">
        <v>6989</v>
      </c>
      <c r="B812" s="20" t="s">
        <v>166</v>
      </c>
      <c r="C812" s="20" t="s">
        <v>2798</v>
      </c>
      <c r="D812" s="20" t="s">
        <v>6990</v>
      </c>
      <c r="E812" s="20" t="s">
        <v>6991</v>
      </c>
      <c r="F812" s="20" t="s">
        <v>2898</v>
      </c>
      <c r="G812" s="20" t="s">
        <v>3689</v>
      </c>
      <c r="H812" s="22" t="n">
        <v>25.7</v>
      </c>
      <c r="I812" s="22" t="n">
        <v>25.7</v>
      </c>
      <c r="J812" s="22" t="n">
        <f aca="false">H812-I812</f>
        <v>0</v>
      </c>
      <c r="K812" s="20" t="str">
        <f aca="false">IF(ABS(J812)&lt;0.001,"MATCH - PAPER CHECK-IN NOT SUPPLIED","DATA MISMATCH")</f>
        <v>MATCH - PAPER CHECK-IN NOT SUPPLIED</v>
      </c>
      <c r="L812" s="22" t="n">
        <v>24</v>
      </c>
      <c r="M812" s="22" t="n">
        <f aca="false">ROUNDUP(H812,0)</f>
        <v>26</v>
      </c>
      <c r="N812" s="24" t="n">
        <f aca="false">MAX(L812,M812)</f>
        <v>26</v>
      </c>
      <c r="O812" s="25" t="n">
        <v>7.55</v>
      </c>
      <c r="P812" s="25" t="n">
        <f aca="false">N812*O812</f>
        <v>196.3</v>
      </c>
      <c r="Q812" s="23"/>
      <c r="R812" s="23"/>
      <c r="S812" s="24"/>
      <c r="T812" s="25"/>
      <c r="U812" s="25" t="n">
        <v>0</v>
      </c>
      <c r="V812" s="25" t="n">
        <f aca="false">P812-U812</f>
        <v>196.3</v>
      </c>
      <c r="W812" s="25" t="n">
        <f aca="false">V812*12</f>
        <v>2355.6</v>
      </c>
      <c r="X812" s="23" t="str">
        <f aca="false">IF(Q812="","MISSING FROM EXPORT",IF(ABS(V812)&lt;0.005,"CLEAR",IF(V812&gt;0,"UNDERBILLING","OVERBILLING")))</f>
        <v>MISSING FROM EXPORT</v>
      </c>
      <c r="Y812" s="25" t="n">
        <f aca="false">IF(F812="COMMERCIAL",ROUND(P812*0.35,2),0)</f>
        <v>0</v>
      </c>
      <c r="Z812" s="23" t="str">
        <f aca="false">IF(F812="COMMERCIAL","VERIFY SIGNED AGREEMENT","NO EXCEPTION")</f>
        <v>NO EXCEPTION</v>
      </c>
      <c r="AA812" s="23" t="str">
        <f aca="false">IF(AND(C812="covered",N812&gt;40),"COVERED &gt;40 FT","")</f>
        <v/>
      </c>
      <c r="AB812" s="23" t="s">
        <v>4705</v>
      </c>
      <c r="AC812" s="23" t="s">
        <v>6992</v>
      </c>
      <c r="AD812" s="23" t="s">
        <v>2807</v>
      </c>
    </row>
    <row r="813" customFormat="false" ht="17.9" hidden="false" customHeight="false" outlineLevel="0" collapsed="false">
      <c r="A813" s="20" t="s">
        <v>1640</v>
      </c>
      <c r="B813" s="20" t="s">
        <v>166</v>
      </c>
      <c r="C813" s="20" t="s">
        <v>2798</v>
      </c>
      <c r="D813" s="20" t="s">
        <v>6993</v>
      </c>
      <c r="E813" s="20" t="s">
        <v>6994</v>
      </c>
      <c r="F813" s="20" t="s">
        <v>2833</v>
      </c>
      <c r="G813" s="20" t="s">
        <v>3694</v>
      </c>
      <c r="H813" s="22" t="n">
        <v>27.1</v>
      </c>
      <c r="I813" s="22" t="n">
        <v>27.1</v>
      </c>
      <c r="J813" s="22" t="n">
        <f aca="false">H813-I813</f>
        <v>0</v>
      </c>
      <c r="K813" s="20" t="str">
        <f aca="false">IF(ABS(J813)&lt;0.001,"MATCH - PAPER CHECK-IN NOT SUPPLIED","DATA MISMATCH")</f>
        <v>MATCH - PAPER CHECK-IN NOT SUPPLIED</v>
      </c>
      <c r="L813" s="22" t="n">
        <v>28</v>
      </c>
      <c r="M813" s="22" t="n">
        <f aca="false">ROUNDUP(H813,0)</f>
        <v>28</v>
      </c>
      <c r="N813" s="24" t="n">
        <f aca="false">MAX(L813,M813)</f>
        <v>28</v>
      </c>
      <c r="O813" s="25" t="n">
        <v>7.55</v>
      </c>
      <c r="P813" s="25" t="n">
        <f aca="false">N813*O813</f>
        <v>211.4</v>
      </c>
      <c r="Q813" s="23"/>
      <c r="R813" s="23"/>
      <c r="S813" s="24"/>
      <c r="T813" s="25"/>
      <c r="U813" s="25" t="n">
        <v>0</v>
      </c>
      <c r="V813" s="25" t="n">
        <f aca="false">P813-U813</f>
        <v>211.4</v>
      </c>
      <c r="W813" s="25" t="n">
        <f aca="false">V813*12</f>
        <v>2536.8</v>
      </c>
      <c r="X813" s="23" t="str">
        <f aca="false">IF(Q813="","MISSING FROM EXPORT",IF(ABS(V813)&lt;0.005,"CLEAR",IF(V813&gt;0,"UNDERBILLING","OVERBILLING")))</f>
        <v>MISSING FROM EXPORT</v>
      </c>
      <c r="Y813" s="25" t="n">
        <f aca="false">IF(F813="COMMERCIAL",ROUND(P813*0.35,2),0)</f>
        <v>0</v>
      </c>
      <c r="Z813" s="23" t="str">
        <f aca="false">IF(F813="COMMERCIAL","VERIFY SIGNED AGREEMENT","NO EXCEPTION")</f>
        <v>NO EXCEPTION</v>
      </c>
      <c r="AA813" s="23" t="str">
        <f aca="false">IF(AND(C813="covered",N813&gt;40),"COVERED &gt;40 FT","")</f>
        <v/>
      </c>
      <c r="AB813" s="23" t="s">
        <v>4705</v>
      </c>
      <c r="AC813" s="23" t="s">
        <v>6995</v>
      </c>
      <c r="AD813" s="23" t="s">
        <v>2807</v>
      </c>
    </row>
    <row r="814" customFormat="false" ht="17.9" hidden="false" customHeight="false" outlineLevel="0" collapsed="false">
      <c r="A814" s="20" t="s">
        <v>6996</v>
      </c>
      <c r="B814" s="20" t="s">
        <v>166</v>
      </c>
      <c r="C814" s="20" t="s">
        <v>2798</v>
      </c>
      <c r="D814" s="20" t="s">
        <v>6997</v>
      </c>
      <c r="E814" s="20" t="s">
        <v>6998</v>
      </c>
      <c r="F814" s="20" t="s">
        <v>2857</v>
      </c>
      <c r="G814" s="20" t="s">
        <v>3701</v>
      </c>
      <c r="H814" s="22" t="n">
        <v>36.7</v>
      </c>
      <c r="I814" s="22" t="n">
        <v>36.7</v>
      </c>
      <c r="J814" s="22" t="n">
        <f aca="false">H814-I814</f>
        <v>0</v>
      </c>
      <c r="K814" s="20" t="str">
        <f aca="false">IF(ABS(J814)&lt;0.001,"MATCH - PAPER CHECK-IN NOT SUPPLIED","DATA MISMATCH")</f>
        <v>MATCH - PAPER CHECK-IN NOT SUPPLIED</v>
      </c>
      <c r="L814" s="22" t="n">
        <v>50</v>
      </c>
      <c r="M814" s="22" t="n">
        <f aca="false">ROUNDUP(H814,0)</f>
        <v>37</v>
      </c>
      <c r="N814" s="24" t="n">
        <f aca="false">MAX(L814,M814)</f>
        <v>50</v>
      </c>
      <c r="O814" s="25" t="n">
        <v>7.55</v>
      </c>
      <c r="P814" s="25" t="n">
        <f aca="false">N814*O814</f>
        <v>377.5</v>
      </c>
      <c r="Q814" s="23"/>
      <c r="R814" s="23"/>
      <c r="S814" s="24"/>
      <c r="T814" s="25"/>
      <c r="U814" s="25" t="n">
        <v>0</v>
      </c>
      <c r="V814" s="25" t="n">
        <f aca="false">P814-U814</f>
        <v>377.5</v>
      </c>
      <c r="W814" s="25" t="n">
        <f aca="false">V814*12</f>
        <v>4530</v>
      </c>
      <c r="X814" s="23" t="str">
        <f aca="false">IF(Q814="","MISSING FROM EXPORT",IF(ABS(V814)&lt;0.005,"CLEAR",IF(V814&gt;0,"UNDERBILLING","OVERBILLING")))</f>
        <v>MISSING FROM EXPORT</v>
      </c>
      <c r="Y814" s="25" t="n">
        <f aca="false">IF(F814="COMMERCIAL",ROUND(P814*0.35,2),0)</f>
        <v>0</v>
      </c>
      <c r="Z814" s="23" t="str">
        <f aca="false">IF(F814="COMMERCIAL","VERIFY SIGNED AGREEMENT","NO EXCEPTION")</f>
        <v>NO EXCEPTION</v>
      </c>
      <c r="AA814" s="23" t="str">
        <f aca="false">IF(AND(C814="covered",N814&gt;40),"COVERED &gt;40 FT","")</f>
        <v/>
      </c>
      <c r="AB814" s="23" t="s">
        <v>4705</v>
      </c>
      <c r="AC814" s="23" t="s">
        <v>6999</v>
      </c>
      <c r="AD814" s="23" t="s">
        <v>2807</v>
      </c>
    </row>
    <row r="815" customFormat="false" ht="17.9" hidden="false" customHeight="false" outlineLevel="0" collapsed="false">
      <c r="A815" s="20" t="s">
        <v>7000</v>
      </c>
      <c r="B815" s="20" t="s">
        <v>166</v>
      </c>
      <c r="C815" s="20" t="s">
        <v>2798</v>
      </c>
      <c r="D815" s="20" t="s">
        <v>1466</v>
      </c>
      <c r="E815" s="20" t="s">
        <v>1467</v>
      </c>
      <c r="F815" s="20" t="s">
        <v>2833</v>
      </c>
      <c r="G815" s="20" t="s">
        <v>4882</v>
      </c>
      <c r="H815" s="22" t="n">
        <v>49.2</v>
      </c>
      <c r="I815" s="22" t="n">
        <v>49.2</v>
      </c>
      <c r="J815" s="22" t="n">
        <f aca="false">H815-I815</f>
        <v>0</v>
      </c>
      <c r="K815" s="20" t="str">
        <f aca="false">IF(ABS(J815)&lt;0.001,"MATCH - PAPER CHECK-IN NOT SUPPLIED","DATA MISMATCH")</f>
        <v>MATCH - PAPER CHECK-IN NOT SUPPLIED</v>
      </c>
      <c r="L815" s="22" t="n">
        <v>24</v>
      </c>
      <c r="M815" s="22" t="n">
        <f aca="false">ROUNDUP(H815,0)</f>
        <v>50</v>
      </c>
      <c r="N815" s="24" t="n">
        <f aca="false">MAX(L815,M815)</f>
        <v>50</v>
      </c>
      <c r="O815" s="25" t="n">
        <v>7.55</v>
      </c>
      <c r="P815" s="25" t="n">
        <f aca="false">N815*O815</f>
        <v>377.5</v>
      </c>
      <c r="Q815" s="23"/>
      <c r="R815" s="23"/>
      <c r="S815" s="24"/>
      <c r="T815" s="25"/>
      <c r="U815" s="25" t="n">
        <v>0</v>
      </c>
      <c r="V815" s="25" t="n">
        <f aca="false">P815-U815</f>
        <v>377.5</v>
      </c>
      <c r="W815" s="25" t="n">
        <f aca="false">V815*12</f>
        <v>4530</v>
      </c>
      <c r="X815" s="23" t="str">
        <f aca="false">IF(Q815="","MISSING FROM EXPORT",IF(ABS(V815)&lt;0.005,"CLEAR",IF(V815&gt;0,"UNDERBILLING","OVERBILLING")))</f>
        <v>MISSING FROM EXPORT</v>
      </c>
      <c r="Y815" s="25" t="n">
        <f aca="false">IF(F815="COMMERCIAL",ROUND(P815*0.35,2),0)</f>
        <v>0</v>
      </c>
      <c r="Z815" s="23" t="str">
        <f aca="false">IF(F815="COMMERCIAL","VERIFY SIGNED AGREEMENT","NO EXCEPTION")</f>
        <v>NO EXCEPTION</v>
      </c>
      <c r="AA815" s="23" t="str">
        <f aca="false">IF(AND(C815="covered",N815&gt;40),"COVERED &gt;40 FT","")</f>
        <v/>
      </c>
      <c r="AB815" s="23" t="s">
        <v>4705</v>
      </c>
      <c r="AC815" s="23" t="s">
        <v>7001</v>
      </c>
      <c r="AD815" s="23" t="s">
        <v>2807</v>
      </c>
    </row>
    <row r="816" customFormat="false" ht="17.9" hidden="false" customHeight="false" outlineLevel="0" collapsed="false">
      <c r="A816" s="20" t="s">
        <v>7002</v>
      </c>
      <c r="B816" s="20" t="s">
        <v>166</v>
      </c>
      <c r="C816" s="20" t="s">
        <v>2798</v>
      </c>
      <c r="D816" s="20" t="s">
        <v>1308</v>
      </c>
      <c r="E816" s="20" t="s">
        <v>7003</v>
      </c>
      <c r="F816" s="20" t="s">
        <v>2898</v>
      </c>
      <c r="G816" s="20" t="s">
        <v>3708</v>
      </c>
      <c r="H816" s="22" t="n">
        <v>20.5</v>
      </c>
      <c r="I816" s="22" t="n">
        <v>20.5</v>
      </c>
      <c r="J816" s="22" t="n">
        <f aca="false">H816-I816</f>
        <v>0</v>
      </c>
      <c r="K816" s="20" t="str">
        <f aca="false">IF(ABS(J816)&lt;0.001,"MATCH - PAPER CHECK-IN NOT SUPPLIED","DATA MISMATCH")</f>
        <v>MATCH - PAPER CHECK-IN NOT SUPPLIED</v>
      </c>
      <c r="L816" s="22" t="n">
        <v>70</v>
      </c>
      <c r="M816" s="22" t="n">
        <f aca="false">ROUNDUP(H816,0)</f>
        <v>21</v>
      </c>
      <c r="N816" s="24" t="n">
        <f aca="false">MAX(L816,M816)</f>
        <v>70</v>
      </c>
      <c r="O816" s="25" t="n">
        <v>7.55</v>
      </c>
      <c r="P816" s="25" t="n">
        <f aca="false">N816*O816</f>
        <v>528.5</v>
      </c>
      <c r="Q816" s="23"/>
      <c r="R816" s="23"/>
      <c r="S816" s="24"/>
      <c r="T816" s="25"/>
      <c r="U816" s="25" t="n">
        <v>0</v>
      </c>
      <c r="V816" s="25" t="n">
        <f aca="false">P816-U816</f>
        <v>528.5</v>
      </c>
      <c r="W816" s="25" t="n">
        <f aca="false">V816*12</f>
        <v>6342</v>
      </c>
      <c r="X816" s="23" t="str">
        <f aca="false">IF(Q816="","MISSING FROM EXPORT",IF(ABS(V816)&lt;0.005,"CLEAR",IF(V816&gt;0,"UNDERBILLING","OVERBILLING")))</f>
        <v>MISSING FROM EXPORT</v>
      </c>
      <c r="Y816" s="25" t="n">
        <f aca="false">IF(F816="COMMERCIAL",ROUND(P816*0.35,2),0)</f>
        <v>0</v>
      </c>
      <c r="Z816" s="23" t="str">
        <f aca="false">IF(F816="COMMERCIAL","VERIFY SIGNED AGREEMENT","NO EXCEPTION")</f>
        <v>NO EXCEPTION</v>
      </c>
      <c r="AA816" s="23" t="str">
        <f aca="false">IF(AND(C816="covered",N816&gt;40),"COVERED &gt;40 FT","")</f>
        <v/>
      </c>
      <c r="AB816" s="23" t="s">
        <v>4705</v>
      </c>
      <c r="AC816" s="23" t="s">
        <v>7004</v>
      </c>
      <c r="AD816" s="23" t="s">
        <v>2807</v>
      </c>
    </row>
    <row r="817" customFormat="false" ht="17.9" hidden="false" customHeight="false" outlineLevel="0" collapsed="false">
      <c r="A817" s="20" t="s">
        <v>7005</v>
      </c>
      <c r="B817" s="20" t="s">
        <v>166</v>
      </c>
      <c r="C817" s="20" t="s">
        <v>2798</v>
      </c>
      <c r="D817" s="20" t="s">
        <v>7006</v>
      </c>
      <c r="E817" s="20" t="s">
        <v>7007</v>
      </c>
      <c r="F817" s="20" t="s">
        <v>2934</v>
      </c>
      <c r="G817" s="20" t="s">
        <v>3715</v>
      </c>
      <c r="H817" s="22" t="n">
        <v>42</v>
      </c>
      <c r="I817" s="22" t="n">
        <v>42</v>
      </c>
      <c r="J817" s="22" t="n">
        <f aca="false">H817-I817</f>
        <v>0</v>
      </c>
      <c r="K817" s="20" t="str">
        <f aca="false">IF(ABS(J817)&lt;0.001,"MATCH - PAPER CHECK-IN NOT SUPPLIED","DATA MISMATCH")</f>
        <v>MATCH - PAPER CHECK-IN NOT SUPPLIED</v>
      </c>
      <c r="L817" s="22" t="n">
        <v>60</v>
      </c>
      <c r="M817" s="22" t="n">
        <f aca="false">ROUNDUP(H817,0)</f>
        <v>42</v>
      </c>
      <c r="N817" s="24" t="n">
        <f aca="false">MAX(L817,M817)</f>
        <v>60</v>
      </c>
      <c r="O817" s="25" t="n">
        <v>7.55</v>
      </c>
      <c r="P817" s="25" t="n">
        <f aca="false">N817*O817</f>
        <v>453</v>
      </c>
      <c r="Q817" s="23"/>
      <c r="R817" s="23"/>
      <c r="S817" s="24"/>
      <c r="T817" s="25"/>
      <c r="U817" s="25" t="n">
        <v>0</v>
      </c>
      <c r="V817" s="25" t="n">
        <f aca="false">P817-U817</f>
        <v>453</v>
      </c>
      <c r="W817" s="25" t="n">
        <f aca="false">V817*12</f>
        <v>5436</v>
      </c>
      <c r="X817" s="23" t="str">
        <f aca="false">IF(Q817="","MISSING FROM EXPORT",IF(ABS(V817)&lt;0.005,"CLEAR",IF(V817&gt;0,"UNDERBILLING","OVERBILLING")))</f>
        <v>MISSING FROM EXPORT</v>
      </c>
      <c r="Y817" s="25" t="n">
        <f aca="false">IF(F817="COMMERCIAL",ROUND(P817*0.35,2),0)</f>
        <v>158.55</v>
      </c>
      <c r="Z817" s="23" t="str">
        <f aca="false">IF(F817="COMMERCIAL","VERIFY SIGNED AGREEMENT","NO EXCEPTION")</f>
        <v>VERIFY SIGNED AGREEMENT</v>
      </c>
      <c r="AA817" s="23" t="str">
        <f aca="false">IF(AND(C817="covered",N817&gt;40),"COVERED &gt;40 FT","")</f>
        <v/>
      </c>
      <c r="AB817" s="23" t="s">
        <v>4705</v>
      </c>
      <c r="AC817" s="23" t="s">
        <v>7008</v>
      </c>
      <c r="AD817" s="23" t="s">
        <v>2807</v>
      </c>
    </row>
    <row r="818" customFormat="false" ht="17.9" hidden="false" customHeight="false" outlineLevel="0" collapsed="false">
      <c r="A818" s="20" t="s">
        <v>7009</v>
      </c>
      <c r="B818" s="20" t="s">
        <v>166</v>
      </c>
      <c r="C818" s="20" t="s">
        <v>2798</v>
      </c>
      <c r="D818" s="20" t="s">
        <v>7010</v>
      </c>
      <c r="E818" s="20" t="s">
        <v>7011</v>
      </c>
      <c r="F818" s="20" t="s">
        <v>2898</v>
      </c>
      <c r="G818" s="20" t="s">
        <v>3722</v>
      </c>
      <c r="H818" s="22" t="n">
        <v>24.4</v>
      </c>
      <c r="I818" s="22" t="n">
        <v>24.4</v>
      </c>
      <c r="J818" s="22" t="n">
        <f aca="false">H818-I818</f>
        <v>0</v>
      </c>
      <c r="K818" s="20" t="str">
        <f aca="false">IF(ABS(J818)&lt;0.001,"MATCH - PAPER CHECK-IN NOT SUPPLIED","DATA MISMATCH")</f>
        <v>MATCH - PAPER CHECK-IN NOT SUPPLIED</v>
      </c>
      <c r="L818" s="22" t="n">
        <v>70</v>
      </c>
      <c r="M818" s="22" t="n">
        <f aca="false">ROUNDUP(H818,0)</f>
        <v>25</v>
      </c>
      <c r="N818" s="24" t="n">
        <f aca="false">MAX(L818,M818)</f>
        <v>70</v>
      </c>
      <c r="O818" s="25" t="n">
        <v>7.55</v>
      </c>
      <c r="P818" s="25" t="n">
        <f aca="false">N818*O818</f>
        <v>528.5</v>
      </c>
      <c r="Q818" s="23"/>
      <c r="R818" s="23"/>
      <c r="S818" s="24"/>
      <c r="T818" s="25"/>
      <c r="U818" s="25" t="n">
        <v>0</v>
      </c>
      <c r="V818" s="25" t="n">
        <f aca="false">P818-U818</f>
        <v>528.5</v>
      </c>
      <c r="W818" s="25" t="n">
        <f aca="false">V818*12</f>
        <v>6342</v>
      </c>
      <c r="X818" s="23" t="str">
        <f aca="false">IF(Q818="","MISSING FROM EXPORT",IF(ABS(V818)&lt;0.005,"CLEAR",IF(V818&gt;0,"UNDERBILLING","OVERBILLING")))</f>
        <v>MISSING FROM EXPORT</v>
      </c>
      <c r="Y818" s="25" t="n">
        <f aca="false">IF(F818="COMMERCIAL",ROUND(P818*0.35,2),0)</f>
        <v>0</v>
      </c>
      <c r="Z818" s="23" t="str">
        <f aca="false">IF(F818="COMMERCIAL","VERIFY SIGNED AGREEMENT","NO EXCEPTION")</f>
        <v>NO EXCEPTION</v>
      </c>
      <c r="AA818" s="23" t="str">
        <f aca="false">IF(AND(C818="covered",N818&gt;40),"COVERED &gt;40 FT","")</f>
        <v/>
      </c>
      <c r="AB818" s="23" t="s">
        <v>4705</v>
      </c>
      <c r="AC818" s="23" t="s">
        <v>7012</v>
      </c>
      <c r="AD818" s="23" t="s">
        <v>2807</v>
      </c>
    </row>
    <row r="819" customFormat="false" ht="17.9" hidden="false" customHeight="false" outlineLevel="0" collapsed="false">
      <c r="A819" s="20" t="s">
        <v>7013</v>
      </c>
      <c r="B819" s="20" t="s">
        <v>166</v>
      </c>
      <c r="C819" s="20" t="s">
        <v>2798</v>
      </c>
      <c r="D819" s="20" t="s">
        <v>7014</v>
      </c>
      <c r="E819" s="20" t="s">
        <v>7015</v>
      </c>
      <c r="F819" s="20" t="s">
        <v>2898</v>
      </c>
      <c r="G819" s="20" t="s">
        <v>3729</v>
      </c>
      <c r="H819" s="22" t="n">
        <v>56.7</v>
      </c>
      <c r="I819" s="22" t="n">
        <v>56.7</v>
      </c>
      <c r="J819" s="22" t="n">
        <f aca="false">H819-I819</f>
        <v>0</v>
      </c>
      <c r="K819" s="20" t="str">
        <f aca="false">IF(ABS(J819)&lt;0.001,"MATCH - PAPER CHECK-IN NOT SUPPLIED","DATA MISMATCH")</f>
        <v>MATCH - PAPER CHECK-IN NOT SUPPLIED</v>
      </c>
      <c r="L819" s="22" t="n">
        <v>28</v>
      </c>
      <c r="M819" s="22" t="n">
        <f aca="false">ROUNDUP(H819,0)</f>
        <v>57</v>
      </c>
      <c r="N819" s="24" t="n">
        <f aca="false">MAX(L819,M819)</f>
        <v>57</v>
      </c>
      <c r="O819" s="25" t="n">
        <v>7.55</v>
      </c>
      <c r="P819" s="25" t="n">
        <f aca="false">N819*O819</f>
        <v>430.35</v>
      </c>
      <c r="Q819" s="23"/>
      <c r="R819" s="23"/>
      <c r="S819" s="24"/>
      <c r="T819" s="25"/>
      <c r="U819" s="25" t="n">
        <v>0</v>
      </c>
      <c r="V819" s="25" t="n">
        <f aca="false">P819-U819</f>
        <v>430.35</v>
      </c>
      <c r="W819" s="25" t="n">
        <f aca="false">V819*12</f>
        <v>5164.2</v>
      </c>
      <c r="X819" s="23" t="str">
        <f aca="false">IF(Q819="","MISSING FROM EXPORT",IF(ABS(V819)&lt;0.005,"CLEAR",IF(V819&gt;0,"UNDERBILLING","OVERBILLING")))</f>
        <v>MISSING FROM EXPORT</v>
      </c>
      <c r="Y819" s="25" t="n">
        <f aca="false">IF(F819="COMMERCIAL",ROUND(P819*0.35,2),0)</f>
        <v>0</v>
      </c>
      <c r="Z819" s="23" t="str">
        <f aca="false">IF(F819="COMMERCIAL","VERIFY SIGNED AGREEMENT","NO EXCEPTION")</f>
        <v>NO EXCEPTION</v>
      </c>
      <c r="AA819" s="23" t="str">
        <f aca="false">IF(AND(C819="covered",N819&gt;40),"COVERED &gt;40 FT","")</f>
        <v/>
      </c>
      <c r="AB819" s="23" t="s">
        <v>4705</v>
      </c>
      <c r="AC819" s="23" t="s">
        <v>7016</v>
      </c>
      <c r="AD819" s="23" t="s">
        <v>2807</v>
      </c>
    </row>
    <row r="820" customFormat="false" ht="17.9" hidden="false" customHeight="false" outlineLevel="0" collapsed="false">
      <c r="A820" s="20" t="s">
        <v>7017</v>
      </c>
      <c r="B820" s="20" t="s">
        <v>166</v>
      </c>
      <c r="C820" s="20" t="s">
        <v>2798</v>
      </c>
      <c r="D820" s="20" t="s">
        <v>7018</v>
      </c>
      <c r="E820" s="20" t="s">
        <v>7019</v>
      </c>
      <c r="F820" s="20" t="s">
        <v>2818</v>
      </c>
      <c r="G820" s="20" t="s">
        <v>3735</v>
      </c>
      <c r="H820" s="22" t="n">
        <v>61.6</v>
      </c>
      <c r="I820" s="22" t="n">
        <v>61.6</v>
      </c>
      <c r="J820" s="22" t="n">
        <f aca="false">H820-I820</f>
        <v>0</v>
      </c>
      <c r="K820" s="20" t="str">
        <f aca="false">IF(ABS(J820)&lt;0.001,"MATCH - PAPER CHECK-IN NOT SUPPLIED","DATA MISMATCH")</f>
        <v>MATCH - PAPER CHECK-IN NOT SUPPLIED</v>
      </c>
      <c r="L820" s="22" t="n">
        <v>24</v>
      </c>
      <c r="M820" s="22" t="n">
        <f aca="false">ROUNDUP(H820,0)</f>
        <v>62</v>
      </c>
      <c r="N820" s="24" t="n">
        <f aca="false">MAX(L820,M820)</f>
        <v>62</v>
      </c>
      <c r="O820" s="25" t="n">
        <v>7.55</v>
      </c>
      <c r="P820" s="25" t="n">
        <f aca="false">N820*O820</f>
        <v>468.1</v>
      </c>
      <c r="Q820" s="23"/>
      <c r="R820" s="23"/>
      <c r="S820" s="24"/>
      <c r="T820" s="25"/>
      <c r="U820" s="25" t="n">
        <v>0</v>
      </c>
      <c r="V820" s="25" t="n">
        <f aca="false">P820-U820</f>
        <v>468.1</v>
      </c>
      <c r="W820" s="25" t="n">
        <f aca="false">V820*12</f>
        <v>5617.2</v>
      </c>
      <c r="X820" s="23" t="str">
        <f aca="false">IF(Q820="","MISSING FROM EXPORT",IF(ABS(V820)&lt;0.005,"CLEAR",IF(V820&gt;0,"UNDERBILLING","OVERBILLING")))</f>
        <v>MISSING FROM EXPORT</v>
      </c>
      <c r="Y820" s="25" t="n">
        <f aca="false">IF(F820="COMMERCIAL",ROUND(P820*0.35,2),0)</f>
        <v>0</v>
      </c>
      <c r="Z820" s="23" t="str">
        <f aca="false">IF(F820="COMMERCIAL","VERIFY SIGNED AGREEMENT","NO EXCEPTION")</f>
        <v>NO EXCEPTION</v>
      </c>
      <c r="AA820" s="23" t="str">
        <f aca="false">IF(AND(C820="covered",N820&gt;40),"COVERED &gt;40 FT","")</f>
        <v/>
      </c>
      <c r="AB820" s="23" t="s">
        <v>4705</v>
      </c>
      <c r="AC820" s="23" t="s">
        <v>7020</v>
      </c>
      <c r="AD820" s="23" t="s">
        <v>2807</v>
      </c>
    </row>
    <row r="821" customFormat="false" ht="17.9" hidden="false" customHeight="false" outlineLevel="0" collapsed="false">
      <c r="A821" s="20" t="s">
        <v>7021</v>
      </c>
      <c r="B821" s="20" t="s">
        <v>166</v>
      </c>
      <c r="C821" s="20" t="s">
        <v>2798</v>
      </c>
      <c r="D821" s="20" t="s">
        <v>741</v>
      </c>
      <c r="E821" s="20" t="s">
        <v>742</v>
      </c>
      <c r="F821" s="20" t="s">
        <v>2857</v>
      </c>
      <c r="G821" s="20" t="s">
        <v>3742</v>
      </c>
      <c r="H821" s="22" t="n">
        <v>54.8</v>
      </c>
      <c r="I821" s="22" t="n">
        <v>54.8</v>
      </c>
      <c r="J821" s="22" t="n">
        <f aca="false">H821-I821</f>
        <v>0</v>
      </c>
      <c r="K821" s="20" t="str">
        <f aca="false">IF(ABS(J821)&lt;0.001,"MATCH - PAPER CHECK-IN NOT SUPPLIED","DATA MISMATCH")</f>
        <v>MATCH - PAPER CHECK-IN NOT SUPPLIED</v>
      </c>
      <c r="L821" s="22" t="n">
        <v>60</v>
      </c>
      <c r="M821" s="22" t="n">
        <f aca="false">ROUNDUP(H821,0)</f>
        <v>55</v>
      </c>
      <c r="N821" s="24" t="n">
        <f aca="false">MAX(L821,M821)</f>
        <v>60</v>
      </c>
      <c r="O821" s="25" t="n">
        <v>7.55</v>
      </c>
      <c r="P821" s="25" t="n">
        <f aca="false">N821*O821</f>
        <v>453</v>
      </c>
      <c r="Q821" s="23"/>
      <c r="R821" s="23"/>
      <c r="S821" s="24"/>
      <c r="T821" s="25"/>
      <c r="U821" s="25" t="n">
        <v>0</v>
      </c>
      <c r="V821" s="25" t="n">
        <f aca="false">P821-U821</f>
        <v>453</v>
      </c>
      <c r="W821" s="25" t="n">
        <f aca="false">V821*12</f>
        <v>5436</v>
      </c>
      <c r="X821" s="23" t="str">
        <f aca="false">IF(Q821="","MISSING FROM EXPORT",IF(ABS(V821)&lt;0.005,"CLEAR",IF(V821&gt;0,"UNDERBILLING","OVERBILLING")))</f>
        <v>MISSING FROM EXPORT</v>
      </c>
      <c r="Y821" s="25" t="n">
        <f aca="false">IF(F821="COMMERCIAL",ROUND(P821*0.35,2),0)</f>
        <v>0</v>
      </c>
      <c r="Z821" s="23" t="str">
        <f aca="false">IF(F821="COMMERCIAL","VERIFY SIGNED AGREEMENT","NO EXCEPTION")</f>
        <v>NO EXCEPTION</v>
      </c>
      <c r="AA821" s="23" t="str">
        <f aca="false">IF(AND(C821="covered",N821&gt;40),"COVERED &gt;40 FT","")</f>
        <v/>
      </c>
      <c r="AB821" s="23" t="s">
        <v>4705</v>
      </c>
      <c r="AC821" s="23" t="s">
        <v>7022</v>
      </c>
      <c r="AD821" s="23" t="s">
        <v>2807</v>
      </c>
    </row>
    <row r="822" customFormat="false" ht="17.9" hidden="false" customHeight="false" outlineLevel="0" collapsed="false">
      <c r="A822" s="20" t="s">
        <v>7023</v>
      </c>
      <c r="B822" s="20" t="s">
        <v>166</v>
      </c>
      <c r="C822" s="20" t="s">
        <v>2798</v>
      </c>
      <c r="D822" s="20" t="s">
        <v>7024</v>
      </c>
      <c r="E822" s="20" t="s">
        <v>7025</v>
      </c>
      <c r="F822" s="20" t="s">
        <v>2833</v>
      </c>
      <c r="G822" s="20" t="s">
        <v>3749</v>
      </c>
      <c r="H822" s="22" t="n">
        <v>20.2</v>
      </c>
      <c r="I822" s="22" t="n">
        <v>20.2</v>
      </c>
      <c r="J822" s="22" t="n">
        <f aca="false">H822-I822</f>
        <v>0</v>
      </c>
      <c r="K822" s="20" t="str">
        <f aca="false">IF(ABS(J822)&lt;0.001,"MATCH - PAPER CHECK-IN NOT SUPPLIED","DATA MISMATCH")</f>
        <v>MATCH - PAPER CHECK-IN NOT SUPPLIED</v>
      </c>
      <c r="L822" s="22" t="n">
        <v>80</v>
      </c>
      <c r="M822" s="22" t="n">
        <f aca="false">ROUNDUP(H822,0)</f>
        <v>21</v>
      </c>
      <c r="N822" s="24" t="n">
        <f aca="false">MAX(L822,M822)</f>
        <v>80</v>
      </c>
      <c r="O822" s="25" t="n">
        <v>7.55</v>
      </c>
      <c r="P822" s="25" t="n">
        <f aca="false">N822*O822</f>
        <v>604</v>
      </c>
      <c r="Q822" s="23"/>
      <c r="R822" s="23"/>
      <c r="S822" s="24"/>
      <c r="T822" s="25"/>
      <c r="U822" s="25" t="n">
        <v>0</v>
      </c>
      <c r="V822" s="25" t="n">
        <f aca="false">P822-U822</f>
        <v>604</v>
      </c>
      <c r="W822" s="25" t="n">
        <f aca="false">V822*12</f>
        <v>7248</v>
      </c>
      <c r="X822" s="23" t="str">
        <f aca="false">IF(Q822="","MISSING FROM EXPORT",IF(ABS(V822)&lt;0.005,"CLEAR",IF(V822&gt;0,"UNDERBILLING","OVERBILLING")))</f>
        <v>MISSING FROM EXPORT</v>
      </c>
      <c r="Y822" s="25" t="n">
        <f aca="false">IF(F822="COMMERCIAL",ROUND(P822*0.35,2),0)</f>
        <v>0</v>
      </c>
      <c r="Z822" s="23" t="str">
        <f aca="false">IF(F822="COMMERCIAL","VERIFY SIGNED AGREEMENT","NO EXCEPTION")</f>
        <v>NO EXCEPTION</v>
      </c>
      <c r="AA822" s="23" t="str">
        <f aca="false">IF(AND(C822="covered",N822&gt;40),"COVERED &gt;40 FT","")</f>
        <v/>
      </c>
      <c r="AB822" s="23" t="s">
        <v>4705</v>
      </c>
      <c r="AC822" s="23" t="s">
        <v>7026</v>
      </c>
      <c r="AD822" s="23" t="s">
        <v>2807</v>
      </c>
    </row>
    <row r="823" customFormat="false" ht="17.9" hidden="false" customHeight="false" outlineLevel="0" collapsed="false">
      <c r="A823" s="20" t="s">
        <v>1576</v>
      </c>
      <c r="B823" s="20" t="s">
        <v>166</v>
      </c>
      <c r="C823" s="20" t="s">
        <v>2798</v>
      </c>
      <c r="D823" s="20" t="s">
        <v>7027</v>
      </c>
      <c r="E823" s="20" t="s">
        <v>7028</v>
      </c>
      <c r="F823" s="20" t="s">
        <v>2810</v>
      </c>
      <c r="G823" s="20" t="s">
        <v>3754</v>
      </c>
      <c r="H823" s="22" t="n">
        <v>59</v>
      </c>
      <c r="I823" s="22" t="n">
        <v>59</v>
      </c>
      <c r="J823" s="22" t="n">
        <f aca="false">H823-I823</f>
        <v>0</v>
      </c>
      <c r="K823" s="20" t="str">
        <f aca="false">IF(ABS(J823)&lt;0.001,"MATCH - PAPER CHECK-IN NOT SUPPLIED","DATA MISMATCH")</f>
        <v>MATCH - PAPER CHECK-IN NOT SUPPLIED</v>
      </c>
      <c r="L823" s="22" t="n">
        <v>28</v>
      </c>
      <c r="M823" s="22" t="n">
        <f aca="false">ROUNDUP(H823,0)</f>
        <v>59</v>
      </c>
      <c r="N823" s="24" t="n">
        <f aca="false">MAX(L823,M823)</f>
        <v>59</v>
      </c>
      <c r="O823" s="25" t="n">
        <v>7.55</v>
      </c>
      <c r="P823" s="25" t="n">
        <f aca="false">N823*O823</f>
        <v>445.45</v>
      </c>
      <c r="Q823" s="23"/>
      <c r="R823" s="23"/>
      <c r="S823" s="24"/>
      <c r="T823" s="25"/>
      <c r="U823" s="25" t="n">
        <v>0</v>
      </c>
      <c r="V823" s="25" t="n">
        <f aca="false">P823-U823</f>
        <v>445.45</v>
      </c>
      <c r="W823" s="25" t="n">
        <f aca="false">V823*12</f>
        <v>5345.4</v>
      </c>
      <c r="X823" s="23" t="str">
        <f aca="false">IF(Q823="","MISSING FROM EXPORT",IF(ABS(V823)&lt;0.005,"CLEAR",IF(V823&gt;0,"UNDERBILLING","OVERBILLING")))</f>
        <v>MISSING FROM EXPORT</v>
      </c>
      <c r="Y823" s="25" t="n">
        <f aca="false">IF(F823="COMMERCIAL",ROUND(P823*0.35,2),0)</f>
        <v>0</v>
      </c>
      <c r="Z823" s="23" t="str">
        <f aca="false">IF(F823="COMMERCIAL","VERIFY SIGNED AGREEMENT","NO EXCEPTION")</f>
        <v>NO EXCEPTION</v>
      </c>
      <c r="AA823" s="23" t="str">
        <f aca="false">IF(AND(C823="covered",N823&gt;40),"COVERED &gt;40 FT","")</f>
        <v/>
      </c>
      <c r="AB823" s="23" t="s">
        <v>4705</v>
      </c>
      <c r="AC823" s="23" t="s">
        <v>7029</v>
      </c>
      <c r="AD823" s="23" t="s">
        <v>2807</v>
      </c>
    </row>
    <row r="824" customFormat="false" ht="17.9" hidden="false" customHeight="false" outlineLevel="0" collapsed="false">
      <c r="A824" s="20" t="s">
        <v>1221</v>
      </c>
      <c r="B824" s="20" t="s">
        <v>166</v>
      </c>
      <c r="C824" s="20" t="s">
        <v>2798</v>
      </c>
      <c r="D824" s="20" t="s">
        <v>7030</v>
      </c>
      <c r="E824" s="20" t="s">
        <v>7031</v>
      </c>
      <c r="F824" s="20" t="s">
        <v>2857</v>
      </c>
      <c r="G824" s="20" t="s">
        <v>3761</v>
      </c>
      <c r="H824" s="22" t="n">
        <v>31.5</v>
      </c>
      <c r="I824" s="22" t="n">
        <v>31.5</v>
      </c>
      <c r="J824" s="22" t="n">
        <f aca="false">H824-I824</f>
        <v>0</v>
      </c>
      <c r="K824" s="20" t="str">
        <f aca="false">IF(ABS(J824)&lt;0.001,"MATCH - PAPER CHECK-IN NOT SUPPLIED","DATA MISMATCH")</f>
        <v>MATCH - PAPER CHECK-IN NOT SUPPLIED</v>
      </c>
      <c r="L824" s="22" t="n">
        <v>28</v>
      </c>
      <c r="M824" s="22" t="n">
        <f aca="false">ROUNDUP(H824,0)</f>
        <v>32</v>
      </c>
      <c r="N824" s="24" t="n">
        <f aca="false">MAX(L824,M824)</f>
        <v>32</v>
      </c>
      <c r="O824" s="25" t="n">
        <v>7.55</v>
      </c>
      <c r="P824" s="25" t="n">
        <f aca="false">N824*O824</f>
        <v>241.6</v>
      </c>
      <c r="Q824" s="23"/>
      <c r="R824" s="23"/>
      <c r="S824" s="24"/>
      <c r="T824" s="25"/>
      <c r="U824" s="25" t="n">
        <v>0</v>
      </c>
      <c r="V824" s="25" t="n">
        <f aca="false">P824-U824</f>
        <v>241.6</v>
      </c>
      <c r="W824" s="25" t="n">
        <f aca="false">V824*12</f>
        <v>2899.2</v>
      </c>
      <c r="X824" s="23" t="str">
        <f aca="false">IF(Q824="","MISSING FROM EXPORT",IF(ABS(V824)&lt;0.005,"CLEAR",IF(V824&gt;0,"UNDERBILLING","OVERBILLING")))</f>
        <v>MISSING FROM EXPORT</v>
      </c>
      <c r="Y824" s="25" t="n">
        <f aca="false">IF(F824="COMMERCIAL",ROUND(P824*0.35,2),0)</f>
        <v>0</v>
      </c>
      <c r="Z824" s="23" t="str">
        <f aca="false">IF(F824="COMMERCIAL","VERIFY SIGNED AGREEMENT","NO EXCEPTION")</f>
        <v>NO EXCEPTION</v>
      </c>
      <c r="AA824" s="23" t="str">
        <f aca="false">IF(AND(C824="covered",N824&gt;40),"COVERED &gt;40 FT","")</f>
        <v/>
      </c>
      <c r="AB824" s="23" t="s">
        <v>4705</v>
      </c>
      <c r="AC824" s="23" t="s">
        <v>7032</v>
      </c>
      <c r="AD824" s="23" t="s">
        <v>2807</v>
      </c>
    </row>
    <row r="825" customFormat="false" ht="17.9" hidden="false" customHeight="false" outlineLevel="0" collapsed="false">
      <c r="A825" s="20" t="s">
        <v>7033</v>
      </c>
      <c r="B825" s="20" t="s">
        <v>166</v>
      </c>
      <c r="C825" s="20" t="s">
        <v>2798</v>
      </c>
      <c r="D825" s="20" t="s">
        <v>7034</v>
      </c>
      <c r="E825" s="20" t="s">
        <v>7035</v>
      </c>
      <c r="F825" s="20" t="s">
        <v>2801</v>
      </c>
      <c r="G825" s="20" t="s">
        <v>3768</v>
      </c>
      <c r="H825" s="22" t="n">
        <v>29.7</v>
      </c>
      <c r="I825" s="22" t="n">
        <v>29.7</v>
      </c>
      <c r="J825" s="22" t="n">
        <f aca="false">H825-I825</f>
        <v>0</v>
      </c>
      <c r="K825" s="20" t="str">
        <f aca="false">IF(ABS(J825)&lt;0.001,"MATCH - PAPER CHECK-IN NOT SUPPLIED","DATA MISMATCH")</f>
        <v>MATCH - PAPER CHECK-IN NOT SUPPLIED</v>
      </c>
      <c r="L825" s="22" t="n">
        <v>28</v>
      </c>
      <c r="M825" s="22" t="n">
        <f aca="false">ROUNDUP(H825,0)</f>
        <v>30</v>
      </c>
      <c r="N825" s="24" t="n">
        <f aca="false">MAX(L825,M825)</f>
        <v>30</v>
      </c>
      <c r="O825" s="25" t="n">
        <v>7.55</v>
      </c>
      <c r="P825" s="25" t="n">
        <f aca="false">N825*O825</f>
        <v>226.5</v>
      </c>
      <c r="Q825" s="23"/>
      <c r="R825" s="23"/>
      <c r="S825" s="24"/>
      <c r="T825" s="25"/>
      <c r="U825" s="25" t="n">
        <v>0</v>
      </c>
      <c r="V825" s="25" t="n">
        <f aca="false">P825-U825</f>
        <v>226.5</v>
      </c>
      <c r="W825" s="25" t="n">
        <f aca="false">V825*12</f>
        <v>2718</v>
      </c>
      <c r="X825" s="23" t="str">
        <f aca="false">IF(Q825="","MISSING FROM EXPORT",IF(ABS(V825)&lt;0.005,"CLEAR",IF(V825&gt;0,"UNDERBILLING","OVERBILLING")))</f>
        <v>MISSING FROM EXPORT</v>
      </c>
      <c r="Y825" s="25" t="n">
        <f aca="false">IF(F825="COMMERCIAL",ROUND(P825*0.35,2),0)</f>
        <v>0</v>
      </c>
      <c r="Z825" s="23" t="str">
        <f aca="false">IF(F825="COMMERCIAL","VERIFY SIGNED AGREEMENT","NO EXCEPTION")</f>
        <v>NO EXCEPTION</v>
      </c>
      <c r="AA825" s="23" t="str">
        <f aca="false">IF(AND(C825="covered",N825&gt;40),"COVERED &gt;40 FT","")</f>
        <v/>
      </c>
      <c r="AB825" s="23" t="s">
        <v>4705</v>
      </c>
      <c r="AC825" s="23" t="s">
        <v>7036</v>
      </c>
      <c r="AD825" s="23" t="s">
        <v>2807</v>
      </c>
    </row>
    <row r="826" customFormat="false" ht="17.9" hidden="false" customHeight="false" outlineLevel="0" collapsed="false">
      <c r="A826" s="20" t="s">
        <v>7037</v>
      </c>
      <c r="B826" s="20" t="s">
        <v>166</v>
      </c>
      <c r="C826" s="20" t="s">
        <v>2798</v>
      </c>
      <c r="D826" s="20" t="s">
        <v>7038</v>
      </c>
      <c r="E826" s="20" t="s">
        <v>7039</v>
      </c>
      <c r="F826" s="20" t="s">
        <v>2801</v>
      </c>
      <c r="G826" s="20" t="s">
        <v>3775</v>
      </c>
      <c r="H826" s="22" t="n">
        <v>54</v>
      </c>
      <c r="I826" s="22" t="n">
        <v>54</v>
      </c>
      <c r="J826" s="22" t="n">
        <f aca="false">H826-I826</f>
        <v>0</v>
      </c>
      <c r="K826" s="20" t="str">
        <f aca="false">IF(ABS(J826)&lt;0.001,"MATCH - PAPER CHECK-IN NOT SUPPLIED","DATA MISMATCH")</f>
        <v>MATCH - PAPER CHECK-IN NOT SUPPLIED</v>
      </c>
      <c r="L826" s="22" t="n">
        <v>24</v>
      </c>
      <c r="M826" s="22" t="n">
        <f aca="false">ROUNDUP(H826,0)</f>
        <v>54</v>
      </c>
      <c r="N826" s="24" t="n">
        <f aca="false">MAX(L826,M826)</f>
        <v>54</v>
      </c>
      <c r="O826" s="25" t="n">
        <v>7.55</v>
      </c>
      <c r="P826" s="25" t="n">
        <f aca="false">N826*O826</f>
        <v>407.7</v>
      </c>
      <c r="Q826" s="23"/>
      <c r="R826" s="23"/>
      <c r="S826" s="24"/>
      <c r="T826" s="25"/>
      <c r="U826" s="25" t="n">
        <v>0</v>
      </c>
      <c r="V826" s="25" t="n">
        <f aca="false">P826-U826</f>
        <v>407.7</v>
      </c>
      <c r="W826" s="25" t="n">
        <f aca="false">V826*12</f>
        <v>4892.4</v>
      </c>
      <c r="X826" s="23" t="str">
        <f aca="false">IF(Q826="","MISSING FROM EXPORT",IF(ABS(V826)&lt;0.005,"CLEAR",IF(V826&gt;0,"UNDERBILLING","OVERBILLING")))</f>
        <v>MISSING FROM EXPORT</v>
      </c>
      <c r="Y826" s="25" t="n">
        <f aca="false">IF(F826="COMMERCIAL",ROUND(P826*0.35,2),0)</f>
        <v>0</v>
      </c>
      <c r="Z826" s="23" t="str">
        <f aca="false">IF(F826="COMMERCIAL","VERIFY SIGNED AGREEMENT","NO EXCEPTION")</f>
        <v>NO EXCEPTION</v>
      </c>
      <c r="AA826" s="23" t="str">
        <f aca="false">IF(AND(C826="covered",N826&gt;40),"COVERED &gt;40 FT","")</f>
        <v/>
      </c>
      <c r="AB826" s="23" t="s">
        <v>4705</v>
      </c>
      <c r="AC826" s="23" t="s">
        <v>7040</v>
      </c>
      <c r="AD826" s="23" t="s">
        <v>2807</v>
      </c>
    </row>
    <row r="827" customFormat="false" ht="17.9" hidden="false" customHeight="false" outlineLevel="0" collapsed="false">
      <c r="A827" s="20" t="s">
        <v>7041</v>
      </c>
      <c r="B827" s="20" t="s">
        <v>166</v>
      </c>
      <c r="C827" s="20" t="s">
        <v>2798</v>
      </c>
      <c r="D827" s="20" t="s">
        <v>7042</v>
      </c>
      <c r="E827" s="20" t="s">
        <v>7043</v>
      </c>
      <c r="F827" s="20" t="s">
        <v>2833</v>
      </c>
      <c r="G827" s="20" t="s">
        <v>3782</v>
      </c>
      <c r="H827" s="22" t="n">
        <v>40.1</v>
      </c>
      <c r="I827" s="22" t="n">
        <v>40.1</v>
      </c>
      <c r="J827" s="22" t="n">
        <f aca="false">H827-I827</f>
        <v>0</v>
      </c>
      <c r="K827" s="20" t="str">
        <f aca="false">IF(ABS(J827)&lt;0.001,"MATCH - PAPER CHECK-IN NOT SUPPLIED","DATA MISMATCH")</f>
        <v>MATCH - PAPER CHECK-IN NOT SUPPLIED</v>
      </c>
      <c r="L827" s="22" t="n">
        <v>24</v>
      </c>
      <c r="M827" s="22" t="n">
        <f aca="false">ROUNDUP(H827,0)</f>
        <v>41</v>
      </c>
      <c r="N827" s="24" t="n">
        <f aca="false">MAX(L827,M827)</f>
        <v>41</v>
      </c>
      <c r="O827" s="25" t="n">
        <v>7.55</v>
      </c>
      <c r="P827" s="25" t="n">
        <f aca="false">N827*O827</f>
        <v>309.55</v>
      </c>
      <c r="Q827" s="23"/>
      <c r="R827" s="23"/>
      <c r="S827" s="24"/>
      <c r="T827" s="25"/>
      <c r="U827" s="25" t="n">
        <v>0</v>
      </c>
      <c r="V827" s="25" t="n">
        <f aca="false">P827-U827</f>
        <v>309.55</v>
      </c>
      <c r="W827" s="25" t="n">
        <f aca="false">V827*12</f>
        <v>3714.6</v>
      </c>
      <c r="X827" s="23" t="str">
        <f aca="false">IF(Q827="","MISSING FROM EXPORT",IF(ABS(V827)&lt;0.005,"CLEAR",IF(V827&gt;0,"UNDERBILLING","OVERBILLING")))</f>
        <v>MISSING FROM EXPORT</v>
      </c>
      <c r="Y827" s="25" t="n">
        <f aca="false">IF(F827="COMMERCIAL",ROUND(P827*0.35,2),0)</f>
        <v>0</v>
      </c>
      <c r="Z827" s="23" t="str">
        <f aca="false">IF(F827="COMMERCIAL","VERIFY SIGNED AGREEMENT","NO EXCEPTION")</f>
        <v>NO EXCEPTION</v>
      </c>
      <c r="AA827" s="23" t="str">
        <f aca="false">IF(AND(C827="covered",N827&gt;40),"COVERED &gt;40 FT","")</f>
        <v/>
      </c>
      <c r="AB827" s="23" t="s">
        <v>4705</v>
      </c>
      <c r="AC827" s="23" t="s">
        <v>7044</v>
      </c>
      <c r="AD827" s="23" t="s">
        <v>2807</v>
      </c>
    </row>
    <row r="828" customFormat="false" ht="17.9" hidden="false" customHeight="false" outlineLevel="0" collapsed="false">
      <c r="A828" s="20" t="s">
        <v>7045</v>
      </c>
      <c r="B828" s="20" t="s">
        <v>166</v>
      </c>
      <c r="C828" s="20" t="s">
        <v>2798</v>
      </c>
      <c r="D828" s="20" t="s">
        <v>7046</v>
      </c>
      <c r="E828" s="20" t="s">
        <v>7047</v>
      </c>
      <c r="F828" s="20" t="s">
        <v>2857</v>
      </c>
      <c r="G828" s="20" t="s">
        <v>3789</v>
      </c>
      <c r="H828" s="22" t="n">
        <v>58.8</v>
      </c>
      <c r="I828" s="22" t="n">
        <v>58.8</v>
      </c>
      <c r="J828" s="22" t="n">
        <f aca="false">H828-I828</f>
        <v>0</v>
      </c>
      <c r="K828" s="20" t="str">
        <f aca="false">IF(ABS(J828)&lt;0.001,"MATCH - PAPER CHECK-IN NOT SUPPLIED","DATA MISMATCH")</f>
        <v>MATCH - PAPER CHECK-IN NOT SUPPLIED</v>
      </c>
      <c r="L828" s="22" t="n">
        <v>40</v>
      </c>
      <c r="M828" s="22" t="n">
        <f aca="false">ROUNDUP(H828,0)</f>
        <v>59</v>
      </c>
      <c r="N828" s="24" t="n">
        <f aca="false">MAX(L828,M828)</f>
        <v>59</v>
      </c>
      <c r="O828" s="25" t="n">
        <v>7.55</v>
      </c>
      <c r="P828" s="25" t="n">
        <f aca="false">N828*O828</f>
        <v>445.45</v>
      </c>
      <c r="Q828" s="23"/>
      <c r="R828" s="23"/>
      <c r="S828" s="24"/>
      <c r="T828" s="25"/>
      <c r="U828" s="25" t="n">
        <v>0</v>
      </c>
      <c r="V828" s="25" t="n">
        <f aca="false">P828-U828</f>
        <v>445.45</v>
      </c>
      <c r="W828" s="25" t="n">
        <f aca="false">V828*12</f>
        <v>5345.4</v>
      </c>
      <c r="X828" s="23" t="str">
        <f aca="false">IF(Q828="","MISSING FROM EXPORT",IF(ABS(V828)&lt;0.005,"CLEAR",IF(V828&gt;0,"UNDERBILLING","OVERBILLING")))</f>
        <v>MISSING FROM EXPORT</v>
      </c>
      <c r="Y828" s="25" t="n">
        <f aca="false">IF(F828="COMMERCIAL",ROUND(P828*0.35,2),0)</f>
        <v>0</v>
      </c>
      <c r="Z828" s="23" t="str">
        <f aca="false">IF(F828="COMMERCIAL","VERIFY SIGNED AGREEMENT","NO EXCEPTION")</f>
        <v>NO EXCEPTION</v>
      </c>
      <c r="AA828" s="23" t="str">
        <f aca="false">IF(AND(C828="covered",N828&gt;40),"COVERED &gt;40 FT","")</f>
        <v/>
      </c>
      <c r="AB828" s="23" t="s">
        <v>4705</v>
      </c>
      <c r="AC828" s="23" t="s">
        <v>7048</v>
      </c>
      <c r="AD828" s="23" t="s">
        <v>2807</v>
      </c>
    </row>
    <row r="829" customFormat="false" ht="17.9" hidden="false" customHeight="false" outlineLevel="0" collapsed="false">
      <c r="A829" s="20" t="s">
        <v>1526</v>
      </c>
      <c r="B829" s="20" t="s">
        <v>166</v>
      </c>
      <c r="C829" s="20" t="s">
        <v>2798</v>
      </c>
      <c r="D829" s="20" t="s">
        <v>7049</v>
      </c>
      <c r="E829" s="20" t="s">
        <v>7050</v>
      </c>
      <c r="F829" s="20" t="s">
        <v>2833</v>
      </c>
      <c r="G829" s="20" t="s">
        <v>3796</v>
      </c>
      <c r="H829" s="22" t="n">
        <v>44.8</v>
      </c>
      <c r="I829" s="22" t="n">
        <v>44.8</v>
      </c>
      <c r="J829" s="22" t="n">
        <f aca="false">H829-I829</f>
        <v>0</v>
      </c>
      <c r="K829" s="20" t="str">
        <f aca="false">IF(ABS(J829)&lt;0.001,"MATCH - PAPER CHECK-IN NOT SUPPLIED","DATA MISMATCH")</f>
        <v>MATCH - PAPER CHECK-IN NOT SUPPLIED</v>
      </c>
      <c r="L829" s="22" t="n">
        <v>32</v>
      </c>
      <c r="M829" s="22" t="n">
        <f aca="false">ROUNDUP(H829,0)</f>
        <v>45</v>
      </c>
      <c r="N829" s="24" t="n">
        <f aca="false">MAX(L829,M829)</f>
        <v>45</v>
      </c>
      <c r="O829" s="25" t="n">
        <v>7.55</v>
      </c>
      <c r="P829" s="25" t="n">
        <f aca="false">N829*O829</f>
        <v>339.75</v>
      </c>
      <c r="Q829" s="23"/>
      <c r="R829" s="23"/>
      <c r="S829" s="24"/>
      <c r="T829" s="25"/>
      <c r="U829" s="25" t="n">
        <v>0</v>
      </c>
      <c r="V829" s="25" t="n">
        <f aca="false">P829-U829</f>
        <v>339.75</v>
      </c>
      <c r="W829" s="25" t="n">
        <f aca="false">V829*12</f>
        <v>4077</v>
      </c>
      <c r="X829" s="23" t="str">
        <f aca="false">IF(Q829="","MISSING FROM EXPORT",IF(ABS(V829)&lt;0.005,"CLEAR",IF(V829&gt;0,"UNDERBILLING","OVERBILLING")))</f>
        <v>MISSING FROM EXPORT</v>
      </c>
      <c r="Y829" s="25" t="n">
        <f aca="false">IF(F829="COMMERCIAL",ROUND(P829*0.35,2),0)</f>
        <v>0</v>
      </c>
      <c r="Z829" s="23" t="str">
        <f aca="false">IF(F829="COMMERCIAL","VERIFY SIGNED AGREEMENT","NO EXCEPTION")</f>
        <v>NO EXCEPTION</v>
      </c>
      <c r="AA829" s="23" t="str">
        <f aca="false">IF(AND(C829="covered",N829&gt;40),"COVERED &gt;40 FT","")</f>
        <v/>
      </c>
      <c r="AB829" s="23" t="s">
        <v>4705</v>
      </c>
      <c r="AC829" s="23" t="s">
        <v>7051</v>
      </c>
      <c r="AD829" s="23" t="s">
        <v>2807</v>
      </c>
    </row>
    <row r="830" customFormat="false" ht="17.9" hidden="false" customHeight="false" outlineLevel="0" collapsed="false">
      <c r="A830" s="20" t="s">
        <v>7052</v>
      </c>
      <c r="B830" s="20" t="s">
        <v>166</v>
      </c>
      <c r="C830" s="20" t="s">
        <v>2798</v>
      </c>
      <c r="D830" s="20" t="s">
        <v>7053</v>
      </c>
      <c r="E830" s="20" t="s">
        <v>7054</v>
      </c>
      <c r="F830" s="20" t="s">
        <v>2934</v>
      </c>
      <c r="G830" s="20" t="s">
        <v>3803</v>
      </c>
      <c r="H830" s="22" t="n">
        <v>34.3</v>
      </c>
      <c r="I830" s="22" t="n">
        <v>34.3</v>
      </c>
      <c r="J830" s="22" t="n">
        <f aca="false">H830-I830</f>
        <v>0</v>
      </c>
      <c r="K830" s="20" t="str">
        <f aca="false">IF(ABS(J830)&lt;0.001,"MATCH - PAPER CHECK-IN NOT SUPPLIED","DATA MISMATCH")</f>
        <v>MATCH - PAPER CHECK-IN NOT SUPPLIED</v>
      </c>
      <c r="L830" s="22" t="n">
        <v>45</v>
      </c>
      <c r="M830" s="22" t="n">
        <f aca="false">ROUNDUP(H830,0)</f>
        <v>35</v>
      </c>
      <c r="N830" s="24" t="n">
        <f aca="false">MAX(L830,M830)</f>
        <v>45</v>
      </c>
      <c r="O830" s="25" t="n">
        <v>7.55</v>
      </c>
      <c r="P830" s="25" t="n">
        <f aca="false">N830*O830</f>
        <v>339.75</v>
      </c>
      <c r="Q830" s="23"/>
      <c r="R830" s="23"/>
      <c r="S830" s="24"/>
      <c r="T830" s="25"/>
      <c r="U830" s="25" t="n">
        <v>0</v>
      </c>
      <c r="V830" s="25" t="n">
        <f aca="false">P830-U830</f>
        <v>339.75</v>
      </c>
      <c r="W830" s="25" t="n">
        <f aca="false">V830*12</f>
        <v>4077</v>
      </c>
      <c r="X830" s="23" t="str">
        <f aca="false">IF(Q830="","MISSING FROM EXPORT",IF(ABS(V830)&lt;0.005,"CLEAR",IF(V830&gt;0,"UNDERBILLING","OVERBILLING")))</f>
        <v>MISSING FROM EXPORT</v>
      </c>
      <c r="Y830" s="25" t="n">
        <f aca="false">IF(F830="COMMERCIAL",ROUND(P830*0.35,2),0)</f>
        <v>118.91</v>
      </c>
      <c r="Z830" s="23" t="str">
        <f aca="false">IF(F830="COMMERCIAL","VERIFY SIGNED AGREEMENT","NO EXCEPTION")</f>
        <v>VERIFY SIGNED AGREEMENT</v>
      </c>
      <c r="AA830" s="23" t="str">
        <f aca="false">IF(AND(C830="covered",N830&gt;40),"COVERED &gt;40 FT","")</f>
        <v/>
      </c>
      <c r="AB830" s="23" t="s">
        <v>4705</v>
      </c>
      <c r="AC830" s="23" t="s">
        <v>7055</v>
      </c>
      <c r="AD830" s="23" t="s">
        <v>2807</v>
      </c>
    </row>
    <row r="831" customFormat="false" ht="17.9" hidden="false" customHeight="false" outlineLevel="0" collapsed="false">
      <c r="A831" s="20" t="s">
        <v>7056</v>
      </c>
      <c r="B831" s="20" t="s">
        <v>166</v>
      </c>
      <c r="C831" s="20" t="s">
        <v>2798</v>
      </c>
      <c r="D831" s="20" t="s">
        <v>1356</v>
      </c>
      <c r="E831" s="20" t="s">
        <v>7057</v>
      </c>
      <c r="F831" s="20" t="s">
        <v>2810</v>
      </c>
      <c r="G831" s="20" t="s">
        <v>3808</v>
      </c>
      <c r="H831" s="22" t="n">
        <v>57</v>
      </c>
      <c r="I831" s="22" t="n">
        <v>57</v>
      </c>
      <c r="J831" s="22" t="n">
        <f aca="false">H831-I831</f>
        <v>0</v>
      </c>
      <c r="K831" s="20" t="str">
        <f aca="false">IF(ABS(J831)&lt;0.001,"MATCH - PAPER CHECK-IN NOT SUPPLIED","DATA MISMATCH")</f>
        <v>MATCH - PAPER CHECK-IN NOT SUPPLIED</v>
      </c>
      <c r="L831" s="22" t="n">
        <v>32</v>
      </c>
      <c r="M831" s="22" t="n">
        <f aca="false">ROUNDUP(H831,0)</f>
        <v>57</v>
      </c>
      <c r="N831" s="24" t="n">
        <f aca="false">MAX(L831,M831)</f>
        <v>57</v>
      </c>
      <c r="O831" s="25" t="n">
        <v>7.55</v>
      </c>
      <c r="P831" s="25" t="n">
        <f aca="false">N831*O831</f>
        <v>430.35</v>
      </c>
      <c r="Q831" s="23"/>
      <c r="R831" s="23"/>
      <c r="S831" s="24"/>
      <c r="T831" s="25"/>
      <c r="U831" s="25" t="n">
        <v>0</v>
      </c>
      <c r="V831" s="25" t="n">
        <f aca="false">P831-U831</f>
        <v>430.35</v>
      </c>
      <c r="W831" s="25" t="n">
        <f aca="false">V831*12</f>
        <v>5164.2</v>
      </c>
      <c r="X831" s="23" t="str">
        <f aca="false">IF(Q831="","MISSING FROM EXPORT",IF(ABS(V831)&lt;0.005,"CLEAR",IF(V831&gt;0,"UNDERBILLING","OVERBILLING")))</f>
        <v>MISSING FROM EXPORT</v>
      </c>
      <c r="Y831" s="25" t="n">
        <f aca="false">IF(F831="COMMERCIAL",ROUND(P831*0.35,2),0)</f>
        <v>0</v>
      </c>
      <c r="Z831" s="23" t="str">
        <f aca="false">IF(F831="COMMERCIAL","VERIFY SIGNED AGREEMENT","NO EXCEPTION")</f>
        <v>NO EXCEPTION</v>
      </c>
      <c r="AA831" s="23" t="str">
        <f aca="false">IF(AND(C831="covered",N831&gt;40),"COVERED &gt;40 FT","")</f>
        <v/>
      </c>
      <c r="AB831" s="23" t="s">
        <v>4705</v>
      </c>
      <c r="AC831" s="23" t="s">
        <v>7058</v>
      </c>
      <c r="AD831" s="23" t="s">
        <v>2807</v>
      </c>
    </row>
    <row r="832" customFormat="false" ht="17.9" hidden="false" customHeight="false" outlineLevel="0" collapsed="false">
      <c r="A832" s="20" t="s">
        <v>1254</v>
      </c>
      <c r="B832" s="20" t="s">
        <v>166</v>
      </c>
      <c r="C832" s="20" t="s">
        <v>2798</v>
      </c>
      <c r="D832" s="20" t="s">
        <v>2393</v>
      </c>
      <c r="E832" s="20" t="s">
        <v>7059</v>
      </c>
      <c r="F832" s="20" t="s">
        <v>2818</v>
      </c>
      <c r="G832" s="20" t="s">
        <v>3814</v>
      </c>
      <c r="H832" s="22" t="n">
        <v>44.8</v>
      </c>
      <c r="I832" s="22" t="n">
        <v>44.8</v>
      </c>
      <c r="J832" s="22" t="n">
        <f aca="false">H832-I832</f>
        <v>0</v>
      </c>
      <c r="K832" s="20" t="str">
        <f aca="false">IF(ABS(J832)&lt;0.001,"MATCH - PAPER CHECK-IN NOT SUPPLIED","DATA MISMATCH")</f>
        <v>MATCH - PAPER CHECK-IN NOT SUPPLIED</v>
      </c>
      <c r="L832" s="22" t="n">
        <v>24</v>
      </c>
      <c r="M832" s="22" t="n">
        <f aca="false">ROUNDUP(H832,0)</f>
        <v>45</v>
      </c>
      <c r="N832" s="24" t="n">
        <f aca="false">MAX(L832,M832)</f>
        <v>45</v>
      </c>
      <c r="O832" s="25" t="n">
        <v>7.55</v>
      </c>
      <c r="P832" s="25" t="n">
        <f aca="false">N832*O832</f>
        <v>339.75</v>
      </c>
      <c r="Q832" s="23"/>
      <c r="R832" s="23"/>
      <c r="S832" s="24"/>
      <c r="T832" s="25"/>
      <c r="U832" s="25" t="n">
        <v>0</v>
      </c>
      <c r="V832" s="25" t="n">
        <f aca="false">P832-U832</f>
        <v>339.75</v>
      </c>
      <c r="W832" s="25" t="n">
        <f aca="false">V832*12</f>
        <v>4077</v>
      </c>
      <c r="X832" s="23" t="str">
        <f aca="false">IF(Q832="","MISSING FROM EXPORT",IF(ABS(V832)&lt;0.005,"CLEAR",IF(V832&gt;0,"UNDERBILLING","OVERBILLING")))</f>
        <v>MISSING FROM EXPORT</v>
      </c>
      <c r="Y832" s="25" t="n">
        <f aca="false">IF(F832="COMMERCIAL",ROUND(P832*0.35,2),0)</f>
        <v>0</v>
      </c>
      <c r="Z832" s="23" t="str">
        <f aca="false">IF(F832="COMMERCIAL","VERIFY SIGNED AGREEMENT","NO EXCEPTION")</f>
        <v>NO EXCEPTION</v>
      </c>
      <c r="AA832" s="23" t="str">
        <f aca="false">IF(AND(C832="covered",N832&gt;40),"COVERED &gt;40 FT","")</f>
        <v/>
      </c>
      <c r="AB832" s="23" t="s">
        <v>4705</v>
      </c>
      <c r="AC832" s="23" t="s">
        <v>7060</v>
      </c>
      <c r="AD832" s="23" t="s">
        <v>2807</v>
      </c>
    </row>
    <row r="833" customFormat="false" ht="17.9" hidden="false" customHeight="false" outlineLevel="0" collapsed="false">
      <c r="A833" s="20" t="s">
        <v>7061</v>
      </c>
      <c r="B833" s="20" t="s">
        <v>166</v>
      </c>
      <c r="C833" s="20" t="s">
        <v>2798</v>
      </c>
      <c r="D833" s="20" t="s">
        <v>7062</v>
      </c>
      <c r="E833" s="20" t="s">
        <v>7063</v>
      </c>
      <c r="F833" s="20" t="s">
        <v>2833</v>
      </c>
      <c r="G833" s="20" t="s">
        <v>3819</v>
      </c>
      <c r="H833" s="22" t="n">
        <v>21.9</v>
      </c>
      <c r="I833" s="22" t="n">
        <v>21.9</v>
      </c>
      <c r="J833" s="22" t="n">
        <f aca="false">H833-I833</f>
        <v>0</v>
      </c>
      <c r="K833" s="20" t="str">
        <f aca="false">IF(ABS(J833)&lt;0.001,"MATCH - PAPER CHECK-IN NOT SUPPLIED","DATA MISMATCH")</f>
        <v>MATCH - PAPER CHECK-IN NOT SUPPLIED</v>
      </c>
      <c r="L833" s="22" t="n">
        <v>24</v>
      </c>
      <c r="M833" s="22" t="n">
        <f aca="false">ROUNDUP(H833,0)</f>
        <v>22</v>
      </c>
      <c r="N833" s="24" t="n">
        <f aca="false">MAX(L833,M833)</f>
        <v>24</v>
      </c>
      <c r="O833" s="25" t="n">
        <v>7.55</v>
      </c>
      <c r="P833" s="25" t="n">
        <f aca="false">N833*O833</f>
        <v>181.2</v>
      </c>
      <c r="Q833" s="23"/>
      <c r="R833" s="23"/>
      <c r="S833" s="24"/>
      <c r="T833" s="25"/>
      <c r="U833" s="25" t="n">
        <v>0</v>
      </c>
      <c r="V833" s="25" t="n">
        <f aca="false">P833-U833</f>
        <v>181.2</v>
      </c>
      <c r="W833" s="25" t="n">
        <f aca="false">V833*12</f>
        <v>2174.4</v>
      </c>
      <c r="X833" s="23" t="str">
        <f aca="false">IF(Q833="","MISSING FROM EXPORT",IF(ABS(V833)&lt;0.005,"CLEAR",IF(V833&gt;0,"UNDERBILLING","OVERBILLING")))</f>
        <v>MISSING FROM EXPORT</v>
      </c>
      <c r="Y833" s="25" t="n">
        <f aca="false">IF(F833="COMMERCIAL",ROUND(P833*0.35,2),0)</f>
        <v>0</v>
      </c>
      <c r="Z833" s="23" t="str">
        <f aca="false">IF(F833="COMMERCIAL","VERIFY SIGNED AGREEMENT","NO EXCEPTION")</f>
        <v>NO EXCEPTION</v>
      </c>
      <c r="AA833" s="23" t="str">
        <f aca="false">IF(AND(C833="covered",N833&gt;40),"COVERED &gt;40 FT","")</f>
        <v/>
      </c>
      <c r="AB833" s="23" t="s">
        <v>4705</v>
      </c>
      <c r="AC833" s="23" t="s">
        <v>7064</v>
      </c>
      <c r="AD833" s="23" t="s">
        <v>2807</v>
      </c>
    </row>
    <row r="834" customFormat="false" ht="17.9" hidden="false" customHeight="false" outlineLevel="0" collapsed="false">
      <c r="A834" s="20" t="s">
        <v>1536</v>
      </c>
      <c r="B834" s="20" t="s">
        <v>166</v>
      </c>
      <c r="C834" s="20" t="s">
        <v>2798</v>
      </c>
      <c r="D834" s="20" t="s">
        <v>7065</v>
      </c>
      <c r="E834" s="20" t="s">
        <v>7066</v>
      </c>
      <c r="F834" s="20" t="s">
        <v>2810</v>
      </c>
      <c r="G834" s="20" t="s">
        <v>3826</v>
      </c>
      <c r="H834" s="22" t="n">
        <v>61.1</v>
      </c>
      <c r="I834" s="22" t="n">
        <v>61.1</v>
      </c>
      <c r="J834" s="22" t="n">
        <f aca="false">H834-I834</f>
        <v>0</v>
      </c>
      <c r="K834" s="20" t="str">
        <f aca="false">IF(ABS(J834)&lt;0.001,"MATCH - PAPER CHECK-IN NOT SUPPLIED","DATA MISMATCH")</f>
        <v>MATCH - PAPER CHECK-IN NOT SUPPLIED</v>
      </c>
      <c r="L834" s="22" t="n">
        <v>28</v>
      </c>
      <c r="M834" s="22" t="n">
        <f aca="false">ROUNDUP(H834,0)</f>
        <v>62</v>
      </c>
      <c r="N834" s="24" t="n">
        <f aca="false">MAX(L834,M834)</f>
        <v>62</v>
      </c>
      <c r="O834" s="25" t="n">
        <v>7.55</v>
      </c>
      <c r="P834" s="25" t="n">
        <f aca="false">N834*O834</f>
        <v>468.1</v>
      </c>
      <c r="Q834" s="23"/>
      <c r="R834" s="23"/>
      <c r="S834" s="24"/>
      <c r="T834" s="25"/>
      <c r="U834" s="25" t="n">
        <v>0</v>
      </c>
      <c r="V834" s="25" t="n">
        <f aca="false">P834-U834</f>
        <v>468.1</v>
      </c>
      <c r="W834" s="25" t="n">
        <f aca="false">V834*12</f>
        <v>5617.2</v>
      </c>
      <c r="X834" s="23" t="str">
        <f aca="false">IF(Q834="","MISSING FROM EXPORT",IF(ABS(V834)&lt;0.005,"CLEAR",IF(V834&gt;0,"UNDERBILLING","OVERBILLING")))</f>
        <v>MISSING FROM EXPORT</v>
      </c>
      <c r="Y834" s="25" t="n">
        <f aca="false">IF(F834="COMMERCIAL",ROUND(P834*0.35,2),0)</f>
        <v>0</v>
      </c>
      <c r="Z834" s="23" t="str">
        <f aca="false">IF(F834="COMMERCIAL","VERIFY SIGNED AGREEMENT","NO EXCEPTION")</f>
        <v>NO EXCEPTION</v>
      </c>
      <c r="AA834" s="23" t="str">
        <f aca="false">IF(AND(C834="covered",N834&gt;40),"COVERED &gt;40 FT","")</f>
        <v/>
      </c>
      <c r="AB834" s="23" t="s">
        <v>4705</v>
      </c>
      <c r="AC834" s="23" t="s">
        <v>7067</v>
      </c>
      <c r="AD834" s="23" t="s">
        <v>2807</v>
      </c>
    </row>
    <row r="835" customFormat="false" ht="17.9" hidden="false" customHeight="false" outlineLevel="0" collapsed="false">
      <c r="A835" s="20" t="s">
        <v>7068</v>
      </c>
      <c r="B835" s="20" t="s">
        <v>166</v>
      </c>
      <c r="C835" s="20" t="s">
        <v>2798</v>
      </c>
      <c r="D835" s="20" t="s">
        <v>347</v>
      </c>
      <c r="E835" s="20" t="s">
        <v>348</v>
      </c>
      <c r="F835" s="20" t="s">
        <v>2857</v>
      </c>
      <c r="G835" s="20" t="s">
        <v>3840</v>
      </c>
      <c r="H835" s="22" t="n">
        <v>22.2</v>
      </c>
      <c r="I835" s="22" t="n">
        <v>22.2</v>
      </c>
      <c r="J835" s="22" t="n">
        <f aca="false">H835-I835</f>
        <v>0</v>
      </c>
      <c r="K835" s="20" t="str">
        <f aca="false">IF(ABS(J835)&lt;0.001,"MATCH - PAPER CHECK-IN NOT SUPPLIED","DATA MISMATCH")</f>
        <v>MATCH - PAPER CHECK-IN NOT SUPPLIED</v>
      </c>
      <c r="L835" s="22" t="n">
        <v>28</v>
      </c>
      <c r="M835" s="22" t="n">
        <f aca="false">ROUNDUP(H835,0)</f>
        <v>23</v>
      </c>
      <c r="N835" s="24" t="n">
        <f aca="false">MAX(L835,M835)</f>
        <v>28</v>
      </c>
      <c r="O835" s="25" t="n">
        <v>7.55</v>
      </c>
      <c r="P835" s="25" t="n">
        <f aca="false">N835*O835</f>
        <v>211.4</v>
      </c>
      <c r="Q835" s="23"/>
      <c r="R835" s="23"/>
      <c r="S835" s="24"/>
      <c r="T835" s="25"/>
      <c r="U835" s="25" t="n">
        <v>0</v>
      </c>
      <c r="V835" s="25" t="n">
        <f aca="false">P835-U835</f>
        <v>211.4</v>
      </c>
      <c r="W835" s="25" t="n">
        <f aca="false">V835*12</f>
        <v>2536.8</v>
      </c>
      <c r="X835" s="23" t="str">
        <f aca="false">IF(Q835="","MISSING FROM EXPORT",IF(ABS(V835)&lt;0.005,"CLEAR",IF(V835&gt;0,"UNDERBILLING","OVERBILLING")))</f>
        <v>MISSING FROM EXPORT</v>
      </c>
      <c r="Y835" s="25" t="n">
        <f aca="false">IF(F835="COMMERCIAL",ROUND(P835*0.35,2),0)</f>
        <v>0</v>
      </c>
      <c r="Z835" s="23" t="str">
        <f aca="false">IF(F835="COMMERCIAL","VERIFY SIGNED AGREEMENT","NO EXCEPTION")</f>
        <v>NO EXCEPTION</v>
      </c>
      <c r="AA835" s="23" t="str">
        <f aca="false">IF(AND(C835="covered",N835&gt;40),"COVERED &gt;40 FT","")</f>
        <v/>
      </c>
      <c r="AB835" s="23" t="s">
        <v>4705</v>
      </c>
      <c r="AC835" s="23" t="s">
        <v>7069</v>
      </c>
      <c r="AD835" s="23" t="s">
        <v>2807</v>
      </c>
    </row>
    <row r="836" customFormat="false" ht="17.9" hidden="false" customHeight="false" outlineLevel="0" collapsed="false">
      <c r="A836" s="20" t="s">
        <v>7070</v>
      </c>
      <c r="B836" s="20" t="s">
        <v>166</v>
      </c>
      <c r="C836" s="20" t="s">
        <v>2798</v>
      </c>
      <c r="D836" s="20" t="s">
        <v>7071</v>
      </c>
      <c r="E836" s="20" t="s">
        <v>7072</v>
      </c>
      <c r="F836" s="20" t="s">
        <v>2833</v>
      </c>
      <c r="G836" s="20" t="s">
        <v>3847</v>
      </c>
      <c r="H836" s="22" t="n">
        <v>21.2</v>
      </c>
      <c r="I836" s="22" t="n">
        <v>21.2</v>
      </c>
      <c r="J836" s="22" t="n">
        <f aca="false">H836-I836</f>
        <v>0</v>
      </c>
      <c r="K836" s="20" t="str">
        <f aca="false">IF(ABS(J836)&lt;0.001,"MATCH - PAPER CHECK-IN NOT SUPPLIED","DATA MISMATCH")</f>
        <v>MATCH - PAPER CHECK-IN NOT SUPPLIED</v>
      </c>
      <c r="L836" s="22" t="n">
        <v>45</v>
      </c>
      <c r="M836" s="22" t="n">
        <f aca="false">ROUNDUP(H836,0)</f>
        <v>22</v>
      </c>
      <c r="N836" s="24" t="n">
        <f aca="false">MAX(L836,M836)</f>
        <v>45</v>
      </c>
      <c r="O836" s="25" t="n">
        <v>7.55</v>
      </c>
      <c r="P836" s="25" t="n">
        <f aca="false">N836*O836</f>
        <v>339.75</v>
      </c>
      <c r="Q836" s="23"/>
      <c r="R836" s="23"/>
      <c r="S836" s="24"/>
      <c r="T836" s="25"/>
      <c r="U836" s="25" t="n">
        <v>0</v>
      </c>
      <c r="V836" s="25" t="n">
        <f aca="false">P836-U836</f>
        <v>339.75</v>
      </c>
      <c r="W836" s="25" t="n">
        <f aca="false">V836*12</f>
        <v>4077</v>
      </c>
      <c r="X836" s="23" t="str">
        <f aca="false">IF(Q836="","MISSING FROM EXPORT",IF(ABS(V836)&lt;0.005,"CLEAR",IF(V836&gt;0,"UNDERBILLING","OVERBILLING")))</f>
        <v>MISSING FROM EXPORT</v>
      </c>
      <c r="Y836" s="25" t="n">
        <f aca="false">IF(F836="COMMERCIAL",ROUND(P836*0.35,2),0)</f>
        <v>0</v>
      </c>
      <c r="Z836" s="23" t="str">
        <f aca="false">IF(F836="COMMERCIAL","VERIFY SIGNED AGREEMENT","NO EXCEPTION")</f>
        <v>NO EXCEPTION</v>
      </c>
      <c r="AA836" s="23" t="str">
        <f aca="false">IF(AND(C836="covered",N836&gt;40),"COVERED &gt;40 FT","")</f>
        <v/>
      </c>
      <c r="AB836" s="23" t="s">
        <v>4705</v>
      </c>
      <c r="AC836" s="23" t="s">
        <v>7073</v>
      </c>
      <c r="AD836" s="23" t="s">
        <v>2807</v>
      </c>
    </row>
    <row r="837" customFormat="false" ht="17.9" hidden="false" customHeight="false" outlineLevel="0" collapsed="false">
      <c r="A837" s="20" t="s">
        <v>7074</v>
      </c>
      <c r="B837" s="20" t="s">
        <v>166</v>
      </c>
      <c r="C837" s="20" t="s">
        <v>2798</v>
      </c>
      <c r="D837" s="20" t="s">
        <v>7075</v>
      </c>
      <c r="E837" s="20" t="s">
        <v>7076</v>
      </c>
      <c r="F837" s="20" t="s">
        <v>2833</v>
      </c>
      <c r="G837" s="20" t="s">
        <v>3854</v>
      </c>
      <c r="H837" s="22" t="n">
        <v>34.1</v>
      </c>
      <c r="I837" s="22" t="n">
        <v>34.1</v>
      </c>
      <c r="J837" s="22" t="n">
        <f aca="false">H837-I837</f>
        <v>0</v>
      </c>
      <c r="K837" s="20" t="str">
        <f aca="false">IF(ABS(J837)&lt;0.001,"MATCH - PAPER CHECK-IN NOT SUPPLIED","DATA MISMATCH")</f>
        <v>MATCH - PAPER CHECK-IN NOT SUPPLIED</v>
      </c>
      <c r="L837" s="22" t="n">
        <v>40</v>
      </c>
      <c r="M837" s="22" t="n">
        <f aca="false">ROUNDUP(H837,0)</f>
        <v>35</v>
      </c>
      <c r="N837" s="24" t="n">
        <f aca="false">MAX(L837,M837)</f>
        <v>40</v>
      </c>
      <c r="O837" s="25" t="n">
        <v>7.55</v>
      </c>
      <c r="P837" s="25" t="n">
        <f aca="false">N837*O837</f>
        <v>302</v>
      </c>
      <c r="Q837" s="23"/>
      <c r="R837" s="23"/>
      <c r="S837" s="24"/>
      <c r="T837" s="25"/>
      <c r="U837" s="25" t="n">
        <v>0</v>
      </c>
      <c r="V837" s="25" t="n">
        <f aca="false">P837-U837</f>
        <v>302</v>
      </c>
      <c r="W837" s="25" t="n">
        <f aca="false">V837*12</f>
        <v>3624</v>
      </c>
      <c r="X837" s="23" t="str">
        <f aca="false">IF(Q837="","MISSING FROM EXPORT",IF(ABS(V837)&lt;0.005,"CLEAR",IF(V837&gt;0,"UNDERBILLING","OVERBILLING")))</f>
        <v>MISSING FROM EXPORT</v>
      </c>
      <c r="Y837" s="25" t="n">
        <f aca="false">IF(F837="COMMERCIAL",ROUND(P837*0.35,2),0)</f>
        <v>0</v>
      </c>
      <c r="Z837" s="23" t="str">
        <f aca="false">IF(F837="COMMERCIAL","VERIFY SIGNED AGREEMENT","NO EXCEPTION")</f>
        <v>NO EXCEPTION</v>
      </c>
      <c r="AA837" s="23" t="str">
        <f aca="false">IF(AND(C837="covered",N837&gt;40),"COVERED &gt;40 FT","")</f>
        <v/>
      </c>
      <c r="AB837" s="23" t="s">
        <v>4705</v>
      </c>
      <c r="AC837" s="23" t="s">
        <v>7077</v>
      </c>
      <c r="AD837" s="23" t="s">
        <v>2807</v>
      </c>
    </row>
    <row r="838" customFormat="false" ht="17.9" hidden="false" customHeight="false" outlineLevel="0" collapsed="false">
      <c r="A838" s="20" t="s">
        <v>7078</v>
      </c>
      <c r="B838" s="20" t="s">
        <v>166</v>
      </c>
      <c r="C838" s="20" t="s">
        <v>2798</v>
      </c>
      <c r="D838" s="20" t="s">
        <v>1455</v>
      </c>
      <c r="E838" s="20" t="s">
        <v>7079</v>
      </c>
      <c r="F838" s="20" t="s">
        <v>2934</v>
      </c>
      <c r="G838" s="20" t="s">
        <v>3864</v>
      </c>
      <c r="H838" s="22" t="n">
        <v>22.1</v>
      </c>
      <c r="I838" s="22" t="n">
        <v>22.1</v>
      </c>
      <c r="J838" s="22" t="n">
        <f aca="false">H838-I838</f>
        <v>0</v>
      </c>
      <c r="K838" s="20" t="str">
        <f aca="false">IF(ABS(J838)&lt;0.001,"MATCH - PAPER CHECK-IN NOT SUPPLIED","DATA MISMATCH")</f>
        <v>MATCH - PAPER CHECK-IN NOT SUPPLIED</v>
      </c>
      <c r="L838" s="22" t="n">
        <v>32</v>
      </c>
      <c r="M838" s="22" t="n">
        <f aca="false">ROUNDUP(H838,0)</f>
        <v>23</v>
      </c>
      <c r="N838" s="24" t="n">
        <f aca="false">MAX(L838,M838)</f>
        <v>32</v>
      </c>
      <c r="O838" s="25" t="n">
        <v>7.55</v>
      </c>
      <c r="P838" s="25" t="n">
        <f aca="false">N838*O838</f>
        <v>241.6</v>
      </c>
      <c r="Q838" s="23"/>
      <c r="R838" s="23"/>
      <c r="S838" s="24"/>
      <c r="T838" s="25"/>
      <c r="U838" s="25" t="n">
        <v>0</v>
      </c>
      <c r="V838" s="25" t="n">
        <f aca="false">P838-U838</f>
        <v>241.6</v>
      </c>
      <c r="W838" s="25" t="n">
        <f aca="false">V838*12</f>
        <v>2899.2</v>
      </c>
      <c r="X838" s="23" t="str">
        <f aca="false">IF(Q838="","MISSING FROM EXPORT",IF(ABS(V838)&lt;0.005,"CLEAR",IF(V838&gt;0,"UNDERBILLING","OVERBILLING")))</f>
        <v>MISSING FROM EXPORT</v>
      </c>
      <c r="Y838" s="25" t="n">
        <f aca="false">IF(F838="COMMERCIAL",ROUND(P838*0.35,2),0)</f>
        <v>84.56</v>
      </c>
      <c r="Z838" s="23" t="str">
        <f aca="false">IF(F838="COMMERCIAL","VERIFY SIGNED AGREEMENT","NO EXCEPTION")</f>
        <v>VERIFY SIGNED AGREEMENT</v>
      </c>
      <c r="AA838" s="23" t="str">
        <f aca="false">IF(AND(C838="covered",N838&gt;40),"COVERED &gt;40 FT","")</f>
        <v/>
      </c>
      <c r="AB838" s="23" t="s">
        <v>4705</v>
      </c>
      <c r="AC838" s="23" t="s">
        <v>7080</v>
      </c>
      <c r="AD838" s="23" t="s">
        <v>2807</v>
      </c>
    </row>
    <row r="839" customFormat="false" ht="17.9" hidden="false" customHeight="false" outlineLevel="0" collapsed="false">
      <c r="A839" s="20" t="s">
        <v>7081</v>
      </c>
      <c r="B839" s="20" t="s">
        <v>166</v>
      </c>
      <c r="C839" s="20" t="s">
        <v>2798</v>
      </c>
      <c r="D839" s="20" t="s">
        <v>7082</v>
      </c>
      <c r="E839" s="20" t="s">
        <v>7083</v>
      </c>
      <c r="F839" s="20" t="s">
        <v>2833</v>
      </c>
      <c r="G839" s="20" t="s">
        <v>3870</v>
      </c>
      <c r="H839" s="22" t="n">
        <v>24.6</v>
      </c>
      <c r="I839" s="22" t="n">
        <v>24.6</v>
      </c>
      <c r="J839" s="22" t="n">
        <f aca="false">H839-I839</f>
        <v>0</v>
      </c>
      <c r="K839" s="20" t="str">
        <f aca="false">IF(ABS(J839)&lt;0.001,"MATCH - PAPER CHECK-IN NOT SUPPLIED","DATA MISMATCH")</f>
        <v>MATCH - PAPER CHECK-IN NOT SUPPLIED</v>
      </c>
      <c r="L839" s="22" t="n">
        <v>24</v>
      </c>
      <c r="M839" s="22" t="n">
        <f aca="false">ROUNDUP(H839,0)</f>
        <v>25</v>
      </c>
      <c r="N839" s="24" t="n">
        <f aca="false">MAX(L839,M839)</f>
        <v>25</v>
      </c>
      <c r="O839" s="25" t="n">
        <v>7.55</v>
      </c>
      <c r="P839" s="25" t="n">
        <f aca="false">N839*O839</f>
        <v>188.75</v>
      </c>
      <c r="Q839" s="23"/>
      <c r="R839" s="23"/>
      <c r="S839" s="24"/>
      <c r="T839" s="25"/>
      <c r="U839" s="25" t="n">
        <v>0</v>
      </c>
      <c r="V839" s="25" t="n">
        <f aca="false">P839-U839</f>
        <v>188.75</v>
      </c>
      <c r="W839" s="25" t="n">
        <f aca="false">V839*12</f>
        <v>2265</v>
      </c>
      <c r="X839" s="23" t="str">
        <f aca="false">IF(Q839="","MISSING FROM EXPORT",IF(ABS(V839)&lt;0.005,"CLEAR",IF(V839&gt;0,"UNDERBILLING","OVERBILLING")))</f>
        <v>MISSING FROM EXPORT</v>
      </c>
      <c r="Y839" s="25" t="n">
        <f aca="false">IF(F839="COMMERCIAL",ROUND(P839*0.35,2),0)</f>
        <v>0</v>
      </c>
      <c r="Z839" s="23" t="str">
        <f aca="false">IF(F839="COMMERCIAL","VERIFY SIGNED AGREEMENT","NO EXCEPTION")</f>
        <v>NO EXCEPTION</v>
      </c>
      <c r="AA839" s="23" t="str">
        <f aca="false">IF(AND(C839="covered",N839&gt;40),"COVERED &gt;40 FT","")</f>
        <v/>
      </c>
      <c r="AB839" s="23" t="s">
        <v>4705</v>
      </c>
      <c r="AC839" s="23" t="s">
        <v>7084</v>
      </c>
      <c r="AD839" s="23" t="s">
        <v>2807</v>
      </c>
    </row>
    <row r="840" customFormat="false" ht="17.9" hidden="false" customHeight="false" outlineLevel="0" collapsed="false">
      <c r="A840" s="20" t="s">
        <v>7085</v>
      </c>
      <c r="B840" s="20" t="s">
        <v>166</v>
      </c>
      <c r="C840" s="20" t="s">
        <v>2798</v>
      </c>
      <c r="D840" s="20" t="s">
        <v>2183</v>
      </c>
      <c r="E840" s="20" t="s">
        <v>2184</v>
      </c>
      <c r="F840" s="20" t="s">
        <v>2857</v>
      </c>
      <c r="G840" s="20" t="s">
        <v>3876</v>
      </c>
      <c r="H840" s="22" t="n">
        <v>52.3</v>
      </c>
      <c r="I840" s="22" t="n">
        <v>52.3</v>
      </c>
      <c r="J840" s="22" t="n">
        <f aca="false">H840-I840</f>
        <v>0</v>
      </c>
      <c r="K840" s="20" t="str">
        <f aca="false">IF(ABS(J840)&lt;0.001,"MATCH - PAPER CHECK-IN NOT SUPPLIED","DATA MISMATCH")</f>
        <v>MATCH - PAPER CHECK-IN NOT SUPPLIED</v>
      </c>
      <c r="L840" s="22" t="n">
        <v>28</v>
      </c>
      <c r="M840" s="22" t="n">
        <f aca="false">ROUNDUP(H840,0)</f>
        <v>53</v>
      </c>
      <c r="N840" s="24" t="n">
        <f aca="false">MAX(L840,M840)</f>
        <v>53</v>
      </c>
      <c r="O840" s="25" t="n">
        <v>7.55</v>
      </c>
      <c r="P840" s="25" t="n">
        <f aca="false">N840*O840</f>
        <v>400.15</v>
      </c>
      <c r="Q840" s="23"/>
      <c r="R840" s="23"/>
      <c r="S840" s="24"/>
      <c r="T840" s="25"/>
      <c r="U840" s="25" t="n">
        <v>0</v>
      </c>
      <c r="V840" s="25" t="n">
        <f aca="false">P840-U840</f>
        <v>400.15</v>
      </c>
      <c r="W840" s="25" t="n">
        <f aca="false">V840*12</f>
        <v>4801.8</v>
      </c>
      <c r="X840" s="23" t="str">
        <f aca="false">IF(Q840="","MISSING FROM EXPORT",IF(ABS(V840)&lt;0.005,"CLEAR",IF(V840&gt;0,"UNDERBILLING","OVERBILLING")))</f>
        <v>MISSING FROM EXPORT</v>
      </c>
      <c r="Y840" s="25" t="n">
        <f aca="false">IF(F840="COMMERCIAL",ROUND(P840*0.35,2),0)</f>
        <v>0</v>
      </c>
      <c r="Z840" s="23" t="str">
        <f aca="false">IF(F840="COMMERCIAL","VERIFY SIGNED AGREEMENT","NO EXCEPTION")</f>
        <v>NO EXCEPTION</v>
      </c>
      <c r="AA840" s="23" t="str">
        <f aca="false">IF(AND(C840="covered",N840&gt;40),"COVERED &gt;40 FT","")</f>
        <v/>
      </c>
      <c r="AB840" s="23" t="s">
        <v>4705</v>
      </c>
      <c r="AC840" s="23" t="s">
        <v>7086</v>
      </c>
      <c r="AD840" s="23" t="s">
        <v>2807</v>
      </c>
    </row>
    <row r="841" customFormat="false" ht="17.9" hidden="false" customHeight="false" outlineLevel="0" collapsed="false">
      <c r="A841" s="20" t="s">
        <v>7087</v>
      </c>
      <c r="B841" s="20" t="s">
        <v>166</v>
      </c>
      <c r="C841" s="20" t="s">
        <v>2798</v>
      </c>
      <c r="D841" s="20" t="s">
        <v>7088</v>
      </c>
      <c r="E841" s="20" t="s">
        <v>7089</v>
      </c>
      <c r="F841" s="20" t="s">
        <v>2833</v>
      </c>
      <c r="G841" s="20" t="s">
        <v>3882</v>
      </c>
      <c r="H841" s="22" t="n">
        <v>25.9</v>
      </c>
      <c r="I841" s="22" t="n">
        <v>25.9</v>
      </c>
      <c r="J841" s="22" t="n">
        <f aca="false">H841-I841</f>
        <v>0</v>
      </c>
      <c r="K841" s="20" t="str">
        <f aca="false">IF(ABS(J841)&lt;0.001,"MATCH - PAPER CHECK-IN NOT SUPPLIED","DATA MISMATCH")</f>
        <v>MATCH - PAPER CHECK-IN NOT SUPPLIED</v>
      </c>
      <c r="L841" s="22" t="n">
        <v>70</v>
      </c>
      <c r="M841" s="22" t="n">
        <f aca="false">ROUNDUP(H841,0)</f>
        <v>26</v>
      </c>
      <c r="N841" s="24" t="n">
        <f aca="false">MAX(L841,M841)</f>
        <v>70</v>
      </c>
      <c r="O841" s="25" t="n">
        <v>7.55</v>
      </c>
      <c r="P841" s="25" t="n">
        <f aca="false">N841*O841</f>
        <v>528.5</v>
      </c>
      <c r="Q841" s="23"/>
      <c r="R841" s="23"/>
      <c r="S841" s="24"/>
      <c r="T841" s="25"/>
      <c r="U841" s="25" t="n">
        <v>0</v>
      </c>
      <c r="V841" s="25" t="n">
        <f aca="false">P841-U841</f>
        <v>528.5</v>
      </c>
      <c r="W841" s="25" t="n">
        <f aca="false">V841*12</f>
        <v>6342</v>
      </c>
      <c r="X841" s="23" t="str">
        <f aca="false">IF(Q841="","MISSING FROM EXPORT",IF(ABS(V841)&lt;0.005,"CLEAR",IF(V841&gt;0,"UNDERBILLING","OVERBILLING")))</f>
        <v>MISSING FROM EXPORT</v>
      </c>
      <c r="Y841" s="25" t="n">
        <f aca="false">IF(F841="COMMERCIAL",ROUND(P841*0.35,2),0)</f>
        <v>0</v>
      </c>
      <c r="Z841" s="23" t="str">
        <f aca="false">IF(F841="COMMERCIAL","VERIFY SIGNED AGREEMENT","NO EXCEPTION")</f>
        <v>NO EXCEPTION</v>
      </c>
      <c r="AA841" s="23" t="str">
        <f aca="false">IF(AND(C841="covered",N841&gt;40),"COVERED &gt;40 FT","")</f>
        <v/>
      </c>
      <c r="AB841" s="23" t="s">
        <v>4705</v>
      </c>
      <c r="AC841" s="23" t="s">
        <v>7090</v>
      </c>
      <c r="AD841" s="23" t="s">
        <v>2807</v>
      </c>
    </row>
    <row r="842" customFormat="false" ht="17.9" hidden="false" customHeight="false" outlineLevel="0" collapsed="false">
      <c r="A842" s="20" t="s">
        <v>7091</v>
      </c>
      <c r="B842" s="20" t="s">
        <v>166</v>
      </c>
      <c r="C842" s="20" t="s">
        <v>2798</v>
      </c>
      <c r="D842" s="20" t="s">
        <v>7092</v>
      </c>
      <c r="E842" s="20" t="s">
        <v>7093</v>
      </c>
      <c r="F842" s="20" t="s">
        <v>2934</v>
      </c>
      <c r="G842" s="20" t="s">
        <v>3887</v>
      </c>
      <c r="H842" s="22" t="n">
        <v>46.5</v>
      </c>
      <c r="I842" s="22" t="n">
        <v>46.5</v>
      </c>
      <c r="J842" s="22" t="n">
        <f aca="false">H842-I842</f>
        <v>0</v>
      </c>
      <c r="K842" s="20" t="str">
        <f aca="false">IF(ABS(J842)&lt;0.001,"MATCH - PAPER CHECK-IN NOT SUPPLIED","DATA MISMATCH")</f>
        <v>MATCH - PAPER CHECK-IN NOT SUPPLIED</v>
      </c>
      <c r="L842" s="22" t="n">
        <v>28</v>
      </c>
      <c r="M842" s="22" t="n">
        <f aca="false">ROUNDUP(H842,0)</f>
        <v>47</v>
      </c>
      <c r="N842" s="24" t="n">
        <f aca="false">MAX(L842,M842)</f>
        <v>47</v>
      </c>
      <c r="O842" s="25" t="n">
        <v>7.55</v>
      </c>
      <c r="P842" s="25" t="n">
        <f aca="false">N842*O842</f>
        <v>354.85</v>
      </c>
      <c r="Q842" s="23"/>
      <c r="R842" s="23"/>
      <c r="S842" s="24"/>
      <c r="T842" s="25"/>
      <c r="U842" s="25" t="n">
        <v>0</v>
      </c>
      <c r="V842" s="25" t="n">
        <f aca="false">P842-U842</f>
        <v>354.85</v>
      </c>
      <c r="W842" s="25" t="n">
        <f aca="false">V842*12</f>
        <v>4258.2</v>
      </c>
      <c r="X842" s="23" t="str">
        <f aca="false">IF(Q842="","MISSING FROM EXPORT",IF(ABS(V842)&lt;0.005,"CLEAR",IF(V842&gt;0,"UNDERBILLING","OVERBILLING")))</f>
        <v>MISSING FROM EXPORT</v>
      </c>
      <c r="Y842" s="25" t="n">
        <f aca="false">IF(F842="COMMERCIAL",ROUND(P842*0.35,2),0)</f>
        <v>124.2</v>
      </c>
      <c r="Z842" s="23" t="str">
        <f aca="false">IF(F842="COMMERCIAL","VERIFY SIGNED AGREEMENT","NO EXCEPTION")</f>
        <v>VERIFY SIGNED AGREEMENT</v>
      </c>
      <c r="AA842" s="23" t="str">
        <f aca="false">IF(AND(C842="covered",N842&gt;40),"COVERED &gt;40 FT","")</f>
        <v/>
      </c>
      <c r="AB842" s="23" t="s">
        <v>4705</v>
      </c>
      <c r="AC842" s="23" t="s">
        <v>7094</v>
      </c>
      <c r="AD842" s="23" t="s">
        <v>2807</v>
      </c>
    </row>
    <row r="843" customFormat="false" ht="17.9" hidden="false" customHeight="false" outlineLevel="0" collapsed="false">
      <c r="A843" s="20" t="s">
        <v>7095</v>
      </c>
      <c r="B843" s="20" t="s">
        <v>166</v>
      </c>
      <c r="C843" s="20" t="s">
        <v>2798</v>
      </c>
      <c r="D843" s="20" t="s">
        <v>7096</v>
      </c>
      <c r="E843" s="20" t="s">
        <v>7097</v>
      </c>
      <c r="F843" s="20" t="s">
        <v>2869</v>
      </c>
      <c r="G843" s="20" t="s">
        <v>3901</v>
      </c>
      <c r="H843" s="22" t="n">
        <v>28</v>
      </c>
      <c r="I843" s="22" t="n">
        <v>28</v>
      </c>
      <c r="J843" s="22" t="n">
        <f aca="false">H843-I843</f>
        <v>0</v>
      </c>
      <c r="K843" s="20" t="str">
        <f aca="false">IF(ABS(J843)&lt;0.001,"MATCH - PAPER CHECK-IN NOT SUPPLIED","DATA MISMATCH")</f>
        <v>MATCH - PAPER CHECK-IN NOT SUPPLIED</v>
      </c>
      <c r="L843" s="22" t="n">
        <v>70</v>
      </c>
      <c r="M843" s="22" t="n">
        <f aca="false">ROUNDUP(H843,0)</f>
        <v>28</v>
      </c>
      <c r="N843" s="24" t="n">
        <f aca="false">MAX(L843,M843)</f>
        <v>70</v>
      </c>
      <c r="O843" s="25" t="n">
        <v>7.55</v>
      </c>
      <c r="P843" s="25" t="n">
        <f aca="false">N843*O843</f>
        <v>528.5</v>
      </c>
      <c r="Q843" s="23"/>
      <c r="R843" s="23"/>
      <c r="S843" s="24"/>
      <c r="T843" s="25"/>
      <c r="U843" s="25" t="n">
        <v>0</v>
      </c>
      <c r="V843" s="25" t="n">
        <f aca="false">P843-U843</f>
        <v>528.5</v>
      </c>
      <c r="W843" s="25" t="n">
        <f aca="false">V843*12</f>
        <v>6342</v>
      </c>
      <c r="X843" s="23" t="str">
        <f aca="false">IF(Q843="","MISSING FROM EXPORT",IF(ABS(V843)&lt;0.005,"CLEAR",IF(V843&gt;0,"UNDERBILLING","OVERBILLING")))</f>
        <v>MISSING FROM EXPORT</v>
      </c>
      <c r="Y843" s="25" t="n">
        <f aca="false">IF(F843="COMMERCIAL",ROUND(P843*0.35,2),0)</f>
        <v>0</v>
      </c>
      <c r="Z843" s="23" t="str">
        <f aca="false">IF(F843="COMMERCIAL","VERIFY SIGNED AGREEMENT","NO EXCEPTION")</f>
        <v>NO EXCEPTION</v>
      </c>
      <c r="AA843" s="23" t="str">
        <f aca="false">IF(AND(C843="covered",N843&gt;40),"COVERED &gt;40 FT","")</f>
        <v/>
      </c>
      <c r="AB843" s="23" t="s">
        <v>4705</v>
      </c>
      <c r="AC843" s="23" t="s">
        <v>7098</v>
      </c>
      <c r="AD843" s="23" t="s">
        <v>2807</v>
      </c>
    </row>
    <row r="844" customFormat="false" ht="17.9" hidden="false" customHeight="false" outlineLevel="0" collapsed="false">
      <c r="A844" s="20" t="s">
        <v>7099</v>
      </c>
      <c r="B844" s="20" t="s">
        <v>166</v>
      </c>
      <c r="C844" s="20" t="s">
        <v>2798</v>
      </c>
      <c r="D844" s="20" t="s">
        <v>7100</v>
      </c>
      <c r="E844" s="20" t="s">
        <v>7101</v>
      </c>
      <c r="F844" s="20" t="s">
        <v>2833</v>
      </c>
      <c r="G844" s="20" t="s">
        <v>3907</v>
      </c>
      <c r="H844" s="22" t="n">
        <v>25.9</v>
      </c>
      <c r="I844" s="22" t="n">
        <v>25.9</v>
      </c>
      <c r="J844" s="22" t="n">
        <f aca="false">H844-I844</f>
        <v>0</v>
      </c>
      <c r="K844" s="20" t="str">
        <f aca="false">IF(ABS(J844)&lt;0.001,"MATCH - PAPER CHECK-IN NOT SUPPLIED","DATA MISMATCH")</f>
        <v>MATCH - PAPER CHECK-IN NOT SUPPLIED</v>
      </c>
      <c r="L844" s="22" t="n">
        <v>24</v>
      </c>
      <c r="M844" s="22" t="n">
        <f aca="false">ROUNDUP(H844,0)</f>
        <v>26</v>
      </c>
      <c r="N844" s="24" t="n">
        <f aca="false">MAX(L844,M844)</f>
        <v>26</v>
      </c>
      <c r="O844" s="25" t="n">
        <v>7.55</v>
      </c>
      <c r="P844" s="25" t="n">
        <f aca="false">N844*O844</f>
        <v>196.3</v>
      </c>
      <c r="Q844" s="23"/>
      <c r="R844" s="23"/>
      <c r="S844" s="24"/>
      <c r="T844" s="25"/>
      <c r="U844" s="25" t="n">
        <v>0</v>
      </c>
      <c r="V844" s="25" t="n">
        <f aca="false">P844-U844</f>
        <v>196.3</v>
      </c>
      <c r="W844" s="25" t="n">
        <f aca="false">V844*12</f>
        <v>2355.6</v>
      </c>
      <c r="X844" s="23" t="str">
        <f aca="false">IF(Q844="","MISSING FROM EXPORT",IF(ABS(V844)&lt;0.005,"CLEAR",IF(V844&gt;0,"UNDERBILLING","OVERBILLING")))</f>
        <v>MISSING FROM EXPORT</v>
      </c>
      <c r="Y844" s="25" t="n">
        <f aca="false">IF(F844="COMMERCIAL",ROUND(P844*0.35,2),0)</f>
        <v>0</v>
      </c>
      <c r="Z844" s="23" t="str">
        <f aca="false">IF(F844="COMMERCIAL","VERIFY SIGNED AGREEMENT","NO EXCEPTION")</f>
        <v>NO EXCEPTION</v>
      </c>
      <c r="AA844" s="23" t="str">
        <f aca="false">IF(AND(C844="covered",N844&gt;40),"COVERED &gt;40 FT","")</f>
        <v/>
      </c>
      <c r="AB844" s="23" t="s">
        <v>4705</v>
      </c>
      <c r="AC844" s="23" t="s">
        <v>7102</v>
      </c>
      <c r="AD844" s="23" t="s">
        <v>2807</v>
      </c>
    </row>
    <row r="845" customFormat="false" ht="17.9" hidden="false" customHeight="false" outlineLevel="0" collapsed="false">
      <c r="A845" s="20" t="s">
        <v>7103</v>
      </c>
      <c r="B845" s="20" t="s">
        <v>166</v>
      </c>
      <c r="C845" s="20" t="s">
        <v>2798</v>
      </c>
      <c r="D845" s="20" t="s">
        <v>7104</v>
      </c>
      <c r="E845" s="20" t="s">
        <v>7105</v>
      </c>
      <c r="F845" s="20" t="s">
        <v>2833</v>
      </c>
      <c r="G845" s="20" t="s">
        <v>4991</v>
      </c>
      <c r="H845" s="22" t="n">
        <v>47.3</v>
      </c>
      <c r="I845" s="22" t="n">
        <v>47.3</v>
      </c>
      <c r="J845" s="22" t="n">
        <f aca="false">H845-I845</f>
        <v>0</v>
      </c>
      <c r="K845" s="20" t="str">
        <f aca="false">IF(ABS(J845)&lt;0.001,"MATCH - PAPER CHECK-IN NOT SUPPLIED","DATA MISMATCH")</f>
        <v>MATCH - PAPER CHECK-IN NOT SUPPLIED</v>
      </c>
      <c r="L845" s="22" t="n">
        <v>40</v>
      </c>
      <c r="M845" s="22" t="n">
        <f aca="false">ROUNDUP(H845,0)</f>
        <v>48</v>
      </c>
      <c r="N845" s="24" t="n">
        <f aca="false">MAX(L845,M845)</f>
        <v>48</v>
      </c>
      <c r="O845" s="25" t="n">
        <v>7.55</v>
      </c>
      <c r="P845" s="25" t="n">
        <f aca="false">N845*O845</f>
        <v>362.4</v>
      </c>
      <c r="Q845" s="23"/>
      <c r="R845" s="23"/>
      <c r="S845" s="24"/>
      <c r="T845" s="25"/>
      <c r="U845" s="25" t="n">
        <v>0</v>
      </c>
      <c r="V845" s="25" t="n">
        <f aca="false">P845-U845</f>
        <v>362.4</v>
      </c>
      <c r="W845" s="25" t="n">
        <f aca="false">V845*12</f>
        <v>4348.8</v>
      </c>
      <c r="X845" s="23" t="str">
        <f aca="false">IF(Q845="","MISSING FROM EXPORT",IF(ABS(V845)&lt;0.005,"CLEAR",IF(V845&gt;0,"UNDERBILLING","OVERBILLING")))</f>
        <v>MISSING FROM EXPORT</v>
      </c>
      <c r="Y845" s="25" t="n">
        <f aca="false">IF(F845="COMMERCIAL",ROUND(P845*0.35,2),0)</f>
        <v>0</v>
      </c>
      <c r="Z845" s="23" t="str">
        <f aca="false">IF(F845="COMMERCIAL","VERIFY SIGNED AGREEMENT","NO EXCEPTION")</f>
        <v>NO EXCEPTION</v>
      </c>
      <c r="AA845" s="23" t="str">
        <f aca="false">IF(AND(C845="covered",N845&gt;40),"COVERED &gt;40 FT","")</f>
        <v/>
      </c>
      <c r="AB845" s="23" t="s">
        <v>4705</v>
      </c>
      <c r="AC845" s="23" t="s">
        <v>7106</v>
      </c>
      <c r="AD845" s="23" t="s">
        <v>2807</v>
      </c>
    </row>
    <row r="846" customFormat="false" ht="17.9" hidden="false" customHeight="false" outlineLevel="0" collapsed="false">
      <c r="A846" s="20" t="s">
        <v>990</v>
      </c>
      <c r="B846" s="20" t="s">
        <v>166</v>
      </c>
      <c r="C846" s="20" t="s">
        <v>2798</v>
      </c>
      <c r="D846" s="20" t="s">
        <v>7107</v>
      </c>
      <c r="E846" s="20" t="s">
        <v>7108</v>
      </c>
      <c r="F846" s="20" t="s">
        <v>2857</v>
      </c>
      <c r="G846" s="20" t="s">
        <v>3914</v>
      </c>
      <c r="H846" s="22" t="n">
        <v>26.8</v>
      </c>
      <c r="I846" s="22" t="n">
        <v>26.8</v>
      </c>
      <c r="J846" s="22" t="n">
        <f aca="false">H846-I846</f>
        <v>0</v>
      </c>
      <c r="K846" s="20" t="str">
        <f aca="false">IF(ABS(J846)&lt;0.001,"MATCH - PAPER CHECK-IN NOT SUPPLIED","DATA MISMATCH")</f>
        <v>MATCH - PAPER CHECK-IN NOT SUPPLIED</v>
      </c>
      <c r="L846" s="22" t="n">
        <v>36</v>
      </c>
      <c r="M846" s="22" t="n">
        <f aca="false">ROUNDUP(H846,0)</f>
        <v>27</v>
      </c>
      <c r="N846" s="24" t="n">
        <f aca="false">MAX(L846,M846)</f>
        <v>36</v>
      </c>
      <c r="O846" s="25" t="n">
        <v>7.55</v>
      </c>
      <c r="P846" s="25" t="n">
        <f aca="false">N846*O846</f>
        <v>271.8</v>
      </c>
      <c r="Q846" s="23"/>
      <c r="R846" s="23"/>
      <c r="S846" s="24"/>
      <c r="T846" s="25"/>
      <c r="U846" s="25" t="n">
        <v>0</v>
      </c>
      <c r="V846" s="25" t="n">
        <f aca="false">P846-U846</f>
        <v>271.8</v>
      </c>
      <c r="W846" s="25" t="n">
        <f aca="false">V846*12</f>
        <v>3261.6</v>
      </c>
      <c r="X846" s="23" t="str">
        <f aca="false">IF(Q846="","MISSING FROM EXPORT",IF(ABS(V846)&lt;0.005,"CLEAR",IF(V846&gt;0,"UNDERBILLING","OVERBILLING")))</f>
        <v>MISSING FROM EXPORT</v>
      </c>
      <c r="Y846" s="25" t="n">
        <f aca="false">IF(F846="COMMERCIAL",ROUND(P846*0.35,2),0)</f>
        <v>0</v>
      </c>
      <c r="Z846" s="23" t="str">
        <f aca="false">IF(F846="COMMERCIAL","VERIFY SIGNED AGREEMENT","NO EXCEPTION")</f>
        <v>NO EXCEPTION</v>
      </c>
      <c r="AA846" s="23" t="str">
        <f aca="false">IF(AND(C846="covered",N846&gt;40),"COVERED &gt;40 FT","")</f>
        <v/>
      </c>
      <c r="AB846" s="23" t="s">
        <v>4705</v>
      </c>
      <c r="AC846" s="23" t="s">
        <v>7109</v>
      </c>
      <c r="AD846" s="23" t="s">
        <v>2807</v>
      </c>
    </row>
    <row r="847" customFormat="false" ht="17.9" hidden="false" customHeight="false" outlineLevel="0" collapsed="false">
      <c r="A847" s="20" t="s">
        <v>7110</v>
      </c>
      <c r="B847" s="20" t="s">
        <v>166</v>
      </c>
      <c r="C847" s="20" t="s">
        <v>2798</v>
      </c>
      <c r="D847" s="20" t="s">
        <v>7111</v>
      </c>
      <c r="E847" s="20" t="s">
        <v>7112</v>
      </c>
      <c r="F847" s="20" t="s">
        <v>2818</v>
      </c>
      <c r="G847" s="20" t="s">
        <v>3921</v>
      </c>
      <c r="H847" s="22" t="n">
        <v>34.6</v>
      </c>
      <c r="I847" s="22" t="n">
        <v>34.6</v>
      </c>
      <c r="J847" s="22" t="n">
        <f aca="false">H847-I847</f>
        <v>0</v>
      </c>
      <c r="K847" s="20" t="str">
        <f aca="false">IF(ABS(J847)&lt;0.001,"MATCH - PAPER CHECK-IN NOT SUPPLIED","DATA MISMATCH")</f>
        <v>MATCH - PAPER CHECK-IN NOT SUPPLIED</v>
      </c>
      <c r="L847" s="22" t="n">
        <v>32</v>
      </c>
      <c r="M847" s="22" t="n">
        <f aca="false">ROUNDUP(H847,0)</f>
        <v>35</v>
      </c>
      <c r="N847" s="24" t="n">
        <f aca="false">MAX(L847,M847)</f>
        <v>35</v>
      </c>
      <c r="O847" s="25" t="n">
        <v>7.55</v>
      </c>
      <c r="P847" s="25" t="n">
        <f aca="false">N847*O847</f>
        <v>264.25</v>
      </c>
      <c r="Q847" s="23"/>
      <c r="R847" s="23"/>
      <c r="S847" s="24"/>
      <c r="T847" s="25"/>
      <c r="U847" s="25" t="n">
        <v>0</v>
      </c>
      <c r="V847" s="25" t="n">
        <f aca="false">P847-U847</f>
        <v>264.25</v>
      </c>
      <c r="W847" s="25" t="n">
        <f aca="false">V847*12</f>
        <v>3171</v>
      </c>
      <c r="X847" s="23" t="str">
        <f aca="false">IF(Q847="","MISSING FROM EXPORT",IF(ABS(V847)&lt;0.005,"CLEAR",IF(V847&gt;0,"UNDERBILLING","OVERBILLING")))</f>
        <v>MISSING FROM EXPORT</v>
      </c>
      <c r="Y847" s="25" t="n">
        <f aca="false">IF(F847="COMMERCIAL",ROUND(P847*0.35,2),0)</f>
        <v>0</v>
      </c>
      <c r="Z847" s="23" t="str">
        <f aca="false">IF(F847="COMMERCIAL","VERIFY SIGNED AGREEMENT","NO EXCEPTION")</f>
        <v>NO EXCEPTION</v>
      </c>
      <c r="AA847" s="23" t="str">
        <f aca="false">IF(AND(C847="covered",N847&gt;40),"COVERED &gt;40 FT","")</f>
        <v/>
      </c>
      <c r="AB847" s="23" t="s">
        <v>4705</v>
      </c>
      <c r="AC847" s="23" t="s">
        <v>7113</v>
      </c>
      <c r="AD847" s="23" t="s">
        <v>2807</v>
      </c>
    </row>
    <row r="848" customFormat="false" ht="17.9" hidden="false" customHeight="false" outlineLevel="0" collapsed="false">
      <c r="A848" s="20" t="s">
        <v>766</v>
      </c>
      <c r="B848" s="20" t="s">
        <v>166</v>
      </c>
      <c r="C848" s="20" t="s">
        <v>2798</v>
      </c>
      <c r="D848" s="20" t="s">
        <v>7114</v>
      </c>
      <c r="E848" s="20" t="s">
        <v>7115</v>
      </c>
      <c r="F848" s="20" t="s">
        <v>2857</v>
      </c>
      <c r="G848" s="20" t="s">
        <v>6127</v>
      </c>
      <c r="H848" s="22" t="n">
        <v>43.8</v>
      </c>
      <c r="I848" s="22" t="n">
        <v>43.8</v>
      </c>
      <c r="J848" s="22" t="n">
        <f aca="false">H848-I848</f>
        <v>0</v>
      </c>
      <c r="K848" s="20" t="str">
        <f aca="false">IF(ABS(J848)&lt;0.001,"MATCH - PAPER CHECK-IN NOT SUPPLIED","DATA MISMATCH")</f>
        <v>MATCH - PAPER CHECK-IN NOT SUPPLIED</v>
      </c>
      <c r="L848" s="22" t="n">
        <v>24</v>
      </c>
      <c r="M848" s="22" t="n">
        <f aca="false">ROUNDUP(H848,0)</f>
        <v>44</v>
      </c>
      <c r="N848" s="24" t="n">
        <f aca="false">MAX(L848,M848)</f>
        <v>44</v>
      </c>
      <c r="O848" s="25" t="n">
        <v>7.55</v>
      </c>
      <c r="P848" s="25" t="n">
        <f aca="false">N848*O848</f>
        <v>332.2</v>
      </c>
      <c r="Q848" s="23"/>
      <c r="R848" s="23"/>
      <c r="S848" s="24"/>
      <c r="T848" s="25"/>
      <c r="U848" s="25" t="n">
        <v>0</v>
      </c>
      <c r="V848" s="25" t="n">
        <f aca="false">P848-U848</f>
        <v>332.2</v>
      </c>
      <c r="W848" s="25" t="n">
        <f aca="false">V848*12</f>
        <v>3986.4</v>
      </c>
      <c r="X848" s="23" t="str">
        <f aca="false">IF(Q848="","MISSING FROM EXPORT",IF(ABS(V848)&lt;0.005,"CLEAR",IF(V848&gt;0,"UNDERBILLING","OVERBILLING")))</f>
        <v>MISSING FROM EXPORT</v>
      </c>
      <c r="Y848" s="25" t="n">
        <f aca="false">IF(F848="COMMERCIAL",ROUND(P848*0.35,2),0)</f>
        <v>0</v>
      </c>
      <c r="Z848" s="23" t="str">
        <f aca="false">IF(F848="COMMERCIAL","VERIFY SIGNED AGREEMENT","NO EXCEPTION")</f>
        <v>NO EXCEPTION</v>
      </c>
      <c r="AA848" s="23" t="str">
        <f aca="false">IF(AND(C848="covered",N848&gt;40),"COVERED &gt;40 FT","")</f>
        <v/>
      </c>
      <c r="AB848" s="23" t="s">
        <v>4705</v>
      </c>
      <c r="AC848" s="23" t="s">
        <v>7116</v>
      </c>
      <c r="AD848" s="23" t="s">
        <v>2807</v>
      </c>
    </row>
    <row r="849" customFormat="false" ht="17.9" hidden="false" customHeight="false" outlineLevel="0" collapsed="false">
      <c r="A849" s="20" t="s">
        <v>7117</v>
      </c>
      <c r="B849" s="20" t="s">
        <v>166</v>
      </c>
      <c r="C849" s="20" t="s">
        <v>2798</v>
      </c>
      <c r="D849" s="20" t="s">
        <v>7118</v>
      </c>
      <c r="E849" s="20" t="s">
        <v>7119</v>
      </c>
      <c r="F849" s="20" t="s">
        <v>2833</v>
      </c>
      <c r="G849" s="20" t="s">
        <v>3935</v>
      </c>
      <c r="H849" s="22" t="n">
        <v>44.7</v>
      </c>
      <c r="I849" s="22" t="n">
        <v>44.7</v>
      </c>
      <c r="J849" s="22" t="n">
        <f aca="false">H849-I849</f>
        <v>0</v>
      </c>
      <c r="K849" s="20" t="str">
        <f aca="false">IF(ABS(J849)&lt;0.001,"MATCH - PAPER CHECK-IN NOT SUPPLIED","DATA MISMATCH")</f>
        <v>MATCH - PAPER CHECK-IN NOT SUPPLIED</v>
      </c>
      <c r="L849" s="22" t="n">
        <v>45</v>
      </c>
      <c r="M849" s="22" t="n">
        <f aca="false">ROUNDUP(H849,0)</f>
        <v>45</v>
      </c>
      <c r="N849" s="24" t="n">
        <f aca="false">MAX(L849,M849)</f>
        <v>45</v>
      </c>
      <c r="O849" s="25" t="n">
        <v>7.55</v>
      </c>
      <c r="P849" s="25" t="n">
        <f aca="false">N849*O849</f>
        <v>339.75</v>
      </c>
      <c r="Q849" s="23"/>
      <c r="R849" s="23"/>
      <c r="S849" s="24"/>
      <c r="T849" s="25"/>
      <c r="U849" s="25" t="n">
        <v>0</v>
      </c>
      <c r="V849" s="25" t="n">
        <f aca="false">P849-U849</f>
        <v>339.75</v>
      </c>
      <c r="W849" s="25" t="n">
        <f aca="false">V849*12</f>
        <v>4077</v>
      </c>
      <c r="X849" s="23" t="str">
        <f aca="false">IF(Q849="","MISSING FROM EXPORT",IF(ABS(V849)&lt;0.005,"CLEAR",IF(V849&gt;0,"UNDERBILLING","OVERBILLING")))</f>
        <v>MISSING FROM EXPORT</v>
      </c>
      <c r="Y849" s="25" t="n">
        <f aca="false">IF(F849="COMMERCIAL",ROUND(P849*0.35,2),0)</f>
        <v>0</v>
      </c>
      <c r="Z849" s="23" t="str">
        <f aca="false">IF(F849="COMMERCIAL","VERIFY SIGNED AGREEMENT","NO EXCEPTION")</f>
        <v>NO EXCEPTION</v>
      </c>
      <c r="AA849" s="23" t="str">
        <f aca="false">IF(AND(C849="covered",N849&gt;40),"COVERED &gt;40 FT","")</f>
        <v/>
      </c>
      <c r="AB849" s="23" t="s">
        <v>4705</v>
      </c>
      <c r="AC849" s="23" t="s">
        <v>7120</v>
      </c>
      <c r="AD849" s="23" t="s">
        <v>2807</v>
      </c>
    </row>
    <row r="850" customFormat="false" ht="17.9" hidden="false" customHeight="false" outlineLevel="0" collapsed="false">
      <c r="A850" s="20" t="s">
        <v>277</v>
      </c>
      <c r="B850" s="20" t="s">
        <v>166</v>
      </c>
      <c r="C850" s="20" t="s">
        <v>2798</v>
      </c>
      <c r="D850" s="20" t="s">
        <v>7121</v>
      </c>
      <c r="E850" s="20" t="s">
        <v>7122</v>
      </c>
      <c r="F850" s="20" t="s">
        <v>2857</v>
      </c>
      <c r="G850" s="20" t="s">
        <v>3946</v>
      </c>
      <c r="H850" s="22" t="n">
        <v>31.9</v>
      </c>
      <c r="I850" s="22" t="n">
        <v>31.9</v>
      </c>
      <c r="J850" s="22" t="n">
        <f aca="false">H850-I850</f>
        <v>0</v>
      </c>
      <c r="K850" s="20" t="str">
        <f aca="false">IF(ABS(J850)&lt;0.001,"MATCH - PAPER CHECK-IN NOT SUPPLIED","DATA MISMATCH")</f>
        <v>MATCH - PAPER CHECK-IN NOT SUPPLIED</v>
      </c>
      <c r="L850" s="22" t="n">
        <v>80</v>
      </c>
      <c r="M850" s="22" t="n">
        <f aca="false">ROUNDUP(H850,0)</f>
        <v>32</v>
      </c>
      <c r="N850" s="24" t="n">
        <f aca="false">MAX(L850,M850)</f>
        <v>80</v>
      </c>
      <c r="O850" s="25" t="n">
        <v>7.55</v>
      </c>
      <c r="P850" s="25" t="n">
        <f aca="false">N850*O850</f>
        <v>604</v>
      </c>
      <c r="Q850" s="23"/>
      <c r="R850" s="23"/>
      <c r="S850" s="24"/>
      <c r="T850" s="25"/>
      <c r="U850" s="25" t="n">
        <v>0</v>
      </c>
      <c r="V850" s="25" t="n">
        <f aca="false">P850-U850</f>
        <v>604</v>
      </c>
      <c r="W850" s="25" t="n">
        <f aca="false">V850*12</f>
        <v>7248</v>
      </c>
      <c r="X850" s="23" t="str">
        <f aca="false">IF(Q850="","MISSING FROM EXPORT",IF(ABS(V850)&lt;0.005,"CLEAR",IF(V850&gt;0,"UNDERBILLING","OVERBILLING")))</f>
        <v>MISSING FROM EXPORT</v>
      </c>
      <c r="Y850" s="25" t="n">
        <f aca="false">IF(F850="COMMERCIAL",ROUND(P850*0.35,2),0)</f>
        <v>0</v>
      </c>
      <c r="Z850" s="23" t="str">
        <f aca="false">IF(F850="COMMERCIAL","VERIFY SIGNED AGREEMENT","NO EXCEPTION")</f>
        <v>NO EXCEPTION</v>
      </c>
      <c r="AA850" s="23" t="str">
        <f aca="false">IF(AND(C850="covered",N850&gt;40),"COVERED &gt;40 FT","")</f>
        <v/>
      </c>
      <c r="AB850" s="23" t="s">
        <v>4705</v>
      </c>
      <c r="AC850" s="23" t="s">
        <v>7123</v>
      </c>
      <c r="AD850" s="23" t="s">
        <v>2807</v>
      </c>
    </row>
    <row r="851" customFormat="false" ht="17.9" hidden="false" customHeight="false" outlineLevel="0" collapsed="false">
      <c r="A851" s="20" t="s">
        <v>7124</v>
      </c>
      <c r="B851" s="20" t="s">
        <v>166</v>
      </c>
      <c r="C851" s="20" t="s">
        <v>2798</v>
      </c>
      <c r="D851" s="20" t="s">
        <v>2350</v>
      </c>
      <c r="E851" s="20" t="s">
        <v>2351</v>
      </c>
      <c r="F851" s="20" t="s">
        <v>2833</v>
      </c>
      <c r="G851" s="20" t="s">
        <v>3953</v>
      </c>
      <c r="H851" s="22" t="n">
        <v>59.4</v>
      </c>
      <c r="I851" s="22" t="n">
        <v>59.4</v>
      </c>
      <c r="J851" s="22" t="n">
        <f aca="false">H851-I851</f>
        <v>0</v>
      </c>
      <c r="K851" s="20" t="str">
        <f aca="false">IF(ABS(J851)&lt;0.001,"MATCH - PAPER CHECK-IN NOT SUPPLIED","DATA MISMATCH")</f>
        <v>MATCH - PAPER CHECK-IN NOT SUPPLIED</v>
      </c>
      <c r="L851" s="22" t="n">
        <v>80</v>
      </c>
      <c r="M851" s="22" t="n">
        <f aca="false">ROUNDUP(H851,0)</f>
        <v>60</v>
      </c>
      <c r="N851" s="24" t="n">
        <f aca="false">MAX(L851,M851)</f>
        <v>80</v>
      </c>
      <c r="O851" s="25" t="n">
        <v>7.55</v>
      </c>
      <c r="P851" s="25" t="n">
        <f aca="false">N851*O851</f>
        <v>604</v>
      </c>
      <c r="Q851" s="23"/>
      <c r="R851" s="23"/>
      <c r="S851" s="24"/>
      <c r="T851" s="25"/>
      <c r="U851" s="25" t="n">
        <v>0</v>
      </c>
      <c r="V851" s="25" t="n">
        <f aca="false">P851-U851</f>
        <v>604</v>
      </c>
      <c r="W851" s="25" t="n">
        <f aca="false">V851*12</f>
        <v>7248</v>
      </c>
      <c r="X851" s="23" t="str">
        <f aca="false">IF(Q851="","MISSING FROM EXPORT",IF(ABS(V851)&lt;0.005,"CLEAR",IF(V851&gt;0,"UNDERBILLING","OVERBILLING")))</f>
        <v>MISSING FROM EXPORT</v>
      </c>
      <c r="Y851" s="25" t="n">
        <f aca="false">IF(F851="COMMERCIAL",ROUND(P851*0.35,2),0)</f>
        <v>0</v>
      </c>
      <c r="Z851" s="23" t="str">
        <f aca="false">IF(F851="COMMERCIAL","VERIFY SIGNED AGREEMENT","NO EXCEPTION")</f>
        <v>NO EXCEPTION</v>
      </c>
      <c r="AA851" s="23" t="str">
        <f aca="false">IF(AND(C851="covered",N851&gt;40),"COVERED &gt;40 FT","")</f>
        <v/>
      </c>
      <c r="AB851" s="23" t="s">
        <v>4705</v>
      </c>
      <c r="AC851" s="23" t="s">
        <v>7125</v>
      </c>
      <c r="AD851" s="23" t="s">
        <v>2807</v>
      </c>
    </row>
    <row r="852" customFormat="false" ht="17.9" hidden="false" customHeight="false" outlineLevel="0" collapsed="false">
      <c r="A852" s="20" t="s">
        <v>1882</v>
      </c>
      <c r="B852" s="20" t="s">
        <v>166</v>
      </c>
      <c r="C852" s="20" t="s">
        <v>2798</v>
      </c>
      <c r="D852" s="20" t="s">
        <v>7126</v>
      </c>
      <c r="E852" s="20" t="s">
        <v>7127</v>
      </c>
      <c r="F852" s="20" t="s">
        <v>2818</v>
      </c>
      <c r="G852" s="20" t="s">
        <v>3960</v>
      </c>
      <c r="H852" s="22" t="n">
        <v>42.9</v>
      </c>
      <c r="I852" s="22" t="n">
        <v>42.9</v>
      </c>
      <c r="J852" s="22" t="n">
        <f aca="false">H852-I852</f>
        <v>0</v>
      </c>
      <c r="K852" s="20" t="str">
        <f aca="false">IF(ABS(J852)&lt;0.001,"MATCH - PAPER CHECK-IN NOT SUPPLIED","DATA MISMATCH")</f>
        <v>MATCH - PAPER CHECK-IN NOT SUPPLIED</v>
      </c>
      <c r="L852" s="22" t="n">
        <v>32</v>
      </c>
      <c r="M852" s="22" t="n">
        <f aca="false">ROUNDUP(H852,0)</f>
        <v>43</v>
      </c>
      <c r="N852" s="24" t="n">
        <f aca="false">MAX(L852,M852)</f>
        <v>43</v>
      </c>
      <c r="O852" s="25" t="n">
        <v>7.55</v>
      </c>
      <c r="P852" s="25" t="n">
        <f aca="false">N852*O852</f>
        <v>324.65</v>
      </c>
      <c r="Q852" s="23"/>
      <c r="R852" s="23"/>
      <c r="S852" s="24"/>
      <c r="T852" s="25"/>
      <c r="U852" s="25" t="n">
        <v>0</v>
      </c>
      <c r="V852" s="25" t="n">
        <f aca="false">P852-U852</f>
        <v>324.65</v>
      </c>
      <c r="W852" s="25" t="n">
        <f aca="false">V852*12</f>
        <v>3895.8</v>
      </c>
      <c r="X852" s="23" t="str">
        <f aca="false">IF(Q852="","MISSING FROM EXPORT",IF(ABS(V852)&lt;0.005,"CLEAR",IF(V852&gt;0,"UNDERBILLING","OVERBILLING")))</f>
        <v>MISSING FROM EXPORT</v>
      </c>
      <c r="Y852" s="25" t="n">
        <f aca="false">IF(F852="COMMERCIAL",ROUND(P852*0.35,2),0)</f>
        <v>0</v>
      </c>
      <c r="Z852" s="23" t="str">
        <f aca="false">IF(F852="COMMERCIAL","VERIFY SIGNED AGREEMENT","NO EXCEPTION")</f>
        <v>NO EXCEPTION</v>
      </c>
      <c r="AA852" s="23" t="str">
        <f aca="false">IF(AND(C852="covered",N852&gt;40),"COVERED &gt;40 FT","")</f>
        <v/>
      </c>
      <c r="AB852" s="23" t="s">
        <v>4705</v>
      </c>
      <c r="AC852" s="23" t="s">
        <v>7128</v>
      </c>
      <c r="AD852" s="23" t="s">
        <v>2807</v>
      </c>
    </row>
    <row r="853" customFormat="false" ht="17.9" hidden="false" customHeight="false" outlineLevel="0" collapsed="false">
      <c r="A853" s="20" t="s">
        <v>7129</v>
      </c>
      <c r="B853" s="20" t="s">
        <v>166</v>
      </c>
      <c r="C853" s="20" t="s">
        <v>2798</v>
      </c>
      <c r="D853" s="20" t="s">
        <v>7130</v>
      </c>
      <c r="E853" s="20" t="s">
        <v>7131</v>
      </c>
      <c r="F853" s="20" t="s">
        <v>2833</v>
      </c>
      <c r="G853" s="20" t="s">
        <v>3967</v>
      </c>
      <c r="H853" s="22" t="n">
        <v>44</v>
      </c>
      <c r="I853" s="22" t="n">
        <v>44</v>
      </c>
      <c r="J853" s="22" t="n">
        <f aca="false">H853-I853</f>
        <v>0</v>
      </c>
      <c r="K853" s="20" t="str">
        <f aca="false">IF(ABS(J853)&lt;0.001,"MATCH - PAPER CHECK-IN NOT SUPPLIED","DATA MISMATCH")</f>
        <v>MATCH - PAPER CHECK-IN NOT SUPPLIED</v>
      </c>
      <c r="L853" s="22" t="n">
        <v>36</v>
      </c>
      <c r="M853" s="22" t="n">
        <f aca="false">ROUNDUP(H853,0)</f>
        <v>44</v>
      </c>
      <c r="N853" s="24" t="n">
        <f aca="false">MAX(L853,M853)</f>
        <v>44</v>
      </c>
      <c r="O853" s="25" t="n">
        <v>7.55</v>
      </c>
      <c r="P853" s="25" t="n">
        <f aca="false">N853*O853</f>
        <v>332.2</v>
      </c>
      <c r="Q853" s="23"/>
      <c r="R853" s="23"/>
      <c r="S853" s="24"/>
      <c r="T853" s="25"/>
      <c r="U853" s="25" t="n">
        <v>0</v>
      </c>
      <c r="V853" s="25" t="n">
        <f aca="false">P853-U853</f>
        <v>332.2</v>
      </c>
      <c r="W853" s="25" t="n">
        <f aca="false">V853*12</f>
        <v>3986.4</v>
      </c>
      <c r="X853" s="23" t="str">
        <f aca="false">IF(Q853="","MISSING FROM EXPORT",IF(ABS(V853)&lt;0.005,"CLEAR",IF(V853&gt;0,"UNDERBILLING","OVERBILLING")))</f>
        <v>MISSING FROM EXPORT</v>
      </c>
      <c r="Y853" s="25" t="n">
        <f aca="false">IF(F853="COMMERCIAL",ROUND(P853*0.35,2),0)</f>
        <v>0</v>
      </c>
      <c r="Z853" s="23" t="str">
        <f aca="false">IF(F853="COMMERCIAL","VERIFY SIGNED AGREEMENT","NO EXCEPTION")</f>
        <v>NO EXCEPTION</v>
      </c>
      <c r="AA853" s="23" t="str">
        <f aca="false">IF(AND(C853="covered",N853&gt;40),"COVERED &gt;40 FT","")</f>
        <v/>
      </c>
      <c r="AB853" s="23" t="s">
        <v>4705</v>
      </c>
      <c r="AC853" s="23" t="s">
        <v>7132</v>
      </c>
      <c r="AD853" s="23" t="s">
        <v>2807</v>
      </c>
    </row>
    <row r="854" customFormat="false" ht="17.9" hidden="false" customHeight="false" outlineLevel="0" collapsed="false">
      <c r="A854" s="20" t="s">
        <v>1670</v>
      </c>
      <c r="B854" s="20" t="s">
        <v>166</v>
      </c>
      <c r="C854" s="20" t="s">
        <v>2798</v>
      </c>
      <c r="D854" s="20" t="s">
        <v>7133</v>
      </c>
      <c r="E854" s="20" t="s">
        <v>7134</v>
      </c>
      <c r="F854" s="20" t="s">
        <v>2801</v>
      </c>
      <c r="G854" s="20" t="s">
        <v>3980</v>
      </c>
      <c r="H854" s="22" t="n">
        <v>53.6</v>
      </c>
      <c r="I854" s="22" t="n">
        <v>53.6</v>
      </c>
      <c r="J854" s="22" t="n">
        <f aca="false">H854-I854</f>
        <v>0</v>
      </c>
      <c r="K854" s="20" t="str">
        <f aca="false">IF(ABS(J854)&lt;0.001,"MATCH - PAPER CHECK-IN NOT SUPPLIED","DATA MISMATCH")</f>
        <v>MATCH - PAPER CHECK-IN NOT SUPPLIED</v>
      </c>
      <c r="L854" s="22" t="n">
        <v>36</v>
      </c>
      <c r="M854" s="22" t="n">
        <f aca="false">ROUNDUP(H854,0)</f>
        <v>54</v>
      </c>
      <c r="N854" s="24" t="n">
        <f aca="false">MAX(L854,M854)</f>
        <v>54</v>
      </c>
      <c r="O854" s="25" t="n">
        <v>7.55</v>
      </c>
      <c r="P854" s="25" t="n">
        <f aca="false">N854*O854</f>
        <v>407.7</v>
      </c>
      <c r="Q854" s="23"/>
      <c r="R854" s="23"/>
      <c r="S854" s="24"/>
      <c r="T854" s="25"/>
      <c r="U854" s="25" t="n">
        <v>0</v>
      </c>
      <c r="V854" s="25" t="n">
        <f aca="false">P854-U854</f>
        <v>407.7</v>
      </c>
      <c r="W854" s="25" t="n">
        <f aca="false">V854*12</f>
        <v>4892.4</v>
      </c>
      <c r="X854" s="23" t="str">
        <f aca="false">IF(Q854="","MISSING FROM EXPORT",IF(ABS(V854)&lt;0.005,"CLEAR",IF(V854&gt;0,"UNDERBILLING","OVERBILLING")))</f>
        <v>MISSING FROM EXPORT</v>
      </c>
      <c r="Y854" s="25" t="n">
        <f aca="false">IF(F854="COMMERCIAL",ROUND(P854*0.35,2),0)</f>
        <v>0</v>
      </c>
      <c r="Z854" s="23" t="str">
        <f aca="false">IF(F854="COMMERCIAL","VERIFY SIGNED AGREEMENT","NO EXCEPTION")</f>
        <v>NO EXCEPTION</v>
      </c>
      <c r="AA854" s="23" t="str">
        <f aca="false">IF(AND(C854="covered",N854&gt;40),"COVERED &gt;40 FT","")</f>
        <v/>
      </c>
      <c r="AB854" s="23" t="s">
        <v>4705</v>
      </c>
      <c r="AC854" s="23" t="s">
        <v>7135</v>
      </c>
      <c r="AD854" s="23" t="s">
        <v>2807</v>
      </c>
    </row>
    <row r="855" customFormat="false" ht="17.9" hidden="false" customHeight="false" outlineLevel="0" collapsed="false">
      <c r="A855" s="20" t="s">
        <v>7136</v>
      </c>
      <c r="B855" s="20" t="s">
        <v>166</v>
      </c>
      <c r="C855" s="20" t="s">
        <v>2798</v>
      </c>
      <c r="D855" s="20" t="s">
        <v>7137</v>
      </c>
      <c r="E855" s="20" t="s">
        <v>7138</v>
      </c>
      <c r="F855" s="20" t="s">
        <v>2857</v>
      </c>
      <c r="G855" s="20" t="s">
        <v>3986</v>
      </c>
      <c r="H855" s="22" t="n">
        <v>52.9</v>
      </c>
      <c r="I855" s="22" t="n">
        <v>52.9</v>
      </c>
      <c r="J855" s="22" t="n">
        <f aca="false">H855-I855</f>
        <v>0</v>
      </c>
      <c r="K855" s="20" t="str">
        <f aca="false">IF(ABS(J855)&lt;0.001,"MATCH - PAPER CHECK-IN NOT SUPPLIED","DATA MISMATCH")</f>
        <v>MATCH - PAPER CHECK-IN NOT SUPPLIED</v>
      </c>
      <c r="L855" s="22" t="n">
        <v>24</v>
      </c>
      <c r="M855" s="22" t="n">
        <f aca="false">ROUNDUP(H855,0)</f>
        <v>53</v>
      </c>
      <c r="N855" s="24" t="n">
        <f aca="false">MAX(L855,M855)</f>
        <v>53</v>
      </c>
      <c r="O855" s="25" t="n">
        <v>7.55</v>
      </c>
      <c r="P855" s="25" t="n">
        <f aca="false">N855*O855</f>
        <v>400.15</v>
      </c>
      <c r="Q855" s="23"/>
      <c r="R855" s="23"/>
      <c r="S855" s="24"/>
      <c r="T855" s="25"/>
      <c r="U855" s="25" t="n">
        <v>0</v>
      </c>
      <c r="V855" s="25" t="n">
        <f aca="false">P855-U855</f>
        <v>400.15</v>
      </c>
      <c r="W855" s="25" t="n">
        <f aca="false">V855*12</f>
        <v>4801.8</v>
      </c>
      <c r="X855" s="23" t="str">
        <f aca="false">IF(Q855="","MISSING FROM EXPORT",IF(ABS(V855)&lt;0.005,"CLEAR",IF(V855&gt;0,"UNDERBILLING","OVERBILLING")))</f>
        <v>MISSING FROM EXPORT</v>
      </c>
      <c r="Y855" s="25" t="n">
        <f aca="false">IF(F855="COMMERCIAL",ROUND(P855*0.35,2),0)</f>
        <v>0</v>
      </c>
      <c r="Z855" s="23" t="str">
        <f aca="false">IF(F855="COMMERCIAL","VERIFY SIGNED AGREEMENT","NO EXCEPTION")</f>
        <v>NO EXCEPTION</v>
      </c>
      <c r="AA855" s="23" t="str">
        <f aca="false">IF(AND(C855="covered",N855&gt;40),"COVERED &gt;40 FT","")</f>
        <v/>
      </c>
      <c r="AB855" s="23" t="s">
        <v>4705</v>
      </c>
      <c r="AC855" s="23" t="s">
        <v>7139</v>
      </c>
      <c r="AD855" s="23" t="s">
        <v>2807</v>
      </c>
    </row>
    <row r="856" customFormat="false" ht="17.9" hidden="false" customHeight="false" outlineLevel="0" collapsed="false">
      <c r="A856" s="20" t="s">
        <v>7140</v>
      </c>
      <c r="B856" s="20" t="s">
        <v>166</v>
      </c>
      <c r="C856" s="20" t="s">
        <v>2798</v>
      </c>
      <c r="D856" s="20" t="s">
        <v>7141</v>
      </c>
      <c r="E856" s="20" t="s">
        <v>7142</v>
      </c>
      <c r="F856" s="20" t="s">
        <v>2857</v>
      </c>
      <c r="G856" s="20" t="s">
        <v>3991</v>
      </c>
      <c r="H856" s="22" t="n">
        <v>61.1</v>
      </c>
      <c r="I856" s="22" t="n">
        <v>61.1</v>
      </c>
      <c r="J856" s="22" t="n">
        <f aca="false">H856-I856</f>
        <v>0</v>
      </c>
      <c r="K856" s="20" t="str">
        <f aca="false">IF(ABS(J856)&lt;0.001,"MATCH - PAPER CHECK-IN NOT SUPPLIED","DATA MISMATCH")</f>
        <v>MATCH - PAPER CHECK-IN NOT SUPPLIED</v>
      </c>
      <c r="L856" s="22" t="n">
        <v>28</v>
      </c>
      <c r="M856" s="22" t="n">
        <f aca="false">ROUNDUP(H856,0)</f>
        <v>62</v>
      </c>
      <c r="N856" s="24" t="n">
        <f aca="false">MAX(L856,M856)</f>
        <v>62</v>
      </c>
      <c r="O856" s="25" t="n">
        <v>7.55</v>
      </c>
      <c r="P856" s="25" t="n">
        <f aca="false">N856*O856</f>
        <v>468.1</v>
      </c>
      <c r="Q856" s="23"/>
      <c r="R856" s="23"/>
      <c r="S856" s="24"/>
      <c r="T856" s="25"/>
      <c r="U856" s="25" t="n">
        <v>0</v>
      </c>
      <c r="V856" s="25" t="n">
        <f aca="false">P856-U856</f>
        <v>468.1</v>
      </c>
      <c r="W856" s="25" t="n">
        <f aca="false">V856*12</f>
        <v>5617.2</v>
      </c>
      <c r="X856" s="23" t="str">
        <f aca="false">IF(Q856="","MISSING FROM EXPORT",IF(ABS(V856)&lt;0.005,"CLEAR",IF(V856&gt;0,"UNDERBILLING","OVERBILLING")))</f>
        <v>MISSING FROM EXPORT</v>
      </c>
      <c r="Y856" s="25" t="n">
        <f aca="false">IF(F856="COMMERCIAL",ROUND(P856*0.35,2),0)</f>
        <v>0</v>
      </c>
      <c r="Z856" s="23" t="str">
        <f aca="false">IF(F856="COMMERCIAL","VERIFY SIGNED AGREEMENT","NO EXCEPTION")</f>
        <v>NO EXCEPTION</v>
      </c>
      <c r="AA856" s="23" t="str">
        <f aca="false">IF(AND(C856="covered",N856&gt;40),"COVERED &gt;40 FT","")</f>
        <v/>
      </c>
      <c r="AB856" s="23" t="s">
        <v>4705</v>
      </c>
      <c r="AC856" s="23" t="s">
        <v>7143</v>
      </c>
      <c r="AD856" s="23" t="s">
        <v>2807</v>
      </c>
    </row>
    <row r="857" customFormat="false" ht="17.9" hidden="false" customHeight="false" outlineLevel="0" collapsed="false">
      <c r="A857" s="20" t="s">
        <v>1682</v>
      </c>
      <c r="B857" s="20" t="s">
        <v>166</v>
      </c>
      <c r="C857" s="20" t="s">
        <v>2798</v>
      </c>
      <c r="D857" s="20" t="s">
        <v>547</v>
      </c>
      <c r="E857" s="20" t="s">
        <v>548</v>
      </c>
      <c r="F857" s="20" t="s">
        <v>2833</v>
      </c>
      <c r="G857" s="20" t="s">
        <v>3998</v>
      </c>
      <c r="H857" s="22" t="n">
        <v>52.6</v>
      </c>
      <c r="I857" s="22" t="n">
        <v>52.6</v>
      </c>
      <c r="J857" s="22" t="n">
        <f aca="false">H857-I857</f>
        <v>0</v>
      </c>
      <c r="K857" s="20" t="str">
        <f aca="false">IF(ABS(J857)&lt;0.001,"MATCH - PAPER CHECK-IN NOT SUPPLIED","DATA MISMATCH")</f>
        <v>MATCH - PAPER CHECK-IN NOT SUPPLIED</v>
      </c>
      <c r="L857" s="22" t="n">
        <v>28</v>
      </c>
      <c r="M857" s="22" t="n">
        <f aca="false">ROUNDUP(H857,0)</f>
        <v>53</v>
      </c>
      <c r="N857" s="24" t="n">
        <f aca="false">MAX(L857,M857)</f>
        <v>53</v>
      </c>
      <c r="O857" s="25" t="n">
        <v>7.55</v>
      </c>
      <c r="P857" s="25" t="n">
        <f aca="false">N857*O857</f>
        <v>400.15</v>
      </c>
      <c r="Q857" s="23"/>
      <c r="R857" s="23"/>
      <c r="S857" s="24"/>
      <c r="T857" s="25"/>
      <c r="U857" s="25" t="n">
        <v>0</v>
      </c>
      <c r="V857" s="25" t="n">
        <f aca="false">P857-U857</f>
        <v>400.15</v>
      </c>
      <c r="W857" s="25" t="n">
        <f aca="false">V857*12</f>
        <v>4801.8</v>
      </c>
      <c r="X857" s="23" t="str">
        <f aca="false">IF(Q857="","MISSING FROM EXPORT",IF(ABS(V857)&lt;0.005,"CLEAR",IF(V857&gt;0,"UNDERBILLING","OVERBILLING")))</f>
        <v>MISSING FROM EXPORT</v>
      </c>
      <c r="Y857" s="25" t="n">
        <f aca="false">IF(F857="COMMERCIAL",ROUND(P857*0.35,2),0)</f>
        <v>0</v>
      </c>
      <c r="Z857" s="23" t="str">
        <f aca="false">IF(F857="COMMERCIAL","VERIFY SIGNED AGREEMENT","NO EXCEPTION")</f>
        <v>NO EXCEPTION</v>
      </c>
      <c r="AA857" s="23" t="str">
        <f aca="false">IF(AND(C857="covered",N857&gt;40),"COVERED &gt;40 FT","")</f>
        <v/>
      </c>
      <c r="AB857" s="23" t="s">
        <v>4705</v>
      </c>
      <c r="AC857" s="23" t="s">
        <v>7144</v>
      </c>
      <c r="AD857" s="23" t="s">
        <v>2807</v>
      </c>
    </row>
    <row r="858" customFormat="false" ht="17.9" hidden="false" customHeight="false" outlineLevel="0" collapsed="false">
      <c r="A858" s="20" t="s">
        <v>7145</v>
      </c>
      <c r="B858" s="20" t="s">
        <v>166</v>
      </c>
      <c r="C858" s="20" t="s">
        <v>2798</v>
      </c>
      <c r="D858" s="20" t="s">
        <v>7146</v>
      </c>
      <c r="E858" s="20" t="s">
        <v>7147</v>
      </c>
      <c r="F858" s="20" t="s">
        <v>2898</v>
      </c>
      <c r="G858" s="20" t="s">
        <v>4005</v>
      </c>
      <c r="H858" s="22" t="n">
        <v>58.2</v>
      </c>
      <c r="I858" s="22" t="n">
        <v>58.2</v>
      </c>
      <c r="J858" s="22" t="n">
        <f aca="false">H858-I858</f>
        <v>0</v>
      </c>
      <c r="K858" s="20" t="str">
        <f aca="false">IF(ABS(J858)&lt;0.001,"MATCH - PAPER CHECK-IN NOT SUPPLIED","DATA MISMATCH")</f>
        <v>MATCH - PAPER CHECK-IN NOT SUPPLIED</v>
      </c>
      <c r="L858" s="22" t="n">
        <v>32</v>
      </c>
      <c r="M858" s="22" t="n">
        <f aca="false">ROUNDUP(H858,0)</f>
        <v>59</v>
      </c>
      <c r="N858" s="24" t="n">
        <f aca="false">MAX(L858,M858)</f>
        <v>59</v>
      </c>
      <c r="O858" s="25" t="n">
        <v>7.55</v>
      </c>
      <c r="P858" s="25" t="n">
        <f aca="false">N858*O858</f>
        <v>445.45</v>
      </c>
      <c r="Q858" s="23"/>
      <c r="R858" s="23"/>
      <c r="S858" s="24"/>
      <c r="T858" s="25"/>
      <c r="U858" s="25" t="n">
        <v>0</v>
      </c>
      <c r="V858" s="25" t="n">
        <f aca="false">P858-U858</f>
        <v>445.45</v>
      </c>
      <c r="W858" s="25" t="n">
        <f aca="false">V858*12</f>
        <v>5345.4</v>
      </c>
      <c r="X858" s="23" t="str">
        <f aca="false">IF(Q858="","MISSING FROM EXPORT",IF(ABS(V858)&lt;0.005,"CLEAR",IF(V858&gt;0,"UNDERBILLING","OVERBILLING")))</f>
        <v>MISSING FROM EXPORT</v>
      </c>
      <c r="Y858" s="25" t="n">
        <f aca="false">IF(F858="COMMERCIAL",ROUND(P858*0.35,2),0)</f>
        <v>0</v>
      </c>
      <c r="Z858" s="23" t="str">
        <f aca="false">IF(F858="COMMERCIAL","VERIFY SIGNED AGREEMENT","NO EXCEPTION")</f>
        <v>NO EXCEPTION</v>
      </c>
      <c r="AA858" s="23" t="str">
        <f aca="false">IF(AND(C858="covered",N858&gt;40),"COVERED &gt;40 FT","")</f>
        <v/>
      </c>
      <c r="AB858" s="23" t="s">
        <v>4705</v>
      </c>
      <c r="AC858" s="23" t="s">
        <v>7148</v>
      </c>
      <c r="AD858" s="23" t="s">
        <v>2807</v>
      </c>
    </row>
    <row r="859" customFormat="false" ht="17.9" hidden="false" customHeight="false" outlineLevel="0" collapsed="false">
      <c r="A859" s="20" t="s">
        <v>7149</v>
      </c>
      <c r="B859" s="20" t="s">
        <v>166</v>
      </c>
      <c r="C859" s="20" t="s">
        <v>2798</v>
      </c>
      <c r="D859" s="20" t="s">
        <v>7150</v>
      </c>
      <c r="E859" s="20" t="s">
        <v>7151</v>
      </c>
      <c r="F859" s="20" t="s">
        <v>2898</v>
      </c>
      <c r="G859" s="20" t="s">
        <v>4012</v>
      </c>
      <c r="H859" s="22" t="n">
        <v>57.3</v>
      </c>
      <c r="I859" s="22" t="n">
        <v>57.3</v>
      </c>
      <c r="J859" s="22" t="n">
        <f aca="false">H859-I859</f>
        <v>0</v>
      </c>
      <c r="K859" s="20" t="str">
        <f aca="false">IF(ABS(J859)&lt;0.001,"MATCH - PAPER CHECK-IN NOT SUPPLIED","DATA MISMATCH")</f>
        <v>MATCH - PAPER CHECK-IN NOT SUPPLIED</v>
      </c>
      <c r="L859" s="22" t="n">
        <v>28</v>
      </c>
      <c r="M859" s="22" t="n">
        <f aca="false">ROUNDUP(H859,0)</f>
        <v>58</v>
      </c>
      <c r="N859" s="24" t="n">
        <f aca="false">MAX(L859,M859)</f>
        <v>58</v>
      </c>
      <c r="O859" s="25" t="n">
        <v>7.55</v>
      </c>
      <c r="P859" s="25" t="n">
        <f aca="false">N859*O859</f>
        <v>437.9</v>
      </c>
      <c r="Q859" s="23"/>
      <c r="R859" s="23"/>
      <c r="S859" s="24"/>
      <c r="T859" s="25"/>
      <c r="U859" s="25" t="n">
        <v>0</v>
      </c>
      <c r="V859" s="25" t="n">
        <f aca="false">P859-U859</f>
        <v>437.9</v>
      </c>
      <c r="W859" s="25" t="n">
        <f aca="false">V859*12</f>
        <v>5254.8</v>
      </c>
      <c r="X859" s="23" t="str">
        <f aca="false">IF(Q859="","MISSING FROM EXPORT",IF(ABS(V859)&lt;0.005,"CLEAR",IF(V859&gt;0,"UNDERBILLING","OVERBILLING")))</f>
        <v>MISSING FROM EXPORT</v>
      </c>
      <c r="Y859" s="25" t="n">
        <f aca="false">IF(F859="COMMERCIAL",ROUND(P859*0.35,2),0)</f>
        <v>0</v>
      </c>
      <c r="Z859" s="23" t="str">
        <f aca="false">IF(F859="COMMERCIAL","VERIFY SIGNED AGREEMENT","NO EXCEPTION")</f>
        <v>NO EXCEPTION</v>
      </c>
      <c r="AA859" s="23" t="str">
        <f aca="false">IF(AND(C859="covered",N859&gt;40),"COVERED &gt;40 FT","")</f>
        <v/>
      </c>
      <c r="AB859" s="23" t="s">
        <v>4705</v>
      </c>
      <c r="AC859" s="23" t="s">
        <v>7152</v>
      </c>
      <c r="AD859" s="23" t="s">
        <v>2807</v>
      </c>
    </row>
    <row r="860" customFormat="false" ht="17.9" hidden="false" customHeight="false" outlineLevel="0" collapsed="false">
      <c r="A860" s="20" t="s">
        <v>7153</v>
      </c>
      <c r="B860" s="20" t="s">
        <v>166</v>
      </c>
      <c r="C860" s="20" t="s">
        <v>2798</v>
      </c>
      <c r="D860" s="20" t="s">
        <v>7154</v>
      </c>
      <c r="E860" s="20" t="s">
        <v>7155</v>
      </c>
      <c r="F860" s="20" t="s">
        <v>2857</v>
      </c>
      <c r="G860" s="20" t="s">
        <v>4019</v>
      </c>
      <c r="H860" s="22" t="n">
        <v>27.7</v>
      </c>
      <c r="I860" s="22" t="n">
        <v>27.7</v>
      </c>
      <c r="J860" s="22" t="n">
        <f aca="false">H860-I860</f>
        <v>0</v>
      </c>
      <c r="K860" s="20" t="str">
        <f aca="false">IF(ABS(J860)&lt;0.001,"MATCH - PAPER CHECK-IN NOT SUPPLIED","DATA MISMATCH")</f>
        <v>MATCH - PAPER CHECK-IN NOT SUPPLIED</v>
      </c>
      <c r="L860" s="22" t="n">
        <v>50</v>
      </c>
      <c r="M860" s="22" t="n">
        <f aca="false">ROUNDUP(H860,0)</f>
        <v>28</v>
      </c>
      <c r="N860" s="24" t="n">
        <f aca="false">MAX(L860,M860)</f>
        <v>50</v>
      </c>
      <c r="O860" s="25" t="n">
        <v>7.55</v>
      </c>
      <c r="P860" s="25" t="n">
        <f aca="false">N860*O860</f>
        <v>377.5</v>
      </c>
      <c r="Q860" s="23"/>
      <c r="R860" s="23"/>
      <c r="S860" s="24"/>
      <c r="T860" s="25"/>
      <c r="U860" s="25" t="n">
        <v>0</v>
      </c>
      <c r="V860" s="25" t="n">
        <f aca="false">P860-U860</f>
        <v>377.5</v>
      </c>
      <c r="W860" s="25" t="n">
        <f aca="false">V860*12</f>
        <v>4530</v>
      </c>
      <c r="X860" s="23" t="str">
        <f aca="false">IF(Q860="","MISSING FROM EXPORT",IF(ABS(V860)&lt;0.005,"CLEAR",IF(V860&gt;0,"UNDERBILLING","OVERBILLING")))</f>
        <v>MISSING FROM EXPORT</v>
      </c>
      <c r="Y860" s="25" t="n">
        <f aca="false">IF(F860="COMMERCIAL",ROUND(P860*0.35,2),0)</f>
        <v>0</v>
      </c>
      <c r="Z860" s="23" t="str">
        <f aca="false">IF(F860="COMMERCIAL","VERIFY SIGNED AGREEMENT","NO EXCEPTION")</f>
        <v>NO EXCEPTION</v>
      </c>
      <c r="AA860" s="23" t="str">
        <f aca="false">IF(AND(C860="covered",N860&gt;40),"COVERED &gt;40 FT","")</f>
        <v/>
      </c>
      <c r="AB860" s="23" t="s">
        <v>4705</v>
      </c>
      <c r="AC860" s="23" t="s">
        <v>7156</v>
      </c>
      <c r="AD860" s="23" t="s">
        <v>2807</v>
      </c>
    </row>
    <row r="861" customFormat="false" ht="17.9" hidden="false" customHeight="false" outlineLevel="0" collapsed="false">
      <c r="A861" s="20" t="s">
        <v>441</v>
      </c>
      <c r="B861" s="20" t="s">
        <v>166</v>
      </c>
      <c r="C861" s="20" t="s">
        <v>2798</v>
      </c>
      <c r="D861" s="20" t="s">
        <v>7157</v>
      </c>
      <c r="E861" s="20" t="s">
        <v>4400</v>
      </c>
      <c r="F861" s="20" t="s">
        <v>2857</v>
      </c>
      <c r="G861" s="20" t="s">
        <v>4026</v>
      </c>
      <c r="H861" s="22" t="n">
        <v>58.9</v>
      </c>
      <c r="I861" s="22" t="n">
        <v>58.9</v>
      </c>
      <c r="J861" s="22" t="n">
        <f aca="false">H861-I861</f>
        <v>0</v>
      </c>
      <c r="K861" s="20" t="str">
        <f aca="false">IF(ABS(J861)&lt;0.001,"MATCH - PAPER CHECK-IN NOT SUPPLIED","DATA MISMATCH")</f>
        <v>MATCH - PAPER CHECK-IN NOT SUPPLIED</v>
      </c>
      <c r="L861" s="22" t="n">
        <v>32</v>
      </c>
      <c r="M861" s="22" t="n">
        <f aca="false">ROUNDUP(H861,0)</f>
        <v>59</v>
      </c>
      <c r="N861" s="24" t="n">
        <f aca="false">MAX(L861,M861)</f>
        <v>59</v>
      </c>
      <c r="O861" s="25" t="n">
        <v>7.55</v>
      </c>
      <c r="P861" s="25" t="n">
        <f aca="false">N861*O861</f>
        <v>445.45</v>
      </c>
      <c r="Q861" s="23"/>
      <c r="R861" s="23"/>
      <c r="S861" s="24"/>
      <c r="T861" s="25"/>
      <c r="U861" s="25" t="n">
        <v>0</v>
      </c>
      <c r="V861" s="25" t="n">
        <f aca="false">P861-U861</f>
        <v>445.45</v>
      </c>
      <c r="W861" s="25" t="n">
        <f aca="false">V861*12</f>
        <v>5345.4</v>
      </c>
      <c r="X861" s="23" t="str">
        <f aca="false">IF(Q861="","MISSING FROM EXPORT",IF(ABS(V861)&lt;0.005,"CLEAR",IF(V861&gt;0,"UNDERBILLING","OVERBILLING")))</f>
        <v>MISSING FROM EXPORT</v>
      </c>
      <c r="Y861" s="25" t="n">
        <f aca="false">IF(F861="COMMERCIAL",ROUND(P861*0.35,2),0)</f>
        <v>0</v>
      </c>
      <c r="Z861" s="23" t="str">
        <f aca="false">IF(F861="COMMERCIAL","VERIFY SIGNED AGREEMENT","NO EXCEPTION")</f>
        <v>NO EXCEPTION</v>
      </c>
      <c r="AA861" s="23" t="str">
        <f aca="false">IF(AND(C861="covered",N861&gt;40),"COVERED &gt;40 FT","")</f>
        <v/>
      </c>
      <c r="AB861" s="23" t="s">
        <v>4705</v>
      </c>
      <c r="AC861" s="23" t="s">
        <v>7158</v>
      </c>
      <c r="AD861" s="23" t="s">
        <v>2807</v>
      </c>
    </row>
    <row r="862" customFormat="false" ht="17.9" hidden="false" customHeight="false" outlineLevel="0" collapsed="false">
      <c r="A862" s="20" t="s">
        <v>549</v>
      </c>
      <c r="B862" s="20" t="s">
        <v>166</v>
      </c>
      <c r="C862" s="20" t="s">
        <v>2798</v>
      </c>
      <c r="D862" s="20" t="s">
        <v>7159</v>
      </c>
      <c r="E862" s="20" t="s">
        <v>7160</v>
      </c>
      <c r="F862" s="20" t="s">
        <v>2898</v>
      </c>
      <c r="G862" s="20" t="s">
        <v>4032</v>
      </c>
      <c r="H862" s="22" t="n">
        <v>43.1</v>
      </c>
      <c r="I862" s="22" t="n">
        <v>43.1</v>
      </c>
      <c r="J862" s="22" t="n">
        <f aca="false">H862-I862</f>
        <v>0</v>
      </c>
      <c r="K862" s="20" t="str">
        <f aca="false">IF(ABS(J862)&lt;0.001,"MATCH - PAPER CHECK-IN NOT SUPPLIED","DATA MISMATCH")</f>
        <v>MATCH - PAPER CHECK-IN NOT SUPPLIED</v>
      </c>
      <c r="L862" s="22" t="n">
        <v>60</v>
      </c>
      <c r="M862" s="22" t="n">
        <f aca="false">ROUNDUP(H862,0)</f>
        <v>44</v>
      </c>
      <c r="N862" s="24" t="n">
        <f aca="false">MAX(L862,M862)</f>
        <v>60</v>
      </c>
      <c r="O862" s="25" t="n">
        <v>7.55</v>
      </c>
      <c r="P862" s="25" t="n">
        <f aca="false">N862*O862</f>
        <v>453</v>
      </c>
      <c r="Q862" s="23"/>
      <c r="R862" s="23"/>
      <c r="S862" s="24"/>
      <c r="T862" s="25"/>
      <c r="U862" s="25" t="n">
        <v>0</v>
      </c>
      <c r="V862" s="25" t="n">
        <f aca="false">P862-U862</f>
        <v>453</v>
      </c>
      <c r="W862" s="25" t="n">
        <f aca="false">V862*12</f>
        <v>5436</v>
      </c>
      <c r="X862" s="23" t="str">
        <f aca="false">IF(Q862="","MISSING FROM EXPORT",IF(ABS(V862)&lt;0.005,"CLEAR",IF(V862&gt;0,"UNDERBILLING","OVERBILLING")))</f>
        <v>MISSING FROM EXPORT</v>
      </c>
      <c r="Y862" s="25" t="n">
        <f aca="false">IF(F862="COMMERCIAL",ROUND(P862*0.35,2),0)</f>
        <v>0</v>
      </c>
      <c r="Z862" s="23" t="str">
        <f aca="false">IF(F862="COMMERCIAL","VERIFY SIGNED AGREEMENT","NO EXCEPTION")</f>
        <v>NO EXCEPTION</v>
      </c>
      <c r="AA862" s="23" t="str">
        <f aca="false">IF(AND(C862="covered",N862&gt;40),"COVERED &gt;40 FT","")</f>
        <v/>
      </c>
      <c r="AB862" s="23" t="s">
        <v>4705</v>
      </c>
      <c r="AC862" s="23" t="s">
        <v>7161</v>
      </c>
      <c r="AD862" s="23" t="s">
        <v>2807</v>
      </c>
    </row>
    <row r="863" customFormat="false" ht="17.9" hidden="false" customHeight="false" outlineLevel="0" collapsed="false">
      <c r="A863" s="20" t="s">
        <v>7162</v>
      </c>
      <c r="B863" s="20" t="s">
        <v>166</v>
      </c>
      <c r="C863" s="20" t="s">
        <v>2798</v>
      </c>
      <c r="D863" s="20" t="s">
        <v>7163</v>
      </c>
      <c r="E863" s="20" t="s">
        <v>7164</v>
      </c>
      <c r="F863" s="20" t="s">
        <v>2818</v>
      </c>
      <c r="G863" s="20" t="s">
        <v>4039</v>
      </c>
      <c r="H863" s="22" t="n">
        <v>48.2</v>
      </c>
      <c r="I863" s="22" t="n">
        <v>48.2</v>
      </c>
      <c r="J863" s="22" t="n">
        <f aca="false">H863-I863</f>
        <v>0</v>
      </c>
      <c r="K863" s="20" t="str">
        <f aca="false">IF(ABS(J863)&lt;0.001,"MATCH - PAPER CHECK-IN NOT SUPPLIED","DATA MISMATCH")</f>
        <v>MATCH - PAPER CHECK-IN NOT SUPPLIED</v>
      </c>
      <c r="L863" s="22" t="n">
        <v>45</v>
      </c>
      <c r="M863" s="22" t="n">
        <f aca="false">ROUNDUP(H863,0)</f>
        <v>49</v>
      </c>
      <c r="N863" s="24" t="n">
        <f aca="false">MAX(L863,M863)</f>
        <v>49</v>
      </c>
      <c r="O863" s="25" t="n">
        <v>7.55</v>
      </c>
      <c r="P863" s="25" t="n">
        <f aca="false">N863*O863</f>
        <v>369.95</v>
      </c>
      <c r="Q863" s="23"/>
      <c r="R863" s="23"/>
      <c r="S863" s="24"/>
      <c r="T863" s="25"/>
      <c r="U863" s="25" t="n">
        <v>0</v>
      </c>
      <c r="V863" s="25" t="n">
        <f aca="false">P863-U863</f>
        <v>369.95</v>
      </c>
      <c r="W863" s="25" t="n">
        <f aca="false">V863*12</f>
        <v>4439.4</v>
      </c>
      <c r="X863" s="23" t="str">
        <f aca="false">IF(Q863="","MISSING FROM EXPORT",IF(ABS(V863)&lt;0.005,"CLEAR",IF(V863&gt;0,"UNDERBILLING","OVERBILLING")))</f>
        <v>MISSING FROM EXPORT</v>
      </c>
      <c r="Y863" s="25" t="n">
        <f aca="false">IF(F863="COMMERCIAL",ROUND(P863*0.35,2),0)</f>
        <v>0</v>
      </c>
      <c r="Z863" s="23" t="str">
        <f aca="false">IF(F863="COMMERCIAL","VERIFY SIGNED AGREEMENT","NO EXCEPTION")</f>
        <v>NO EXCEPTION</v>
      </c>
      <c r="AA863" s="23" t="str">
        <f aca="false">IF(AND(C863="covered",N863&gt;40),"COVERED &gt;40 FT","")</f>
        <v/>
      </c>
      <c r="AB863" s="23" t="s">
        <v>4705</v>
      </c>
      <c r="AC863" s="23" t="s">
        <v>7165</v>
      </c>
      <c r="AD863" s="23" t="s">
        <v>2807</v>
      </c>
    </row>
    <row r="864" customFormat="false" ht="17.9" hidden="false" customHeight="false" outlineLevel="0" collapsed="false">
      <c r="A864" s="20" t="s">
        <v>7166</v>
      </c>
      <c r="B864" s="20" t="s">
        <v>166</v>
      </c>
      <c r="C864" s="20" t="s">
        <v>2798</v>
      </c>
      <c r="D864" s="20" t="s">
        <v>7167</v>
      </c>
      <c r="E864" s="20" t="s">
        <v>7168</v>
      </c>
      <c r="F864" s="20" t="s">
        <v>2833</v>
      </c>
      <c r="G864" s="20" t="s">
        <v>4046</v>
      </c>
      <c r="H864" s="22" t="n">
        <v>56.6</v>
      </c>
      <c r="I864" s="22" t="n">
        <v>56.6</v>
      </c>
      <c r="J864" s="22" t="n">
        <f aca="false">H864-I864</f>
        <v>0</v>
      </c>
      <c r="K864" s="20" t="str">
        <f aca="false">IF(ABS(J864)&lt;0.001,"MATCH - PAPER CHECK-IN NOT SUPPLIED","DATA MISMATCH")</f>
        <v>MATCH - PAPER CHECK-IN NOT SUPPLIED</v>
      </c>
      <c r="L864" s="22" t="n">
        <v>80</v>
      </c>
      <c r="M864" s="22" t="n">
        <f aca="false">ROUNDUP(H864,0)</f>
        <v>57</v>
      </c>
      <c r="N864" s="24" t="n">
        <f aca="false">MAX(L864,M864)</f>
        <v>80</v>
      </c>
      <c r="O864" s="25" t="n">
        <v>7.55</v>
      </c>
      <c r="P864" s="25" t="n">
        <f aca="false">N864*O864</f>
        <v>604</v>
      </c>
      <c r="Q864" s="23"/>
      <c r="R864" s="23"/>
      <c r="S864" s="24"/>
      <c r="T864" s="25"/>
      <c r="U864" s="25" t="n">
        <v>0</v>
      </c>
      <c r="V864" s="25" t="n">
        <f aca="false">P864-U864</f>
        <v>604</v>
      </c>
      <c r="W864" s="25" t="n">
        <f aca="false">V864*12</f>
        <v>7248</v>
      </c>
      <c r="X864" s="23" t="str">
        <f aca="false">IF(Q864="","MISSING FROM EXPORT",IF(ABS(V864)&lt;0.005,"CLEAR",IF(V864&gt;0,"UNDERBILLING","OVERBILLING")))</f>
        <v>MISSING FROM EXPORT</v>
      </c>
      <c r="Y864" s="25" t="n">
        <f aca="false">IF(F864="COMMERCIAL",ROUND(P864*0.35,2),0)</f>
        <v>0</v>
      </c>
      <c r="Z864" s="23" t="str">
        <f aca="false">IF(F864="COMMERCIAL","VERIFY SIGNED AGREEMENT","NO EXCEPTION")</f>
        <v>NO EXCEPTION</v>
      </c>
      <c r="AA864" s="23" t="str">
        <f aca="false">IF(AND(C864="covered",N864&gt;40),"COVERED &gt;40 FT","")</f>
        <v/>
      </c>
      <c r="AB864" s="23" t="s">
        <v>4705</v>
      </c>
      <c r="AC864" s="23" t="s">
        <v>7169</v>
      </c>
      <c r="AD864" s="23" t="s">
        <v>2807</v>
      </c>
    </row>
    <row r="865" customFormat="false" ht="17.9" hidden="false" customHeight="false" outlineLevel="0" collapsed="false">
      <c r="A865" s="20" t="s">
        <v>7170</v>
      </c>
      <c r="B865" s="20" t="s">
        <v>99</v>
      </c>
      <c r="C865" s="20" t="s">
        <v>5162</v>
      </c>
      <c r="D865" s="20" t="s">
        <v>7171</v>
      </c>
      <c r="E865" s="20" t="s">
        <v>7172</v>
      </c>
      <c r="F865" s="20" t="s">
        <v>2869</v>
      </c>
      <c r="G865" s="20" t="s">
        <v>2802</v>
      </c>
      <c r="H865" s="22" t="n">
        <v>61</v>
      </c>
      <c r="I865" s="22" t="n">
        <v>61</v>
      </c>
      <c r="J865" s="22" t="n">
        <f aca="false">H865-I865</f>
        <v>0</v>
      </c>
      <c r="K865" s="20" t="str">
        <f aca="false">IF(ABS(J865)&lt;0.001,"MATCH - PAPER CHECK-IN NOT SUPPLIED","DATA MISMATCH")</f>
        <v>MATCH - PAPER CHECK-IN NOT SUPPLIED</v>
      </c>
      <c r="L865" s="22" t="n">
        <v>36</v>
      </c>
      <c r="M865" s="22" t="n">
        <f aca="false">ROUNDUP(H865,0)</f>
        <v>61</v>
      </c>
      <c r="N865" s="24" t="n">
        <f aca="false">MAX(L865,M865)</f>
        <v>61</v>
      </c>
      <c r="O865" s="25" t="n">
        <v>10.4</v>
      </c>
      <c r="P865" s="25" t="n">
        <f aca="false">N865*O865</f>
        <v>634.4</v>
      </c>
      <c r="Q865" s="23" t="s">
        <v>7173</v>
      </c>
      <c r="R865" s="23" t="s">
        <v>2804</v>
      </c>
      <c r="S865" s="24" t="n">
        <v>61</v>
      </c>
      <c r="T865" s="25" t="n">
        <v>10.4</v>
      </c>
      <c r="U865" s="25" t="n">
        <v>634.4</v>
      </c>
      <c r="V865" s="25" t="n">
        <f aca="false">P865-U865</f>
        <v>0</v>
      </c>
      <c r="W865" s="25" t="n">
        <f aca="false">V865*12</f>
        <v>0</v>
      </c>
      <c r="X865" s="23" t="str">
        <f aca="false">IF(Q865="","MISSING FROM EXPORT",IF(ABS(V865)&lt;0.005,"CLEAR",IF(V865&gt;0,"UNDERBILLING","OVERBILLING")))</f>
        <v>CLEAR</v>
      </c>
      <c r="Y865" s="25" t="n">
        <f aca="false">IF(F865="COMMERCIAL",ROUND(P865*0.35,2),0)</f>
        <v>0</v>
      </c>
      <c r="Z865" s="23" t="str">
        <f aca="false">IF(F865="COMMERCIAL","VERIFY SIGNED AGREEMENT","NO EXCEPTION")</f>
        <v>NO EXCEPTION</v>
      </c>
      <c r="AA865" s="23" t="str">
        <f aca="false">IF(AND(C865="covered",N865&gt;40),"COVERED &gt;40 FT","")</f>
        <v>COVERED &gt;40 FT</v>
      </c>
      <c r="AB865" s="23" t="s">
        <v>7174</v>
      </c>
      <c r="AC865" s="23" t="s">
        <v>7175</v>
      </c>
      <c r="AD865" s="23" t="s">
        <v>2807</v>
      </c>
    </row>
    <row r="866" customFormat="false" ht="17.9" hidden="false" customHeight="false" outlineLevel="0" collapsed="false">
      <c r="A866" s="20" t="s">
        <v>7176</v>
      </c>
      <c r="B866" s="20" t="s">
        <v>99</v>
      </c>
      <c r="C866" s="20" t="s">
        <v>5162</v>
      </c>
      <c r="D866" s="20" t="s">
        <v>7177</v>
      </c>
      <c r="E866" s="20" t="s">
        <v>7178</v>
      </c>
      <c r="F866" s="20" t="s">
        <v>2801</v>
      </c>
      <c r="G866" s="20" t="s">
        <v>2811</v>
      </c>
      <c r="H866" s="22" t="n">
        <v>33.2</v>
      </c>
      <c r="I866" s="22" t="n">
        <v>33.2</v>
      </c>
      <c r="J866" s="22" t="n">
        <f aca="false">H866-I866</f>
        <v>0</v>
      </c>
      <c r="K866" s="20" t="str">
        <f aca="false">IF(ABS(J866)&lt;0.001,"MATCH - PAPER CHECK-IN NOT SUPPLIED","DATA MISMATCH")</f>
        <v>MATCH - PAPER CHECK-IN NOT SUPPLIED</v>
      </c>
      <c r="L866" s="22" t="n">
        <v>24</v>
      </c>
      <c r="M866" s="22" t="n">
        <f aca="false">ROUNDUP(H866,0)</f>
        <v>34</v>
      </c>
      <c r="N866" s="24" t="n">
        <f aca="false">MAX(L866,M866)</f>
        <v>34</v>
      </c>
      <c r="O866" s="25" t="n">
        <v>10.4</v>
      </c>
      <c r="P866" s="25" t="n">
        <f aca="false">N866*O866</f>
        <v>353.6</v>
      </c>
      <c r="Q866" s="23" t="s">
        <v>7179</v>
      </c>
      <c r="R866" s="23" t="s">
        <v>2804</v>
      </c>
      <c r="S866" s="24" t="n">
        <v>34</v>
      </c>
      <c r="T866" s="25" t="n">
        <v>10.4</v>
      </c>
      <c r="U866" s="25" t="n">
        <v>353.6</v>
      </c>
      <c r="V866" s="25" t="n">
        <f aca="false">P866-U866</f>
        <v>0</v>
      </c>
      <c r="W866" s="25" t="n">
        <f aca="false">V866*12</f>
        <v>0</v>
      </c>
      <c r="X866" s="23" t="str">
        <f aca="false">IF(Q866="","MISSING FROM EXPORT",IF(ABS(V866)&lt;0.005,"CLEAR",IF(V866&gt;0,"UNDERBILLING","OVERBILLING")))</f>
        <v>CLEAR</v>
      </c>
      <c r="Y866" s="25" t="n">
        <f aca="false">IF(F866="COMMERCIAL",ROUND(P866*0.35,2),0)</f>
        <v>0</v>
      </c>
      <c r="Z866" s="23" t="str">
        <f aca="false">IF(F866="COMMERCIAL","VERIFY SIGNED AGREEMENT","NO EXCEPTION")</f>
        <v>NO EXCEPTION</v>
      </c>
      <c r="AA866" s="23" t="str">
        <f aca="false">IF(AND(C866="covered",N866&gt;40),"COVERED &gt;40 FT","")</f>
        <v/>
      </c>
      <c r="AB866" s="23" t="s">
        <v>7180</v>
      </c>
      <c r="AC866" s="23" t="s">
        <v>7181</v>
      </c>
      <c r="AD866" s="23" t="s">
        <v>2807</v>
      </c>
    </row>
    <row r="867" customFormat="false" ht="17.9" hidden="false" customHeight="false" outlineLevel="0" collapsed="false">
      <c r="A867" s="20" t="s">
        <v>7182</v>
      </c>
      <c r="B867" s="20" t="s">
        <v>99</v>
      </c>
      <c r="C867" s="20" t="s">
        <v>5162</v>
      </c>
      <c r="D867" s="20" t="s">
        <v>1738</v>
      </c>
      <c r="E867" s="20" t="s">
        <v>7183</v>
      </c>
      <c r="F867" s="20" t="s">
        <v>2801</v>
      </c>
      <c r="G867" s="20" t="s">
        <v>2819</v>
      </c>
      <c r="H867" s="22" t="n">
        <v>38.9</v>
      </c>
      <c r="I867" s="22" t="n">
        <v>38.9</v>
      </c>
      <c r="J867" s="22" t="n">
        <f aca="false">H867-I867</f>
        <v>0</v>
      </c>
      <c r="K867" s="20" t="str">
        <f aca="false">IF(ABS(J867)&lt;0.001,"MATCH - PAPER CHECK-IN NOT SUPPLIED","DATA MISMATCH")</f>
        <v>MATCH - PAPER CHECK-IN NOT SUPPLIED</v>
      </c>
      <c r="L867" s="22" t="n">
        <v>24</v>
      </c>
      <c r="M867" s="22" t="n">
        <f aca="false">ROUNDUP(H867,0)</f>
        <v>39</v>
      </c>
      <c r="N867" s="24" t="n">
        <f aca="false">MAX(L867,M867)</f>
        <v>39</v>
      </c>
      <c r="O867" s="25" t="n">
        <v>10.4</v>
      </c>
      <c r="P867" s="25" t="n">
        <f aca="false">N867*O867</f>
        <v>405.6</v>
      </c>
      <c r="Q867" s="23" t="s">
        <v>7184</v>
      </c>
      <c r="R867" s="23" t="s">
        <v>2804</v>
      </c>
      <c r="S867" s="24" t="n">
        <v>39</v>
      </c>
      <c r="T867" s="25" t="n">
        <v>10.4</v>
      </c>
      <c r="U867" s="25" t="n">
        <v>405.6</v>
      </c>
      <c r="V867" s="25" t="n">
        <f aca="false">P867-U867</f>
        <v>0</v>
      </c>
      <c r="W867" s="25" t="n">
        <f aca="false">V867*12</f>
        <v>0</v>
      </c>
      <c r="X867" s="23" t="str">
        <f aca="false">IF(Q867="","MISSING FROM EXPORT",IF(ABS(V867)&lt;0.005,"CLEAR",IF(V867&gt;0,"UNDERBILLING","OVERBILLING")))</f>
        <v>CLEAR</v>
      </c>
      <c r="Y867" s="25" t="n">
        <f aca="false">IF(F867="COMMERCIAL",ROUND(P867*0.35,2),0)</f>
        <v>0</v>
      </c>
      <c r="Z867" s="23" t="str">
        <f aca="false">IF(F867="COMMERCIAL","VERIFY SIGNED AGREEMENT","NO EXCEPTION")</f>
        <v>NO EXCEPTION</v>
      </c>
      <c r="AA867" s="23" t="str">
        <f aca="false">IF(AND(C867="covered",N867&gt;40),"COVERED &gt;40 FT","")</f>
        <v/>
      </c>
      <c r="AB867" s="23" t="s">
        <v>7185</v>
      </c>
      <c r="AC867" s="23" t="s">
        <v>7186</v>
      </c>
      <c r="AD867" s="23" t="s">
        <v>2807</v>
      </c>
    </row>
    <row r="868" customFormat="false" ht="17.9" hidden="false" customHeight="false" outlineLevel="0" collapsed="false">
      <c r="A868" s="20" t="s">
        <v>7187</v>
      </c>
      <c r="B868" s="20" t="s">
        <v>99</v>
      </c>
      <c r="C868" s="20" t="s">
        <v>5162</v>
      </c>
      <c r="D868" s="20" t="s">
        <v>7188</v>
      </c>
      <c r="E868" s="20" t="s">
        <v>7189</v>
      </c>
      <c r="F868" s="20" t="s">
        <v>2869</v>
      </c>
      <c r="G868" s="20" t="s">
        <v>2826</v>
      </c>
      <c r="H868" s="22" t="n">
        <v>53.9</v>
      </c>
      <c r="I868" s="22" t="n">
        <v>53.9</v>
      </c>
      <c r="J868" s="22" t="n">
        <f aca="false">H868-I868</f>
        <v>0</v>
      </c>
      <c r="K868" s="20" t="str">
        <f aca="false">IF(ABS(J868)&lt;0.001,"MATCH - PAPER CHECK-IN NOT SUPPLIED","DATA MISMATCH")</f>
        <v>MATCH - PAPER CHECK-IN NOT SUPPLIED</v>
      </c>
      <c r="L868" s="22" t="n">
        <v>40</v>
      </c>
      <c r="M868" s="22" t="n">
        <f aca="false">ROUNDUP(H868,0)</f>
        <v>54</v>
      </c>
      <c r="N868" s="24" t="n">
        <f aca="false">MAX(L868,M868)</f>
        <v>54</v>
      </c>
      <c r="O868" s="25" t="n">
        <v>10.4</v>
      </c>
      <c r="P868" s="25" t="n">
        <f aca="false">N868*O868</f>
        <v>561.6</v>
      </c>
      <c r="Q868" s="23" t="s">
        <v>7190</v>
      </c>
      <c r="R868" s="23" t="s">
        <v>2804</v>
      </c>
      <c r="S868" s="24" t="n">
        <v>54</v>
      </c>
      <c r="T868" s="25" t="n">
        <v>10.4</v>
      </c>
      <c r="U868" s="25" t="n">
        <v>561.6</v>
      </c>
      <c r="V868" s="25" t="n">
        <f aca="false">P868-U868</f>
        <v>0</v>
      </c>
      <c r="W868" s="25" t="n">
        <f aca="false">V868*12</f>
        <v>0</v>
      </c>
      <c r="X868" s="23" t="str">
        <f aca="false">IF(Q868="","MISSING FROM EXPORT",IF(ABS(V868)&lt;0.005,"CLEAR",IF(V868&gt;0,"UNDERBILLING","OVERBILLING")))</f>
        <v>CLEAR</v>
      </c>
      <c r="Y868" s="25" t="n">
        <f aca="false">IF(F868="COMMERCIAL",ROUND(P868*0.35,2),0)</f>
        <v>0</v>
      </c>
      <c r="Z868" s="23" t="str">
        <f aca="false">IF(F868="COMMERCIAL","VERIFY SIGNED AGREEMENT","NO EXCEPTION")</f>
        <v>NO EXCEPTION</v>
      </c>
      <c r="AA868" s="23" t="str">
        <f aca="false">IF(AND(C868="covered",N868&gt;40),"COVERED &gt;40 FT","")</f>
        <v>COVERED &gt;40 FT</v>
      </c>
      <c r="AB868" s="23" t="s">
        <v>7191</v>
      </c>
      <c r="AC868" s="23" t="s">
        <v>7192</v>
      </c>
      <c r="AD868" s="23" t="s">
        <v>2807</v>
      </c>
    </row>
    <row r="869" customFormat="false" ht="17.9" hidden="false" customHeight="false" outlineLevel="0" collapsed="false">
      <c r="A869" s="20" t="s">
        <v>7193</v>
      </c>
      <c r="B869" s="20" t="s">
        <v>99</v>
      </c>
      <c r="C869" s="20" t="s">
        <v>5162</v>
      </c>
      <c r="D869" s="20" t="s">
        <v>7194</v>
      </c>
      <c r="E869" s="20" t="s">
        <v>7195</v>
      </c>
      <c r="F869" s="20" t="s">
        <v>2869</v>
      </c>
      <c r="G869" s="20" t="s">
        <v>2834</v>
      </c>
      <c r="H869" s="22" t="n">
        <v>48.2</v>
      </c>
      <c r="I869" s="22" t="n">
        <v>48.2</v>
      </c>
      <c r="J869" s="22" t="n">
        <f aca="false">H869-I869</f>
        <v>0</v>
      </c>
      <c r="K869" s="20" t="str">
        <f aca="false">IF(ABS(J869)&lt;0.001,"MATCH - PAPER CHECK-IN NOT SUPPLIED","DATA MISMATCH")</f>
        <v>MATCH - PAPER CHECK-IN NOT SUPPLIED</v>
      </c>
      <c r="L869" s="22" t="n">
        <v>24</v>
      </c>
      <c r="M869" s="22" t="n">
        <f aca="false">ROUNDUP(H869,0)</f>
        <v>49</v>
      </c>
      <c r="N869" s="24" t="n">
        <f aca="false">MAX(L869,M869)</f>
        <v>49</v>
      </c>
      <c r="O869" s="25" t="n">
        <v>10.4</v>
      </c>
      <c r="P869" s="25" t="n">
        <f aca="false">N869*O869</f>
        <v>509.6</v>
      </c>
      <c r="Q869" s="23" t="s">
        <v>7196</v>
      </c>
      <c r="R869" s="23" t="s">
        <v>2804</v>
      </c>
      <c r="S869" s="24" t="n">
        <v>49</v>
      </c>
      <c r="T869" s="25" t="n">
        <v>10.4</v>
      </c>
      <c r="U869" s="25" t="n">
        <v>509.6</v>
      </c>
      <c r="V869" s="25" t="n">
        <f aca="false">P869-U869</f>
        <v>0</v>
      </c>
      <c r="W869" s="25" t="n">
        <f aca="false">V869*12</f>
        <v>0</v>
      </c>
      <c r="X869" s="23" t="str">
        <f aca="false">IF(Q869="","MISSING FROM EXPORT",IF(ABS(V869)&lt;0.005,"CLEAR",IF(V869&gt;0,"UNDERBILLING","OVERBILLING")))</f>
        <v>CLEAR</v>
      </c>
      <c r="Y869" s="25" t="n">
        <f aca="false">IF(F869="COMMERCIAL",ROUND(P869*0.35,2),0)</f>
        <v>0</v>
      </c>
      <c r="Z869" s="23" t="str">
        <f aca="false">IF(F869="COMMERCIAL","VERIFY SIGNED AGREEMENT","NO EXCEPTION")</f>
        <v>NO EXCEPTION</v>
      </c>
      <c r="AA869" s="23" t="str">
        <f aca="false">IF(AND(C869="covered",N869&gt;40),"COVERED &gt;40 FT","")</f>
        <v>COVERED &gt;40 FT</v>
      </c>
      <c r="AB869" s="23" t="s">
        <v>7197</v>
      </c>
      <c r="AC869" s="23" t="s">
        <v>7198</v>
      </c>
      <c r="AD869" s="23" t="s">
        <v>2807</v>
      </c>
    </row>
    <row r="870" customFormat="false" ht="17.9" hidden="false" customHeight="false" outlineLevel="0" collapsed="false">
      <c r="A870" s="20" t="s">
        <v>7199</v>
      </c>
      <c r="B870" s="20" t="s">
        <v>99</v>
      </c>
      <c r="C870" s="20" t="s">
        <v>5162</v>
      </c>
      <c r="D870" s="20" t="s">
        <v>1183</v>
      </c>
      <c r="E870" s="20" t="s">
        <v>1184</v>
      </c>
      <c r="F870" s="20" t="s">
        <v>2833</v>
      </c>
      <c r="G870" s="20" t="s">
        <v>2838</v>
      </c>
      <c r="H870" s="22" t="n">
        <v>35.5</v>
      </c>
      <c r="I870" s="22" t="n">
        <v>35.5</v>
      </c>
      <c r="J870" s="22" t="n">
        <f aca="false">H870-I870</f>
        <v>0</v>
      </c>
      <c r="K870" s="20" t="str">
        <f aca="false">IF(ABS(J870)&lt;0.001,"MATCH - PAPER CHECK-IN NOT SUPPLIED","DATA MISMATCH")</f>
        <v>MATCH - PAPER CHECK-IN NOT SUPPLIED</v>
      </c>
      <c r="L870" s="22" t="n">
        <v>24</v>
      </c>
      <c r="M870" s="22" t="n">
        <f aca="false">ROUNDUP(H870,0)</f>
        <v>36</v>
      </c>
      <c r="N870" s="24" t="n">
        <f aca="false">MAX(L870,M870)</f>
        <v>36</v>
      </c>
      <c r="O870" s="25" t="n">
        <v>10.4</v>
      </c>
      <c r="P870" s="25" t="n">
        <f aca="false">N870*O870</f>
        <v>374.4</v>
      </c>
      <c r="Q870" s="23" t="s">
        <v>7200</v>
      </c>
      <c r="R870" s="23" t="s">
        <v>2804</v>
      </c>
      <c r="S870" s="24" t="n">
        <v>36</v>
      </c>
      <c r="T870" s="25" t="n">
        <v>10.4</v>
      </c>
      <c r="U870" s="25" t="n">
        <v>374.4</v>
      </c>
      <c r="V870" s="25" t="n">
        <f aca="false">P870-U870</f>
        <v>0</v>
      </c>
      <c r="W870" s="25" t="n">
        <f aca="false">V870*12</f>
        <v>0</v>
      </c>
      <c r="X870" s="23" t="str">
        <f aca="false">IF(Q870="","MISSING FROM EXPORT",IF(ABS(V870)&lt;0.005,"CLEAR",IF(V870&gt;0,"UNDERBILLING","OVERBILLING")))</f>
        <v>CLEAR</v>
      </c>
      <c r="Y870" s="25" t="n">
        <f aca="false">IF(F870="COMMERCIAL",ROUND(P870*0.35,2),0)</f>
        <v>0</v>
      </c>
      <c r="Z870" s="23" t="str">
        <f aca="false">IF(F870="COMMERCIAL","VERIFY SIGNED AGREEMENT","NO EXCEPTION")</f>
        <v>NO EXCEPTION</v>
      </c>
      <c r="AA870" s="23" t="str">
        <f aca="false">IF(AND(C870="covered",N870&gt;40),"COVERED &gt;40 FT","")</f>
        <v/>
      </c>
      <c r="AB870" s="23" t="s">
        <v>7201</v>
      </c>
      <c r="AC870" s="23" t="s">
        <v>7202</v>
      </c>
      <c r="AD870" s="23" t="s">
        <v>2807</v>
      </c>
    </row>
    <row r="871" customFormat="false" ht="17.9" hidden="false" customHeight="false" outlineLevel="0" collapsed="false">
      <c r="A871" s="20" t="s">
        <v>7203</v>
      </c>
      <c r="B871" s="20" t="s">
        <v>99</v>
      </c>
      <c r="C871" s="20" t="s">
        <v>5162</v>
      </c>
      <c r="D871" s="20" t="s">
        <v>7204</v>
      </c>
      <c r="E871" s="20" t="s">
        <v>7205</v>
      </c>
      <c r="F871" s="20" t="s">
        <v>2833</v>
      </c>
      <c r="G871" s="20" t="s">
        <v>2845</v>
      </c>
      <c r="H871" s="22" t="n">
        <v>29.7</v>
      </c>
      <c r="I871" s="22" t="n">
        <v>29.7</v>
      </c>
      <c r="J871" s="22" t="n">
        <f aca="false">H871-I871</f>
        <v>0</v>
      </c>
      <c r="K871" s="20" t="str">
        <f aca="false">IF(ABS(J871)&lt;0.001,"MATCH - PAPER CHECK-IN NOT SUPPLIED","DATA MISMATCH")</f>
        <v>MATCH - PAPER CHECK-IN NOT SUPPLIED</v>
      </c>
      <c r="L871" s="22" t="n">
        <v>32</v>
      </c>
      <c r="M871" s="22" t="n">
        <f aca="false">ROUNDUP(H871,0)</f>
        <v>30</v>
      </c>
      <c r="N871" s="24" t="n">
        <f aca="false">MAX(L871,M871)</f>
        <v>32</v>
      </c>
      <c r="O871" s="25" t="n">
        <v>10.4</v>
      </c>
      <c r="P871" s="25" t="n">
        <f aca="false">N871*O871</f>
        <v>332.8</v>
      </c>
      <c r="Q871" s="23" t="s">
        <v>7206</v>
      </c>
      <c r="R871" s="23" t="s">
        <v>2804</v>
      </c>
      <c r="S871" s="24" t="n">
        <v>32</v>
      </c>
      <c r="T871" s="25" t="n">
        <v>10.4</v>
      </c>
      <c r="U871" s="25" t="n">
        <v>332.8</v>
      </c>
      <c r="V871" s="25" t="n">
        <f aca="false">P871-U871</f>
        <v>0</v>
      </c>
      <c r="W871" s="25" t="n">
        <f aca="false">V871*12</f>
        <v>0</v>
      </c>
      <c r="X871" s="23" t="str">
        <f aca="false">IF(Q871="","MISSING FROM EXPORT",IF(ABS(V871)&lt;0.005,"CLEAR",IF(V871&gt;0,"UNDERBILLING","OVERBILLING")))</f>
        <v>CLEAR</v>
      </c>
      <c r="Y871" s="25" t="n">
        <f aca="false">IF(F871="COMMERCIAL",ROUND(P871*0.35,2),0)</f>
        <v>0</v>
      </c>
      <c r="Z871" s="23" t="str">
        <f aca="false">IF(F871="COMMERCIAL","VERIFY SIGNED AGREEMENT","NO EXCEPTION")</f>
        <v>NO EXCEPTION</v>
      </c>
      <c r="AA871" s="23" t="str">
        <f aca="false">IF(AND(C871="covered",N871&gt;40),"COVERED &gt;40 FT","")</f>
        <v/>
      </c>
      <c r="AB871" s="23" t="s">
        <v>7207</v>
      </c>
      <c r="AC871" s="23" t="s">
        <v>7208</v>
      </c>
      <c r="AD871" s="23" t="s">
        <v>2807</v>
      </c>
    </row>
    <row r="872" customFormat="false" ht="17.9" hidden="false" customHeight="false" outlineLevel="0" collapsed="false">
      <c r="A872" s="20" t="s">
        <v>7209</v>
      </c>
      <c r="B872" s="20" t="s">
        <v>99</v>
      </c>
      <c r="C872" s="20" t="s">
        <v>5162</v>
      </c>
      <c r="D872" s="20" t="s">
        <v>7210</v>
      </c>
      <c r="E872" s="20" t="s">
        <v>7211</v>
      </c>
      <c r="F872" s="20" t="s">
        <v>2857</v>
      </c>
      <c r="G872" s="20" t="s">
        <v>2851</v>
      </c>
      <c r="H872" s="22" t="n">
        <v>30.9</v>
      </c>
      <c r="I872" s="22" t="n">
        <v>30.9</v>
      </c>
      <c r="J872" s="22" t="n">
        <f aca="false">H872-I872</f>
        <v>0</v>
      </c>
      <c r="K872" s="20" t="str">
        <f aca="false">IF(ABS(J872)&lt;0.001,"MATCH - PAPER CHECK-IN NOT SUPPLIED","DATA MISMATCH")</f>
        <v>MATCH - PAPER CHECK-IN NOT SUPPLIED</v>
      </c>
      <c r="L872" s="22" t="n">
        <v>28</v>
      </c>
      <c r="M872" s="22" t="n">
        <f aca="false">ROUNDUP(H872,0)</f>
        <v>31</v>
      </c>
      <c r="N872" s="24" t="n">
        <f aca="false">MAX(L872,M872)</f>
        <v>31</v>
      </c>
      <c r="O872" s="25" t="n">
        <v>10.4</v>
      </c>
      <c r="P872" s="25" t="n">
        <f aca="false">N872*O872</f>
        <v>322.4</v>
      </c>
      <c r="Q872" s="23" t="s">
        <v>7212</v>
      </c>
      <c r="R872" s="23" t="s">
        <v>2804</v>
      </c>
      <c r="S872" s="24" t="n">
        <v>31</v>
      </c>
      <c r="T872" s="25" t="n">
        <v>10.4</v>
      </c>
      <c r="U872" s="25" t="n">
        <v>322.4</v>
      </c>
      <c r="V872" s="25" t="n">
        <f aca="false">P872-U872</f>
        <v>0</v>
      </c>
      <c r="W872" s="25" t="n">
        <f aca="false">V872*12</f>
        <v>0</v>
      </c>
      <c r="X872" s="23" t="str">
        <f aca="false">IF(Q872="","MISSING FROM EXPORT",IF(ABS(V872)&lt;0.005,"CLEAR",IF(V872&gt;0,"UNDERBILLING","OVERBILLING")))</f>
        <v>CLEAR</v>
      </c>
      <c r="Y872" s="25" t="n">
        <f aca="false">IF(F872="COMMERCIAL",ROUND(P872*0.35,2),0)</f>
        <v>0</v>
      </c>
      <c r="Z872" s="23" t="str">
        <f aca="false">IF(F872="COMMERCIAL","VERIFY SIGNED AGREEMENT","NO EXCEPTION")</f>
        <v>NO EXCEPTION</v>
      </c>
      <c r="AA872" s="23" t="str">
        <f aca="false">IF(AND(C872="covered",N872&gt;40),"COVERED &gt;40 FT","")</f>
        <v/>
      </c>
      <c r="AB872" s="23" t="s">
        <v>7213</v>
      </c>
      <c r="AC872" s="23" t="s">
        <v>7214</v>
      </c>
      <c r="AD872" s="23" t="s">
        <v>2807</v>
      </c>
    </row>
    <row r="873" customFormat="false" ht="17.9" hidden="false" customHeight="false" outlineLevel="0" collapsed="false">
      <c r="A873" s="20" t="s">
        <v>7215</v>
      </c>
      <c r="B873" s="20" t="s">
        <v>99</v>
      </c>
      <c r="C873" s="20" t="s">
        <v>5162</v>
      </c>
      <c r="D873" s="20" t="s">
        <v>7216</v>
      </c>
      <c r="E873" s="20" t="s">
        <v>4962</v>
      </c>
      <c r="F873" s="20" t="s">
        <v>2857</v>
      </c>
      <c r="G873" s="20" t="s">
        <v>2858</v>
      </c>
      <c r="H873" s="22" t="n">
        <v>52</v>
      </c>
      <c r="I873" s="22" t="n">
        <v>52</v>
      </c>
      <c r="J873" s="22" t="n">
        <f aca="false">H873-I873</f>
        <v>0</v>
      </c>
      <c r="K873" s="20" t="str">
        <f aca="false">IF(ABS(J873)&lt;0.001,"MATCH - PAPER CHECK-IN NOT SUPPLIED","DATA MISMATCH")</f>
        <v>MATCH - PAPER CHECK-IN NOT SUPPLIED</v>
      </c>
      <c r="L873" s="22" t="n">
        <v>24</v>
      </c>
      <c r="M873" s="22" t="n">
        <f aca="false">ROUNDUP(H873,0)</f>
        <v>52</v>
      </c>
      <c r="N873" s="24" t="n">
        <f aca="false">MAX(L873,M873)</f>
        <v>52</v>
      </c>
      <c r="O873" s="25" t="n">
        <v>10.4</v>
      </c>
      <c r="P873" s="25" t="n">
        <f aca="false">N873*O873</f>
        <v>540.8</v>
      </c>
      <c r="Q873" s="23" t="s">
        <v>7217</v>
      </c>
      <c r="R873" s="23" t="s">
        <v>2804</v>
      </c>
      <c r="S873" s="24" t="n">
        <v>52</v>
      </c>
      <c r="T873" s="25" t="n">
        <v>10.4</v>
      </c>
      <c r="U873" s="25" t="n">
        <v>540.8</v>
      </c>
      <c r="V873" s="25" t="n">
        <f aca="false">P873-U873</f>
        <v>0</v>
      </c>
      <c r="W873" s="25" t="n">
        <f aca="false">V873*12</f>
        <v>0</v>
      </c>
      <c r="X873" s="23" t="str">
        <f aca="false">IF(Q873="","MISSING FROM EXPORT",IF(ABS(V873)&lt;0.005,"CLEAR",IF(V873&gt;0,"UNDERBILLING","OVERBILLING")))</f>
        <v>CLEAR</v>
      </c>
      <c r="Y873" s="25" t="n">
        <f aca="false">IF(F873="COMMERCIAL",ROUND(P873*0.35,2),0)</f>
        <v>0</v>
      </c>
      <c r="Z873" s="23" t="str">
        <f aca="false">IF(F873="COMMERCIAL","VERIFY SIGNED AGREEMENT","NO EXCEPTION")</f>
        <v>NO EXCEPTION</v>
      </c>
      <c r="AA873" s="23" t="str">
        <f aca="false">IF(AND(C873="covered",N873&gt;40),"COVERED &gt;40 FT","")</f>
        <v>COVERED &gt;40 FT</v>
      </c>
      <c r="AB873" s="23" t="s">
        <v>7218</v>
      </c>
      <c r="AC873" s="23" t="s">
        <v>7219</v>
      </c>
      <c r="AD873" s="23" t="s">
        <v>2807</v>
      </c>
    </row>
    <row r="874" customFormat="false" ht="17.9" hidden="false" customHeight="false" outlineLevel="0" collapsed="false">
      <c r="A874" s="20" t="s">
        <v>7220</v>
      </c>
      <c r="B874" s="20" t="s">
        <v>99</v>
      </c>
      <c r="C874" s="20" t="s">
        <v>5162</v>
      </c>
      <c r="D874" s="20" t="s">
        <v>7221</v>
      </c>
      <c r="E874" s="20" t="s">
        <v>7222</v>
      </c>
      <c r="F874" s="20" t="s">
        <v>2833</v>
      </c>
      <c r="G874" s="20" t="s">
        <v>2862</v>
      </c>
      <c r="H874" s="22" t="n">
        <v>39</v>
      </c>
      <c r="I874" s="22" t="n">
        <v>39</v>
      </c>
      <c r="J874" s="22" t="n">
        <f aca="false">H874-I874</f>
        <v>0</v>
      </c>
      <c r="K874" s="20" t="str">
        <f aca="false">IF(ABS(J874)&lt;0.001,"MATCH - PAPER CHECK-IN NOT SUPPLIED","DATA MISMATCH")</f>
        <v>MATCH - PAPER CHECK-IN NOT SUPPLIED</v>
      </c>
      <c r="L874" s="22" t="n">
        <v>32</v>
      </c>
      <c r="M874" s="22" t="n">
        <f aca="false">ROUNDUP(H874,0)</f>
        <v>39</v>
      </c>
      <c r="N874" s="24" t="n">
        <f aca="false">MAX(L874,M874)</f>
        <v>39</v>
      </c>
      <c r="O874" s="25" t="n">
        <v>10.4</v>
      </c>
      <c r="P874" s="25" t="n">
        <f aca="false">N874*O874</f>
        <v>405.6</v>
      </c>
      <c r="Q874" s="23" t="s">
        <v>7223</v>
      </c>
      <c r="R874" s="23" t="s">
        <v>2804</v>
      </c>
      <c r="S874" s="24" t="n">
        <v>39</v>
      </c>
      <c r="T874" s="25" t="n">
        <v>10.4</v>
      </c>
      <c r="U874" s="25" t="n">
        <v>405.6</v>
      </c>
      <c r="V874" s="25" t="n">
        <f aca="false">P874-U874</f>
        <v>0</v>
      </c>
      <c r="W874" s="25" t="n">
        <f aca="false">V874*12</f>
        <v>0</v>
      </c>
      <c r="X874" s="23" t="str">
        <f aca="false">IF(Q874="","MISSING FROM EXPORT",IF(ABS(V874)&lt;0.005,"CLEAR",IF(V874&gt;0,"UNDERBILLING","OVERBILLING")))</f>
        <v>CLEAR</v>
      </c>
      <c r="Y874" s="25" t="n">
        <f aca="false">IF(F874="COMMERCIAL",ROUND(P874*0.35,2),0)</f>
        <v>0</v>
      </c>
      <c r="Z874" s="23" t="str">
        <f aca="false">IF(F874="COMMERCIAL","VERIFY SIGNED AGREEMENT","NO EXCEPTION")</f>
        <v>NO EXCEPTION</v>
      </c>
      <c r="AA874" s="23" t="str">
        <f aca="false">IF(AND(C874="covered",N874&gt;40),"COVERED &gt;40 FT","")</f>
        <v/>
      </c>
      <c r="AB874" s="23" t="s">
        <v>7224</v>
      </c>
      <c r="AC874" s="23" t="s">
        <v>7225</v>
      </c>
      <c r="AD874" s="23" t="s">
        <v>2807</v>
      </c>
    </row>
    <row r="875" customFormat="false" ht="17.9" hidden="false" customHeight="false" outlineLevel="0" collapsed="false">
      <c r="A875" s="20" t="s">
        <v>7226</v>
      </c>
      <c r="B875" s="20" t="s">
        <v>99</v>
      </c>
      <c r="C875" s="20" t="s">
        <v>5162</v>
      </c>
      <c r="D875" s="20" t="s">
        <v>7227</v>
      </c>
      <c r="E875" s="20" t="s">
        <v>7228</v>
      </c>
      <c r="F875" s="20" t="s">
        <v>2857</v>
      </c>
      <c r="G875" s="20" t="s">
        <v>2870</v>
      </c>
      <c r="H875" s="22" t="n">
        <v>53</v>
      </c>
      <c r="I875" s="22" t="n">
        <v>53</v>
      </c>
      <c r="J875" s="22" t="n">
        <f aca="false">H875-I875</f>
        <v>0</v>
      </c>
      <c r="K875" s="20" t="str">
        <f aca="false">IF(ABS(J875)&lt;0.001,"MATCH - PAPER CHECK-IN NOT SUPPLIED","DATA MISMATCH")</f>
        <v>MATCH - PAPER CHECK-IN NOT SUPPLIED</v>
      </c>
      <c r="L875" s="22" t="n">
        <v>36</v>
      </c>
      <c r="M875" s="22" t="n">
        <f aca="false">ROUNDUP(H875,0)</f>
        <v>53</v>
      </c>
      <c r="N875" s="24" t="n">
        <f aca="false">MAX(L875,M875)</f>
        <v>53</v>
      </c>
      <c r="O875" s="25" t="n">
        <v>10.4</v>
      </c>
      <c r="P875" s="25" t="n">
        <f aca="false">N875*O875</f>
        <v>551.2</v>
      </c>
      <c r="Q875" s="23" t="s">
        <v>7229</v>
      </c>
      <c r="R875" s="23" t="s">
        <v>2804</v>
      </c>
      <c r="S875" s="24" t="n">
        <v>53</v>
      </c>
      <c r="T875" s="25" t="n">
        <v>10.4</v>
      </c>
      <c r="U875" s="25" t="n">
        <v>551.2</v>
      </c>
      <c r="V875" s="25" t="n">
        <f aca="false">P875-U875</f>
        <v>0</v>
      </c>
      <c r="W875" s="25" t="n">
        <f aca="false">V875*12</f>
        <v>0</v>
      </c>
      <c r="X875" s="23" t="str">
        <f aca="false">IF(Q875="","MISSING FROM EXPORT",IF(ABS(V875)&lt;0.005,"CLEAR",IF(V875&gt;0,"UNDERBILLING","OVERBILLING")))</f>
        <v>CLEAR</v>
      </c>
      <c r="Y875" s="25" t="n">
        <f aca="false">IF(F875="COMMERCIAL",ROUND(P875*0.35,2),0)</f>
        <v>0</v>
      </c>
      <c r="Z875" s="23" t="str">
        <f aca="false">IF(F875="COMMERCIAL","VERIFY SIGNED AGREEMENT","NO EXCEPTION")</f>
        <v>NO EXCEPTION</v>
      </c>
      <c r="AA875" s="23" t="str">
        <f aca="false">IF(AND(C875="covered",N875&gt;40),"COVERED &gt;40 FT","")</f>
        <v>COVERED &gt;40 FT</v>
      </c>
      <c r="AB875" s="23" t="s">
        <v>7230</v>
      </c>
      <c r="AC875" s="23" t="s">
        <v>7231</v>
      </c>
      <c r="AD875" s="23" t="s">
        <v>2807</v>
      </c>
    </row>
    <row r="876" customFormat="false" ht="17.9" hidden="false" customHeight="false" outlineLevel="0" collapsed="false">
      <c r="A876" s="20" t="s">
        <v>295</v>
      </c>
      <c r="B876" s="20" t="s">
        <v>99</v>
      </c>
      <c r="C876" s="20" t="s">
        <v>5162</v>
      </c>
      <c r="D876" s="20" t="s">
        <v>7232</v>
      </c>
      <c r="E876" s="20" t="s">
        <v>7233</v>
      </c>
      <c r="F876" s="20" t="s">
        <v>2898</v>
      </c>
      <c r="G876" s="20" t="s">
        <v>2877</v>
      </c>
      <c r="H876" s="22" t="n">
        <v>24.8</v>
      </c>
      <c r="I876" s="22" t="n">
        <v>24.8</v>
      </c>
      <c r="J876" s="22" t="n">
        <f aca="false">H876-I876</f>
        <v>0</v>
      </c>
      <c r="K876" s="20" t="str">
        <f aca="false">IF(ABS(J876)&lt;0.001,"MATCH - PAPER CHECK-IN NOT SUPPLIED","DATA MISMATCH")</f>
        <v>MATCH - PAPER CHECK-IN NOT SUPPLIED</v>
      </c>
      <c r="L876" s="22" t="n">
        <v>28</v>
      </c>
      <c r="M876" s="22" t="n">
        <f aca="false">ROUNDUP(H876,0)</f>
        <v>25</v>
      </c>
      <c r="N876" s="24" t="n">
        <f aca="false">MAX(L876,M876)</f>
        <v>28</v>
      </c>
      <c r="O876" s="25" t="n">
        <v>10.4</v>
      </c>
      <c r="P876" s="25" t="n">
        <f aca="false">N876*O876</f>
        <v>291.2</v>
      </c>
      <c r="Q876" s="23" t="s">
        <v>7234</v>
      </c>
      <c r="R876" s="23" t="s">
        <v>2804</v>
      </c>
      <c r="S876" s="24" t="n">
        <v>28</v>
      </c>
      <c r="T876" s="25" t="n">
        <v>10.4</v>
      </c>
      <c r="U876" s="25" t="n">
        <v>291.2</v>
      </c>
      <c r="V876" s="25" t="n">
        <f aca="false">P876-U876</f>
        <v>0</v>
      </c>
      <c r="W876" s="25" t="n">
        <f aca="false">V876*12</f>
        <v>0</v>
      </c>
      <c r="X876" s="23" t="str">
        <f aca="false">IF(Q876="","MISSING FROM EXPORT",IF(ABS(V876)&lt;0.005,"CLEAR",IF(V876&gt;0,"UNDERBILLING","OVERBILLING")))</f>
        <v>CLEAR</v>
      </c>
      <c r="Y876" s="25" t="n">
        <f aca="false">IF(F876="COMMERCIAL",ROUND(P876*0.35,2),0)</f>
        <v>0</v>
      </c>
      <c r="Z876" s="23" t="str">
        <f aca="false">IF(F876="COMMERCIAL","VERIFY SIGNED AGREEMENT","NO EXCEPTION")</f>
        <v>NO EXCEPTION</v>
      </c>
      <c r="AA876" s="23" t="str">
        <f aca="false">IF(AND(C876="covered",N876&gt;40),"COVERED &gt;40 FT","")</f>
        <v/>
      </c>
      <c r="AB876" s="23" t="s">
        <v>7235</v>
      </c>
      <c r="AC876" s="23" t="s">
        <v>7236</v>
      </c>
      <c r="AD876" s="23" t="s">
        <v>2807</v>
      </c>
    </row>
    <row r="877" customFormat="false" ht="17.9" hidden="false" customHeight="false" outlineLevel="0" collapsed="false">
      <c r="A877" s="20" t="s">
        <v>7237</v>
      </c>
      <c r="B877" s="20" t="s">
        <v>99</v>
      </c>
      <c r="C877" s="20" t="s">
        <v>5162</v>
      </c>
      <c r="D877" s="20" t="s">
        <v>7238</v>
      </c>
      <c r="E877" s="20" t="s">
        <v>7239</v>
      </c>
      <c r="F877" s="20" t="s">
        <v>2833</v>
      </c>
      <c r="G877" s="20" t="s">
        <v>2884</v>
      </c>
      <c r="H877" s="22" t="n">
        <v>40.2</v>
      </c>
      <c r="I877" s="22" t="n">
        <v>40.2</v>
      </c>
      <c r="J877" s="22" t="n">
        <f aca="false">H877-I877</f>
        <v>0</v>
      </c>
      <c r="K877" s="20" t="str">
        <f aca="false">IF(ABS(J877)&lt;0.001,"MATCH - PAPER CHECK-IN NOT SUPPLIED","DATA MISMATCH")</f>
        <v>MATCH - PAPER CHECK-IN NOT SUPPLIED</v>
      </c>
      <c r="L877" s="22" t="n">
        <v>28</v>
      </c>
      <c r="M877" s="22" t="n">
        <f aca="false">ROUNDUP(H877,0)</f>
        <v>41</v>
      </c>
      <c r="N877" s="24" t="n">
        <f aca="false">MAX(L877,M877)</f>
        <v>41</v>
      </c>
      <c r="O877" s="25" t="n">
        <v>10.4</v>
      </c>
      <c r="P877" s="25" t="n">
        <f aca="false">N877*O877</f>
        <v>426.4</v>
      </c>
      <c r="Q877" s="23" t="s">
        <v>7240</v>
      </c>
      <c r="R877" s="23" t="s">
        <v>2804</v>
      </c>
      <c r="S877" s="24" t="n">
        <v>41</v>
      </c>
      <c r="T877" s="25" t="n">
        <v>10.4</v>
      </c>
      <c r="U877" s="25" t="n">
        <v>426.4</v>
      </c>
      <c r="V877" s="25" t="n">
        <f aca="false">P877-U877</f>
        <v>0</v>
      </c>
      <c r="W877" s="25" t="n">
        <f aca="false">V877*12</f>
        <v>0</v>
      </c>
      <c r="X877" s="23" t="str">
        <f aca="false">IF(Q877="","MISSING FROM EXPORT",IF(ABS(V877)&lt;0.005,"CLEAR",IF(V877&gt;0,"UNDERBILLING","OVERBILLING")))</f>
        <v>CLEAR</v>
      </c>
      <c r="Y877" s="25" t="n">
        <f aca="false">IF(F877="COMMERCIAL",ROUND(P877*0.35,2),0)</f>
        <v>0</v>
      </c>
      <c r="Z877" s="23" t="str">
        <f aca="false">IF(F877="COMMERCIAL","VERIFY SIGNED AGREEMENT","NO EXCEPTION")</f>
        <v>NO EXCEPTION</v>
      </c>
      <c r="AA877" s="23" t="str">
        <f aca="false">IF(AND(C877="covered",N877&gt;40),"COVERED &gt;40 FT","")</f>
        <v>COVERED &gt;40 FT</v>
      </c>
      <c r="AB877" s="23" t="s">
        <v>7241</v>
      </c>
      <c r="AC877" s="23" t="s">
        <v>7242</v>
      </c>
      <c r="AD877" s="23" t="s">
        <v>2807</v>
      </c>
    </row>
    <row r="878" customFormat="false" ht="17.9" hidden="false" customHeight="false" outlineLevel="0" collapsed="false">
      <c r="A878" s="20" t="s">
        <v>7243</v>
      </c>
      <c r="B878" s="20" t="s">
        <v>99</v>
      </c>
      <c r="C878" s="20" t="s">
        <v>5162</v>
      </c>
      <c r="D878" s="20" t="s">
        <v>7244</v>
      </c>
      <c r="E878" s="20" t="s">
        <v>7245</v>
      </c>
      <c r="F878" s="20" t="s">
        <v>2898</v>
      </c>
      <c r="G878" s="20" t="s">
        <v>2891</v>
      </c>
      <c r="H878" s="22" t="n">
        <v>32</v>
      </c>
      <c r="I878" s="22" t="n">
        <v>32</v>
      </c>
      <c r="J878" s="22" t="n">
        <f aca="false">H878-I878</f>
        <v>0</v>
      </c>
      <c r="K878" s="20" t="str">
        <f aca="false">IF(ABS(J878)&lt;0.001,"MATCH - PAPER CHECK-IN NOT SUPPLIED","DATA MISMATCH")</f>
        <v>MATCH - PAPER CHECK-IN NOT SUPPLIED</v>
      </c>
      <c r="L878" s="22" t="n">
        <v>24</v>
      </c>
      <c r="M878" s="22" t="n">
        <f aca="false">ROUNDUP(H878,0)</f>
        <v>32</v>
      </c>
      <c r="N878" s="24" t="n">
        <f aca="false">MAX(L878,M878)</f>
        <v>32</v>
      </c>
      <c r="O878" s="25" t="n">
        <v>10.4</v>
      </c>
      <c r="P878" s="25" t="n">
        <f aca="false">N878*O878</f>
        <v>332.8</v>
      </c>
      <c r="Q878" s="23" t="s">
        <v>7246</v>
      </c>
      <c r="R878" s="23" t="s">
        <v>2804</v>
      </c>
      <c r="S878" s="24" t="n">
        <v>32</v>
      </c>
      <c r="T878" s="25" t="n">
        <v>10.4</v>
      </c>
      <c r="U878" s="25" t="n">
        <v>332.8</v>
      </c>
      <c r="V878" s="25" t="n">
        <f aca="false">P878-U878</f>
        <v>0</v>
      </c>
      <c r="W878" s="25" t="n">
        <f aca="false">V878*12</f>
        <v>0</v>
      </c>
      <c r="X878" s="23" t="str">
        <f aca="false">IF(Q878="","MISSING FROM EXPORT",IF(ABS(V878)&lt;0.005,"CLEAR",IF(V878&gt;0,"UNDERBILLING","OVERBILLING")))</f>
        <v>CLEAR</v>
      </c>
      <c r="Y878" s="25" t="n">
        <f aca="false">IF(F878="COMMERCIAL",ROUND(P878*0.35,2),0)</f>
        <v>0</v>
      </c>
      <c r="Z878" s="23" t="str">
        <f aca="false">IF(F878="COMMERCIAL","VERIFY SIGNED AGREEMENT","NO EXCEPTION")</f>
        <v>NO EXCEPTION</v>
      </c>
      <c r="AA878" s="23" t="str">
        <f aca="false">IF(AND(C878="covered",N878&gt;40),"COVERED &gt;40 FT","")</f>
        <v/>
      </c>
      <c r="AB878" s="23" t="s">
        <v>7247</v>
      </c>
      <c r="AC878" s="23" t="s">
        <v>7248</v>
      </c>
      <c r="AD878" s="23" t="s">
        <v>2807</v>
      </c>
    </row>
    <row r="879" customFormat="false" ht="17.9" hidden="false" customHeight="false" outlineLevel="0" collapsed="false">
      <c r="A879" s="20" t="s">
        <v>7249</v>
      </c>
      <c r="B879" s="20" t="s">
        <v>99</v>
      </c>
      <c r="C879" s="20" t="s">
        <v>5162</v>
      </c>
      <c r="D879" s="20" t="s">
        <v>7250</v>
      </c>
      <c r="E879" s="20" t="s">
        <v>7251</v>
      </c>
      <c r="F879" s="20" t="s">
        <v>2833</v>
      </c>
      <c r="G879" s="20" t="s">
        <v>2899</v>
      </c>
      <c r="H879" s="22" t="n">
        <v>54.6</v>
      </c>
      <c r="I879" s="22" t="n">
        <v>54.6</v>
      </c>
      <c r="J879" s="22" t="n">
        <f aca="false">H879-I879</f>
        <v>0</v>
      </c>
      <c r="K879" s="20" t="str">
        <f aca="false">IF(ABS(J879)&lt;0.001,"MATCH - PAPER CHECK-IN NOT SUPPLIED","DATA MISMATCH")</f>
        <v>MATCH - PAPER CHECK-IN NOT SUPPLIED</v>
      </c>
      <c r="L879" s="22" t="n">
        <v>36</v>
      </c>
      <c r="M879" s="22" t="n">
        <f aca="false">ROUNDUP(H879,0)</f>
        <v>55</v>
      </c>
      <c r="N879" s="24" t="n">
        <f aca="false">MAX(L879,M879)</f>
        <v>55</v>
      </c>
      <c r="O879" s="25" t="n">
        <v>10.4</v>
      </c>
      <c r="P879" s="25" t="n">
        <f aca="false">N879*O879</f>
        <v>572</v>
      </c>
      <c r="Q879" s="23" t="s">
        <v>7252</v>
      </c>
      <c r="R879" s="23" t="s">
        <v>2804</v>
      </c>
      <c r="S879" s="24" t="n">
        <v>55</v>
      </c>
      <c r="T879" s="25" t="n">
        <v>10.4</v>
      </c>
      <c r="U879" s="25" t="n">
        <v>572</v>
      </c>
      <c r="V879" s="25" t="n">
        <f aca="false">P879-U879</f>
        <v>0</v>
      </c>
      <c r="W879" s="25" t="n">
        <f aca="false">V879*12</f>
        <v>0</v>
      </c>
      <c r="X879" s="23" t="str">
        <f aca="false">IF(Q879="","MISSING FROM EXPORT",IF(ABS(V879)&lt;0.005,"CLEAR",IF(V879&gt;0,"UNDERBILLING","OVERBILLING")))</f>
        <v>CLEAR</v>
      </c>
      <c r="Y879" s="25" t="n">
        <f aca="false">IF(F879="COMMERCIAL",ROUND(P879*0.35,2),0)</f>
        <v>0</v>
      </c>
      <c r="Z879" s="23" t="str">
        <f aca="false">IF(F879="COMMERCIAL","VERIFY SIGNED AGREEMENT","NO EXCEPTION")</f>
        <v>NO EXCEPTION</v>
      </c>
      <c r="AA879" s="23" t="str">
        <f aca="false">IF(AND(C879="covered",N879&gt;40),"COVERED &gt;40 FT","")</f>
        <v>COVERED &gt;40 FT</v>
      </c>
      <c r="AB879" s="23" t="s">
        <v>7253</v>
      </c>
      <c r="AC879" s="23" t="s">
        <v>7254</v>
      </c>
      <c r="AD879" s="23" t="s">
        <v>2807</v>
      </c>
    </row>
    <row r="880" customFormat="false" ht="17.9" hidden="false" customHeight="false" outlineLevel="0" collapsed="false">
      <c r="A880" s="20" t="s">
        <v>7255</v>
      </c>
      <c r="B880" s="20" t="s">
        <v>99</v>
      </c>
      <c r="C880" s="20" t="s">
        <v>5162</v>
      </c>
      <c r="D880" s="20" t="s">
        <v>7256</v>
      </c>
      <c r="E880" s="20" t="s">
        <v>7257</v>
      </c>
      <c r="F880" s="20" t="s">
        <v>2801</v>
      </c>
      <c r="G880" s="20" t="s">
        <v>4296</v>
      </c>
      <c r="H880" s="22" t="n">
        <v>53.2</v>
      </c>
      <c r="I880" s="22" t="n">
        <v>53.2</v>
      </c>
      <c r="J880" s="22" t="n">
        <f aca="false">H880-I880</f>
        <v>0</v>
      </c>
      <c r="K880" s="20" t="str">
        <f aca="false">IF(ABS(J880)&lt;0.001,"MATCH - PAPER CHECK-IN NOT SUPPLIED","DATA MISMATCH")</f>
        <v>MATCH - PAPER CHECK-IN NOT SUPPLIED</v>
      </c>
      <c r="L880" s="22" t="n">
        <v>32</v>
      </c>
      <c r="M880" s="22" t="n">
        <f aca="false">ROUNDUP(H880,0)</f>
        <v>54</v>
      </c>
      <c r="N880" s="24" t="n">
        <f aca="false">MAX(L880,M880)</f>
        <v>54</v>
      </c>
      <c r="O880" s="25" t="n">
        <v>10.4</v>
      </c>
      <c r="P880" s="25" t="n">
        <f aca="false">N880*O880</f>
        <v>561.6</v>
      </c>
      <c r="Q880" s="23" t="s">
        <v>7258</v>
      </c>
      <c r="R880" s="23" t="s">
        <v>2804</v>
      </c>
      <c r="S880" s="24" t="n">
        <v>54</v>
      </c>
      <c r="T880" s="25" t="n">
        <v>10.4</v>
      </c>
      <c r="U880" s="25" t="n">
        <v>561.6</v>
      </c>
      <c r="V880" s="25" t="n">
        <f aca="false">P880-U880</f>
        <v>0</v>
      </c>
      <c r="W880" s="25" t="n">
        <f aca="false">V880*12</f>
        <v>0</v>
      </c>
      <c r="X880" s="23" t="str">
        <f aca="false">IF(Q880="","MISSING FROM EXPORT",IF(ABS(V880)&lt;0.005,"CLEAR",IF(V880&gt;0,"UNDERBILLING","OVERBILLING")))</f>
        <v>CLEAR</v>
      </c>
      <c r="Y880" s="25" t="n">
        <f aca="false">IF(F880="COMMERCIAL",ROUND(P880*0.35,2),0)</f>
        <v>0</v>
      </c>
      <c r="Z880" s="23" t="str">
        <f aca="false">IF(F880="COMMERCIAL","VERIFY SIGNED AGREEMENT","NO EXCEPTION")</f>
        <v>NO EXCEPTION</v>
      </c>
      <c r="AA880" s="23" t="str">
        <f aca="false">IF(AND(C880="covered",N880&gt;40),"COVERED &gt;40 FT","")</f>
        <v>COVERED &gt;40 FT</v>
      </c>
      <c r="AB880" s="23" t="s">
        <v>7259</v>
      </c>
      <c r="AC880" s="23" t="s">
        <v>7260</v>
      </c>
      <c r="AD880" s="23" t="s">
        <v>2807</v>
      </c>
    </row>
    <row r="881" customFormat="false" ht="17.9" hidden="false" customHeight="false" outlineLevel="0" collapsed="false">
      <c r="A881" s="20" t="s">
        <v>610</v>
      </c>
      <c r="B881" s="20" t="s">
        <v>99</v>
      </c>
      <c r="C881" s="20" t="s">
        <v>5162</v>
      </c>
      <c r="D881" s="20" t="s">
        <v>475</v>
      </c>
      <c r="E881" s="20" t="s">
        <v>7261</v>
      </c>
      <c r="F881" s="20" t="s">
        <v>2898</v>
      </c>
      <c r="G881" s="20" t="s">
        <v>2903</v>
      </c>
      <c r="H881" s="22" t="n">
        <v>44</v>
      </c>
      <c r="I881" s="22" t="n">
        <v>44</v>
      </c>
      <c r="J881" s="22" t="n">
        <f aca="false">H881-I881</f>
        <v>0</v>
      </c>
      <c r="K881" s="20" t="str">
        <f aca="false">IF(ABS(J881)&lt;0.001,"MATCH - PAPER CHECK-IN NOT SUPPLIED","DATA MISMATCH")</f>
        <v>MATCH - PAPER CHECK-IN NOT SUPPLIED</v>
      </c>
      <c r="L881" s="22" t="n">
        <v>24</v>
      </c>
      <c r="M881" s="22" t="n">
        <f aca="false">ROUNDUP(H881,0)</f>
        <v>44</v>
      </c>
      <c r="N881" s="24" t="n">
        <f aca="false">MAX(L881,M881)</f>
        <v>44</v>
      </c>
      <c r="O881" s="25" t="n">
        <v>10.4</v>
      </c>
      <c r="P881" s="25" t="n">
        <f aca="false">N881*O881</f>
        <v>457.6</v>
      </c>
      <c r="Q881" s="23" t="s">
        <v>7262</v>
      </c>
      <c r="R881" s="23" t="s">
        <v>2804</v>
      </c>
      <c r="S881" s="24" t="n">
        <v>44</v>
      </c>
      <c r="T881" s="25" t="n">
        <v>10.4</v>
      </c>
      <c r="U881" s="25" t="n">
        <v>457.6</v>
      </c>
      <c r="V881" s="25" t="n">
        <f aca="false">P881-U881</f>
        <v>0</v>
      </c>
      <c r="W881" s="25" t="n">
        <f aca="false">V881*12</f>
        <v>0</v>
      </c>
      <c r="X881" s="23" t="str">
        <f aca="false">IF(Q881="","MISSING FROM EXPORT",IF(ABS(V881)&lt;0.005,"CLEAR",IF(V881&gt;0,"UNDERBILLING","OVERBILLING")))</f>
        <v>CLEAR</v>
      </c>
      <c r="Y881" s="25" t="n">
        <f aca="false">IF(F881="COMMERCIAL",ROUND(P881*0.35,2),0)</f>
        <v>0</v>
      </c>
      <c r="Z881" s="23" t="str">
        <f aca="false">IF(F881="COMMERCIAL","VERIFY SIGNED AGREEMENT","NO EXCEPTION")</f>
        <v>NO EXCEPTION</v>
      </c>
      <c r="AA881" s="23" t="str">
        <f aca="false">IF(AND(C881="covered",N881&gt;40),"COVERED &gt;40 FT","")</f>
        <v>COVERED &gt;40 FT</v>
      </c>
      <c r="AB881" s="23" t="s">
        <v>7263</v>
      </c>
      <c r="AC881" s="23" t="s">
        <v>7264</v>
      </c>
      <c r="AD881" s="23" t="s">
        <v>2807</v>
      </c>
    </row>
    <row r="882" customFormat="false" ht="17.9" hidden="false" customHeight="false" outlineLevel="0" collapsed="false">
      <c r="A882" s="20" t="s">
        <v>7265</v>
      </c>
      <c r="B882" s="20" t="s">
        <v>99</v>
      </c>
      <c r="C882" s="20" t="s">
        <v>5162</v>
      </c>
      <c r="D882" s="20" t="s">
        <v>7266</v>
      </c>
      <c r="E882" s="20" t="s">
        <v>7267</v>
      </c>
      <c r="F882" s="20" t="s">
        <v>2857</v>
      </c>
      <c r="G882" s="20" t="s">
        <v>2907</v>
      </c>
      <c r="H882" s="22" t="n">
        <v>61.3</v>
      </c>
      <c r="I882" s="22" t="n">
        <v>61.3</v>
      </c>
      <c r="J882" s="22" t="n">
        <f aca="false">H882-I882</f>
        <v>0</v>
      </c>
      <c r="K882" s="20" t="str">
        <f aca="false">IF(ABS(J882)&lt;0.001,"MATCH - PAPER CHECK-IN NOT SUPPLIED","DATA MISMATCH")</f>
        <v>MATCH - PAPER CHECK-IN NOT SUPPLIED</v>
      </c>
      <c r="L882" s="22" t="n">
        <v>32</v>
      </c>
      <c r="M882" s="22" t="n">
        <f aca="false">ROUNDUP(H882,0)</f>
        <v>62</v>
      </c>
      <c r="N882" s="24" t="n">
        <f aca="false">MAX(L882,M882)</f>
        <v>62</v>
      </c>
      <c r="O882" s="25" t="n">
        <v>10.4</v>
      </c>
      <c r="P882" s="25" t="n">
        <f aca="false">N882*O882</f>
        <v>644.8</v>
      </c>
      <c r="Q882" s="23" t="s">
        <v>7268</v>
      </c>
      <c r="R882" s="23" t="s">
        <v>2804</v>
      </c>
      <c r="S882" s="24" t="n">
        <v>62</v>
      </c>
      <c r="T882" s="25" t="n">
        <v>10.4</v>
      </c>
      <c r="U882" s="25" t="n">
        <v>644.8</v>
      </c>
      <c r="V882" s="25" t="n">
        <f aca="false">P882-U882</f>
        <v>0</v>
      </c>
      <c r="W882" s="25" t="n">
        <f aca="false">V882*12</f>
        <v>0</v>
      </c>
      <c r="X882" s="23" t="str">
        <f aca="false">IF(Q882="","MISSING FROM EXPORT",IF(ABS(V882)&lt;0.005,"CLEAR",IF(V882&gt;0,"UNDERBILLING","OVERBILLING")))</f>
        <v>CLEAR</v>
      </c>
      <c r="Y882" s="25" t="n">
        <f aca="false">IF(F882="COMMERCIAL",ROUND(P882*0.35,2),0)</f>
        <v>0</v>
      </c>
      <c r="Z882" s="23" t="str">
        <f aca="false">IF(F882="COMMERCIAL","VERIFY SIGNED AGREEMENT","NO EXCEPTION")</f>
        <v>NO EXCEPTION</v>
      </c>
      <c r="AA882" s="23" t="str">
        <f aca="false">IF(AND(C882="covered",N882&gt;40),"COVERED &gt;40 FT","")</f>
        <v>COVERED &gt;40 FT</v>
      </c>
      <c r="AB882" s="23" t="s">
        <v>7269</v>
      </c>
      <c r="AC882" s="23" t="s">
        <v>7270</v>
      </c>
      <c r="AD882" s="23" t="s">
        <v>2807</v>
      </c>
    </row>
    <row r="883" customFormat="false" ht="17.9" hidden="false" customHeight="false" outlineLevel="0" collapsed="false">
      <c r="A883" s="20" t="s">
        <v>7271</v>
      </c>
      <c r="B883" s="20" t="s">
        <v>99</v>
      </c>
      <c r="C883" s="20" t="s">
        <v>5162</v>
      </c>
      <c r="D883" s="20" t="s">
        <v>7272</v>
      </c>
      <c r="E883" s="20" t="s">
        <v>7273</v>
      </c>
      <c r="F883" s="20" t="s">
        <v>2934</v>
      </c>
      <c r="G883" s="20" t="s">
        <v>2914</v>
      </c>
      <c r="H883" s="22" t="n">
        <v>47.6</v>
      </c>
      <c r="I883" s="22" t="n">
        <v>47.6</v>
      </c>
      <c r="J883" s="22" t="n">
        <f aca="false">H883-I883</f>
        <v>0</v>
      </c>
      <c r="K883" s="20" t="str">
        <f aca="false">IF(ABS(J883)&lt;0.001,"MATCH - PAPER CHECK-IN NOT SUPPLIED","DATA MISMATCH")</f>
        <v>MATCH - PAPER CHECK-IN NOT SUPPLIED</v>
      </c>
      <c r="L883" s="22" t="n">
        <v>28</v>
      </c>
      <c r="M883" s="22" t="n">
        <f aca="false">ROUNDUP(H883,0)</f>
        <v>48</v>
      </c>
      <c r="N883" s="24" t="n">
        <f aca="false">MAX(L883,M883)</f>
        <v>48</v>
      </c>
      <c r="O883" s="25" t="n">
        <v>10.4</v>
      </c>
      <c r="P883" s="25" t="n">
        <f aca="false">N883*O883</f>
        <v>499.2</v>
      </c>
      <c r="Q883" s="23" t="s">
        <v>7274</v>
      </c>
      <c r="R883" s="23" t="s">
        <v>2804</v>
      </c>
      <c r="S883" s="24" t="n">
        <v>48</v>
      </c>
      <c r="T883" s="25" t="n">
        <v>10.4</v>
      </c>
      <c r="U883" s="25" t="n">
        <v>499.2</v>
      </c>
      <c r="V883" s="25" t="n">
        <f aca="false">P883-U883</f>
        <v>0</v>
      </c>
      <c r="W883" s="25" t="n">
        <f aca="false">V883*12</f>
        <v>0</v>
      </c>
      <c r="X883" s="23" t="str">
        <f aca="false">IF(Q883="","MISSING FROM EXPORT",IF(ABS(V883)&lt;0.005,"CLEAR",IF(V883&gt;0,"UNDERBILLING","OVERBILLING")))</f>
        <v>CLEAR</v>
      </c>
      <c r="Y883" s="25" t="n">
        <f aca="false">IF(F883="COMMERCIAL",ROUND(P883*0.35,2),0)</f>
        <v>174.72</v>
      </c>
      <c r="Z883" s="23" t="str">
        <f aca="false">IF(F883="COMMERCIAL","VERIFY SIGNED AGREEMENT","NO EXCEPTION")</f>
        <v>VERIFY SIGNED AGREEMENT</v>
      </c>
      <c r="AA883" s="23" t="str">
        <f aca="false">IF(AND(C883="covered",N883&gt;40),"COVERED &gt;40 FT","")</f>
        <v>COVERED &gt;40 FT</v>
      </c>
      <c r="AB883" s="23" t="s">
        <v>7275</v>
      </c>
      <c r="AC883" s="23" t="s">
        <v>7276</v>
      </c>
      <c r="AD883" s="23" t="s">
        <v>2807</v>
      </c>
    </row>
    <row r="884" customFormat="false" ht="17.9" hidden="false" customHeight="false" outlineLevel="0" collapsed="false">
      <c r="A884" s="20" t="s">
        <v>7277</v>
      </c>
      <c r="B884" s="20" t="s">
        <v>99</v>
      </c>
      <c r="C884" s="20" t="s">
        <v>5162</v>
      </c>
      <c r="D884" s="20" t="s">
        <v>7278</v>
      </c>
      <c r="E884" s="20" t="s">
        <v>7279</v>
      </c>
      <c r="F884" s="20" t="s">
        <v>2869</v>
      </c>
      <c r="G884" s="20" t="s">
        <v>2921</v>
      </c>
      <c r="H884" s="22" t="n">
        <v>56.3</v>
      </c>
      <c r="I884" s="22" t="n">
        <v>56.3</v>
      </c>
      <c r="J884" s="22" t="n">
        <f aca="false">H884-I884</f>
        <v>0</v>
      </c>
      <c r="K884" s="20" t="str">
        <f aca="false">IF(ABS(J884)&lt;0.001,"MATCH - PAPER CHECK-IN NOT SUPPLIED","DATA MISMATCH")</f>
        <v>MATCH - PAPER CHECK-IN NOT SUPPLIED</v>
      </c>
      <c r="L884" s="22" t="n">
        <v>32</v>
      </c>
      <c r="M884" s="22" t="n">
        <f aca="false">ROUNDUP(H884,0)</f>
        <v>57</v>
      </c>
      <c r="N884" s="24" t="n">
        <f aca="false">MAX(L884,M884)</f>
        <v>57</v>
      </c>
      <c r="O884" s="25" t="n">
        <v>10.4</v>
      </c>
      <c r="P884" s="25" t="n">
        <f aca="false">N884*O884</f>
        <v>592.8</v>
      </c>
      <c r="Q884" s="23" t="s">
        <v>7280</v>
      </c>
      <c r="R884" s="23" t="s">
        <v>2804</v>
      </c>
      <c r="S884" s="24" t="n">
        <v>57</v>
      </c>
      <c r="T884" s="25" t="n">
        <v>10.4</v>
      </c>
      <c r="U884" s="25" t="n">
        <v>592.8</v>
      </c>
      <c r="V884" s="25" t="n">
        <f aca="false">P884-U884</f>
        <v>0</v>
      </c>
      <c r="W884" s="25" t="n">
        <f aca="false">V884*12</f>
        <v>0</v>
      </c>
      <c r="X884" s="23" t="str">
        <f aca="false">IF(Q884="","MISSING FROM EXPORT",IF(ABS(V884)&lt;0.005,"CLEAR",IF(V884&gt;0,"UNDERBILLING","OVERBILLING")))</f>
        <v>CLEAR</v>
      </c>
      <c r="Y884" s="25" t="n">
        <f aca="false">IF(F884="COMMERCIAL",ROUND(P884*0.35,2),0)</f>
        <v>0</v>
      </c>
      <c r="Z884" s="23" t="str">
        <f aca="false">IF(F884="COMMERCIAL","VERIFY SIGNED AGREEMENT","NO EXCEPTION")</f>
        <v>NO EXCEPTION</v>
      </c>
      <c r="AA884" s="23" t="str">
        <f aca="false">IF(AND(C884="covered",N884&gt;40),"COVERED &gt;40 FT","")</f>
        <v>COVERED &gt;40 FT</v>
      </c>
      <c r="AB884" s="23" t="s">
        <v>7281</v>
      </c>
      <c r="AC884" s="23" t="s">
        <v>7282</v>
      </c>
      <c r="AD884" s="23" t="s">
        <v>2807</v>
      </c>
    </row>
    <row r="885" customFormat="false" ht="17.9" hidden="false" customHeight="false" outlineLevel="0" collapsed="false">
      <c r="A885" s="20" t="s">
        <v>7283</v>
      </c>
      <c r="B885" s="20" t="s">
        <v>99</v>
      </c>
      <c r="C885" s="20" t="s">
        <v>5162</v>
      </c>
      <c r="D885" s="20" t="s">
        <v>7284</v>
      </c>
      <c r="E885" s="20" t="s">
        <v>7285</v>
      </c>
      <c r="F885" s="20" t="s">
        <v>2833</v>
      </c>
      <c r="G885" s="20" t="s">
        <v>2927</v>
      </c>
      <c r="H885" s="22" t="n">
        <v>31.4</v>
      </c>
      <c r="I885" s="22" t="n">
        <v>31.4</v>
      </c>
      <c r="J885" s="22" t="n">
        <f aca="false">H885-I885</f>
        <v>0</v>
      </c>
      <c r="K885" s="20" t="str">
        <f aca="false">IF(ABS(J885)&lt;0.001,"MATCH - PAPER CHECK-IN NOT SUPPLIED","DATA MISMATCH")</f>
        <v>MATCH - PAPER CHECK-IN NOT SUPPLIED</v>
      </c>
      <c r="L885" s="22" t="n">
        <v>40</v>
      </c>
      <c r="M885" s="22" t="n">
        <f aca="false">ROUNDUP(H885,0)</f>
        <v>32</v>
      </c>
      <c r="N885" s="24" t="n">
        <f aca="false">MAX(L885,M885)</f>
        <v>40</v>
      </c>
      <c r="O885" s="25" t="n">
        <v>10.4</v>
      </c>
      <c r="P885" s="25" t="n">
        <f aca="false">N885*O885</f>
        <v>416</v>
      </c>
      <c r="Q885" s="23" t="s">
        <v>7286</v>
      </c>
      <c r="R885" s="23" t="s">
        <v>2804</v>
      </c>
      <c r="S885" s="24" t="n">
        <v>40</v>
      </c>
      <c r="T885" s="25" t="n">
        <v>10.4</v>
      </c>
      <c r="U885" s="25" t="n">
        <v>416</v>
      </c>
      <c r="V885" s="25" t="n">
        <f aca="false">P885-U885</f>
        <v>0</v>
      </c>
      <c r="W885" s="25" t="n">
        <f aca="false">V885*12</f>
        <v>0</v>
      </c>
      <c r="X885" s="23" t="str">
        <f aca="false">IF(Q885="","MISSING FROM EXPORT",IF(ABS(V885)&lt;0.005,"CLEAR",IF(V885&gt;0,"UNDERBILLING","OVERBILLING")))</f>
        <v>CLEAR</v>
      </c>
      <c r="Y885" s="25" t="n">
        <f aca="false">IF(F885="COMMERCIAL",ROUND(P885*0.35,2),0)</f>
        <v>0</v>
      </c>
      <c r="Z885" s="23" t="str">
        <f aca="false">IF(F885="COMMERCIAL","VERIFY SIGNED AGREEMENT","NO EXCEPTION")</f>
        <v>NO EXCEPTION</v>
      </c>
      <c r="AA885" s="23" t="str">
        <f aca="false">IF(AND(C885="covered",N885&gt;40),"COVERED &gt;40 FT","")</f>
        <v/>
      </c>
      <c r="AB885" s="23" t="s">
        <v>7287</v>
      </c>
      <c r="AC885" s="23" t="s">
        <v>7288</v>
      </c>
      <c r="AD885" s="23" t="s">
        <v>2807</v>
      </c>
    </row>
    <row r="886" customFormat="false" ht="17.9" hidden="false" customHeight="false" outlineLevel="0" collapsed="false">
      <c r="A886" s="20" t="s">
        <v>1468</v>
      </c>
      <c r="B886" s="20" t="s">
        <v>99</v>
      </c>
      <c r="C886" s="20" t="s">
        <v>5162</v>
      </c>
      <c r="D886" s="20" t="s">
        <v>7289</v>
      </c>
      <c r="E886" s="20" t="s">
        <v>7290</v>
      </c>
      <c r="F886" s="20" t="s">
        <v>2818</v>
      </c>
      <c r="G886" s="20" t="s">
        <v>2935</v>
      </c>
      <c r="H886" s="22" t="n">
        <v>58.8</v>
      </c>
      <c r="I886" s="22" t="n">
        <v>58.8</v>
      </c>
      <c r="J886" s="22" t="n">
        <f aca="false">H886-I886</f>
        <v>0</v>
      </c>
      <c r="K886" s="20" t="str">
        <f aca="false">IF(ABS(J886)&lt;0.001,"MATCH - PAPER CHECK-IN NOT SUPPLIED","DATA MISMATCH")</f>
        <v>MATCH - PAPER CHECK-IN NOT SUPPLIED</v>
      </c>
      <c r="L886" s="22" t="n">
        <v>36</v>
      </c>
      <c r="M886" s="22" t="n">
        <f aca="false">ROUNDUP(H886,0)</f>
        <v>59</v>
      </c>
      <c r="N886" s="24" t="n">
        <f aca="false">MAX(L886,M886)</f>
        <v>59</v>
      </c>
      <c r="O886" s="25" t="n">
        <v>10.4</v>
      </c>
      <c r="P886" s="25" t="n">
        <f aca="false">N886*O886</f>
        <v>613.6</v>
      </c>
      <c r="Q886" s="23" t="s">
        <v>7291</v>
      </c>
      <c r="R886" s="23" t="s">
        <v>2804</v>
      </c>
      <c r="S886" s="24" t="n">
        <v>59</v>
      </c>
      <c r="T886" s="25" t="n">
        <v>10.4</v>
      </c>
      <c r="U886" s="25" t="n">
        <v>613.6</v>
      </c>
      <c r="V886" s="25" t="n">
        <f aca="false">P886-U886</f>
        <v>0</v>
      </c>
      <c r="W886" s="25" t="n">
        <f aca="false">V886*12</f>
        <v>0</v>
      </c>
      <c r="X886" s="23" t="str">
        <f aca="false">IF(Q886="","MISSING FROM EXPORT",IF(ABS(V886)&lt;0.005,"CLEAR",IF(V886&gt;0,"UNDERBILLING","OVERBILLING")))</f>
        <v>CLEAR</v>
      </c>
      <c r="Y886" s="25" t="n">
        <f aca="false">IF(F886="COMMERCIAL",ROUND(P886*0.35,2),0)</f>
        <v>0</v>
      </c>
      <c r="Z886" s="23" t="str">
        <f aca="false">IF(F886="COMMERCIAL","VERIFY SIGNED AGREEMENT","NO EXCEPTION")</f>
        <v>NO EXCEPTION</v>
      </c>
      <c r="AA886" s="23" t="str">
        <f aca="false">IF(AND(C886="covered",N886&gt;40),"COVERED &gt;40 FT","")</f>
        <v>COVERED &gt;40 FT</v>
      </c>
      <c r="AB886" s="23" t="s">
        <v>7292</v>
      </c>
      <c r="AC886" s="23" t="s">
        <v>7293</v>
      </c>
      <c r="AD886" s="23" t="s">
        <v>2807</v>
      </c>
    </row>
    <row r="887" customFormat="false" ht="17.9" hidden="false" customHeight="false" outlineLevel="0" collapsed="false">
      <c r="A887" s="20" t="s">
        <v>7294</v>
      </c>
      <c r="B887" s="20" t="s">
        <v>99</v>
      </c>
      <c r="C887" s="20" t="s">
        <v>5162</v>
      </c>
      <c r="D887" s="20" t="s">
        <v>7295</v>
      </c>
      <c r="E887" s="20" t="s">
        <v>7296</v>
      </c>
      <c r="F887" s="20" t="s">
        <v>2857</v>
      </c>
      <c r="G887" s="20" t="s">
        <v>2941</v>
      </c>
      <c r="H887" s="22" t="n">
        <v>46.9</v>
      </c>
      <c r="I887" s="22" t="n">
        <v>46.9</v>
      </c>
      <c r="J887" s="22" t="n">
        <f aca="false">H887-I887</f>
        <v>0</v>
      </c>
      <c r="K887" s="20" t="str">
        <f aca="false">IF(ABS(J887)&lt;0.001,"MATCH - PAPER CHECK-IN NOT SUPPLIED","DATA MISMATCH")</f>
        <v>MATCH - PAPER CHECK-IN NOT SUPPLIED</v>
      </c>
      <c r="L887" s="22" t="n">
        <v>32</v>
      </c>
      <c r="M887" s="22" t="n">
        <f aca="false">ROUNDUP(H887,0)</f>
        <v>47</v>
      </c>
      <c r="N887" s="24" t="n">
        <f aca="false">MAX(L887,M887)</f>
        <v>47</v>
      </c>
      <c r="O887" s="25" t="n">
        <v>10.4</v>
      </c>
      <c r="P887" s="25" t="n">
        <f aca="false">N887*O887</f>
        <v>488.8</v>
      </c>
      <c r="Q887" s="23" t="s">
        <v>7297</v>
      </c>
      <c r="R887" s="23" t="s">
        <v>2804</v>
      </c>
      <c r="S887" s="24" t="n">
        <v>47</v>
      </c>
      <c r="T887" s="25" t="n">
        <v>10.4</v>
      </c>
      <c r="U887" s="25" t="n">
        <v>488.8</v>
      </c>
      <c r="V887" s="25" t="n">
        <f aca="false">P887-U887</f>
        <v>0</v>
      </c>
      <c r="W887" s="25" t="n">
        <f aca="false">V887*12</f>
        <v>0</v>
      </c>
      <c r="X887" s="23" t="str">
        <f aca="false">IF(Q887="","MISSING FROM EXPORT",IF(ABS(V887)&lt;0.005,"CLEAR",IF(V887&gt;0,"UNDERBILLING","OVERBILLING")))</f>
        <v>CLEAR</v>
      </c>
      <c r="Y887" s="25" t="n">
        <f aca="false">IF(F887="COMMERCIAL",ROUND(P887*0.35,2),0)</f>
        <v>0</v>
      </c>
      <c r="Z887" s="23" t="str">
        <f aca="false">IF(F887="COMMERCIAL","VERIFY SIGNED AGREEMENT","NO EXCEPTION")</f>
        <v>NO EXCEPTION</v>
      </c>
      <c r="AA887" s="23" t="str">
        <f aca="false">IF(AND(C887="covered",N887&gt;40),"COVERED &gt;40 FT","")</f>
        <v>COVERED &gt;40 FT</v>
      </c>
      <c r="AB887" s="23" t="s">
        <v>7298</v>
      </c>
      <c r="AC887" s="23" t="s">
        <v>7299</v>
      </c>
      <c r="AD887" s="23" t="s">
        <v>2807</v>
      </c>
    </row>
    <row r="888" customFormat="false" ht="17.9" hidden="false" customHeight="false" outlineLevel="0" collapsed="false">
      <c r="A888" s="20" t="s">
        <v>1542</v>
      </c>
      <c r="B888" s="20" t="s">
        <v>99</v>
      </c>
      <c r="C888" s="20" t="s">
        <v>5162</v>
      </c>
      <c r="D888" s="20" t="s">
        <v>7300</v>
      </c>
      <c r="E888" s="20" t="s">
        <v>7301</v>
      </c>
      <c r="F888" s="20" t="s">
        <v>2833</v>
      </c>
      <c r="G888" s="20" t="s">
        <v>2948</v>
      </c>
      <c r="H888" s="22" t="n">
        <v>42.3</v>
      </c>
      <c r="I888" s="22" t="n">
        <v>42.3</v>
      </c>
      <c r="J888" s="22" t="n">
        <f aca="false">H888-I888</f>
        <v>0</v>
      </c>
      <c r="K888" s="20" t="str">
        <f aca="false">IF(ABS(J888)&lt;0.001,"MATCH - PAPER CHECK-IN NOT SUPPLIED","DATA MISMATCH")</f>
        <v>MATCH - PAPER CHECK-IN NOT SUPPLIED</v>
      </c>
      <c r="L888" s="22" t="n">
        <v>32</v>
      </c>
      <c r="M888" s="22" t="n">
        <f aca="false">ROUNDUP(H888,0)</f>
        <v>43</v>
      </c>
      <c r="N888" s="24" t="n">
        <f aca="false">MAX(L888,M888)</f>
        <v>43</v>
      </c>
      <c r="O888" s="25" t="n">
        <v>10.4</v>
      </c>
      <c r="P888" s="25" t="n">
        <f aca="false">N888*O888</f>
        <v>447.2</v>
      </c>
      <c r="Q888" s="23" t="s">
        <v>7302</v>
      </c>
      <c r="R888" s="23" t="s">
        <v>2804</v>
      </c>
      <c r="S888" s="24" t="n">
        <v>43</v>
      </c>
      <c r="T888" s="25" t="n">
        <v>10.4</v>
      </c>
      <c r="U888" s="25" t="n">
        <v>447.2</v>
      </c>
      <c r="V888" s="25" t="n">
        <f aca="false">P888-U888</f>
        <v>0</v>
      </c>
      <c r="W888" s="25" t="n">
        <f aca="false">V888*12</f>
        <v>0</v>
      </c>
      <c r="X888" s="23" t="str">
        <f aca="false">IF(Q888="","MISSING FROM EXPORT",IF(ABS(V888)&lt;0.005,"CLEAR",IF(V888&gt;0,"UNDERBILLING","OVERBILLING")))</f>
        <v>CLEAR</v>
      </c>
      <c r="Y888" s="25" t="n">
        <f aca="false">IF(F888="COMMERCIAL",ROUND(P888*0.35,2),0)</f>
        <v>0</v>
      </c>
      <c r="Z888" s="23" t="str">
        <f aca="false">IF(F888="COMMERCIAL","VERIFY SIGNED AGREEMENT","NO EXCEPTION")</f>
        <v>NO EXCEPTION</v>
      </c>
      <c r="AA888" s="23" t="str">
        <f aca="false">IF(AND(C888="covered",N888&gt;40),"COVERED &gt;40 FT","")</f>
        <v>COVERED &gt;40 FT</v>
      </c>
      <c r="AB888" s="23" t="s">
        <v>7303</v>
      </c>
      <c r="AC888" s="23" t="s">
        <v>7304</v>
      </c>
      <c r="AD888" s="23" t="s">
        <v>2807</v>
      </c>
    </row>
    <row r="889" customFormat="false" ht="17.9" hidden="false" customHeight="false" outlineLevel="0" collapsed="false">
      <c r="A889" s="20" t="s">
        <v>7305</v>
      </c>
      <c r="B889" s="20" t="s">
        <v>99</v>
      </c>
      <c r="C889" s="20" t="s">
        <v>5162</v>
      </c>
      <c r="D889" s="20" t="s">
        <v>7306</v>
      </c>
      <c r="E889" s="20" t="s">
        <v>7307</v>
      </c>
      <c r="F889" s="20" t="s">
        <v>2934</v>
      </c>
      <c r="G889" s="20" t="s">
        <v>2955</v>
      </c>
      <c r="H889" s="22" t="n">
        <v>27.2</v>
      </c>
      <c r="I889" s="22" t="n">
        <v>27.2</v>
      </c>
      <c r="J889" s="22" t="n">
        <f aca="false">H889-I889</f>
        <v>0</v>
      </c>
      <c r="K889" s="20" t="str">
        <f aca="false">IF(ABS(J889)&lt;0.001,"MATCH - PAPER CHECK-IN NOT SUPPLIED","DATA MISMATCH")</f>
        <v>MATCH - PAPER CHECK-IN NOT SUPPLIED</v>
      </c>
      <c r="L889" s="22" t="n">
        <v>40</v>
      </c>
      <c r="M889" s="22" t="n">
        <f aca="false">ROUNDUP(H889,0)</f>
        <v>28</v>
      </c>
      <c r="N889" s="24" t="n">
        <f aca="false">MAX(L889,M889)</f>
        <v>40</v>
      </c>
      <c r="O889" s="25" t="n">
        <v>10.4</v>
      </c>
      <c r="P889" s="25" t="n">
        <f aca="false">N889*O889</f>
        <v>416</v>
      </c>
      <c r="Q889" s="23" t="s">
        <v>7308</v>
      </c>
      <c r="R889" s="23" t="s">
        <v>2804</v>
      </c>
      <c r="S889" s="24" t="n">
        <v>40</v>
      </c>
      <c r="T889" s="25" t="n">
        <v>10.4</v>
      </c>
      <c r="U889" s="25" t="n">
        <v>416</v>
      </c>
      <c r="V889" s="25" t="n">
        <f aca="false">P889-U889</f>
        <v>0</v>
      </c>
      <c r="W889" s="25" t="n">
        <f aca="false">V889*12</f>
        <v>0</v>
      </c>
      <c r="X889" s="23" t="str">
        <f aca="false">IF(Q889="","MISSING FROM EXPORT",IF(ABS(V889)&lt;0.005,"CLEAR",IF(V889&gt;0,"UNDERBILLING","OVERBILLING")))</f>
        <v>CLEAR</v>
      </c>
      <c r="Y889" s="25" t="n">
        <f aca="false">IF(F889="COMMERCIAL",ROUND(P889*0.35,2),0)</f>
        <v>145.6</v>
      </c>
      <c r="Z889" s="23" t="str">
        <f aca="false">IF(F889="COMMERCIAL","VERIFY SIGNED AGREEMENT","NO EXCEPTION")</f>
        <v>VERIFY SIGNED AGREEMENT</v>
      </c>
      <c r="AA889" s="23" t="str">
        <f aca="false">IF(AND(C889="covered",N889&gt;40),"COVERED &gt;40 FT","")</f>
        <v/>
      </c>
      <c r="AB889" s="23" t="s">
        <v>7309</v>
      </c>
      <c r="AC889" s="23" t="s">
        <v>7310</v>
      </c>
      <c r="AD889" s="23" t="s">
        <v>2807</v>
      </c>
    </row>
    <row r="890" customFormat="false" ht="17.9" hidden="false" customHeight="false" outlineLevel="0" collapsed="false">
      <c r="A890" s="20" t="s">
        <v>7311</v>
      </c>
      <c r="B890" s="20" t="s">
        <v>99</v>
      </c>
      <c r="C890" s="20" t="s">
        <v>5162</v>
      </c>
      <c r="D890" s="20" t="s">
        <v>7312</v>
      </c>
      <c r="E890" s="20" t="s">
        <v>7313</v>
      </c>
      <c r="F890" s="20" t="s">
        <v>2857</v>
      </c>
      <c r="G890" s="20" t="s">
        <v>2960</v>
      </c>
      <c r="H890" s="22" t="n">
        <v>36</v>
      </c>
      <c r="I890" s="22" t="n">
        <v>36</v>
      </c>
      <c r="J890" s="22" t="n">
        <f aca="false">H890-I890</f>
        <v>0</v>
      </c>
      <c r="K890" s="20" t="str">
        <f aca="false">IF(ABS(J890)&lt;0.001,"MATCH - PAPER CHECK-IN NOT SUPPLIED","DATA MISMATCH")</f>
        <v>MATCH - PAPER CHECK-IN NOT SUPPLIED</v>
      </c>
      <c r="L890" s="22" t="n">
        <v>32</v>
      </c>
      <c r="M890" s="22" t="n">
        <f aca="false">ROUNDUP(H890,0)</f>
        <v>36</v>
      </c>
      <c r="N890" s="24" t="n">
        <f aca="false">MAX(L890,M890)</f>
        <v>36</v>
      </c>
      <c r="O890" s="25" t="n">
        <v>10.4</v>
      </c>
      <c r="P890" s="25" t="n">
        <f aca="false">N890*O890</f>
        <v>374.4</v>
      </c>
      <c r="Q890" s="23" t="s">
        <v>7314</v>
      </c>
      <c r="R890" s="23" t="s">
        <v>2804</v>
      </c>
      <c r="S890" s="24" t="n">
        <v>36</v>
      </c>
      <c r="T890" s="25" t="n">
        <v>10.4</v>
      </c>
      <c r="U890" s="25" t="n">
        <v>374.4</v>
      </c>
      <c r="V890" s="25" t="n">
        <f aca="false">P890-U890</f>
        <v>0</v>
      </c>
      <c r="W890" s="25" t="n">
        <f aca="false">V890*12</f>
        <v>0</v>
      </c>
      <c r="X890" s="23" t="str">
        <f aca="false">IF(Q890="","MISSING FROM EXPORT",IF(ABS(V890)&lt;0.005,"CLEAR",IF(V890&gt;0,"UNDERBILLING","OVERBILLING")))</f>
        <v>CLEAR</v>
      </c>
      <c r="Y890" s="25" t="n">
        <f aca="false">IF(F890="COMMERCIAL",ROUND(P890*0.35,2),0)</f>
        <v>0</v>
      </c>
      <c r="Z890" s="23" t="str">
        <f aca="false">IF(F890="COMMERCIAL","VERIFY SIGNED AGREEMENT","NO EXCEPTION")</f>
        <v>NO EXCEPTION</v>
      </c>
      <c r="AA890" s="23" t="str">
        <f aca="false">IF(AND(C890="covered",N890&gt;40),"COVERED &gt;40 FT","")</f>
        <v/>
      </c>
      <c r="AB890" s="23" t="s">
        <v>7315</v>
      </c>
      <c r="AC890" s="23" t="s">
        <v>7316</v>
      </c>
      <c r="AD890" s="23" t="s">
        <v>2807</v>
      </c>
    </row>
    <row r="891" customFormat="false" ht="17.9" hidden="false" customHeight="false" outlineLevel="0" collapsed="false">
      <c r="A891" s="20" t="s">
        <v>7317</v>
      </c>
      <c r="B891" s="20" t="s">
        <v>99</v>
      </c>
      <c r="C891" s="20" t="s">
        <v>5162</v>
      </c>
      <c r="D891" s="20" t="s">
        <v>7318</v>
      </c>
      <c r="E891" s="20" t="s">
        <v>7319</v>
      </c>
      <c r="F891" s="20" t="s">
        <v>2857</v>
      </c>
      <c r="G891" s="20" t="s">
        <v>2967</v>
      </c>
      <c r="H891" s="22" t="n">
        <v>41.7</v>
      </c>
      <c r="I891" s="22" t="n">
        <v>41.7</v>
      </c>
      <c r="J891" s="22" t="n">
        <f aca="false">H891-I891</f>
        <v>0</v>
      </c>
      <c r="K891" s="20" t="str">
        <f aca="false">IF(ABS(J891)&lt;0.001,"MATCH - PAPER CHECK-IN NOT SUPPLIED","DATA MISMATCH")</f>
        <v>MATCH - PAPER CHECK-IN NOT SUPPLIED</v>
      </c>
      <c r="L891" s="22" t="n">
        <v>40</v>
      </c>
      <c r="M891" s="22" t="n">
        <f aca="false">ROUNDUP(H891,0)</f>
        <v>42</v>
      </c>
      <c r="N891" s="24" t="n">
        <f aca="false">MAX(L891,M891)</f>
        <v>42</v>
      </c>
      <c r="O891" s="25" t="n">
        <v>10.4</v>
      </c>
      <c r="P891" s="25" t="n">
        <f aca="false">N891*O891</f>
        <v>436.8</v>
      </c>
      <c r="Q891" s="23" t="s">
        <v>7320</v>
      </c>
      <c r="R891" s="23" t="s">
        <v>2804</v>
      </c>
      <c r="S891" s="24" t="n">
        <v>42</v>
      </c>
      <c r="T891" s="25" t="n">
        <v>10.4</v>
      </c>
      <c r="U891" s="25" t="n">
        <v>436.8</v>
      </c>
      <c r="V891" s="25" t="n">
        <f aca="false">P891-U891</f>
        <v>0</v>
      </c>
      <c r="W891" s="25" t="n">
        <f aca="false">V891*12</f>
        <v>0</v>
      </c>
      <c r="X891" s="23" t="str">
        <f aca="false">IF(Q891="","MISSING FROM EXPORT",IF(ABS(V891)&lt;0.005,"CLEAR",IF(V891&gt;0,"UNDERBILLING","OVERBILLING")))</f>
        <v>CLEAR</v>
      </c>
      <c r="Y891" s="25" t="n">
        <f aca="false">IF(F891="COMMERCIAL",ROUND(P891*0.35,2),0)</f>
        <v>0</v>
      </c>
      <c r="Z891" s="23" t="str">
        <f aca="false">IF(F891="COMMERCIAL","VERIFY SIGNED AGREEMENT","NO EXCEPTION")</f>
        <v>NO EXCEPTION</v>
      </c>
      <c r="AA891" s="23" t="str">
        <f aca="false">IF(AND(C891="covered",N891&gt;40),"COVERED &gt;40 FT","")</f>
        <v>COVERED &gt;40 FT</v>
      </c>
      <c r="AB891" s="23" t="s">
        <v>7321</v>
      </c>
      <c r="AC891" s="23" t="s">
        <v>7322</v>
      </c>
      <c r="AD891" s="23" t="s">
        <v>2807</v>
      </c>
    </row>
    <row r="892" customFormat="false" ht="17.9" hidden="false" customHeight="false" outlineLevel="0" collapsed="false">
      <c r="A892" s="20" t="s">
        <v>325</v>
      </c>
      <c r="B892" s="20" t="s">
        <v>99</v>
      </c>
      <c r="C892" s="20" t="s">
        <v>5162</v>
      </c>
      <c r="D892" s="20" t="s">
        <v>7323</v>
      </c>
      <c r="E892" s="20" t="s">
        <v>7324</v>
      </c>
      <c r="F892" s="20" t="s">
        <v>2934</v>
      </c>
      <c r="G892" s="20" t="s">
        <v>4354</v>
      </c>
      <c r="H892" s="22" t="n">
        <v>34.3</v>
      </c>
      <c r="I892" s="22" t="n">
        <v>34.3</v>
      </c>
      <c r="J892" s="22" t="n">
        <f aca="false">H892-I892</f>
        <v>0</v>
      </c>
      <c r="K892" s="20" t="str">
        <f aca="false">IF(ABS(J892)&lt;0.001,"MATCH - PAPER CHECK-IN NOT SUPPLIED","DATA MISMATCH")</f>
        <v>MATCH - PAPER CHECK-IN NOT SUPPLIED</v>
      </c>
      <c r="L892" s="22" t="n">
        <v>28</v>
      </c>
      <c r="M892" s="22" t="n">
        <f aca="false">ROUNDUP(H892,0)</f>
        <v>35</v>
      </c>
      <c r="N892" s="24" t="n">
        <f aca="false">MAX(L892,M892)</f>
        <v>35</v>
      </c>
      <c r="O892" s="25" t="n">
        <v>10.4</v>
      </c>
      <c r="P892" s="25" t="n">
        <f aca="false">N892*O892</f>
        <v>364</v>
      </c>
      <c r="Q892" s="23" t="s">
        <v>7325</v>
      </c>
      <c r="R892" s="23" t="s">
        <v>2804</v>
      </c>
      <c r="S892" s="24" t="n">
        <v>35</v>
      </c>
      <c r="T892" s="25" t="n">
        <v>10.4</v>
      </c>
      <c r="U892" s="25" t="n">
        <v>364</v>
      </c>
      <c r="V892" s="25" t="n">
        <f aca="false">P892-U892</f>
        <v>0</v>
      </c>
      <c r="W892" s="25" t="n">
        <f aca="false">V892*12</f>
        <v>0</v>
      </c>
      <c r="X892" s="23" t="str">
        <f aca="false">IF(Q892="","MISSING FROM EXPORT",IF(ABS(V892)&lt;0.005,"CLEAR",IF(V892&gt;0,"UNDERBILLING","OVERBILLING")))</f>
        <v>CLEAR</v>
      </c>
      <c r="Y892" s="25" t="n">
        <f aca="false">IF(F892="COMMERCIAL",ROUND(P892*0.35,2),0)</f>
        <v>127.4</v>
      </c>
      <c r="Z892" s="23" t="str">
        <f aca="false">IF(F892="COMMERCIAL","VERIFY SIGNED AGREEMENT","NO EXCEPTION")</f>
        <v>VERIFY SIGNED AGREEMENT</v>
      </c>
      <c r="AA892" s="23" t="str">
        <f aca="false">IF(AND(C892="covered",N892&gt;40),"COVERED &gt;40 FT","")</f>
        <v/>
      </c>
      <c r="AB892" s="23" t="s">
        <v>7326</v>
      </c>
      <c r="AC892" s="23" t="s">
        <v>7327</v>
      </c>
      <c r="AD892" s="23" t="s">
        <v>2807</v>
      </c>
    </row>
    <row r="893" customFormat="false" ht="17.9" hidden="false" customHeight="false" outlineLevel="0" collapsed="false">
      <c r="A893" s="20" t="s">
        <v>7328</v>
      </c>
      <c r="B893" s="20" t="s">
        <v>99</v>
      </c>
      <c r="C893" s="20" t="s">
        <v>5162</v>
      </c>
      <c r="D893" s="20" t="s">
        <v>7329</v>
      </c>
      <c r="E893" s="20" t="s">
        <v>7330</v>
      </c>
      <c r="F893" s="20" t="s">
        <v>2857</v>
      </c>
      <c r="G893" s="20" t="s">
        <v>2974</v>
      </c>
      <c r="H893" s="22" t="n">
        <v>22.5</v>
      </c>
      <c r="I893" s="22" t="n">
        <v>22.5</v>
      </c>
      <c r="J893" s="22" t="n">
        <f aca="false">H893-I893</f>
        <v>0</v>
      </c>
      <c r="K893" s="20" t="str">
        <f aca="false">IF(ABS(J893)&lt;0.001,"MATCH - PAPER CHECK-IN NOT SUPPLIED","DATA MISMATCH")</f>
        <v>MATCH - PAPER CHECK-IN NOT SUPPLIED</v>
      </c>
      <c r="L893" s="22" t="n">
        <v>28</v>
      </c>
      <c r="M893" s="22" t="n">
        <f aca="false">ROUNDUP(H893,0)</f>
        <v>23</v>
      </c>
      <c r="N893" s="24" t="n">
        <f aca="false">MAX(L893,M893)</f>
        <v>28</v>
      </c>
      <c r="O893" s="25" t="n">
        <v>10.4</v>
      </c>
      <c r="P893" s="25" t="n">
        <f aca="false">N893*O893</f>
        <v>291.2</v>
      </c>
      <c r="Q893" s="23" t="s">
        <v>7331</v>
      </c>
      <c r="R893" s="23" t="s">
        <v>2804</v>
      </c>
      <c r="S893" s="24" t="n">
        <v>28</v>
      </c>
      <c r="T893" s="25" t="n">
        <v>10.4</v>
      </c>
      <c r="U893" s="25" t="n">
        <v>291.2</v>
      </c>
      <c r="V893" s="25" t="n">
        <f aca="false">P893-U893</f>
        <v>0</v>
      </c>
      <c r="W893" s="25" t="n">
        <f aca="false">V893*12</f>
        <v>0</v>
      </c>
      <c r="X893" s="23" t="str">
        <f aca="false">IF(Q893="","MISSING FROM EXPORT",IF(ABS(V893)&lt;0.005,"CLEAR",IF(V893&gt;0,"UNDERBILLING","OVERBILLING")))</f>
        <v>CLEAR</v>
      </c>
      <c r="Y893" s="25" t="n">
        <f aca="false">IF(F893="COMMERCIAL",ROUND(P893*0.35,2),0)</f>
        <v>0</v>
      </c>
      <c r="Z893" s="23" t="str">
        <f aca="false">IF(F893="COMMERCIAL","VERIFY SIGNED AGREEMENT","NO EXCEPTION")</f>
        <v>NO EXCEPTION</v>
      </c>
      <c r="AA893" s="23" t="str">
        <f aca="false">IF(AND(C893="covered",N893&gt;40),"COVERED &gt;40 FT","")</f>
        <v/>
      </c>
      <c r="AB893" s="23" t="s">
        <v>7332</v>
      </c>
      <c r="AC893" s="23" t="s">
        <v>7333</v>
      </c>
      <c r="AD893" s="23" t="s">
        <v>2807</v>
      </c>
    </row>
    <row r="894" customFormat="false" ht="17.9" hidden="false" customHeight="false" outlineLevel="0" collapsed="false">
      <c r="A894" s="20" t="s">
        <v>7334</v>
      </c>
      <c r="B894" s="20" t="s">
        <v>99</v>
      </c>
      <c r="C894" s="20" t="s">
        <v>5162</v>
      </c>
      <c r="D894" s="20" t="s">
        <v>7335</v>
      </c>
      <c r="E894" s="20" t="s">
        <v>7336</v>
      </c>
      <c r="F894" s="20" t="s">
        <v>2833</v>
      </c>
      <c r="G894" s="20" t="s">
        <v>2981</v>
      </c>
      <c r="H894" s="22" t="n">
        <v>49.1</v>
      </c>
      <c r="I894" s="22" t="n">
        <v>49.1</v>
      </c>
      <c r="J894" s="22" t="n">
        <f aca="false">H894-I894</f>
        <v>0</v>
      </c>
      <c r="K894" s="20" t="str">
        <f aca="false">IF(ABS(J894)&lt;0.001,"MATCH - PAPER CHECK-IN NOT SUPPLIED","DATA MISMATCH")</f>
        <v>MATCH - PAPER CHECK-IN NOT SUPPLIED</v>
      </c>
      <c r="L894" s="22" t="n">
        <v>24</v>
      </c>
      <c r="M894" s="22" t="n">
        <f aca="false">ROUNDUP(H894,0)</f>
        <v>50</v>
      </c>
      <c r="N894" s="24" t="n">
        <f aca="false">MAX(L894,M894)</f>
        <v>50</v>
      </c>
      <c r="O894" s="25" t="n">
        <v>10.4</v>
      </c>
      <c r="P894" s="25" t="n">
        <f aca="false">N894*O894</f>
        <v>520</v>
      </c>
      <c r="Q894" s="23" t="s">
        <v>7337</v>
      </c>
      <c r="R894" s="23" t="s">
        <v>2804</v>
      </c>
      <c r="S894" s="24" t="n">
        <v>50</v>
      </c>
      <c r="T894" s="25" t="n">
        <v>10.4</v>
      </c>
      <c r="U894" s="25" t="n">
        <v>520</v>
      </c>
      <c r="V894" s="25" t="n">
        <f aca="false">P894-U894</f>
        <v>0</v>
      </c>
      <c r="W894" s="25" t="n">
        <f aca="false">V894*12</f>
        <v>0</v>
      </c>
      <c r="X894" s="23" t="str">
        <f aca="false">IF(Q894="","MISSING FROM EXPORT",IF(ABS(V894)&lt;0.005,"CLEAR",IF(V894&gt;0,"UNDERBILLING","OVERBILLING")))</f>
        <v>CLEAR</v>
      </c>
      <c r="Y894" s="25" t="n">
        <f aca="false">IF(F894="COMMERCIAL",ROUND(P894*0.35,2),0)</f>
        <v>0</v>
      </c>
      <c r="Z894" s="23" t="str">
        <f aca="false">IF(F894="COMMERCIAL","VERIFY SIGNED AGREEMENT","NO EXCEPTION")</f>
        <v>NO EXCEPTION</v>
      </c>
      <c r="AA894" s="23" t="str">
        <f aca="false">IF(AND(C894="covered",N894&gt;40),"COVERED &gt;40 FT","")</f>
        <v>COVERED &gt;40 FT</v>
      </c>
      <c r="AB894" s="23" t="s">
        <v>7338</v>
      </c>
      <c r="AC894" s="23" t="s">
        <v>7339</v>
      </c>
      <c r="AD894" s="23" t="s">
        <v>2807</v>
      </c>
    </row>
    <row r="895" customFormat="false" ht="17.9" hidden="false" customHeight="false" outlineLevel="0" collapsed="false">
      <c r="A895" s="20" t="s">
        <v>7340</v>
      </c>
      <c r="B895" s="20" t="s">
        <v>99</v>
      </c>
      <c r="C895" s="20" t="s">
        <v>5162</v>
      </c>
      <c r="D895" s="20" t="s">
        <v>7341</v>
      </c>
      <c r="E895" s="20" t="s">
        <v>7342</v>
      </c>
      <c r="F895" s="20" t="s">
        <v>2810</v>
      </c>
      <c r="G895" s="20" t="s">
        <v>2988</v>
      </c>
      <c r="H895" s="22" t="n">
        <v>21.8</v>
      </c>
      <c r="I895" s="22" t="n">
        <v>21.8</v>
      </c>
      <c r="J895" s="22" t="n">
        <f aca="false">H895-I895</f>
        <v>0</v>
      </c>
      <c r="K895" s="20" t="str">
        <f aca="false">IF(ABS(J895)&lt;0.001,"MATCH - PAPER CHECK-IN NOT SUPPLIED","DATA MISMATCH")</f>
        <v>MATCH - PAPER CHECK-IN NOT SUPPLIED</v>
      </c>
      <c r="L895" s="22" t="n">
        <v>40</v>
      </c>
      <c r="M895" s="22" t="n">
        <f aca="false">ROUNDUP(H895,0)</f>
        <v>22</v>
      </c>
      <c r="N895" s="24" t="n">
        <f aca="false">MAX(L895,M895)</f>
        <v>40</v>
      </c>
      <c r="O895" s="25" t="n">
        <v>10.4</v>
      </c>
      <c r="P895" s="25" t="n">
        <f aca="false">N895*O895</f>
        <v>416</v>
      </c>
      <c r="Q895" s="23" t="s">
        <v>7343</v>
      </c>
      <c r="R895" s="23" t="s">
        <v>2804</v>
      </c>
      <c r="S895" s="24" t="n">
        <v>40</v>
      </c>
      <c r="T895" s="25" t="n">
        <v>10.4</v>
      </c>
      <c r="U895" s="25" t="n">
        <v>416</v>
      </c>
      <c r="V895" s="25" t="n">
        <f aca="false">P895-U895</f>
        <v>0</v>
      </c>
      <c r="W895" s="25" t="n">
        <f aca="false">V895*12</f>
        <v>0</v>
      </c>
      <c r="X895" s="23" t="str">
        <f aca="false">IF(Q895="","MISSING FROM EXPORT",IF(ABS(V895)&lt;0.005,"CLEAR",IF(V895&gt;0,"UNDERBILLING","OVERBILLING")))</f>
        <v>CLEAR</v>
      </c>
      <c r="Y895" s="25" t="n">
        <f aca="false">IF(F895="COMMERCIAL",ROUND(P895*0.35,2),0)</f>
        <v>0</v>
      </c>
      <c r="Z895" s="23" t="str">
        <f aca="false">IF(F895="COMMERCIAL","VERIFY SIGNED AGREEMENT","NO EXCEPTION")</f>
        <v>NO EXCEPTION</v>
      </c>
      <c r="AA895" s="23" t="str">
        <f aca="false">IF(AND(C895="covered",N895&gt;40),"COVERED &gt;40 FT","")</f>
        <v/>
      </c>
      <c r="AB895" s="23" t="s">
        <v>7344</v>
      </c>
      <c r="AC895" s="23" t="s">
        <v>7345</v>
      </c>
      <c r="AD895" s="23" t="s">
        <v>2807</v>
      </c>
    </row>
    <row r="896" customFormat="false" ht="17.9" hidden="false" customHeight="false" outlineLevel="0" collapsed="false">
      <c r="A896" s="20" t="s">
        <v>1304</v>
      </c>
      <c r="B896" s="20" t="s">
        <v>99</v>
      </c>
      <c r="C896" s="20" t="s">
        <v>5162</v>
      </c>
      <c r="D896" s="20" t="s">
        <v>7346</v>
      </c>
      <c r="E896" s="20" t="s">
        <v>7347</v>
      </c>
      <c r="F896" s="20" t="s">
        <v>2869</v>
      </c>
      <c r="G896" s="20" t="s">
        <v>2994</v>
      </c>
      <c r="H896" s="22" t="n">
        <v>38.1</v>
      </c>
      <c r="I896" s="22" t="n">
        <v>38.1</v>
      </c>
      <c r="J896" s="22" t="n">
        <f aca="false">H896-I896</f>
        <v>0</v>
      </c>
      <c r="K896" s="20" t="str">
        <f aca="false">IF(ABS(J896)&lt;0.001,"MATCH - PAPER CHECK-IN NOT SUPPLIED","DATA MISMATCH")</f>
        <v>MATCH - PAPER CHECK-IN NOT SUPPLIED</v>
      </c>
      <c r="L896" s="22" t="n">
        <v>32</v>
      </c>
      <c r="M896" s="22" t="n">
        <f aca="false">ROUNDUP(H896,0)</f>
        <v>39</v>
      </c>
      <c r="N896" s="24" t="n">
        <f aca="false">MAX(L896,M896)</f>
        <v>39</v>
      </c>
      <c r="O896" s="25" t="n">
        <v>10.4</v>
      </c>
      <c r="P896" s="25" t="n">
        <f aca="false">N896*O896</f>
        <v>405.6</v>
      </c>
      <c r="Q896" s="23" t="s">
        <v>7348</v>
      </c>
      <c r="R896" s="23" t="s">
        <v>2804</v>
      </c>
      <c r="S896" s="24" t="n">
        <v>39</v>
      </c>
      <c r="T896" s="25" t="n">
        <v>10.4</v>
      </c>
      <c r="U896" s="25" t="n">
        <v>405.6</v>
      </c>
      <c r="V896" s="25" t="n">
        <f aca="false">P896-U896</f>
        <v>0</v>
      </c>
      <c r="W896" s="25" t="n">
        <f aca="false">V896*12</f>
        <v>0</v>
      </c>
      <c r="X896" s="23" t="str">
        <f aca="false">IF(Q896="","MISSING FROM EXPORT",IF(ABS(V896)&lt;0.005,"CLEAR",IF(V896&gt;0,"UNDERBILLING","OVERBILLING")))</f>
        <v>CLEAR</v>
      </c>
      <c r="Y896" s="25" t="n">
        <f aca="false">IF(F896="COMMERCIAL",ROUND(P896*0.35,2),0)</f>
        <v>0</v>
      </c>
      <c r="Z896" s="23" t="str">
        <f aca="false">IF(F896="COMMERCIAL","VERIFY SIGNED AGREEMENT","NO EXCEPTION")</f>
        <v>NO EXCEPTION</v>
      </c>
      <c r="AA896" s="23" t="str">
        <f aca="false">IF(AND(C896="covered",N896&gt;40),"COVERED &gt;40 FT","")</f>
        <v/>
      </c>
      <c r="AB896" s="23" t="s">
        <v>7349</v>
      </c>
      <c r="AC896" s="23" t="s">
        <v>7350</v>
      </c>
      <c r="AD896" s="23" t="s">
        <v>2807</v>
      </c>
    </row>
    <row r="897" customFormat="false" ht="17.9" hidden="false" customHeight="false" outlineLevel="0" collapsed="false">
      <c r="A897" s="20" t="s">
        <v>7351</v>
      </c>
      <c r="B897" s="20" t="s">
        <v>99</v>
      </c>
      <c r="C897" s="20" t="s">
        <v>5162</v>
      </c>
      <c r="D897" s="20" t="s">
        <v>2698</v>
      </c>
      <c r="E897" s="20" t="s">
        <v>2699</v>
      </c>
      <c r="F897" s="20" t="s">
        <v>2833</v>
      </c>
      <c r="G897" s="20" t="s">
        <v>3001</v>
      </c>
      <c r="H897" s="22" t="n">
        <v>20.9</v>
      </c>
      <c r="I897" s="22" t="n">
        <v>20.9</v>
      </c>
      <c r="J897" s="22" t="n">
        <f aca="false">H897-I897</f>
        <v>0</v>
      </c>
      <c r="K897" s="20" t="str">
        <f aca="false">IF(ABS(J897)&lt;0.001,"MATCH - PAPER CHECK-IN NOT SUPPLIED","DATA MISMATCH")</f>
        <v>MATCH - PAPER CHECK-IN NOT SUPPLIED</v>
      </c>
      <c r="L897" s="22" t="n">
        <v>28</v>
      </c>
      <c r="M897" s="22" t="n">
        <f aca="false">ROUNDUP(H897,0)</f>
        <v>21</v>
      </c>
      <c r="N897" s="24" t="n">
        <f aca="false">MAX(L897,M897)</f>
        <v>28</v>
      </c>
      <c r="O897" s="25" t="n">
        <v>10.4</v>
      </c>
      <c r="P897" s="25" t="n">
        <f aca="false">N897*O897</f>
        <v>291.2</v>
      </c>
      <c r="Q897" s="23" t="s">
        <v>7352</v>
      </c>
      <c r="R897" s="23" t="s">
        <v>2804</v>
      </c>
      <c r="S897" s="24" t="n">
        <v>28</v>
      </c>
      <c r="T897" s="25" t="n">
        <v>10.4</v>
      </c>
      <c r="U897" s="25" t="n">
        <v>291.2</v>
      </c>
      <c r="V897" s="25" t="n">
        <f aca="false">P897-U897</f>
        <v>0</v>
      </c>
      <c r="W897" s="25" t="n">
        <f aca="false">V897*12</f>
        <v>0</v>
      </c>
      <c r="X897" s="23" t="str">
        <f aca="false">IF(Q897="","MISSING FROM EXPORT",IF(ABS(V897)&lt;0.005,"CLEAR",IF(V897&gt;0,"UNDERBILLING","OVERBILLING")))</f>
        <v>CLEAR</v>
      </c>
      <c r="Y897" s="25" t="n">
        <f aca="false">IF(F897="COMMERCIAL",ROUND(P897*0.35,2),0)</f>
        <v>0</v>
      </c>
      <c r="Z897" s="23" t="str">
        <f aca="false">IF(F897="COMMERCIAL","VERIFY SIGNED AGREEMENT","NO EXCEPTION")</f>
        <v>NO EXCEPTION</v>
      </c>
      <c r="AA897" s="23" t="str">
        <f aca="false">IF(AND(C897="covered",N897&gt;40),"COVERED &gt;40 FT","")</f>
        <v/>
      </c>
      <c r="AB897" s="23" t="s">
        <v>7353</v>
      </c>
      <c r="AC897" s="23" t="s">
        <v>7354</v>
      </c>
      <c r="AD897" s="23" t="s">
        <v>2807</v>
      </c>
    </row>
    <row r="898" customFormat="false" ht="17.9" hidden="false" customHeight="false" outlineLevel="0" collapsed="false">
      <c r="A898" s="20" t="s">
        <v>7355</v>
      </c>
      <c r="B898" s="20" t="s">
        <v>99</v>
      </c>
      <c r="C898" s="20" t="s">
        <v>5162</v>
      </c>
      <c r="D898" s="20" t="s">
        <v>415</v>
      </c>
      <c r="E898" s="20" t="s">
        <v>7356</v>
      </c>
      <c r="F898" s="20" t="s">
        <v>2818</v>
      </c>
      <c r="G898" s="20" t="s">
        <v>3008</v>
      </c>
      <c r="H898" s="22" t="n">
        <v>38.3</v>
      </c>
      <c r="I898" s="22" t="n">
        <v>38.3</v>
      </c>
      <c r="J898" s="22" t="n">
        <f aca="false">H898-I898</f>
        <v>0</v>
      </c>
      <c r="K898" s="20" t="str">
        <f aca="false">IF(ABS(J898)&lt;0.001,"MATCH - PAPER CHECK-IN NOT SUPPLIED","DATA MISMATCH")</f>
        <v>MATCH - PAPER CHECK-IN NOT SUPPLIED</v>
      </c>
      <c r="L898" s="22" t="n">
        <v>40</v>
      </c>
      <c r="M898" s="22" t="n">
        <f aca="false">ROUNDUP(H898,0)</f>
        <v>39</v>
      </c>
      <c r="N898" s="24" t="n">
        <f aca="false">MAX(L898,M898)</f>
        <v>40</v>
      </c>
      <c r="O898" s="25" t="n">
        <v>10.4</v>
      </c>
      <c r="P898" s="25" t="n">
        <f aca="false">N898*O898</f>
        <v>416</v>
      </c>
      <c r="Q898" s="23" t="s">
        <v>7357</v>
      </c>
      <c r="R898" s="23" t="s">
        <v>2804</v>
      </c>
      <c r="S898" s="24" t="n">
        <v>40</v>
      </c>
      <c r="T898" s="25" t="n">
        <v>10.4</v>
      </c>
      <c r="U898" s="25" t="n">
        <v>416</v>
      </c>
      <c r="V898" s="25" t="n">
        <f aca="false">P898-U898</f>
        <v>0</v>
      </c>
      <c r="W898" s="25" t="n">
        <f aca="false">V898*12</f>
        <v>0</v>
      </c>
      <c r="X898" s="23" t="str">
        <f aca="false">IF(Q898="","MISSING FROM EXPORT",IF(ABS(V898)&lt;0.005,"CLEAR",IF(V898&gt;0,"UNDERBILLING","OVERBILLING")))</f>
        <v>CLEAR</v>
      </c>
      <c r="Y898" s="25" t="n">
        <f aca="false">IF(F898="COMMERCIAL",ROUND(P898*0.35,2),0)</f>
        <v>0</v>
      </c>
      <c r="Z898" s="23" t="str">
        <f aca="false">IF(F898="COMMERCIAL","VERIFY SIGNED AGREEMENT","NO EXCEPTION")</f>
        <v>NO EXCEPTION</v>
      </c>
      <c r="AA898" s="23" t="str">
        <f aca="false">IF(AND(C898="covered",N898&gt;40),"COVERED &gt;40 FT","")</f>
        <v/>
      </c>
      <c r="AB898" s="23" t="s">
        <v>7358</v>
      </c>
      <c r="AC898" s="23" t="s">
        <v>7359</v>
      </c>
      <c r="AD898" s="23" t="s">
        <v>2807</v>
      </c>
    </row>
    <row r="899" customFormat="false" ht="17.9" hidden="false" customHeight="false" outlineLevel="0" collapsed="false">
      <c r="A899" s="20" t="s">
        <v>7360</v>
      </c>
      <c r="B899" s="20" t="s">
        <v>99</v>
      </c>
      <c r="C899" s="20" t="s">
        <v>5162</v>
      </c>
      <c r="D899" s="20" t="s">
        <v>7361</v>
      </c>
      <c r="E899" s="20" t="s">
        <v>7362</v>
      </c>
      <c r="F899" s="20" t="s">
        <v>2810</v>
      </c>
      <c r="G899" s="20" t="s">
        <v>3015</v>
      </c>
      <c r="H899" s="22" t="n">
        <v>57.3</v>
      </c>
      <c r="I899" s="22" t="n">
        <v>57.3</v>
      </c>
      <c r="J899" s="22" t="n">
        <f aca="false">H899-I899</f>
        <v>0</v>
      </c>
      <c r="K899" s="20" t="str">
        <f aca="false">IF(ABS(J899)&lt;0.001,"MATCH - PAPER CHECK-IN NOT SUPPLIED","DATA MISMATCH")</f>
        <v>MATCH - PAPER CHECK-IN NOT SUPPLIED</v>
      </c>
      <c r="L899" s="22" t="n">
        <v>24</v>
      </c>
      <c r="M899" s="22" t="n">
        <f aca="false">ROUNDUP(H899,0)</f>
        <v>58</v>
      </c>
      <c r="N899" s="24" t="n">
        <f aca="false">MAX(L899,M899)</f>
        <v>58</v>
      </c>
      <c r="O899" s="25" t="n">
        <v>10.4</v>
      </c>
      <c r="P899" s="25" t="n">
        <f aca="false">N899*O899</f>
        <v>603.2</v>
      </c>
      <c r="Q899" s="23" t="s">
        <v>7363</v>
      </c>
      <c r="R899" s="23" t="s">
        <v>2804</v>
      </c>
      <c r="S899" s="24" t="n">
        <v>58</v>
      </c>
      <c r="T899" s="25" t="n">
        <v>10.4</v>
      </c>
      <c r="U899" s="25" t="n">
        <v>603.2</v>
      </c>
      <c r="V899" s="25" t="n">
        <f aca="false">P899-U899</f>
        <v>0</v>
      </c>
      <c r="W899" s="25" t="n">
        <f aca="false">V899*12</f>
        <v>0</v>
      </c>
      <c r="X899" s="23" t="str">
        <f aca="false">IF(Q899="","MISSING FROM EXPORT",IF(ABS(V899)&lt;0.005,"CLEAR",IF(V899&gt;0,"UNDERBILLING","OVERBILLING")))</f>
        <v>CLEAR</v>
      </c>
      <c r="Y899" s="25" t="n">
        <f aca="false">IF(F899="COMMERCIAL",ROUND(P899*0.35,2),0)</f>
        <v>0</v>
      </c>
      <c r="Z899" s="23" t="str">
        <f aca="false">IF(F899="COMMERCIAL","VERIFY SIGNED AGREEMENT","NO EXCEPTION")</f>
        <v>NO EXCEPTION</v>
      </c>
      <c r="AA899" s="23" t="str">
        <f aca="false">IF(AND(C899="covered",N899&gt;40),"COVERED &gt;40 FT","")</f>
        <v>COVERED &gt;40 FT</v>
      </c>
      <c r="AB899" s="23" t="s">
        <v>7364</v>
      </c>
      <c r="AC899" s="23" t="s">
        <v>7365</v>
      </c>
      <c r="AD899" s="23" t="s">
        <v>2807</v>
      </c>
    </row>
    <row r="900" customFormat="false" ht="17.9" hidden="false" customHeight="false" outlineLevel="0" collapsed="false">
      <c r="A900" s="20" t="s">
        <v>7366</v>
      </c>
      <c r="B900" s="20" t="s">
        <v>99</v>
      </c>
      <c r="C900" s="20" t="s">
        <v>5162</v>
      </c>
      <c r="D900" s="20" t="s">
        <v>7367</v>
      </c>
      <c r="E900" s="20" t="s">
        <v>7368</v>
      </c>
      <c r="F900" s="20" t="s">
        <v>2810</v>
      </c>
      <c r="G900" s="20" t="s">
        <v>4401</v>
      </c>
      <c r="H900" s="22" t="n">
        <v>38.2</v>
      </c>
      <c r="I900" s="22" t="n">
        <v>38.2</v>
      </c>
      <c r="J900" s="22" t="n">
        <f aca="false">H900-I900</f>
        <v>0</v>
      </c>
      <c r="K900" s="20" t="str">
        <f aca="false">IF(ABS(J900)&lt;0.001,"MATCH - PAPER CHECK-IN NOT SUPPLIED","DATA MISMATCH")</f>
        <v>MATCH - PAPER CHECK-IN NOT SUPPLIED</v>
      </c>
      <c r="L900" s="22" t="n">
        <v>24</v>
      </c>
      <c r="M900" s="22" t="n">
        <f aca="false">ROUNDUP(H900,0)</f>
        <v>39</v>
      </c>
      <c r="N900" s="24" t="n">
        <f aca="false">MAX(L900,M900)</f>
        <v>39</v>
      </c>
      <c r="O900" s="25" t="n">
        <v>10.4</v>
      </c>
      <c r="P900" s="25" t="n">
        <f aca="false">N900*O900</f>
        <v>405.6</v>
      </c>
      <c r="Q900" s="23" t="s">
        <v>7369</v>
      </c>
      <c r="R900" s="23" t="s">
        <v>2804</v>
      </c>
      <c r="S900" s="24" t="n">
        <v>39</v>
      </c>
      <c r="T900" s="25" t="n">
        <v>10.4</v>
      </c>
      <c r="U900" s="25" t="n">
        <v>405.6</v>
      </c>
      <c r="V900" s="25" t="n">
        <f aca="false">P900-U900</f>
        <v>0</v>
      </c>
      <c r="W900" s="25" t="n">
        <f aca="false">V900*12</f>
        <v>0</v>
      </c>
      <c r="X900" s="23" t="str">
        <f aca="false">IF(Q900="","MISSING FROM EXPORT",IF(ABS(V900)&lt;0.005,"CLEAR",IF(V900&gt;0,"UNDERBILLING","OVERBILLING")))</f>
        <v>CLEAR</v>
      </c>
      <c r="Y900" s="25" t="n">
        <f aca="false">IF(F900="COMMERCIAL",ROUND(P900*0.35,2),0)</f>
        <v>0</v>
      </c>
      <c r="Z900" s="23" t="str">
        <f aca="false">IF(F900="COMMERCIAL","VERIFY SIGNED AGREEMENT","NO EXCEPTION")</f>
        <v>NO EXCEPTION</v>
      </c>
      <c r="AA900" s="23" t="str">
        <f aca="false">IF(AND(C900="covered",N900&gt;40),"COVERED &gt;40 FT","")</f>
        <v/>
      </c>
      <c r="AB900" s="23" t="s">
        <v>7370</v>
      </c>
      <c r="AC900" s="23" t="s">
        <v>7371</v>
      </c>
      <c r="AD900" s="23" t="s">
        <v>2807</v>
      </c>
    </row>
    <row r="901" customFormat="false" ht="17.9" hidden="false" customHeight="false" outlineLevel="0" collapsed="false">
      <c r="A901" s="20" t="s">
        <v>7372</v>
      </c>
      <c r="B901" s="20" t="s">
        <v>99</v>
      </c>
      <c r="C901" s="20" t="s">
        <v>5162</v>
      </c>
      <c r="D901" s="20" t="s">
        <v>7373</v>
      </c>
      <c r="E901" s="20" t="s">
        <v>7374</v>
      </c>
      <c r="F901" s="20" t="s">
        <v>2833</v>
      </c>
      <c r="G901" s="20" t="s">
        <v>3022</v>
      </c>
      <c r="H901" s="22" t="n">
        <v>60.4</v>
      </c>
      <c r="I901" s="22" t="n">
        <v>60.4</v>
      </c>
      <c r="J901" s="22" t="n">
        <f aca="false">H901-I901</f>
        <v>0</v>
      </c>
      <c r="K901" s="20" t="str">
        <f aca="false">IF(ABS(J901)&lt;0.001,"MATCH - PAPER CHECK-IN NOT SUPPLIED","DATA MISMATCH")</f>
        <v>MATCH - PAPER CHECK-IN NOT SUPPLIED</v>
      </c>
      <c r="L901" s="22" t="n">
        <v>24</v>
      </c>
      <c r="M901" s="22" t="n">
        <f aca="false">ROUNDUP(H901,0)</f>
        <v>61</v>
      </c>
      <c r="N901" s="24" t="n">
        <f aca="false">MAX(L901,M901)</f>
        <v>61</v>
      </c>
      <c r="O901" s="25" t="n">
        <v>10.4</v>
      </c>
      <c r="P901" s="25" t="n">
        <f aca="false">N901*O901</f>
        <v>634.4</v>
      </c>
      <c r="Q901" s="23" t="s">
        <v>7375</v>
      </c>
      <c r="R901" s="23" t="s">
        <v>2804</v>
      </c>
      <c r="S901" s="24" t="n">
        <v>61</v>
      </c>
      <c r="T901" s="25" t="n">
        <v>10.4</v>
      </c>
      <c r="U901" s="25" t="n">
        <v>634.4</v>
      </c>
      <c r="V901" s="25" t="n">
        <f aca="false">P901-U901</f>
        <v>0</v>
      </c>
      <c r="W901" s="25" t="n">
        <f aca="false">V901*12</f>
        <v>0</v>
      </c>
      <c r="X901" s="23" t="str">
        <f aca="false">IF(Q901="","MISSING FROM EXPORT",IF(ABS(V901)&lt;0.005,"CLEAR",IF(V901&gt;0,"UNDERBILLING","OVERBILLING")))</f>
        <v>CLEAR</v>
      </c>
      <c r="Y901" s="25" t="n">
        <f aca="false">IF(F901="COMMERCIAL",ROUND(P901*0.35,2),0)</f>
        <v>0</v>
      </c>
      <c r="Z901" s="23" t="str">
        <f aca="false">IF(F901="COMMERCIAL","VERIFY SIGNED AGREEMENT","NO EXCEPTION")</f>
        <v>NO EXCEPTION</v>
      </c>
      <c r="AA901" s="23" t="str">
        <f aca="false">IF(AND(C901="covered",N901&gt;40),"COVERED &gt;40 FT","")</f>
        <v>COVERED &gt;40 FT</v>
      </c>
      <c r="AB901" s="23" t="s">
        <v>7376</v>
      </c>
      <c r="AC901" s="23" t="s">
        <v>7377</v>
      </c>
      <c r="AD901" s="23" t="s">
        <v>2807</v>
      </c>
    </row>
    <row r="902" customFormat="false" ht="17.9" hidden="false" customHeight="false" outlineLevel="0" collapsed="false">
      <c r="A902" s="20" t="s">
        <v>7378</v>
      </c>
      <c r="B902" s="20" t="s">
        <v>99</v>
      </c>
      <c r="C902" s="20" t="s">
        <v>5162</v>
      </c>
      <c r="D902" s="20" t="s">
        <v>7379</v>
      </c>
      <c r="E902" s="20" t="s">
        <v>7380</v>
      </c>
      <c r="F902" s="20" t="s">
        <v>2801</v>
      </c>
      <c r="G902" s="20" t="s">
        <v>3029</v>
      </c>
      <c r="H902" s="22" t="n">
        <v>18.3</v>
      </c>
      <c r="I902" s="22" t="n">
        <v>18.3</v>
      </c>
      <c r="J902" s="22" t="n">
        <f aca="false">H902-I902</f>
        <v>0</v>
      </c>
      <c r="K902" s="20" t="str">
        <f aca="false">IF(ABS(J902)&lt;0.001,"MATCH - PAPER CHECK-IN NOT SUPPLIED","DATA MISMATCH")</f>
        <v>MATCH - PAPER CHECK-IN NOT SUPPLIED</v>
      </c>
      <c r="L902" s="22" t="n">
        <v>28</v>
      </c>
      <c r="M902" s="22" t="n">
        <f aca="false">ROUNDUP(H902,0)</f>
        <v>19</v>
      </c>
      <c r="N902" s="24" t="n">
        <f aca="false">MAX(L902,M902)</f>
        <v>28</v>
      </c>
      <c r="O902" s="25" t="n">
        <v>10.4</v>
      </c>
      <c r="P902" s="25" t="n">
        <f aca="false">N902*O902</f>
        <v>291.2</v>
      </c>
      <c r="Q902" s="23" t="s">
        <v>7381</v>
      </c>
      <c r="R902" s="23" t="s">
        <v>2804</v>
      </c>
      <c r="S902" s="24" t="n">
        <v>28</v>
      </c>
      <c r="T902" s="25" t="n">
        <v>10.4</v>
      </c>
      <c r="U902" s="25" t="n">
        <v>291.2</v>
      </c>
      <c r="V902" s="25" t="n">
        <f aca="false">P902-U902</f>
        <v>0</v>
      </c>
      <c r="W902" s="25" t="n">
        <f aca="false">V902*12</f>
        <v>0</v>
      </c>
      <c r="X902" s="23" t="str">
        <f aca="false">IF(Q902="","MISSING FROM EXPORT",IF(ABS(V902)&lt;0.005,"CLEAR",IF(V902&gt;0,"UNDERBILLING","OVERBILLING")))</f>
        <v>CLEAR</v>
      </c>
      <c r="Y902" s="25" t="n">
        <f aca="false">IF(F902="COMMERCIAL",ROUND(P902*0.35,2),0)</f>
        <v>0</v>
      </c>
      <c r="Z902" s="23" t="str">
        <f aca="false">IF(F902="COMMERCIAL","VERIFY SIGNED AGREEMENT","NO EXCEPTION")</f>
        <v>NO EXCEPTION</v>
      </c>
      <c r="AA902" s="23" t="str">
        <f aca="false">IF(AND(C902="covered",N902&gt;40),"COVERED &gt;40 FT","")</f>
        <v/>
      </c>
      <c r="AB902" s="23" t="s">
        <v>7382</v>
      </c>
      <c r="AC902" s="23" t="s">
        <v>7383</v>
      </c>
      <c r="AD902" s="23" t="s">
        <v>2807</v>
      </c>
    </row>
    <row r="903" customFormat="false" ht="17.9" hidden="false" customHeight="false" outlineLevel="0" collapsed="false">
      <c r="A903" s="20" t="s">
        <v>7384</v>
      </c>
      <c r="B903" s="20" t="s">
        <v>99</v>
      </c>
      <c r="C903" s="20" t="s">
        <v>5162</v>
      </c>
      <c r="D903" s="20" t="s">
        <v>7385</v>
      </c>
      <c r="E903" s="20" t="s">
        <v>7386</v>
      </c>
      <c r="F903" s="20" t="s">
        <v>2833</v>
      </c>
      <c r="G903" s="20" t="s">
        <v>3036</v>
      </c>
      <c r="H903" s="22" t="n">
        <v>30.8</v>
      </c>
      <c r="I903" s="22" t="n">
        <v>30.8</v>
      </c>
      <c r="J903" s="22" t="n">
        <f aca="false">H903-I903</f>
        <v>0</v>
      </c>
      <c r="K903" s="20" t="str">
        <f aca="false">IF(ABS(J903)&lt;0.001,"MATCH - PAPER CHECK-IN NOT SUPPLIED","DATA MISMATCH")</f>
        <v>MATCH - PAPER CHECK-IN NOT SUPPLIED</v>
      </c>
      <c r="L903" s="22" t="n">
        <v>40</v>
      </c>
      <c r="M903" s="22" t="n">
        <f aca="false">ROUNDUP(H903,0)</f>
        <v>31</v>
      </c>
      <c r="N903" s="24" t="n">
        <f aca="false">MAX(L903,M903)</f>
        <v>40</v>
      </c>
      <c r="O903" s="25" t="n">
        <v>10.4</v>
      </c>
      <c r="P903" s="25" t="n">
        <f aca="false">N903*O903</f>
        <v>416</v>
      </c>
      <c r="Q903" s="23" t="s">
        <v>7387</v>
      </c>
      <c r="R903" s="23" t="s">
        <v>2804</v>
      </c>
      <c r="S903" s="24" t="n">
        <v>40</v>
      </c>
      <c r="T903" s="25" t="n">
        <v>10.4</v>
      </c>
      <c r="U903" s="25" t="n">
        <v>416</v>
      </c>
      <c r="V903" s="25" t="n">
        <f aca="false">P903-U903</f>
        <v>0</v>
      </c>
      <c r="W903" s="25" t="n">
        <f aca="false">V903*12</f>
        <v>0</v>
      </c>
      <c r="X903" s="23" t="str">
        <f aca="false">IF(Q903="","MISSING FROM EXPORT",IF(ABS(V903)&lt;0.005,"CLEAR",IF(V903&gt;0,"UNDERBILLING","OVERBILLING")))</f>
        <v>CLEAR</v>
      </c>
      <c r="Y903" s="25" t="n">
        <f aca="false">IF(F903="COMMERCIAL",ROUND(P903*0.35,2),0)</f>
        <v>0</v>
      </c>
      <c r="Z903" s="23" t="str">
        <f aca="false">IF(F903="COMMERCIAL","VERIFY SIGNED AGREEMENT","NO EXCEPTION")</f>
        <v>NO EXCEPTION</v>
      </c>
      <c r="AA903" s="23" t="str">
        <f aca="false">IF(AND(C903="covered",N903&gt;40),"COVERED &gt;40 FT","")</f>
        <v/>
      </c>
      <c r="AB903" s="23" t="s">
        <v>7388</v>
      </c>
      <c r="AC903" s="23" t="s">
        <v>7389</v>
      </c>
      <c r="AD903" s="23" t="s">
        <v>2807</v>
      </c>
    </row>
    <row r="904" customFormat="false" ht="17.9" hidden="false" customHeight="false" outlineLevel="0" collapsed="false">
      <c r="A904" s="20" t="s">
        <v>7390</v>
      </c>
      <c r="B904" s="20" t="s">
        <v>99</v>
      </c>
      <c r="C904" s="20" t="s">
        <v>5162</v>
      </c>
      <c r="D904" s="20" t="s">
        <v>7391</v>
      </c>
      <c r="E904" s="20" t="s">
        <v>7392</v>
      </c>
      <c r="F904" s="20" t="s">
        <v>2857</v>
      </c>
      <c r="G904" s="20" t="s">
        <v>3041</v>
      </c>
      <c r="H904" s="22" t="n">
        <v>38.5</v>
      </c>
      <c r="I904" s="22" t="n">
        <v>38.5</v>
      </c>
      <c r="J904" s="22" t="n">
        <f aca="false">H904-I904</f>
        <v>0</v>
      </c>
      <c r="K904" s="20" t="str">
        <f aca="false">IF(ABS(J904)&lt;0.001,"MATCH - PAPER CHECK-IN NOT SUPPLIED","DATA MISMATCH")</f>
        <v>MATCH - PAPER CHECK-IN NOT SUPPLIED</v>
      </c>
      <c r="L904" s="22" t="n">
        <v>24</v>
      </c>
      <c r="M904" s="22" t="n">
        <f aca="false">ROUNDUP(H904,0)</f>
        <v>39</v>
      </c>
      <c r="N904" s="24" t="n">
        <f aca="false">MAX(L904,M904)</f>
        <v>39</v>
      </c>
      <c r="O904" s="25" t="n">
        <v>10.4</v>
      </c>
      <c r="P904" s="25" t="n">
        <f aca="false">N904*O904</f>
        <v>405.6</v>
      </c>
      <c r="Q904" s="23" t="s">
        <v>7393</v>
      </c>
      <c r="R904" s="23" t="s">
        <v>2804</v>
      </c>
      <c r="S904" s="24" t="n">
        <v>39</v>
      </c>
      <c r="T904" s="25" t="n">
        <v>10.4</v>
      </c>
      <c r="U904" s="25" t="n">
        <v>405.6</v>
      </c>
      <c r="V904" s="25" t="n">
        <f aca="false">P904-U904</f>
        <v>0</v>
      </c>
      <c r="W904" s="25" t="n">
        <f aca="false">V904*12</f>
        <v>0</v>
      </c>
      <c r="X904" s="23" t="str">
        <f aca="false">IF(Q904="","MISSING FROM EXPORT",IF(ABS(V904)&lt;0.005,"CLEAR",IF(V904&gt;0,"UNDERBILLING","OVERBILLING")))</f>
        <v>CLEAR</v>
      </c>
      <c r="Y904" s="25" t="n">
        <f aca="false">IF(F904="COMMERCIAL",ROUND(P904*0.35,2),0)</f>
        <v>0</v>
      </c>
      <c r="Z904" s="23" t="str">
        <f aca="false">IF(F904="COMMERCIAL","VERIFY SIGNED AGREEMENT","NO EXCEPTION")</f>
        <v>NO EXCEPTION</v>
      </c>
      <c r="AA904" s="23" t="str">
        <f aca="false">IF(AND(C904="covered",N904&gt;40),"COVERED &gt;40 FT","")</f>
        <v/>
      </c>
      <c r="AB904" s="23" t="s">
        <v>7394</v>
      </c>
      <c r="AC904" s="23" t="s">
        <v>7395</v>
      </c>
      <c r="AD904" s="23" t="s">
        <v>2807</v>
      </c>
    </row>
    <row r="905" customFormat="false" ht="17.9" hidden="false" customHeight="false" outlineLevel="0" collapsed="false">
      <c r="A905" s="20" t="s">
        <v>7396</v>
      </c>
      <c r="B905" s="20" t="s">
        <v>99</v>
      </c>
      <c r="C905" s="20" t="s">
        <v>5162</v>
      </c>
      <c r="D905" s="20" t="s">
        <v>7397</v>
      </c>
      <c r="E905" s="20" t="s">
        <v>7398</v>
      </c>
      <c r="F905" s="20" t="s">
        <v>2934</v>
      </c>
      <c r="G905" s="20" t="s">
        <v>3048</v>
      </c>
      <c r="H905" s="22" t="n">
        <v>27</v>
      </c>
      <c r="I905" s="22" t="n">
        <v>27</v>
      </c>
      <c r="J905" s="22" t="n">
        <f aca="false">H905-I905</f>
        <v>0</v>
      </c>
      <c r="K905" s="20" t="str">
        <f aca="false">IF(ABS(J905)&lt;0.001,"MATCH - PAPER CHECK-IN NOT SUPPLIED","DATA MISMATCH")</f>
        <v>MATCH - PAPER CHECK-IN NOT SUPPLIED</v>
      </c>
      <c r="L905" s="22" t="n">
        <v>24</v>
      </c>
      <c r="M905" s="22" t="n">
        <f aca="false">ROUNDUP(H905,0)</f>
        <v>27</v>
      </c>
      <c r="N905" s="24" t="n">
        <f aca="false">MAX(L905,M905)</f>
        <v>27</v>
      </c>
      <c r="O905" s="25" t="n">
        <v>10.4</v>
      </c>
      <c r="P905" s="25" t="n">
        <f aca="false">N905*O905</f>
        <v>280.8</v>
      </c>
      <c r="Q905" s="23" t="s">
        <v>7399</v>
      </c>
      <c r="R905" s="23" t="s">
        <v>2804</v>
      </c>
      <c r="S905" s="24" t="n">
        <v>27</v>
      </c>
      <c r="T905" s="25" t="n">
        <v>10.4</v>
      </c>
      <c r="U905" s="25" t="n">
        <v>280.8</v>
      </c>
      <c r="V905" s="25" t="n">
        <f aca="false">P905-U905</f>
        <v>0</v>
      </c>
      <c r="W905" s="25" t="n">
        <f aca="false">V905*12</f>
        <v>0</v>
      </c>
      <c r="X905" s="23" t="str">
        <f aca="false">IF(Q905="","MISSING FROM EXPORT",IF(ABS(V905)&lt;0.005,"CLEAR",IF(V905&gt;0,"UNDERBILLING","OVERBILLING")))</f>
        <v>CLEAR</v>
      </c>
      <c r="Y905" s="25" t="n">
        <f aca="false">IF(F905="COMMERCIAL",ROUND(P905*0.35,2),0)</f>
        <v>98.28</v>
      </c>
      <c r="Z905" s="23" t="str">
        <f aca="false">IF(F905="COMMERCIAL","VERIFY SIGNED AGREEMENT","NO EXCEPTION")</f>
        <v>VERIFY SIGNED AGREEMENT</v>
      </c>
      <c r="AA905" s="23" t="str">
        <f aca="false">IF(AND(C905="covered",N905&gt;40),"COVERED &gt;40 FT","")</f>
        <v/>
      </c>
      <c r="AB905" s="23" t="s">
        <v>7400</v>
      </c>
      <c r="AC905" s="23" t="s">
        <v>7401</v>
      </c>
      <c r="AD905" s="23" t="s">
        <v>2807</v>
      </c>
    </row>
    <row r="906" customFormat="false" ht="17.9" hidden="false" customHeight="false" outlineLevel="0" collapsed="false">
      <c r="A906" s="20" t="s">
        <v>7402</v>
      </c>
      <c r="B906" s="20" t="s">
        <v>99</v>
      </c>
      <c r="C906" s="20" t="s">
        <v>5162</v>
      </c>
      <c r="D906" s="20" t="s">
        <v>7403</v>
      </c>
      <c r="E906" s="20" t="s">
        <v>7404</v>
      </c>
      <c r="F906" s="20" t="s">
        <v>2934</v>
      </c>
      <c r="G906" s="20" t="s">
        <v>3055</v>
      </c>
      <c r="H906" s="22" t="n">
        <v>47.7</v>
      </c>
      <c r="I906" s="22" t="n">
        <v>47.7</v>
      </c>
      <c r="J906" s="22" t="n">
        <f aca="false">H906-I906</f>
        <v>0</v>
      </c>
      <c r="K906" s="20" t="str">
        <f aca="false">IF(ABS(J906)&lt;0.001,"MATCH - PAPER CHECK-IN NOT SUPPLIED","DATA MISMATCH")</f>
        <v>MATCH - PAPER CHECK-IN NOT SUPPLIED</v>
      </c>
      <c r="L906" s="22" t="n">
        <v>28</v>
      </c>
      <c r="M906" s="22" t="n">
        <f aca="false">ROUNDUP(H906,0)</f>
        <v>48</v>
      </c>
      <c r="N906" s="24" t="n">
        <f aca="false">MAX(L906,M906)</f>
        <v>48</v>
      </c>
      <c r="O906" s="25" t="n">
        <v>10.4</v>
      </c>
      <c r="P906" s="25" t="n">
        <f aca="false">N906*O906</f>
        <v>499.2</v>
      </c>
      <c r="Q906" s="23" t="s">
        <v>7405</v>
      </c>
      <c r="R906" s="23" t="s">
        <v>2804</v>
      </c>
      <c r="S906" s="24" t="n">
        <v>48</v>
      </c>
      <c r="T906" s="25" t="n">
        <v>10.4</v>
      </c>
      <c r="U906" s="25" t="n">
        <v>499.2</v>
      </c>
      <c r="V906" s="25" t="n">
        <f aca="false">P906-U906</f>
        <v>0</v>
      </c>
      <c r="W906" s="25" t="n">
        <f aca="false">V906*12</f>
        <v>0</v>
      </c>
      <c r="X906" s="23" t="str">
        <f aca="false">IF(Q906="","MISSING FROM EXPORT",IF(ABS(V906)&lt;0.005,"CLEAR",IF(V906&gt;0,"UNDERBILLING","OVERBILLING")))</f>
        <v>CLEAR</v>
      </c>
      <c r="Y906" s="25" t="n">
        <f aca="false">IF(F906="COMMERCIAL",ROUND(P906*0.35,2),0)</f>
        <v>174.72</v>
      </c>
      <c r="Z906" s="23" t="str">
        <f aca="false">IF(F906="COMMERCIAL","VERIFY SIGNED AGREEMENT","NO EXCEPTION")</f>
        <v>VERIFY SIGNED AGREEMENT</v>
      </c>
      <c r="AA906" s="23" t="str">
        <f aca="false">IF(AND(C906="covered",N906&gt;40),"COVERED &gt;40 FT","")</f>
        <v>COVERED &gt;40 FT</v>
      </c>
      <c r="AB906" s="23" t="s">
        <v>7406</v>
      </c>
      <c r="AC906" s="23" t="s">
        <v>7407</v>
      </c>
      <c r="AD906" s="23" t="s">
        <v>2807</v>
      </c>
    </row>
    <row r="907" customFormat="false" ht="17.9" hidden="false" customHeight="false" outlineLevel="0" collapsed="false">
      <c r="A907" s="20" t="s">
        <v>265</v>
      </c>
      <c r="B907" s="20" t="s">
        <v>99</v>
      </c>
      <c r="C907" s="20" t="s">
        <v>5162</v>
      </c>
      <c r="D907" s="20" t="s">
        <v>7408</v>
      </c>
      <c r="E907" s="20" t="s">
        <v>7409</v>
      </c>
      <c r="F907" s="20" t="s">
        <v>2833</v>
      </c>
      <c r="G907" s="20" t="s">
        <v>3062</v>
      </c>
      <c r="H907" s="22" t="n">
        <v>24.4</v>
      </c>
      <c r="I907" s="22" t="n">
        <v>24.4</v>
      </c>
      <c r="J907" s="22" t="n">
        <f aca="false">H907-I907</f>
        <v>0</v>
      </c>
      <c r="K907" s="20" t="str">
        <f aca="false">IF(ABS(J907)&lt;0.001,"MATCH - PAPER CHECK-IN NOT SUPPLIED","DATA MISMATCH")</f>
        <v>MATCH - PAPER CHECK-IN NOT SUPPLIED</v>
      </c>
      <c r="L907" s="22" t="n">
        <v>28</v>
      </c>
      <c r="M907" s="22" t="n">
        <f aca="false">ROUNDUP(H907,0)</f>
        <v>25</v>
      </c>
      <c r="N907" s="24" t="n">
        <f aca="false">MAX(L907,M907)</f>
        <v>28</v>
      </c>
      <c r="O907" s="25" t="n">
        <v>10.4</v>
      </c>
      <c r="P907" s="25" t="n">
        <f aca="false">N907*O907</f>
        <v>291.2</v>
      </c>
      <c r="Q907" s="23" t="s">
        <v>7410</v>
      </c>
      <c r="R907" s="23" t="s">
        <v>2804</v>
      </c>
      <c r="S907" s="24" t="n">
        <v>28</v>
      </c>
      <c r="T907" s="25" t="n">
        <v>10.4</v>
      </c>
      <c r="U907" s="25" t="n">
        <v>291.2</v>
      </c>
      <c r="V907" s="25" t="n">
        <f aca="false">P907-U907</f>
        <v>0</v>
      </c>
      <c r="W907" s="25" t="n">
        <f aca="false">V907*12</f>
        <v>0</v>
      </c>
      <c r="X907" s="23" t="str">
        <f aca="false">IF(Q907="","MISSING FROM EXPORT",IF(ABS(V907)&lt;0.005,"CLEAR",IF(V907&gt;0,"UNDERBILLING","OVERBILLING")))</f>
        <v>CLEAR</v>
      </c>
      <c r="Y907" s="25" t="n">
        <f aca="false">IF(F907="COMMERCIAL",ROUND(P907*0.35,2),0)</f>
        <v>0</v>
      </c>
      <c r="Z907" s="23" t="str">
        <f aca="false">IF(F907="COMMERCIAL","VERIFY SIGNED AGREEMENT","NO EXCEPTION")</f>
        <v>NO EXCEPTION</v>
      </c>
      <c r="AA907" s="23" t="str">
        <f aca="false">IF(AND(C907="covered",N907&gt;40),"COVERED &gt;40 FT","")</f>
        <v/>
      </c>
      <c r="AB907" s="23" t="s">
        <v>7411</v>
      </c>
      <c r="AC907" s="23" t="s">
        <v>7412</v>
      </c>
      <c r="AD907" s="23" t="s">
        <v>2807</v>
      </c>
    </row>
    <row r="908" customFormat="false" ht="17.9" hidden="false" customHeight="false" outlineLevel="0" collapsed="false">
      <c r="A908" s="20" t="s">
        <v>7413</v>
      </c>
      <c r="B908" s="20" t="s">
        <v>99</v>
      </c>
      <c r="C908" s="20" t="s">
        <v>5162</v>
      </c>
      <c r="D908" s="20" t="s">
        <v>7414</v>
      </c>
      <c r="E908" s="20" t="s">
        <v>7415</v>
      </c>
      <c r="F908" s="20" t="s">
        <v>2934</v>
      </c>
      <c r="G908" s="20" t="s">
        <v>3069</v>
      </c>
      <c r="H908" s="22" t="n">
        <v>31.2</v>
      </c>
      <c r="I908" s="22" t="n">
        <v>31.2</v>
      </c>
      <c r="J908" s="22" t="n">
        <f aca="false">H908-I908</f>
        <v>0</v>
      </c>
      <c r="K908" s="20" t="str">
        <f aca="false">IF(ABS(J908)&lt;0.001,"MATCH - PAPER CHECK-IN NOT SUPPLIED","DATA MISMATCH")</f>
        <v>MATCH - PAPER CHECK-IN NOT SUPPLIED</v>
      </c>
      <c r="L908" s="22" t="n">
        <v>24</v>
      </c>
      <c r="M908" s="22" t="n">
        <f aca="false">ROUNDUP(H908,0)</f>
        <v>32</v>
      </c>
      <c r="N908" s="24" t="n">
        <f aca="false">MAX(L908,M908)</f>
        <v>32</v>
      </c>
      <c r="O908" s="25" t="n">
        <v>10.4</v>
      </c>
      <c r="P908" s="25" t="n">
        <f aca="false">N908*O908</f>
        <v>332.8</v>
      </c>
      <c r="Q908" s="23" t="s">
        <v>7416</v>
      </c>
      <c r="R908" s="23" t="s">
        <v>2804</v>
      </c>
      <c r="S908" s="24" t="n">
        <v>32</v>
      </c>
      <c r="T908" s="25" t="n">
        <v>10.4</v>
      </c>
      <c r="U908" s="25" t="n">
        <v>332.8</v>
      </c>
      <c r="V908" s="25" t="n">
        <f aca="false">P908-U908</f>
        <v>0</v>
      </c>
      <c r="W908" s="25" t="n">
        <f aca="false">V908*12</f>
        <v>0</v>
      </c>
      <c r="X908" s="23" t="str">
        <f aca="false">IF(Q908="","MISSING FROM EXPORT",IF(ABS(V908)&lt;0.005,"CLEAR",IF(V908&gt;0,"UNDERBILLING","OVERBILLING")))</f>
        <v>CLEAR</v>
      </c>
      <c r="Y908" s="25" t="n">
        <f aca="false">IF(F908="COMMERCIAL",ROUND(P908*0.35,2),0)</f>
        <v>116.48</v>
      </c>
      <c r="Z908" s="23" t="str">
        <f aca="false">IF(F908="COMMERCIAL","VERIFY SIGNED AGREEMENT","NO EXCEPTION")</f>
        <v>VERIFY SIGNED AGREEMENT</v>
      </c>
      <c r="AA908" s="23" t="str">
        <f aca="false">IF(AND(C908="covered",N908&gt;40),"COVERED &gt;40 FT","")</f>
        <v/>
      </c>
      <c r="AB908" s="23" t="s">
        <v>7417</v>
      </c>
      <c r="AC908" s="23" t="s">
        <v>7418</v>
      </c>
      <c r="AD908" s="23" t="s">
        <v>2807</v>
      </c>
    </row>
    <row r="909" customFormat="false" ht="17.9" hidden="false" customHeight="false" outlineLevel="0" collapsed="false">
      <c r="A909" s="20" t="s">
        <v>1060</v>
      </c>
      <c r="B909" s="20" t="s">
        <v>99</v>
      </c>
      <c r="C909" s="20" t="s">
        <v>5162</v>
      </c>
      <c r="D909" s="20" t="s">
        <v>7419</v>
      </c>
      <c r="E909" s="20" t="s">
        <v>7420</v>
      </c>
      <c r="F909" s="20" t="s">
        <v>2869</v>
      </c>
      <c r="G909" s="20" t="s">
        <v>3076</v>
      </c>
      <c r="H909" s="22" t="n">
        <v>61.3</v>
      </c>
      <c r="I909" s="22" t="n">
        <v>61.3</v>
      </c>
      <c r="J909" s="22" t="n">
        <f aca="false">H909-I909</f>
        <v>0</v>
      </c>
      <c r="K909" s="20" t="str">
        <f aca="false">IF(ABS(J909)&lt;0.001,"MATCH - PAPER CHECK-IN NOT SUPPLIED","DATA MISMATCH")</f>
        <v>MATCH - PAPER CHECK-IN NOT SUPPLIED</v>
      </c>
      <c r="L909" s="22" t="n">
        <v>28</v>
      </c>
      <c r="M909" s="22" t="n">
        <f aca="false">ROUNDUP(H909,0)</f>
        <v>62</v>
      </c>
      <c r="N909" s="24" t="n">
        <f aca="false">MAX(L909,M909)</f>
        <v>62</v>
      </c>
      <c r="O909" s="25" t="n">
        <v>10.4</v>
      </c>
      <c r="P909" s="25" t="n">
        <f aca="false">N909*O909</f>
        <v>644.8</v>
      </c>
      <c r="Q909" s="23" t="s">
        <v>7421</v>
      </c>
      <c r="R909" s="23" t="s">
        <v>2804</v>
      </c>
      <c r="S909" s="24" t="n">
        <v>62</v>
      </c>
      <c r="T909" s="25" t="n">
        <v>10.4</v>
      </c>
      <c r="U909" s="25" t="n">
        <v>644.8</v>
      </c>
      <c r="V909" s="25" t="n">
        <f aca="false">P909-U909</f>
        <v>0</v>
      </c>
      <c r="W909" s="25" t="n">
        <f aca="false">V909*12</f>
        <v>0</v>
      </c>
      <c r="X909" s="23" t="str">
        <f aca="false">IF(Q909="","MISSING FROM EXPORT",IF(ABS(V909)&lt;0.005,"CLEAR",IF(V909&gt;0,"UNDERBILLING","OVERBILLING")))</f>
        <v>CLEAR</v>
      </c>
      <c r="Y909" s="25" t="n">
        <f aca="false">IF(F909="COMMERCIAL",ROUND(P909*0.35,2),0)</f>
        <v>0</v>
      </c>
      <c r="Z909" s="23" t="str">
        <f aca="false">IF(F909="COMMERCIAL","VERIFY SIGNED AGREEMENT","NO EXCEPTION")</f>
        <v>NO EXCEPTION</v>
      </c>
      <c r="AA909" s="23" t="str">
        <f aca="false">IF(AND(C909="covered",N909&gt;40),"COVERED &gt;40 FT","")</f>
        <v>COVERED &gt;40 FT</v>
      </c>
      <c r="AB909" s="23" t="s">
        <v>7422</v>
      </c>
      <c r="AC909" s="23" t="s">
        <v>7423</v>
      </c>
      <c r="AD909" s="23" t="s">
        <v>2807</v>
      </c>
    </row>
    <row r="910" customFormat="false" ht="17.9" hidden="false" customHeight="false" outlineLevel="0" collapsed="false">
      <c r="A910" s="20" t="s">
        <v>955</v>
      </c>
      <c r="B910" s="20" t="s">
        <v>99</v>
      </c>
      <c r="C910" s="20" t="s">
        <v>5162</v>
      </c>
      <c r="D910" s="20" t="s">
        <v>7424</v>
      </c>
      <c r="E910" s="20" t="s">
        <v>7425</v>
      </c>
      <c r="F910" s="20" t="s">
        <v>2869</v>
      </c>
      <c r="G910" s="20" t="s">
        <v>3083</v>
      </c>
      <c r="H910" s="22" t="n">
        <v>31.4</v>
      </c>
      <c r="I910" s="22" t="n">
        <v>31.4</v>
      </c>
      <c r="J910" s="22" t="n">
        <f aca="false">H910-I910</f>
        <v>0</v>
      </c>
      <c r="K910" s="20" t="str">
        <f aca="false">IF(ABS(J910)&lt;0.001,"MATCH - PAPER CHECK-IN NOT SUPPLIED","DATA MISMATCH")</f>
        <v>MATCH - PAPER CHECK-IN NOT SUPPLIED</v>
      </c>
      <c r="L910" s="22" t="n">
        <v>32</v>
      </c>
      <c r="M910" s="22" t="n">
        <f aca="false">ROUNDUP(H910,0)</f>
        <v>32</v>
      </c>
      <c r="N910" s="24" t="n">
        <f aca="false">MAX(L910,M910)</f>
        <v>32</v>
      </c>
      <c r="O910" s="25" t="n">
        <v>10.4</v>
      </c>
      <c r="P910" s="25" t="n">
        <f aca="false">N910*O910</f>
        <v>332.8</v>
      </c>
      <c r="Q910" s="23" t="s">
        <v>7426</v>
      </c>
      <c r="R910" s="23" t="s">
        <v>2804</v>
      </c>
      <c r="S910" s="24" t="n">
        <v>32</v>
      </c>
      <c r="T910" s="25" t="n">
        <v>10.4</v>
      </c>
      <c r="U910" s="25" t="n">
        <v>332.8</v>
      </c>
      <c r="V910" s="25" t="n">
        <f aca="false">P910-U910</f>
        <v>0</v>
      </c>
      <c r="W910" s="25" t="n">
        <f aca="false">V910*12</f>
        <v>0</v>
      </c>
      <c r="X910" s="23" t="str">
        <f aca="false">IF(Q910="","MISSING FROM EXPORT",IF(ABS(V910)&lt;0.005,"CLEAR",IF(V910&gt;0,"UNDERBILLING","OVERBILLING")))</f>
        <v>CLEAR</v>
      </c>
      <c r="Y910" s="25" t="n">
        <f aca="false">IF(F910="COMMERCIAL",ROUND(P910*0.35,2),0)</f>
        <v>0</v>
      </c>
      <c r="Z910" s="23" t="str">
        <f aca="false">IF(F910="COMMERCIAL","VERIFY SIGNED AGREEMENT","NO EXCEPTION")</f>
        <v>NO EXCEPTION</v>
      </c>
      <c r="AA910" s="23" t="str">
        <f aca="false">IF(AND(C910="covered",N910&gt;40),"COVERED &gt;40 FT","")</f>
        <v/>
      </c>
      <c r="AB910" s="23" t="s">
        <v>7427</v>
      </c>
      <c r="AC910" s="23" t="s">
        <v>7428</v>
      </c>
      <c r="AD910" s="23" t="s">
        <v>2807</v>
      </c>
    </row>
    <row r="911" customFormat="false" ht="17.9" hidden="false" customHeight="false" outlineLevel="0" collapsed="false">
      <c r="A911" s="20" t="s">
        <v>1569</v>
      </c>
      <c r="B911" s="20" t="s">
        <v>99</v>
      </c>
      <c r="C911" s="20" t="s">
        <v>5162</v>
      </c>
      <c r="D911" s="20" t="s">
        <v>7429</v>
      </c>
      <c r="E911" s="20" t="s">
        <v>7430</v>
      </c>
      <c r="F911" s="20" t="s">
        <v>2833</v>
      </c>
      <c r="G911" s="20" t="s">
        <v>3090</v>
      </c>
      <c r="H911" s="22" t="n">
        <v>27</v>
      </c>
      <c r="I911" s="22" t="n">
        <v>27</v>
      </c>
      <c r="J911" s="22" t="n">
        <f aca="false">H911-I911</f>
        <v>0</v>
      </c>
      <c r="K911" s="20" t="str">
        <f aca="false">IF(ABS(J911)&lt;0.001,"MATCH - PAPER CHECK-IN NOT SUPPLIED","DATA MISMATCH")</f>
        <v>MATCH - PAPER CHECK-IN NOT SUPPLIED</v>
      </c>
      <c r="L911" s="22" t="n">
        <v>28</v>
      </c>
      <c r="M911" s="22" t="n">
        <f aca="false">ROUNDUP(H911,0)</f>
        <v>27</v>
      </c>
      <c r="N911" s="24" t="n">
        <f aca="false">MAX(L911,M911)</f>
        <v>28</v>
      </c>
      <c r="O911" s="25" t="n">
        <v>10.4</v>
      </c>
      <c r="P911" s="25" t="n">
        <f aca="false">N911*O911</f>
        <v>291.2</v>
      </c>
      <c r="Q911" s="23" t="s">
        <v>7431</v>
      </c>
      <c r="R911" s="23" t="s">
        <v>2804</v>
      </c>
      <c r="S911" s="24" t="n">
        <v>28</v>
      </c>
      <c r="T911" s="25" t="n">
        <v>10.4</v>
      </c>
      <c r="U911" s="25" t="n">
        <v>291.2</v>
      </c>
      <c r="V911" s="25" t="n">
        <f aca="false">P911-U911</f>
        <v>0</v>
      </c>
      <c r="W911" s="25" t="n">
        <f aca="false">V911*12</f>
        <v>0</v>
      </c>
      <c r="X911" s="23" t="str">
        <f aca="false">IF(Q911="","MISSING FROM EXPORT",IF(ABS(V911)&lt;0.005,"CLEAR",IF(V911&gt;0,"UNDERBILLING","OVERBILLING")))</f>
        <v>CLEAR</v>
      </c>
      <c r="Y911" s="25" t="n">
        <f aca="false">IF(F911="COMMERCIAL",ROUND(P911*0.35,2),0)</f>
        <v>0</v>
      </c>
      <c r="Z911" s="23" t="str">
        <f aca="false">IF(F911="COMMERCIAL","VERIFY SIGNED AGREEMENT","NO EXCEPTION")</f>
        <v>NO EXCEPTION</v>
      </c>
      <c r="AA911" s="23" t="str">
        <f aca="false">IF(AND(C911="covered",N911&gt;40),"COVERED &gt;40 FT","")</f>
        <v/>
      </c>
      <c r="AB911" s="23" t="s">
        <v>7432</v>
      </c>
      <c r="AC911" s="23" t="s">
        <v>7433</v>
      </c>
      <c r="AD911" s="23" t="s">
        <v>2807</v>
      </c>
    </row>
    <row r="912" customFormat="false" ht="17.9" hidden="false" customHeight="false" outlineLevel="0" collapsed="false">
      <c r="A912" s="20" t="s">
        <v>7434</v>
      </c>
      <c r="B912" s="20" t="s">
        <v>99</v>
      </c>
      <c r="C912" s="20" t="s">
        <v>5162</v>
      </c>
      <c r="D912" s="20" t="s">
        <v>7435</v>
      </c>
      <c r="E912" s="20" t="s">
        <v>7436</v>
      </c>
      <c r="F912" s="20" t="s">
        <v>2833</v>
      </c>
      <c r="G912" s="20" t="s">
        <v>3097</v>
      </c>
      <c r="H912" s="22" t="n">
        <v>41.3</v>
      </c>
      <c r="I912" s="22" t="n">
        <v>41.3</v>
      </c>
      <c r="J912" s="22" t="n">
        <f aca="false">H912-I912</f>
        <v>0</v>
      </c>
      <c r="K912" s="20" t="str">
        <f aca="false">IF(ABS(J912)&lt;0.001,"MATCH - PAPER CHECK-IN NOT SUPPLIED","DATA MISMATCH")</f>
        <v>MATCH - PAPER CHECK-IN NOT SUPPLIED</v>
      </c>
      <c r="L912" s="22" t="n">
        <v>28</v>
      </c>
      <c r="M912" s="22" t="n">
        <f aca="false">ROUNDUP(H912,0)</f>
        <v>42</v>
      </c>
      <c r="N912" s="24" t="n">
        <f aca="false">MAX(L912,M912)</f>
        <v>42</v>
      </c>
      <c r="O912" s="25" t="n">
        <v>10.4</v>
      </c>
      <c r="P912" s="25" t="n">
        <f aca="false">N912*O912</f>
        <v>436.8</v>
      </c>
      <c r="Q912" s="23" t="s">
        <v>7437</v>
      </c>
      <c r="R912" s="23" t="s">
        <v>2804</v>
      </c>
      <c r="S912" s="24" t="n">
        <v>42</v>
      </c>
      <c r="T912" s="25" t="n">
        <v>10.4</v>
      </c>
      <c r="U912" s="25" t="n">
        <v>436.8</v>
      </c>
      <c r="V912" s="25" t="n">
        <f aca="false">P912-U912</f>
        <v>0</v>
      </c>
      <c r="W912" s="25" t="n">
        <f aca="false">V912*12</f>
        <v>0</v>
      </c>
      <c r="X912" s="23" t="str">
        <f aca="false">IF(Q912="","MISSING FROM EXPORT",IF(ABS(V912)&lt;0.005,"CLEAR",IF(V912&gt;0,"UNDERBILLING","OVERBILLING")))</f>
        <v>CLEAR</v>
      </c>
      <c r="Y912" s="25" t="n">
        <f aca="false">IF(F912="COMMERCIAL",ROUND(P912*0.35,2),0)</f>
        <v>0</v>
      </c>
      <c r="Z912" s="23" t="str">
        <f aca="false">IF(F912="COMMERCIAL","VERIFY SIGNED AGREEMENT","NO EXCEPTION")</f>
        <v>NO EXCEPTION</v>
      </c>
      <c r="AA912" s="23" t="str">
        <f aca="false">IF(AND(C912="covered",N912&gt;40),"COVERED &gt;40 FT","")</f>
        <v>COVERED &gt;40 FT</v>
      </c>
      <c r="AB912" s="23" t="s">
        <v>7438</v>
      </c>
      <c r="AC912" s="23" t="s">
        <v>7439</v>
      </c>
      <c r="AD912" s="23" t="s">
        <v>2807</v>
      </c>
    </row>
    <row r="913" customFormat="false" ht="17.9" hidden="false" customHeight="false" outlineLevel="0" collapsed="false">
      <c r="A913" s="20" t="s">
        <v>7440</v>
      </c>
      <c r="B913" s="20" t="s">
        <v>99</v>
      </c>
      <c r="C913" s="20" t="s">
        <v>5162</v>
      </c>
      <c r="D913" s="20" t="s">
        <v>7441</v>
      </c>
      <c r="E913" s="20" t="s">
        <v>7442</v>
      </c>
      <c r="F913" s="20" t="s">
        <v>2857</v>
      </c>
      <c r="G913" s="20" t="s">
        <v>3104</v>
      </c>
      <c r="H913" s="22" t="n">
        <v>30.5</v>
      </c>
      <c r="I913" s="22" t="n">
        <v>30.5</v>
      </c>
      <c r="J913" s="22" t="n">
        <f aca="false">H913-I913</f>
        <v>0</v>
      </c>
      <c r="K913" s="20" t="str">
        <f aca="false">IF(ABS(J913)&lt;0.001,"MATCH - PAPER CHECK-IN NOT SUPPLIED","DATA MISMATCH")</f>
        <v>MATCH - PAPER CHECK-IN NOT SUPPLIED</v>
      </c>
      <c r="L913" s="22" t="n">
        <v>32</v>
      </c>
      <c r="M913" s="22" t="n">
        <f aca="false">ROUNDUP(H913,0)</f>
        <v>31</v>
      </c>
      <c r="N913" s="24" t="n">
        <f aca="false">MAX(L913,M913)</f>
        <v>32</v>
      </c>
      <c r="O913" s="25" t="n">
        <v>10.4</v>
      </c>
      <c r="P913" s="25" t="n">
        <f aca="false">N913*O913</f>
        <v>332.8</v>
      </c>
      <c r="Q913" s="23" t="s">
        <v>7443</v>
      </c>
      <c r="R913" s="23" t="s">
        <v>2804</v>
      </c>
      <c r="S913" s="24" t="n">
        <v>32</v>
      </c>
      <c r="T913" s="25" t="n">
        <v>10.4</v>
      </c>
      <c r="U913" s="25" t="n">
        <v>332.8</v>
      </c>
      <c r="V913" s="25" t="n">
        <f aca="false">P913-U913</f>
        <v>0</v>
      </c>
      <c r="W913" s="25" t="n">
        <f aca="false">V913*12</f>
        <v>0</v>
      </c>
      <c r="X913" s="23" t="str">
        <f aca="false">IF(Q913="","MISSING FROM EXPORT",IF(ABS(V913)&lt;0.005,"CLEAR",IF(V913&gt;0,"UNDERBILLING","OVERBILLING")))</f>
        <v>CLEAR</v>
      </c>
      <c r="Y913" s="25" t="n">
        <f aca="false">IF(F913="COMMERCIAL",ROUND(P913*0.35,2),0)</f>
        <v>0</v>
      </c>
      <c r="Z913" s="23" t="str">
        <f aca="false">IF(F913="COMMERCIAL","VERIFY SIGNED AGREEMENT","NO EXCEPTION")</f>
        <v>NO EXCEPTION</v>
      </c>
      <c r="AA913" s="23" t="str">
        <f aca="false">IF(AND(C913="covered",N913&gt;40),"COVERED &gt;40 FT","")</f>
        <v/>
      </c>
      <c r="AB913" s="23" t="s">
        <v>7444</v>
      </c>
      <c r="AC913" s="23" t="s">
        <v>7445</v>
      </c>
      <c r="AD913" s="23" t="s">
        <v>2807</v>
      </c>
    </row>
    <row r="914" customFormat="false" ht="17.9" hidden="false" customHeight="false" outlineLevel="0" collapsed="false">
      <c r="A914" s="20" t="s">
        <v>1421</v>
      </c>
      <c r="B914" s="20" t="s">
        <v>99</v>
      </c>
      <c r="C914" s="20" t="s">
        <v>5162</v>
      </c>
      <c r="D914" s="20" t="s">
        <v>7446</v>
      </c>
      <c r="E914" s="20" t="s">
        <v>7447</v>
      </c>
      <c r="F914" s="20" t="s">
        <v>2869</v>
      </c>
      <c r="G914" s="20" t="s">
        <v>3110</v>
      </c>
      <c r="H914" s="22" t="n">
        <v>32.2</v>
      </c>
      <c r="I914" s="22" t="n">
        <v>32.2</v>
      </c>
      <c r="J914" s="22" t="n">
        <f aca="false">H914-I914</f>
        <v>0</v>
      </c>
      <c r="K914" s="20" t="str">
        <f aca="false">IF(ABS(J914)&lt;0.001,"MATCH - PAPER CHECK-IN NOT SUPPLIED","DATA MISMATCH")</f>
        <v>MATCH - PAPER CHECK-IN NOT SUPPLIED</v>
      </c>
      <c r="L914" s="22" t="n">
        <v>32</v>
      </c>
      <c r="M914" s="22" t="n">
        <f aca="false">ROUNDUP(H914,0)</f>
        <v>33</v>
      </c>
      <c r="N914" s="24" t="n">
        <f aca="false">MAX(L914,M914)</f>
        <v>33</v>
      </c>
      <c r="O914" s="25" t="n">
        <v>10.4</v>
      </c>
      <c r="P914" s="25" t="n">
        <f aca="false">N914*O914</f>
        <v>343.2</v>
      </c>
      <c r="Q914" s="23" t="s">
        <v>7448</v>
      </c>
      <c r="R914" s="23" t="s">
        <v>2804</v>
      </c>
      <c r="S914" s="24" t="n">
        <v>33</v>
      </c>
      <c r="T914" s="25" t="n">
        <v>10.4</v>
      </c>
      <c r="U914" s="25" t="n">
        <v>343.2</v>
      </c>
      <c r="V914" s="25" t="n">
        <f aca="false">P914-U914</f>
        <v>0</v>
      </c>
      <c r="W914" s="25" t="n">
        <f aca="false">V914*12</f>
        <v>0</v>
      </c>
      <c r="X914" s="23" t="str">
        <f aca="false">IF(Q914="","MISSING FROM EXPORT",IF(ABS(V914)&lt;0.005,"CLEAR",IF(V914&gt;0,"UNDERBILLING","OVERBILLING")))</f>
        <v>CLEAR</v>
      </c>
      <c r="Y914" s="25" t="n">
        <f aca="false">IF(F914="COMMERCIAL",ROUND(P914*0.35,2),0)</f>
        <v>0</v>
      </c>
      <c r="Z914" s="23" t="str">
        <f aca="false">IF(F914="COMMERCIAL","VERIFY SIGNED AGREEMENT","NO EXCEPTION")</f>
        <v>NO EXCEPTION</v>
      </c>
      <c r="AA914" s="23" t="str">
        <f aca="false">IF(AND(C914="covered",N914&gt;40),"COVERED &gt;40 FT","")</f>
        <v/>
      </c>
      <c r="AB914" s="23" t="s">
        <v>7449</v>
      </c>
      <c r="AC914" s="23" t="s">
        <v>7450</v>
      </c>
      <c r="AD914" s="23" t="s">
        <v>2807</v>
      </c>
    </row>
    <row r="915" customFormat="false" ht="17.9" hidden="false" customHeight="false" outlineLevel="0" collapsed="false">
      <c r="A915" s="20" t="s">
        <v>7451</v>
      </c>
      <c r="B915" s="20" t="s">
        <v>99</v>
      </c>
      <c r="C915" s="20" t="s">
        <v>5162</v>
      </c>
      <c r="D915" s="20" t="s">
        <v>7452</v>
      </c>
      <c r="E915" s="20" t="s">
        <v>7453</v>
      </c>
      <c r="F915" s="20" t="s">
        <v>2818</v>
      </c>
      <c r="G915" s="20" t="s">
        <v>3117</v>
      </c>
      <c r="H915" s="22" t="n">
        <v>45.8</v>
      </c>
      <c r="I915" s="22" t="n">
        <v>45.8</v>
      </c>
      <c r="J915" s="22" t="n">
        <f aca="false">H915-I915</f>
        <v>0</v>
      </c>
      <c r="K915" s="20" t="str">
        <f aca="false">IF(ABS(J915)&lt;0.001,"MATCH - PAPER CHECK-IN NOT SUPPLIED","DATA MISMATCH")</f>
        <v>MATCH - PAPER CHECK-IN NOT SUPPLIED</v>
      </c>
      <c r="L915" s="22" t="n">
        <v>24</v>
      </c>
      <c r="M915" s="22" t="n">
        <f aca="false">ROUNDUP(H915,0)</f>
        <v>46</v>
      </c>
      <c r="N915" s="24" t="n">
        <f aca="false">MAX(L915,M915)</f>
        <v>46</v>
      </c>
      <c r="O915" s="25" t="n">
        <v>10.4</v>
      </c>
      <c r="P915" s="25" t="n">
        <f aca="false">N915*O915</f>
        <v>478.4</v>
      </c>
      <c r="Q915" s="23" t="s">
        <v>7454</v>
      </c>
      <c r="R915" s="23" t="s">
        <v>2804</v>
      </c>
      <c r="S915" s="24" t="n">
        <v>46</v>
      </c>
      <c r="T915" s="25" t="n">
        <v>10.4</v>
      </c>
      <c r="U915" s="25" t="n">
        <v>478.4</v>
      </c>
      <c r="V915" s="25" t="n">
        <f aca="false">P915-U915</f>
        <v>0</v>
      </c>
      <c r="W915" s="25" t="n">
        <f aca="false">V915*12</f>
        <v>0</v>
      </c>
      <c r="X915" s="23" t="str">
        <f aca="false">IF(Q915="","MISSING FROM EXPORT",IF(ABS(V915)&lt;0.005,"CLEAR",IF(V915&gt;0,"UNDERBILLING","OVERBILLING")))</f>
        <v>CLEAR</v>
      </c>
      <c r="Y915" s="25" t="n">
        <f aca="false">IF(F915="COMMERCIAL",ROUND(P915*0.35,2),0)</f>
        <v>0</v>
      </c>
      <c r="Z915" s="23" t="str">
        <f aca="false">IF(F915="COMMERCIAL","VERIFY SIGNED AGREEMENT","NO EXCEPTION")</f>
        <v>NO EXCEPTION</v>
      </c>
      <c r="AA915" s="23" t="str">
        <f aca="false">IF(AND(C915="covered",N915&gt;40),"COVERED &gt;40 FT","")</f>
        <v>COVERED &gt;40 FT</v>
      </c>
      <c r="AB915" s="23" t="s">
        <v>7455</v>
      </c>
      <c r="AC915" s="23" t="s">
        <v>7456</v>
      </c>
      <c r="AD915" s="23" t="s">
        <v>2807</v>
      </c>
    </row>
    <row r="916" customFormat="false" ht="17.9" hidden="false" customHeight="false" outlineLevel="0" collapsed="false">
      <c r="A916" s="20" t="s">
        <v>996</v>
      </c>
      <c r="B916" s="20" t="s">
        <v>99</v>
      </c>
      <c r="C916" s="20" t="s">
        <v>5162</v>
      </c>
      <c r="D916" s="20" t="s">
        <v>1857</v>
      </c>
      <c r="E916" s="20" t="s">
        <v>1858</v>
      </c>
      <c r="F916" s="20" t="s">
        <v>2857</v>
      </c>
      <c r="G916" s="20" t="s">
        <v>3123</v>
      </c>
      <c r="H916" s="22" t="n">
        <v>18.3</v>
      </c>
      <c r="I916" s="22" t="n">
        <v>18.3</v>
      </c>
      <c r="J916" s="22" t="n">
        <f aca="false">H916-I916</f>
        <v>0</v>
      </c>
      <c r="K916" s="20" t="str">
        <f aca="false">IF(ABS(J916)&lt;0.001,"MATCH - PAPER CHECK-IN NOT SUPPLIED","DATA MISMATCH")</f>
        <v>MATCH - PAPER CHECK-IN NOT SUPPLIED</v>
      </c>
      <c r="L916" s="22" t="n">
        <v>28</v>
      </c>
      <c r="M916" s="22" t="n">
        <f aca="false">ROUNDUP(H916,0)</f>
        <v>19</v>
      </c>
      <c r="N916" s="24" t="n">
        <f aca="false">MAX(L916,M916)</f>
        <v>28</v>
      </c>
      <c r="O916" s="25" t="n">
        <v>10.4</v>
      </c>
      <c r="P916" s="25" t="n">
        <f aca="false">N916*O916</f>
        <v>291.2</v>
      </c>
      <c r="Q916" s="23" t="s">
        <v>7457</v>
      </c>
      <c r="R916" s="23" t="s">
        <v>2804</v>
      </c>
      <c r="S916" s="24" t="n">
        <v>28</v>
      </c>
      <c r="T916" s="25" t="n">
        <v>10.4</v>
      </c>
      <c r="U916" s="25" t="n">
        <v>291.2</v>
      </c>
      <c r="V916" s="25" t="n">
        <f aca="false">P916-U916</f>
        <v>0</v>
      </c>
      <c r="W916" s="25" t="n">
        <f aca="false">V916*12</f>
        <v>0</v>
      </c>
      <c r="X916" s="23" t="str">
        <f aca="false">IF(Q916="","MISSING FROM EXPORT",IF(ABS(V916)&lt;0.005,"CLEAR",IF(V916&gt;0,"UNDERBILLING","OVERBILLING")))</f>
        <v>CLEAR</v>
      </c>
      <c r="Y916" s="25" t="n">
        <f aca="false">IF(F916="COMMERCIAL",ROUND(P916*0.35,2),0)</f>
        <v>0</v>
      </c>
      <c r="Z916" s="23" t="str">
        <f aca="false">IF(F916="COMMERCIAL","VERIFY SIGNED AGREEMENT","NO EXCEPTION")</f>
        <v>NO EXCEPTION</v>
      </c>
      <c r="AA916" s="23" t="str">
        <f aca="false">IF(AND(C916="covered",N916&gt;40),"COVERED &gt;40 FT","")</f>
        <v/>
      </c>
      <c r="AB916" s="23" t="s">
        <v>7458</v>
      </c>
      <c r="AC916" s="23" t="s">
        <v>7459</v>
      </c>
      <c r="AD916" s="23" t="s">
        <v>2807</v>
      </c>
    </row>
    <row r="917" customFormat="false" ht="17.9" hidden="false" customHeight="false" outlineLevel="0" collapsed="false">
      <c r="A917" s="20" t="s">
        <v>7460</v>
      </c>
      <c r="B917" s="20" t="s">
        <v>99</v>
      </c>
      <c r="C917" s="20" t="s">
        <v>5162</v>
      </c>
      <c r="D917" s="20" t="s">
        <v>7461</v>
      </c>
      <c r="E917" s="20" t="s">
        <v>7462</v>
      </c>
      <c r="F917" s="20" t="s">
        <v>2818</v>
      </c>
      <c r="G917" s="20" t="s">
        <v>3130</v>
      </c>
      <c r="H917" s="22" t="n">
        <v>32</v>
      </c>
      <c r="I917" s="22" t="n">
        <v>32</v>
      </c>
      <c r="J917" s="22" t="n">
        <f aca="false">H917-I917</f>
        <v>0</v>
      </c>
      <c r="K917" s="20" t="str">
        <f aca="false">IF(ABS(J917)&lt;0.001,"MATCH - PAPER CHECK-IN NOT SUPPLIED","DATA MISMATCH")</f>
        <v>MATCH - PAPER CHECK-IN NOT SUPPLIED</v>
      </c>
      <c r="L917" s="22" t="n">
        <v>24</v>
      </c>
      <c r="M917" s="22" t="n">
        <f aca="false">ROUNDUP(H917,0)</f>
        <v>32</v>
      </c>
      <c r="N917" s="24" t="n">
        <f aca="false">MAX(L917,M917)</f>
        <v>32</v>
      </c>
      <c r="O917" s="25" t="n">
        <v>10.4</v>
      </c>
      <c r="P917" s="25" t="n">
        <f aca="false">N917*O917</f>
        <v>332.8</v>
      </c>
      <c r="Q917" s="23" t="s">
        <v>7463</v>
      </c>
      <c r="R917" s="23" t="s">
        <v>2804</v>
      </c>
      <c r="S917" s="24" t="n">
        <v>32</v>
      </c>
      <c r="T917" s="25" t="n">
        <v>10.4</v>
      </c>
      <c r="U917" s="25" t="n">
        <v>332.8</v>
      </c>
      <c r="V917" s="25" t="n">
        <f aca="false">P917-U917</f>
        <v>0</v>
      </c>
      <c r="W917" s="25" t="n">
        <f aca="false">V917*12</f>
        <v>0</v>
      </c>
      <c r="X917" s="23" t="str">
        <f aca="false">IF(Q917="","MISSING FROM EXPORT",IF(ABS(V917)&lt;0.005,"CLEAR",IF(V917&gt;0,"UNDERBILLING","OVERBILLING")))</f>
        <v>CLEAR</v>
      </c>
      <c r="Y917" s="25" t="n">
        <f aca="false">IF(F917="COMMERCIAL",ROUND(P917*0.35,2),0)</f>
        <v>0</v>
      </c>
      <c r="Z917" s="23" t="str">
        <f aca="false">IF(F917="COMMERCIAL","VERIFY SIGNED AGREEMENT","NO EXCEPTION")</f>
        <v>NO EXCEPTION</v>
      </c>
      <c r="AA917" s="23" t="str">
        <f aca="false">IF(AND(C917="covered",N917&gt;40),"COVERED &gt;40 FT","")</f>
        <v/>
      </c>
      <c r="AB917" s="23" t="s">
        <v>7464</v>
      </c>
      <c r="AC917" s="23" t="s">
        <v>7465</v>
      </c>
      <c r="AD917" s="23" t="s">
        <v>2807</v>
      </c>
    </row>
    <row r="918" customFormat="false" ht="17.9" hidden="false" customHeight="false" outlineLevel="0" collapsed="false">
      <c r="A918" s="20" t="s">
        <v>7466</v>
      </c>
      <c r="B918" s="20" t="s">
        <v>99</v>
      </c>
      <c r="C918" s="20" t="s">
        <v>5162</v>
      </c>
      <c r="D918" s="20" t="s">
        <v>7467</v>
      </c>
      <c r="E918" s="20" t="s">
        <v>7468</v>
      </c>
      <c r="F918" s="20" t="s">
        <v>2810</v>
      </c>
      <c r="G918" s="20" t="s">
        <v>3137</v>
      </c>
      <c r="H918" s="22" t="n">
        <v>41.8</v>
      </c>
      <c r="I918" s="22" t="n">
        <v>41.8</v>
      </c>
      <c r="J918" s="22" t="n">
        <f aca="false">H918-I918</f>
        <v>0</v>
      </c>
      <c r="K918" s="20" t="str">
        <f aca="false">IF(ABS(J918)&lt;0.001,"MATCH - PAPER CHECK-IN NOT SUPPLIED","DATA MISMATCH")</f>
        <v>MATCH - PAPER CHECK-IN NOT SUPPLIED</v>
      </c>
      <c r="L918" s="22" t="n">
        <v>24</v>
      </c>
      <c r="M918" s="22" t="n">
        <f aca="false">ROUNDUP(H918,0)</f>
        <v>42</v>
      </c>
      <c r="N918" s="24" t="n">
        <f aca="false">MAX(L918,M918)</f>
        <v>42</v>
      </c>
      <c r="O918" s="25" t="n">
        <v>10.4</v>
      </c>
      <c r="P918" s="25" t="n">
        <f aca="false">N918*O918</f>
        <v>436.8</v>
      </c>
      <c r="Q918" s="23" t="s">
        <v>7469</v>
      </c>
      <c r="R918" s="23" t="s">
        <v>2804</v>
      </c>
      <c r="S918" s="24" t="n">
        <v>42</v>
      </c>
      <c r="T918" s="25" t="n">
        <v>10.4</v>
      </c>
      <c r="U918" s="25" t="n">
        <v>436.8</v>
      </c>
      <c r="V918" s="25" t="n">
        <f aca="false">P918-U918</f>
        <v>0</v>
      </c>
      <c r="W918" s="25" t="n">
        <f aca="false">V918*12</f>
        <v>0</v>
      </c>
      <c r="X918" s="23" t="str">
        <f aca="false">IF(Q918="","MISSING FROM EXPORT",IF(ABS(V918)&lt;0.005,"CLEAR",IF(V918&gt;0,"UNDERBILLING","OVERBILLING")))</f>
        <v>CLEAR</v>
      </c>
      <c r="Y918" s="25" t="n">
        <f aca="false">IF(F918="COMMERCIAL",ROUND(P918*0.35,2),0)</f>
        <v>0</v>
      </c>
      <c r="Z918" s="23" t="str">
        <f aca="false">IF(F918="COMMERCIAL","VERIFY SIGNED AGREEMENT","NO EXCEPTION")</f>
        <v>NO EXCEPTION</v>
      </c>
      <c r="AA918" s="23" t="str">
        <f aca="false">IF(AND(C918="covered",N918&gt;40),"COVERED &gt;40 FT","")</f>
        <v>COVERED &gt;40 FT</v>
      </c>
      <c r="AB918" s="23" t="s">
        <v>7470</v>
      </c>
      <c r="AC918" s="23" t="s">
        <v>7471</v>
      </c>
      <c r="AD918" s="23" t="s">
        <v>2807</v>
      </c>
    </row>
    <row r="919" customFormat="false" ht="17.9" hidden="false" customHeight="false" outlineLevel="0" collapsed="false">
      <c r="A919" s="20" t="s">
        <v>7472</v>
      </c>
      <c r="B919" s="20" t="s">
        <v>99</v>
      </c>
      <c r="C919" s="20" t="s">
        <v>5162</v>
      </c>
      <c r="D919" s="20" t="s">
        <v>7473</v>
      </c>
      <c r="E919" s="20" t="s">
        <v>7474</v>
      </c>
      <c r="F919" s="20" t="s">
        <v>2833</v>
      </c>
      <c r="G919" s="20" t="s">
        <v>3144</v>
      </c>
      <c r="H919" s="22" t="n">
        <v>20.6</v>
      </c>
      <c r="I919" s="22" t="n">
        <v>20.6</v>
      </c>
      <c r="J919" s="22" t="n">
        <f aca="false">H919-I919</f>
        <v>0</v>
      </c>
      <c r="K919" s="20" t="str">
        <f aca="false">IF(ABS(J919)&lt;0.001,"MATCH - PAPER CHECK-IN NOT SUPPLIED","DATA MISMATCH")</f>
        <v>MATCH - PAPER CHECK-IN NOT SUPPLIED</v>
      </c>
      <c r="L919" s="22" t="n">
        <v>36</v>
      </c>
      <c r="M919" s="22" t="n">
        <f aca="false">ROUNDUP(H919,0)</f>
        <v>21</v>
      </c>
      <c r="N919" s="24" t="n">
        <f aca="false">MAX(L919,M919)</f>
        <v>36</v>
      </c>
      <c r="O919" s="25" t="n">
        <v>10.4</v>
      </c>
      <c r="P919" s="25" t="n">
        <f aca="false">N919*O919</f>
        <v>374.4</v>
      </c>
      <c r="Q919" s="23" t="s">
        <v>7475</v>
      </c>
      <c r="R919" s="23" t="s">
        <v>2804</v>
      </c>
      <c r="S919" s="24" t="n">
        <v>36</v>
      </c>
      <c r="T919" s="25" t="n">
        <v>10.4</v>
      </c>
      <c r="U919" s="25" t="n">
        <v>374.4</v>
      </c>
      <c r="V919" s="25" t="n">
        <f aca="false">P919-U919</f>
        <v>0</v>
      </c>
      <c r="W919" s="25" t="n">
        <f aca="false">V919*12</f>
        <v>0</v>
      </c>
      <c r="X919" s="23" t="str">
        <f aca="false">IF(Q919="","MISSING FROM EXPORT",IF(ABS(V919)&lt;0.005,"CLEAR",IF(V919&gt;0,"UNDERBILLING","OVERBILLING")))</f>
        <v>CLEAR</v>
      </c>
      <c r="Y919" s="25" t="n">
        <f aca="false">IF(F919="COMMERCIAL",ROUND(P919*0.35,2),0)</f>
        <v>0</v>
      </c>
      <c r="Z919" s="23" t="str">
        <f aca="false">IF(F919="COMMERCIAL","VERIFY SIGNED AGREEMENT","NO EXCEPTION")</f>
        <v>NO EXCEPTION</v>
      </c>
      <c r="AA919" s="23" t="str">
        <f aca="false">IF(AND(C919="covered",N919&gt;40),"COVERED &gt;40 FT","")</f>
        <v/>
      </c>
      <c r="AB919" s="23" t="s">
        <v>7476</v>
      </c>
      <c r="AC919" s="23" t="s">
        <v>7477</v>
      </c>
      <c r="AD919" s="23" t="s">
        <v>2807</v>
      </c>
    </row>
    <row r="920" customFormat="false" ht="17.9" hidden="false" customHeight="false" outlineLevel="0" collapsed="false">
      <c r="A920" s="20" t="s">
        <v>7478</v>
      </c>
      <c r="B920" s="20" t="s">
        <v>99</v>
      </c>
      <c r="C920" s="20" t="s">
        <v>5162</v>
      </c>
      <c r="D920" s="20" t="s">
        <v>7479</v>
      </c>
      <c r="E920" s="20" t="s">
        <v>7480</v>
      </c>
      <c r="F920" s="20" t="s">
        <v>2833</v>
      </c>
      <c r="G920" s="20" t="s">
        <v>4503</v>
      </c>
      <c r="H920" s="22" t="n">
        <v>38.6</v>
      </c>
      <c r="I920" s="22" t="n">
        <v>38.6</v>
      </c>
      <c r="J920" s="22" t="n">
        <f aca="false">H920-I920</f>
        <v>0</v>
      </c>
      <c r="K920" s="20" t="str">
        <f aca="false">IF(ABS(J920)&lt;0.001,"MATCH - PAPER CHECK-IN NOT SUPPLIED","DATA MISMATCH")</f>
        <v>MATCH - PAPER CHECK-IN NOT SUPPLIED</v>
      </c>
      <c r="L920" s="22" t="n">
        <v>28</v>
      </c>
      <c r="M920" s="22" t="n">
        <f aca="false">ROUNDUP(H920,0)</f>
        <v>39</v>
      </c>
      <c r="N920" s="24" t="n">
        <f aca="false">MAX(L920,M920)</f>
        <v>39</v>
      </c>
      <c r="O920" s="25" t="n">
        <v>10.4</v>
      </c>
      <c r="P920" s="25" t="n">
        <f aca="false">N920*O920</f>
        <v>405.6</v>
      </c>
      <c r="Q920" s="23" t="s">
        <v>7481</v>
      </c>
      <c r="R920" s="23" t="s">
        <v>2804</v>
      </c>
      <c r="S920" s="24" t="n">
        <v>39</v>
      </c>
      <c r="T920" s="25" t="n">
        <v>10.4</v>
      </c>
      <c r="U920" s="25" t="n">
        <v>405.6</v>
      </c>
      <c r="V920" s="25" t="n">
        <f aca="false">P920-U920</f>
        <v>0</v>
      </c>
      <c r="W920" s="25" t="n">
        <f aca="false">V920*12</f>
        <v>0</v>
      </c>
      <c r="X920" s="23" t="str">
        <f aca="false">IF(Q920="","MISSING FROM EXPORT",IF(ABS(V920)&lt;0.005,"CLEAR",IF(V920&gt;0,"UNDERBILLING","OVERBILLING")))</f>
        <v>CLEAR</v>
      </c>
      <c r="Y920" s="25" t="n">
        <f aca="false">IF(F920="COMMERCIAL",ROUND(P920*0.35,2),0)</f>
        <v>0</v>
      </c>
      <c r="Z920" s="23" t="str">
        <f aca="false">IF(F920="COMMERCIAL","VERIFY SIGNED AGREEMENT","NO EXCEPTION")</f>
        <v>NO EXCEPTION</v>
      </c>
      <c r="AA920" s="23" t="str">
        <f aca="false">IF(AND(C920="covered",N920&gt;40),"COVERED &gt;40 FT","")</f>
        <v/>
      </c>
      <c r="AB920" s="23" t="s">
        <v>7482</v>
      </c>
      <c r="AC920" s="23" t="s">
        <v>7483</v>
      </c>
      <c r="AD920" s="23" t="s">
        <v>2807</v>
      </c>
    </row>
    <row r="921" customFormat="false" ht="17.9" hidden="false" customHeight="false" outlineLevel="0" collapsed="false">
      <c r="A921" s="20" t="s">
        <v>656</v>
      </c>
      <c r="B921" s="20" t="s">
        <v>99</v>
      </c>
      <c r="C921" s="20" t="s">
        <v>5162</v>
      </c>
      <c r="D921" s="20" t="s">
        <v>7484</v>
      </c>
      <c r="E921" s="20" t="s">
        <v>7485</v>
      </c>
      <c r="F921" s="20" t="s">
        <v>2833</v>
      </c>
      <c r="G921" s="20" t="s">
        <v>3151</v>
      </c>
      <c r="H921" s="22" t="n">
        <v>46.6</v>
      </c>
      <c r="I921" s="22" t="n">
        <v>46.6</v>
      </c>
      <c r="J921" s="22" t="n">
        <f aca="false">H921-I921</f>
        <v>0</v>
      </c>
      <c r="K921" s="20" t="str">
        <f aca="false">IF(ABS(J921)&lt;0.001,"MATCH - PAPER CHECK-IN NOT SUPPLIED","DATA MISMATCH")</f>
        <v>MATCH - PAPER CHECK-IN NOT SUPPLIED</v>
      </c>
      <c r="L921" s="22" t="n">
        <v>32</v>
      </c>
      <c r="M921" s="22" t="n">
        <f aca="false">ROUNDUP(H921,0)</f>
        <v>47</v>
      </c>
      <c r="N921" s="24" t="n">
        <f aca="false">MAX(L921,M921)</f>
        <v>47</v>
      </c>
      <c r="O921" s="25" t="n">
        <v>10.4</v>
      </c>
      <c r="P921" s="25" t="n">
        <f aca="false">N921*O921</f>
        <v>488.8</v>
      </c>
      <c r="Q921" s="23" t="s">
        <v>7486</v>
      </c>
      <c r="R921" s="23" t="s">
        <v>2804</v>
      </c>
      <c r="S921" s="24" t="n">
        <v>47</v>
      </c>
      <c r="T921" s="25" t="n">
        <v>10.4</v>
      </c>
      <c r="U921" s="25" t="n">
        <v>488.8</v>
      </c>
      <c r="V921" s="25" t="n">
        <f aca="false">P921-U921</f>
        <v>0</v>
      </c>
      <c r="W921" s="25" t="n">
        <f aca="false">V921*12</f>
        <v>0</v>
      </c>
      <c r="X921" s="23" t="str">
        <f aca="false">IF(Q921="","MISSING FROM EXPORT",IF(ABS(V921)&lt;0.005,"CLEAR",IF(V921&gt;0,"UNDERBILLING","OVERBILLING")))</f>
        <v>CLEAR</v>
      </c>
      <c r="Y921" s="25" t="n">
        <f aca="false">IF(F921="COMMERCIAL",ROUND(P921*0.35,2),0)</f>
        <v>0</v>
      </c>
      <c r="Z921" s="23" t="str">
        <f aca="false">IF(F921="COMMERCIAL","VERIFY SIGNED AGREEMENT","NO EXCEPTION")</f>
        <v>NO EXCEPTION</v>
      </c>
      <c r="AA921" s="23" t="str">
        <f aca="false">IF(AND(C921="covered",N921&gt;40),"COVERED &gt;40 FT","")</f>
        <v>COVERED &gt;40 FT</v>
      </c>
      <c r="AB921" s="23" t="s">
        <v>7487</v>
      </c>
      <c r="AC921" s="23" t="s">
        <v>7488</v>
      </c>
      <c r="AD921" s="23" t="s">
        <v>2807</v>
      </c>
    </row>
    <row r="922" customFormat="false" ht="17.9" hidden="false" customHeight="false" outlineLevel="0" collapsed="false">
      <c r="A922" s="20" t="s">
        <v>1837</v>
      </c>
      <c r="B922" s="20" t="s">
        <v>99</v>
      </c>
      <c r="C922" s="20" t="s">
        <v>5162</v>
      </c>
      <c r="D922" s="20" t="s">
        <v>7489</v>
      </c>
      <c r="E922" s="20" t="s">
        <v>7490</v>
      </c>
      <c r="F922" s="20" t="s">
        <v>2833</v>
      </c>
      <c r="G922" s="20" t="s">
        <v>3158</v>
      </c>
      <c r="H922" s="22" t="n">
        <v>56.6</v>
      </c>
      <c r="I922" s="22" t="n">
        <v>56.6</v>
      </c>
      <c r="J922" s="22" t="n">
        <f aca="false">H922-I922</f>
        <v>0</v>
      </c>
      <c r="K922" s="20" t="str">
        <f aca="false">IF(ABS(J922)&lt;0.001,"MATCH - PAPER CHECK-IN NOT SUPPLIED","DATA MISMATCH")</f>
        <v>MATCH - PAPER CHECK-IN NOT SUPPLIED</v>
      </c>
      <c r="L922" s="22" t="n">
        <v>24</v>
      </c>
      <c r="M922" s="22" t="n">
        <f aca="false">ROUNDUP(H922,0)</f>
        <v>57</v>
      </c>
      <c r="N922" s="24" t="n">
        <f aca="false">MAX(L922,M922)</f>
        <v>57</v>
      </c>
      <c r="O922" s="25" t="n">
        <v>10.4</v>
      </c>
      <c r="P922" s="25" t="n">
        <f aca="false">N922*O922</f>
        <v>592.8</v>
      </c>
      <c r="Q922" s="23" t="s">
        <v>7491</v>
      </c>
      <c r="R922" s="23" t="s">
        <v>2804</v>
      </c>
      <c r="S922" s="24" t="n">
        <v>57</v>
      </c>
      <c r="T922" s="25" t="n">
        <v>10.4</v>
      </c>
      <c r="U922" s="25" t="n">
        <v>592.8</v>
      </c>
      <c r="V922" s="25" t="n">
        <f aca="false">P922-U922</f>
        <v>0</v>
      </c>
      <c r="W922" s="25" t="n">
        <f aca="false">V922*12</f>
        <v>0</v>
      </c>
      <c r="X922" s="23" t="str">
        <f aca="false">IF(Q922="","MISSING FROM EXPORT",IF(ABS(V922)&lt;0.005,"CLEAR",IF(V922&gt;0,"UNDERBILLING","OVERBILLING")))</f>
        <v>CLEAR</v>
      </c>
      <c r="Y922" s="25" t="n">
        <f aca="false">IF(F922="COMMERCIAL",ROUND(P922*0.35,2),0)</f>
        <v>0</v>
      </c>
      <c r="Z922" s="23" t="str">
        <f aca="false">IF(F922="COMMERCIAL","VERIFY SIGNED AGREEMENT","NO EXCEPTION")</f>
        <v>NO EXCEPTION</v>
      </c>
      <c r="AA922" s="23" t="str">
        <f aca="false">IF(AND(C922="covered",N922&gt;40),"COVERED &gt;40 FT","")</f>
        <v>COVERED &gt;40 FT</v>
      </c>
      <c r="AB922" s="23" t="s">
        <v>7492</v>
      </c>
      <c r="AC922" s="23" t="s">
        <v>7493</v>
      </c>
      <c r="AD922" s="23" t="s">
        <v>2807</v>
      </c>
    </row>
    <row r="923" customFormat="false" ht="17.9" hidden="false" customHeight="false" outlineLevel="0" collapsed="false">
      <c r="A923" s="20" t="s">
        <v>7494</v>
      </c>
      <c r="B923" s="20" t="s">
        <v>99</v>
      </c>
      <c r="C923" s="20" t="s">
        <v>5162</v>
      </c>
      <c r="D923" s="20" t="s">
        <v>1795</v>
      </c>
      <c r="E923" s="20" t="s">
        <v>7495</v>
      </c>
      <c r="F923" s="20" t="s">
        <v>2898</v>
      </c>
      <c r="G923" s="20" t="s">
        <v>3172</v>
      </c>
      <c r="H923" s="22" t="n">
        <v>61.1</v>
      </c>
      <c r="I923" s="22" t="n">
        <v>61.1</v>
      </c>
      <c r="J923" s="22" t="n">
        <f aca="false">H923-I923</f>
        <v>0</v>
      </c>
      <c r="K923" s="20" t="str">
        <f aca="false">IF(ABS(J923)&lt;0.001,"MATCH - PAPER CHECK-IN NOT SUPPLIED","DATA MISMATCH")</f>
        <v>MATCH - PAPER CHECK-IN NOT SUPPLIED</v>
      </c>
      <c r="L923" s="22" t="n">
        <v>24</v>
      </c>
      <c r="M923" s="22" t="n">
        <f aca="false">ROUNDUP(H923,0)</f>
        <v>62</v>
      </c>
      <c r="N923" s="24" t="n">
        <f aca="false">MAX(L923,M923)</f>
        <v>62</v>
      </c>
      <c r="O923" s="25" t="n">
        <v>10.4</v>
      </c>
      <c r="P923" s="25" t="n">
        <f aca="false">N923*O923</f>
        <v>644.8</v>
      </c>
      <c r="Q923" s="23" t="s">
        <v>7496</v>
      </c>
      <c r="R923" s="23" t="s">
        <v>2804</v>
      </c>
      <c r="S923" s="24" t="n">
        <v>62</v>
      </c>
      <c r="T923" s="25" t="n">
        <v>10.4</v>
      </c>
      <c r="U923" s="25" t="n">
        <v>644.8</v>
      </c>
      <c r="V923" s="25" t="n">
        <f aca="false">P923-U923</f>
        <v>0</v>
      </c>
      <c r="W923" s="25" t="n">
        <f aca="false">V923*12</f>
        <v>0</v>
      </c>
      <c r="X923" s="23" t="str">
        <f aca="false">IF(Q923="","MISSING FROM EXPORT",IF(ABS(V923)&lt;0.005,"CLEAR",IF(V923&gt;0,"UNDERBILLING","OVERBILLING")))</f>
        <v>CLEAR</v>
      </c>
      <c r="Y923" s="25" t="n">
        <f aca="false">IF(F923="COMMERCIAL",ROUND(P923*0.35,2),0)</f>
        <v>0</v>
      </c>
      <c r="Z923" s="23" t="str">
        <f aca="false">IF(F923="COMMERCIAL","VERIFY SIGNED AGREEMENT","NO EXCEPTION")</f>
        <v>NO EXCEPTION</v>
      </c>
      <c r="AA923" s="23" t="str">
        <f aca="false">IF(AND(C923="covered",N923&gt;40),"COVERED &gt;40 FT","")</f>
        <v>COVERED &gt;40 FT</v>
      </c>
      <c r="AB923" s="23" t="s">
        <v>7497</v>
      </c>
      <c r="AC923" s="23" t="s">
        <v>7498</v>
      </c>
      <c r="AD923" s="23" t="s">
        <v>2807</v>
      </c>
    </row>
    <row r="924" customFormat="false" ht="17.9" hidden="false" customHeight="false" outlineLevel="0" collapsed="false">
      <c r="A924" s="20" t="s">
        <v>7499</v>
      </c>
      <c r="B924" s="20" t="s">
        <v>99</v>
      </c>
      <c r="C924" s="20" t="s">
        <v>5162</v>
      </c>
      <c r="D924" s="20" t="s">
        <v>7500</v>
      </c>
      <c r="E924" s="20" t="s">
        <v>7501</v>
      </c>
      <c r="F924" s="20" t="s">
        <v>2898</v>
      </c>
      <c r="G924" s="20" t="s">
        <v>3179</v>
      </c>
      <c r="H924" s="22" t="n">
        <v>40</v>
      </c>
      <c r="I924" s="22" t="n">
        <v>40</v>
      </c>
      <c r="J924" s="22" t="n">
        <f aca="false">H924-I924</f>
        <v>0</v>
      </c>
      <c r="K924" s="20" t="str">
        <f aca="false">IF(ABS(J924)&lt;0.001,"MATCH - PAPER CHECK-IN NOT SUPPLIED","DATA MISMATCH")</f>
        <v>MATCH - PAPER CHECK-IN NOT SUPPLIED</v>
      </c>
      <c r="L924" s="22" t="n">
        <v>28</v>
      </c>
      <c r="M924" s="22" t="n">
        <f aca="false">ROUNDUP(H924,0)</f>
        <v>40</v>
      </c>
      <c r="N924" s="24" t="n">
        <f aca="false">MAX(L924,M924)</f>
        <v>40</v>
      </c>
      <c r="O924" s="25" t="n">
        <v>10.4</v>
      </c>
      <c r="P924" s="25" t="n">
        <f aca="false">N924*O924</f>
        <v>416</v>
      </c>
      <c r="Q924" s="23" t="s">
        <v>7502</v>
      </c>
      <c r="R924" s="23" t="s">
        <v>2804</v>
      </c>
      <c r="S924" s="24" t="n">
        <v>40</v>
      </c>
      <c r="T924" s="25" t="n">
        <v>10.4</v>
      </c>
      <c r="U924" s="25" t="n">
        <v>416</v>
      </c>
      <c r="V924" s="25" t="n">
        <f aca="false">P924-U924</f>
        <v>0</v>
      </c>
      <c r="W924" s="25" t="n">
        <f aca="false">V924*12</f>
        <v>0</v>
      </c>
      <c r="X924" s="23" t="str">
        <f aca="false">IF(Q924="","MISSING FROM EXPORT",IF(ABS(V924)&lt;0.005,"CLEAR",IF(V924&gt;0,"UNDERBILLING","OVERBILLING")))</f>
        <v>CLEAR</v>
      </c>
      <c r="Y924" s="25" t="n">
        <f aca="false">IF(F924="COMMERCIAL",ROUND(P924*0.35,2),0)</f>
        <v>0</v>
      </c>
      <c r="Z924" s="23" t="str">
        <f aca="false">IF(F924="COMMERCIAL","VERIFY SIGNED AGREEMENT","NO EXCEPTION")</f>
        <v>NO EXCEPTION</v>
      </c>
      <c r="AA924" s="23" t="str">
        <f aca="false">IF(AND(C924="covered",N924&gt;40),"COVERED &gt;40 FT","")</f>
        <v/>
      </c>
      <c r="AB924" s="23" t="s">
        <v>7503</v>
      </c>
      <c r="AC924" s="23" t="s">
        <v>7504</v>
      </c>
      <c r="AD924" s="23" t="s">
        <v>2807</v>
      </c>
    </row>
    <row r="925" customFormat="false" ht="17.9" hidden="false" customHeight="false" outlineLevel="0" collapsed="false">
      <c r="A925" s="20" t="s">
        <v>7505</v>
      </c>
      <c r="B925" s="20" t="s">
        <v>99</v>
      </c>
      <c r="C925" s="20" t="s">
        <v>5162</v>
      </c>
      <c r="D925" s="20" t="s">
        <v>7506</v>
      </c>
      <c r="E925" s="20" t="s">
        <v>7507</v>
      </c>
      <c r="F925" s="20" t="s">
        <v>2833</v>
      </c>
      <c r="G925" s="20" t="s">
        <v>3186</v>
      </c>
      <c r="H925" s="22" t="n">
        <v>32.7</v>
      </c>
      <c r="I925" s="22" t="n">
        <v>32.7</v>
      </c>
      <c r="J925" s="22" t="n">
        <f aca="false">H925-I925</f>
        <v>0</v>
      </c>
      <c r="K925" s="20" t="str">
        <f aca="false">IF(ABS(J925)&lt;0.001,"MATCH - PAPER CHECK-IN NOT SUPPLIED","DATA MISMATCH")</f>
        <v>MATCH - PAPER CHECK-IN NOT SUPPLIED</v>
      </c>
      <c r="L925" s="22" t="n">
        <v>36</v>
      </c>
      <c r="M925" s="22" t="n">
        <f aca="false">ROUNDUP(H925,0)</f>
        <v>33</v>
      </c>
      <c r="N925" s="24" t="n">
        <f aca="false">MAX(L925,M925)</f>
        <v>36</v>
      </c>
      <c r="O925" s="25" t="n">
        <v>10.4</v>
      </c>
      <c r="P925" s="25" t="n">
        <f aca="false">N925*O925</f>
        <v>374.4</v>
      </c>
      <c r="Q925" s="23" t="s">
        <v>7508</v>
      </c>
      <c r="R925" s="23" t="s">
        <v>2804</v>
      </c>
      <c r="S925" s="24" t="n">
        <v>36</v>
      </c>
      <c r="T925" s="25" t="n">
        <v>10.4</v>
      </c>
      <c r="U925" s="25" t="n">
        <v>374.4</v>
      </c>
      <c r="V925" s="25" t="n">
        <f aca="false">P925-U925</f>
        <v>0</v>
      </c>
      <c r="W925" s="25" t="n">
        <f aca="false">V925*12</f>
        <v>0</v>
      </c>
      <c r="X925" s="23" t="str">
        <f aca="false">IF(Q925="","MISSING FROM EXPORT",IF(ABS(V925)&lt;0.005,"CLEAR",IF(V925&gt;0,"UNDERBILLING","OVERBILLING")))</f>
        <v>CLEAR</v>
      </c>
      <c r="Y925" s="25" t="n">
        <f aca="false">IF(F925="COMMERCIAL",ROUND(P925*0.35,2),0)</f>
        <v>0</v>
      </c>
      <c r="Z925" s="23" t="str">
        <f aca="false">IF(F925="COMMERCIAL","VERIFY SIGNED AGREEMENT","NO EXCEPTION")</f>
        <v>NO EXCEPTION</v>
      </c>
      <c r="AA925" s="23" t="str">
        <f aca="false">IF(AND(C925="covered",N925&gt;40),"COVERED &gt;40 FT","")</f>
        <v/>
      </c>
      <c r="AB925" s="23" t="s">
        <v>7509</v>
      </c>
      <c r="AC925" s="23" t="s">
        <v>7510</v>
      </c>
      <c r="AD925" s="23" t="s">
        <v>2807</v>
      </c>
    </row>
    <row r="926" customFormat="false" ht="17.9" hidden="false" customHeight="false" outlineLevel="0" collapsed="false">
      <c r="A926" s="20" t="s">
        <v>7511</v>
      </c>
      <c r="B926" s="20" t="s">
        <v>99</v>
      </c>
      <c r="C926" s="20" t="s">
        <v>5162</v>
      </c>
      <c r="D926" s="20" t="s">
        <v>373</v>
      </c>
      <c r="E926" s="20" t="s">
        <v>374</v>
      </c>
      <c r="F926" s="20" t="s">
        <v>2857</v>
      </c>
      <c r="G926" s="20" t="s">
        <v>3193</v>
      </c>
      <c r="H926" s="22" t="n">
        <v>38.4</v>
      </c>
      <c r="I926" s="22" t="n">
        <v>38.4</v>
      </c>
      <c r="J926" s="22" t="n">
        <f aca="false">H926-I926</f>
        <v>0</v>
      </c>
      <c r="K926" s="20" t="str">
        <f aca="false">IF(ABS(J926)&lt;0.001,"MATCH - PAPER CHECK-IN NOT SUPPLIED","DATA MISMATCH")</f>
        <v>MATCH - PAPER CHECK-IN NOT SUPPLIED</v>
      </c>
      <c r="L926" s="22" t="n">
        <v>24</v>
      </c>
      <c r="M926" s="22" t="n">
        <f aca="false">ROUNDUP(H926,0)</f>
        <v>39</v>
      </c>
      <c r="N926" s="24" t="n">
        <f aca="false">MAX(L926,M926)</f>
        <v>39</v>
      </c>
      <c r="O926" s="25" t="n">
        <v>10.4</v>
      </c>
      <c r="P926" s="25" t="n">
        <f aca="false">N926*O926</f>
        <v>405.6</v>
      </c>
      <c r="Q926" s="23" t="s">
        <v>7512</v>
      </c>
      <c r="R926" s="23" t="s">
        <v>2804</v>
      </c>
      <c r="S926" s="24" t="n">
        <v>39</v>
      </c>
      <c r="T926" s="25" t="n">
        <v>10.4</v>
      </c>
      <c r="U926" s="25" t="n">
        <v>405.6</v>
      </c>
      <c r="V926" s="25" t="n">
        <f aca="false">P926-U926</f>
        <v>0</v>
      </c>
      <c r="W926" s="25" t="n">
        <f aca="false">V926*12</f>
        <v>0</v>
      </c>
      <c r="X926" s="23" t="str">
        <f aca="false">IF(Q926="","MISSING FROM EXPORT",IF(ABS(V926)&lt;0.005,"CLEAR",IF(V926&gt;0,"UNDERBILLING","OVERBILLING")))</f>
        <v>CLEAR</v>
      </c>
      <c r="Y926" s="25" t="n">
        <f aca="false">IF(F926="COMMERCIAL",ROUND(P926*0.35,2),0)</f>
        <v>0</v>
      </c>
      <c r="Z926" s="23" t="str">
        <f aca="false">IF(F926="COMMERCIAL","VERIFY SIGNED AGREEMENT","NO EXCEPTION")</f>
        <v>NO EXCEPTION</v>
      </c>
      <c r="AA926" s="23" t="str">
        <f aca="false">IF(AND(C926="covered",N926&gt;40),"COVERED &gt;40 FT","")</f>
        <v/>
      </c>
      <c r="AB926" s="23" t="s">
        <v>7513</v>
      </c>
      <c r="AC926" s="23" t="s">
        <v>7514</v>
      </c>
      <c r="AD926" s="23" t="s">
        <v>2807</v>
      </c>
    </row>
    <row r="927" customFormat="false" ht="17.9" hidden="false" customHeight="false" outlineLevel="0" collapsed="false">
      <c r="A927" s="20" t="s">
        <v>7515</v>
      </c>
      <c r="B927" s="20" t="s">
        <v>99</v>
      </c>
      <c r="C927" s="20" t="s">
        <v>5162</v>
      </c>
      <c r="D927" s="20" t="s">
        <v>7516</v>
      </c>
      <c r="E927" s="20" t="s">
        <v>7517</v>
      </c>
      <c r="F927" s="20" t="s">
        <v>2869</v>
      </c>
      <c r="G927" s="20" t="s">
        <v>3200</v>
      </c>
      <c r="H927" s="22" t="n">
        <v>27.2</v>
      </c>
      <c r="I927" s="22" t="n">
        <v>27.2</v>
      </c>
      <c r="J927" s="22" t="n">
        <f aca="false">H927-I927</f>
        <v>0</v>
      </c>
      <c r="K927" s="20" t="str">
        <f aca="false">IF(ABS(J927)&lt;0.001,"MATCH - PAPER CHECK-IN NOT SUPPLIED","DATA MISMATCH")</f>
        <v>MATCH - PAPER CHECK-IN NOT SUPPLIED</v>
      </c>
      <c r="L927" s="22" t="n">
        <v>32</v>
      </c>
      <c r="M927" s="22" t="n">
        <f aca="false">ROUNDUP(H927,0)</f>
        <v>28</v>
      </c>
      <c r="N927" s="24" t="n">
        <f aca="false">MAX(L927,M927)</f>
        <v>32</v>
      </c>
      <c r="O927" s="25" t="n">
        <v>10.4</v>
      </c>
      <c r="P927" s="25" t="n">
        <f aca="false">N927*O927</f>
        <v>332.8</v>
      </c>
      <c r="Q927" s="23" t="s">
        <v>7518</v>
      </c>
      <c r="R927" s="23" t="s">
        <v>2804</v>
      </c>
      <c r="S927" s="24" t="n">
        <v>32</v>
      </c>
      <c r="T927" s="25" t="n">
        <v>10.4</v>
      </c>
      <c r="U927" s="25" t="n">
        <v>332.8</v>
      </c>
      <c r="V927" s="25" t="n">
        <f aca="false">P927-U927</f>
        <v>0</v>
      </c>
      <c r="W927" s="25" t="n">
        <f aca="false">V927*12</f>
        <v>0</v>
      </c>
      <c r="X927" s="23" t="str">
        <f aca="false">IF(Q927="","MISSING FROM EXPORT",IF(ABS(V927)&lt;0.005,"CLEAR",IF(V927&gt;0,"UNDERBILLING","OVERBILLING")))</f>
        <v>CLEAR</v>
      </c>
      <c r="Y927" s="25" t="n">
        <f aca="false">IF(F927="COMMERCIAL",ROUND(P927*0.35,2),0)</f>
        <v>0</v>
      </c>
      <c r="Z927" s="23" t="str">
        <f aca="false">IF(F927="COMMERCIAL","VERIFY SIGNED AGREEMENT","NO EXCEPTION")</f>
        <v>NO EXCEPTION</v>
      </c>
      <c r="AA927" s="23" t="str">
        <f aca="false">IF(AND(C927="covered",N927&gt;40),"COVERED &gt;40 FT","")</f>
        <v/>
      </c>
      <c r="AB927" s="23" t="s">
        <v>7519</v>
      </c>
      <c r="AC927" s="23" t="s">
        <v>7520</v>
      </c>
      <c r="AD927" s="23" t="s">
        <v>2807</v>
      </c>
    </row>
    <row r="928" customFormat="false" ht="17.9" hidden="false" customHeight="false" outlineLevel="0" collapsed="false">
      <c r="A928" s="20" t="s">
        <v>7521</v>
      </c>
      <c r="B928" s="20" t="s">
        <v>99</v>
      </c>
      <c r="C928" s="20" t="s">
        <v>5162</v>
      </c>
      <c r="D928" s="20" t="s">
        <v>7522</v>
      </c>
      <c r="E928" s="20" t="s">
        <v>7523</v>
      </c>
      <c r="F928" s="20" t="s">
        <v>2833</v>
      </c>
      <c r="G928" s="20" t="s">
        <v>3206</v>
      </c>
      <c r="H928" s="22" t="n">
        <v>25.8</v>
      </c>
      <c r="I928" s="22" t="n">
        <v>25.8</v>
      </c>
      <c r="J928" s="22" t="n">
        <f aca="false">H928-I928</f>
        <v>0</v>
      </c>
      <c r="K928" s="20" t="str">
        <f aca="false">IF(ABS(J928)&lt;0.001,"MATCH - PAPER CHECK-IN NOT SUPPLIED","DATA MISMATCH")</f>
        <v>MATCH - PAPER CHECK-IN NOT SUPPLIED</v>
      </c>
      <c r="L928" s="22" t="n">
        <v>28</v>
      </c>
      <c r="M928" s="22" t="n">
        <f aca="false">ROUNDUP(H928,0)</f>
        <v>26</v>
      </c>
      <c r="N928" s="24" t="n">
        <f aca="false">MAX(L928,M928)</f>
        <v>28</v>
      </c>
      <c r="O928" s="25" t="n">
        <v>10.4</v>
      </c>
      <c r="P928" s="25" t="n">
        <f aca="false">N928*O928</f>
        <v>291.2</v>
      </c>
      <c r="Q928" s="23" t="s">
        <v>7524</v>
      </c>
      <c r="R928" s="23" t="s">
        <v>2804</v>
      </c>
      <c r="S928" s="24" t="n">
        <v>28</v>
      </c>
      <c r="T928" s="25" t="n">
        <v>10.4</v>
      </c>
      <c r="U928" s="25" t="n">
        <v>291.2</v>
      </c>
      <c r="V928" s="25" t="n">
        <f aca="false">P928-U928</f>
        <v>0</v>
      </c>
      <c r="W928" s="25" t="n">
        <f aca="false">V928*12</f>
        <v>0</v>
      </c>
      <c r="X928" s="23" t="str">
        <f aca="false">IF(Q928="","MISSING FROM EXPORT",IF(ABS(V928)&lt;0.005,"CLEAR",IF(V928&gt;0,"UNDERBILLING","OVERBILLING")))</f>
        <v>CLEAR</v>
      </c>
      <c r="Y928" s="25" t="n">
        <f aca="false">IF(F928="COMMERCIAL",ROUND(P928*0.35,2),0)</f>
        <v>0</v>
      </c>
      <c r="Z928" s="23" t="str">
        <f aca="false">IF(F928="COMMERCIAL","VERIFY SIGNED AGREEMENT","NO EXCEPTION")</f>
        <v>NO EXCEPTION</v>
      </c>
      <c r="AA928" s="23" t="str">
        <f aca="false">IF(AND(C928="covered",N928&gt;40),"COVERED &gt;40 FT","")</f>
        <v/>
      </c>
      <c r="AB928" s="23" t="s">
        <v>7525</v>
      </c>
      <c r="AC928" s="23" t="s">
        <v>7526</v>
      </c>
      <c r="AD928" s="23" t="s">
        <v>2807</v>
      </c>
    </row>
    <row r="929" customFormat="false" ht="17.9" hidden="false" customHeight="false" outlineLevel="0" collapsed="false">
      <c r="A929" s="20" t="s">
        <v>7527</v>
      </c>
      <c r="B929" s="20" t="s">
        <v>99</v>
      </c>
      <c r="C929" s="20" t="s">
        <v>5162</v>
      </c>
      <c r="D929" s="20" t="s">
        <v>7528</v>
      </c>
      <c r="E929" s="20" t="s">
        <v>7529</v>
      </c>
      <c r="F929" s="20" t="s">
        <v>2833</v>
      </c>
      <c r="G929" s="20" t="s">
        <v>4543</v>
      </c>
      <c r="H929" s="22" t="n">
        <v>50</v>
      </c>
      <c r="I929" s="22" t="n">
        <v>50</v>
      </c>
      <c r="J929" s="22" t="n">
        <f aca="false">H929-I929</f>
        <v>0</v>
      </c>
      <c r="K929" s="20" t="str">
        <f aca="false">IF(ABS(J929)&lt;0.001,"MATCH - PAPER CHECK-IN NOT SUPPLIED","DATA MISMATCH")</f>
        <v>MATCH - PAPER CHECK-IN NOT SUPPLIED</v>
      </c>
      <c r="L929" s="22" t="n">
        <v>32</v>
      </c>
      <c r="M929" s="22" t="n">
        <f aca="false">ROUNDUP(H929,0)</f>
        <v>50</v>
      </c>
      <c r="N929" s="24" t="n">
        <f aca="false">MAX(L929,M929)</f>
        <v>50</v>
      </c>
      <c r="O929" s="25" t="n">
        <v>10.4</v>
      </c>
      <c r="P929" s="25" t="n">
        <f aca="false">N929*O929</f>
        <v>520</v>
      </c>
      <c r="Q929" s="23" t="s">
        <v>7530</v>
      </c>
      <c r="R929" s="23" t="s">
        <v>2804</v>
      </c>
      <c r="S929" s="24" t="n">
        <v>50</v>
      </c>
      <c r="T929" s="25" t="n">
        <v>10.4</v>
      </c>
      <c r="U929" s="25" t="n">
        <v>520</v>
      </c>
      <c r="V929" s="25" t="n">
        <f aca="false">P929-U929</f>
        <v>0</v>
      </c>
      <c r="W929" s="25" t="n">
        <f aca="false">V929*12</f>
        <v>0</v>
      </c>
      <c r="X929" s="23" t="str">
        <f aca="false">IF(Q929="","MISSING FROM EXPORT",IF(ABS(V929)&lt;0.005,"CLEAR",IF(V929&gt;0,"UNDERBILLING","OVERBILLING")))</f>
        <v>CLEAR</v>
      </c>
      <c r="Y929" s="25" t="n">
        <f aca="false">IF(F929="COMMERCIAL",ROUND(P929*0.35,2),0)</f>
        <v>0</v>
      </c>
      <c r="Z929" s="23" t="str">
        <f aca="false">IF(F929="COMMERCIAL","VERIFY SIGNED AGREEMENT","NO EXCEPTION")</f>
        <v>NO EXCEPTION</v>
      </c>
      <c r="AA929" s="23" t="str">
        <f aca="false">IF(AND(C929="covered",N929&gt;40),"COVERED &gt;40 FT","")</f>
        <v>COVERED &gt;40 FT</v>
      </c>
      <c r="AB929" s="23" t="s">
        <v>7531</v>
      </c>
      <c r="AC929" s="23" t="s">
        <v>7532</v>
      </c>
      <c r="AD929" s="23" t="s">
        <v>2807</v>
      </c>
    </row>
    <row r="930" customFormat="false" ht="17.9" hidden="false" customHeight="false" outlineLevel="0" collapsed="false">
      <c r="A930" s="20" t="s">
        <v>7533</v>
      </c>
      <c r="B930" s="20" t="s">
        <v>99</v>
      </c>
      <c r="C930" s="20" t="s">
        <v>5162</v>
      </c>
      <c r="D930" s="20" t="s">
        <v>1231</v>
      </c>
      <c r="E930" s="20" t="s">
        <v>7534</v>
      </c>
      <c r="F930" s="20" t="s">
        <v>2869</v>
      </c>
      <c r="G930" s="20" t="s">
        <v>3213</v>
      </c>
      <c r="H930" s="22" t="n">
        <v>26.2</v>
      </c>
      <c r="I930" s="22" t="n">
        <v>26.2</v>
      </c>
      <c r="J930" s="22" t="n">
        <f aca="false">H930-I930</f>
        <v>0</v>
      </c>
      <c r="K930" s="20" t="str">
        <f aca="false">IF(ABS(J930)&lt;0.001,"MATCH - PAPER CHECK-IN NOT SUPPLIED","DATA MISMATCH")</f>
        <v>MATCH - PAPER CHECK-IN NOT SUPPLIED</v>
      </c>
      <c r="L930" s="22" t="n">
        <v>28</v>
      </c>
      <c r="M930" s="22" t="n">
        <f aca="false">ROUNDUP(H930,0)</f>
        <v>27</v>
      </c>
      <c r="N930" s="24" t="n">
        <f aca="false">MAX(L930,M930)</f>
        <v>28</v>
      </c>
      <c r="O930" s="25" t="n">
        <v>10.4</v>
      </c>
      <c r="P930" s="25" t="n">
        <f aca="false">N930*O930</f>
        <v>291.2</v>
      </c>
      <c r="Q930" s="23" t="s">
        <v>7535</v>
      </c>
      <c r="R930" s="23" t="s">
        <v>2804</v>
      </c>
      <c r="S930" s="24" t="n">
        <v>28</v>
      </c>
      <c r="T930" s="25" t="n">
        <v>10.4</v>
      </c>
      <c r="U930" s="25" t="n">
        <v>291.2</v>
      </c>
      <c r="V930" s="25" t="n">
        <f aca="false">P930-U930</f>
        <v>0</v>
      </c>
      <c r="W930" s="25" t="n">
        <f aca="false">V930*12</f>
        <v>0</v>
      </c>
      <c r="X930" s="23" t="str">
        <f aca="false">IF(Q930="","MISSING FROM EXPORT",IF(ABS(V930)&lt;0.005,"CLEAR",IF(V930&gt;0,"UNDERBILLING","OVERBILLING")))</f>
        <v>CLEAR</v>
      </c>
      <c r="Y930" s="25" t="n">
        <f aca="false">IF(F930="COMMERCIAL",ROUND(P930*0.35,2),0)</f>
        <v>0</v>
      </c>
      <c r="Z930" s="23" t="str">
        <f aca="false">IF(F930="COMMERCIAL","VERIFY SIGNED AGREEMENT","NO EXCEPTION")</f>
        <v>NO EXCEPTION</v>
      </c>
      <c r="AA930" s="23" t="str">
        <f aca="false">IF(AND(C930="covered",N930&gt;40),"COVERED &gt;40 FT","")</f>
        <v/>
      </c>
      <c r="AB930" s="23" t="s">
        <v>7536</v>
      </c>
      <c r="AC930" s="23" t="s">
        <v>7537</v>
      </c>
      <c r="AD930" s="23" t="s">
        <v>2807</v>
      </c>
    </row>
    <row r="931" customFormat="false" ht="17.9" hidden="false" customHeight="false" outlineLevel="0" collapsed="false">
      <c r="A931" s="20" t="s">
        <v>7538</v>
      </c>
      <c r="B931" s="20" t="s">
        <v>99</v>
      </c>
      <c r="C931" s="20" t="s">
        <v>5162</v>
      </c>
      <c r="D931" s="20" t="s">
        <v>7539</v>
      </c>
      <c r="E931" s="20" t="s">
        <v>7540</v>
      </c>
      <c r="F931" s="20" t="s">
        <v>2833</v>
      </c>
      <c r="G931" s="20" t="s">
        <v>3220</v>
      </c>
      <c r="H931" s="22" t="n">
        <v>22.7</v>
      </c>
      <c r="I931" s="22" t="n">
        <v>22.7</v>
      </c>
      <c r="J931" s="22" t="n">
        <f aca="false">H931-I931</f>
        <v>0</v>
      </c>
      <c r="K931" s="20" t="str">
        <f aca="false">IF(ABS(J931)&lt;0.001,"MATCH - PAPER CHECK-IN NOT SUPPLIED","DATA MISMATCH")</f>
        <v>MATCH - PAPER CHECK-IN NOT SUPPLIED</v>
      </c>
      <c r="L931" s="22" t="n">
        <v>40</v>
      </c>
      <c r="M931" s="22" t="n">
        <f aca="false">ROUNDUP(H931,0)</f>
        <v>23</v>
      </c>
      <c r="N931" s="24" t="n">
        <f aca="false">MAX(L931,M931)</f>
        <v>40</v>
      </c>
      <c r="O931" s="25" t="n">
        <v>10.4</v>
      </c>
      <c r="P931" s="25" t="n">
        <f aca="false">N931*O931</f>
        <v>416</v>
      </c>
      <c r="Q931" s="23" t="s">
        <v>7541</v>
      </c>
      <c r="R931" s="23" t="s">
        <v>2804</v>
      </c>
      <c r="S931" s="24" t="n">
        <v>40</v>
      </c>
      <c r="T931" s="25" t="n">
        <v>10.4</v>
      </c>
      <c r="U931" s="25" t="n">
        <v>416</v>
      </c>
      <c r="V931" s="25" t="n">
        <f aca="false">P931-U931</f>
        <v>0</v>
      </c>
      <c r="W931" s="25" t="n">
        <f aca="false">V931*12</f>
        <v>0</v>
      </c>
      <c r="X931" s="23" t="str">
        <f aca="false">IF(Q931="","MISSING FROM EXPORT",IF(ABS(V931)&lt;0.005,"CLEAR",IF(V931&gt;0,"UNDERBILLING","OVERBILLING")))</f>
        <v>CLEAR</v>
      </c>
      <c r="Y931" s="25" t="n">
        <f aca="false">IF(F931="COMMERCIAL",ROUND(P931*0.35,2),0)</f>
        <v>0</v>
      </c>
      <c r="Z931" s="23" t="str">
        <f aca="false">IF(F931="COMMERCIAL","VERIFY SIGNED AGREEMENT","NO EXCEPTION")</f>
        <v>NO EXCEPTION</v>
      </c>
      <c r="AA931" s="23" t="str">
        <f aca="false">IF(AND(C931="covered",N931&gt;40),"COVERED &gt;40 FT","")</f>
        <v/>
      </c>
      <c r="AB931" s="23" t="s">
        <v>7542</v>
      </c>
      <c r="AC931" s="23" t="s">
        <v>7543</v>
      </c>
      <c r="AD931" s="23" t="s">
        <v>2807</v>
      </c>
    </row>
    <row r="932" customFormat="false" ht="17.9" hidden="false" customHeight="false" outlineLevel="0" collapsed="false">
      <c r="A932" s="20" t="s">
        <v>7544</v>
      </c>
      <c r="B932" s="20" t="s">
        <v>99</v>
      </c>
      <c r="C932" s="20" t="s">
        <v>5162</v>
      </c>
      <c r="D932" s="20" t="s">
        <v>7545</v>
      </c>
      <c r="E932" s="20" t="s">
        <v>7546</v>
      </c>
      <c r="F932" s="20" t="s">
        <v>2857</v>
      </c>
      <c r="G932" s="20" t="s">
        <v>3225</v>
      </c>
      <c r="H932" s="22" t="n">
        <v>43.8</v>
      </c>
      <c r="I932" s="22" t="n">
        <v>43.8</v>
      </c>
      <c r="J932" s="22" t="n">
        <f aca="false">H932-I932</f>
        <v>0</v>
      </c>
      <c r="K932" s="20" t="str">
        <f aca="false">IF(ABS(J932)&lt;0.001,"MATCH - PAPER CHECK-IN NOT SUPPLIED","DATA MISMATCH")</f>
        <v>MATCH - PAPER CHECK-IN NOT SUPPLIED</v>
      </c>
      <c r="L932" s="22" t="n">
        <v>40</v>
      </c>
      <c r="M932" s="22" t="n">
        <f aca="false">ROUNDUP(H932,0)</f>
        <v>44</v>
      </c>
      <c r="N932" s="24" t="n">
        <f aca="false">MAX(L932,M932)</f>
        <v>44</v>
      </c>
      <c r="O932" s="25" t="n">
        <v>10.4</v>
      </c>
      <c r="P932" s="25" t="n">
        <f aca="false">N932*O932</f>
        <v>457.6</v>
      </c>
      <c r="Q932" s="23" t="s">
        <v>7547</v>
      </c>
      <c r="R932" s="23" t="s">
        <v>2804</v>
      </c>
      <c r="S932" s="24" t="n">
        <v>44</v>
      </c>
      <c r="T932" s="25" t="n">
        <v>10.4</v>
      </c>
      <c r="U932" s="25" t="n">
        <v>457.6</v>
      </c>
      <c r="V932" s="25" t="n">
        <f aca="false">P932-U932</f>
        <v>0</v>
      </c>
      <c r="W932" s="25" t="n">
        <f aca="false">V932*12</f>
        <v>0</v>
      </c>
      <c r="X932" s="23" t="str">
        <f aca="false">IF(Q932="","MISSING FROM EXPORT",IF(ABS(V932)&lt;0.005,"CLEAR",IF(V932&gt;0,"UNDERBILLING","OVERBILLING")))</f>
        <v>CLEAR</v>
      </c>
      <c r="Y932" s="25" t="n">
        <f aca="false">IF(F932="COMMERCIAL",ROUND(P932*0.35,2),0)</f>
        <v>0</v>
      </c>
      <c r="Z932" s="23" t="str">
        <f aca="false">IF(F932="COMMERCIAL","VERIFY SIGNED AGREEMENT","NO EXCEPTION")</f>
        <v>NO EXCEPTION</v>
      </c>
      <c r="AA932" s="23" t="str">
        <f aca="false">IF(AND(C932="covered",N932&gt;40),"COVERED &gt;40 FT","")</f>
        <v>COVERED &gt;40 FT</v>
      </c>
      <c r="AB932" s="23" t="s">
        <v>7548</v>
      </c>
      <c r="AC932" s="23" t="s">
        <v>7549</v>
      </c>
      <c r="AD932" s="23" t="s">
        <v>2807</v>
      </c>
    </row>
    <row r="933" customFormat="false" ht="17.9" hidden="false" customHeight="false" outlineLevel="0" collapsed="false">
      <c r="A933" s="20" t="s">
        <v>7550</v>
      </c>
      <c r="B933" s="20" t="s">
        <v>99</v>
      </c>
      <c r="C933" s="20" t="s">
        <v>5162</v>
      </c>
      <c r="D933" s="20" t="s">
        <v>7551</v>
      </c>
      <c r="E933" s="20" t="s">
        <v>7552</v>
      </c>
      <c r="F933" s="20" t="s">
        <v>2833</v>
      </c>
      <c r="G933" s="20" t="s">
        <v>3229</v>
      </c>
      <c r="H933" s="22" t="n">
        <v>36.7</v>
      </c>
      <c r="I933" s="22" t="n">
        <v>36.7</v>
      </c>
      <c r="J933" s="22" t="n">
        <f aca="false">H933-I933</f>
        <v>0</v>
      </c>
      <c r="K933" s="20" t="str">
        <f aca="false">IF(ABS(J933)&lt;0.001,"MATCH - PAPER CHECK-IN NOT SUPPLIED","DATA MISMATCH")</f>
        <v>MATCH - PAPER CHECK-IN NOT SUPPLIED</v>
      </c>
      <c r="L933" s="22" t="n">
        <v>36</v>
      </c>
      <c r="M933" s="22" t="n">
        <f aca="false">ROUNDUP(H933,0)</f>
        <v>37</v>
      </c>
      <c r="N933" s="24" t="n">
        <f aca="false">MAX(L933,M933)</f>
        <v>37</v>
      </c>
      <c r="O933" s="25" t="n">
        <v>10.4</v>
      </c>
      <c r="P933" s="25" t="n">
        <f aca="false">N933*O933</f>
        <v>384.8</v>
      </c>
      <c r="Q933" s="23" t="s">
        <v>7553</v>
      </c>
      <c r="R933" s="23" t="s">
        <v>2804</v>
      </c>
      <c r="S933" s="24" t="n">
        <v>37</v>
      </c>
      <c r="T933" s="25" t="n">
        <v>10.4</v>
      </c>
      <c r="U933" s="25" t="n">
        <v>384.8</v>
      </c>
      <c r="V933" s="25" t="n">
        <f aca="false">P933-U933</f>
        <v>0</v>
      </c>
      <c r="W933" s="25" t="n">
        <f aca="false">V933*12</f>
        <v>0</v>
      </c>
      <c r="X933" s="23" t="str">
        <f aca="false">IF(Q933="","MISSING FROM EXPORT",IF(ABS(V933)&lt;0.005,"CLEAR",IF(V933&gt;0,"UNDERBILLING","OVERBILLING")))</f>
        <v>CLEAR</v>
      </c>
      <c r="Y933" s="25" t="n">
        <f aca="false">IF(F933="COMMERCIAL",ROUND(P933*0.35,2),0)</f>
        <v>0</v>
      </c>
      <c r="Z933" s="23" t="str">
        <f aca="false">IF(F933="COMMERCIAL","VERIFY SIGNED AGREEMENT","NO EXCEPTION")</f>
        <v>NO EXCEPTION</v>
      </c>
      <c r="AA933" s="23" t="str">
        <f aca="false">IF(AND(C933="covered",N933&gt;40),"COVERED &gt;40 FT","")</f>
        <v/>
      </c>
      <c r="AB933" s="23" t="s">
        <v>7554</v>
      </c>
      <c r="AC933" s="23" t="s">
        <v>7555</v>
      </c>
      <c r="AD933" s="23" t="s">
        <v>2807</v>
      </c>
    </row>
    <row r="934" customFormat="false" ht="17.9" hidden="false" customHeight="false" outlineLevel="0" collapsed="false">
      <c r="A934" s="20" t="s">
        <v>7556</v>
      </c>
      <c r="B934" s="20" t="s">
        <v>99</v>
      </c>
      <c r="C934" s="20" t="s">
        <v>5162</v>
      </c>
      <c r="D934" s="20" t="s">
        <v>7557</v>
      </c>
      <c r="E934" s="20" t="s">
        <v>7558</v>
      </c>
      <c r="F934" s="20" t="s">
        <v>2833</v>
      </c>
      <c r="G934" s="20" t="s">
        <v>3236</v>
      </c>
      <c r="H934" s="22" t="n">
        <v>41.1</v>
      </c>
      <c r="I934" s="22" t="n">
        <v>41.1</v>
      </c>
      <c r="J934" s="22" t="n">
        <f aca="false">H934-I934</f>
        <v>0</v>
      </c>
      <c r="K934" s="20" t="str">
        <f aca="false">IF(ABS(J934)&lt;0.001,"MATCH - PAPER CHECK-IN NOT SUPPLIED","DATA MISMATCH")</f>
        <v>MATCH - PAPER CHECK-IN NOT SUPPLIED</v>
      </c>
      <c r="L934" s="22" t="n">
        <v>24</v>
      </c>
      <c r="M934" s="22" t="n">
        <f aca="false">ROUNDUP(H934,0)</f>
        <v>42</v>
      </c>
      <c r="N934" s="24" t="n">
        <f aca="false">MAX(L934,M934)</f>
        <v>42</v>
      </c>
      <c r="O934" s="25" t="n">
        <v>10.4</v>
      </c>
      <c r="P934" s="25" t="n">
        <f aca="false">N934*O934</f>
        <v>436.8</v>
      </c>
      <c r="Q934" s="23" t="s">
        <v>7559</v>
      </c>
      <c r="R934" s="23" t="s">
        <v>2804</v>
      </c>
      <c r="S934" s="24" t="n">
        <v>42</v>
      </c>
      <c r="T934" s="25" t="n">
        <v>10.4</v>
      </c>
      <c r="U934" s="25" t="n">
        <v>436.8</v>
      </c>
      <c r="V934" s="25" t="n">
        <f aca="false">P934-U934</f>
        <v>0</v>
      </c>
      <c r="W934" s="25" t="n">
        <f aca="false">V934*12</f>
        <v>0</v>
      </c>
      <c r="X934" s="23" t="str">
        <f aca="false">IF(Q934="","MISSING FROM EXPORT",IF(ABS(V934)&lt;0.005,"CLEAR",IF(V934&gt;0,"UNDERBILLING","OVERBILLING")))</f>
        <v>CLEAR</v>
      </c>
      <c r="Y934" s="25" t="n">
        <f aca="false">IF(F934="COMMERCIAL",ROUND(P934*0.35,2),0)</f>
        <v>0</v>
      </c>
      <c r="Z934" s="23" t="str">
        <f aca="false">IF(F934="COMMERCIAL","VERIFY SIGNED AGREEMENT","NO EXCEPTION")</f>
        <v>NO EXCEPTION</v>
      </c>
      <c r="AA934" s="23" t="str">
        <f aca="false">IF(AND(C934="covered",N934&gt;40),"COVERED &gt;40 FT","")</f>
        <v>COVERED &gt;40 FT</v>
      </c>
      <c r="AB934" s="23" t="s">
        <v>7560</v>
      </c>
      <c r="AC934" s="23" t="s">
        <v>7561</v>
      </c>
      <c r="AD934" s="23" t="s">
        <v>2807</v>
      </c>
    </row>
    <row r="935" customFormat="false" ht="17.9" hidden="false" customHeight="false" outlineLevel="0" collapsed="false">
      <c r="A935" s="20" t="s">
        <v>1841</v>
      </c>
      <c r="B935" s="20" t="s">
        <v>99</v>
      </c>
      <c r="C935" s="20" t="s">
        <v>5162</v>
      </c>
      <c r="D935" s="20" t="s">
        <v>96</v>
      </c>
      <c r="E935" s="20" t="s">
        <v>97</v>
      </c>
      <c r="F935" s="20" t="s">
        <v>2857</v>
      </c>
      <c r="G935" s="20" t="s">
        <v>3243</v>
      </c>
      <c r="H935" s="22" t="n">
        <v>46.8</v>
      </c>
      <c r="I935" s="22" t="n">
        <v>46.8</v>
      </c>
      <c r="J935" s="22" t="n">
        <f aca="false">H935-I935</f>
        <v>0</v>
      </c>
      <c r="K935" s="20" t="str">
        <f aca="false">IF(ABS(J935)&lt;0.001,"MATCH - PAPER CHECK-IN NOT SUPPLIED","DATA MISMATCH")</f>
        <v>MATCH - PAPER CHECK-IN NOT SUPPLIED</v>
      </c>
      <c r="L935" s="22" t="n">
        <v>36</v>
      </c>
      <c r="M935" s="22" t="n">
        <f aca="false">ROUNDUP(H935,0)</f>
        <v>47</v>
      </c>
      <c r="N935" s="24" t="n">
        <f aca="false">MAX(L935,M935)</f>
        <v>47</v>
      </c>
      <c r="O935" s="25" t="n">
        <v>10.4</v>
      </c>
      <c r="P935" s="25" t="n">
        <f aca="false">N935*O935</f>
        <v>488.8</v>
      </c>
      <c r="Q935" s="23" t="s">
        <v>7562</v>
      </c>
      <c r="R935" s="23" t="s">
        <v>2804</v>
      </c>
      <c r="S935" s="24" t="n">
        <v>47</v>
      </c>
      <c r="T935" s="25" t="n">
        <v>10.4</v>
      </c>
      <c r="U935" s="25" t="n">
        <v>488.8</v>
      </c>
      <c r="V935" s="25" t="n">
        <f aca="false">P935-U935</f>
        <v>0</v>
      </c>
      <c r="W935" s="25" t="n">
        <f aca="false">V935*12</f>
        <v>0</v>
      </c>
      <c r="X935" s="23" t="str">
        <f aca="false">IF(Q935="","MISSING FROM EXPORT",IF(ABS(V935)&lt;0.005,"CLEAR",IF(V935&gt;0,"UNDERBILLING","OVERBILLING")))</f>
        <v>CLEAR</v>
      </c>
      <c r="Y935" s="25" t="n">
        <f aca="false">IF(F935="COMMERCIAL",ROUND(P935*0.35,2),0)</f>
        <v>0</v>
      </c>
      <c r="Z935" s="23" t="str">
        <f aca="false">IF(F935="COMMERCIAL","VERIFY SIGNED AGREEMENT","NO EXCEPTION")</f>
        <v>NO EXCEPTION</v>
      </c>
      <c r="AA935" s="23" t="str">
        <f aca="false">IF(AND(C935="covered",N935&gt;40),"COVERED &gt;40 FT","")</f>
        <v>COVERED &gt;40 FT</v>
      </c>
      <c r="AB935" s="23" t="s">
        <v>7563</v>
      </c>
      <c r="AC935" s="23" t="s">
        <v>7564</v>
      </c>
      <c r="AD935" s="23" t="s">
        <v>2807</v>
      </c>
    </row>
    <row r="936" customFormat="false" ht="17.9" hidden="false" customHeight="false" outlineLevel="0" collapsed="false">
      <c r="A936" s="20" t="s">
        <v>7565</v>
      </c>
      <c r="B936" s="20" t="s">
        <v>99</v>
      </c>
      <c r="C936" s="20" t="s">
        <v>5162</v>
      </c>
      <c r="D936" s="20" t="s">
        <v>7566</v>
      </c>
      <c r="E936" s="20" t="s">
        <v>7567</v>
      </c>
      <c r="F936" s="20" t="s">
        <v>2801</v>
      </c>
      <c r="G936" s="20" t="s">
        <v>3250</v>
      </c>
      <c r="H936" s="22" t="n">
        <v>37.4</v>
      </c>
      <c r="I936" s="22" t="n">
        <v>37.4</v>
      </c>
      <c r="J936" s="22" t="n">
        <f aca="false">H936-I936</f>
        <v>0</v>
      </c>
      <c r="K936" s="20" t="str">
        <f aca="false">IF(ABS(J936)&lt;0.001,"MATCH - PAPER CHECK-IN NOT SUPPLIED","DATA MISMATCH")</f>
        <v>MATCH - PAPER CHECK-IN NOT SUPPLIED</v>
      </c>
      <c r="L936" s="22" t="n">
        <v>28</v>
      </c>
      <c r="M936" s="22" t="n">
        <f aca="false">ROUNDUP(H936,0)</f>
        <v>38</v>
      </c>
      <c r="N936" s="24" t="n">
        <f aca="false">MAX(L936,M936)</f>
        <v>38</v>
      </c>
      <c r="O936" s="25" t="n">
        <v>10.4</v>
      </c>
      <c r="P936" s="25" t="n">
        <f aca="false">N936*O936</f>
        <v>395.2</v>
      </c>
      <c r="Q936" s="23" t="s">
        <v>7568</v>
      </c>
      <c r="R936" s="23" t="s">
        <v>2804</v>
      </c>
      <c r="S936" s="24" t="n">
        <v>38</v>
      </c>
      <c r="T936" s="25" t="n">
        <v>10.4</v>
      </c>
      <c r="U936" s="25" t="n">
        <v>395.2</v>
      </c>
      <c r="V936" s="25" t="n">
        <f aca="false">P936-U936</f>
        <v>0</v>
      </c>
      <c r="W936" s="25" t="n">
        <f aca="false">V936*12</f>
        <v>0</v>
      </c>
      <c r="X936" s="23" t="str">
        <f aca="false">IF(Q936="","MISSING FROM EXPORT",IF(ABS(V936)&lt;0.005,"CLEAR",IF(V936&gt;0,"UNDERBILLING","OVERBILLING")))</f>
        <v>CLEAR</v>
      </c>
      <c r="Y936" s="25" t="n">
        <f aca="false">IF(F936="COMMERCIAL",ROUND(P936*0.35,2),0)</f>
        <v>0</v>
      </c>
      <c r="Z936" s="23" t="str">
        <f aca="false">IF(F936="COMMERCIAL","VERIFY SIGNED AGREEMENT","NO EXCEPTION")</f>
        <v>NO EXCEPTION</v>
      </c>
      <c r="AA936" s="23" t="str">
        <f aca="false">IF(AND(C936="covered",N936&gt;40),"COVERED &gt;40 FT","")</f>
        <v/>
      </c>
      <c r="AB936" s="23" t="s">
        <v>7569</v>
      </c>
      <c r="AC936" s="23" t="s">
        <v>7570</v>
      </c>
      <c r="AD936" s="23" t="s">
        <v>2807</v>
      </c>
    </row>
    <row r="937" customFormat="false" ht="17.9" hidden="false" customHeight="false" outlineLevel="0" collapsed="false">
      <c r="A937" s="20" t="s">
        <v>7571</v>
      </c>
      <c r="B937" s="20" t="s">
        <v>99</v>
      </c>
      <c r="C937" s="20" t="s">
        <v>5162</v>
      </c>
      <c r="D937" s="20" t="s">
        <v>2732</v>
      </c>
      <c r="E937" s="20" t="s">
        <v>7572</v>
      </c>
      <c r="F937" s="20" t="s">
        <v>2869</v>
      </c>
      <c r="G937" s="20" t="s">
        <v>3264</v>
      </c>
      <c r="H937" s="22" t="n">
        <v>55.4</v>
      </c>
      <c r="I937" s="22" t="n">
        <v>55.4</v>
      </c>
      <c r="J937" s="22" t="n">
        <f aca="false">H937-I937</f>
        <v>0</v>
      </c>
      <c r="K937" s="20" t="str">
        <f aca="false">IF(ABS(J937)&lt;0.001,"MATCH - PAPER CHECK-IN NOT SUPPLIED","DATA MISMATCH")</f>
        <v>MATCH - PAPER CHECK-IN NOT SUPPLIED</v>
      </c>
      <c r="L937" s="22" t="n">
        <v>36</v>
      </c>
      <c r="M937" s="22" t="n">
        <f aca="false">ROUNDUP(H937,0)</f>
        <v>56</v>
      </c>
      <c r="N937" s="24" t="n">
        <f aca="false">MAX(L937,M937)</f>
        <v>56</v>
      </c>
      <c r="O937" s="25" t="n">
        <v>10.4</v>
      </c>
      <c r="P937" s="25" t="n">
        <f aca="false">N937*O937</f>
        <v>582.4</v>
      </c>
      <c r="Q937" s="23" t="s">
        <v>7573</v>
      </c>
      <c r="R937" s="23" t="s">
        <v>2804</v>
      </c>
      <c r="S937" s="24" t="n">
        <v>56</v>
      </c>
      <c r="T937" s="25" t="n">
        <v>10.4</v>
      </c>
      <c r="U937" s="25" t="n">
        <v>582.4</v>
      </c>
      <c r="V937" s="25" t="n">
        <f aca="false">P937-U937</f>
        <v>0</v>
      </c>
      <c r="W937" s="25" t="n">
        <f aca="false">V937*12</f>
        <v>0</v>
      </c>
      <c r="X937" s="23" t="str">
        <f aca="false">IF(Q937="","MISSING FROM EXPORT",IF(ABS(V937)&lt;0.005,"CLEAR",IF(V937&gt;0,"UNDERBILLING","OVERBILLING")))</f>
        <v>CLEAR</v>
      </c>
      <c r="Y937" s="25" t="n">
        <f aca="false">IF(F937="COMMERCIAL",ROUND(P937*0.35,2),0)</f>
        <v>0</v>
      </c>
      <c r="Z937" s="23" t="str">
        <f aca="false">IF(F937="COMMERCIAL","VERIFY SIGNED AGREEMENT","NO EXCEPTION")</f>
        <v>NO EXCEPTION</v>
      </c>
      <c r="AA937" s="23" t="str">
        <f aca="false">IF(AND(C937="covered",N937&gt;40),"COVERED &gt;40 FT","")</f>
        <v>COVERED &gt;40 FT</v>
      </c>
      <c r="AB937" s="23" t="s">
        <v>7574</v>
      </c>
      <c r="AC937" s="23" t="s">
        <v>7575</v>
      </c>
      <c r="AD937" s="23" t="s">
        <v>2807</v>
      </c>
    </row>
    <row r="938" customFormat="false" ht="17.9" hidden="false" customHeight="false" outlineLevel="0" collapsed="false">
      <c r="A938" s="20" t="s">
        <v>7576</v>
      </c>
      <c r="B938" s="20" t="s">
        <v>99</v>
      </c>
      <c r="C938" s="20" t="s">
        <v>5162</v>
      </c>
      <c r="D938" s="20" t="s">
        <v>7577</v>
      </c>
      <c r="E938" s="20" t="s">
        <v>7578</v>
      </c>
      <c r="F938" s="20" t="s">
        <v>2934</v>
      </c>
      <c r="G938" s="20" t="s">
        <v>3271</v>
      </c>
      <c r="H938" s="22" t="n">
        <v>56.4</v>
      </c>
      <c r="I938" s="22" t="n">
        <v>56.4</v>
      </c>
      <c r="J938" s="22" t="n">
        <f aca="false">H938-I938</f>
        <v>0</v>
      </c>
      <c r="K938" s="20" t="str">
        <f aca="false">IF(ABS(J938)&lt;0.001,"MATCH - PAPER CHECK-IN NOT SUPPLIED","DATA MISMATCH")</f>
        <v>MATCH - PAPER CHECK-IN NOT SUPPLIED</v>
      </c>
      <c r="L938" s="22" t="n">
        <v>40</v>
      </c>
      <c r="M938" s="22" t="n">
        <f aca="false">ROUNDUP(H938,0)</f>
        <v>57</v>
      </c>
      <c r="N938" s="24" t="n">
        <f aca="false">MAX(L938,M938)</f>
        <v>57</v>
      </c>
      <c r="O938" s="25" t="n">
        <v>10.4</v>
      </c>
      <c r="P938" s="25" t="n">
        <f aca="false">N938*O938</f>
        <v>592.8</v>
      </c>
      <c r="Q938" s="23" t="s">
        <v>7579</v>
      </c>
      <c r="R938" s="23" t="s">
        <v>2804</v>
      </c>
      <c r="S938" s="24" t="n">
        <v>57</v>
      </c>
      <c r="T938" s="25" t="n">
        <v>10.4</v>
      </c>
      <c r="U938" s="25" t="n">
        <v>592.8</v>
      </c>
      <c r="V938" s="25" t="n">
        <f aca="false">P938-U938</f>
        <v>0</v>
      </c>
      <c r="W938" s="25" t="n">
        <f aca="false">V938*12</f>
        <v>0</v>
      </c>
      <c r="X938" s="23" t="str">
        <f aca="false">IF(Q938="","MISSING FROM EXPORT",IF(ABS(V938)&lt;0.005,"CLEAR",IF(V938&gt;0,"UNDERBILLING","OVERBILLING")))</f>
        <v>CLEAR</v>
      </c>
      <c r="Y938" s="25" t="n">
        <f aca="false">IF(F938="COMMERCIAL",ROUND(P938*0.35,2),0)</f>
        <v>207.48</v>
      </c>
      <c r="Z938" s="23" t="str">
        <f aca="false">IF(F938="COMMERCIAL","VERIFY SIGNED AGREEMENT","NO EXCEPTION")</f>
        <v>VERIFY SIGNED AGREEMENT</v>
      </c>
      <c r="AA938" s="23" t="str">
        <f aca="false">IF(AND(C938="covered",N938&gt;40),"COVERED &gt;40 FT","")</f>
        <v>COVERED &gt;40 FT</v>
      </c>
      <c r="AB938" s="23" t="s">
        <v>7580</v>
      </c>
      <c r="AC938" s="23" t="s">
        <v>7581</v>
      </c>
      <c r="AD938" s="23" t="s">
        <v>2807</v>
      </c>
    </row>
    <row r="939" customFormat="false" ht="17.9" hidden="false" customHeight="false" outlineLevel="0" collapsed="false">
      <c r="A939" s="20" t="s">
        <v>7582</v>
      </c>
      <c r="B939" s="20" t="s">
        <v>99</v>
      </c>
      <c r="C939" s="20" t="s">
        <v>5162</v>
      </c>
      <c r="D939" s="20" t="s">
        <v>7583</v>
      </c>
      <c r="E939" s="20" t="s">
        <v>7584</v>
      </c>
      <c r="F939" s="20" t="s">
        <v>2869</v>
      </c>
      <c r="G939" s="20" t="s">
        <v>3277</v>
      </c>
      <c r="H939" s="22" t="n">
        <v>30.6</v>
      </c>
      <c r="I939" s="22" t="n">
        <v>30.6</v>
      </c>
      <c r="J939" s="22" t="n">
        <f aca="false">H939-I939</f>
        <v>0</v>
      </c>
      <c r="K939" s="20" t="str">
        <f aca="false">IF(ABS(J939)&lt;0.001,"MATCH - PAPER CHECK-IN NOT SUPPLIED","DATA MISMATCH")</f>
        <v>MATCH - PAPER CHECK-IN NOT SUPPLIED</v>
      </c>
      <c r="L939" s="22" t="n">
        <v>24</v>
      </c>
      <c r="M939" s="22" t="n">
        <f aca="false">ROUNDUP(H939,0)</f>
        <v>31</v>
      </c>
      <c r="N939" s="24" t="n">
        <f aca="false">MAX(L939,M939)</f>
        <v>31</v>
      </c>
      <c r="O939" s="25" t="n">
        <v>10.4</v>
      </c>
      <c r="P939" s="25" t="n">
        <f aca="false">N939*O939</f>
        <v>322.4</v>
      </c>
      <c r="Q939" s="23" t="s">
        <v>7585</v>
      </c>
      <c r="R939" s="23" t="s">
        <v>2804</v>
      </c>
      <c r="S939" s="24" t="n">
        <v>31</v>
      </c>
      <c r="T939" s="25" t="n">
        <v>10.4</v>
      </c>
      <c r="U939" s="25" t="n">
        <v>322.4</v>
      </c>
      <c r="V939" s="25" t="n">
        <f aca="false">P939-U939</f>
        <v>0</v>
      </c>
      <c r="W939" s="25" t="n">
        <f aca="false">V939*12</f>
        <v>0</v>
      </c>
      <c r="X939" s="23" t="str">
        <f aca="false">IF(Q939="","MISSING FROM EXPORT",IF(ABS(V939)&lt;0.005,"CLEAR",IF(V939&gt;0,"UNDERBILLING","OVERBILLING")))</f>
        <v>CLEAR</v>
      </c>
      <c r="Y939" s="25" t="n">
        <f aca="false">IF(F939="COMMERCIAL",ROUND(P939*0.35,2),0)</f>
        <v>0</v>
      </c>
      <c r="Z939" s="23" t="str">
        <f aca="false">IF(F939="COMMERCIAL","VERIFY SIGNED AGREEMENT","NO EXCEPTION")</f>
        <v>NO EXCEPTION</v>
      </c>
      <c r="AA939" s="23" t="str">
        <f aca="false">IF(AND(C939="covered",N939&gt;40),"COVERED &gt;40 FT","")</f>
        <v/>
      </c>
      <c r="AB939" s="23" t="s">
        <v>7586</v>
      </c>
      <c r="AC939" s="23" t="s">
        <v>7587</v>
      </c>
      <c r="AD939" s="23" t="s">
        <v>2807</v>
      </c>
    </row>
    <row r="940" customFormat="false" ht="17.9" hidden="false" customHeight="false" outlineLevel="0" collapsed="false">
      <c r="A940" s="20" t="s">
        <v>7588</v>
      </c>
      <c r="B940" s="20" t="s">
        <v>99</v>
      </c>
      <c r="C940" s="20" t="s">
        <v>5162</v>
      </c>
      <c r="D940" s="20" t="s">
        <v>7589</v>
      </c>
      <c r="E940" s="20" t="s">
        <v>7590</v>
      </c>
      <c r="F940" s="20" t="s">
        <v>2818</v>
      </c>
      <c r="G940" s="20" t="s">
        <v>3284</v>
      </c>
      <c r="H940" s="22" t="n">
        <v>52.4</v>
      </c>
      <c r="I940" s="22" t="n">
        <v>52.4</v>
      </c>
      <c r="J940" s="22" t="n">
        <f aca="false">H940-I940</f>
        <v>0</v>
      </c>
      <c r="K940" s="20" t="str">
        <f aca="false">IF(ABS(J940)&lt;0.001,"MATCH - PAPER CHECK-IN NOT SUPPLIED","DATA MISMATCH")</f>
        <v>MATCH - PAPER CHECK-IN NOT SUPPLIED</v>
      </c>
      <c r="L940" s="22" t="n">
        <v>36</v>
      </c>
      <c r="M940" s="22" t="n">
        <f aca="false">ROUNDUP(H940,0)</f>
        <v>53</v>
      </c>
      <c r="N940" s="24" t="n">
        <f aca="false">MAX(L940,M940)</f>
        <v>53</v>
      </c>
      <c r="O940" s="25" t="n">
        <v>10.4</v>
      </c>
      <c r="P940" s="25" t="n">
        <f aca="false">N940*O940</f>
        <v>551.2</v>
      </c>
      <c r="Q940" s="23" t="s">
        <v>7591</v>
      </c>
      <c r="R940" s="23" t="s">
        <v>2804</v>
      </c>
      <c r="S940" s="24" t="n">
        <v>53</v>
      </c>
      <c r="T940" s="25" t="n">
        <v>10.4</v>
      </c>
      <c r="U940" s="25" t="n">
        <v>551.2</v>
      </c>
      <c r="V940" s="25" t="n">
        <f aca="false">P940-U940</f>
        <v>0</v>
      </c>
      <c r="W940" s="25" t="n">
        <f aca="false">V940*12</f>
        <v>0</v>
      </c>
      <c r="X940" s="23" t="str">
        <f aca="false">IF(Q940="","MISSING FROM EXPORT",IF(ABS(V940)&lt;0.005,"CLEAR",IF(V940&gt;0,"UNDERBILLING","OVERBILLING")))</f>
        <v>CLEAR</v>
      </c>
      <c r="Y940" s="25" t="n">
        <f aca="false">IF(F940="COMMERCIAL",ROUND(P940*0.35,2),0)</f>
        <v>0</v>
      </c>
      <c r="Z940" s="23" t="str">
        <f aca="false">IF(F940="COMMERCIAL","VERIFY SIGNED AGREEMENT","NO EXCEPTION")</f>
        <v>NO EXCEPTION</v>
      </c>
      <c r="AA940" s="23" t="str">
        <f aca="false">IF(AND(C940="covered",N940&gt;40),"COVERED &gt;40 FT","")</f>
        <v>COVERED &gt;40 FT</v>
      </c>
      <c r="AB940" s="23" t="s">
        <v>7592</v>
      </c>
      <c r="AC940" s="23" t="s">
        <v>7593</v>
      </c>
      <c r="AD940" s="23" t="s">
        <v>2807</v>
      </c>
    </row>
    <row r="941" customFormat="false" ht="17.9" hidden="false" customHeight="false" outlineLevel="0" collapsed="false">
      <c r="A941" s="20" t="s">
        <v>1260</v>
      </c>
      <c r="B941" s="20" t="s">
        <v>99</v>
      </c>
      <c r="C941" s="20" t="s">
        <v>5162</v>
      </c>
      <c r="D941" s="20" t="s">
        <v>1058</v>
      </c>
      <c r="E941" s="20" t="s">
        <v>7594</v>
      </c>
      <c r="F941" s="20" t="s">
        <v>2810</v>
      </c>
      <c r="G941" s="20" t="s">
        <v>3289</v>
      </c>
      <c r="H941" s="22" t="n">
        <v>57</v>
      </c>
      <c r="I941" s="22" t="n">
        <v>57</v>
      </c>
      <c r="J941" s="22" t="n">
        <f aca="false">H941-I941</f>
        <v>0</v>
      </c>
      <c r="K941" s="20" t="str">
        <f aca="false">IF(ABS(J941)&lt;0.001,"MATCH - PAPER CHECK-IN NOT SUPPLIED","DATA MISMATCH")</f>
        <v>MATCH - PAPER CHECK-IN NOT SUPPLIED</v>
      </c>
      <c r="L941" s="22" t="n">
        <v>32</v>
      </c>
      <c r="M941" s="22" t="n">
        <f aca="false">ROUNDUP(H941,0)</f>
        <v>57</v>
      </c>
      <c r="N941" s="24" t="n">
        <f aca="false">MAX(L941,M941)</f>
        <v>57</v>
      </c>
      <c r="O941" s="25" t="n">
        <v>10.4</v>
      </c>
      <c r="P941" s="25" t="n">
        <f aca="false">N941*O941</f>
        <v>592.8</v>
      </c>
      <c r="Q941" s="23" t="s">
        <v>7595</v>
      </c>
      <c r="R941" s="23" t="s">
        <v>2804</v>
      </c>
      <c r="S941" s="24" t="n">
        <v>57</v>
      </c>
      <c r="T941" s="25" t="n">
        <v>10.4</v>
      </c>
      <c r="U941" s="25" t="n">
        <v>592.8</v>
      </c>
      <c r="V941" s="25" t="n">
        <f aca="false">P941-U941</f>
        <v>0</v>
      </c>
      <c r="W941" s="25" t="n">
        <f aca="false">V941*12</f>
        <v>0</v>
      </c>
      <c r="X941" s="23" t="str">
        <f aca="false">IF(Q941="","MISSING FROM EXPORT",IF(ABS(V941)&lt;0.005,"CLEAR",IF(V941&gt;0,"UNDERBILLING","OVERBILLING")))</f>
        <v>CLEAR</v>
      </c>
      <c r="Y941" s="25" t="n">
        <f aca="false">IF(F941="COMMERCIAL",ROUND(P941*0.35,2),0)</f>
        <v>0</v>
      </c>
      <c r="Z941" s="23" t="str">
        <f aca="false">IF(F941="COMMERCIAL","VERIFY SIGNED AGREEMENT","NO EXCEPTION")</f>
        <v>NO EXCEPTION</v>
      </c>
      <c r="AA941" s="23" t="str">
        <f aca="false">IF(AND(C941="covered",N941&gt;40),"COVERED &gt;40 FT","")</f>
        <v>COVERED &gt;40 FT</v>
      </c>
      <c r="AB941" s="23" t="s">
        <v>7596</v>
      </c>
      <c r="AC941" s="23" t="s">
        <v>7597</v>
      </c>
      <c r="AD941" s="23" t="s">
        <v>2807</v>
      </c>
    </row>
    <row r="942" customFormat="false" ht="17.9" hidden="false" customHeight="false" outlineLevel="0" collapsed="false">
      <c r="A942" s="20" t="s">
        <v>7598</v>
      </c>
      <c r="B942" s="20" t="s">
        <v>99</v>
      </c>
      <c r="C942" s="20" t="s">
        <v>5162</v>
      </c>
      <c r="D942" s="20" t="s">
        <v>7599</v>
      </c>
      <c r="E942" s="20" t="s">
        <v>7600</v>
      </c>
      <c r="F942" s="20" t="s">
        <v>2833</v>
      </c>
      <c r="G942" s="20" t="s">
        <v>3296</v>
      </c>
      <c r="H942" s="22" t="n">
        <v>20.6</v>
      </c>
      <c r="I942" s="22" t="n">
        <v>20.6</v>
      </c>
      <c r="J942" s="22" t="n">
        <f aca="false">H942-I942</f>
        <v>0</v>
      </c>
      <c r="K942" s="20" t="str">
        <f aca="false">IF(ABS(J942)&lt;0.001,"MATCH - PAPER CHECK-IN NOT SUPPLIED","DATA MISMATCH")</f>
        <v>MATCH - PAPER CHECK-IN NOT SUPPLIED</v>
      </c>
      <c r="L942" s="22" t="n">
        <v>32</v>
      </c>
      <c r="M942" s="22" t="n">
        <f aca="false">ROUNDUP(H942,0)</f>
        <v>21</v>
      </c>
      <c r="N942" s="24" t="n">
        <f aca="false">MAX(L942,M942)</f>
        <v>32</v>
      </c>
      <c r="O942" s="25" t="n">
        <v>10.4</v>
      </c>
      <c r="P942" s="25" t="n">
        <f aca="false">N942*O942</f>
        <v>332.8</v>
      </c>
      <c r="Q942" s="23" t="s">
        <v>7601</v>
      </c>
      <c r="R942" s="23" t="s">
        <v>2804</v>
      </c>
      <c r="S942" s="24" t="n">
        <v>32</v>
      </c>
      <c r="T942" s="25" t="n">
        <v>10.4</v>
      </c>
      <c r="U942" s="25" t="n">
        <v>332.8</v>
      </c>
      <c r="V942" s="25" t="n">
        <f aca="false">P942-U942</f>
        <v>0</v>
      </c>
      <c r="W942" s="25" t="n">
        <f aca="false">V942*12</f>
        <v>0</v>
      </c>
      <c r="X942" s="23" t="str">
        <f aca="false">IF(Q942="","MISSING FROM EXPORT",IF(ABS(V942)&lt;0.005,"CLEAR",IF(V942&gt;0,"UNDERBILLING","OVERBILLING")))</f>
        <v>CLEAR</v>
      </c>
      <c r="Y942" s="25" t="n">
        <f aca="false">IF(F942="COMMERCIAL",ROUND(P942*0.35,2),0)</f>
        <v>0</v>
      </c>
      <c r="Z942" s="23" t="str">
        <f aca="false">IF(F942="COMMERCIAL","VERIFY SIGNED AGREEMENT","NO EXCEPTION")</f>
        <v>NO EXCEPTION</v>
      </c>
      <c r="AA942" s="23" t="str">
        <f aca="false">IF(AND(C942="covered",N942&gt;40),"COVERED &gt;40 FT","")</f>
        <v/>
      </c>
      <c r="AB942" s="23" t="s">
        <v>7602</v>
      </c>
      <c r="AC942" s="23" t="s">
        <v>7603</v>
      </c>
      <c r="AD942" s="23" t="s">
        <v>2807</v>
      </c>
    </row>
    <row r="943" customFormat="false" ht="17.9" hidden="false" customHeight="false" outlineLevel="0" collapsed="false">
      <c r="A943" s="20" t="s">
        <v>7604</v>
      </c>
      <c r="B943" s="20" t="s">
        <v>99</v>
      </c>
      <c r="C943" s="20" t="s">
        <v>5162</v>
      </c>
      <c r="D943" s="20" t="s">
        <v>7605</v>
      </c>
      <c r="E943" s="20" t="s">
        <v>7606</v>
      </c>
      <c r="F943" s="20" t="s">
        <v>2801</v>
      </c>
      <c r="G943" s="20" t="s">
        <v>3303</v>
      </c>
      <c r="H943" s="22" t="n">
        <v>37</v>
      </c>
      <c r="I943" s="22" t="n">
        <v>37</v>
      </c>
      <c r="J943" s="22" t="n">
        <f aca="false">H943-I943</f>
        <v>0</v>
      </c>
      <c r="K943" s="20" t="str">
        <f aca="false">IF(ABS(J943)&lt;0.001,"MATCH - PAPER CHECK-IN NOT SUPPLIED","DATA MISMATCH")</f>
        <v>MATCH - PAPER CHECK-IN NOT SUPPLIED</v>
      </c>
      <c r="L943" s="22" t="n">
        <v>24</v>
      </c>
      <c r="M943" s="22" t="n">
        <f aca="false">ROUNDUP(H943,0)</f>
        <v>37</v>
      </c>
      <c r="N943" s="24" t="n">
        <f aca="false">MAX(L943,M943)</f>
        <v>37</v>
      </c>
      <c r="O943" s="25" t="n">
        <v>10.4</v>
      </c>
      <c r="P943" s="25" t="n">
        <f aca="false">N943*O943</f>
        <v>384.8</v>
      </c>
      <c r="Q943" s="23" t="s">
        <v>7607</v>
      </c>
      <c r="R943" s="23" t="s">
        <v>2804</v>
      </c>
      <c r="S943" s="24" t="n">
        <v>37</v>
      </c>
      <c r="T943" s="25" t="n">
        <v>10.4</v>
      </c>
      <c r="U943" s="25" t="n">
        <v>384.8</v>
      </c>
      <c r="V943" s="25" t="n">
        <f aca="false">P943-U943</f>
        <v>0</v>
      </c>
      <c r="W943" s="25" t="n">
        <f aca="false">V943*12</f>
        <v>0</v>
      </c>
      <c r="X943" s="23" t="str">
        <f aca="false">IF(Q943="","MISSING FROM EXPORT",IF(ABS(V943)&lt;0.005,"CLEAR",IF(V943&gt;0,"UNDERBILLING","OVERBILLING")))</f>
        <v>CLEAR</v>
      </c>
      <c r="Y943" s="25" t="n">
        <f aca="false">IF(F943="COMMERCIAL",ROUND(P943*0.35,2),0)</f>
        <v>0</v>
      </c>
      <c r="Z943" s="23" t="str">
        <f aca="false">IF(F943="COMMERCIAL","VERIFY SIGNED AGREEMENT","NO EXCEPTION")</f>
        <v>NO EXCEPTION</v>
      </c>
      <c r="AA943" s="23" t="str">
        <f aca="false">IF(AND(C943="covered",N943&gt;40),"COVERED &gt;40 FT","")</f>
        <v/>
      </c>
      <c r="AB943" s="23" t="s">
        <v>7608</v>
      </c>
      <c r="AC943" s="23" t="s">
        <v>7609</v>
      </c>
      <c r="AD943" s="23" t="s">
        <v>2807</v>
      </c>
    </row>
    <row r="944" customFormat="false" ht="17.9" hidden="false" customHeight="false" outlineLevel="0" collapsed="false">
      <c r="A944" s="20" t="s">
        <v>7610</v>
      </c>
      <c r="B944" s="20" t="s">
        <v>99</v>
      </c>
      <c r="C944" s="20" t="s">
        <v>5162</v>
      </c>
      <c r="D944" s="20" t="s">
        <v>7611</v>
      </c>
      <c r="E944" s="20" t="s">
        <v>7612</v>
      </c>
      <c r="F944" s="20" t="s">
        <v>2833</v>
      </c>
      <c r="G944" s="20" t="s">
        <v>3310</v>
      </c>
      <c r="H944" s="22" t="n">
        <v>55.9</v>
      </c>
      <c r="I944" s="22" t="n">
        <v>55.9</v>
      </c>
      <c r="J944" s="22" t="n">
        <f aca="false">H944-I944</f>
        <v>0</v>
      </c>
      <c r="K944" s="20" t="str">
        <f aca="false">IF(ABS(J944)&lt;0.001,"MATCH - PAPER CHECK-IN NOT SUPPLIED","DATA MISMATCH")</f>
        <v>MATCH - PAPER CHECK-IN NOT SUPPLIED</v>
      </c>
      <c r="L944" s="22" t="n">
        <v>36</v>
      </c>
      <c r="M944" s="22" t="n">
        <f aca="false">ROUNDUP(H944,0)</f>
        <v>56</v>
      </c>
      <c r="N944" s="24" t="n">
        <f aca="false">MAX(L944,M944)</f>
        <v>56</v>
      </c>
      <c r="O944" s="25" t="n">
        <v>10.4</v>
      </c>
      <c r="P944" s="25" t="n">
        <f aca="false">N944*O944</f>
        <v>582.4</v>
      </c>
      <c r="Q944" s="23" t="s">
        <v>7613</v>
      </c>
      <c r="R944" s="23" t="s">
        <v>2804</v>
      </c>
      <c r="S944" s="24" t="n">
        <v>56</v>
      </c>
      <c r="T944" s="25" t="n">
        <v>10.4</v>
      </c>
      <c r="U944" s="25" t="n">
        <v>582.4</v>
      </c>
      <c r="V944" s="25" t="n">
        <f aca="false">P944-U944</f>
        <v>0</v>
      </c>
      <c r="W944" s="25" t="n">
        <f aca="false">V944*12</f>
        <v>0</v>
      </c>
      <c r="X944" s="23" t="str">
        <f aca="false">IF(Q944="","MISSING FROM EXPORT",IF(ABS(V944)&lt;0.005,"CLEAR",IF(V944&gt;0,"UNDERBILLING","OVERBILLING")))</f>
        <v>CLEAR</v>
      </c>
      <c r="Y944" s="25" t="n">
        <f aca="false">IF(F944="COMMERCIAL",ROUND(P944*0.35,2),0)</f>
        <v>0</v>
      </c>
      <c r="Z944" s="23" t="str">
        <f aca="false">IF(F944="COMMERCIAL","VERIFY SIGNED AGREEMENT","NO EXCEPTION")</f>
        <v>NO EXCEPTION</v>
      </c>
      <c r="AA944" s="23" t="str">
        <f aca="false">IF(AND(C944="covered",N944&gt;40),"COVERED &gt;40 FT","")</f>
        <v>COVERED &gt;40 FT</v>
      </c>
      <c r="AB944" s="23" t="s">
        <v>7614</v>
      </c>
      <c r="AC944" s="23" t="s">
        <v>7615</v>
      </c>
      <c r="AD944" s="23" t="s">
        <v>2807</v>
      </c>
    </row>
    <row r="945" customFormat="false" ht="17.9" hidden="false" customHeight="false" outlineLevel="0" collapsed="false">
      <c r="A945" s="20" t="s">
        <v>7616</v>
      </c>
      <c r="B945" s="20" t="s">
        <v>99</v>
      </c>
      <c r="C945" s="20" t="s">
        <v>5162</v>
      </c>
      <c r="D945" s="20" t="s">
        <v>7617</v>
      </c>
      <c r="E945" s="20" t="s">
        <v>7618</v>
      </c>
      <c r="F945" s="20" t="s">
        <v>2857</v>
      </c>
      <c r="G945" s="20" t="s">
        <v>3317</v>
      </c>
      <c r="H945" s="22" t="n">
        <v>43.6</v>
      </c>
      <c r="I945" s="22" t="n">
        <v>43.6</v>
      </c>
      <c r="J945" s="22" t="n">
        <f aca="false">H945-I945</f>
        <v>0</v>
      </c>
      <c r="K945" s="20" t="str">
        <f aca="false">IF(ABS(J945)&lt;0.001,"MATCH - PAPER CHECK-IN NOT SUPPLIED","DATA MISMATCH")</f>
        <v>MATCH - PAPER CHECK-IN NOT SUPPLIED</v>
      </c>
      <c r="L945" s="22" t="n">
        <v>32</v>
      </c>
      <c r="M945" s="22" t="n">
        <f aca="false">ROUNDUP(H945,0)</f>
        <v>44</v>
      </c>
      <c r="N945" s="24" t="n">
        <f aca="false">MAX(L945,M945)</f>
        <v>44</v>
      </c>
      <c r="O945" s="25" t="n">
        <v>10.4</v>
      </c>
      <c r="P945" s="25" t="n">
        <f aca="false">N945*O945</f>
        <v>457.6</v>
      </c>
      <c r="Q945" s="23" t="s">
        <v>7619</v>
      </c>
      <c r="R945" s="23" t="s">
        <v>2804</v>
      </c>
      <c r="S945" s="24" t="n">
        <v>44</v>
      </c>
      <c r="T945" s="25" t="n">
        <v>10.4</v>
      </c>
      <c r="U945" s="25" t="n">
        <v>457.6</v>
      </c>
      <c r="V945" s="25" t="n">
        <f aca="false">P945-U945</f>
        <v>0</v>
      </c>
      <c r="W945" s="25" t="n">
        <f aca="false">V945*12</f>
        <v>0</v>
      </c>
      <c r="X945" s="23" t="str">
        <f aca="false">IF(Q945="","MISSING FROM EXPORT",IF(ABS(V945)&lt;0.005,"CLEAR",IF(V945&gt;0,"UNDERBILLING","OVERBILLING")))</f>
        <v>CLEAR</v>
      </c>
      <c r="Y945" s="25" t="n">
        <f aca="false">IF(F945="COMMERCIAL",ROUND(P945*0.35,2),0)</f>
        <v>0</v>
      </c>
      <c r="Z945" s="23" t="str">
        <f aca="false">IF(F945="COMMERCIAL","VERIFY SIGNED AGREEMENT","NO EXCEPTION")</f>
        <v>NO EXCEPTION</v>
      </c>
      <c r="AA945" s="23" t="str">
        <f aca="false">IF(AND(C945="covered",N945&gt;40),"COVERED &gt;40 FT","")</f>
        <v>COVERED &gt;40 FT</v>
      </c>
      <c r="AB945" s="23" t="s">
        <v>7620</v>
      </c>
      <c r="AC945" s="23" t="s">
        <v>7621</v>
      </c>
      <c r="AD945" s="23" t="s">
        <v>2807</v>
      </c>
    </row>
    <row r="946" customFormat="false" ht="17.9" hidden="false" customHeight="false" outlineLevel="0" collapsed="false">
      <c r="A946" s="20" t="s">
        <v>7622</v>
      </c>
      <c r="B946" s="20" t="s">
        <v>99</v>
      </c>
      <c r="C946" s="20" t="s">
        <v>5162</v>
      </c>
      <c r="D946" s="20" t="s">
        <v>7623</v>
      </c>
      <c r="E946" s="20" t="s">
        <v>7624</v>
      </c>
      <c r="F946" s="20" t="s">
        <v>2934</v>
      </c>
      <c r="G946" s="20" t="s">
        <v>3324</v>
      </c>
      <c r="H946" s="22" t="n">
        <v>55.4</v>
      </c>
      <c r="I946" s="22" t="n">
        <v>55.4</v>
      </c>
      <c r="J946" s="22" t="n">
        <f aca="false">H946-I946</f>
        <v>0</v>
      </c>
      <c r="K946" s="20" t="str">
        <f aca="false">IF(ABS(J946)&lt;0.001,"MATCH - PAPER CHECK-IN NOT SUPPLIED","DATA MISMATCH")</f>
        <v>MATCH - PAPER CHECK-IN NOT SUPPLIED</v>
      </c>
      <c r="L946" s="22" t="n">
        <v>32</v>
      </c>
      <c r="M946" s="22" t="n">
        <f aca="false">ROUNDUP(H946,0)</f>
        <v>56</v>
      </c>
      <c r="N946" s="24" t="n">
        <f aca="false">MAX(L946,M946)</f>
        <v>56</v>
      </c>
      <c r="O946" s="25" t="n">
        <v>10.4</v>
      </c>
      <c r="P946" s="25" t="n">
        <f aca="false">N946*O946</f>
        <v>582.4</v>
      </c>
      <c r="Q946" s="23" t="s">
        <v>7625</v>
      </c>
      <c r="R946" s="23" t="s">
        <v>2804</v>
      </c>
      <c r="S946" s="24" t="n">
        <v>56</v>
      </c>
      <c r="T946" s="25" t="n">
        <v>10.4</v>
      </c>
      <c r="U946" s="25" t="n">
        <v>582.4</v>
      </c>
      <c r="V946" s="25" t="n">
        <f aca="false">P946-U946</f>
        <v>0</v>
      </c>
      <c r="W946" s="25" t="n">
        <f aca="false">V946*12</f>
        <v>0</v>
      </c>
      <c r="X946" s="23" t="str">
        <f aca="false">IF(Q946="","MISSING FROM EXPORT",IF(ABS(V946)&lt;0.005,"CLEAR",IF(V946&gt;0,"UNDERBILLING","OVERBILLING")))</f>
        <v>CLEAR</v>
      </c>
      <c r="Y946" s="25" t="n">
        <f aca="false">IF(F946="COMMERCIAL",ROUND(P946*0.35,2),0)</f>
        <v>203.84</v>
      </c>
      <c r="Z946" s="23" t="str">
        <f aca="false">IF(F946="COMMERCIAL","VERIFY SIGNED AGREEMENT","NO EXCEPTION")</f>
        <v>VERIFY SIGNED AGREEMENT</v>
      </c>
      <c r="AA946" s="23" t="str">
        <f aca="false">IF(AND(C946="covered",N946&gt;40),"COVERED &gt;40 FT","")</f>
        <v>COVERED &gt;40 FT</v>
      </c>
      <c r="AB946" s="23" t="s">
        <v>7626</v>
      </c>
      <c r="AC946" s="23" t="s">
        <v>7627</v>
      </c>
      <c r="AD946" s="23" t="s">
        <v>2807</v>
      </c>
    </row>
    <row r="947" customFormat="false" ht="17.9" hidden="false" customHeight="false" outlineLevel="0" collapsed="false">
      <c r="A947" s="20" t="s">
        <v>1825</v>
      </c>
      <c r="B947" s="20" t="s">
        <v>99</v>
      </c>
      <c r="C947" s="20" t="s">
        <v>5162</v>
      </c>
      <c r="D947" s="20" t="s">
        <v>7628</v>
      </c>
      <c r="E947" s="20" t="s">
        <v>7629</v>
      </c>
      <c r="F947" s="20" t="s">
        <v>2810</v>
      </c>
      <c r="G947" s="20" t="s">
        <v>3330</v>
      </c>
      <c r="H947" s="22" t="n">
        <v>23.3</v>
      </c>
      <c r="I947" s="22" t="n">
        <v>23.3</v>
      </c>
      <c r="J947" s="22" t="n">
        <f aca="false">H947-I947</f>
        <v>0</v>
      </c>
      <c r="K947" s="20" t="str">
        <f aca="false">IF(ABS(J947)&lt;0.001,"MATCH - PAPER CHECK-IN NOT SUPPLIED","DATA MISMATCH")</f>
        <v>MATCH - PAPER CHECK-IN NOT SUPPLIED</v>
      </c>
      <c r="L947" s="22" t="n">
        <v>24</v>
      </c>
      <c r="M947" s="22" t="n">
        <f aca="false">ROUNDUP(H947,0)</f>
        <v>24</v>
      </c>
      <c r="N947" s="24" t="n">
        <f aca="false">MAX(L947,M947)</f>
        <v>24</v>
      </c>
      <c r="O947" s="25" t="n">
        <v>10.4</v>
      </c>
      <c r="P947" s="25" t="n">
        <f aca="false">N947*O947</f>
        <v>249.6</v>
      </c>
      <c r="Q947" s="23" t="s">
        <v>7630</v>
      </c>
      <c r="R947" s="23" t="s">
        <v>2804</v>
      </c>
      <c r="S947" s="24" t="n">
        <v>24</v>
      </c>
      <c r="T947" s="25" t="n">
        <v>10.4</v>
      </c>
      <c r="U947" s="25" t="n">
        <v>249.6</v>
      </c>
      <c r="V947" s="25" t="n">
        <f aca="false">P947-U947</f>
        <v>0</v>
      </c>
      <c r="W947" s="25" t="n">
        <f aca="false">V947*12</f>
        <v>0</v>
      </c>
      <c r="X947" s="23" t="str">
        <f aca="false">IF(Q947="","MISSING FROM EXPORT",IF(ABS(V947)&lt;0.005,"CLEAR",IF(V947&gt;0,"UNDERBILLING","OVERBILLING")))</f>
        <v>CLEAR</v>
      </c>
      <c r="Y947" s="25" t="n">
        <f aca="false">IF(F947="COMMERCIAL",ROUND(P947*0.35,2),0)</f>
        <v>0</v>
      </c>
      <c r="Z947" s="23" t="str">
        <f aca="false">IF(F947="COMMERCIAL","VERIFY SIGNED AGREEMENT","NO EXCEPTION")</f>
        <v>NO EXCEPTION</v>
      </c>
      <c r="AA947" s="23" t="str">
        <f aca="false">IF(AND(C947="covered",N947&gt;40),"COVERED &gt;40 FT","")</f>
        <v/>
      </c>
      <c r="AB947" s="23" t="s">
        <v>7631</v>
      </c>
      <c r="AC947" s="23" t="s">
        <v>7632</v>
      </c>
      <c r="AD947" s="23" t="s">
        <v>2807</v>
      </c>
    </row>
    <row r="948" customFormat="false" ht="17.9" hidden="false" customHeight="false" outlineLevel="0" collapsed="false">
      <c r="A948" s="20" t="s">
        <v>7633</v>
      </c>
      <c r="B948" s="20" t="s">
        <v>99</v>
      </c>
      <c r="C948" s="20" t="s">
        <v>5162</v>
      </c>
      <c r="D948" s="20" t="s">
        <v>7634</v>
      </c>
      <c r="E948" s="20" t="s">
        <v>7635</v>
      </c>
      <c r="F948" s="20" t="s">
        <v>2898</v>
      </c>
      <c r="G948" s="20" t="s">
        <v>3337</v>
      </c>
      <c r="H948" s="22" t="n">
        <v>19</v>
      </c>
      <c r="I948" s="22" t="n">
        <v>19</v>
      </c>
      <c r="J948" s="22" t="n">
        <f aca="false">H948-I948</f>
        <v>0</v>
      </c>
      <c r="K948" s="20" t="str">
        <f aca="false">IF(ABS(J948)&lt;0.001,"MATCH - PAPER CHECK-IN NOT SUPPLIED","DATA MISMATCH")</f>
        <v>MATCH - PAPER CHECK-IN NOT SUPPLIED</v>
      </c>
      <c r="L948" s="22" t="n">
        <v>36</v>
      </c>
      <c r="M948" s="22" t="n">
        <f aca="false">ROUNDUP(H948,0)</f>
        <v>19</v>
      </c>
      <c r="N948" s="24" t="n">
        <f aca="false">MAX(L948,M948)</f>
        <v>36</v>
      </c>
      <c r="O948" s="25" t="n">
        <v>10.4</v>
      </c>
      <c r="P948" s="25" t="n">
        <f aca="false">N948*O948</f>
        <v>374.4</v>
      </c>
      <c r="Q948" s="23" t="s">
        <v>7636</v>
      </c>
      <c r="R948" s="23" t="s">
        <v>2804</v>
      </c>
      <c r="S948" s="24" t="n">
        <v>36</v>
      </c>
      <c r="T948" s="25" t="n">
        <v>10.4</v>
      </c>
      <c r="U948" s="25" t="n">
        <v>374.4</v>
      </c>
      <c r="V948" s="25" t="n">
        <f aca="false">P948-U948</f>
        <v>0</v>
      </c>
      <c r="W948" s="25" t="n">
        <f aca="false">V948*12</f>
        <v>0</v>
      </c>
      <c r="X948" s="23" t="str">
        <f aca="false">IF(Q948="","MISSING FROM EXPORT",IF(ABS(V948)&lt;0.005,"CLEAR",IF(V948&gt;0,"UNDERBILLING","OVERBILLING")))</f>
        <v>CLEAR</v>
      </c>
      <c r="Y948" s="25" t="n">
        <f aca="false">IF(F948="COMMERCIAL",ROUND(P948*0.35,2),0)</f>
        <v>0</v>
      </c>
      <c r="Z948" s="23" t="str">
        <f aca="false">IF(F948="COMMERCIAL","VERIFY SIGNED AGREEMENT","NO EXCEPTION")</f>
        <v>NO EXCEPTION</v>
      </c>
      <c r="AA948" s="23" t="str">
        <f aca="false">IF(AND(C948="covered",N948&gt;40),"COVERED &gt;40 FT","")</f>
        <v/>
      </c>
      <c r="AB948" s="23" t="s">
        <v>7637</v>
      </c>
      <c r="AC948" s="23" t="s">
        <v>7638</v>
      </c>
      <c r="AD948" s="23" t="s">
        <v>2807</v>
      </c>
    </row>
    <row r="949" customFormat="false" ht="17.9" hidden="false" customHeight="false" outlineLevel="0" collapsed="false">
      <c r="A949" s="20" t="s">
        <v>7639</v>
      </c>
      <c r="B949" s="20" t="s">
        <v>99</v>
      </c>
      <c r="C949" s="20" t="s">
        <v>5162</v>
      </c>
      <c r="D949" s="20" t="s">
        <v>7640</v>
      </c>
      <c r="E949" s="20" t="s">
        <v>7641</v>
      </c>
      <c r="F949" s="20" t="s">
        <v>2818</v>
      </c>
      <c r="G949" s="20" t="s">
        <v>3344</v>
      </c>
      <c r="H949" s="22" t="n">
        <v>25.7</v>
      </c>
      <c r="I949" s="22" t="n">
        <v>25.7</v>
      </c>
      <c r="J949" s="22" t="n">
        <f aca="false">H949-I949</f>
        <v>0</v>
      </c>
      <c r="K949" s="20" t="str">
        <f aca="false">IF(ABS(J949)&lt;0.001,"MATCH - PAPER CHECK-IN NOT SUPPLIED","DATA MISMATCH")</f>
        <v>MATCH - PAPER CHECK-IN NOT SUPPLIED</v>
      </c>
      <c r="L949" s="22" t="n">
        <v>32</v>
      </c>
      <c r="M949" s="22" t="n">
        <f aca="false">ROUNDUP(H949,0)</f>
        <v>26</v>
      </c>
      <c r="N949" s="24" t="n">
        <f aca="false">MAX(L949,M949)</f>
        <v>32</v>
      </c>
      <c r="O949" s="25" t="n">
        <v>10.4</v>
      </c>
      <c r="P949" s="25" t="n">
        <f aca="false">N949*O949</f>
        <v>332.8</v>
      </c>
      <c r="Q949" s="23" t="s">
        <v>7642</v>
      </c>
      <c r="R949" s="23" t="s">
        <v>2804</v>
      </c>
      <c r="S949" s="24" t="n">
        <v>32</v>
      </c>
      <c r="T949" s="25" t="n">
        <v>10.4</v>
      </c>
      <c r="U949" s="25" t="n">
        <v>332.8</v>
      </c>
      <c r="V949" s="25" t="n">
        <f aca="false">P949-U949</f>
        <v>0</v>
      </c>
      <c r="W949" s="25" t="n">
        <f aca="false">V949*12</f>
        <v>0</v>
      </c>
      <c r="X949" s="23" t="str">
        <f aca="false">IF(Q949="","MISSING FROM EXPORT",IF(ABS(V949)&lt;0.005,"CLEAR",IF(V949&gt;0,"UNDERBILLING","OVERBILLING")))</f>
        <v>CLEAR</v>
      </c>
      <c r="Y949" s="25" t="n">
        <f aca="false">IF(F949="COMMERCIAL",ROUND(P949*0.35,2),0)</f>
        <v>0</v>
      </c>
      <c r="Z949" s="23" t="str">
        <f aca="false">IF(F949="COMMERCIAL","VERIFY SIGNED AGREEMENT","NO EXCEPTION")</f>
        <v>NO EXCEPTION</v>
      </c>
      <c r="AA949" s="23" t="str">
        <f aca="false">IF(AND(C949="covered",N949&gt;40),"COVERED &gt;40 FT","")</f>
        <v/>
      </c>
      <c r="AB949" s="23" t="s">
        <v>7643</v>
      </c>
      <c r="AC949" s="23" t="s">
        <v>7644</v>
      </c>
      <c r="AD949" s="23" t="s">
        <v>2807</v>
      </c>
    </row>
    <row r="950" customFormat="false" ht="17.9" hidden="false" customHeight="false" outlineLevel="0" collapsed="false">
      <c r="A950" s="20" t="s">
        <v>7645</v>
      </c>
      <c r="B950" s="20" t="s">
        <v>99</v>
      </c>
      <c r="C950" s="20" t="s">
        <v>5162</v>
      </c>
      <c r="D950" s="20" t="s">
        <v>7646</v>
      </c>
      <c r="E950" s="20" t="s">
        <v>7647</v>
      </c>
      <c r="F950" s="20" t="s">
        <v>2810</v>
      </c>
      <c r="G950" s="20" t="s">
        <v>3351</v>
      </c>
      <c r="H950" s="22" t="n">
        <v>33.8</v>
      </c>
      <c r="I950" s="22" t="n">
        <v>33.8</v>
      </c>
      <c r="J950" s="22" t="n">
        <f aca="false">H950-I950</f>
        <v>0</v>
      </c>
      <c r="K950" s="20" t="str">
        <f aca="false">IF(ABS(J950)&lt;0.001,"MATCH - PAPER CHECK-IN NOT SUPPLIED","DATA MISMATCH")</f>
        <v>MATCH - PAPER CHECK-IN NOT SUPPLIED</v>
      </c>
      <c r="L950" s="22" t="n">
        <v>32</v>
      </c>
      <c r="M950" s="22" t="n">
        <f aca="false">ROUNDUP(H950,0)</f>
        <v>34</v>
      </c>
      <c r="N950" s="24" t="n">
        <f aca="false">MAX(L950,M950)</f>
        <v>34</v>
      </c>
      <c r="O950" s="25" t="n">
        <v>10.4</v>
      </c>
      <c r="P950" s="25" t="n">
        <f aca="false">N950*O950</f>
        <v>353.6</v>
      </c>
      <c r="Q950" s="23" t="s">
        <v>7648</v>
      </c>
      <c r="R950" s="23" t="s">
        <v>2804</v>
      </c>
      <c r="S950" s="24" t="n">
        <v>34</v>
      </c>
      <c r="T950" s="25" t="n">
        <v>10.4</v>
      </c>
      <c r="U950" s="25" t="n">
        <v>353.6</v>
      </c>
      <c r="V950" s="25" t="n">
        <f aca="false">P950-U950</f>
        <v>0</v>
      </c>
      <c r="W950" s="25" t="n">
        <f aca="false">V950*12</f>
        <v>0</v>
      </c>
      <c r="X950" s="23" t="str">
        <f aca="false">IF(Q950="","MISSING FROM EXPORT",IF(ABS(V950)&lt;0.005,"CLEAR",IF(V950&gt;0,"UNDERBILLING","OVERBILLING")))</f>
        <v>CLEAR</v>
      </c>
      <c r="Y950" s="25" t="n">
        <f aca="false">IF(F950="COMMERCIAL",ROUND(P950*0.35,2),0)</f>
        <v>0</v>
      </c>
      <c r="Z950" s="23" t="str">
        <f aca="false">IF(F950="COMMERCIAL","VERIFY SIGNED AGREEMENT","NO EXCEPTION")</f>
        <v>NO EXCEPTION</v>
      </c>
      <c r="AA950" s="23" t="str">
        <f aca="false">IF(AND(C950="covered",N950&gt;40),"COVERED &gt;40 FT","")</f>
        <v/>
      </c>
      <c r="AB950" s="23" t="s">
        <v>7649</v>
      </c>
      <c r="AC950" s="23" t="s">
        <v>7650</v>
      </c>
      <c r="AD950" s="23" t="s">
        <v>2807</v>
      </c>
    </row>
    <row r="951" customFormat="false" ht="17.9" hidden="false" customHeight="false" outlineLevel="0" collapsed="false">
      <c r="A951" s="20" t="s">
        <v>7651</v>
      </c>
      <c r="B951" s="20" t="s">
        <v>99</v>
      </c>
      <c r="C951" s="20" t="s">
        <v>5162</v>
      </c>
      <c r="D951" s="20" t="s">
        <v>7652</v>
      </c>
      <c r="E951" s="20" t="s">
        <v>7653</v>
      </c>
      <c r="F951" s="20" t="s">
        <v>2833</v>
      </c>
      <c r="G951" s="20" t="s">
        <v>3356</v>
      </c>
      <c r="H951" s="22" t="n">
        <v>32.3</v>
      </c>
      <c r="I951" s="22" t="n">
        <v>32.3</v>
      </c>
      <c r="J951" s="22" t="n">
        <f aca="false">H951-I951</f>
        <v>0</v>
      </c>
      <c r="K951" s="20" t="str">
        <f aca="false">IF(ABS(J951)&lt;0.001,"MATCH - PAPER CHECK-IN NOT SUPPLIED","DATA MISMATCH")</f>
        <v>MATCH - PAPER CHECK-IN NOT SUPPLIED</v>
      </c>
      <c r="L951" s="22" t="n">
        <v>32</v>
      </c>
      <c r="M951" s="22" t="n">
        <f aca="false">ROUNDUP(H951,0)</f>
        <v>33</v>
      </c>
      <c r="N951" s="24" t="n">
        <f aca="false">MAX(L951,M951)</f>
        <v>33</v>
      </c>
      <c r="O951" s="25" t="n">
        <v>10.4</v>
      </c>
      <c r="P951" s="25" t="n">
        <f aca="false">N951*O951</f>
        <v>343.2</v>
      </c>
      <c r="Q951" s="23" t="s">
        <v>7654</v>
      </c>
      <c r="R951" s="23" t="s">
        <v>2804</v>
      </c>
      <c r="S951" s="24" t="n">
        <v>33</v>
      </c>
      <c r="T951" s="25" t="n">
        <v>10.4</v>
      </c>
      <c r="U951" s="25" t="n">
        <v>343.2</v>
      </c>
      <c r="V951" s="25" t="n">
        <f aca="false">P951-U951</f>
        <v>0</v>
      </c>
      <c r="W951" s="25" t="n">
        <f aca="false">V951*12</f>
        <v>0</v>
      </c>
      <c r="X951" s="23" t="str">
        <f aca="false">IF(Q951="","MISSING FROM EXPORT",IF(ABS(V951)&lt;0.005,"CLEAR",IF(V951&gt;0,"UNDERBILLING","OVERBILLING")))</f>
        <v>CLEAR</v>
      </c>
      <c r="Y951" s="25" t="n">
        <f aca="false">IF(F951="COMMERCIAL",ROUND(P951*0.35,2),0)</f>
        <v>0</v>
      </c>
      <c r="Z951" s="23" t="str">
        <f aca="false">IF(F951="COMMERCIAL","VERIFY SIGNED AGREEMENT","NO EXCEPTION")</f>
        <v>NO EXCEPTION</v>
      </c>
      <c r="AA951" s="23" t="str">
        <f aca="false">IF(AND(C951="covered",N951&gt;40),"COVERED &gt;40 FT","")</f>
        <v/>
      </c>
      <c r="AB951" s="23" t="s">
        <v>7655</v>
      </c>
      <c r="AC951" s="23" t="s">
        <v>7656</v>
      </c>
      <c r="AD951" s="23" t="s">
        <v>2807</v>
      </c>
    </row>
    <row r="952" customFormat="false" ht="17.9" hidden="false" customHeight="false" outlineLevel="0" collapsed="false">
      <c r="A952" s="20" t="s">
        <v>7657</v>
      </c>
      <c r="B952" s="20" t="s">
        <v>99</v>
      </c>
      <c r="C952" s="20" t="s">
        <v>5162</v>
      </c>
      <c r="D952" s="20" t="s">
        <v>7658</v>
      </c>
      <c r="E952" s="20" t="s">
        <v>7659</v>
      </c>
      <c r="F952" s="20" t="s">
        <v>2833</v>
      </c>
      <c r="G952" s="20" t="s">
        <v>3362</v>
      </c>
      <c r="H952" s="22" t="n">
        <v>27.2</v>
      </c>
      <c r="I952" s="22" t="n">
        <v>27.2</v>
      </c>
      <c r="J952" s="22" t="n">
        <f aca="false">H952-I952</f>
        <v>0</v>
      </c>
      <c r="K952" s="20" t="str">
        <f aca="false">IF(ABS(J952)&lt;0.001,"MATCH - PAPER CHECK-IN NOT SUPPLIED","DATA MISMATCH")</f>
        <v>MATCH - PAPER CHECK-IN NOT SUPPLIED</v>
      </c>
      <c r="L952" s="22" t="n">
        <v>24</v>
      </c>
      <c r="M952" s="22" t="n">
        <f aca="false">ROUNDUP(H952,0)</f>
        <v>28</v>
      </c>
      <c r="N952" s="24" t="n">
        <f aca="false">MAX(L952,M952)</f>
        <v>28</v>
      </c>
      <c r="O952" s="25" t="n">
        <v>10.4</v>
      </c>
      <c r="P952" s="25" t="n">
        <f aca="false">N952*O952</f>
        <v>291.2</v>
      </c>
      <c r="Q952" s="23" t="s">
        <v>7660</v>
      </c>
      <c r="R952" s="23" t="s">
        <v>2804</v>
      </c>
      <c r="S952" s="24" t="n">
        <v>28</v>
      </c>
      <c r="T952" s="25" t="n">
        <v>10.4</v>
      </c>
      <c r="U952" s="25" t="n">
        <v>291.2</v>
      </c>
      <c r="V952" s="25" t="n">
        <f aca="false">P952-U952</f>
        <v>0</v>
      </c>
      <c r="W952" s="25" t="n">
        <f aca="false">V952*12</f>
        <v>0</v>
      </c>
      <c r="X952" s="23" t="str">
        <f aca="false">IF(Q952="","MISSING FROM EXPORT",IF(ABS(V952)&lt;0.005,"CLEAR",IF(V952&gt;0,"UNDERBILLING","OVERBILLING")))</f>
        <v>CLEAR</v>
      </c>
      <c r="Y952" s="25" t="n">
        <f aca="false">IF(F952="COMMERCIAL",ROUND(P952*0.35,2),0)</f>
        <v>0</v>
      </c>
      <c r="Z952" s="23" t="str">
        <f aca="false">IF(F952="COMMERCIAL","VERIFY SIGNED AGREEMENT","NO EXCEPTION")</f>
        <v>NO EXCEPTION</v>
      </c>
      <c r="AA952" s="23" t="str">
        <f aca="false">IF(AND(C952="covered",N952&gt;40),"COVERED &gt;40 FT","")</f>
        <v/>
      </c>
      <c r="AB952" s="23" t="s">
        <v>7661</v>
      </c>
      <c r="AC952" s="23" t="s">
        <v>7662</v>
      </c>
      <c r="AD952" s="23" t="s">
        <v>2807</v>
      </c>
    </row>
    <row r="953" customFormat="false" ht="17.9" hidden="false" customHeight="false" outlineLevel="0" collapsed="false">
      <c r="A953" s="20" t="s">
        <v>7663</v>
      </c>
      <c r="B953" s="20" t="s">
        <v>99</v>
      </c>
      <c r="C953" s="20" t="s">
        <v>5162</v>
      </c>
      <c r="D953" s="20" t="s">
        <v>7664</v>
      </c>
      <c r="E953" s="20" t="s">
        <v>7665</v>
      </c>
      <c r="F953" s="20" t="s">
        <v>2833</v>
      </c>
      <c r="G953" s="20" t="s">
        <v>4685</v>
      </c>
      <c r="H953" s="22" t="n">
        <v>31.6</v>
      </c>
      <c r="I953" s="22" t="n">
        <v>31.6</v>
      </c>
      <c r="J953" s="22" t="n">
        <f aca="false">H953-I953</f>
        <v>0</v>
      </c>
      <c r="K953" s="20" t="str">
        <f aca="false">IF(ABS(J953)&lt;0.001,"MATCH - PAPER CHECK-IN NOT SUPPLIED","DATA MISMATCH")</f>
        <v>MATCH - PAPER CHECK-IN NOT SUPPLIED</v>
      </c>
      <c r="L953" s="22" t="n">
        <v>36</v>
      </c>
      <c r="M953" s="22" t="n">
        <f aca="false">ROUNDUP(H953,0)</f>
        <v>32</v>
      </c>
      <c r="N953" s="24" t="n">
        <f aca="false">MAX(L953,M953)</f>
        <v>36</v>
      </c>
      <c r="O953" s="25" t="n">
        <v>10.4</v>
      </c>
      <c r="P953" s="25" t="n">
        <f aca="false">N953*O953</f>
        <v>374.4</v>
      </c>
      <c r="Q953" s="23" t="s">
        <v>7666</v>
      </c>
      <c r="R953" s="23" t="s">
        <v>2804</v>
      </c>
      <c r="S953" s="24" t="n">
        <v>36</v>
      </c>
      <c r="T953" s="25" t="n">
        <v>10.4</v>
      </c>
      <c r="U953" s="25" t="n">
        <v>374.4</v>
      </c>
      <c r="V953" s="25" t="n">
        <f aca="false">P953-U953</f>
        <v>0</v>
      </c>
      <c r="W953" s="25" t="n">
        <f aca="false">V953*12</f>
        <v>0</v>
      </c>
      <c r="X953" s="23" t="str">
        <f aca="false">IF(Q953="","MISSING FROM EXPORT",IF(ABS(V953)&lt;0.005,"CLEAR",IF(V953&gt;0,"UNDERBILLING","OVERBILLING")))</f>
        <v>CLEAR</v>
      </c>
      <c r="Y953" s="25" t="n">
        <f aca="false">IF(F953="COMMERCIAL",ROUND(P953*0.35,2),0)</f>
        <v>0</v>
      </c>
      <c r="Z953" s="23" t="str">
        <f aca="false">IF(F953="COMMERCIAL","VERIFY SIGNED AGREEMENT","NO EXCEPTION")</f>
        <v>NO EXCEPTION</v>
      </c>
      <c r="AA953" s="23" t="str">
        <f aca="false">IF(AND(C953="covered",N953&gt;40),"COVERED &gt;40 FT","")</f>
        <v/>
      </c>
      <c r="AB953" s="23" t="s">
        <v>7667</v>
      </c>
      <c r="AC953" s="23" t="s">
        <v>7668</v>
      </c>
      <c r="AD953" s="23" t="s">
        <v>2807</v>
      </c>
    </row>
    <row r="954" customFormat="false" ht="17.9" hidden="false" customHeight="false" outlineLevel="0" collapsed="false">
      <c r="A954" s="20" t="s">
        <v>7669</v>
      </c>
      <c r="B954" s="20" t="s">
        <v>99</v>
      </c>
      <c r="C954" s="20" t="s">
        <v>5162</v>
      </c>
      <c r="D954" s="20" t="s">
        <v>1567</v>
      </c>
      <c r="E954" s="20" t="s">
        <v>1568</v>
      </c>
      <c r="F954" s="20" t="s">
        <v>2833</v>
      </c>
      <c r="G954" s="20" t="s">
        <v>3373</v>
      </c>
      <c r="H954" s="22" t="n">
        <v>30.1</v>
      </c>
      <c r="I954" s="22" t="n">
        <v>30.1</v>
      </c>
      <c r="J954" s="22" t="n">
        <f aca="false">H954-I954</f>
        <v>0</v>
      </c>
      <c r="K954" s="20" t="str">
        <f aca="false">IF(ABS(J954)&lt;0.001,"MATCH - PAPER CHECK-IN NOT SUPPLIED","DATA MISMATCH")</f>
        <v>MATCH - PAPER CHECK-IN NOT SUPPLIED</v>
      </c>
      <c r="L954" s="22" t="n">
        <v>24</v>
      </c>
      <c r="M954" s="22" t="n">
        <f aca="false">ROUNDUP(H954,0)</f>
        <v>31</v>
      </c>
      <c r="N954" s="24" t="n">
        <f aca="false">MAX(L954,M954)</f>
        <v>31</v>
      </c>
      <c r="O954" s="25" t="n">
        <v>10.4</v>
      </c>
      <c r="P954" s="25" t="n">
        <f aca="false">N954*O954</f>
        <v>322.4</v>
      </c>
      <c r="Q954" s="23" t="s">
        <v>7670</v>
      </c>
      <c r="R954" s="23" t="s">
        <v>2804</v>
      </c>
      <c r="S954" s="24" t="n">
        <v>31</v>
      </c>
      <c r="T954" s="25" t="n">
        <v>10.4</v>
      </c>
      <c r="U954" s="25" t="n">
        <v>322.4</v>
      </c>
      <c r="V954" s="25" t="n">
        <f aca="false">P954-U954</f>
        <v>0</v>
      </c>
      <c r="W954" s="25" t="n">
        <f aca="false">V954*12</f>
        <v>0</v>
      </c>
      <c r="X954" s="23" t="str">
        <f aca="false">IF(Q954="","MISSING FROM EXPORT",IF(ABS(V954)&lt;0.005,"CLEAR",IF(V954&gt;0,"UNDERBILLING","OVERBILLING")))</f>
        <v>CLEAR</v>
      </c>
      <c r="Y954" s="25" t="n">
        <f aca="false">IF(F954="COMMERCIAL",ROUND(P954*0.35,2),0)</f>
        <v>0</v>
      </c>
      <c r="Z954" s="23" t="str">
        <f aca="false">IF(F954="COMMERCIAL","VERIFY SIGNED AGREEMENT","NO EXCEPTION")</f>
        <v>NO EXCEPTION</v>
      </c>
      <c r="AA954" s="23" t="str">
        <f aca="false">IF(AND(C954="covered",N954&gt;40),"COVERED &gt;40 FT","")</f>
        <v/>
      </c>
      <c r="AB954" s="23" t="s">
        <v>7671</v>
      </c>
      <c r="AC954" s="23" t="s">
        <v>7672</v>
      </c>
      <c r="AD954" s="23" t="s">
        <v>2807</v>
      </c>
    </row>
    <row r="955" customFormat="false" ht="17.9" hidden="false" customHeight="false" outlineLevel="0" collapsed="false">
      <c r="A955" s="20" t="s">
        <v>7673</v>
      </c>
      <c r="B955" s="20" t="s">
        <v>99</v>
      </c>
      <c r="C955" s="20" t="s">
        <v>5162</v>
      </c>
      <c r="D955" s="20" t="s">
        <v>2436</v>
      </c>
      <c r="E955" s="20" t="s">
        <v>7674</v>
      </c>
      <c r="F955" s="20" t="s">
        <v>2818</v>
      </c>
      <c r="G955" s="20" t="s">
        <v>3380</v>
      </c>
      <c r="H955" s="22" t="n">
        <v>48.8</v>
      </c>
      <c r="I955" s="22" t="n">
        <v>48.8</v>
      </c>
      <c r="J955" s="22" t="n">
        <f aca="false">H955-I955</f>
        <v>0</v>
      </c>
      <c r="K955" s="20" t="str">
        <f aca="false">IF(ABS(J955)&lt;0.001,"MATCH - PAPER CHECK-IN NOT SUPPLIED","DATA MISMATCH")</f>
        <v>MATCH - PAPER CHECK-IN NOT SUPPLIED</v>
      </c>
      <c r="L955" s="22" t="n">
        <v>40</v>
      </c>
      <c r="M955" s="22" t="n">
        <f aca="false">ROUNDUP(H955,0)</f>
        <v>49</v>
      </c>
      <c r="N955" s="24" t="n">
        <f aca="false">MAX(L955,M955)</f>
        <v>49</v>
      </c>
      <c r="O955" s="25" t="n">
        <v>10.4</v>
      </c>
      <c r="P955" s="25" t="n">
        <f aca="false">N955*O955</f>
        <v>509.6</v>
      </c>
      <c r="Q955" s="23" t="s">
        <v>7675</v>
      </c>
      <c r="R955" s="23" t="s">
        <v>2804</v>
      </c>
      <c r="S955" s="24" t="n">
        <v>49</v>
      </c>
      <c r="T955" s="25" t="n">
        <v>10.4</v>
      </c>
      <c r="U955" s="25" t="n">
        <v>509.6</v>
      </c>
      <c r="V955" s="25" t="n">
        <f aca="false">P955-U955</f>
        <v>0</v>
      </c>
      <c r="W955" s="25" t="n">
        <f aca="false">V955*12</f>
        <v>0</v>
      </c>
      <c r="X955" s="23" t="str">
        <f aca="false">IF(Q955="","MISSING FROM EXPORT",IF(ABS(V955)&lt;0.005,"CLEAR",IF(V955&gt;0,"UNDERBILLING","OVERBILLING")))</f>
        <v>CLEAR</v>
      </c>
      <c r="Y955" s="25" t="n">
        <f aca="false">IF(F955="COMMERCIAL",ROUND(P955*0.35,2),0)</f>
        <v>0</v>
      </c>
      <c r="Z955" s="23" t="str">
        <f aca="false">IF(F955="COMMERCIAL","VERIFY SIGNED AGREEMENT","NO EXCEPTION")</f>
        <v>NO EXCEPTION</v>
      </c>
      <c r="AA955" s="23" t="str">
        <f aca="false">IF(AND(C955="covered",N955&gt;40),"COVERED &gt;40 FT","")</f>
        <v>COVERED &gt;40 FT</v>
      </c>
      <c r="AB955" s="23" t="s">
        <v>7676</v>
      </c>
      <c r="AC955" s="23" t="s">
        <v>7677</v>
      </c>
      <c r="AD955" s="23" t="s">
        <v>2807</v>
      </c>
    </row>
    <row r="956" customFormat="false" ht="17.9" hidden="false" customHeight="false" outlineLevel="0" collapsed="false">
      <c r="A956" s="20" t="s">
        <v>7678</v>
      </c>
      <c r="B956" s="20" t="s">
        <v>99</v>
      </c>
      <c r="C956" s="20" t="s">
        <v>5162</v>
      </c>
      <c r="D956" s="20" t="s">
        <v>7679</v>
      </c>
      <c r="E956" s="20" t="s">
        <v>7680</v>
      </c>
      <c r="F956" s="20" t="s">
        <v>2801</v>
      </c>
      <c r="G956" s="20" t="s">
        <v>4698</v>
      </c>
      <c r="H956" s="22" t="n">
        <v>36.2</v>
      </c>
      <c r="I956" s="22" t="n">
        <v>36.2</v>
      </c>
      <c r="J956" s="22" t="n">
        <f aca="false">H956-I956</f>
        <v>0</v>
      </c>
      <c r="K956" s="20" t="str">
        <f aca="false">IF(ABS(J956)&lt;0.001,"MATCH - PAPER CHECK-IN NOT SUPPLIED","DATA MISMATCH")</f>
        <v>MATCH - PAPER CHECK-IN NOT SUPPLIED</v>
      </c>
      <c r="L956" s="22" t="n">
        <v>28</v>
      </c>
      <c r="M956" s="22" t="n">
        <f aca="false">ROUNDUP(H956,0)</f>
        <v>37</v>
      </c>
      <c r="N956" s="24" t="n">
        <f aca="false">MAX(L956,M956)</f>
        <v>37</v>
      </c>
      <c r="O956" s="25" t="n">
        <v>10.4</v>
      </c>
      <c r="P956" s="25" t="n">
        <f aca="false">N956*O956</f>
        <v>384.8</v>
      </c>
      <c r="Q956" s="23" t="s">
        <v>7681</v>
      </c>
      <c r="R956" s="23" t="s">
        <v>2804</v>
      </c>
      <c r="S956" s="24" t="n">
        <v>37</v>
      </c>
      <c r="T956" s="25" t="n">
        <v>10.4</v>
      </c>
      <c r="U956" s="25" t="n">
        <v>384.8</v>
      </c>
      <c r="V956" s="25" t="n">
        <f aca="false">P956-U956</f>
        <v>0</v>
      </c>
      <c r="W956" s="25" t="n">
        <f aca="false">V956*12</f>
        <v>0</v>
      </c>
      <c r="X956" s="23" t="str">
        <f aca="false">IF(Q956="","MISSING FROM EXPORT",IF(ABS(V956)&lt;0.005,"CLEAR",IF(V956&gt;0,"UNDERBILLING","OVERBILLING")))</f>
        <v>CLEAR</v>
      </c>
      <c r="Y956" s="25" t="n">
        <f aca="false">IF(F956="COMMERCIAL",ROUND(P956*0.35,2),0)</f>
        <v>0</v>
      </c>
      <c r="Z956" s="23" t="str">
        <f aca="false">IF(F956="COMMERCIAL","VERIFY SIGNED AGREEMENT","NO EXCEPTION")</f>
        <v>NO EXCEPTION</v>
      </c>
      <c r="AA956" s="23" t="str">
        <f aca="false">IF(AND(C956="covered",N956&gt;40),"COVERED &gt;40 FT","")</f>
        <v/>
      </c>
      <c r="AB956" s="23" t="s">
        <v>7682</v>
      </c>
      <c r="AC956" s="23" t="s">
        <v>7683</v>
      </c>
      <c r="AD956" s="23" t="s">
        <v>2807</v>
      </c>
    </row>
    <row r="957" customFormat="false" ht="17.9" hidden="false" customHeight="false" outlineLevel="0" collapsed="false">
      <c r="A957" s="20" t="s">
        <v>7684</v>
      </c>
      <c r="B957" s="20" t="s">
        <v>99</v>
      </c>
      <c r="C957" s="20" t="s">
        <v>5162</v>
      </c>
      <c r="D957" s="20" t="s">
        <v>7685</v>
      </c>
      <c r="E957" s="20" t="s">
        <v>7686</v>
      </c>
      <c r="F957" s="20" t="s">
        <v>2810</v>
      </c>
      <c r="G957" s="20" t="s">
        <v>3387</v>
      </c>
      <c r="H957" s="22" t="n">
        <v>40.1</v>
      </c>
      <c r="I957" s="22" t="n">
        <v>40.1</v>
      </c>
      <c r="J957" s="22" t="n">
        <f aca="false">H957-I957</f>
        <v>0</v>
      </c>
      <c r="K957" s="20" t="str">
        <f aca="false">IF(ABS(J957)&lt;0.001,"MATCH - PAPER CHECK-IN NOT SUPPLIED","DATA MISMATCH")</f>
        <v>MATCH - PAPER CHECK-IN NOT SUPPLIED</v>
      </c>
      <c r="L957" s="22" t="n">
        <v>32</v>
      </c>
      <c r="M957" s="22" t="n">
        <f aca="false">ROUNDUP(H957,0)</f>
        <v>41</v>
      </c>
      <c r="N957" s="24" t="n">
        <f aca="false">MAX(L957,M957)</f>
        <v>41</v>
      </c>
      <c r="O957" s="25" t="n">
        <v>10.4</v>
      </c>
      <c r="P957" s="25" t="n">
        <f aca="false">N957*O957</f>
        <v>426.4</v>
      </c>
      <c r="Q957" s="23" t="s">
        <v>7687</v>
      </c>
      <c r="R957" s="23" t="s">
        <v>2804</v>
      </c>
      <c r="S957" s="24" t="n">
        <v>41</v>
      </c>
      <c r="T957" s="25" t="n">
        <v>10.4</v>
      </c>
      <c r="U957" s="25" t="n">
        <v>426.4</v>
      </c>
      <c r="V957" s="25" t="n">
        <f aca="false">P957-U957</f>
        <v>0</v>
      </c>
      <c r="W957" s="25" t="n">
        <f aca="false">V957*12</f>
        <v>0</v>
      </c>
      <c r="X957" s="23" t="str">
        <f aca="false">IF(Q957="","MISSING FROM EXPORT",IF(ABS(V957)&lt;0.005,"CLEAR",IF(V957&gt;0,"UNDERBILLING","OVERBILLING")))</f>
        <v>CLEAR</v>
      </c>
      <c r="Y957" s="25" t="n">
        <f aca="false">IF(F957="COMMERCIAL",ROUND(P957*0.35,2),0)</f>
        <v>0</v>
      </c>
      <c r="Z957" s="23" t="str">
        <f aca="false">IF(F957="COMMERCIAL","VERIFY SIGNED AGREEMENT","NO EXCEPTION")</f>
        <v>NO EXCEPTION</v>
      </c>
      <c r="AA957" s="23" t="str">
        <f aca="false">IF(AND(C957="covered",N957&gt;40),"COVERED &gt;40 FT","")</f>
        <v>COVERED &gt;40 FT</v>
      </c>
      <c r="AB957" s="23" t="s">
        <v>7688</v>
      </c>
      <c r="AC957" s="23" t="s">
        <v>7689</v>
      </c>
      <c r="AD957" s="23" t="s">
        <v>2807</v>
      </c>
    </row>
    <row r="958" customFormat="false" ht="17.9" hidden="false" customHeight="false" outlineLevel="0" collapsed="false">
      <c r="A958" s="20" t="s">
        <v>289</v>
      </c>
      <c r="B958" s="20" t="s">
        <v>99</v>
      </c>
      <c r="C958" s="20" t="s">
        <v>5162</v>
      </c>
      <c r="D958" s="20" t="s">
        <v>7690</v>
      </c>
      <c r="E958" s="20" t="s">
        <v>7691</v>
      </c>
      <c r="F958" s="20" t="s">
        <v>2898</v>
      </c>
      <c r="G958" s="20" t="s">
        <v>3401</v>
      </c>
      <c r="H958" s="22" t="n">
        <v>51.6</v>
      </c>
      <c r="I958" s="22" t="n">
        <v>51.6</v>
      </c>
      <c r="J958" s="22" t="n">
        <f aca="false">H958-I958</f>
        <v>0</v>
      </c>
      <c r="K958" s="20" t="str">
        <f aca="false">IF(ABS(J958)&lt;0.001,"MATCH - PAPER CHECK-IN NOT SUPPLIED","DATA MISMATCH")</f>
        <v>MATCH - PAPER CHECK-IN NOT SUPPLIED</v>
      </c>
      <c r="L958" s="22" t="n">
        <v>36</v>
      </c>
      <c r="M958" s="22" t="n">
        <f aca="false">ROUNDUP(H958,0)</f>
        <v>52</v>
      </c>
      <c r="N958" s="24" t="n">
        <f aca="false">MAX(L958,M958)</f>
        <v>52</v>
      </c>
      <c r="O958" s="25" t="n">
        <v>10.4</v>
      </c>
      <c r="P958" s="25" t="n">
        <f aca="false">N958*O958</f>
        <v>540.8</v>
      </c>
      <c r="Q958" s="23" t="s">
        <v>7692</v>
      </c>
      <c r="R958" s="23" t="s">
        <v>2804</v>
      </c>
      <c r="S958" s="24" t="n">
        <v>52</v>
      </c>
      <c r="T958" s="25" t="n">
        <v>10.4</v>
      </c>
      <c r="U958" s="25" t="n">
        <v>540.8</v>
      </c>
      <c r="V958" s="25" t="n">
        <f aca="false">P958-U958</f>
        <v>0</v>
      </c>
      <c r="W958" s="25" t="n">
        <f aca="false">V958*12</f>
        <v>0</v>
      </c>
      <c r="X958" s="23" t="str">
        <f aca="false">IF(Q958="","MISSING FROM EXPORT",IF(ABS(V958)&lt;0.005,"CLEAR",IF(V958&gt;0,"UNDERBILLING","OVERBILLING")))</f>
        <v>CLEAR</v>
      </c>
      <c r="Y958" s="25" t="n">
        <f aca="false">IF(F958="COMMERCIAL",ROUND(P958*0.35,2),0)</f>
        <v>0</v>
      </c>
      <c r="Z958" s="23" t="str">
        <f aca="false">IF(F958="COMMERCIAL","VERIFY SIGNED AGREEMENT","NO EXCEPTION")</f>
        <v>NO EXCEPTION</v>
      </c>
      <c r="AA958" s="23" t="str">
        <f aca="false">IF(AND(C958="covered",N958&gt;40),"COVERED &gt;40 FT","")</f>
        <v>COVERED &gt;40 FT</v>
      </c>
      <c r="AB958" s="23" t="s">
        <v>7693</v>
      </c>
      <c r="AC958" s="23" t="s">
        <v>7694</v>
      </c>
      <c r="AD958" s="23" t="s">
        <v>2807</v>
      </c>
    </row>
    <row r="959" customFormat="false" ht="17.9" hidden="false" customHeight="false" outlineLevel="0" collapsed="false">
      <c r="A959" s="20" t="s">
        <v>7695</v>
      </c>
      <c r="B959" s="20" t="s">
        <v>99</v>
      </c>
      <c r="C959" s="20" t="s">
        <v>5162</v>
      </c>
      <c r="D959" s="20" t="s">
        <v>7696</v>
      </c>
      <c r="E959" s="20" t="s">
        <v>7697</v>
      </c>
      <c r="F959" s="20" t="s">
        <v>2857</v>
      </c>
      <c r="G959" s="20" t="s">
        <v>3408</v>
      </c>
      <c r="H959" s="22" t="n">
        <v>54.4</v>
      </c>
      <c r="I959" s="22" t="n">
        <v>54.4</v>
      </c>
      <c r="J959" s="22" t="n">
        <f aca="false">H959-I959</f>
        <v>0</v>
      </c>
      <c r="K959" s="20" t="str">
        <f aca="false">IF(ABS(J959)&lt;0.001,"MATCH - PAPER CHECK-IN NOT SUPPLIED","DATA MISMATCH")</f>
        <v>MATCH - PAPER CHECK-IN NOT SUPPLIED</v>
      </c>
      <c r="L959" s="22" t="n">
        <v>36</v>
      </c>
      <c r="M959" s="22" t="n">
        <f aca="false">ROUNDUP(H959,0)</f>
        <v>55</v>
      </c>
      <c r="N959" s="24" t="n">
        <f aca="false">MAX(L959,M959)</f>
        <v>55</v>
      </c>
      <c r="O959" s="25" t="n">
        <v>10.4</v>
      </c>
      <c r="P959" s="25" t="n">
        <f aca="false">N959*O959</f>
        <v>572</v>
      </c>
      <c r="Q959" s="23" t="s">
        <v>7698</v>
      </c>
      <c r="R959" s="23" t="s">
        <v>2804</v>
      </c>
      <c r="S959" s="24" t="n">
        <v>55</v>
      </c>
      <c r="T959" s="25" t="n">
        <v>10.4</v>
      </c>
      <c r="U959" s="25" t="n">
        <v>572</v>
      </c>
      <c r="V959" s="25" t="n">
        <f aca="false">P959-U959</f>
        <v>0</v>
      </c>
      <c r="W959" s="25" t="n">
        <f aca="false">V959*12</f>
        <v>0</v>
      </c>
      <c r="X959" s="23" t="str">
        <f aca="false">IF(Q959="","MISSING FROM EXPORT",IF(ABS(V959)&lt;0.005,"CLEAR",IF(V959&gt;0,"UNDERBILLING","OVERBILLING")))</f>
        <v>CLEAR</v>
      </c>
      <c r="Y959" s="25" t="n">
        <f aca="false">IF(F959="COMMERCIAL",ROUND(P959*0.35,2),0)</f>
        <v>0</v>
      </c>
      <c r="Z959" s="23" t="str">
        <f aca="false">IF(F959="COMMERCIAL","VERIFY SIGNED AGREEMENT","NO EXCEPTION")</f>
        <v>NO EXCEPTION</v>
      </c>
      <c r="AA959" s="23" t="str">
        <f aca="false">IF(AND(C959="covered",N959&gt;40),"COVERED &gt;40 FT","")</f>
        <v>COVERED &gt;40 FT</v>
      </c>
      <c r="AB959" s="23" t="s">
        <v>7699</v>
      </c>
      <c r="AC959" s="23" t="s">
        <v>7700</v>
      </c>
      <c r="AD959" s="23" t="s">
        <v>2807</v>
      </c>
    </row>
    <row r="960" customFormat="false" ht="17.9" hidden="false" customHeight="false" outlineLevel="0" collapsed="false">
      <c r="A960" s="20" t="s">
        <v>7701</v>
      </c>
      <c r="B960" s="20" t="s">
        <v>99</v>
      </c>
      <c r="C960" s="20" t="s">
        <v>5162</v>
      </c>
      <c r="D960" s="20" t="s">
        <v>7702</v>
      </c>
      <c r="E960" s="20" t="s">
        <v>7703</v>
      </c>
      <c r="F960" s="20" t="s">
        <v>2898</v>
      </c>
      <c r="G960" s="20" t="s">
        <v>3415</v>
      </c>
      <c r="H960" s="22" t="n">
        <v>39.5</v>
      </c>
      <c r="I960" s="22" t="n">
        <v>39.5</v>
      </c>
      <c r="J960" s="22" t="n">
        <f aca="false">H960-I960</f>
        <v>0</v>
      </c>
      <c r="K960" s="20" t="str">
        <f aca="false">IF(ABS(J960)&lt;0.001,"MATCH - PAPER CHECK-IN NOT SUPPLIED","DATA MISMATCH")</f>
        <v>MATCH - PAPER CHECK-IN NOT SUPPLIED</v>
      </c>
      <c r="L960" s="22" t="n">
        <v>28</v>
      </c>
      <c r="M960" s="22" t="n">
        <f aca="false">ROUNDUP(H960,0)</f>
        <v>40</v>
      </c>
      <c r="N960" s="24" t="n">
        <f aca="false">MAX(L960,M960)</f>
        <v>40</v>
      </c>
      <c r="O960" s="25" t="n">
        <v>10.4</v>
      </c>
      <c r="P960" s="25" t="n">
        <f aca="false">N960*O960</f>
        <v>416</v>
      </c>
      <c r="Q960" s="23" t="s">
        <v>7704</v>
      </c>
      <c r="R960" s="23" t="s">
        <v>2804</v>
      </c>
      <c r="S960" s="24" t="n">
        <v>40</v>
      </c>
      <c r="T960" s="25" t="n">
        <v>10.4</v>
      </c>
      <c r="U960" s="25" t="n">
        <v>416</v>
      </c>
      <c r="V960" s="25" t="n">
        <f aca="false">P960-U960</f>
        <v>0</v>
      </c>
      <c r="W960" s="25" t="n">
        <f aca="false">V960*12</f>
        <v>0</v>
      </c>
      <c r="X960" s="23" t="str">
        <f aca="false">IF(Q960="","MISSING FROM EXPORT",IF(ABS(V960)&lt;0.005,"CLEAR",IF(V960&gt;0,"UNDERBILLING","OVERBILLING")))</f>
        <v>CLEAR</v>
      </c>
      <c r="Y960" s="25" t="n">
        <f aca="false">IF(F960="COMMERCIAL",ROUND(P960*0.35,2),0)</f>
        <v>0</v>
      </c>
      <c r="Z960" s="23" t="str">
        <f aca="false">IF(F960="COMMERCIAL","VERIFY SIGNED AGREEMENT","NO EXCEPTION")</f>
        <v>NO EXCEPTION</v>
      </c>
      <c r="AA960" s="23" t="str">
        <f aca="false">IF(AND(C960="covered",N960&gt;40),"COVERED &gt;40 FT","")</f>
        <v/>
      </c>
      <c r="AB960" s="23" t="s">
        <v>7705</v>
      </c>
      <c r="AC960" s="23" t="s">
        <v>7706</v>
      </c>
      <c r="AD960" s="23" t="s">
        <v>2807</v>
      </c>
    </row>
    <row r="961" customFormat="false" ht="17.9" hidden="false" customHeight="false" outlineLevel="0" collapsed="false">
      <c r="A961" s="20" t="s">
        <v>1831</v>
      </c>
      <c r="B961" s="20" t="s">
        <v>99</v>
      </c>
      <c r="C961" s="20" t="s">
        <v>5162</v>
      </c>
      <c r="D961" s="20" t="s">
        <v>7707</v>
      </c>
      <c r="E961" s="20" t="s">
        <v>7708</v>
      </c>
      <c r="F961" s="20" t="s">
        <v>2934</v>
      </c>
      <c r="G961" s="20" t="s">
        <v>3422</v>
      </c>
      <c r="H961" s="22" t="n">
        <v>29.8</v>
      </c>
      <c r="I961" s="22" t="n">
        <v>29.8</v>
      </c>
      <c r="J961" s="22" t="n">
        <f aca="false">H961-I961</f>
        <v>0</v>
      </c>
      <c r="K961" s="20" t="str">
        <f aca="false">IF(ABS(J961)&lt;0.001,"MATCH - PAPER CHECK-IN NOT SUPPLIED","DATA MISMATCH")</f>
        <v>MATCH - PAPER CHECK-IN NOT SUPPLIED</v>
      </c>
      <c r="L961" s="22" t="n">
        <v>40</v>
      </c>
      <c r="M961" s="22" t="n">
        <f aca="false">ROUNDUP(H961,0)</f>
        <v>30</v>
      </c>
      <c r="N961" s="24" t="n">
        <f aca="false">MAX(L961,M961)</f>
        <v>40</v>
      </c>
      <c r="O961" s="25" t="n">
        <v>10.4</v>
      </c>
      <c r="P961" s="25" t="n">
        <f aca="false">N961*O961</f>
        <v>416</v>
      </c>
      <c r="Q961" s="23" t="s">
        <v>7709</v>
      </c>
      <c r="R961" s="23" t="s">
        <v>2804</v>
      </c>
      <c r="S961" s="24" t="n">
        <v>40</v>
      </c>
      <c r="T961" s="25" t="n">
        <v>10.4</v>
      </c>
      <c r="U961" s="25" t="n">
        <v>416</v>
      </c>
      <c r="V961" s="25" t="n">
        <f aca="false">P961-U961</f>
        <v>0</v>
      </c>
      <c r="W961" s="25" t="n">
        <f aca="false">V961*12</f>
        <v>0</v>
      </c>
      <c r="X961" s="23" t="str">
        <f aca="false">IF(Q961="","MISSING FROM EXPORT",IF(ABS(V961)&lt;0.005,"CLEAR",IF(V961&gt;0,"UNDERBILLING","OVERBILLING")))</f>
        <v>CLEAR</v>
      </c>
      <c r="Y961" s="25" t="n">
        <f aca="false">IF(F961="COMMERCIAL",ROUND(P961*0.35,2),0)</f>
        <v>145.6</v>
      </c>
      <c r="Z961" s="23" t="str">
        <f aca="false">IF(F961="COMMERCIAL","VERIFY SIGNED AGREEMENT","NO EXCEPTION")</f>
        <v>VERIFY SIGNED AGREEMENT</v>
      </c>
      <c r="AA961" s="23" t="str">
        <f aca="false">IF(AND(C961="covered",N961&gt;40),"COVERED &gt;40 FT","")</f>
        <v/>
      </c>
      <c r="AB961" s="23" t="s">
        <v>7710</v>
      </c>
      <c r="AC961" s="23" t="s">
        <v>7711</v>
      </c>
      <c r="AD961" s="23" t="s">
        <v>2807</v>
      </c>
    </row>
    <row r="962" customFormat="false" ht="17.9" hidden="false" customHeight="false" outlineLevel="0" collapsed="false">
      <c r="A962" s="20" t="s">
        <v>7712</v>
      </c>
      <c r="B962" s="20" t="s">
        <v>99</v>
      </c>
      <c r="C962" s="20" t="s">
        <v>5162</v>
      </c>
      <c r="D962" s="20" t="s">
        <v>7713</v>
      </c>
      <c r="E962" s="20" t="s">
        <v>7714</v>
      </c>
      <c r="F962" s="20" t="s">
        <v>2833</v>
      </c>
      <c r="G962" s="20" t="s">
        <v>3429</v>
      </c>
      <c r="H962" s="22" t="n">
        <v>53.2</v>
      </c>
      <c r="I962" s="22" t="n">
        <v>53.2</v>
      </c>
      <c r="J962" s="22" t="n">
        <f aca="false">H962-I962</f>
        <v>0</v>
      </c>
      <c r="K962" s="20" t="str">
        <f aca="false">IF(ABS(J962)&lt;0.001,"MATCH - PAPER CHECK-IN NOT SUPPLIED","DATA MISMATCH")</f>
        <v>MATCH - PAPER CHECK-IN NOT SUPPLIED</v>
      </c>
      <c r="L962" s="22" t="n">
        <v>24</v>
      </c>
      <c r="M962" s="22" t="n">
        <f aca="false">ROUNDUP(H962,0)</f>
        <v>54</v>
      </c>
      <c r="N962" s="24" t="n">
        <f aca="false">MAX(L962,M962)</f>
        <v>54</v>
      </c>
      <c r="O962" s="25" t="n">
        <v>10.4</v>
      </c>
      <c r="P962" s="25" t="n">
        <f aca="false">N962*O962</f>
        <v>561.6</v>
      </c>
      <c r="Q962" s="23" t="s">
        <v>7715</v>
      </c>
      <c r="R962" s="23" t="s">
        <v>2804</v>
      </c>
      <c r="S962" s="24" t="n">
        <v>54</v>
      </c>
      <c r="T962" s="25" t="n">
        <v>10.4</v>
      </c>
      <c r="U962" s="25" t="n">
        <v>561.6</v>
      </c>
      <c r="V962" s="25" t="n">
        <f aca="false">P962-U962</f>
        <v>0</v>
      </c>
      <c r="W962" s="25" t="n">
        <f aca="false">V962*12</f>
        <v>0</v>
      </c>
      <c r="X962" s="23" t="str">
        <f aca="false">IF(Q962="","MISSING FROM EXPORT",IF(ABS(V962)&lt;0.005,"CLEAR",IF(V962&gt;0,"UNDERBILLING","OVERBILLING")))</f>
        <v>CLEAR</v>
      </c>
      <c r="Y962" s="25" t="n">
        <f aca="false">IF(F962="COMMERCIAL",ROUND(P962*0.35,2),0)</f>
        <v>0</v>
      </c>
      <c r="Z962" s="23" t="str">
        <f aca="false">IF(F962="COMMERCIAL","VERIFY SIGNED AGREEMENT","NO EXCEPTION")</f>
        <v>NO EXCEPTION</v>
      </c>
      <c r="AA962" s="23" t="str">
        <f aca="false">IF(AND(C962="covered",N962&gt;40),"COVERED &gt;40 FT","")</f>
        <v>COVERED &gt;40 FT</v>
      </c>
      <c r="AB962" s="23" t="s">
        <v>7716</v>
      </c>
      <c r="AC962" s="23" t="s">
        <v>7717</v>
      </c>
      <c r="AD962" s="23" t="s">
        <v>2807</v>
      </c>
    </row>
    <row r="963" customFormat="false" ht="17.9" hidden="false" customHeight="false" outlineLevel="0" collapsed="false">
      <c r="A963" s="20" t="s">
        <v>7718</v>
      </c>
      <c r="B963" s="20" t="s">
        <v>99</v>
      </c>
      <c r="C963" s="20" t="s">
        <v>5162</v>
      </c>
      <c r="D963" s="20" t="s">
        <v>7719</v>
      </c>
      <c r="E963" s="20" t="s">
        <v>7720</v>
      </c>
      <c r="F963" s="20" t="s">
        <v>2801</v>
      </c>
      <c r="G963" s="20" t="s">
        <v>4730</v>
      </c>
      <c r="H963" s="22" t="n">
        <v>33</v>
      </c>
      <c r="I963" s="22" t="n">
        <v>33</v>
      </c>
      <c r="J963" s="22" t="n">
        <f aca="false">H963-I963</f>
        <v>0</v>
      </c>
      <c r="K963" s="20" t="str">
        <f aca="false">IF(ABS(J963)&lt;0.001,"MATCH - PAPER CHECK-IN NOT SUPPLIED","DATA MISMATCH")</f>
        <v>MATCH - PAPER CHECK-IN NOT SUPPLIED</v>
      </c>
      <c r="L963" s="22" t="n">
        <v>28</v>
      </c>
      <c r="M963" s="22" t="n">
        <f aca="false">ROUNDUP(H963,0)</f>
        <v>33</v>
      </c>
      <c r="N963" s="24" t="n">
        <f aca="false">MAX(L963,M963)</f>
        <v>33</v>
      </c>
      <c r="O963" s="25" t="n">
        <v>10.4</v>
      </c>
      <c r="P963" s="25" t="n">
        <f aca="false">N963*O963</f>
        <v>343.2</v>
      </c>
      <c r="Q963" s="23" t="s">
        <v>7721</v>
      </c>
      <c r="R963" s="23" t="s">
        <v>2804</v>
      </c>
      <c r="S963" s="24" t="n">
        <v>33</v>
      </c>
      <c r="T963" s="25" t="n">
        <v>10.4</v>
      </c>
      <c r="U963" s="25" t="n">
        <v>343.2</v>
      </c>
      <c r="V963" s="25" t="n">
        <f aca="false">P963-U963</f>
        <v>0</v>
      </c>
      <c r="W963" s="25" t="n">
        <f aca="false">V963*12</f>
        <v>0</v>
      </c>
      <c r="X963" s="23" t="str">
        <f aca="false">IF(Q963="","MISSING FROM EXPORT",IF(ABS(V963)&lt;0.005,"CLEAR",IF(V963&gt;0,"UNDERBILLING","OVERBILLING")))</f>
        <v>CLEAR</v>
      </c>
      <c r="Y963" s="25" t="n">
        <f aca="false">IF(F963="COMMERCIAL",ROUND(P963*0.35,2),0)</f>
        <v>0</v>
      </c>
      <c r="Z963" s="23" t="str">
        <f aca="false">IF(F963="COMMERCIAL","VERIFY SIGNED AGREEMENT","NO EXCEPTION")</f>
        <v>NO EXCEPTION</v>
      </c>
      <c r="AA963" s="23" t="str">
        <f aca="false">IF(AND(C963="covered",N963&gt;40),"COVERED &gt;40 FT","")</f>
        <v/>
      </c>
      <c r="AB963" s="23" t="s">
        <v>7722</v>
      </c>
      <c r="AC963" s="23" t="s">
        <v>7723</v>
      </c>
      <c r="AD963" s="23" t="s">
        <v>2807</v>
      </c>
    </row>
    <row r="964" customFormat="false" ht="17.9" hidden="false" customHeight="false" outlineLevel="0" collapsed="false">
      <c r="A964" s="20" t="s">
        <v>7724</v>
      </c>
      <c r="B964" s="20" t="s">
        <v>99</v>
      </c>
      <c r="C964" s="20" t="s">
        <v>5162</v>
      </c>
      <c r="D964" s="20" t="s">
        <v>1006</v>
      </c>
      <c r="E964" s="20" t="s">
        <v>7725</v>
      </c>
      <c r="F964" s="20" t="s">
        <v>2818</v>
      </c>
      <c r="G964" s="20" t="s">
        <v>3435</v>
      </c>
      <c r="H964" s="22" t="n">
        <v>21</v>
      </c>
      <c r="I964" s="22" t="n">
        <v>21</v>
      </c>
      <c r="J964" s="22" t="n">
        <f aca="false">H964-I964</f>
        <v>0</v>
      </c>
      <c r="K964" s="20" t="str">
        <f aca="false">IF(ABS(J964)&lt;0.001,"MATCH - PAPER CHECK-IN NOT SUPPLIED","DATA MISMATCH")</f>
        <v>MATCH - PAPER CHECK-IN NOT SUPPLIED</v>
      </c>
      <c r="L964" s="22" t="n">
        <v>40</v>
      </c>
      <c r="M964" s="22" t="n">
        <f aca="false">ROUNDUP(H964,0)</f>
        <v>21</v>
      </c>
      <c r="N964" s="24" t="n">
        <f aca="false">MAX(L964,M964)</f>
        <v>40</v>
      </c>
      <c r="O964" s="25" t="n">
        <v>10.4</v>
      </c>
      <c r="P964" s="25" t="n">
        <f aca="false">N964*O964</f>
        <v>416</v>
      </c>
      <c r="Q964" s="23" t="s">
        <v>7726</v>
      </c>
      <c r="R964" s="23" t="s">
        <v>2804</v>
      </c>
      <c r="S964" s="24" t="n">
        <v>40</v>
      </c>
      <c r="T964" s="25" t="n">
        <v>10.4</v>
      </c>
      <c r="U964" s="25" t="n">
        <v>416</v>
      </c>
      <c r="V964" s="25" t="n">
        <f aca="false">P964-U964</f>
        <v>0</v>
      </c>
      <c r="W964" s="25" t="n">
        <f aca="false">V964*12</f>
        <v>0</v>
      </c>
      <c r="X964" s="23" t="str">
        <f aca="false">IF(Q964="","MISSING FROM EXPORT",IF(ABS(V964)&lt;0.005,"CLEAR",IF(V964&gt;0,"UNDERBILLING","OVERBILLING")))</f>
        <v>CLEAR</v>
      </c>
      <c r="Y964" s="25" t="n">
        <f aca="false">IF(F964="COMMERCIAL",ROUND(P964*0.35,2),0)</f>
        <v>0</v>
      </c>
      <c r="Z964" s="23" t="str">
        <f aca="false">IF(F964="COMMERCIAL","VERIFY SIGNED AGREEMENT","NO EXCEPTION")</f>
        <v>NO EXCEPTION</v>
      </c>
      <c r="AA964" s="23" t="str">
        <f aca="false">IF(AND(C964="covered",N964&gt;40),"COVERED &gt;40 FT","")</f>
        <v/>
      </c>
      <c r="AB964" s="23" t="s">
        <v>7727</v>
      </c>
      <c r="AC964" s="23" t="s">
        <v>7728</v>
      </c>
      <c r="AD964" s="23" t="s">
        <v>2807</v>
      </c>
    </row>
    <row r="965" customFormat="false" ht="17.9" hidden="false" customHeight="false" outlineLevel="0" collapsed="false">
      <c r="A965" s="20" t="s">
        <v>7729</v>
      </c>
      <c r="B965" s="20" t="s">
        <v>99</v>
      </c>
      <c r="C965" s="20" t="s">
        <v>5162</v>
      </c>
      <c r="D965" s="20" t="s">
        <v>7730</v>
      </c>
      <c r="E965" s="20" t="s">
        <v>7731</v>
      </c>
      <c r="F965" s="20" t="s">
        <v>2833</v>
      </c>
      <c r="G965" s="20" t="s">
        <v>3441</v>
      </c>
      <c r="H965" s="22" t="n">
        <v>46.2</v>
      </c>
      <c r="I965" s="22" t="n">
        <v>46.2</v>
      </c>
      <c r="J965" s="22" t="n">
        <f aca="false">H965-I965</f>
        <v>0</v>
      </c>
      <c r="K965" s="20" t="str">
        <f aca="false">IF(ABS(J965)&lt;0.001,"MATCH - PAPER CHECK-IN NOT SUPPLIED","DATA MISMATCH")</f>
        <v>MATCH - PAPER CHECK-IN NOT SUPPLIED</v>
      </c>
      <c r="L965" s="22" t="n">
        <v>28</v>
      </c>
      <c r="M965" s="22" t="n">
        <f aca="false">ROUNDUP(H965,0)</f>
        <v>47</v>
      </c>
      <c r="N965" s="24" t="n">
        <f aca="false">MAX(L965,M965)</f>
        <v>47</v>
      </c>
      <c r="O965" s="25" t="n">
        <v>10.4</v>
      </c>
      <c r="P965" s="25" t="n">
        <f aca="false">N965*O965</f>
        <v>488.8</v>
      </c>
      <c r="Q965" s="23" t="s">
        <v>7732</v>
      </c>
      <c r="R965" s="23" t="s">
        <v>2804</v>
      </c>
      <c r="S965" s="24" t="n">
        <v>47</v>
      </c>
      <c r="T965" s="25" t="n">
        <v>10.4</v>
      </c>
      <c r="U965" s="25" t="n">
        <v>488.8</v>
      </c>
      <c r="V965" s="25" t="n">
        <f aca="false">P965-U965</f>
        <v>0</v>
      </c>
      <c r="W965" s="25" t="n">
        <f aca="false">V965*12</f>
        <v>0</v>
      </c>
      <c r="X965" s="23" t="str">
        <f aca="false">IF(Q965="","MISSING FROM EXPORT",IF(ABS(V965)&lt;0.005,"CLEAR",IF(V965&gt;0,"UNDERBILLING","OVERBILLING")))</f>
        <v>CLEAR</v>
      </c>
      <c r="Y965" s="25" t="n">
        <f aca="false">IF(F965="COMMERCIAL",ROUND(P965*0.35,2),0)</f>
        <v>0</v>
      </c>
      <c r="Z965" s="23" t="str">
        <f aca="false">IF(F965="COMMERCIAL","VERIFY SIGNED AGREEMENT","NO EXCEPTION")</f>
        <v>NO EXCEPTION</v>
      </c>
      <c r="AA965" s="23" t="str">
        <f aca="false">IF(AND(C965="covered",N965&gt;40),"COVERED &gt;40 FT","")</f>
        <v>COVERED &gt;40 FT</v>
      </c>
      <c r="AB965" s="23" t="s">
        <v>7733</v>
      </c>
      <c r="AC965" s="23" t="s">
        <v>7734</v>
      </c>
      <c r="AD965" s="23" t="s">
        <v>2807</v>
      </c>
    </row>
    <row r="966" customFormat="false" ht="17.9" hidden="false" customHeight="false" outlineLevel="0" collapsed="false">
      <c r="A966" s="20" t="s">
        <v>477</v>
      </c>
      <c r="B966" s="20" t="s">
        <v>99</v>
      </c>
      <c r="C966" s="20" t="s">
        <v>5162</v>
      </c>
      <c r="D966" s="20" t="s">
        <v>2151</v>
      </c>
      <c r="E966" s="20" t="s">
        <v>2152</v>
      </c>
      <c r="F966" s="20" t="s">
        <v>2857</v>
      </c>
      <c r="G966" s="20" t="s">
        <v>3448</v>
      </c>
      <c r="H966" s="22" t="n">
        <v>21.8</v>
      </c>
      <c r="I966" s="22" t="n">
        <v>21.8</v>
      </c>
      <c r="J966" s="22" t="n">
        <f aca="false">H966-I966</f>
        <v>0</v>
      </c>
      <c r="K966" s="20" t="str">
        <f aca="false">IF(ABS(J966)&lt;0.001,"MATCH - PAPER CHECK-IN NOT SUPPLIED","DATA MISMATCH")</f>
        <v>MATCH - PAPER CHECK-IN NOT SUPPLIED</v>
      </c>
      <c r="L966" s="22" t="n">
        <v>28</v>
      </c>
      <c r="M966" s="22" t="n">
        <f aca="false">ROUNDUP(H966,0)</f>
        <v>22</v>
      </c>
      <c r="N966" s="24" t="n">
        <f aca="false">MAX(L966,M966)</f>
        <v>28</v>
      </c>
      <c r="O966" s="25" t="n">
        <v>10.4</v>
      </c>
      <c r="P966" s="25" t="n">
        <f aca="false">N966*O966</f>
        <v>291.2</v>
      </c>
      <c r="Q966" s="23" t="s">
        <v>7735</v>
      </c>
      <c r="R966" s="23" t="s">
        <v>2804</v>
      </c>
      <c r="S966" s="24" t="n">
        <v>28</v>
      </c>
      <c r="T966" s="25" t="n">
        <v>10.4</v>
      </c>
      <c r="U966" s="25" t="n">
        <v>291.2</v>
      </c>
      <c r="V966" s="25" t="n">
        <f aca="false">P966-U966</f>
        <v>0</v>
      </c>
      <c r="W966" s="25" t="n">
        <f aca="false">V966*12</f>
        <v>0</v>
      </c>
      <c r="X966" s="23" t="str">
        <f aca="false">IF(Q966="","MISSING FROM EXPORT",IF(ABS(V966)&lt;0.005,"CLEAR",IF(V966&gt;0,"UNDERBILLING","OVERBILLING")))</f>
        <v>CLEAR</v>
      </c>
      <c r="Y966" s="25" t="n">
        <f aca="false">IF(F966="COMMERCIAL",ROUND(P966*0.35,2),0)</f>
        <v>0</v>
      </c>
      <c r="Z966" s="23" t="str">
        <f aca="false">IF(F966="COMMERCIAL","VERIFY SIGNED AGREEMENT","NO EXCEPTION")</f>
        <v>NO EXCEPTION</v>
      </c>
      <c r="AA966" s="23" t="str">
        <f aca="false">IF(AND(C966="covered",N966&gt;40),"COVERED &gt;40 FT","")</f>
        <v/>
      </c>
      <c r="AB966" s="23" t="s">
        <v>7736</v>
      </c>
      <c r="AC966" s="23" t="s">
        <v>7737</v>
      </c>
      <c r="AD966" s="23" t="s">
        <v>2807</v>
      </c>
    </row>
    <row r="967" customFormat="false" ht="17.9" hidden="false" customHeight="false" outlineLevel="0" collapsed="false">
      <c r="A967" s="20" t="s">
        <v>7738</v>
      </c>
      <c r="B967" s="20" t="s">
        <v>99</v>
      </c>
      <c r="C967" s="20" t="s">
        <v>5162</v>
      </c>
      <c r="D967" s="20" t="s">
        <v>7739</v>
      </c>
      <c r="E967" s="20" t="s">
        <v>7740</v>
      </c>
      <c r="F967" s="20" t="s">
        <v>2833</v>
      </c>
      <c r="G967" s="20" t="s">
        <v>3455</v>
      </c>
      <c r="H967" s="22" t="n">
        <v>57.9</v>
      </c>
      <c r="I967" s="22" t="n">
        <v>57.9</v>
      </c>
      <c r="J967" s="22" t="n">
        <f aca="false">H967-I967</f>
        <v>0</v>
      </c>
      <c r="K967" s="20" t="str">
        <f aca="false">IF(ABS(J967)&lt;0.001,"MATCH - PAPER CHECK-IN NOT SUPPLIED","DATA MISMATCH")</f>
        <v>MATCH - PAPER CHECK-IN NOT SUPPLIED</v>
      </c>
      <c r="L967" s="22" t="n">
        <v>32</v>
      </c>
      <c r="M967" s="22" t="n">
        <f aca="false">ROUNDUP(H967,0)</f>
        <v>58</v>
      </c>
      <c r="N967" s="24" t="n">
        <f aca="false">MAX(L967,M967)</f>
        <v>58</v>
      </c>
      <c r="O967" s="25" t="n">
        <v>10.4</v>
      </c>
      <c r="P967" s="25" t="n">
        <f aca="false">N967*O967</f>
        <v>603.2</v>
      </c>
      <c r="Q967" s="23" t="s">
        <v>7741</v>
      </c>
      <c r="R967" s="23" t="s">
        <v>2804</v>
      </c>
      <c r="S967" s="24" t="n">
        <v>58</v>
      </c>
      <c r="T967" s="25" t="n">
        <v>10.4</v>
      </c>
      <c r="U967" s="25" t="n">
        <v>603.2</v>
      </c>
      <c r="V967" s="25" t="n">
        <f aca="false">P967-U967</f>
        <v>0</v>
      </c>
      <c r="W967" s="25" t="n">
        <f aca="false">V967*12</f>
        <v>0</v>
      </c>
      <c r="X967" s="23" t="str">
        <f aca="false">IF(Q967="","MISSING FROM EXPORT",IF(ABS(V967)&lt;0.005,"CLEAR",IF(V967&gt;0,"UNDERBILLING","OVERBILLING")))</f>
        <v>CLEAR</v>
      </c>
      <c r="Y967" s="25" t="n">
        <f aca="false">IF(F967="COMMERCIAL",ROUND(P967*0.35,2),0)</f>
        <v>0</v>
      </c>
      <c r="Z967" s="23" t="str">
        <f aca="false">IF(F967="COMMERCIAL","VERIFY SIGNED AGREEMENT","NO EXCEPTION")</f>
        <v>NO EXCEPTION</v>
      </c>
      <c r="AA967" s="23" t="str">
        <f aca="false">IF(AND(C967="covered",N967&gt;40),"COVERED &gt;40 FT","")</f>
        <v>COVERED &gt;40 FT</v>
      </c>
      <c r="AB967" s="23" t="s">
        <v>7742</v>
      </c>
      <c r="AC967" s="23" t="s">
        <v>7743</v>
      </c>
      <c r="AD967" s="23" t="s">
        <v>2807</v>
      </c>
    </row>
    <row r="968" customFormat="false" ht="17.9" hidden="false" customHeight="false" outlineLevel="0" collapsed="false">
      <c r="A968" s="20" t="s">
        <v>7744</v>
      </c>
      <c r="B968" s="20" t="s">
        <v>99</v>
      </c>
      <c r="C968" s="20" t="s">
        <v>5162</v>
      </c>
      <c r="D968" s="20" t="s">
        <v>7745</v>
      </c>
      <c r="E968" s="20" t="s">
        <v>7746</v>
      </c>
      <c r="F968" s="20" t="s">
        <v>2833</v>
      </c>
      <c r="G968" s="20" t="s">
        <v>3462</v>
      </c>
      <c r="H968" s="22" t="n">
        <v>26</v>
      </c>
      <c r="I968" s="22" t="n">
        <v>26</v>
      </c>
      <c r="J968" s="22" t="n">
        <f aca="false">H968-I968</f>
        <v>0</v>
      </c>
      <c r="K968" s="20" t="str">
        <f aca="false">IF(ABS(J968)&lt;0.001,"MATCH - PAPER CHECK-IN NOT SUPPLIED","DATA MISMATCH")</f>
        <v>MATCH - PAPER CHECK-IN NOT SUPPLIED</v>
      </c>
      <c r="L968" s="22" t="n">
        <v>24</v>
      </c>
      <c r="M968" s="22" t="n">
        <f aca="false">ROUNDUP(H968,0)</f>
        <v>26</v>
      </c>
      <c r="N968" s="24" t="n">
        <f aca="false">MAX(L968,M968)</f>
        <v>26</v>
      </c>
      <c r="O968" s="25" t="n">
        <v>10.4</v>
      </c>
      <c r="P968" s="25" t="n">
        <f aca="false">N968*O968</f>
        <v>270.4</v>
      </c>
      <c r="Q968" s="23" t="s">
        <v>7747</v>
      </c>
      <c r="R968" s="23" t="s">
        <v>2804</v>
      </c>
      <c r="S968" s="24" t="n">
        <v>26</v>
      </c>
      <c r="T968" s="25" t="n">
        <v>10.4</v>
      </c>
      <c r="U968" s="25" t="n">
        <v>270.4</v>
      </c>
      <c r="V968" s="25" t="n">
        <f aca="false">P968-U968</f>
        <v>0</v>
      </c>
      <c r="W968" s="25" t="n">
        <f aca="false">V968*12</f>
        <v>0</v>
      </c>
      <c r="X968" s="23" t="str">
        <f aca="false">IF(Q968="","MISSING FROM EXPORT",IF(ABS(V968)&lt;0.005,"CLEAR",IF(V968&gt;0,"UNDERBILLING","OVERBILLING")))</f>
        <v>CLEAR</v>
      </c>
      <c r="Y968" s="25" t="n">
        <f aca="false">IF(F968="COMMERCIAL",ROUND(P968*0.35,2),0)</f>
        <v>0</v>
      </c>
      <c r="Z968" s="23" t="str">
        <f aca="false">IF(F968="COMMERCIAL","VERIFY SIGNED AGREEMENT","NO EXCEPTION")</f>
        <v>NO EXCEPTION</v>
      </c>
      <c r="AA968" s="23" t="str">
        <f aca="false">IF(AND(C968="covered",N968&gt;40),"COVERED &gt;40 FT","")</f>
        <v/>
      </c>
      <c r="AB968" s="23" t="s">
        <v>7748</v>
      </c>
      <c r="AC968" s="23" t="s">
        <v>7749</v>
      </c>
      <c r="AD968" s="23" t="s">
        <v>2807</v>
      </c>
    </row>
    <row r="969" customFormat="false" ht="17.9" hidden="false" customHeight="false" outlineLevel="0" collapsed="false">
      <c r="A969" s="20" t="s">
        <v>7750</v>
      </c>
      <c r="B969" s="20" t="s">
        <v>99</v>
      </c>
      <c r="C969" s="20" t="s">
        <v>5162</v>
      </c>
      <c r="D969" s="20" t="s">
        <v>7751</v>
      </c>
      <c r="E969" s="20" t="s">
        <v>7752</v>
      </c>
      <c r="F969" s="20" t="s">
        <v>2857</v>
      </c>
      <c r="G969" s="20" t="s">
        <v>3467</v>
      </c>
      <c r="H969" s="22" t="n">
        <v>41.5</v>
      </c>
      <c r="I969" s="22" t="n">
        <v>41.5</v>
      </c>
      <c r="J969" s="22" t="n">
        <f aca="false">H969-I969</f>
        <v>0</v>
      </c>
      <c r="K969" s="20" t="str">
        <f aca="false">IF(ABS(J969)&lt;0.001,"MATCH - PAPER CHECK-IN NOT SUPPLIED","DATA MISMATCH")</f>
        <v>MATCH - PAPER CHECK-IN NOT SUPPLIED</v>
      </c>
      <c r="L969" s="22" t="n">
        <v>24</v>
      </c>
      <c r="M969" s="22" t="n">
        <f aca="false">ROUNDUP(H969,0)</f>
        <v>42</v>
      </c>
      <c r="N969" s="24" t="n">
        <f aca="false">MAX(L969,M969)</f>
        <v>42</v>
      </c>
      <c r="O969" s="25" t="n">
        <v>10.4</v>
      </c>
      <c r="P969" s="25" t="n">
        <f aca="false">N969*O969</f>
        <v>436.8</v>
      </c>
      <c r="Q969" s="23" t="s">
        <v>7753</v>
      </c>
      <c r="R969" s="23" t="s">
        <v>2804</v>
      </c>
      <c r="S969" s="24" t="n">
        <v>42</v>
      </c>
      <c r="T969" s="25" t="n">
        <v>10.4</v>
      </c>
      <c r="U969" s="25" t="n">
        <v>436.8</v>
      </c>
      <c r="V969" s="25" t="n">
        <f aca="false">P969-U969</f>
        <v>0</v>
      </c>
      <c r="W969" s="25" t="n">
        <f aca="false">V969*12</f>
        <v>0</v>
      </c>
      <c r="X969" s="23" t="str">
        <f aca="false">IF(Q969="","MISSING FROM EXPORT",IF(ABS(V969)&lt;0.005,"CLEAR",IF(V969&gt;0,"UNDERBILLING","OVERBILLING")))</f>
        <v>CLEAR</v>
      </c>
      <c r="Y969" s="25" t="n">
        <f aca="false">IF(F969="COMMERCIAL",ROUND(P969*0.35,2),0)</f>
        <v>0</v>
      </c>
      <c r="Z969" s="23" t="str">
        <f aca="false">IF(F969="COMMERCIAL","VERIFY SIGNED AGREEMENT","NO EXCEPTION")</f>
        <v>NO EXCEPTION</v>
      </c>
      <c r="AA969" s="23" t="str">
        <f aca="false">IF(AND(C969="covered",N969&gt;40),"COVERED &gt;40 FT","")</f>
        <v>COVERED &gt;40 FT</v>
      </c>
      <c r="AB969" s="23" t="s">
        <v>7754</v>
      </c>
      <c r="AC969" s="23" t="s">
        <v>7755</v>
      </c>
      <c r="AD969" s="23" t="s">
        <v>2807</v>
      </c>
    </row>
    <row r="970" customFormat="false" ht="17.9" hidden="false" customHeight="false" outlineLevel="0" collapsed="false">
      <c r="A970" s="20" t="s">
        <v>973</v>
      </c>
      <c r="B970" s="20" t="s">
        <v>99</v>
      </c>
      <c r="C970" s="20" t="s">
        <v>5162</v>
      </c>
      <c r="D970" s="20" t="s">
        <v>7756</v>
      </c>
      <c r="E970" s="20" t="s">
        <v>7757</v>
      </c>
      <c r="F970" s="20" t="s">
        <v>2857</v>
      </c>
      <c r="G970" s="20" t="s">
        <v>3481</v>
      </c>
      <c r="H970" s="22" t="n">
        <v>59.8</v>
      </c>
      <c r="I970" s="22" t="n">
        <v>59.8</v>
      </c>
      <c r="J970" s="22" t="n">
        <f aca="false">H970-I970</f>
        <v>0</v>
      </c>
      <c r="K970" s="20" t="str">
        <f aca="false">IF(ABS(J970)&lt;0.001,"MATCH - PAPER CHECK-IN NOT SUPPLIED","DATA MISMATCH")</f>
        <v>MATCH - PAPER CHECK-IN NOT SUPPLIED</v>
      </c>
      <c r="L970" s="22" t="n">
        <v>28</v>
      </c>
      <c r="M970" s="22" t="n">
        <f aca="false">ROUNDUP(H970,0)</f>
        <v>60</v>
      </c>
      <c r="N970" s="24" t="n">
        <f aca="false">MAX(L970,M970)</f>
        <v>60</v>
      </c>
      <c r="O970" s="25" t="n">
        <v>10.4</v>
      </c>
      <c r="P970" s="25" t="n">
        <f aca="false">N970*O970</f>
        <v>624</v>
      </c>
      <c r="Q970" s="23" t="s">
        <v>7758</v>
      </c>
      <c r="R970" s="23" t="s">
        <v>2804</v>
      </c>
      <c r="S970" s="24" t="n">
        <v>60</v>
      </c>
      <c r="T970" s="25" t="n">
        <v>10.4</v>
      </c>
      <c r="U970" s="25" t="n">
        <v>624</v>
      </c>
      <c r="V970" s="25" t="n">
        <f aca="false">P970-U970</f>
        <v>0</v>
      </c>
      <c r="W970" s="25" t="n">
        <f aca="false">V970*12</f>
        <v>0</v>
      </c>
      <c r="X970" s="23" t="str">
        <f aca="false">IF(Q970="","MISSING FROM EXPORT",IF(ABS(V970)&lt;0.005,"CLEAR",IF(V970&gt;0,"UNDERBILLING","OVERBILLING")))</f>
        <v>CLEAR</v>
      </c>
      <c r="Y970" s="25" t="n">
        <f aca="false">IF(F970="COMMERCIAL",ROUND(P970*0.35,2),0)</f>
        <v>0</v>
      </c>
      <c r="Z970" s="23" t="str">
        <f aca="false">IF(F970="COMMERCIAL","VERIFY SIGNED AGREEMENT","NO EXCEPTION")</f>
        <v>NO EXCEPTION</v>
      </c>
      <c r="AA970" s="23" t="str">
        <f aca="false">IF(AND(C970="covered",N970&gt;40),"COVERED &gt;40 FT","")</f>
        <v>COVERED &gt;40 FT</v>
      </c>
      <c r="AB970" s="23" t="s">
        <v>7759</v>
      </c>
      <c r="AC970" s="23" t="s">
        <v>7760</v>
      </c>
      <c r="AD970" s="23" t="s">
        <v>2807</v>
      </c>
    </row>
    <row r="971" customFormat="false" ht="17.9" hidden="false" customHeight="false" outlineLevel="0" collapsed="false">
      <c r="A971" s="20" t="s">
        <v>943</v>
      </c>
      <c r="B971" s="20" t="s">
        <v>99</v>
      </c>
      <c r="C971" s="20" t="s">
        <v>5162</v>
      </c>
      <c r="D971" s="20" t="s">
        <v>7761</v>
      </c>
      <c r="E971" s="20" t="s">
        <v>7762</v>
      </c>
      <c r="F971" s="20" t="s">
        <v>2818</v>
      </c>
      <c r="G971" s="20" t="s">
        <v>3487</v>
      </c>
      <c r="H971" s="22" t="n">
        <v>56.9</v>
      </c>
      <c r="I971" s="22" t="n">
        <v>56.9</v>
      </c>
      <c r="J971" s="22" t="n">
        <f aca="false">H971-I971</f>
        <v>0</v>
      </c>
      <c r="K971" s="20" t="str">
        <f aca="false">IF(ABS(J971)&lt;0.001,"MATCH - PAPER CHECK-IN NOT SUPPLIED","DATA MISMATCH")</f>
        <v>MATCH - PAPER CHECK-IN NOT SUPPLIED</v>
      </c>
      <c r="L971" s="22" t="n">
        <v>28</v>
      </c>
      <c r="M971" s="22" t="n">
        <f aca="false">ROUNDUP(H971,0)</f>
        <v>57</v>
      </c>
      <c r="N971" s="24" t="n">
        <f aca="false">MAX(L971,M971)</f>
        <v>57</v>
      </c>
      <c r="O971" s="25" t="n">
        <v>10.4</v>
      </c>
      <c r="P971" s="25" t="n">
        <f aca="false">N971*O971</f>
        <v>592.8</v>
      </c>
      <c r="Q971" s="23" t="s">
        <v>7763</v>
      </c>
      <c r="R971" s="23" t="s">
        <v>2804</v>
      </c>
      <c r="S971" s="24" t="n">
        <v>57</v>
      </c>
      <c r="T971" s="25" t="n">
        <v>10.4</v>
      </c>
      <c r="U971" s="25" t="n">
        <v>592.8</v>
      </c>
      <c r="V971" s="25" t="n">
        <f aca="false">P971-U971</f>
        <v>0</v>
      </c>
      <c r="W971" s="25" t="n">
        <f aca="false">V971*12</f>
        <v>0</v>
      </c>
      <c r="X971" s="23" t="str">
        <f aca="false">IF(Q971="","MISSING FROM EXPORT",IF(ABS(V971)&lt;0.005,"CLEAR",IF(V971&gt;0,"UNDERBILLING","OVERBILLING")))</f>
        <v>CLEAR</v>
      </c>
      <c r="Y971" s="25" t="n">
        <f aca="false">IF(F971="COMMERCIAL",ROUND(P971*0.35,2),0)</f>
        <v>0</v>
      </c>
      <c r="Z971" s="23" t="str">
        <f aca="false">IF(F971="COMMERCIAL","VERIFY SIGNED AGREEMENT","NO EXCEPTION")</f>
        <v>NO EXCEPTION</v>
      </c>
      <c r="AA971" s="23" t="str">
        <f aca="false">IF(AND(C971="covered",N971&gt;40),"COVERED &gt;40 FT","")</f>
        <v>COVERED &gt;40 FT</v>
      </c>
      <c r="AB971" s="23" t="s">
        <v>7764</v>
      </c>
      <c r="AC971" s="23" t="s">
        <v>7765</v>
      </c>
      <c r="AD971" s="23" t="s">
        <v>2807</v>
      </c>
    </row>
    <row r="972" customFormat="false" ht="17.9" hidden="false" customHeight="false" outlineLevel="0" collapsed="false">
      <c r="A972" s="20" t="s">
        <v>7766</v>
      </c>
      <c r="B972" s="20" t="s">
        <v>99</v>
      </c>
      <c r="C972" s="20" t="s">
        <v>5162</v>
      </c>
      <c r="D972" s="20" t="s">
        <v>7767</v>
      </c>
      <c r="E972" s="20" t="s">
        <v>7768</v>
      </c>
      <c r="F972" s="20" t="s">
        <v>2818</v>
      </c>
      <c r="G972" s="20" t="s">
        <v>3493</v>
      </c>
      <c r="H972" s="22" t="n">
        <v>48.2</v>
      </c>
      <c r="I972" s="22" t="n">
        <v>48.2</v>
      </c>
      <c r="J972" s="22" t="n">
        <f aca="false">H972-I972</f>
        <v>0</v>
      </c>
      <c r="K972" s="20" t="str">
        <f aca="false">IF(ABS(J972)&lt;0.001,"MATCH - PAPER CHECK-IN NOT SUPPLIED","DATA MISMATCH")</f>
        <v>MATCH - PAPER CHECK-IN NOT SUPPLIED</v>
      </c>
      <c r="L972" s="22" t="n">
        <v>24</v>
      </c>
      <c r="M972" s="22" t="n">
        <f aca="false">ROUNDUP(H972,0)</f>
        <v>49</v>
      </c>
      <c r="N972" s="24" t="n">
        <f aca="false">MAX(L972,M972)</f>
        <v>49</v>
      </c>
      <c r="O972" s="25" t="n">
        <v>10.4</v>
      </c>
      <c r="P972" s="25" t="n">
        <f aca="false">N972*O972</f>
        <v>509.6</v>
      </c>
      <c r="Q972" s="23" t="s">
        <v>7769</v>
      </c>
      <c r="R972" s="23" t="s">
        <v>2804</v>
      </c>
      <c r="S972" s="24" t="n">
        <v>49</v>
      </c>
      <c r="T972" s="25" t="n">
        <v>10.4</v>
      </c>
      <c r="U972" s="25" t="n">
        <v>509.6</v>
      </c>
      <c r="V972" s="25" t="n">
        <f aca="false">P972-U972</f>
        <v>0</v>
      </c>
      <c r="W972" s="25" t="n">
        <f aca="false">V972*12</f>
        <v>0</v>
      </c>
      <c r="X972" s="23" t="str">
        <f aca="false">IF(Q972="","MISSING FROM EXPORT",IF(ABS(V972)&lt;0.005,"CLEAR",IF(V972&gt;0,"UNDERBILLING","OVERBILLING")))</f>
        <v>CLEAR</v>
      </c>
      <c r="Y972" s="25" t="n">
        <f aca="false">IF(F972="COMMERCIAL",ROUND(P972*0.35,2),0)</f>
        <v>0</v>
      </c>
      <c r="Z972" s="23" t="str">
        <f aca="false">IF(F972="COMMERCIAL","VERIFY SIGNED AGREEMENT","NO EXCEPTION")</f>
        <v>NO EXCEPTION</v>
      </c>
      <c r="AA972" s="23" t="str">
        <f aca="false">IF(AND(C972="covered",N972&gt;40),"COVERED &gt;40 FT","")</f>
        <v>COVERED &gt;40 FT</v>
      </c>
      <c r="AB972" s="23" t="s">
        <v>7770</v>
      </c>
      <c r="AC972" s="23" t="s">
        <v>7771</v>
      </c>
      <c r="AD972" s="23" t="s">
        <v>2807</v>
      </c>
    </row>
    <row r="973" customFormat="false" ht="17.9" hidden="false" customHeight="false" outlineLevel="0" collapsed="false">
      <c r="A973" s="20" t="s">
        <v>7772</v>
      </c>
      <c r="B973" s="20" t="s">
        <v>99</v>
      </c>
      <c r="C973" s="20" t="s">
        <v>5162</v>
      </c>
      <c r="D973" s="20" t="s">
        <v>7773</v>
      </c>
      <c r="E973" s="20" t="s">
        <v>7774</v>
      </c>
      <c r="F973" s="20" t="s">
        <v>2833</v>
      </c>
      <c r="G973" s="20" t="s">
        <v>3500</v>
      </c>
      <c r="H973" s="22" t="n">
        <v>36</v>
      </c>
      <c r="I973" s="22" t="n">
        <v>36</v>
      </c>
      <c r="J973" s="22" t="n">
        <f aca="false">H973-I973</f>
        <v>0</v>
      </c>
      <c r="K973" s="20" t="str">
        <f aca="false">IF(ABS(J973)&lt;0.001,"MATCH - PAPER CHECK-IN NOT SUPPLIED","DATA MISMATCH")</f>
        <v>MATCH - PAPER CHECK-IN NOT SUPPLIED</v>
      </c>
      <c r="L973" s="22" t="n">
        <v>28</v>
      </c>
      <c r="M973" s="22" t="n">
        <f aca="false">ROUNDUP(H973,0)</f>
        <v>36</v>
      </c>
      <c r="N973" s="24" t="n">
        <f aca="false">MAX(L973,M973)</f>
        <v>36</v>
      </c>
      <c r="O973" s="25" t="n">
        <v>10.4</v>
      </c>
      <c r="P973" s="25" t="n">
        <f aca="false">N973*O973</f>
        <v>374.4</v>
      </c>
      <c r="Q973" s="23" t="s">
        <v>7775</v>
      </c>
      <c r="R973" s="23" t="s">
        <v>2804</v>
      </c>
      <c r="S973" s="24" t="n">
        <v>36</v>
      </c>
      <c r="T973" s="25" t="n">
        <v>10.4</v>
      </c>
      <c r="U973" s="25" t="n">
        <v>374.4</v>
      </c>
      <c r="V973" s="25" t="n">
        <f aca="false">P973-U973</f>
        <v>0</v>
      </c>
      <c r="W973" s="25" t="n">
        <f aca="false">V973*12</f>
        <v>0</v>
      </c>
      <c r="X973" s="23" t="str">
        <f aca="false">IF(Q973="","MISSING FROM EXPORT",IF(ABS(V973)&lt;0.005,"CLEAR",IF(V973&gt;0,"UNDERBILLING","OVERBILLING")))</f>
        <v>CLEAR</v>
      </c>
      <c r="Y973" s="25" t="n">
        <f aca="false">IF(F973="COMMERCIAL",ROUND(P973*0.35,2),0)</f>
        <v>0</v>
      </c>
      <c r="Z973" s="23" t="str">
        <f aca="false">IF(F973="COMMERCIAL","VERIFY SIGNED AGREEMENT","NO EXCEPTION")</f>
        <v>NO EXCEPTION</v>
      </c>
      <c r="AA973" s="23" t="str">
        <f aca="false">IF(AND(C973="covered",N973&gt;40),"COVERED &gt;40 FT","")</f>
        <v/>
      </c>
      <c r="AB973" s="23" t="s">
        <v>7776</v>
      </c>
      <c r="AC973" s="23" t="s">
        <v>7777</v>
      </c>
      <c r="AD973" s="23" t="s">
        <v>2807</v>
      </c>
    </row>
    <row r="974" customFormat="false" ht="17.9" hidden="false" customHeight="false" outlineLevel="0" collapsed="false">
      <c r="A974" s="20" t="s">
        <v>283</v>
      </c>
      <c r="B974" s="20" t="s">
        <v>99</v>
      </c>
      <c r="C974" s="20" t="s">
        <v>5162</v>
      </c>
      <c r="D974" s="20" t="s">
        <v>733</v>
      </c>
      <c r="E974" s="20" t="s">
        <v>734</v>
      </c>
      <c r="F974" s="20" t="s">
        <v>2833</v>
      </c>
      <c r="G974" s="20" t="s">
        <v>3507</v>
      </c>
      <c r="H974" s="22" t="n">
        <v>33.2</v>
      </c>
      <c r="I974" s="22" t="n">
        <v>33.2</v>
      </c>
      <c r="J974" s="22" t="n">
        <f aca="false">H974-I974</f>
        <v>0</v>
      </c>
      <c r="K974" s="20" t="str">
        <f aca="false">IF(ABS(J974)&lt;0.001,"MATCH - PAPER CHECK-IN NOT SUPPLIED","DATA MISMATCH")</f>
        <v>MATCH - PAPER CHECK-IN NOT SUPPLIED</v>
      </c>
      <c r="L974" s="22" t="n">
        <v>32</v>
      </c>
      <c r="M974" s="22" t="n">
        <f aca="false">ROUNDUP(H974,0)</f>
        <v>34</v>
      </c>
      <c r="N974" s="24" t="n">
        <f aca="false">MAX(L974,M974)</f>
        <v>34</v>
      </c>
      <c r="O974" s="25" t="n">
        <v>10.4</v>
      </c>
      <c r="P974" s="25" t="n">
        <f aca="false">N974*O974</f>
        <v>353.6</v>
      </c>
      <c r="Q974" s="23" t="s">
        <v>7778</v>
      </c>
      <c r="R974" s="23" t="s">
        <v>2804</v>
      </c>
      <c r="S974" s="24" t="n">
        <v>34</v>
      </c>
      <c r="T974" s="25" t="n">
        <v>10.4</v>
      </c>
      <c r="U974" s="25" t="n">
        <v>353.6</v>
      </c>
      <c r="V974" s="25" t="n">
        <f aca="false">P974-U974</f>
        <v>0</v>
      </c>
      <c r="W974" s="25" t="n">
        <f aca="false">V974*12</f>
        <v>0</v>
      </c>
      <c r="X974" s="23" t="str">
        <f aca="false">IF(Q974="","MISSING FROM EXPORT",IF(ABS(V974)&lt;0.005,"CLEAR",IF(V974&gt;0,"UNDERBILLING","OVERBILLING")))</f>
        <v>CLEAR</v>
      </c>
      <c r="Y974" s="25" t="n">
        <f aca="false">IF(F974="COMMERCIAL",ROUND(P974*0.35,2),0)</f>
        <v>0</v>
      </c>
      <c r="Z974" s="23" t="str">
        <f aca="false">IF(F974="COMMERCIAL","VERIFY SIGNED AGREEMENT","NO EXCEPTION")</f>
        <v>NO EXCEPTION</v>
      </c>
      <c r="AA974" s="23" t="str">
        <f aca="false">IF(AND(C974="covered",N974&gt;40),"COVERED &gt;40 FT","")</f>
        <v/>
      </c>
      <c r="AB974" s="23" t="s">
        <v>7779</v>
      </c>
      <c r="AC974" s="23" t="s">
        <v>7780</v>
      </c>
      <c r="AD974" s="23" t="s">
        <v>2807</v>
      </c>
    </row>
    <row r="975" customFormat="false" ht="17.9" hidden="false" customHeight="false" outlineLevel="0" collapsed="false">
      <c r="A975" s="20" t="s">
        <v>7781</v>
      </c>
      <c r="B975" s="20" t="s">
        <v>99</v>
      </c>
      <c r="C975" s="20" t="s">
        <v>5162</v>
      </c>
      <c r="D975" s="20" t="s">
        <v>7782</v>
      </c>
      <c r="E975" s="20" t="s">
        <v>7783</v>
      </c>
      <c r="F975" s="20" t="s">
        <v>2818</v>
      </c>
      <c r="G975" s="20" t="s">
        <v>3511</v>
      </c>
      <c r="H975" s="22" t="n">
        <v>42.5</v>
      </c>
      <c r="I975" s="22" t="n">
        <v>42.5</v>
      </c>
      <c r="J975" s="22" t="n">
        <f aca="false">H975-I975</f>
        <v>0</v>
      </c>
      <c r="K975" s="20" t="str">
        <f aca="false">IF(ABS(J975)&lt;0.001,"MATCH - PAPER CHECK-IN NOT SUPPLIED","DATA MISMATCH")</f>
        <v>MATCH - PAPER CHECK-IN NOT SUPPLIED</v>
      </c>
      <c r="L975" s="22" t="n">
        <v>32</v>
      </c>
      <c r="M975" s="22" t="n">
        <f aca="false">ROUNDUP(H975,0)</f>
        <v>43</v>
      </c>
      <c r="N975" s="24" t="n">
        <f aca="false">MAX(L975,M975)</f>
        <v>43</v>
      </c>
      <c r="O975" s="25" t="n">
        <v>10.4</v>
      </c>
      <c r="P975" s="25" t="n">
        <f aca="false">N975*O975</f>
        <v>447.2</v>
      </c>
      <c r="Q975" s="23" t="s">
        <v>7784</v>
      </c>
      <c r="R975" s="23" t="s">
        <v>2804</v>
      </c>
      <c r="S975" s="24" t="n">
        <v>43</v>
      </c>
      <c r="T975" s="25" t="n">
        <v>10.4</v>
      </c>
      <c r="U975" s="25" t="n">
        <v>447.2</v>
      </c>
      <c r="V975" s="25" t="n">
        <f aca="false">P975-U975</f>
        <v>0</v>
      </c>
      <c r="W975" s="25" t="n">
        <f aca="false">V975*12</f>
        <v>0</v>
      </c>
      <c r="X975" s="23" t="str">
        <f aca="false">IF(Q975="","MISSING FROM EXPORT",IF(ABS(V975)&lt;0.005,"CLEAR",IF(V975&gt;0,"UNDERBILLING","OVERBILLING")))</f>
        <v>CLEAR</v>
      </c>
      <c r="Y975" s="25" t="n">
        <f aca="false">IF(F975="COMMERCIAL",ROUND(P975*0.35,2),0)</f>
        <v>0</v>
      </c>
      <c r="Z975" s="23" t="str">
        <f aca="false">IF(F975="COMMERCIAL","VERIFY SIGNED AGREEMENT","NO EXCEPTION")</f>
        <v>NO EXCEPTION</v>
      </c>
      <c r="AA975" s="23" t="str">
        <f aca="false">IF(AND(C975="covered",N975&gt;40),"COVERED &gt;40 FT","")</f>
        <v>COVERED &gt;40 FT</v>
      </c>
      <c r="AB975" s="23" t="s">
        <v>7785</v>
      </c>
      <c r="AC975" s="23" t="s">
        <v>7786</v>
      </c>
      <c r="AD975" s="23" t="s">
        <v>2807</v>
      </c>
    </row>
    <row r="976" customFormat="false" ht="17.9" hidden="false" customHeight="false" outlineLevel="0" collapsed="false">
      <c r="A976" s="20" t="s">
        <v>7787</v>
      </c>
      <c r="B976" s="20" t="s">
        <v>99</v>
      </c>
      <c r="C976" s="20" t="s">
        <v>5162</v>
      </c>
      <c r="D976" s="20" t="s">
        <v>7788</v>
      </c>
      <c r="E976" s="20" t="s">
        <v>7789</v>
      </c>
      <c r="F976" s="20" t="s">
        <v>2869</v>
      </c>
      <c r="G976" s="20" t="s">
        <v>3517</v>
      </c>
      <c r="H976" s="22" t="n">
        <v>38.7</v>
      </c>
      <c r="I976" s="22" t="n">
        <v>38.7</v>
      </c>
      <c r="J976" s="22" t="n">
        <f aca="false">H976-I976</f>
        <v>0</v>
      </c>
      <c r="K976" s="20" t="str">
        <f aca="false">IF(ABS(J976)&lt;0.001,"MATCH - PAPER CHECK-IN NOT SUPPLIED","DATA MISMATCH")</f>
        <v>MATCH - PAPER CHECK-IN NOT SUPPLIED</v>
      </c>
      <c r="L976" s="22" t="n">
        <v>32</v>
      </c>
      <c r="M976" s="22" t="n">
        <f aca="false">ROUNDUP(H976,0)</f>
        <v>39</v>
      </c>
      <c r="N976" s="24" t="n">
        <f aca="false">MAX(L976,M976)</f>
        <v>39</v>
      </c>
      <c r="O976" s="25" t="n">
        <v>10.4</v>
      </c>
      <c r="P976" s="25" t="n">
        <f aca="false">N976*O976</f>
        <v>405.6</v>
      </c>
      <c r="Q976" s="23" t="s">
        <v>7790</v>
      </c>
      <c r="R976" s="23" t="s">
        <v>2804</v>
      </c>
      <c r="S976" s="24" t="n">
        <v>39</v>
      </c>
      <c r="T976" s="25" t="n">
        <v>10.4</v>
      </c>
      <c r="U976" s="25" t="n">
        <v>405.6</v>
      </c>
      <c r="V976" s="25" t="n">
        <f aca="false">P976-U976</f>
        <v>0</v>
      </c>
      <c r="W976" s="25" t="n">
        <f aca="false">V976*12</f>
        <v>0</v>
      </c>
      <c r="X976" s="23" t="str">
        <f aca="false">IF(Q976="","MISSING FROM EXPORT",IF(ABS(V976)&lt;0.005,"CLEAR",IF(V976&gt;0,"UNDERBILLING","OVERBILLING")))</f>
        <v>CLEAR</v>
      </c>
      <c r="Y976" s="25" t="n">
        <f aca="false">IF(F976="COMMERCIAL",ROUND(P976*0.35,2),0)</f>
        <v>0</v>
      </c>
      <c r="Z976" s="23" t="str">
        <f aca="false">IF(F976="COMMERCIAL","VERIFY SIGNED AGREEMENT","NO EXCEPTION")</f>
        <v>NO EXCEPTION</v>
      </c>
      <c r="AA976" s="23" t="str">
        <f aca="false">IF(AND(C976="covered",N976&gt;40),"COVERED &gt;40 FT","")</f>
        <v/>
      </c>
      <c r="AB976" s="23" t="s">
        <v>7791</v>
      </c>
      <c r="AC976" s="23" t="s">
        <v>7792</v>
      </c>
      <c r="AD976" s="23" t="s">
        <v>2807</v>
      </c>
    </row>
    <row r="977" customFormat="false" ht="17.9" hidden="false" customHeight="false" outlineLevel="0" collapsed="false">
      <c r="A977" s="20" t="s">
        <v>7793</v>
      </c>
      <c r="B977" s="20" t="s">
        <v>99</v>
      </c>
      <c r="C977" s="20" t="s">
        <v>5162</v>
      </c>
      <c r="D977" s="20" t="s">
        <v>7794</v>
      </c>
      <c r="E977" s="20" t="s">
        <v>7795</v>
      </c>
      <c r="F977" s="20" t="s">
        <v>2801</v>
      </c>
      <c r="G977" s="20" t="s">
        <v>3523</v>
      </c>
      <c r="H977" s="22" t="n">
        <v>22.5</v>
      </c>
      <c r="I977" s="22" t="n">
        <v>22.5</v>
      </c>
      <c r="J977" s="22" t="n">
        <f aca="false">H977-I977</f>
        <v>0</v>
      </c>
      <c r="K977" s="20" t="str">
        <f aca="false">IF(ABS(J977)&lt;0.001,"MATCH - PAPER CHECK-IN NOT SUPPLIED","DATA MISMATCH")</f>
        <v>MATCH - PAPER CHECK-IN NOT SUPPLIED</v>
      </c>
      <c r="L977" s="22" t="n">
        <v>28</v>
      </c>
      <c r="M977" s="22" t="n">
        <f aca="false">ROUNDUP(H977,0)</f>
        <v>23</v>
      </c>
      <c r="N977" s="24" t="n">
        <f aca="false">MAX(L977,M977)</f>
        <v>28</v>
      </c>
      <c r="O977" s="25" t="n">
        <v>10.4</v>
      </c>
      <c r="P977" s="25" t="n">
        <f aca="false">N977*O977</f>
        <v>291.2</v>
      </c>
      <c r="Q977" s="23" t="s">
        <v>7796</v>
      </c>
      <c r="R977" s="23" t="s">
        <v>2804</v>
      </c>
      <c r="S977" s="24" t="n">
        <v>28</v>
      </c>
      <c r="T977" s="25" t="n">
        <v>10.4</v>
      </c>
      <c r="U977" s="25" t="n">
        <v>291.2</v>
      </c>
      <c r="V977" s="25" t="n">
        <f aca="false">P977-U977</f>
        <v>0</v>
      </c>
      <c r="W977" s="25" t="n">
        <f aca="false">V977*12</f>
        <v>0</v>
      </c>
      <c r="X977" s="23" t="str">
        <f aca="false">IF(Q977="","MISSING FROM EXPORT",IF(ABS(V977)&lt;0.005,"CLEAR",IF(V977&gt;0,"UNDERBILLING","OVERBILLING")))</f>
        <v>CLEAR</v>
      </c>
      <c r="Y977" s="25" t="n">
        <f aca="false">IF(F977="COMMERCIAL",ROUND(P977*0.35,2),0)</f>
        <v>0</v>
      </c>
      <c r="Z977" s="23" t="str">
        <f aca="false">IF(F977="COMMERCIAL","VERIFY SIGNED AGREEMENT","NO EXCEPTION")</f>
        <v>NO EXCEPTION</v>
      </c>
      <c r="AA977" s="23" t="str">
        <f aca="false">IF(AND(C977="covered",N977&gt;40),"COVERED &gt;40 FT","")</f>
        <v/>
      </c>
      <c r="AB977" s="23" t="s">
        <v>7797</v>
      </c>
      <c r="AC977" s="23" t="s">
        <v>7798</v>
      </c>
      <c r="AD977" s="23" t="s">
        <v>2807</v>
      </c>
    </row>
    <row r="978" customFormat="false" ht="17.9" hidden="false" customHeight="false" outlineLevel="0" collapsed="false">
      <c r="A978" s="20" t="s">
        <v>1032</v>
      </c>
      <c r="B978" s="20" t="s">
        <v>99</v>
      </c>
      <c r="C978" s="20" t="s">
        <v>5162</v>
      </c>
      <c r="D978" s="20" t="s">
        <v>7799</v>
      </c>
      <c r="E978" s="20" t="s">
        <v>7800</v>
      </c>
      <c r="F978" s="20" t="s">
        <v>2898</v>
      </c>
      <c r="G978" s="20" t="s">
        <v>3530</v>
      </c>
      <c r="H978" s="22" t="n">
        <v>45.6</v>
      </c>
      <c r="I978" s="22" t="n">
        <v>45.6</v>
      </c>
      <c r="J978" s="22" t="n">
        <f aca="false">H978-I978</f>
        <v>0</v>
      </c>
      <c r="K978" s="20" t="str">
        <f aca="false">IF(ABS(J978)&lt;0.001,"MATCH - PAPER CHECK-IN NOT SUPPLIED","DATA MISMATCH")</f>
        <v>MATCH - PAPER CHECK-IN NOT SUPPLIED</v>
      </c>
      <c r="L978" s="22" t="n">
        <v>24</v>
      </c>
      <c r="M978" s="22" t="n">
        <f aca="false">ROUNDUP(H978,0)</f>
        <v>46</v>
      </c>
      <c r="N978" s="24" t="n">
        <f aca="false">MAX(L978,M978)</f>
        <v>46</v>
      </c>
      <c r="O978" s="25" t="n">
        <v>10.4</v>
      </c>
      <c r="P978" s="25" t="n">
        <f aca="false">N978*O978</f>
        <v>478.4</v>
      </c>
      <c r="Q978" s="23" t="s">
        <v>7801</v>
      </c>
      <c r="R978" s="23" t="s">
        <v>2804</v>
      </c>
      <c r="S978" s="24" t="n">
        <v>46</v>
      </c>
      <c r="T978" s="25" t="n">
        <v>10.4</v>
      </c>
      <c r="U978" s="25" t="n">
        <v>478.4</v>
      </c>
      <c r="V978" s="25" t="n">
        <f aca="false">P978-U978</f>
        <v>0</v>
      </c>
      <c r="W978" s="25" t="n">
        <f aca="false">V978*12</f>
        <v>0</v>
      </c>
      <c r="X978" s="23" t="str">
        <f aca="false">IF(Q978="","MISSING FROM EXPORT",IF(ABS(V978)&lt;0.005,"CLEAR",IF(V978&gt;0,"UNDERBILLING","OVERBILLING")))</f>
        <v>CLEAR</v>
      </c>
      <c r="Y978" s="25" t="n">
        <f aca="false">IF(F978="COMMERCIAL",ROUND(P978*0.35,2),0)</f>
        <v>0</v>
      </c>
      <c r="Z978" s="23" t="str">
        <f aca="false">IF(F978="COMMERCIAL","VERIFY SIGNED AGREEMENT","NO EXCEPTION")</f>
        <v>NO EXCEPTION</v>
      </c>
      <c r="AA978" s="23" t="str">
        <f aca="false">IF(AND(C978="covered",N978&gt;40),"COVERED &gt;40 FT","")</f>
        <v>COVERED &gt;40 FT</v>
      </c>
      <c r="AB978" s="23" t="s">
        <v>7802</v>
      </c>
      <c r="AC978" s="23" t="s">
        <v>7803</v>
      </c>
      <c r="AD978" s="23" t="s">
        <v>2807</v>
      </c>
    </row>
    <row r="979" customFormat="false" ht="17.9" hidden="false" customHeight="false" outlineLevel="0" collapsed="false">
      <c r="A979" s="20" t="s">
        <v>838</v>
      </c>
      <c r="B979" s="20" t="s">
        <v>99</v>
      </c>
      <c r="C979" s="20" t="s">
        <v>5162</v>
      </c>
      <c r="D979" s="20" t="s">
        <v>7804</v>
      </c>
      <c r="E979" s="20" t="s">
        <v>7805</v>
      </c>
      <c r="F979" s="20" t="s">
        <v>2818</v>
      </c>
      <c r="G979" s="20" t="s">
        <v>3537</v>
      </c>
      <c r="H979" s="22" t="n">
        <v>39.8</v>
      </c>
      <c r="I979" s="22" t="n">
        <v>39.8</v>
      </c>
      <c r="J979" s="22" t="n">
        <f aca="false">H979-I979</f>
        <v>0</v>
      </c>
      <c r="K979" s="20" t="str">
        <f aca="false">IF(ABS(J979)&lt;0.001,"MATCH - PAPER CHECK-IN NOT SUPPLIED","DATA MISMATCH")</f>
        <v>MATCH - PAPER CHECK-IN NOT SUPPLIED</v>
      </c>
      <c r="L979" s="22" t="n">
        <v>24</v>
      </c>
      <c r="M979" s="22" t="n">
        <f aca="false">ROUNDUP(H979,0)</f>
        <v>40</v>
      </c>
      <c r="N979" s="24" t="n">
        <f aca="false">MAX(L979,M979)</f>
        <v>40</v>
      </c>
      <c r="O979" s="25" t="n">
        <v>10.4</v>
      </c>
      <c r="P979" s="25" t="n">
        <f aca="false">N979*O979</f>
        <v>416</v>
      </c>
      <c r="Q979" s="23" t="s">
        <v>7806</v>
      </c>
      <c r="R979" s="23" t="s">
        <v>2804</v>
      </c>
      <c r="S979" s="24" t="n">
        <v>40</v>
      </c>
      <c r="T979" s="25" t="n">
        <v>10.4</v>
      </c>
      <c r="U979" s="25" t="n">
        <v>416</v>
      </c>
      <c r="V979" s="25" t="n">
        <f aca="false">P979-U979</f>
        <v>0</v>
      </c>
      <c r="W979" s="25" t="n">
        <f aca="false">V979*12</f>
        <v>0</v>
      </c>
      <c r="X979" s="23" t="str">
        <f aca="false">IF(Q979="","MISSING FROM EXPORT",IF(ABS(V979)&lt;0.005,"CLEAR",IF(V979&gt;0,"UNDERBILLING","OVERBILLING")))</f>
        <v>CLEAR</v>
      </c>
      <c r="Y979" s="25" t="n">
        <f aca="false">IF(F979="COMMERCIAL",ROUND(P979*0.35,2),0)</f>
        <v>0</v>
      </c>
      <c r="Z979" s="23" t="str">
        <f aca="false">IF(F979="COMMERCIAL","VERIFY SIGNED AGREEMENT","NO EXCEPTION")</f>
        <v>NO EXCEPTION</v>
      </c>
      <c r="AA979" s="23" t="str">
        <f aca="false">IF(AND(C979="covered",N979&gt;40),"COVERED &gt;40 FT","")</f>
        <v/>
      </c>
      <c r="AB979" s="23" t="s">
        <v>7807</v>
      </c>
      <c r="AC979" s="23" t="s">
        <v>7808</v>
      </c>
      <c r="AD979" s="23" t="s">
        <v>2807</v>
      </c>
    </row>
    <row r="980" customFormat="false" ht="17.9" hidden="false" customHeight="false" outlineLevel="0" collapsed="false">
      <c r="A980" s="20" t="s">
        <v>7809</v>
      </c>
      <c r="B980" s="20" t="s">
        <v>99</v>
      </c>
      <c r="C980" s="20" t="s">
        <v>5162</v>
      </c>
      <c r="D980" s="20" t="s">
        <v>335</v>
      </c>
      <c r="E980" s="20" t="s">
        <v>7810</v>
      </c>
      <c r="F980" s="20" t="s">
        <v>2898</v>
      </c>
      <c r="G980" s="20" t="s">
        <v>3544</v>
      </c>
      <c r="H980" s="22" t="n">
        <v>27.8</v>
      </c>
      <c r="I980" s="22" t="n">
        <v>27.8</v>
      </c>
      <c r="J980" s="22" t="n">
        <f aca="false">H980-I980</f>
        <v>0</v>
      </c>
      <c r="K980" s="20" t="str">
        <f aca="false">IF(ABS(J980)&lt;0.001,"MATCH - PAPER CHECK-IN NOT SUPPLIED","DATA MISMATCH")</f>
        <v>MATCH - PAPER CHECK-IN NOT SUPPLIED</v>
      </c>
      <c r="L980" s="22" t="n">
        <v>28</v>
      </c>
      <c r="M980" s="22" t="n">
        <f aca="false">ROUNDUP(H980,0)</f>
        <v>28</v>
      </c>
      <c r="N980" s="24" t="n">
        <f aca="false">MAX(L980,M980)</f>
        <v>28</v>
      </c>
      <c r="O980" s="25" t="n">
        <v>10.4</v>
      </c>
      <c r="P980" s="25" t="n">
        <f aca="false">N980*O980</f>
        <v>291.2</v>
      </c>
      <c r="Q980" s="23" t="s">
        <v>7811</v>
      </c>
      <c r="R980" s="23" t="s">
        <v>2804</v>
      </c>
      <c r="S980" s="24" t="n">
        <v>28</v>
      </c>
      <c r="T980" s="25" t="n">
        <v>10.4</v>
      </c>
      <c r="U980" s="25" t="n">
        <v>291.2</v>
      </c>
      <c r="V980" s="25" t="n">
        <f aca="false">P980-U980</f>
        <v>0</v>
      </c>
      <c r="W980" s="25" t="n">
        <f aca="false">V980*12</f>
        <v>0</v>
      </c>
      <c r="X980" s="23" t="str">
        <f aca="false">IF(Q980="","MISSING FROM EXPORT",IF(ABS(V980)&lt;0.005,"CLEAR",IF(V980&gt;0,"UNDERBILLING","OVERBILLING")))</f>
        <v>CLEAR</v>
      </c>
      <c r="Y980" s="25" t="n">
        <f aca="false">IF(F980="COMMERCIAL",ROUND(P980*0.35,2),0)</f>
        <v>0</v>
      </c>
      <c r="Z980" s="23" t="str">
        <f aca="false">IF(F980="COMMERCIAL","VERIFY SIGNED AGREEMENT","NO EXCEPTION")</f>
        <v>NO EXCEPTION</v>
      </c>
      <c r="AA980" s="23" t="str">
        <f aca="false">IF(AND(C980="covered",N980&gt;40),"COVERED &gt;40 FT","")</f>
        <v/>
      </c>
      <c r="AB980" s="23" t="s">
        <v>7812</v>
      </c>
      <c r="AC980" s="23" t="s">
        <v>7813</v>
      </c>
      <c r="AD980" s="23" t="s">
        <v>2807</v>
      </c>
    </row>
    <row r="981" customFormat="false" ht="17.9" hidden="false" customHeight="false" outlineLevel="0" collapsed="false">
      <c r="A981" s="20" t="s">
        <v>1209</v>
      </c>
      <c r="B981" s="20" t="s">
        <v>99</v>
      </c>
      <c r="C981" s="20" t="s">
        <v>5162</v>
      </c>
      <c r="D981" s="20" t="s">
        <v>2127</v>
      </c>
      <c r="E981" s="20" t="s">
        <v>2128</v>
      </c>
      <c r="F981" s="20" t="s">
        <v>2857</v>
      </c>
      <c r="G981" s="20" t="s">
        <v>3551</v>
      </c>
      <c r="H981" s="22" t="n">
        <v>19.5</v>
      </c>
      <c r="I981" s="22" t="n">
        <v>19.5</v>
      </c>
      <c r="J981" s="22" t="n">
        <f aca="false">H981-I981</f>
        <v>0</v>
      </c>
      <c r="K981" s="20" t="str">
        <f aca="false">IF(ABS(J981)&lt;0.001,"MATCH - PAPER CHECK-IN NOT SUPPLIED","DATA MISMATCH")</f>
        <v>MATCH - PAPER CHECK-IN NOT SUPPLIED</v>
      </c>
      <c r="L981" s="22" t="n">
        <v>28</v>
      </c>
      <c r="M981" s="22" t="n">
        <f aca="false">ROUNDUP(H981,0)</f>
        <v>20</v>
      </c>
      <c r="N981" s="24" t="n">
        <f aca="false">MAX(L981,M981)</f>
        <v>28</v>
      </c>
      <c r="O981" s="25" t="n">
        <v>10.4</v>
      </c>
      <c r="P981" s="25" t="n">
        <f aca="false">N981*O981</f>
        <v>291.2</v>
      </c>
      <c r="Q981" s="23" t="s">
        <v>7814</v>
      </c>
      <c r="R981" s="23" t="s">
        <v>2804</v>
      </c>
      <c r="S981" s="24" t="n">
        <v>28</v>
      </c>
      <c r="T981" s="25" t="n">
        <v>10.4</v>
      </c>
      <c r="U981" s="25" t="n">
        <v>291.2</v>
      </c>
      <c r="V981" s="25" t="n">
        <f aca="false">P981-U981</f>
        <v>0</v>
      </c>
      <c r="W981" s="25" t="n">
        <f aca="false">V981*12</f>
        <v>0</v>
      </c>
      <c r="X981" s="23" t="str">
        <f aca="false">IF(Q981="","MISSING FROM EXPORT",IF(ABS(V981)&lt;0.005,"CLEAR",IF(V981&gt;0,"UNDERBILLING","OVERBILLING")))</f>
        <v>CLEAR</v>
      </c>
      <c r="Y981" s="25" t="n">
        <f aca="false">IF(F981="COMMERCIAL",ROUND(P981*0.35,2),0)</f>
        <v>0</v>
      </c>
      <c r="Z981" s="23" t="str">
        <f aca="false">IF(F981="COMMERCIAL","VERIFY SIGNED AGREEMENT","NO EXCEPTION")</f>
        <v>NO EXCEPTION</v>
      </c>
      <c r="AA981" s="23" t="str">
        <f aca="false">IF(AND(C981="covered",N981&gt;40),"COVERED &gt;40 FT","")</f>
        <v/>
      </c>
      <c r="AB981" s="23" t="s">
        <v>7815</v>
      </c>
      <c r="AC981" s="23" t="s">
        <v>7816</v>
      </c>
      <c r="AD981" s="23" t="s">
        <v>2807</v>
      </c>
    </row>
    <row r="982" customFormat="false" ht="17.9" hidden="false" customHeight="false" outlineLevel="0" collapsed="false">
      <c r="A982" s="20" t="s">
        <v>7817</v>
      </c>
      <c r="B982" s="20" t="s">
        <v>99</v>
      </c>
      <c r="C982" s="20" t="s">
        <v>5162</v>
      </c>
      <c r="D982" s="20" t="s">
        <v>1449</v>
      </c>
      <c r="E982" s="20" t="s">
        <v>1450</v>
      </c>
      <c r="F982" s="20" t="s">
        <v>2833</v>
      </c>
      <c r="G982" s="20" t="s">
        <v>3558</v>
      </c>
      <c r="H982" s="22" t="n">
        <v>35.2</v>
      </c>
      <c r="I982" s="22" t="n">
        <v>35.2</v>
      </c>
      <c r="J982" s="22" t="n">
        <f aca="false">H982-I982</f>
        <v>0</v>
      </c>
      <c r="K982" s="20" t="str">
        <f aca="false">IF(ABS(J982)&lt;0.001,"MATCH - PAPER CHECK-IN NOT SUPPLIED","DATA MISMATCH")</f>
        <v>MATCH - PAPER CHECK-IN NOT SUPPLIED</v>
      </c>
      <c r="L982" s="22" t="n">
        <v>24</v>
      </c>
      <c r="M982" s="22" t="n">
        <f aca="false">ROUNDUP(H982,0)</f>
        <v>36</v>
      </c>
      <c r="N982" s="24" t="n">
        <f aca="false">MAX(L982,M982)</f>
        <v>36</v>
      </c>
      <c r="O982" s="25" t="n">
        <v>10.4</v>
      </c>
      <c r="P982" s="25" t="n">
        <f aca="false">N982*O982</f>
        <v>374.4</v>
      </c>
      <c r="Q982" s="23" t="s">
        <v>7818</v>
      </c>
      <c r="R982" s="23" t="s">
        <v>2804</v>
      </c>
      <c r="S982" s="24" t="n">
        <v>36</v>
      </c>
      <c r="T982" s="25" t="n">
        <v>10.4</v>
      </c>
      <c r="U982" s="25" t="n">
        <v>374.4</v>
      </c>
      <c r="V982" s="25" t="n">
        <f aca="false">P982-U982</f>
        <v>0</v>
      </c>
      <c r="W982" s="25" t="n">
        <f aca="false">V982*12</f>
        <v>0</v>
      </c>
      <c r="X982" s="23" t="str">
        <f aca="false">IF(Q982="","MISSING FROM EXPORT",IF(ABS(V982)&lt;0.005,"CLEAR",IF(V982&gt;0,"UNDERBILLING","OVERBILLING")))</f>
        <v>CLEAR</v>
      </c>
      <c r="Y982" s="25" t="n">
        <f aca="false">IF(F982="COMMERCIAL",ROUND(P982*0.35,2),0)</f>
        <v>0</v>
      </c>
      <c r="Z982" s="23" t="str">
        <f aca="false">IF(F982="COMMERCIAL","VERIFY SIGNED AGREEMENT","NO EXCEPTION")</f>
        <v>NO EXCEPTION</v>
      </c>
      <c r="AA982" s="23" t="str">
        <f aca="false">IF(AND(C982="covered",N982&gt;40),"COVERED &gt;40 FT","")</f>
        <v/>
      </c>
      <c r="AB982" s="23" t="s">
        <v>7819</v>
      </c>
      <c r="AC982" s="23" t="s">
        <v>7820</v>
      </c>
      <c r="AD982" s="23" t="s">
        <v>2807</v>
      </c>
    </row>
    <row r="983" customFormat="false" ht="17.9" hidden="false" customHeight="false" outlineLevel="0" collapsed="false">
      <c r="A983" s="20" t="s">
        <v>7821</v>
      </c>
      <c r="B983" s="20" t="s">
        <v>99</v>
      </c>
      <c r="C983" s="20" t="s">
        <v>5162</v>
      </c>
      <c r="D983" s="20" t="s">
        <v>1540</v>
      </c>
      <c r="E983" s="20" t="s">
        <v>1541</v>
      </c>
      <c r="F983" s="20" t="s">
        <v>2857</v>
      </c>
      <c r="G983" s="20" t="s">
        <v>3565</v>
      </c>
      <c r="H983" s="22" t="n">
        <v>44.8</v>
      </c>
      <c r="I983" s="22" t="n">
        <v>44.8</v>
      </c>
      <c r="J983" s="22" t="n">
        <f aca="false">H983-I983</f>
        <v>0</v>
      </c>
      <c r="K983" s="20" t="str">
        <f aca="false">IF(ABS(J983)&lt;0.001,"MATCH - PAPER CHECK-IN NOT SUPPLIED","DATA MISMATCH")</f>
        <v>MATCH - PAPER CHECK-IN NOT SUPPLIED</v>
      </c>
      <c r="L983" s="22" t="n">
        <v>28</v>
      </c>
      <c r="M983" s="22" t="n">
        <f aca="false">ROUNDUP(H983,0)</f>
        <v>45</v>
      </c>
      <c r="N983" s="24" t="n">
        <f aca="false">MAX(L983,M983)</f>
        <v>45</v>
      </c>
      <c r="O983" s="25" t="n">
        <v>10.4</v>
      </c>
      <c r="P983" s="25" t="n">
        <f aca="false">N983*O983</f>
        <v>468</v>
      </c>
      <c r="Q983" s="23" t="s">
        <v>7822</v>
      </c>
      <c r="R983" s="23" t="s">
        <v>2804</v>
      </c>
      <c r="S983" s="24" t="n">
        <v>45</v>
      </c>
      <c r="T983" s="25" t="n">
        <v>10.4</v>
      </c>
      <c r="U983" s="25" t="n">
        <v>468</v>
      </c>
      <c r="V983" s="25" t="n">
        <f aca="false">P983-U983</f>
        <v>0</v>
      </c>
      <c r="W983" s="25" t="n">
        <f aca="false">V983*12</f>
        <v>0</v>
      </c>
      <c r="X983" s="23" t="str">
        <f aca="false">IF(Q983="","MISSING FROM EXPORT",IF(ABS(V983)&lt;0.005,"CLEAR",IF(V983&gt;0,"UNDERBILLING","OVERBILLING")))</f>
        <v>CLEAR</v>
      </c>
      <c r="Y983" s="25" t="n">
        <f aca="false">IF(F983="COMMERCIAL",ROUND(P983*0.35,2),0)</f>
        <v>0</v>
      </c>
      <c r="Z983" s="23" t="str">
        <f aca="false">IF(F983="COMMERCIAL","VERIFY SIGNED AGREEMENT","NO EXCEPTION")</f>
        <v>NO EXCEPTION</v>
      </c>
      <c r="AA983" s="23" t="str">
        <f aca="false">IF(AND(C983="covered",N983&gt;40),"COVERED &gt;40 FT","")</f>
        <v>COVERED &gt;40 FT</v>
      </c>
      <c r="AB983" s="23" t="s">
        <v>7823</v>
      </c>
      <c r="AC983" s="23" t="s">
        <v>7824</v>
      </c>
      <c r="AD983" s="23" t="s">
        <v>2807</v>
      </c>
    </row>
    <row r="984" customFormat="false" ht="17.9" hidden="false" customHeight="false" outlineLevel="0" collapsed="false">
      <c r="A984" s="20" t="s">
        <v>7825</v>
      </c>
      <c r="B984" s="20" t="s">
        <v>99</v>
      </c>
      <c r="C984" s="20" t="s">
        <v>5162</v>
      </c>
      <c r="D984" s="20" t="s">
        <v>7826</v>
      </c>
      <c r="E984" s="20" t="s">
        <v>7827</v>
      </c>
      <c r="F984" s="20" t="s">
        <v>2833</v>
      </c>
      <c r="G984" s="20" t="s">
        <v>3571</v>
      </c>
      <c r="H984" s="22" t="n">
        <v>29.2</v>
      </c>
      <c r="I984" s="22" t="n">
        <v>29.2</v>
      </c>
      <c r="J984" s="22" t="n">
        <f aca="false">H984-I984</f>
        <v>0</v>
      </c>
      <c r="K984" s="20" t="str">
        <f aca="false">IF(ABS(J984)&lt;0.001,"MATCH - PAPER CHECK-IN NOT SUPPLIED","DATA MISMATCH")</f>
        <v>MATCH - PAPER CHECK-IN NOT SUPPLIED</v>
      </c>
      <c r="L984" s="22" t="n">
        <v>36</v>
      </c>
      <c r="M984" s="22" t="n">
        <f aca="false">ROUNDUP(H984,0)</f>
        <v>30</v>
      </c>
      <c r="N984" s="24" t="n">
        <f aca="false">MAX(L984,M984)</f>
        <v>36</v>
      </c>
      <c r="O984" s="25" t="n">
        <v>10.4</v>
      </c>
      <c r="P984" s="25" t="n">
        <f aca="false">N984*O984</f>
        <v>374.4</v>
      </c>
      <c r="Q984" s="23" t="s">
        <v>7828</v>
      </c>
      <c r="R984" s="23" t="s">
        <v>2804</v>
      </c>
      <c r="S984" s="24" t="n">
        <v>36</v>
      </c>
      <c r="T984" s="25" t="n">
        <v>10.4</v>
      </c>
      <c r="U984" s="25" t="n">
        <v>374.4</v>
      </c>
      <c r="V984" s="25" t="n">
        <f aca="false">P984-U984</f>
        <v>0</v>
      </c>
      <c r="W984" s="25" t="n">
        <f aca="false">V984*12</f>
        <v>0</v>
      </c>
      <c r="X984" s="23" t="str">
        <f aca="false">IF(Q984="","MISSING FROM EXPORT",IF(ABS(V984)&lt;0.005,"CLEAR",IF(V984&gt;0,"UNDERBILLING","OVERBILLING")))</f>
        <v>CLEAR</v>
      </c>
      <c r="Y984" s="25" t="n">
        <f aca="false">IF(F984="COMMERCIAL",ROUND(P984*0.35,2),0)</f>
        <v>0</v>
      </c>
      <c r="Z984" s="23" t="str">
        <f aca="false">IF(F984="COMMERCIAL","VERIFY SIGNED AGREEMENT","NO EXCEPTION")</f>
        <v>NO EXCEPTION</v>
      </c>
      <c r="AA984" s="23" t="str">
        <f aca="false">IF(AND(C984="covered",N984&gt;40),"COVERED &gt;40 FT","")</f>
        <v/>
      </c>
      <c r="AB984" s="23" t="s">
        <v>7829</v>
      </c>
      <c r="AC984" s="23" t="s">
        <v>7830</v>
      </c>
      <c r="AD984" s="23" t="s">
        <v>2807</v>
      </c>
    </row>
    <row r="985" customFormat="false" ht="17.9" hidden="false" customHeight="false" outlineLevel="0" collapsed="false">
      <c r="A985" s="20" t="s">
        <v>7831</v>
      </c>
      <c r="B985" s="20" t="s">
        <v>99</v>
      </c>
      <c r="C985" s="20" t="s">
        <v>5162</v>
      </c>
      <c r="D985" s="20" t="s">
        <v>7832</v>
      </c>
      <c r="E985" s="20" t="s">
        <v>7833</v>
      </c>
      <c r="F985" s="20" t="s">
        <v>2934</v>
      </c>
      <c r="G985" s="20" t="s">
        <v>3584</v>
      </c>
      <c r="H985" s="22" t="n">
        <v>34.2</v>
      </c>
      <c r="I985" s="22" t="n">
        <v>34.2</v>
      </c>
      <c r="J985" s="22" t="n">
        <f aca="false">H985-I985</f>
        <v>0</v>
      </c>
      <c r="K985" s="20" t="str">
        <f aca="false">IF(ABS(J985)&lt;0.001,"MATCH - PAPER CHECK-IN NOT SUPPLIED","DATA MISMATCH")</f>
        <v>MATCH - PAPER CHECK-IN NOT SUPPLIED</v>
      </c>
      <c r="L985" s="22" t="n">
        <v>36</v>
      </c>
      <c r="M985" s="22" t="n">
        <f aca="false">ROUNDUP(H985,0)</f>
        <v>35</v>
      </c>
      <c r="N985" s="24" t="n">
        <f aca="false">MAX(L985,M985)</f>
        <v>36</v>
      </c>
      <c r="O985" s="25" t="n">
        <v>10.4</v>
      </c>
      <c r="P985" s="25" t="n">
        <f aca="false">N985*O985</f>
        <v>374.4</v>
      </c>
      <c r="Q985" s="23" t="s">
        <v>7834</v>
      </c>
      <c r="R985" s="23" t="s">
        <v>2804</v>
      </c>
      <c r="S985" s="24" t="n">
        <v>36</v>
      </c>
      <c r="T985" s="25" t="n">
        <v>10.4</v>
      </c>
      <c r="U985" s="25" t="n">
        <v>374.4</v>
      </c>
      <c r="V985" s="25" t="n">
        <f aca="false">P985-U985</f>
        <v>0</v>
      </c>
      <c r="W985" s="25" t="n">
        <f aca="false">V985*12</f>
        <v>0</v>
      </c>
      <c r="X985" s="23" t="str">
        <f aca="false">IF(Q985="","MISSING FROM EXPORT",IF(ABS(V985)&lt;0.005,"CLEAR",IF(V985&gt;0,"UNDERBILLING","OVERBILLING")))</f>
        <v>CLEAR</v>
      </c>
      <c r="Y985" s="25" t="n">
        <f aca="false">IF(F985="COMMERCIAL",ROUND(P985*0.35,2),0)</f>
        <v>131.04</v>
      </c>
      <c r="Z985" s="23" t="str">
        <f aca="false">IF(F985="COMMERCIAL","VERIFY SIGNED AGREEMENT","NO EXCEPTION")</f>
        <v>VERIFY SIGNED AGREEMENT</v>
      </c>
      <c r="AA985" s="23" t="str">
        <f aca="false">IF(AND(C985="covered",N985&gt;40),"COVERED &gt;40 FT","")</f>
        <v/>
      </c>
      <c r="AB985" s="23" t="s">
        <v>7835</v>
      </c>
      <c r="AC985" s="23" t="s">
        <v>7836</v>
      </c>
      <c r="AD985" s="23" t="s">
        <v>2807</v>
      </c>
    </row>
    <row r="986" customFormat="false" ht="17.9" hidden="false" customHeight="false" outlineLevel="0" collapsed="false">
      <c r="A986" s="20" t="s">
        <v>7837</v>
      </c>
      <c r="B986" s="20" t="s">
        <v>99</v>
      </c>
      <c r="C986" s="20" t="s">
        <v>5162</v>
      </c>
      <c r="D986" s="20" t="s">
        <v>7838</v>
      </c>
      <c r="E986" s="20" t="s">
        <v>7839</v>
      </c>
      <c r="F986" s="20" t="s">
        <v>2833</v>
      </c>
      <c r="G986" s="20" t="s">
        <v>3590</v>
      </c>
      <c r="H986" s="22" t="n">
        <v>59.6</v>
      </c>
      <c r="I986" s="22" t="n">
        <v>59.6</v>
      </c>
      <c r="J986" s="22" t="n">
        <f aca="false">H986-I986</f>
        <v>0</v>
      </c>
      <c r="K986" s="20" t="str">
        <f aca="false">IF(ABS(J986)&lt;0.001,"MATCH - PAPER CHECK-IN NOT SUPPLIED","DATA MISMATCH")</f>
        <v>MATCH - PAPER CHECK-IN NOT SUPPLIED</v>
      </c>
      <c r="L986" s="22" t="n">
        <v>32</v>
      </c>
      <c r="M986" s="22" t="n">
        <f aca="false">ROUNDUP(H986,0)</f>
        <v>60</v>
      </c>
      <c r="N986" s="24" t="n">
        <f aca="false">MAX(L986,M986)</f>
        <v>60</v>
      </c>
      <c r="O986" s="25" t="n">
        <v>10.4</v>
      </c>
      <c r="P986" s="25" t="n">
        <f aca="false">N986*O986</f>
        <v>624</v>
      </c>
      <c r="Q986" s="23" t="s">
        <v>7840</v>
      </c>
      <c r="R986" s="23" t="s">
        <v>2804</v>
      </c>
      <c r="S986" s="24" t="n">
        <v>60</v>
      </c>
      <c r="T986" s="25" t="n">
        <v>10.4</v>
      </c>
      <c r="U986" s="25" t="n">
        <v>624</v>
      </c>
      <c r="V986" s="25" t="n">
        <f aca="false">P986-U986</f>
        <v>0</v>
      </c>
      <c r="W986" s="25" t="n">
        <f aca="false">V986*12</f>
        <v>0</v>
      </c>
      <c r="X986" s="23" t="str">
        <f aca="false">IF(Q986="","MISSING FROM EXPORT",IF(ABS(V986)&lt;0.005,"CLEAR",IF(V986&gt;0,"UNDERBILLING","OVERBILLING")))</f>
        <v>CLEAR</v>
      </c>
      <c r="Y986" s="25" t="n">
        <f aca="false">IF(F986="COMMERCIAL",ROUND(P986*0.35,2),0)</f>
        <v>0</v>
      </c>
      <c r="Z986" s="23" t="str">
        <f aca="false">IF(F986="COMMERCIAL","VERIFY SIGNED AGREEMENT","NO EXCEPTION")</f>
        <v>NO EXCEPTION</v>
      </c>
      <c r="AA986" s="23" t="str">
        <f aca="false">IF(AND(C986="covered",N986&gt;40),"COVERED &gt;40 FT","")</f>
        <v>COVERED &gt;40 FT</v>
      </c>
      <c r="AB986" s="23" t="s">
        <v>7841</v>
      </c>
      <c r="AC986" s="23" t="s">
        <v>7842</v>
      </c>
      <c r="AD986" s="23" t="s">
        <v>2807</v>
      </c>
    </row>
    <row r="987" customFormat="false" ht="17.9" hidden="false" customHeight="false" outlineLevel="0" collapsed="false">
      <c r="A987" s="20" t="s">
        <v>7843</v>
      </c>
      <c r="B987" s="20" t="s">
        <v>99</v>
      </c>
      <c r="C987" s="20" t="s">
        <v>5162</v>
      </c>
      <c r="D987" s="20" t="s">
        <v>7844</v>
      </c>
      <c r="E987" s="20" t="s">
        <v>7845</v>
      </c>
      <c r="F987" s="20" t="s">
        <v>2833</v>
      </c>
      <c r="G987" s="20" t="s">
        <v>3596</v>
      </c>
      <c r="H987" s="22" t="n">
        <v>18.3</v>
      </c>
      <c r="I987" s="22" t="n">
        <v>18.3</v>
      </c>
      <c r="J987" s="22" t="n">
        <f aca="false">H987-I987</f>
        <v>0</v>
      </c>
      <c r="K987" s="20" t="str">
        <f aca="false">IF(ABS(J987)&lt;0.001,"MATCH - PAPER CHECK-IN NOT SUPPLIED","DATA MISMATCH")</f>
        <v>MATCH - PAPER CHECK-IN NOT SUPPLIED</v>
      </c>
      <c r="L987" s="22" t="n">
        <v>32</v>
      </c>
      <c r="M987" s="22" t="n">
        <f aca="false">ROUNDUP(H987,0)</f>
        <v>19</v>
      </c>
      <c r="N987" s="24" t="n">
        <f aca="false">MAX(L987,M987)</f>
        <v>32</v>
      </c>
      <c r="O987" s="25" t="n">
        <v>10.4</v>
      </c>
      <c r="P987" s="25" t="n">
        <f aca="false">N987*O987</f>
        <v>332.8</v>
      </c>
      <c r="Q987" s="23" t="s">
        <v>7846</v>
      </c>
      <c r="R987" s="23" t="s">
        <v>2804</v>
      </c>
      <c r="S987" s="24" t="n">
        <v>32</v>
      </c>
      <c r="T987" s="25" t="n">
        <v>10.4</v>
      </c>
      <c r="U987" s="25" t="n">
        <v>332.8</v>
      </c>
      <c r="V987" s="25" t="n">
        <f aca="false">P987-U987</f>
        <v>0</v>
      </c>
      <c r="W987" s="25" t="n">
        <f aca="false">V987*12</f>
        <v>0</v>
      </c>
      <c r="X987" s="23" t="str">
        <f aca="false">IF(Q987="","MISSING FROM EXPORT",IF(ABS(V987)&lt;0.005,"CLEAR",IF(V987&gt;0,"UNDERBILLING","OVERBILLING")))</f>
        <v>CLEAR</v>
      </c>
      <c r="Y987" s="25" t="n">
        <f aca="false">IF(F987="COMMERCIAL",ROUND(P987*0.35,2),0)</f>
        <v>0</v>
      </c>
      <c r="Z987" s="23" t="str">
        <f aca="false">IF(F987="COMMERCIAL","VERIFY SIGNED AGREEMENT","NO EXCEPTION")</f>
        <v>NO EXCEPTION</v>
      </c>
      <c r="AA987" s="23" t="str">
        <f aca="false">IF(AND(C987="covered",N987&gt;40),"COVERED &gt;40 FT","")</f>
        <v/>
      </c>
      <c r="AB987" s="23" t="s">
        <v>7847</v>
      </c>
      <c r="AC987" s="23" t="s">
        <v>7848</v>
      </c>
      <c r="AD987" s="23" t="s">
        <v>2807</v>
      </c>
    </row>
    <row r="988" customFormat="false" ht="17.9" hidden="false" customHeight="false" outlineLevel="0" collapsed="false">
      <c r="A988" s="20" t="s">
        <v>7849</v>
      </c>
      <c r="B988" s="20" t="s">
        <v>99</v>
      </c>
      <c r="C988" s="20" t="s">
        <v>5162</v>
      </c>
      <c r="D988" s="20" t="s">
        <v>7850</v>
      </c>
      <c r="E988" s="20" t="s">
        <v>7851</v>
      </c>
      <c r="F988" s="20" t="s">
        <v>2898</v>
      </c>
      <c r="G988" s="20" t="s">
        <v>4814</v>
      </c>
      <c r="H988" s="22" t="n">
        <v>57</v>
      </c>
      <c r="I988" s="22" t="n">
        <v>57</v>
      </c>
      <c r="J988" s="22" t="n">
        <f aca="false">H988-I988</f>
        <v>0</v>
      </c>
      <c r="K988" s="20" t="str">
        <f aca="false">IF(ABS(J988)&lt;0.001,"MATCH - PAPER CHECK-IN NOT SUPPLIED","DATA MISMATCH")</f>
        <v>MATCH - PAPER CHECK-IN NOT SUPPLIED</v>
      </c>
      <c r="L988" s="22" t="n">
        <v>24</v>
      </c>
      <c r="M988" s="22" t="n">
        <f aca="false">ROUNDUP(H988,0)</f>
        <v>57</v>
      </c>
      <c r="N988" s="24" t="n">
        <f aca="false">MAX(L988,M988)</f>
        <v>57</v>
      </c>
      <c r="O988" s="25" t="n">
        <v>10.4</v>
      </c>
      <c r="P988" s="25" t="n">
        <f aca="false">N988*O988</f>
        <v>592.8</v>
      </c>
      <c r="Q988" s="23" t="s">
        <v>7852</v>
      </c>
      <c r="R988" s="23" t="s">
        <v>2804</v>
      </c>
      <c r="S988" s="24" t="n">
        <v>57</v>
      </c>
      <c r="T988" s="25" t="n">
        <v>10.4</v>
      </c>
      <c r="U988" s="25" t="n">
        <v>592.8</v>
      </c>
      <c r="V988" s="25" t="n">
        <f aca="false">P988-U988</f>
        <v>0</v>
      </c>
      <c r="W988" s="25" t="n">
        <f aca="false">V988*12</f>
        <v>0</v>
      </c>
      <c r="X988" s="23" t="str">
        <f aca="false">IF(Q988="","MISSING FROM EXPORT",IF(ABS(V988)&lt;0.005,"CLEAR",IF(V988&gt;0,"UNDERBILLING","OVERBILLING")))</f>
        <v>CLEAR</v>
      </c>
      <c r="Y988" s="25" t="n">
        <f aca="false">IF(F988="COMMERCIAL",ROUND(P988*0.35,2),0)</f>
        <v>0</v>
      </c>
      <c r="Z988" s="23" t="str">
        <f aca="false">IF(F988="COMMERCIAL","VERIFY SIGNED AGREEMENT","NO EXCEPTION")</f>
        <v>NO EXCEPTION</v>
      </c>
      <c r="AA988" s="23" t="str">
        <f aca="false">IF(AND(C988="covered",N988&gt;40),"COVERED &gt;40 FT","")</f>
        <v>COVERED &gt;40 FT</v>
      </c>
      <c r="AB988" s="23" t="s">
        <v>7853</v>
      </c>
      <c r="AC988" s="23" t="s">
        <v>7854</v>
      </c>
      <c r="AD988" s="23" t="s">
        <v>2807</v>
      </c>
    </row>
    <row r="989" customFormat="false" ht="17.9" hidden="false" customHeight="false" outlineLevel="0" collapsed="false">
      <c r="A989" s="20" t="s">
        <v>7855</v>
      </c>
      <c r="B989" s="20" t="s">
        <v>99</v>
      </c>
      <c r="C989" s="20" t="s">
        <v>5162</v>
      </c>
      <c r="D989" s="20" t="s">
        <v>7856</v>
      </c>
      <c r="E989" s="20" t="s">
        <v>7857</v>
      </c>
      <c r="F989" s="20" t="s">
        <v>2801</v>
      </c>
      <c r="G989" s="20" t="s">
        <v>4819</v>
      </c>
      <c r="H989" s="22" t="n">
        <v>54.3</v>
      </c>
      <c r="I989" s="22" t="n">
        <v>54.3</v>
      </c>
      <c r="J989" s="22" t="n">
        <f aca="false">H989-I989</f>
        <v>0</v>
      </c>
      <c r="K989" s="20" t="str">
        <f aca="false">IF(ABS(J989)&lt;0.001,"MATCH - PAPER CHECK-IN NOT SUPPLIED","DATA MISMATCH")</f>
        <v>MATCH - PAPER CHECK-IN NOT SUPPLIED</v>
      </c>
      <c r="L989" s="22" t="n">
        <v>24</v>
      </c>
      <c r="M989" s="22" t="n">
        <f aca="false">ROUNDUP(H989,0)</f>
        <v>55</v>
      </c>
      <c r="N989" s="24" t="n">
        <f aca="false">MAX(L989,M989)</f>
        <v>55</v>
      </c>
      <c r="O989" s="25" t="n">
        <v>10.4</v>
      </c>
      <c r="P989" s="25" t="n">
        <f aca="false">N989*O989</f>
        <v>572</v>
      </c>
      <c r="Q989" s="23" t="s">
        <v>7858</v>
      </c>
      <c r="R989" s="23" t="s">
        <v>2804</v>
      </c>
      <c r="S989" s="24" t="n">
        <v>55</v>
      </c>
      <c r="T989" s="25" t="n">
        <v>10.4</v>
      </c>
      <c r="U989" s="25" t="n">
        <v>572</v>
      </c>
      <c r="V989" s="25" t="n">
        <f aca="false">P989-U989</f>
        <v>0</v>
      </c>
      <c r="W989" s="25" t="n">
        <f aca="false">V989*12</f>
        <v>0</v>
      </c>
      <c r="X989" s="23" t="str">
        <f aca="false">IF(Q989="","MISSING FROM EXPORT",IF(ABS(V989)&lt;0.005,"CLEAR",IF(V989&gt;0,"UNDERBILLING","OVERBILLING")))</f>
        <v>CLEAR</v>
      </c>
      <c r="Y989" s="25" t="n">
        <f aca="false">IF(F989="COMMERCIAL",ROUND(P989*0.35,2),0)</f>
        <v>0</v>
      </c>
      <c r="Z989" s="23" t="str">
        <f aca="false">IF(F989="COMMERCIAL","VERIFY SIGNED AGREEMENT","NO EXCEPTION")</f>
        <v>NO EXCEPTION</v>
      </c>
      <c r="AA989" s="23" t="str">
        <f aca="false">IF(AND(C989="covered",N989&gt;40),"COVERED &gt;40 FT","")</f>
        <v>COVERED &gt;40 FT</v>
      </c>
      <c r="AB989" s="23" t="s">
        <v>7859</v>
      </c>
      <c r="AC989" s="23" t="s">
        <v>7860</v>
      </c>
      <c r="AD989" s="23" t="s">
        <v>2807</v>
      </c>
    </row>
    <row r="990" customFormat="false" ht="17.9" hidden="false" customHeight="false" outlineLevel="0" collapsed="false">
      <c r="A990" s="20" t="s">
        <v>7861</v>
      </c>
      <c r="B990" s="20" t="s">
        <v>99</v>
      </c>
      <c r="C990" s="20" t="s">
        <v>5162</v>
      </c>
      <c r="D990" s="20" t="s">
        <v>1368</v>
      </c>
      <c r="E990" s="20" t="s">
        <v>7862</v>
      </c>
      <c r="F990" s="20" t="s">
        <v>2898</v>
      </c>
      <c r="G990" s="20" t="s">
        <v>3601</v>
      </c>
      <c r="H990" s="22" t="n">
        <v>44.8</v>
      </c>
      <c r="I990" s="22" t="n">
        <v>44.8</v>
      </c>
      <c r="J990" s="22" t="n">
        <f aca="false">H990-I990</f>
        <v>0</v>
      </c>
      <c r="K990" s="20" t="str">
        <f aca="false">IF(ABS(J990)&lt;0.001,"MATCH - PAPER CHECK-IN NOT SUPPLIED","DATA MISMATCH")</f>
        <v>MATCH - PAPER CHECK-IN NOT SUPPLIED</v>
      </c>
      <c r="L990" s="22" t="n">
        <v>32</v>
      </c>
      <c r="M990" s="22" t="n">
        <f aca="false">ROUNDUP(H990,0)</f>
        <v>45</v>
      </c>
      <c r="N990" s="24" t="n">
        <f aca="false">MAX(L990,M990)</f>
        <v>45</v>
      </c>
      <c r="O990" s="25" t="n">
        <v>10.4</v>
      </c>
      <c r="P990" s="25" t="n">
        <f aca="false">N990*O990</f>
        <v>468</v>
      </c>
      <c r="Q990" s="23" t="s">
        <v>7863</v>
      </c>
      <c r="R990" s="23" t="s">
        <v>2804</v>
      </c>
      <c r="S990" s="24" t="n">
        <v>45</v>
      </c>
      <c r="T990" s="25" t="n">
        <v>10.4</v>
      </c>
      <c r="U990" s="25" t="n">
        <v>468</v>
      </c>
      <c r="V990" s="25" t="n">
        <f aca="false">P990-U990</f>
        <v>0</v>
      </c>
      <c r="W990" s="25" t="n">
        <f aca="false">V990*12</f>
        <v>0</v>
      </c>
      <c r="X990" s="23" t="str">
        <f aca="false">IF(Q990="","MISSING FROM EXPORT",IF(ABS(V990)&lt;0.005,"CLEAR",IF(V990&gt;0,"UNDERBILLING","OVERBILLING")))</f>
        <v>CLEAR</v>
      </c>
      <c r="Y990" s="25" t="n">
        <f aca="false">IF(F990="COMMERCIAL",ROUND(P990*0.35,2),0)</f>
        <v>0</v>
      </c>
      <c r="Z990" s="23" t="str">
        <f aca="false">IF(F990="COMMERCIAL","VERIFY SIGNED AGREEMENT","NO EXCEPTION")</f>
        <v>NO EXCEPTION</v>
      </c>
      <c r="AA990" s="23" t="str">
        <f aca="false">IF(AND(C990="covered",N990&gt;40),"COVERED &gt;40 FT","")</f>
        <v>COVERED &gt;40 FT</v>
      </c>
      <c r="AB990" s="23" t="s">
        <v>7864</v>
      </c>
      <c r="AC990" s="23" t="s">
        <v>7865</v>
      </c>
      <c r="AD990" s="23" t="s">
        <v>2807</v>
      </c>
    </row>
    <row r="991" customFormat="false" ht="17.9" hidden="false" customHeight="false" outlineLevel="0" collapsed="false">
      <c r="A991" s="20" t="s">
        <v>7866</v>
      </c>
      <c r="B991" s="20" t="s">
        <v>99</v>
      </c>
      <c r="C991" s="20" t="s">
        <v>5162</v>
      </c>
      <c r="D991" s="20" t="s">
        <v>2650</v>
      </c>
      <c r="E991" s="20" t="s">
        <v>2651</v>
      </c>
      <c r="F991" s="20" t="s">
        <v>2833</v>
      </c>
      <c r="G991" s="20" t="s">
        <v>3608</v>
      </c>
      <c r="H991" s="22" t="n">
        <v>49.6</v>
      </c>
      <c r="I991" s="22" t="n">
        <v>49.6</v>
      </c>
      <c r="J991" s="22" t="n">
        <f aca="false">H991-I991</f>
        <v>0</v>
      </c>
      <c r="K991" s="20" t="str">
        <f aca="false">IF(ABS(J991)&lt;0.001,"MATCH - PAPER CHECK-IN NOT SUPPLIED","DATA MISMATCH")</f>
        <v>MATCH - PAPER CHECK-IN NOT SUPPLIED</v>
      </c>
      <c r="L991" s="22" t="n">
        <v>40</v>
      </c>
      <c r="M991" s="22" t="n">
        <f aca="false">ROUNDUP(H991,0)</f>
        <v>50</v>
      </c>
      <c r="N991" s="24" t="n">
        <f aca="false">MAX(L991,M991)</f>
        <v>50</v>
      </c>
      <c r="O991" s="25" t="n">
        <v>10.4</v>
      </c>
      <c r="P991" s="25" t="n">
        <f aca="false">N991*O991</f>
        <v>520</v>
      </c>
      <c r="Q991" s="23" t="s">
        <v>7867</v>
      </c>
      <c r="R991" s="23" t="s">
        <v>2804</v>
      </c>
      <c r="S991" s="24" t="n">
        <v>50</v>
      </c>
      <c r="T991" s="25" t="n">
        <v>10.4</v>
      </c>
      <c r="U991" s="25" t="n">
        <v>520</v>
      </c>
      <c r="V991" s="25" t="n">
        <f aca="false">P991-U991</f>
        <v>0</v>
      </c>
      <c r="W991" s="25" t="n">
        <f aca="false">V991*12</f>
        <v>0</v>
      </c>
      <c r="X991" s="23" t="str">
        <f aca="false">IF(Q991="","MISSING FROM EXPORT",IF(ABS(V991)&lt;0.005,"CLEAR",IF(V991&gt;0,"UNDERBILLING","OVERBILLING")))</f>
        <v>CLEAR</v>
      </c>
      <c r="Y991" s="25" t="n">
        <f aca="false">IF(F991="COMMERCIAL",ROUND(P991*0.35,2),0)</f>
        <v>0</v>
      </c>
      <c r="Z991" s="23" t="str">
        <f aca="false">IF(F991="COMMERCIAL","VERIFY SIGNED AGREEMENT","NO EXCEPTION")</f>
        <v>NO EXCEPTION</v>
      </c>
      <c r="AA991" s="23" t="str">
        <f aca="false">IF(AND(C991="covered",N991&gt;40),"COVERED &gt;40 FT","")</f>
        <v>COVERED &gt;40 FT</v>
      </c>
      <c r="AB991" s="23" t="s">
        <v>7868</v>
      </c>
      <c r="AC991" s="23" t="s">
        <v>7869</v>
      </c>
      <c r="AD991" s="23" t="s">
        <v>2807</v>
      </c>
    </row>
    <row r="992" customFormat="false" ht="17.9" hidden="false" customHeight="false" outlineLevel="0" collapsed="false">
      <c r="A992" s="20" t="s">
        <v>7870</v>
      </c>
      <c r="B992" s="20" t="s">
        <v>99</v>
      </c>
      <c r="C992" s="20" t="s">
        <v>5162</v>
      </c>
      <c r="D992" s="20" t="s">
        <v>7871</v>
      </c>
      <c r="E992" s="20" t="s">
        <v>7872</v>
      </c>
      <c r="F992" s="20" t="s">
        <v>2818</v>
      </c>
      <c r="G992" s="20" t="s">
        <v>3614</v>
      </c>
      <c r="H992" s="22" t="n">
        <v>32.5</v>
      </c>
      <c r="I992" s="22" t="n">
        <v>32.5</v>
      </c>
      <c r="J992" s="22" t="n">
        <f aca="false">H992-I992</f>
        <v>0</v>
      </c>
      <c r="K992" s="20" t="str">
        <f aca="false">IF(ABS(J992)&lt;0.001,"MATCH - PAPER CHECK-IN NOT SUPPLIED","DATA MISMATCH")</f>
        <v>MATCH - PAPER CHECK-IN NOT SUPPLIED</v>
      </c>
      <c r="L992" s="22" t="n">
        <v>24</v>
      </c>
      <c r="M992" s="22" t="n">
        <f aca="false">ROUNDUP(H992,0)</f>
        <v>33</v>
      </c>
      <c r="N992" s="24" t="n">
        <f aca="false">MAX(L992,M992)</f>
        <v>33</v>
      </c>
      <c r="O992" s="25" t="n">
        <v>10.4</v>
      </c>
      <c r="P992" s="25" t="n">
        <f aca="false">N992*O992</f>
        <v>343.2</v>
      </c>
      <c r="Q992" s="23" t="s">
        <v>7873</v>
      </c>
      <c r="R992" s="23" t="s">
        <v>2804</v>
      </c>
      <c r="S992" s="24" t="n">
        <v>33</v>
      </c>
      <c r="T992" s="25" t="n">
        <v>10.4</v>
      </c>
      <c r="U992" s="25" t="n">
        <v>343.2</v>
      </c>
      <c r="V992" s="25" t="n">
        <f aca="false">P992-U992</f>
        <v>0</v>
      </c>
      <c r="W992" s="25" t="n">
        <f aca="false">V992*12</f>
        <v>0</v>
      </c>
      <c r="X992" s="23" t="str">
        <f aca="false">IF(Q992="","MISSING FROM EXPORT",IF(ABS(V992)&lt;0.005,"CLEAR",IF(V992&gt;0,"UNDERBILLING","OVERBILLING")))</f>
        <v>CLEAR</v>
      </c>
      <c r="Y992" s="25" t="n">
        <f aca="false">IF(F992="COMMERCIAL",ROUND(P992*0.35,2),0)</f>
        <v>0</v>
      </c>
      <c r="Z992" s="23" t="str">
        <f aca="false">IF(F992="COMMERCIAL","VERIFY SIGNED AGREEMENT","NO EXCEPTION")</f>
        <v>NO EXCEPTION</v>
      </c>
      <c r="AA992" s="23" t="str">
        <f aca="false">IF(AND(C992="covered",N992&gt;40),"COVERED &gt;40 FT","")</f>
        <v/>
      </c>
      <c r="AB992" s="23" t="s">
        <v>7874</v>
      </c>
      <c r="AC992" s="23" t="s">
        <v>7875</v>
      </c>
      <c r="AD992" s="23" t="s">
        <v>2807</v>
      </c>
    </row>
    <row r="993" customFormat="false" ht="17.9" hidden="false" customHeight="false" outlineLevel="0" collapsed="false">
      <c r="A993" s="20" t="s">
        <v>785</v>
      </c>
      <c r="B993" s="20" t="s">
        <v>99</v>
      </c>
      <c r="C993" s="20" t="s">
        <v>5162</v>
      </c>
      <c r="D993" s="20" t="s">
        <v>7876</v>
      </c>
      <c r="E993" s="20" t="s">
        <v>7877</v>
      </c>
      <c r="F993" s="20" t="s">
        <v>2857</v>
      </c>
      <c r="G993" s="20" t="s">
        <v>3621</v>
      </c>
      <c r="H993" s="22" t="n">
        <v>48.2</v>
      </c>
      <c r="I993" s="22" t="n">
        <v>48.2</v>
      </c>
      <c r="J993" s="22" t="n">
        <f aca="false">H993-I993</f>
        <v>0</v>
      </c>
      <c r="K993" s="20" t="str">
        <f aca="false">IF(ABS(J993)&lt;0.001,"MATCH - PAPER CHECK-IN NOT SUPPLIED","DATA MISMATCH")</f>
        <v>MATCH - PAPER CHECK-IN NOT SUPPLIED</v>
      </c>
      <c r="L993" s="22" t="n">
        <v>40</v>
      </c>
      <c r="M993" s="22" t="n">
        <f aca="false">ROUNDUP(H993,0)</f>
        <v>49</v>
      </c>
      <c r="N993" s="24" t="n">
        <f aca="false">MAX(L993,M993)</f>
        <v>49</v>
      </c>
      <c r="O993" s="25" t="n">
        <v>10.4</v>
      </c>
      <c r="P993" s="25" t="n">
        <f aca="false">N993*O993</f>
        <v>509.6</v>
      </c>
      <c r="Q993" s="23" t="s">
        <v>7878</v>
      </c>
      <c r="R993" s="23" t="s">
        <v>2804</v>
      </c>
      <c r="S993" s="24" t="n">
        <v>49</v>
      </c>
      <c r="T993" s="25" t="n">
        <v>10.4</v>
      </c>
      <c r="U993" s="25" t="n">
        <v>509.6</v>
      </c>
      <c r="V993" s="25" t="n">
        <f aca="false">P993-U993</f>
        <v>0</v>
      </c>
      <c r="W993" s="25" t="n">
        <f aca="false">V993*12</f>
        <v>0</v>
      </c>
      <c r="X993" s="23" t="str">
        <f aca="false">IF(Q993="","MISSING FROM EXPORT",IF(ABS(V993)&lt;0.005,"CLEAR",IF(V993&gt;0,"UNDERBILLING","OVERBILLING")))</f>
        <v>CLEAR</v>
      </c>
      <c r="Y993" s="25" t="n">
        <f aca="false">IF(F993="COMMERCIAL",ROUND(P993*0.35,2),0)</f>
        <v>0</v>
      </c>
      <c r="Z993" s="23" t="str">
        <f aca="false">IF(F993="COMMERCIAL","VERIFY SIGNED AGREEMENT","NO EXCEPTION")</f>
        <v>NO EXCEPTION</v>
      </c>
      <c r="AA993" s="23" t="str">
        <f aca="false">IF(AND(C993="covered",N993&gt;40),"COVERED &gt;40 FT","")</f>
        <v>COVERED &gt;40 FT</v>
      </c>
      <c r="AB993" s="23" t="s">
        <v>7879</v>
      </c>
      <c r="AC993" s="23" t="s">
        <v>7880</v>
      </c>
      <c r="AD993" s="23" t="s">
        <v>2807</v>
      </c>
    </row>
    <row r="994" customFormat="false" ht="17.9" hidden="false" customHeight="false" outlineLevel="0" collapsed="false">
      <c r="A994" s="20" t="s">
        <v>7881</v>
      </c>
      <c r="B994" s="20" t="s">
        <v>99</v>
      </c>
      <c r="C994" s="20" t="s">
        <v>5162</v>
      </c>
      <c r="D994" s="20" t="s">
        <v>7882</v>
      </c>
      <c r="E994" s="20" t="s">
        <v>7883</v>
      </c>
      <c r="F994" s="20" t="s">
        <v>2869</v>
      </c>
      <c r="G994" s="20" t="s">
        <v>3628</v>
      </c>
      <c r="H994" s="22" t="n">
        <v>59.7</v>
      </c>
      <c r="I994" s="22" t="n">
        <v>59.7</v>
      </c>
      <c r="J994" s="22" t="n">
        <f aca="false">H994-I994</f>
        <v>0</v>
      </c>
      <c r="K994" s="20" t="str">
        <f aca="false">IF(ABS(J994)&lt;0.001,"MATCH - PAPER CHECK-IN NOT SUPPLIED","DATA MISMATCH")</f>
        <v>MATCH - PAPER CHECK-IN NOT SUPPLIED</v>
      </c>
      <c r="L994" s="22" t="n">
        <v>24</v>
      </c>
      <c r="M994" s="22" t="n">
        <f aca="false">ROUNDUP(H994,0)</f>
        <v>60</v>
      </c>
      <c r="N994" s="24" t="n">
        <f aca="false">MAX(L994,M994)</f>
        <v>60</v>
      </c>
      <c r="O994" s="25" t="n">
        <v>10.4</v>
      </c>
      <c r="P994" s="25" t="n">
        <f aca="false">N994*O994</f>
        <v>624</v>
      </c>
      <c r="Q994" s="23" t="s">
        <v>7884</v>
      </c>
      <c r="R994" s="23" t="s">
        <v>2804</v>
      </c>
      <c r="S994" s="24" t="n">
        <v>60</v>
      </c>
      <c r="T994" s="25" t="n">
        <v>10.4</v>
      </c>
      <c r="U994" s="25" t="n">
        <v>624</v>
      </c>
      <c r="V994" s="25" t="n">
        <f aca="false">P994-U994</f>
        <v>0</v>
      </c>
      <c r="W994" s="25" t="n">
        <f aca="false">V994*12</f>
        <v>0</v>
      </c>
      <c r="X994" s="23" t="str">
        <f aca="false">IF(Q994="","MISSING FROM EXPORT",IF(ABS(V994)&lt;0.005,"CLEAR",IF(V994&gt;0,"UNDERBILLING","OVERBILLING")))</f>
        <v>CLEAR</v>
      </c>
      <c r="Y994" s="25" t="n">
        <f aca="false">IF(F994="COMMERCIAL",ROUND(P994*0.35,2),0)</f>
        <v>0</v>
      </c>
      <c r="Z994" s="23" t="str">
        <f aca="false">IF(F994="COMMERCIAL","VERIFY SIGNED AGREEMENT","NO EXCEPTION")</f>
        <v>NO EXCEPTION</v>
      </c>
      <c r="AA994" s="23" t="str">
        <f aca="false">IF(AND(C994="covered",N994&gt;40),"COVERED &gt;40 FT","")</f>
        <v>COVERED &gt;40 FT</v>
      </c>
      <c r="AB994" s="23" t="s">
        <v>7885</v>
      </c>
      <c r="AC994" s="23" t="s">
        <v>7886</v>
      </c>
      <c r="AD994" s="23" t="s">
        <v>2807</v>
      </c>
    </row>
    <row r="995" customFormat="false" ht="17.9" hidden="false" customHeight="false" outlineLevel="0" collapsed="false">
      <c r="A995" s="20" t="s">
        <v>1769</v>
      </c>
      <c r="B995" s="20" t="s">
        <v>99</v>
      </c>
      <c r="C995" s="20" t="s">
        <v>5162</v>
      </c>
      <c r="D995" s="20" t="s">
        <v>7887</v>
      </c>
      <c r="E995" s="20" t="s">
        <v>7888</v>
      </c>
      <c r="F995" s="20" t="s">
        <v>2818</v>
      </c>
      <c r="G995" s="20" t="s">
        <v>4836</v>
      </c>
      <c r="H995" s="22" t="n">
        <v>61.4</v>
      </c>
      <c r="I995" s="22" t="n">
        <v>61.4</v>
      </c>
      <c r="J995" s="22" t="n">
        <f aca="false">H995-I995</f>
        <v>0</v>
      </c>
      <c r="K995" s="20" t="str">
        <f aca="false">IF(ABS(J995)&lt;0.001,"MATCH - PAPER CHECK-IN NOT SUPPLIED","DATA MISMATCH")</f>
        <v>MATCH - PAPER CHECK-IN NOT SUPPLIED</v>
      </c>
      <c r="L995" s="22" t="n">
        <v>24</v>
      </c>
      <c r="M995" s="22" t="n">
        <f aca="false">ROUNDUP(H995,0)</f>
        <v>62</v>
      </c>
      <c r="N995" s="24" t="n">
        <f aca="false">MAX(L995,M995)</f>
        <v>62</v>
      </c>
      <c r="O995" s="25" t="n">
        <v>10.4</v>
      </c>
      <c r="P995" s="25" t="n">
        <f aca="false">N995*O995</f>
        <v>644.8</v>
      </c>
      <c r="Q995" s="23" t="s">
        <v>7889</v>
      </c>
      <c r="R995" s="23" t="s">
        <v>2804</v>
      </c>
      <c r="S995" s="24" t="n">
        <v>62</v>
      </c>
      <c r="T995" s="25" t="n">
        <v>10.4</v>
      </c>
      <c r="U995" s="25" t="n">
        <v>644.8</v>
      </c>
      <c r="V995" s="25" t="n">
        <f aca="false">P995-U995</f>
        <v>0</v>
      </c>
      <c r="W995" s="25" t="n">
        <f aca="false">V995*12</f>
        <v>0</v>
      </c>
      <c r="X995" s="23" t="str">
        <f aca="false">IF(Q995="","MISSING FROM EXPORT",IF(ABS(V995)&lt;0.005,"CLEAR",IF(V995&gt;0,"UNDERBILLING","OVERBILLING")))</f>
        <v>CLEAR</v>
      </c>
      <c r="Y995" s="25" t="n">
        <f aca="false">IF(F995="COMMERCIAL",ROUND(P995*0.35,2),0)</f>
        <v>0</v>
      </c>
      <c r="Z995" s="23" t="str">
        <f aca="false">IF(F995="COMMERCIAL","VERIFY SIGNED AGREEMENT","NO EXCEPTION")</f>
        <v>NO EXCEPTION</v>
      </c>
      <c r="AA995" s="23" t="str">
        <f aca="false">IF(AND(C995="covered",N995&gt;40),"COVERED &gt;40 FT","")</f>
        <v>COVERED &gt;40 FT</v>
      </c>
      <c r="AB995" s="23" t="s">
        <v>7890</v>
      </c>
      <c r="AC995" s="23" t="s">
        <v>7891</v>
      </c>
      <c r="AD995" s="23" t="s">
        <v>2807</v>
      </c>
    </row>
    <row r="996" customFormat="false" ht="17.9" hidden="false" customHeight="false" outlineLevel="0" collapsed="false">
      <c r="A996" s="20" t="s">
        <v>423</v>
      </c>
      <c r="B996" s="20" t="s">
        <v>99</v>
      </c>
      <c r="C996" s="20" t="s">
        <v>5162</v>
      </c>
      <c r="D996" s="20" t="s">
        <v>7892</v>
      </c>
      <c r="E996" s="20" t="s">
        <v>7893</v>
      </c>
      <c r="F996" s="20" t="s">
        <v>2818</v>
      </c>
      <c r="G996" s="20" t="s">
        <v>4838</v>
      </c>
      <c r="H996" s="22" t="n">
        <v>48</v>
      </c>
      <c r="I996" s="22" t="n">
        <v>48</v>
      </c>
      <c r="J996" s="22" t="n">
        <f aca="false">H996-I996</f>
        <v>0</v>
      </c>
      <c r="K996" s="20" t="str">
        <f aca="false">IF(ABS(J996)&lt;0.001,"MATCH - PAPER CHECK-IN NOT SUPPLIED","DATA MISMATCH")</f>
        <v>MATCH - PAPER CHECK-IN NOT SUPPLIED</v>
      </c>
      <c r="L996" s="22" t="n">
        <v>40</v>
      </c>
      <c r="M996" s="22" t="n">
        <f aca="false">ROUNDUP(H996,0)</f>
        <v>48</v>
      </c>
      <c r="N996" s="24" t="n">
        <f aca="false">MAX(L996,M996)</f>
        <v>48</v>
      </c>
      <c r="O996" s="25" t="n">
        <v>10.4</v>
      </c>
      <c r="P996" s="25" t="n">
        <f aca="false">N996*O996</f>
        <v>499.2</v>
      </c>
      <c r="Q996" s="23" t="s">
        <v>7894</v>
      </c>
      <c r="R996" s="23" t="s">
        <v>2804</v>
      </c>
      <c r="S996" s="24" t="n">
        <v>48</v>
      </c>
      <c r="T996" s="25" t="n">
        <v>10.4</v>
      </c>
      <c r="U996" s="25" t="n">
        <v>499.2</v>
      </c>
      <c r="V996" s="25" t="n">
        <f aca="false">P996-U996</f>
        <v>0</v>
      </c>
      <c r="W996" s="25" t="n">
        <f aca="false">V996*12</f>
        <v>0</v>
      </c>
      <c r="X996" s="23" t="str">
        <f aca="false">IF(Q996="","MISSING FROM EXPORT",IF(ABS(V996)&lt;0.005,"CLEAR",IF(V996&gt;0,"UNDERBILLING","OVERBILLING")))</f>
        <v>CLEAR</v>
      </c>
      <c r="Y996" s="25" t="n">
        <f aca="false">IF(F996="COMMERCIAL",ROUND(P996*0.35,2),0)</f>
        <v>0</v>
      </c>
      <c r="Z996" s="23" t="str">
        <f aca="false">IF(F996="COMMERCIAL","VERIFY SIGNED AGREEMENT","NO EXCEPTION")</f>
        <v>NO EXCEPTION</v>
      </c>
      <c r="AA996" s="23" t="str">
        <f aca="false">IF(AND(C996="covered",N996&gt;40),"COVERED &gt;40 FT","")</f>
        <v>COVERED &gt;40 FT</v>
      </c>
      <c r="AB996" s="23" t="s">
        <v>7895</v>
      </c>
      <c r="AC996" s="23" t="s">
        <v>7896</v>
      </c>
      <c r="AD996" s="23" t="s">
        <v>2807</v>
      </c>
    </row>
    <row r="997" customFormat="false" ht="17.9" hidden="false" customHeight="false" outlineLevel="0" collapsed="false">
      <c r="A997" s="20" t="s">
        <v>7897</v>
      </c>
      <c r="B997" s="20" t="s">
        <v>99</v>
      </c>
      <c r="C997" s="20" t="s">
        <v>5162</v>
      </c>
      <c r="D997" s="20" t="s">
        <v>2522</v>
      </c>
      <c r="E997" s="20" t="s">
        <v>7898</v>
      </c>
      <c r="F997" s="20" t="s">
        <v>2801</v>
      </c>
      <c r="G997" s="20" t="s">
        <v>3635</v>
      </c>
      <c r="H997" s="22" t="n">
        <v>19.9</v>
      </c>
      <c r="I997" s="22" t="n">
        <v>19.9</v>
      </c>
      <c r="J997" s="22" t="n">
        <f aca="false">H997-I997</f>
        <v>0</v>
      </c>
      <c r="K997" s="20" t="str">
        <f aca="false">IF(ABS(J997)&lt;0.001,"MATCH - PAPER CHECK-IN NOT SUPPLIED","DATA MISMATCH")</f>
        <v>MATCH - PAPER CHECK-IN NOT SUPPLIED</v>
      </c>
      <c r="L997" s="22" t="n">
        <v>24</v>
      </c>
      <c r="M997" s="22" t="n">
        <f aca="false">ROUNDUP(H997,0)</f>
        <v>20</v>
      </c>
      <c r="N997" s="24" t="n">
        <f aca="false">MAX(L997,M997)</f>
        <v>24</v>
      </c>
      <c r="O997" s="25" t="n">
        <v>10.4</v>
      </c>
      <c r="P997" s="25" t="n">
        <f aca="false">N997*O997</f>
        <v>249.6</v>
      </c>
      <c r="Q997" s="23" t="s">
        <v>7899</v>
      </c>
      <c r="R997" s="23" t="s">
        <v>2804</v>
      </c>
      <c r="S997" s="24" t="n">
        <v>24</v>
      </c>
      <c r="T997" s="25" t="n">
        <v>10.4</v>
      </c>
      <c r="U997" s="25" t="n">
        <v>249.6</v>
      </c>
      <c r="V997" s="25" t="n">
        <f aca="false">P997-U997</f>
        <v>0</v>
      </c>
      <c r="W997" s="25" t="n">
        <f aca="false">V997*12</f>
        <v>0</v>
      </c>
      <c r="X997" s="23" t="str">
        <f aca="false">IF(Q997="","MISSING FROM EXPORT",IF(ABS(V997)&lt;0.005,"CLEAR",IF(V997&gt;0,"UNDERBILLING","OVERBILLING")))</f>
        <v>CLEAR</v>
      </c>
      <c r="Y997" s="25" t="n">
        <f aca="false">IF(F997="COMMERCIAL",ROUND(P997*0.35,2),0)</f>
        <v>0</v>
      </c>
      <c r="Z997" s="23" t="str">
        <f aca="false">IF(F997="COMMERCIAL","VERIFY SIGNED AGREEMENT","NO EXCEPTION")</f>
        <v>NO EXCEPTION</v>
      </c>
      <c r="AA997" s="23" t="str">
        <f aca="false">IF(AND(C997="covered",N997&gt;40),"COVERED &gt;40 FT","")</f>
        <v/>
      </c>
      <c r="AB997" s="23" t="s">
        <v>7900</v>
      </c>
      <c r="AC997" s="23" t="s">
        <v>7901</v>
      </c>
      <c r="AD997" s="23" t="s">
        <v>2807</v>
      </c>
    </row>
    <row r="998" customFormat="false" ht="17.9" hidden="false" customHeight="false" outlineLevel="0" collapsed="false">
      <c r="A998" s="20" t="s">
        <v>7902</v>
      </c>
      <c r="B998" s="20" t="s">
        <v>99</v>
      </c>
      <c r="C998" s="20" t="s">
        <v>5162</v>
      </c>
      <c r="D998" s="20" t="s">
        <v>7903</v>
      </c>
      <c r="E998" s="20" t="s">
        <v>7904</v>
      </c>
      <c r="F998" s="20" t="s">
        <v>2857</v>
      </c>
      <c r="G998" s="20" t="s">
        <v>4846</v>
      </c>
      <c r="H998" s="22" t="n">
        <v>19.6</v>
      </c>
      <c r="I998" s="22" t="n">
        <v>19.6</v>
      </c>
      <c r="J998" s="22" t="n">
        <f aca="false">H998-I998</f>
        <v>0</v>
      </c>
      <c r="K998" s="20" t="str">
        <f aca="false">IF(ABS(J998)&lt;0.001,"MATCH - PAPER CHECK-IN NOT SUPPLIED","DATA MISMATCH")</f>
        <v>MATCH - PAPER CHECK-IN NOT SUPPLIED</v>
      </c>
      <c r="L998" s="22" t="n">
        <v>32</v>
      </c>
      <c r="M998" s="22" t="n">
        <f aca="false">ROUNDUP(H998,0)</f>
        <v>20</v>
      </c>
      <c r="N998" s="24" t="n">
        <f aca="false">MAX(L998,M998)</f>
        <v>32</v>
      </c>
      <c r="O998" s="25" t="n">
        <v>10.4</v>
      </c>
      <c r="P998" s="25" t="n">
        <f aca="false">N998*O998</f>
        <v>332.8</v>
      </c>
      <c r="Q998" s="23" t="s">
        <v>7905</v>
      </c>
      <c r="R998" s="23" t="s">
        <v>2804</v>
      </c>
      <c r="S998" s="24" t="n">
        <v>32</v>
      </c>
      <c r="T998" s="25" t="n">
        <v>10.4</v>
      </c>
      <c r="U998" s="25" t="n">
        <v>332.8</v>
      </c>
      <c r="V998" s="25" t="n">
        <f aca="false">P998-U998</f>
        <v>0</v>
      </c>
      <c r="W998" s="25" t="n">
        <f aca="false">V998*12</f>
        <v>0</v>
      </c>
      <c r="X998" s="23" t="str">
        <f aca="false">IF(Q998="","MISSING FROM EXPORT",IF(ABS(V998)&lt;0.005,"CLEAR",IF(V998&gt;0,"UNDERBILLING","OVERBILLING")))</f>
        <v>CLEAR</v>
      </c>
      <c r="Y998" s="25" t="n">
        <f aca="false">IF(F998="COMMERCIAL",ROUND(P998*0.35,2),0)</f>
        <v>0</v>
      </c>
      <c r="Z998" s="23" t="str">
        <f aca="false">IF(F998="COMMERCIAL","VERIFY SIGNED AGREEMENT","NO EXCEPTION")</f>
        <v>NO EXCEPTION</v>
      </c>
      <c r="AA998" s="23" t="str">
        <f aca="false">IF(AND(C998="covered",N998&gt;40),"COVERED &gt;40 FT","")</f>
        <v/>
      </c>
      <c r="AB998" s="23" t="s">
        <v>7906</v>
      </c>
      <c r="AC998" s="23" t="s">
        <v>7907</v>
      </c>
      <c r="AD998" s="23" t="s">
        <v>2807</v>
      </c>
    </row>
    <row r="999" customFormat="false" ht="17.9" hidden="false" customHeight="false" outlineLevel="0" collapsed="false">
      <c r="A999" s="20" t="s">
        <v>7908</v>
      </c>
      <c r="B999" s="20" t="s">
        <v>99</v>
      </c>
      <c r="C999" s="20" t="s">
        <v>5162</v>
      </c>
      <c r="D999" s="20" t="s">
        <v>7909</v>
      </c>
      <c r="E999" s="20" t="s">
        <v>7910</v>
      </c>
      <c r="F999" s="20" t="s">
        <v>2857</v>
      </c>
      <c r="G999" s="20" t="s">
        <v>3642</v>
      </c>
      <c r="H999" s="22" t="n">
        <v>42.6</v>
      </c>
      <c r="I999" s="22" t="n">
        <v>42.6</v>
      </c>
      <c r="J999" s="22" t="n">
        <f aca="false">H999-I999</f>
        <v>0</v>
      </c>
      <c r="K999" s="20" t="str">
        <f aca="false">IF(ABS(J999)&lt;0.001,"MATCH - PAPER CHECK-IN NOT SUPPLIED","DATA MISMATCH")</f>
        <v>MATCH - PAPER CHECK-IN NOT SUPPLIED</v>
      </c>
      <c r="L999" s="22" t="n">
        <v>24</v>
      </c>
      <c r="M999" s="22" t="n">
        <f aca="false">ROUNDUP(H999,0)</f>
        <v>43</v>
      </c>
      <c r="N999" s="24" t="n">
        <f aca="false">MAX(L999,M999)</f>
        <v>43</v>
      </c>
      <c r="O999" s="25" t="n">
        <v>10.4</v>
      </c>
      <c r="P999" s="25" t="n">
        <f aca="false">N999*O999</f>
        <v>447.2</v>
      </c>
      <c r="Q999" s="23" t="s">
        <v>7911</v>
      </c>
      <c r="R999" s="23" t="s">
        <v>2804</v>
      </c>
      <c r="S999" s="24" t="n">
        <v>43</v>
      </c>
      <c r="T999" s="25" t="n">
        <v>10.4</v>
      </c>
      <c r="U999" s="25" t="n">
        <v>447.2</v>
      </c>
      <c r="V999" s="25" t="n">
        <f aca="false">P999-U999</f>
        <v>0</v>
      </c>
      <c r="W999" s="25" t="n">
        <f aca="false">V999*12</f>
        <v>0</v>
      </c>
      <c r="X999" s="23" t="str">
        <f aca="false">IF(Q999="","MISSING FROM EXPORT",IF(ABS(V999)&lt;0.005,"CLEAR",IF(V999&gt;0,"UNDERBILLING","OVERBILLING")))</f>
        <v>CLEAR</v>
      </c>
      <c r="Y999" s="25" t="n">
        <f aca="false">IF(F999="COMMERCIAL",ROUND(P999*0.35,2),0)</f>
        <v>0</v>
      </c>
      <c r="Z999" s="23" t="str">
        <f aca="false">IF(F999="COMMERCIAL","VERIFY SIGNED AGREEMENT","NO EXCEPTION")</f>
        <v>NO EXCEPTION</v>
      </c>
      <c r="AA999" s="23" t="str">
        <f aca="false">IF(AND(C999="covered",N999&gt;40),"COVERED &gt;40 FT","")</f>
        <v>COVERED &gt;40 FT</v>
      </c>
      <c r="AB999" s="23" t="s">
        <v>7912</v>
      </c>
      <c r="AC999" s="23" t="s">
        <v>7913</v>
      </c>
      <c r="AD999" s="23" t="s">
        <v>2807</v>
      </c>
    </row>
    <row r="1000" customFormat="false" ht="17.9" hidden="false" customHeight="false" outlineLevel="0" collapsed="false">
      <c r="A1000" s="20" t="s">
        <v>7914</v>
      </c>
      <c r="B1000" s="20" t="s">
        <v>99</v>
      </c>
      <c r="C1000" s="20" t="s">
        <v>5162</v>
      </c>
      <c r="D1000" s="20" t="s">
        <v>7915</v>
      </c>
      <c r="E1000" s="20" t="s">
        <v>7916</v>
      </c>
      <c r="F1000" s="20" t="s">
        <v>2934</v>
      </c>
      <c r="G1000" s="20" t="s">
        <v>3648</v>
      </c>
      <c r="H1000" s="22" t="n">
        <v>19.5</v>
      </c>
      <c r="I1000" s="22" t="n">
        <v>19.5</v>
      </c>
      <c r="J1000" s="22" t="n">
        <f aca="false">H1000-I1000</f>
        <v>0</v>
      </c>
      <c r="K1000" s="20" t="str">
        <f aca="false">IF(ABS(J1000)&lt;0.001,"MATCH - PAPER CHECK-IN NOT SUPPLIED","DATA MISMATCH")</f>
        <v>MATCH - PAPER CHECK-IN NOT SUPPLIED</v>
      </c>
      <c r="L1000" s="22" t="n">
        <v>40</v>
      </c>
      <c r="M1000" s="22" t="n">
        <f aca="false">ROUNDUP(H1000,0)</f>
        <v>20</v>
      </c>
      <c r="N1000" s="24" t="n">
        <f aca="false">MAX(L1000,M1000)</f>
        <v>40</v>
      </c>
      <c r="O1000" s="25" t="n">
        <v>10.4</v>
      </c>
      <c r="P1000" s="25" t="n">
        <f aca="false">N1000*O1000</f>
        <v>416</v>
      </c>
      <c r="Q1000" s="23" t="s">
        <v>7917</v>
      </c>
      <c r="R1000" s="23" t="s">
        <v>2804</v>
      </c>
      <c r="S1000" s="24" t="n">
        <v>40</v>
      </c>
      <c r="T1000" s="25" t="n">
        <v>10.4</v>
      </c>
      <c r="U1000" s="25" t="n">
        <v>416</v>
      </c>
      <c r="V1000" s="25" t="n">
        <f aca="false">P1000-U1000</f>
        <v>0</v>
      </c>
      <c r="W1000" s="25" t="n">
        <f aca="false">V1000*12</f>
        <v>0</v>
      </c>
      <c r="X1000" s="23" t="str">
        <f aca="false">IF(Q1000="","MISSING FROM EXPORT",IF(ABS(V1000)&lt;0.005,"CLEAR",IF(V1000&gt;0,"UNDERBILLING","OVERBILLING")))</f>
        <v>CLEAR</v>
      </c>
      <c r="Y1000" s="25" t="n">
        <f aca="false">IF(F1000="COMMERCIAL",ROUND(P1000*0.35,2),0)</f>
        <v>145.6</v>
      </c>
      <c r="Z1000" s="23" t="str">
        <f aca="false">IF(F1000="COMMERCIAL","VERIFY SIGNED AGREEMENT","NO EXCEPTION")</f>
        <v>VERIFY SIGNED AGREEMENT</v>
      </c>
      <c r="AA1000" s="23" t="str">
        <f aca="false">IF(AND(C1000="covered",N1000&gt;40),"COVERED &gt;40 FT","")</f>
        <v/>
      </c>
      <c r="AB1000" s="23" t="s">
        <v>7918</v>
      </c>
      <c r="AC1000" s="23" t="s">
        <v>7919</v>
      </c>
      <c r="AD1000" s="23" t="s">
        <v>2807</v>
      </c>
    </row>
    <row r="1001" customFormat="false" ht="17.9" hidden="false" customHeight="false" outlineLevel="0" collapsed="false">
      <c r="A1001" s="20" t="s">
        <v>7920</v>
      </c>
      <c r="B1001" s="20" t="s">
        <v>99</v>
      </c>
      <c r="C1001" s="20" t="s">
        <v>5162</v>
      </c>
      <c r="D1001" s="20" t="s">
        <v>7921</v>
      </c>
      <c r="E1001" s="20" t="s">
        <v>7922</v>
      </c>
      <c r="F1001" s="20" t="s">
        <v>2833</v>
      </c>
      <c r="G1001" s="20" t="s">
        <v>5884</v>
      </c>
      <c r="H1001" s="22" t="n">
        <v>38</v>
      </c>
      <c r="I1001" s="22" t="n">
        <v>38</v>
      </c>
      <c r="J1001" s="22" t="n">
        <f aca="false">H1001-I1001</f>
        <v>0</v>
      </c>
      <c r="K1001" s="20" t="str">
        <f aca="false">IF(ABS(J1001)&lt;0.001,"MATCH - PAPER CHECK-IN NOT SUPPLIED","DATA MISMATCH")</f>
        <v>MATCH - PAPER CHECK-IN NOT SUPPLIED</v>
      </c>
      <c r="L1001" s="22" t="n">
        <v>32</v>
      </c>
      <c r="M1001" s="22" t="n">
        <f aca="false">ROUNDUP(H1001,0)</f>
        <v>38</v>
      </c>
      <c r="N1001" s="24" t="n">
        <f aca="false">MAX(L1001,M1001)</f>
        <v>38</v>
      </c>
      <c r="O1001" s="25" t="n">
        <v>10.4</v>
      </c>
      <c r="P1001" s="25" t="n">
        <f aca="false">N1001*O1001</f>
        <v>395.2</v>
      </c>
      <c r="Q1001" s="23" t="s">
        <v>7923</v>
      </c>
      <c r="R1001" s="23" t="s">
        <v>2804</v>
      </c>
      <c r="S1001" s="24" t="n">
        <v>38</v>
      </c>
      <c r="T1001" s="25" t="n">
        <v>10.4</v>
      </c>
      <c r="U1001" s="25" t="n">
        <v>395.2</v>
      </c>
      <c r="V1001" s="25" t="n">
        <f aca="false">P1001-U1001</f>
        <v>0</v>
      </c>
      <c r="W1001" s="25" t="n">
        <f aca="false">V1001*12</f>
        <v>0</v>
      </c>
      <c r="X1001" s="23" t="str">
        <f aca="false">IF(Q1001="","MISSING FROM EXPORT",IF(ABS(V1001)&lt;0.005,"CLEAR",IF(V1001&gt;0,"UNDERBILLING","OVERBILLING")))</f>
        <v>CLEAR</v>
      </c>
      <c r="Y1001" s="25" t="n">
        <f aca="false">IF(F1001="COMMERCIAL",ROUND(P1001*0.35,2),0)</f>
        <v>0</v>
      </c>
      <c r="Z1001" s="23" t="str">
        <f aca="false">IF(F1001="COMMERCIAL","VERIFY SIGNED AGREEMENT","NO EXCEPTION")</f>
        <v>NO EXCEPTION</v>
      </c>
      <c r="AA1001" s="23" t="str">
        <f aca="false">IF(AND(C1001="covered",N1001&gt;40),"COVERED &gt;40 FT","")</f>
        <v/>
      </c>
      <c r="AB1001" s="23" t="s">
        <v>7924</v>
      </c>
      <c r="AC1001" s="23" t="s">
        <v>7925</v>
      </c>
      <c r="AD1001" s="23" t="s">
        <v>2807</v>
      </c>
    </row>
    <row r="1002" customFormat="false" ht="17.9" hidden="false" customHeight="false" outlineLevel="0" collapsed="false">
      <c r="A1002" s="20" t="s">
        <v>7926</v>
      </c>
      <c r="B1002" s="20" t="s">
        <v>99</v>
      </c>
      <c r="C1002" s="20" t="s">
        <v>5162</v>
      </c>
      <c r="D1002" s="20" t="s">
        <v>7927</v>
      </c>
      <c r="E1002" s="20" t="s">
        <v>7928</v>
      </c>
      <c r="F1002" s="20" t="s">
        <v>2833</v>
      </c>
      <c r="G1002" s="20" t="s">
        <v>3662</v>
      </c>
      <c r="H1002" s="22" t="n">
        <v>60.8</v>
      </c>
      <c r="I1002" s="22" t="n">
        <v>60.8</v>
      </c>
      <c r="J1002" s="22" t="n">
        <f aca="false">H1002-I1002</f>
        <v>0</v>
      </c>
      <c r="K1002" s="20" t="str">
        <f aca="false">IF(ABS(J1002)&lt;0.001,"MATCH - PAPER CHECK-IN NOT SUPPLIED","DATA MISMATCH")</f>
        <v>MATCH - PAPER CHECK-IN NOT SUPPLIED</v>
      </c>
      <c r="L1002" s="22" t="n">
        <v>28</v>
      </c>
      <c r="M1002" s="22" t="n">
        <f aca="false">ROUNDUP(H1002,0)</f>
        <v>61</v>
      </c>
      <c r="N1002" s="24" t="n">
        <f aca="false">MAX(L1002,M1002)</f>
        <v>61</v>
      </c>
      <c r="O1002" s="25" t="n">
        <v>10.4</v>
      </c>
      <c r="P1002" s="25" t="n">
        <f aca="false">N1002*O1002</f>
        <v>634.4</v>
      </c>
      <c r="Q1002" s="23" t="s">
        <v>7929</v>
      </c>
      <c r="R1002" s="23" t="s">
        <v>2804</v>
      </c>
      <c r="S1002" s="24" t="n">
        <v>61</v>
      </c>
      <c r="T1002" s="25" t="n">
        <v>10.4</v>
      </c>
      <c r="U1002" s="25" t="n">
        <v>634.4</v>
      </c>
      <c r="V1002" s="25" t="n">
        <f aca="false">P1002-U1002</f>
        <v>0</v>
      </c>
      <c r="W1002" s="25" t="n">
        <f aca="false">V1002*12</f>
        <v>0</v>
      </c>
      <c r="X1002" s="23" t="str">
        <f aca="false">IF(Q1002="","MISSING FROM EXPORT",IF(ABS(V1002)&lt;0.005,"CLEAR",IF(V1002&gt;0,"UNDERBILLING","OVERBILLING")))</f>
        <v>CLEAR</v>
      </c>
      <c r="Y1002" s="25" t="n">
        <f aca="false">IF(F1002="COMMERCIAL",ROUND(P1002*0.35,2),0)</f>
        <v>0</v>
      </c>
      <c r="Z1002" s="23" t="str">
        <f aca="false">IF(F1002="COMMERCIAL","VERIFY SIGNED AGREEMENT","NO EXCEPTION")</f>
        <v>NO EXCEPTION</v>
      </c>
      <c r="AA1002" s="23" t="str">
        <f aca="false">IF(AND(C1002="covered",N1002&gt;40),"COVERED &gt;40 FT","")</f>
        <v>COVERED &gt;40 FT</v>
      </c>
      <c r="AB1002" s="23" t="s">
        <v>7930</v>
      </c>
      <c r="AC1002" s="23" t="s">
        <v>7931</v>
      </c>
      <c r="AD1002" s="23" t="s">
        <v>2807</v>
      </c>
    </row>
    <row r="1003" customFormat="false" ht="17.9" hidden="false" customHeight="false" outlineLevel="0" collapsed="false">
      <c r="A1003" s="20" t="s">
        <v>7932</v>
      </c>
      <c r="B1003" s="20" t="s">
        <v>99</v>
      </c>
      <c r="C1003" s="20" t="s">
        <v>5162</v>
      </c>
      <c r="D1003" s="20" t="s">
        <v>7933</v>
      </c>
      <c r="E1003" s="20" t="s">
        <v>7934</v>
      </c>
      <c r="F1003" s="20" t="s">
        <v>2833</v>
      </c>
      <c r="G1003" s="20" t="s">
        <v>3669</v>
      </c>
      <c r="H1003" s="22" t="n">
        <v>43.1</v>
      </c>
      <c r="I1003" s="22" t="n">
        <v>43.1</v>
      </c>
      <c r="J1003" s="22" t="n">
        <f aca="false">H1003-I1003</f>
        <v>0</v>
      </c>
      <c r="K1003" s="20" t="str">
        <f aca="false">IF(ABS(J1003)&lt;0.001,"MATCH - PAPER CHECK-IN NOT SUPPLIED","DATA MISMATCH")</f>
        <v>MATCH - PAPER CHECK-IN NOT SUPPLIED</v>
      </c>
      <c r="L1003" s="22" t="n">
        <v>40</v>
      </c>
      <c r="M1003" s="22" t="n">
        <f aca="false">ROUNDUP(H1003,0)</f>
        <v>44</v>
      </c>
      <c r="N1003" s="24" t="n">
        <f aca="false">MAX(L1003,M1003)</f>
        <v>44</v>
      </c>
      <c r="O1003" s="25" t="n">
        <v>10.4</v>
      </c>
      <c r="P1003" s="25" t="n">
        <f aca="false">N1003*O1003</f>
        <v>457.6</v>
      </c>
      <c r="Q1003" s="23" t="s">
        <v>7935</v>
      </c>
      <c r="R1003" s="23" t="s">
        <v>2804</v>
      </c>
      <c r="S1003" s="24" t="n">
        <v>44</v>
      </c>
      <c r="T1003" s="25" t="n">
        <v>10.4</v>
      </c>
      <c r="U1003" s="25" t="n">
        <v>457.6</v>
      </c>
      <c r="V1003" s="25" t="n">
        <f aca="false">P1003-U1003</f>
        <v>0</v>
      </c>
      <c r="W1003" s="25" t="n">
        <f aca="false">V1003*12</f>
        <v>0</v>
      </c>
      <c r="X1003" s="23" t="str">
        <f aca="false">IF(Q1003="","MISSING FROM EXPORT",IF(ABS(V1003)&lt;0.005,"CLEAR",IF(V1003&gt;0,"UNDERBILLING","OVERBILLING")))</f>
        <v>CLEAR</v>
      </c>
      <c r="Y1003" s="25" t="n">
        <f aca="false">IF(F1003="COMMERCIAL",ROUND(P1003*0.35,2),0)</f>
        <v>0</v>
      </c>
      <c r="Z1003" s="23" t="str">
        <f aca="false">IF(F1003="COMMERCIAL","VERIFY SIGNED AGREEMENT","NO EXCEPTION")</f>
        <v>NO EXCEPTION</v>
      </c>
      <c r="AA1003" s="23" t="str">
        <f aca="false">IF(AND(C1003="covered",N1003&gt;40),"COVERED &gt;40 FT","")</f>
        <v>COVERED &gt;40 FT</v>
      </c>
      <c r="AB1003" s="23" t="s">
        <v>7936</v>
      </c>
      <c r="AC1003" s="23" t="s">
        <v>7937</v>
      </c>
      <c r="AD1003" s="23" t="s">
        <v>2807</v>
      </c>
    </row>
    <row r="1004" customFormat="false" ht="17.9" hidden="false" customHeight="false" outlineLevel="0" collapsed="false">
      <c r="A1004" s="20" t="s">
        <v>513</v>
      </c>
      <c r="B1004" s="20" t="s">
        <v>99</v>
      </c>
      <c r="C1004" s="20" t="s">
        <v>5162</v>
      </c>
      <c r="D1004" s="20" t="s">
        <v>7938</v>
      </c>
      <c r="E1004" s="20" t="s">
        <v>7939</v>
      </c>
      <c r="F1004" s="20" t="s">
        <v>2898</v>
      </c>
      <c r="G1004" s="20" t="s">
        <v>3676</v>
      </c>
      <c r="H1004" s="22" t="n">
        <v>45.4</v>
      </c>
      <c r="I1004" s="22" t="n">
        <v>45.4</v>
      </c>
      <c r="J1004" s="22" t="n">
        <f aca="false">H1004-I1004</f>
        <v>0</v>
      </c>
      <c r="K1004" s="20" t="str">
        <f aca="false">IF(ABS(J1004)&lt;0.001,"MATCH - PAPER CHECK-IN NOT SUPPLIED","DATA MISMATCH")</f>
        <v>MATCH - PAPER CHECK-IN NOT SUPPLIED</v>
      </c>
      <c r="L1004" s="22" t="n">
        <v>28</v>
      </c>
      <c r="M1004" s="22" t="n">
        <f aca="false">ROUNDUP(H1004,0)</f>
        <v>46</v>
      </c>
      <c r="N1004" s="24" t="n">
        <f aca="false">MAX(L1004,M1004)</f>
        <v>46</v>
      </c>
      <c r="O1004" s="25" t="n">
        <v>10.4</v>
      </c>
      <c r="P1004" s="25" t="n">
        <f aca="false">N1004*O1004</f>
        <v>478.4</v>
      </c>
      <c r="Q1004" s="23" t="s">
        <v>7940</v>
      </c>
      <c r="R1004" s="23" t="s">
        <v>2804</v>
      </c>
      <c r="S1004" s="24" t="n">
        <v>46</v>
      </c>
      <c r="T1004" s="25" t="n">
        <v>10.4</v>
      </c>
      <c r="U1004" s="25" t="n">
        <v>478.4</v>
      </c>
      <c r="V1004" s="25" t="n">
        <f aca="false">P1004-U1004</f>
        <v>0</v>
      </c>
      <c r="W1004" s="25" t="n">
        <f aca="false">V1004*12</f>
        <v>0</v>
      </c>
      <c r="X1004" s="23" t="str">
        <f aca="false">IF(Q1004="","MISSING FROM EXPORT",IF(ABS(V1004)&lt;0.005,"CLEAR",IF(V1004&gt;0,"UNDERBILLING","OVERBILLING")))</f>
        <v>CLEAR</v>
      </c>
      <c r="Y1004" s="25" t="n">
        <f aca="false">IF(F1004="COMMERCIAL",ROUND(P1004*0.35,2),0)</f>
        <v>0</v>
      </c>
      <c r="Z1004" s="23" t="str">
        <f aca="false">IF(F1004="COMMERCIAL","VERIFY SIGNED AGREEMENT","NO EXCEPTION")</f>
        <v>NO EXCEPTION</v>
      </c>
      <c r="AA1004" s="23" t="str">
        <f aca="false">IF(AND(C1004="covered",N1004&gt;40),"COVERED &gt;40 FT","")</f>
        <v>COVERED &gt;40 FT</v>
      </c>
      <c r="AB1004" s="23" t="s">
        <v>7941</v>
      </c>
      <c r="AC1004" s="23" t="s">
        <v>7942</v>
      </c>
      <c r="AD1004" s="23" t="s">
        <v>2807</v>
      </c>
    </row>
    <row r="1005" customFormat="false" ht="17.9" hidden="false" customHeight="false" outlineLevel="0" collapsed="false">
      <c r="A1005" s="20" t="s">
        <v>7943</v>
      </c>
      <c r="B1005" s="20" t="s">
        <v>99</v>
      </c>
      <c r="C1005" s="20" t="s">
        <v>5162</v>
      </c>
      <c r="D1005" s="20" t="s">
        <v>7944</v>
      </c>
      <c r="E1005" s="20" t="s">
        <v>7945</v>
      </c>
      <c r="F1005" s="20" t="s">
        <v>2833</v>
      </c>
      <c r="G1005" s="20" t="s">
        <v>3683</v>
      </c>
      <c r="H1005" s="22" t="n">
        <v>33.5</v>
      </c>
      <c r="I1005" s="22" t="n">
        <v>33.5</v>
      </c>
      <c r="J1005" s="22" t="n">
        <f aca="false">H1005-I1005</f>
        <v>0</v>
      </c>
      <c r="K1005" s="20" t="str">
        <f aca="false">IF(ABS(J1005)&lt;0.001,"MATCH - PAPER CHECK-IN NOT SUPPLIED","DATA MISMATCH")</f>
        <v>MATCH - PAPER CHECK-IN NOT SUPPLIED</v>
      </c>
      <c r="L1005" s="22" t="n">
        <v>32</v>
      </c>
      <c r="M1005" s="22" t="n">
        <f aca="false">ROUNDUP(H1005,0)</f>
        <v>34</v>
      </c>
      <c r="N1005" s="24" t="n">
        <f aca="false">MAX(L1005,M1005)</f>
        <v>34</v>
      </c>
      <c r="O1005" s="25" t="n">
        <v>10.4</v>
      </c>
      <c r="P1005" s="25" t="n">
        <f aca="false">N1005*O1005</f>
        <v>353.6</v>
      </c>
      <c r="Q1005" s="23" t="s">
        <v>7946</v>
      </c>
      <c r="R1005" s="23" t="s">
        <v>2804</v>
      </c>
      <c r="S1005" s="24" t="n">
        <v>34</v>
      </c>
      <c r="T1005" s="25" t="n">
        <v>10.4</v>
      </c>
      <c r="U1005" s="25" t="n">
        <v>353.6</v>
      </c>
      <c r="V1005" s="25" t="n">
        <f aca="false">P1005-U1005</f>
        <v>0</v>
      </c>
      <c r="W1005" s="25" t="n">
        <f aca="false">V1005*12</f>
        <v>0</v>
      </c>
      <c r="X1005" s="23" t="str">
        <f aca="false">IF(Q1005="","MISSING FROM EXPORT",IF(ABS(V1005)&lt;0.005,"CLEAR",IF(V1005&gt;0,"UNDERBILLING","OVERBILLING")))</f>
        <v>CLEAR</v>
      </c>
      <c r="Y1005" s="25" t="n">
        <f aca="false">IF(F1005="COMMERCIAL",ROUND(P1005*0.35,2),0)</f>
        <v>0</v>
      </c>
      <c r="Z1005" s="23" t="str">
        <f aca="false">IF(F1005="COMMERCIAL","VERIFY SIGNED AGREEMENT","NO EXCEPTION")</f>
        <v>NO EXCEPTION</v>
      </c>
      <c r="AA1005" s="23" t="str">
        <f aca="false">IF(AND(C1005="covered",N1005&gt;40),"COVERED &gt;40 FT","")</f>
        <v/>
      </c>
      <c r="AB1005" s="23" t="s">
        <v>7947</v>
      </c>
      <c r="AC1005" s="23" t="s">
        <v>7948</v>
      </c>
      <c r="AD1005" s="23" t="s">
        <v>2807</v>
      </c>
    </row>
    <row r="1006" customFormat="false" ht="17.9" hidden="false" customHeight="false" outlineLevel="0" collapsed="false">
      <c r="A1006" s="20" t="s">
        <v>1847</v>
      </c>
      <c r="B1006" s="20" t="s">
        <v>99</v>
      </c>
      <c r="C1006" s="20" t="s">
        <v>5162</v>
      </c>
      <c r="D1006" s="20" t="s">
        <v>845</v>
      </c>
      <c r="E1006" s="20" t="s">
        <v>7949</v>
      </c>
      <c r="F1006" s="20" t="s">
        <v>2869</v>
      </c>
      <c r="G1006" s="20" t="s">
        <v>4872</v>
      </c>
      <c r="H1006" s="22" t="n">
        <v>19.6</v>
      </c>
      <c r="I1006" s="22" t="n">
        <v>19.6</v>
      </c>
      <c r="J1006" s="22" t="n">
        <f aca="false">H1006-I1006</f>
        <v>0</v>
      </c>
      <c r="K1006" s="20" t="str">
        <f aca="false">IF(ABS(J1006)&lt;0.001,"MATCH - PAPER CHECK-IN NOT SUPPLIED","DATA MISMATCH")</f>
        <v>MATCH - PAPER CHECK-IN NOT SUPPLIED</v>
      </c>
      <c r="L1006" s="22" t="n">
        <v>28</v>
      </c>
      <c r="M1006" s="22" t="n">
        <f aca="false">ROUNDUP(H1006,0)</f>
        <v>20</v>
      </c>
      <c r="N1006" s="24" t="n">
        <f aca="false">MAX(L1006,M1006)</f>
        <v>28</v>
      </c>
      <c r="O1006" s="25" t="n">
        <v>10.4</v>
      </c>
      <c r="P1006" s="25" t="n">
        <f aca="false">N1006*O1006</f>
        <v>291.2</v>
      </c>
      <c r="Q1006" s="23" t="s">
        <v>7950</v>
      </c>
      <c r="R1006" s="23" t="s">
        <v>2804</v>
      </c>
      <c r="S1006" s="24" t="n">
        <v>28</v>
      </c>
      <c r="T1006" s="25" t="n">
        <v>10.4</v>
      </c>
      <c r="U1006" s="25" t="n">
        <v>291.2</v>
      </c>
      <c r="V1006" s="25" t="n">
        <f aca="false">P1006-U1006</f>
        <v>0</v>
      </c>
      <c r="W1006" s="25" t="n">
        <f aca="false">V1006*12</f>
        <v>0</v>
      </c>
      <c r="X1006" s="23" t="str">
        <f aca="false">IF(Q1006="","MISSING FROM EXPORT",IF(ABS(V1006)&lt;0.005,"CLEAR",IF(V1006&gt;0,"UNDERBILLING","OVERBILLING")))</f>
        <v>CLEAR</v>
      </c>
      <c r="Y1006" s="25" t="n">
        <f aca="false">IF(F1006="COMMERCIAL",ROUND(P1006*0.35,2),0)</f>
        <v>0</v>
      </c>
      <c r="Z1006" s="23" t="str">
        <f aca="false">IF(F1006="COMMERCIAL","VERIFY SIGNED AGREEMENT","NO EXCEPTION")</f>
        <v>NO EXCEPTION</v>
      </c>
      <c r="AA1006" s="23" t="str">
        <f aca="false">IF(AND(C1006="covered",N1006&gt;40),"COVERED &gt;40 FT","")</f>
        <v/>
      </c>
      <c r="AB1006" s="23" t="s">
        <v>7951</v>
      </c>
      <c r="AC1006" s="23" t="s">
        <v>7952</v>
      </c>
      <c r="AD1006" s="23" t="s">
        <v>2807</v>
      </c>
    </row>
    <row r="1007" customFormat="false" ht="17.9" hidden="false" customHeight="false" outlineLevel="0" collapsed="false">
      <c r="A1007" s="20" t="s">
        <v>7953</v>
      </c>
      <c r="B1007" s="20" t="s">
        <v>99</v>
      </c>
      <c r="C1007" s="20" t="s">
        <v>5162</v>
      </c>
      <c r="D1007" s="20" t="s">
        <v>7954</v>
      </c>
      <c r="E1007" s="20" t="s">
        <v>7955</v>
      </c>
      <c r="F1007" s="20" t="s">
        <v>2833</v>
      </c>
      <c r="G1007" s="20" t="s">
        <v>3689</v>
      </c>
      <c r="H1007" s="22" t="n">
        <v>21.4</v>
      </c>
      <c r="I1007" s="22" t="n">
        <v>21.4</v>
      </c>
      <c r="J1007" s="22" t="n">
        <f aca="false">H1007-I1007</f>
        <v>0</v>
      </c>
      <c r="K1007" s="20" t="str">
        <f aca="false">IF(ABS(J1007)&lt;0.001,"MATCH - PAPER CHECK-IN NOT SUPPLIED","DATA MISMATCH")</f>
        <v>MATCH - PAPER CHECK-IN NOT SUPPLIED</v>
      </c>
      <c r="L1007" s="22" t="n">
        <v>36</v>
      </c>
      <c r="M1007" s="22" t="n">
        <f aca="false">ROUNDUP(H1007,0)</f>
        <v>22</v>
      </c>
      <c r="N1007" s="24" t="n">
        <f aca="false">MAX(L1007,M1007)</f>
        <v>36</v>
      </c>
      <c r="O1007" s="25" t="n">
        <v>10.4</v>
      </c>
      <c r="P1007" s="25" t="n">
        <f aca="false">N1007*O1007</f>
        <v>374.4</v>
      </c>
      <c r="Q1007" s="23" t="s">
        <v>7956</v>
      </c>
      <c r="R1007" s="23" t="s">
        <v>2804</v>
      </c>
      <c r="S1007" s="24" t="n">
        <v>36</v>
      </c>
      <c r="T1007" s="25" t="n">
        <v>10.4</v>
      </c>
      <c r="U1007" s="25" t="n">
        <v>374.4</v>
      </c>
      <c r="V1007" s="25" t="n">
        <f aca="false">P1007-U1007</f>
        <v>0</v>
      </c>
      <c r="W1007" s="25" t="n">
        <f aca="false">V1007*12</f>
        <v>0</v>
      </c>
      <c r="X1007" s="23" t="str">
        <f aca="false">IF(Q1007="","MISSING FROM EXPORT",IF(ABS(V1007)&lt;0.005,"CLEAR",IF(V1007&gt;0,"UNDERBILLING","OVERBILLING")))</f>
        <v>CLEAR</v>
      </c>
      <c r="Y1007" s="25" t="n">
        <f aca="false">IF(F1007="COMMERCIAL",ROUND(P1007*0.35,2),0)</f>
        <v>0</v>
      </c>
      <c r="Z1007" s="23" t="str">
        <f aca="false">IF(F1007="COMMERCIAL","VERIFY SIGNED AGREEMENT","NO EXCEPTION")</f>
        <v>NO EXCEPTION</v>
      </c>
      <c r="AA1007" s="23" t="str">
        <f aca="false">IF(AND(C1007="covered",N1007&gt;40),"COVERED &gt;40 FT","")</f>
        <v/>
      </c>
      <c r="AB1007" s="23" t="s">
        <v>7957</v>
      </c>
      <c r="AC1007" s="23" t="s">
        <v>7958</v>
      </c>
      <c r="AD1007" s="23" t="s">
        <v>2807</v>
      </c>
    </row>
    <row r="1008" customFormat="false" ht="17.9" hidden="false" customHeight="false" outlineLevel="0" collapsed="false">
      <c r="A1008" s="20" t="s">
        <v>7959</v>
      </c>
      <c r="B1008" s="20" t="s">
        <v>99</v>
      </c>
      <c r="C1008" s="20" t="s">
        <v>5162</v>
      </c>
      <c r="D1008" s="20" t="s">
        <v>7960</v>
      </c>
      <c r="E1008" s="20" t="s">
        <v>7961</v>
      </c>
      <c r="F1008" s="20" t="s">
        <v>2818</v>
      </c>
      <c r="G1008" s="20" t="s">
        <v>3694</v>
      </c>
      <c r="H1008" s="22" t="n">
        <v>43.5</v>
      </c>
      <c r="I1008" s="22" t="n">
        <v>43.5</v>
      </c>
      <c r="J1008" s="22" t="n">
        <f aca="false">H1008-I1008</f>
        <v>0</v>
      </c>
      <c r="K1008" s="20" t="str">
        <f aca="false">IF(ABS(J1008)&lt;0.001,"MATCH - PAPER CHECK-IN NOT SUPPLIED","DATA MISMATCH")</f>
        <v>MATCH - PAPER CHECK-IN NOT SUPPLIED</v>
      </c>
      <c r="L1008" s="22" t="n">
        <v>40</v>
      </c>
      <c r="M1008" s="22" t="n">
        <f aca="false">ROUNDUP(H1008,0)</f>
        <v>44</v>
      </c>
      <c r="N1008" s="24" t="n">
        <f aca="false">MAX(L1008,M1008)</f>
        <v>44</v>
      </c>
      <c r="O1008" s="25" t="n">
        <v>10.4</v>
      </c>
      <c r="P1008" s="25" t="n">
        <f aca="false">N1008*O1008</f>
        <v>457.6</v>
      </c>
      <c r="Q1008" s="23" t="s">
        <v>7962</v>
      </c>
      <c r="R1008" s="23" t="s">
        <v>2804</v>
      </c>
      <c r="S1008" s="24" t="n">
        <v>44</v>
      </c>
      <c r="T1008" s="25" t="n">
        <v>10.4</v>
      </c>
      <c r="U1008" s="25" t="n">
        <v>457.6</v>
      </c>
      <c r="V1008" s="25" t="n">
        <f aca="false">P1008-U1008</f>
        <v>0</v>
      </c>
      <c r="W1008" s="25" t="n">
        <f aca="false">V1008*12</f>
        <v>0</v>
      </c>
      <c r="X1008" s="23" t="str">
        <f aca="false">IF(Q1008="","MISSING FROM EXPORT",IF(ABS(V1008)&lt;0.005,"CLEAR",IF(V1008&gt;0,"UNDERBILLING","OVERBILLING")))</f>
        <v>CLEAR</v>
      </c>
      <c r="Y1008" s="25" t="n">
        <f aca="false">IF(F1008="COMMERCIAL",ROUND(P1008*0.35,2),0)</f>
        <v>0</v>
      </c>
      <c r="Z1008" s="23" t="str">
        <f aca="false">IF(F1008="COMMERCIAL","VERIFY SIGNED AGREEMENT","NO EXCEPTION")</f>
        <v>NO EXCEPTION</v>
      </c>
      <c r="AA1008" s="23" t="str">
        <f aca="false">IF(AND(C1008="covered",N1008&gt;40),"COVERED &gt;40 FT","")</f>
        <v>COVERED &gt;40 FT</v>
      </c>
      <c r="AB1008" s="23" t="s">
        <v>7963</v>
      </c>
      <c r="AC1008" s="23" t="s">
        <v>7964</v>
      </c>
      <c r="AD1008" s="23" t="s">
        <v>2807</v>
      </c>
    </row>
    <row r="1009" customFormat="false" ht="17.9" hidden="false" customHeight="false" outlineLevel="0" collapsed="false">
      <c r="A1009" s="20" t="s">
        <v>7965</v>
      </c>
      <c r="B1009" s="20" t="s">
        <v>99</v>
      </c>
      <c r="C1009" s="20" t="s">
        <v>5162</v>
      </c>
      <c r="D1009" s="20" t="s">
        <v>7966</v>
      </c>
      <c r="E1009" s="20" t="s">
        <v>7967</v>
      </c>
      <c r="F1009" s="20" t="s">
        <v>2818</v>
      </c>
      <c r="G1009" s="20" t="s">
        <v>3701</v>
      </c>
      <c r="H1009" s="22" t="n">
        <v>36.7</v>
      </c>
      <c r="I1009" s="22" t="n">
        <v>36.7</v>
      </c>
      <c r="J1009" s="22" t="n">
        <f aca="false">H1009-I1009</f>
        <v>0</v>
      </c>
      <c r="K1009" s="20" t="str">
        <f aca="false">IF(ABS(J1009)&lt;0.001,"MATCH - PAPER CHECK-IN NOT SUPPLIED","DATA MISMATCH")</f>
        <v>MATCH - PAPER CHECK-IN NOT SUPPLIED</v>
      </c>
      <c r="L1009" s="22" t="n">
        <v>36</v>
      </c>
      <c r="M1009" s="22" t="n">
        <f aca="false">ROUNDUP(H1009,0)</f>
        <v>37</v>
      </c>
      <c r="N1009" s="24" t="n">
        <f aca="false">MAX(L1009,M1009)</f>
        <v>37</v>
      </c>
      <c r="O1009" s="25" t="n">
        <v>10.4</v>
      </c>
      <c r="P1009" s="25" t="n">
        <f aca="false">N1009*O1009</f>
        <v>384.8</v>
      </c>
      <c r="Q1009" s="23" t="s">
        <v>7968</v>
      </c>
      <c r="R1009" s="23" t="s">
        <v>2804</v>
      </c>
      <c r="S1009" s="24" t="n">
        <v>37</v>
      </c>
      <c r="T1009" s="25" t="n">
        <v>10.4</v>
      </c>
      <c r="U1009" s="25" t="n">
        <v>384.8</v>
      </c>
      <c r="V1009" s="25" t="n">
        <f aca="false">P1009-U1009</f>
        <v>0</v>
      </c>
      <c r="W1009" s="25" t="n">
        <f aca="false">V1009*12</f>
        <v>0</v>
      </c>
      <c r="X1009" s="23" t="str">
        <f aca="false">IF(Q1009="","MISSING FROM EXPORT",IF(ABS(V1009)&lt;0.005,"CLEAR",IF(V1009&gt;0,"UNDERBILLING","OVERBILLING")))</f>
        <v>CLEAR</v>
      </c>
      <c r="Y1009" s="25" t="n">
        <f aca="false">IF(F1009="COMMERCIAL",ROUND(P1009*0.35,2),0)</f>
        <v>0</v>
      </c>
      <c r="Z1009" s="23" t="str">
        <f aca="false">IF(F1009="COMMERCIAL","VERIFY SIGNED AGREEMENT","NO EXCEPTION")</f>
        <v>NO EXCEPTION</v>
      </c>
      <c r="AA1009" s="23" t="str">
        <f aca="false">IF(AND(C1009="covered",N1009&gt;40),"COVERED &gt;40 FT","")</f>
        <v/>
      </c>
      <c r="AB1009" s="23" t="s">
        <v>7969</v>
      </c>
      <c r="AC1009" s="23" t="s">
        <v>7970</v>
      </c>
      <c r="AD1009" s="23" t="s">
        <v>2807</v>
      </c>
    </row>
    <row r="1010" customFormat="false" ht="17.9" hidden="false" customHeight="false" outlineLevel="0" collapsed="false">
      <c r="A1010" s="20" t="s">
        <v>7971</v>
      </c>
      <c r="B1010" s="20" t="s">
        <v>99</v>
      </c>
      <c r="C1010" s="20" t="s">
        <v>5162</v>
      </c>
      <c r="D1010" s="20" t="s">
        <v>7972</v>
      </c>
      <c r="E1010" s="20" t="s">
        <v>7973</v>
      </c>
      <c r="F1010" s="20" t="s">
        <v>2898</v>
      </c>
      <c r="G1010" s="20" t="s">
        <v>4882</v>
      </c>
      <c r="H1010" s="22" t="n">
        <v>37.2</v>
      </c>
      <c r="I1010" s="22" t="n">
        <v>37.2</v>
      </c>
      <c r="J1010" s="22" t="n">
        <f aca="false">H1010-I1010</f>
        <v>0</v>
      </c>
      <c r="K1010" s="20" t="str">
        <f aca="false">IF(ABS(J1010)&lt;0.001,"MATCH - PAPER CHECK-IN NOT SUPPLIED","DATA MISMATCH")</f>
        <v>MATCH - PAPER CHECK-IN NOT SUPPLIED</v>
      </c>
      <c r="L1010" s="22" t="n">
        <v>36</v>
      </c>
      <c r="M1010" s="22" t="n">
        <f aca="false">ROUNDUP(H1010,0)</f>
        <v>38</v>
      </c>
      <c r="N1010" s="24" t="n">
        <f aca="false">MAX(L1010,M1010)</f>
        <v>38</v>
      </c>
      <c r="O1010" s="25" t="n">
        <v>10.4</v>
      </c>
      <c r="P1010" s="25" t="n">
        <f aca="false">N1010*O1010</f>
        <v>395.2</v>
      </c>
      <c r="Q1010" s="23" t="s">
        <v>7974</v>
      </c>
      <c r="R1010" s="23" t="s">
        <v>2804</v>
      </c>
      <c r="S1010" s="24" t="n">
        <v>38</v>
      </c>
      <c r="T1010" s="25" t="n">
        <v>10.4</v>
      </c>
      <c r="U1010" s="25" t="n">
        <v>395.2</v>
      </c>
      <c r="V1010" s="25" t="n">
        <f aca="false">P1010-U1010</f>
        <v>0</v>
      </c>
      <c r="W1010" s="25" t="n">
        <f aca="false">V1010*12</f>
        <v>0</v>
      </c>
      <c r="X1010" s="23" t="str">
        <f aca="false">IF(Q1010="","MISSING FROM EXPORT",IF(ABS(V1010)&lt;0.005,"CLEAR",IF(V1010&gt;0,"UNDERBILLING","OVERBILLING")))</f>
        <v>CLEAR</v>
      </c>
      <c r="Y1010" s="25" t="n">
        <f aca="false">IF(F1010="COMMERCIAL",ROUND(P1010*0.35,2),0)</f>
        <v>0</v>
      </c>
      <c r="Z1010" s="23" t="str">
        <f aca="false">IF(F1010="COMMERCIAL","VERIFY SIGNED AGREEMENT","NO EXCEPTION")</f>
        <v>NO EXCEPTION</v>
      </c>
      <c r="AA1010" s="23" t="str">
        <f aca="false">IF(AND(C1010="covered",N1010&gt;40),"COVERED &gt;40 FT","")</f>
        <v/>
      </c>
      <c r="AB1010" s="23" t="s">
        <v>7975</v>
      </c>
      <c r="AC1010" s="23" t="s">
        <v>7976</v>
      </c>
      <c r="AD1010" s="23" t="s">
        <v>2807</v>
      </c>
    </row>
    <row r="1011" customFormat="false" ht="17.9" hidden="false" customHeight="false" outlineLevel="0" collapsed="false">
      <c r="A1011" s="20" t="s">
        <v>7977</v>
      </c>
      <c r="B1011" s="20" t="s">
        <v>99</v>
      </c>
      <c r="C1011" s="20" t="s">
        <v>5162</v>
      </c>
      <c r="D1011" s="20" t="s">
        <v>7978</v>
      </c>
      <c r="E1011" s="20" t="s">
        <v>7979</v>
      </c>
      <c r="F1011" s="20" t="s">
        <v>2810</v>
      </c>
      <c r="G1011" s="20" t="s">
        <v>3708</v>
      </c>
      <c r="H1011" s="22" t="n">
        <v>40.6</v>
      </c>
      <c r="I1011" s="22" t="n">
        <v>40.6</v>
      </c>
      <c r="J1011" s="22" t="n">
        <f aca="false">H1011-I1011</f>
        <v>0</v>
      </c>
      <c r="K1011" s="20" t="str">
        <f aca="false">IF(ABS(J1011)&lt;0.001,"MATCH - PAPER CHECK-IN NOT SUPPLIED","DATA MISMATCH")</f>
        <v>MATCH - PAPER CHECK-IN NOT SUPPLIED</v>
      </c>
      <c r="L1011" s="22" t="n">
        <v>28</v>
      </c>
      <c r="M1011" s="22" t="n">
        <f aca="false">ROUNDUP(H1011,0)</f>
        <v>41</v>
      </c>
      <c r="N1011" s="24" t="n">
        <f aca="false">MAX(L1011,M1011)</f>
        <v>41</v>
      </c>
      <c r="O1011" s="25" t="n">
        <v>10.4</v>
      </c>
      <c r="P1011" s="25" t="n">
        <f aca="false">N1011*O1011</f>
        <v>426.4</v>
      </c>
      <c r="Q1011" s="23" t="s">
        <v>7980</v>
      </c>
      <c r="R1011" s="23" t="s">
        <v>2804</v>
      </c>
      <c r="S1011" s="24" t="n">
        <v>41</v>
      </c>
      <c r="T1011" s="25" t="n">
        <v>10.4</v>
      </c>
      <c r="U1011" s="25" t="n">
        <v>426.4</v>
      </c>
      <c r="V1011" s="25" t="n">
        <f aca="false">P1011-U1011</f>
        <v>0</v>
      </c>
      <c r="W1011" s="25" t="n">
        <f aca="false">V1011*12</f>
        <v>0</v>
      </c>
      <c r="X1011" s="23" t="str">
        <f aca="false">IF(Q1011="","MISSING FROM EXPORT",IF(ABS(V1011)&lt;0.005,"CLEAR",IF(V1011&gt;0,"UNDERBILLING","OVERBILLING")))</f>
        <v>CLEAR</v>
      </c>
      <c r="Y1011" s="25" t="n">
        <f aca="false">IF(F1011="COMMERCIAL",ROUND(P1011*0.35,2),0)</f>
        <v>0</v>
      </c>
      <c r="Z1011" s="23" t="str">
        <f aca="false">IF(F1011="COMMERCIAL","VERIFY SIGNED AGREEMENT","NO EXCEPTION")</f>
        <v>NO EXCEPTION</v>
      </c>
      <c r="AA1011" s="23" t="str">
        <f aca="false">IF(AND(C1011="covered",N1011&gt;40),"COVERED &gt;40 FT","")</f>
        <v>COVERED &gt;40 FT</v>
      </c>
      <c r="AB1011" s="23" t="s">
        <v>7981</v>
      </c>
      <c r="AC1011" s="23" t="s">
        <v>7982</v>
      </c>
      <c r="AD1011" s="23" t="s">
        <v>2807</v>
      </c>
    </row>
    <row r="1012" customFormat="false" ht="17.9" hidden="false" customHeight="false" outlineLevel="0" collapsed="false">
      <c r="A1012" s="20" t="s">
        <v>7983</v>
      </c>
      <c r="B1012" s="20" t="s">
        <v>99</v>
      </c>
      <c r="C1012" s="20" t="s">
        <v>5162</v>
      </c>
      <c r="D1012" s="20" t="s">
        <v>7984</v>
      </c>
      <c r="E1012" s="20" t="s">
        <v>7985</v>
      </c>
      <c r="F1012" s="20" t="s">
        <v>2898</v>
      </c>
      <c r="G1012" s="20" t="s">
        <v>3715</v>
      </c>
      <c r="H1012" s="22" t="n">
        <v>33.8</v>
      </c>
      <c r="I1012" s="22" t="n">
        <v>33.8</v>
      </c>
      <c r="J1012" s="22" t="n">
        <f aca="false">H1012-I1012</f>
        <v>0</v>
      </c>
      <c r="K1012" s="20" t="str">
        <f aca="false">IF(ABS(J1012)&lt;0.001,"MATCH - PAPER CHECK-IN NOT SUPPLIED","DATA MISMATCH")</f>
        <v>MATCH - PAPER CHECK-IN NOT SUPPLIED</v>
      </c>
      <c r="L1012" s="22" t="n">
        <v>32</v>
      </c>
      <c r="M1012" s="22" t="n">
        <f aca="false">ROUNDUP(H1012,0)</f>
        <v>34</v>
      </c>
      <c r="N1012" s="24" t="n">
        <f aca="false">MAX(L1012,M1012)</f>
        <v>34</v>
      </c>
      <c r="O1012" s="25" t="n">
        <v>10.4</v>
      </c>
      <c r="P1012" s="25" t="n">
        <f aca="false">N1012*O1012</f>
        <v>353.6</v>
      </c>
      <c r="Q1012" s="23" t="s">
        <v>7986</v>
      </c>
      <c r="R1012" s="23" t="s">
        <v>2804</v>
      </c>
      <c r="S1012" s="24" t="n">
        <v>34</v>
      </c>
      <c r="T1012" s="25" t="n">
        <v>10.4</v>
      </c>
      <c r="U1012" s="25" t="n">
        <v>353.6</v>
      </c>
      <c r="V1012" s="25" t="n">
        <f aca="false">P1012-U1012</f>
        <v>0</v>
      </c>
      <c r="W1012" s="25" t="n">
        <f aca="false">V1012*12</f>
        <v>0</v>
      </c>
      <c r="X1012" s="23" t="str">
        <f aca="false">IF(Q1012="","MISSING FROM EXPORT",IF(ABS(V1012)&lt;0.005,"CLEAR",IF(V1012&gt;0,"UNDERBILLING","OVERBILLING")))</f>
        <v>CLEAR</v>
      </c>
      <c r="Y1012" s="25" t="n">
        <f aca="false">IF(F1012="COMMERCIAL",ROUND(P1012*0.35,2),0)</f>
        <v>0</v>
      </c>
      <c r="Z1012" s="23" t="str">
        <f aca="false">IF(F1012="COMMERCIAL","VERIFY SIGNED AGREEMENT","NO EXCEPTION")</f>
        <v>NO EXCEPTION</v>
      </c>
      <c r="AA1012" s="23" t="str">
        <f aca="false">IF(AND(C1012="covered",N1012&gt;40),"COVERED &gt;40 FT","")</f>
        <v/>
      </c>
      <c r="AB1012" s="23" t="s">
        <v>7987</v>
      </c>
      <c r="AC1012" s="23" t="s">
        <v>7988</v>
      </c>
      <c r="AD1012" s="23" t="s">
        <v>2807</v>
      </c>
    </row>
    <row r="1013" customFormat="false" ht="17.9" hidden="false" customHeight="false" outlineLevel="0" collapsed="false">
      <c r="A1013" s="20" t="s">
        <v>7989</v>
      </c>
      <c r="B1013" s="20" t="s">
        <v>99</v>
      </c>
      <c r="C1013" s="20" t="s">
        <v>5162</v>
      </c>
      <c r="D1013" s="20" t="s">
        <v>7990</v>
      </c>
      <c r="E1013" s="20" t="s">
        <v>7991</v>
      </c>
      <c r="F1013" s="20" t="s">
        <v>2810</v>
      </c>
      <c r="G1013" s="20" t="s">
        <v>3722</v>
      </c>
      <c r="H1013" s="22" t="n">
        <v>61.3</v>
      </c>
      <c r="I1013" s="22" t="n">
        <v>61.3</v>
      </c>
      <c r="J1013" s="22" t="n">
        <f aca="false">H1013-I1013</f>
        <v>0</v>
      </c>
      <c r="K1013" s="20" t="str">
        <f aca="false">IF(ABS(J1013)&lt;0.001,"MATCH - PAPER CHECK-IN NOT SUPPLIED","DATA MISMATCH")</f>
        <v>MATCH - PAPER CHECK-IN NOT SUPPLIED</v>
      </c>
      <c r="L1013" s="22" t="n">
        <v>32</v>
      </c>
      <c r="M1013" s="22" t="n">
        <f aca="false">ROUNDUP(H1013,0)</f>
        <v>62</v>
      </c>
      <c r="N1013" s="24" t="n">
        <f aca="false">MAX(L1013,M1013)</f>
        <v>62</v>
      </c>
      <c r="O1013" s="25" t="n">
        <v>10.4</v>
      </c>
      <c r="P1013" s="25" t="n">
        <f aca="false">N1013*O1013</f>
        <v>644.8</v>
      </c>
      <c r="Q1013" s="23" t="s">
        <v>7992</v>
      </c>
      <c r="R1013" s="23" t="s">
        <v>2804</v>
      </c>
      <c r="S1013" s="24" t="n">
        <v>62</v>
      </c>
      <c r="T1013" s="25" t="n">
        <v>10.4</v>
      </c>
      <c r="U1013" s="25" t="n">
        <v>644.8</v>
      </c>
      <c r="V1013" s="25" t="n">
        <f aca="false">P1013-U1013</f>
        <v>0</v>
      </c>
      <c r="W1013" s="25" t="n">
        <f aca="false">V1013*12</f>
        <v>0</v>
      </c>
      <c r="X1013" s="23" t="str">
        <f aca="false">IF(Q1013="","MISSING FROM EXPORT",IF(ABS(V1013)&lt;0.005,"CLEAR",IF(V1013&gt;0,"UNDERBILLING","OVERBILLING")))</f>
        <v>CLEAR</v>
      </c>
      <c r="Y1013" s="25" t="n">
        <f aca="false">IF(F1013="COMMERCIAL",ROUND(P1013*0.35,2),0)</f>
        <v>0</v>
      </c>
      <c r="Z1013" s="23" t="str">
        <f aca="false">IF(F1013="COMMERCIAL","VERIFY SIGNED AGREEMENT","NO EXCEPTION")</f>
        <v>NO EXCEPTION</v>
      </c>
      <c r="AA1013" s="23" t="str">
        <f aca="false">IF(AND(C1013="covered",N1013&gt;40),"COVERED &gt;40 FT","")</f>
        <v>COVERED &gt;40 FT</v>
      </c>
      <c r="AB1013" s="23" t="s">
        <v>7993</v>
      </c>
      <c r="AC1013" s="23" t="s">
        <v>7994</v>
      </c>
      <c r="AD1013" s="23" t="s">
        <v>2807</v>
      </c>
    </row>
    <row r="1014" customFormat="false" ht="17.9" hidden="false" customHeight="false" outlineLevel="0" collapsed="false">
      <c r="A1014" s="20" t="s">
        <v>7995</v>
      </c>
      <c r="B1014" s="20" t="s">
        <v>99</v>
      </c>
      <c r="C1014" s="20" t="s">
        <v>5162</v>
      </c>
      <c r="D1014" s="20" t="s">
        <v>888</v>
      </c>
      <c r="E1014" s="20" t="s">
        <v>889</v>
      </c>
      <c r="F1014" s="20" t="s">
        <v>2833</v>
      </c>
      <c r="G1014" s="20" t="s">
        <v>3729</v>
      </c>
      <c r="H1014" s="22" t="n">
        <v>48.7</v>
      </c>
      <c r="I1014" s="22" t="n">
        <v>48.7</v>
      </c>
      <c r="J1014" s="22" t="n">
        <f aca="false">H1014-I1014</f>
        <v>0</v>
      </c>
      <c r="K1014" s="20" t="str">
        <f aca="false">IF(ABS(J1014)&lt;0.001,"MATCH - PAPER CHECK-IN NOT SUPPLIED","DATA MISMATCH")</f>
        <v>MATCH - PAPER CHECK-IN NOT SUPPLIED</v>
      </c>
      <c r="L1014" s="22" t="n">
        <v>24</v>
      </c>
      <c r="M1014" s="22" t="n">
        <f aca="false">ROUNDUP(H1014,0)</f>
        <v>49</v>
      </c>
      <c r="N1014" s="24" t="n">
        <f aca="false">MAX(L1014,M1014)</f>
        <v>49</v>
      </c>
      <c r="O1014" s="25" t="n">
        <v>10.4</v>
      </c>
      <c r="P1014" s="25" t="n">
        <f aca="false">N1014*O1014</f>
        <v>509.6</v>
      </c>
      <c r="Q1014" s="23" t="s">
        <v>7996</v>
      </c>
      <c r="R1014" s="23" t="s">
        <v>2804</v>
      </c>
      <c r="S1014" s="24" t="n">
        <v>49</v>
      </c>
      <c r="T1014" s="25" t="n">
        <v>10.4</v>
      </c>
      <c r="U1014" s="25" t="n">
        <v>509.6</v>
      </c>
      <c r="V1014" s="25" t="n">
        <f aca="false">P1014-U1014</f>
        <v>0</v>
      </c>
      <c r="W1014" s="25" t="n">
        <f aca="false">V1014*12</f>
        <v>0</v>
      </c>
      <c r="X1014" s="23" t="str">
        <f aca="false">IF(Q1014="","MISSING FROM EXPORT",IF(ABS(V1014)&lt;0.005,"CLEAR",IF(V1014&gt;0,"UNDERBILLING","OVERBILLING")))</f>
        <v>CLEAR</v>
      </c>
      <c r="Y1014" s="25" t="n">
        <f aca="false">IF(F1014="COMMERCIAL",ROUND(P1014*0.35,2),0)</f>
        <v>0</v>
      </c>
      <c r="Z1014" s="23" t="str">
        <f aca="false">IF(F1014="COMMERCIAL","VERIFY SIGNED AGREEMENT","NO EXCEPTION")</f>
        <v>NO EXCEPTION</v>
      </c>
      <c r="AA1014" s="23" t="str">
        <f aca="false">IF(AND(C1014="covered",N1014&gt;40),"COVERED &gt;40 FT","")</f>
        <v>COVERED &gt;40 FT</v>
      </c>
      <c r="AB1014" s="23" t="s">
        <v>7997</v>
      </c>
      <c r="AC1014" s="23" t="s">
        <v>7998</v>
      </c>
      <c r="AD1014" s="23" t="s">
        <v>2807</v>
      </c>
    </row>
    <row r="1015" customFormat="false" ht="17.9" hidden="false" customHeight="false" outlineLevel="0" collapsed="false">
      <c r="A1015" s="20" t="s">
        <v>7999</v>
      </c>
      <c r="B1015" s="20" t="s">
        <v>99</v>
      </c>
      <c r="C1015" s="20" t="s">
        <v>5162</v>
      </c>
      <c r="D1015" s="20" t="s">
        <v>8000</v>
      </c>
      <c r="E1015" s="20" t="s">
        <v>8001</v>
      </c>
      <c r="F1015" s="20" t="s">
        <v>2898</v>
      </c>
      <c r="G1015" s="20" t="s">
        <v>3735</v>
      </c>
      <c r="H1015" s="22" t="n">
        <v>57.3</v>
      </c>
      <c r="I1015" s="22" t="n">
        <v>57.3</v>
      </c>
      <c r="J1015" s="22" t="n">
        <f aca="false">H1015-I1015</f>
        <v>0</v>
      </c>
      <c r="K1015" s="20" t="str">
        <f aca="false">IF(ABS(J1015)&lt;0.001,"MATCH - PAPER CHECK-IN NOT SUPPLIED","DATA MISMATCH")</f>
        <v>MATCH - PAPER CHECK-IN NOT SUPPLIED</v>
      </c>
      <c r="L1015" s="22" t="n">
        <v>32</v>
      </c>
      <c r="M1015" s="22" t="n">
        <f aca="false">ROUNDUP(H1015,0)</f>
        <v>58</v>
      </c>
      <c r="N1015" s="24" t="n">
        <f aca="false">MAX(L1015,M1015)</f>
        <v>58</v>
      </c>
      <c r="O1015" s="25" t="n">
        <v>10.4</v>
      </c>
      <c r="P1015" s="25" t="n">
        <f aca="false">N1015*O1015</f>
        <v>603.2</v>
      </c>
      <c r="Q1015" s="23" t="s">
        <v>8002</v>
      </c>
      <c r="R1015" s="23" t="s">
        <v>2804</v>
      </c>
      <c r="S1015" s="24" t="n">
        <v>58</v>
      </c>
      <c r="T1015" s="25" t="n">
        <v>10.4</v>
      </c>
      <c r="U1015" s="25" t="n">
        <v>603.2</v>
      </c>
      <c r="V1015" s="25" t="n">
        <f aca="false">P1015-U1015</f>
        <v>0</v>
      </c>
      <c r="W1015" s="25" t="n">
        <f aca="false">V1015*12</f>
        <v>0</v>
      </c>
      <c r="X1015" s="23" t="str">
        <f aca="false">IF(Q1015="","MISSING FROM EXPORT",IF(ABS(V1015)&lt;0.005,"CLEAR",IF(V1015&gt;0,"UNDERBILLING","OVERBILLING")))</f>
        <v>CLEAR</v>
      </c>
      <c r="Y1015" s="25" t="n">
        <f aca="false">IF(F1015="COMMERCIAL",ROUND(P1015*0.35,2),0)</f>
        <v>0</v>
      </c>
      <c r="Z1015" s="23" t="str">
        <f aca="false">IF(F1015="COMMERCIAL","VERIFY SIGNED AGREEMENT","NO EXCEPTION")</f>
        <v>NO EXCEPTION</v>
      </c>
      <c r="AA1015" s="23" t="str">
        <f aca="false">IF(AND(C1015="covered",N1015&gt;40),"COVERED &gt;40 FT","")</f>
        <v>COVERED &gt;40 FT</v>
      </c>
      <c r="AB1015" s="23" t="s">
        <v>8003</v>
      </c>
      <c r="AC1015" s="23" t="s">
        <v>8004</v>
      </c>
      <c r="AD1015" s="23" t="s">
        <v>2807</v>
      </c>
    </row>
    <row r="1016" customFormat="false" ht="17.9" hidden="false" customHeight="false" outlineLevel="0" collapsed="false">
      <c r="A1016" s="20" t="s">
        <v>174</v>
      </c>
      <c r="B1016" s="20" t="s">
        <v>99</v>
      </c>
      <c r="C1016" s="20" t="s">
        <v>5162</v>
      </c>
      <c r="D1016" s="20" t="s">
        <v>8005</v>
      </c>
      <c r="E1016" s="20" t="s">
        <v>8006</v>
      </c>
      <c r="F1016" s="20" t="s">
        <v>2833</v>
      </c>
      <c r="G1016" s="20" t="s">
        <v>3742</v>
      </c>
      <c r="H1016" s="22" t="n">
        <v>50.3</v>
      </c>
      <c r="I1016" s="22" t="n">
        <v>50.3</v>
      </c>
      <c r="J1016" s="22" t="n">
        <f aca="false">H1016-I1016</f>
        <v>0</v>
      </c>
      <c r="K1016" s="20" t="str">
        <f aca="false">IF(ABS(J1016)&lt;0.001,"MATCH - PAPER CHECK-IN NOT SUPPLIED","DATA MISMATCH")</f>
        <v>MATCH - PAPER CHECK-IN NOT SUPPLIED</v>
      </c>
      <c r="L1016" s="22" t="n">
        <v>32</v>
      </c>
      <c r="M1016" s="22" t="n">
        <f aca="false">ROUNDUP(H1016,0)</f>
        <v>51</v>
      </c>
      <c r="N1016" s="24" t="n">
        <f aca="false">MAX(L1016,M1016)</f>
        <v>51</v>
      </c>
      <c r="O1016" s="25" t="n">
        <v>10.4</v>
      </c>
      <c r="P1016" s="25" t="n">
        <f aca="false">N1016*O1016</f>
        <v>530.4</v>
      </c>
      <c r="Q1016" s="23" t="s">
        <v>8007</v>
      </c>
      <c r="R1016" s="23" t="s">
        <v>2804</v>
      </c>
      <c r="S1016" s="24" t="n">
        <v>51</v>
      </c>
      <c r="T1016" s="25" t="n">
        <v>10.4</v>
      </c>
      <c r="U1016" s="25" t="n">
        <v>530.4</v>
      </c>
      <c r="V1016" s="25" t="n">
        <f aca="false">P1016-U1016</f>
        <v>0</v>
      </c>
      <c r="W1016" s="25" t="n">
        <f aca="false">V1016*12</f>
        <v>0</v>
      </c>
      <c r="X1016" s="23" t="str">
        <f aca="false">IF(Q1016="","MISSING FROM EXPORT",IF(ABS(V1016)&lt;0.005,"CLEAR",IF(V1016&gt;0,"UNDERBILLING","OVERBILLING")))</f>
        <v>CLEAR</v>
      </c>
      <c r="Y1016" s="25" t="n">
        <f aca="false">IF(F1016="COMMERCIAL",ROUND(P1016*0.35,2),0)</f>
        <v>0</v>
      </c>
      <c r="Z1016" s="23" t="str">
        <f aca="false">IF(F1016="COMMERCIAL","VERIFY SIGNED AGREEMENT","NO EXCEPTION")</f>
        <v>NO EXCEPTION</v>
      </c>
      <c r="AA1016" s="23" t="str">
        <f aca="false">IF(AND(C1016="covered",N1016&gt;40),"COVERED &gt;40 FT","")</f>
        <v>COVERED &gt;40 FT</v>
      </c>
      <c r="AB1016" s="23" t="s">
        <v>8008</v>
      </c>
      <c r="AC1016" s="23" t="s">
        <v>8009</v>
      </c>
      <c r="AD1016" s="23" t="s">
        <v>2807</v>
      </c>
    </row>
    <row r="1017" customFormat="false" ht="17.9" hidden="false" customHeight="false" outlineLevel="0" collapsed="false">
      <c r="A1017" s="20" t="s">
        <v>8010</v>
      </c>
      <c r="B1017" s="20" t="s">
        <v>99</v>
      </c>
      <c r="C1017" s="20" t="s">
        <v>5162</v>
      </c>
      <c r="D1017" s="20" t="s">
        <v>8011</v>
      </c>
      <c r="E1017" s="20" t="s">
        <v>8012</v>
      </c>
      <c r="F1017" s="20" t="s">
        <v>2833</v>
      </c>
      <c r="G1017" s="20" t="s">
        <v>3749</v>
      </c>
      <c r="H1017" s="22" t="n">
        <v>35.6</v>
      </c>
      <c r="I1017" s="22" t="n">
        <v>35.6</v>
      </c>
      <c r="J1017" s="22" t="n">
        <f aca="false">H1017-I1017</f>
        <v>0</v>
      </c>
      <c r="K1017" s="20" t="str">
        <f aca="false">IF(ABS(J1017)&lt;0.001,"MATCH - PAPER CHECK-IN NOT SUPPLIED","DATA MISMATCH")</f>
        <v>MATCH - PAPER CHECK-IN NOT SUPPLIED</v>
      </c>
      <c r="L1017" s="22" t="n">
        <v>28</v>
      </c>
      <c r="M1017" s="22" t="n">
        <f aca="false">ROUNDUP(H1017,0)</f>
        <v>36</v>
      </c>
      <c r="N1017" s="24" t="n">
        <f aca="false">MAX(L1017,M1017)</f>
        <v>36</v>
      </c>
      <c r="O1017" s="25" t="n">
        <v>10.4</v>
      </c>
      <c r="P1017" s="25" t="n">
        <f aca="false">N1017*O1017</f>
        <v>374.4</v>
      </c>
      <c r="Q1017" s="23" t="s">
        <v>8013</v>
      </c>
      <c r="R1017" s="23" t="s">
        <v>2804</v>
      </c>
      <c r="S1017" s="24" t="n">
        <v>36</v>
      </c>
      <c r="T1017" s="25" t="n">
        <v>10.4</v>
      </c>
      <c r="U1017" s="25" t="n">
        <v>374.4</v>
      </c>
      <c r="V1017" s="25" t="n">
        <f aca="false">P1017-U1017</f>
        <v>0</v>
      </c>
      <c r="W1017" s="25" t="n">
        <f aca="false">V1017*12</f>
        <v>0</v>
      </c>
      <c r="X1017" s="23" t="str">
        <f aca="false">IF(Q1017="","MISSING FROM EXPORT",IF(ABS(V1017)&lt;0.005,"CLEAR",IF(V1017&gt;0,"UNDERBILLING","OVERBILLING")))</f>
        <v>CLEAR</v>
      </c>
      <c r="Y1017" s="25" t="n">
        <f aca="false">IF(F1017="COMMERCIAL",ROUND(P1017*0.35,2),0)</f>
        <v>0</v>
      </c>
      <c r="Z1017" s="23" t="str">
        <f aca="false">IF(F1017="COMMERCIAL","VERIFY SIGNED AGREEMENT","NO EXCEPTION")</f>
        <v>NO EXCEPTION</v>
      </c>
      <c r="AA1017" s="23" t="str">
        <f aca="false">IF(AND(C1017="covered",N1017&gt;40),"COVERED &gt;40 FT","")</f>
        <v/>
      </c>
      <c r="AB1017" s="23" t="s">
        <v>8014</v>
      </c>
      <c r="AC1017" s="23" t="s">
        <v>8015</v>
      </c>
      <c r="AD1017" s="23" t="s">
        <v>2807</v>
      </c>
    </row>
    <row r="1018" customFormat="false" ht="17.9" hidden="false" customHeight="false" outlineLevel="0" collapsed="false">
      <c r="A1018" s="20" t="s">
        <v>429</v>
      </c>
      <c r="B1018" s="20" t="s">
        <v>99</v>
      </c>
      <c r="C1018" s="20" t="s">
        <v>5162</v>
      </c>
      <c r="D1018" s="20" t="s">
        <v>8016</v>
      </c>
      <c r="E1018" s="20" t="s">
        <v>8017</v>
      </c>
      <c r="F1018" s="20" t="s">
        <v>2869</v>
      </c>
      <c r="G1018" s="20" t="s">
        <v>3754</v>
      </c>
      <c r="H1018" s="22" t="n">
        <v>22.5</v>
      </c>
      <c r="I1018" s="22" t="n">
        <v>22.5</v>
      </c>
      <c r="J1018" s="22" t="n">
        <f aca="false">H1018-I1018</f>
        <v>0</v>
      </c>
      <c r="K1018" s="20" t="str">
        <f aca="false">IF(ABS(J1018)&lt;0.001,"MATCH - PAPER CHECK-IN NOT SUPPLIED","DATA MISMATCH")</f>
        <v>MATCH - PAPER CHECK-IN NOT SUPPLIED</v>
      </c>
      <c r="L1018" s="22" t="n">
        <v>32</v>
      </c>
      <c r="M1018" s="22" t="n">
        <f aca="false">ROUNDUP(H1018,0)</f>
        <v>23</v>
      </c>
      <c r="N1018" s="24" t="n">
        <f aca="false">MAX(L1018,M1018)</f>
        <v>32</v>
      </c>
      <c r="O1018" s="25" t="n">
        <v>10.4</v>
      </c>
      <c r="P1018" s="25" t="n">
        <f aca="false">N1018*O1018</f>
        <v>332.8</v>
      </c>
      <c r="Q1018" s="23" t="s">
        <v>8018</v>
      </c>
      <c r="R1018" s="23" t="s">
        <v>2804</v>
      </c>
      <c r="S1018" s="24" t="n">
        <v>32</v>
      </c>
      <c r="T1018" s="25" t="n">
        <v>10.4</v>
      </c>
      <c r="U1018" s="25" t="n">
        <v>332.8</v>
      </c>
      <c r="V1018" s="25" t="n">
        <f aca="false">P1018-U1018</f>
        <v>0</v>
      </c>
      <c r="W1018" s="25" t="n">
        <f aca="false">V1018*12</f>
        <v>0</v>
      </c>
      <c r="X1018" s="23" t="str">
        <f aca="false">IF(Q1018="","MISSING FROM EXPORT",IF(ABS(V1018)&lt;0.005,"CLEAR",IF(V1018&gt;0,"UNDERBILLING","OVERBILLING")))</f>
        <v>CLEAR</v>
      </c>
      <c r="Y1018" s="25" t="n">
        <f aca="false">IF(F1018="COMMERCIAL",ROUND(P1018*0.35,2),0)</f>
        <v>0</v>
      </c>
      <c r="Z1018" s="23" t="str">
        <f aca="false">IF(F1018="COMMERCIAL","VERIFY SIGNED AGREEMENT","NO EXCEPTION")</f>
        <v>NO EXCEPTION</v>
      </c>
      <c r="AA1018" s="23" t="str">
        <f aca="false">IF(AND(C1018="covered",N1018&gt;40),"COVERED &gt;40 FT","")</f>
        <v/>
      </c>
      <c r="AB1018" s="23" t="s">
        <v>8019</v>
      </c>
      <c r="AC1018" s="23" t="s">
        <v>8020</v>
      </c>
      <c r="AD1018" s="23" t="s">
        <v>2807</v>
      </c>
    </row>
    <row r="1019" customFormat="false" ht="17.9" hidden="false" customHeight="false" outlineLevel="0" collapsed="false">
      <c r="A1019" s="20" t="s">
        <v>349</v>
      </c>
      <c r="B1019" s="20" t="s">
        <v>99</v>
      </c>
      <c r="C1019" s="20" t="s">
        <v>5162</v>
      </c>
      <c r="D1019" s="20" t="s">
        <v>8021</v>
      </c>
      <c r="E1019" s="20" t="s">
        <v>8022</v>
      </c>
      <c r="F1019" s="20" t="s">
        <v>2833</v>
      </c>
      <c r="G1019" s="20" t="s">
        <v>3761</v>
      </c>
      <c r="H1019" s="22" t="n">
        <v>61.5</v>
      </c>
      <c r="I1019" s="22" t="n">
        <v>61.5</v>
      </c>
      <c r="J1019" s="22" t="n">
        <f aca="false">H1019-I1019</f>
        <v>0</v>
      </c>
      <c r="K1019" s="20" t="str">
        <f aca="false">IF(ABS(J1019)&lt;0.001,"MATCH - PAPER CHECK-IN NOT SUPPLIED","DATA MISMATCH")</f>
        <v>MATCH - PAPER CHECK-IN NOT SUPPLIED</v>
      </c>
      <c r="L1019" s="22" t="n">
        <v>40</v>
      </c>
      <c r="M1019" s="22" t="n">
        <f aca="false">ROUNDUP(H1019,0)</f>
        <v>62</v>
      </c>
      <c r="N1019" s="24" t="n">
        <f aca="false">MAX(L1019,M1019)</f>
        <v>62</v>
      </c>
      <c r="O1019" s="25" t="n">
        <v>10.4</v>
      </c>
      <c r="P1019" s="25" t="n">
        <f aca="false">N1019*O1019</f>
        <v>644.8</v>
      </c>
      <c r="Q1019" s="23" t="s">
        <v>8023</v>
      </c>
      <c r="R1019" s="23" t="s">
        <v>2804</v>
      </c>
      <c r="S1019" s="24" t="n">
        <v>62</v>
      </c>
      <c r="T1019" s="25" t="n">
        <v>10.4</v>
      </c>
      <c r="U1019" s="25" t="n">
        <v>644.8</v>
      </c>
      <c r="V1019" s="25" t="n">
        <f aca="false">P1019-U1019</f>
        <v>0</v>
      </c>
      <c r="W1019" s="25" t="n">
        <f aca="false">V1019*12</f>
        <v>0</v>
      </c>
      <c r="X1019" s="23" t="str">
        <f aca="false">IF(Q1019="","MISSING FROM EXPORT",IF(ABS(V1019)&lt;0.005,"CLEAR",IF(V1019&gt;0,"UNDERBILLING","OVERBILLING")))</f>
        <v>CLEAR</v>
      </c>
      <c r="Y1019" s="25" t="n">
        <f aca="false">IF(F1019="COMMERCIAL",ROUND(P1019*0.35,2),0)</f>
        <v>0</v>
      </c>
      <c r="Z1019" s="23" t="str">
        <f aca="false">IF(F1019="COMMERCIAL","VERIFY SIGNED AGREEMENT","NO EXCEPTION")</f>
        <v>NO EXCEPTION</v>
      </c>
      <c r="AA1019" s="23" t="str">
        <f aca="false">IF(AND(C1019="covered",N1019&gt;40),"COVERED &gt;40 FT","")</f>
        <v>COVERED &gt;40 FT</v>
      </c>
      <c r="AB1019" s="23" t="s">
        <v>8024</v>
      </c>
      <c r="AC1019" s="23" t="s">
        <v>8025</v>
      </c>
      <c r="AD1019" s="23" t="s">
        <v>2807</v>
      </c>
    </row>
    <row r="1020" customFormat="false" ht="17.9" hidden="false" customHeight="false" outlineLevel="0" collapsed="false">
      <c r="A1020" s="20" t="s">
        <v>760</v>
      </c>
      <c r="B1020" s="20" t="s">
        <v>99</v>
      </c>
      <c r="C1020" s="20" t="s">
        <v>5162</v>
      </c>
      <c r="D1020" s="20" t="s">
        <v>8026</v>
      </c>
      <c r="E1020" s="20" t="s">
        <v>8027</v>
      </c>
      <c r="F1020" s="20" t="s">
        <v>2833</v>
      </c>
      <c r="G1020" s="20" t="s">
        <v>3768</v>
      </c>
      <c r="H1020" s="22" t="n">
        <v>20.5</v>
      </c>
      <c r="I1020" s="22" t="n">
        <v>20.5</v>
      </c>
      <c r="J1020" s="22" t="n">
        <f aca="false">H1020-I1020</f>
        <v>0</v>
      </c>
      <c r="K1020" s="20" t="str">
        <f aca="false">IF(ABS(J1020)&lt;0.001,"MATCH - PAPER CHECK-IN NOT SUPPLIED","DATA MISMATCH")</f>
        <v>MATCH - PAPER CHECK-IN NOT SUPPLIED</v>
      </c>
      <c r="L1020" s="22" t="n">
        <v>28</v>
      </c>
      <c r="M1020" s="22" t="n">
        <f aca="false">ROUNDUP(H1020,0)</f>
        <v>21</v>
      </c>
      <c r="N1020" s="24" t="n">
        <f aca="false">MAX(L1020,M1020)</f>
        <v>28</v>
      </c>
      <c r="O1020" s="25" t="n">
        <v>10.4</v>
      </c>
      <c r="P1020" s="25" t="n">
        <f aca="false">N1020*O1020</f>
        <v>291.2</v>
      </c>
      <c r="Q1020" s="23" t="s">
        <v>8028</v>
      </c>
      <c r="R1020" s="23" t="s">
        <v>2804</v>
      </c>
      <c r="S1020" s="24" t="n">
        <v>28</v>
      </c>
      <c r="T1020" s="25" t="n">
        <v>10.4</v>
      </c>
      <c r="U1020" s="25" t="n">
        <v>291.2</v>
      </c>
      <c r="V1020" s="25" t="n">
        <f aca="false">P1020-U1020</f>
        <v>0</v>
      </c>
      <c r="W1020" s="25" t="n">
        <f aca="false">V1020*12</f>
        <v>0</v>
      </c>
      <c r="X1020" s="23" t="str">
        <f aca="false">IF(Q1020="","MISSING FROM EXPORT",IF(ABS(V1020)&lt;0.005,"CLEAR",IF(V1020&gt;0,"UNDERBILLING","OVERBILLING")))</f>
        <v>CLEAR</v>
      </c>
      <c r="Y1020" s="25" t="n">
        <f aca="false">IF(F1020="COMMERCIAL",ROUND(P1020*0.35,2),0)</f>
        <v>0</v>
      </c>
      <c r="Z1020" s="23" t="str">
        <f aca="false">IF(F1020="COMMERCIAL","VERIFY SIGNED AGREEMENT","NO EXCEPTION")</f>
        <v>NO EXCEPTION</v>
      </c>
      <c r="AA1020" s="23" t="str">
        <f aca="false">IF(AND(C1020="covered",N1020&gt;40),"COVERED &gt;40 FT","")</f>
        <v/>
      </c>
      <c r="AB1020" s="23" t="s">
        <v>8029</v>
      </c>
      <c r="AC1020" s="23" t="s">
        <v>8030</v>
      </c>
      <c r="AD1020" s="23" t="s">
        <v>2807</v>
      </c>
    </row>
    <row r="1021" customFormat="false" ht="17.9" hidden="false" customHeight="false" outlineLevel="0" collapsed="false">
      <c r="A1021" s="20" t="s">
        <v>8031</v>
      </c>
      <c r="B1021" s="20" t="s">
        <v>99</v>
      </c>
      <c r="C1021" s="20" t="s">
        <v>5162</v>
      </c>
      <c r="D1021" s="20" t="s">
        <v>8032</v>
      </c>
      <c r="E1021" s="20" t="s">
        <v>8033</v>
      </c>
      <c r="F1021" s="20" t="s">
        <v>2869</v>
      </c>
      <c r="G1021" s="20" t="s">
        <v>3775</v>
      </c>
      <c r="H1021" s="22" t="n">
        <v>53.8</v>
      </c>
      <c r="I1021" s="22" t="n">
        <v>53.8</v>
      </c>
      <c r="J1021" s="22" t="n">
        <f aca="false">H1021-I1021</f>
        <v>0</v>
      </c>
      <c r="K1021" s="20" t="str">
        <f aca="false">IF(ABS(J1021)&lt;0.001,"MATCH - PAPER CHECK-IN NOT SUPPLIED","DATA MISMATCH")</f>
        <v>MATCH - PAPER CHECK-IN NOT SUPPLIED</v>
      </c>
      <c r="L1021" s="22" t="n">
        <v>32</v>
      </c>
      <c r="M1021" s="22" t="n">
        <f aca="false">ROUNDUP(H1021,0)</f>
        <v>54</v>
      </c>
      <c r="N1021" s="24" t="n">
        <f aca="false">MAX(L1021,M1021)</f>
        <v>54</v>
      </c>
      <c r="O1021" s="25" t="n">
        <v>10.4</v>
      </c>
      <c r="P1021" s="25" t="n">
        <f aca="false">N1021*O1021</f>
        <v>561.6</v>
      </c>
      <c r="Q1021" s="23" t="s">
        <v>8034</v>
      </c>
      <c r="R1021" s="23" t="s">
        <v>2804</v>
      </c>
      <c r="S1021" s="24" t="n">
        <v>54</v>
      </c>
      <c r="T1021" s="25" t="n">
        <v>10.4</v>
      </c>
      <c r="U1021" s="25" t="n">
        <v>561.6</v>
      </c>
      <c r="V1021" s="25" t="n">
        <f aca="false">P1021-U1021</f>
        <v>0</v>
      </c>
      <c r="W1021" s="25" t="n">
        <f aca="false">V1021*12</f>
        <v>0</v>
      </c>
      <c r="X1021" s="23" t="str">
        <f aca="false">IF(Q1021="","MISSING FROM EXPORT",IF(ABS(V1021)&lt;0.005,"CLEAR",IF(V1021&gt;0,"UNDERBILLING","OVERBILLING")))</f>
        <v>CLEAR</v>
      </c>
      <c r="Y1021" s="25" t="n">
        <f aca="false">IF(F1021="COMMERCIAL",ROUND(P1021*0.35,2),0)</f>
        <v>0</v>
      </c>
      <c r="Z1021" s="23" t="str">
        <f aca="false">IF(F1021="COMMERCIAL","VERIFY SIGNED AGREEMENT","NO EXCEPTION")</f>
        <v>NO EXCEPTION</v>
      </c>
      <c r="AA1021" s="23" t="str">
        <f aca="false">IF(AND(C1021="covered",N1021&gt;40),"COVERED &gt;40 FT","")</f>
        <v>COVERED &gt;40 FT</v>
      </c>
      <c r="AB1021" s="23" t="s">
        <v>8035</v>
      </c>
      <c r="AC1021" s="23" t="s">
        <v>8036</v>
      </c>
      <c r="AD1021" s="23" t="s">
        <v>2807</v>
      </c>
    </row>
    <row r="1022" customFormat="false" ht="17.9" hidden="false" customHeight="false" outlineLevel="0" collapsed="false">
      <c r="A1022" s="20" t="s">
        <v>8037</v>
      </c>
      <c r="B1022" s="20" t="s">
        <v>99</v>
      </c>
      <c r="C1022" s="20" t="s">
        <v>5162</v>
      </c>
      <c r="D1022" s="20" t="s">
        <v>8038</v>
      </c>
      <c r="E1022" s="20" t="s">
        <v>8039</v>
      </c>
      <c r="F1022" s="20" t="s">
        <v>2810</v>
      </c>
      <c r="G1022" s="20" t="s">
        <v>3782</v>
      </c>
      <c r="H1022" s="22" t="n">
        <v>55.2</v>
      </c>
      <c r="I1022" s="22" t="n">
        <v>55.2</v>
      </c>
      <c r="J1022" s="22" t="n">
        <f aca="false">H1022-I1022</f>
        <v>0</v>
      </c>
      <c r="K1022" s="20" t="str">
        <f aca="false">IF(ABS(J1022)&lt;0.001,"MATCH - PAPER CHECK-IN NOT SUPPLIED","DATA MISMATCH")</f>
        <v>MATCH - PAPER CHECK-IN NOT SUPPLIED</v>
      </c>
      <c r="L1022" s="22" t="n">
        <v>24</v>
      </c>
      <c r="M1022" s="22" t="n">
        <f aca="false">ROUNDUP(H1022,0)</f>
        <v>56</v>
      </c>
      <c r="N1022" s="24" t="n">
        <f aca="false">MAX(L1022,M1022)</f>
        <v>56</v>
      </c>
      <c r="O1022" s="25" t="n">
        <v>10.4</v>
      </c>
      <c r="P1022" s="25" t="n">
        <f aca="false">N1022*O1022</f>
        <v>582.4</v>
      </c>
      <c r="Q1022" s="23" t="s">
        <v>8040</v>
      </c>
      <c r="R1022" s="23" t="s">
        <v>2804</v>
      </c>
      <c r="S1022" s="24" t="n">
        <v>56</v>
      </c>
      <c r="T1022" s="25" t="n">
        <v>10.4</v>
      </c>
      <c r="U1022" s="25" t="n">
        <v>582.4</v>
      </c>
      <c r="V1022" s="25" t="n">
        <f aca="false">P1022-U1022</f>
        <v>0</v>
      </c>
      <c r="W1022" s="25" t="n">
        <f aca="false">V1022*12</f>
        <v>0</v>
      </c>
      <c r="X1022" s="23" t="str">
        <f aca="false">IF(Q1022="","MISSING FROM EXPORT",IF(ABS(V1022)&lt;0.005,"CLEAR",IF(V1022&gt;0,"UNDERBILLING","OVERBILLING")))</f>
        <v>CLEAR</v>
      </c>
      <c r="Y1022" s="25" t="n">
        <f aca="false">IF(F1022="COMMERCIAL",ROUND(P1022*0.35,2),0)</f>
        <v>0</v>
      </c>
      <c r="Z1022" s="23" t="str">
        <f aca="false">IF(F1022="COMMERCIAL","VERIFY SIGNED AGREEMENT","NO EXCEPTION")</f>
        <v>NO EXCEPTION</v>
      </c>
      <c r="AA1022" s="23" t="str">
        <f aca="false">IF(AND(C1022="covered",N1022&gt;40),"COVERED &gt;40 FT","")</f>
        <v>COVERED &gt;40 FT</v>
      </c>
      <c r="AB1022" s="23" t="s">
        <v>8041</v>
      </c>
      <c r="AC1022" s="23" t="s">
        <v>8042</v>
      </c>
      <c r="AD1022" s="23" t="s">
        <v>2807</v>
      </c>
    </row>
    <row r="1023" customFormat="false" ht="17.9" hidden="false" customHeight="false" outlineLevel="0" collapsed="false">
      <c r="A1023" s="20" t="s">
        <v>8043</v>
      </c>
      <c r="B1023" s="20" t="s">
        <v>99</v>
      </c>
      <c r="C1023" s="20" t="s">
        <v>5162</v>
      </c>
      <c r="D1023" s="20" t="s">
        <v>8044</v>
      </c>
      <c r="E1023" s="20" t="s">
        <v>8045</v>
      </c>
      <c r="F1023" s="20" t="s">
        <v>2810</v>
      </c>
      <c r="G1023" s="20" t="s">
        <v>3789</v>
      </c>
      <c r="H1023" s="22" t="n">
        <v>54.7</v>
      </c>
      <c r="I1023" s="22" t="n">
        <v>54.7</v>
      </c>
      <c r="J1023" s="22" t="n">
        <f aca="false">H1023-I1023</f>
        <v>0</v>
      </c>
      <c r="K1023" s="20" t="str">
        <f aca="false">IF(ABS(J1023)&lt;0.001,"MATCH - PAPER CHECK-IN NOT SUPPLIED","DATA MISMATCH")</f>
        <v>MATCH - PAPER CHECK-IN NOT SUPPLIED</v>
      </c>
      <c r="L1023" s="22" t="n">
        <v>24</v>
      </c>
      <c r="M1023" s="22" t="n">
        <f aca="false">ROUNDUP(H1023,0)</f>
        <v>55</v>
      </c>
      <c r="N1023" s="24" t="n">
        <f aca="false">MAX(L1023,M1023)</f>
        <v>55</v>
      </c>
      <c r="O1023" s="25" t="n">
        <v>10.4</v>
      </c>
      <c r="P1023" s="25" t="n">
        <f aca="false">N1023*O1023</f>
        <v>572</v>
      </c>
      <c r="Q1023" s="23" t="s">
        <v>8046</v>
      </c>
      <c r="R1023" s="23" t="s">
        <v>2804</v>
      </c>
      <c r="S1023" s="24" t="n">
        <v>55</v>
      </c>
      <c r="T1023" s="25" t="n">
        <v>10.4</v>
      </c>
      <c r="U1023" s="25" t="n">
        <v>572</v>
      </c>
      <c r="V1023" s="25" t="n">
        <f aca="false">P1023-U1023</f>
        <v>0</v>
      </c>
      <c r="W1023" s="25" t="n">
        <f aca="false">V1023*12</f>
        <v>0</v>
      </c>
      <c r="X1023" s="23" t="str">
        <f aca="false">IF(Q1023="","MISSING FROM EXPORT",IF(ABS(V1023)&lt;0.005,"CLEAR",IF(V1023&gt;0,"UNDERBILLING","OVERBILLING")))</f>
        <v>CLEAR</v>
      </c>
      <c r="Y1023" s="25" t="n">
        <f aca="false">IF(F1023="COMMERCIAL",ROUND(P1023*0.35,2),0)</f>
        <v>0</v>
      </c>
      <c r="Z1023" s="23" t="str">
        <f aca="false">IF(F1023="COMMERCIAL","VERIFY SIGNED AGREEMENT","NO EXCEPTION")</f>
        <v>NO EXCEPTION</v>
      </c>
      <c r="AA1023" s="23" t="str">
        <f aca="false">IF(AND(C1023="covered",N1023&gt;40),"COVERED &gt;40 FT","")</f>
        <v>COVERED &gt;40 FT</v>
      </c>
      <c r="AB1023" s="23" t="s">
        <v>8047</v>
      </c>
      <c r="AC1023" s="23" t="s">
        <v>8048</v>
      </c>
      <c r="AD1023" s="23" t="s">
        <v>2807</v>
      </c>
    </row>
    <row r="1024" customFormat="false" ht="17.9" hidden="false" customHeight="false" outlineLevel="0" collapsed="false">
      <c r="A1024" s="20" t="s">
        <v>8049</v>
      </c>
      <c r="B1024" s="20" t="s">
        <v>99</v>
      </c>
      <c r="C1024" s="20" t="s">
        <v>5162</v>
      </c>
      <c r="D1024" s="20" t="s">
        <v>8050</v>
      </c>
      <c r="E1024" s="20" t="s">
        <v>8051</v>
      </c>
      <c r="F1024" s="20" t="s">
        <v>2869</v>
      </c>
      <c r="G1024" s="20" t="s">
        <v>3796</v>
      </c>
      <c r="H1024" s="22" t="n">
        <v>37.8</v>
      </c>
      <c r="I1024" s="22" t="n">
        <v>37.8</v>
      </c>
      <c r="J1024" s="22" t="n">
        <f aca="false">H1024-I1024</f>
        <v>0</v>
      </c>
      <c r="K1024" s="20" t="str">
        <f aca="false">IF(ABS(J1024)&lt;0.001,"MATCH - PAPER CHECK-IN NOT SUPPLIED","DATA MISMATCH")</f>
        <v>MATCH - PAPER CHECK-IN NOT SUPPLIED</v>
      </c>
      <c r="L1024" s="22" t="n">
        <v>40</v>
      </c>
      <c r="M1024" s="22" t="n">
        <f aca="false">ROUNDUP(H1024,0)</f>
        <v>38</v>
      </c>
      <c r="N1024" s="24" t="n">
        <f aca="false">MAX(L1024,M1024)</f>
        <v>40</v>
      </c>
      <c r="O1024" s="25" t="n">
        <v>10.4</v>
      </c>
      <c r="P1024" s="25" t="n">
        <f aca="false">N1024*O1024</f>
        <v>416</v>
      </c>
      <c r="Q1024" s="23" t="s">
        <v>8052</v>
      </c>
      <c r="R1024" s="23" t="s">
        <v>2804</v>
      </c>
      <c r="S1024" s="24" t="n">
        <v>40</v>
      </c>
      <c r="T1024" s="25" t="n">
        <v>10.4</v>
      </c>
      <c r="U1024" s="25" t="n">
        <v>416</v>
      </c>
      <c r="V1024" s="25" t="n">
        <f aca="false">P1024-U1024</f>
        <v>0</v>
      </c>
      <c r="W1024" s="25" t="n">
        <f aca="false">V1024*12</f>
        <v>0</v>
      </c>
      <c r="X1024" s="23" t="str">
        <f aca="false">IF(Q1024="","MISSING FROM EXPORT",IF(ABS(V1024)&lt;0.005,"CLEAR",IF(V1024&gt;0,"UNDERBILLING","OVERBILLING")))</f>
        <v>CLEAR</v>
      </c>
      <c r="Y1024" s="25" t="n">
        <f aca="false">IF(F1024="COMMERCIAL",ROUND(P1024*0.35,2),0)</f>
        <v>0</v>
      </c>
      <c r="Z1024" s="23" t="str">
        <f aca="false">IF(F1024="COMMERCIAL","VERIFY SIGNED AGREEMENT","NO EXCEPTION")</f>
        <v>NO EXCEPTION</v>
      </c>
      <c r="AA1024" s="23" t="str">
        <f aca="false">IF(AND(C1024="covered",N1024&gt;40),"COVERED &gt;40 FT","")</f>
        <v/>
      </c>
      <c r="AB1024" s="23" t="s">
        <v>8053</v>
      </c>
      <c r="AC1024" s="23" t="s">
        <v>8054</v>
      </c>
      <c r="AD1024" s="23" t="s">
        <v>2807</v>
      </c>
    </row>
    <row r="1025" customFormat="false" ht="17.9" hidden="false" customHeight="false" outlineLevel="0" collapsed="false">
      <c r="A1025" s="20" t="s">
        <v>8055</v>
      </c>
      <c r="B1025" s="20" t="s">
        <v>99</v>
      </c>
      <c r="C1025" s="20" t="s">
        <v>5162</v>
      </c>
      <c r="D1025" s="20" t="s">
        <v>8056</v>
      </c>
      <c r="E1025" s="20" t="s">
        <v>8057</v>
      </c>
      <c r="F1025" s="20" t="s">
        <v>2810</v>
      </c>
      <c r="G1025" s="20" t="s">
        <v>3803</v>
      </c>
      <c r="H1025" s="22" t="n">
        <v>49.8</v>
      </c>
      <c r="I1025" s="22" t="n">
        <v>49.8</v>
      </c>
      <c r="J1025" s="22" t="n">
        <f aca="false">H1025-I1025</f>
        <v>0</v>
      </c>
      <c r="K1025" s="20" t="str">
        <f aca="false">IF(ABS(J1025)&lt;0.001,"MATCH - PAPER CHECK-IN NOT SUPPLIED","DATA MISMATCH")</f>
        <v>MATCH - PAPER CHECK-IN NOT SUPPLIED</v>
      </c>
      <c r="L1025" s="22" t="n">
        <v>40</v>
      </c>
      <c r="M1025" s="22" t="n">
        <f aca="false">ROUNDUP(H1025,0)</f>
        <v>50</v>
      </c>
      <c r="N1025" s="24" t="n">
        <f aca="false">MAX(L1025,M1025)</f>
        <v>50</v>
      </c>
      <c r="O1025" s="25" t="n">
        <v>10.4</v>
      </c>
      <c r="P1025" s="25" t="n">
        <f aca="false">N1025*O1025</f>
        <v>520</v>
      </c>
      <c r="Q1025" s="23" t="s">
        <v>8058</v>
      </c>
      <c r="R1025" s="23" t="s">
        <v>2804</v>
      </c>
      <c r="S1025" s="24" t="n">
        <v>50</v>
      </c>
      <c r="T1025" s="25" t="n">
        <v>10.4</v>
      </c>
      <c r="U1025" s="25" t="n">
        <v>520</v>
      </c>
      <c r="V1025" s="25" t="n">
        <f aca="false">P1025-U1025</f>
        <v>0</v>
      </c>
      <c r="W1025" s="25" t="n">
        <f aca="false">V1025*12</f>
        <v>0</v>
      </c>
      <c r="X1025" s="23" t="str">
        <f aca="false">IF(Q1025="","MISSING FROM EXPORT",IF(ABS(V1025)&lt;0.005,"CLEAR",IF(V1025&gt;0,"UNDERBILLING","OVERBILLING")))</f>
        <v>CLEAR</v>
      </c>
      <c r="Y1025" s="25" t="n">
        <f aca="false">IF(F1025="COMMERCIAL",ROUND(P1025*0.35,2),0)</f>
        <v>0</v>
      </c>
      <c r="Z1025" s="23" t="str">
        <f aca="false">IF(F1025="COMMERCIAL","VERIFY SIGNED AGREEMENT","NO EXCEPTION")</f>
        <v>NO EXCEPTION</v>
      </c>
      <c r="AA1025" s="23" t="str">
        <f aca="false">IF(AND(C1025="covered",N1025&gt;40),"COVERED &gt;40 FT","")</f>
        <v>COVERED &gt;40 FT</v>
      </c>
      <c r="AB1025" s="23" t="s">
        <v>8059</v>
      </c>
      <c r="AC1025" s="23" t="s">
        <v>8060</v>
      </c>
      <c r="AD1025" s="23" t="s">
        <v>2807</v>
      </c>
    </row>
    <row r="1026" customFormat="false" ht="17.9" hidden="false" customHeight="false" outlineLevel="0" collapsed="false">
      <c r="A1026" s="20" t="s">
        <v>8061</v>
      </c>
      <c r="B1026" s="20" t="s">
        <v>99</v>
      </c>
      <c r="C1026" s="20" t="s">
        <v>5162</v>
      </c>
      <c r="D1026" s="20" t="s">
        <v>894</v>
      </c>
      <c r="E1026" s="20" t="s">
        <v>895</v>
      </c>
      <c r="F1026" s="20" t="s">
        <v>2857</v>
      </c>
      <c r="G1026" s="20" t="s">
        <v>3808</v>
      </c>
      <c r="H1026" s="22" t="n">
        <v>27.9</v>
      </c>
      <c r="I1026" s="22" t="n">
        <v>27.9</v>
      </c>
      <c r="J1026" s="22" t="n">
        <f aca="false">H1026-I1026</f>
        <v>0</v>
      </c>
      <c r="K1026" s="20" t="str">
        <f aca="false">IF(ABS(J1026)&lt;0.001,"MATCH - PAPER CHECK-IN NOT SUPPLIED","DATA MISMATCH")</f>
        <v>MATCH - PAPER CHECK-IN NOT SUPPLIED</v>
      </c>
      <c r="L1026" s="22" t="n">
        <v>28</v>
      </c>
      <c r="M1026" s="22" t="n">
        <f aca="false">ROUNDUP(H1026,0)</f>
        <v>28</v>
      </c>
      <c r="N1026" s="24" t="n">
        <f aca="false">MAX(L1026,M1026)</f>
        <v>28</v>
      </c>
      <c r="O1026" s="25" t="n">
        <v>10.4</v>
      </c>
      <c r="P1026" s="25" t="n">
        <f aca="false">N1026*O1026</f>
        <v>291.2</v>
      </c>
      <c r="Q1026" s="23" t="s">
        <v>8062</v>
      </c>
      <c r="R1026" s="23" t="s">
        <v>2804</v>
      </c>
      <c r="S1026" s="24" t="n">
        <v>28</v>
      </c>
      <c r="T1026" s="25" t="n">
        <v>10.4</v>
      </c>
      <c r="U1026" s="25" t="n">
        <v>291.2</v>
      </c>
      <c r="V1026" s="25" t="n">
        <f aca="false">P1026-U1026</f>
        <v>0</v>
      </c>
      <c r="W1026" s="25" t="n">
        <f aca="false">V1026*12</f>
        <v>0</v>
      </c>
      <c r="X1026" s="23" t="str">
        <f aca="false">IF(Q1026="","MISSING FROM EXPORT",IF(ABS(V1026)&lt;0.005,"CLEAR",IF(V1026&gt;0,"UNDERBILLING","OVERBILLING")))</f>
        <v>CLEAR</v>
      </c>
      <c r="Y1026" s="25" t="n">
        <f aca="false">IF(F1026="COMMERCIAL",ROUND(P1026*0.35,2),0)</f>
        <v>0</v>
      </c>
      <c r="Z1026" s="23" t="str">
        <f aca="false">IF(F1026="COMMERCIAL","VERIFY SIGNED AGREEMENT","NO EXCEPTION")</f>
        <v>NO EXCEPTION</v>
      </c>
      <c r="AA1026" s="23" t="str">
        <f aca="false">IF(AND(C1026="covered",N1026&gt;40),"COVERED &gt;40 FT","")</f>
        <v/>
      </c>
      <c r="AB1026" s="23" t="s">
        <v>8063</v>
      </c>
      <c r="AC1026" s="23" t="s">
        <v>8064</v>
      </c>
      <c r="AD1026" s="23" t="s">
        <v>2807</v>
      </c>
    </row>
    <row r="1027" customFormat="false" ht="17.9" hidden="false" customHeight="false" outlineLevel="0" collapsed="false">
      <c r="A1027" s="20" t="s">
        <v>650</v>
      </c>
      <c r="B1027" s="20" t="s">
        <v>99</v>
      </c>
      <c r="C1027" s="20" t="s">
        <v>5162</v>
      </c>
      <c r="D1027" s="20" t="s">
        <v>8065</v>
      </c>
      <c r="E1027" s="20" t="s">
        <v>8066</v>
      </c>
      <c r="F1027" s="20" t="s">
        <v>2898</v>
      </c>
      <c r="G1027" s="20" t="s">
        <v>3814</v>
      </c>
      <c r="H1027" s="22" t="n">
        <v>21.2</v>
      </c>
      <c r="I1027" s="22" t="n">
        <v>21.2</v>
      </c>
      <c r="J1027" s="22" t="n">
        <f aca="false">H1027-I1027</f>
        <v>0</v>
      </c>
      <c r="K1027" s="20" t="str">
        <f aca="false">IF(ABS(J1027)&lt;0.001,"MATCH - PAPER CHECK-IN NOT SUPPLIED","DATA MISMATCH")</f>
        <v>MATCH - PAPER CHECK-IN NOT SUPPLIED</v>
      </c>
      <c r="L1027" s="22" t="n">
        <v>24</v>
      </c>
      <c r="M1027" s="22" t="n">
        <f aca="false">ROUNDUP(H1027,0)</f>
        <v>22</v>
      </c>
      <c r="N1027" s="24" t="n">
        <f aca="false">MAX(L1027,M1027)</f>
        <v>24</v>
      </c>
      <c r="O1027" s="25" t="n">
        <v>10.4</v>
      </c>
      <c r="P1027" s="25" t="n">
        <f aca="false">N1027*O1027</f>
        <v>249.6</v>
      </c>
      <c r="Q1027" s="23" t="s">
        <v>8067</v>
      </c>
      <c r="R1027" s="23" t="s">
        <v>2804</v>
      </c>
      <c r="S1027" s="24" t="n">
        <v>24</v>
      </c>
      <c r="T1027" s="25" t="n">
        <v>10.4</v>
      </c>
      <c r="U1027" s="25" t="n">
        <v>249.6</v>
      </c>
      <c r="V1027" s="25" t="n">
        <f aca="false">P1027-U1027</f>
        <v>0</v>
      </c>
      <c r="W1027" s="25" t="n">
        <f aca="false">V1027*12</f>
        <v>0</v>
      </c>
      <c r="X1027" s="23" t="str">
        <f aca="false">IF(Q1027="","MISSING FROM EXPORT",IF(ABS(V1027)&lt;0.005,"CLEAR",IF(V1027&gt;0,"UNDERBILLING","OVERBILLING")))</f>
        <v>CLEAR</v>
      </c>
      <c r="Y1027" s="25" t="n">
        <f aca="false">IF(F1027="COMMERCIAL",ROUND(P1027*0.35,2),0)</f>
        <v>0</v>
      </c>
      <c r="Z1027" s="23" t="str">
        <f aca="false">IF(F1027="COMMERCIAL","VERIFY SIGNED AGREEMENT","NO EXCEPTION")</f>
        <v>NO EXCEPTION</v>
      </c>
      <c r="AA1027" s="23" t="str">
        <f aca="false">IF(AND(C1027="covered",N1027&gt;40),"COVERED &gt;40 FT","")</f>
        <v/>
      </c>
      <c r="AB1027" s="23" t="s">
        <v>8068</v>
      </c>
      <c r="AC1027" s="23" t="s">
        <v>8069</v>
      </c>
      <c r="AD1027" s="23" t="s">
        <v>2807</v>
      </c>
    </row>
    <row r="1028" customFormat="false" ht="17.9" hidden="false" customHeight="false" outlineLevel="0" collapsed="false">
      <c r="A1028" s="20" t="s">
        <v>319</v>
      </c>
      <c r="B1028" s="20" t="s">
        <v>99</v>
      </c>
      <c r="C1028" s="20" t="s">
        <v>5162</v>
      </c>
      <c r="D1028" s="20" t="s">
        <v>2034</v>
      </c>
      <c r="E1028" s="20" t="s">
        <v>2035</v>
      </c>
      <c r="F1028" s="20" t="s">
        <v>2833</v>
      </c>
      <c r="G1028" s="20" t="s">
        <v>3819</v>
      </c>
      <c r="H1028" s="22" t="n">
        <v>23.2</v>
      </c>
      <c r="I1028" s="22" t="n">
        <v>23.2</v>
      </c>
      <c r="J1028" s="22" t="n">
        <f aca="false">H1028-I1028</f>
        <v>0</v>
      </c>
      <c r="K1028" s="20" t="str">
        <f aca="false">IF(ABS(J1028)&lt;0.001,"MATCH - PAPER CHECK-IN NOT SUPPLIED","DATA MISMATCH")</f>
        <v>MATCH - PAPER CHECK-IN NOT SUPPLIED</v>
      </c>
      <c r="L1028" s="22" t="n">
        <v>32</v>
      </c>
      <c r="M1028" s="22" t="n">
        <f aca="false">ROUNDUP(H1028,0)</f>
        <v>24</v>
      </c>
      <c r="N1028" s="24" t="n">
        <f aca="false">MAX(L1028,M1028)</f>
        <v>32</v>
      </c>
      <c r="O1028" s="25" t="n">
        <v>10.4</v>
      </c>
      <c r="P1028" s="25" t="n">
        <f aca="false">N1028*O1028</f>
        <v>332.8</v>
      </c>
      <c r="Q1028" s="23" t="s">
        <v>8070</v>
      </c>
      <c r="R1028" s="23" t="s">
        <v>2804</v>
      </c>
      <c r="S1028" s="24" t="n">
        <v>32</v>
      </c>
      <c r="T1028" s="25" t="n">
        <v>10.4</v>
      </c>
      <c r="U1028" s="25" t="n">
        <v>332.8</v>
      </c>
      <c r="V1028" s="25" t="n">
        <f aca="false">P1028-U1028</f>
        <v>0</v>
      </c>
      <c r="W1028" s="25" t="n">
        <f aca="false">V1028*12</f>
        <v>0</v>
      </c>
      <c r="X1028" s="23" t="str">
        <f aca="false">IF(Q1028="","MISSING FROM EXPORT",IF(ABS(V1028)&lt;0.005,"CLEAR",IF(V1028&gt;0,"UNDERBILLING","OVERBILLING")))</f>
        <v>CLEAR</v>
      </c>
      <c r="Y1028" s="25" t="n">
        <f aca="false">IF(F1028="COMMERCIAL",ROUND(P1028*0.35,2),0)</f>
        <v>0</v>
      </c>
      <c r="Z1028" s="23" t="str">
        <f aca="false">IF(F1028="COMMERCIAL","VERIFY SIGNED AGREEMENT","NO EXCEPTION")</f>
        <v>NO EXCEPTION</v>
      </c>
      <c r="AA1028" s="23" t="str">
        <f aca="false">IF(AND(C1028="covered",N1028&gt;40),"COVERED &gt;40 FT","")</f>
        <v/>
      </c>
      <c r="AB1028" s="23" t="s">
        <v>8071</v>
      </c>
      <c r="AC1028" s="23" t="s">
        <v>8072</v>
      </c>
      <c r="AD1028" s="23" t="s">
        <v>2807</v>
      </c>
    </row>
    <row r="1029" customFormat="false" ht="17.9" hidden="false" customHeight="false" outlineLevel="0" collapsed="false">
      <c r="A1029" s="20" t="s">
        <v>8073</v>
      </c>
      <c r="B1029" s="20" t="s">
        <v>99</v>
      </c>
      <c r="C1029" s="20" t="s">
        <v>5162</v>
      </c>
      <c r="D1029" s="20" t="s">
        <v>8074</v>
      </c>
      <c r="E1029" s="20" t="s">
        <v>8075</v>
      </c>
      <c r="F1029" s="20" t="s">
        <v>2934</v>
      </c>
      <c r="G1029" s="20" t="s">
        <v>3826</v>
      </c>
      <c r="H1029" s="22" t="n">
        <v>18.4</v>
      </c>
      <c r="I1029" s="22" t="n">
        <v>18.4</v>
      </c>
      <c r="J1029" s="22" t="n">
        <f aca="false">H1029-I1029</f>
        <v>0</v>
      </c>
      <c r="K1029" s="20" t="str">
        <f aca="false">IF(ABS(J1029)&lt;0.001,"MATCH - PAPER CHECK-IN NOT SUPPLIED","DATA MISMATCH")</f>
        <v>MATCH - PAPER CHECK-IN NOT SUPPLIED</v>
      </c>
      <c r="L1029" s="22" t="n">
        <v>32</v>
      </c>
      <c r="M1029" s="22" t="n">
        <f aca="false">ROUNDUP(H1029,0)</f>
        <v>19</v>
      </c>
      <c r="N1029" s="24" t="n">
        <f aca="false">MAX(L1029,M1029)</f>
        <v>32</v>
      </c>
      <c r="O1029" s="25" t="n">
        <v>10.4</v>
      </c>
      <c r="P1029" s="25" t="n">
        <f aca="false">N1029*O1029</f>
        <v>332.8</v>
      </c>
      <c r="Q1029" s="23" t="s">
        <v>8076</v>
      </c>
      <c r="R1029" s="23" t="s">
        <v>2804</v>
      </c>
      <c r="S1029" s="24" t="n">
        <v>32</v>
      </c>
      <c r="T1029" s="25" t="n">
        <v>10.4</v>
      </c>
      <c r="U1029" s="25" t="n">
        <v>332.8</v>
      </c>
      <c r="V1029" s="25" t="n">
        <f aca="false">P1029-U1029</f>
        <v>0</v>
      </c>
      <c r="W1029" s="25" t="n">
        <f aca="false">V1029*12</f>
        <v>0</v>
      </c>
      <c r="X1029" s="23" t="str">
        <f aca="false">IF(Q1029="","MISSING FROM EXPORT",IF(ABS(V1029)&lt;0.005,"CLEAR",IF(V1029&gt;0,"UNDERBILLING","OVERBILLING")))</f>
        <v>CLEAR</v>
      </c>
      <c r="Y1029" s="25" t="n">
        <f aca="false">IF(F1029="COMMERCIAL",ROUND(P1029*0.35,2),0)</f>
        <v>116.48</v>
      </c>
      <c r="Z1029" s="23" t="str">
        <f aca="false">IF(F1029="COMMERCIAL","VERIFY SIGNED AGREEMENT","NO EXCEPTION")</f>
        <v>VERIFY SIGNED AGREEMENT</v>
      </c>
      <c r="AA1029" s="23" t="str">
        <f aca="false">IF(AND(C1029="covered",N1029&gt;40),"COVERED &gt;40 FT","")</f>
        <v/>
      </c>
      <c r="AB1029" s="23" t="s">
        <v>8077</v>
      </c>
      <c r="AC1029" s="23" t="s">
        <v>8078</v>
      </c>
      <c r="AD1029" s="23" t="s">
        <v>2807</v>
      </c>
    </row>
    <row r="1030" customFormat="false" ht="17.9" hidden="false" customHeight="false" outlineLevel="0" collapsed="false">
      <c r="A1030" s="20" t="s">
        <v>8079</v>
      </c>
      <c r="B1030" s="20" t="s">
        <v>99</v>
      </c>
      <c r="C1030" s="20" t="s">
        <v>5162</v>
      </c>
      <c r="D1030" s="20" t="s">
        <v>2203</v>
      </c>
      <c r="E1030" s="20" t="s">
        <v>2204</v>
      </c>
      <c r="F1030" s="20" t="s">
        <v>2833</v>
      </c>
      <c r="G1030" s="20" t="s">
        <v>3833</v>
      </c>
      <c r="H1030" s="22" t="n">
        <v>58.2</v>
      </c>
      <c r="I1030" s="22" t="n">
        <v>58.2</v>
      </c>
      <c r="J1030" s="22" t="n">
        <f aca="false">H1030-I1030</f>
        <v>0</v>
      </c>
      <c r="K1030" s="20" t="str">
        <f aca="false">IF(ABS(J1030)&lt;0.001,"MATCH - PAPER CHECK-IN NOT SUPPLIED","DATA MISMATCH")</f>
        <v>MATCH - PAPER CHECK-IN NOT SUPPLIED</v>
      </c>
      <c r="L1030" s="22" t="n">
        <v>36</v>
      </c>
      <c r="M1030" s="22" t="n">
        <f aca="false">ROUNDUP(H1030,0)</f>
        <v>59</v>
      </c>
      <c r="N1030" s="24" t="n">
        <f aca="false">MAX(L1030,M1030)</f>
        <v>59</v>
      </c>
      <c r="O1030" s="25" t="n">
        <v>10.4</v>
      </c>
      <c r="P1030" s="25" t="n">
        <f aca="false">N1030*O1030</f>
        <v>613.6</v>
      </c>
      <c r="Q1030" s="23" t="s">
        <v>8080</v>
      </c>
      <c r="R1030" s="23" t="s">
        <v>2804</v>
      </c>
      <c r="S1030" s="24" t="n">
        <v>59</v>
      </c>
      <c r="T1030" s="25" t="n">
        <v>10.4</v>
      </c>
      <c r="U1030" s="25" t="n">
        <v>613.6</v>
      </c>
      <c r="V1030" s="25" t="n">
        <f aca="false">P1030-U1030</f>
        <v>0</v>
      </c>
      <c r="W1030" s="25" t="n">
        <f aca="false">V1030*12</f>
        <v>0</v>
      </c>
      <c r="X1030" s="23" t="str">
        <f aca="false">IF(Q1030="","MISSING FROM EXPORT",IF(ABS(V1030)&lt;0.005,"CLEAR",IF(V1030&gt;0,"UNDERBILLING","OVERBILLING")))</f>
        <v>CLEAR</v>
      </c>
      <c r="Y1030" s="25" t="n">
        <f aca="false">IF(F1030="COMMERCIAL",ROUND(P1030*0.35,2),0)</f>
        <v>0</v>
      </c>
      <c r="Z1030" s="23" t="str">
        <f aca="false">IF(F1030="COMMERCIAL","VERIFY SIGNED AGREEMENT","NO EXCEPTION")</f>
        <v>NO EXCEPTION</v>
      </c>
      <c r="AA1030" s="23" t="str">
        <f aca="false">IF(AND(C1030="covered",N1030&gt;40),"COVERED &gt;40 FT","")</f>
        <v>COVERED &gt;40 FT</v>
      </c>
      <c r="AB1030" s="23" t="s">
        <v>8081</v>
      </c>
      <c r="AC1030" s="23" t="s">
        <v>8082</v>
      </c>
      <c r="AD1030" s="23" t="s">
        <v>2807</v>
      </c>
    </row>
    <row r="1031" customFormat="false" ht="17.9" hidden="false" customHeight="false" outlineLevel="0" collapsed="false">
      <c r="A1031" s="20" t="s">
        <v>814</v>
      </c>
      <c r="B1031" s="20" t="s">
        <v>99</v>
      </c>
      <c r="C1031" s="20" t="s">
        <v>5162</v>
      </c>
      <c r="D1031" s="20" t="s">
        <v>8083</v>
      </c>
      <c r="E1031" s="20" t="s">
        <v>8084</v>
      </c>
      <c r="F1031" s="20" t="s">
        <v>2833</v>
      </c>
      <c r="G1031" s="20" t="s">
        <v>3840</v>
      </c>
      <c r="H1031" s="22" t="n">
        <v>18.2</v>
      </c>
      <c r="I1031" s="22" t="n">
        <v>18.2</v>
      </c>
      <c r="J1031" s="22" t="n">
        <f aca="false">H1031-I1031</f>
        <v>0</v>
      </c>
      <c r="K1031" s="20" t="str">
        <f aca="false">IF(ABS(J1031)&lt;0.001,"MATCH - PAPER CHECK-IN NOT SUPPLIED","DATA MISMATCH")</f>
        <v>MATCH - PAPER CHECK-IN NOT SUPPLIED</v>
      </c>
      <c r="L1031" s="22" t="n">
        <v>24</v>
      </c>
      <c r="M1031" s="22" t="n">
        <f aca="false">ROUNDUP(H1031,0)</f>
        <v>19</v>
      </c>
      <c r="N1031" s="24" t="n">
        <f aca="false">MAX(L1031,M1031)</f>
        <v>24</v>
      </c>
      <c r="O1031" s="25" t="n">
        <v>10.4</v>
      </c>
      <c r="P1031" s="25" t="n">
        <f aca="false">N1031*O1031</f>
        <v>249.6</v>
      </c>
      <c r="Q1031" s="23" t="s">
        <v>8085</v>
      </c>
      <c r="R1031" s="23" t="s">
        <v>2804</v>
      </c>
      <c r="S1031" s="24" t="n">
        <v>24</v>
      </c>
      <c r="T1031" s="25" t="n">
        <v>10.4</v>
      </c>
      <c r="U1031" s="25" t="n">
        <v>249.6</v>
      </c>
      <c r="V1031" s="25" t="n">
        <f aca="false">P1031-U1031</f>
        <v>0</v>
      </c>
      <c r="W1031" s="25" t="n">
        <f aca="false">V1031*12</f>
        <v>0</v>
      </c>
      <c r="X1031" s="23" t="str">
        <f aca="false">IF(Q1031="","MISSING FROM EXPORT",IF(ABS(V1031)&lt;0.005,"CLEAR",IF(V1031&gt;0,"UNDERBILLING","OVERBILLING")))</f>
        <v>CLEAR</v>
      </c>
      <c r="Y1031" s="25" t="n">
        <f aca="false">IF(F1031="COMMERCIAL",ROUND(P1031*0.35,2),0)</f>
        <v>0</v>
      </c>
      <c r="Z1031" s="23" t="str">
        <f aca="false">IF(F1031="COMMERCIAL","VERIFY SIGNED AGREEMENT","NO EXCEPTION")</f>
        <v>NO EXCEPTION</v>
      </c>
      <c r="AA1031" s="23" t="str">
        <f aca="false">IF(AND(C1031="covered",N1031&gt;40),"COVERED &gt;40 FT","")</f>
        <v/>
      </c>
      <c r="AB1031" s="23" t="s">
        <v>8086</v>
      </c>
      <c r="AC1031" s="23" t="s">
        <v>8087</v>
      </c>
      <c r="AD1031" s="23" t="s">
        <v>2807</v>
      </c>
    </row>
    <row r="1032" customFormat="false" ht="17.9" hidden="false" customHeight="false" outlineLevel="0" collapsed="false">
      <c r="A1032" s="20" t="s">
        <v>245</v>
      </c>
      <c r="B1032" s="20" t="s">
        <v>99</v>
      </c>
      <c r="C1032" s="20" t="s">
        <v>5162</v>
      </c>
      <c r="D1032" s="20" t="s">
        <v>8088</v>
      </c>
      <c r="E1032" s="20" t="s">
        <v>8089</v>
      </c>
      <c r="F1032" s="20" t="s">
        <v>2818</v>
      </c>
      <c r="G1032" s="20" t="s">
        <v>3854</v>
      </c>
      <c r="H1032" s="22" t="n">
        <v>21.3</v>
      </c>
      <c r="I1032" s="22" t="n">
        <v>21.3</v>
      </c>
      <c r="J1032" s="22" t="n">
        <f aca="false">H1032-I1032</f>
        <v>0</v>
      </c>
      <c r="K1032" s="20" t="str">
        <f aca="false">IF(ABS(J1032)&lt;0.001,"MATCH - PAPER CHECK-IN NOT SUPPLIED","DATA MISMATCH")</f>
        <v>MATCH - PAPER CHECK-IN NOT SUPPLIED</v>
      </c>
      <c r="L1032" s="22" t="n">
        <v>32</v>
      </c>
      <c r="M1032" s="22" t="n">
        <f aca="false">ROUNDUP(H1032,0)</f>
        <v>22</v>
      </c>
      <c r="N1032" s="24" t="n">
        <f aca="false">MAX(L1032,M1032)</f>
        <v>32</v>
      </c>
      <c r="O1032" s="25" t="n">
        <v>10.4</v>
      </c>
      <c r="P1032" s="25" t="n">
        <f aca="false">N1032*O1032</f>
        <v>332.8</v>
      </c>
      <c r="Q1032" s="23" t="s">
        <v>8090</v>
      </c>
      <c r="R1032" s="23" t="s">
        <v>2804</v>
      </c>
      <c r="S1032" s="24" t="n">
        <v>32</v>
      </c>
      <c r="T1032" s="25" t="n">
        <v>10.4</v>
      </c>
      <c r="U1032" s="25" t="n">
        <v>332.8</v>
      </c>
      <c r="V1032" s="25" t="n">
        <f aca="false">P1032-U1032</f>
        <v>0</v>
      </c>
      <c r="W1032" s="25" t="n">
        <f aca="false">V1032*12</f>
        <v>0</v>
      </c>
      <c r="X1032" s="23" t="str">
        <f aca="false">IF(Q1032="","MISSING FROM EXPORT",IF(ABS(V1032)&lt;0.005,"CLEAR",IF(V1032&gt;0,"UNDERBILLING","OVERBILLING")))</f>
        <v>CLEAR</v>
      </c>
      <c r="Y1032" s="25" t="n">
        <f aca="false">IF(F1032="COMMERCIAL",ROUND(P1032*0.35,2),0)</f>
        <v>0</v>
      </c>
      <c r="Z1032" s="23" t="str">
        <f aca="false">IF(F1032="COMMERCIAL","VERIFY SIGNED AGREEMENT","NO EXCEPTION")</f>
        <v>NO EXCEPTION</v>
      </c>
      <c r="AA1032" s="23" t="str">
        <f aca="false">IF(AND(C1032="covered",N1032&gt;40),"COVERED &gt;40 FT","")</f>
        <v/>
      </c>
      <c r="AB1032" s="23" t="s">
        <v>8091</v>
      </c>
      <c r="AC1032" s="23" t="s">
        <v>8092</v>
      </c>
      <c r="AD1032" s="23" t="s">
        <v>2807</v>
      </c>
    </row>
    <row r="1033" customFormat="false" ht="17.9" hidden="false" customHeight="false" outlineLevel="0" collapsed="false">
      <c r="A1033" s="20" t="s">
        <v>8093</v>
      </c>
      <c r="B1033" s="20" t="s">
        <v>99</v>
      </c>
      <c r="C1033" s="20" t="s">
        <v>5162</v>
      </c>
      <c r="D1033" s="20" t="s">
        <v>8094</v>
      </c>
      <c r="E1033" s="20" t="s">
        <v>8095</v>
      </c>
      <c r="F1033" s="20" t="s">
        <v>2857</v>
      </c>
      <c r="G1033" s="20" t="s">
        <v>3859</v>
      </c>
      <c r="H1033" s="22" t="n">
        <v>52.9</v>
      </c>
      <c r="I1033" s="22" t="n">
        <v>52.9</v>
      </c>
      <c r="J1033" s="22" t="n">
        <f aca="false">H1033-I1033</f>
        <v>0</v>
      </c>
      <c r="K1033" s="20" t="str">
        <f aca="false">IF(ABS(J1033)&lt;0.001,"MATCH - PAPER CHECK-IN NOT SUPPLIED","DATA MISMATCH")</f>
        <v>MATCH - PAPER CHECK-IN NOT SUPPLIED</v>
      </c>
      <c r="L1033" s="22" t="n">
        <v>40</v>
      </c>
      <c r="M1033" s="22" t="n">
        <f aca="false">ROUNDUP(H1033,0)</f>
        <v>53</v>
      </c>
      <c r="N1033" s="24" t="n">
        <f aca="false">MAX(L1033,M1033)</f>
        <v>53</v>
      </c>
      <c r="O1033" s="25" t="n">
        <v>10.4</v>
      </c>
      <c r="P1033" s="25" t="n">
        <f aca="false">N1033*O1033</f>
        <v>551.2</v>
      </c>
      <c r="Q1033" s="23" t="s">
        <v>8096</v>
      </c>
      <c r="R1033" s="23" t="s">
        <v>2804</v>
      </c>
      <c r="S1033" s="24" t="n">
        <v>53</v>
      </c>
      <c r="T1033" s="25" t="n">
        <v>10.4</v>
      </c>
      <c r="U1033" s="25" t="n">
        <v>551.2</v>
      </c>
      <c r="V1033" s="25" t="n">
        <f aca="false">P1033-U1033</f>
        <v>0</v>
      </c>
      <c r="W1033" s="25" t="n">
        <f aca="false">V1033*12</f>
        <v>0</v>
      </c>
      <c r="X1033" s="23" t="str">
        <f aca="false">IF(Q1033="","MISSING FROM EXPORT",IF(ABS(V1033)&lt;0.005,"CLEAR",IF(V1033&gt;0,"UNDERBILLING","OVERBILLING")))</f>
        <v>CLEAR</v>
      </c>
      <c r="Y1033" s="25" t="n">
        <f aca="false">IF(F1033="COMMERCIAL",ROUND(P1033*0.35,2),0)</f>
        <v>0</v>
      </c>
      <c r="Z1033" s="23" t="str">
        <f aca="false">IF(F1033="COMMERCIAL","VERIFY SIGNED AGREEMENT","NO EXCEPTION")</f>
        <v>NO EXCEPTION</v>
      </c>
      <c r="AA1033" s="23" t="str">
        <f aca="false">IF(AND(C1033="covered",N1033&gt;40),"COVERED &gt;40 FT","")</f>
        <v>COVERED &gt;40 FT</v>
      </c>
      <c r="AB1033" s="23" t="s">
        <v>8097</v>
      </c>
      <c r="AC1033" s="23" t="s">
        <v>8098</v>
      </c>
      <c r="AD1033" s="23" t="s">
        <v>2807</v>
      </c>
    </row>
    <row r="1034" customFormat="false" ht="17.9" hidden="false" customHeight="false" outlineLevel="0" collapsed="false">
      <c r="A1034" s="20" t="s">
        <v>8099</v>
      </c>
      <c r="B1034" s="20" t="s">
        <v>99</v>
      </c>
      <c r="C1034" s="20" t="s">
        <v>5162</v>
      </c>
      <c r="D1034" s="20" t="s">
        <v>8100</v>
      </c>
      <c r="E1034" s="20" t="s">
        <v>8101</v>
      </c>
      <c r="F1034" s="20" t="s">
        <v>2857</v>
      </c>
      <c r="G1034" s="20" t="s">
        <v>3864</v>
      </c>
      <c r="H1034" s="22" t="n">
        <v>33.4</v>
      </c>
      <c r="I1034" s="22" t="n">
        <v>33.4</v>
      </c>
      <c r="J1034" s="22" t="n">
        <f aca="false">H1034-I1034</f>
        <v>0</v>
      </c>
      <c r="K1034" s="20" t="str">
        <f aca="false">IF(ABS(J1034)&lt;0.001,"MATCH - PAPER CHECK-IN NOT SUPPLIED","DATA MISMATCH")</f>
        <v>MATCH - PAPER CHECK-IN NOT SUPPLIED</v>
      </c>
      <c r="L1034" s="22" t="n">
        <v>32</v>
      </c>
      <c r="M1034" s="22" t="n">
        <f aca="false">ROUNDUP(H1034,0)</f>
        <v>34</v>
      </c>
      <c r="N1034" s="24" t="n">
        <f aca="false">MAX(L1034,M1034)</f>
        <v>34</v>
      </c>
      <c r="O1034" s="25" t="n">
        <v>10.4</v>
      </c>
      <c r="P1034" s="25" t="n">
        <f aca="false">N1034*O1034</f>
        <v>353.6</v>
      </c>
      <c r="Q1034" s="23" t="s">
        <v>8102</v>
      </c>
      <c r="R1034" s="23" t="s">
        <v>2804</v>
      </c>
      <c r="S1034" s="24" t="n">
        <v>34</v>
      </c>
      <c r="T1034" s="25" t="n">
        <v>10.4</v>
      </c>
      <c r="U1034" s="25" t="n">
        <v>353.6</v>
      </c>
      <c r="V1034" s="25" t="n">
        <f aca="false">P1034-U1034</f>
        <v>0</v>
      </c>
      <c r="W1034" s="25" t="n">
        <f aca="false">V1034*12</f>
        <v>0</v>
      </c>
      <c r="X1034" s="23" t="str">
        <f aca="false">IF(Q1034="","MISSING FROM EXPORT",IF(ABS(V1034)&lt;0.005,"CLEAR",IF(V1034&gt;0,"UNDERBILLING","OVERBILLING")))</f>
        <v>CLEAR</v>
      </c>
      <c r="Y1034" s="25" t="n">
        <f aca="false">IF(F1034="COMMERCIAL",ROUND(P1034*0.35,2),0)</f>
        <v>0</v>
      </c>
      <c r="Z1034" s="23" t="str">
        <f aca="false">IF(F1034="COMMERCIAL","VERIFY SIGNED AGREEMENT","NO EXCEPTION")</f>
        <v>NO EXCEPTION</v>
      </c>
      <c r="AA1034" s="23" t="str">
        <f aca="false">IF(AND(C1034="covered",N1034&gt;40),"COVERED &gt;40 FT","")</f>
        <v/>
      </c>
      <c r="AB1034" s="23" t="s">
        <v>8103</v>
      </c>
      <c r="AC1034" s="23" t="s">
        <v>8104</v>
      </c>
      <c r="AD1034" s="23" t="s">
        <v>2807</v>
      </c>
    </row>
    <row r="1035" customFormat="false" ht="17.9" hidden="false" customHeight="false" outlineLevel="0" collapsed="false">
      <c r="A1035" s="20" t="s">
        <v>1404</v>
      </c>
      <c r="B1035" s="20" t="s">
        <v>99</v>
      </c>
      <c r="C1035" s="20" t="s">
        <v>5162</v>
      </c>
      <c r="D1035" s="20" t="s">
        <v>8105</v>
      </c>
      <c r="E1035" s="20" t="s">
        <v>8106</v>
      </c>
      <c r="F1035" s="20" t="s">
        <v>2833</v>
      </c>
      <c r="G1035" s="20" t="s">
        <v>3870</v>
      </c>
      <c r="H1035" s="22" t="n">
        <v>56.2</v>
      </c>
      <c r="I1035" s="22" t="n">
        <v>56.2</v>
      </c>
      <c r="J1035" s="22" t="n">
        <f aca="false">H1035-I1035</f>
        <v>0</v>
      </c>
      <c r="K1035" s="20" t="str">
        <f aca="false">IF(ABS(J1035)&lt;0.001,"MATCH - PAPER CHECK-IN NOT SUPPLIED","DATA MISMATCH")</f>
        <v>MATCH - PAPER CHECK-IN NOT SUPPLIED</v>
      </c>
      <c r="L1035" s="22" t="n">
        <v>28</v>
      </c>
      <c r="M1035" s="22" t="n">
        <f aca="false">ROUNDUP(H1035,0)</f>
        <v>57</v>
      </c>
      <c r="N1035" s="24" t="n">
        <f aca="false">MAX(L1035,M1035)</f>
        <v>57</v>
      </c>
      <c r="O1035" s="25" t="n">
        <v>10.4</v>
      </c>
      <c r="P1035" s="25" t="n">
        <f aca="false">N1035*O1035</f>
        <v>592.8</v>
      </c>
      <c r="Q1035" s="23" t="s">
        <v>8107</v>
      </c>
      <c r="R1035" s="23" t="s">
        <v>2804</v>
      </c>
      <c r="S1035" s="24" t="n">
        <v>57</v>
      </c>
      <c r="T1035" s="25" t="n">
        <v>10.4</v>
      </c>
      <c r="U1035" s="25" t="n">
        <v>592.8</v>
      </c>
      <c r="V1035" s="25" t="n">
        <f aca="false">P1035-U1035</f>
        <v>0</v>
      </c>
      <c r="W1035" s="25" t="n">
        <f aca="false">V1035*12</f>
        <v>0</v>
      </c>
      <c r="X1035" s="23" t="str">
        <f aca="false">IF(Q1035="","MISSING FROM EXPORT",IF(ABS(V1035)&lt;0.005,"CLEAR",IF(V1035&gt;0,"UNDERBILLING","OVERBILLING")))</f>
        <v>CLEAR</v>
      </c>
      <c r="Y1035" s="25" t="n">
        <f aca="false">IF(F1035="COMMERCIAL",ROUND(P1035*0.35,2),0)</f>
        <v>0</v>
      </c>
      <c r="Z1035" s="23" t="str">
        <f aca="false">IF(F1035="COMMERCIAL","VERIFY SIGNED AGREEMENT","NO EXCEPTION")</f>
        <v>NO EXCEPTION</v>
      </c>
      <c r="AA1035" s="23" t="str">
        <f aca="false">IF(AND(C1035="covered",N1035&gt;40),"COVERED &gt;40 FT","")</f>
        <v>COVERED &gt;40 FT</v>
      </c>
      <c r="AB1035" s="23" t="s">
        <v>8108</v>
      </c>
      <c r="AC1035" s="23" t="s">
        <v>8109</v>
      </c>
      <c r="AD1035" s="23" t="s">
        <v>2807</v>
      </c>
    </row>
    <row r="1036" customFormat="false" ht="17.9" hidden="false" customHeight="false" outlineLevel="0" collapsed="false">
      <c r="A1036" s="20" t="s">
        <v>8110</v>
      </c>
      <c r="B1036" s="20" t="s">
        <v>99</v>
      </c>
      <c r="C1036" s="20" t="s">
        <v>5162</v>
      </c>
      <c r="D1036" s="20" t="s">
        <v>8111</v>
      </c>
      <c r="E1036" s="20" t="s">
        <v>8112</v>
      </c>
      <c r="F1036" s="20" t="s">
        <v>2857</v>
      </c>
      <c r="G1036" s="20" t="s">
        <v>3876</v>
      </c>
      <c r="H1036" s="22" t="n">
        <v>59.7</v>
      </c>
      <c r="I1036" s="22" t="n">
        <v>59.7</v>
      </c>
      <c r="J1036" s="22" t="n">
        <f aca="false">H1036-I1036</f>
        <v>0</v>
      </c>
      <c r="K1036" s="20" t="str">
        <f aca="false">IF(ABS(J1036)&lt;0.001,"MATCH - PAPER CHECK-IN NOT SUPPLIED","DATA MISMATCH")</f>
        <v>MATCH - PAPER CHECK-IN NOT SUPPLIED</v>
      </c>
      <c r="L1036" s="22" t="n">
        <v>28</v>
      </c>
      <c r="M1036" s="22" t="n">
        <f aca="false">ROUNDUP(H1036,0)</f>
        <v>60</v>
      </c>
      <c r="N1036" s="24" t="n">
        <f aca="false">MAX(L1036,M1036)</f>
        <v>60</v>
      </c>
      <c r="O1036" s="25" t="n">
        <v>10.4</v>
      </c>
      <c r="P1036" s="25" t="n">
        <f aca="false">N1036*O1036</f>
        <v>624</v>
      </c>
      <c r="Q1036" s="23" t="s">
        <v>8113</v>
      </c>
      <c r="R1036" s="23" t="s">
        <v>2804</v>
      </c>
      <c r="S1036" s="24" t="n">
        <v>60</v>
      </c>
      <c r="T1036" s="25" t="n">
        <v>10.4</v>
      </c>
      <c r="U1036" s="25" t="n">
        <v>624</v>
      </c>
      <c r="V1036" s="25" t="n">
        <f aca="false">P1036-U1036</f>
        <v>0</v>
      </c>
      <c r="W1036" s="25" t="n">
        <f aca="false">V1036*12</f>
        <v>0</v>
      </c>
      <c r="X1036" s="23" t="str">
        <f aca="false">IF(Q1036="","MISSING FROM EXPORT",IF(ABS(V1036)&lt;0.005,"CLEAR",IF(V1036&gt;0,"UNDERBILLING","OVERBILLING")))</f>
        <v>CLEAR</v>
      </c>
      <c r="Y1036" s="25" t="n">
        <f aca="false">IF(F1036="COMMERCIAL",ROUND(P1036*0.35,2),0)</f>
        <v>0</v>
      </c>
      <c r="Z1036" s="23" t="str">
        <f aca="false">IF(F1036="COMMERCIAL","VERIFY SIGNED AGREEMENT","NO EXCEPTION")</f>
        <v>NO EXCEPTION</v>
      </c>
      <c r="AA1036" s="23" t="str">
        <f aca="false">IF(AND(C1036="covered",N1036&gt;40),"COVERED &gt;40 FT","")</f>
        <v>COVERED &gt;40 FT</v>
      </c>
      <c r="AB1036" s="23" t="s">
        <v>8114</v>
      </c>
      <c r="AC1036" s="23" t="s">
        <v>8115</v>
      </c>
      <c r="AD1036" s="23" t="s">
        <v>2807</v>
      </c>
    </row>
    <row r="1037" customFormat="false" ht="17.9" hidden="false" customHeight="false" outlineLevel="0" collapsed="false">
      <c r="A1037" s="20" t="s">
        <v>8116</v>
      </c>
      <c r="B1037" s="20" t="s">
        <v>99</v>
      </c>
      <c r="C1037" s="20" t="s">
        <v>5162</v>
      </c>
      <c r="D1037" s="20" t="s">
        <v>8117</v>
      </c>
      <c r="E1037" s="20" t="s">
        <v>8118</v>
      </c>
      <c r="F1037" s="20" t="s">
        <v>2833</v>
      </c>
      <c r="G1037" s="20" t="s">
        <v>3882</v>
      </c>
      <c r="H1037" s="22" t="n">
        <v>22.4</v>
      </c>
      <c r="I1037" s="22" t="n">
        <v>22.4</v>
      </c>
      <c r="J1037" s="22" t="n">
        <f aca="false">H1037-I1037</f>
        <v>0</v>
      </c>
      <c r="K1037" s="20" t="str">
        <f aca="false">IF(ABS(J1037)&lt;0.001,"MATCH - PAPER CHECK-IN NOT SUPPLIED","DATA MISMATCH")</f>
        <v>MATCH - PAPER CHECK-IN NOT SUPPLIED</v>
      </c>
      <c r="L1037" s="22" t="n">
        <v>36</v>
      </c>
      <c r="M1037" s="22" t="n">
        <f aca="false">ROUNDUP(H1037,0)</f>
        <v>23</v>
      </c>
      <c r="N1037" s="24" t="n">
        <f aca="false">MAX(L1037,M1037)</f>
        <v>36</v>
      </c>
      <c r="O1037" s="25" t="n">
        <v>10.4</v>
      </c>
      <c r="P1037" s="25" t="n">
        <f aca="false">N1037*O1037</f>
        <v>374.4</v>
      </c>
      <c r="Q1037" s="23" t="s">
        <v>8119</v>
      </c>
      <c r="R1037" s="23" t="s">
        <v>2804</v>
      </c>
      <c r="S1037" s="24" t="n">
        <v>36</v>
      </c>
      <c r="T1037" s="25" t="n">
        <v>10.4</v>
      </c>
      <c r="U1037" s="25" t="n">
        <v>374.4</v>
      </c>
      <c r="V1037" s="25" t="n">
        <f aca="false">P1037-U1037</f>
        <v>0</v>
      </c>
      <c r="W1037" s="25" t="n">
        <f aca="false">V1037*12</f>
        <v>0</v>
      </c>
      <c r="X1037" s="23" t="str">
        <f aca="false">IF(Q1037="","MISSING FROM EXPORT",IF(ABS(V1037)&lt;0.005,"CLEAR",IF(V1037&gt;0,"UNDERBILLING","OVERBILLING")))</f>
        <v>CLEAR</v>
      </c>
      <c r="Y1037" s="25" t="n">
        <f aca="false">IF(F1037="COMMERCIAL",ROUND(P1037*0.35,2),0)</f>
        <v>0</v>
      </c>
      <c r="Z1037" s="23" t="str">
        <f aca="false">IF(F1037="COMMERCIAL","VERIFY SIGNED AGREEMENT","NO EXCEPTION")</f>
        <v>NO EXCEPTION</v>
      </c>
      <c r="AA1037" s="23" t="str">
        <f aca="false">IF(AND(C1037="covered",N1037&gt;40),"COVERED &gt;40 FT","")</f>
        <v/>
      </c>
      <c r="AB1037" s="23" t="s">
        <v>8120</v>
      </c>
      <c r="AC1037" s="23" t="s">
        <v>8121</v>
      </c>
      <c r="AD1037" s="23" t="s">
        <v>2807</v>
      </c>
    </row>
    <row r="1038" customFormat="false" ht="17.9" hidden="false" customHeight="false" outlineLevel="0" collapsed="false">
      <c r="A1038" s="20" t="s">
        <v>8122</v>
      </c>
      <c r="B1038" s="20" t="s">
        <v>99</v>
      </c>
      <c r="C1038" s="20" t="s">
        <v>5162</v>
      </c>
      <c r="D1038" s="20" t="s">
        <v>8123</v>
      </c>
      <c r="E1038" s="20" t="s">
        <v>8124</v>
      </c>
      <c r="F1038" s="20" t="s">
        <v>2833</v>
      </c>
      <c r="G1038" s="20" t="s">
        <v>3887</v>
      </c>
      <c r="H1038" s="22" t="n">
        <v>58.6</v>
      </c>
      <c r="I1038" s="22" t="n">
        <v>58.6</v>
      </c>
      <c r="J1038" s="22" t="n">
        <f aca="false">H1038-I1038</f>
        <v>0</v>
      </c>
      <c r="K1038" s="20" t="str">
        <f aca="false">IF(ABS(J1038)&lt;0.001,"MATCH - PAPER CHECK-IN NOT SUPPLIED","DATA MISMATCH")</f>
        <v>MATCH - PAPER CHECK-IN NOT SUPPLIED</v>
      </c>
      <c r="L1038" s="22" t="n">
        <v>32</v>
      </c>
      <c r="M1038" s="22" t="n">
        <f aca="false">ROUNDUP(H1038,0)</f>
        <v>59</v>
      </c>
      <c r="N1038" s="24" t="n">
        <f aca="false">MAX(L1038,M1038)</f>
        <v>59</v>
      </c>
      <c r="O1038" s="25" t="n">
        <v>10.4</v>
      </c>
      <c r="P1038" s="25" t="n">
        <f aca="false">N1038*O1038</f>
        <v>613.6</v>
      </c>
      <c r="Q1038" s="23" t="s">
        <v>8125</v>
      </c>
      <c r="R1038" s="23" t="s">
        <v>2804</v>
      </c>
      <c r="S1038" s="24" t="n">
        <v>59</v>
      </c>
      <c r="T1038" s="25" t="n">
        <v>10.4</v>
      </c>
      <c r="U1038" s="25" t="n">
        <v>613.6</v>
      </c>
      <c r="V1038" s="25" t="n">
        <f aca="false">P1038-U1038</f>
        <v>0</v>
      </c>
      <c r="W1038" s="25" t="n">
        <f aca="false">V1038*12</f>
        <v>0</v>
      </c>
      <c r="X1038" s="23" t="str">
        <f aca="false">IF(Q1038="","MISSING FROM EXPORT",IF(ABS(V1038)&lt;0.005,"CLEAR",IF(V1038&gt;0,"UNDERBILLING","OVERBILLING")))</f>
        <v>CLEAR</v>
      </c>
      <c r="Y1038" s="25" t="n">
        <f aca="false">IF(F1038="COMMERCIAL",ROUND(P1038*0.35,2),0)</f>
        <v>0</v>
      </c>
      <c r="Z1038" s="23" t="str">
        <f aca="false">IF(F1038="COMMERCIAL","VERIFY SIGNED AGREEMENT","NO EXCEPTION")</f>
        <v>NO EXCEPTION</v>
      </c>
      <c r="AA1038" s="23" t="str">
        <f aca="false">IF(AND(C1038="covered",N1038&gt;40),"COVERED &gt;40 FT","")</f>
        <v>COVERED &gt;40 FT</v>
      </c>
      <c r="AB1038" s="23" t="s">
        <v>8126</v>
      </c>
      <c r="AC1038" s="23" t="s">
        <v>8127</v>
      </c>
      <c r="AD1038" s="23" t="s">
        <v>2807</v>
      </c>
    </row>
    <row r="1039" customFormat="false" ht="17.9" hidden="false" customHeight="false" outlineLevel="0" collapsed="false">
      <c r="A1039" s="20" t="s">
        <v>8128</v>
      </c>
      <c r="B1039" s="20" t="s">
        <v>99</v>
      </c>
      <c r="C1039" s="20" t="s">
        <v>5162</v>
      </c>
      <c r="D1039" s="20" t="s">
        <v>8129</v>
      </c>
      <c r="E1039" s="20" t="s">
        <v>8130</v>
      </c>
      <c r="F1039" s="20" t="s">
        <v>2818</v>
      </c>
      <c r="G1039" s="20" t="s">
        <v>3894</v>
      </c>
      <c r="H1039" s="22" t="n">
        <v>54.9</v>
      </c>
      <c r="I1039" s="22" t="n">
        <v>54.9</v>
      </c>
      <c r="J1039" s="22" t="n">
        <f aca="false">H1039-I1039</f>
        <v>0</v>
      </c>
      <c r="K1039" s="20" t="str">
        <f aca="false">IF(ABS(J1039)&lt;0.001,"MATCH - PAPER CHECK-IN NOT SUPPLIED","DATA MISMATCH")</f>
        <v>MATCH - PAPER CHECK-IN NOT SUPPLIED</v>
      </c>
      <c r="L1039" s="22" t="n">
        <v>28</v>
      </c>
      <c r="M1039" s="22" t="n">
        <f aca="false">ROUNDUP(H1039,0)</f>
        <v>55</v>
      </c>
      <c r="N1039" s="24" t="n">
        <f aca="false">MAX(L1039,M1039)</f>
        <v>55</v>
      </c>
      <c r="O1039" s="25" t="n">
        <v>10.4</v>
      </c>
      <c r="P1039" s="25" t="n">
        <f aca="false">N1039*O1039</f>
        <v>572</v>
      </c>
      <c r="Q1039" s="23" t="s">
        <v>8131</v>
      </c>
      <c r="R1039" s="23" t="s">
        <v>2804</v>
      </c>
      <c r="S1039" s="24" t="n">
        <v>55</v>
      </c>
      <c r="T1039" s="25" t="n">
        <v>10.4</v>
      </c>
      <c r="U1039" s="25" t="n">
        <v>572</v>
      </c>
      <c r="V1039" s="25" t="n">
        <f aca="false">P1039-U1039</f>
        <v>0</v>
      </c>
      <c r="W1039" s="25" t="n">
        <f aca="false">V1039*12</f>
        <v>0</v>
      </c>
      <c r="X1039" s="23" t="str">
        <f aca="false">IF(Q1039="","MISSING FROM EXPORT",IF(ABS(V1039)&lt;0.005,"CLEAR",IF(V1039&gt;0,"UNDERBILLING","OVERBILLING")))</f>
        <v>CLEAR</v>
      </c>
      <c r="Y1039" s="25" t="n">
        <f aca="false">IF(F1039="COMMERCIAL",ROUND(P1039*0.35,2),0)</f>
        <v>0</v>
      </c>
      <c r="Z1039" s="23" t="str">
        <f aca="false">IF(F1039="COMMERCIAL","VERIFY SIGNED AGREEMENT","NO EXCEPTION")</f>
        <v>NO EXCEPTION</v>
      </c>
      <c r="AA1039" s="23" t="str">
        <f aca="false">IF(AND(C1039="covered",N1039&gt;40),"COVERED &gt;40 FT","")</f>
        <v>COVERED &gt;40 FT</v>
      </c>
      <c r="AB1039" s="23" t="s">
        <v>8132</v>
      </c>
      <c r="AC1039" s="23" t="s">
        <v>8133</v>
      </c>
      <c r="AD1039" s="23" t="s">
        <v>2807</v>
      </c>
    </row>
    <row r="1040" customFormat="false" ht="17.9" hidden="false" customHeight="false" outlineLevel="0" collapsed="false">
      <c r="A1040" s="20" t="s">
        <v>8134</v>
      </c>
      <c r="B1040" s="20" t="s">
        <v>99</v>
      </c>
      <c r="C1040" s="20" t="s">
        <v>5162</v>
      </c>
      <c r="D1040" s="20" t="s">
        <v>8135</v>
      </c>
      <c r="E1040" s="20" t="s">
        <v>8136</v>
      </c>
      <c r="F1040" s="20" t="s">
        <v>2869</v>
      </c>
      <c r="G1040" s="20" t="s">
        <v>3901</v>
      </c>
      <c r="H1040" s="22" t="n">
        <v>47</v>
      </c>
      <c r="I1040" s="22" t="n">
        <v>47</v>
      </c>
      <c r="J1040" s="22" t="n">
        <f aca="false">H1040-I1040</f>
        <v>0</v>
      </c>
      <c r="K1040" s="20" t="str">
        <f aca="false">IF(ABS(J1040)&lt;0.001,"MATCH - PAPER CHECK-IN NOT SUPPLIED","DATA MISMATCH")</f>
        <v>MATCH - PAPER CHECK-IN NOT SUPPLIED</v>
      </c>
      <c r="L1040" s="22" t="n">
        <v>24</v>
      </c>
      <c r="M1040" s="22" t="n">
        <f aca="false">ROUNDUP(H1040,0)</f>
        <v>47</v>
      </c>
      <c r="N1040" s="24" t="n">
        <f aca="false">MAX(L1040,M1040)</f>
        <v>47</v>
      </c>
      <c r="O1040" s="25" t="n">
        <v>10.4</v>
      </c>
      <c r="P1040" s="25" t="n">
        <f aca="false">N1040*O1040</f>
        <v>488.8</v>
      </c>
      <c r="Q1040" s="23" t="s">
        <v>8137</v>
      </c>
      <c r="R1040" s="23" t="s">
        <v>2804</v>
      </c>
      <c r="S1040" s="24" t="n">
        <v>47</v>
      </c>
      <c r="T1040" s="25" t="n">
        <v>10.4</v>
      </c>
      <c r="U1040" s="25" t="n">
        <v>488.8</v>
      </c>
      <c r="V1040" s="25" t="n">
        <f aca="false">P1040-U1040</f>
        <v>0</v>
      </c>
      <c r="W1040" s="25" t="n">
        <f aca="false">V1040*12</f>
        <v>0</v>
      </c>
      <c r="X1040" s="23" t="str">
        <f aca="false">IF(Q1040="","MISSING FROM EXPORT",IF(ABS(V1040)&lt;0.005,"CLEAR",IF(V1040&gt;0,"UNDERBILLING","OVERBILLING")))</f>
        <v>CLEAR</v>
      </c>
      <c r="Y1040" s="25" t="n">
        <f aca="false">IF(F1040="COMMERCIAL",ROUND(P1040*0.35,2),0)</f>
        <v>0</v>
      </c>
      <c r="Z1040" s="23" t="str">
        <f aca="false">IF(F1040="COMMERCIAL","VERIFY SIGNED AGREEMENT","NO EXCEPTION")</f>
        <v>NO EXCEPTION</v>
      </c>
      <c r="AA1040" s="23" t="str">
        <f aca="false">IF(AND(C1040="covered",N1040&gt;40),"COVERED &gt;40 FT","")</f>
        <v>COVERED &gt;40 FT</v>
      </c>
      <c r="AB1040" s="23" t="s">
        <v>8138</v>
      </c>
      <c r="AC1040" s="23" t="s">
        <v>8139</v>
      </c>
      <c r="AD1040" s="23" t="s">
        <v>2807</v>
      </c>
    </row>
    <row r="1041" customFormat="false" ht="17.9" hidden="false" customHeight="false" outlineLevel="0" collapsed="false">
      <c r="A1041" s="20" t="s">
        <v>8140</v>
      </c>
      <c r="B1041" s="20" t="s">
        <v>99</v>
      </c>
      <c r="C1041" s="20" t="s">
        <v>5162</v>
      </c>
      <c r="D1041" s="20" t="s">
        <v>8141</v>
      </c>
      <c r="E1041" s="20" t="s">
        <v>541</v>
      </c>
      <c r="F1041" s="20" t="s">
        <v>2801</v>
      </c>
      <c r="G1041" s="20" t="s">
        <v>3907</v>
      </c>
      <c r="H1041" s="22" t="n">
        <v>56.9</v>
      </c>
      <c r="I1041" s="22" t="n">
        <v>56.9</v>
      </c>
      <c r="J1041" s="22" t="n">
        <f aca="false">H1041-I1041</f>
        <v>0</v>
      </c>
      <c r="K1041" s="20" t="str">
        <f aca="false">IF(ABS(J1041)&lt;0.001,"MATCH - PAPER CHECK-IN NOT SUPPLIED","DATA MISMATCH")</f>
        <v>MATCH - PAPER CHECK-IN NOT SUPPLIED</v>
      </c>
      <c r="L1041" s="22" t="n">
        <v>24</v>
      </c>
      <c r="M1041" s="22" t="n">
        <f aca="false">ROUNDUP(H1041,0)</f>
        <v>57</v>
      </c>
      <c r="N1041" s="24" t="n">
        <f aca="false">MAX(L1041,M1041)</f>
        <v>57</v>
      </c>
      <c r="O1041" s="25" t="n">
        <v>10.4</v>
      </c>
      <c r="P1041" s="25" t="n">
        <f aca="false">N1041*O1041</f>
        <v>592.8</v>
      </c>
      <c r="Q1041" s="23" t="s">
        <v>8142</v>
      </c>
      <c r="R1041" s="23" t="s">
        <v>2804</v>
      </c>
      <c r="S1041" s="24" t="n">
        <v>57</v>
      </c>
      <c r="T1041" s="25" t="n">
        <v>10.4</v>
      </c>
      <c r="U1041" s="25" t="n">
        <v>592.8</v>
      </c>
      <c r="V1041" s="25" t="n">
        <f aca="false">P1041-U1041</f>
        <v>0</v>
      </c>
      <c r="W1041" s="25" t="n">
        <f aca="false">V1041*12</f>
        <v>0</v>
      </c>
      <c r="X1041" s="23" t="str">
        <f aca="false">IF(Q1041="","MISSING FROM EXPORT",IF(ABS(V1041)&lt;0.005,"CLEAR",IF(V1041&gt;0,"UNDERBILLING","OVERBILLING")))</f>
        <v>CLEAR</v>
      </c>
      <c r="Y1041" s="25" t="n">
        <f aca="false">IF(F1041="COMMERCIAL",ROUND(P1041*0.35,2),0)</f>
        <v>0</v>
      </c>
      <c r="Z1041" s="23" t="str">
        <f aca="false">IF(F1041="COMMERCIAL","VERIFY SIGNED AGREEMENT","NO EXCEPTION")</f>
        <v>NO EXCEPTION</v>
      </c>
      <c r="AA1041" s="23" t="str">
        <f aca="false">IF(AND(C1041="covered",N1041&gt;40),"COVERED &gt;40 FT","")</f>
        <v>COVERED &gt;40 FT</v>
      </c>
      <c r="AB1041" s="23" t="s">
        <v>8143</v>
      </c>
      <c r="AC1041" s="23" t="s">
        <v>8144</v>
      </c>
      <c r="AD1041" s="23" t="s">
        <v>2807</v>
      </c>
    </row>
    <row r="1042" customFormat="false" ht="17.9" hidden="false" customHeight="false" outlineLevel="0" collapsed="false">
      <c r="A1042" s="20" t="s">
        <v>562</v>
      </c>
      <c r="B1042" s="20" t="s">
        <v>99</v>
      </c>
      <c r="C1042" s="20" t="s">
        <v>5162</v>
      </c>
      <c r="D1042" s="20" t="s">
        <v>8145</v>
      </c>
      <c r="E1042" s="20" t="s">
        <v>8146</v>
      </c>
      <c r="F1042" s="20" t="s">
        <v>2857</v>
      </c>
      <c r="G1042" s="20" t="s">
        <v>4991</v>
      </c>
      <c r="H1042" s="22" t="n">
        <v>39.8</v>
      </c>
      <c r="I1042" s="22" t="n">
        <v>39.8</v>
      </c>
      <c r="J1042" s="22" t="n">
        <f aca="false">H1042-I1042</f>
        <v>0</v>
      </c>
      <c r="K1042" s="20" t="str">
        <f aca="false">IF(ABS(J1042)&lt;0.001,"MATCH - PAPER CHECK-IN NOT SUPPLIED","DATA MISMATCH")</f>
        <v>MATCH - PAPER CHECK-IN NOT SUPPLIED</v>
      </c>
      <c r="L1042" s="22" t="n">
        <v>36</v>
      </c>
      <c r="M1042" s="22" t="n">
        <f aca="false">ROUNDUP(H1042,0)</f>
        <v>40</v>
      </c>
      <c r="N1042" s="24" t="n">
        <f aca="false">MAX(L1042,M1042)</f>
        <v>40</v>
      </c>
      <c r="O1042" s="25" t="n">
        <v>10.4</v>
      </c>
      <c r="P1042" s="25" t="n">
        <f aca="false">N1042*O1042</f>
        <v>416</v>
      </c>
      <c r="Q1042" s="23" t="s">
        <v>8147</v>
      </c>
      <c r="R1042" s="23" t="s">
        <v>2804</v>
      </c>
      <c r="S1042" s="24" t="n">
        <v>40</v>
      </c>
      <c r="T1042" s="25" t="n">
        <v>10.4</v>
      </c>
      <c r="U1042" s="25" t="n">
        <v>416</v>
      </c>
      <c r="V1042" s="25" t="n">
        <f aca="false">P1042-U1042</f>
        <v>0</v>
      </c>
      <c r="W1042" s="25" t="n">
        <f aca="false">V1042*12</f>
        <v>0</v>
      </c>
      <c r="X1042" s="23" t="str">
        <f aca="false">IF(Q1042="","MISSING FROM EXPORT",IF(ABS(V1042)&lt;0.005,"CLEAR",IF(V1042&gt;0,"UNDERBILLING","OVERBILLING")))</f>
        <v>CLEAR</v>
      </c>
      <c r="Y1042" s="25" t="n">
        <f aca="false">IF(F1042="COMMERCIAL",ROUND(P1042*0.35,2),0)</f>
        <v>0</v>
      </c>
      <c r="Z1042" s="23" t="str">
        <f aca="false">IF(F1042="COMMERCIAL","VERIFY SIGNED AGREEMENT","NO EXCEPTION")</f>
        <v>NO EXCEPTION</v>
      </c>
      <c r="AA1042" s="23" t="str">
        <f aca="false">IF(AND(C1042="covered",N1042&gt;40),"COVERED &gt;40 FT","")</f>
        <v/>
      </c>
      <c r="AB1042" s="23" t="s">
        <v>8148</v>
      </c>
      <c r="AC1042" s="23" t="s">
        <v>8149</v>
      </c>
      <c r="AD1042" s="23" t="s">
        <v>2807</v>
      </c>
    </row>
    <row r="1043" customFormat="false" ht="17.9" hidden="false" customHeight="false" outlineLevel="0" collapsed="false">
      <c r="A1043" s="20" t="s">
        <v>8150</v>
      </c>
      <c r="B1043" s="20" t="s">
        <v>99</v>
      </c>
      <c r="C1043" s="20" t="s">
        <v>5162</v>
      </c>
      <c r="D1043" s="20" t="s">
        <v>1524</v>
      </c>
      <c r="E1043" s="20" t="s">
        <v>8151</v>
      </c>
      <c r="F1043" s="20" t="s">
        <v>2898</v>
      </c>
      <c r="G1043" s="20" t="s">
        <v>3914</v>
      </c>
      <c r="H1043" s="22" t="n">
        <v>57.6</v>
      </c>
      <c r="I1043" s="22" t="n">
        <v>57.6</v>
      </c>
      <c r="J1043" s="22" t="n">
        <f aca="false">H1043-I1043</f>
        <v>0</v>
      </c>
      <c r="K1043" s="20" t="str">
        <f aca="false">IF(ABS(J1043)&lt;0.001,"MATCH - PAPER CHECK-IN NOT SUPPLIED","DATA MISMATCH")</f>
        <v>MATCH - PAPER CHECK-IN NOT SUPPLIED</v>
      </c>
      <c r="L1043" s="22" t="n">
        <v>40</v>
      </c>
      <c r="M1043" s="22" t="n">
        <f aca="false">ROUNDUP(H1043,0)</f>
        <v>58</v>
      </c>
      <c r="N1043" s="24" t="n">
        <f aca="false">MAX(L1043,M1043)</f>
        <v>58</v>
      </c>
      <c r="O1043" s="25" t="n">
        <v>10.4</v>
      </c>
      <c r="P1043" s="25" t="n">
        <f aca="false">N1043*O1043</f>
        <v>603.2</v>
      </c>
      <c r="Q1043" s="23" t="s">
        <v>8152</v>
      </c>
      <c r="R1043" s="23" t="s">
        <v>2804</v>
      </c>
      <c r="S1043" s="24" t="n">
        <v>58</v>
      </c>
      <c r="T1043" s="25" t="n">
        <v>10.4</v>
      </c>
      <c r="U1043" s="25" t="n">
        <v>603.2</v>
      </c>
      <c r="V1043" s="25" t="n">
        <f aca="false">P1043-U1043</f>
        <v>0</v>
      </c>
      <c r="W1043" s="25" t="n">
        <f aca="false">V1043*12</f>
        <v>0</v>
      </c>
      <c r="X1043" s="23" t="str">
        <f aca="false">IF(Q1043="","MISSING FROM EXPORT",IF(ABS(V1043)&lt;0.005,"CLEAR",IF(V1043&gt;0,"UNDERBILLING","OVERBILLING")))</f>
        <v>CLEAR</v>
      </c>
      <c r="Y1043" s="25" t="n">
        <f aca="false">IF(F1043="COMMERCIAL",ROUND(P1043*0.35,2),0)</f>
        <v>0</v>
      </c>
      <c r="Z1043" s="23" t="str">
        <f aca="false">IF(F1043="COMMERCIAL","VERIFY SIGNED AGREEMENT","NO EXCEPTION")</f>
        <v>NO EXCEPTION</v>
      </c>
      <c r="AA1043" s="23" t="str">
        <f aca="false">IF(AND(C1043="covered",N1043&gt;40),"COVERED &gt;40 FT","")</f>
        <v>COVERED &gt;40 FT</v>
      </c>
      <c r="AB1043" s="23" t="s">
        <v>8153</v>
      </c>
      <c r="AC1043" s="23" t="s">
        <v>8154</v>
      </c>
      <c r="AD1043" s="23" t="s">
        <v>2807</v>
      </c>
    </row>
    <row r="1044" customFormat="false" ht="17.9" hidden="false" customHeight="false" outlineLevel="0" collapsed="false">
      <c r="A1044" s="20" t="s">
        <v>8155</v>
      </c>
      <c r="B1044" s="20" t="s">
        <v>99</v>
      </c>
      <c r="C1044" s="20" t="s">
        <v>5162</v>
      </c>
      <c r="D1044" s="20" t="s">
        <v>8156</v>
      </c>
      <c r="E1044" s="20" t="s">
        <v>8157</v>
      </c>
      <c r="F1044" s="20" t="s">
        <v>2818</v>
      </c>
      <c r="G1044" s="20" t="s">
        <v>3921</v>
      </c>
      <c r="H1044" s="22" t="n">
        <v>50.8</v>
      </c>
      <c r="I1044" s="22" t="n">
        <v>50.8</v>
      </c>
      <c r="J1044" s="22" t="n">
        <f aca="false">H1044-I1044</f>
        <v>0</v>
      </c>
      <c r="K1044" s="20" t="str">
        <f aca="false">IF(ABS(J1044)&lt;0.001,"MATCH - PAPER CHECK-IN NOT SUPPLIED","DATA MISMATCH")</f>
        <v>MATCH - PAPER CHECK-IN NOT SUPPLIED</v>
      </c>
      <c r="L1044" s="22" t="n">
        <v>36</v>
      </c>
      <c r="M1044" s="22" t="n">
        <f aca="false">ROUNDUP(H1044,0)</f>
        <v>51</v>
      </c>
      <c r="N1044" s="24" t="n">
        <f aca="false">MAX(L1044,M1044)</f>
        <v>51</v>
      </c>
      <c r="O1044" s="25" t="n">
        <v>10.4</v>
      </c>
      <c r="P1044" s="25" t="n">
        <f aca="false">N1044*O1044</f>
        <v>530.4</v>
      </c>
      <c r="Q1044" s="23" t="s">
        <v>8158</v>
      </c>
      <c r="R1044" s="23" t="s">
        <v>2804</v>
      </c>
      <c r="S1044" s="24" t="n">
        <v>51</v>
      </c>
      <c r="T1044" s="25" t="n">
        <v>10.4</v>
      </c>
      <c r="U1044" s="25" t="n">
        <v>530.4</v>
      </c>
      <c r="V1044" s="25" t="n">
        <f aca="false">P1044-U1044</f>
        <v>0</v>
      </c>
      <c r="W1044" s="25" t="n">
        <f aca="false">V1044*12</f>
        <v>0</v>
      </c>
      <c r="X1044" s="23" t="str">
        <f aca="false">IF(Q1044="","MISSING FROM EXPORT",IF(ABS(V1044)&lt;0.005,"CLEAR",IF(V1044&gt;0,"UNDERBILLING","OVERBILLING")))</f>
        <v>CLEAR</v>
      </c>
      <c r="Y1044" s="25" t="n">
        <f aca="false">IF(F1044="COMMERCIAL",ROUND(P1044*0.35,2),0)</f>
        <v>0</v>
      </c>
      <c r="Z1044" s="23" t="str">
        <f aca="false">IF(F1044="COMMERCIAL","VERIFY SIGNED AGREEMENT","NO EXCEPTION")</f>
        <v>NO EXCEPTION</v>
      </c>
      <c r="AA1044" s="23" t="str">
        <f aca="false">IF(AND(C1044="covered",N1044&gt;40),"COVERED &gt;40 FT","")</f>
        <v>COVERED &gt;40 FT</v>
      </c>
      <c r="AB1044" s="23" t="s">
        <v>8159</v>
      </c>
      <c r="AC1044" s="23" t="s">
        <v>8160</v>
      </c>
      <c r="AD1044" s="23" t="s">
        <v>2807</v>
      </c>
    </row>
    <row r="1045" customFormat="false" ht="17.9" hidden="false" customHeight="false" outlineLevel="0" collapsed="false">
      <c r="A1045" s="20" t="s">
        <v>8161</v>
      </c>
      <c r="B1045" s="20" t="s">
        <v>99</v>
      </c>
      <c r="C1045" s="20" t="s">
        <v>5162</v>
      </c>
      <c r="D1045" s="20" t="s">
        <v>8162</v>
      </c>
      <c r="E1045" s="20" t="s">
        <v>8163</v>
      </c>
      <c r="F1045" s="20" t="s">
        <v>2857</v>
      </c>
      <c r="G1045" s="20" t="s">
        <v>3928</v>
      </c>
      <c r="H1045" s="22" t="n">
        <v>58.3</v>
      </c>
      <c r="I1045" s="22" t="n">
        <v>58.3</v>
      </c>
      <c r="J1045" s="22" t="n">
        <f aca="false">H1045-I1045</f>
        <v>0</v>
      </c>
      <c r="K1045" s="20" t="str">
        <f aca="false">IF(ABS(J1045)&lt;0.001,"MATCH - PAPER CHECK-IN NOT SUPPLIED","DATA MISMATCH")</f>
        <v>MATCH - PAPER CHECK-IN NOT SUPPLIED</v>
      </c>
      <c r="L1045" s="22" t="n">
        <v>40</v>
      </c>
      <c r="M1045" s="22" t="n">
        <f aca="false">ROUNDUP(H1045,0)</f>
        <v>59</v>
      </c>
      <c r="N1045" s="24" t="n">
        <f aca="false">MAX(L1045,M1045)</f>
        <v>59</v>
      </c>
      <c r="O1045" s="25" t="n">
        <v>10.4</v>
      </c>
      <c r="P1045" s="25" t="n">
        <f aca="false">N1045*O1045</f>
        <v>613.6</v>
      </c>
      <c r="Q1045" s="23" t="s">
        <v>8164</v>
      </c>
      <c r="R1045" s="23" t="s">
        <v>2804</v>
      </c>
      <c r="S1045" s="24" t="n">
        <v>59</v>
      </c>
      <c r="T1045" s="25" t="n">
        <v>10.4</v>
      </c>
      <c r="U1045" s="25" t="n">
        <v>613.6</v>
      </c>
      <c r="V1045" s="25" t="n">
        <f aca="false">P1045-U1045</f>
        <v>0</v>
      </c>
      <c r="W1045" s="25" t="n">
        <f aca="false">V1045*12</f>
        <v>0</v>
      </c>
      <c r="X1045" s="23" t="str">
        <f aca="false">IF(Q1045="","MISSING FROM EXPORT",IF(ABS(V1045)&lt;0.005,"CLEAR",IF(V1045&gt;0,"UNDERBILLING","OVERBILLING")))</f>
        <v>CLEAR</v>
      </c>
      <c r="Y1045" s="25" t="n">
        <f aca="false">IF(F1045="COMMERCIAL",ROUND(P1045*0.35,2),0)</f>
        <v>0</v>
      </c>
      <c r="Z1045" s="23" t="str">
        <f aca="false">IF(F1045="COMMERCIAL","VERIFY SIGNED AGREEMENT","NO EXCEPTION")</f>
        <v>NO EXCEPTION</v>
      </c>
      <c r="AA1045" s="23" t="str">
        <f aca="false">IF(AND(C1045="covered",N1045&gt;40),"COVERED &gt;40 FT","")</f>
        <v>COVERED &gt;40 FT</v>
      </c>
      <c r="AB1045" s="23" t="s">
        <v>8165</v>
      </c>
      <c r="AC1045" s="23" t="s">
        <v>8166</v>
      </c>
      <c r="AD1045" s="23" t="s">
        <v>2807</v>
      </c>
    </row>
    <row r="1046" customFormat="false" ht="17.9" hidden="false" customHeight="false" outlineLevel="0" collapsed="false">
      <c r="A1046" s="20" t="s">
        <v>8167</v>
      </c>
      <c r="B1046" s="20" t="s">
        <v>99</v>
      </c>
      <c r="C1046" s="20" t="s">
        <v>5162</v>
      </c>
      <c r="D1046" s="20" t="s">
        <v>505</v>
      </c>
      <c r="E1046" s="20" t="s">
        <v>8168</v>
      </c>
      <c r="F1046" s="20" t="s">
        <v>2818</v>
      </c>
      <c r="G1046" s="20" t="s">
        <v>3935</v>
      </c>
      <c r="H1046" s="22" t="n">
        <v>46.5</v>
      </c>
      <c r="I1046" s="22" t="n">
        <v>46.5</v>
      </c>
      <c r="J1046" s="22" t="n">
        <f aca="false">H1046-I1046</f>
        <v>0</v>
      </c>
      <c r="K1046" s="20" t="str">
        <f aca="false">IF(ABS(J1046)&lt;0.001,"MATCH - PAPER CHECK-IN NOT SUPPLIED","DATA MISMATCH")</f>
        <v>MATCH - PAPER CHECK-IN NOT SUPPLIED</v>
      </c>
      <c r="L1046" s="22" t="n">
        <v>36</v>
      </c>
      <c r="M1046" s="22" t="n">
        <f aca="false">ROUNDUP(H1046,0)</f>
        <v>47</v>
      </c>
      <c r="N1046" s="24" t="n">
        <f aca="false">MAX(L1046,M1046)</f>
        <v>47</v>
      </c>
      <c r="O1046" s="25" t="n">
        <v>10.4</v>
      </c>
      <c r="P1046" s="25" t="n">
        <f aca="false">N1046*O1046</f>
        <v>488.8</v>
      </c>
      <c r="Q1046" s="23" t="s">
        <v>8169</v>
      </c>
      <c r="R1046" s="23" t="s">
        <v>2804</v>
      </c>
      <c r="S1046" s="24" t="n">
        <v>47</v>
      </c>
      <c r="T1046" s="25" t="n">
        <v>10.4</v>
      </c>
      <c r="U1046" s="25" t="n">
        <v>488.8</v>
      </c>
      <c r="V1046" s="25" t="n">
        <f aca="false">P1046-U1046</f>
        <v>0</v>
      </c>
      <c r="W1046" s="25" t="n">
        <f aca="false">V1046*12</f>
        <v>0</v>
      </c>
      <c r="X1046" s="23" t="str">
        <f aca="false">IF(Q1046="","MISSING FROM EXPORT",IF(ABS(V1046)&lt;0.005,"CLEAR",IF(V1046&gt;0,"UNDERBILLING","OVERBILLING")))</f>
        <v>CLEAR</v>
      </c>
      <c r="Y1046" s="25" t="n">
        <f aca="false">IF(F1046="COMMERCIAL",ROUND(P1046*0.35,2),0)</f>
        <v>0</v>
      </c>
      <c r="Z1046" s="23" t="str">
        <f aca="false">IF(F1046="COMMERCIAL","VERIFY SIGNED AGREEMENT","NO EXCEPTION")</f>
        <v>NO EXCEPTION</v>
      </c>
      <c r="AA1046" s="23" t="str">
        <f aca="false">IF(AND(C1046="covered",N1046&gt;40),"COVERED &gt;40 FT","")</f>
        <v>COVERED &gt;40 FT</v>
      </c>
      <c r="AB1046" s="23" t="s">
        <v>8170</v>
      </c>
      <c r="AC1046" s="23" t="s">
        <v>8171</v>
      </c>
      <c r="AD1046" s="23" t="s">
        <v>2807</v>
      </c>
    </row>
    <row r="1047" customFormat="false" ht="17.9" hidden="false" customHeight="false" outlineLevel="0" collapsed="false">
      <c r="A1047" s="20" t="s">
        <v>8172</v>
      </c>
      <c r="B1047" s="20" t="s">
        <v>99</v>
      </c>
      <c r="C1047" s="20" t="s">
        <v>5162</v>
      </c>
      <c r="D1047" s="20" t="s">
        <v>8173</v>
      </c>
      <c r="E1047" s="20" t="s">
        <v>8174</v>
      </c>
      <c r="F1047" s="20" t="s">
        <v>2833</v>
      </c>
      <c r="G1047" s="20" t="s">
        <v>3939</v>
      </c>
      <c r="H1047" s="22" t="n">
        <v>58.1</v>
      </c>
      <c r="I1047" s="22" t="n">
        <v>58.1</v>
      </c>
      <c r="J1047" s="22" t="n">
        <f aca="false">H1047-I1047</f>
        <v>0</v>
      </c>
      <c r="K1047" s="20" t="str">
        <f aca="false">IF(ABS(J1047)&lt;0.001,"MATCH - PAPER CHECK-IN NOT SUPPLIED","DATA MISMATCH")</f>
        <v>MATCH - PAPER CHECK-IN NOT SUPPLIED</v>
      </c>
      <c r="L1047" s="22" t="n">
        <v>28</v>
      </c>
      <c r="M1047" s="22" t="n">
        <f aca="false">ROUNDUP(H1047,0)</f>
        <v>59</v>
      </c>
      <c r="N1047" s="24" t="n">
        <f aca="false">MAX(L1047,M1047)</f>
        <v>59</v>
      </c>
      <c r="O1047" s="25" t="n">
        <v>10.4</v>
      </c>
      <c r="P1047" s="25" t="n">
        <f aca="false">N1047*O1047</f>
        <v>613.6</v>
      </c>
      <c r="Q1047" s="23" t="s">
        <v>8175</v>
      </c>
      <c r="R1047" s="23" t="s">
        <v>2804</v>
      </c>
      <c r="S1047" s="24" t="n">
        <v>59</v>
      </c>
      <c r="T1047" s="25" t="n">
        <v>10.4</v>
      </c>
      <c r="U1047" s="25" t="n">
        <v>613.6</v>
      </c>
      <c r="V1047" s="25" t="n">
        <f aca="false">P1047-U1047</f>
        <v>0</v>
      </c>
      <c r="W1047" s="25" t="n">
        <f aca="false">V1047*12</f>
        <v>0</v>
      </c>
      <c r="X1047" s="23" t="str">
        <f aca="false">IF(Q1047="","MISSING FROM EXPORT",IF(ABS(V1047)&lt;0.005,"CLEAR",IF(V1047&gt;0,"UNDERBILLING","OVERBILLING")))</f>
        <v>CLEAR</v>
      </c>
      <c r="Y1047" s="25" t="n">
        <f aca="false">IF(F1047="COMMERCIAL",ROUND(P1047*0.35,2),0)</f>
        <v>0</v>
      </c>
      <c r="Z1047" s="23" t="str">
        <f aca="false">IF(F1047="COMMERCIAL","VERIFY SIGNED AGREEMENT","NO EXCEPTION")</f>
        <v>NO EXCEPTION</v>
      </c>
      <c r="AA1047" s="23" t="str">
        <f aca="false">IF(AND(C1047="covered",N1047&gt;40),"COVERED &gt;40 FT","")</f>
        <v>COVERED &gt;40 FT</v>
      </c>
      <c r="AB1047" s="23" t="s">
        <v>8176</v>
      </c>
      <c r="AC1047" s="23" t="s">
        <v>8177</v>
      </c>
      <c r="AD1047" s="23" t="s">
        <v>2807</v>
      </c>
    </row>
    <row r="1048" customFormat="false" ht="17.9" hidden="false" customHeight="false" outlineLevel="0" collapsed="false">
      <c r="A1048" s="20" t="s">
        <v>8178</v>
      </c>
      <c r="B1048" s="20" t="s">
        <v>99</v>
      </c>
      <c r="C1048" s="20" t="s">
        <v>5162</v>
      </c>
      <c r="D1048" s="20" t="s">
        <v>8179</v>
      </c>
      <c r="E1048" s="20" t="s">
        <v>8180</v>
      </c>
      <c r="F1048" s="20" t="s">
        <v>2810</v>
      </c>
      <c r="G1048" s="20" t="s">
        <v>3946</v>
      </c>
      <c r="H1048" s="22" t="n">
        <v>56.6</v>
      </c>
      <c r="I1048" s="22" t="n">
        <v>56.6</v>
      </c>
      <c r="J1048" s="22" t="n">
        <f aca="false">H1048-I1048</f>
        <v>0</v>
      </c>
      <c r="K1048" s="20" t="str">
        <f aca="false">IF(ABS(J1048)&lt;0.001,"MATCH - PAPER CHECK-IN NOT SUPPLIED","DATA MISMATCH")</f>
        <v>MATCH - PAPER CHECK-IN NOT SUPPLIED</v>
      </c>
      <c r="L1048" s="22" t="n">
        <v>36</v>
      </c>
      <c r="M1048" s="22" t="n">
        <f aca="false">ROUNDUP(H1048,0)</f>
        <v>57</v>
      </c>
      <c r="N1048" s="24" t="n">
        <f aca="false">MAX(L1048,M1048)</f>
        <v>57</v>
      </c>
      <c r="O1048" s="25" t="n">
        <v>10.4</v>
      </c>
      <c r="P1048" s="25" t="n">
        <f aca="false">N1048*O1048</f>
        <v>592.8</v>
      </c>
      <c r="Q1048" s="23" t="s">
        <v>8181</v>
      </c>
      <c r="R1048" s="23" t="s">
        <v>2804</v>
      </c>
      <c r="S1048" s="24" t="n">
        <v>57</v>
      </c>
      <c r="T1048" s="25" t="n">
        <v>10.4</v>
      </c>
      <c r="U1048" s="25" t="n">
        <v>592.8</v>
      </c>
      <c r="V1048" s="25" t="n">
        <f aca="false">P1048-U1048</f>
        <v>0</v>
      </c>
      <c r="W1048" s="25" t="n">
        <f aca="false">V1048*12</f>
        <v>0</v>
      </c>
      <c r="X1048" s="23" t="str">
        <f aca="false">IF(Q1048="","MISSING FROM EXPORT",IF(ABS(V1048)&lt;0.005,"CLEAR",IF(V1048&gt;0,"UNDERBILLING","OVERBILLING")))</f>
        <v>CLEAR</v>
      </c>
      <c r="Y1048" s="25" t="n">
        <f aca="false">IF(F1048="COMMERCIAL",ROUND(P1048*0.35,2),0)</f>
        <v>0</v>
      </c>
      <c r="Z1048" s="23" t="str">
        <f aca="false">IF(F1048="COMMERCIAL","VERIFY SIGNED AGREEMENT","NO EXCEPTION")</f>
        <v>NO EXCEPTION</v>
      </c>
      <c r="AA1048" s="23" t="str">
        <f aca="false">IF(AND(C1048="covered",N1048&gt;40),"COVERED &gt;40 FT","")</f>
        <v>COVERED &gt;40 FT</v>
      </c>
      <c r="AB1048" s="23" t="s">
        <v>8182</v>
      </c>
      <c r="AC1048" s="23" t="s">
        <v>8183</v>
      </c>
      <c r="AD1048" s="23" t="s">
        <v>2807</v>
      </c>
    </row>
    <row r="1049" customFormat="false" ht="17.9" hidden="false" customHeight="false" outlineLevel="0" collapsed="false">
      <c r="A1049" s="20" t="s">
        <v>710</v>
      </c>
      <c r="B1049" s="20" t="s">
        <v>99</v>
      </c>
      <c r="C1049" s="20" t="s">
        <v>5162</v>
      </c>
      <c r="D1049" s="20" t="s">
        <v>8184</v>
      </c>
      <c r="E1049" s="20" t="s">
        <v>8185</v>
      </c>
      <c r="F1049" s="20" t="s">
        <v>2833</v>
      </c>
      <c r="G1049" s="20" t="s">
        <v>3953</v>
      </c>
      <c r="H1049" s="22" t="n">
        <v>56.5</v>
      </c>
      <c r="I1049" s="22" t="n">
        <v>56.5</v>
      </c>
      <c r="J1049" s="22" t="n">
        <f aca="false">H1049-I1049</f>
        <v>0</v>
      </c>
      <c r="K1049" s="20" t="str">
        <f aca="false">IF(ABS(J1049)&lt;0.001,"MATCH - PAPER CHECK-IN NOT SUPPLIED","DATA MISMATCH")</f>
        <v>MATCH - PAPER CHECK-IN NOT SUPPLIED</v>
      </c>
      <c r="L1049" s="22" t="n">
        <v>28</v>
      </c>
      <c r="M1049" s="22" t="n">
        <f aca="false">ROUNDUP(H1049,0)</f>
        <v>57</v>
      </c>
      <c r="N1049" s="24" t="n">
        <f aca="false">MAX(L1049,M1049)</f>
        <v>57</v>
      </c>
      <c r="O1049" s="25" t="n">
        <v>10.4</v>
      </c>
      <c r="P1049" s="25" t="n">
        <f aca="false">N1049*O1049</f>
        <v>592.8</v>
      </c>
      <c r="Q1049" s="23" t="s">
        <v>8186</v>
      </c>
      <c r="R1049" s="23" t="s">
        <v>2804</v>
      </c>
      <c r="S1049" s="24" t="n">
        <v>57</v>
      </c>
      <c r="T1049" s="25" t="n">
        <v>10.4</v>
      </c>
      <c r="U1049" s="25" t="n">
        <v>592.8</v>
      </c>
      <c r="V1049" s="25" t="n">
        <f aca="false">P1049-U1049</f>
        <v>0</v>
      </c>
      <c r="W1049" s="25" t="n">
        <f aca="false">V1049*12</f>
        <v>0</v>
      </c>
      <c r="X1049" s="23" t="str">
        <f aca="false">IF(Q1049="","MISSING FROM EXPORT",IF(ABS(V1049)&lt;0.005,"CLEAR",IF(V1049&gt;0,"UNDERBILLING","OVERBILLING")))</f>
        <v>CLEAR</v>
      </c>
      <c r="Y1049" s="25" t="n">
        <f aca="false">IF(F1049="COMMERCIAL",ROUND(P1049*0.35,2),0)</f>
        <v>0</v>
      </c>
      <c r="Z1049" s="23" t="str">
        <f aca="false">IF(F1049="COMMERCIAL","VERIFY SIGNED AGREEMENT","NO EXCEPTION")</f>
        <v>NO EXCEPTION</v>
      </c>
      <c r="AA1049" s="23" t="str">
        <f aca="false">IF(AND(C1049="covered",N1049&gt;40),"COVERED &gt;40 FT","")</f>
        <v>COVERED &gt;40 FT</v>
      </c>
      <c r="AB1049" s="23" t="s">
        <v>8187</v>
      </c>
      <c r="AC1049" s="23" t="s">
        <v>8188</v>
      </c>
      <c r="AD1049" s="23" t="s">
        <v>2807</v>
      </c>
    </row>
    <row r="1050" customFormat="false" ht="17.9" hidden="false" customHeight="false" outlineLevel="0" collapsed="false">
      <c r="A1050" s="20" t="s">
        <v>8189</v>
      </c>
      <c r="B1050" s="20" t="s">
        <v>99</v>
      </c>
      <c r="C1050" s="20" t="s">
        <v>5162</v>
      </c>
      <c r="D1050" s="20" t="s">
        <v>8190</v>
      </c>
      <c r="E1050" s="20" t="s">
        <v>8191</v>
      </c>
      <c r="F1050" s="20" t="s">
        <v>2818</v>
      </c>
      <c r="G1050" s="20" t="s">
        <v>3960</v>
      </c>
      <c r="H1050" s="22" t="n">
        <v>24.5</v>
      </c>
      <c r="I1050" s="22" t="n">
        <v>24.5</v>
      </c>
      <c r="J1050" s="22" t="n">
        <f aca="false">H1050-I1050</f>
        <v>0</v>
      </c>
      <c r="K1050" s="20" t="str">
        <f aca="false">IF(ABS(J1050)&lt;0.001,"MATCH - PAPER CHECK-IN NOT SUPPLIED","DATA MISMATCH")</f>
        <v>MATCH - PAPER CHECK-IN NOT SUPPLIED</v>
      </c>
      <c r="L1050" s="22" t="n">
        <v>28</v>
      </c>
      <c r="M1050" s="22" t="n">
        <f aca="false">ROUNDUP(H1050,0)</f>
        <v>25</v>
      </c>
      <c r="N1050" s="24" t="n">
        <f aca="false">MAX(L1050,M1050)</f>
        <v>28</v>
      </c>
      <c r="O1050" s="25" t="n">
        <v>10.4</v>
      </c>
      <c r="P1050" s="25" t="n">
        <f aca="false">N1050*O1050</f>
        <v>291.2</v>
      </c>
      <c r="Q1050" s="23" t="s">
        <v>8192</v>
      </c>
      <c r="R1050" s="23" t="s">
        <v>2804</v>
      </c>
      <c r="S1050" s="24" t="n">
        <v>28</v>
      </c>
      <c r="T1050" s="25" t="n">
        <v>10.4</v>
      </c>
      <c r="U1050" s="25" t="n">
        <v>291.2</v>
      </c>
      <c r="V1050" s="25" t="n">
        <f aca="false">P1050-U1050</f>
        <v>0</v>
      </c>
      <c r="W1050" s="25" t="n">
        <f aca="false">V1050*12</f>
        <v>0</v>
      </c>
      <c r="X1050" s="23" t="str">
        <f aca="false">IF(Q1050="","MISSING FROM EXPORT",IF(ABS(V1050)&lt;0.005,"CLEAR",IF(V1050&gt;0,"UNDERBILLING","OVERBILLING")))</f>
        <v>CLEAR</v>
      </c>
      <c r="Y1050" s="25" t="n">
        <f aca="false">IF(F1050="COMMERCIAL",ROUND(P1050*0.35,2),0)</f>
        <v>0</v>
      </c>
      <c r="Z1050" s="23" t="str">
        <f aca="false">IF(F1050="COMMERCIAL","VERIFY SIGNED AGREEMENT","NO EXCEPTION")</f>
        <v>NO EXCEPTION</v>
      </c>
      <c r="AA1050" s="23" t="str">
        <f aca="false">IF(AND(C1050="covered",N1050&gt;40),"COVERED &gt;40 FT","")</f>
        <v/>
      </c>
      <c r="AB1050" s="23" t="s">
        <v>8193</v>
      </c>
      <c r="AC1050" s="23" t="s">
        <v>8194</v>
      </c>
      <c r="AD1050" s="23" t="s">
        <v>2807</v>
      </c>
    </row>
    <row r="1051" customFormat="false" ht="17.9" hidden="false" customHeight="false" outlineLevel="0" collapsed="false">
      <c r="A1051" s="20" t="s">
        <v>1197</v>
      </c>
      <c r="B1051" s="20" t="s">
        <v>99</v>
      </c>
      <c r="C1051" s="20" t="s">
        <v>5162</v>
      </c>
      <c r="D1051" s="20" t="s">
        <v>1264</v>
      </c>
      <c r="E1051" s="20" t="s">
        <v>8195</v>
      </c>
      <c r="F1051" s="20" t="s">
        <v>2869</v>
      </c>
      <c r="G1051" s="20" t="s">
        <v>3967</v>
      </c>
      <c r="H1051" s="22" t="n">
        <v>29.3</v>
      </c>
      <c r="I1051" s="22" t="n">
        <v>29.3</v>
      </c>
      <c r="J1051" s="22" t="n">
        <f aca="false">H1051-I1051</f>
        <v>0</v>
      </c>
      <c r="K1051" s="20" t="str">
        <f aca="false">IF(ABS(J1051)&lt;0.001,"MATCH - PAPER CHECK-IN NOT SUPPLIED","DATA MISMATCH")</f>
        <v>MATCH - PAPER CHECK-IN NOT SUPPLIED</v>
      </c>
      <c r="L1051" s="22" t="n">
        <v>36</v>
      </c>
      <c r="M1051" s="22" t="n">
        <f aca="false">ROUNDUP(H1051,0)</f>
        <v>30</v>
      </c>
      <c r="N1051" s="24" t="n">
        <f aca="false">MAX(L1051,M1051)</f>
        <v>36</v>
      </c>
      <c r="O1051" s="25" t="n">
        <v>10.4</v>
      </c>
      <c r="P1051" s="25" t="n">
        <f aca="false">N1051*O1051</f>
        <v>374.4</v>
      </c>
      <c r="Q1051" s="23" t="s">
        <v>8196</v>
      </c>
      <c r="R1051" s="23" t="s">
        <v>2804</v>
      </c>
      <c r="S1051" s="24" t="n">
        <v>36</v>
      </c>
      <c r="T1051" s="25" t="n">
        <v>10.4</v>
      </c>
      <c r="U1051" s="25" t="n">
        <v>374.4</v>
      </c>
      <c r="V1051" s="25" t="n">
        <f aca="false">P1051-U1051</f>
        <v>0</v>
      </c>
      <c r="W1051" s="25" t="n">
        <f aca="false">V1051*12</f>
        <v>0</v>
      </c>
      <c r="X1051" s="23" t="str">
        <f aca="false">IF(Q1051="","MISSING FROM EXPORT",IF(ABS(V1051)&lt;0.005,"CLEAR",IF(V1051&gt;0,"UNDERBILLING","OVERBILLING")))</f>
        <v>CLEAR</v>
      </c>
      <c r="Y1051" s="25" t="n">
        <f aca="false">IF(F1051="COMMERCIAL",ROUND(P1051*0.35,2),0)</f>
        <v>0</v>
      </c>
      <c r="Z1051" s="23" t="str">
        <f aca="false">IF(F1051="COMMERCIAL","VERIFY SIGNED AGREEMENT","NO EXCEPTION")</f>
        <v>NO EXCEPTION</v>
      </c>
      <c r="AA1051" s="23" t="str">
        <f aca="false">IF(AND(C1051="covered",N1051&gt;40),"COVERED &gt;40 FT","")</f>
        <v/>
      </c>
      <c r="AB1051" s="23" t="s">
        <v>8197</v>
      </c>
      <c r="AC1051" s="23" t="s">
        <v>8198</v>
      </c>
      <c r="AD1051" s="23" t="s">
        <v>2807</v>
      </c>
    </row>
    <row r="1052" customFormat="false" ht="17.9" hidden="false" customHeight="false" outlineLevel="0" collapsed="false">
      <c r="A1052" s="20" t="s">
        <v>8199</v>
      </c>
      <c r="B1052" s="20" t="s">
        <v>99</v>
      </c>
      <c r="C1052" s="20" t="s">
        <v>5162</v>
      </c>
      <c r="D1052" s="20" t="s">
        <v>8200</v>
      </c>
      <c r="E1052" s="20" t="s">
        <v>8201</v>
      </c>
      <c r="F1052" s="20" t="s">
        <v>2898</v>
      </c>
      <c r="G1052" s="20" t="s">
        <v>3973</v>
      </c>
      <c r="H1052" s="22" t="n">
        <v>35.8</v>
      </c>
      <c r="I1052" s="22" t="n">
        <v>35.8</v>
      </c>
      <c r="J1052" s="22" t="n">
        <f aca="false">H1052-I1052</f>
        <v>0</v>
      </c>
      <c r="K1052" s="20" t="str">
        <f aca="false">IF(ABS(J1052)&lt;0.001,"MATCH - PAPER CHECK-IN NOT SUPPLIED","DATA MISMATCH")</f>
        <v>MATCH - PAPER CHECK-IN NOT SUPPLIED</v>
      </c>
      <c r="L1052" s="22" t="n">
        <v>28</v>
      </c>
      <c r="M1052" s="22" t="n">
        <f aca="false">ROUNDUP(H1052,0)</f>
        <v>36</v>
      </c>
      <c r="N1052" s="24" t="n">
        <f aca="false">MAX(L1052,M1052)</f>
        <v>36</v>
      </c>
      <c r="O1052" s="25" t="n">
        <v>10.4</v>
      </c>
      <c r="P1052" s="25" t="n">
        <f aca="false">N1052*O1052</f>
        <v>374.4</v>
      </c>
      <c r="Q1052" s="23" t="s">
        <v>8202</v>
      </c>
      <c r="R1052" s="23" t="s">
        <v>2804</v>
      </c>
      <c r="S1052" s="24" t="n">
        <v>36</v>
      </c>
      <c r="T1052" s="25" t="n">
        <v>10.4</v>
      </c>
      <c r="U1052" s="25" t="n">
        <v>374.4</v>
      </c>
      <c r="V1052" s="25" t="n">
        <f aca="false">P1052-U1052</f>
        <v>0</v>
      </c>
      <c r="W1052" s="25" t="n">
        <f aca="false">V1052*12</f>
        <v>0</v>
      </c>
      <c r="X1052" s="23" t="str">
        <f aca="false">IF(Q1052="","MISSING FROM EXPORT",IF(ABS(V1052)&lt;0.005,"CLEAR",IF(V1052&gt;0,"UNDERBILLING","OVERBILLING")))</f>
        <v>CLEAR</v>
      </c>
      <c r="Y1052" s="25" t="n">
        <f aca="false">IF(F1052="COMMERCIAL",ROUND(P1052*0.35,2),0)</f>
        <v>0</v>
      </c>
      <c r="Z1052" s="23" t="str">
        <f aca="false">IF(F1052="COMMERCIAL","VERIFY SIGNED AGREEMENT","NO EXCEPTION")</f>
        <v>NO EXCEPTION</v>
      </c>
      <c r="AA1052" s="23" t="str">
        <f aca="false">IF(AND(C1052="covered",N1052&gt;40),"COVERED &gt;40 FT","")</f>
        <v/>
      </c>
      <c r="AB1052" s="23" t="s">
        <v>8203</v>
      </c>
      <c r="AC1052" s="23" t="s">
        <v>8204</v>
      </c>
      <c r="AD1052" s="23" t="s">
        <v>2807</v>
      </c>
    </row>
    <row r="1053" customFormat="false" ht="17.9" hidden="false" customHeight="false" outlineLevel="0" collapsed="false">
      <c r="A1053" s="20" t="s">
        <v>8205</v>
      </c>
      <c r="B1053" s="20" t="s">
        <v>99</v>
      </c>
      <c r="C1053" s="20" t="s">
        <v>5162</v>
      </c>
      <c r="D1053" s="20" t="s">
        <v>1507</v>
      </c>
      <c r="E1053" s="20" t="s">
        <v>1508</v>
      </c>
      <c r="F1053" s="20" t="s">
        <v>2857</v>
      </c>
      <c r="G1053" s="20" t="s">
        <v>3980</v>
      </c>
      <c r="H1053" s="22" t="n">
        <v>55.4</v>
      </c>
      <c r="I1053" s="22" t="n">
        <v>55.4</v>
      </c>
      <c r="J1053" s="22" t="n">
        <f aca="false">H1053-I1053</f>
        <v>0</v>
      </c>
      <c r="K1053" s="20" t="str">
        <f aca="false">IF(ABS(J1053)&lt;0.001,"MATCH - PAPER CHECK-IN NOT SUPPLIED","DATA MISMATCH")</f>
        <v>MATCH - PAPER CHECK-IN NOT SUPPLIED</v>
      </c>
      <c r="L1053" s="22" t="n">
        <v>32</v>
      </c>
      <c r="M1053" s="22" t="n">
        <f aca="false">ROUNDUP(H1053,0)</f>
        <v>56</v>
      </c>
      <c r="N1053" s="24" t="n">
        <f aca="false">MAX(L1053,M1053)</f>
        <v>56</v>
      </c>
      <c r="O1053" s="25" t="n">
        <v>10.4</v>
      </c>
      <c r="P1053" s="25" t="n">
        <f aca="false">N1053*O1053</f>
        <v>582.4</v>
      </c>
      <c r="Q1053" s="23" t="s">
        <v>8206</v>
      </c>
      <c r="R1053" s="23" t="s">
        <v>2804</v>
      </c>
      <c r="S1053" s="24" t="n">
        <v>56</v>
      </c>
      <c r="T1053" s="25" t="n">
        <v>10.4</v>
      </c>
      <c r="U1053" s="25" t="n">
        <v>582.4</v>
      </c>
      <c r="V1053" s="25" t="n">
        <f aca="false">P1053-U1053</f>
        <v>0</v>
      </c>
      <c r="W1053" s="25" t="n">
        <f aca="false">V1053*12</f>
        <v>0</v>
      </c>
      <c r="X1053" s="23" t="str">
        <f aca="false">IF(Q1053="","MISSING FROM EXPORT",IF(ABS(V1053)&lt;0.005,"CLEAR",IF(V1053&gt;0,"UNDERBILLING","OVERBILLING")))</f>
        <v>CLEAR</v>
      </c>
      <c r="Y1053" s="25" t="n">
        <f aca="false">IF(F1053="COMMERCIAL",ROUND(P1053*0.35,2),0)</f>
        <v>0</v>
      </c>
      <c r="Z1053" s="23" t="str">
        <f aca="false">IF(F1053="COMMERCIAL","VERIFY SIGNED AGREEMENT","NO EXCEPTION")</f>
        <v>NO EXCEPTION</v>
      </c>
      <c r="AA1053" s="23" t="str">
        <f aca="false">IF(AND(C1053="covered",N1053&gt;40),"COVERED &gt;40 FT","")</f>
        <v>COVERED &gt;40 FT</v>
      </c>
      <c r="AB1053" s="23" t="s">
        <v>8207</v>
      </c>
      <c r="AC1053" s="23" t="s">
        <v>8208</v>
      </c>
      <c r="AD1053" s="23" t="s">
        <v>2807</v>
      </c>
    </row>
    <row r="1054" customFormat="false" ht="17.9" hidden="false" customHeight="false" outlineLevel="0" collapsed="false">
      <c r="A1054" s="20" t="s">
        <v>8209</v>
      </c>
      <c r="B1054" s="20" t="s">
        <v>99</v>
      </c>
      <c r="C1054" s="20" t="s">
        <v>5162</v>
      </c>
      <c r="D1054" s="20" t="s">
        <v>8210</v>
      </c>
      <c r="E1054" s="20" t="s">
        <v>8211</v>
      </c>
      <c r="F1054" s="20" t="s">
        <v>2857</v>
      </c>
      <c r="G1054" s="20" t="s">
        <v>3986</v>
      </c>
      <c r="H1054" s="22" t="n">
        <v>61.6</v>
      </c>
      <c r="I1054" s="22" t="n">
        <v>61.6</v>
      </c>
      <c r="J1054" s="22" t="n">
        <f aca="false">H1054-I1054</f>
        <v>0</v>
      </c>
      <c r="K1054" s="20" t="str">
        <f aca="false">IF(ABS(J1054)&lt;0.001,"MATCH - PAPER CHECK-IN NOT SUPPLIED","DATA MISMATCH")</f>
        <v>MATCH - PAPER CHECK-IN NOT SUPPLIED</v>
      </c>
      <c r="L1054" s="22" t="n">
        <v>24</v>
      </c>
      <c r="M1054" s="22" t="n">
        <f aca="false">ROUNDUP(H1054,0)</f>
        <v>62</v>
      </c>
      <c r="N1054" s="24" t="n">
        <f aca="false">MAX(L1054,M1054)</f>
        <v>62</v>
      </c>
      <c r="O1054" s="25" t="n">
        <v>10.4</v>
      </c>
      <c r="P1054" s="25" t="n">
        <f aca="false">N1054*O1054</f>
        <v>644.8</v>
      </c>
      <c r="Q1054" s="23" t="s">
        <v>8212</v>
      </c>
      <c r="R1054" s="23" t="s">
        <v>2804</v>
      </c>
      <c r="S1054" s="24" t="n">
        <v>62</v>
      </c>
      <c r="T1054" s="25" t="n">
        <v>10.4</v>
      </c>
      <c r="U1054" s="25" t="n">
        <v>644.8</v>
      </c>
      <c r="V1054" s="25" t="n">
        <f aca="false">P1054-U1054</f>
        <v>0</v>
      </c>
      <c r="W1054" s="25" t="n">
        <f aca="false">V1054*12</f>
        <v>0</v>
      </c>
      <c r="X1054" s="23" t="str">
        <f aca="false">IF(Q1054="","MISSING FROM EXPORT",IF(ABS(V1054)&lt;0.005,"CLEAR",IF(V1054&gt;0,"UNDERBILLING","OVERBILLING")))</f>
        <v>CLEAR</v>
      </c>
      <c r="Y1054" s="25" t="n">
        <f aca="false">IF(F1054="COMMERCIAL",ROUND(P1054*0.35,2),0)</f>
        <v>0</v>
      </c>
      <c r="Z1054" s="23" t="str">
        <f aca="false">IF(F1054="COMMERCIAL","VERIFY SIGNED AGREEMENT","NO EXCEPTION")</f>
        <v>NO EXCEPTION</v>
      </c>
      <c r="AA1054" s="23" t="str">
        <f aca="false">IF(AND(C1054="covered",N1054&gt;40),"COVERED &gt;40 FT","")</f>
        <v>COVERED &gt;40 FT</v>
      </c>
      <c r="AB1054" s="23" t="s">
        <v>8213</v>
      </c>
      <c r="AC1054" s="23" t="s">
        <v>8214</v>
      </c>
      <c r="AD1054" s="23" t="s">
        <v>2807</v>
      </c>
    </row>
    <row r="1055" customFormat="false" ht="17.9" hidden="false" customHeight="false" outlineLevel="0" collapsed="false">
      <c r="A1055" s="20" t="s">
        <v>8215</v>
      </c>
      <c r="B1055" s="20" t="s">
        <v>99</v>
      </c>
      <c r="C1055" s="20" t="s">
        <v>5162</v>
      </c>
      <c r="D1055" s="20" t="s">
        <v>8216</v>
      </c>
      <c r="E1055" s="20" t="s">
        <v>8217</v>
      </c>
      <c r="F1055" s="20" t="s">
        <v>2857</v>
      </c>
      <c r="G1055" s="20" t="s">
        <v>3991</v>
      </c>
      <c r="H1055" s="22" t="n">
        <v>61</v>
      </c>
      <c r="I1055" s="22" t="n">
        <v>61</v>
      </c>
      <c r="J1055" s="22" t="n">
        <f aca="false">H1055-I1055</f>
        <v>0</v>
      </c>
      <c r="K1055" s="20" t="str">
        <f aca="false">IF(ABS(J1055)&lt;0.001,"MATCH - PAPER CHECK-IN NOT SUPPLIED","DATA MISMATCH")</f>
        <v>MATCH - PAPER CHECK-IN NOT SUPPLIED</v>
      </c>
      <c r="L1055" s="22" t="n">
        <v>36</v>
      </c>
      <c r="M1055" s="22" t="n">
        <f aca="false">ROUNDUP(H1055,0)</f>
        <v>61</v>
      </c>
      <c r="N1055" s="24" t="n">
        <f aca="false">MAX(L1055,M1055)</f>
        <v>61</v>
      </c>
      <c r="O1055" s="25" t="n">
        <v>10.4</v>
      </c>
      <c r="P1055" s="25" t="n">
        <f aca="false">N1055*O1055</f>
        <v>634.4</v>
      </c>
      <c r="Q1055" s="23" t="s">
        <v>8218</v>
      </c>
      <c r="R1055" s="23" t="s">
        <v>2804</v>
      </c>
      <c r="S1055" s="24" t="n">
        <v>61</v>
      </c>
      <c r="T1055" s="25" t="n">
        <v>10.4</v>
      </c>
      <c r="U1055" s="25" t="n">
        <v>634.4</v>
      </c>
      <c r="V1055" s="25" t="n">
        <f aca="false">P1055-U1055</f>
        <v>0</v>
      </c>
      <c r="W1055" s="25" t="n">
        <f aca="false">V1055*12</f>
        <v>0</v>
      </c>
      <c r="X1055" s="23" t="str">
        <f aca="false">IF(Q1055="","MISSING FROM EXPORT",IF(ABS(V1055)&lt;0.005,"CLEAR",IF(V1055&gt;0,"UNDERBILLING","OVERBILLING")))</f>
        <v>CLEAR</v>
      </c>
      <c r="Y1055" s="25" t="n">
        <f aca="false">IF(F1055="COMMERCIAL",ROUND(P1055*0.35,2),0)</f>
        <v>0</v>
      </c>
      <c r="Z1055" s="23" t="str">
        <f aca="false">IF(F1055="COMMERCIAL","VERIFY SIGNED AGREEMENT","NO EXCEPTION")</f>
        <v>NO EXCEPTION</v>
      </c>
      <c r="AA1055" s="23" t="str">
        <f aca="false">IF(AND(C1055="covered",N1055&gt;40),"COVERED &gt;40 FT","")</f>
        <v>COVERED &gt;40 FT</v>
      </c>
      <c r="AB1055" s="23" t="s">
        <v>8219</v>
      </c>
      <c r="AC1055" s="23" t="s">
        <v>8220</v>
      </c>
      <c r="AD1055" s="23" t="s">
        <v>2807</v>
      </c>
    </row>
    <row r="1056" customFormat="false" ht="17.9" hidden="false" customHeight="false" outlineLevel="0" collapsed="false">
      <c r="A1056" s="20" t="s">
        <v>8221</v>
      </c>
      <c r="B1056" s="20" t="s">
        <v>99</v>
      </c>
      <c r="C1056" s="20" t="s">
        <v>5162</v>
      </c>
      <c r="D1056" s="20" t="s">
        <v>8222</v>
      </c>
      <c r="E1056" s="20" t="s">
        <v>8223</v>
      </c>
      <c r="F1056" s="20" t="s">
        <v>2810</v>
      </c>
      <c r="G1056" s="20" t="s">
        <v>3998</v>
      </c>
      <c r="H1056" s="22" t="n">
        <v>47.3</v>
      </c>
      <c r="I1056" s="22" t="n">
        <v>47.3</v>
      </c>
      <c r="J1056" s="22" t="n">
        <f aca="false">H1056-I1056</f>
        <v>0</v>
      </c>
      <c r="K1056" s="20" t="str">
        <f aca="false">IF(ABS(J1056)&lt;0.001,"MATCH - PAPER CHECK-IN NOT SUPPLIED","DATA MISMATCH")</f>
        <v>MATCH - PAPER CHECK-IN NOT SUPPLIED</v>
      </c>
      <c r="L1056" s="22" t="n">
        <v>40</v>
      </c>
      <c r="M1056" s="22" t="n">
        <f aca="false">ROUNDUP(H1056,0)</f>
        <v>48</v>
      </c>
      <c r="N1056" s="24" t="n">
        <f aca="false">MAX(L1056,M1056)</f>
        <v>48</v>
      </c>
      <c r="O1056" s="25" t="n">
        <v>10.4</v>
      </c>
      <c r="P1056" s="25" t="n">
        <f aca="false">N1056*O1056</f>
        <v>499.2</v>
      </c>
      <c r="Q1056" s="23" t="s">
        <v>8224</v>
      </c>
      <c r="R1056" s="23" t="s">
        <v>2804</v>
      </c>
      <c r="S1056" s="24" t="n">
        <v>48</v>
      </c>
      <c r="T1056" s="25" t="n">
        <v>10.4</v>
      </c>
      <c r="U1056" s="25" t="n">
        <v>499.2</v>
      </c>
      <c r="V1056" s="25" t="n">
        <f aca="false">P1056-U1056</f>
        <v>0</v>
      </c>
      <c r="W1056" s="25" t="n">
        <f aca="false">V1056*12</f>
        <v>0</v>
      </c>
      <c r="X1056" s="23" t="str">
        <f aca="false">IF(Q1056="","MISSING FROM EXPORT",IF(ABS(V1056)&lt;0.005,"CLEAR",IF(V1056&gt;0,"UNDERBILLING","OVERBILLING")))</f>
        <v>CLEAR</v>
      </c>
      <c r="Y1056" s="25" t="n">
        <f aca="false">IF(F1056="COMMERCIAL",ROUND(P1056*0.35,2),0)</f>
        <v>0</v>
      </c>
      <c r="Z1056" s="23" t="str">
        <f aca="false">IF(F1056="COMMERCIAL","VERIFY SIGNED AGREEMENT","NO EXCEPTION")</f>
        <v>NO EXCEPTION</v>
      </c>
      <c r="AA1056" s="23" t="str">
        <f aca="false">IF(AND(C1056="covered",N1056&gt;40),"COVERED &gt;40 FT","")</f>
        <v>COVERED &gt;40 FT</v>
      </c>
      <c r="AB1056" s="23" t="s">
        <v>8225</v>
      </c>
      <c r="AC1056" s="23" t="s">
        <v>8226</v>
      </c>
      <c r="AD1056" s="23" t="s">
        <v>2807</v>
      </c>
    </row>
    <row r="1057" customFormat="false" ht="17.9" hidden="false" customHeight="false" outlineLevel="0" collapsed="false">
      <c r="A1057" s="20" t="s">
        <v>1600</v>
      </c>
      <c r="B1057" s="20" t="s">
        <v>99</v>
      </c>
      <c r="C1057" s="20" t="s">
        <v>5162</v>
      </c>
      <c r="D1057" s="20" t="s">
        <v>2133</v>
      </c>
      <c r="E1057" s="20" t="s">
        <v>2134</v>
      </c>
      <c r="F1057" s="20" t="s">
        <v>2857</v>
      </c>
      <c r="G1057" s="20" t="s">
        <v>4005</v>
      </c>
      <c r="H1057" s="22" t="n">
        <v>53.9</v>
      </c>
      <c r="I1057" s="22" t="n">
        <v>53.9</v>
      </c>
      <c r="J1057" s="22" t="n">
        <f aca="false">H1057-I1057</f>
        <v>0</v>
      </c>
      <c r="K1057" s="20" t="str">
        <f aca="false">IF(ABS(J1057)&lt;0.001,"MATCH - PAPER CHECK-IN NOT SUPPLIED","DATA MISMATCH")</f>
        <v>MATCH - PAPER CHECK-IN NOT SUPPLIED</v>
      </c>
      <c r="L1057" s="22" t="n">
        <v>40</v>
      </c>
      <c r="M1057" s="22" t="n">
        <f aca="false">ROUNDUP(H1057,0)</f>
        <v>54</v>
      </c>
      <c r="N1057" s="24" t="n">
        <f aca="false">MAX(L1057,M1057)</f>
        <v>54</v>
      </c>
      <c r="O1057" s="25" t="n">
        <v>10.4</v>
      </c>
      <c r="P1057" s="25" t="n">
        <f aca="false">N1057*O1057</f>
        <v>561.6</v>
      </c>
      <c r="Q1057" s="23" t="s">
        <v>8227</v>
      </c>
      <c r="R1057" s="23" t="s">
        <v>2804</v>
      </c>
      <c r="S1057" s="24" t="n">
        <v>54</v>
      </c>
      <c r="T1057" s="25" t="n">
        <v>10.4</v>
      </c>
      <c r="U1057" s="25" t="n">
        <v>561.6</v>
      </c>
      <c r="V1057" s="25" t="n">
        <f aca="false">P1057-U1057</f>
        <v>0</v>
      </c>
      <c r="W1057" s="25" t="n">
        <f aca="false">V1057*12</f>
        <v>0</v>
      </c>
      <c r="X1057" s="23" t="str">
        <f aca="false">IF(Q1057="","MISSING FROM EXPORT",IF(ABS(V1057)&lt;0.005,"CLEAR",IF(V1057&gt;0,"UNDERBILLING","OVERBILLING")))</f>
        <v>CLEAR</v>
      </c>
      <c r="Y1057" s="25" t="n">
        <f aca="false">IF(F1057="COMMERCIAL",ROUND(P1057*0.35,2),0)</f>
        <v>0</v>
      </c>
      <c r="Z1057" s="23" t="str">
        <f aca="false">IF(F1057="COMMERCIAL","VERIFY SIGNED AGREEMENT","NO EXCEPTION")</f>
        <v>NO EXCEPTION</v>
      </c>
      <c r="AA1057" s="23" t="str">
        <f aca="false">IF(AND(C1057="covered",N1057&gt;40),"COVERED &gt;40 FT","")</f>
        <v>COVERED &gt;40 FT</v>
      </c>
      <c r="AB1057" s="23" t="s">
        <v>8228</v>
      </c>
      <c r="AC1057" s="23" t="s">
        <v>8229</v>
      </c>
      <c r="AD1057" s="23" t="s">
        <v>2807</v>
      </c>
    </row>
    <row r="1058" customFormat="false" ht="17.9" hidden="false" customHeight="false" outlineLevel="0" collapsed="false">
      <c r="A1058" s="20" t="s">
        <v>8230</v>
      </c>
      <c r="B1058" s="20" t="s">
        <v>99</v>
      </c>
      <c r="C1058" s="20" t="s">
        <v>5162</v>
      </c>
      <c r="D1058" s="20" t="s">
        <v>8231</v>
      </c>
      <c r="E1058" s="20" t="s">
        <v>8232</v>
      </c>
      <c r="F1058" s="20" t="s">
        <v>2833</v>
      </c>
      <c r="G1058" s="20" t="s">
        <v>4012</v>
      </c>
      <c r="H1058" s="22" t="n">
        <v>29.2</v>
      </c>
      <c r="I1058" s="22" t="n">
        <v>29.2</v>
      </c>
      <c r="J1058" s="22" t="n">
        <f aca="false">H1058-I1058</f>
        <v>0</v>
      </c>
      <c r="K1058" s="20" t="str">
        <f aca="false">IF(ABS(J1058)&lt;0.001,"MATCH - PAPER CHECK-IN NOT SUPPLIED","DATA MISMATCH")</f>
        <v>MATCH - PAPER CHECK-IN NOT SUPPLIED</v>
      </c>
      <c r="L1058" s="22" t="n">
        <v>24</v>
      </c>
      <c r="M1058" s="22" t="n">
        <f aca="false">ROUNDUP(H1058,0)</f>
        <v>30</v>
      </c>
      <c r="N1058" s="24" t="n">
        <f aca="false">MAX(L1058,M1058)</f>
        <v>30</v>
      </c>
      <c r="O1058" s="25" t="n">
        <v>10.4</v>
      </c>
      <c r="P1058" s="25" t="n">
        <f aca="false">N1058*O1058</f>
        <v>312</v>
      </c>
      <c r="Q1058" s="23" t="s">
        <v>8233</v>
      </c>
      <c r="R1058" s="23" t="s">
        <v>2804</v>
      </c>
      <c r="S1058" s="24" t="n">
        <v>30</v>
      </c>
      <c r="T1058" s="25" t="n">
        <v>10.4</v>
      </c>
      <c r="U1058" s="25" t="n">
        <v>312</v>
      </c>
      <c r="V1058" s="25" t="n">
        <f aca="false">P1058-U1058</f>
        <v>0</v>
      </c>
      <c r="W1058" s="25" t="n">
        <f aca="false">V1058*12</f>
        <v>0</v>
      </c>
      <c r="X1058" s="23" t="str">
        <f aca="false">IF(Q1058="","MISSING FROM EXPORT",IF(ABS(V1058)&lt;0.005,"CLEAR",IF(V1058&gt;0,"UNDERBILLING","OVERBILLING")))</f>
        <v>CLEAR</v>
      </c>
      <c r="Y1058" s="25" t="n">
        <f aca="false">IF(F1058="COMMERCIAL",ROUND(P1058*0.35,2),0)</f>
        <v>0</v>
      </c>
      <c r="Z1058" s="23" t="str">
        <f aca="false">IF(F1058="COMMERCIAL","VERIFY SIGNED AGREEMENT","NO EXCEPTION")</f>
        <v>NO EXCEPTION</v>
      </c>
      <c r="AA1058" s="23" t="str">
        <f aca="false">IF(AND(C1058="covered",N1058&gt;40),"COVERED &gt;40 FT","")</f>
        <v/>
      </c>
      <c r="AB1058" s="23" t="s">
        <v>8234</v>
      </c>
      <c r="AC1058" s="23" t="s">
        <v>8235</v>
      </c>
      <c r="AD1058" s="23" t="s">
        <v>2807</v>
      </c>
    </row>
    <row r="1059" customFormat="false" ht="17.9" hidden="false" customHeight="false" outlineLevel="0" collapsed="false">
      <c r="A1059" s="20" t="s">
        <v>8236</v>
      </c>
      <c r="B1059" s="20" t="s">
        <v>99</v>
      </c>
      <c r="C1059" s="20" t="s">
        <v>5162</v>
      </c>
      <c r="D1059" s="20" t="s">
        <v>2138</v>
      </c>
      <c r="E1059" s="20" t="s">
        <v>8237</v>
      </c>
      <c r="F1059" s="20" t="s">
        <v>2934</v>
      </c>
      <c r="G1059" s="20" t="s">
        <v>4019</v>
      </c>
      <c r="H1059" s="22" t="n">
        <v>23.5</v>
      </c>
      <c r="I1059" s="22" t="n">
        <v>23.5</v>
      </c>
      <c r="J1059" s="22" t="n">
        <f aca="false">H1059-I1059</f>
        <v>0</v>
      </c>
      <c r="K1059" s="20" t="str">
        <f aca="false">IF(ABS(J1059)&lt;0.001,"MATCH - PAPER CHECK-IN NOT SUPPLIED","DATA MISMATCH")</f>
        <v>MATCH - PAPER CHECK-IN NOT SUPPLIED</v>
      </c>
      <c r="L1059" s="22" t="n">
        <v>28</v>
      </c>
      <c r="M1059" s="22" t="n">
        <f aca="false">ROUNDUP(H1059,0)</f>
        <v>24</v>
      </c>
      <c r="N1059" s="24" t="n">
        <f aca="false">MAX(L1059,M1059)</f>
        <v>28</v>
      </c>
      <c r="O1059" s="25" t="n">
        <v>10.4</v>
      </c>
      <c r="P1059" s="25" t="n">
        <f aca="false">N1059*O1059</f>
        <v>291.2</v>
      </c>
      <c r="Q1059" s="23" t="s">
        <v>8238</v>
      </c>
      <c r="R1059" s="23" t="s">
        <v>2804</v>
      </c>
      <c r="S1059" s="24" t="n">
        <v>28</v>
      </c>
      <c r="T1059" s="25" t="n">
        <v>10.4</v>
      </c>
      <c r="U1059" s="25" t="n">
        <v>291.2</v>
      </c>
      <c r="V1059" s="25" t="n">
        <f aca="false">P1059-U1059</f>
        <v>0</v>
      </c>
      <c r="W1059" s="25" t="n">
        <f aca="false">V1059*12</f>
        <v>0</v>
      </c>
      <c r="X1059" s="23" t="str">
        <f aca="false">IF(Q1059="","MISSING FROM EXPORT",IF(ABS(V1059)&lt;0.005,"CLEAR",IF(V1059&gt;0,"UNDERBILLING","OVERBILLING")))</f>
        <v>CLEAR</v>
      </c>
      <c r="Y1059" s="25" t="n">
        <f aca="false">IF(F1059="COMMERCIAL",ROUND(P1059*0.35,2),0)</f>
        <v>101.92</v>
      </c>
      <c r="Z1059" s="23" t="str">
        <f aca="false">IF(F1059="COMMERCIAL","VERIFY SIGNED AGREEMENT","NO EXCEPTION")</f>
        <v>VERIFY SIGNED AGREEMENT</v>
      </c>
      <c r="AA1059" s="23" t="str">
        <f aca="false">IF(AND(C1059="covered",N1059&gt;40),"COVERED &gt;40 FT","")</f>
        <v/>
      </c>
      <c r="AB1059" s="23" t="s">
        <v>8239</v>
      </c>
      <c r="AC1059" s="23" t="s">
        <v>8240</v>
      </c>
      <c r="AD1059" s="23" t="s">
        <v>2807</v>
      </c>
    </row>
    <row r="1060" customFormat="false" ht="17.9" hidden="false" customHeight="false" outlineLevel="0" collapsed="false">
      <c r="A1060" s="20" t="s">
        <v>8241</v>
      </c>
      <c r="B1060" s="20" t="s">
        <v>99</v>
      </c>
      <c r="C1060" s="20" t="s">
        <v>5162</v>
      </c>
      <c r="D1060" s="20" t="s">
        <v>8242</v>
      </c>
      <c r="E1060" s="20" t="s">
        <v>8243</v>
      </c>
      <c r="F1060" s="20" t="s">
        <v>2833</v>
      </c>
      <c r="G1060" s="20" t="s">
        <v>4026</v>
      </c>
      <c r="H1060" s="22" t="n">
        <v>37</v>
      </c>
      <c r="I1060" s="22" t="n">
        <v>37</v>
      </c>
      <c r="J1060" s="22" t="n">
        <f aca="false">H1060-I1060</f>
        <v>0</v>
      </c>
      <c r="K1060" s="20" t="str">
        <f aca="false">IF(ABS(J1060)&lt;0.001,"MATCH - PAPER CHECK-IN NOT SUPPLIED","DATA MISMATCH")</f>
        <v>MATCH - PAPER CHECK-IN NOT SUPPLIED</v>
      </c>
      <c r="L1060" s="22" t="n">
        <v>28</v>
      </c>
      <c r="M1060" s="22" t="n">
        <f aca="false">ROUNDUP(H1060,0)</f>
        <v>37</v>
      </c>
      <c r="N1060" s="24" t="n">
        <f aca="false">MAX(L1060,M1060)</f>
        <v>37</v>
      </c>
      <c r="O1060" s="25" t="n">
        <v>10.4</v>
      </c>
      <c r="P1060" s="25" t="n">
        <f aca="false">N1060*O1060</f>
        <v>384.8</v>
      </c>
      <c r="Q1060" s="23" t="s">
        <v>8244</v>
      </c>
      <c r="R1060" s="23" t="s">
        <v>2804</v>
      </c>
      <c r="S1060" s="24" t="n">
        <v>37</v>
      </c>
      <c r="T1060" s="25" t="n">
        <v>10.4</v>
      </c>
      <c r="U1060" s="25" t="n">
        <v>384.8</v>
      </c>
      <c r="V1060" s="25" t="n">
        <f aca="false">P1060-U1060</f>
        <v>0</v>
      </c>
      <c r="W1060" s="25" t="n">
        <f aca="false">V1060*12</f>
        <v>0</v>
      </c>
      <c r="X1060" s="23" t="str">
        <f aca="false">IF(Q1060="","MISSING FROM EXPORT",IF(ABS(V1060)&lt;0.005,"CLEAR",IF(V1060&gt;0,"UNDERBILLING","OVERBILLING")))</f>
        <v>CLEAR</v>
      </c>
      <c r="Y1060" s="25" t="n">
        <f aca="false">IF(F1060="COMMERCIAL",ROUND(P1060*0.35,2),0)</f>
        <v>0</v>
      </c>
      <c r="Z1060" s="23" t="str">
        <f aca="false">IF(F1060="COMMERCIAL","VERIFY SIGNED AGREEMENT","NO EXCEPTION")</f>
        <v>NO EXCEPTION</v>
      </c>
      <c r="AA1060" s="23" t="str">
        <f aca="false">IF(AND(C1060="covered",N1060&gt;40),"COVERED &gt;40 FT","")</f>
        <v/>
      </c>
      <c r="AB1060" s="23" t="s">
        <v>8245</v>
      </c>
      <c r="AC1060" s="23" t="s">
        <v>8246</v>
      </c>
      <c r="AD1060" s="23" t="s">
        <v>2807</v>
      </c>
    </row>
    <row r="1061" customFormat="false" ht="17.9" hidden="false" customHeight="false" outlineLevel="0" collapsed="false">
      <c r="A1061" s="20" t="s">
        <v>1676</v>
      </c>
      <c r="B1061" s="20" t="s">
        <v>99</v>
      </c>
      <c r="C1061" s="20" t="s">
        <v>5162</v>
      </c>
      <c r="D1061" s="20" t="s">
        <v>8247</v>
      </c>
      <c r="E1061" s="20" t="s">
        <v>8248</v>
      </c>
      <c r="F1061" s="20" t="s">
        <v>2818</v>
      </c>
      <c r="G1061" s="20" t="s">
        <v>4032</v>
      </c>
      <c r="H1061" s="22" t="n">
        <v>26.9</v>
      </c>
      <c r="I1061" s="22" t="n">
        <v>26.9</v>
      </c>
      <c r="J1061" s="22" t="n">
        <f aca="false">H1061-I1061</f>
        <v>0</v>
      </c>
      <c r="K1061" s="20" t="str">
        <f aca="false">IF(ABS(J1061)&lt;0.001,"MATCH - PAPER CHECK-IN NOT SUPPLIED","DATA MISMATCH")</f>
        <v>MATCH - PAPER CHECK-IN NOT SUPPLIED</v>
      </c>
      <c r="L1061" s="22" t="n">
        <v>24</v>
      </c>
      <c r="M1061" s="22" t="n">
        <f aca="false">ROUNDUP(H1061,0)</f>
        <v>27</v>
      </c>
      <c r="N1061" s="24" t="n">
        <f aca="false">MAX(L1061,M1061)</f>
        <v>27</v>
      </c>
      <c r="O1061" s="25" t="n">
        <v>10.4</v>
      </c>
      <c r="P1061" s="25" t="n">
        <f aca="false">N1061*O1061</f>
        <v>280.8</v>
      </c>
      <c r="Q1061" s="23" t="s">
        <v>8249</v>
      </c>
      <c r="R1061" s="23" t="s">
        <v>2804</v>
      </c>
      <c r="S1061" s="24" t="n">
        <v>27</v>
      </c>
      <c r="T1061" s="25" t="n">
        <v>10.4</v>
      </c>
      <c r="U1061" s="25" t="n">
        <v>280.8</v>
      </c>
      <c r="V1061" s="25" t="n">
        <f aca="false">P1061-U1061</f>
        <v>0</v>
      </c>
      <c r="W1061" s="25" t="n">
        <f aca="false">V1061*12</f>
        <v>0</v>
      </c>
      <c r="X1061" s="23" t="str">
        <f aca="false">IF(Q1061="","MISSING FROM EXPORT",IF(ABS(V1061)&lt;0.005,"CLEAR",IF(V1061&gt;0,"UNDERBILLING","OVERBILLING")))</f>
        <v>CLEAR</v>
      </c>
      <c r="Y1061" s="25" t="n">
        <f aca="false">IF(F1061="COMMERCIAL",ROUND(P1061*0.35,2),0)</f>
        <v>0</v>
      </c>
      <c r="Z1061" s="23" t="str">
        <f aca="false">IF(F1061="COMMERCIAL","VERIFY SIGNED AGREEMENT","NO EXCEPTION")</f>
        <v>NO EXCEPTION</v>
      </c>
      <c r="AA1061" s="23" t="str">
        <f aca="false">IF(AND(C1061="covered",N1061&gt;40),"COVERED &gt;40 FT","")</f>
        <v/>
      </c>
      <c r="AB1061" s="23" t="s">
        <v>8250</v>
      </c>
      <c r="AC1061" s="23" t="s">
        <v>8251</v>
      </c>
      <c r="AD1061" s="23" t="s">
        <v>2807</v>
      </c>
    </row>
    <row r="1062" customFormat="false" ht="17.9" hidden="false" customHeight="false" outlineLevel="0" collapsed="false">
      <c r="A1062" s="20" t="s">
        <v>1014</v>
      </c>
      <c r="B1062" s="20" t="s">
        <v>99</v>
      </c>
      <c r="C1062" s="20" t="s">
        <v>5162</v>
      </c>
      <c r="D1062" s="20" t="s">
        <v>8252</v>
      </c>
      <c r="E1062" s="20" t="s">
        <v>8253</v>
      </c>
      <c r="F1062" s="20" t="s">
        <v>2898</v>
      </c>
      <c r="G1062" s="20" t="s">
        <v>4039</v>
      </c>
      <c r="H1062" s="22" t="n">
        <v>54.5</v>
      </c>
      <c r="I1062" s="22" t="n">
        <v>54.5</v>
      </c>
      <c r="J1062" s="22" t="n">
        <f aca="false">H1062-I1062</f>
        <v>0</v>
      </c>
      <c r="K1062" s="20" t="str">
        <f aca="false">IF(ABS(J1062)&lt;0.001,"MATCH - PAPER CHECK-IN NOT SUPPLIED","DATA MISMATCH")</f>
        <v>MATCH - PAPER CHECK-IN NOT SUPPLIED</v>
      </c>
      <c r="L1062" s="22" t="n">
        <v>28</v>
      </c>
      <c r="M1062" s="22" t="n">
        <f aca="false">ROUNDUP(H1062,0)</f>
        <v>55</v>
      </c>
      <c r="N1062" s="24" t="n">
        <f aca="false">MAX(L1062,M1062)</f>
        <v>55</v>
      </c>
      <c r="O1062" s="25" t="n">
        <v>10.4</v>
      </c>
      <c r="P1062" s="25" t="n">
        <f aca="false">N1062*O1062</f>
        <v>572</v>
      </c>
      <c r="Q1062" s="23" t="s">
        <v>8254</v>
      </c>
      <c r="R1062" s="23" t="s">
        <v>2804</v>
      </c>
      <c r="S1062" s="24" t="n">
        <v>55</v>
      </c>
      <c r="T1062" s="25" t="n">
        <v>10.4</v>
      </c>
      <c r="U1062" s="25" t="n">
        <v>572</v>
      </c>
      <c r="V1062" s="25" t="n">
        <f aca="false">P1062-U1062</f>
        <v>0</v>
      </c>
      <c r="W1062" s="25" t="n">
        <f aca="false">V1062*12</f>
        <v>0</v>
      </c>
      <c r="X1062" s="23" t="str">
        <f aca="false">IF(Q1062="","MISSING FROM EXPORT",IF(ABS(V1062)&lt;0.005,"CLEAR",IF(V1062&gt;0,"UNDERBILLING","OVERBILLING")))</f>
        <v>CLEAR</v>
      </c>
      <c r="Y1062" s="25" t="n">
        <f aca="false">IF(F1062="COMMERCIAL",ROUND(P1062*0.35,2),0)</f>
        <v>0</v>
      </c>
      <c r="Z1062" s="23" t="str">
        <f aca="false">IF(F1062="COMMERCIAL","VERIFY SIGNED AGREEMENT","NO EXCEPTION")</f>
        <v>NO EXCEPTION</v>
      </c>
      <c r="AA1062" s="23" t="str">
        <f aca="false">IF(AND(C1062="covered",N1062&gt;40),"COVERED &gt;40 FT","")</f>
        <v>COVERED &gt;40 FT</v>
      </c>
      <c r="AB1062" s="23" t="s">
        <v>8255</v>
      </c>
      <c r="AC1062" s="23" t="s">
        <v>8256</v>
      </c>
      <c r="AD1062" s="23" t="s">
        <v>2807</v>
      </c>
    </row>
    <row r="1063" customFormat="false" ht="17.9" hidden="false" customHeight="false" outlineLevel="0" collapsed="false">
      <c r="A1063" s="20" t="s">
        <v>8257</v>
      </c>
      <c r="B1063" s="20" t="s">
        <v>99</v>
      </c>
      <c r="C1063" s="20" t="s">
        <v>5162</v>
      </c>
      <c r="D1063" s="20" t="s">
        <v>8258</v>
      </c>
      <c r="E1063" s="20" t="s">
        <v>8259</v>
      </c>
      <c r="F1063" s="20" t="s">
        <v>2833</v>
      </c>
      <c r="G1063" s="20" t="s">
        <v>4046</v>
      </c>
      <c r="H1063" s="22" t="n">
        <v>26.6</v>
      </c>
      <c r="I1063" s="22" t="n">
        <v>26.6</v>
      </c>
      <c r="J1063" s="22" t="n">
        <f aca="false">H1063-I1063</f>
        <v>0</v>
      </c>
      <c r="K1063" s="20" t="str">
        <f aca="false">IF(ABS(J1063)&lt;0.001,"MATCH - PAPER CHECK-IN NOT SUPPLIED","DATA MISMATCH")</f>
        <v>MATCH - PAPER CHECK-IN NOT SUPPLIED</v>
      </c>
      <c r="L1063" s="22" t="n">
        <v>36</v>
      </c>
      <c r="M1063" s="22" t="n">
        <f aca="false">ROUNDUP(H1063,0)</f>
        <v>27</v>
      </c>
      <c r="N1063" s="24" t="n">
        <f aca="false">MAX(L1063,M1063)</f>
        <v>36</v>
      </c>
      <c r="O1063" s="25" t="n">
        <v>10.4</v>
      </c>
      <c r="P1063" s="25" t="n">
        <f aca="false">N1063*O1063</f>
        <v>374.4</v>
      </c>
      <c r="Q1063" s="23" t="s">
        <v>8260</v>
      </c>
      <c r="R1063" s="23" t="s">
        <v>2804</v>
      </c>
      <c r="S1063" s="24" t="n">
        <v>36</v>
      </c>
      <c r="T1063" s="25" t="n">
        <v>10.4</v>
      </c>
      <c r="U1063" s="25" t="n">
        <v>374.4</v>
      </c>
      <c r="V1063" s="25" t="n">
        <f aca="false">P1063-U1063</f>
        <v>0</v>
      </c>
      <c r="W1063" s="25" t="n">
        <f aca="false">V1063*12</f>
        <v>0</v>
      </c>
      <c r="X1063" s="23" t="str">
        <f aca="false">IF(Q1063="","MISSING FROM EXPORT",IF(ABS(V1063)&lt;0.005,"CLEAR",IF(V1063&gt;0,"UNDERBILLING","OVERBILLING")))</f>
        <v>CLEAR</v>
      </c>
      <c r="Y1063" s="25" t="n">
        <f aca="false">IF(F1063="COMMERCIAL",ROUND(P1063*0.35,2),0)</f>
        <v>0</v>
      </c>
      <c r="Z1063" s="23" t="str">
        <f aca="false">IF(F1063="COMMERCIAL","VERIFY SIGNED AGREEMENT","NO EXCEPTION")</f>
        <v>NO EXCEPTION</v>
      </c>
      <c r="AA1063" s="23" t="str">
        <f aca="false">IF(AND(C1063="covered",N1063&gt;40),"COVERED &gt;40 FT","")</f>
        <v/>
      </c>
      <c r="AB1063" s="23" t="s">
        <v>8261</v>
      </c>
      <c r="AC1063" s="23" t="s">
        <v>8262</v>
      </c>
      <c r="AD1063" s="23" t="s">
        <v>2807</v>
      </c>
    </row>
    <row r="1064" customFormat="false" ht="17.9" hidden="false" customHeight="false" outlineLevel="0" collapsed="false">
      <c r="A1064" s="20" t="s">
        <v>8263</v>
      </c>
      <c r="B1064" s="20" t="s">
        <v>99</v>
      </c>
      <c r="C1064" s="20" t="s">
        <v>5162</v>
      </c>
      <c r="D1064" s="20" t="s">
        <v>8264</v>
      </c>
      <c r="E1064" s="20" t="s">
        <v>8265</v>
      </c>
      <c r="F1064" s="20" t="s">
        <v>2833</v>
      </c>
      <c r="G1064" s="20" t="s">
        <v>4053</v>
      </c>
      <c r="H1064" s="22" t="n">
        <v>61.6</v>
      </c>
      <c r="I1064" s="22" t="n">
        <v>61.6</v>
      </c>
      <c r="J1064" s="22" t="n">
        <f aca="false">H1064-I1064</f>
        <v>0</v>
      </c>
      <c r="K1064" s="20" t="str">
        <f aca="false">IF(ABS(J1064)&lt;0.001,"MATCH - PAPER CHECK-IN NOT SUPPLIED","DATA MISMATCH")</f>
        <v>MATCH - PAPER CHECK-IN NOT SUPPLIED</v>
      </c>
      <c r="L1064" s="22" t="n">
        <v>24</v>
      </c>
      <c r="M1064" s="22" t="n">
        <f aca="false">ROUNDUP(H1064,0)</f>
        <v>62</v>
      </c>
      <c r="N1064" s="24" t="n">
        <f aca="false">MAX(L1064,M1064)</f>
        <v>62</v>
      </c>
      <c r="O1064" s="25" t="n">
        <v>10.4</v>
      </c>
      <c r="P1064" s="25" t="n">
        <f aca="false">N1064*O1064</f>
        <v>644.8</v>
      </c>
      <c r="Q1064" s="23" t="s">
        <v>8266</v>
      </c>
      <c r="R1064" s="23" t="s">
        <v>2804</v>
      </c>
      <c r="S1064" s="24" t="n">
        <v>62</v>
      </c>
      <c r="T1064" s="25" t="n">
        <v>10.4</v>
      </c>
      <c r="U1064" s="25" t="n">
        <v>644.8</v>
      </c>
      <c r="V1064" s="25" t="n">
        <f aca="false">P1064-U1064</f>
        <v>0</v>
      </c>
      <c r="W1064" s="25" t="n">
        <f aca="false">V1064*12</f>
        <v>0</v>
      </c>
      <c r="X1064" s="23" t="str">
        <f aca="false">IF(Q1064="","MISSING FROM EXPORT",IF(ABS(V1064)&lt;0.005,"CLEAR",IF(V1064&gt;0,"UNDERBILLING","OVERBILLING")))</f>
        <v>CLEAR</v>
      </c>
      <c r="Y1064" s="25" t="n">
        <f aca="false">IF(F1064="COMMERCIAL",ROUND(P1064*0.35,2),0)</f>
        <v>0</v>
      </c>
      <c r="Z1064" s="23" t="str">
        <f aca="false">IF(F1064="COMMERCIAL","VERIFY SIGNED AGREEMENT","NO EXCEPTION")</f>
        <v>NO EXCEPTION</v>
      </c>
      <c r="AA1064" s="23" t="str">
        <f aca="false">IF(AND(C1064="covered",N1064&gt;40),"COVERED &gt;40 FT","")</f>
        <v>COVERED &gt;40 FT</v>
      </c>
      <c r="AB1064" s="23" t="s">
        <v>8267</v>
      </c>
      <c r="AC1064" s="23" t="s">
        <v>8268</v>
      </c>
      <c r="AD1064" s="23" t="s">
        <v>2807</v>
      </c>
    </row>
    <row r="1065" customFormat="false" ht="17.9" hidden="false" customHeight="false" outlineLevel="0" collapsed="false">
      <c r="A1065" s="20" t="s">
        <v>8269</v>
      </c>
      <c r="B1065" s="20" t="s">
        <v>99</v>
      </c>
      <c r="C1065" s="20" t="s">
        <v>5162</v>
      </c>
      <c r="D1065" s="20" t="s">
        <v>8270</v>
      </c>
      <c r="E1065" s="20" t="s">
        <v>8271</v>
      </c>
      <c r="F1065" s="20" t="s">
        <v>2833</v>
      </c>
      <c r="G1065" s="20" t="s">
        <v>4060</v>
      </c>
      <c r="H1065" s="22" t="n">
        <v>47.1</v>
      </c>
      <c r="I1065" s="22" t="n">
        <v>47.1</v>
      </c>
      <c r="J1065" s="22" t="n">
        <f aca="false">H1065-I1065</f>
        <v>0</v>
      </c>
      <c r="K1065" s="20" t="str">
        <f aca="false">IF(ABS(J1065)&lt;0.001,"MATCH - PAPER CHECK-IN NOT SUPPLIED","DATA MISMATCH")</f>
        <v>MATCH - PAPER CHECK-IN NOT SUPPLIED</v>
      </c>
      <c r="L1065" s="22" t="n">
        <v>32</v>
      </c>
      <c r="M1065" s="22" t="n">
        <f aca="false">ROUNDUP(H1065,0)</f>
        <v>48</v>
      </c>
      <c r="N1065" s="24" t="n">
        <f aca="false">MAX(L1065,M1065)</f>
        <v>48</v>
      </c>
      <c r="O1065" s="25" t="n">
        <v>10.4</v>
      </c>
      <c r="P1065" s="25" t="n">
        <f aca="false">N1065*O1065</f>
        <v>499.2</v>
      </c>
      <c r="Q1065" s="23" t="s">
        <v>8272</v>
      </c>
      <c r="R1065" s="23" t="s">
        <v>2804</v>
      </c>
      <c r="S1065" s="24" t="n">
        <v>48</v>
      </c>
      <c r="T1065" s="25" t="n">
        <v>10.4</v>
      </c>
      <c r="U1065" s="25" t="n">
        <v>499.2</v>
      </c>
      <c r="V1065" s="25" t="n">
        <f aca="false">P1065-U1065</f>
        <v>0</v>
      </c>
      <c r="W1065" s="25" t="n">
        <f aca="false">V1065*12</f>
        <v>0</v>
      </c>
      <c r="X1065" s="23" t="str">
        <f aca="false">IF(Q1065="","MISSING FROM EXPORT",IF(ABS(V1065)&lt;0.005,"CLEAR",IF(V1065&gt;0,"UNDERBILLING","OVERBILLING")))</f>
        <v>CLEAR</v>
      </c>
      <c r="Y1065" s="25" t="n">
        <f aca="false">IF(F1065="COMMERCIAL",ROUND(P1065*0.35,2),0)</f>
        <v>0</v>
      </c>
      <c r="Z1065" s="23" t="str">
        <f aca="false">IF(F1065="COMMERCIAL","VERIFY SIGNED AGREEMENT","NO EXCEPTION")</f>
        <v>NO EXCEPTION</v>
      </c>
      <c r="AA1065" s="23" t="str">
        <f aca="false">IF(AND(C1065="covered",N1065&gt;40),"COVERED &gt;40 FT","")</f>
        <v>COVERED &gt;40 FT</v>
      </c>
      <c r="AB1065" s="23" t="s">
        <v>8273</v>
      </c>
      <c r="AC1065" s="23" t="s">
        <v>8274</v>
      </c>
      <c r="AD1065" s="23" t="s">
        <v>2807</v>
      </c>
    </row>
    <row r="1066" customFormat="false" ht="17.9" hidden="false" customHeight="false" outlineLevel="0" collapsed="false">
      <c r="A1066" s="20" t="s">
        <v>8275</v>
      </c>
      <c r="B1066" s="20" t="s">
        <v>99</v>
      </c>
      <c r="C1066" s="20" t="s">
        <v>5162</v>
      </c>
      <c r="D1066" s="20" t="s">
        <v>8276</v>
      </c>
      <c r="E1066" s="20" t="s">
        <v>7172</v>
      </c>
      <c r="F1066" s="20" t="s">
        <v>2857</v>
      </c>
      <c r="G1066" s="20" t="s">
        <v>4067</v>
      </c>
      <c r="H1066" s="22" t="n">
        <v>19.3</v>
      </c>
      <c r="I1066" s="22" t="n">
        <v>19.3</v>
      </c>
      <c r="J1066" s="22" t="n">
        <f aca="false">H1066-I1066</f>
        <v>0</v>
      </c>
      <c r="K1066" s="20" t="str">
        <f aca="false">IF(ABS(J1066)&lt;0.001,"MATCH - PAPER CHECK-IN NOT SUPPLIED","DATA MISMATCH")</f>
        <v>MATCH - PAPER CHECK-IN NOT SUPPLIED</v>
      </c>
      <c r="L1066" s="22" t="n">
        <v>28</v>
      </c>
      <c r="M1066" s="22" t="n">
        <f aca="false">ROUNDUP(H1066,0)</f>
        <v>20</v>
      </c>
      <c r="N1066" s="24" t="n">
        <f aca="false">MAX(L1066,M1066)</f>
        <v>28</v>
      </c>
      <c r="O1066" s="25" t="n">
        <v>10.4</v>
      </c>
      <c r="P1066" s="25" t="n">
        <f aca="false">N1066*O1066</f>
        <v>291.2</v>
      </c>
      <c r="Q1066" s="23" t="s">
        <v>8277</v>
      </c>
      <c r="R1066" s="23" t="s">
        <v>2804</v>
      </c>
      <c r="S1066" s="24" t="n">
        <v>28</v>
      </c>
      <c r="T1066" s="25" t="n">
        <v>10.4</v>
      </c>
      <c r="U1066" s="25" t="n">
        <v>291.2</v>
      </c>
      <c r="V1066" s="25" t="n">
        <f aca="false">P1066-U1066</f>
        <v>0</v>
      </c>
      <c r="W1066" s="25" t="n">
        <f aca="false">V1066*12</f>
        <v>0</v>
      </c>
      <c r="X1066" s="23" t="str">
        <f aca="false">IF(Q1066="","MISSING FROM EXPORT",IF(ABS(V1066)&lt;0.005,"CLEAR",IF(V1066&gt;0,"UNDERBILLING","OVERBILLING")))</f>
        <v>CLEAR</v>
      </c>
      <c r="Y1066" s="25" t="n">
        <f aca="false">IF(F1066="COMMERCIAL",ROUND(P1066*0.35,2),0)</f>
        <v>0</v>
      </c>
      <c r="Z1066" s="23" t="str">
        <f aca="false">IF(F1066="COMMERCIAL","VERIFY SIGNED AGREEMENT","NO EXCEPTION")</f>
        <v>NO EXCEPTION</v>
      </c>
      <c r="AA1066" s="23" t="str">
        <f aca="false">IF(AND(C1066="covered",N1066&gt;40),"COVERED &gt;40 FT","")</f>
        <v/>
      </c>
      <c r="AB1066" s="23" t="s">
        <v>8278</v>
      </c>
      <c r="AC1066" s="23" t="s">
        <v>8279</v>
      </c>
      <c r="AD1066" s="23" t="s">
        <v>2807</v>
      </c>
    </row>
    <row r="1067" customFormat="false" ht="17.9" hidden="false" customHeight="false" outlineLevel="0" collapsed="false">
      <c r="A1067" s="20" t="s">
        <v>8280</v>
      </c>
      <c r="B1067" s="20" t="s">
        <v>99</v>
      </c>
      <c r="C1067" s="20" t="s">
        <v>5162</v>
      </c>
      <c r="D1067" s="20" t="s">
        <v>8281</v>
      </c>
      <c r="E1067" s="20" t="s">
        <v>8282</v>
      </c>
      <c r="F1067" s="20" t="s">
        <v>2833</v>
      </c>
      <c r="G1067" s="20" t="s">
        <v>4081</v>
      </c>
      <c r="H1067" s="22" t="n">
        <v>40.3</v>
      </c>
      <c r="I1067" s="22" t="n">
        <v>40.3</v>
      </c>
      <c r="J1067" s="22" t="n">
        <f aca="false">H1067-I1067</f>
        <v>0</v>
      </c>
      <c r="K1067" s="20" t="str">
        <f aca="false">IF(ABS(J1067)&lt;0.001,"MATCH - PAPER CHECK-IN NOT SUPPLIED","DATA MISMATCH")</f>
        <v>MATCH - PAPER CHECK-IN NOT SUPPLIED</v>
      </c>
      <c r="L1067" s="22" t="n">
        <v>36</v>
      </c>
      <c r="M1067" s="22" t="n">
        <f aca="false">ROUNDUP(H1067,0)</f>
        <v>41</v>
      </c>
      <c r="N1067" s="24" t="n">
        <f aca="false">MAX(L1067,M1067)</f>
        <v>41</v>
      </c>
      <c r="O1067" s="25" t="n">
        <v>10.4</v>
      </c>
      <c r="P1067" s="25" t="n">
        <f aca="false">N1067*O1067</f>
        <v>426.4</v>
      </c>
      <c r="Q1067" s="23" t="s">
        <v>8283</v>
      </c>
      <c r="R1067" s="23" t="s">
        <v>2804</v>
      </c>
      <c r="S1067" s="24" t="n">
        <v>41</v>
      </c>
      <c r="T1067" s="25" t="n">
        <v>10.4</v>
      </c>
      <c r="U1067" s="25" t="n">
        <v>426.4</v>
      </c>
      <c r="V1067" s="25" t="n">
        <f aca="false">P1067-U1067</f>
        <v>0</v>
      </c>
      <c r="W1067" s="25" t="n">
        <f aca="false">V1067*12</f>
        <v>0</v>
      </c>
      <c r="X1067" s="23" t="str">
        <f aca="false">IF(Q1067="","MISSING FROM EXPORT",IF(ABS(V1067)&lt;0.005,"CLEAR",IF(V1067&gt;0,"UNDERBILLING","OVERBILLING")))</f>
        <v>CLEAR</v>
      </c>
      <c r="Y1067" s="25" t="n">
        <f aca="false">IF(F1067="COMMERCIAL",ROUND(P1067*0.35,2),0)</f>
        <v>0</v>
      </c>
      <c r="Z1067" s="23" t="str">
        <f aca="false">IF(F1067="COMMERCIAL","VERIFY SIGNED AGREEMENT","NO EXCEPTION")</f>
        <v>NO EXCEPTION</v>
      </c>
      <c r="AA1067" s="23" t="str">
        <f aca="false">IF(AND(C1067="covered",N1067&gt;40),"COVERED &gt;40 FT","")</f>
        <v>COVERED &gt;40 FT</v>
      </c>
      <c r="AB1067" s="23" t="s">
        <v>8284</v>
      </c>
      <c r="AC1067" s="23" t="s">
        <v>8285</v>
      </c>
      <c r="AD1067" s="23" t="s">
        <v>2807</v>
      </c>
    </row>
    <row r="1068" customFormat="false" ht="17.9" hidden="false" customHeight="false" outlineLevel="0" collapsed="false">
      <c r="A1068" s="20" t="s">
        <v>860</v>
      </c>
      <c r="B1068" s="20" t="s">
        <v>99</v>
      </c>
      <c r="C1068" s="20" t="s">
        <v>5162</v>
      </c>
      <c r="D1068" s="20" t="s">
        <v>8286</v>
      </c>
      <c r="E1068" s="20" t="s">
        <v>8287</v>
      </c>
      <c r="F1068" s="20" t="s">
        <v>2934</v>
      </c>
      <c r="G1068" s="20" t="s">
        <v>6257</v>
      </c>
      <c r="H1068" s="22" t="n">
        <v>27.6</v>
      </c>
      <c r="I1068" s="22" t="n">
        <v>27.6</v>
      </c>
      <c r="J1068" s="22" t="n">
        <f aca="false">H1068-I1068</f>
        <v>0</v>
      </c>
      <c r="K1068" s="20" t="str">
        <f aca="false">IF(ABS(J1068)&lt;0.001,"MATCH - PAPER CHECK-IN NOT SUPPLIED","DATA MISMATCH")</f>
        <v>MATCH - PAPER CHECK-IN NOT SUPPLIED</v>
      </c>
      <c r="L1068" s="22" t="n">
        <v>32</v>
      </c>
      <c r="M1068" s="22" t="n">
        <f aca="false">ROUNDUP(H1068,0)</f>
        <v>28</v>
      </c>
      <c r="N1068" s="24" t="n">
        <f aca="false">MAX(L1068,M1068)</f>
        <v>32</v>
      </c>
      <c r="O1068" s="25" t="n">
        <v>10.4</v>
      </c>
      <c r="P1068" s="25" t="n">
        <f aca="false">N1068*O1068</f>
        <v>332.8</v>
      </c>
      <c r="Q1068" s="23" t="s">
        <v>8288</v>
      </c>
      <c r="R1068" s="23" t="s">
        <v>2804</v>
      </c>
      <c r="S1068" s="24" t="n">
        <v>32</v>
      </c>
      <c r="T1068" s="25" t="n">
        <v>10.4</v>
      </c>
      <c r="U1068" s="25" t="n">
        <v>332.8</v>
      </c>
      <c r="V1068" s="25" t="n">
        <f aca="false">P1068-U1068</f>
        <v>0</v>
      </c>
      <c r="W1068" s="25" t="n">
        <f aca="false">V1068*12</f>
        <v>0</v>
      </c>
      <c r="X1068" s="23" t="str">
        <f aca="false">IF(Q1068="","MISSING FROM EXPORT",IF(ABS(V1068)&lt;0.005,"CLEAR",IF(V1068&gt;0,"UNDERBILLING","OVERBILLING")))</f>
        <v>CLEAR</v>
      </c>
      <c r="Y1068" s="25" t="n">
        <f aca="false">IF(F1068="COMMERCIAL",ROUND(P1068*0.35,2),0)</f>
        <v>116.48</v>
      </c>
      <c r="Z1068" s="23" t="str">
        <f aca="false">IF(F1068="COMMERCIAL","VERIFY SIGNED AGREEMENT","NO EXCEPTION")</f>
        <v>VERIFY SIGNED AGREEMENT</v>
      </c>
      <c r="AA1068" s="23" t="str">
        <f aca="false">IF(AND(C1068="covered",N1068&gt;40),"COVERED &gt;40 FT","")</f>
        <v/>
      </c>
      <c r="AB1068" s="23" t="s">
        <v>8289</v>
      </c>
      <c r="AC1068" s="23" t="s">
        <v>8290</v>
      </c>
      <c r="AD1068" s="23" t="s">
        <v>2807</v>
      </c>
    </row>
    <row r="1069" customFormat="false" ht="17.9" hidden="false" customHeight="false" outlineLevel="0" collapsed="false">
      <c r="A1069" s="20" t="s">
        <v>8291</v>
      </c>
      <c r="B1069" s="20" t="s">
        <v>99</v>
      </c>
      <c r="C1069" s="20" t="s">
        <v>5162</v>
      </c>
      <c r="D1069" s="20" t="s">
        <v>8292</v>
      </c>
      <c r="E1069" s="20" t="s">
        <v>8293</v>
      </c>
      <c r="F1069" s="20" t="s">
        <v>2857</v>
      </c>
      <c r="G1069" s="20" t="s">
        <v>4088</v>
      </c>
      <c r="H1069" s="22" t="n">
        <v>20.9</v>
      </c>
      <c r="I1069" s="22" t="n">
        <v>20.9</v>
      </c>
      <c r="J1069" s="22" t="n">
        <f aca="false">H1069-I1069</f>
        <v>0</v>
      </c>
      <c r="K1069" s="20" t="str">
        <f aca="false">IF(ABS(J1069)&lt;0.001,"MATCH - PAPER CHECK-IN NOT SUPPLIED","DATA MISMATCH")</f>
        <v>MATCH - PAPER CHECK-IN NOT SUPPLIED</v>
      </c>
      <c r="L1069" s="22" t="n">
        <v>40</v>
      </c>
      <c r="M1069" s="22" t="n">
        <f aca="false">ROUNDUP(H1069,0)</f>
        <v>21</v>
      </c>
      <c r="N1069" s="24" t="n">
        <f aca="false">MAX(L1069,M1069)</f>
        <v>40</v>
      </c>
      <c r="O1069" s="25" t="n">
        <v>10.4</v>
      </c>
      <c r="P1069" s="25" t="n">
        <f aca="false">N1069*O1069</f>
        <v>416</v>
      </c>
      <c r="Q1069" s="23" t="s">
        <v>8294</v>
      </c>
      <c r="R1069" s="23" t="s">
        <v>2804</v>
      </c>
      <c r="S1069" s="24" t="n">
        <v>40</v>
      </c>
      <c r="T1069" s="25" t="n">
        <v>10.4</v>
      </c>
      <c r="U1069" s="25" t="n">
        <v>416</v>
      </c>
      <c r="V1069" s="25" t="n">
        <f aca="false">P1069-U1069</f>
        <v>0</v>
      </c>
      <c r="W1069" s="25" t="n">
        <f aca="false">V1069*12</f>
        <v>0</v>
      </c>
      <c r="X1069" s="23" t="str">
        <f aca="false">IF(Q1069="","MISSING FROM EXPORT",IF(ABS(V1069)&lt;0.005,"CLEAR",IF(V1069&gt;0,"UNDERBILLING","OVERBILLING")))</f>
        <v>CLEAR</v>
      </c>
      <c r="Y1069" s="25" t="n">
        <f aca="false">IF(F1069="COMMERCIAL",ROUND(P1069*0.35,2),0)</f>
        <v>0</v>
      </c>
      <c r="Z1069" s="23" t="str">
        <f aca="false">IF(F1069="COMMERCIAL","VERIFY SIGNED AGREEMENT","NO EXCEPTION")</f>
        <v>NO EXCEPTION</v>
      </c>
      <c r="AA1069" s="23" t="str">
        <f aca="false">IF(AND(C1069="covered",N1069&gt;40),"COVERED &gt;40 FT","")</f>
        <v/>
      </c>
      <c r="AB1069" s="23" t="s">
        <v>8295</v>
      </c>
      <c r="AC1069" s="23" t="s">
        <v>8296</v>
      </c>
      <c r="AD1069" s="23" t="s">
        <v>2807</v>
      </c>
    </row>
    <row r="1070" customFormat="false" ht="17.9" hidden="false" customHeight="false" outlineLevel="0" collapsed="false">
      <c r="A1070" s="20" t="s">
        <v>8297</v>
      </c>
      <c r="B1070" s="20" t="s">
        <v>99</v>
      </c>
      <c r="C1070" s="20" t="s">
        <v>5162</v>
      </c>
      <c r="D1070" s="20" t="s">
        <v>8298</v>
      </c>
      <c r="E1070" s="20" t="s">
        <v>8299</v>
      </c>
      <c r="F1070" s="20" t="s">
        <v>2801</v>
      </c>
      <c r="G1070" s="20" t="s">
        <v>4093</v>
      </c>
      <c r="H1070" s="22" t="n">
        <v>60</v>
      </c>
      <c r="I1070" s="22" t="n">
        <v>60</v>
      </c>
      <c r="J1070" s="22" t="n">
        <f aca="false">H1070-I1070</f>
        <v>0</v>
      </c>
      <c r="K1070" s="20" t="str">
        <f aca="false">IF(ABS(J1070)&lt;0.001,"MATCH - PAPER CHECK-IN NOT SUPPLIED","DATA MISMATCH")</f>
        <v>MATCH - PAPER CHECK-IN NOT SUPPLIED</v>
      </c>
      <c r="L1070" s="22" t="n">
        <v>28</v>
      </c>
      <c r="M1070" s="22" t="n">
        <f aca="false">ROUNDUP(H1070,0)</f>
        <v>60</v>
      </c>
      <c r="N1070" s="24" t="n">
        <f aca="false">MAX(L1070,M1070)</f>
        <v>60</v>
      </c>
      <c r="O1070" s="25" t="n">
        <v>10.4</v>
      </c>
      <c r="P1070" s="25" t="n">
        <f aca="false">N1070*O1070</f>
        <v>624</v>
      </c>
      <c r="Q1070" s="23" t="s">
        <v>8300</v>
      </c>
      <c r="R1070" s="23" t="s">
        <v>2804</v>
      </c>
      <c r="S1070" s="24" t="n">
        <v>60</v>
      </c>
      <c r="T1070" s="25" t="n">
        <v>10.4</v>
      </c>
      <c r="U1070" s="25" t="n">
        <v>624</v>
      </c>
      <c r="V1070" s="25" t="n">
        <f aca="false">P1070-U1070</f>
        <v>0</v>
      </c>
      <c r="W1070" s="25" t="n">
        <f aca="false">V1070*12</f>
        <v>0</v>
      </c>
      <c r="X1070" s="23" t="str">
        <f aca="false">IF(Q1070="","MISSING FROM EXPORT",IF(ABS(V1070)&lt;0.005,"CLEAR",IF(V1070&gt;0,"UNDERBILLING","OVERBILLING")))</f>
        <v>CLEAR</v>
      </c>
      <c r="Y1070" s="25" t="n">
        <f aca="false">IF(F1070="COMMERCIAL",ROUND(P1070*0.35,2),0)</f>
        <v>0</v>
      </c>
      <c r="Z1070" s="23" t="str">
        <f aca="false">IF(F1070="COMMERCIAL","VERIFY SIGNED AGREEMENT","NO EXCEPTION")</f>
        <v>NO EXCEPTION</v>
      </c>
      <c r="AA1070" s="23" t="str">
        <f aca="false">IF(AND(C1070="covered",N1070&gt;40),"COVERED &gt;40 FT","")</f>
        <v>COVERED &gt;40 FT</v>
      </c>
      <c r="AB1070" s="23" t="s">
        <v>8301</v>
      </c>
      <c r="AC1070" s="23" t="s">
        <v>8302</v>
      </c>
      <c r="AD1070" s="23" t="s">
        <v>2807</v>
      </c>
    </row>
    <row r="1071" customFormat="false" ht="17.9" hidden="false" customHeight="false" outlineLevel="0" collapsed="false">
      <c r="A1071" s="20" t="s">
        <v>8303</v>
      </c>
      <c r="B1071" s="20" t="s">
        <v>99</v>
      </c>
      <c r="C1071" s="20" t="s">
        <v>5162</v>
      </c>
      <c r="D1071" s="20" t="s">
        <v>8304</v>
      </c>
      <c r="E1071" s="20" t="s">
        <v>8305</v>
      </c>
      <c r="F1071" s="20" t="s">
        <v>2857</v>
      </c>
      <c r="G1071" s="20" t="s">
        <v>5096</v>
      </c>
      <c r="H1071" s="22" t="n">
        <v>35.9</v>
      </c>
      <c r="I1071" s="22" t="n">
        <v>35.9</v>
      </c>
      <c r="J1071" s="22" t="n">
        <f aca="false">H1071-I1071</f>
        <v>0</v>
      </c>
      <c r="K1071" s="20" t="str">
        <f aca="false">IF(ABS(J1071)&lt;0.001,"MATCH - PAPER CHECK-IN NOT SUPPLIED","DATA MISMATCH")</f>
        <v>MATCH - PAPER CHECK-IN NOT SUPPLIED</v>
      </c>
      <c r="L1071" s="22" t="n">
        <v>28</v>
      </c>
      <c r="M1071" s="22" t="n">
        <f aca="false">ROUNDUP(H1071,0)</f>
        <v>36</v>
      </c>
      <c r="N1071" s="24" t="n">
        <f aca="false">MAX(L1071,M1071)</f>
        <v>36</v>
      </c>
      <c r="O1071" s="25" t="n">
        <v>10.4</v>
      </c>
      <c r="P1071" s="25" t="n">
        <f aca="false">N1071*O1071</f>
        <v>374.4</v>
      </c>
      <c r="Q1071" s="23" t="s">
        <v>8306</v>
      </c>
      <c r="R1071" s="23" t="s">
        <v>2804</v>
      </c>
      <c r="S1071" s="24" t="n">
        <v>36</v>
      </c>
      <c r="T1071" s="25" t="n">
        <v>10.4</v>
      </c>
      <c r="U1071" s="25" t="n">
        <v>374.4</v>
      </c>
      <c r="V1071" s="25" t="n">
        <f aca="false">P1071-U1071</f>
        <v>0</v>
      </c>
      <c r="W1071" s="25" t="n">
        <f aca="false">V1071*12</f>
        <v>0</v>
      </c>
      <c r="X1071" s="23" t="str">
        <f aca="false">IF(Q1071="","MISSING FROM EXPORT",IF(ABS(V1071)&lt;0.005,"CLEAR",IF(V1071&gt;0,"UNDERBILLING","OVERBILLING")))</f>
        <v>CLEAR</v>
      </c>
      <c r="Y1071" s="25" t="n">
        <f aca="false">IF(F1071="COMMERCIAL",ROUND(P1071*0.35,2),0)</f>
        <v>0</v>
      </c>
      <c r="Z1071" s="23" t="str">
        <f aca="false">IF(F1071="COMMERCIAL","VERIFY SIGNED AGREEMENT","NO EXCEPTION")</f>
        <v>NO EXCEPTION</v>
      </c>
      <c r="AA1071" s="23" t="str">
        <f aca="false">IF(AND(C1071="covered",N1071&gt;40),"COVERED &gt;40 FT","")</f>
        <v/>
      </c>
      <c r="AB1071" s="23" t="s">
        <v>8307</v>
      </c>
      <c r="AC1071" s="23" t="s">
        <v>8308</v>
      </c>
      <c r="AD1071" s="23" t="s">
        <v>2807</v>
      </c>
    </row>
    <row r="1072" customFormat="false" ht="17.9" hidden="false" customHeight="false" outlineLevel="0" collapsed="false">
      <c r="A1072" s="20" t="s">
        <v>8309</v>
      </c>
      <c r="B1072" s="20" t="s">
        <v>99</v>
      </c>
      <c r="C1072" s="20" t="s">
        <v>5162</v>
      </c>
      <c r="D1072" s="20" t="s">
        <v>2069</v>
      </c>
      <c r="E1072" s="20" t="s">
        <v>8310</v>
      </c>
      <c r="F1072" s="20" t="s">
        <v>2898</v>
      </c>
      <c r="G1072" s="20" t="s">
        <v>4106</v>
      </c>
      <c r="H1072" s="22" t="n">
        <v>56.3</v>
      </c>
      <c r="I1072" s="22" t="n">
        <v>56.3</v>
      </c>
      <c r="J1072" s="22" t="n">
        <f aca="false">H1072-I1072</f>
        <v>0</v>
      </c>
      <c r="K1072" s="20" t="str">
        <f aca="false">IF(ABS(J1072)&lt;0.001,"MATCH - PAPER CHECK-IN NOT SUPPLIED","DATA MISMATCH")</f>
        <v>MATCH - PAPER CHECK-IN NOT SUPPLIED</v>
      </c>
      <c r="L1072" s="22" t="n">
        <v>28</v>
      </c>
      <c r="M1072" s="22" t="n">
        <f aca="false">ROUNDUP(H1072,0)</f>
        <v>57</v>
      </c>
      <c r="N1072" s="24" t="n">
        <f aca="false">MAX(L1072,M1072)</f>
        <v>57</v>
      </c>
      <c r="O1072" s="25" t="n">
        <v>10.4</v>
      </c>
      <c r="P1072" s="25" t="n">
        <f aca="false">N1072*O1072</f>
        <v>592.8</v>
      </c>
      <c r="Q1072" s="23" t="s">
        <v>8311</v>
      </c>
      <c r="R1072" s="23" t="s">
        <v>2804</v>
      </c>
      <c r="S1072" s="24" t="n">
        <v>57</v>
      </c>
      <c r="T1072" s="25" t="n">
        <v>10.4</v>
      </c>
      <c r="U1072" s="25" t="n">
        <v>592.8</v>
      </c>
      <c r="V1072" s="25" t="n">
        <f aca="false">P1072-U1072</f>
        <v>0</v>
      </c>
      <c r="W1072" s="25" t="n">
        <f aca="false">V1072*12</f>
        <v>0</v>
      </c>
      <c r="X1072" s="23" t="str">
        <f aca="false">IF(Q1072="","MISSING FROM EXPORT",IF(ABS(V1072)&lt;0.005,"CLEAR",IF(V1072&gt;0,"UNDERBILLING","OVERBILLING")))</f>
        <v>CLEAR</v>
      </c>
      <c r="Y1072" s="25" t="n">
        <f aca="false">IF(F1072="COMMERCIAL",ROUND(P1072*0.35,2),0)</f>
        <v>0</v>
      </c>
      <c r="Z1072" s="23" t="str">
        <f aca="false">IF(F1072="COMMERCIAL","VERIFY SIGNED AGREEMENT","NO EXCEPTION")</f>
        <v>NO EXCEPTION</v>
      </c>
      <c r="AA1072" s="23" t="str">
        <f aca="false">IF(AND(C1072="covered",N1072&gt;40),"COVERED &gt;40 FT","")</f>
        <v>COVERED &gt;40 FT</v>
      </c>
      <c r="AB1072" s="23" t="s">
        <v>8312</v>
      </c>
      <c r="AC1072" s="23" t="s">
        <v>8313</v>
      </c>
      <c r="AD1072" s="23" t="s">
        <v>2807</v>
      </c>
    </row>
    <row r="1073" customFormat="false" ht="17.9" hidden="false" customHeight="false" outlineLevel="0" collapsed="false">
      <c r="A1073" s="20" t="s">
        <v>8314</v>
      </c>
      <c r="B1073" s="20" t="s">
        <v>99</v>
      </c>
      <c r="C1073" s="20" t="s">
        <v>5162</v>
      </c>
      <c r="D1073" s="20" t="s">
        <v>8315</v>
      </c>
      <c r="E1073" s="20" t="s">
        <v>8316</v>
      </c>
      <c r="F1073" s="20" t="s">
        <v>2857</v>
      </c>
      <c r="G1073" s="20" t="s">
        <v>5105</v>
      </c>
      <c r="H1073" s="22" t="n">
        <v>28.1</v>
      </c>
      <c r="I1073" s="22" t="n">
        <v>28.1</v>
      </c>
      <c r="J1073" s="22" t="n">
        <f aca="false">H1073-I1073</f>
        <v>0</v>
      </c>
      <c r="K1073" s="20" t="str">
        <f aca="false">IF(ABS(J1073)&lt;0.001,"MATCH - PAPER CHECK-IN NOT SUPPLIED","DATA MISMATCH")</f>
        <v>MATCH - PAPER CHECK-IN NOT SUPPLIED</v>
      </c>
      <c r="L1073" s="22" t="n">
        <v>24</v>
      </c>
      <c r="M1073" s="22" t="n">
        <f aca="false">ROUNDUP(H1073,0)</f>
        <v>29</v>
      </c>
      <c r="N1073" s="24" t="n">
        <f aca="false">MAX(L1073,M1073)</f>
        <v>29</v>
      </c>
      <c r="O1073" s="25" t="n">
        <v>10.4</v>
      </c>
      <c r="P1073" s="25" t="n">
        <f aca="false">N1073*O1073</f>
        <v>301.6</v>
      </c>
      <c r="Q1073" s="23" t="s">
        <v>8317</v>
      </c>
      <c r="R1073" s="23" t="s">
        <v>2804</v>
      </c>
      <c r="S1073" s="24" t="n">
        <v>29</v>
      </c>
      <c r="T1073" s="25" t="n">
        <v>10.4</v>
      </c>
      <c r="U1073" s="25" t="n">
        <v>301.6</v>
      </c>
      <c r="V1073" s="25" t="n">
        <f aca="false">P1073-U1073</f>
        <v>0</v>
      </c>
      <c r="W1073" s="25" t="n">
        <f aca="false">V1073*12</f>
        <v>0</v>
      </c>
      <c r="X1073" s="23" t="str">
        <f aca="false">IF(Q1073="","MISSING FROM EXPORT",IF(ABS(V1073)&lt;0.005,"CLEAR",IF(V1073&gt;0,"UNDERBILLING","OVERBILLING")))</f>
        <v>CLEAR</v>
      </c>
      <c r="Y1073" s="25" t="n">
        <f aca="false">IF(F1073="COMMERCIAL",ROUND(P1073*0.35,2),0)</f>
        <v>0</v>
      </c>
      <c r="Z1073" s="23" t="str">
        <f aca="false">IF(F1073="COMMERCIAL","VERIFY SIGNED AGREEMENT","NO EXCEPTION")</f>
        <v>NO EXCEPTION</v>
      </c>
      <c r="AA1073" s="23" t="str">
        <f aca="false">IF(AND(C1073="covered",N1073&gt;40),"COVERED &gt;40 FT","")</f>
        <v/>
      </c>
      <c r="AB1073" s="23" t="s">
        <v>8318</v>
      </c>
      <c r="AC1073" s="23" t="s">
        <v>8319</v>
      </c>
      <c r="AD1073" s="23" t="s">
        <v>2807</v>
      </c>
    </row>
    <row r="1074" customFormat="false" ht="17.9" hidden="false" customHeight="false" outlineLevel="0" collapsed="false">
      <c r="A1074" s="20" t="s">
        <v>8320</v>
      </c>
      <c r="B1074" s="20" t="s">
        <v>99</v>
      </c>
      <c r="C1074" s="20" t="s">
        <v>5162</v>
      </c>
      <c r="D1074" s="20" t="s">
        <v>8321</v>
      </c>
      <c r="E1074" s="20" t="s">
        <v>8322</v>
      </c>
      <c r="F1074" s="20" t="s">
        <v>2833</v>
      </c>
      <c r="G1074" s="20" t="s">
        <v>4112</v>
      </c>
      <c r="H1074" s="22" t="n">
        <v>46.3</v>
      </c>
      <c r="I1074" s="22" t="n">
        <v>46.3</v>
      </c>
      <c r="J1074" s="22" t="n">
        <f aca="false">H1074-I1074</f>
        <v>0</v>
      </c>
      <c r="K1074" s="20" t="str">
        <f aca="false">IF(ABS(J1074)&lt;0.001,"MATCH - PAPER CHECK-IN NOT SUPPLIED","DATA MISMATCH")</f>
        <v>MATCH - PAPER CHECK-IN NOT SUPPLIED</v>
      </c>
      <c r="L1074" s="22" t="n">
        <v>36</v>
      </c>
      <c r="M1074" s="22" t="n">
        <f aca="false">ROUNDUP(H1074,0)</f>
        <v>47</v>
      </c>
      <c r="N1074" s="24" t="n">
        <f aca="false">MAX(L1074,M1074)</f>
        <v>47</v>
      </c>
      <c r="O1074" s="25" t="n">
        <v>10.4</v>
      </c>
      <c r="P1074" s="25" t="n">
        <f aca="false">N1074*O1074</f>
        <v>488.8</v>
      </c>
      <c r="Q1074" s="23" t="s">
        <v>8323</v>
      </c>
      <c r="R1074" s="23" t="s">
        <v>2804</v>
      </c>
      <c r="S1074" s="24" t="n">
        <v>47</v>
      </c>
      <c r="T1074" s="25" t="n">
        <v>10.4</v>
      </c>
      <c r="U1074" s="25" t="n">
        <v>488.8</v>
      </c>
      <c r="V1074" s="25" t="n">
        <f aca="false">P1074-U1074</f>
        <v>0</v>
      </c>
      <c r="W1074" s="25" t="n">
        <f aca="false">V1074*12</f>
        <v>0</v>
      </c>
      <c r="X1074" s="23" t="str">
        <f aca="false">IF(Q1074="","MISSING FROM EXPORT",IF(ABS(V1074)&lt;0.005,"CLEAR",IF(V1074&gt;0,"UNDERBILLING","OVERBILLING")))</f>
        <v>CLEAR</v>
      </c>
      <c r="Y1074" s="25" t="n">
        <f aca="false">IF(F1074="COMMERCIAL",ROUND(P1074*0.35,2),0)</f>
        <v>0</v>
      </c>
      <c r="Z1074" s="23" t="str">
        <f aca="false">IF(F1074="COMMERCIAL","VERIFY SIGNED AGREEMENT","NO EXCEPTION")</f>
        <v>NO EXCEPTION</v>
      </c>
      <c r="AA1074" s="23" t="str">
        <f aca="false">IF(AND(C1074="covered",N1074&gt;40),"COVERED &gt;40 FT","")</f>
        <v>COVERED &gt;40 FT</v>
      </c>
      <c r="AB1074" s="23" t="s">
        <v>8324</v>
      </c>
      <c r="AC1074" s="23" t="s">
        <v>8325</v>
      </c>
      <c r="AD1074" s="23" t="s">
        <v>2807</v>
      </c>
    </row>
    <row r="1075" customFormat="false" ht="17.9" hidden="false" customHeight="false" outlineLevel="0" collapsed="false">
      <c r="A1075" s="20" t="s">
        <v>914</v>
      </c>
      <c r="B1075" s="20" t="s">
        <v>99</v>
      </c>
      <c r="C1075" s="20" t="s">
        <v>5162</v>
      </c>
      <c r="D1075" s="20" t="s">
        <v>8326</v>
      </c>
      <c r="E1075" s="20" t="s">
        <v>8327</v>
      </c>
      <c r="F1075" s="20" t="s">
        <v>2810</v>
      </c>
      <c r="G1075" s="20" t="s">
        <v>4119</v>
      </c>
      <c r="H1075" s="22" t="n">
        <v>49.2</v>
      </c>
      <c r="I1075" s="22" t="n">
        <v>49.2</v>
      </c>
      <c r="J1075" s="22" t="n">
        <f aca="false">H1075-I1075</f>
        <v>0</v>
      </c>
      <c r="K1075" s="20" t="str">
        <f aca="false">IF(ABS(J1075)&lt;0.001,"MATCH - PAPER CHECK-IN NOT SUPPLIED","DATA MISMATCH")</f>
        <v>MATCH - PAPER CHECK-IN NOT SUPPLIED</v>
      </c>
      <c r="L1075" s="22" t="n">
        <v>36</v>
      </c>
      <c r="M1075" s="22" t="n">
        <f aca="false">ROUNDUP(H1075,0)</f>
        <v>50</v>
      </c>
      <c r="N1075" s="24" t="n">
        <f aca="false">MAX(L1075,M1075)</f>
        <v>50</v>
      </c>
      <c r="O1075" s="25" t="n">
        <v>10.4</v>
      </c>
      <c r="P1075" s="25" t="n">
        <f aca="false">N1075*O1075</f>
        <v>520</v>
      </c>
      <c r="Q1075" s="23" t="s">
        <v>8328</v>
      </c>
      <c r="R1075" s="23" t="s">
        <v>2804</v>
      </c>
      <c r="S1075" s="24" t="n">
        <v>50</v>
      </c>
      <c r="T1075" s="25" t="n">
        <v>10.4</v>
      </c>
      <c r="U1075" s="25" t="n">
        <v>520</v>
      </c>
      <c r="V1075" s="25" t="n">
        <f aca="false">P1075-U1075</f>
        <v>0</v>
      </c>
      <c r="W1075" s="25" t="n">
        <f aca="false">V1075*12</f>
        <v>0</v>
      </c>
      <c r="X1075" s="23" t="str">
        <f aca="false">IF(Q1075="","MISSING FROM EXPORT",IF(ABS(V1075)&lt;0.005,"CLEAR",IF(V1075&gt;0,"UNDERBILLING","OVERBILLING")))</f>
        <v>CLEAR</v>
      </c>
      <c r="Y1075" s="25" t="n">
        <f aca="false">IF(F1075="COMMERCIAL",ROUND(P1075*0.35,2),0)</f>
        <v>0</v>
      </c>
      <c r="Z1075" s="23" t="str">
        <f aca="false">IF(F1075="COMMERCIAL","VERIFY SIGNED AGREEMENT","NO EXCEPTION")</f>
        <v>NO EXCEPTION</v>
      </c>
      <c r="AA1075" s="23" t="str">
        <f aca="false">IF(AND(C1075="covered",N1075&gt;40),"COVERED &gt;40 FT","")</f>
        <v>COVERED &gt;40 FT</v>
      </c>
      <c r="AB1075" s="23" t="s">
        <v>8329</v>
      </c>
      <c r="AC1075" s="23" t="s">
        <v>8330</v>
      </c>
      <c r="AD1075" s="23" t="s">
        <v>2807</v>
      </c>
    </row>
    <row r="1076" customFormat="false" ht="17.9" hidden="false" customHeight="false" outlineLevel="0" collapsed="false">
      <c r="A1076" s="20" t="s">
        <v>8331</v>
      </c>
      <c r="B1076" s="20" t="s">
        <v>99</v>
      </c>
      <c r="C1076" s="20" t="s">
        <v>5162</v>
      </c>
      <c r="D1076" s="20" t="s">
        <v>8332</v>
      </c>
      <c r="E1076" s="20" t="s">
        <v>8333</v>
      </c>
      <c r="F1076" s="20" t="s">
        <v>2857</v>
      </c>
      <c r="G1076" s="20" t="s">
        <v>5115</v>
      </c>
      <c r="H1076" s="22" t="n">
        <v>43.3</v>
      </c>
      <c r="I1076" s="22" t="n">
        <v>43.3</v>
      </c>
      <c r="J1076" s="22" t="n">
        <f aca="false">H1076-I1076</f>
        <v>0</v>
      </c>
      <c r="K1076" s="20" t="str">
        <f aca="false">IF(ABS(J1076)&lt;0.001,"MATCH - PAPER CHECK-IN NOT SUPPLIED","DATA MISMATCH")</f>
        <v>MATCH - PAPER CHECK-IN NOT SUPPLIED</v>
      </c>
      <c r="L1076" s="22" t="n">
        <v>28</v>
      </c>
      <c r="M1076" s="22" t="n">
        <f aca="false">ROUNDUP(H1076,0)</f>
        <v>44</v>
      </c>
      <c r="N1076" s="24" t="n">
        <f aca="false">MAX(L1076,M1076)</f>
        <v>44</v>
      </c>
      <c r="O1076" s="25" t="n">
        <v>10.4</v>
      </c>
      <c r="P1076" s="25" t="n">
        <f aca="false">N1076*O1076</f>
        <v>457.6</v>
      </c>
      <c r="Q1076" s="23" t="s">
        <v>8334</v>
      </c>
      <c r="R1076" s="23" t="s">
        <v>2804</v>
      </c>
      <c r="S1076" s="24" t="n">
        <v>44</v>
      </c>
      <c r="T1076" s="25" t="n">
        <v>10.4</v>
      </c>
      <c r="U1076" s="25" t="n">
        <v>457.6</v>
      </c>
      <c r="V1076" s="25" t="n">
        <f aca="false">P1076-U1076</f>
        <v>0</v>
      </c>
      <c r="W1076" s="25" t="n">
        <f aca="false">V1076*12</f>
        <v>0</v>
      </c>
      <c r="X1076" s="23" t="str">
        <f aca="false">IF(Q1076="","MISSING FROM EXPORT",IF(ABS(V1076)&lt;0.005,"CLEAR",IF(V1076&gt;0,"UNDERBILLING","OVERBILLING")))</f>
        <v>CLEAR</v>
      </c>
      <c r="Y1076" s="25" t="n">
        <f aca="false">IF(F1076="COMMERCIAL",ROUND(P1076*0.35,2),0)</f>
        <v>0</v>
      </c>
      <c r="Z1076" s="23" t="str">
        <f aca="false">IF(F1076="COMMERCIAL","VERIFY SIGNED AGREEMENT","NO EXCEPTION")</f>
        <v>NO EXCEPTION</v>
      </c>
      <c r="AA1076" s="23" t="str">
        <f aca="false">IF(AND(C1076="covered",N1076&gt;40),"COVERED &gt;40 FT","")</f>
        <v>COVERED &gt;40 FT</v>
      </c>
      <c r="AB1076" s="23" t="s">
        <v>8335</v>
      </c>
      <c r="AC1076" s="23" t="s">
        <v>8336</v>
      </c>
      <c r="AD1076" s="23" t="s">
        <v>2807</v>
      </c>
    </row>
    <row r="1077" customFormat="false" ht="17.9" hidden="false" customHeight="false" outlineLevel="0" collapsed="false">
      <c r="A1077" s="20" t="s">
        <v>8337</v>
      </c>
      <c r="B1077" s="20" t="s">
        <v>99</v>
      </c>
      <c r="C1077" s="20" t="s">
        <v>5162</v>
      </c>
      <c r="D1077" s="20" t="s">
        <v>8338</v>
      </c>
      <c r="E1077" s="20" t="s">
        <v>8339</v>
      </c>
      <c r="F1077" s="20" t="s">
        <v>2810</v>
      </c>
      <c r="G1077" s="20" t="s">
        <v>4126</v>
      </c>
      <c r="H1077" s="22" t="n">
        <v>48.1</v>
      </c>
      <c r="I1077" s="22" t="n">
        <v>48.1</v>
      </c>
      <c r="J1077" s="22" t="n">
        <f aca="false">H1077-I1077</f>
        <v>0</v>
      </c>
      <c r="K1077" s="20" t="str">
        <f aca="false">IF(ABS(J1077)&lt;0.001,"MATCH - PAPER CHECK-IN NOT SUPPLIED","DATA MISMATCH")</f>
        <v>MATCH - PAPER CHECK-IN NOT SUPPLIED</v>
      </c>
      <c r="L1077" s="22" t="n">
        <v>24</v>
      </c>
      <c r="M1077" s="22" t="n">
        <f aca="false">ROUNDUP(H1077,0)</f>
        <v>49</v>
      </c>
      <c r="N1077" s="24" t="n">
        <f aca="false">MAX(L1077,M1077)</f>
        <v>49</v>
      </c>
      <c r="O1077" s="25" t="n">
        <v>10.4</v>
      </c>
      <c r="P1077" s="25" t="n">
        <f aca="false">N1077*O1077</f>
        <v>509.6</v>
      </c>
      <c r="Q1077" s="23" t="s">
        <v>8340</v>
      </c>
      <c r="R1077" s="23" t="s">
        <v>2804</v>
      </c>
      <c r="S1077" s="24" t="n">
        <v>49</v>
      </c>
      <c r="T1077" s="25" t="n">
        <v>10.4</v>
      </c>
      <c r="U1077" s="25" t="n">
        <v>509.6</v>
      </c>
      <c r="V1077" s="25" t="n">
        <f aca="false">P1077-U1077</f>
        <v>0</v>
      </c>
      <c r="W1077" s="25" t="n">
        <f aca="false">V1077*12</f>
        <v>0</v>
      </c>
      <c r="X1077" s="23" t="str">
        <f aca="false">IF(Q1077="","MISSING FROM EXPORT",IF(ABS(V1077)&lt;0.005,"CLEAR",IF(V1077&gt;0,"UNDERBILLING","OVERBILLING")))</f>
        <v>CLEAR</v>
      </c>
      <c r="Y1077" s="25" t="n">
        <f aca="false">IF(F1077="COMMERCIAL",ROUND(P1077*0.35,2),0)</f>
        <v>0</v>
      </c>
      <c r="Z1077" s="23" t="str">
        <f aca="false">IF(F1077="COMMERCIAL","VERIFY SIGNED AGREEMENT","NO EXCEPTION")</f>
        <v>NO EXCEPTION</v>
      </c>
      <c r="AA1077" s="23" t="str">
        <f aca="false">IF(AND(C1077="covered",N1077&gt;40),"COVERED &gt;40 FT","")</f>
        <v>COVERED &gt;40 FT</v>
      </c>
      <c r="AB1077" s="23" t="s">
        <v>8341</v>
      </c>
      <c r="AC1077" s="23" t="s">
        <v>8342</v>
      </c>
      <c r="AD1077" s="23" t="s">
        <v>2807</v>
      </c>
    </row>
    <row r="1078" customFormat="false" ht="17.9" hidden="false" customHeight="false" outlineLevel="0" collapsed="false">
      <c r="A1078" s="20" t="s">
        <v>8343</v>
      </c>
      <c r="B1078" s="20" t="s">
        <v>99</v>
      </c>
      <c r="C1078" s="20" t="s">
        <v>5162</v>
      </c>
      <c r="D1078" s="20" t="s">
        <v>8344</v>
      </c>
      <c r="E1078" s="20" t="s">
        <v>8345</v>
      </c>
      <c r="F1078" s="20" t="s">
        <v>2934</v>
      </c>
      <c r="G1078" s="20" t="s">
        <v>4133</v>
      </c>
      <c r="H1078" s="22" t="n">
        <v>28.3</v>
      </c>
      <c r="I1078" s="22" t="n">
        <v>28.3</v>
      </c>
      <c r="J1078" s="22" t="n">
        <f aca="false">H1078-I1078</f>
        <v>0</v>
      </c>
      <c r="K1078" s="20" t="str">
        <f aca="false">IF(ABS(J1078)&lt;0.001,"MATCH - PAPER CHECK-IN NOT SUPPLIED","DATA MISMATCH")</f>
        <v>MATCH - PAPER CHECK-IN NOT SUPPLIED</v>
      </c>
      <c r="L1078" s="22" t="n">
        <v>40</v>
      </c>
      <c r="M1078" s="22" t="n">
        <f aca="false">ROUNDUP(H1078,0)</f>
        <v>29</v>
      </c>
      <c r="N1078" s="24" t="n">
        <f aca="false">MAX(L1078,M1078)</f>
        <v>40</v>
      </c>
      <c r="O1078" s="25" t="n">
        <v>10.4</v>
      </c>
      <c r="P1078" s="25" t="n">
        <f aca="false">N1078*O1078</f>
        <v>416</v>
      </c>
      <c r="Q1078" s="23" t="s">
        <v>8346</v>
      </c>
      <c r="R1078" s="23" t="s">
        <v>2804</v>
      </c>
      <c r="S1078" s="24" t="n">
        <v>40</v>
      </c>
      <c r="T1078" s="25" t="n">
        <v>10.4</v>
      </c>
      <c r="U1078" s="25" t="n">
        <v>416</v>
      </c>
      <c r="V1078" s="25" t="n">
        <f aca="false">P1078-U1078</f>
        <v>0</v>
      </c>
      <c r="W1078" s="25" t="n">
        <f aca="false">V1078*12</f>
        <v>0</v>
      </c>
      <c r="X1078" s="23" t="str">
        <f aca="false">IF(Q1078="","MISSING FROM EXPORT",IF(ABS(V1078)&lt;0.005,"CLEAR",IF(V1078&gt;0,"UNDERBILLING","OVERBILLING")))</f>
        <v>CLEAR</v>
      </c>
      <c r="Y1078" s="25" t="n">
        <f aca="false">IF(F1078="COMMERCIAL",ROUND(P1078*0.35,2),0)</f>
        <v>145.6</v>
      </c>
      <c r="Z1078" s="23" t="str">
        <f aca="false">IF(F1078="COMMERCIAL","VERIFY SIGNED AGREEMENT","NO EXCEPTION")</f>
        <v>VERIFY SIGNED AGREEMENT</v>
      </c>
      <c r="AA1078" s="23" t="str">
        <f aca="false">IF(AND(C1078="covered",N1078&gt;40),"COVERED &gt;40 FT","")</f>
        <v/>
      </c>
      <c r="AB1078" s="23" t="s">
        <v>8347</v>
      </c>
      <c r="AC1078" s="23" t="s">
        <v>8348</v>
      </c>
      <c r="AD1078" s="23" t="s">
        <v>2807</v>
      </c>
    </row>
    <row r="1079" customFormat="false" ht="17.9" hidden="false" customHeight="false" outlineLevel="0" collapsed="false">
      <c r="A1079" s="20" t="s">
        <v>8349</v>
      </c>
      <c r="B1079" s="20" t="s">
        <v>99</v>
      </c>
      <c r="C1079" s="20" t="s">
        <v>5162</v>
      </c>
      <c r="D1079" s="20" t="s">
        <v>2092</v>
      </c>
      <c r="E1079" s="20" t="s">
        <v>2093</v>
      </c>
      <c r="F1079" s="20" t="s">
        <v>2833</v>
      </c>
      <c r="G1079" s="20" t="s">
        <v>4140</v>
      </c>
      <c r="H1079" s="22" t="n">
        <v>57.4</v>
      </c>
      <c r="I1079" s="22" t="n">
        <v>57.4</v>
      </c>
      <c r="J1079" s="22" t="n">
        <f aca="false">H1079-I1079</f>
        <v>0</v>
      </c>
      <c r="K1079" s="20" t="str">
        <f aca="false">IF(ABS(J1079)&lt;0.001,"MATCH - PAPER CHECK-IN NOT SUPPLIED","DATA MISMATCH")</f>
        <v>MATCH - PAPER CHECK-IN NOT SUPPLIED</v>
      </c>
      <c r="L1079" s="22" t="n">
        <v>40</v>
      </c>
      <c r="M1079" s="22" t="n">
        <f aca="false">ROUNDUP(H1079,0)</f>
        <v>58</v>
      </c>
      <c r="N1079" s="24" t="n">
        <f aca="false">MAX(L1079,M1079)</f>
        <v>58</v>
      </c>
      <c r="O1079" s="25" t="n">
        <v>10.4</v>
      </c>
      <c r="P1079" s="25" t="n">
        <f aca="false">N1079*O1079</f>
        <v>603.2</v>
      </c>
      <c r="Q1079" s="23" t="s">
        <v>8350</v>
      </c>
      <c r="R1079" s="23" t="s">
        <v>2804</v>
      </c>
      <c r="S1079" s="24" t="n">
        <v>58</v>
      </c>
      <c r="T1079" s="25" t="n">
        <v>10.4</v>
      </c>
      <c r="U1079" s="25" t="n">
        <v>603.2</v>
      </c>
      <c r="V1079" s="25" t="n">
        <f aca="false">P1079-U1079</f>
        <v>0</v>
      </c>
      <c r="W1079" s="25" t="n">
        <f aca="false">V1079*12</f>
        <v>0</v>
      </c>
      <c r="X1079" s="23" t="str">
        <f aca="false">IF(Q1079="","MISSING FROM EXPORT",IF(ABS(V1079)&lt;0.005,"CLEAR",IF(V1079&gt;0,"UNDERBILLING","OVERBILLING")))</f>
        <v>CLEAR</v>
      </c>
      <c r="Y1079" s="25" t="n">
        <f aca="false">IF(F1079="COMMERCIAL",ROUND(P1079*0.35,2),0)</f>
        <v>0</v>
      </c>
      <c r="Z1079" s="23" t="str">
        <f aca="false">IF(F1079="COMMERCIAL","VERIFY SIGNED AGREEMENT","NO EXCEPTION")</f>
        <v>NO EXCEPTION</v>
      </c>
      <c r="AA1079" s="23" t="str">
        <f aca="false">IF(AND(C1079="covered",N1079&gt;40),"COVERED &gt;40 FT","")</f>
        <v>COVERED &gt;40 FT</v>
      </c>
      <c r="AB1079" s="23" t="s">
        <v>8351</v>
      </c>
      <c r="AC1079" s="23" t="s">
        <v>8352</v>
      </c>
      <c r="AD1079" s="23" t="s">
        <v>2807</v>
      </c>
    </row>
    <row r="1080" customFormat="false" ht="17.9" hidden="false" customHeight="false" outlineLevel="0" collapsed="false">
      <c r="A1080" s="20" t="s">
        <v>8353</v>
      </c>
      <c r="B1080" s="20" t="s">
        <v>99</v>
      </c>
      <c r="C1080" s="20" t="s">
        <v>5162</v>
      </c>
      <c r="D1080" s="20" t="s">
        <v>8354</v>
      </c>
      <c r="E1080" s="20" t="s">
        <v>8355</v>
      </c>
      <c r="F1080" s="20" t="s">
        <v>2869</v>
      </c>
      <c r="G1080" s="20" t="s">
        <v>4147</v>
      </c>
      <c r="H1080" s="22" t="n">
        <v>21</v>
      </c>
      <c r="I1080" s="22" t="n">
        <v>21</v>
      </c>
      <c r="J1080" s="22" t="n">
        <f aca="false">H1080-I1080</f>
        <v>0</v>
      </c>
      <c r="K1080" s="20" t="str">
        <f aca="false">IF(ABS(J1080)&lt;0.001,"MATCH - PAPER CHECK-IN NOT SUPPLIED","DATA MISMATCH")</f>
        <v>MATCH - PAPER CHECK-IN NOT SUPPLIED</v>
      </c>
      <c r="L1080" s="22" t="n">
        <v>28</v>
      </c>
      <c r="M1080" s="22" t="n">
        <f aca="false">ROUNDUP(H1080,0)</f>
        <v>21</v>
      </c>
      <c r="N1080" s="24" t="n">
        <f aca="false">MAX(L1080,M1080)</f>
        <v>28</v>
      </c>
      <c r="O1080" s="25" t="n">
        <v>10.4</v>
      </c>
      <c r="P1080" s="25" t="n">
        <f aca="false">N1080*O1080</f>
        <v>291.2</v>
      </c>
      <c r="Q1080" s="23" t="s">
        <v>8356</v>
      </c>
      <c r="R1080" s="23" t="s">
        <v>2804</v>
      </c>
      <c r="S1080" s="24" t="n">
        <v>28</v>
      </c>
      <c r="T1080" s="25" t="n">
        <v>10.4</v>
      </c>
      <c r="U1080" s="25" t="n">
        <v>291.2</v>
      </c>
      <c r="V1080" s="25" t="n">
        <f aca="false">P1080-U1080</f>
        <v>0</v>
      </c>
      <c r="W1080" s="25" t="n">
        <f aca="false">V1080*12</f>
        <v>0</v>
      </c>
      <c r="X1080" s="23" t="str">
        <f aca="false">IF(Q1080="","MISSING FROM EXPORT",IF(ABS(V1080)&lt;0.005,"CLEAR",IF(V1080&gt;0,"UNDERBILLING","OVERBILLING")))</f>
        <v>CLEAR</v>
      </c>
      <c r="Y1080" s="25" t="n">
        <f aca="false">IF(F1080="COMMERCIAL",ROUND(P1080*0.35,2),0)</f>
        <v>0</v>
      </c>
      <c r="Z1080" s="23" t="str">
        <f aca="false">IF(F1080="COMMERCIAL","VERIFY SIGNED AGREEMENT","NO EXCEPTION")</f>
        <v>NO EXCEPTION</v>
      </c>
      <c r="AA1080" s="23" t="str">
        <f aca="false">IF(AND(C1080="covered",N1080&gt;40),"COVERED &gt;40 FT","")</f>
        <v/>
      </c>
      <c r="AB1080" s="23" t="s">
        <v>8357</v>
      </c>
      <c r="AC1080" s="23" t="s">
        <v>8358</v>
      </c>
      <c r="AD1080" s="23" t="s">
        <v>2807</v>
      </c>
    </row>
    <row r="1081" customFormat="false" ht="17.9" hidden="false" customHeight="false" outlineLevel="0" collapsed="false">
      <c r="A1081" s="20" t="s">
        <v>1375</v>
      </c>
      <c r="B1081" s="20" t="s">
        <v>99</v>
      </c>
      <c r="C1081" s="20" t="s">
        <v>5162</v>
      </c>
      <c r="D1081" s="20" t="s">
        <v>1177</v>
      </c>
      <c r="E1081" s="20" t="s">
        <v>8359</v>
      </c>
      <c r="F1081" s="20" t="s">
        <v>2810</v>
      </c>
      <c r="G1081" s="20" t="s">
        <v>4154</v>
      </c>
      <c r="H1081" s="22" t="n">
        <v>32.3</v>
      </c>
      <c r="I1081" s="22" t="n">
        <v>32.3</v>
      </c>
      <c r="J1081" s="22" t="n">
        <f aca="false">H1081-I1081</f>
        <v>0</v>
      </c>
      <c r="K1081" s="20" t="str">
        <f aca="false">IF(ABS(J1081)&lt;0.001,"MATCH - PAPER CHECK-IN NOT SUPPLIED","DATA MISMATCH")</f>
        <v>MATCH - PAPER CHECK-IN NOT SUPPLIED</v>
      </c>
      <c r="L1081" s="22" t="n">
        <v>36</v>
      </c>
      <c r="M1081" s="22" t="n">
        <f aca="false">ROUNDUP(H1081,0)</f>
        <v>33</v>
      </c>
      <c r="N1081" s="24" t="n">
        <f aca="false">MAX(L1081,M1081)</f>
        <v>36</v>
      </c>
      <c r="O1081" s="25" t="n">
        <v>10.4</v>
      </c>
      <c r="P1081" s="25" t="n">
        <f aca="false">N1081*O1081</f>
        <v>374.4</v>
      </c>
      <c r="Q1081" s="23" t="s">
        <v>8360</v>
      </c>
      <c r="R1081" s="23" t="s">
        <v>2804</v>
      </c>
      <c r="S1081" s="24" t="n">
        <v>36</v>
      </c>
      <c r="T1081" s="25" t="n">
        <v>10.4</v>
      </c>
      <c r="U1081" s="25" t="n">
        <v>374.4</v>
      </c>
      <c r="V1081" s="25" t="n">
        <f aca="false">P1081-U1081</f>
        <v>0</v>
      </c>
      <c r="W1081" s="25" t="n">
        <f aca="false">V1081*12</f>
        <v>0</v>
      </c>
      <c r="X1081" s="23" t="str">
        <f aca="false">IF(Q1081="","MISSING FROM EXPORT",IF(ABS(V1081)&lt;0.005,"CLEAR",IF(V1081&gt;0,"UNDERBILLING","OVERBILLING")))</f>
        <v>CLEAR</v>
      </c>
      <c r="Y1081" s="25" t="n">
        <f aca="false">IF(F1081="COMMERCIAL",ROUND(P1081*0.35,2),0)</f>
        <v>0</v>
      </c>
      <c r="Z1081" s="23" t="str">
        <f aca="false">IF(F1081="COMMERCIAL","VERIFY SIGNED AGREEMENT","NO EXCEPTION")</f>
        <v>NO EXCEPTION</v>
      </c>
      <c r="AA1081" s="23" t="str">
        <f aca="false">IF(AND(C1081="covered",N1081&gt;40),"COVERED &gt;40 FT","")</f>
        <v/>
      </c>
      <c r="AB1081" s="23" t="s">
        <v>8361</v>
      </c>
      <c r="AC1081" s="23" t="s">
        <v>8362</v>
      </c>
      <c r="AD1081" s="23" t="s">
        <v>2807</v>
      </c>
    </row>
    <row r="1082" customFormat="false" ht="17.9" hidden="false" customHeight="false" outlineLevel="0" collapsed="false">
      <c r="A1082" s="20" t="s">
        <v>8363</v>
      </c>
      <c r="B1082" s="20" t="s">
        <v>99</v>
      </c>
      <c r="C1082" s="20" t="s">
        <v>5162</v>
      </c>
      <c r="D1082" s="20" t="s">
        <v>8364</v>
      </c>
      <c r="E1082" s="20" t="s">
        <v>8365</v>
      </c>
      <c r="F1082" s="20" t="s">
        <v>2833</v>
      </c>
      <c r="G1082" s="20" t="s">
        <v>4160</v>
      </c>
      <c r="H1082" s="22" t="n">
        <v>38.1</v>
      </c>
      <c r="I1082" s="22" t="n">
        <v>38.1</v>
      </c>
      <c r="J1082" s="22" t="n">
        <f aca="false">H1082-I1082</f>
        <v>0</v>
      </c>
      <c r="K1082" s="20" t="str">
        <f aca="false">IF(ABS(J1082)&lt;0.001,"MATCH - PAPER CHECK-IN NOT SUPPLIED","DATA MISMATCH")</f>
        <v>MATCH - PAPER CHECK-IN NOT SUPPLIED</v>
      </c>
      <c r="L1082" s="22" t="n">
        <v>36</v>
      </c>
      <c r="M1082" s="22" t="n">
        <f aca="false">ROUNDUP(H1082,0)</f>
        <v>39</v>
      </c>
      <c r="N1082" s="24" t="n">
        <f aca="false">MAX(L1082,M1082)</f>
        <v>39</v>
      </c>
      <c r="O1082" s="25" t="n">
        <v>10.4</v>
      </c>
      <c r="P1082" s="25" t="n">
        <f aca="false">N1082*O1082</f>
        <v>405.6</v>
      </c>
      <c r="Q1082" s="23" t="s">
        <v>8366</v>
      </c>
      <c r="R1082" s="23" t="s">
        <v>2804</v>
      </c>
      <c r="S1082" s="24" t="n">
        <v>39</v>
      </c>
      <c r="T1082" s="25" t="n">
        <v>10.4</v>
      </c>
      <c r="U1082" s="25" t="n">
        <v>405.6</v>
      </c>
      <c r="V1082" s="25" t="n">
        <f aca="false">P1082-U1082</f>
        <v>0</v>
      </c>
      <c r="W1082" s="25" t="n">
        <f aca="false">V1082*12</f>
        <v>0</v>
      </c>
      <c r="X1082" s="23" t="str">
        <f aca="false">IF(Q1082="","MISSING FROM EXPORT",IF(ABS(V1082)&lt;0.005,"CLEAR",IF(V1082&gt;0,"UNDERBILLING","OVERBILLING")))</f>
        <v>CLEAR</v>
      </c>
      <c r="Y1082" s="25" t="n">
        <f aca="false">IF(F1082="COMMERCIAL",ROUND(P1082*0.35,2),0)</f>
        <v>0</v>
      </c>
      <c r="Z1082" s="23" t="str">
        <f aca="false">IF(F1082="COMMERCIAL","VERIFY SIGNED AGREEMENT","NO EXCEPTION")</f>
        <v>NO EXCEPTION</v>
      </c>
      <c r="AA1082" s="23" t="str">
        <f aca="false">IF(AND(C1082="covered",N1082&gt;40),"COVERED &gt;40 FT","")</f>
        <v/>
      </c>
      <c r="AB1082" s="23" t="s">
        <v>8367</v>
      </c>
      <c r="AC1082" s="23" t="s">
        <v>8368</v>
      </c>
      <c r="AD1082" s="23" t="s">
        <v>2807</v>
      </c>
    </row>
    <row r="1083" customFormat="false" ht="17.9" hidden="false" customHeight="false" outlineLevel="0" collapsed="false">
      <c r="A1083" s="20" t="s">
        <v>8369</v>
      </c>
      <c r="B1083" s="20" t="s">
        <v>99</v>
      </c>
      <c r="C1083" s="20" t="s">
        <v>5162</v>
      </c>
      <c r="D1083" s="20" t="s">
        <v>1823</v>
      </c>
      <c r="E1083" s="20" t="s">
        <v>1824</v>
      </c>
      <c r="F1083" s="20" t="s">
        <v>2833</v>
      </c>
      <c r="G1083" s="20" t="s">
        <v>4165</v>
      </c>
      <c r="H1083" s="22" t="n">
        <v>50</v>
      </c>
      <c r="I1083" s="22" t="n">
        <v>50</v>
      </c>
      <c r="J1083" s="22" t="n">
        <f aca="false">H1083-I1083</f>
        <v>0</v>
      </c>
      <c r="K1083" s="20" t="str">
        <f aca="false">IF(ABS(J1083)&lt;0.001,"MATCH - PAPER CHECK-IN NOT SUPPLIED","DATA MISMATCH")</f>
        <v>MATCH - PAPER CHECK-IN NOT SUPPLIED</v>
      </c>
      <c r="L1083" s="22" t="n">
        <v>24</v>
      </c>
      <c r="M1083" s="22" t="n">
        <f aca="false">ROUNDUP(H1083,0)</f>
        <v>50</v>
      </c>
      <c r="N1083" s="24" t="n">
        <f aca="false">MAX(L1083,M1083)</f>
        <v>50</v>
      </c>
      <c r="O1083" s="25" t="n">
        <v>10.4</v>
      </c>
      <c r="P1083" s="25" t="n">
        <f aca="false">N1083*O1083</f>
        <v>520</v>
      </c>
      <c r="Q1083" s="23" t="s">
        <v>8370</v>
      </c>
      <c r="R1083" s="23" t="s">
        <v>2804</v>
      </c>
      <c r="S1083" s="24" t="n">
        <v>50</v>
      </c>
      <c r="T1083" s="25" t="n">
        <v>10.4</v>
      </c>
      <c r="U1083" s="25" t="n">
        <v>520</v>
      </c>
      <c r="V1083" s="25" t="n">
        <f aca="false">P1083-U1083</f>
        <v>0</v>
      </c>
      <c r="W1083" s="25" t="n">
        <f aca="false">V1083*12</f>
        <v>0</v>
      </c>
      <c r="X1083" s="23" t="str">
        <f aca="false">IF(Q1083="","MISSING FROM EXPORT",IF(ABS(V1083)&lt;0.005,"CLEAR",IF(V1083&gt;0,"UNDERBILLING","OVERBILLING")))</f>
        <v>CLEAR</v>
      </c>
      <c r="Y1083" s="25" t="n">
        <f aca="false">IF(F1083="COMMERCIAL",ROUND(P1083*0.35,2),0)</f>
        <v>0</v>
      </c>
      <c r="Z1083" s="23" t="str">
        <f aca="false">IF(F1083="COMMERCIAL","VERIFY SIGNED AGREEMENT","NO EXCEPTION")</f>
        <v>NO EXCEPTION</v>
      </c>
      <c r="AA1083" s="23" t="str">
        <f aca="false">IF(AND(C1083="covered",N1083&gt;40),"COVERED &gt;40 FT","")</f>
        <v>COVERED &gt;40 FT</v>
      </c>
      <c r="AB1083" s="23" t="s">
        <v>8371</v>
      </c>
      <c r="AC1083" s="23" t="s">
        <v>8372</v>
      </c>
      <c r="AD1083" s="23" t="s">
        <v>2807</v>
      </c>
    </row>
    <row r="1084" customFormat="false" ht="17.9" hidden="false" customHeight="false" outlineLevel="0" collapsed="false">
      <c r="A1084" s="20" t="s">
        <v>8373</v>
      </c>
      <c r="B1084" s="20" t="s">
        <v>99</v>
      </c>
      <c r="C1084" s="20" t="s">
        <v>5162</v>
      </c>
      <c r="D1084" s="20" t="s">
        <v>8374</v>
      </c>
      <c r="E1084" s="20" t="s">
        <v>8375</v>
      </c>
      <c r="F1084" s="20" t="s">
        <v>2869</v>
      </c>
      <c r="G1084" s="20" t="s">
        <v>4172</v>
      </c>
      <c r="H1084" s="22" t="n">
        <v>34.6</v>
      </c>
      <c r="I1084" s="22" t="n">
        <v>34.6</v>
      </c>
      <c r="J1084" s="22" t="n">
        <f aca="false">H1084-I1084</f>
        <v>0</v>
      </c>
      <c r="K1084" s="20" t="str">
        <f aca="false">IF(ABS(J1084)&lt;0.001,"MATCH - PAPER CHECK-IN NOT SUPPLIED","DATA MISMATCH")</f>
        <v>MATCH - PAPER CHECK-IN NOT SUPPLIED</v>
      </c>
      <c r="L1084" s="22" t="n">
        <v>24</v>
      </c>
      <c r="M1084" s="22" t="n">
        <f aca="false">ROUNDUP(H1084,0)</f>
        <v>35</v>
      </c>
      <c r="N1084" s="24" t="n">
        <f aca="false">MAX(L1084,M1084)</f>
        <v>35</v>
      </c>
      <c r="O1084" s="25" t="n">
        <v>10.4</v>
      </c>
      <c r="P1084" s="25" t="n">
        <f aca="false">N1084*O1084</f>
        <v>364</v>
      </c>
      <c r="Q1084" s="23" t="s">
        <v>8376</v>
      </c>
      <c r="R1084" s="23" t="s">
        <v>2804</v>
      </c>
      <c r="S1084" s="24" t="n">
        <v>35</v>
      </c>
      <c r="T1084" s="25" t="n">
        <v>10.4</v>
      </c>
      <c r="U1084" s="25" t="n">
        <v>364</v>
      </c>
      <c r="V1084" s="25" t="n">
        <f aca="false">P1084-U1084</f>
        <v>0</v>
      </c>
      <c r="W1084" s="25" t="n">
        <f aca="false">V1084*12</f>
        <v>0</v>
      </c>
      <c r="X1084" s="23" t="str">
        <f aca="false">IF(Q1084="","MISSING FROM EXPORT",IF(ABS(V1084)&lt;0.005,"CLEAR",IF(V1084&gt;0,"UNDERBILLING","OVERBILLING")))</f>
        <v>CLEAR</v>
      </c>
      <c r="Y1084" s="25" t="n">
        <f aca="false">IF(F1084="COMMERCIAL",ROUND(P1084*0.35,2),0)</f>
        <v>0</v>
      </c>
      <c r="Z1084" s="23" t="str">
        <f aca="false">IF(F1084="COMMERCIAL","VERIFY SIGNED AGREEMENT","NO EXCEPTION")</f>
        <v>NO EXCEPTION</v>
      </c>
      <c r="AA1084" s="23" t="str">
        <f aca="false">IF(AND(C1084="covered",N1084&gt;40),"COVERED &gt;40 FT","")</f>
        <v/>
      </c>
      <c r="AB1084" s="23" t="s">
        <v>8377</v>
      </c>
      <c r="AC1084" s="23" t="s">
        <v>8378</v>
      </c>
      <c r="AD1084" s="23" t="s">
        <v>2807</v>
      </c>
    </row>
    <row r="1085" customFormat="false" ht="17.9" hidden="false" customHeight="false" outlineLevel="0" collapsed="false">
      <c r="A1085" s="20" t="s">
        <v>8379</v>
      </c>
      <c r="B1085" s="20" t="s">
        <v>99</v>
      </c>
      <c r="C1085" s="20" t="s">
        <v>5162</v>
      </c>
      <c r="D1085" s="20" t="s">
        <v>287</v>
      </c>
      <c r="E1085" s="20" t="s">
        <v>8380</v>
      </c>
      <c r="F1085" s="20" t="s">
        <v>2810</v>
      </c>
      <c r="G1085" s="20" t="s">
        <v>4179</v>
      </c>
      <c r="H1085" s="22" t="n">
        <v>51.9</v>
      </c>
      <c r="I1085" s="22" t="n">
        <v>51.9</v>
      </c>
      <c r="J1085" s="22" t="n">
        <f aca="false">H1085-I1085</f>
        <v>0</v>
      </c>
      <c r="K1085" s="20" t="str">
        <f aca="false">IF(ABS(J1085)&lt;0.001,"MATCH - PAPER CHECK-IN NOT SUPPLIED","DATA MISMATCH")</f>
        <v>MATCH - PAPER CHECK-IN NOT SUPPLIED</v>
      </c>
      <c r="L1085" s="22" t="n">
        <v>36</v>
      </c>
      <c r="M1085" s="22" t="n">
        <f aca="false">ROUNDUP(H1085,0)</f>
        <v>52</v>
      </c>
      <c r="N1085" s="24" t="n">
        <f aca="false">MAX(L1085,M1085)</f>
        <v>52</v>
      </c>
      <c r="O1085" s="25" t="n">
        <v>10.4</v>
      </c>
      <c r="P1085" s="25" t="n">
        <f aca="false">N1085*O1085</f>
        <v>540.8</v>
      </c>
      <c r="Q1085" s="23" t="s">
        <v>8381</v>
      </c>
      <c r="R1085" s="23" t="s">
        <v>2804</v>
      </c>
      <c r="S1085" s="24" t="n">
        <v>52</v>
      </c>
      <c r="T1085" s="25" t="n">
        <v>10.4</v>
      </c>
      <c r="U1085" s="25" t="n">
        <v>540.8</v>
      </c>
      <c r="V1085" s="25" t="n">
        <f aca="false">P1085-U1085</f>
        <v>0</v>
      </c>
      <c r="W1085" s="25" t="n">
        <f aca="false">V1085*12</f>
        <v>0</v>
      </c>
      <c r="X1085" s="23" t="str">
        <f aca="false">IF(Q1085="","MISSING FROM EXPORT",IF(ABS(V1085)&lt;0.005,"CLEAR",IF(V1085&gt;0,"UNDERBILLING","OVERBILLING")))</f>
        <v>CLEAR</v>
      </c>
      <c r="Y1085" s="25" t="n">
        <f aca="false">IF(F1085="COMMERCIAL",ROUND(P1085*0.35,2),0)</f>
        <v>0</v>
      </c>
      <c r="Z1085" s="23" t="str">
        <f aca="false">IF(F1085="COMMERCIAL","VERIFY SIGNED AGREEMENT","NO EXCEPTION")</f>
        <v>NO EXCEPTION</v>
      </c>
      <c r="AA1085" s="23" t="str">
        <f aca="false">IF(AND(C1085="covered",N1085&gt;40),"COVERED &gt;40 FT","")</f>
        <v>COVERED &gt;40 FT</v>
      </c>
      <c r="AB1085" s="23" t="s">
        <v>8382</v>
      </c>
      <c r="AC1085" s="23" t="s">
        <v>8383</v>
      </c>
      <c r="AD1085" s="23" t="s">
        <v>2807</v>
      </c>
    </row>
    <row r="1086" customFormat="false" ht="17.9" hidden="false" customHeight="false" outlineLevel="0" collapsed="false">
      <c r="A1086" s="20" t="s">
        <v>8384</v>
      </c>
      <c r="B1086" s="20" t="s">
        <v>99</v>
      </c>
      <c r="C1086" s="20" t="s">
        <v>5162</v>
      </c>
      <c r="D1086" s="20" t="s">
        <v>8385</v>
      </c>
      <c r="E1086" s="20" t="s">
        <v>8386</v>
      </c>
      <c r="F1086" s="20" t="s">
        <v>2833</v>
      </c>
      <c r="G1086" s="20" t="s">
        <v>4184</v>
      </c>
      <c r="H1086" s="22" t="n">
        <v>33.4</v>
      </c>
      <c r="I1086" s="22" t="n">
        <v>33.4</v>
      </c>
      <c r="J1086" s="22" t="n">
        <f aca="false">H1086-I1086</f>
        <v>0</v>
      </c>
      <c r="K1086" s="20" t="str">
        <f aca="false">IF(ABS(J1086)&lt;0.001,"MATCH - PAPER CHECK-IN NOT SUPPLIED","DATA MISMATCH")</f>
        <v>MATCH - PAPER CHECK-IN NOT SUPPLIED</v>
      </c>
      <c r="L1086" s="22" t="n">
        <v>24</v>
      </c>
      <c r="M1086" s="22" t="n">
        <f aca="false">ROUNDUP(H1086,0)</f>
        <v>34</v>
      </c>
      <c r="N1086" s="24" t="n">
        <f aca="false">MAX(L1086,M1086)</f>
        <v>34</v>
      </c>
      <c r="O1086" s="25" t="n">
        <v>10.4</v>
      </c>
      <c r="P1086" s="25" t="n">
        <f aca="false">N1086*O1086</f>
        <v>353.6</v>
      </c>
      <c r="Q1086" s="23" t="s">
        <v>8387</v>
      </c>
      <c r="R1086" s="23" t="s">
        <v>2804</v>
      </c>
      <c r="S1086" s="24" t="n">
        <v>34</v>
      </c>
      <c r="T1086" s="25" t="n">
        <v>10.4</v>
      </c>
      <c r="U1086" s="25" t="n">
        <v>353.6</v>
      </c>
      <c r="V1086" s="25" t="n">
        <f aca="false">P1086-U1086</f>
        <v>0</v>
      </c>
      <c r="W1086" s="25" t="n">
        <f aca="false">V1086*12</f>
        <v>0</v>
      </c>
      <c r="X1086" s="23" t="str">
        <f aca="false">IF(Q1086="","MISSING FROM EXPORT",IF(ABS(V1086)&lt;0.005,"CLEAR",IF(V1086&gt;0,"UNDERBILLING","OVERBILLING")))</f>
        <v>CLEAR</v>
      </c>
      <c r="Y1086" s="25" t="n">
        <f aca="false">IF(F1086="COMMERCIAL",ROUND(P1086*0.35,2),0)</f>
        <v>0</v>
      </c>
      <c r="Z1086" s="23" t="str">
        <f aca="false">IF(F1086="COMMERCIAL","VERIFY SIGNED AGREEMENT","NO EXCEPTION")</f>
        <v>NO EXCEPTION</v>
      </c>
      <c r="AA1086" s="23" t="str">
        <f aca="false">IF(AND(C1086="covered",N1086&gt;40),"COVERED &gt;40 FT","")</f>
        <v/>
      </c>
      <c r="AB1086" s="23" t="s">
        <v>8388</v>
      </c>
      <c r="AC1086" s="23" t="s">
        <v>8389</v>
      </c>
      <c r="AD1086" s="23" t="s">
        <v>2807</v>
      </c>
    </row>
    <row r="1087" customFormat="false" ht="17.9" hidden="false" customHeight="false" outlineLevel="0" collapsed="false">
      <c r="A1087" s="20" t="s">
        <v>8390</v>
      </c>
      <c r="B1087" s="20" t="s">
        <v>99</v>
      </c>
      <c r="C1087" s="20" t="s">
        <v>5162</v>
      </c>
      <c r="D1087" s="20" t="s">
        <v>8391</v>
      </c>
      <c r="E1087" s="20" t="s">
        <v>8392</v>
      </c>
      <c r="F1087" s="20" t="s">
        <v>2818</v>
      </c>
      <c r="G1087" s="20" t="s">
        <v>5151</v>
      </c>
      <c r="H1087" s="22" t="n">
        <v>36.8</v>
      </c>
      <c r="I1087" s="22" t="n">
        <v>36.8</v>
      </c>
      <c r="J1087" s="22" t="n">
        <f aca="false">H1087-I1087</f>
        <v>0</v>
      </c>
      <c r="K1087" s="20" t="str">
        <f aca="false">IF(ABS(J1087)&lt;0.001,"MATCH - PAPER CHECK-IN NOT SUPPLIED","DATA MISMATCH")</f>
        <v>MATCH - PAPER CHECK-IN NOT SUPPLIED</v>
      </c>
      <c r="L1087" s="22" t="n">
        <v>40</v>
      </c>
      <c r="M1087" s="22" t="n">
        <f aca="false">ROUNDUP(H1087,0)</f>
        <v>37</v>
      </c>
      <c r="N1087" s="24" t="n">
        <f aca="false">MAX(L1087,M1087)</f>
        <v>40</v>
      </c>
      <c r="O1087" s="25" t="n">
        <v>10.4</v>
      </c>
      <c r="P1087" s="25" t="n">
        <f aca="false">N1087*O1087</f>
        <v>416</v>
      </c>
      <c r="Q1087" s="23" t="s">
        <v>8393</v>
      </c>
      <c r="R1087" s="23" t="s">
        <v>2804</v>
      </c>
      <c r="S1087" s="24" t="n">
        <v>40</v>
      </c>
      <c r="T1087" s="25" t="n">
        <v>10.4</v>
      </c>
      <c r="U1087" s="25" t="n">
        <v>416</v>
      </c>
      <c r="V1087" s="25" t="n">
        <f aca="false">P1087-U1087</f>
        <v>0</v>
      </c>
      <c r="W1087" s="25" t="n">
        <f aca="false">V1087*12</f>
        <v>0</v>
      </c>
      <c r="X1087" s="23" t="str">
        <f aca="false">IF(Q1087="","MISSING FROM EXPORT",IF(ABS(V1087)&lt;0.005,"CLEAR",IF(V1087&gt;0,"UNDERBILLING","OVERBILLING")))</f>
        <v>CLEAR</v>
      </c>
      <c r="Y1087" s="25" t="n">
        <f aca="false">IF(F1087="COMMERCIAL",ROUND(P1087*0.35,2),0)</f>
        <v>0</v>
      </c>
      <c r="Z1087" s="23" t="str">
        <f aca="false">IF(F1087="COMMERCIAL","VERIFY SIGNED AGREEMENT","NO EXCEPTION")</f>
        <v>NO EXCEPTION</v>
      </c>
      <c r="AA1087" s="23" t="str">
        <f aca="false">IF(AND(C1087="covered",N1087&gt;40),"COVERED &gt;40 FT","")</f>
        <v/>
      </c>
      <c r="AB1087" s="23" t="s">
        <v>8394</v>
      </c>
      <c r="AC1087" s="23" t="s">
        <v>8395</v>
      </c>
      <c r="AD1087" s="23" t="s">
        <v>2807</v>
      </c>
    </row>
    <row r="1088" customFormat="false" ht="17.9" hidden="false" customHeight="false" outlineLevel="0" collapsed="false">
      <c r="A1088" s="20" t="s">
        <v>754</v>
      </c>
      <c r="B1088" s="20" t="s">
        <v>99</v>
      </c>
      <c r="C1088" s="20" t="s">
        <v>5162</v>
      </c>
      <c r="D1088" s="20" t="s">
        <v>8396</v>
      </c>
      <c r="E1088" s="20" t="s">
        <v>8397</v>
      </c>
      <c r="F1088" s="20" t="s">
        <v>2898</v>
      </c>
      <c r="G1088" s="20" t="s">
        <v>4189</v>
      </c>
      <c r="H1088" s="22" t="n">
        <v>40.5</v>
      </c>
      <c r="I1088" s="22" t="n">
        <v>40.5</v>
      </c>
      <c r="J1088" s="22" t="n">
        <f aca="false">H1088-I1088</f>
        <v>0</v>
      </c>
      <c r="K1088" s="20" t="str">
        <f aca="false">IF(ABS(J1088)&lt;0.001,"MATCH - PAPER CHECK-IN NOT SUPPLIED","DATA MISMATCH")</f>
        <v>MATCH - PAPER CHECK-IN NOT SUPPLIED</v>
      </c>
      <c r="L1088" s="22" t="n">
        <v>40</v>
      </c>
      <c r="M1088" s="22" t="n">
        <f aca="false">ROUNDUP(H1088,0)</f>
        <v>41</v>
      </c>
      <c r="N1088" s="24" t="n">
        <f aca="false">MAX(L1088,M1088)</f>
        <v>41</v>
      </c>
      <c r="O1088" s="25" t="n">
        <v>10.4</v>
      </c>
      <c r="P1088" s="25" t="n">
        <f aca="false">N1088*O1088</f>
        <v>426.4</v>
      </c>
      <c r="Q1088" s="23" t="s">
        <v>8398</v>
      </c>
      <c r="R1088" s="23" t="s">
        <v>2804</v>
      </c>
      <c r="S1088" s="24" t="n">
        <v>41</v>
      </c>
      <c r="T1088" s="25" t="n">
        <v>10.4</v>
      </c>
      <c r="U1088" s="25" t="n">
        <v>426.4</v>
      </c>
      <c r="V1088" s="25" t="n">
        <f aca="false">P1088-U1088</f>
        <v>0</v>
      </c>
      <c r="W1088" s="25" t="n">
        <f aca="false">V1088*12</f>
        <v>0</v>
      </c>
      <c r="X1088" s="23" t="str">
        <f aca="false">IF(Q1088="","MISSING FROM EXPORT",IF(ABS(V1088)&lt;0.005,"CLEAR",IF(V1088&gt;0,"UNDERBILLING","OVERBILLING")))</f>
        <v>CLEAR</v>
      </c>
      <c r="Y1088" s="25" t="n">
        <f aca="false">IF(F1088="COMMERCIAL",ROUND(P1088*0.35,2),0)</f>
        <v>0</v>
      </c>
      <c r="Z1088" s="23" t="str">
        <f aca="false">IF(F1088="COMMERCIAL","VERIFY SIGNED AGREEMENT","NO EXCEPTION")</f>
        <v>NO EXCEPTION</v>
      </c>
      <c r="AA1088" s="23" t="str">
        <f aca="false">IF(AND(C1088="covered",N1088&gt;40),"COVERED &gt;40 FT","")</f>
        <v>COVERED &gt;40 FT</v>
      </c>
      <c r="AB1088" s="23" t="s">
        <v>8399</v>
      </c>
      <c r="AC1088" s="23" t="s">
        <v>8400</v>
      </c>
      <c r="AD1088" s="23" t="s">
        <v>2807</v>
      </c>
    </row>
    <row r="1089" customFormat="false" ht="17.9" hidden="false" customHeight="false" outlineLevel="0" collapsed="false">
      <c r="A1089" s="20" t="s">
        <v>8401</v>
      </c>
      <c r="B1089" s="20" t="s">
        <v>99</v>
      </c>
      <c r="C1089" s="20" t="s">
        <v>5162</v>
      </c>
      <c r="D1089" s="20" t="s">
        <v>8402</v>
      </c>
      <c r="E1089" s="20" t="s">
        <v>8403</v>
      </c>
      <c r="F1089" s="20" t="s">
        <v>2833</v>
      </c>
      <c r="G1089" s="20" t="s">
        <v>4194</v>
      </c>
      <c r="H1089" s="22" t="n">
        <v>56.3</v>
      </c>
      <c r="I1089" s="22" t="n">
        <v>56.3</v>
      </c>
      <c r="J1089" s="22" t="n">
        <f aca="false">H1089-I1089</f>
        <v>0</v>
      </c>
      <c r="K1089" s="20" t="str">
        <f aca="false">IF(ABS(J1089)&lt;0.001,"MATCH - PAPER CHECK-IN NOT SUPPLIED","DATA MISMATCH")</f>
        <v>MATCH - PAPER CHECK-IN NOT SUPPLIED</v>
      </c>
      <c r="L1089" s="22" t="n">
        <v>36</v>
      </c>
      <c r="M1089" s="22" t="n">
        <f aca="false">ROUNDUP(H1089,0)</f>
        <v>57</v>
      </c>
      <c r="N1089" s="24" t="n">
        <f aca="false">MAX(L1089,M1089)</f>
        <v>57</v>
      </c>
      <c r="O1089" s="25" t="n">
        <v>10.4</v>
      </c>
      <c r="P1089" s="25" t="n">
        <f aca="false">N1089*O1089</f>
        <v>592.8</v>
      </c>
      <c r="Q1089" s="23" t="s">
        <v>8404</v>
      </c>
      <c r="R1089" s="23" t="s">
        <v>2804</v>
      </c>
      <c r="S1089" s="24" t="n">
        <v>57</v>
      </c>
      <c r="T1089" s="25" t="n">
        <v>10.4</v>
      </c>
      <c r="U1089" s="25" t="n">
        <v>592.8</v>
      </c>
      <c r="V1089" s="25" t="n">
        <f aca="false">P1089-U1089</f>
        <v>0</v>
      </c>
      <c r="W1089" s="25" t="n">
        <f aca="false">V1089*12</f>
        <v>0</v>
      </c>
      <c r="X1089" s="23" t="str">
        <f aca="false">IF(Q1089="","MISSING FROM EXPORT",IF(ABS(V1089)&lt;0.005,"CLEAR",IF(V1089&gt;0,"UNDERBILLING","OVERBILLING")))</f>
        <v>CLEAR</v>
      </c>
      <c r="Y1089" s="25" t="n">
        <f aca="false">IF(F1089="COMMERCIAL",ROUND(P1089*0.35,2),0)</f>
        <v>0</v>
      </c>
      <c r="Z1089" s="23" t="str">
        <f aca="false">IF(F1089="COMMERCIAL","VERIFY SIGNED AGREEMENT","NO EXCEPTION")</f>
        <v>NO EXCEPTION</v>
      </c>
      <c r="AA1089" s="23" t="str">
        <f aca="false">IF(AND(C1089="covered",N1089&gt;40),"COVERED &gt;40 FT","")</f>
        <v>COVERED &gt;40 FT</v>
      </c>
      <c r="AB1089" s="23" t="s">
        <v>8405</v>
      </c>
      <c r="AC1089" s="23" t="s">
        <v>8406</v>
      </c>
      <c r="AD1089" s="23" t="s">
        <v>2807</v>
      </c>
    </row>
    <row r="1090" customFormat="false" ht="17.9" hidden="false" customHeight="false" outlineLevel="0" collapsed="false">
      <c r="A1090" s="20" t="s">
        <v>98</v>
      </c>
      <c r="B1090" s="20" t="s">
        <v>99</v>
      </c>
      <c r="C1090" s="20" t="s">
        <v>5162</v>
      </c>
      <c r="D1090" s="20" t="s">
        <v>8407</v>
      </c>
      <c r="E1090" s="20" t="s">
        <v>8408</v>
      </c>
      <c r="F1090" s="20" t="s">
        <v>2833</v>
      </c>
      <c r="G1090" s="20" t="s">
        <v>4201</v>
      </c>
      <c r="H1090" s="22" t="n">
        <v>29.6</v>
      </c>
      <c r="I1090" s="22" t="n">
        <v>29.6</v>
      </c>
      <c r="J1090" s="22" t="n">
        <f aca="false">H1090-I1090</f>
        <v>0</v>
      </c>
      <c r="K1090" s="20" t="str">
        <f aca="false">IF(ABS(J1090)&lt;0.001,"MATCH - PAPER CHECK-IN NOT SUPPLIED","DATA MISMATCH")</f>
        <v>MATCH - PAPER CHECK-IN NOT SUPPLIED</v>
      </c>
      <c r="L1090" s="22" t="n">
        <v>28</v>
      </c>
      <c r="M1090" s="22" t="n">
        <f aca="false">ROUNDUP(H1090,0)</f>
        <v>30</v>
      </c>
      <c r="N1090" s="24" t="n">
        <f aca="false">MAX(L1090,M1090)</f>
        <v>30</v>
      </c>
      <c r="O1090" s="25" t="n">
        <v>10.4</v>
      </c>
      <c r="P1090" s="25" t="n">
        <f aca="false">N1090*O1090</f>
        <v>312</v>
      </c>
      <c r="Q1090" s="23" t="s">
        <v>8409</v>
      </c>
      <c r="R1090" s="23" t="s">
        <v>2804</v>
      </c>
      <c r="S1090" s="24" t="n">
        <v>30</v>
      </c>
      <c r="T1090" s="25" t="n">
        <v>10.4</v>
      </c>
      <c r="U1090" s="25" t="n">
        <v>312</v>
      </c>
      <c r="V1090" s="25" t="n">
        <f aca="false">P1090-U1090</f>
        <v>0</v>
      </c>
      <c r="W1090" s="25" t="n">
        <f aca="false">V1090*12</f>
        <v>0</v>
      </c>
      <c r="X1090" s="23" t="str">
        <f aca="false">IF(Q1090="","MISSING FROM EXPORT",IF(ABS(V1090)&lt;0.005,"CLEAR",IF(V1090&gt;0,"UNDERBILLING","OVERBILLING")))</f>
        <v>CLEAR</v>
      </c>
      <c r="Y1090" s="25" t="n">
        <f aca="false">IF(F1090="COMMERCIAL",ROUND(P1090*0.35,2),0)</f>
        <v>0</v>
      </c>
      <c r="Z1090" s="23" t="str">
        <f aca="false">IF(F1090="COMMERCIAL","VERIFY SIGNED AGREEMENT","NO EXCEPTION")</f>
        <v>NO EXCEPTION</v>
      </c>
      <c r="AA1090" s="23" t="str">
        <f aca="false">IF(AND(C1090="covered",N1090&gt;40),"COVERED &gt;40 FT","")</f>
        <v/>
      </c>
      <c r="AB1090" s="23" t="s">
        <v>8410</v>
      </c>
      <c r="AC1090" s="23" t="s">
        <v>8411</v>
      </c>
      <c r="AD1090" s="23" t="s">
        <v>2807</v>
      </c>
    </row>
    <row r="1091" customFormat="false" ht="17.9" hidden="false" customHeight="false" outlineLevel="0" collapsed="false">
      <c r="A1091" s="20" t="s">
        <v>8412</v>
      </c>
      <c r="B1091" s="20" t="s">
        <v>99</v>
      </c>
      <c r="C1091" s="20" t="s">
        <v>5162</v>
      </c>
      <c r="D1091" s="20" t="s">
        <v>8413</v>
      </c>
      <c r="E1091" s="20" t="s">
        <v>8414</v>
      </c>
      <c r="F1091" s="20" t="s">
        <v>2810</v>
      </c>
      <c r="G1091" s="20" t="s">
        <v>4208</v>
      </c>
      <c r="H1091" s="22" t="n">
        <v>55.7</v>
      </c>
      <c r="I1091" s="22" t="n">
        <v>55.7</v>
      </c>
      <c r="J1091" s="22" t="n">
        <f aca="false">H1091-I1091</f>
        <v>0</v>
      </c>
      <c r="K1091" s="20" t="str">
        <f aca="false">IF(ABS(J1091)&lt;0.001,"MATCH - PAPER CHECK-IN NOT SUPPLIED","DATA MISMATCH")</f>
        <v>MATCH - PAPER CHECK-IN NOT SUPPLIED</v>
      </c>
      <c r="L1091" s="22" t="n">
        <v>32</v>
      </c>
      <c r="M1091" s="22" t="n">
        <f aca="false">ROUNDUP(H1091,0)</f>
        <v>56</v>
      </c>
      <c r="N1091" s="24" t="n">
        <f aca="false">MAX(L1091,M1091)</f>
        <v>56</v>
      </c>
      <c r="O1091" s="25" t="n">
        <v>10.4</v>
      </c>
      <c r="P1091" s="25" t="n">
        <f aca="false">N1091*O1091</f>
        <v>582.4</v>
      </c>
      <c r="Q1091" s="23" t="s">
        <v>8415</v>
      </c>
      <c r="R1091" s="23" t="s">
        <v>2804</v>
      </c>
      <c r="S1091" s="24" t="n">
        <v>56</v>
      </c>
      <c r="T1091" s="25" t="n">
        <v>10.4</v>
      </c>
      <c r="U1091" s="25" t="n">
        <v>582.4</v>
      </c>
      <c r="V1091" s="25" t="n">
        <f aca="false">P1091-U1091</f>
        <v>0</v>
      </c>
      <c r="W1091" s="25" t="n">
        <f aca="false">V1091*12</f>
        <v>0</v>
      </c>
      <c r="X1091" s="23" t="str">
        <f aca="false">IF(Q1091="","MISSING FROM EXPORT",IF(ABS(V1091)&lt;0.005,"CLEAR",IF(V1091&gt;0,"UNDERBILLING","OVERBILLING")))</f>
        <v>CLEAR</v>
      </c>
      <c r="Y1091" s="25" t="n">
        <f aca="false">IF(F1091="COMMERCIAL",ROUND(P1091*0.35,2),0)</f>
        <v>0</v>
      </c>
      <c r="Z1091" s="23" t="str">
        <f aca="false">IF(F1091="COMMERCIAL","VERIFY SIGNED AGREEMENT","NO EXCEPTION")</f>
        <v>NO EXCEPTION</v>
      </c>
      <c r="AA1091" s="23" t="str">
        <f aca="false">IF(AND(C1091="covered",N1091&gt;40),"COVERED &gt;40 FT","")</f>
        <v>COVERED &gt;40 FT</v>
      </c>
      <c r="AB1091" s="23" t="s">
        <v>8416</v>
      </c>
      <c r="AC1091" s="23" t="s">
        <v>8417</v>
      </c>
      <c r="AD1091" s="23" t="s">
        <v>2807</v>
      </c>
    </row>
  </sheetData>
  <autoFilter ref="A5:AD1091"/>
  <mergeCells count="4">
    <mergeCell ref="A1:AD1"/>
    <mergeCell ref="A2:AD2"/>
    <mergeCell ref="A3:AD3"/>
    <mergeCell ref="A4:AD4"/>
  </mergeCells>
  <conditionalFormatting sqref="V6:V1091">
    <cfRule type="cellIs" priority="2" operator="greaterThan" aboveAverage="0" equalAverage="0" bottom="0" percent="0" rank="0" text="" dxfId="7">
      <formula>0.004</formula>
    </cfRule>
  </conditionalFormatting>
  <conditionalFormatting sqref="X6:X1091">
    <cfRule type="expression" priority="3" aboveAverage="0" equalAverage="0" bottom="0" percent="0" rank="0" text="" dxfId="11">
      <formula>$X6="CLEAR"</formula>
    </cfRule>
    <cfRule type="expression" priority="4" aboveAverage="0" equalAverage="0" bottom="0" percent="0" rank="0" text="" dxfId="7">
      <formula>$X6="MISSING FROM EXPORT"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&amp;C&amp;"Noto Sans,Regular"&amp;8 Chaldale Harbor District | Prepared 2026-08-01 | Page &amp;P of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1B1B"/>
    <pageSetUpPr fitToPage="true"/>
  </sheetPr>
  <dimension ref="A1:V2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12" min="8" style="0" width="14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6" min="15" style="0" width="18"/>
    <col collapsed="false" customWidth="true" hidden="false" outlineLevel="0" max="17" min="17" style="0" width="20"/>
    <col collapsed="false" customWidth="true" hidden="false" outlineLevel="0" max="18" min="18" style="0" width="14"/>
    <col collapsed="false" customWidth="true" hidden="false" outlineLevel="0" max="19" min="19" style="0" width="18"/>
    <col collapsed="false" customWidth="true" hidden="false" outlineLevel="0" max="20" min="20" style="0" width="14"/>
    <col collapsed="false" customWidth="true" hidden="false" outlineLevel="0" max="21" min="21" style="0" width="31"/>
    <col collapsed="false" customWidth="true" hidden="false" outlineLevel="0" max="22" min="22" style="0" width="43"/>
  </cols>
  <sheetData>
    <row r="1" customFormat="false" ht="31.5" hidden="false" customHeight="true" outlineLevel="0" collapsed="false">
      <c r="A1" s="15" t="s">
        <v>8418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customFormat="false" ht="15" hidden="false" customHeight="false" outlineLevel="0" collapsed="false">
      <c r="A2" s="16" t="s">
        <v>8419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customFormat="false" ht="24.75" hidden="false" customHeight="true" outlineLevel="0" collapsed="false">
      <c r="A3" s="17" t="s">
        <v>8420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customFormat="false" ht="24.75" hidden="false" customHeight="true" outlineLevel="0" collapsed="false">
      <c r="A4" s="18" t="s">
        <v>8421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customFormat="false" ht="34.5" hidden="false" customHeight="true" outlineLevel="0" collapsed="false">
      <c r="A5" s="19" t="s">
        <v>8422</v>
      </c>
      <c r="B5" s="19" t="s">
        <v>2772</v>
      </c>
      <c r="C5" s="19" t="s">
        <v>59</v>
      </c>
      <c r="D5" s="19" t="s">
        <v>60</v>
      </c>
      <c r="E5" s="19" t="s">
        <v>8423</v>
      </c>
      <c r="F5" s="19" t="s">
        <v>2771</v>
      </c>
      <c r="G5" s="19" t="s">
        <v>8424</v>
      </c>
      <c r="H5" s="19" t="s">
        <v>8425</v>
      </c>
      <c r="I5" s="19" t="s">
        <v>8426</v>
      </c>
      <c r="J5" s="19" t="s">
        <v>8427</v>
      </c>
      <c r="K5" s="19" t="s">
        <v>8428</v>
      </c>
      <c r="L5" s="19" t="s">
        <v>8429</v>
      </c>
      <c r="M5" s="19" t="s">
        <v>8430</v>
      </c>
      <c r="N5" s="19" t="s">
        <v>8431</v>
      </c>
      <c r="O5" s="19" t="s">
        <v>8432</v>
      </c>
      <c r="P5" s="19" t="s">
        <v>8433</v>
      </c>
      <c r="Q5" s="19" t="s">
        <v>8434</v>
      </c>
      <c r="R5" s="19" t="s">
        <v>8435</v>
      </c>
      <c r="S5" s="19" t="s">
        <v>8436</v>
      </c>
      <c r="T5" s="19" t="s">
        <v>8437</v>
      </c>
      <c r="U5" s="19" t="s">
        <v>8438</v>
      </c>
      <c r="V5" s="19" t="s">
        <v>8439</v>
      </c>
    </row>
    <row r="6" customFormat="false" ht="15" hidden="false" customHeight="false" outlineLevel="0" collapsed="false">
      <c r="A6" s="20" t="s">
        <v>8440</v>
      </c>
      <c r="B6" s="20" t="s">
        <v>2286</v>
      </c>
      <c r="C6" s="20" t="s">
        <v>5161</v>
      </c>
      <c r="D6" s="20" t="s">
        <v>79</v>
      </c>
      <c r="E6" s="20" t="s">
        <v>8441</v>
      </c>
      <c r="F6" s="20" t="s">
        <v>2285</v>
      </c>
      <c r="G6" s="20" t="s">
        <v>2804</v>
      </c>
      <c r="H6" s="26" t="n">
        <v>530.4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f aca="false">SUM(H6:L6)</f>
        <v>530.4</v>
      </c>
      <c r="N6" s="25" t="n">
        <v>530.4</v>
      </c>
      <c r="O6" s="25" t="n">
        <f aca="false">M6-N6</f>
        <v>0</v>
      </c>
      <c r="P6" s="25" t="n">
        <f aca="false">K6+L6</f>
        <v>0</v>
      </c>
      <c r="Q6" s="23" t="str">
        <f aca="false">IF(AND(E6="OCCUPIED",P6&gt;0),"DELINQUENT &gt;90","CLEAR")</f>
        <v>CLEAR</v>
      </c>
      <c r="R6" s="23" t="s">
        <v>8442</v>
      </c>
      <c r="S6" s="23" t="s">
        <v>8443</v>
      </c>
      <c r="T6" s="23" t="s">
        <v>8444</v>
      </c>
      <c r="U6" s="23"/>
      <c r="V6" s="23" t="s">
        <v>8445</v>
      </c>
    </row>
    <row r="7" customFormat="false" ht="15" hidden="false" customHeight="false" outlineLevel="0" collapsed="false">
      <c r="A7" s="20" t="s">
        <v>8446</v>
      </c>
      <c r="B7" s="20" t="s">
        <v>5167</v>
      </c>
      <c r="C7" s="20" t="s">
        <v>1066</v>
      </c>
      <c r="D7" s="20" t="s">
        <v>79</v>
      </c>
      <c r="E7" s="20" t="s">
        <v>8441</v>
      </c>
      <c r="F7" s="20" t="s">
        <v>5166</v>
      </c>
      <c r="G7" s="20" t="s">
        <v>2804</v>
      </c>
      <c r="H7" s="26" t="n">
        <v>416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f aca="false">SUM(H7:L7)</f>
        <v>416</v>
      </c>
      <c r="N7" s="25" t="n">
        <v>0</v>
      </c>
      <c r="O7" s="25" t="n">
        <f aca="false">M7-N7</f>
        <v>416</v>
      </c>
      <c r="P7" s="25" t="n">
        <f aca="false">K7+L7</f>
        <v>0</v>
      </c>
      <c r="Q7" s="23" t="str">
        <f aca="false">IF(AND(E7="OCCUPIED",P7&gt;0),"DELINQUENT &gt;90","CLEAR")</f>
        <v>CLEAR</v>
      </c>
      <c r="R7" s="23" t="s">
        <v>8447</v>
      </c>
      <c r="S7" s="23" t="s">
        <v>8443</v>
      </c>
      <c r="T7" s="23" t="s">
        <v>8448</v>
      </c>
      <c r="U7" s="23"/>
      <c r="V7" s="23" t="s">
        <v>8449</v>
      </c>
    </row>
    <row r="8" customFormat="false" ht="15" hidden="false" customHeight="false" outlineLevel="0" collapsed="false">
      <c r="A8" s="20" t="s">
        <v>8450</v>
      </c>
      <c r="B8" s="20" t="s">
        <v>5173</v>
      </c>
      <c r="C8" s="20" t="s">
        <v>5171</v>
      </c>
      <c r="D8" s="20" t="s">
        <v>79</v>
      </c>
      <c r="E8" s="20" t="s">
        <v>8441</v>
      </c>
      <c r="F8" s="20" t="s">
        <v>5172</v>
      </c>
      <c r="G8" s="20" t="s">
        <v>2804</v>
      </c>
      <c r="H8" s="26" t="n">
        <v>343.2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f aca="false">SUM(H8:L8)</f>
        <v>343.2</v>
      </c>
      <c r="N8" s="25" t="n">
        <v>343.2</v>
      </c>
      <c r="O8" s="25" t="n">
        <f aca="false">M8-N8</f>
        <v>0</v>
      </c>
      <c r="P8" s="25" t="n">
        <f aca="false">K8+L8</f>
        <v>0</v>
      </c>
      <c r="Q8" s="23" t="str">
        <f aca="false">IF(AND(E8="OCCUPIED",P8&gt;0),"DELINQUENT &gt;90","CLEAR")</f>
        <v>CLEAR</v>
      </c>
      <c r="R8" s="23" t="s">
        <v>8451</v>
      </c>
      <c r="S8" s="23" t="s">
        <v>8443</v>
      </c>
      <c r="T8" s="23" t="s">
        <v>8452</v>
      </c>
      <c r="U8" s="23"/>
      <c r="V8" s="23" t="s">
        <v>8453</v>
      </c>
    </row>
    <row r="9" customFormat="false" ht="15" hidden="false" customHeight="false" outlineLevel="0" collapsed="false">
      <c r="A9" s="20" t="s">
        <v>8454</v>
      </c>
      <c r="B9" s="20" t="s">
        <v>5178</v>
      </c>
      <c r="C9" s="20" t="s">
        <v>447</v>
      </c>
      <c r="D9" s="20" t="s">
        <v>79</v>
      </c>
      <c r="E9" s="20" t="s">
        <v>8441</v>
      </c>
      <c r="F9" s="20" t="s">
        <v>5177</v>
      </c>
      <c r="G9" s="20" t="s">
        <v>2804</v>
      </c>
      <c r="H9" s="26" t="n">
        <v>447.2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f aca="false">SUM(H9:L9)</f>
        <v>447.2</v>
      </c>
      <c r="N9" s="25" t="n">
        <v>447.2</v>
      </c>
      <c r="O9" s="25" t="n">
        <f aca="false">M9-N9</f>
        <v>0</v>
      </c>
      <c r="P9" s="25" t="n">
        <f aca="false">K9+L9</f>
        <v>0</v>
      </c>
      <c r="Q9" s="23" t="str">
        <f aca="false">IF(AND(E9="OCCUPIED",P9&gt;0),"DELINQUENT &gt;90","CLEAR")</f>
        <v>CLEAR</v>
      </c>
      <c r="R9" s="23" t="s">
        <v>8455</v>
      </c>
      <c r="S9" s="23" t="s">
        <v>8443</v>
      </c>
      <c r="T9" s="23" t="s">
        <v>8448</v>
      </c>
      <c r="U9" s="23"/>
      <c r="V9" s="23" t="s">
        <v>8456</v>
      </c>
    </row>
    <row r="10" customFormat="false" ht="15" hidden="false" customHeight="false" outlineLevel="0" collapsed="false">
      <c r="A10" s="20" t="s">
        <v>8457</v>
      </c>
      <c r="B10" s="20" t="s">
        <v>5184</v>
      </c>
      <c r="C10" s="20" t="s">
        <v>5182</v>
      </c>
      <c r="D10" s="20" t="s">
        <v>79</v>
      </c>
      <c r="E10" s="20" t="s">
        <v>8441</v>
      </c>
      <c r="F10" s="20" t="s">
        <v>5183</v>
      </c>
      <c r="G10" s="20" t="s">
        <v>2804</v>
      </c>
      <c r="H10" s="26" t="n">
        <v>405.6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f aca="false">SUM(H10:L10)</f>
        <v>405.6</v>
      </c>
      <c r="N10" s="25" t="n">
        <v>405.6</v>
      </c>
      <c r="O10" s="25" t="n">
        <f aca="false">M10-N10</f>
        <v>0</v>
      </c>
      <c r="P10" s="25" t="n">
        <f aca="false">K10+L10</f>
        <v>0</v>
      </c>
      <c r="Q10" s="23" t="str">
        <f aca="false">IF(AND(E10="OCCUPIED",P10&gt;0),"DELINQUENT &gt;90","CLEAR")</f>
        <v>CLEAR</v>
      </c>
      <c r="R10" s="23" t="s">
        <v>8458</v>
      </c>
      <c r="S10" s="23" t="s">
        <v>8443</v>
      </c>
      <c r="T10" s="23" t="s">
        <v>8459</v>
      </c>
      <c r="U10" s="23"/>
      <c r="V10" s="23" t="s">
        <v>8460</v>
      </c>
    </row>
    <row r="11" customFormat="false" ht="15" hidden="false" customHeight="false" outlineLevel="0" collapsed="false">
      <c r="A11" s="20" t="s">
        <v>8461</v>
      </c>
      <c r="B11" s="20" t="s">
        <v>5190</v>
      </c>
      <c r="C11" s="20" t="s">
        <v>5188</v>
      </c>
      <c r="D11" s="20" t="s">
        <v>79</v>
      </c>
      <c r="E11" s="20" t="s">
        <v>8441</v>
      </c>
      <c r="F11" s="20" t="s">
        <v>5189</v>
      </c>
      <c r="G11" s="20" t="s">
        <v>2804</v>
      </c>
      <c r="H11" s="26" t="n">
        <v>405.6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f aca="false">SUM(H11:L11)</f>
        <v>405.6</v>
      </c>
      <c r="N11" s="25" t="n">
        <v>405.6</v>
      </c>
      <c r="O11" s="25" t="n">
        <f aca="false">M11-N11</f>
        <v>0</v>
      </c>
      <c r="P11" s="25" t="n">
        <f aca="false">K11+L11</f>
        <v>0</v>
      </c>
      <c r="Q11" s="23" t="str">
        <f aca="false">IF(AND(E11="OCCUPIED",P11&gt;0),"DELINQUENT &gt;90","CLEAR")</f>
        <v>CLEAR</v>
      </c>
      <c r="R11" s="23" t="s">
        <v>8444</v>
      </c>
      <c r="S11" s="23" t="s">
        <v>8443</v>
      </c>
      <c r="T11" s="23" t="s">
        <v>8462</v>
      </c>
      <c r="U11" s="23" t="s">
        <v>8463</v>
      </c>
      <c r="V11" s="23" t="s">
        <v>8464</v>
      </c>
    </row>
    <row r="12" customFormat="false" ht="15" hidden="false" customHeight="false" outlineLevel="0" collapsed="false">
      <c r="A12" s="20" t="s">
        <v>8465</v>
      </c>
      <c r="B12" s="20" t="s">
        <v>1346</v>
      </c>
      <c r="C12" s="20" t="s">
        <v>5194</v>
      </c>
      <c r="D12" s="20" t="s">
        <v>79</v>
      </c>
      <c r="E12" s="20" t="s">
        <v>8441</v>
      </c>
      <c r="F12" s="20" t="s">
        <v>1345</v>
      </c>
      <c r="G12" s="20" t="s">
        <v>2804</v>
      </c>
      <c r="H12" s="26" t="n">
        <v>322.4</v>
      </c>
      <c r="I12" s="26" t="n">
        <v>322.4</v>
      </c>
      <c r="J12" s="26" t="n">
        <v>0</v>
      </c>
      <c r="K12" s="26" t="n">
        <v>0</v>
      </c>
      <c r="L12" s="26" t="n">
        <v>0</v>
      </c>
      <c r="M12" s="26" t="n">
        <f aca="false">SUM(H12:L12)</f>
        <v>644.8</v>
      </c>
      <c r="N12" s="25" t="n">
        <v>644.8</v>
      </c>
      <c r="O12" s="25" t="n">
        <f aca="false">M12-N12</f>
        <v>0</v>
      </c>
      <c r="P12" s="25" t="n">
        <f aca="false">K12+L12</f>
        <v>0</v>
      </c>
      <c r="Q12" s="23" t="str">
        <f aca="false">IF(AND(E12="OCCUPIED",P12&gt;0),"DELINQUENT &gt;90","CLEAR")</f>
        <v>CLEAR</v>
      </c>
      <c r="R12" s="23" t="s">
        <v>8466</v>
      </c>
      <c r="S12" s="23" t="s">
        <v>8467</v>
      </c>
      <c r="T12" s="23" t="s">
        <v>8468</v>
      </c>
      <c r="U12" s="23"/>
      <c r="V12" s="23" t="s">
        <v>8469</v>
      </c>
    </row>
    <row r="13" customFormat="false" ht="15" hidden="false" customHeight="false" outlineLevel="0" collapsed="false">
      <c r="A13" s="20" t="s">
        <v>8470</v>
      </c>
      <c r="B13" s="20" t="s">
        <v>5200</v>
      </c>
      <c r="C13" s="20" t="s">
        <v>5198</v>
      </c>
      <c r="D13" s="20" t="s">
        <v>79</v>
      </c>
      <c r="E13" s="20" t="s">
        <v>8441</v>
      </c>
      <c r="F13" s="20" t="s">
        <v>5199</v>
      </c>
      <c r="G13" s="20" t="s">
        <v>2804</v>
      </c>
      <c r="H13" s="26" t="n">
        <v>332.8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f aca="false">SUM(H13:L13)</f>
        <v>332.8</v>
      </c>
      <c r="N13" s="25" t="n">
        <v>332.8</v>
      </c>
      <c r="O13" s="25" t="n">
        <f aca="false">M13-N13</f>
        <v>0</v>
      </c>
      <c r="P13" s="25" t="n">
        <f aca="false">K13+L13</f>
        <v>0</v>
      </c>
      <c r="Q13" s="23" t="str">
        <f aca="false">IF(AND(E13="OCCUPIED",P13&gt;0),"DELINQUENT &gt;90","CLEAR")</f>
        <v>CLEAR</v>
      </c>
      <c r="R13" s="23" t="s">
        <v>8471</v>
      </c>
      <c r="S13" s="23" t="s">
        <v>8443</v>
      </c>
      <c r="T13" s="23" t="s">
        <v>8448</v>
      </c>
      <c r="U13" s="23"/>
      <c r="V13" s="23" t="s">
        <v>8472</v>
      </c>
    </row>
    <row r="14" customFormat="false" ht="15" hidden="false" customHeight="false" outlineLevel="0" collapsed="false">
      <c r="A14" s="20" t="s">
        <v>8473</v>
      </c>
      <c r="B14" s="20" t="s">
        <v>5206</v>
      </c>
      <c r="C14" s="20" t="s">
        <v>5204</v>
      </c>
      <c r="D14" s="20" t="s">
        <v>79</v>
      </c>
      <c r="E14" s="20" t="s">
        <v>8441</v>
      </c>
      <c r="F14" s="20" t="s">
        <v>5205</v>
      </c>
      <c r="G14" s="20" t="s">
        <v>2804</v>
      </c>
      <c r="H14" s="26" t="n">
        <v>332.8</v>
      </c>
      <c r="I14" s="26" t="n">
        <v>332.8</v>
      </c>
      <c r="J14" s="26" t="n">
        <v>0</v>
      </c>
      <c r="K14" s="26" t="n">
        <v>0</v>
      </c>
      <c r="L14" s="26" t="n">
        <v>0</v>
      </c>
      <c r="M14" s="26" t="n">
        <f aca="false">SUM(H14:L14)</f>
        <v>665.6</v>
      </c>
      <c r="N14" s="25" t="n">
        <v>665.6</v>
      </c>
      <c r="O14" s="25" t="n">
        <f aca="false">M14-N14</f>
        <v>0</v>
      </c>
      <c r="P14" s="25" t="n">
        <f aca="false">K14+L14</f>
        <v>0</v>
      </c>
      <c r="Q14" s="23" t="str">
        <f aca="false">IF(AND(E14="OCCUPIED",P14&gt;0),"DELINQUENT &gt;90","CLEAR")</f>
        <v>CLEAR</v>
      </c>
      <c r="R14" s="23" t="s">
        <v>8474</v>
      </c>
      <c r="S14" s="23" t="s">
        <v>8467</v>
      </c>
      <c r="T14" s="23" t="s">
        <v>8471</v>
      </c>
      <c r="U14" s="23"/>
      <c r="V14" s="23" t="s">
        <v>8475</v>
      </c>
    </row>
    <row r="15" customFormat="false" ht="15" hidden="false" customHeight="false" outlineLevel="0" collapsed="false">
      <c r="A15" s="20" t="s">
        <v>8476</v>
      </c>
      <c r="B15" s="20" t="s">
        <v>5212</v>
      </c>
      <c r="C15" s="20" t="s">
        <v>5210</v>
      </c>
      <c r="D15" s="20" t="s">
        <v>79</v>
      </c>
      <c r="E15" s="20" t="s">
        <v>8441</v>
      </c>
      <c r="F15" s="20" t="s">
        <v>5211</v>
      </c>
      <c r="G15" s="20" t="s">
        <v>2804</v>
      </c>
      <c r="H15" s="26" t="n">
        <v>291.2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f aca="false">SUM(H15:L15)</f>
        <v>291.2</v>
      </c>
      <c r="N15" s="25" t="n">
        <v>291.2</v>
      </c>
      <c r="O15" s="25" t="n">
        <f aca="false">M15-N15</f>
        <v>0</v>
      </c>
      <c r="P15" s="25" t="n">
        <f aca="false">K15+L15</f>
        <v>0</v>
      </c>
      <c r="Q15" s="23" t="str">
        <f aca="false">IF(AND(E15="OCCUPIED",P15&gt;0),"DELINQUENT &gt;90","CLEAR")</f>
        <v>CLEAR</v>
      </c>
      <c r="R15" s="23" t="s">
        <v>8477</v>
      </c>
      <c r="S15" s="23" t="s">
        <v>8443</v>
      </c>
      <c r="T15" s="23" t="s">
        <v>8478</v>
      </c>
      <c r="U15" s="23"/>
      <c r="V15" s="23" t="s">
        <v>8479</v>
      </c>
    </row>
    <row r="16" customFormat="false" ht="15" hidden="false" customHeight="false" outlineLevel="0" collapsed="false">
      <c r="A16" s="20" t="s">
        <v>8480</v>
      </c>
      <c r="B16" s="20" t="s">
        <v>771</v>
      </c>
      <c r="C16" s="20" t="s">
        <v>5216</v>
      </c>
      <c r="D16" s="20" t="s">
        <v>79</v>
      </c>
      <c r="E16" s="20" t="s">
        <v>8441</v>
      </c>
      <c r="F16" s="20" t="s">
        <v>770</v>
      </c>
      <c r="G16" s="20" t="s">
        <v>2804</v>
      </c>
      <c r="H16" s="26" t="n">
        <v>561.6</v>
      </c>
      <c r="I16" s="26" t="n">
        <v>561.6</v>
      </c>
      <c r="J16" s="26" t="n">
        <v>0</v>
      </c>
      <c r="K16" s="26" t="n">
        <v>0</v>
      </c>
      <c r="L16" s="26" t="n">
        <v>0</v>
      </c>
      <c r="M16" s="26" t="n">
        <f aca="false">SUM(H16:L16)</f>
        <v>1123.2</v>
      </c>
      <c r="N16" s="25" t="n">
        <v>1123.2</v>
      </c>
      <c r="O16" s="25" t="n">
        <f aca="false">M16-N16</f>
        <v>0</v>
      </c>
      <c r="P16" s="25" t="n">
        <f aca="false">K16+L16</f>
        <v>0</v>
      </c>
      <c r="Q16" s="23" t="str">
        <f aca="false">IF(AND(E16="OCCUPIED",P16&gt;0),"DELINQUENT &gt;90","CLEAR")</f>
        <v>CLEAR</v>
      </c>
      <c r="R16" s="23" t="s">
        <v>8481</v>
      </c>
      <c r="S16" s="23" t="s">
        <v>8467</v>
      </c>
      <c r="T16" s="23" t="s">
        <v>8471</v>
      </c>
      <c r="U16" s="23"/>
      <c r="V16" s="23" t="s">
        <v>8482</v>
      </c>
    </row>
    <row r="17" customFormat="false" ht="15" hidden="false" customHeight="false" outlineLevel="0" collapsed="false">
      <c r="A17" s="20" t="s">
        <v>8483</v>
      </c>
      <c r="B17" s="20" t="s">
        <v>2204</v>
      </c>
      <c r="C17" s="20" t="s">
        <v>301</v>
      </c>
      <c r="D17" s="20" t="s">
        <v>79</v>
      </c>
      <c r="E17" s="20" t="s">
        <v>8441</v>
      </c>
      <c r="F17" s="20" t="s">
        <v>5220</v>
      </c>
      <c r="G17" s="20" t="s">
        <v>2804</v>
      </c>
      <c r="H17" s="26" t="n">
        <v>374.4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f aca="false">SUM(H17:L17)</f>
        <v>374.4</v>
      </c>
      <c r="N17" s="25" t="n">
        <v>374.4</v>
      </c>
      <c r="O17" s="25" t="n">
        <f aca="false">M17-N17</f>
        <v>0</v>
      </c>
      <c r="P17" s="25" t="n">
        <f aca="false">K17+L17</f>
        <v>0</v>
      </c>
      <c r="Q17" s="23" t="str">
        <f aca="false">IF(AND(E17="OCCUPIED",P17&gt;0),"DELINQUENT &gt;90","CLEAR")</f>
        <v>CLEAR</v>
      </c>
      <c r="R17" s="23" t="s">
        <v>8484</v>
      </c>
      <c r="S17" s="23" t="s">
        <v>8443</v>
      </c>
      <c r="T17" s="23" t="s">
        <v>8485</v>
      </c>
      <c r="U17" s="23"/>
      <c r="V17" s="23" t="s">
        <v>8486</v>
      </c>
    </row>
    <row r="18" customFormat="false" ht="15" hidden="false" customHeight="false" outlineLevel="0" collapsed="false">
      <c r="A18" s="20" t="s">
        <v>8487</v>
      </c>
      <c r="B18" s="20" t="s">
        <v>5225</v>
      </c>
      <c r="C18" s="20" t="s">
        <v>622</v>
      </c>
      <c r="D18" s="20" t="s">
        <v>79</v>
      </c>
      <c r="E18" s="20" t="s">
        <v>8441</v>
      </c>
      <c r="F18" s="20" t="s">
        <v>5224</v>
      </c>
      <c r="G18" s="20" t="s">
        <v>2804</v>
      </c>
      <c r="H18" s="26" t="n">
        <v>301.6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f aca="false">SUM(H18:L18)</f>
        <v>301.6</v>
      </c>
      <c r="N18" s="25" t="n">
        <v>301.6</v>
      </c>
      <c r="O18" s="25" t="n">
        <f aca="false">M18-N18</f>
        <v>0</v>
      </c>
      <c r="P18" s="25" t="n">
        <f aca="false">K18+L18</f>
        <v>0</v>
      </c>
      <c r="Q18" s="23" t="str">
        <f aca="false">IF(AND(E18="OCCUPIED",P18&gt;0),"DELINQUENT &gt;90","CLEAR")</f>
        <v>CLEAR</v>
      </c>
      <c r="R18" s="23" t="s">
        <v>8488</v>
      </c>
      <c r="S18" s="23" t="s">
        <v>8443</v>
      </c>
      <c r="T18" s="23" t="s">
        <v>8489</v>
      </c>
      <c r="U18" s="23"/>
      <c r="V18" s="23" t="s">
        <v>8490</v>
      </c>
    </row>
    <row r="19" customFormat="false" ht="15" hidden="false" customHeight="false" outlineLevel="0" collapsed="false">
      <c r="A19" s="20" t="s">
        <v>8491</v>
      </c>
      <c r="B19" s="20" t="s">
        <v>5231</v>
      </c>
      <c r="C19" s="20" t="s">
        <v>5229</v>
      </c>
      <c r="D19" s="20" t="s">
        <v>79</v>
      </c>
      <c r="E19" s="20" t="s">
        <v>8441</v>
      </c>
      <c r="F19" s="20" t="s">
        <v>5230</v>
      </c>
      <c r="G19" s="20" t="s">
        <v>2804</v>
      </c>
      <c r="H19" s="26" t="n">
        <v>291.2</v>
      </c>
      <c r="I19" s="26" t="n">
        <v>291.2</v>
      </c>
      <c r="J19" s="26" t="n">
        <v>0</v>
      </c>
      <c r="K19" s="26" t="n">
        <v>0</v>
      </c>
      <c r="L19" s="26" t="n">
        <v>0</v>
      </c>
      <c r="M19" s="26" t="n">
        <f aca="false">SUM(H19:L19)</f>
        <v>582.4</v>
      </c>
      <c r="N19" s="25" t="n">
        <v>582.4</v>
      </c>
      <c r="O19" s="25" t="n">
        <f aca="false">M19-N19</f>
        <v>0</v>
      </c>
      <c r="P19" s="25" t="n">
        <f aca="false">K19+L19</f>
        <v>0</v>
      </c>
      <c r="Q19" s="23" t="str">
        <f aca="false">IF(AND(E19="OCCUPIED",P19&gt;0),"DELINQUENT &gt;90","CLEAR")</f>
        <v>CLEAR</v>
      </c>
      <c r="R19" s="23" t="s">
        <v>8471</v>
      </c>
      <c r="S19" s="23" t="s">
        <v>8467</v>
      </c>
      <c r="T19" s="23" t="s">
        <v>8492</v>
      </c>
      <c r="U19" s="23"/>
      <c r="V19" s="23" t="s">
        <v>8493</v>
      </c>
    </row>
    <row r="20" customFormat="false" ht="15" hidden="false" customHeight="false" outlineLevel="0" collapsed="false">
      <c r="A20" s="20" t="s">
        <v>8494</v>
      </c>
      <c r="B20" s="20" t="s">
        <v>2508</v>
      </c>
      <c r="C20" s="20" t="s">
        <v>5235</v>
      </c>
      <c r="D20" s="20" t="s">
        <v>79</v>
      </c>
      <c r="E20" s="20" t="s">
        <v>8441</v>
      </c>
      <c r="F20" s="20" t="s">
        <v>2507</v>
      </c>
      <c r="G20" s="20" t="s">
        <v>2804</v>
      </c>
      <c r="H20" s="26" t="n">
        <v>291.2</v>
      </c>
      <c r="I20" s="26" t="n">
        <v>0</v>
      </c>
      <c r="J20" s="26" t="n">
        <v>0</v>
      </c>
      <c r="K20" s="26" t="n">
        <v>0</v>
      </c>
      <c r="L20" s="26" t="n">
        <v>0</v>
      </c>
      <c r="M20" s="26" t="n">
        <f aca="false">SUM(H20:L20)</f>
        <v>291.2</v>
      </c>
      <c r="N20" s="25" t="n">
        <v>291.2</v>
      </c>
      <c r="O20" s="25" t="n">
        <f aca="false">M20-N20</f>
        <v>0</v>
      </c>
      <c r="P20" s="25" t="n">
        <f aca="false">K20+L20</f>
        <v>0</v>
      </c>
      <c r="Q20" s="23" t="str">
        <f aca="false">IF(AND(E20="OCCUPIED",P20&gt;0),"DELINQUENT &gt;90","CLEAR")</f>
        <v>CLEAR</v>
      </c>
      <c r="R20" s="23" t="s">
        <v>8495</v>
      </c>
      <c r="S20" s="23" t="s">
        <v>8443</v>
      </c>
      <c r="T20" s="23" t="s">
        <v>8496</v>
      </c>
      <c r="U20" s="23"/>
      <c r="V20" s="23" t="s">
        <v>8497</v>
      </c>
    </row>
    <row r="21" customFormat="false" ht="15" hidden="false" customHeight="false" outlineLevel="0" collapsed="false">
      <c r="A21" s="20" t="s">
        <v>8498</v>
      </c>
      <c r="B21" s="20" t="s">
        <v>2085</v>
      </c>
      <c r="C21" s="20" t="s">
        <v>5239</v>
      </c>
      <c r="D21" s="20" t="s">
        <v>79</v>
      </c>
      <c r="E21" s="20" t="s">
        <v>8441</v>
      </c>
      <c r="F21" s="20" t="s">
        <v>2084</v>
      </c>
      <c r="G21" s="20" t="s">
        <v>2804</v>
      </c>
      <c r="H21" s="26" t="n">
        <v>332.8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f aca="false">SUM(H21:L21)</f>
        <v>332.8</v>
      </c>
      <c r="N21" s="25" t="n">
        <v>332.8</v>
      </c>
      <c r="O21" s="25" t="n">
        <f aca="false">M21-N21</f>
        <v>0</v>
      </c>
      <c r="P21" s="25" t="n">
        <f aca="false">K21+L21</f>
        <v>0</v>
      </c>
      <c r="Q21" s="23" t="str">
        <f aca="false">IF(AND(E21="OCCUPIED",P21&gt;0),"DELINQUENT &gt;90","CLEAR")</f>
        <v>CLEAR</v>
      </c>
      <c r="R21" s="23" t="s">
        <v>8499</v>
      </c>
      <c r="S21" s="23" t="s">
        <v>8443</v>
      </c>
      <c r="T21" s="23" t="s">
        <v>8447</v>
      </c>
      <c r="U21" s="23"/>
      <c r="V21" s="23" t="s">
        <v>8500</v>
      </c>
    </row>
    <row r="22" customFormat="false" ht="15" hidden="false" customHeight="false" outlineLevel="0" collapsed="false">
      <c r="A22" s="20" t="s">
        <v>8501</v>
      </c>
      <c r="B22" s="20" t="s">
        <v>5245</v>
      </c>
      <c r="C22" s="20" t="s">
        <v>5243</v>
      </c>
      <c r="D22" s="20" t="s">
        <v>79</v>
      </c>
      <c r="E22" s="20" t="s">
        <v>8441</v>
      </c>
      <c r="F22" s="20" t="s">
        <v>5244</v>
      </c>
      <c r="G22" s="20" t="s">
        <v>2804</v>
      </c>
      <c r="H22" s="26" t="n">
        <v>249.6</v>
      </c>
      <c r="I22" s="26" t="n">
        <v>0</v>
      </c>
      <c r="J22" s="26" t="n">
        <v>0</v>
      </c>
      <c r="K22" s="26" t="n">
        <v>0</v>
      </c>
      <c r="L22" s="26" t="n">
        <v>0</v>
      </c>
      <c r="M22" s="26" t="n">
        <f aca="false">SUM(H22:L22)</f>
        <v>249.6</v>
      </c>
      <c r="N22" s="25" t="n">
        <v>249.6</v>
      </c>
      <c r="O22" s="25" t="n">
        <f aca="false">M22-N22</f>
        <v>0</v>
      </c>
      <c r="P22" s="25" t="n">
        <f aca="false">K22+L22</f>
        <v>0</v>
      </c>
      <c r="Q22" s="23" t="str">
        <f aca="false">IF(AND(E22="OCCUPIED",P22&gt;0),"DELINQUENT &gt;90","CLEAR")</f>
        <v>CLEAR</v>
      </c>
      <c r="R22" s="23" t="s">
        <v>8502</v>
      </c>
      <c r="S22" s="23" t="s">
        <v>8443</v>
      </c>
      <c r="T22" s="23" t="s">
        <v>8503</v>
      </c>
      <c r="U22" s="23"/>
      <c r="V22" s="23" t="s">
        <v>8504</v>
      </c>
    </row>
    <row r="23" customFormat="false" ht="15" hidden="false" customHeight="false" outlineLevel="0" collapsed="false">
      <c r="A23" s="20" t="s">
        <v>8505</v>
      </c>
      <c r="B23" s="20" t="s">
        <v>5251</v>
      </c>
      <c r="C23" s="20" t="s">
        <v>5249</v>
      </c>
      <c r="D23" s="20" t="s">
        <v>79</v>
      </c>
      <c r="E23" s="20" t="s">
        <v>8441</v>
      </c>
      <c r="F23" s="20" t="s">
        <v>5250</v>
      </c>
      <c r="G23" s="20" t="s">
        <v>2804</v>
      </c>
      <c r="H23" s="26" t="n">
        <v>457.6</v>
      </c>
      <c r="I23" s="26" t="n">
        <v>0</v>
      </c>
      <c r="J23" s="26" t="n">
        <v>0</v>
      </c>
      <c r="K23" s="26" t="n">
        <v>0</v>
      </c>
      <c r="L23" s="26" t="n">
        <v>0</v>
      </c>
      <c r="M23" s="26" t="n">
        <f aca="false">SUM(H23:L23)</f>
        <v>457.6</v>
      </c>
      <c r="N23" s="25" t="n">
        <v>457.6</v>
      </c>
      <c r="O23" s="25" t="n">
        <f aca="false">M23-N23</f>
        <v>0</v>
      </c>
      <c r="P23" s="25" t="n">
        <f aca="false">K23+L23</f>
        <v>0</v>
      </c>
      <c r="Q23" s="23" t="str">
        <f aca="false">IF(AND(E23="OCCUPIED",P23&gt;0),"DELINQUENT &gt;90","CLEAR")</f>
        <v>CLEAR</v>
      </c>
      <c r="R23" s="23" t="s">
        <v>8506</v>
      </c>
      <c r="S23" s="23" t="s">
        <v>8443</v>
      </c>
      <c r="T23" s="23" t="s">
        <v>8507</v>
      </c>
      <c r="U23" s="23"/>
      <c r="V23" s="23" t="s">
        <v>8508</v>
      </c>
    </row>
    <row r="24" customFormat="false" ht="15" hidden="false" customHeight="false" outlineLevel="0" collapsed="false">
      <c r="A24" s="20" t="s">
        <v>8509</v>
      </c>
      <c r="B24" s="20" t="s">
        <v>5257</v>
      </c>
      <c r="C24" s="20" t="s">
        <v>5255</v>
      </c>
      <c r="D24" s="20" t="s">
        <v>79</v>
      </c>
      <c r="E24" s="20" t="s">
        <v>8441</v>
      </c>
      <c r="F24" s="20" t="s">
        <v>5256</v>
      </c>
      <c r="G24" s="20" t="s">
        <v>2804</v>
      </c>
      <c r="H24" s="26" t="n">
        <v>332.8</v>
      </c>
      <c r="I24" s="26" t="n">
        <v>0</v>
      </c>
      <c r="J24" s="26" t="n">
        <v>0</v>
      </c>
      <c r="K24" s="26" t="n">
        <v>0</v>
      </c>
      <c r="L24" s="26" t="n">
        <v>0</v>
      </c>
      <c r="M24" s="26" t="n">
        <f aca="false">SUM(H24:L24)</f>
        <v>332.8</v>
      </c>
      <c r="N24" s="25" t="n">
        <v>332.8</v>
      </c>
      <c r="O24" s="25" t="n">
        <f aca="false">M24-N24</f>
        <v>0</v>
      </c>
      <c r="P24" s="25" t="n">
        <f aca="false">K24+L24</f>
        <v>0</v>
      </c>
      <c r="Q24" s="23" t="str">
        <f aca="false">IF(AND(E24="OCCUPIED",P24&gt;0),"DELINQUENT &gt;90","CLEAR")</f>
        <v>CLEAR</v>
      </c>
      <c r="R24" s="23" t="s">
        <v>8510</v>
      </c>
      <c r="S24" s="23" t="s">
        <v>8443</v>
      </c>
      <c r="T24" s="23" t="s">
        <v>8511</v>
      </c>
      <c r="U24" s="23"/>
      <c r="V24" s="23" t="s">
        <v>8512</v>
      </c>
    </row>
    <row r="25" customFormat="false" ht="15" hidden="false" customHeight="false" outlineLevel="0" collapsed="false">
      <c r="A25" s="20" t="s">
        <v>8513</v>
      </c>
      <c r="B25" s="20" t="s">
        <v>5262</v>
      </c>
      <c r="C25" s="20" t="s">
        <v>331</v>
      </c>
      <c r="D25" s="20" t="s">
        <v>79</v>
      </c>
      <c r="E25" s="20" t="s">
        <v>8441</v>
      </c>
      <c r="F25" s="20" t="s">
        <v>5261</v>
      </c>
      <c r="G25" s="20" t="s">
        <v>2804</v>
      </c>
      <c r="H25" s="26" t="n">
        <v>540.8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f aca="false">SUM(H25:L25)</f>
        <v>540.8</v>
      </c>
      <c r="N25" s="25" t="n">
        <v>540.8</v>
      </c>
      <c r="O25" s="25" t="n">
        <f aca="false">M25-N25</f>
        <v>0</v>
      </c>
      <c r="P25" s="25" t="n">
        <f aca="false">K25+L25</f>
        <v>0</v>
      </c>
      <c r="Q25" s="23" t="str">
        <f aca="false">IF(AND(E25="OCCUPIED",P25&gt;0),"DELINQUENT &gt;90","CLEAR")</f>
        <v>CLEAR</v>
      </c>
      <c r="R25" s="23" t="s">
        <v>8492</v>
      </c>
      <c r="S25" s="23" t="s">
        <v>8443</v>
      </c>
      <c r="T25" s="23" t="s">
        <v>8478</v>
      </c>
      <c r="U25" s="23" t="s">
        <v>8463</v>
      </c>
      <c r="V25" s="23" t="s">
        <v>8514</v>
      </c>
    </row>
    <row r="26" customFormat="false" ht="15" hidden="false" customHeight="false" outlineLevel="0" collapsed="false">
      <c r="A26" s="20" t="s">
        <v>8515</v>
      </c>
      <c r="B26" s="20" t="s">
        <v>5268</v>
      </c>
      <c r="C26" s="20" t="s">
        <v>5266</v>
      </c>
      <c r="D26" s="20" t="s">
        <v>79</v>
      </c>
      <c r="E26" s="20" t="s">
        <v>8441</v>
      </c>
      <c r="F26" s="20" t="s">
        <v>5267</v>
      </c>
      <c r="G26" s="20" t="s">
        <v>2804</v>
      </c>
      <c r="H26" s="26" t="n">
        <v>509.6</v>
      </c>
      <c r="I26" s="26" t="n">
        <v>509.6</v>
      </c>
      <c r="J26" s="26" t="n">
        <v>509.6</v>
      </c>
      <c r="K26" s="26" t="n">
        <v>509.6</v>
      </c>
      <c r="L26" s="26" t="n">
        <v>0</v>
      </c>
      <c r="M26" s="26" t="n">
        <f aca="false">SUM(H26:L26)</f>
        <v>2038.4</v>
      </c>
      <c r="N26" s="25" t="n">
        <v>2038.4</v>
      </c>
      <c r="O26" s="25" t="n">
        <f aca="false">M26-N26</f>
        <v>0</v>
      </c>
      <c r="P26" s="25" t="n">
        <f aca="false">K26+L26</f>
        <v>509.6</v>
      </c>
      <c r="Q26" s="23" t="str">
        <f aca="false">IF(AND(E26="OCCUPIED",P26&gt;0),"DELINQUENT &gt;90","CLEAR")</f>
        <v>DELINQUENT &gt;90</v>
      </c>
      <c r="R26" s="23" t="s">
        <v>8499</v>
      </c>
      <c r="S26" s="23" t="s">
        <v>8516</v>
      </c>
      <c r="T26" s="23" t="s">
        <v>8517</v>
      </c>
      <c r="U26" s="23"/>
      <c r="V26" s="23" t="s">
        <v>8518</v>
      </c>
    </row>
    <row r="27" customFormat="false" ht="15" hidden="false" customHeight="false" outlineLevel="0" collapsed="false">
      <c r="A27" s="20" t="s">
        <v>8519</v>
      </c>
      <c r="B27" s="20" t="s">
        <v>5273</v>
      </c>
      <c r="C27" s="20" t="s">
        <v>5272</v>
      </c>
      <c r="D27" s="20" t="s">
        <v>79</v>
      </c>
      <c r="E27" s="20" t="s">
        <v>8441</v>
      </c>
      <c r="F27" s="20" t="s">
        <v>965</v>
      </c>
      <c r="G27" s="20" t="s">
        <v>2804</v>
      </c>
      <c r="H27" s="26" t="n">
        <v>332.8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f aca="false">SUM(H27:L27)</f>
        <v>332.8</v>
      </c>
      <c r="N27" s="25" t="n">
        <v>332.8</v>
      </c>
      <c r="O27" s="25" t="n">
        <f aca="false">M27-N27</f>
        <v>0</v>
      </c>
      <c r="P27" s="25" t="n">
        <f aca="false">K27+L27</f>
        <v>0</v>
      </c>
      <c r="Q27" s="23" t="str">
        <f aca="false">IF(AND(E27="OCCUPIED",P27&gt;0),"DELINQUENT &gt;90","CLEAR")</f>
        <v>CLEAR</v>
      </c>
      <c r="R27" s="23" t="s">
        <v>8520</v>
      </c>
      <c r="S27" s="23" t="s">
        <v>8443</v>
      </c>
      <c r="T27" s="23" t="s">
        <v>8452</v>
      </c>
      <c r="U27" s="23"/>
      <c r="V27" s="23" t="s">
        <v>8521</v>
      </c>
    </row>
    <row r="28" customFormat="false" ht="15" hidden="false" customHeight="false" outlineLevel="0" collapsed="false">
      <c r="A28" s="20" t="s">
        <v>8522</v>
      </c>
      <c r="B28" s="20" t="s">
        <v>5278</v>
      </c>
      <c r="C28" s="20" t="s">
        <v>1278</v>
      </c>
      <c r="D28" s="20" t="s">
        <v>79</v>
      </c>
      <c r="E28" s="20" t="s">
        <v>8441</v>
      </c>
      <c r="F28" s="20" t="s">
        <v>5277</v>
      </c>
      <c r="G28" s="20" t="s">
        <v>2804</v>
      </c>
      <c r="H28" s="26" t="n">
        <v>405.6</v>
      </c>
      <c r="I28" s="26" t="n">
        <v>0</v>
      </c>
      <c r="J28" s="26" t="n">
        <v>0</v>
      </c>
      <c r="K28" s="26" t="n">
        <v>0</v>
      </c>
      <c r="L28" s="26" t="n">
        <v>0</v>
      </c>
      <c r="M28" s="26" t="n">
        <f aca="false">SUM(H28:L28)</f>
        <v>405.6</v>
      </c>
      <c r="N28" s="25" t="n">
        <v>405.6</v>
      </c>
      <c r="O28" s="25" t="n">
        <f aca="false">M28-N28</f>
        <v>0</v>
      </c>
      <c r="P28" s="25" t="n">
        <f aca="false">K28+L28</f>
        <v>0</v>
      </c>
      <c r="Q28" s="23" t="str">
        <f aca="false">IF(AND(E28="OCCUPIED",P28&gt;0),"DELINQUENT &gt;90","CLEAR")</f>
        <v>CLEAR</v>
      </c>
      <c r="R28" s="23" t="s">
        <v>8466</v>
      </c>
      <c r="S28" s="23" t="s">
        <v>8443</v>
      </c>
      <c r="T28" s="23" t="s">
        <v>8523</v>
      </c>
      <c r="U28" s="23"/>
      <c r="V28" s="23" t="s">
        <v>8524</v>
      </c>
    </row>
    <row r="29" customFormat="false" ht="15" hidden="false" customHeight="false" outlineLevel="0" collapsed="false">
      <c r="A29" s="20" t="s">
        <v>8525</v>
      </c>
      <c r="B29" s="20" t="s">
        <v>5284</v>
      </c>
      <c r="C29" s="20" t="s">
        <v>5282</v>
      </c>
      <c r="D29" s="20" t="s">
        <v>79</v>
      </c>
      <c r="E29" s="20" t="s">
        <v>8441</v>
      </c>
      <c r="F29" s="20" t="s">
        <v>5283</v>
      </c>
      <c r="G29" s="20" t="s">
        <v>2804</v>
      </c>
      <c r="H29" s="26" t="n">
        <v>540.8</v>
      </c>
      <c r="I29" s="26" t="n">
        <v>0</v>
      </c>
      <c r="J29" s="26" t="n">
        <v>0</v>
      </c>
      <c r="K29" s="26" t="n">
        <v>0</v>
      </c>
      <c r="L29" s="26" t="n">
        <v>0</v>
      </c>
      <c r="M29" s="26" t="n">
        <f aca="false">SUM(H29:L29)</f>
        <v>540.8</v>
      </c>
      <c r="N29" s="25" t="n">
        <v>540.8</v>
      </c>
      <c r="O29" s="25" t="n">
        <f aca="false">M29-N29</f>
        <v>0</v>
      </c>
      <c r="P29" s="25" t="n">
        <f aca="false">K29+L29</f>
        <v>0</v>
      </c>
      <c r="Q29" s="23" t="str">
        <f aca="false">IF(AND(E29="OCCUPIED",P29&gt;0),"DELINQUENT &gt;90","CLEAR")</f>
        <v>CLEAR</v>
      </c>
      <c r="R29" s="23" t="s">
        <v>8526</v>
      </c>
      <c r="S29" s="23" t="s">
        <v>8443</v>
      </c>
      <c r="T29" s="23" t="s">
        <v>8471</v>
      </c>
      <c r="U29" s="23" t="s">
        <v>8463</v>
      </c>
      <c r="V29" s="23" t="s">
        <v>8527</v>
      </c>
    </row>
    <row r="30" customFormat="false" ht="15" hidden="false" customHeight="false" outlineLevel="0" collapsed="false">
      <c r="A30" s="20" t="s">
        <v>8528</v>
      </c>
      <c r="B30" s="20" t="s">
        <v>5290</v>
      </c>
      <c r="C30" s="20" t="s">
        <v>5288</v>
      </c>
      <c r="D30" s="20" t="s">
        <v>79</v>
      </c>
      <c r="E30" s="20" t="s">
        <v>8441</v>
      </c>
      <c r="F30" s="20" t="s">
        <v>5289</v>
      </c>
      <c r="G30" s="20" t="s">
        <v>2804</v>
      </c>
      <c r="H30" s="26" t="n">
        <v>395.2</v>
      </c>
      <c r="I30" s="26" t="n">
        <v>0</v>
      </c>
      <c r="J30" s="26" t="n">
        <v>0</v>
      </c>
      <c r="K30" s="26" t="n">
        <v>0</v>
      </c>
      <c r="L30" s="26" t="n">
        <v>0</v>
      </c>
      <c r="M30" s="26" t="n">
        <f aca="false">SUM(H30:L30)</f>
        <v>395.2</v>
      </c>
      <c r="N30" s="25" t="n">
        <v>395.2</v>
      </c>
      <c r="O30" s="25" t="n">
        <f aca="false">M30-N30</f>
        <v>0</v>
      </c>
      <c r="P30" s="25" t="n">
        <f aca="false">K30+L30</f>
        <v>0</v>
      </c>
      <c r="Q30" s="23" t="str">
        <f aca="false">IF(AND(E30="OCCUPIED",P30&gt;0),"DELINQUENT &gt;90","CLEAR")</f>
        <v>CLEAR</v>
      </c>
      <c r="R30" s="23" t="s">
        <v>8529</v>
      </c>
      <c r="S30" s="23" t="s">
        <v>8443</v>
      </c>
      <c r="T30" s="23" t="s">
        <v>8503</v>
      </c>
      <c r="U30" s="23"/>
      <c r="V30" s="23" t="s">
        <v>8530</v>
      </c>
    </row>
    <row r="31" customFormat="false" ht="15" hidden="false" customHeight="false" outlineLevel="0" collapsed="false">
      <c r="A31" s="20" t="s">
        <v>8531</v>
      </c>
      <c r="B31" s="20" t="s">
        <v>5295</v>
      </c>
      <c r="C31" s="20" t="s">
        <v>704</v>
      </c>
      <c r="D31" s="20" t="s">
        <v>79</v>
      </c>
      <c r="E31" s="20" t="s">
        <v>8441</v>
      </c>
      <c r="F31" s="20" t="s">
        <v>5294</v>
      </c>
      <c r="G31" s="20" t="s">
        <v>2804</v>
      </c>
      <c r="H31" s="26" t="n">
        <v>301.6</v>
      </c>
      <c r="I31" s="26" t="n">
        <v>301.6</v>
      </c>
      <c r="J31" s="26" t="n">
        <v>0</v>
      </c>
      <c r="K31" s="26" t="n">
        <v>0</v>
      </c>
      <c r="L31" s="26" t="n">
        <v>0</v>
      </c>
      <c r="M31" s="26" t="n">
        <f aca="false">SUM(H31:L31)</f>
        <v>603.2</v>
      </c>
      <c r="N31" s="25" t="n">
        <v>603.2</v>
      </c>
      <c r="O31" s="25" t="n">
        <f aca="false">M31-N31</f>
        <v>0</v>
      </c>
      <c r="P31" s="25" t="n">
        <f aca="false">K31+L31</f>
        <v>0</v>
      </c>
      <c r="Q31" s="23" t="str">
        <f aca="false">IF(AND(E31="OCCUPIED",P31&gt;0),"DELINQUENT &gt;90","CLEAR")</f>
        <v>CLEAR</v>
      </c>
      <c r="R31" s="23" t="s">
        <v>8532</v>
      </c>
      <c r="S31" s="23" t="s">
        <v>8467</v>
      </c>
      <c r="T31" s="23" t="s">
        <v>8477</v>
      </c>
      <c r="U31" s="23"/>
      <c r="V31" s="23" t="s">
        <v>8533</v>
      </c>
    </row>
    <row r="32" customFormat="false" ht="15" hidden="false" customHeight="false" outlineLevel="0" collapsed="false">
      <c r="A32" s="20" t="s">
        <v>8534</v>
      </c>
      <c r="B32" s="20" t="s">
        <v>5300</v>
      </c>
      <c r="C32" s="20" t="s">
        <v>198</v>
      </c>
      <c r="D32" s="20" t="s">
        <v>79</v>
      </c>
      <c r="E32" s="20" t="s">
        <v>8441</v>
      </c>
      <c r="F32" s="20" t="s">
        <v>5299</v>
      </c>
      <c r="G32" s="20" t="s">
        <v>2804</v>
      </c>
      <c r="H32" s="26" t="n">
        <v>374.4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f aca="false">SUM(H32:L32)</f>
        <v>374.4</v>
      </c>
      <c r="N32" s="25" t="n">
        <v>374.4</v>
      </c>
      <c r="O32" s="25" t="n">
        <f aca="false">M32-N32</f>
        <v>0</v>
      </c>
      <c r="P32" s="25" t="n">
        <f aca="false">K32+L32</f>
        <v>0</v>
      </c>
      <c r="Q32" s="23" t="str">
        <f aca="false">IF(AND(E32="OCCUPIED",P32&gt;0),"DELINQUENT &gt;90","CLEAR")</f>
        <v>CLEAR</v>
      </c>
      <c r="R32" s="23" t="s">
        <v>8451</v>
      </c>
      <c r="S32" s="23" t="s">
        <v>8443</v>
      </c>
      <c r="T32" s="23" t="s">
        <v>8529</v>
      </c>
      <c r="U32" s="23"/>
      <c r="V32" s="23" t="s">
        <v>8535</v>
      </c>
    </row>
    <row r="33" customFormat="false" ht="15" hidden="false" customHeight="false" outlineLevel="0" collapsed="false">
      <c r="A33" s="20" t="s">
        <v>8536</v>
      </c>
      <c r="B33" s="20" t="s">
        <v>5306</v>
      </c>
      <c r="C33" s="20" t="s">
        <v>5304</v>
      </c>
      <c r="D33" s="20" t="s">
        <v>79</v>
      </c>
      <c r="E33" s="20" t="s">
        <v>8441</v>
      </c>
      <c r="F33" s="20" t="s">
        <v>5305</v>
      </c>
      <c r="G33" s="20" t="s">
        <v>2804</v>
      </c>
      <c r="H33" s="26" t="n">
        <v>416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f aca="false">SUM(H33:L33)</f>
        <v>416</v>
      </c>
      <c r="N33" s="25" t="n">
        <v>416</v>
      </c>
      <c r="O33" s="25" t="n">
        <f aca="false">M33-N33</f>
        <v>0</v>
      </c>
      <c r="P33" s="25" t="n">
        <f aca="false">K33+L33</f>
        <v>0</v>
      </c>
      <c r="Q33" s="23" t="str">
        <f aca="false">IF(AND(E33="OCCUPIED",P33&gt;0),"DELINQUENT &gt;90","CLEAR")</f>
        <v>CLEAR</v>
      </c>
      <c r="R33" s="23" t="s">
        <v>8474</v>
      </c>
      <c r="S33" s="23" t="s">
        <v>8443</v>
      </c>
      <c r="T33" s="23" t="s">
        <v>8481</v>
      </c>
      <c r="U33" s="23"/>
      <c r="V33" s="23" t="s">
        <v>8537</v>
      </c>
    </row>
    <row r="34" customFormat="false" ht="15" hidden="false" customHeight="false" outlineLevel="0" collapsed="false">
      <c r="A34" s="20" t="s">
        <v>8538</v>
      </c>
      <c r="B34" s="20" t="s">
        <v>5311</v>
      </c>
      <c r="C34" s="20" t="s">
        <v>5310</v>
      </c>
      <c r="D34" s="20" t="s">
        <v>79</v>
      </c>
      <c r="E34" s="20" t="s">
        <v>8441</v>
      </c>
      <c r="F34" s="20" t="s">
        <v>1088</v>
      </c>
      <c r="G34" s="20" t="s">
        <v>2804</v>
      </c>
      <c r="H34" s="26" t="n">
        <v>436.8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f aca="false">SUM(H34:L34)</f>
        <v>436.8</v>
      </c>
      <c r="N34" s="25" t="n">
        <v>436.8</v>
      </c>
      <c r="O34" s="25" t="n">
        <f aca="false">M34-N34</f>
        <v>0</v>
      </c>
      <c r="P34" s="25" t="n">
        <f aca="false">K34+L34</f>
        <v>0</v>
      </c>
      <c r="Q34" s="23" t="str">
        <f aca="false">IF(AND(E34="OCCUPIED",P34&gt;0),"DELINQUENT &gt;90","CLEAR")</f>
        <v>CLEAR</v>
      </c>
      <c r="R34" s="23" t="s">
        <v>8459</v>
      </c>
      <c r="S34" s="23" t="s">
        <v>8443</v>
      </c>
      <c r="T34" s="23" t="s">
        <v>8539</v>
      </c>
      <c r="U34" s="23"/>
      <c r="V34" s="23" t="s">
        <v>8540</v>
      </c>
    </row>
    <row r="35" customFormat="false" ht="15" hidden="false" customHeight="false" outlineLevel="0" collapsed="false">
      <c r="A35" s="20" t="s">
        <v>8541</v>
      </c>
      <c r="B35" s="20" t="s">
        <v>5316</v>
      </c>
      <c r="C35" s="20" t="s">
        <v>1272</v>
      </c>
      <c r="D35" s="20" t="s">
        <v>79</v>
      </c>
      <c r="E35" s="20" t="s">
        <v>8441</v>
      </c>
      <c r="F35" s="20" t="s">
        <v>5315</v>
      </c>
      <c r="G35" s="20" t="s">
        <v>2804</v>
      </c>
      <c r="H35" s="26" t="n">
        <v>374.4</v>
      </c>
      <c r="I35" s="26" t="n">
        <v>374.4</v>
      </c>
      <c r="J35" s="26" t="n">
        <v>374.4</v>
      </c>
      <c r="K35" s="26" t="n">
        <v>0</v>
      </c>
      <c r="L35" s="26" t="n">
        <v>0</v>
      </c>
      <c r="M35" s="26" t="n">
        <f aca="false">SUM(H35:L35)</f>
        <v>1123.2</v>
      </c>
      <c r="N35" s="25" t="n">
        <v>1123.2</v>
      </c>
      <c r="O35" s="25" t="n">
        <f aca="false">M35-N35</f>
        <v>0</v>
      </c>
      <c r="P35" s="25" t="n">
        <f aca="false">K35+L35</f>
        <v>0</v>
      </c>
      <c r="Q35" s="23" t="str">
        <f aca="false">IF(AND(E35="OCCUPIED",P35&gt;0),"DELINQUENT &gt;90","CLEAR")</f>
        <v>CLEAR</v>
      </c>
      <c r="R35" s="23" t="s">
        <v>8484</v>
      </c>
      <c r="S35" s="23" t="s">
        <v>8516</v>
      </c>
      <c r="T35" s="23" t="s">
        <v>8542</v>
      </c>
      <c r="U35" s="23"/>
      <c r="V35" s="23" t="s">
        <v>8543</v>
      </c>
    </row>
    <row r="36" customFormat="false" ht="15" hidden="false" customHeight="false" outlineLevel="0" collapsed="false">
      <c r="A36" s="20" t="s">
        <v>8544</v>
      </c>
      <c r="B36" s="20" t="s">
        <v>5322</v>
      </c>
      <c r="C36" s="20" t="s">
        <v>5320</v>
      </c>
      <c r="D36" s="20" t="s">
        <v>79</v>
      </c>
      <c r="E36" s="20" t="s">
        <v>8441</v>
      </c>
      <c r="F36" s="20" t="s">
        <v>5321</v>
      </c>
      <c r="G36" s="20" t="s">
        <v>2804</v>
      </c>
      <c r="H36" s="26" t="n">
        <v>332.8</v>
      </c>
      <c r="I36" s="26" t="n">
        <v>332.8</v>
      </c>
      <c r="J36" s="26" t="n">
        <v>0</v>
      </c>
      <c r="K36" s="26" t="n">
        <v>0</v>
      </c>
      <c r="L36" s="26" t="n">
        <v>0</v>
      </c>
      <c r="M36" s="26" t="n">
        <f aca="false">SUM(H36:L36)</f>
        <v>665.6</v>
      </c>
      <c r="N36" s="25" t="n">
        <v>665.6</v>
      </c>
      <c r="O36" s="25" t="n">
        <f aca="false">M36-N36</f>
        <v>0</v>
      </c>
      <c r="P36" s="25" t="n">
        <f aca="false">K36+L36</f>
        <v>0</v>
      </c>
      <c r="Q36" s="23" t="str">
        <f aca="false">IF(AND(E36="OCCUPIED",P36&gt;0),"DELINQUENT &gt;90","CLEAR")</f>
        <v>CLEAR</v>
      </c>
      <c r="R36" s="23" t="s">
        <v>8545</v>
      </c>
      <c r="S36" s="23" t="s">
        <v>8467</v>
      </c>
      <c r="T36" s="23" t="s">
        <v>8546</v>
      </c>
      <c r="U36" s="23"/>
      <c r="V36" s="23" t="s">
        <v>8547</v>
      </c>
    </row>
    <row r="37" customFormat="false" ht="15" hidden="false" customHeight="false" outlineLevel="0" collapsed="false">
      <c r="A37" s="20" t="s">
        <v>8548</v>
      </c>
      <c r="B37" s="20" t="s">
        <v>1158</v>
      </c>
      <c r="C37" s="20" t="s">
        <v>5326</v>
      </c>
      <c r="D37" s="20" t="s">
        <v>79</v>
      </c>
      <c r="E37" s="20" t="s">
        <v>8441</v>
      </c>
      <c r="F37" s="20" t="s">
        <v>1157</v>
      </c>
      <c r="G37" s="20" t="s">
        <v>2804</v>
      </c>
      <c r="H37" s="26" t="n">
        <v>416</v>
      </c>
      <c r="I37" s="26" t="n">
        <v>416</v>
      </c>
      <c r="J37" s="26" t="n">
        <v>416</v>
      </c>
      <c r="K37" s="26" t="n">
        <v>0</v>
      </c>
      <c r="L37" s="26" t="n">
        <v>0</v>
      </c>
      <c r="M37" s="26" t="n">
        <f aca="false">SUM(H37:L37)</f>
        <v>1248</v>
      </c>
      <c r="N37" s="25" t="n">
        <v>1248</v>
      </c>
      <c r="O37" s="25" t="n">
        <f aca="false">M37-N37</f>
        <v>0</v>
      </c>
      <c r="P37" s="25" t="n">
        <f aca="false">K37+L37</f>
        <v>0</v>
      </c>
      <c r="Q37" s="23" t="str">
        <f aca="false">IF(AND(E37="OCCUPIED",P37&gt;0),"DELINQUENT &gt;90","CLEAR")</f>
        <v>CLEAR</v>
      </c>
      <c r="R37" s="23" t="s">
        <v>8549</v>
      </c>
      <c r="S37" s="23" t="s">
        <v>8516</v>
      </c>
      <c r="T37" s="23" t="s">
        <v>8459</v>
      </c>
      <c r="U37" s="23"/>
      <c r="V37" s="23" t="s">
        <v>8550</v>
      </c>
    </row>
    <row r="38" customFormat="false" ht="15" hidden="false" customHeight="false" outlineLevel="0" collapsed="false">
      <c r="A38" s="20" t="s">
        <v>8551</v>
      </c>
      <c r="B38" s="20" t="s">
        <v>5332</v>
      </c>
      <c r="C38" s="20" t="s">
        <v>5330</v>
      </c>
      <c r="D38" s="20" t="s">
        <v>79</v>
      </c>
      <c r="E38" s="20" t="s">
        <v>8441</v>
      </c>
      <c r="F38" s="20" t="s">
        <v>5331</v>
      </c>
      <c r="G38" s="20" t="s">
        <v>2804</v>
      </c>
      <c r="H38" s="26" t="n">
        <v>603.2</v>
      </c>
      <c r="I38" s="26" t="n">
        <v>603.2</v>
      </c>
      <c r="J38" s="26" t="n">
        <v>0</v>
      </c>
      <c r="K38" s="26" t="n">
        <v>0</v>
      </c>
      <c r="L38" s="26" t="n">
        <v>0</v>
      </c>
      <c r="M38" s="26" t="n">
        <f aca="false">SUM(H38:L38)</f>
        <v>1206.4</v>
      </c>
      <c r="N38" s="25" t="n">
        <v>603.2</v>
      </c>
      <c r="O38" s="25" t="n">
        <f aca="false">M38-N38</f>
        <v>603.2</v>
      </c>
      <c r="P38" s="25" t="n">
        <f aca="false">K38+L38</f>
        <v>0</v>
      </c>
      <c r="Q38" s="23" t="str">
        <f aca="false">IF(AND(E38="OCCUPIED",P38&gt;0),"DELINQUENT &gt;90","CLEAR")</f>
        <v>CLEAR</v>
      </c>
      <c r="R38" s="23" t="s">
        <v>8502</v>
      </c>
      <c r="S38" s="23" t="s">
        <v>8443</v>
      </c>
      <c r="T38" s="23" t="s">
        <v>8447</v>
      </c>
      <c r="U38" s="23" t="s">
        <v>8463</v>
      </c>
      <c r="V38" s="23" t="s">
        <v>8552</v>
      </c>
    </row>
    <row r="39" customFormat="false" ht="15" hidden="false" customHeight="false" outlineLevel="0" collapsed="false">
      <c r="A39" s="20" t="s">
        <v>8553</v>
      </c>
      <c r="B39" s="20" t="s">
        <v>5338</v>
      </c>
      <c r="C39" s="20" t="s">
        <v>5336</v>
      </c>
      <c r="D39" s="20" t="s">
        <v>79</v>
      </c>
      <c r="E39" s="20" t="s">
        <v>8441</v>
      </c>
      <c r="F39" s="20" t="s">
        <v>5337</v>
      </c>
      <c r="G39" s="20" t="s">
        <v>2804</v>
      </c>
      <c r="H39" s="26" t="n">
        <v>520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f aca="false">SUM(H39:L39)</f>
        <v>520</v>
      </c>
      <c r="N39" s="25" t="n">
        <v>0</v>
      </c>
      <c r="O39" s="25" t="n">
        <f aca="false">M39-N39</f>
        <v>520</v>
      </c>
      <c r="P39" s="25" t="n">
        <f aca="false">K39+L39</f>
        <v>0</v>
      </c>
      <c r="Q39" s="23" t="str">
        <f aca="false">IF(AND(E39="OCCUPIED",P39&gt;0),"DELINQUENT &gt;90","CLEAR")</f>
        <v>CLEAR</v>
      </c>
      <c r="R39" s="23" t="s">
        <v>8554</v>
      </c>
      <c r="S39" s="23" t="s">
        <v>8443</v>
      </c>
      <c r="T39" s="23" t="s">
        <v>8555</v>
      </c>
      <c r="U39" s="23"/>
      <c r="V39" s="23" t="s">
        <v>8556</v>
      </c>
    </row>
    <row r="40" customFormat="false" ht="15" hidden="false" customHeight="false" outlineLevel="0" collapsed="false">
      <c r="A40" s="20" t="s">
        <v>8557</v>
      </c>
      <c r="B40" s="20" t="s">
        <v>2165</v>
      </c>
      <c r="C40" s="20" t="s">
        <v>5342</v>
      </c>
      <c r="D40" s="20" t="s">
        <v>79</v>
      </c>
      <c r="E40" s="20" t="s">
        <v>8441</v>
      </c>
      <c r="F40" s="20" t="s">
        <v>2164</v>
      </c>
      <c r="G40" s="20" t="s">
        <v>2804</v>
      </c>
      <c r="H40" s="26" t="n">
        <v>322.4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f aca="false">SUM(H40:L40)</f>
        <v>322.4</v>
      </c>
      <c r="N40" s="25" t="n">
        <v>322.4</v>
      </c>
      <c r="O40" s="25" t="n">
        <f aca="false">M40-N40</f>
        <v>0</v>
      </c>
      <c r="P40" s="25" t="n">
        <f aca="false">K40+L40</f>
        <v>0</v>
      </c>
      <c r="Q40" s="23" t="str">
        <f aca="false">IF(AND(E40="OCCUPIED",P40&gt;0),"DELINQUENT &gt;90","CLEAR")</f>
        <v>CLEAR</v>
      </c>
      <c r="R40" s="23" t="s">
        <v>8558</v>
      </c>
      <c r="S40" s="23" t="s">
        <v>8443</v>
      </c>
      <c r="T40" s="23" t="s">
        <v>8559</v>
      </c>
      <c r="U40" s="23"/>
      <c r="V40" s="23" t="s">
        <v>8560</v>
      </c>
    </row>
    <row r="41" customFormat="false" ht="15" hidden="false" customHeight="false" outlineLevel="0" collapsed="false">
      <c r="A41" s="20" t="s">
        <v>8561</v>
      </c>
      <c r="B41" s="20" t="s">
        <v>5347</v>
      </c>
      <c r="C41" s="20" t="s">
        <v>1054</v>
      </c>
      <c r="D41" s="20" t="s">
        <v>79</v>
      </c>
      <c r="E41" s="20" t="s">
        <v>8441</v>
      </c>
      <c r="F41" s="20" t="s">
        <v>5346</v>
      </c>
      <c r="G41" s="20" t="s">
        <v>2804</v>
      </c>
      <c r="H41" s="26" t="n">
        <v>291.2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f aca="false">SUM(H41:L41)</f>
        <v>291.2</v>
      </c>
      <c r="N41" s="25" t="n">
        <v>291.2</v>
      </c>
      <c r="O41" s="25" t="n">
        <f aca="false">M41-N41</f>
        <v>0</v>
      </c>
      <c r="P41" s="25" t="n">
        <f aca="false">K41+L41</f>
        <v>0</v>
      </c>
      <c r="Q41" s="23" t="str">
        <f aca="false">IF(AND(E41="OCCUPIED",P41&gt;0),"DELINQUENT &gt;90","CLEAR")</f>
        <v>CLEAR</v>
      </c>
      <c r="R41" s="23" t="s">
        <v>8562</v>
      </c>
      <c r="S41" s="23" t="s">
        <v>8443</v>
      </c>
      <c r="T41" s="23" t="s">
        <v>8520</v>
      </c>
      <c r="U41" s="23"/>
      <c r="V41" s="23" t="s">
        <v>8563</v>
      </c>
    </row>
    <row r="42" customFormat="false" ht="15" hidden="false" customHeight="false" outlineLevel="0" collapsed="false">
      <c r="A42" s="20" t="s">
        <v>8564</v>
      </c>
      <c r="B42" s="20" t="s">
        <v>5352</v>
      </c>
      <c r="C42" s="20" t="s">
        <v>847</v>
      </c>
      <c r="D42" s="20" t="s">
        <v>79</v>
      </c>
      <c r="E42" s="20" t="s">
        <v>8441</v>
      </c>
      <c r="F42" s="20" t="s">
        <v>5351</v>
      </c>
      <c r="G42" s="20" t="s">
        <v>2804</v>
      </c>
      <c r="H42" s="26" t="n">
        <v>592.8</v>
      </c>
      <c r="I42" s="26" t="n">
        <v>0</v>
      </c>
      <c r="J42" s="26" t="n">
        <v>0</v>
      </c>
      <c r="K42" s="26" t="n">
        <v>0</v>
      </c>
      <c r="L42" s="26" t="n">
        <v>0</v>
      </c>
      <c r="M42" s="26" t="n">
        <f aca="false">SUM(H42:L42)</f>
        <v>592.8</v>
      </c>
      <c r="N42" s="25" t="n">
        <v>592.8</v>
      </c>
      <c r="O42" s="25" t="n">
        <f aca="false">M42-N42</f>
        <v>0</v>
      </c>
      <c r="P42" s="25" t="n">
        <f aca="false">K42+L42</f>
        <v>0</v>
      </c>
      <c r="Q42" s="23" t="str">
        <f aca="false">IF(AND(E42="OCCUPIED",P42&gt;0),"DELINQUENT &gt;90","CLEAR")</f>
        <v>CLEAR</v>
      </c>
      <c r="R42" s="23" t="s">
        <v>8458</v>
      </c>
      <c r="S42" s="23" t="s">
        <v>8443</v>
      </c>
      <c r="T42" s="23" t="s">
        <v>8546</v>
      </c>
      <c r="U42" s="23"/>
      <c r="V42" s="23" t="s">
        <v>8565</v>
      </c>
    </row>
    <row r="43" customFormat="false" ht="15" hidden="false" customHeight="false" outlineLevel="0" collapsed="false">
      <c r="A43" s="20" t="s">
        <v>8566</v>
      </c>
      <c r="B43" s="20" t="s">
        <v>5358</v>
      </c>
      <c r="C43" s="20" t="s">
        <v>5356</v>
      </c>
      <c r="D43" s="20" t="s">
        <v>79</v>
      </c>
      <c r="E43" s="20" t="s">
        <v>8441</v>
      </c>
      <c r="F43" s="20" t="s">
        <v>5357</v>
      </c>
      <c r="G43" s="20" t="s">
        <v>2804</v>
      </c>
      <c r="H43" s="26" t="n">
        <v>613.6</v>
      </c>
      <c r="I43" s="26" t="n">
        <v>0</v>
      </c>
      <c r="J43" s="26" t="n">
        <v>0</v>
      </c>
      <c r="K43" s="26" t="n">
        <v>0</v>
      </c>
      <c r="L43" s="26" t="n">
        <v>0</v>
      </c>
      <c r="M43" s="26" t="n">
        <f aca="false">SUM(H43:L43)</f>
        <v>613.6</v>
      </c>
      <c r="N43" s="25" t="n">
        <v>613.6</v>
      </c>
      <c r="O43" s="25" t="n">
        <f aca="false">M43-N43</f>
        <v>0</v>
      </c>
      <c r="P43" s="25" t="n">
        <f aca="false">K43+L43</f>
        <v>0</v>
      </c>
      <c r="Q43" s="23" t="str">
        <f aca="false">IF(AND(E43="OCCUPIED",P43&gt;0),"DELINQUENT &gt;90","CLEAR")</f>
        <v>CLEAR</v>
      </c>
      <c r="R43" s="23" t="s">
        <v>8506</v>
      </c>
      <c r="S43" s="23" t="s">
        <v>8443</v>
      </c>
      <c r="T43" s="23" t="s">
        <v>8468</v>
      </c>
      <c r="U43" s="23"/>
      <c r="V43" s="23" t="s">
        <v>8567</v>
      </c>
    </row>
    <row r="44" customFormat="false" ht="15" hidden="false" customHeight="false" outlineLevel="0" collapsed="false">
      <c r="A44" s="20" t="s">
        <v>8568</v>
      </c>
      <c r="B44" s="20" t="s">
        <v>5364</v>
      </c>
      <c r="C44" s="20" t="s">
        <v>5362</v>
      </c>
      <c r="D44" s="20" t="s">
        <v>79</v>
      </c>
      <c r="E44" s="20" t="s">
        <v>8441</v>
      </c>
      <c r="F44" s="20" t="s">
        <v>5363</v>
      </c>
      <c r="G44" s="20" t="s">
        <v>2804</v>
      </c>
      <c r="H44" s="26" t="n">
        <v>436.8</v>
      </c>
      <c r="I44" s="26" t="n">
        <v>0</v>
      </c>
      <c r="J44" s="26" t="n">
        <v>0</v>
      </c>
      <c r="K44" s="26" t="n">
        <v>0</v>
      </c>
      <c r="L44" s="26" t="n">
        <v>0</v>
      </c>
      <c r="M44" s="26" t="n">
        <f aca="false">SUM(H44:L44)</f>
        <v>436.8</v>
      </c>
      <c r="N44" s="25" t="n">
        <v>436.8</v>
      </c>
      <c r="O44" s="25" t="n">
        <f aca="false">M44-N44</f>
        <v>0</v>
      </c>
      <c r="P44" s="25" t="n">
        <f aca="false">K44+L44</f>
        <v>0</v>
      </c>
      <c r="Q44" s="23" t="str">
        <f aca="false">IF(AND(E44="OCCUPIED",P44&gt;0),"DELINQUENT &gt;90","CLEAR")</f>
        <v>CLEAR</v>
      </c>
      <c r="R44" s="23" t="s">
        <v>8569</v>
      </c>
      <c r="S44" s="23" t="s">
        <v>8443</v>
      </c>
      <c r="T44" s="23" t="s">
        <v>8447</v>
      </c>
      <c r="U44" s="23"/>
      <c r="V44" s="23" t="s">
        <v>8570</v>
      </c>
    </row>
    <row r="45" customFormat="false" ht="15" hidden="false" customHeight="false" outlineLevel="0" collapsed="false">
      <c r="A45" s="20" t="s">
        <v>8571</v>
      </c>
      <c r="B45" s="20" t="s">
        <v>5369</v>
      </c>
      <c r="C45" s="20" t="s">
        <v>381</v>
      </c>
      <c r="D45" s="20" t="s">
        <v>79</v>
      </c>
      <c r="E45" s="20" t="s">
        <v>8441</v>
      </c>
      <c r="F45" s="20" t="s">
        <v>5368</v>
      </c>
      <c r="G45" s="20" t="s">
        <v>2804</v>
      </c>
      <c r="H45" s="26" t="n">
        <v>488.8</v>
      </c>
      <c r="I45" s="26" t="n">
        <v>0</v>
      </c>
      <c r="J45" s="26" t="n">
        <v>0</v>
      </c>
      <c r="K45" s="26" t="n">
        <v>0</v>
      </c>
      <c r="L45" s="26" t="n">
        <v>0</v>
      </c>
      <c r="M45" s="26" t="n">
        <f aca="false">SUM(H45:L45)</f>
        <v>488.8</v>
      </c>
      <c r="N45" s="25" t="n">
        <v>488.8</v>
      </c>
      <c r="O45" s="25" t="n">
        <f aca="false">M45-N45</f>
        <v>0</v>
      </c>
      <c r="P45" s="25" t="n">
        <f aca="false">K45+L45</f>
        <v>0</v>
      </c>
      <c r="Q45" s="23" t="str">
        <f aca="false">IF(AND(E45="OCCUPIED",P45&gt;0),"DELINQUENT &gt;90","CLEAR")</f>
        <v>CLEAR</v>
      </c>
      <c r="R45" s="23" t="s">
        <v>8572</v>
      </c>
      <c r="S45" s="23" t="s">
        <v>8443</v>
      </c>
      <c r="T45" s="23" t="s">
        <v>8448</v>
      </c>
      <c r="U45" s="23"/>
      <c r="V45" s="23" t="s">
        <v>8573</v>
      </c>
    </row>
    <row r="46" customFormat="false" ht="15" hidden="false" customHeight="false" outlineLevel="0" collapsed="false">
      <c r="A46" s="20" t="s">
        <v>8574</v>
      </c>
      <c r="B46" s="20" t="s">
        <v>5374</v>
      </c>
      <c r="C46" s="20" t="s">
        <v>367</v>
      </c>
      <c r="D46" s="20" t="s">
        <v>79</v>
      </c>
      <c r="E46" s="20" t="s">
        <v>8441</v>
      </c>
      <c r="F46" s="20" t="s">
        <v>5373</v>
      </c>
      <c r="G46" s="20" t="s">
        <v>2804</v>
      </c>
      <c r="H46" s="26" t="n">
        <v>478.4</v>
      </c>
      <c r="I46" s="26" t="n">
        <v>0</v>
      </c>
      <c r="J46" s="26" t="n">
        <v>0</v>
      </c>
      <c r="K46" s="26" t="n">
        <v>0</v>
      </c>
      <c r="L46" s="26" t="n">
        <v>0</v>
      </c>
      <c r="M46" s="26" t="n">
        <f aca="false">SUM(H46:L46)</f>
        <v>478.4</v>
      </c>
      <c r="N46" s="25" t="n">
        <v>0</v>
      </c>
      <c r="O46" s="25" t="n">
        <f aca="false">M46-N46</f>
        <v>478.4</v>
      </c>
      <c r="P46" s="25" t="n">
        <f aca="false">K46+L46</f>
        <v>0</v>
      </c>
      <c r="Q46" s="23" t="str">
        <f aca="false">IF(AND(E46="OCCUPIED",P46&gt;0),"DELINQUENT &gt;90","CLEAR")</f>
        <v>CLEAR</v>
      </c>
      <c r="R46" s="23" t="s">
        <v>8575</v>
      </c>
      <c r="S46" s="23" t="s">
        <v>8443</v>
      </c>
      <c r="T46" s="23" t="s">
        <v>8559</v>
      </c>
      <c r="U46" s="23"/>
      <c r="V46" s="23" t="s">
        <v>8576</v>
      </c>
    </row>
    <row r="47" customFormat="false" ht="15" hidden="false" customHeight="false" outlineLevel="0" collapsed="false">
      <c r="A47" s="20" t="s">
        <v>8577</v>
      </c>
      <c r="B47" s="20" t="s">
        <v>5380</v>
      </c>
      <c r="C47" s="20" t="s">
        <v>5378</v>
      </c>
      <c r="D47" s="20" t="s">
        <v>79</v>
      </c>
      <c r="E47" s="20" t="s">
        <v>8441</v>
      </c>
      <c r="F47" s="20" t="s">
        <v>5379</v>
      </c>
      <c r="G47" s="20" t="s">
        <v>2804</v>
      </c>
      <c r="H47" s="26" t="n">
        <v>603.2</v>
      </c>
      <c r="I47" s="26" t="n">
        <v>0</v>
      </c>
      <c r="J47" s="26" t="n">
        <v>0</v>
      </c>
      <c r="K47" s="26" t="n">
        <v>0</v>
      </c>
      <c r="L47" s="26" t="n">
        <v>0</v>
      </c>
      <c r="M47" s="26" t="n">
        <f aca="false">SUM(H47:L47)</f>
        <v>603.2</v>
      </c>
      <c r="N47" s="25" t="n">
        <v>603.2</v>
      </c>
      <c r="O47" s="25" t="n">
        <f aca="false">M47-N47</f>
        <v>0</v>
      </c>
      <c r="P47" s="25" t="n">
        <f aca="false">K47+L47</f>
        <v>0</v>
      </c>
      <c r="Q47" s="23" t="str">
        <f aca="false">IF(AND(E47="OCCUPIED",P47&gt;0),"DELINQUENT &gt;90","CLEAR")</f>
        <v>CLEAR</v>
      </c>
      <c r="R47" s="23" t="s">
        <v>8578</v>
      </c>
      <c r="S47" s="23" t="s">
        <v>8443</v>
      </c>
      <c r="T47" s="23" t="s">
        <v>8579</v>
      </c>
      <c r="U47" s="23"/>
      <c r="V47" s="23" t="s">
        <v>8580</v>
      </c>
    </row>
    <row r="48" customFormat="false" ht="15" hidden="false" customHeight="false" outlineLevel="0" collapsed="false">
      <c r="A48" s="20" t="s">
        <v>8581</v>
      </c>
      <c r="B48" s="20" t="s">
        <v>5386</v>
      </c>
      <c r="C48" s="20" t="s">
        <v>5384</v>
      </c>
      <c r="D48" s="20" t="s">
        <v>79</v>
      </c>
      <c r="E48" s="20" t="s">
        <v>8441</v>
      </c>
      <c r="F48" s="20" t="s">
        <v>5385</v>
      </c>
      <c r="G48" s="20" t="s">
        <v>2804</v>
      </c>
      <c r="H48" s="26" t="n">
        <v>374.4</v>
      </c>
      <c r="I48" s="26" t="n">
        <v>0</v>
      </c>
      <c r="J48" s="26" t="n">
        <v>0</v>
      </c>
      <c r="K48" s="26" t="n">
        <v>0</v>
      </c>
      <c r="L48" s="26" t="n">
        <v>0</v>
      </c>
      <c r="M48" s="26" t="n">
        <f aca="false">SUM(H48:L48)</f>
        <v>374.4</v>
      </c>
      <c r="N48" s="25" t="n">
        <v>0</v>
      </c>
      <c r="O48" s="25" t="n">
        <f aca="false">M48-N48</f>
        <v>374.4</v>
      </c>
      <c r="P48" s="25" t="n">
        <f aca="false">K48+L48</f>
        <v>0</v>
      </c>
      <c r="Q48" s="23" t="str">
        <f aca="false">IF(AND(E48="OCCUPIED",P48&gt;0),"DELINQUENT &gt;90","CLEAR")</f>
        <v>CLEAR</v>
      </c>
      <c r="R48" s="23" t="s">
        <v>8484</v>
      </c>
      <c r="S48" s="23" t="s">
        <v>8443</v>
      </c>
      <c r="T48" s="23" t="s">
        <v>8488</v>
      </c>
      <c r="U48" s="23"/>
      <c r="V48" s="23" t="s">
        <v>8582</v>
      </c>
    </row>
    <row r="49" customFormat="false" ht="15" hidden="false" customHeight="false" outlineLevel="0" collapsed="false">
      <c r="A49" s="20" t="s">
        <v>8583</v>
      </c>
      <c r="B49" s="20" t="s">
        <v>5392</v>
      </c>
      <c r="C49" s="20" t="s">
        <v>5390</v>
      </c>
      <c r="D49" s="20" t="s">
        <v>79</v>
      </c>
      <c r="E49" s="20" t="s">
        <v>8441</v>
      </c>
      <c r="F49" s="20" t="s">
        <v>5391</v>
      </c>
      <c r="G49" s="20" t="s">
        <v>2804</v>
      </c>
      <c r="H49" s="26" t="n">
        <v>520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f aca="false">SUM(H49:L49)</f>
        <v>520</v>
      </c>
      <c r="N49" s="25" t="n">
        <v>520</v>
      </c>
      <c r="O49" s="25" t="n">
        <f aca="false">M49-N49</f>
        <v>0</v>
      </c>
      <c r="P49" s="25" t="n">
        <f aca="false">K49+L49</f>
        <v>0</v>
      </c>
      <c r="Q49" s="23" t="str">
        <f aca="false">IF(AND(E49="OCCUPIED",P49&gt;0),"DELINQUENT &gt;90","CLEAR")</f>
        <v>CLEAR</v>
      </c>
      <c r="R49" s="23" t="s">
        <v>8459</v>
      </c>
      <c r="S49" s="23" t="s">
        <v>8443</v>
      </c>
      <c r="T49" s="23" t="s">
        <v>8584</v>
      </c>
      <c r="U49" s="23"/>
      <c r="V49" s="23" t="s">
        <v>8585</v>
      </c>
    </row>
    <row r="50" customFormat="false" ht="15" hidden="false" customHeight="false" outlineLevel="0" collapsed="false">
      <c r="A50" s="20" t="s">
        <v>8586</v>
      </c>
      <c r="B50" s="20" t="s">
        <v>5398</v>
      </c>
      <c r="C50" s="20" t="s">
        <v>5396</v>
      </c>
      <c r="D50" s="20" t="s">
        <v>79</v>
      </c>
      <c r="E50" s="20" t="s">
        <v>8441</v>
      </c>
      <c r="F50" s="20" t="s">
        <v>5397</v>
      </c>
      <c r="G50" s="20" t="s">
        <v>2804</v>
      </c>
      <c r="H50" s="26" t="n">
        <v>416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f aca="false">SUM(H50:L50)</f>
        <v>416</v>
      </c>
      <c r="N50" s="25" t="n">
        <v>416</v>
      </c>
      <c r="O50" s="25" t="n">
        <f aca="false">M50-N50</f>
        <v>0</v>
      </c>
      <c r="P50" s="25" t="n">
        <f aca="false">K50+L50</f>
        <v>0</v>
      </c>
      <c r="Q50" s="23" t="str">
        <f aca="false">IF(AND(E50="OCCUPIED",P50&gt;0),"DELINQUENT &gt;90","CLEAR")</f>
        <v>CLEAR</v>
      </c>
      <c r="R50" s="23" t="s">
        <v>8587</v>
      </c>
      <c r="S50" s="23" t="s">
        <v>8443</v>
      </c>
      <c r="T50" s="23" t="s">
        <v>8485</v>
      </c>
      <c r="U50" s="23"/>
      <c r="V50" s="23" t="s">
        <v>8588</v>
      </c>
    </row>
    <row r="51" customFormat="false" ht="15" hidden="false" customHeight="false" outlineLevel="0" collapsed="false">
      <c r="A51" s="20" t="s">
        <v>8589</v>
      </c>
      <c r="B51" s="20" t="s">
        <v>5404</v>
      </c>
      <c r="C51" s="20" t="s">
        <v>5402</v>
      </c>
      <c r="D51" s="20" t="s">
        <v>79</v>
      </c>
      <c r="E51" s="20" t="s">
        <v>8441</v>
      </c>
      <c r="F51" s="20" t="s">
        <v>5403</v>
      </c>
      <c r="G51" s="20" t="s">
        <v>2804</v>
      </c>
      <c r="H51" s="26" t="n">
        <v>291.2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f aca="false">SUM(H51:L51)</f>
        <v>291.2</v>
      </c>
      <c r="N51" s="25" t="n">
        <v>0</v>
      </c>
      <c r="O51" s="25" t="n">
        <f aca="false">M51-N51</f>
        <v>291.2</v>
      </c>
      <c r="P51" s="25" t="n">
        <f aca="false">K51+L51</f>
        <v>0</v>
      </c>
      <c r="Q51" s="23" t="str">
        <f aca="false">IF(AND(E51="OCCUPIED",P51&gt;0),"DELINQUENT &gt;90","CLEAR")</f>
        <v>CLEAR</v>
      </c>
      <c r="R51" s="23" t="s">
        <v>8517</v>
      </c>
      <c r="S51" s="23" t="s">
        <v>8443</v>
      </c>
      <c r="T51" s="23" t="s">
        <v>8539</v>
      </c>
      <c r="U51" s="23" t="s">
        <v>8463</v>
      </c>
      <c r="V51" s="23" t="s">
        <v>8590</v>
      </c>
    </row>
    <row r="52" customFormat="false" ht="15" hidden="false" customHeight="false" outlineLevel="0" collapsed="false">
      <c r="A52" s="20" t="s">
        <v>8591</v>
      </c>
      <c r="B52" s="20" t="s">
        <v>5409</v>
      </c>
      <c r="C52" s="20" t="s">
        <v>5408</v>
      </c>
      <c r="D52" s="20" t="s">
        <v>79</v>
      </c>
      <c r="E52" s="20" t="s">
        <v>8441</v>
      </c>
      <c r="F52" s="20" t="s">
        <v>2547</v>
      </c>
      <c r="G52" s="20" t="s">
        <v>2804</v>
      </c>
      <c r="H52" s="26" t="n">
        <v>395.2</v>
      </c>
      <c r="I52" s="26" t="n">
        <v>0</v>
      </c>
      <c r="J52" s="26" t="n">
        <v>0</v>
      </c>
      <c r="K52" s="26" t="n">
        <v>0</v>
      </c>
      <c r="L52" s="26" t="n">
        <v>0</v>
      </c>
      <c r="M52" s="26" t="n">
        <f aca="false">SUM(H52:L52)</f>
        <v>395.2</v>
      </c>
      <c r="N52" s="25" t="n">
        <v>395.2</v>
      </c>
      <c r="O52" s="25" t="n">
        <f aca="false">M52-N52</f>
        <v>0</v>
      </c>
      <c r="P52" s="25" t="n">
        <f aca="false">K52+L52</f>
        <v>0</v>
      </c>
      <c r="Q52" s="23" t="str">
        <f aca="false">IF(AND(E52="OCCUPIED",P52&gt;0),"DELINQUENT &gt;90","CLEAR")</f>
        <v>CLEAR</v>
      </c>
      <c r="R52" s="23" t="s">
        <v>8592</v>
      </c>
      <c r="S52" s="23" t="s">
        <v>8443</v>
      </c>
      <c r="T52" s="23" t="s">
        <v>8593</v>
      </c>
      <c r="U52" s="23"/>
      <c r="V52" s="23" t="s">
        <v>8594</v>
      </c>
    </row>
    <row r="53" customFormat="false" ht="15" hidden="false" customHeight="false" outlineLevel="0" collapsed="false">
      <c r="A53" s="20" t="s">
        <v>8595</v>
      </c>
      <c r="B53" s="20" t="s">
        <v>5414</v>
      </c>
      <c r="C53" s="20" t="s">
        <v>979</v>
      </c>
      <c r="D53" s="20" t="s">
        <v>79</v>
      </c>
      <c r="E53" s="20" t="s">
        <v>8441</v>
      </c>
      <c r="F53" s="20" t="s">
        <v>5413</v>
      </c>
      <c r="G53" s="20" t="s">
        <v>2804</v>
      </c>
      <c r="H53" s="26" t="n">
        <v>561.6</v>
      </c>
      <c r="I53" s="26" t="n">
        <v>0</v>
      </c>
      <c r="J53" s="26" t="n">
        <v>0</v>
      </c>
      <c r="K53" s="26" t="n">
        <v>0</v>
      </c>
      <c r="L53" s="26" t="n">
        <v>0</v>
      </c>
      <c r="M53" s="26" t="n">
        <f aca="false">SUM(H53:L53)</f>
        <v>561.6</v>
      </c>
      <c r="N53" s="25" t="n">
        <v>561.6</v>
      </c>
      <c r="O53" s="25" t="n">
        <f aca="false">M53-N53</f>
        <v>0</v>
      </c>
      <c r="P53" s="25" t="n">
        <f aca="false">K53+L53</f>
        <v>0</v>
      </c>
      <c r="Q53" s="23" t="str">
        <f aca="false">IF(AND(E53="OCCUPIED",P53&gt;0),"DELINQUENT &gt;90","CLEAR")</f>
        <v>CLEAR</v>
      </c>
      <c r="R53" s="23" t="s">
        <v>8596</v>
      </c>
      <c r="S53" s="23" t="s">
        <v>8443</v>
      </c>
      <c r="T53" s="23" t="s">
        <v>8485</v>
      </c>
      <c r="U53" s="23"/>
      <c r="V53" s="23" t="s">
        <v>8597</v>
      </c>
    </row>
    <row r="54" customFormat="false" ht="15" hidden="false" customHeight="false" outlineLevel="0" collapsed="false">
      <c r="A54" s="20" t="s">
        <v>8598</v>
      </c>
      <c r="B54" s="20" t="s">
        <v>2326</v>
      </c>
      <c r="C54" s="20" t="s">
        <v>5418</v>
      </c>
      <c r="D54" s="20" t="s">
        <v>79</v>
      </c>
      <c r="E54" s="20" t="s">
        <v>8441</v>
      </c>
      <c r="F54" s="20" t="s">
        <v>2325</v>
      </c>
      <c r="G54" s="20" t="s">
        <v>2804</v>
      </c>
      <c r="H54" s="26" t="n">
        <v>332.8</v>
      </c>
      <c r="I54" s="26" t="n">
        <v>0</v>
      </c>
      <c r="J54" s="26" t="n">
        <v>0</v>
      </c>
      <c r="K54" s="26" t="n">
        <v>0</v>
      </c>
      <c r="L54" s="26" t="n">
        <v>0</v>
      </c>
      <c r="M54" s="26" t="n">
        <f aca="false">SUM(H54:L54)</f>
        <v>332.8</v>
      </c>
      <c r="N54" s="25" t="n">
        <v>0</v>
      </c>
      <c r="O54" s="25" t="n">
        <f aca="false">M54-N54</f>
        <v>332.8</v>
      </c>
      <c r="P54" s="25" t="n">
        <f aca="false">K54+L54</f>
        <v>0</v>
      </c>
      <c r="Q54" s="23" t="str">
        <f aca="false">IF(AND(E54="OCCUPIED",P54&gt;0),"DELINQUENT &gt;90","CLEAR")</f>
        <v>CLEAR</v>
      </c>
      <c r="R54" s="23" t="s">
        <v>8599</v>
      </c>
      <c r="S54" s="23" t="s">
        <v>8443</v>
      </c>
      <c r="T54" s="23" t="s">
        <v>8485</v>
      </c>
      <c r="U54" s="23"/>
      <c r="V54" s="23" t="s">
        <v>8600</v>
      </c>
    </row>
    <row r="55" customFormat="false" ht="15" hidden="false" customHeight="false" outlineLevel="0" collapsed="false">
      <c r="A55" s="20" t="s">
        <v>8601</v>
      </c>
      <c r="B55" s="20" t="s">
        <v>5424</v>
      </c>
      <c r="C55" s="20" t="s">
        <v>5422</v>
      </c>
      <c r="D55" s="20" t="s">
        <v>79</v>
      </c>
      <c r="E55" s="20" t="s">
        <v>8441</v>
      </c>
      <c r="F55" s="20" t="s">
        <v>5423</v>
      </c>
      <c r="G55" s="20" t="s">
        <v>2804</v>
      </c>
      <c r="H55" s="26" t="n">
        <v>572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f aca="false">SUM(H55:L55)</f>
        <v>572</v>
      </c>
      <c r="N55" s="25" t="n">
        <v>572</v>
      </c>
      <c r="O55" s="25" t="n">
        <f aca="false">M55-N55</f>
        <v>0</v>
      </c>
      <c r="P55" s="25" t="n">
        <f aca="false">K55+L55</f>
        <v>0</v>
      </c>
      <c r="Q55" s="23" t="str">
        <f aca="false">IF(AND(E55="OCCUPIED",P55&gt;0),"DELINQUENT &gt;90","CLEAR")</f>
        <v>CLEAR</v>
      </c>
      <c r="R55" s="23" t="s">
        <v>8599</v>
      </c>
      <c r="S55" s="23" t="s">
        <v>8443</v>
      </c>
      <c r="T55" s="23" t="s">
        <v>8451</v>
      </c>
      <c r="U55" s="23"/>
      <c r="V55" s="23" t="s">
        <v>8602</v>
      </c>
    </row>
    <row r="56" customFormat="false" ht="15" hidden="false" customHeight="false" outlineLevel="0" collapsed="false">
      <c r="A56" s="20" t="s">
        <v>8603</v>
      </c>
      <c r="B56" s="20" t="s">
        <v>5429</v>
      </c>
      <c r="C56" s="20" t="s">
        <v>674</v>
      </c>
      <c r="D56" s="20" t="s">
        <v>79</v>
      </c>
      <c r="E56" s="20" t="s">
        <v>8441</v>
      </c>
      <c r="F56" s="20" t="s">
        <v>5428</v>
      </c>
      <c r="G56" s="20" t="s">
        <v>2804</v>
      </c>
      <c r="H56" s="26" t="n">
        <v>634.4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f aca="false">SUM(H56:L56)</f>
        <v>634.4</v>
      </c>
      <c r="N56" s="25" t="n">
        <v>634.4</v>
      </c>
      <c r="O56" s="25" t="n">
        <f aca="false">M56-N56</f>
        <v>0</v>
      </c>
      <c r="P56" s="25" t="n">
        <f aca="false">K56+L56</f>
        <v>0</v>
      </c>
      <c r="Q56" s="23" t="str">
        <f aca="false">IF(AND(E56="OCCUPIED",P56&gt;0),"DELINQUENT &gt;90","CLEAR")</f>
        <v>CLEAR</v>
      </c>
      <c r="R56" s="23" t="s">
        <v>8572</v>
      </c>
      <c r="S56" s="23" t="s">
        <v>8443</v>
      </c>
      <c r="T56" s="23" t="s">
        <v>8604</v>
      </c>
      <c r="U56" s="23"/>
      <c r="V56" s="23" t="s">
        <v>8605</v>
      </c>
    </row>
    <row r="57" customFormat="false" ht="15" hidden="false" customHeight="false" outlineLevel="0" collapsed="false">
      <c r="A57" s="20" t="s">
        <v>8606</v>
      </c>
      <c r="B57" s="20" t="s">
        <v>5435</v>
      </c>
      <c r="C57" s="20" t="s">
        <v>5433</v>
      </c>
      <c r="D57" s="20" t="s">
        <v>79</v>
      </c>
      <c r="E57" s="20" t="s">
        <v>8441</v>
      </c>
      <c r="F57" s="20" t="s">
        <v>5434</v>
      </c>
      <c r="G57" s="20" t="s">
        <v>2804</v>
      </c>
      <c r="H57" s="26" t="n">
        <v>447.2</v>
      </c>
      <c r="I57" s="26" t="n">
        <v>447.2</v>
      </c>
      <c r="J57" s="26" t="n">
        <v>0</v>
      </c>
      <c r="K57" s="26" t="n">
        <v>0</v>
      </c>
      <c r="L57" s="26" t="n">
        <v>0</v>
      </c>
      <c r="M57" s="26" t="n">
        <f aca="false">SUM(H57:L57)</f>
        <v>894.4</v>
      </c>
      <c r="N57" s="25" t="n">
        <v>894.4</v>
      </c>
      <c r="O57" s="25" t="n">
        <f aca="false">M57-N57</f>
        <v>0</v>
      </c>
      <c r="P57" s="25" t="n">
        <f aca="false">K57+L57</f>
        <v>0</v>
      </c>
      <c r="Q57" s="23" t="str">
        <f aca="false">IF(AND(E57="OCCUPIED",P57&gt;0),"DELINQUENT &gt;90","CLEAR")</f>
        <v>CLEAR</v>
      </c>
      <c r="R57" s="23" t="s">
        <v>8451</v>
      </c>
      <c r="S57" s="23" t="s">
        <v>8467</v>
      </c>
      <c r="T57" s="23" t="s">
        <v>8607</v>
      </c>
      <c r="U57" s="23"/>
      <c r="V57" s="23" t="s">
        <v>8608</v>
      </c>
    </row>
    <row r="58" customFormat="false" ht="15" hidden="false" customHeight="false" outlineLevel="0" collapsed="false">
      <c r="A58" s="20" t="s">
        <v>8609</v>
      </c>
      <c r="B58" s="20" t="s">
        <v>5441</v>
      </c>
      <c r="C58" s="20" t="s">
        <v>5439</v>
      </c>
      <c r="D58" s="20" t="s">
        <v>79</v>
      </c>
      <c r="E58" s="20" t="s">
        <v>8441</v>
      </c>
      <c r="F58" s="20" t="s">
        <v>5440</v>
      </c>
      <c r="G58" s="20" t="s">
        <v>2804</v>
      </c>
      <c r="H58" s="26" t="n">
        <v>249.6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f aca="false">SUM(H58:L58)</f>
        <v>249.6</v>
      </c>
      <c r="N58" s="25" t="n">
        <v>249.6</v>
      </c>
      <c r="O58" s="25" t="n">
        <f aca="false">M58-N58</f>
        <v>0</v>
      </c>
      <c r="P58" s="25" t="n">
        <f aca="false">K58+L58</f>
        <v>0</v>
      </c>
      <c r="Q58" s="23" t="str">
        <f aca="false">IF(AND(E58="OCCUPIED",P58&gt;0),"DELINQUENT &gt;90","CLEAR")</f>
        <v>CLEAR</v>
      </c>
      <c r="R58" s="23" t="s">
        <v>8610</v>
      </c>
      <c r="S58" s="23" t="s">
        <v>8443</v>
      </c>
      <c r="T58" s="23" t="s">
        <v>8611</v>
      </c>
      <c r="U58" s="23"/>
      <c r="V58" s="23" t="s">
        <v>8612</v>
      </c>
    </row>
    <row r="59" customFormat="false" ht="15" hidden="false" customHeight="false" outlineLevel="0" collapsed="false">
      <c r="A59" s="20" t="s">
        <v>8613</v>
      </c>
      <c r="B59" s="20" t="s">
        <v>5445</v>
      </c>
      <c r="C59" s="20" t="s">
        <v>1718</v>
      </c>
      <c r="D59" s="20" t="s">
        <v>79</v>
      </c>
      <c r="E59" s="20" t="s">
        <v>8441</v>
      </c>
      <c r="F59" s="20" t="s">
        <v>2001</v>
      </c>
      <c r="G59" s="20" t="s">
        <v>2804</v>
      </c>
      <c r="H59" s="26" t="n">
        <v>332.8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f aca="false">SUM(H59:L59)</f>
        <v>332.8</v>
      </c>
      <c r="N59" s="25" t="n">
        <v>332.8</v>
      </c>
      <c r="O59" s="25" t="n">
        <f aca="false">M59-N59</f>
        <v>0</v>
      </c>
      <c r="P59" s="25" t="n">
        <f aca="false">K59+L59</f>
        <v>0</v>
      </c>
      <c r="Q59" s="23" t="str">
        <f aca="false">IF(AND(E59="OCCUPIED",P59&gt;0),"DELINQUENT &gt;90","CLEAR")</f>
        <v>CLEAR</v>
      </c>
      <c r="R59" s="23" t="s">
        <v>8614</v>
      </c>
      <c r="S59" s="23" t="s">
        <v>8443</v>
      </c>
      <c r="T59" s="23" t="s">
        <v>8444</v>
      </c>
      <c r="U59" s="23"/>
      <c r="V59" s="23" t="s">
        <v>8615</v>
      </c>
    </row>
    <row r="60" customFormat="false" ht="15" hidden="false" customHeight="false" outlineLevel="0" collapsed="false">
      <c r="A60" s="20" t="s">
        <v>8616</v>
      </c>
      <c r="B60" s="20" t="s">
        <v>5451</v>
      </c>
      <c r="C60" s="20" t="s">
        <v>5449</v>
      </c>
      <c r="D60" s="20" t="s">
        <v>79</v>
      </c>
      <c r="E60" s="20" t="s">
        <v>8441</v>
      </c>
      <c r="F60" s="20" t="s">
        <v>5450</v>
      </c>
      <c r="G60" s="20" t="s">
        <v>2804</v>
      </c>
      <c r="H60" s="26" t="n">
        <v>332.8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f aca="false">SUM(H60:L60)</f>
        <v>332.8</v>
      </c>
      <c r="N60" s="25" t="n">
        <v>332.8</v>
      </c>
      <c r="O60" s="25" t="n">
        <f aca="false">M60-N60</f>
        <v>0</v>
      </c>
      <c r="P60" s="25" t="n">
        <f aca="false">K60+L60</f>
        <v>0</v>
      </c>
      <c r="Q60" s="23" t="str">
        <f aca="false">IF(AND(E60="OCCUPIED",P60&gt;0),"DELINQUENT &gt;90","CLEAR")</f>
        <v>CLEAR</v>
      </c>
      <c r="R60" s="23" t="s">
        <v>8617</v>
      </c>
      <c r="S60" s="23" t="s">
        <v>8443</v>
      </c>
      <c r="T60" s="23" t="s">
        <v>8618</v>
      </c>
      <c r="U60" s="23"/>
      <c r="V60" s="23" t="s">
        <v>8619</v>
      </c>
    </row>
    <row r="61" customFormat="false" ht="15" hidden="false" customHeight="false" outlineLevel="0" collapsed="false">
      <c r="A61" s="20" t="s">
        <v>8620</v>
      </c>
      <c r="B61" s="20" t="s">
        <v>5457</v>
      </c>
      <c r="C61" s="20" t="s">
        <v>5455</v>
      </c>
      <c r="D61" s="20" t="s">
        <v>79</v>
      </c>
      <c r="E61" s="20" t="s">
        <v>8441</v>
      </c>
      <c r="F61" s="20" t="s">
        <v>5456</v>
      </c>
      <c r="G61" s="20" t="s">
        <v>2804</v>
      </c>
      <c r="H61" s="26" t="n">
        <v>332.8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f aca="false">SUM(H61:L61)</f>
        <v>332.8</v>
      </c>
      <c r="N61" s="25" t="n">
        <v>332.8</v>
      </c>
      <c r="O61" s="25" t="n">
        <f aca="false">M61-N61</f>
        <v>0</v>
      </c>
      <c r="P61" s="25" t="n">
        <f aca="false">K61+L61</f>
        <v>0</v>
      </c>
      <c r="Q61" s="23" t="str">
        <f aca="false">IF(AND(E61="OCCUPIED",P61&gt;0),"DELINQUENT &gt;90","CLEAR")</f>
        <v>CLEAR</v>
      </c>
      <c r="R61" s="23" t="s">
        <v>8562</v>
      </c>
      <c r="S61" s="23" t="s">
        <v>8443</v>
      </c>
      <c r="T61" s="23" t="s">
        <v>8448</v>
      </c>
      <c r="U61" s="23"/>
      <c r="V61" s="23" t="s">
        <v>8621</v>
      </c>
    </row>
    <row r="62" customFormat="false" ht="15" hidden="false" customHeight="false" outlineLevel="0" collapsed="false">
      <c r="A62" s="20" t="s">
        <v>8622</v>
      </c>
      <c r="B62" s="20" t="s">
        <v>5463</v>
      </c>
      <c r="C62" s="20" t="s">
        <v>5461</v>
      </c>
      <c r="D62" s="20" t="s">
        <v>79</v>
      </c>
      <c r="E62" s="20" t="s">
        <v>8441</v>
      </c>
      <c r="F62" s="20" t="s">
        <v>5462</v>
      </c>
      <c r="G62" s="20" t="s">
        <v>2804</v>
      </c>
      <c r="H62" s="26" t="n">
        <v>332.8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f aca="false">SUM(H62:L62)</f>
        <v>332.8</v>
      </c>
      <c r="N62" s="25" t="n">
        <v>0</v>
      </c>
      <c r="O62" s="25" t="n">
        <f aca="false">M62-N62</f>
        <v>332.8</v>
      </c>
      <c r="P62" s="25" t="n">
        <f aca="false">K62+L62</f>
        <v>0</v>
      </c>
      <c r="Q62" s="23" t="str">
        <f aca="false">IF(AND(E62="OCCUPIED",P62&gt;0),"DELINQUENT &gt;90","CLEAR")</f>
        <v>CLEAR</v>
      </c>
      <c r="R62" s="23" t="s">
        <v>8623</v>
      </c>
      <c r="S62" s="23" t="s">
        <v>8443</v>
      </c>
      <c r="T62" s="23" t="s">
        <v>8444</v>
      </c>
      <c r="U62" s="23"/>
      <c r="V62" s="23" t="s">
        <v>8624</v>
      </c>
    </row>
    <row r="63" customFormat="false" ht="15" hidden="false" customHeight="false" outlineLevel="0" collapsed="false">
      <c r="A63" s="20" t="s">
        <v>8625</v>
      </c>
      <c r="B63" s="20" t="s">
        <v>5468</v>
      </c>
      <c r="C63" s="20" t="s">
        <v>1170</v>
      </c>
      <c r="D63" s="20" t="s">
        <v>79</v>
      </c>
      <c r="E63" s="20" t="s">
        <v>8441</v>
      </c>
      <c r="F63" s="20" t="s">
        <v>5467</v>
      </c>
      <c r="G63" s="20" t="s">
        <v>2804</v>
      </c>
      <c r="H63" s="26" t="n">
        <v>561.6</v>
      </c>
      <c r="I63" s="26" t="n">
        <v>0</v>
      </c>
      <c r="J63" s="26" t="n">
        <v>0</v>
      </c>
      <c r="K63" s="26" t="n">
        <v>0</v>
      </c>
      <c r="L63" s="26" t="n">
        <v>0</v>
      </c>
      <c r="M63" s="26" t="n">
        <f aca="false">SUM(H63:L63)</f>
        <v>561.6</v>
      </c>
      <c r="N63" s="25" t="n">
        <v>561.6</v>
      </c>
      <c r="O63" s="25" t="n">
        <f aca="false">M63-N63</f>
        <v>0</v>
      </c>
      <c r="P63" s="25" t="n">
        <f aca="false">K63+L63</f>
        <v>0</v>
      </c>
      <c r="Q63" s="23" t="str">
        <f aca="false">IF(AND(E63="OCCUPIED",P63&gt;0),"DELINQUENT &gt;90","CLEAR")</f>
        <v>CLEAR</v>
      </c>
      <c r="R63" s="23" t="s">
        <v>8477</v>
      </c>
      <c r="S63" s="23" t="s">
        <v>8443</v>
      </c>
      <c r="T63" s="23" t="s">
        <v>8542</v>
      </c>
      <c r="U63" s="23"/>
      <c r="V63" s="23" t="s">
        <v>8626</v>
      </c>
    </row>
    <row r="64" customFormat="false" ht="15" hidden="false" customHeight="false" outlineLevel="0" collapsed="false">
      <c r="A64" s="20" t="s">
        <v>8627</v>
      </c>
      <c r="B64" s="20" t="s">
        <v>5472</v>
      </c>
      <c r="C64" s="20" t="s">
        <v>78</v>
      </c>
      <c r="D64" s="20" t="s">
        <v>79</v>
      </c>
      <c r="E64" s="20" t="s">
        <v>8441</v>
      </c>
      <c r="F64" s="20" t="s">
        <v>1076</v>
      </c>
      <c r="G64" s="20" t="s">
        <v>2804</v>
      </c>
      <c r="H64" s="26" t="n">
        <v>416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f aca="false">SUM(H64:L64)</f>
        <v>416</v>
      </c>
      <c r="N64" s="25" t="n">
        <v>416</v>
      </c>
      <c r="O64" s="25" t="n">
        <f aca="false">M64-N64</f>
        <v>0</v>
      </c>
      <c r="P64" s="25" t="n">
        <f aca="false">K64+L64</f>
        <v>0</v>
      </c>
      <c r="Q64" s="23" t="str">
        <f aca="false">IF(AND(E64="OCCUPIED",P64&gt;0),"DELINQUENT &gt;90","CLEAR")</f>
        <v>CLEAR</v>
      </c>
      <c r="R64" s="23" t="s">
        <v>8478</v>
      </c>
      <c r="S64" s="23" t="s">
        <v>8443</v>
      </c>
      <c r="T64" s="23" t="s">
        <v>8539</v>
      </c>
      <c r="U64" s="23"/>
      <c r="V64" s="23" t="s">
        <v>8628</v>
      </c>
    </row>
    <row r="65" customFormat="false" ht="15" hidden="false" customHeight="false" outlineLevel="0" collapsed="false">
      <c r="A65" s="20" t="s">
        <v>8629</v>
      </c>
      <c r="B65" s="20" t="s">
        <v>5478</v>
      </c>
      <c r="C65" s="20" t="s">
        <v>5476</v>
      </c>
      <c r="D65" s="20" t="s">
        <v>79</v>
      </c>
      <c r="E65" s="20" t="s">
        <v>8441</v>
      </c>
      <c r="F65" s="20" t="s">
        <v>5477</v>
      </c>
      <c r="G65" s="20" t="s">
        <v>2804</v>
      </c>
      <c r="H65" s="26" t="n">
        <v>364</v>
      </c>
      <c r="I65" s="26" t="n">
        <v>0</v>
      </c>
      <c r="J65" s="26" t="n">
        <v>0</v>
      </c>
      <c r="K65" s="26" t="n">
        <v>0</v>
      </c>
      <c r="L65" s="26" t="n">
        <v>0</v>
      </c>
      <c r="M65" s="26" t="n">
        <f aca="false">SUM(H65:L65)</f>
        <v>364</v>
      </c>
      <c r="N65" s="25" t="n">
        <v>364</v>
      </c>
      <c r="O65" s="25" t="n">
        <f aca="false">M65-N65</f>
        <v>0</v>
      </c>
      <c r="P65" s="25" t="n">
        <f aca="false">K65+L65</f>
        <v>0</v>
      </c>
      <c r="Q65" s="23" t="str">
        <f aca="false">IF(AND(E65="OCCUPIED",P65&gt;0),"DELINQUENT &gt;90","CLEAR")</f>
        <v>CLEAR</v>
      </c>
      <c r="R65" s="23" t="s">
        <v>8489</v>
      </c>
      <c r="S65" s="23" t="s">
        <v>8443</v>
      </c>
      <c r="T65" s="23" t="s">
        <v>8451</v>
      </c>
      <c r="U65" s="23"/>
      <c r="V65" s="23" t="s">
        <v>8630</v>
      </c>
    </row>
    <row r="66" customFormat="false" ht="15" hidden="false" customHeight="false" outlineLevel="0" collapsed="false">
      <c r="A66" s="20" t="s">
        <v>8631</v>
      </c>
      <c r="B66" s="20" t="s">
        <v>1163</v>
      </c>
      <c r="C66" s="20" t="s">
        <v>5482</v>
      </c>
      <c r="D66" s="20" t="s">
        <v>79</v>
      </c>
      <c r="E66" s="20" t="s">
        <v>8441</v>
      </c>
      <c r="F66" s="20" t="s">
        <v>1162</v>
      </c>
      <c r="G66" s="20" t="s">
        <v>2804</v>
      </c>
      <c r="H66" s="26" t="n">
        <v>561.6</v>
      </c>
      <c r="I66" s="26" t="n">
        <v>0</v>
      </c>
      <c r="J66" s="26" t="n">
        <v>0</v>
      </c>
      <c r="K66" s="26" t="n">
        <v>0</v>
      </c>
      <c r="L66" s="26" t="n">
        <v>0</v>
      </c>
      <c r="M66" s="26" t="n">
        <f aca="false">SUM(H66:L66)</f>
        <v>561.6</v>
      </c>
      <c r="N66" s="25" t="n">
        <v>561.6</v>
      </c>
      <c r="O66" s="25" t="n">
        <f aca="false">M66-N66</f>
        <v>0</v>
      </c>
      <c r="P66" s="25" t="n">
        <f aca="false">K66+L66</f>
        <v>0</v>
      </c>
      <c r="Q66" s="23" t="str">
        <f aca="false">IF(AND(E66="OCCUPIED",P66&gt;0),"DELINQUENT &gt;90","CLEAR")</f>
        <v>CLEAR</v>
      </c>
      <c r="R66" s="23" t="s">
        <v>8485</v>
      </c>
      <c r="S66" s="23" t="s">
        <v>8443</v>
      </c>
      <c r="T66" s="23" t="s">
        <v>8526</v>
      </c>
      <c r="U66" s="23"/>
      <c r="V66" s="23" t="s">
        <v>8632</v>
      </c>
    </row>
    <row r="67" customFormat="false" ht="15" hidden="false" customHeight="false" outlineLevel="0" collapsed="false">
      <c r="A67" s="20" t="s">
        <v>8633</v>
      </c>
      <c r="B67" s="20" t="s">
        <v>5488</v>
      </c>
      <c r="C67" s="20" t="s">
        <v>5486</v>
      </c>
      <c r="D67" s="20" t="s">
        <v>79</v>
      </c>
      <c r="E67" s="20" t="s">
        <v>8441</v>
      </c>
      <c r="F67" s="20" t="s">
        <v>5487</v>
      </c>
      <c r="G67" s="20" t="s">
        <v>2804</v>
      </c>
      <c r="H67" s="26" t="n">
        <v>364</v>
      </c>
      <c r="I67" s="26" t="n">
        <v>0</v>
      </c>
      <c r="J67" s="26" t="n">
        <v>0</v>
      </c>
      <c r="K67" s="26" t="n">
        <v>0</v>
      </c>
      <c r="L67" s="26" t="n">
        <v>0</v>
      </c>
      <c r="M67" s="26" t="n">
        <f aca="false">SUM(H67:L67)</f>
        <v>364</v>
      </c>
      <c r="N67" s="25" t="n">
        <v>364</v>
      </c>
      <c r="O67" s="25" t="n">
        <f aca="false">M67-N67</f>
        <v>0</v>
      </c>
      <c r="P67" s="25" t="n">
        <f aca="false">K67+L67</f>
        <v>0</v>
      </c>
      <c r="Q67" s="23" t="str">
        <f aca="false">IF(AND(E67="OCCUPIED",P67&gt;0),"DELINQUENT &gt;90","CLEAR")</f>
        <v>CLEAR</v>
      </c>
      <c r="R67" s="23" t="s">
        <v>8520</v>
      </c>
      <c r="S67" s="23" t="s">
        <v>8443</v>
      </c>
      <c r="T67" s="23" t="s">
        <v>8559</v>
      </c>
      <c r="U67" s="23"/>
      <c r="V67" s="23" t="s">
        <v>8634</v>
      </c>
    </row>
    <row r="68" customFormat="false" ht="15" hidden="false" customHeight="false" outlineLevel="0" collapsed="false">
      <c r="A68" s="20" t="s">
        <v>8635</v>
      </c>
      <c r="B68" s="20" t="s">
        <v>5494</v>
      </c>
      <c r="C68" s="20" t="s">
        <v>5492</v>
      </c>
      <c r="D68" s="20" t="s">
        <v>79</v>
      </c>
      <c r="E68" s="20" t="s">
        <v>8441</v>
      </c>
      <c r="F68" s="20" t="s">
        <v>5493</v>
      </c>
      <c r="G68" s="20" t="s">
        <v>2804</v>
      </c>
      <c r="H68" s="26" t="n">
        <v>603.2</v>
      </c>
      <c r="I68" s="26" t="n">
        <v>603.2</v>
      </c>
      <c r="J68" s="26" t="n">
        <v>603.2</v>
      </c>
      <c r="K68" s="26" t="n">
        <v>0</v>
      </c>
      <c r="L68" s="26" t="n">
        <v>0</v>
      </c>
      <c r="M68" s="26" t="n">
        <f aca="false">SUM(H68:L68)</f>
        <v>1809.6</v>
      </c>
      <c r="N68" s="25" t="n">
        <v>1809.6</v>
      </c>
      <c r="O68" s="25" t="n">
        <f aca="false">M68-N68</f>
        <v>0</v>
      </c>
      <c r="P68" s="25" t="n">
        <f aca="false">K68+L68</f>
        <v>0</v>
      </c>
      <c r="Q68" s="23" t="str">
        <f aca="false">IF(AND(E68="OCCUPIED",P68&gt;0),"DELINQUENT &gt;90","CLEAR")</f>
        <v>CLEAR</v>
      </c>
      <c r="R68" s="23" t="s">
        <v>8542</v>
      </c>
      <c r="S68" s="23" t="s">
        <v>8467</v>
      </c>
      <c r="T68" s="23" t="s">
        <v>8459</v>
      </c>
      <c r="U68" s="23"/>
      <c r="V68" s="23" t="s">
        <v>8636</v>
      </c>
    </row>
    <row r="69" customFormat="false" ht="15" hidden="false" customHeight="false" outlineLevel="0" collapsed="false">
      <c r="A69" s="20" t="s">
        <v>8637</v>
      </c>
      <c r="B69" s="20" t="s">
        <v>5500</v>
      </c>
      <c r="C69" s="20" t="s">
        <v>5498</v>
      </c>
      <c r="D69" s="20" t="s">
        <v>79</v>
      </c>
      <c r="E69" s="20" t="s">
        <v>8441</v>
      </c>
      <c r="F69" s="20" t="s">
        <v>5499</v>
      </c>
      <c r="G69" s="20" t="s">
        <v>2804</v>
      </c>
      <c r="H69" s="26" t="n">
        <v>509.6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f aca="false">SUM(H69:L69)</f>
        <v>509.6</v>
      </c>
      <c r="N69" s="25" t="n">
        <v>509.6</v>
      </c>
      <c r="O69" s="25" t="n">
        <f aca="false">M69-N69</f>
        <v>0</v>
      </c>
      <c r="P69" s="25" t="n">
        <f aca="false">K69+L69</f>
        <v>0</v>
      </c>
      <c r="Q69" s="23" t="str">
        <f aca="false">IF(AND(E69="OCCUPIED",P69&gt;0),"DELINQUENT &gt;90","CLEAR")</f>
        <v>CLEAR</v>
      </c>
      <c r="R69" s="23" t="s">
        <v>8546</v>
      </c>
      <c r="S69" s="23" t="s">
        <v>8443</v>
      </c>
      <c r="T69" s="23" t="s">
        <v>8477</v>
      </c>
      <c r="U69" s="23"/>
      <c r="V69" s="23" t="s">
        <v>8638</v>
      </c>
    </row>
    <row r="70" customFormat="false" ht="15" hidden="false" customHeight="false" outlineLevel="0" collapsed="false">
      <c r="A70" s="20" t="s">
        <v>8639</v>
      </c>
      <c r="B70" s="20" t="s">
        <v>5505</v>
      </c>
      <c r="C70" s="20" t="s">
        <v>866</v>
      </c>
      <c r="D70" s="20" t="s">
        <v>79</v>
      </c>
      <c r="E70" s="20" t="s">
        <v>8441</v>
      </c>
      <c r="F70" s="20" t="s">
        <v>5504</v>
      </c>
      <c r="G70" s="20" t="s">
        <v>2804</v>
      </c>
      <c r="H70" s="26" t="n">
        <v>468</v>
      </c>
      <c r="I70" s="26" t="n">
        <v>0</v>
      </c>
      <c r="J70" s="26" t="n">
        <v>0</v>
      </c>
      <c r="K70" s="26" t="n">
        <v>0</v>
      </c>
      <c r="L70" s="26" t="n">
        <v>0</v>
      </c>
      <c r="M70" s="26" t="n">
        <f aca="false">SUM(H70:L70)</f>
        <v>468</v>
      </c>
      <c r="N70" s="25" t="n">
        <v>0</v>
      </c>
      <c r="O70" s="25" t="n">
        <f aca="false">M70-N70</f>
        <v>468</v>
      </c>
      <c r="P70" s="25" t="n">
        <f aca="false">K70+L70</f>
        <v>0</v>
      </c>
      <c r="Q70" s="23" t="str">
        <f aca="false">IF(AND(E70="OCCUPIED",P70&gt;0),"DELINQUENT &gt;90","CLEAR")</f>
        <v>CLEAR</v>
      </c>
      <c r="R70" s="23" t="s">
        <v>8640</v>
      </c>
      <c r="S70" s="23" t="s">
        <v>8443</v>
      </c>
      <c r="T70" s="23" t="s">
        <v>8584</v>
      </c>
      <c r="U70" s="23"/>
      <c r="V70" s="23" t="s">
        <v>8641</v>
      </c>
    </row>
    <row r="71" customFormat="false" ht="15" hidden="false" customHeight="false" outlineLevel="0" collapsed="false">
      <c r="A71" s="20" t="s">
        <v>8642</v>
      </c>
      <c r="B71" s="20" t="s">
        <v>5510</v>
      </c>
      <c r="C71" s="20" t="s">
        <v>307</v>
      </c>
      <c r="D71" s="20" t="s">
        <v>79</v>
      </c>
      <c r="E71" s="20" t="s">
        <v>8441</v>
      </c>
      <c r="F71" s="20" t="s">
        <v>5509</v>
      </c>
      <c r="G71" s="20" t="s">
        <v>2804</v>
      </c>
      <c r="H71" s="26" t="n">
        <v>384.8</v>
      </c>
      <c r="I71" s="26" t="n">
        <v>384.8</v>
      </c>
      <c r="J71" s="26" t="n">
        <v>384.8</v>
      </c>
      <c r="K71" s="26" t="n">
        <v>384.8</v>
      </c>
      <c r="L71" s="26" t="n">
        <v>0</v>
      </c>
      <c r="M71" s="26" t="n">
        <f aca="false">SUM(H71:L71)</f>
        <v>1539.2</v>
      </c>
      <c r="N71" s="25" t="n">
        <v>1539.2</v>
      </c>
      <c r="O71" s="25" t="n">
        <f aca="false">M71-N71</f>
        <v>0</v>
      </c>
      <c r="P71" s="25" t="n">
        <f aca="false">K71+L71</f>
        <v>384.8</v>
      </c>
      <c r="Q71" s="23" t="str">
        <f aca="false">IF(AND(E71="OCCUPIED",P71&gt;0),"DELINQUENT &gt;90","CLEAR")</f>
        <v>DELINQUENT &gt;90</v>
      </c>
      <c r="R71" s="23" t="s">
        <v>8485</v>
      </c>
      <c r="S71" s="23" t="s">
        <v>8516</v>
      </c>
      <c r="T71" s="23" t="s">
        <v>8584</v>
      </c>
      <c r="U71" s="23"/>
      <c r="V71" s="23" t="s">
        <v>8643</v>
      </c>
    </row>
    <row r="72" customFormat="false" ht="15" hidden="false" customHeight="false" outlineLevel="0" collapsed="false">
      <c r="A72" s="20" t="s">
        <v>8644</v>
      </c>
      <c r="B72" s="20" t="s">
        <v>5516</v>
      </c>
      <c r="C72" s="20" t="s">
        <v>5514</v>
      </c>
      <c r="D72" s="20" t="s">
        <v>79</v>
      </c>
      <c r="E72" s="20" t="s">
        <v>8441</v>
      </c>
      <c r="F72" s="20" t="s">
        <v>5515</v>
      </c>
      <c r="G72" s="20" t="s">
        <v>2804</v>
      </c>
      <c r="H72" s="26" t="n">
        <v>488.8</v>
      </c>
      <c r="I72" s="26" t="n">
        <v>0</v>
      </c>
      <c r="J72" s="26" t="n">
        <v>0</v>
      </c>
      <c r="K72" s="26" t="n">
        <v>0</v>
      </c>
      <c r="L72" s="26" t="n">
        <v>0</v>
      </c>
      <c r="M72" s="26" t="n">
        <f aca="false">SUM(H72:L72)</f>
        <v>488.8</v>
      </c>
      <c r="N72" s="25" t="n">
        <v>488.8</v>
      </c>
      <c r="O72" s="25" t="n">
        <f aca="false">M72-N72</f>
        <v>0</v>
      </c>
      <c r="P72" s="25" t="n">
        <f aca="false">K72+L72</f>
        <v>0</v>
      </c>
      <c r="Q72" s="23" t="str">
        <f aca="false">IF(AND(E72="OCCUPIED",P72&gt;0),"DELINQUENT &gt;90","CLEAR")</f>
        <v>CLEAR</v>
      </c>
      <c r="R72" s="23" t="s">
        <v>8584</v>
      </c>
      <c r="S72" s="23" t="s">
        <v>8443</v>
      </c>
      <c r="T72" s="23" t="s">
        <v>8579</v>
      </c>
      <c r="U72" s="23"/>
      <c r="V72" s="23" t="s">
        <v>8645</v>
      </c>
    </row>
    <row r="73" customFormat="false" ht="15" hidden="false" customHeight="false" outlineLevel="0" collapsed="false">
      <c r="A73" s="20" t="s">
        <v>8646</v>
      </c>
      <c r="B73" s="20" t="s">
        <v>5522</v>
      </c>
      <c r="C73" s="20" t="s">
        <v>5520</v>
      </c>
      <c r="D73" s="20" t="s">
        <v>79</v>
      </c>
      <c r="E73" s="20" t="s">
        <v>8441</v>
      </c>
      <c r="F73" s="20" t="s">
        <v>5521</v>
      </c>
      <c r="G73" s="20" t="s">
        <v>2804</v>
      </c>
      <c r="H73" s="26" t="n">
        <v>291.2</v>
      </c>
      <c r="I73" s="26" t="n">
        <v>0</v>
      </c>
      <c r="J73" s="26" t="n">
        <v>0</v>
      </c>
      <c r="K73" s="26" t="n">
        <v>0</v>
      </c>
      <c r="L73" s="26" t="n">
        <v>0</v>
      </c>
      <c r="M73" s="26" t="n">
        <f aca="false">SUM(H73:L73)</f>
        <v>291.2</v>
      </c>
      <c r="N73" s="25" t="n">
        <v>291.2</v>
      </c>
      <c r="O73" s="25" t="n">
        <f aca="false">M73-N73</f>
        <v>0</v>
      </c>
      <c r="P73" s="25" t="n">
        <f aca="false">K73+L73</f>
        <v>0</v>
      </c>
      <c r="Q73" s="23" t="str">
        <f aca="false">IF(AND(E73="OCCUPIED",P73&gt;0),"DELINQUENT &gt;90","CLEAR")</f>
        <v>CLEAR</v>
      </c>
      <c r="R73" s="23" t="s">
        <v>8572</v>
      </c>
      <c r="S73" s="23" t="s">
        <v>8443</v>
      </c>
      <c r="T73" s="23" t="s">
        <v>8529</v>
      </c>
      <c r="U73" s="23"/>
      <c r="V73" s="23" t="s">
        <v>8647</v>
      </c>
    </row>
    <row r="74" customFormat="false" ht="15" hidden="false" customHeight="false" outlineLevel="0" collapsed="false">
      <c r="A74" s="20" t="s">
        <v>8648</v>
      </c>
      <c r="B74" s="20" t="s">
        <v>4347</v>
      </c>
      <c r="C74" s="20" t="s">
        <v>5526</v>
      </c>
      <c r="D74" s="20" t="s">
        <v>79</v>
      </c>
      <c r="E74" s="20" t="s">
        <v>8441</v>
      </c>
      <c r="F74" s="20" t="s">
        <v>5527</v>
      </c>
      <c r="G74" s="20" t="s">
        <v>2804</v>
      </c>
      <c r="H74" s="26" t="n">
        <v>364</v>
      </c>
      <c r="I74" s="26" t="n">
        <v>0</v>
      </c>
      <c r="J74" s="26" t="n">
        <v>0</v>
      </c>
      <c r="K74" s="26" t="n">
        <v>0</v>
      </c>
      <c r="L74" s="26" t="n">
        <v>0</v>
      </c>
      <c r="M74" s="26" t="n">
        <f aca="false">SUM(H74:L74)</f>
        <v>364</v>
      </c>
      <c r="N74" s="25" t="n">
        <v>364</v>
      </c>
      <c r="O74" s="25" t="n">
        <f aca="false">M74-N74</f>
        <v>0</v>
      </c>
      <c r="P74" s="25" t="n">
        <f aca="false">K74+L74</f>
        <v>0</v>
      </c>
      <c r="Q74" s="23" t="str">
        <f aca="false">IF(AND(E74="OCCUPIED",P74&gt;0),"DELINQUENT &gt;90","CLEAR")</f>
        <v>CLEAR</v>
      </c>
      <c r="R74" s="23" t="s">
        <v>8617</v>
      </c>
      <c r="S74" s="23" t="s">
        <v>8443</v>
      </c>
      <c r="T74" s="23" t="s">
        <v>8542</v>
      </c>
      <c r="U74" s="23"/>
      <c r="V74" s="23" t="s">
        <v>8649</v>
      </c>
    </row>
    <row r="75" customFormat="false" ht="15" hidden="false" customHeight="false" outlineLevel="0" collapsed="false">
      <c r="A75" s="20" t="s">
        <v>8650</v>
      </c>
      <c r="B75" s="20" t="s">
        <v>5533</v>
      </c>
      <c r="C75" s="20" t="s">
        <v>5531</v>
      </c>
      <c r="D75" s="20" t="s">
        <v>79</v>
      </c>
      <c r="E75" s="20" t="s">
        <v>8441</v>
      </c>
      <c r="F75" s="20" t="s">
        <v>5532</v>
      </c>
      <c r="G75" s="20" t="s">
        <v>2804</v>
      </c>
      <c r="H75" s="26" t="n">
        <v>624</v>
      </c>
      <c r="I75" s="26" t="n">
        <v>0</v>
      </c>
      <c r="J75" s="26" t="n">
        <v>0</v>
      </c>
      <c r="K75" s="26" t="n">
        <v>0</v>
      </c>
      <c r="L75" s="26" t="n">
        <v>0</v>
      </c>
      <c r="M75" s="26" t="n">
        <f aca="false">SUM(H75:L75)</f>
        <v>624</v>
      </c>
      <c r="N75" s="25" t="n">
        <v>624</v>
      </c>
      <c r="O75" s="25" t="n">
        <f aca="false">M75-N75</f>
        <v>0</v>
      </c>
      <c r="P75" s="25" t="n">
        <f aca="false">K75+L75</f>
        <v>0</v>
      </c>
      <c r="Q75" s="23" t="str">
        <f aca="false">IF(AND(E75="OCCUPIED",P75&gt;0),"DELINQUENT &gt;90","CLEAR")</f>
        <v>CLEAR</v>
      </c>
      <c r="R75" s="23" t="s">
        <v>8458</v>
      </c>
      <c r="S75" s="23" t="s">
        <v>8443</v>
      </c>
      <c r="T75" s="23" t="s">
        <v>8651</v>
      </c>
      <c r="U75" s="23"/>
      <c r="V75" s="23" t="s">
        <v>8652</v>
      </c>
    </row>
    <row r="76" customFormat="false" ht="15" hidden="false" customHeight="false" outlineLevel="0" collapsed="false">
      <c r="A76" s="20" t="s">
        <v>8653</v>
      </c>
      <c r="B76" s="20" t="s">
        <v>5538</v>
      </c>
      <c r="C76" s="20" t="s">
        <v>5537</v>
      </c>
      <c r="D76" s="20" t="s">
        <v>79</v>
      </c>
      <c r="E76" s="20" t="s">
        <v>8441</v>
      </c>
      <c r="F76" s="20" t="s">
        <v>2703</v>
      </c>
      <c r="G76" s="20" t="s">
        <v>2804</v>
      </c>
      <c r="H76" s="26" t="n">
        <v>405.6</v>
      </c>
      <c r="I76" s="26" t="n">
        <v>0</v>
      </c>
      <c r="J76" s="26" t="n">
        <v>0</v>
      </c>
      <c r="K76" s="26" t="n">
        <v>0</v>
      </c>
      <c r="L76" s="26" t="n">
        <v>0</v>
      </c>
      <c r="M76" s="26" t="n">
        <f aca="false">SUM(H76:L76)</f>
        <v>405.6</v>
      </c>
      <c r="N76" s="25" t="n">
        <v>405.6</v>
      </c>
      <c r="O76" s="25" t="n">
        <f aca="false">M76-N76</f>
        <v>0</v>
      </c>
      <c r="P76" s="25" t="n">
        <f aca="false">K76+L76</f>
        <v>0</v>
      </c>
      <c r="Q76" s="23" t="str">
        <f aca="false">IF(AND(E76="OCCUPIED",P76&gt;0),"DELINQUENT &gt;90","CLEAR")</f>
        <v>CLEAR</v>
      </c>
      <c r="R76" s="23" t="s">
        <v>8554</v>
      </c>
      <c r="S76" s="23" t="s">
        <v>8443</v>
      </c>
      <c r="T76" s="23" t="s">
        <v>8489</v>
      </c>
      <c r="U76" s="23"/>
      <c r="V76" s="23" t="s">
        <v>8654</v>
      </c>
    </row>
    <row r="77" customFormat="false" ht="15" hidden="false" customHeight="false" outlineLevel="0" collapsed="false">
      <c r="A77" s="20" t="s">
        <v>8655</v>
      </c>
      <c r="B77" s="20" t="s">
        <v>5544</v>
      </c>
      <c r="C77" s="20" t="s">
        <v>5542</v>
      </c>
      <c r="D77" s="20" t="s">
        <v>79</v>
      </c>
      <c r="E77" s="20" t="s">
        <v>8441</v>
      </c>
      <c r="F77" s="20" t="s">
        <v>5543</v>
      </c>
      <c r="G77" s="20" t="s">
        <v>2804</v>
      </c>
      <c r="H77" s="26" t="n">
        <v>416</v>
      </c>
      <c r="I77" s="26" t="n">
        <v>0</v>
      </c>
      <c r="J77" s="26" t="n">
        <v>0</v>
      </c>
      <c r="K77" s="26" t="n">
        <v>0</v>
      </c>
      <c r="L77" s="26" t="n">
        <v>0</v>
      </c>
      <c r="M77" s="26" t="n">
        <f aca="false">SUM(H77:L77)</f>
        <v>416</v>
      </c>
      <c r="N77" s="25" t="n">
        <v>416</v>
      </c>
      <c r="O77" s="25" t="n">
        <f aca="false">M77-N77</f>
        <v>0</v>
      </c>
      <c r="P77" s="25" t="n">
        <f aca="false">K77+L77</f>
        <v>0</v>
      </c>
      <c r="Q77" s="23" t="str">
        <f aca="false">IF(AND(E77="OCCUPIED",P77&gt;0),"DELINQUENT &gt;90","CLEAR")</f>
        <v>CLEAR</v>
      </c>
      <c r="R77" s="23" t="s">
        <v>8507</v>
      </c>
      <c r="S77" s="23" t="s">
        <v>8443</v>
      </c>
      <c r="T77" s="23" t="s">
        <v>8656</v>
      </c>
      <c r="U77" s="23"/>
      <c r="V77" s="23" t="s">
        <v>8657</v>
      </c>
    </row>
    <row r="78" customFormat="false" ht="15" hidden="false" customHeight="false" outlineLevel="0" collapsed="false">
      <c r="A78" s="20" t="s">
        <v>8658</v>
      </c>
      <c r="B78" s="20" t="s">
        <v>5550</v>
      </c>
      <c r="C78" s="20" t="s">
        <v>5548</v>
      </c>
      <c r="D78" s="20" t="s">
        <v>79</v>
      </c>
      <c r="E78" s="20" t="s">
        <v>8441</v>
      </c>
      <c r="F78" s="20" t="s">
        <v>5549</v>
      </c>
      <c r="G78" s="20" t="s">
        <v>2804</v>
      </c>
      <c r="H78" s="26" t="n">
        <v>509.6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f aca="false">SUM(H78:L78)</f>
        <v>509.6</v>
      </c>
      <c r="N78" s="25" t="n">
        <v>0</v>
      </c>
      <c r="O78" s="25" t="n">
        <f aca="false">M78-N78</f>
        <v>509.6</v>
      </c>
      <c r="P78" s="25" t="n">
        <f aca="false">K78+L78</f>
        <v>0</v>
      </c>
      <c r="Q78" s="23" t="str">
        <f aca="false">IF(AND(E78="OCCUPIED",P78&gt;0),"DELINQUENT &gt;90","CLEAR")</f>
        <v>CLEAR</v>
      </c>
      <c r="R78" s="23" t="s">
        <v>8659</v>
      </c>
      <c r="S78" s="23" t="s">
        <v>8443</v>
      </c>
      <c r="T78" s="23" t="s">
        <v>8660</v>
      </c>
      <c r="U78" s="23"/>
      <c r="V78" s="23" t="s">
        <v>8661</v>
      </c>
    </row>
    <row r="79" customFormat="false" ht="15" hidden="false" customHeight="false" outlineLevel="0" collapsed="false">
      <c r="A79" s="20" t="s">
        <v>8662</v>
      </c>
      <c r="B79" s="20" t="s">
        <v>5556</v>
      </c>
      <c r="C79" s="20" t="s">
        <v>5554</v>
      </c>
      <c r="D79" s="20" t="s">
        <v>79</v>
      </c>
      <c r="E79" s="20" t="s">
        <v>8441</v>
      </c>
      <c r="F79" s="20" t="s">
        <v>5555</v>
      </c>
      <c r="G79" s="20" t="s">
        <v>2804</v>
      </c>
      <c r="H79" s="26" t="n">
        <v>416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f aca="false">SUM(H79:L79)</f>
        <v>416</v>
      </c>
      <c r="N79" s="25" t="n">
        <v>416</v>
      </c>
      <c r="O79" s="25" t="n">
        <f aca="false">M79-N79</f>
        <v>0</v>
      </c>
      <c r="P79" s="25" t="n">
        <f aca="false">K79+L79</f>
        <v>0</v>
      </c>
      <c r="Q79" s="23" t="str">
        <f aca="false">IF(AND(E79="OCCUPIED",P79&gt;0),"DELINQUENT &gt;90","CLEAR")</f>
        <v>CLEAR</v>
      </c>
      <c r="R79" s="23" t="s">
        <v>8466</v>
      </c>
      <c r="S79" s="23" t="s">
        <v>8443</v>
      </c>
      <c r="T79" s="23" t="s">
        <v>8663</v>
      </c>
      <c r="U79" s="23"/>
      <c r="V79" s="23" t="s">
        <v>8664</v>
      </c>
    </row>
    <row r="80" customFormat="false" ht="15" hidden="false" customHeight="false" outlineLevel="0" collapsed="false">
      <c r="A80" s="20" t="s">
        <v>8665</v>
      </c>
      <c r="B80" s="20" t="s">
        <v>5562</v>
      </c>
      <c r="C80" s="20" t="s">
        <v>5560</v>
      </c>
      <c r="D80" s="20" t="s">
        <v>79</v>
      </c>
      <c r="E80" s="20" t="s">
        <v>8441</v>
      </c>
      <c r="F80" s="20" t="s">
        <v>5561</v>
      </c>
      <c r="G80" s="20" t="s">
        <v>2804</v>
      </c>
      <c r="H80" s="26" t="n">
        <v>260</v>
      </c>
      <c r="I80" s="26" t="n">
        <v>0</v>
      </c>
      <c r="J80" s="26" t="n">
        <v>0</v>
      </c>
      <c r="K80" s="26" t="n">
        <v>0</v>
      </c>
      <c r="L80" s="26" t="n">
        <v>0</v>
      </c>
      <c r="M80" s="26" t="n">
        <f aca="false">SUM(H80:L80)</f>
        <v>260</v>
      </c>
      <c r="N80" s="25" t="n">
        <v>260</v>
      </c>
      <c r="O80" s="25" t="n">
        <f aca="false">M80-N80</f>
        <v>0</v>
      </c>
      <c r="P80" s="25" t="n">
        <f aca="false">K80+L80</f>
        <v>0</v>
      </c>
      <c r="Q80" s="23" t="str">
        <f aca="false">IF(AND(E80="OCCUPIED",P80&gt;0),"DELINQUENT &gt;90","CLEAR")</f>
        <v>CLEAR</v>
      </c>
      <c r="R80" s="23" t="s">
        <v>8651</v>
      </c>
      <c r="S80" s="23" t="s">
        <v>8443</v>
      </c>
      <c r="T80" s="23" t="s">
        <v>8546</v>
      </c>
      <c r="U80" s="23"/>
      <c r="V80" s="23" t="s">
        <v>8666</v>
      </c>
    </row>
    <row r="81" customFormat="false" ht="15" hidden="false" customHeight="false" outlineLevel="0" collapsed="false">
      <c r="A81" s="20" t="s">
        <v>8667</v>
      </c>
      <c r="B81" s="20" t="s">
        <v>5567</v>
      </c>
      <c r="C81" s="20" t="s">
        <v>519</v>
      </c>
      <c r="D81" s="20" t="s">
        <v>79</v>
      </c>
      <c r="E81" s="20" t="s">
        <v>8441</v>
      </c>
      <c r="F81" s="20" t="s">
        <v>5566</v>
      </c>
      <c r="G81" s="20" t="s">
        <v>2804</v>
      </c>
      <c r="H81" s="26" t="n">
        <v>436.8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f aca="false">SUM(H81:L81)</f>
        <v>436.8</v>
      </c>
      <c r="N81" s="25" t="n">
        <v>436.8</v>
      </c>
      <c r="O81" s="25" t="n">
        <f aca="false">M81-N81</f>
        <v>0</v>
      </c>
      <c r="P81" s="25" t="n">
        <f aca="false">K81+L81</f>
        <v>0</v>
      </c>
      <c r="Q81" s="23" t="str">
        <f aca="false">IF(AND(E81="OCCUPIED",P81&gt;0),"DELINQUENT &gt;90","CLEAR")</f>
        <v>CLEAR</v>
      </c>
      <c r="R81" s="23" t="s">
        <v>8532</v>
      </c>
      <c r="S81" s="23" t="s">
        <v>8443</v>
      </c>
      <c r="T81" s="23" t="s">
        <v>8554</v>
      </c>
      <c r="U81" s="23"/>
      <c r="V81" s="23" t="s">
        <v>8668</v>
      </c>
    </row>
    <row r="82" customFormat="false" ht="15" hidden="false" customHeight="false" outlineLevel="0" collapsed="false">
      <c r="A82" s="20" t="s">
        <v>8669</v>
      </c>
      <c r="B82" s="20" t="s">
        <v>5572</v>
      </c>
      <c r="C82" s="20" t="s">
        <v>1397</v>
      </c>
      <c r="D82" s="20" t="s">
        <v>79</v>
      </c>
      <c r="E82" s="20" t="s">
        <v>8441</v>
      </c>
      <c r="F82" s="20" t="s">
        <v>5571</v>
      </c>
      <c r="G82" s="20" t="s">
        <v>2804</v>
      </c>
      <c r="H82" s="26" t="n">
        <v>291.2</v>
      </c>
      <c r="I82" s="26" t="n">
        <v>0</v>
      </c>
      <c r="J82" s="26" t="n">
        <v>0</v>
      </c>
      <c r="K82" s="26" t="n">
        <v>0</v>
      </c>
      <c r="L82" s="26" t="n">
        <v>0</v>
      </c>
      <c r="M82" s="26" t="n">
        <f aca="false">SUM(H82:L82)</f>
        <v>291.2</v>
      </c>
      <c r="N82" s="25" t="n">
        <v>291.2</v>
      </c>
      <c r="O82" s="25" t="n">
        <f aca="false">M82-N82</f>
        <v>0</v>
      </c>
      <c r="P82" s="25" t="n">
        <f aca="false">K82+L82</f>
        <v>0</v>
      </c>
      <c r="Q82" s="23" t="str">
        <f aca="false">IF(AND(E82="OCCUPIED",P82&gt;0),"DELINQUENT &gt;90","CLEAR")</f>
        <v>CLEAR</v>
      </c>
      <c r="R82" s="23" t="s">
        <v>8558</v>
      </c>
      <c r="S82" s="23" t="s">
        <v>8443</v>
      </c>
      <c r="T82" s="23" t="s">
        <v>8663</v>
      </c>
      <c r="U82" s="23"/>
      <c r="V82" s="23" t="s">
        <v>8670</v>
      </c>
    </row>
    <row r="83" customFormat="false" ht="15" hidden="false" customHeight="false" outlineLevel="0" collapsed="false">
      <c r="A83" s="20" t="s">
        <v>8671</v>
      </c>
      <c r="B83" s="20" t="s">
        <v>5578</v>
      </c>
      <c r="C83" s="20" t="s">
        <v>5576</v>
      </c>
      <c r="D83" s="20" t="s">
        <v>79</v>
      </c>
      <c r="E83" s="20" t="s">
        <v>8441</v>
      </c>
      <c r="F83" s="20" t="s">
        <v>5577</v>
      </c>
      <c r="G83" s="20" t="s">
        <v>2804</v>
      </c>
      <c r="H83" s="26" t="n">
        <v>374.4</v>
      </c>
      <c r="I83" s="26" t="n">
        <v>0</v>
      </c>
      <c r="J83" s="26" t="n">
        <v>0</v>
      </c>
      <c r="K83" s="26" t="n">
        <v>0</v>
      </c>
      <c r="L83" s="26" t="n">
        <v>0</v>
      </c>
      <c r="M83" s="26" t="n">
        <f aca="false">SUM(H83:L83)</f>
        <v>374.4</v>
      </c>
      <c r="N83" s="25" t="n">
        <v>374.4</v>
      </c>
      <c r="O83" s="25" t="n">
        <f aca="false">M83-N83</f>
        <v>0</v>
      </c>
      <c r="P83" s="25" t="n">
        <f aca="false">K83+L83</f>
        <v>0</v>
      </c>
      <c r="Q83" s="23" t="str">
        <f aca="false">IF(AND(E83="OCCUPIED",P83&gt;0),"DELINQUENT &gt;90","CLEAR")</f>
        <v>CLEAR</v>
      </c>
      <c r="R83" s="23" t="s">
        <v>8575</v>
      </c>
      <c r="S83" s="23" t="s">
        <v>8443</v>
      </c>
      <c r="T83" s="23" t="s">
        <v>8495</v>
      </c>
      <c r="U83" s="23"/>
      <c r="V83" s="23" t="s">
        <v>8672</v>
      </c>
    </row>
    <row r="84" customFormat="false" ht="15" hidden="false" customHeight="false" outlineLevel="0" collapsed="false">
      <c r="A84" s="20" t="s">
        <v>8673</v>
      </c>
      <c r="B84" s="20" t="s">
        <v>5583</v>
      </c>
      <c r="C84" s="20" t="s">
        <v>632</v>
      </c>
      <c r="D84" s="20" t="s">
        <v>79</v>
      </c>
      <c r="E84" s="20" t="s">
        <v>8441</v>
      </c>
      <c r="F84" s="20" t="s">
        <v>5582</v>
      </c>
      <c r="G84" s="20" t="s">
        <v>2804</v>
      </c>
      <c r="H84" s="26" t="n">
        <v>499.2</v>
      </c>
      <c r="I84" s="26" t="n">
        <v>0</v>
      </c>
      <c r="J84" s="26" t="n">
        <v>0</v>
      </c>
      <c r="K84" s="26" t="n">
        <v>0</v>
      </c>
      <c r="L84" s="26" t="n">
        <v>0</v>
      </c>
      <c r="M84" s="26" t="n">
        <f aca="false">SUM(H84:L84)</f>
        <v>499.2</v>
      </c>
      <c r="N84" s="25" t="n">
        <v>0</v>
      </c>
      <c r="O84" s="25" t="n">
        <f aca="false">M84-N84</f>
        <v>499.2</v>
      </c>
      <c r="P84" s="25" t="n">
        <f aca="false">K84+L84</f>
        <v>0</v>
      </c>
      <c r="Q84" s="23" t="str">
        <f aca="false">IF(AND(E84="OCCUPIED",P84&gt;0),"DELINQUENT &gt;90","CLEAR")</f>
        <v>CLEAR</v>
      </c>
      <c r="R84" s="23" t="s">
        <v>8507</v>
      </c>
      <c r="S84" s="23" t="s">
        <v>8443</v>
      </c>
      <c r="T84" s="23" t="s">
        <v>8478</v>
      </c>
      <c r="U84" s="23"/>
      <c r="V84" s="23" t="s">
        <v>8674</v>
      </c>
    </row>
    <row r="85" customFormat="false" ht="15" hidden="false" customHeight="false" outlineLevel="0" collapsed="false">
      <c r="A85" s="20" t="s">
        <v>8675</v>
      </c>
      <c r="B85" s="20" t="s">
        <v>5589</v>
      </c>
      <c r="C85" s="20" t="s">
        <v>5587</v>
      </c>
      <c r="D85" s="20" t="s">
        <v>79</v>
      </c>
      <c r="E85" s="20" t="s">
        <v>8441</v>
      </c>
      <c r="F85" s="20" t="s">
        <v>5588</v>
      </c>
      <c r="G85" s="20" t="s">
        <v>2804</v>
      </c>
      <c r="H85" s="26" t="n">
        <v>634.4</v>
      </c>
      <c r="I85" s="26" t="n">
        <v>0</v>
      </c>
      <c r="J85" s="26" t="n">
        <v>0</v>
      </c>
      <c r="K85" s="26" t="n">
        <v>0</v>
      </c>
      <c r="L85" s="26" t="n">
        <v>0</v>
      </c>
      <c r="M85" s="26" t="n">
        <f aca="false">SUM(H85:L85)</f>
        <v>634.4</v>
      </c>
      <c r="N85" s="25" t="n">
        <v>634.4</v>
      </c>
      <c r="O85" s="25" t="n">
        <f aca="false">M85-N85</f>
        <v>0</v>
      </c>
      <c r="P85" s="25" t="n">
        <f aca="false">K85+L85</f>
        <v>0</v>
      </c>
      <c r="Q85" s="23" t="str">
        <f aca="false">IF(AND(E85="OCCUPIED",P85&gt;0),"DELINQUENT &gt;90","CLEAR")</f>
        <v>CLEAR</v>
      </c>
      <c r="R85" s="23" t="s">
        <v>8481</v>
      </c>
      <c r="S85" s="23" t="s">
        <v>8443</v>
      </c>
      <c r="T85" s="23" t="s">
        <v>8611</v>
      </c>
      <c r="U85" s="23"/>
      <c r="V85" s="23" t="s">
        <v>8676</v>
      </c>
    </row>
    <row r="86" customFormat="false" ht="15" hidden="false" customHeight="false" outlineLevel="0" collapsed="false">
      <c r="A86" s="20" t="s">
        <v>8677</v>
      </c>
      <c r="B86" s="20" t="s">
        <v>5595</v>
      </c>
      <c r="C86" s="20" t="s">
        <v>5593</v>
      </c>
      <c r="D86" s="20" t="s">
        <v>79</v>
      </c>
      <c r="E86" s="20" t="s">
        <v>8441</v>
      </c>
      <c r="F86" s="20" t="s">
        <v>5594</v>
      </c>
      <c r="G86" s="20" t="s">
        <v>2804</v>
      </c>
      <c r="H86" s="26" t="n">
        <v>457.6</v>
      </c>
      <c r="I86" s="26" t="n">
        <v>0</v>
      </c>
      <c r="J86" s="26" t="n">
        <v>0</v>
      </c>
      <c r="K86" s="26" t="n">
        <v>0</v>
      </c>
      <c r="L86" s="26" t="n">
        <v>0</v>
      </c>
      <c r="M86" s="26" t="n">
        <f aca="false">SUM(H86:L86)</f>
        <v>457.6</v>
      </c>
      <c r="N86" s="25" t="n">
        <v>457.6</v>
      </c>
      <c r="O86" s="25" t="n">
        <f aca="false">M86-N86</f>
        <v>0</v>
      </c>
      <c r="P86" s="25" t="n">
        <f aca="false">K86+L86</f>
        <v>0</v>
      </c>
      <c r="Q86" s="23" t="str">
        <f aca="false">IF(AND(E86="OCCUPIED",P86&gt;0),"DELINQUENT &gt;90","CLEAR")</f>
        <v>CLEAR</v>
      </c>
      <c r="R86" s="23" t="s">
        <v>8678</v>
      </c>
      <c r="S86" s="23" t="s">
        <v>8443</v>
      </c>
      <c r="T86" s="23" t="s">
        <v>8651</v>
      </c>
      <c r="U86" s="23"/>
      <c r="V86" s="23" t="s">
        <v>8679</v>
      </c>
    </row>
    <row r="87" customFormat="false" ht="15" hidden="false" customHeight="false" outlineLevel="0" collapsed="false">
      <c r="A87" s="20" t="s">
        <v>8680</v>
      </c>
      <c r="B87" s="20" t="s">
        <v>5601</v>
      </c>
      <c r="C87" s="20" t="s">
        <v>5599</v>
      </c>
      <c r="D87" s="20" t="s">
        <v>79</v>
      </c>
      <c r="E87" s="20" t="s">
        <v>8441</v>
      </c>
      <c r="F87" s="20" t="s">
        <v>5600</v>
      </c>
      <c r="G87" s="20" t="s">
        <v>2804</v>
      </c>
      <c r="H87" s="26" t="n">
        <v>468</v>
      </c>
      <c r="I87" s="26" t="n">
        <v>468</v>
      </c>
      <c r="J87" s="26" t="n">
        <v>0</v>
      </c>
      <c r="K87" s="26" t="n">
        <v>0</v>
      </c>
      <c r="L87" s="26" t="n">
        <v>0</v>
      </c>
      <c r="M87" s="26" t="n">
        <f aca="false">SUM(H87:L87)</f>
        <v>936</v>
      </c>
      <c r="N87" s="25" t="n">
        <v>936</v>
      </c>
      <c r="O87" s="25" t="n">
        <f aca="false">M87-N87</f>
        <v>0</v>
      </c>
      <c r="P87" s="25" t="n">
        <f aca="false">K87+L87</f>
        <v>0</v>
      </c>
      <c r="Q87" s="23" t="str">
        <f aca="false">IF(AND(E87="OCCUPIED",P87&gt;0),"DELINQUENT &gt;90","CLEAR")</f>
        <v>CLEAR</v>
      </c>
      <c r="R87" s="23" t="s">
        <v>8477</v>
      </c>
      <c r="S87" s="23" t="s">
        <v>8467</v>
      </c>
      <c r="T87" s="23" t="s">
        <v>8485</v>
      </c>
      <c r="U87" s="23"/>
      <c r="V87" s="23" t="s">
        <v>8681</v>
      </c>
    </row>
    <row r="88" customFormat="false" ht="15" hidden="false" customHeight="false" outlineLevel="0" collapsed="false">
      <c r="A88" s="20" t="s">
        <v>8682</v>
      </c>
      <c r="B88" s="20" t="s">
        <v>1065</v>
      </c>
      <c r="C88" s="20" t="s">
        <v>5605</v>
      </c>
      <c r="D88" s="20" t="s">
        <v>79</v>
      </c>
      <c r="E88" s="20" t="s">
        <v>8441</v>
      </c>
      <c r="F88" s="20" t="s">
        <v>1064</v>
      </c>
      <c r="G88" s="20" t="s">
        <v>2804</v>
      </c>
      <c r="H88" s="26" t="n">
        <v>374.4</v>
      </c>
      <c r="I88" s="26" t="n">
        <v>0</v>
      </c>
      <c r="J88" s="26" t="n">
        <v>0</v>
      </c>
      <c r="K88" s="26" t="n">
        <v>0</v>
      </c>
      <c r="L88" s="26" t="n">
        <v>0</v>
      </c>
      <c r="M88" s="26" t="n">
        <f aca="false">SUM(H88:L88)</f>
        <v>374.4</v>
      </c>
      <c r="N88" s="25" t="n">
        <v>374.4</v>
      </c>
      <c r="O88" s="25" t="n">
        <f aca="false">M88-N88</f>
        <v>0</v>
      </c>
      <c r="P88" s="25" t="n">
        <f aca="false">K88+L88</f>
        <v>0</v>
      </c>
      <c r="Q88" s="23" t="str">
        <f aca="false">IF(AND(E88="OCCUPIED",P88&gt;0),"DELINQUENT &gt;90","CLEAR")</f>
        <v>CLEAR</v>
      </c>
      <c r="R88" s="23" t="s">
        <v>8503</v>
      </c>
      <c r="S88" s="23" t="s">
        <v>8443</v>
      </c>
      <c r="T88" s="23" t="s">
        <v>8529</v>
      </c>
      <c r="U88" s="23"/>
      <c r="V88" s="23" t="s">
        <v>8683</v>
      </c>
    </row>
    <row r="89" customFormat="false" ht="15" hidden="false" customHeight="false" outlineLevel="0" collapsed="false">
      <c r="A89" s="20" t="s">
        <v>8684</v>
      </c>
      <c r="B89" s="20" t="s">
        <v>5611</v>
      </c>
      <c r="C89" s="20" t="s">
        <v>5609</v>
      </c>
      <c r="D89" s="20" t="s">
        <v>79</v>
      </c>
      <c r="E89" s="20" t="s">
        <v>8441</v>
      </c>
      <c r="F89" s="20" t="s">
        <v>5610</v>
      </c>
      <c r="G89" s="20" t="s">
        <v>2804</v>
      </c>
      <c r="H89" s="26" t="n">
        <v>291.2</v>
      </c>
      <c r="I89" s="26" t="n">
        <v>0</v>
      </c>
      <c r="J89" s="26" t="n">
        <v>0</v>
      </c>
      <c r="K89" s="26" t="n">
        <v>0</v>
      </c>
      <c r="L89" s="26" t="n">
        <v>0</v>
      </c>
      <c r="M89" s="26" t="n">
        <f aca="false">SUM(H89:L89)</f>
        <v>291.2</v>
      </c>
      <c r="N89" s="25" t="n">
        <v>0</v>
      </c>
      <c r="O89" s="25" t="n">
        <f aca="false">M89-N89</f>
        <v>291.2</v>
      </c>
      <c r="P89" s="25" t="n">
        <f aca="false">K89+L89</f>
        <v>0</v>
      </c>
      <c r="Q89" s="23" t="str">
        <f aca="false">IF(AND(E89="OCCUPIED",P89&gt;0),"DELINQUENT &gt;90","CLEAR")</f>
        <v>CLEAR</v>
      </c>
      <c r="R89" s="23" t="s">
        <v>8542</v>
      </c>
      <c r="S89" s="23" t="s">
        <v>8443</v>
      </c>
      <c r="T89" s="23" t="s">
        <v>8484</v>
      </c>
      <c r="U89" s="23"/>
      <c r="V89" s="23" t="s">
        <v>8685</v>
      </c>
    </row>
    <row r="90" customFormat="false" ht="15" hidden="false" customHeight="false" outlineLevel="0" collapsed="false">
      <c r="A90" s="20" t="s">
        <v>8686</v>
      </c>
      <c r="B90" s="20" t="s">
        <v>5617</v>
      </c>
      <c r="C90" s="20" t="s">
        <v>5615</v>
      </c>
      <c r="D90" s="20" t="s">
        <v>79</v>
      </c>
      <c r="E90" s="20" t="s">
        <v>8441</v>
      </c>
      <c r="F90" s="20" t="s">
        <v>5616</v>
      </c>
      <c r="G90" s="20" t="s">
        <v>2804</v>
      </c>
      <c r="H90" s="26" t="n">
        <v>353.6</v>
      </c>
      <c r="I90" s="26" t="n">
        <v>0</v>
      </c>
      <c r="J90" s="26" t="n">
        <v>0</v>
      </c>
      <c r="K90" s="26" t="n">
        <v>0</v>
      </c>
      <c r="L90" s="26" t="n">
        <v>0</v>
      </c>
      <c r="M90" s="26" t="n">
        <f aca="false">SUM(H90:L90)</f>
        <v>353.6</v>
      </c>
      <c r="N90" s="25" t="n">
        <v>353.6</v>
      </c>
      <c r="O90" s="25" t="n">
        <f aca="false">M90-N90</f>
        <v>0</v>
      </c>
      <c r="P90" s="25" t="n">
        <f aca="false">K90+L90</f>
        <v>0</v>
      </c>
      <c r="Q90" s="23" t="str">
        <f aca="false">IF(AND(E90="OCCUPIED",P90&gt;0),"DELINQUENT &gt;90","CLEAR")</f>
        <v>CLEAR</v>
      </c>
      <c r="R90" s="23" t="s">
        <v>8687</v>
      </c>
      <c r="S90" s="23" t="s">
        <v>8443</v>
      </c>
      <c r="T90" s="23" t="s">
        <v>8611</v>
      </c>
      <c r="U90" s="23"/>
      <c r="V90" s="23" t="s">
        <v>8688</v>
      </c>
    </row>
    <row r="91" customFormat="false" ht="15" hidden="false" customHeight="false" outlineLevel="0" collapsed="false">
      <c r="A91" s="20" t="s">
        <v>8689</v>
      </c>
      <c r="B91" s="20" t="s">
        <v>5623</v>
      </c>
      <c r="C91" s="20" t="s">
        <v>5621</v>
      </c>
      <c r="D91" s="20" t="s">
        <v>79</v>
      </c>
      <c r="E91" s="20" t="s">
        <v>8441</v>
      </c>
      <c r="F91" s="20" t="s">
        <v>5622</v>
      </c>
      <c r="G91" s="20" t="s">
        <v>2804</v>
      </c>
      <c r="H91" s="26" t="n">
        <v>416</v>
      </c>
      <c r="I91" s="26" t="n">
        <v>0</v>
      </c>
      <c r="J91" s="26" t="n">
        <v>0</v>
      </c>
      <c r="K91" s="26" t="n">
        <v>0</v>
      </c>
      <c r="L91" s="26" t="n">
        <v>0</v>
      </c>
      <c r="M91" s="26" t="n">
        <f aca="false">SUM(H91:L91)</f>
        <v>416</v>
      </c>
      <c r="N91" s="25" t="n">
        <v>416</v>
      </c>
      <c r="O91" s="25" t="n">
        <f aca="false">M91-N91</f>
        <v>0</v>
      </c>
      <c r="P91" s="25" t="n">
        <f aca="false">K91+L91</f>
        <v>0</v>
      </c>
      <c r="Q91" s="23" t="str">
        <f aca="false">IF(AND(E91="OCCUPIED",P91&gt;0),"DELINQUENT &gt;90","CLEAR")</f>
        <v>CLEAR</v>
      </c>
      <c r="R91" s="23" t="s">
        <v>8690</v>
      </c>
      <c r="S91" s="23" t="s">
        <v>8443</v>
      </c>
      <c r="T91" s="23" t="s">
        <v>8478</v>
      </c>
      <c r="U91" s="23"/>
      <c r="V91" s="23" t="s">
        <v>8691</v>
      </c>
    </row>
    <row r="92" customFormat="false" ht="15" hidden="false" customHeight="false" outlineLevel="0" collapsed="false">
      <c r="A92" s="20" t="s">
        <v>8692</v>
      </c>
      <c r="B92" s="20" t="s">
        <v>5629</v>
      </c>
      <c r="C92" s="20" t="s">
        <v>5627</v>
      </c>
      <c r="D92" s="20" t="s">
        <v>79</v>
      </c>
      <c r="E92" s="20" t="s">
        <v>8441</v>
      </c>
      <c r="F92" s="20" t="s">
        <v>5628</v>
      </c>
      <c r="G92" s="20" t="s">
        <v>2804</v>
      </c>
      <c r="H92" s="26" t="n">
        <v>301.6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f aca="false">SUM(H92:L92)</f>
        <v>301.6</v>
      </c>
      <c r="N92" s="25" t="n">
        <v>301.6</v>
      </c>
      <c r="O92" s="25" t="n">
        <f aca="false">M92-N92</f>
        <v>0</v>
      </c>
      <c r="P92" s="25" t="n">
        <f aca="false">K92+L92</f>
        <v>0</v>
      </c>
      <c r="Q92" s="23" t="str">
        <f aca="false">IF(AND(E92="OCCUPIED",P92&gt;0),"DELINQUENT &gt;90","CLEAR")</f>
        <v>CLEAR</v>
      </c>
      <c r="R92" s="23" t="s">
        <v>8510</v>
      </c>
      <c r="S92" s="23" t="s">
        <v>8443</v>
      </c>
      <c r="T92" s="23" t="s">
        <v>8462</v>
      </c>
      <c r="U92" s="23"/>
      <c r="V92" s="23" t="s">
        <v>8693</v>
      </c>
    </row>
    <row r="93" customFormat="false" ht="15" hidden="false" customHeight="false" outlineLevel="0" collapsed="false">
      <c r="A93" s="20" t="s">
        <v>8694</v>
      </c>
      <c r="B93" s="20" t="s">
        <v>5635</v>
      </c>
      <c r="C93" s="20" t="s">
        <v>5633</v>
      </c>
      <c r="D93" s="20" t="s">
        <v>79</v>
      </c>
      <c r="E93" s="20" t="s">
        <v>8441</v>
      </c>
      <c r="F93" s="20" t="s">
        <v>5634</v>
      </c>
      <c r="G93" s="20" t="s">
        <v>2804</v>
      </c>
      <c r="H93" s="26" t="n">
        <v>561.6</v>
      </c>
      <c r="I93" s="26" t="n">
        <v>0</v>
      </c>
      <c r="J93" s="26" t="n">
        <v>0</v>
      </c>
      <c r="K93" s="26" t="n">
        <v>0</v>
      </c>
      <c r="L93" s="26" t="n">
        <v>0</v>
      </c>
      <c r="M93" s="26" t="n">
        <f aca="false">SUM(H93:L93)</f>
        <v>561.6</v>
      </c>
      <c r="N93" s="25" t="n">
        <v>561.6</v>
      </c>
      <c r="O93" s="25" t="n">
        <f aca="false">M93-N93</f>
        <v>0</v>
      </c>
      <c r="P93" s="25" t="n">
        <f aca="false">K93+L93</f>
        <v>0</v>
      </c>
      <c r="Q93" s="23" t="str">
        <f aca="false">IF(AND(E93="OCCUPIED",P93&gt;0),"DELINQUENT &gt;90","CLEAR")</f>
        <v>CLEAR</v>
      </c>
      <c r="R93" s="23" t="s">
        <v>8488</v>
      </c>
      <c r="S93" s="23" t="s">
        <v>8443</v>
      </c>
      <c r="T93" s="23" t="s">
        <v>8529</v>
      </c>
      <c r="U93" s="23"/>
      <c r="V93" s="23" t="s">
        <v>8695</v>
      </c>
    </row>
    <row r="94" customFormat="false" ht="15" hidden="false" customHeight="false" outlineLevel="0" collapsed="false">
      <c r="A94" s="20" t="s">
        <v>8696</v>
      </c>
      <c r="B94" s="20" t="s">
        <v>5641</v>
      </c>
      <c r="C94" s="20" t="s">
        <v>5639</v>
      </c>
      <c r="D94" s="20" t="s">
        <v>79</v>
      </c>
      <c r="E94" s="20" t="s">
        <v>8441</v>
      </c>
      <c r="F94" s="20" t="s">
        <v>5640</v>
      </c>
      <c r="G94" s="20" t="s">
        <v>2804</v>
      </c>
      <c r="H94" s="26" t="n">
        <v>353.6</v>
      </c>
      <c r="I94" s="26" t="n">
        <v>353.6</v>
      </c>
      <c r="J94" s="26" t="n">
        <v>353.6</v>
      </c>
      <c r="K94" s="26" t="n">
        <v>0</v>
      </c>
      <c r="L94" s="26" t="n">
        <v>0</v>
      </c>
      <c r="M94" s="26" t="n">
        <f aca="false">SUM(H94:L94)</f>
        <v>1060.8</v>
      </c>
      <c r="N94" s="25" t="n">
        <v>1060.8</v>
      </c>
      <c r="O94" s="25" t="n">
        <f aca="false">M94-N94</f>
        <v>0</v>
      </c>
      <c r="P94" s="25" t="n">
        <f aca="false">K94+L94</f>
        <v>0</v>
      </c>
      <c r="Q94" s="23" t="str">
        <f aca="false">IF(AND(E94="OCCUPIED",P94&gt;0),"DELINQUENT &gt;90","CLEAR")</f>
        <v>CLEAR</v>
      </c>
      <c r="R94" s="23" t="s">
        <v>8466</v>
      </c>
      <c r="S94" s="23" t="s">
        <v>8467</v>
      </c>
      <c r="T94" s="23" t="s">
        <v>8660</v>
      </c>
      <c r="U94" s="23"/>
      <c r="V94" s="23" t="s">
        <v>8697</v>
      </c>
    </row>
    <row r="95" customFormat="false" ht="15" hidden="false" customHeight="false" outlineLevel="0" collapsed="false">
      <c r="A95" s="20" t="s">
        <v>8698</v>
      </c>
      <c r="B95" s="20" t="s">
        <v>5646</v>
      </c>
      <c r="C95" s="20" t="s">
        <v>1503</v>
      </c>
      <c r="D95" s="20" t="s">
        <v>79</v>
      </c>
      <c r="E95" s="20" t="s">
        <v>8441</v>
      </c>
      <c r="F95" s="20" t="s">
        <v>5645</v>
      </c>
      <c r="G95" s="20" t="s">
        <v>2804</v>
      </c>
      <c r="H95" s="26" t="n">
        <v>603.2</v>
      </c>
      <c r="I95" s="26" t="n">
        <v>0</v>
      </c>
      <c r="J95" s="26" t="n">
        <v>0</v>
      </c>
      <c r="K95" s="26" t="n">
        <v>0</v>
      </c>
      <c r="L95" s="26" t="n">
        <v>0</v>
      </c>
      <c r="M95" s="26" t="n">
        <f aca="false">SUM(H95:L95)</f>
        <v>603.2</v>
      </c>
      <c r="N95" s="25" t="n">
        <v>603.2</v>
      </c>
      <c r="O95" s="25" t="n">
        <f aca="false">M95-N95</f>
        <v>0</v>
      </c>
      <c r="P95" s="25" t="n">
        <f aca="false">K95+L95</f>
        <v>0</v>
      </c>
      <c r="Q95" s="23" t="str">
        <f aca="false">IF(AND(E95="OCCUPIED",P95&gt;0),"DELINQUENT &gt;90","CLEAR")</f>
        <v>CLEAR</v>
      </c>
      <c r="R95" s="23" t="s">
        <v>8610</v>
      </c>
      <c r="S95" s="23" t="s">
        <v>8443</v>
      </c>
      <c r="T95" s="23" t="s">
        <v>8466</v>
      </c>
      <c r="U95" s="23"/>
      <c r="V95" s="23" t="s">
        <v>8699</v>
      </c>
    </row>
    <row r="96" customFormat="false" ht="15" hidden="false" customHeight="false" outlineLevel="0" collapsed="false">
      <c r="A96" s="20" t="s">
        <v>8700</v>
      </c>
      <c r="B96" s="20" t="s">
        <v>5652</v>
      </c>
      <c r="C96" s="20" t="s">
        <v>5650</v>
      </c>
      <c r="D96" s="20" t="s">
        <v>79</v>
      </c>
      <c r="E96" s="20" t="s">
        <v>8441</v>
      </c>
      <c r="F96" s="20" t="s">
        <v>5651</v>
      </c>
      <c r="G96" s="20" t="s">
        <v>2804</v>
      </c>
      <c r="H96" s="26" t="n">
        <v>603.2</v>
      </c>
      <c r="I96" s="26" t="n">
        <v>603.2</v>
      </c>
      <c r="J96" s="26" t="n">
        <v>0</v>
      </c>
      <c r="K96" s="26" t="n">
        <v>0</v>
      </c>
      <c r="L96" s="26" t="n">
        <v>0</v>
      </c>
      <c r="M96" s="26" t="n">
        <f aca="false">SUM(H96:L96)</f>
        <v>1206.4</v>
      </c>
      <c r="N96" s="25" t="n">
        <v>1206.4</v>
      </c>
      <c r="O96" s="25" t="n">
        <f aca="false">M96-N96</f>
        <v>0</v>
      </c>
      <c r="P96" s="25" t="n">
        <f aca="false">K96+L96</f>
        <v>0</v>
      </c>
      <c r="Q96" s="23" t="str">
        <f aca="false">IF(AND(E96="OCCUPIED",P96&gt;0),"DELINQUENT &gt;90","CLEAR")</f>
        <v>CLEAR</v>
      </c>
      <c r="R96" s="23" t="s">
        <v>8678</v>
      </c>
      <c r="S96" s="23" t="s">
        <v>8467</v>
      </c>
      <c r="T96" s="23" t="s">
        <v>8452</v>
      </c>
      <c r="U96" s="23" t="s">
        <v>8463</v>
      </c>
      <c r="V96" s="23" t="s">
        <v>8701</v>
      </c>
    </row>
    <row r="97" customFormat="false" ht="15" hidden="false" customHeight="false" outlineLevel="0" collapsed="false">
      <c r="A97" s="20" t="s">
        <v>8702</v>
      </c>
      <c r="B97" s="20" t="s">
        <v>5658</v>
      </c>
      <c r="C97" s="20" t="s">
        <v>5656</v>
      </c>
      <c r="D97" s="20" t="s">
        <v>79</v>
      </c>
      <c r="E97" s="20" t="s">
        <v>8441</v>
      </c>
      <c r="F97" s="20" t="s">
        <v>5657</v>
      </c>
      <c r="G97" s="20" t="s">
        <v>2804</v>
      </c>
      <c r="H97" s="26" t="n">
        <v>488.8</v>
      </c>
      <c r="I97" s="26" t="n">
        <v>0</v>
      </c>
      <c r="J97" s="26" t="n">
        <v>0</v>
      </c>
      <c r="K97" s="26" t="n">
        <v>0</v>
      </c>
      <c r="L97" s="26" t="n">
        <v>0</v>
      </c>
      <c r="M97" s="26" t="n">
        <f aca="false">SUM(H97:L97)</f>
        <v>488.8</v>
      </c>
      <c r="N97" s="25" t="n">
        <v>488.8</v>
      </c>
      <c r="O97" s="25" t="n">
        <f aca="false">M97-N97</f>
        <v>0</v>
      </c>
      <c r="P97" s="25" t="n">
        <f aca="false">K97+L97</f>
        <v>0</v>
      </c>
      <c r="Q97" s="23" t="str">
        <f aca="false">IF(AND(E97="OCCUPIED",P97&gt;0),"DELINQUENT &gt;90","CLEAR")</f>
        <v>CLEAR</v>
      </c>
      <c r="R97" s="23" t="s">
        <v>8614</v>
      </c>
      <c r="S97" s="23" t="s">
        <v>8443</v>
      </c>
      <c r="T97" s="23" t="s">
        <v>8510</v>
      </c>
      <c r="U97" s="23"/>
      <c r="V97" s="23" t="s">
        <v>8703</v>
      </c>
    </row>
    <row r="98" customFormat="false" ht="15" hidden="false" customHeight="false" outlineLevel="0" collapsed="false">
      <c r="A98" s="20" t="s">
        <v>8704</v>
      </c>
      <c r="B98" s="20" t="s">
        <v>5663</v>
      </c>
      <c r="C98" s="20" t="s">
        <v>5662</v>
      </c>
      <c r="D98" s="20" t="s">
        <v>79</v>
      </c>
      <c r="E98" s="20" t="s">
        <v>8441</v>
      </c>
      <c r="F98" s="20" t="s">
        <v>1384</v>
      </c>
      <c r="G98" s="20" t="s">
        <v>2804</v>
      </c>
      <c r="H98" s="26" t="n">
        <v>426.4</v>
      </c>
      <c r="I98" s="26" t="n">
        <v>0</v>
      </c>
      <c r="J98" s="26" t="n">
        <v>0</v>
      </c>
      <c r="K98" s="26" t="n">
        <v>0</v>
      </c>
      <c r="L98" s="26" t="n">
        <v>0</v>
      </c>
      <c r="M98" s="26" t="n">
        <f aca="false">SUM(H98:L98)</f>
        <v>426.4</v>
      </c>
      <c r="N98" s="25" t="n">
        <v>426.4</v>
      </c>
      <c r="O98" s="25" t="n">
        <f aca="false">M98-N98</f>
        <v>0</v>
      </c>
      <c r="P98" s="25" t="n">
        <f aca="false">K98+L98</f>
        <v>0</v>
      </c>
      <c r="Q98" s="23" t="str">
        <f aca="false">IF(AND(E98="OCCUPIED",P98&gt;0),"DELINQUENT &gt;90","CLEAR")</f>
        <v>CLEAR</v>
      </c>
      <c r="R98" s="23" t="s">
        <v>8554</v>
      </c>
      <c r="S98" s="23" t="s">
        <v>8443</v>
      </c>
      <c r="T98" s="23" t="s">
        <v>8462</v>
      </c>
      <c r="U98" s="23"/>
      <c r="V98" s="23" t="s">
        <v>8705</v>
      </c>
    </row>
    <row r="99" customFormat="false" ht="15" hidden="false" customHeight="false" outlineLevel="0" collapsed="false">
      <c r="A99" s="20" t="s">
        <v>8706</v>
      </c>
      <c r="B99" s="20" t="s">
        <v>5668</v>
      </c>
      <c r="C99" s="20" t="s">
        <v>5667</v>
      </c>
      <c r="D99" s="20" t="s">
        <v>79</v>
      </c>
      <c r="E99" s="20" t="s">
        <v>8441</v>
      </c>
      <c r="F99" s="20" t="s">
        <v>2340</v>
      </c>
      <c r="G99" s="20" t="s">
        <v>2804</v>
      </c>
      <c r="H99" s="26" t="n">
        <v>592.8</v>
      </c>
      <c r="I99" s="26" t="n">
        <v>0</v>
      </c>
      <c r="J99" s="26" t="n">
        <v>0</v>
      </c>
      <c r="K99" s="26" t="n">
        <v>0</v>
      </c>
      <c r="L99" s="26" t="n">
        <v>0</v>
      </c>
      <c r="M99" s="26" t="n">
        <f aca="false">SUM(H99:L99)</f>
        <v>592.8</v>
      </c>
      <c r="N99" s="25" t="n">
        <v>592.8</v>
      </c>
      <c r="O99" s="25" t="n">
        <f aca="false">M99-N99</f>
        <v>0</v>
      </c>
      <c r="P99" s="25" t="n">
        <f aca="false">K99+L99</f>
        <v>0</v>
      </c>
      <c r="Q99" s="23" t="str">
        <f aca="false">IF(AND(E99="OCCUPIED",P99&gt;0),"DELINQUENT &gt;90","CLEAR")</f>
        <v>CLEAR</v>
      </c>
      <c r="R99" s="23" t="s">
        <v>8458</v>
      </c>
      <c r="S99" s="23" t="s">
        <v>8443</v>
      </c>
      <c r="T99" s="23" t="s">
        <v>8539</v>
      </c>
      <c r="U99" s="23"/>
      <c r="V99" s="23" t="s">
        <v>8707</v>
      </c>
    </row>
    <row r="100" customFormat="false" ht="15" hidden="false" customHeight="false" outlineLevel="0" collapsed="false">
      <c r="A100" s="20" t="s">
        <v>8708</v>
      </c>
      <c r="B100" s="20" t="s">
        <v>5674</v>
      </c>
      <c r="C100" s="20" t="s">
        <v>5672</v>
      </c>
      <c r="D100" s="20" t="s">
        <v>79</v>
      </c>
      <c r="E100" s="20" t="s">
        <v>8441</v>
      </c>
      <c r="F100" s="20" t="s">
        <v>5673</v>
      </c>
      <c r="G100" s="20" t="s">
        <v>2804</v>
      </c>
      <c r="H100" s="26" t="n">
        <v>520</v>
      </c>
      <c r="I100" s="26" t="n">
        <v>520</v>
      </c>
      <c r="J100" s="26" t="n">
        <v>0</v>
      </c>
      <c r="K100" s="26" t="n">
        <v>0</v>
      </c>
      <c r="L100" s="26" t="n">
        <v>0</v>
      </c>
      <c r="M100" s="26" t="n">
        <f aca="false">SUM(H100:L100)</f>
        <v>1040</v>
      </c>
      <c r="N100" s="25" t="n">
        <v>1040</v>
      </c>
      <c r="O100" s="25" t="n">
        <f aca="false">M100-N100</f>
        <v>0</v>
      </c>
      <c r="P100" s="25" t="n">
        <f aca="false">K100+L100</f>
        <v>0</v>
      </c>
      <c r="Q100" s="23" t="str">
        <f aca="false">IF(AND(E100="OCCUPIED",P100&gt;0),"DELINQUENT &gt;90","CLEAR")</f>
        <v>CLEAR</v>
      </c>
      <c r="R100" s="23" t="s">
        <v>8496</v>
      </c>
      <c r="S100" s="23" t="s">
        <v>8467</v>
      </c>
      <c r="T100" s="23" t="s">
        <v>8542</v>
      </c>
      <c r="U100" s="23"/>
      <c r="V100" s="23" t="s">
        <v>8709</v>
      </c>
    </row>
    <row r="101" customFormat="false" ht="15" hidden="false" customHeight="false" outlineLevel="0" collapsed="false">
      <c r="A101" s="20" t="s">
        <v>8710</v>
      </c>
      <c r="B101" s="20" t="s">
        <v>5680</v>
      </c>
      <c r="C101" s="20" t="s">
        <v>5678</v>
      </c>
      <c r="D101" s="20" t="s">
        <v>79</v>
      </c>
      <c r="E101" s="20" t="s">
        <v>8441</v>
      </c>
      <c r="F101" s="20" t="s">
        <v>5679</v>
      </c>
      <c r="G101" s="20" t="s">
        <v>2804</v>
      </c>
      <c r="H101" s="26" t="n">
        <v>613.6</v>
      </c>
      <c r="I101" s="26" t="n">
        <v>0</v>
      </c>
      <c r="J101" s="26" t="n">
        <v>0</v>
      </c>
      <c r="K101" s="26" t="n">
        <v>0</v>
      </c>
      <c r="L101" s="26" t="n">
        <v>0</v>
      </c>
      <c r="M101" s="26" t="n">
        <f aca="false">SUM(H101:L101)</f>
        <v>613.6</v>
      </c>
      <c r="N101" s="25" t="n">
        <v>613.6</v>
      </c>
      <c r="O101" s="25" t="n">
        <f aca="false">M101-N101</f>
        <v>0</v>
      </c>
      <c r="P101" s="25" t="n">
        <f aca="false">K101+L101</f>
        <v>0</v>
      </c>
      <c r="Q101" s="23" t="str">
        <f aca="false">IF(AND(E101="OCCUPIED",P101&gt;0),"DELINQUENT &gt;90","CLEAR")</f>
        <v>CLEAR</v>
      </c>
      <c r="R101" s="23" t="s">
        <v>8660</v>
      </c>
      <c r="S101" s="23" t="s">
        <v>8443</v>
      </c>
      <c r="T101" s="23" t="s">
        <v>8640</v>
      </c>
      <c r="U101" s="23"/>
      <c r="V101" s="23" t="s">
        <v>8711</v>
      </c>
    </row>
    <row r="102" customFormat="false" ht="15" hidden="false" customHeight="false" outlineLevel="0" collapsed="false">
      <c r="A102" s="20" t="s">
        <v>8712</v>
      </c>
      <c r="B102" s="20" t="s">
        <v>5686</v>
      </c>
      <c r="C102" s="20" t="s">
        <v>5684</v>
      </c>
      <c r="D102" s="20" t="s">
        <v>79</v>
      </c>
      <c r="E102" s="20" t="s">
        <v>8441</v>
      </c>
      <c r="F102" s="20" t="s">
        <v>5685</v>
      </c>
      <c r="G102" s="20" t="s">
        <v>2804</v>
      </c>
      <c r="H102" s="26" t="n">
        <v>416</v>
      </c>
      <c r="I102" s="26" t="n">
        <v>0</v>
      </c>
      <c r="J102" s="26" t="n">
        <v>0</v>
      </c>
      <c r="K102" s="26" t="n">
        <v>0</v>
      </c>
      <c r="L102" s="26" t="n">
        <v>0</v>
      </c>
      <c r="M102" s="26" t="n">
        <f aca="false">SUM(H102:L102)</f>
        <v>416</v>
      </c>
      <c r="N102" s="25" t="n">
        <v>416</v>
      </c>
      <c r="O102" s="25" t="n">
        <f aca="false">M102-N102</f>
        <v>0</v>
      </c>
      <c r="P102" s="25" t="n">
        <f aca="false">K102+L102</f>
        <v>0</v>
      </c>
      <c r="Q102" s="23" t="str">
        <f aca="false">IF(AND(E102="OCCUPIED",P102&gt;0),"DELINQUENT &gt;90","CLEAR")</f>
        <v>CLEAR</v>
      </c>
      <c r="R102" s="23" t="s">
        <v>8640</v>
      </c>
      <c r="S102" s="23" t="s">
        <v>8443</v>
      </c>
      <c r="T102" s="23" t="s">
        <v>8640</v>
      </c>
      <c r="U102" s="23"/>
      <c r="V102" s="23" t="s">
        <v>8713</v>
      </c>
    </row>
    <row r="103" customFormat="false" ht="15" hidden="false" customHeight="false" outlineLevel="0" collapsed="false">
      <c r="A103" s="20" t="s">
        <v>8714</v>
      </c>
      <c r="B103" s="20" t="s">
        <v>5692</v>
      </c>
      <c r="C103" s="20" t="s">
        <v>5690</v>
      </c>
      <c r="D103" s="20" t="s">
        <v>79</v>
      </c>
      <c r="E103" s="20" t="s">
        <v>8441</v>
      </c>
      <c r="F103" s="20" t="s">
        <v>5691</v>
      </c>
      <c r="G103" s="20" t="s">
        <v>2804</v>
      </c>
      <c r="H103" s="26" t="n">
        <v>416</v>
      </c>
      <c r="I103" s="26" t="n">
        <v>0</v>
      </c>
      <c r="J103" s="26" t="n">
        <v>0</v>
      </c>
      <c r="K103" s="26" t="n">
        <v>0</v>
      </c>
      <c r="L103" s="26" t="n">
        <v>0</v>
      </c>
      <c r="M103" s="26" t="n">
        <f aca="false">SUM(H103:L103)</f>
        <v>416</v>
      </c>
      <c r="N103" s="25" t="n">
        <v>416</v>
      </c>
      <c r="O103" s="25" t="n">
        <f aca="false">M103-N103</f>
        <v>0</v>
      </c>
      <c r="P103" s="25" t="n">
        <f aca="false">K103+L103</f>
        <v>0</v>
      </c>
      <c r="Q103" s="23" t="str">
        <f aca="false">IF(AND(E103="OCCUPIED",P103&gt;0),"DELINQUENT &gt;90","CLEAR")</f>
        <v>CLEAR</v>
      </c>
      <c r="R103" s="23" t="s">
        <v>8587</v>
      </c>
      <c r="S103" s="23" t="s">
        <v>8443</v>
      </c>
      <c r="T103" s="23" t="s">
        <v>8663</v>
      </c>
      <c r="U103" s="23"/>
      <c r="V103" s="23" t="s">
        <v>8715</v>
      </c>
    </row>
    <row r="104" customFormat="false" ht="15" hidden="false" customHeight="false" outlineLevel="0" collapsed="false">
      <c r="A104" s="20" t="s">
        <v>8716</v>
      </c>
      <c r="B104" s="20" t="s">
        <v>5697</v>
      </c>
      <c r="C104" s="20" t="s">
        <v>926</v>
      </c>
      <c r="D104" s="20" t="s">
        <v>79</v>
      </c>
      <c r="E104" s="20" t="s">
        <v>8441</v>
      </c>
      <c r="F104" s="20" t="s">
        <v>5696</v>
      </c>
      <c r="G104" s="20" t="s">
        <v>2804</v>
      </c>
      <c r="H104" s="26" t="n">
        <v>426.4</v>
      </c>
      <c r="I104" s="26" t="n">
        <v>0</v>
      </c>
      <c r="J104" s="26" t="n">
        <v>0</v>
      </c>
      <c r="K104" s="26" t="n">
        <v>0</v>
      </c>
      <c r="L104" s="26" t="n">
        <v>0</v>
      </c>
      <c r="M104" s="26" t="n">
        <f aca="false">SUM(H104:L104)</f>
        <v>426.4</v>
      </c>
      <c r="N104" s="25" t="n">
        <v>426.4</v>
      </c>
      <c r="O104" s="25" t="n">
        <f aca="false">M104-N104</f>
        <v>0</v>
      </c>
      <c r="P104" s="25" t="n">
        <f aca="false">K104+L104</f>
        <v>0</v>
      </c>
      <c r="Q104" s="23" t="str">
        <f aca="false">IF(AND(E104="OCCUPIED",P104&gt;0),"DELINQUENT &gt;90","CLEAR")</f>
        <v>CLEAR</v>
      </c>
      <c r="R104" s="23" t="s">
        <v>8442</v>
      </c>
      <c r="S104" s="23" t="s">
        <v>8443</v>
      </c>
      <c r="T104" s="23" t="s">
        <v>8678</v>
      </c>
      <c r="U104" s="23"/>
      <c r="V104" s="23" t="s">
        <v>8717</v>
      </c>
    </row>
    <row r="105" customFormat="false" ht="15" hidden="false" customHeight="false" outlineLevel="0" collapsed="false">
      <c r="A105" s="20" t="s">
        <v>8718</v>
      </c>
      <c r="B105" s="20" t="s">
        <v>5702</v>
      </c>
      <c r="C105" s="20" t="s">
        <v>1410</v>
      </c>
      <c r="D105" s="20" t="s">
        <v>79</v>
      </c>
      <c r="E105" s="20" t="s">
        <v>8441</v>
      </c>
      <c r="F105" s="20" t="s">
        <v>5701</v>
      </c>
      <c r="G105" s="20" t="s">
        <v>2804</v>
      </c>
      <c r="H105" s="26" t="n">
        <v>291.2</v>
      </c>
      <c r="I105" s="26" t="n">
        <v>291.2</v>
      </c>
      <c r="J105" s="26" t="n">
        <v>291.2</v>
      </c>
      <c r="K105" s="26" t="n">
        <v>0</v>
      </c>
      <c r="L105" s="26" t="n">
        <v>0</v>
      </c>
      <c r="M105" s="26" t="n">
        <f aca="false">SUM(H105:L105)</f>
        <v>873.6</v>
      </c>
      <c r="N105" s="25" t="n">
        <v>873.6</v>
      </c>
      <c r="O105" s="25" t="n">
        <f aca="false">M105-N105</f>
        <v>0</v>
      </c>
      <c r="P105" s="25" t="n">
        <f aca="false">K105+L105</f>
        <v>0</v>
      </c>
      <c r="Q105" s="23" t="str">
        <f aca="false">IF(AND(E105="OCCUPIED",P105&gt;0),"DELINQUENT &gt;90","CLEAR")</f>
        <v>CLEAR</v>
      </c>
      <c r="R105" s="23" t="s">
        <v>8719</v>
      </c>
      <c r="S105" s="23" t="s">
        <v>8516</v>
      </c>
      <c r="T105" s="23" t="s">
        <v>8485</v>
      </c>
      <c r="U105" s="23"/>
      <c r="V105" s="23" t="s">
        <v>8720</v>
      </c>
    </row>
    <row r="106" customFormat="false" ht="15" hidden="false" customHeight="false" outlineLevel="0" collapsed="false">
      <c r="A106" s="20" t="s">
        <v>8721</v>
      </c>
      <c r="B106" s="20" t="s">
        <v>2427</v>
      </c>
      <c r="C106" s="20" t="s">
        <v>483</v>
      </c>
      <c r="D106" s="20" t="s">
        <v>79</v>
      </c>
      <c r="E106" s="20" t="s">
        <v>8441</v>
      </c>
      <c r="F106" s="20" t="s">
        <v>2426</v>
      </c>
      <c r="G106" s="20" t="s">
        <v>2804</v>
      </c>
      <c r="H106" s="26" t="n">
        <v>416</v>
      </c>
      <c r="I106" s="26" t="n">
        <v>416</v>
      </c>
      <c r="J106" s="26" t="n">
        <v>416</v>
      </c>
      <c r="K106" s="26" t="n">
        <v>0</v>
      </c>
      <c r="L106" s="26" t="n">
        <v>0</v>
      </c>
      <c r="M106" s="26" t="n">
        <f aca="false">SUM(H106:L106)</f>
        <v>1248</v>
      </c>
      <c r="N106" s="25" t="n">
        <v>1248</v>
      </c>
      <c r="O106" s="25" t="n">
        <f aca="false">M106-N106</f>
        <v>0</v>
      </c>
      <c r="P106" s="25" t="n">
        <f aca="false">K106+L106</f>
        <v>0</v>
      </c>
      <c r="Q106" s="23" t="str">
        <f aca="false">IF(AND(E106="OCCUPIED",P106&gt;0),"DELINQUENT &gt;90","CLEAR")</f>
        <v>CLEAR</v>
      </c>
      <c r="R106" s="23" t="s">
        <v>8572</v>
      </c>
      <c r="S106" s="23" t="s">
        <v>8516</v>
      </c>
      <c r="T106" s="23" t="s">
        <v>8722</v>
      </c>
      <c r="U106" s="23"/>
      <c r="V106" s="23" t="s">
        <v>8723</v>
      </c>
    </row>
    <row r="107" customFormat="false" ht="15" hidden="false" customHeight="false" outlineLevel="0" collapsed="false">
      <c r="A107" s="20" t="s">
        <v>8724</v>
      </c>
      <c r="B107" s="20" t="s">
        <v>5711</v>
      </c>
      <c r="C107" s="20" t="s">
        <v>5709</v>
      </c>
      <c r="D107" s="20" t="s">
        <v>79</v>
      </c>
      <c r="E107" s="20" t="s">
        <v>8441</v>
      </c>
      <c r="F107" s="20" t="s">
        <v>5710</v>
      </c>
      <c r="G107" s="20" t="s">
        <v>2804</v>
      </c>
      <c r="H107" s="26" t="n">
        <v>572</v>
      </c>
      <c r="I107" s="26" t="n">
        <v>0</v>
      </c>
      <c r="J107" s="26" t="n">
        <v>0</v>
      </c>
      <c r="K107" s="26" t="n">
        <v>0</v>
      </c>
      <c r="L107" s="26" t="n">
        <v>0</v>
      </c>
      <c r="M107" s="26" t="n">
        <f aca="false">SUM(H107:L107)</f>
        <v>572</v>
      </c>
      <c r="N107" s="25" t="n">
        <v>0</v>
      </c>
      <c r="O107" s="25" t="n">
        <f aca="false">M107-N107</f>
        <v>572</v>
      </c>
      <c r="P107" s="25" t="n">
        <f aca="false">K107+L107</f>
        <v>0</v>
      </c>
      <c r="Q107" s="23" t="str">
        <f aca="false">IF(AND(E107="OCCUPIED",P107&gt;0),"DELINQUENT &gt;90","CLEAR")</f>
        <v>CLEAR</v>
      </c>
      <c r="R107" s="23" t="s">
        <v>8444</v>
      </c>
      <c r="S107" s="23" t="s">
        <v>8443</v>
      </c>
      <c r="T107" s="23" t="s">
        <v>8607</v>
      </c>
      <c r="U107" s="23"/>
      <c r="V107" s="23" t="s">
        <v>8725</v>
      </c>
    </row>
    <row r="108" customFormat="false" ht="15" hidden="false" customHeight="false" outlineLevel="0" collapsed="false">
      <c r="A108" s="20" t="s">
        <v>8726</v>
      </c>
      <c r="B108" s="20" t="s">
        <v>5717</v>
      </c>
      <c r="C108" s="20" t="s">
        <v>5715</v>
      </c>
      <c r="D108" s="20" t="s">
        <v>79</v>
      </c>
      <c r="E108" s="20" t="s">
        <v>8441</v>
      </c>
      <c r="F108" s="20" t="s">
        <v>5716</v>
      </c>
      <c r="G108" s="20" t="s">
        <v>2804</v>
      </c>
      <c r="H108" s="26" t="n">
        <v>374.4</v>
      </c>
      <c r="I108" s="26" t="n">
        <v>0</v>
      </c>
      <c r="J108" s="26" t="n">
        <v>0</v>
      </c>
      <c r="K108" s="26" t="n">
        <v>0</v>
      </c>
      <c r="L108" s="26" t="n">
        <v>0</v>
      </c>
      <c r="M108" s="26" t="n">
        <f aca="false">SUM(H108:L108)</f>
        <v>374.4</v>
      </c>
      <c r="N108" s="25" t="n">
        <v>374.4</v>
      </c>
      <c r="O108" s="25" t="n">
        <f aca="false">M108-N108</f>
        <v>0</v>
      </c>
      <c r="P108" s="25" t="n">
        <f aca="false">K108+L108</f>
        <v>0</v>
      </c>
      <c r="Q108" s="23" t="str">
        <f aca="false">IF(AND(E108="OCCUPIED",P108&gt;0),"DELINQUENT &gt;90","CLEAR")</f>
        <v>CLEAR</v>
      </c>
      <c r="R108" s="23" t="s">
        <v>8607</v>
      </c>
      <c r="S108" s="23" t="s">
        <v>8443</v>
      </c>
      <c r="T108" s="23" t="s">
        <v>8660</v>
      </c>
      <c r="U108" s="23"/>
      <c r="V108" s="23" t="s">
        <v>8727</v>
      </c>
    </row>
    <row r="109" customFormat="false" ht="15" hidden="false" customHeight="false" outlineLevel="0" collapsed="false">
      <c r="A109" s="20" t="s">
        <v>8728</v>
      </c>
      <c r="B109" s="20" t="s">
        <v>5722</v>
      </c>
      <c r="C109" s="20" t="s">
        <v>5721</v>
      </c>
      <c r="D109" s="20" t="s">
        <v>79</v>
      </c>
      <c r="E109" s="20" t="s">
        <v>8441</v>
      </c>
      <c r="F109" s="20" t="s">
        <v>275</v>
      </c>
      <c r="G109" s="20" t="s">
        <v>2804</v>
      </c>
      <c r="H109" s="26" t="n">
        <v>384.8</v>
      </c>
      <c r="I109" s="26" t="n">
        <v>384.8</v>
      </c>
      <c r="J109" s="26" t="n">
        <v>0</v>
      </c>
      <c r="K109" s="26" t="n">
        <v>0</v>
      </c>
      <c r="L109" s="26" t="n">
        <v>0</v>
      </c>
      <c r="M109" s="26" t="n">
        <f aca="false">SUM(H109:L109)</f>
        <v>769.6</v>
      </c>
      <c r="N109" s="25" t="n">
        <v>769.6</v>
      </c>
      <c r="O109" s="25" t="n">
        <f aca="false">M109-N109</f>
        <v>0</v>
      </c>
      <c r="P109" s="25" t="n">
        <f aca="false">K109+L109</f>
        <v>0</v>
      </c>
      <c r="Q109" s="23" t="str">
        <f aca="false">IF(AND(E109="OCCUPIED",P109&gt;0),"DELINQUENT &gt;90","CLEAR")</f>
        <v>CLEAR</v>
      </c>
      <c r="R109" s="23" t="s">
        <v>8729</v>
      </c>
      <c r="S109" s="23" t="s">
        <v>8467</v>
      </c>
      <c r="T109" s="23" t="s">
        <v>8523</v>
      </c>
      <c r="U109" s="23"/>
      <c r="V109" s="23" t="s">
        <v>8730</v>
      </c>
    </row>
    <row r="110" customFormat="false" ht="15" hidden="false" customHeight="false" outlineLevel="0" collapsed="false">
      <c r="A110" s="20" t="s">
        <v>8731</v>
      </c>
      <c r="B110" s="20" t="s">
        <v>5727</v>
      </c>
      <c r="C110" s="20" t="s">
        <v>405</v>
      </c>
      <c r="D110" s="20" t="s">
        <v>79</v>
      </c>
      <c r="E110" s="20" t="s">
        <v>8441</v>
      </c>
      <c r="F110" s="20" t="s">
        <v>5726</v>
      </c>
      <c r="G110" s="20" t="s">
        <v>2804</v>
      </c>
      <c r="H110" s="26" t="n">
        <v>405.6</v>
      </c>
      <c r="I110" s="26" t="n">
        <v>0</v>
      </c>
      <c r="J110" s="26" t="n">
        <v>0</v>
      </c>
      <c r="K110" s="26" t="n">
        <v>0</v>
      </c>
      <c r="L110" s="26" t="n">
        <v>0</v>
      </c>
      <c r="M110" s="26" t="n">
        <f aca="false">SUM(H110:L110)</f>
        <v>405.6</v>
      </c>
      <c r="N110" s="25" t="n">
        <v>0</v>
      </c>
      <c r="O110" s="25" t="n">
        <f aca="false">M110-N110</f>
        <v>405.6</v>
      </c>
      <c r="P110" s="25" t="n">
        <f aca="false">K110+L110</f>
        <v>0</v>
      </c>
      <c r="Q110" s="23" t="str">
        <f aca="false">IF(AND(E110="OCCUPIED",P110&gt;0),"DELINQUENT &gt;90","CLEAR")</f>
        <v>CLEAR</v>
      </c>
      <c r="R110" s="23" t="s">
        <v>8587</v>
      </c>
      <c r="S110" s="23" t="s">
        <v>8443</v>
      </c>
      <c r="T110" s="23" t="s">
        <v>8484</v>
      </c>
      <c r="U110" s="23"/>
      <c r="V110" s="23" t="s">
        <v>8732</v>
      </c>
    </row>
    <row r="111" customFormat="false" ht="15" hidden="false" customHeight="false" outlineLevel="0" collapsed="false">
      <c r="A111" s="20" t="s">
        <v>8733</v>
      </c>
      <c r="B111" s="20" t="s">
        <v>5733</v>
      </c>
      <c r="C111" s="20" t="s">
        <v>5731</v>
      </c>
      <c r="D111" s="20" t="s">
        <v>79</v>
      </c>
      <c r="E111" s="20" t="s">
        <v>8441</v>
      </c>
      <c r="F111" s="20" t="s">
        <v>5732</v>
      </c>
      <c r="G111" s="20" t="s">
        <v>2804</v>
      </c>
      <c r="H111" s="26" t="n">
        <v>416</v>
      </c>
      <c r="I111" s="26" t="n">
        <v>0</v>
      </c>
      <c r="J111" s="26" t="n">
        <v>0</v>
      </c>
      <c r="K111" s="26" t="n">
        <v>0</v>
      </c>
      <c r="L111" s="26" t="n">
        <v>0</v>
      </c>
      <c r="M111" s="26" t="n">
        <f aca="false">SUM(H111:L111)</f>
        <v>416</v>
      </c>
      <c r="N111" s="25" t="n">
        <v>416</v>
      </c>
      <c r="O111" s="25" t="n">
        <f aca="false">M111-N111</f>
        <v>0</v>
      </c>
      <c r="P111" s="25" t="n">
        <f aca="false">K111+L111</f>
        <v>0</v>
      </c>
      <c r="Q111" s="23" t="str">
        <f aca="false">IF(AND(E111="OCCUPIED",P111&gt;0),"DELINQUENT &gt;90","CLEAR")</f>
        <v>CLEAR</v>
      </c>
      <c r="R111" s="23" t="s">
        <v>8722</v>
      </c>
      <c r="S111" s="23" t="s">
        <v>8443</v>
      </c>
      <c r="T111" s="23" t="s">
        <v>8618</v>
      </c>
      <c r="U111" s="23"/>
      <c r="V111" s="23" t="s">
        <v>8734</v>
      </c>
    </row>
    <row r="112" customFormat="false" ht="15" hidden="false" customHeight="false" outlineLevel="0" collapsed="false">
      <c r="A112" s="20" t="s">
        <v>8735</v>
      </c>
      <c r="B112" s="20" t="s">
        <v>5739</v>
      </c>
      <c r="C112" s="20" t="s">
        <v>5737</v>
      </c>
      <c r="D112" s="20" t="s">
        <v>79</v>
      </c>
      <c r="E112" s="20" t="s">
        <v>8441</v>
      </c>
      <c r="F112" s="20" t="s">
        <v>5738</v>
      </c>
      <c r="G112" s="20" t="s">
        <v>2804</v>
      </c>
      <c r="H112" s="26" t="n">
        <v>634.4</v>
      </c>
      <c r="I112" s="26" t="n">
        <v>634.4</v>
      </c>
      <c r="J112" s="26" t="n">
        <v>0</v>
      </c>
      <c r="K112" s="26" t="n">
        <v>0</v>
      </c>
      <c r="L112" s="26" t="n">
        <v>0</v>
      </c>
      <c r="M112" s="26" t="n">
        <f aca="false">SUM(H112:L112)</f>
        <v>1268.8</v>
      </c>
      <c r="N112" s="25" t="n">
        <v>1268.8</v>
      </c>
      <c r="O112" s="25" t="n">
        <f aca="false">M112-N112</f>
        <v>0</v>
      </c>
      <c r="P112" s="25" t="n">
        <f aca="false">K112+L112</f>
        <v>0</v>
      </c>
      <c r="Q112" s="23" t="str">
        <f aca="false">IF(AND(E112="OCCUPIED",P112&gt;0),"DELINQUENT &gt;90","CLEAR")</f>
        <v>CLEAR</v>
      </c>
      <c r="R112" s="23" t="s">
        <v>8690</v>
      </c>
      <c r="S112" s="23" t="s">
        <v>8467</v>
      </c>
      <c r="T112" s="23" t="s">
        <v>8729</v>
      </c>
      <c r="U112" s="23"/>
      <c r="V112" s="23" t="s">
        <v>8736</v>
      </c>
    </row>
    <row r="113" customFormat="false" ht="15" hidden="false" customHeight="false" outlineLevel="0" collapsed="false">
      <c r="A113" s="20" t="s">
        <v>8737</v>
      </c>
      <c r="B113" s="20" t="s">
        <v>5745</v>
      </c>
      <c r="C113" s="20" t="s">
        <v>5743</v>
      </c>
      <c r="D113" s="20" t="s">
        <v>79</v>
      </c>
      <c r="E113" s="20" t="s">
        <v>8441</v>
      </c>
      <c r="F113" s="20" t="s">
        <v>5744</v>
      </c>
      <c r="G113" s="20" t="s">
        <v>2804</v>
      </c>
      <c r="H113" s="26" t="n">
        <v>260</v>
      </c>
      <c r="I113" s="26" t="n">
        <v>0</v>
      </c>
      <c r="J113" s="26" t="n">
        <v>0</v>
      </c>
      <c r="K113" s="26" t="n">
        <v>0</v>
      </c>
      <c r="L113" s="26" t="n">
        <v>0</v>
      </c>
      <c r="M113" s="26" t="n">
        <f aca="false">SUM(H113:L113)</f>
        <v>260</v>
      </c>
      <c r="N113" s="25" t="n">
        <v>260</v>
      </c>
      <c r="O113" s="25" t="n">
        <f aca="false">M113-N113</f>
        <v>0</v>
      </c>
      <c r="P113" s="25" t="n">
        <f aca="false">K113+L113</f>
        <v>0</v>
      </c>
      <c r="Q113" s="23" t="str">
        <f aca="false">IF(AND(E113="OCCUPIED",P113&gt;0),"DELINQUENT &gt;90","CLEAR")</f>
        <v>CLEAR</v>
      </c>
      <c r="R113" s="23" t="s">
        <v>8738</v>
      </c>
      <c r="S113" s="23" t="s">
        <v>8443</v>
      </c>
      <c r="T113" s="23" t="s">
        <v>8739</v>
      </c>
      <c r="U113" s="23" t="s">
        <v>8463</v>
      </c>
      <c r="V113" s="23" t="s">
        <v>8740</v>
      </c>
    </row>
    <row r="114" customFormat="false" ht="15" hidden="false" customHeight="false" outlineLevel="0" collapsed="false">
      <c r="A114" s="20" t="s">
        <v>8741</v>
      </c>
      <c r="B114" s="20" t="s">
        <v>1946</v>
      </c>
      <c r="C114" s="20" t="s">
        <v>5749</v>
      </c>
      <c r="D114" s="20" t="s">
        <v>79</v>
      </c>
      <c r="E114" s="20" t="s">
        <v>8441</v>
      </c>
      <c r="F114" s="20" t="s">
        <v>1945</v>
      </c>
      <c r="G114" s="20" t="s">
        <v>2804</v>
      </c>
      <c r="H114" s="26" t="n">
        <v>291.2</v>
      </c>
      <c r="I114" s="26" t="n">
        <v>0</v>
      </c>
      <c r="J114" s="26" t="n">
        <v>0</v>
      </c>
      <c r="K114" s="26" t="n">
        <v>0</v>
      </c>
      <c r="L114" s="26" t="n">
        <v>0</v>
      </c>
      <c r="M114" s="26" t="n">
        <f aca="false">SUM(H114:L114)</f>
        <v>291.2</v>
      </c>
      <c r="N114" s="25" t="n">
        <v>291.2</v>
      </c>
      <c r="O114" s="25" t="n">
        <f aca="false">M114-N114</f>
        <v>0</v>
      </c>
      <c r="P114" s="25" t="n">
        <f aca="false">K114+L114</f>
        <v>0</v>
      </c>
      <c r="Q114" s="23" t="str">
        <f aca="false">IF(AND(E114="OCCUPIED",P114&gt;0),"DELINQUENT &gt;90","CLEAR")</f>
        <v>CLEAR</v>
      </c>
      <c r="R114" s="23" t="s">
        <v>8477</v>
      </c>
      <c r="S114" s="23" t="s">
        <v>8443</v>
      </c>
      <c r="T114" s="23" t="s">
        <v>8739</v>
      </c>
      <c r="U114" s="23"/>
      <c r="V114" s="23" t="s">
        <v>8742</v>
      </c>
    </row>
    <row r="115" customFormat="false" ht="15" hidden="false" customHeight="false" outlineLevel="0" collapsed="false">
      <c r="A115" s="20" t="s">
        <v>8743</v>
      </c>
      <c r="B115" s="20" t="s">
        <v>1705</v>
      </c>
      <c r="C115" s="20" t="s">
        <v>1700</v>
      </c>
      <c r="D115" s="20" t="s">
        <v>79</v>
      </c>
      <c r="E115" s="20" t="s">
        <v>8441</v>
      </c>
      <c r="F115" s="20" t="s">
        <v>1704</v>
      </c>
      <c r="G115" s="20" t="s">
        <v>2804</v>
      </c>
      <c r="H115" s="26" t="n">
        <v>312</v>
      </c>
      <c r="I115" s="26" t="n">
        <v>0</v>
      </c>
      <c r="J115" s="26" t="n">
        <v>0</v>
      </c>
      <c r="K115" s="26" t="n">
        <v>0</v>
      </c>
      <c r="L115" s="26" t="n">
        <v>0</v>
      </c>
      <c r="M115" s="26" t="n">
        <f aca="false">SUM(H115:L115)</f>
        <v>312</v>
      </c>
      <c r="N115" s="25" t="n">
        <v>0</v>
      </c>
      <c r="O115" s="25" t="n">
        <f aca="false">M115-N115</f>
        <v>312</v>
      </c>
      <c r="P115" s="25" t="n">
        <f aca="false">K115+L115</f>
        <v>0</v>
      </c>
      <c r="Q115" s="23" t="str">
        <f aca="false">IF(AND(E115="OCCUPIED",P115&gt;0),"DELINQUENT &gt;90","CLEAR")</f>
        <v>CLEAR</v>
      </c>
      <c r="R115" s="23" t="s">
        <v>8448</v>
      </c>
      <c r="S115" s="23" t="s">
        <v>8443</v>
      </c>
      <c r="T115" s="23" t="s">
        <v>8447</v>
      </c>
      <c r="U115" s="23"/>
      <c r="V115" s="23" t="s">
        <v>8744</v>
      </c>
    </row>
    <row r="116" customFormat="false" ht="15" hidden="false" customHeight="false" outlineLevel="0" collapsed="false">
      <c r="A116" s="20" t="s">
        <v>8745</v>
      </c>
      <c r="B116" s="20" t="s">
        <v>5757</v>
      </c>
      <c r="C116" s="20" t="s">
        <v>5756</v>
      </c>
      <c r="D116" s="20" t="s">
        <v>79</v>
      </c>
      <c r="E116" s="20" t="s">
        <v>8441</v>
      </c>
      <c r="F116" s="20" t="s">
        <v>2675</v>
      </c>
      <c r="G116" s="20" t="s">
        <v>2804</v>
      </c>
      <c r="H116" s="26" t="n">
        <v>603.2</v>
      </c>
      <c r="I116" s="26" t="n">
        <v>603.2</v>
      </c>
      <c r="J116" s="26" t="n">
        <v>603.2</v>
      </c>
      <c r="K116" s="26" t="n">
        <v>603.2</v>
      </c>
      <c r="L116" s="26" t="n">
        <v>603.2</v>
      </c>
      <c r="M116" s="26" t="n">
        <f aca="false">SUM(H116:L116)</f>
        <v>3016</v>
      </c>
      <c r="N116" s="25" t="n">
        <v>3016</v>
      </c>
      <c r="O116" s="25" t="n">
        <f aca="false">M116-N116</f>
        <v>0</v>
      </c>
      <c r="P116" s="25" t="n">
        <f aca="false">K116+L116</f>
        <v>1206.4</v>
      </c>
      <c r="Q116" s="23" t="str">
        <f aca="false">IF(AND(E116="OCCUPIED",P116&gt;0),"DELINQUENT &gt;90","CLEAR")</f>
        <v>DELINQUENT &gt;90</v>
      </c>
      <c r="R116" s="23" t="s">
        <v>8593</v>
      </c>
      <c r="S116" s="23" t="s">
        <v>8516</v>
      </c>
      <c r="T116" s="23" t="s">
        <v>8651</v>
      </c>
      <c r="U116" s="23"/>
      <c r="V116" s="23" t="s">
        <v>8746</v>
      </c>
    </row>
    <row r="117" customFormat="false" ht="15" hidden="false" customHeight="false" outlineLevel="0" collapsed="false">
      <c r="A117" s="20" t="s">
        <v>8747</v>
      </c>
      <c r="B117" s="20" t="s">
        <v>5763</v>
      </c>
      <c r="C117" s="20" t="s">
        <v>5761</v>
      </c>
      <c r="D117" s="20" t="s">
        <v>79</v>
      </c>
      <c r="E117" s="20" t="s">
        <v>8441</v>
      </c>
      <c r="F117" s="20" t="s">
        <v>5762</v>
      </c>
      <c r="G117" s="20" t="s">
        <v>2804</v>
      </c>
      <c r="H117" s="26" t="n">
        <v>343.2</v>
      </c>
      <c r="I117" s="26" t="n">
        <v>0</v>
      </c>
      <c r="J117" s="26" t="n">
        <v>0</v>
      </c>
      <c r="K117" s="26" t="n">
        <v>0</v>
      </c>
      <c r="L117" s="26" t="n">
        <v>0</v>
      </c>
      <c r="M117" s="26" t="n">
        <f aca="false">SUM(H117:L117)</f>
        <v>343.2</v>
      </c>
      <c r="N117" s="25" t="n">
        <v>343.2</v>
      </c>
      <c r="O117" s="25" t="n">
        <f aca="false">M117-N117</f>
        <v>0</v>
      </c>
      <c r="P117" s="25" t="n">
        <f aca="false">K117+L117</f>
        <v>0</v>
      </c>
      <c r="Q117" s="23" t="str">
        <f aca="false">IF(AND(E117="OCCUPIED",P117&gt;0),"DELINQUENT &gt;90","CLEAR")</f>
        <v>CLEAR</v>
      </c>
      <c r="R117" s="23" t="s">
        <v>8455</v>
      </c>
      <c r="S117" s="23" t="s">
        <v>8443</v>
      </c>
      <c r="T117" s="23" t="s">
        <v>8610</v>
      </c>
      <c r="U117" s="23"/>
      <c r="V117" s="23" t="s">
        <v>8748</v>
      </c>
    </row>
    <row r="118" customFormat="false" ht="15" hidden="false" customHeight="false" outlineLevel="0" collapsed="false">
      <c r="A118" s="20" t="s">
        <v>8749</v>
      </c>
      <c r="B118" s="20" t="s">
        <v>5768</v>
      </c>
      <c r="C118" s="20" t="s">
        <v>580</v>
      </c>
      <c r="D118" s="20" t="s">
        <v>79</v>
      </c>
      <c r="E118" s="20" t="s">
        <v>8441</v>
      </c>
      <c r="F118" s="20" t="s">
        <v>5767</v>
      </c>
      <c r="G118" s="20" t="s">
        <v>2804</v>
      </c>
      <c r="H118" s="26" t="n">
        <v>530.4</v>
      </c>
      <c r="I118" s="26" t="n">
        <v>0</v>
      </c>
      <c r="J118" s="26" t="n">
        <v>0</v>
      </c>
      <c r="K118" s="26" t="n">
        <v>0</v>
      </c>
      <c r="L118" s="26" t="n">
        <v>0</v>
      </c>
      <c r="M118" s="26" t="n">
        <f aca="false">SUM(H118:L118)</f>
        <v>530.4</v>
      </c>
      <c r="N118" s="25" t="n">
        <v>530.4</v>
      </c>
      <c r="O118" s="25" t="n">
        <f aca="false">M118-N118</f>
        <v>0</v>
      </c>
      <c r="P118" s="25" t="n">
        <f aca="false">K118+L118</f>
        <v>0</v>
      </c>
      <c r="Q118" s="23" t="str">
        <f aca="false">IF(AND(E118="OCCUPIED",P118&gt;0),"DELINQUENT &gt;90","CLEAR")</f>
        <v>CLEAR</v>
      </c>
      <c r="R118" s="23" t="s">
        <v>8592</v>
      </c>
      <c r="S118" s="23" t="s">
        <v>8443</v>
      </c>
      <c r="T118" s="23" t="s">
        <v>8750</v>
      </c>
      <c r="U118" s="23"/>
      <c r="V118" s="23" t="s">
        <v>8751</v>
      </c>
    </row>
    <row r="119" customFormat="false" ht="15" hidden="false" customHeight="false" outlineLevel="0" collapsed="false">
      <c r="A119" s="20" t="s">
        <v>8752</v>
      </c>
      <c r="B119" s="20" t="s">
        <v>5774</v>
      </c>
      <c r="C119" s="20" t="s">
        <v>5772</v>
      </c>
      <c r="D119" s="20" t="s">
        <v>79</v>
      </c>
      <c r="E119" s="20" t="s">
        <v>8441</v>
      </c>
      <c r="F119" s="20" t="s">
        <v>5773</v>
      </c>
      <c r="G119" s="20" t="s">
        <v>2804</v>
      </c>
      <c r="H119" s="26" t="n">
        <v>530.4</v>
      </c>
      <c r="I119" s="26" t="n">
        <v>530.4</v>
      </c>
      <c r="J119" s="26" t="n">
        <v>530.4</v>
      </c>
      <c r="K119" s="26" t="n">
        <v>530.4</v>
      </c>
      <c r="L119" s="26" t="n">
        <v>0</v>
      </c>
      <c r="M119" s="26" t="n">
        <f aca="false">SUM(H119:L119)</f>
        <v>2121.6</v>
      </c>
      <c r="N119" s="25" t="n">
        <v>2121.6</v>
      </c>
      <c r="O119" s="25" t="n">
        <f aca="false">M119-N119</f>
        <v>0</v>
      </c>
      <c r="P119" s="25" t="n">
        <f aca="false">K119+L119</f>
        <v>530.4</v>
      </c>
      <c r="Q119" s="23" t="str">
        <f aca="false">IF(AND(E119="OCCUPIED",P119&gt;0),"DELINQUENT &gt;90","CLEAR")</f>
        <v>DELINQUENT &gt;90</v>
      </c>
      <c r="R119" s="23" t="s">
        <v>8719</v>
      </c>
      <c r="S119" s="23" t="s">
        <v>8516</v>
      </c>
      <c r="T119" s="23" t="s">
        <v>8503</v>
      </c>
      <c r="U119" s="23"/>
      <c r="V119" s="23" t="s">
        <v>8753</v>
      </c>
    </row>
    <row r="120" customFormat="false" ht="15" hidden="false" customHeight="false" outlineLevel="0" collapsed="false">
      <c r="A120" s="20" t="s">
        <v>8754</v>
      </c>
      <c r="B120" s="20" t="s">
        <v>5780</v>
      </c>
      <c r="C120" s="20" t="s">
        <v>5778</v>
      </c>
      <c r="D120" s="20" t="s">
        <v>79</v>
      </c>
      <c r="E120" s="20" t="s">
        <v>8441</v>
      </c>
      <c r="F120" s="20" t="s">
        <v>5779</v>
      </c>
      <c r="G120" s="20" t="s">
        <v>2804</v>
      </c>
      <c r="H120" s="26" t="n">
        <v>644.8</v>
      </c>
      <c r="I120" s="26" t="n">
        <v>0</v>
      </c>
      <c r="J120" s="26" t="n">
        <v>0</v>
      </c>
      <c r="K120" s="26" t="n">
        <v>0</v>
      </c>
      <c r="L120" s="26" t="n">
        <v>0</v>
      </c>
      <c r="M120" s="26" t="n">
        <f aca="false">SUM(H120:L120)</f>
        <v>644.8</v>
      </c>
      <c r="N120" s="25" t="n">
        <v>644.8</v>
      </c>
      <c r="O120" s="25" t="n">
        <f aca="false">M120-N120</f>
        <v>0</v>
      </c>
      <c r="P120" s="25" t="n">
        <f aca="false">K120+L120</f>
        <v>0</v>
      </c>
      <c r="Q120" s="23" t="str">
        <f aca="false">IF(AND(E120="OCCUPIED",P120&gt;0),"DELINQUENT &gt;90","CLEAR")</f>
        <v>CLEAR</v>
      </c>
      <c r="R120" s="23" t="s">
        <v>8755</v>
      </c>
      <c r="S120" s="23" t="s">
        <v>8443</v>
      </c>
      <c r="T120" s="23" t="s">
        <v>8468</v>
      </c>
      <c r="U120" s="23"/>
      <c r="V120" s="23" t="s">
        <v>8756</v>
      </c>
    </row>
    <row r="121" customFormat="false" ht="15" hidden="false" customHeight="false" outlineLevel="0" collapsed="false">
      <c r="A121" s="20" t="s">
        <v>8757</v>
      </c>
      <c r="B121" s="20" t="s">
        <v>5786</v>
      </c>
      <c r="C121" s="20" t="s">
        <v>5784</v>
      </c>
      <c r="D121" s="20" t="s">
        <v>79</v>
      </c>
      <c r="E121" s="20" t="s">
        <v>8441</v>
      </c>
      <c r="F121" s="20" t="s">
        <v>5785</v>
      </c>
      <c r="G121" s="20" t="s">
        <v>2804</v>
      </c>
      <c r="H121" s="26" t="n">
        <v>416</v>
      </c>
      <c r="I121" s="26" t="n">
        <v>0</v>
      </c>
      <c r="J121" s="26" t="n">
        <v>0</v>
      </c>
      <c r="K121" s="26" t="n">
        <v>0</v>
      </c>
      <c r="L121" s="26" t="n">
        <v>0</v>
      </c>
      <c r="M121" s="26" t="n">
        <f aca="false">SUM(H121:L121)</f>
        <v>416</v>
      </c>
      <c r="N121" s="25" t="n">
        <v>0</v>
      </c>
      <c r="O121" s="25" t="n">
        <f aca="false">M121-N121</f>
        <v>416</v>
      </c>
      <c r="P121" s="25" t="n">
        <f aca="false">K121+L121</f>
        <v>0</v>
      </c>
      <c r="Q121" s="23" t="str">
        <f aca="false">IF(AND(E121="OCCUPIED",P121&gt;0),"DELINQUENT &gt;90","CLEAR")</f>
        <v>CLEAR</v>
      </c>
      <c r="R121" s="23" t="s">
        <v>8562</v>
      </c>
      <c r="S121" s="23" t="s">
        <v>8443</v>
      </c>
      <c r="T121" s="23" t="s">
        <v>8492</v>
      </c>
      <c r="U121" s="23"/>
      <c r="V121" s="23" t="s">
        <v>8758</v>
      </c>
    </row>
    <row r="122" customFormat="false" ht="15" hidden="false" customHeight="false" outlineLevel="0" collapsed="false">
      <c r="A122" s="20" t="s">
        <v>8759</v>
      </c>
      <c r="B122" s="20" t="s">
        <v>5792</v>
      </c>
      <c r="C122" s="20" t="s">
        <v>5790</v>
      </c>
      <c r="D122" s="20" t="s">
        <v>79</v>
      </c>
      <c r="E122" s="20" t="s">
        <v>8441</v>
      </c>
      <c r="F122" s="20" t="s">
        <v>5791</v>
      </c>
      <c r="G122" s="20" t="s">
        <v>2804</v>
      </c>
      <c r="H122" s="26" t="n">
        <v>291.2</v>
      </c>
      <c r="I122" s="26" t="n">
        <v>0</v>
      </c>
      <c r="J122" s="26" t="n">
        <v>0</v>
      </c>
      <c r="K122" s="26" t="n">
        <v>0</v>
      </c>
      <c r="L122" s="26" t="n">
        <v>0</v>
      </c>
      <c r="M122" s="26" t="n">
        <f aca="false">SUM(H122:L122)</f>
        <v>291.2</v>
      </c>
      <c r="N122" s="25" t="n">
        <v>291.2</v>
      </c>
      <c r="O122" s="25" t="n">
        <f aca="false">M122-N122</f>
        <v>0</v>
      </c>
      <c r="P122" s="25" t="n">
        <f aca="false">K122+L122</f>
        <v>0</v>
      </c>
      <c r="Q122" s="23" t="str">
        <f aca="false">IF(AND(E122="OCCUPIED",P122&gt;0),"DELINQUENT &gt;90","CLEAR")</f>
        <v>CLEAR</v>
      </c>
      <c r="R122" s="23" t="s">
        <v>8558</v>
      </c>
      <c r="S122" s="23" t="s">
        <v>8443</v>
      </c>
      <c r="T122" s="23" t="s">
        <v>8511</v>
      </c>
      <c r="U122" s="23" t="s">
        <v>8463</v>
      </c>
      <c r="V122" s="23" t="s">
        <v>8760</v>
      </c>
    </row>
    <row r="123" customFormat="false" ht="15" hidden="false" customHeight="false" outlineLevel="0" collapsed="false">
      <c r="A123" s="20" t="s">
        <v>8761</v>
      </c>
      <c r="B123" s="20" t="s">
        <v>5797</v>
      </c>
      <c r="C123" s="20" t="s">
        <v>1892</v>
      </c>
      <c r="D123" s="20" t="s">
        <v>79</v>
      </c>
      <c r="E123" s="20" t="s">
        <v>8441</v>
      </c>
      <c r="F123" s="20" t="s">
        <v>5796</v>
      </c>
      <c r="G123" s="20" t="s">
        <v>2804</v>
      </c>
      <c r="H123" s="26" t="n">
        <v>395.2</v>
      </c>
      <c r="I123" s="26" t="n">
        <v>0</v>
      </c>
      <c r="J123" s="26" t="n">
        <v>0</v>
      </c>
      <c r="K123" s="26" t="n">
        <v>0</v>
      </c>
      <c r="L123" s="26" t="n">
        <v>0</v>
      </c>
      <c r="M123" s="26" t="n">
        <f aca="false">SUM(H123:L123)</f>
        <v>395.2</v>
      </c>
      <c r="N123" s="25" t="n">
        <v>395.2</v>
      </c>
      <c r="O123" s="25" t="n">
        <f aca="false">M123-N123</f>
        <v>0</v>
      </c>
      <c r="P123" s="25" t="n">
        <f aca="false">K123+L123</f>
        <v>0</v>
      </c>
      <c r="Q123" s="23" t="str">
        <f aca="false">IF(AND(E123="OCCUPIED",P123&gt;0),"DELINQUENT &gt;90","CLEAR")</f>
        <v>CLEAR</v>
      </c>
      <c r="R123" s="23" t="s">
        <v>8507</v>
      </c>
      <c r="S123" s="23" t="s">
        <v>8443</v>
      </c>
      <c r="T123" s="23" t="s">
        <v>8495</v>
      </c>
      <c r="U123" s="23"/>
      <c r="V123" s="23" t="s">
        <v>8762</v>
      </c>
    </row>
    <row r="124" customFormat="false" ht="15" hidden="false" customHeight="false" outlineLevel="0" collapsed="false">
      <c r="A124" s="20" t="s">
        <v>8763</v>
      </c>
      <c r="B124" s="20" t="s">
        <v>5803</v>
      </c>
      <c r="C124" s="20" t="s">
        <v>5801</v>
      </c>
      <c r="D124" s="20" t="s">
        <v>79</v>
      </c>
      <c r="E124" s="20" t="s">
        <v>8441</v>
      </c>
      <c r="F124" s="20" t="s">
        <v>5802</v>
      </c>
      <c r="G124" s="20" t="s">
        <v>2804</v>
      </c>
      <c r="H124" s="26" t="n">
        <v>364</v>
      </c>
      <c r="I124" s="26" t="n">
        <v>0</v>
      </c>
      <c r="J124" s="26" t="n">
        <v>0</v>
      </c>
      <c r="K124" s="26" t="n">
        <v>0</v>
      </c>
      <c r="L124" s="26" t="n">
        <v>0</v>
      </c>
      <c r="M124" s="26" t="n">
        <f aca="false">SUM(H124:L124)</f>
        <v>364</v>
      </c>
      <c r="N124" s="25" t="n">
        <v>364</v>
      </c>
      <c r="O124" s="25" t="n">
        <f aca="false">M124-N124</f>
        <v>0</v>
      </c>
      <c r="P124" s="25" t="n">
        <f aca="false">K124+L124</f>
        <v>0</v>
      </c>
      <c r="Q124" s="23" t="str">
        <f aca="false">IF(AND(E124="OCCUPIED",P124&gt;0),"DELINQUENT &gt;90","CLEAR")</f>
        <v>CLEAR</v>
      </c>
      <c r="R124" s="23" t="s">
        <v>8617</v>
      </c>
      <c r="S124" s="23" t="s">
        <v>8443</v>
      </c>
      <c r="T124" s="23" t="s">
        <v>8607</v>
      </c>
      <c r="U124" s="23"/>
      <c r="V124" s="23" t="s">
        <v>8764</v>
      </c>
    </row>
    <row r="125" customFormat="false" ht="15" hidden="false" customHeight="false" outlineLevel="0" collapsed="false">
      <c r="A125" s="20" t="s">
        <v>8765</v>
      </c>
      <c r="B125" s="20" t="s">
        <v>5809</v>
      </c>
      <c r="C125" s="20" t="s">
        <v>5807</v>
      </c>
      <c r="D125" s="20" t="s">
        <v>79</v>
      </c>
      <c r="E125" s="20" t="s">
        <v>8441</v>
      </c>
      <c r="F125" s="20" t="s">
        <v>5808</v>
      </c>
      <c r="G125" s="20" t="s">
        <v>2804</v>
      </c>
      <c r="H125" s="26" t="n">
        <v>634.4</v>
      </c>
      <c r="I125" s="26" t="n">
        <v>0</v>
      </c>
      <c r="J125" s="26" t="n">
        <v>0</v>
      </c>
      <c r="K125" s="26" t="n">
        <v>0</v>
      </c>
      <c r="L125" s="26" t="n">
        <v>0</v>
      </c>
      <c r="M125" s="26" t="n">
        <f aca="false">SUM(H125:L125)</f>
        <v>634.4</v>
      </c>
      <c r="N125" s="25" t="n">
        <v>634.4</v>
      </c>
      <c r="O125" s="25" t="n">
        <f aca="false">M125-N125</f>
        <v>0</v>
      </c>
      <c r="P125" s="25" t="n">
        <f aca="false">K125+L125</f>
        <v>0</v>
      </c>
      <c r="Q125" s="23" t="str">
        <f aca="false">IF(AND(E125="OCCUPIED",P125&gt;0),"DELINQUENT &gt;90","CLEAR")</f>
        <v>CLEAR</v>
      </c>
      <c r="R125" s="23" t="s">
        <v>8539</v>
      </c>
      <c r="S125" s="23" t="s">
        <v>8443</v>
      </c>
      <c r="T125" s="23" t="s">
        <v>8496</v>
      </c>
      <c r="U125" s="23"/>
      <c r="V125" s="23" t="s">
        <v>8766</v>
      </c>
    </row>
    <row r="126" customFormat="false" ht="15" hidden="false" customHeight="false" outlineLevel="0" collapsed="false">
      <c r="A126" s="20" t="s">
        <v>8767</v>
      </c>
      <c r="B126" s="20" t="s">
        <v>5815</v>
      </c>
      <c r="C126" s="20" t="s">
        <v>5813</v>
      </c>
      <c r="D126" s="20" t="s">
        <v>79</v>
      </c>
      <c r="E126" s="20" t="s">
        <v>8441</v>
      </c>
      <c r="F126" s="20" t="s">
        <v>5814</v>
      </c>
      <c r="G126" s="20" t="s">
        <v>2804</v>
      </c>
      <c r="H126" s="26" t="n">
        <v>332.8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f aca="false">SUM(H126:L126)</f>
        <v>332.8</v>
      </c>
      <c r="N126" s="25" t="n">
        <v>0</v>
      </c>
      <c r="O126" s="25" t="n">
        <f aca="false">M126-N126</f>
        <v>332.8</v>
      </c>
      <c r="P126" s="25" t="n">
        <f aca="false">K126+L126</f>
        <v>0</v>
      </c>
      <c r="Q126" s="23" t="str">
        <f aca="false">IF(AND(E126="OCCUPIED",P126&gt;0),"DELINQUENT &gt;90","CLEAR")</f>
        <v>CLEAR</v>
      </c>
      <c r="R126" s="23" t="s">
        <v>8584</v>
      </c>
      <c r="S126" s="23" t="s">
        <v>8443</v>
      </c>
      <c r="T126" s="23" t="s">
        <v>8471</v>
      </c>
      <c r="U126" s="23"/>
      <c r="V126" s="23" t="s">
        <v>8768</v>
      </c>
    </row>
    <row r="127" customFormat="false" ht="15" hidden="false" customHeight="false" outlineLevel="0" collapsed="false">
      <c r="A127" s="20" t="s">
        <v>8769</v>
      </c>
      <c r="B127" s="20" t="s">
        <v>5821</v>
      </c>
      <c r="C127" s="20" t="s">
        <v>5819</v>
      </c>
      <c r="D127" s="20" t="s">
        <v>79</v>
      </c>
      <c r="E127" s="20" t="s">
        <v>8441</v>
      </c>
      <c r="F127" s="20" t="s">
        <v>5820</v>
      </c>
      <c r="G127" s="20" t="s">
        <v>2804</v>
      </c>
      <c r="H127" s="26" t="n">
        <v>551.2</v>
      </c>
      <c r="I127" s="26" t="n">
        <v>0</v>
      </c>
      <c r="J127" s="26" t="n">
        <v>0</v>
      </c>
      <c r="K127" s="26" t="n">
        <v>0</v>
      </c>
      <c r="L127" s="26" t="n">
        <v>0</v>
      </c>
      <c r="M127" s="26" t="n">
        <f aca="false">SUM(H127:L127)</f>
        <v>551.2</v>
      </c>
      <c r="N127" s="25" t="n">
        <v>0</v>
      </c>
      <c r="O127" s="25" t="n">
        <f aca="false">M127-N127</f>
        <v>551.2</v>
      </c>
      <c r="P127" s="25" t="n">
        <f aca="false">K127+L127</f>
        <v>0</v>
      </c>
      <c r="Q127" s="23" t="str">
        <f aca="false">IF(AND(E127="OCCUPIED",P127&gt;0),"DELINQUENT &gt;90","CLEAR")</f>
        <v>CLEAR</v>
      </c>
      <c r="R127" s="23" t="s">
        <v>8656</v>
      </c>
      <c r="S127" s="23" t="s">
        <v>8443</v>
      </c>
      <c r="T127" s="23" t="s">
        <v>8485</v>
      </c>
      <c r="U127" s="23"/>
      <c r="V127" s="23" t="s">
        <v>8770</v>
      </c>
    </row>
    <row r="128" customFormat="false" ht="15" hidden="false" customHeight="false" outlineLevel="0" collapsed="false">
      <c r="A128" s="20" t="s">
        <v>8771</v>
      </c>
      <c r="B128" s="20" t="s">
        <v>5826</v>
      </c>
      <c r="C128" s="20" t="s">
        <v>1623</v>
      </c>
      <c r="D128" s="20" t="s">
        <v>79</v>
      </c>
      <c r="E128" s="20" t="s">
        <v>8441</v>
      </c>
      <c r="F128" s="20" t="s">
        <v>5825</v>
      </c>
      <c r="G128" s="20" t="s">
        <v>2804</v>
      </c>
      <c r="H128" s="26" t="n">
        <v>291.2</v>
      </c>
      <c r="I128" s="26" t="n">
        <v>0</v>
      </c>
      <c r="J128" s="26" t="n">
        <v>0</v>
      </c>
      <c r="K128" s="26" t="n">
        <v>0</v>
      </c>
      <c r="L128" s="26" t="n">
        <v>0</v>
      </c>
      <c r="M128" s="26" t="n">
        <f aca="false">SUM(H128:L128)</f>
        <v>291.2</v>
      </c>
      <c r="N128" s="25" t="n">
        <v>291.2</v>
      </c>
      <c r="O128" s="25" t="n">
        <f aca="false">M128-N128</f>
        <v>0</v>
      </c>
      <c r="P128" s="25" t="n">
        <f aca="false">K128+L128</f>
        <v>0</v>
      </c>
      <c r="Q128" s="23" t="str">
        <f aca="false">IF(AND(E128="OCCUPIED",P128&gt;0),"DELINQUENT &gt;90","CLEAR")</f>
        <v>CLEAR</v>
      </c>
      <c r="R128" s="23" t="s">
        <v>8660</v>
      </c>
      <c r="S128" s="23" t="s">
        <v>8443</v>
      </c>
      <c r="T128" s="23" t="s">
        <v>8572</v>
      </c>
      <c r="U128" s="23"/>
      <c r="V128" s="23" t="s">
        <v>8772</v>
      </c>
    </row>
    <row r="129" customFormat="false" ht="15" hidden="false" customHeight="false" outlineLevel="0" collapsed="false">
      <c r="A129" s="20" t="s">
        <v>8773</v>
      </c>
      <c r="B129" s="20" t="s">
        <v>5832</v>
      </c>
      <c r="C129" s="20" t="s">
        <v>5830</v>
      </c>
      <c r="D129" s="20" t="s">
        <v>79</v>
      </c>
      <c r="E129" s="20" t="s">
        <v>8441</v>
      </c>
      <c r="F129" s="20" t="s">
        <v>5831</v>
      </c>
      <c r="G129" s="20" t="s">
        <v>2804</v>
      </c>
      <c r="H129" s="26" t="n">
        <v>395.2</v>
      </c>
      <c r="I129" s="26" t="n">
        <v>0</v>
      </c>
      <c r="J129" s="26" t="n">
        <v>0</v>
      </c>
      <c r="K129" s="26" t="n">
        <v>0</v>
      </c>
      <c r="L129" s="26" t="n">
        <v>0</v>
      </c>
      <c r="M129" s="26" t="n">
        <f aca="false">SUM(H129:L129)</f>
        <v>395.2</v>
      </c>
      <c r="N129" s="25" t="n">
        <v>395.2</v>
      </c>
      <c r="O129" s="25" t="n">
        <f aca="false">M129-N129</f>
        <v>0</v>
      </c>
      <c r="P129" s="25" t="n">
        <f aca="false">K129+L129</f>
        <v>0</v>
      </c>
      <c r="Q129" s="23" t="str">
        <f aca="false">IF(AND(E129="OCCUPIED",P129&gt;0),"DELINQUENT &gt;90","CLEAR")</f>
        <v>CLEAR</v>
      </c>
      <c r="R129" s="23" t="s">
        <v>8554</v>
      </c>
      <c r="S129" s="23" t="s">
        <v>8443</v>
      </c>
      <c r="T129" s="23" t="s">
        <v>8488</v>
      </c>
      <c r="U129" s="23"/>
      <c r="V129" s="23" t="s">
        <v>8774</v>
      </c>
    </row>
    <row r="130" customFormat="false" ht="15" hidden="false" customHeight="false" outlineLevel="0" collapsed="false">
      <c r="A130" s="20" t="s">
        <v>8775</v>
      </c>
      <c r="B130" s="20" t="s">
        <v>5837</v>
      </c>
      <c r="C130" s="20" t="s">
        <v>1310</v>
      </c>
      <c r="D130" s="20" t="s">
        <v>79</v>
      </c>
      <c r="E130" s="20" t="s">
        <v>8441</v>
      </c>
      <c r="F130" s="20" t="s">
        <v>5836</v>
      </c>
      <c r="G130" s="20" t="s">
        <v>2804</v>
      </c>
      <c r="H130" s="26" t="n">
        <v>540.8</v>
      </c>
      <c r="I130" s="26" t="n">
        <v>540.8</v>
      </c>
      <c r="J130" s="26" t="n">
        <v>0</v>
      </c>
      <c r="K130" s="26" t="n">
        <v>0</v>
      </c>
      <c r="L130" s="26" t="n">
        <v>0</v>
      </c>
      <c r="M130" s="26" t="n">
        <f aca="false">SUM(H130:L130)</f>
        <v>1081.6</v>
      </c>
      <c r="N130" s="25" t="n">
        <v>540.8</v>
      </c>
      <c r="O130" s="25" t="n">
        <f aca="false">M130-N130</f>
        <v>540.8</v>
      </c>
      <c r="P130" s="25" t="n">
        <f aca="false">K130+L130</f>
        <v>0</v>
      </c>
      <c r="Q130" s="23" t="str">
        <f aca="false">IF(AND(E130="OCCUPIED",P130&gt;0),"DELINQUENT &gt;90","CLEAR")</f>
        <v>CLEAR</v>
      </c>
      <c r="R130" s="23" t="s">
        <v>8575</v>
      </c>
      <c r="S130" s="23" t="s">
        <v>8443</v>
      </c>
      <c r="T130" s="23" t="s">
        <v>8610</v>
      </c>
      <c r="U130" s="23"/>
      <c r="V130" s="23" t="s">
        <v>8776</v>
      </c>
    </row>
    <row r="131" customFormat="false" ht="15" hidden="false" customHeight="false" outlineLevel="0" collapsed="false">
      <c r="A131" s="20" t="s">
        <v>8777</v>
      </c>
      <c r="B131" s="20" t="s">
        <v>5843</v>
      </c>
      <c r="C131" s="20" t="s">
        <v>5841</v>
      </c>
      <c r="D131" s="20" t="s">
        <v>79</v>
      </c>
      <c r="E131" s="20" t="s">
        <v>8441</v>
      </c>
      <c r="F131" s="20" t="s">
        <v>5842</v>
      </c>
      <c r="G131" s="20" t="s">
        <v>2804</v>
      </c>
      <c r="H131" s="26" t="n">
        <v>374.4</v>
      </c>
      <c r="I131" s="26" t="n">
        <v>0</v>
      </c>
      <c r="J131" s="26" t="n">
        <v>0</v>
      </c>
      <c r="K131" s="26" t="n">
        <v>0</v>
      </c>
      <c r="L131" s="26" t="n">
        <v>0</v>
      </c>
      <c r="M131" s="26" t="n">
        <f aca="false">SUM(H131:L131)</f>
        <v>374.4</v>
      </c>
      <c r="N131" s="25" t="n">
        <v>374.4</v>
      </c>
      <c r="O131" s="25" t="n">
        <f aca="false">M131-N131</f>
        <v>0</v>
      </c>
      <c r="P131" s="25" t="n">
        <f aca="false">K131+L131</f>
        <v>0</v>
      </c>
      <c r="Q131" s="23" t="str">
        <f aca="false">IF(AND(E131="OCCUPIED",P131&gt;0),"DELINQUENT &gt;90","CLEAR")</f>
        <v>CLEAR</v>
      </c>
      <c r="R131" s="23" t="s">
        <v>8623</v>
      </c>
      <c r="S131" s="23" t="s">
        <v>8443</v>
      </c>
      <c r="T131" s="23" t="s">
        <v>8532</v>
      </c>
      <c r="U131" s="23"/>
      <c r="V131" s="23" t="s">
        <v>8778</v>
      </c>
    </row>
    <row r="132" customFormat="false" ht="15" hidden="false" customHeight="false" outlineLevel="0" collapsed="false">
      <c r="A132" s="20" t="s">
        <v>8779</v>
      </c>
      <c r="B132" s="20" t="s">
        <v>5849</v>
      </c>
      <c r="C132" s="20" t="s">
        <v>5847</v>
      </c>
      <c r="D132" s="20" t="s">
        <v>79</v>
      </c>
      <c r="E132" s="20" t="s">
        <v>8441</v>
      </c>
      <c r="F132" s="20" t="s">
        <v>5848</v>
      </c>
      <c r="G132" s="20" t="s">
        <v>2804</v>
      </c>
      <c r="H132" s="26" t="n">
        <v>332.8</v>
      </c>
      <c r="I132" s="26" t="n">
        <v>0</v>
      </c>
      <c r="J132" s="26" t="n">
        <v>0</v>
      </c>
      <c r="K132" s="26" t="n">
        <v>0</v>
      </c>
      <c r="L132" s="26" t="n">
        <v>0</v>
      </c>
      <c r="M132" s="26" t="n">
        <f aca="false">SUM(H132:L132)</f>
        <v>332.8</v>
      </c>
      <c r="N132" s="25" t="n">
        <v>332.8</v>
      </c>
      <c r="O132" s="25" t="n">
        <f aca="false">M132-N132</f>
        <v>0</v>
      </c>
      <c r="P132" s="25" t="n">
        <f aca="false">K132+L132</f>
        <v>0</v>
      </c>
      <c r="Q132" s="23" t="str">
        <f aca="false">IF(AND(E132="OCCUPIED",P132&gt;0),"DELINQUENT &gt;90","CLEAR")</f>
        <v>CLEAR</v>
      </c>
      <c r="R132" s="23" t="s">
        <v>8579</v>
      </c>
      <c r="S132" s="23" t="s">
        <v>8443</v>
      </c>
      <c r="T132" s="23" t="s">
        <v>8546</v>
      </c>
      <c r="U132" s="23"/>
      <c r="V132" s="23" t="s">
        <v>8780</v>
      </c>
    </row>
    <row r="133" customFormat="false" ht="15" hidden="false" customHeight="false" outlineLevel="0" collapsed="false">
      <c r="A133" s="20" t="s">
        <v>8781</v>
      </c>
      <c r="B133" s="20" t="s">
        <v>5855</v>
      </c>
      <c r="C133" s="20" t="s">
        <v>5853</v>
      </c>
      <c r="D133" s="20" t="s">
        <v>79</v>
      </c>
      <c r="E133" s="20" t="s">
        <v>8441</v>
      </c>
      <c r="F133" s="20" t="s">
        <v>5854</v>
      </c>
      <c r="G133" s="20" t="s">
        <v>2804</v>
      </c>
      <c r="H133" s="26" t="n">
        <v>426.4</v>
      </c>
      <c r="I133" s="26" t="n">
        <v>0</v>
      </c>
      <c r="J133" s="26" t="n">
        <v>0</v>
      </c>
      <c r="K133" s="26" t="n">
        <v>0</v>
      </c>
      <c r="L133" s="26" t="n">
        <v>0</v>
      </c>
      <c r="M133" s="26" t="n">
        <f aca="false">SUM(H133:L133)</f>
        <v>426.4</v>
      </c>
      <c r="N133" s="25" t="n">
        <v>0</v>
      </c>
      <c r="O133" s="25" t="n">
        <f aca="false">M133-N133</f>
        <v>426.4</v>
      </c>
      <c r="P133" s="25" t="n">
        <f aca="false">K133+L133</f>
        <v>0</v>
      </c>
      <c r="Q133" s="23" t="str">
        <f aca="false">IF(AND(E133="OCCUPIED",P133&gt;0),"DELINQUENT &gt;90","CLEAR")</f>
        <v>CLEAR</v>
      </c>
      <c r="R133" s="23" t="s">
        <v>8554</v>
      </c>
      <c r="S133" s="23" t="s">
        <v>8443</v>
      </c>
      <c r="T133" s="23" t="s">
        <v>8492</v>
      </c>
      <c r="U133" s="23"/>
      <c r="V133" s="23" t="s">
        <v>8782</v>
      </c>
    </row>
    <row r="134" customFormat="false" ht="15" hidden="false" customHeight="false" outlineLevel="0" collapsed="false">
      <c r="A134" s="20" t="s">
        <v>8783</v>
      </c>
      <c r="B134" s="20" t="s">
        <v>5861</v>
      </c>
      <c r="C134" s="20" t="s">
        <v>5859</v>
      </c>
      <c r="D134" s="20" t="s">
        <v>79</v>
      </c>
      <c r="E134" s="20" t="s">
        <v>8441</v>
      </c>
      <c r="F134" s="20" t="s">
        <v>5860</v>
      </c>
      <c r="G134" s="20" t="s">
        <v>2804</v>
      </c>
      <c r="H134" s="26" t="n">
        <v>416</v>
      </c>
      <c r="I134" s="26" t="n">
        <v>0</v>
      </c>
      <c r="J134" s="26" t="n">
        <v>0</v>
      </c>
      <c r="K134" s="26" t="n">
        <v>0</v>
      </c>
      <c r="L134" s="26" t="n">
        <v>0</v>
      </c>
      <c r="M134" s="26" t="n">
        <f aca="false">SUM(H134:L134)</f>
        <v>416</v>
      </c>
      <c r="N134" s="25" t="n">
        <v>416</v>
      </c>
      <c r="O134" s="25" t="n">
        <f aca="false">M134-N134</f>
        <v>0</v>
      </c>
      <c r="P134" s="25" t="n">
        <f aca="false">K134+L134</f>
        <v>0</v>
      </c>
      <c r="Q134" s="23" t="str">
        <f aca="false">IF(AND(E134="OCCUPIED",P134&gt;0),"DELINQUENT &gt;90","CLEAR")</f>
        <v>CLEAR</v>
      </c>
      <c r="R134" s="23" t="s">
        <v>8687</v>
      </c>
      <c r="S134" s="23" t="s">
        <v>8443</v>
      </c>
      <c r="T134" s="23" t="s">
        <v>8584</v>
      </c>
      <c r="U134" s="23"/>
      <c r="V134" s="23" t="s">
        <v>8784</v>
      </c>
    </row>
    <row r="135" customFormat="false" ht="15" hidden="false" customHeight="false" outlineLevel="0" collapsed="false">
      <c r="A135" s="20" t="s">
        <v>8785</v>
      </c>
      <c r="B135" s="20" t="s">
        <v>1780</v>
      </c>
      <c r="C135" s="20" t="s">
        <v>5865</v>
      </c>
      <c r="D135" s="20" t="s">
        <v>79</v>
      </c>
      <c r="E135" s="20" t="s">
        <v>8441</v>
      </c>
      <c r="F135" s="20" t="s">
        <v>1779</v>
      </c>
      <c r="G135" s="20" t="s">
        <v>2804</v>
      </c>
      <c r="H135" s="26" t="n">
        <v>416</v>
      </c>
      <c r="I135" s="26" t="n">
        <v>0</v>
      </c>
      <c r="J135" s="26" t="n">
        <v>0</v>
      </c>
      <c r="K135" s="26" t="n">
        <v>0</v>
      </c>
      <c r="L135" s="26" t="n">
        <v>0</v>
      </c>
      <c r="M135" s="26" t="n">
        <f aca="false">SUM(H135:L135)</f>
        <v>416</v>
      </c>
      <c r="N135" s="25" t="n">
        <v>416</v>
      </c>
      <c r="O135" s="25" t="n">
        <f aca="false">M135-N135</f>
        <v>0</v>
      </c>
      <c r="P135" s="25" t="n">
        <f aca="false">K135+L135</f>
        <v>0</v>
      </c>
      <c r="Q135" s="23" t="str">
        <f aca="false">IF(AND(E135="OCCUPIED",P135&gt;0),"DELINQUENT &gt;90","CLEAR")</f>
        <v>CLEAR</v>
      </c>
      <c r="R135" s="23" t="s">
        <v>8455</v>
      </c>
      <c r="S135" s="23" t="s">
        <v>8443</v>
      </c>
      <c r="T135" s="23" t="s">
        <v>8729</v>
      </c>
      <c r="U135" s="23"/>
      <c r="V135" s="23" t="s">
        <v>8786</v>
      </c>
    </row>
    <row r="136" customFormat="false" ht="15" hidden="false" customHeight="false" outlineLevel="0" collapsed="false">
      <c r="A136" s="20" t="s">
        <v>8787</v>
      </c>
      <c r="B136" s="20" t="s">
        <v>5871</v>
      </c>
      <c r="C136" s="20" t="s">
        <v>5869</v>
      </c>
      <c r="D136" s="20" t="s">
        <v>79</v>
      </c>
      <c r="E136" s="20" t="s">
        <v>8441</v>
      </c>
      <c r="F136" s="20" t="s">
        <v>5870</v>
      </c>
      <c r="G136" s="20" t="s">
        <v>2804</v>
      </c>
      <c r="H136" s="26" t="n">
        <v>561.6</v>
      </c>
      <c r="I136" s="26" t="n">
        <v>0</v>
      </c>
      <c r="J136" s="26" t="n">
        <v>0</v>
      </c>
      <c r="K136" s="26" t="n">
        <v>0</v>
      </c>
      <c r="L136" s="26" t="n">
        <v>0</v>
      </c>
      <c r="M136" s="26" t="n">
        <f aca="false">SUM(H136:L136)</f>
        <v>561.6</v>
      </c>
      <c r="N136" s="25" t="n">
        <v>561.6</v>
      </c>
      <c r="O136" s="25" t="n">
        <f aca="false">M136-N136</f>
        <v>0</v>
      </c>
      <c r="P136" s="25" t="n">
        <f aca="false">K136+L136</f>
        <v>0</v>
      </c>
      <c r="Q136" s="23" t="str">
        <f aca="false">IF(AND(E136="OCCUPIED",P136&gt;0),"DELINQUENT &gt;90","CLEAR")</f>
        <v>CLEAR</v>
      </c>
      <c r="R136" s="23" t="s">
        <v>8788</v>
      </c>
      <c r="S136" s="23" t="s">
        <v>8443</v>
      </c>
      <c r="T136" s="23" t="s">
        <v>8532</v>
      </c>
      <c r="U136" s="23"/>
      <c r="V136" s="23" t="s">
        <v>8789</v>
      </c>
    </row>
    <row r="137" customFormat="false" ht="15" hidden="false" customHeight="false" outlineLevel="0" collapsed="false">
      <c r="A137" s="20" t="s">
        <v>8790</v>
      </c>
      <c r="B137" s="20" t="s">
        <v>5877</v>
      </c>
      <c r="C137" s="20" t="s">
        <v>5875</v>
      </c>
      <c r="D137" s="20" t="s">
        <v>79</v>
      </c>
      <c r="E137" s="20" t="s">
        <v>8441</v>
      </c>
      <c r="F137" s="20" t="s">
        <v>5876</v>
      </c>
      <c r="G137" s="20" t="s">
        <v>2804</v>
      </c>
      <c r="H137" s="26" t="n">
        <v>520</v>
      </c>
      <c r="I137" s="26" t="n">
        <v>0</v>
      </c>
      <c r="J137" s="26" t="n">
        <v>0</v>
      </c>
      <c r="K137" s="26" t="n">
        <v>0</v>
      </c>
      <c r="L137" s="26" t="n">
        <v>0</v>
      </c>
      <c r="M137" s="26" t="n">
        <f aca="false">SUM(H137:L137)</f>
        <v>520</v>
      </c>
      <c r="N137" s="25" t="n">
        <v>520</v>
      </c>
      <c r="O137" s="25" t="n">
        <f aca="false">M137-N137</f>
        <v>0</v>
      </c>
      <c r="P137" s="25" t="n">
        <f aca="false">K137+L137</f>
        <v>0</v>
      </c>
      <c r="Q137" s="23" t="str">
        <f aca="false">IF(AND(E137="OCCUPIED",P137&gt;0),"DELINQUENT &gt;90","CLEAR")</f>
        <v>CLEAR</v>
      </c>
      <c r="R137" s="23" t="s">
        <v>8791</v>
      </c>
      <c r="S137" s="23" t="s">
        <v>8443</v>
      </c>
      <c r="T137" s="23" t="s">
        <v>8471</v>
      </c>
      <c r="U137" s="23"/>
      <c r="V137" s="23" t="s">
        <v>8792</v>
      </c>
    </row>
    <row r="138" customFormat="false" ht="15" hidden="false" customHeight="false" outlineLevel="0" collapsed="false">
      <c r="A138" s="20" t="s">
        <v>8793</v>
      </c>
      <c r="B138" s="20" t="s">
        <v>5883</v>
      </c>
      <c r="C138" s="20" t="s">
        <v>5881</v>
      </c>
      <c r="D138" s="20" t="s">
        <v>79</v>
      </c>
      <c r="E138" s="20" t="s">
        <v>8441</v>
      </c>
      <c r="F138" s="20" t="s">
        <v>5882</v>
      </c>
      <c r="G138" s="20" t="s">
        <v>2804</v>
      </c>
      <c r="H138" s="26" t="n">
        <v>457.6</v>
      </c>
      <c r="I138" s="26" t="n">
        <v>0</v>
      </c>
      <c r="J138" s="26" t="n">
        <v>0</v>
      </c>
      <c r="K138" s="26" t="n">
        <v>0</v>
      </c>
      <c r="L138" s="26" t="n">
        <v>0</v>
      </c>
      <c r="M138" s="26" t="n">
        <f aca="false">SUM(H138:L138)</f>
        <v>457.6</v>
      </c>
      <c r="N138" s="25" t="n">
        <v>457.6</v>
      </c>
      <c r="O138" s="25" t="n">
        <f aca="false">M138-N138</f>
        <v>0</v>
      </c>
      <c r="P138" s="25" t="n">
        <f aca="false">K138+L138</f>
        <v>0</v>
      </c>
      <c r="Q138" s="23" t="str">
        <f aca="false">IF(AND(E138="OCCUPIED",P138&gt;0),"DELINQUENT &gt;90","CLEAR")</f>
        <v>CLEAR</v>
      </c>
      <c r="R138" s="23" t="s">
        <v>8579</v>
      </c>
      <c r="S138" s="23" t="s">
        <v>8443</v>
      </c>
      <c r="T138" s="23" t="s">
        <v>8471</v>
      </c>
      <c r="U138" s="23"/>
      <c r="V138" s="23" t="s">
        <v>8794</v>
      </c>
    </row>
    <row r="139" customFormat="false" ht="15" hidden="false" customHeight="false" outlineLevel="0" collapsed="false">
      <c r="A139" s="20" t="s">
        <v>8795</v>
      </c>
      <c r="B139" s="20" t="s">
        <v>5890</v>
      </c>
      <c r="C139" s="20" t="s">
        <v>5888</v>
      </c>
      <c r="D139" s="20" t="s">
        <v>79</v>
      </c>
      <c r="E139" s="20" t="s">
        <v>8441</v>
      </c>
      <c r="F139" s="20" t="s">
        <v>5889</v>
      </c>
      <c r="G139" s="20" t="s">
        <v>2804</v>
      </c>
      <c r="H139" s="26" t="n">
        <v>540.8</v>
      </c>
      <c r="I139" s="26" t="n">
        <v>540.8</v>
      </c>
      <c r="J139" s="26" t="n">
        <v>0</v>
      </c>
      <c r="K139" s="26" t="n">
        <v>0</v>
      </c>
      <c r="L139" s="26" t="n">
        <v>0</v>
      </c>
      <c r="M139" s="26" t="n">
        <f aca="false">SUM(H139:L139)</f>
        <v>1081.6</v>
      </c>
      <c r="N139" s="25" t="n">
        <v>540.8</v>
      </c>
      <c r="O139" s="25" t="n">
        <f aca="false">M139-N139</f>
        <v>540.8</v>
      </c>
      <c r="P139" s="25" t="n">
        <f aca="false">K139+L139</f>
        <v>0</v>
      </c>
      <c r="Q139" s="23" t="str">
        <f aca="false">IF(AND(E139="OCCUPIED",P139&gt;0),"DELINQUENT &gt;90","CLEAR")</f>
        <v>CLEAR</v>
      </c>
      <c r="R139" s="23" t="s">
        <v>8687</v>
      </c>
      <c r="S139" s="23" t="s">
        <v>8443</v>
      </c>
      <c r="T139" s="23" t="s">
        <v>8546</v>
      </c>
      <c r="U139" s="23"/>
      <c r="V139" s="23" t="s">
        <v>8796</v>
      </c>
    </row>
    <row r="140" customFormat="false" ht="15" hidden="false" customHeight="false" outlineLevel="0" collapsed="false">
      <c r="A140" s="20" t="s">
        <v>8797</v>
      </c>
      <c r="B140" s="20" t="s">
        <v>5896</v>
      </c>
      <c r="C140" s="20" t="s">
        <v>5894</v>
      </c>
      <c r="D140" s="20" t="s">
        <v>79</v>
      </c>
      <c r="E140" s="20" t="s">
        <v>8441</v>
      </c>
      <c r="F140" s="20" t="s">
        <v>5895</v>
      </c>
      <c r="G140" s="20" t="s">
        <v>2804</v>
      </c>
      <c r="H140" s="26" t="n">
        <v>613.6</v>
      </c>
      <c r="I140" s="26" t="n">
        <v>0</v>
      </c>
      <c r="J140" s="26" t="n">
        <v>0</v>
      </c>
      <c r="K140" s="26" t="n">
        <v>0</v>
      </c>
      <c r="L140" s="26" t="n">
        <v>0</v>
      </c>
      <c r="M140" s="26" t="n">
        <f aca="false">SUM(H140:L140)</f>
        <v>613.6</v>
      </c>
      <c r="N140" s="25" t="n">
        <v>613.6</v>
      </c>
      <c r="O140" s="25" t="n">
        <f aca="false">M140-N140</f>
        <v>0</v>
      </c>
      <c r="P140" s="25" t="n">
        <f aca="false">K140+L140</f>
        <v>0</v>
      </c>
      <c r="Q140" s="23" t="str">
        <f aca="false">IF(AND(E140="OCCUPIED",P140&gt;0),"DELINQUENT &gt;90","CLEAR")</f>
        <v>CLEAR</v>
      </c>
      <c r="R140" s="23" t="s">
        <v>8798</v>
      </c>
      <c r="S140" s="23" t="s">
        <v>8443</v>
      </c>
      <c r="T140" s="23" t="s">
        <v>8799</v>
      </c>
      <c r="U140" s="23"/>
      <c r="V140" s="23" t="s">
        <v>8800</v>
      </c>
    </row>
    <row r="141" customFormat="false" ht="15" hidden="false" customHeight="false" outlineLevel="0" collapsed="false">
      <c r="A141" s="20" t="s">
        <v>8801</v>
      </c>
      <c r="B141" s="20" t="s">
        <v>5902</v>
      </c>
      <c r="C141" s="20" t="s">
        <v>5900</v>
      </c>
      <c r="D141" s="20" t="s">
        <v>79</v>
      </c>
      <c r="E141" s="20" t="s">
        <v>8441</v>
      </c>
      <c r="F141" s="20" t="s">
        <v>5901</v>
      </c>
      <c r="G141" s="20" t="s">
        <v>2804</v>
      </c>
      <c r="H141" s="26" t="n">
        <v>551.2</v>
      </c>
      <c r="I141" s="26" t="n">
        <v>0</v>
      </c>
      <c r="J141" s="26" t="n">
        <v>0</v>
      </c>
      <c r="K141" s="26" t="n">
        <v>0</v>
      </c>
      <c r="L141" s="26" t="n">
        <v>0</v>
      </c>
      <c r="M141" s="26" t="n">
        <f aca="false">SUM(H141:L141)</f>
        <v>551.2</v>
      </c>
      <c r="N141" s="25" t="n">
        <v>551.2</v>
      </c>
      <c r="O141" s="25" t="n">
        <f aca="false">M141-N141</f>
        <v>0</v>
      </c>
      <c r="P141" s="25" t="n">
        <f aca="false">K141+L141</f>
        <v>0</v>
      </c>
      <c r="Q141" s="23" t="str">
        <f aca="false">IF(AND(E141="OCCUPIED",P141&gt;0),"DELINQUENT &gt;90","CLEAR")</f>
        <v>CLEAR</v>
      </c>
      <c r="R141" s="23" t="s">
        <v>8502</v>
      </c>
      <c r="S141" s="23" t="s">
        <v>8443</v>
      </c>
      <c r="T141" s="23" t="s">
        <v>8607</v>
      </c>
      <c r="U141" s="23"/>
      <c r="V141" s="23" t="s">
        <v>8802</v>
      </c>
    </row>
    <row r="142" customFormat="false" ht="15" hidden="false" customHeight="false" outlineLevel="0" collapsed="false">
      <c r="A142" s="20" t="s">
        <v>8803</v>
      </c>
      <c r="B142" s="20" t="s">
        <v>2336</v>
      </c>
      <c r="C142" s="20" t="s">
        <v>1530</v>
      </c>
      <c r="D142" s="20" t="s">
        <v>79</v>
      </c>
      <c r="E142" s="20" t="s">
        <v>8441</v>
      </c>
      <c r="F142" s="20" t="s">
        <v>2335</v>
      </c>
      <c r="G142" s="20" t="s">
        <v>2804</v>
      </c>
      <c r="H142" s="26" t="n">
        <v>457.6</v>
      </c>
      <c r="I142" s="26" t="n">
        <v>0</v>
      </c>
      <c r="J142" s="26" t="n">
        <v>0</v>
      </c>
      <c r="K142" s="26" t="n">
        <v>0</v>
      </c>
      <c r="L142" s="26" t="n">
        <v>0</v>
      </c>
      <c r="M142" s="26" t="n">
        <f aca="false">SUM(H142:L142)</f>
        <v>457.6</v>
      </c>
      <c r="N142" s="25" t="n">
        <v>0</v>
      </c>
      <c r="O142" s="25" t="n">
        <f aca="false">M142-N142</f>
        <v>457.6</v>
      </c>
      <c r="P142" s="25" t="n">
        <f aca="false">K142+L142</f>
        <v>0</v>
      </c>
      <c r="Q142" s="23" t="str">
        <f aca="false">IF(AND(E142="OCCUPIED",P142&gt;0),"DELINQUENT &gt;90","CLEAR")</f>
        <v>CLEAR</v>
      </c>
      <c r="R142" s="23" t="s">
        <v>8804</v>
      </c>
      <c r="S142" s="23" t="s">
        <v>8443</v>
      </c>
      <c r="T142" s="23" t="s">
        <v>8593</v>
      </c>
      <c r="U142" s="23"/>
      <c r="V142" s="23" t="s">
        <v>8805</v>
      </c>
    </row>
    <row r="143" customFormat="false" ht="15" hidden="false" customHeight="false" outlineLevel="0" collapsed="false">
      <c r="A143" s="20" t="s">
        <v>8806</v>
      </c>
      <c r="B143" s="20" t="s">
        <v>5910</v>
      </c>
      <c r="C143" s="20" t="s">
        <v>586</v>
      </c>
      <c r="D143" s="20" t="s">
        <v>79</v>
      </c>
      <c r="E143" s="20" t="s">
        <v>8441</v>
      </c>
      <c r="F143" s="20" t="s">
        <v>5909</v>
      </c>
      <c r="G143" s="20" t="s">
        <v>2804</v>
      </c>
      <c r="H143" s="26" t="n">
        <v>457.6</v>
      </c>
      <c r="I143" s="26" t="n">
        <v>0</v>
      </c>
      <c r="J143" s="26" t="n">
        <v>0</v>
      </c>
      <c r="K143" s="26" t="n">
        <v>0</v>
      </c>
      <c r="L143" s="26" t="n">
        <v>0</v>
      </c>
      <c r="M143" s="26" t="n">
        <f aca="false">SUM(H143:L143)</f>
        <v>457.6</v>
      </c>
      <c r="N143" s="25" t="n">
        <v>457.6</v>
      </c>
      <c r="O143" s="25" t="n">
        <f aca="false">M143-N143</f>
        <v>0</v>
      </c>
      <c r="P143" s="25" t="n">
        <f aca="false">K143+L143</f>
        <v>0</v>
      </c>
      <c r="Q143" s="23" t="str">
        <f aca="false">IF(AND(E143="OCCUPIED",P143&gt;0),"DELINQUENT &gt;90","CLEAR")</f>
        <v>CLEAR</v>
      </c>
      <c r="R143" s="23" t="s">
        <v>8484</v>
      </c>
      <c r="S143" s="23" t="s">
        <v>8443</v>
      </c>
      <c r="T143" s="23" t="s">
        <v>8729</v>
      </c>
      <c r="U143" s="23"/>
      <c r="V143" s="23" t="s">
        <v>8807</v>
      </c>
    </row>
    <row r="144" customFormat="false" ht="15" hidden="false" customHeight="false" outlineLevel="0" collapsed="false">
      <c r="A144" s="20" t="s">
        <v>8808</v>
      </c>
      <c r="B144" s="20" t="s">
        <v>5916</v>
      </c>
      <c r="C144" s="20" t="s">
        <v>5914</v>
      </c>
      <c r="D144" s="20" t="s">
        <v>79</v>
      </c>
      <c r="E144" s="20" t="s">
        <v>8441</v>
      </c>
      <c r="F144" s="20" t="s">
        <v>5915</v>
      </c>
      <c r="G144" s="20" t="s">
        <v>2804</v>
      </c>
      <c r="H144" s="26" t="n">
        <v>478.4</v>
      </c>
      <c r="I144" s="26" t="n">
        <v>0</v>
      </c>
      <c r="J144" s="26" t="n">
        <v>0</v>
      </c>
      <c r="K144" s="26" t="n">
        <v>0</v>
      </c>
      <c r="L144" s="26" t="n">
        <v>0</v>
      </c>
      <c r="M144" s="26" t="n">
        <f aca="false">SUM(H144:L144)</f>
        <v>478.4</v>
      </c>
      <c r="N144" s="25" t="n">
        <v>478.4</v>
      </c>
      <c r="O144" s="25" t="n">
        <f aca="false">M144-N144</f>
        <v>0</v>
      </c>
      <c r="P144" s="25" t="n">
        <f aca="false">K144+L144</f>
        <v>0</v>
      </c>
      <c r="Q144" s="23" t="str">
        <f aca="false">IF(AND(E144="OCCUPIED",P144&gt;0),"DELINQUENT &gt;90","CLEAR")</f>
        <v>CLEAR</v>
      </c>
      <c r="R144" s="23" t="s">
        <v>8484</v>
      </c>
      <c r="S144" s="23" t="s">
        <v>8443</v>
      </c>
      <c r="T144" s="23" t="s">
        <v>8593</v>
      </c>
      <c r="U144" s="23"/>
      <c r="V144" s="23" t="s">
        <v>8809</v>
      </c>
    </row>
    <row r="145" customFormat="false" ht="15" hidden="false" customHeight="false" outlineLevel="0" collapsed="false">
      <c r="A145" s="20" t="s">
        <v>8810</v>
      </c>
      <c r="B145" s="20" t="s">
        <v>5922</v>
      </c>
      <c r="C145" s="20" t="s">
        <v>5920</v>
      </c>
      <c r="D145" s="20" t="s">
        <v>79</v>
      </c>
      <c r="E145" s="20" t="s">
        <v>8441</v>
      </c>
      <c r="F145" s="20" t="s">
        <v>5921</v>
      </c>
      <c r="G145" s="20" t="s">
        <v>2804</v>
      </c>
      <c r="H145" s="26" t="n">
        <v>457.6</v>
      </c>
      <c r="I145" s="26" t="n">
        <v>0</v>
      </c>
      <c r="J145" s="26" t="n">
        <v>0</v>
      </c>
      <c r="K145" s="26" t="n">
        <v>0</v>
      </c>
      <c r="L145" s="26" t="n">
        <v>0</v>
      </c>
      <c r="M145" s="26" t="n">
        <f aca="false">SUM(H145:L145)</f>
        <v>457.6</v>
      </c>
      <c r="N145" s="25" t="n">
        <v>457.6</v>
      </c>
      <c r="O145" s="25" t="n">
        <f aca="false">M145-N145</f>
        <v>0</v>
      </c>
      <c r="P145" s="25" t="n">
        <f aca="false">K145+L145</f>
        <v>0</v>
      </c>
      <c r="Q145" s="23" t="str">
        <f aca="false">IF(AND(E145="OCCUPIED",P145&gt;0),"DELINQUENT &gt;90","CLEAR")</f>
        <v>CLEAR</v>
      </c>
      <c r="R145" s="23" t="s">
        <v>8526</v>
      </c>
      <c r="S145" s="23" t="s">
        <v>8443</v>
      </c>
      <c r="T145" s="23" t="s">
        <v>8485</v>
      </c>
      <c r="U145" s="23"/>
      <c r="V145" s="23" t="s">
        <v>8811</v>
      </c>
    </row>
    <row r="146" customFormat="false" ht="15" hidden="false" customHeight="false" outlineLevel="0" collapsed="false">
      <c r="A146" s="20" t="s">
        <v>8812</v>
      </c>
      <c r="B146" s="20" t="s">
        <v>5927</v>
      </c>
      <c r="C146" s="20" t="s">
        <v>5926</v>
      </c>
      <c r="D146" s="20" t="s">
        <v>79</v>
      </c>
      <c r="E146" s="20" t="s">
        <v>8441</v>
      </c>
      <c r="F146" s="20" t="s">
        <v>1195</v>
      </c>
      <c r="G146" s="20" t="s">
        <v>2804</v>
      </c>
      <c r="H146" s="26" t="n">
        <v>478.4</v>
      </c>
      <c r="I146" s="26" t="n">
        <v>478.4</v>
      </c>
      <c r="J146" s="26" t="n">
        <v>0</v>
      </c>
      <c r="K146" s="26" t="n">
        <v>0</v>
      </c>
      <c r="L146" s="26" t="n">
        <v>0</v>
      </c>
      <c r="M146" s="26" t="n">
        <f aca="false">SUM(H146:L146)</f>
        <v>956.8</v>
      </c>
      <c r="N146" s="25" t="n">
        <v>478.4</v>
      </c>
      <c r="O146" s="25" t="n">
        <f aca="false">M146-N146</f>
        <v>478.4</v>
      </c>
      <c r="P146" s="25" t="n">
        <f aca="false">K146+L146</f>
        <v>0</v>
      </c>
      <c r="Q146" s="23" t="str">
        <f aca="false">IF(AND(E146="OCCUPIED",P146&gt;0),"DELINQUENT &gt;90","CLEAR")</f>
        <v>CLEAR</v>
      </c>
      <c r="R146" s="23" t="s">
        <v>8485</v>
      </c>
      <c r="S146" s="23" t="s">
        <v>8443</v>
      </c>
      <c r="T146" s="23" t="s">
        <v>8447</v>
      </c>
      <c r="U146" s="23"/>
      <c r="V146" s="23" t="s">
        <v>8813</v>
      </c>
    </row>
    <row r="147" customFormat="false" ht="15" hidden="false" customHeight="false" outlineLevel="0" collapsed="false">
      <c r="A147" s="20" t="s">
        <v>8814</v>
      </c>
      <c r="B147" s="20" t="s">
        <v>5933</v>
      </c>
      <c r="C147" s="20" t="s">
        <v>5931</v>
      </c>
      <c r="D147" s="20" t="s">
        <v>79</v>
      </c>
      <c r="E147" s="20" t="s">
        <v>8441</v>
      </c>
      <c r="F147" s="20" t="s">
        <v>5932</v>
      </c>
      <c r="G147" s="20" t="s">
        <v>2804</v>
      </c>
      <c r="H147" s="26" t="n">
        <v>353.6</v>
      </c>
      <c r="I147" s="26" t="n">
        <v>0</v>
      </c>
      <c r="J147" s="26" t="n">
        <v>0</v>
      </c>
      <c r="K147" s="26" t="n">
        <v>0</v>
      </c>
      <c r="L147" s="26" t="n">
        <v>0</v>
      </c>
      <c r="M147" s="26" t="n">
        <f aca="false">SUM(H147:L147)</f>
        <v>353.6</v>
      </c>
      <c r="N147" s="25" t="n">
        <v>353.6</v>
      </c>
      <c r="O147" s="25" t="n">
        <f aca="false">M147-N147</f>
        <v>0</v>
      </c>
      <c r="P147" s="25" t="n">
        <f aca="false">K147+L147</f>
        <v>0</v>
      </c>
      <c r="Q147" s="23" t="str">
        <f aca="false">IF(AND(E147="OCCUPIED",P147&gt;0),"DELINQUENT &gt;90","CLEAR")</f>
        <v>CLEAR</v>
      </c>
      <c r="R147" s="23" t="s">
        <v>8451</v>
      </c>
      <c r="S147" s="23" t="s">
        <v>8443</v>
      </c>
      <c r="T147" s="23" t="s">
        <v>8799</v>
      </c>
      <c r="U147" s="23"/>
      <c r="V147" s="23" t="s">
        <v>8815</v>
      </c>
    </row>
    <row r="148" customFormat="false" ht="15" hidden="false" customHeight="false" outlineLevel="0" collapsed="false">
      <c r="A148" s="20" t="s">
        <v>8816</v>
      </c>
      <c r="B148" s="20" t="s">
        <v>5939</v>
      </c>
      <c r="C148" s="20" t="s">
        <v>5937</v>
      </c>
      <c r="D148" s="20" t="s">
        <v>79</v>
      </c>
      <c r="E148" s="20" t="s">
        <v>8441</v>
      </c>
      <c r="F148" s="20" t="s">
        <v>5938</v>
      </c>
      <c r="G148" s="20" t="s">
        <v>2804</v>
      </c>
      <c r="H148" s="26" t="n">
        <v>457.6</v>
      </c>
      <c r="I148" s="26" t="n">
        <v>0</v>
      </c>
      <c r="J148" s="26" t="n">
        <v>0</v>
      </c>
      <c r="K148" s="26" t="n">
        <v>0</v>
      </c>
      <c r="L148" s="26" t="n">
        <v>0</v>
      </c>
      <c r="M148" s="26" t="n">
        <f aca="false">SUM(H148:L148)</f>
        <v>457.6</v>
      </c>
      <c r="N148" s="25" t="n">
        <v>457.6</v>
      </c>
      <c r="O148" s="25" t="n">
        <f aca="false">M148-N148</f>
        <v>0</v>
      </c>
      <c r="P148" s="25" t="n">
        <f aca="false">K148+L148</f>
        <v>0</v>
      </c>
      <c r="Q148" s="23" t="str">
        <f aca="false">IF(AND(E148="OCCUPIED",P148&gt;0),"DELINQUENT &gt;90","CLEAR")</f>
        <v>CLEAR</v>
      </c>
      <c r="R148" s="23" t="s">
        <v>8587</v>
      </c>
      <c r="S148" s="23" t="s">
        <v>8443</v>
      </c>
      <c r="T148" s="23" t="s">
        <v>8529</v>
      </c>
      <c r="U148" s="23"/>
      <c r="V148" s="23" t="s">
        <v>8817</v>
      </c>
    </row>
    <row r="149" customFormat="false" ht="15" hidden="false" customHeight="false" outlineLevel="0" collapsed="false">
      <c r="A149" s="20" t="s">
        <v>8818</v>
      </c>
      <c r="B149" s="20" t="s">
        <v>5945</v>
      </c>
      <c r="C149" s="20" t="s">
        <v>5943</v>
      </c>
      <c r="D149" s="20" t="s">
        <v>79</v>
      </c>
      <c r="E149" s="20" t="s">
        <v>8441</v>
      </c>
      <c r="F149" s="20" t="s">
        <v>5944</v>
      </c>
      <c r="G149" s="20" t="s">
        <v>2804</v>
      </c>
      <c r="H149" s="26" t="n">
        <v>384.8</v>
      </c>
      <c r="I149" s="26" t="n">
        <v>384.8</v>
      </c>
      <c r="J149" s="26" t="n">
        <v>0</v>
      </c>
      <c r="K149" s="26" t="n">
        <v>0</v>
      </c>
      <c r="L149" s="26" t="n">
        <v>0</v>
      </c>
      <c r="M149" s="26" t="n">
        <f aca="false">SUM(H149:L149)</f>
        <v>769.6</v>
      </c>
      <c r="N149" s="25" t="n">
        <v>384.8</v>
      </c>
      <c r="O149" s="25" t="n">
        <f aca="false">M149-N149</f>
        <v>384.8</v>
      </c>
      <c r="P149" s="25" t="n">
        <f aca="false">K149+L149</f>
        <v>0</v>
      </c>
      <c r="Q149" s="23" t="str">
        <f aca="false">IF(AND(E149="OCCUPIED",P149&gt;0),"DELINQUENT &gt;90","CLEAR")</f>
        <v>CLEAR</v>
      </c>
      <c r="R149" s="23" t="s">
        <v>8452</v>
      </c>
      <c r="S149" s="23" t="s">
        <v>8443</v>
      </c>
      <c r="T149" s="23" t="s">
        <v>8484</v>
      </c>
      <c r="U149" s="23"/>
      <c r="V149" s="23" t="s">
        <v>8819</v>
      </c>
    </row>
    <row r="150" customFormat="false" ht="15" hidden="false" customHeight="false" outlineLevel="0" collapsed="false">
      <c r="A150" s="20" t="s">
        <v>8820</v>
      </c>
      <c r="B150" s="20" t="s">
        <v>5951</v>
      </c>
      <c r="C150" s="20" t="s">
        <v>5949</v>
      </c>
      <c r="D150" s="20" t="s">
        <v>79</v>
      </c>
      <c r="E150" s="20" t="s">
        <v>8441</v>
      </c>
      <c r="F150" s="20" t="s">
        <v>5950</v>
      </c>
      <c r="G150" s="20" t="s">
        <v>2804</v>
      </c>
      <c r="H150" s="26" t="n">
        <v>416</v>
      </c>
      <c r="I150" s="26" t="n">
        <v>416</v>
      </c>
      <c r="J150" s="26" t="n">
        <v>416</v>
      </c>
      <c r="K150" s="26" t="n">
        <v>416</v>
      </c>
      <c r="L150" s="26" t="n">
        <v>832</v>
      </c>
      <c r="M150" s="26" t="n">
        <f aca="false">SUM(H150:L150)</f>
        <v>2496</v>
      </c>
      <c r="N150" s="25" t="n">
        <v>2496</v>
      </c>
      <c r="O150" s="25" t="n">
        <f aca="false">M150-N150</f>
        <v>0</v>
      </c>
      <c r="P150" s="25" t="n">
        <f aca="false">K150+L150</f>
        <v>1248</v>
      </c>
      <c r="Q150" s="23" t="str">
        <f aca="false">IF(AND(E150="OCCUPIED",P150&gt;0),"DELINQUENT &gt;90","CLEAR")</f>
        <v>DELINQUENT &gt;90</v>
      </c>
      <c r="R150" s="23" t="s">
        <v>8821</v>
      </c>
      <c r="S150" s="23" t="s">
        <v>8516</v>
      </c>
      <c r="T150" s="23" t="s">
        <v>8532</v>
      </c>
      <c r="U150" s="23"/>
      <c r="V150" s="23" t="s">
        <v>8822</v>
      </c>
    </row>
    <row r="151" customFormat="false" ht="15" hidden="false" customHeight="false" outlineLevel="0" collapsed="false">
      <c r="A151" s="20" t="s">
        <v>8823</v>
      </c>
      <c r="B151" s="20" t="s">
        <v>5957</v>
      </c>
      <c r="C151" s="20" t="s">
        <v>5955</v>
      </c>
      <c r="D151" s="20" t="s">
        <v>79</v>
      </c>
      <c r="E151" s="20" t="s">
        <v>8441</v>
      </c>
      <c r="F151" s="20" t="s">
        <v>5956</v>
      </c>
      <c r="G151" s="20" t="s">
        <v>2804</v>
      </c>
      <c r="H151" s="26" t="n">
        <v>332.8</v>
      </c>
      <c r="I151" s="26" t="n">
        <v>332.8</v>
      </c>
      <c r="J151" s="26" t="n">
        <v>0</v>
      </c>
      <c r="K151" s="26" t="n">
        <v>0</v>
      </c>
      <c r="L151" s="26" t="n">
        <v>0</v>
      </c>
      <c r="M151" s="26" t="n">
        <f aca="false">SUM(H151:L151)</f>
        <v>665.6</v>
      </c>
      <c r="N151" s="25" t="n">
        <v>665.6</v>
      </c>
      <c r="O151" s="25" t="n">
        <f aca="false">M151-N151</f>
        <v>0</v>
      </c>
      <c r="P151" s="25" t="n">
        <f aca="false">K151+L151</f>
        <v>0</v>
      </c>
      <c r="Q151" s="23" t="str">
        <f aca="false">IF(AND(E151="OCCUPIED",P151&gt;0),"DELINQUENT &gt;90","CLEAR")</f>
        <v>CLEAR</v>
      </c>
      <c r="R151" s="23" t="s">
        <v>8444</v>
      </c>
      <c r="S151" s="23" t="s">
        <v>8467</v>
      </c>
      <c r="T151" s="23" t="s">
        <v>8511</v>
      </c>
      <c r="U151" s="23"/>
      <c r="V151" s="23" t="s">
        <v>8824</v>
      </c>
    </row>
    <row r="152" customFormat="false" ht="15" hidden="false" customHeight="false" outlineLevel="0" collapsed="false">
      <c r="A152" s="20" t="s">
        <v>8825</v>
      </c>
      <c r="B152" s="20" t="s">
        <v>5962</v>
      </c>
      <c r="C152" s="20" t="s">
        <v>1108</v>
      </c>
      <c r="D152" s="20" t="s">
        <v>79</v>
      </c>
      <c r="E152" s="20" t="s">
        <v>8441</v>
      </c>
      <c r="F152" s="20" t="s">
        <v>5961</v>
      </c>
      <c r="G152" s="20" t="s">
        <v>2804</v>
      </c>
      <c r="H152" s="26" t="n">
        <v>582.4</v>
      </c>
      <c r="I152" s="26" t="n">
        <v>0</v>
      </c>
      <c r="J152" s="26" t="n">
        <v>0</v>
      </c>
      <c r="K152" s="26" t="n">
        <v>0</v>
      </c>
      <c r="L152" s="26" t="n">
        <v>0</v>
      </c>
      <c r="M152" s="26" t="n">
        <f aca="false">SUM(H152:L152)</f>
        <v>582.4</v>
      </c>
      <c r="N152" s="25" t="n">
        <v>0</v>
      </c>
      <c r="O152" s="25" t="n">
        <f aca="false">M152-N152</f>
        <v>582.4</v>
      </c>
      <c r="P152" s="25" t="n">
        <f aca="false">K152+L152</f>
        <v>0</v>
      </c>
      <c r="Q152" s="23" t="str">
        <f aca="false">IF(AND(E152="OCCUPIED",P152&gt;0),"DELINQUENT &gt;90","CLEAR")</f>
        <v>CLEAR</v>
      </c>
      <c r="R152" s="23" t="s">
        <v>8502</v>
      </c>
      <c r="S152" s="23" t="s">
        <v>8443</v>
      </c>
      <c r="T152" s="23" t="s">
        <v>8539</v>
      </c>
      <c r="U152" s="23"/>
      <c r="V152" s="23" t="s">
        <v>8826</v>
      </c>
    </row>
    <row r="153" customFormat="false" ht="15" hidden="false" customHeight="false" outlineLevel="0" collapsed="false">
      <c r="A153" s="20" t="s">
        <v>8827</v>
      </c>
      <c r="B153" s="20" t="s">
        <v>5968</v>
      </c>
      <c r="C153" s="20" t="s">
        <v>5966</v>
      </c>
      <c r="D153" s="20" t="s">
        <v>79</v>
      </c>
      <c r="E153" s="20" t="s">
        <v>8441</v>
      </c>
      <c r="F153" s="20" t="s">
        <v>5967</v>
      </c>
      <c r="G153" s="20" t="s">
        <v>2804</v>
      </c>
      <c r="H153" s="26" t="n">
        <v>426.4</v>
      </c>
      <c r="I153" s="26" t="n">
        <v>0</v>
      </c>
      <c r="J153" s="26" t="n">
        <v>0</v>
      </c>
      <c r="K153" s="26" t="n">
        <v>0</v>
      </c>
      <c r="L153" s="26" t="n">
        <v>0</v>
      </c>
      <c r="M153" s="26" t="n">
        <f aca="false">SUM(H153:L153)</f>
        <v>426.4</v>
      </c>
      <c r="N153" s="25" t="n">
        <v>426.4</v>
      </c>
      <c r="O153" s="25" t="n">
        <f aca="false">M153-N153</f>
        <v>0</v>
      </c>
      <c r="P153" s="25" t="n">
        <f aca="false">K153+L153</f>
        <v>0</v>
      </c>
      <c r="Q153" s="23" t="str">
        <f aca="false">IF(AND(E153="OCCUPIED",P153&gt;0),"DELINQUENT &gt;90","CLEAR")</f>
        <v>CLEAR</v>
      </c>
      <c r="R153" s="23" t="s">
        <v>8484</v>
      </c>
      <c r="S153" s="23" t="s">
        <v>8443</v>
      </c>
      <c r="T153" s="23" t="s">
        <v>8572</v>
      </c>
      <c r="U153" s="23"/>
      <c r="V153" s="23" t="s">
        <v>8828</v>
      </c>
    </row>
    <row r="154" customFormat="false" ht="15" hidden="false" customHeight="false" outlineLevel="0" collapsed="false">
      <c r="A154" s="20" t="s">
        <v>8829</v>
      </c>
      <c r="B154" s="20" t="s">
        <v>5974</v>
      </c>
      <c r="C154" s="20" t="s">
        <v>5972</v>
      </c>
      <c r="D154" s="20" t="s">
        <v>79</v>
      </c>
      <c r="E154" s="20" t="s">
        <v>8441</v>
      </c>
      <c r="F154" s="20" t="s">
        <v>5973</v>
      </c>
      <c r="G154" s="20" t="s">
        <v>2804</v>
      </c>
      <c r="H154" s="26" t="n">
        <v>582.4</v>
      </c>
      <c r="I154" s="26" t="n">
        <v>582.4</v>
      </c>
      <c r="J154" s="26" t="n">
        <v>582.4</v>
      </c>
      <c r="K154" s="26" t="n">
        <v>0</v>
      </c>
      <c r="L154" s="26" t="n">
        <v>0</v>
      </c>
      <c r="M154" s="26" t="n">
        <f aca="false">SUM(H154:L154)</f>
        <v>1747.2</v>
      </c>
      <c r="N154" s="25" t="n">
        <v>1164.8</v>
      </c>
      <c r="O154" s="25" t="n">
        <f aca="false">M154-N154</f>
        <v>582.4</v>
      </c>
      <c r="P154" s="25" t="n">
        <f aca="false">K154+L154</f>
        <v>0</v>
      </c>
      <c r="Q154" s="23" t="str">
        <f aca="false">IF(AND(E154="OCCUPIED",P154&gt;0),"DELINQUENT &gt;90","CLEAR")</f>
        <v>CLEAR</v>
      </c>
      <c r="R154" s="23" t="s">
        <v>8444</v>
      </c>
      <c r="S154" s="23" t="s">
        <v>8467</v>
      </c>
      <c r="T154" s="23" t="s">
        <v>8555</v>
      </c>
      <c r="U154" s="23"/>
      <c r="V154" s="23" t="s">
        <v>8830</v>
      </c>
    </row>
    <row r="155" customFormat="false" ht="15" hidden="false" customHeight="false" outlineLevel="0" collapsed="false">
      <c r="A155" s="20" t="s">
        <v>8831</v>
      </c>
      <c r="B155" s="20" t="s">
        <v>5980</v>
      </c>
      <c r="C155" s="20" t="s">
        <v>5978</v>
      </c>
      <c r="D155" s="20" t="s">
        <v>79</v>
      </c>
      <c r="E155" s="20" t="s">
        <v>8441</v>
      </c>
      <c r="F155" s="20" t="s">
        <v>5979</v>
      </c>
      <c r="G155" s="20" t="s">
        <v>2804</v>
      </c>
      <c r="H155" s="26" t="n">
        <v>332.8</v>
      </c>
      <c r="I155" s="26" t="n">
        <v>332.8</v>
      </c>
      <c r="J155" s="26" t="n">
        <v>0</v>
      </c>
      <c r="K155" s="26" t="n">
        <v>0</v>
      </c>
      <c r="L155" s="26" t="n">
        <v>0</v>
      </c>
      <c r="M155" s="26" t="n">
        <f aca="false">SUM(H155:L155)</f>
        <v>665.6</v>
      </c>
      <c r="N155" s="25" t="n">
        <v>665.6</v>
      </c>
      <c r="O155" s="25" t="n">
        <f aca="false">M155-N155</f>
        <v>0</v>
      </c>
      <c r="P155" s="25" t="n">
        <f aca="false">K155+L155</f>
        <v>0</v>
      </c>
      <c r="Q155" s="23" t="str">
        <f aca="false">IF(AND(E155="OCCUPIED",P155&gt;0),"DELINQUENT &gt;90","CLEAR")</f>
        <v>CLEAR</v>
      </c>
      <c r="R155" s="23" t="s">
        <v>8739</v>
      </c>
      <c r="S155" s="23" t="s">
        <v>8467</v>
      </c>
      <c r="T155" s="23" t="s">
        <v>8478</v>
      </c>
      <c r="U155" s="23"/>
      <c r="V155" s="23" t="s">
        <v>8832</v>
      </c>
    </row>
    <row r="156" customFormat="false" ht="15" hidden="false" customHeight="false" outlineLevel="0" collapsed="false">
      <c r="A156" s="20" t="s">
        <v>8833</v>
      </c>
      <c r="B156" s="20" t="s">
        <v>5986</v>
      </c>
      <c r="C156" s="20" t="s">
        <v>5984</v>
      </c>
      <c r="D156" s="20" t="s">
        <v>79</v>
      </c>
      <c r="E156" s="20" t="s">
        <v>8441</v>
      </c>
      <c r="F156" s="20" t="s">
        <v>5985</v>
      </c>
      <c r="G156" s="20" t="s">
        <v>2804</v>
      </c>
      <c r="H156" s="26" t="n">
        <v>343.2</v>
      </c>
      <c r="I156" s="26" t="n">
        <v>343.2</v>
      </c>
      <c r="J156" s="26" t="n">
        <v>343.2</v>
      </c>
      <c r="K156" s="26" t="n">
        <v>0</v>
      </c>
      <c r="L156" s="26" t="n">
        <v>0</v>
      </c>
      <c r="M156" s="26" t="n">
        <f aca="false">SUM(H156:L156)</f>
        <v>1029.6</v>
      </c>
      <c r="N156" s="25" t="n">
        <v>1029.6</v>
      </c>
      <c r="O156" s="25" t="n">
        <f aca="false">M156-N156</f>
        <v>0</v>
      </c>
      <c r="P156" s="25" t="n">
        <f aca="false">K156+L156</f>
        <v>0</v>
      </c>
      <c r="Q156" s="23" t="str">
        <f aca="false">IF(AND(E156="OCCUPIED",P156&gt;0),"DELINQUENT &gt;90","CLEAR")</f>
        <v>CLEAR</v>
      </c>
      <c r="R156" s="23" t="s">
        <v>8554</v>
      </c>
      <c r="S156" s="23" t="s">
        <v>8516</v>
      </c>
      <c r="T156" s="23" t="s">
        <v>8799</v>
      </c>
      <c r="U156" s="23"/>
      <c r="V156" s="23" t="s">
        <v>8834</v>
      </c>
    </row>
    <row r="157" customFormat="false" ht="15" hidden="false" customHeight="false" outlineLevel="0" collapsed="false">
      <c r="A157" s="20" t="s">
        <v>8835</v>
      </c>
      <c r="B157" s="20" t="s">
        <v>5992</v>
      </c>
      <c r="C157" s="20" t="s">
        <v>5990</v>
      </c>
      <c r="D157" s="20" t="s">
        <v>79</v>
      </c>
      <c r="E157" s="20" t="s">
        <v>8441</v>
      </c>
      <c r="F157" s="20" t="s">
        <v>5991</v>
      </c>
      <c r="G157" s="20" t="s">
        <v>2804</v>
      </c>
      <c r="H157" s="26" t="n">
        <v>561.6</v>
      </c>
      <c r="I157" s="26" t="n">
        <v>0</v>
      </c>
      <c r="J157" s="26" t="n">
        <v>0</v>
      </c>
      <c r="K157" s="26" t="n">
        <v>0</v>
      </c>
      <c r="L157" s="26" t="n">
        <v>0</v>
      </c>
      <c r="M157" s="26" t="n">
        <f aca="false">SUM(H157:L157)</f>
        <v>561.6</v>
      </c>
      <c r="N157" s="25" t="n">
        <v>561.6</v>
      </c>
      <c r="O157" s="25" t="n">
        <f aca="false">M157-N157</f>
        <v>0</v>
      </c>
      <c r="P157" s="25" t="n">
        <f aca="false">K157+L157</f>
        <v>0</v>
      </c>
      <c r="Q157" s="23" t="str">
        <f aca="false">IF(AND(E157="OCCUPIED",P157&gt;0),"DELINQUENT &gt;90","CLEAR")</f>
        <v>CLEAR</v>
      </c>
      <c r="R157" s="23" t="s">
        <v>8572</v>
      </c>
      <c r="S157" s="23" t="s">
        <v>8443</v>
      </c>
      <c r="T157" s="23" t="s">
        <v>8558</v>
      </c>
      <c r="U157" s="23"/>
      <c r="V157" s="23" t="s">
        <v>8836</v>
      </c>
    </row>
    <row r="158" customFormat="false" ht="15" hidden="false" customHeight="false" outlineLevel="0" collapsed="false">
      <c r="A158" s="20" t="s">
        <v>8837</v>
      </c>
      <c r="B158" s="20" t="s">
        <v>5997</v>
      </c>
      <c r="C158" s="20" t="s">
        <v>820</v>
      </c>
      <c r="D158" s="20" t="s">
        <v>79</v>
      </c>
      <c r="E158" s="20" t="s">
        <v>8441</v>
      </c>
      <c r="F158" s="20" t="s">
        <v>5996</v>
      </c>
      <c r="G158" s="20" t="s">
        <v>2804</v>
      </c>
      <c r="H158" s="26" t="n">
        <v>624</v>
      </c>
      <c r="I158" s="26" t="n">
        <v>0</v>
      </c>
      <c r="J158" s="26" t="n">
        <v>0</v>
      </c>
      <c r="K158" s="26" t="n">
        <v>0</v>
      </c>
      <c r="L158" s="26" t="n">
        <v>0</v>
      </c>
      <c r="M158" s="26" t="n">
        <f aca="false">SUM(H158:L158)</f>
        <v>624</v>
      </c>
      <c r="N158" s="25" t="n">
        <v>0</v>
      </c>
      <c r="O158" s="25" t="n">
        <f aca="false">M158-N158</f>
        <v>624</v>
      </c>
      <c r="P158" s="25" t="n">
        <f aca="false">K158+L158</f>
        <v>0</v>
      </c>
      <c r="Q158" s="23" t="str">
        <f aca="false">IF(AND(E158="OCCUPIED",P158&gt;0),"DELINQUENT &gt;90","CLEAR")</f>
        <v>CLEAR</v>
      </c>
      <c r="R158" s="23" t="s">
        <v>8496</v>
      </c>
      <c r="S158" s="23" t="s">
        <v>8443</v>
      </c>
      <c r="T158" s="23" t="s">
        <v>8466</v>
      </c>
      <c r="U158" s="23"/>
      <c r="V158" s="23" t="s">
        <v>8838</v>
      </c>
    </row>
    <row r="159" customFormat="false" ht="15" hidden="false" customHeight="false" outlineLevel="0" collapsed="false">
      <c r="A159" s="20" t="s">
        <v>8839</v>
      </c>
      <c r="B159" s="20" t="s">
        <v>5629</v>
      </c>
      <c r="C159" s="20" t="s">
        <v>6001</v>
      </c>
      <c r="D159" s="20" t="s">
        <v>79</v>
      </c>
      <c r="E159" s="20" t="s">
        <v>8441</v>
      </c>
      <c r="F159" s="20" t="s">
        <v>6002</v>
      </c>
      <c r="G159" s="20" t="s">
        <v>2804</v>
      </c>
      <c r="H159" s="26" t="n">
        <v>395.2</v>
      </c>
      <c r="I159" s="26" t="n">
        <v>395.2</v>
      </c>
      <c r="J159" s="26" t="n">
        <v>0</v>
      </c>
      <c r="K159" s="26" t="n">
        <v>0</v>
      </c>
      <c r="L159" s="26" t="n">
        <v>0</v>
      </c>
      <c r="M159" s="26" t="n">
        <f aca="false">SUM(H159:L159)</f>
        <v>790.4</v>
      </c>
      <c r="N159" s="25" t="n">
        <v>790.4</v>
      </c>
      <c r="O159" s="25" t="n">
        <f aca="false">M159-N159</f>
        <v>0</v>
      </c>
      <c r="P159" s="25" t="n">
        <f aca="false">K159+L159</f>
        <v>0</v>
      </c>
      <c r="Q159" s="23" t="str">
        <f aca="false">IF(AND(E159="OCCUPIED",P159&gt;0),"DELINQUENT &gt;90","CLEAR")</f>
        <v>CLEAR</v>
      </c>
      <c r="R159" s="23" t="s">
        <v>8722</v>
      </c>
      <c r="S159" s="23" t="s">
        <v>8467</v>
      </c>
      <c r="T159" s="23" t="s">
        <v>8750</v>
      </c>
      <c r="U159" s="23"/>
      <c r="V159" s="23" t="s">
        <v>8840</v>
      </c>
    </row>
    <row r="160" customFormat="false" ht="15" hidden="false" customHeight="false" outlineLevel="0" collapsed="false">
      <c r="A160" s="20" t="s">
        <v>8841</v>
      </c>
      <c r="B160" s="20" t="s">
        <v>6008</v>
      </c>
      <c r="C160" s="20" t="s">
        <v>6006</v>
      </c>
      <c r="D160" s="20" t="s">
        <v>79</v>
      </c>
      <c r="E160" s="20" t="s">
        <v>8441</v>
      </c>
      <c r="F160" s="20" t="s">
        <v>6007</v>
      </c>
      <c r="G160" s="20" t="s">
        <v>2804</v>
      </c>
      <c r="H160" s="26" t="n">
        <v>592.8</v>
      </c>
      <c r="I160" s="26" t="n">
        <v>0</v>
      </c>
      <c r="J160" s="26" t="n">
        <v>0</v>
      </c>
      <c r="K160" s="26" t="n">
        <v>0</v>
      </c>
      <c r="L160" s="26" t="n">
        <v>0</v>
      </c>
      <c r="M160" s="26" t="n">
        <f aca="false">SUM(H160:L160)</f>
        <v>592.8</v>
      </c>
      <c r="N160" s="25" t="n">
        <v>592.8</v>
      </c>
      <c r="O160" s="25" t="n">
        <f aca="false">M160-N160</f>
        <v>0</v>
      </c>
      <c r="P160" s="25" t="n">
        <f aca="false">K160+L160</f>
        <v>0</v>
      </c>
      <c r="Q160" s="23" t="str">
        <f aca="false">IF(AND(E160="OCCUPIED",P160&gt;0),"DELINQUENT &gt;90","CLEAR")</f>
        <v>CLEAR</v>
      </c>
      <c r="R160" s="23" t="s">
        <v>8459</v>
      </c>
      <c r="S160" s="23" t="s">
        <v>8443</v>
      </c>
      <c r="T160" s="23" t="s">
        <v>8618</v>
      </c>
      <c r="U160" s="23"/>
      <c r="V160" s="23" t="s">
        <v>8842</v>
      </c>
    </row>
    <row r="161" customFormat="false" ht="15" hidden="false" customHeight="false" outlineLevel="0" collapsed="false">
      <c r="A161" s="20" t="s">
        <v>8843</v>
      </c>
      <c r="B161" s="20" t="s">
        <v>6014</v>
      </c>
      <c r="C161" s="20" t="s">
        <v>6012</v>
      </c>
      <c r="D161" s="20" t="s">
        <v>79</v>
      </c>
      <c r="E161" s="20" t="s">
        <v>8441</v>
      </c>
      <c r="F161" s="20" t="s">
        <v>6013</v>
      </c>
      <c r="G161" s="20" t="s">
        <v>2804</v>
      </c>
      <c r="H161" s="26" t="n">
        <v>488.8</v>
      </c>
      <c r="I161" s="26" t="n">
        <v>488.8</v>
      </c>
      <c r="J161" s="26" t="n">
        <v>488.8</v>
      </c>
      <c r="K161" s="26" t="n">
        <v>488.8</v>
      </c>
      <c r="L161" s="26" t="n">
        <v>0</v>
      </c>
      <c r="M161" s="26" t="n">
        <f aca="false">SUM(H161:L161)</f>
        <v>1955.2</v>
      </c>
      <c r="N161" s="25" t="n">
        <v>1955.2</v>
      </c>
      <c r="O161" s="25" t="n">
        <f aca="false">M161-N161</f>
        <v>0</v>
      </c>
      <c r="P161" s="25" t="n">
        <f aca="false">K161+L161</f>
        <v>488.8</v>
      </c>
      <c r="Q161" s="23" t="str">
        <f aca="false">IF(AND(E161="OCCUPIED",P161&gt;0),"DELINQUENT &gt;90","CLEAR")</f>
        <v>DELINQUENT &gt;90</v>
      </c>
      <c r="R161" s="23" t="s">
        <v>8610</v>
      </c>
      <c r="S161" s="23" t="s">
        <v>8516</v>
      </c>
      <c r="T161" s="23" t="s">
        <v>8489</v>
      </c>
      <c r="U161" s="23"/>
      <c r="V161" s="23" t="s">
        <v>8844</v>
      </c>
    </row>
    <row r="162" customFormat="false" ht="15" hidden="false" customHeight="false" outlineLevel="0" collapsed="false">
      <c r="A162" s="20" t="s">
        <v>8845</v>
      </c>
      <c r="B162" s="20" t="s">
        <v>6019</v>
      </c>
      <c r="C162" s="20" t="s">
        <v>6018</v>
      </c>
      <c r="D162" s="20" t="s">
        <v>79</v>
      </c>
      <c r="E162" s="20" t="s">
        <v>8441</v>
      </c>
      <c r="F162" s="20" t="s">
        <v>1314</v>
      </c>
      <c r="G162" s="20" t="s">
        <v>2804</v>
      </c>
      <c r="H162" s="26" t="n">
        <v>416</v>
      </c>
      <c r="I162" s="26" t="n">
        <v>0</v>
      </c>
      <c r="J162" s="26" t="n">
        <v>0</v>
      </c>
      <c r="K162" s="26" t="n">
        <v>0</v>
      </c>
      <c r="L162" s="26" t="n">
        <v>0</v>
      </c>
      <c r="M162" s="26" t="n">
        <f aca="false">SUM(H162:L162)</f>
        <v>416</v>
      </c>
      <c r="N162" s="25" t="n">
        <v>416</v>
      </c>
      <c r="O162" s="25" t="n">
        <f aca="false">M162-N162</f>
        <v>0</v>
      </c>
      <c r="P162" s="25" t="n">
        <f aca="false">K162+L162</f>
        <v>0</v>
      </c>
      <c r="Q162" s="23" t="str">
        <f aca="false">IF(AND(E162="OCCUPIED",P162&gt;0),"DELINQUENT &gt;90","CLEAR")</f>
        <v>CLEAR</v>
      </c>
      <c r="R162" s="23" t="s">
        <v>8739</v>
      </c>
      <c r="S162" s="23" t="s">
        <v>8443</v>
      </c>
      <c r="T162" s="23" t="s">
        <v>8444</v>
      </c>
      <c r="U162" s="23"/>
      <c r="V162" s="23" t="s">
        <v>8846</v>
      </c>
    </row>
    <row r="163" customFormat="false" ht="15" hidden="false" customHeight="false" outlineLevel="0" collapsed="false">
      <c r="A163" s="20" t="s">
        <v>8847</v>
      </c>
      <c r="B163" s="20" t="s">
        <v>6024</v>
      </c>
      <c r="C163" s="20" t="s">
        <v>1114</v>
      </c>
      <c r="D163" s="20" t="s">
        <v>79</v>
      </c>
      <c r="E163" s="20" t="s">
        <v>8441</v>
      </c>
      <c r="F163" s="20" t="s">
        <v>6023</v>
      </c>
      <c r="G163" s="20" t="s">
        <v>2804</v>
      </c>
      <c r="H163" s="26" t="n">
        <v>499.2</v>
      </c>
      <c r="I163" s="26" t="n">
        <v>0</v>
      </c>
      <c r="J163" s="26" t="n">
        <v>0</v>
      </c>
      <c r="K163" s="26" t="n">
        <v>0</v>
      </c>
      <c r="L163" s="26" t="n">
        <v>0</v>
      </c>
      <c r="M163" s="26" t="n">
        <f aca="false">SUM(H163:L163)</f>
        <v>499.2</v>
      </c>
      <c r="N163" s="25" t="n">
        <v>499.2</v>
      </c>
      <c r="O163" s="25" t="n">
        <f aca="false">M163-N163</f>
        <v>0</v>
      </c>
      <c r="P163" s="25" t="n">
        <f aca="false">K163+L163</f>
        <v>0</v>
      </c>
      <c r="Q163" s="23" t="str">
        <f aca="false">IF(AND(E163="OCCUPIED",P163&gt;0),"DELINQUENT &gt;90","CLEAR")</f>
        <v>CLEAR</v>
      </c>
      <c r="R163" s="23" t="s">
        <v>8506</v>
      </c>
      <c r="S163" s="23" t="s">
        <v>8443</v>
      </c>
      <c r="T163" s="23" t="s">
        <v>8558</v>
      </c>
      <c r="U163" s="23"/>
      <c r="V163" s="23" t="s">
        <v>8848</v>
      </c>
    </row>
    <row r="164" customFormat="false" ht="15" hidden="false" customHeight="false" outlineLevel="0" collapsed="false">
      <c r="A164" s="20" t="s">
        <v>8849</v>
      </c>
      <c r="B164" s="20" t="s">
        <v>6030</v>
      </c>
      <c r="C164" s="20" t="s">
        <v>6028</v>
      </c>
      <c r="D164" s="20" t="s">
        <v>79</v>
      </c>
      <c r="E164" s="20" t="s">
        <v>8441</v>
      </c>
      <c r="F164" s="20" t="s">
        <v>6029</v>
      </c>
      <c r="G164" s="20" t="s">
        <v>2804</v>
      </c>
      <c r="H164" s="26" t="n">
        <v>416</v>
      </c>
      <c r="I164" s="26" t="n">
        <v>416</v>
      </c>
      <c r="J164" s="26" t="n">
        <v>0</v>
      </c>
      <c r="K164" s="26" t="n">
        <v>0</v>
      </c>
      <c r="L164" s="26" t="n">
        <v>0</v>
      </c>
      <c r="M164" s="26" t="n">
        <f aca="false">SUM(H164:L164)</f>
        <v>832</v>
      </c>
      <c r="N164" s="25" t="n">
        <v>416</v>
      </c>
      <c r="O164" s="25" t="n">
        <f aca="false">M164-N164</f>
        <v>416</v>
      </c>
      <c r="P164" s="25" t="n">
        <f aca="false">K164+L164</f>
        <v>0</v>
      </c>
      <c r="Q164" s="23" t="str">
        <f aca="false">IF(AND(E164="OCCUPIED",P164&gt;0),"DELINQUENT &gt;90","CLEAR")</f>
        <v>CLEAR</v>
      </c>
      <c r="R164" s="23" t="s">
        <v>8604</v>
      </c>
      <c r="S164" s="23" t="s">
        <v>8443</v>
      </c>
      <c r="T164" s="23" t="s">
        <v>8495</v>
      </c>
      <c r="U164" s="23"/>
      <c r="V164" s="23" t="s">
        <v>8850</v>
      </c>
    </row>
    <row r="165" customFormat="false" ht="15" hidden="false" customHeight="false" outlineLevel="0" collapsed="false">
      <c r="A165" s="20" t="s">
        <v>8851</v>
      </c>
      <c r="B165" s="20" t="s">
        <v>6035</v>
      </c>
      <c r="C165" s="20" t="s">
        <v>1427</v>
      </c>
      <c r="D165" s="20" t="s">
        <v>79</v>
      </c>
      <c r="E165" s="20" t="s">
        <v>8441</v>
      </c>
      <c r="F165" s="20" t="s">
        <v>6034</v>
      </c>
      <c r="G165" s="20" t="s">
        <v>2804</v>
      </c>
      <c r="H165" s="26" t="n">
        <v>582.4</v>
      </c>
      <c r="I165" s="26" t="n">
        <v>0</v>
      </c>
      <c r="J165" s="26" t="n">
        <v>0</v>
      </c>
      <c r="K165" s="26" t="n">
        <v>0</v>
      </c>
      <c r="L165" s="26" t="n">
        <v>0</v>
      </c>
      <c r="M165" s="26" t="n">
        <f aca="false">SUM(H165:L165)</f>
        <v>582.4</v>
      </c>
      <c r="N165" s="25" t="n">
        <v>582.4</v>
      </c>
      <c r="O165" s="25" t="n">
        <f aca="false">M165-N165</f>
        <v>0</v>
      </c>
      <c r="P165" s="25" t="n">
        <f aca="false">K165+L165</f>
        <v>0</v>
      </c>
      <c r="Q165" s="23" t="str">
        <f aca="false">IF(AND(E165="OCCUPIED",P165&gt;0),"DELINQUENT &gt;90","CLEAR")</f>
        <v>CLEAR</v>
      </c>
      <c r="R165" s="23" t="s">
        <v>8852</v>
      </c>
      <c r="S165" s="23" t="s">
        <v>8443</v>
      </c>
      <c r="T165" s="23" t="s">
        <v>8523</v>
      </c>
      <c r="U165" s="23"/>
      <c r="V165" s="23" t="s">
        <v>8853</v>
      </c>
    </row>
    <row r="166" customFormat="false" ht="15" hidden="false" customHeight="false" outlineLevel="0" collapsed="false">
      <c r="A166" s="20" t="s">
        <v>8854</v>
      </c>
      <c r="B166" s="20" t="s">
        <v>2157</v>
      </c>
      <c r="C166" s="20" t="s">
        <v>6039</v>
      </c>
      <c r="D166" s="20" t="s">
        <v>79</v>
      </c>
      <c r="E166" s="20" t="s">
        <v>8441</v>
      </c>
      <c r="F166" s="20" t="s">
        <v>2156</v>
      </c>
      <c r="G166" s="20" t="s">
        <v>2804</v>
      </c>
      <c r="H166" s="26" t="n">
        <v>426.4</v>
      </c>
      <c r="I166" s="26" t="n">
        <v>0</v>
      </c>
      <c r="J166" s="26" t="n">
        <v>0</v>
      </c>
      <c r="K166" s="26" t="n">
        <v>0</v>
      </c>
      <c r="L166" s="26" t="n">
        <v>0</v>
      </c>
      <c r="M166" s="26" t="n">
        <f aca="false">SUM(H166:L166)</f>
        <v>426.4</v>
      </c>
      <c r="N166" s="25" t="n">
        <v>426.4</v>
      </c>
      <c r="O166" s="25" t="n">
        <f aca="false">M166-N166</f>
        <v>0</v>
      </c>
      <c r="P166" s="25" t="n">
        <f aca="false">K166+L166</f>
        <v>0</v>
      </c>
      <c r="Q166" s="23" t="str">
        <f aca="false">IF(AND(E166="OCCUPIED",P166&gt;0),"DELINQUENT &gt;90","CLEAR")</f>
        <v>CLEAR</v>
      </c>
      <c r="R166" s="23" t="s">
        <v>8855</v>
      </c>
      <c r="S166" s="23" t="s">
        <v>8443</v>
      </c>
      <c r="T166" s="23" t="s">
        <v>8729</v>
      </c>
      <c r="U166" s="23"/>
      <c r="V166" s="23" t="s">
        <v>8856</v>
      </c>
    </row>
    <row r="167" customFormat="false" ht="15" hidden="false" customHeight="false" outlineLevel="0" collapsed="false">
      <c r="A167" s="20" t="s">
        <v>8857</v>
      </c>
      <c r="B167" s="20" t="s">
        <v>6045</v>
      </c>
      <c r="C167" s="20" t="s">
        <v>6043</v>
      </c>
      <c r="D167" s="20" t="s">
        <v>79</v>
      </c>
      <c r="E167" s="20" t="s">
        <v>8441</v>
      </c>
      <c r="F167" s="20" t="s">
        <v>6044</v>
      </c>
      <c r="G167" s="20" t="s">
        <v>2804</v>
      </c>
      <c r="H167" s="26" t="n">
        <v>447.2</v>
      </c>
      <c r="I167" s="26" t="n">
        <v>0</v>
      </c>
      <c r="J167" s="26" t="n">
        <v>0</v>
      </c>
      <c r="K167" s="26" t="n">
        <v>0</v>
      </c>
      <c r="L167" s="26" t="n">
        <v>0</v>
      </c>
      <c r="M167" s="26" t="n">
        <f aca="false">SUM(H167:L167)</f>
        <v>447.2</v>
      </c>
      <c r="N167" s="25" t="n">
        <v>447.2</v>
      </c>
      <c r="O167" s="25" t="n">
        <f aca="false">M167-N167</f>
        <v>0</v>
      </c>
      <c r="P167" s="25" t="n">
        <f aca="false">K167+L167</f>
        <v>0</v>
      </c>
      <c r="Q167" s="23" t="str">
        <f aca="false">IF(AND(E167="OCCUPIED",P167&gt;0),"DELINQUENT &gt;90","CLEAR")</f>
        <v>CLEAR</v>
      </c>
      <c r="R167" s="23" t="s">
        <v>8719</v>
      </c>
      <c r="S167" s="23" t="s">
        <v>8443</v>
      </c>
      <c r="T167" s="23" t="s">
        <v>8459</v>
      </c>
      <c r="U167" s="23"/>
      <c r="V167" s="23" t="s">
        <v>8858</v>
      </c>
    </row>
    <row r="168" customFormat="false" ht="15" hidden="false" customHeight="false" outlineLevel="0" collapsed="false">
      <c r="A168" s="20" t="s">
        <v>8859</v>
      </c>
      <c r="B168" s="20" t="s">
        <v>6050</v>
      </c>
      <c r="C168" s="20" t="s">
        <v>6049</v>
      </c>
      <c r="D168" s="20" t="s">
        <v>79</v>
      </c>
      <c r="E168" s="20" t="s">
        <v>8441</v>
      </c>
      <c r="F168" s="20" t="s">
        <v>2011</v>
      </c>
      <c r="G168" s="20" t="s">
        <v>2804</v>
      </c>
      <c r="H168" s="26" t="n">
        <v>364</v>
      </c>
      <c r="I168" s="26" t="n">
        <v>0</v>
      </c>
      <c r="J168" s="26" t="n">
        <v>0</v>
      </c>
      <c r="K168" s="26" t="n">
        <v>0</v>
      </c>
      <c r="L168" s="26" t="n">
        <v>0</v>
      </c>
      <c r="M168" s="26" t="n">
        <f aca="false">SUM(H168:L168)</f>
        <v>364</v>
      </c>
      <c r="N168" s="25" t="n">
        <v>364</v>
      </c>
      <c r="O168" s="25" t="n">
        <f aca="false">M168-N168</f>
        <v>0</v>
      </c>
      <c r="P168" s="25" t="n">
        <f aca="false">K168+L168</f>
        <v>0</v>
      </c>
      <c r="Q168" s="23" t="str">
        <f aca="false">IF(AND(E168="OCCUPIED",P168&gt;0),"DELINQUENT &gt;90","CLEAR")</f>
        <v>CLEAR</v>
      </c>
      <c r="R168" s="23" t="s">
        <v>8855</v>
      </c>
      <c r="S168" s="23" t="s">
        <v>8443</v>
      </c>
      <c r="T168" s="23" t="s">
        <v>8477</v>
      </c>
      <c r="U168" s="23"/>
      <c r="V168" s="23" t="s">
        <v>8860</v>
      </c>
    </row>
    <row r="169" customFormat="false" ht="15" hidden="false" customHeight="false" outlineLevel="0" collapsed="false">
      <c r="A169" s="20" t="s">
        <v>8861</v>
      </c>
      <c r="B169" s="20" t="s">
        <v>6056</v>
      </c>
      <c r="C169" s="20" t="s">
        <v>6054</v>
      </c>
      <c r="D169" s="20" t="s">
        <v>79</v>
      </c>
      <c r="E169" s="20" t="s">
        <v>8441</v>
      </c>
      <c r="F169" s="20" t="s">
        <v>6055</v>
      </c>
      <c r="G169" s="20" t="s">
        <v>2804</v>
      </c>
      <c r="H169" s="26" t="n">
        <v>540.8</v>
      </c>
      <c r="I169" s="26" t="n">
        <v>0</v>
      </c>
      <c r="J169" s="26" t="n">
        <v>0</v>
      </c>
      <c r="K169" s="26" t="n">
        <v>0</v>
      </c>
      <c r="L169" s="26" t="n">
        <v>0</v>
      </c>
      <c r="M169" s="26" t="n">
        <f aca="false">SUM(H169:L169)</f>
        <v>540.8</v>
      </c>
      <c r="N169" s="25" t="n">
        <v>0</v>
      </c>
      <c r="O169" s="25" t="n">
        <f aca="false">M169-N169</f>
        <v>540.8</v>
      </c>
      <c r="P169" s="25" t="n">
        <f aca="false">K169+L169</f>
        <v>0</v>
      </c>
      <c r="Q169" s="23" t="str">
        <f aca="false">IF(AND(E169="OCCUPIED",P169&gt;0),"DELINQUENT &gt;90","CLEAR")</f>
        <v>CLEAR</v>
      </c>
      <c r="R169" s="23" t="s">
        <v>8659</v>
      </c>
      <c r="S169" s="23" t="s">
        <v>8443</v>
      </c>
      <c r="T169" s="23" t="s">
        <v>8584</v>
      </c>
      <c r="U169" s="23"/>
      <c r="V169" s="23" t="s">
        <v>8862</v>
      </c>
    </row>
    <row r="170" customFormat="false" ht="15" hidden="false" customHeight="false" outlineLevel="0" collapsed="false">
      <c r="A170" s="20" t="s">
        <v>8863</v>
      </c>
      <c r="B170" s="20" t="s">
        <v>6062</v>
      </c>
      <c r="C170" s="20" t="s">
        <v>6060</v>
      </c>
      <c r="D170" s="20" t="s">
        <v>79</v>
      </c>
      <c r="E170" s="20" t="s">
        <v>8441</v>
      </c>
      <c r="F170" s="20" t="s">
        <v>6061</v>
      </c>
      <c r="G170" s="20" t="s">
        <v>2804</v>
      </c>
      <c r="H170" s="26" t="n">
        <v>291.2</v>
      </c>
      <c r="I170" s="26" t="n">
        <v>0</v>
      </c>
      <c r="J170" s="26" t="n">
        <v>0</v>
      </c>
      <c r="K170" s="26" t="n">
        <v>0</v>
      </c>
      <c r="L170" s="26" t="n">
        <v>0</v>
      </c>
      <c r="M170" s="26" t="n">
        <f aca="false">SUM(H170:L170)</f>
        <v>291.2</v>
      </c>
      <c r="N170" s="25" t="n">
        <v>291.2</v>
      </c>
      <c r="O170" s="25" t="n">
        <f aca="false">M170-N170</f>
        <v>0</v>
      </c>
      <c r="P170" s="25" t="n">
        <f aca="false">K170+L170</f>
        <v>0</v>
      </c>
      <c r="Q170" s="23" t="str">
        <f aca="false">IF(AND(E170="OCCUPIED",P170&gt;0),"DELINQUENT &gt;90","CLEAR")</f>
        <v>CLEAR</v>
      </c>
      <c r="R170" s="23" t="s">
        <v>8617</v>
      </c>
      <c r="S170" s="23" t="s">
        <v>8443</v>
      </c>
      <c r="T170" s="23" t="s">
        <v>8532</v>
      </c>
      <c r="U170" s="23"/>
      <c r="V170" s="23" t="s">
        <v>8864</v>
      </c>
    </row>
    <row r="171" customFormat="false" ht="15" hidden="false" customHeight="false" outlineLevel="0" collapsed="false">
      <c r="A171" s="20" t="s">
        <v>8865</v>
      </c>
      <c r="B171" s="20" t="s">
        <v>6068</v>
      </c>
      <c r="C171" s="20" t="s">
        <v>6066</v>
      </c>
      <c r="D171" s="20" t="s">
        <v>79</v>
      </c>
      <c r="E171" s="20" t="s">
        <v>8441</v>
      </c>
      <c r="F171" s="20" t="s">
        <v>6067</v>
      </c>
      <c r="G171" s="20" t="s">
        <v>2804</v>
      </c>
      <c r="H171" s="26" t="n">
        <v>395.2</v>
      </c>
      <c r="I171" s="26" t="n">
        <v>0</v>
      </c>
      <c r="J171" s="26" t="n">
        <v>0</v>
      </c>
      <c r="K171" s="26" t="n">
        <v>0</v>
      </c>
      <c r="L171" s="26" t="n">
        <v>0</v>
      </c>
      <c r="M171" s="26" t="n">
        <f aca="false">SUM(H171:L171)</f>
        <v>395.2</v>
      </c>
      <c r="N171" s="25" t="n">
        <v>395.2</v>
      </c>
      <c r="O171" s="25" t="n">
        <f aca="false">M171-N171</f>
        <v>0</v>
      </c>
      <c r="P171" s="25" t="n">
        <f aca="false">K171+L171</f>
        <v>0</v>
      </c>
      <c r="Q171" s="23" t="str">
        <f aca="false">IF(AND(E171="OCCUPIED",P171&gt;0),"DELINQUENT &gt;90","CLEAR")</f>
        <v>CLEAR</v>
      </c>
      <c r="R171" s="23" t="s">
        <v>8738</v>
      </c>
      <c r="S171" s="23" t="s">
        <v>8443</v>
      </c>
      <c r="T171" s="23" t="s">
        <v>8611</v>
      </c>
      <c r="U171" s="23"/>
      <c r="V171" s="23" t="s">
        <v>8866</v>
      </c>
    </row>
    <row r="172" customFormat="false" ht="15" hidden="false" customHeight="false" outlineLevel="0" collapsed="false">
      <c r="A172" s="20" t="s">
        <v>8867</v>
      </c>
      <c r="B172" s="20" t="s">
        <v>6074</v>
      </c>
      <c r="C172" s="20" t="s">
        <v>6072</v>
      </c>
      <c r="D172" s="20" t="s">
        <v>79</v>
      </c>
      <c r="E172" s="20" t="s">
        <v>8441</v>
      </c>
      <c r="F172" s="20" t="s">
        <v>6073</v>
      </c>
      <c r="G172" s="20" t="s">
        <v>2804</v>
      </c>
      <c r="H172" s="26" t="n">
        <v>364</v>
      </c>
      <c r="I172" s="26" t="n">
        <v>0</v>
      </c>
      <c r="J172" s="26" t="n">
        <v>0</v>
      </c>
      <c r="K172" s="26" t="n">
        <v>0</v>
      </c>
      <c r="L172" s="26" t="n">
        <v>0</v>
      </c>
      <c r="M172" s="26" t="n">
        <f aca="false">SUM(H172:L172)</f>
        <v>364</v>
      </c>
      <c r="N172" s="25" t="n">
        <v>0</v>
      </c>
      <c r="O172" s="25" t="n">
        <f aca="false">M172-N172</f>
        <v>364</v>
      </c>
      <c r="P172" s="25" t="n">
        <f aca="false">K172+L172</f>
        <v>0</v>
      </c>
      <c r="Q172" s="23" t="str">
        <f aca="false">IF(AND(E172="OCCUPIED",P172&gt;0),"DELINQUENT &gt;90","CLEAR")</f>
        <v>CLEAR</v>
      </c>
      <c r="R172" s="23" t="s">
        <v>8477</v>
      </c>
      <c r="S172" s="23" t="s">
        <v>8443</v>
      </c>
      <c r="T172" s="23" t="s">
        <v>8729</v>
      </c>
      <c r="U172" s="23"/>
      <c r="V172" s="23" t="s">
        <v>8868</v>
      </c>
    </row>
    <row r="173" customFormat="false" ht="15" hidden="false" customHeight="false" outlineLevel="0" collapsed="false">
      <c r="A173" s="20" t="s">
        <v>8869</v>
      </c>
      <c r="B173" s="20" t="s">
        <v>2586</v>
      </c>
      <c r="C173" s="20" t="s">
        <v>6078</v>
      </c>
      <c r="D173" s="20" t="s">
        <v>79</v>
      </c>
      <c r="E173" s="20" t="s">
        <v>8441</v>
      </c>
      <c r="F173" s="20" t="s">
        <v>2585</v>
      </c>
      <c r="G173" s="20" t="s">
        <v>2804</v>
      </c>
      <c r="H173" s="26" t="n">
        <v>520</v>
      </c>
      <c r="I173" s="26" t="n">
        <v>0</v>
      </c>
      <c r="J173" s="26" t="n">
        <v>0</v>
      </c>
      <c r="K173" s="26" t="n">
        <v>0</v>
      </c>
      <c r="L173" s="26" t="n">
        <v>0</v>
      </c>
      <c r="M173" s="26" t="n">
        <f aca="false">SUM(H173:L173)</f>
        <v>520</v>
      </c>
      <c r="N173" s="25" t="n">
        <v>520</v>
      </c>
      <c r="O173" s="25" t="n">
        <f aca="false">M173-N173</f>
        <v>0</v>
      </c>
      <c r="P173" s="25" t="n">
        <f aca="false">K173+L173</f>
        <v>0</v>
      </c>
      <c r="Q173" s="23" t="str">
        <f aca="false">IF(AND(E173="OCCUPIED",P173&gt;0),"DELINQUENT &gt;90","CLEAR")</f>
        <v>CLEAR</v>
      </c>
      <c r="R173" s="23" t="s">
        <v>8660</v>
      </c>
      <c r="S173" s="23" t="s">
        <v>8443</v>
      </c>
      <c r="T173" s="23" t="s">
        <v>8729</v>
      </c>
      <c r="U173" s="23"/>
      <c r="V173" s="23" t="s">
        <v>8870</v>
      </c>
    </row>
    <row r="174" customFormat="false" ht="15" hidden="false" customHeight="false" outlineLevel="0" collapsed="false">
      <c r="A174" s="20" t="s">
        <v>8871</v>
      </c>
      <c r="B174" s="20" t="s">
        <v>6083</v>
      </c>
      <c r="C174" s="20" t="s">
        <v>1298</v>
      </c>
      <c r="D174" s="20" t="s">
        <v>79</v>
      </c>
      <c r="E174" s="20" t="s">
        <v>8441</v>
      </c>
      <c r="F174" s="20" t="s">
        <v>6082</v>
      </c>
      <c r="G174" s="20" t="s">
        <v>2804</v>
      </c>
      <c r="H174" s="26" t="n">
        <v>499.2</v>
      </c>
      <c r="I174" s="26" t="n">
        <v>0</v>
      </c>
      <c r="J174" s="26" t="n">
        <v>0</v>
      </c>
      <c r="K174" s="26" t="n">
        <v>0</v>
      </c>
      <c r="L174" s="26" t="n">
        <v>0</v>
      </c>
      <c r="M174" s="26" t="n">
        <f aca="false">SUM(H174:L174)</f>
        <v>499.2</v>
      </c>
      <c r="N174" s="25" t="n">
        <v>499.2</v>
      </c>
      <c r="O174" s="25" t="n">
        <f aca="false">M174-N174</f>
        <v>0</v>
      </c>
      <c r="P174" s="25" t="n">
        <f aca="false">K174+L174</f>
        <v>0</v>
      </c>
      <c r="Q174" s="23" t="str">
        <f aca="false">IF(AND(E174="OCCUPIED",P174&gt;0),"DELINQUENT &gt;90","CLEAR")</f>
        <v>CLEAR</v>
      </c>
      <c r="R174" s="23" t="s">
        <v>8651</v>
      </c>
      <c r="S174" s="23" t="s">
        <v>8443</v>
      </c>
      <c r="T174" s="23" t="s">
        <v>8489</v>
      </c>
      <c r="U174" s="23"/>
      <c r="V174" s="23" t="s">
        <v>8872</v>
      </c>
    </row>
    <row r="175" customFormat="false" ht="15" hidden="false" customHeight="false" outlineLevel="0" collapsed="false">
      <c r="A175" s="20" t="s">
        <v>8873</v>
      </c>
      <c r="B175" s="20" t="s">
        <v>6088</v>
      </c>
      <c r="C175" s="20" t="s">
        <v>1179</v>
      </c>
      <c r="D175" s="20" t="s">
        <v>79</v>
      </c>
      <c r="E175" s="20" t="s">
        <v>8441</v>
      </c>
      <c r="F175" s="20" t="s">
        <v>6087</v>
      </c>
      <c r="G175" s="20" t="s">
        <v>2804</v>
      </c>
      <c r="H175" s="26" t="n">
        <v>332.8</v>
      </c>
      <c r="I175" s="26" t="n">
        <v>0</v>
      </c>
      <c r="J175" s="26" t="n">
        <v>0</v>
      </c>
      <c r="K175" s="26" t="n">
        <v>0</v>
      </c>
      <c r="L175" s="26" t="n">
        <v>0</v>
      </c>
      <c r="M175" s="26" t="n">
        <f aca="false">SUM(H175:L175)</f>
        <v>332.8</v>
      </c>
      <c r="N175" s="25" t="n">
        <v>332.8</v>
      </c>
      <c r="O175" s="25" t="n">
        <f aca="false">M175-N175</f>
        <v>0</v>
      </c>
      <c r="P175" s="25" t="n">
        <f aca="false">K175+L175</f>
        <v>0</v>
      </c>
      <c r="Q175" s="23" t="str">
        <f aca="false">IF(AND(E175="OCCUPIED",P175&gt;0),"DELINQUENT &gt;90","CLEAR")</f>
        <v>CLEAR</v>
      </c>
      <c r="R175" s="23" t="s">
        <v>8656</v>
      </c>
      <c r="S175" s="23" t="s">
        <v>8443</v>
      </c>
      <c r="T175" s="23" t="s">
        <v>8584</v>
      </c>
      <c r="U175" s="23"/>
      <c r="V175" s="23" t="s">
        <v>8874</v>
      </c>
    </row>
    <row r="176" customFormat="false" ht="15" hidden="false" customHeight="false" outlineLevel="0" collapsed="false">
      <c r="A176" s="20" t="s">
        <v>8875</v>
      </c>
      <c r="B176" s="20" t="s">
        <v>6094</v>
      </c>
      <c r="C176" s="20" t="s">
        <v>6092</v>
      </c>
      <c r="D176" s="20" t="s">
        <v>79</v>
      </c>
      <c r="E176" s="20" t="s">
        <v>8441</v>
      </c>
      <c r="F176" s="20" t="s">
        <v>6093</v>
      </c>
      <c r="G176" s="20" t="s">
        <v>2804</v>
      </c>
      <c r="H176" s="26" t="n">
        <v>634.4</v>
      </c>
      <c r="I176" s="26" t="n">
        <v>0</v>
      </c>
      <c r="J176" s="26" t="n">
        <v>0</v>
      </c>
      <c r="K176" s="26" t="n">
        <v>0</v>
      </c>
      <c r="L176" s="26" t="n">
        <v>0</v>
      </c>
      <c r="M176" s="26" t="n">
        <f aca="false">SUM(H176:L176)</f>
        <v>634.4</v>
      </c>
      <c r="N176" s="25" t="n">
        <v>634.4</v>
      </c>
      <c r="O176" s="25" t="n">
        <f aca="false">M176-N176</f>
        <v>0</v>
      </c>
      <c r="P176" s="25" t="n">
        <f aca="false">K176+L176</f>
        <v>0</v>
      </c>
      <c r="Q176" s="23" t="str">
        <f aca="false">IF(AND(E176="OCCUPIED",P176&gt;0),"DELINQUENT &gt;90","CLEAR")</f>
        <v>CLEAR</v>
      </c>
      <c r="R176" s="23" t="s">
        <v>8852</v>
      </c>
      <c r="S176" s="23" t="s">
        <v>8443</v>
      </c>
      <c r="T176" s="23" t="s">
        <v>8444</v>
      </c>
      <c r="U176" s="23"/>
      <c r="V176" s="23" t="s">
        <v>8876</v>
      </c>
    </row>
    <row r="177" customFormat="false" ht="15" hidden="false" customHeight="false" outlineLevel="0" collapsed="false">
      <c r="A177" s="20" t="s">
        <v>8877</v>
      </c>
      <c r="B177" s="20" t="s">
        <v>6100</v>
      </c>
      <c r="C177" s="20" t="s">
        <v>6098</v>
      </c>
      <c r="D177" s="20" t="s">
        <v>79</v>
      </c>
      <c r="E177" s="20" t="s">
        <v>8441</v>
      </c>
      <c r="F177" s="20" t="s">
        <v>6099</v>
      </c>
      <c r="G177" s="20" t="s">
        <v>2804</v>
      </c>
      <c r="H177" s="26" t="n">
        <v>332.8</v>
      </c>
      <c r="I177" s="26" t="n">
        <v>0</v>
      </c>
      <c r="J177" s="26" t="n">
        <v>0</v>
      </c>
      <c r="K177" s="26" t="n">
        <v>0</v>
      </c>
      <c r="L177" s="26" t="n">
        <v>0</v>
      </c>
      <c r="M177" s="26" t="n">
        <f aca="false">SUM(H177:L177)</f>
        <v>332.8</v>
      </c>
      <c r="N177" s="25" t="n">
        <v>332.8</v>
      </c>
      <c r="O177" s="25" t="n">
        <f aca="false">M177-N177</f>
        <v>0</v>
      </c>
      <c r="P177" s="25" t="n">
        <f aca="false">K177+L177</f>
        <v>0</v>
      </c>
      <c r="Q177" s="23" t="str">
        <f aca="false">IF(AND(E177="OCCUPIED",P177&gt;0),"DELINQUENT &gt;90","CLEAR")</f>
        <v>CLEAR</v>
      </c>
      <c r="R177" s="23" t="s">
        <v>8596</v>
      </c>
      <c r="S177" s="23" t="s">
        <v>8443</v>
      </c>
      <c r="T177" s="23" t="s">
        <v>8660</v>
      </c>
      <c r="U177" s="23"/>
      <c r="V177" s="23" t="s">
        <v>8878</v>
      </c>
    </row>
    <row r="178" customFormat="false" ht="15" hidden="false" customHeight="false" outlineLevel="0" collapsed="false">
      <c r="A178" s="20" t="s">
        <v>8879</v>
      </c>
      <c r="B178" s="20" t="s">
        <v>1762</v>
      </c>
      <c r="C178" s="20" t="s">
        <v>1763</v>
      </c>
      <c r="D178" s="20" t="s">
        <v>79</v>
      </c>
      <c r="E178" s="20" t="s">
        <v>8441</v>
      </c>
      <c r="F178" s="20" t="s">
        <v>1761</v>
      </c>
      <c r="G178" s="20" t="s">
        <v>2804</v>
      </c>
      <c r="H178" s="26" t="n">
        <v>457.6</v>
      </c>
      <c r="I178" s="26" t="n">
        <v>0</v>
      </c>
      <c r="J178" s="26" t="n">
        <v>0</v>
      </c>
      <c r="K178" s="26" t="n">
        <v>0</v>
      </c>
      <c r="L178" s="26" t="n">
        <v>0</v>
      </c>
      <c r="M178" s="26" t="n">
        <f aca="false">SUM(H178:L178)</f>
        <v>457.6</v>
      </c>
      <c r="N178" s="25" t="n">
        <v>0</v>
      </c>
      <c r="O178" s="25" t="n">
        <f aca="false">M178-N178</f>
        <v>457.6</v>
      </c>
      <c r="P178" s="25" t="n">
        <f aca="false">K178+L178</f>
        <v>0</v>
      </c>
      <c r="Q178" s="23" t="str">
        <f aca="false">IF(AND(E178="OCCUPIED",P178&gt;0),"DELINQUENT &gt;90","CLEAR")</f>
        <v>CLEAR</v>
      </c>
      <c r="R178" s="23" t="s">
        <v>8562</v>
      </c>
      <c r="S178" s="23" t="s">
        <v>8443</v>
      </c>
      <c r="T178" s="23" t="s">
        <v>8542</v>
      </c>
      <c r="U178" s="23"/>
      <c r="V178" s="23" t="s">
        <v>8880</v>
      </c>
    </row>
    <row r="179" customFormat="false" ht="15" hidden="false" customHeight="false" outlineLevel="0" collapsed="false">
      <c r="A179" s="20" t="s">
        <v>8881</v>
      </c>
      <c r="B179" s="20" t="s">
        <v>6109</v>
      </c>
      <c r="C179" s="20" t="s">
        <v>6107</v>
      </c>
      <c r="D179" s="20" t="s">
        <v>79</v>
      </c>
      <c r="E179" s="20" t="s">
        <v>8441</v>
      </c>
      <c r="F179" s="20" t="s">
        <v>6108</v>
      </c>
      <c r="G179" s="20" t="s">
        <v>2804</v>
      </c>
      <c r="H179" s="26" t="n">
        <v>561.6</v>
      </c>
      <c r="I179" s="26" t="n">
        <v>0</v>
      </c>
      <c r="J179" s="26" t="n">
        <v>0</v>
      </c>
      <c r="K179" s="26" t="n">
        <v>0</v>
      </c>
      <c r="L179" s="26" t="n">
        <v>0</v>
      </c>
      <c r="M179" s="26" t="n">
        <f aca="false">SUM(H179:L179)</f>
        <v>561.6</v>
      </c>
      <c r="N179" s="25" t="n">
        <v>561.6</v>
      </c>
      <c r="O179" s="25" t="n">
        <f aca="false">M179-N179</f>
        <v>0</v>
      </c>
      <c r="P179" s="25" t="n">
        <f aca="false">K179+L179</f>
        <v>0</v>
      </c>
      <c r="Q179" s="23" t="str">
        <f aca="false">IF(AND(E179="OCCUPIED",P179&gt;0),"DELINQUENT &gt;90","CLEAR")</f>
        <v>CLEAR</v>
      </c>
      <c r="R179" s="23" t="s">
        <v>8462</v>
      </c>
      <c r="S179" s="23" t="s">
        <v>8443</v>
      </c>
      <c r="T179" s="23" t="s">
        <v>8532</v>
      </c>
      <c r="U179" s="23"/>
      <c r="V179" s="23" t="s">
        <v>8882</v>
      </c>
    </row>
    <row r="180" customFormat="false" ht="15" hidden="false" customHeight="false" outlineLevel="0" collapsed="false">
      <c r="A180" s="20" t="s">
        <v>8883</v>
      </c>
      <c r="B180" s="20" t="s">
        <v>6114</v>
      </c>
      <c r="C180" s="20" t="s">
        <v>1078</v>
      </c>
      <c r="D180" s="20" t="s">
        <v>79</v>
      </c>
      <c r="E180" s="20" t="s">
        <v>8441</v>
      </c>
      <c r="F180" s="20" t="s">
        <v>6113</v>
      </c>
      <c r="G180" s="20" t="s">
        <v>2804</v>
      </c>
      <c r="H180" s="26" t="n">
        <v>634.4</v>
      </c>
      <c r="I180" s="26" t="n">
        <v>634.4</v>
      </c>
      <c r="J180" s="26" t="n">
        <v>0</v>
      </c>
      <c r="K180" s="26" t="n">
        <v>0</v>
      </c>
      <c r="L180" s="26" t="n">
        <v>0</v>
      </c>
      <c r="M180" s="26" t="n">
        <f aca="false">SUM(H180:L180)</f>
        <v>1268.8</v>
      </c>
      <c r="N180" s="25" t="n">
        <v>1268.8</v>
      </c>
      <c r="O180" s="25" t="n">
        <f aca="false">M180-N180</f>
        <v>0</v>
      </c>
      <c r="P180" s="25" t="n">
        <f aca="false">K180+L180</f>
        <v>0</v>
      </c>
      <c r="Q180" s="23" t="str">
        <f aca="false">IF(AND(E180="OCCUPIED",P180&gt;0),"DELINQUENT &gt;90","CLEAR")</f>
        <v>CLEAR</v>
      </c>
      <c r="R180" s="23" t="s">
        <v>8448</v>
      </c>
      <c r="S180" s="23" t="s">
        <v>8467</v>
      </c>
      <c r="T180" s="23" t="s">
        <v>8542</v>
      </c>
      <c r="U180" s="23"/>
      <c r="V180" s="23" t="s">
        <v>8884</v>
      </c>
    </row>
    <row r="181" customFormat="false" ht="15" hidden="false" customHeight="false" outlineLevel="0" collapsed="false">
      <c r="A181" s="20" t="s">
        <v>8885</v>
      </c>
      <c r="B181" s="20" t="s">
        <v>6120</v>
      </c>
      <c r="C181" s="20" t="s">
        <v>6118</v>
      </c>
      <c r="D181" s="20" t="s">
        <v>79</v>
      </c>
      <c r="E181" s="20" t="s">
        <v>8441</v>
      </c>
      <c r="F181" s="20" t="s">
        <v>6119</v>
      </c>
      <c r="G181" s="20" t="s">
        <v>2804</v>
      </c>
      <c r="H181" s="26" t="n">
        <v>447.2</v>
      </c>
      <c r="I181" s="26" t="n">
        <v>0</v>
      </c>
      <c r="J181" s="26" t="n">
        <v>0</v>
      </c>
      <c r="K181" s="26" t="n">
        <v>0</v>
      </c>
      <c r="L181" s="26" t="n">
        <v>0</v>
      </c>
      <c r="M181" s="26" t="n">
        <f aca="false">SUM(H181:L181)</f>
        <v>447.2</v>
      </c>
      <c r="N181" s="25" t="n">
        <v>447.2</v>
      </c>
      <c r="O181" s="25" t="n">
        <f aca="false">M181-N181</f>
        <v>0</v>
      </c>
      <c r="P181" s="25" t="n">
        <f aca="false">K181+L181</f>
        <v>0</v>
      </c>
      <c r="Q181" s="23" t="str">
        <f aca="false">IF(AND(E181="OCCUPIED",P181&gt;0),"DELINQUENT &gt;90","CLEAR")</f>
        <v>CLEAR</v>
      </c>
      <c r="R181" s="23" t="s">
        <v>8478</v>
      </c>
      <c r="S181" s="23" t="s">
        <v>8443</v>
      </c>
      <c r="T181" s="23" t="s">
        <v>8651</v>
      </c>
      <c r="U181" s="23"/>
      <c r="V181" s="23" t="s">
        <v>8886</v>
      </c>
    </row>
    <row r="182" customFormat="false" ht="15" hidden="false" customHeight="false" outlineLevel="0" collapsed="false">
      <c r="A182" s="20" t="s">
        <v>8887</v>
      </c>
      <c r="B182" s="20" t="s">
        <v>6126</v>
      </c>
      <c r="C182" s="20" t="s">
        <v>6124</v>
      </c>
      <c r="D182" s="20" t="s">
        <v>79</v>
      </c>
      <c r="E182" s="20" t="s">
        <v>8441</v>
      </c>
      <c r="F182" s="20" t="s">
        <v>6125</v>
      </c>
      <c r="G182" s="20" t="s">
        <v>2804</v>
      </c>
      <c r="H182" s="26" t="n">
        <v>509.6</v>
      </c>
      <c r="I182" s="26" t="n">
        <v>0</v>
      </c>
      <c r="J182" s="26" t="n">
        <v>0</v>
      </c>
      <c r="K182" s="26" t="n">
        <v>0</v>
      </c>
      <c r="L182" s="26" t="n">
        <v>0</v>
      </c>
      <c r="M182" s="26" t="n">
        <f aca="false">SUM(H182:L182)</f>
        <v>509.6</v>
      </c>
      <c r="N182" s="25" t="n">
        <v>509.6</v>
      </c>
      <c r="O182" s="25" t="n">
        <f aca="false">M182-N182</f>
        <v>0</v>
      </c>
      <c r="P182" s="25" t="n">
        <f aca="false">K182+L182</f>
        <v>0</v>
      </c>
      <c r="Q182" s="23" t="str">
        <f aca="false">IF(AND(E182="OCCUPIED",P182&gt;0),"DELINQUENT &gt;90","CLEAR")</f>
        <v>CLEAR</v>
      </c>
      <c r="R182" s="23" t="s">
        <v>8755</v>
      </c>
      <c r="S182" s="23" t="s">
        <v>8443</v>
      </c>
      <c r="T182" s="23" t="s">
        <v>8611</v>
      </c>
      <c r="U182" s="23"/>
      <c r="V182" s="23" t="s">
        <v>8888</v>
      </c>
    </row>
    <row r="183" customFormat="false" ht="15" hidden="false" customHeight="false" outlineLevel="0" collapsed="false">
      <c r="A183" s="20" t="s">
        <v>8889</v>
      </c>
      <c r="B183" s="20" t="s">
        <v>6132</v>
      </c>
      <c r="C183" s="20" t="s">
        <v>1242</v>
      </c>
      <c r="D183" s="20" t="s">
        <v>79</v>
      </c>
      <c r="E183" s="20" t="s">
        <v>8441</v>
      </c>
      <c r="F183" s="20" t="s">
        <v>6131</v>
      </c>
      <c r="G183" s="20" t="s">
        <v>2804</v>
      </c>
      <c r="H183" s="26" t="n">
        <v>416</v>
      </c>
      <c r="I183" s="26" t="n">
        <v>0</v>
      </c>
      <c r="J183" s="26" t="n">
        <v>0</v>
      </c>
      <c r="K183" s="26" t="n">
        <v>0</v>
      </c>
      <c r="L183" s="26" t="n">
        <v>0</v>
      </c>
      <c r="M183" s="26" t="n">
        <f aca="false">SUM(H183:L183)</f>
        <v>416</v>
      </c>
      <c r="N183" s="25" t="n">
        <v>416</v>
      </c>
      <c r="O183" s="25" t="n">
        <f aca="false">M183-N183</f>
        <v>0</v>
      </c>
      <c r="P183" s="25" t="n">
        <f aca="false">K183+L183</f>
        <v>0</v>
      </c>
      <c r="Q183" s="23" t="str">
        <f aca="false">IF(AND(E183="OCCUPIED",P183&gt;0),"DELINQUENT &gt;90","CLEAR")</f>
        <v>CLEAR</v>
      </c>
      <c r="R183" s="23" t="s">
        <v>8448</v>
      </c>
      <c r="S183" s="23" t="s">
        <v>8443</v>
      </c>
      <c r="T183" s="23" t="s">
        <v>8539</v>
      </c>
      <c r="U183" s="23" t="s">
        <v>8463</v>
      </c>
      <c r="V183" s="23" t="s">
        <v>8890</v>
      </c>
    </row>
    <row r="184" customFormat="false" ht="15" hidden="false" customHeight="false" outlineLevel="0" collapsed="false">
      <c r="A184" s="20" t="s">
        <v>8891</v>
      </c>
      <c r="B184" s="20" t="s">
        <v>6138</v>
      </c>
      <c r="C184" s="20" t="s">
        <v>6136</v>
      </c>
      <c r="D184" s="20" t="s">
        <v>79</v>
      </c>
      <c r="E184" s="20" t="s">
        <v>8441</v>
      </c>
      <c r="F184" s="20" t="s">
        <v>6137</v>
      </c>
      <c r="G184" s="20" t="s">
        <v>2804</v>
      </c>
      <c r="H184" s="26" t="n">
        <v>603.2</v>
      </c>
      <c r="I184" s="26" t="n">
        <v>0</v>
      </c>
      <c r="J184" s="26" t="n">
        <v>0</v>
      </c>
      <c r="K184" s="26" t="n">
        <v>0</v>
      </c>
      <c r="L184" s="26" t="n">
        <v>0</v>
      </c>
      <c r="M184" s="26" t="n">
        <f aca="false">SUM(H184:L184)</f>
        <v>603.2</v>
      </c>
      <c r="N184" s="25" t="n">
        <v>603.2</v>
      </c>
      <c r="O184" s="25" t="n">
        <f aca="false">M184-N184</f>
        <v>0</v>
      </c>
      <c r="P184" s="25" t="n">
        <f aca="false">K184+L184</f>
        <v>0</v>
      </c>
      <c r="Q184" s="23" t="str">
        <f aca="false">IF(AND(E184="OCCUPIED",P184&gt;0),"DELINQUENT &gt;90","CLEAR")</f>
        <v>CLEAR</v>
      </c>
      <c r="R184" s="23" t="s">
        <v>8478</v>
      </c>
      <c r="S184" s="23" t="s">
        <v>8443</v>
      </c>
      <c r="T184" s="23" t="s">
        <v>8488</v>
      </c>
      <c r="U184" s="23"/>
      <c r="V184" s="23" t="s">
        <v>8892</v>
      </c>
    </row>
    <row r="185" customFormat="false" ht="15" hidden="false" customHeight="false" outlineLevel="0" collapsed="false">
      <c r="A185" s="20" t="s">
        <v>8893</v>
      </c>
      <c r="B185" s="20" t="s">
        <v>6143</v>
      </c>
      <c r="C185" s="20" t="s">
        <v>6142</v>
      </c>
      <c r="D185" s="20" t="s">
        <v>79</v>
      </c>
      <c r="E185" s="20" t="s">
        <v>8441</v>
      </c>
      <c r="F185" s="20" t="s">
        <v>323</v>
      </c>
      <c r="G185" s="20" t="s">
        <v>2804</v>
      </c>
      <c r="H185" s="26" t="n">
        <v>374.4</v>
      </c>
      <c r="I185" s="26" t="n">
        <v>0</v>
      </c>
      <c r="J185" s="26" t="n">
        <v>0</v>
      </c>
      <c r="K185" s="26" t="n">
        <v>0</v>
      </c>
      <c r="L185" s="26" t="n">
        <v>0</v>
      </c>
      <c r="M185" s="26" t="n">
        <f aca="false">SUM(H185:L185)</f>
        <v>374.4</v>
      </c>
      <c r="N185" s="25" t="n">
        <v>374.4</v>
      </c>
      <c r="O185" s="25" t="n">
        <f aca="false">M185-N185</f>
        <v>0</v>
      </c>
      <c r="P185" s="25" t="n">
        <f aca="false">K185+L185</f>
        <v>0</v>
      </c>
      <c r="Q185" s="23" t="str">
        <f aca="false">IF(AND(E185="OCCUPIED",P185&gt;0),"DELINQUENT &gt;90","CLEAR")</f>
        <v>CLEAR</v>
      </c>
      <c r="R185" s="23" t="s">
        <v>8466</v>
      </c>
      <c r="S185" s="23" t="s">
        <v>8443</v>
      </c>
      <c r="T185" s="23" t="s">
        <v>8532</v>
      </c>
      <c r="U185" s="23"/>
      <c r="V185" s="23" t="s">
        <v>8894</v>
      </c>
    </row>
    <row r="186" customFormat="false" ht="15" hidden="false" customHeight="false" outlineLevel="0" collapsed="false">
      <c r="A186" s="20" t="s">
        <v>8895</v>
      </c>
      <c r="B186" s="20" t="s">
        <v>6149</v>
      </c>
      <c r="C186" s="20" t="s">
        <v>6147</v>
      </c>
      <c r="D186" s="20" t="s">
        <v>79</v>
      </c>
      <c r="E186" s="20" t="s">
        <v>8441</v>
      </c>
      <c r="F186" s="20" t="s">
        <v>6148</v>
      </c>
      <c r="G186" s="20" t="s">
        <v>2804</v>
      </c>
      <c r="H186" s="26" t="n">
        <v>644.8</v>
      </c>
      <c r="I186" s="26" t="n">
        <v>0</v>
      </c>
      <c r="J186" s="26" t="n">
        <v>0</v>
      </c>
      <c r="K186" s="26" t="n">
        <v>0</v>
      </c>
      <c r="L186" s="26" t="n">
        <v>0</v>
      </c>
      <c r="M186" s="26" t="n">
        <f aca="false">SUM(H186:L186)</f>
        <v>644.8</v>
      </c>
      <c r="N186" s="25" t="n">
        <v>644.8</v>
      </c>
      <c r="O186" s="25" t="n">
        <f aca="false">M186-N186</f>
        <v>0</v>
      </c>
      <c r="P186" s="25" t="n">
        <f aca="false">K186+L186</f>
        <v>0</v>
      </c>
      <c r="Q186" s="23" t="str">
        <f aca="false">IF(AND(E186="OCCUPIED",P186&gt;0),"DELINQUENT &gt;90","CLEAR")</f>
        <v>CLEAR</v>
      </c>
      <c r="R186" s="23" t="s">
        <v>8495</v>
      </c>
      <c r="S186" s="23" t="s">
        <v>8443</v>
      </c>
      <c r="T186" s="23" t="s">
        <v>8584</v>
      </c>
      <c r="U186" s="23"/>
      <c r="V186" s="23" t="s">
        <v>8896</v>
      </c>
    </row>
    <row r="187" customFormat="false" ht="15" hidden="false" customHeight="false" outlineLevel="0" collapsed="false">
      <c r="A187" s="20" t="s">
        <v>8897</v>
      </c>
      <c r="B187" s="20" t="s">
        <v>6155</v>
      </c>
      <c r="C187" s="20" t="s">
        <v>6153</v>
      </c>
      <c r="D187" s="20" t="s">
        <v>79</v>
      </c>
      <c r="E187" s="20" t="s">
        <v>8441</v>
      </c>
      <c r="F187" s="20" t="s">
        <v>6154</v>
      </c>
      <c r="G187" s="20" t="s">
        <v>2804</v>
      </c>
      <c r="H187" s="26" t="n">
        <v>561.6</v>
      </c>
      <c r="I187" s="26" t="n">
        <v>0</v>
      </c>
      <c r="J187" s="26" t="n">
        <v>0</v>
      </c>
      <c r="K187" s="26" t="n">
        <v>0</v>
      </c>
      <c r="L187" s="26" t="n">
        <v>0</v>
      </c>
      <c r="M187" s="26" t="n">
        <f aca="false">SUM(H187:L187)</f>
        <v>561.6</v>
      </c>
      <c r="N187" s="25" t="n">
        <v>561.6</v>
      </c>
      <c r="O187" s="25" t="n">
        <f aca="false">M187-N187</f>
        <v>0</v>
      </c>
      <c r="P187" s="25" t="n">
        <f aca="false">K187+L187</f>
        <v>0</v>
      </c>
      <c r="Q187" s="23" t="str">
        <f aca="false">IF(AND(E187="OCCUPIED",P187&gt;0),"DELINQUENT &gt;90","CLEAR")</f>
        <v>CLEAR</v>
      </c>
      <c r="R187" s="23" t="s">
        <v>8798</v>
      </c>
      <c r="S187" s="23" t="s">
        <v>8443</v>
      </c>
      <c r="T187" s="23" t="s">
        <v>8532</v>
      </c>
      <c r="U187" s="23"/>
      <c r="V187" s="23" t="s">
        <v>8898</v>
      </c>
    </row>
    <row r="188" customFormat="false" ht="15" hidden="false" customHeight="false" outlineLevel="0" collapsed="false">
      <c r="A188" s="20" t="s">
        <v>8899</v>
      </c>
      <c r="B188" s="20" t="s">
        <v>6160</v>
      </c>
      <c r="C188" s="20" t="s">
        <v>91</v>
      </c>
      <c r="D188" s="20" t="s">
        <v>79</v>
      </c>
      <c r="E188" s="20" t="s">
        <v>8441</v>
      </c>
      <c r="F188" s="20" t="s">
        <v>6159</v>
      </c>
      <c r="G188" s="20" t="s">
        <v>2804</v>
      </c>
      <c r="H188" s="26" t="n">
        <v>603.2</v>
      </c>
      <c r="I188" s="26" t="n">
        <v>0</v>
      </c>
      <c r="J188" s="26" t="n">
        <v>0</v>
      </c>
      <c r="K188" s="26" t="n">
        <v>0</v>
      </c>
      <c r="L188" s="26" t="n">
        <v>0</v>
      </c>
      <c r="M188" s="26" t="n">
        <f aca="false">SUM(H188:L188)</f>
        <v>603.2</v>
      </c>
      <c r="N188" s="25" t="n">
        <v>603.2</v>
      </c>
      <c r="O188" s="25" t="n">
        <f aca="false">M188-N188</f>
        <v>0</v>
      </c>
      <c r="P188" s="25" t="n">
        <f aca="false">K188+L188</f>
        <v>0</v>
      </c>
      <c r="Q188" s="23" t="str">
        <f aca="false">IF(AND(E188="OCCUPIED",P188&gt;0),"DELINQUENT &gt;90","CLEAR")</f>
        <v>CLEAR</v>
      </c>
      <c r="R188" s="23" t="s">
        <v>8578</v>
      </c>
      <c r="S188" s="23" t="s">
        <v>8443</v>
      </c>
      <c r="T188" s="23" t="s">
        <v>8660</v>
      </c>
      <c r="U188" s="23"/>
      <c r="V188" s="23" t="s">
        <v>8900</v>
      </c>
    </row>
    <row r="189" customFormat="false" ht="15" hidden="false" customHeight="false" outlineLevel="0" collapsed="false">
      <c r="A189" s="20" t="s">
        <v>8901</v>
      </c>
      <c r="B189" s="20" t="s">
        <v>6166</v>
      </c>
      <c r="C189" s="20" t="s">
        <v>6164</v>
      </c>
      <c r="D189" s="20" t="s">
        <v>79</v>
      </c>
      <c r="E189" s="20" t="s">
        <v>8441</v>
      </c>
      <c r="F189" s="20" t="s">
        <v>6165</v>
      </c>
      <c r="G189" s="20" t="s">
        <v>2804</v>
      </c>
      <c r="H189" s="26" t="n">
        <v>478.4</v>
      </c>
      <c r="I189" s="26" t="n">
        <v>478.4</v>
      </c>
      <c r="J189" s="26" t="n">
        <v>0</v>
      </c>
      <c r="K189" s="26" t="n">
        <v>0</v>
      </c>
      <c r="L189" s="26" t="n">
        <v>0</v>
      </c>
      <c r="M189" s="26" t="n">
        <f aca="false">SUM(H189:L189)</f>
        <v>956.8</v>
      </c>
      <c r="N189" s="25" t="n">
        <v>956.8</v>
      </c>
      <c r="O189" s="25" t="n">
        <f aca="false">M189-N189</f>
        <v>0</v>
      </c>
      <c r="P189" s="25" t="n">
        <f aca="false">K189+L189</f>
        <v>0</v>
      </c>
      <c r="Q189" s="23" t="str">
        <f aca="false">IF(AND(E189="OCCUPIED",P189&gt;0),"DELINQUENT &gt;90","CLEAR")</f>
        <v>CLEAR</v>
      </c>
      <c r="R189" s="23" t="s">
        <v>8722</v>
      </c>
      <c r="S189" s="23" t="s">
        <v>8467</v>
      </c>
      <c r="T189" s="23" t="s">
        <v>8471</v>
      </c>
      <c r="U189" s="23"/>
      <c r="V189" s="23" t="s">
        <v>8902</v>
      </c>
    </row>
    <row r="190" customFormat="false" ht="15" hidden="false" customHeight="false" outlineLevel="0" collapsed="false">
      <c r="A190" s="20" t="s">
        <v>8903</v>
      </c>
      <c r="B190" s="20" t="s">
        <v>6171</v>
      </c>
      <c r="C190" s="20" t="s">
        <v>1514</v>
      </c>
      <c r="D190" s="20" t="s">
        <v>79</v>
      </c>
      <c r="E190" s="20" t="s">
        <v>8441</v>
      </c>
      <c r="F190" s="20" t="s">
        <v>6170</v>
      </c>
      <c r="G190" s="20" t="s">
        <v>2804</v>
      </c>
      <c r="H190" s="26" t="n">
        <v>520</v>
      </c>
      <c r="I190" s="26" t="n">
        <v>0</v>
      </c>
      <c r="J190" s="26" t="n">
        <v>0</v>
      </c>
      <c r="K190" s="26" t="n">
        <v>0</v>
      </c>
      <c r="L190" s="26" t="n">
        <v>0</v>
      </c>
      <c r="M190" s="26" t="n">
        <f aca="false">SUM(H190:L190)</f>
        <v>520</v>
      </c>
      <c r="N190" s="25" t="n">
        <v>520</v>
      </c>
      <c r="O190" s="25" t="n">
        <f aca="false">M190-N190</f>
        <v>0</v>
      </c>
      <c r="P190" s="25" t="n">
        <f aca="false">K190+L190</f>
        <v>0</v>
      </c>
      <c r="Q190" s="23" t="str">
        <f aca="false">IF(AND(E190="OCCUPIED",P190&gt;0),"DELINQUENT &gt;90","CLEAR")</f>
        <v>CLEAR</v>
      </c>
      <c r="R190" s="23" t="s">
        <v>8599</v>
      </c>
      <c r="S190" s="23" t="s">
        <v>8443</v>
      </c>
      <c r="T190" s="23" t="s">
        <v>8471</v>
      </c>
      <c r="U190" s="23"/>
      <c r="V190" s="23" t="s">
        <v>8904</v>
      </c>
    </row>
    <row r="191" customFormat="false" ht="15" hidden="false" customHeight="false" outlineLevel="0" collapsed="false">
      <c r="A191" s="20" t="s">
        <v>8905</v>
      </c>
      <c r="B191" s="20" t="s">
        <v>6176</v>
      </c>
      <c r="C191" s="20" t="s">
        <v>6175</v>
      </c>
      <c r="D191" s="20" t="s">
        <v>79</v>
      </c>
      <c r="E191" s="20" t="s">
        <v>8441</v>
      </c>
      <c r="F191" s="20" t="s">
        <v>1168</v>
      </c>
      <c r="G191" s="20" t="s">
        <v>2804</v>
      </c>
      <c r="H191" s="26" t="n">
        <v>488.8</v>
      </c>
      <c r="I191" s="26" t="n">
        <v>0</v>
      </c>
      <c r="J191" s="26" t="n">
        <v>0</v>
      </c>
      <c r="K191" s="26" t="n">
        <v>0</v>
      </c>
      <c r="L191" s="26" t="n">
        <v>0</v>
      </c>
      <c r="M191" s="26" t="n">
        <f aca="false">SUM(H191:L191)</f>
        <v>488.8</v>
      </c>
      <c r="N191" s="25" t="n">
        <v>488.8</v>
      </c>
      <c r="O191" s="25" t="n">
        <f aca="false">M191-N191</f>
        <v>0</v>
      </c>
      <c r="P191" s="25" t="n">
        <f aca="false">K191+L191</f>
        <v>0</v>
      </c>
      <c r="Q191" s="23" t="str">
        <f aca="false">IF(AND(E191="OCCUPIED",P191&gt;0),"DELINQUENT &gt;90","CLEAR")</f>
        <v>CLEAR</v>
      </c>
      <c r="R191" s="23" t="s">
        <v>8452</v>
      </c>
      <c r="S191" s="23" t="s">
        <v>8443</v>
      </c>
      <c r="T191" s="23" t="s">
        <v>8532</v>
      </c>
      <c r="U191" s="23"/>
      <c r="V191" s="23" t="s">
        <v>8906</v>
      </c>
    </row>
    <row r="192" customFormat="false" ht="15" hidden="false" customHeight="false" outlineLevel="0" collapsed="false">
      <c r="A192" s="20" t="s">
        <v>8907</v>
      </c>
      <c r="B192" s="20" t="s">
        <v>6182</v>
      </c>
      <c r="C192" s="20" t="s">
        <v>6180</v>
      </c>
      <c r="D192" s="20" t="s">
        <v>79</v>
      </c>
      <c r="E192" s="20" t="s">
        <v>8441</v>
      </c>
      <c r="F192" s="20" t="s">
        <v>6181</v>
      </c>
      <c r="G192" s="20" t="s">
        <v>2804</v>
      </c>
      <c r="H192" s="26" t="n">
        <v>395.2</v>
      </c>
      <c r="I192" s="26" t="n">
        <v>0</v>
      </c>
      <c r="J192" s="26" t="n">
        <v>0</v>
      </c>
      <c r="K192" s="26" t="n">
        <v>0</v>
      </c>
      <c r="L192" s="26" t="n">
        <v>0</v>
      </c>
      <c r="M192" s="26" t="n">
        <f aca="false">SUM(H192:L192)</f>
        <v>395.2</v>
      </c>
      <c r="N192" s="25" t="n">
        <v>0</v>
      </c>
      <c r="O192" s="25" t="n">
        <f aca="false">M192-N192</f>
        <v>395.2</v>
      </c>
      <c r="P192" s="25" t="n">
        <f aca="false">K192+L192</f>
        <v>0</v>
      </c>
      <c r="Q192" s="23" t="str">
        <f aca="false">IF(AND(E192="OCCUPIED",P192&gt;0),"DELINQUENT &gt;90","CLEAR")</f>
        <v>CLEAR</v>
      </c>
      <c r="R192" s="23" t="s">
        <v>8539</v>
      </c>
      <c r="S192" s="23" t="s">
        <v>8443</v>
      </c>
      <c r="T192" s="23" t="s">
        <v>8471</v>
      </c>
      <c r="U192" s="23"/>
      <c r="V192" s="23" t="s">
        <v>8908</v>
      </c>
    </row>
    <row r="193" customFormat="false" ht="15" hidden="false" customHeight="false" outlineLevel="0" collapsed="false">
      <c r="A193" s="20" t="s">
        <v>8909</v>
      </c>
      <c r="B193" s="20" t="s">
        <v>6187</v>
      </c>
      <c r="C193" s="20" t="s">
        <v>6186</v>
      </c>
      <c r="D193" s="20" t="s">
        <v>79</v>
      </c>
      <c r="E193" s="20" t="s">
        <v>8441</v>
      </c>
      <c r="F193" s="20" t="s">
        <v>935</v>
      </c>
      <c r="G193" s="20" t="s">
        <v>2804</v>
      </c>
      <c r="H193" s="26" t="n">
        <v>457.6</v>
      </c>
      <c r="I193" s="26" t="n">
        <v>457.6</v>
      </c>
      <c r="J193" s="26" t="n">
        <v>0</v>
      </c>
      <c r="K193" s="26" t="n">
        <v>0</v>
      </c>
      <c r="L193" s="26" t="n">
        <v>0</v>
      </c>
      <c r="M193" s="26" t="n">
        <f aca="false">SUM(H193:L193)</f>
        <v>915.2</v>
      </c>
      <c r="N193" s="25" t="n">
        <v>915.2</v>
      </c>
      <c r="O193" s="25" t="n">
        <f aca="false">M193-N193</f>
        <v>0</v>
      </c>
      <c r="P193" s="25" t="n">
        <f aca="false">K193+L193</f>
        <v>0</v>
      </c>
      <c r="Q193" s="23" t="str">
        <f aca="false">IF(AND(E193="OCCUPIED",P193&gt;0),"DELINQUENT &gt;90","CLEAR")</f>
        <v>CLEAR</v>
      </c>
      <c r="R193" s="23" t="s">
        <v>8640</v>
      </c>
      <c r="S193" s="23" t="s">
        <v>8467</v>
      </c>
      <c r="T193" s="23" t="s">
        <v>8610</v>
      </c>
      <c r="U193" s="23"/>
      <c r="V193" s="23" t="s">
        <v>8910</v>
      </c>
    </row>
    <row r="194" customFormat="false" ht="15" hidden="false" customHeight="false" outlineLevel="0" collapsed="false">
      <c r="A194" s="20" t="s">
        <v>8911</v>
      </c>
      <c r="B194" s="20" t="s">
        <v>6193</v>
      </c>
      <c r="C194" s="20" t="s">
        <v>6191</v>
      </c>
      <c r="D194" s="20" t="s">
        <v>79</v>
      </c>
      <c r="E194" s="20" t="s">
        <v>8441</v>
      </c>
      <c r="F194" s="20" t="s">
        <v>6192</v>
      </c>
      <c r="G194" s="20" t="s">
        <v>2804</v>
      </c>
      <c r="H194" s="26" t="n">
        <v>343.2</v>
      </c>
      <c r="I194" s="26" t="n">
        <v>0</v>
      </c>
      <c r="J194" s="26" t="n">
        <v>0</v>
      </c>
      <c r="K194" s="26" t="n">
        <v>0</v>
      </c>
      <c r="L194" s="26" t="n">
        <v>0</v>
      </c>
      <c r="M194" s="26" t="n">
        <f aca="false">SUM(H194:L194)</f>
        <v>343.2</v>
      </c>
      <c r="N194" s="25" t="n">
        <v>343.2</v>
      </c>
      <c r="O194" s="25" t="n">
        <f aca="false">M194-N194</f>
        <v>0</v>
      </c>
      <c r="P194" s="25" t="n">
        <f aca="false">K194+L194</f>
        <v>0</v>
      </c>
      <c r="Q194" s="23" t="str">
        <f aca="false">IF(AND(E194="OCCUPIED",P194&gt;0),"DELINQUENT &gt;90","CLEAR")</f>
        <v>CLEAR</v>
      </c>
      <c r="R194" s="23" t="s">
        <v>8452</v>
      </c>
      <c r="S194" s="23" t="s">
        <v>8443</v>
      </c>
      <c r="T194" s="23" t="s">
        <v>8678</v>
      </c>
      <c r="U194" s="23"/>
      <c r="V194" s="23" t="s">
        <v>8912</v>
      </c>
    </row>
    <row r="195" customFormat="false" ht="15" hidden="false" customHeight="false" outlineLevel="0" collapsed="false">
      <c r="A195" s="20" t="s">
        <v>8913</v>
      </c>
      <c r="B195" s="20" t="s">
        <v>6199</v>
      </c>
      <c r="C195" s="20" t="s">
        <v>6197</v>
      </c>
      <c r="D195" s="20" t="s">
        <v>79</v>
      </c>
      <c r="E195" s="20" t="s">
        <v>8441</v>
      </c>
      <c r="F195" s="20" t="s">
        <v>6198</v>
      </c>
      <c r="G195" s="20" t="s">
        <v>2804</v>
      </c>
      <c r="H195" s="26" t="n">
        <v>457.6</v>
      </c>
      <c r="I195" s="26" t="n">
        <v>457.6</v>
      </c>
      <c r="J195" s="26" t="n">
        <v>0</v>
      </c>
      <c r="K195" s="26" t="n">
        <v>0</v>
      </c>
      <c r="L195" s="26" t="n">
        <v>0</v>
      </c>
      <c r="M195" s="26" t="n">
        <f aca="false">SUM(H195:L195)</f>
        <v>915.2</v>
      </c>
      <c r="N195" s="25" t="n">
        <v>915.2</v>
      </c>
      <c r="O195" s="25" t="n">
        <f aca="false">M195-N195</f>
        <v>0</v>
      </c>
      <c r="P195" s="25" t="n">
        <f aca="false">K195+L195</f>
        <v>0</v>
      </c>
      <c r="Q195" s="23" t="str">
        <f aca="false">IF(AND(E195="OCCUPIED",P195&gt;0),"DELINQUENT &gt;90","CLEAR")</f>
        <v>CLEAR</v>
      </c>
      <c r="R195" s="23" t="s">
        <v>8687</v>
      </c>
      <c r="S195" s="23" t="s">
        <v>8467</v>
      </c>
      <c r="T195" s="23" t="s">
        <v>8640</v>
      </c>
      <c r="U195" s="23"/>
      <c r="V195" s="23" t="s">
        <v>8914</v>
      </c>
    </row>
    <row r="196" customFormat="false" ht="15" hidden="false" customHeight="false" outlineLevel="0" collapsed="false">
      <c r="A196" s="20" t="s">
        <v>8915</v>
      </c>
      <c r="B196" s="20" t="s">
        <v>6205</v>
      </c>
      <c r="C196" s="20" t="s">
        <v>6203</v>
      </c>
      <c r="D196" s="20" t="s">
        <v>79</v>
      </c>
      <c r="E196" s="20" t="s">
        <v>8441</v>
      </c>
      <c r="F196" s="20" t="s">
        <v>6204</v>
      </c>
      <c r="G196" s="20" t="s">
        <v>2804</v>
      </c>
      <c r="H196" s="26" t="n">
        <v>416</v>
      </c>
      <c r="I196" s="26" t="n">
        <v>0</v>
      </c>
      <c r="J196" s="26" t="n">
        <v>0</v>
      </c>
      <c r="K196" s="26" t="n">
        <v>0</v>
      </c>
      <c r="L196" s="26" t="n">
        <v>0</v>
      </c>
      <c r="M196" s="26" t="n">
        <f aca="false">SUM(H196:L196)</f>
        <v>416</v>
      </c>
      <c r="N196" s="25" t="n">
        <v>416</v>
      </c>
      <c r="O196" s="25" t="n">
        <f aca="false">M196-N196</f>
        <v>0</v>
      </c>
      <c r="P196" s="25" t="n">
        <f aca="false">K196+L196</f>
        <v>0</v>
      </c>
      <c r="Q196" s="23" t="str">
        <f aca="false">IF(AND(E196="OCCUPIED",P196&gt;0),"DELINQUENT &gt;90","CLEAR")</f>
        <v>CLEAR</v>
      </c>
      <c r="R196" s="23" t="s">
        <v>8690</v>
      </c>
      <c r="S196" s="23" t="s">
        <v>8443</v>
      </c>
      <c r="T196" s="23" t="s">
        <v>8458</v>
      </c>
      <c r="U196" s="23"/>
      <c r="V196" s="23" t="s">
        <v>8916</v>
      </c>
    </row>
    <row r="197" customFormat="false" ht="15" hidden="false" customHeight="false" outlineLevel="0" collapsed="false">
      <c r="A197" s="20" t="s">
        <v>8917</v>
      </c>
      <c r="B197" s="20" t="s">
        <v>6210</v>
      </c>
      <c r="C197" s="20" t="s">
        <v>1617</v>
      </c>
      <c r="D197" s="20" t="s">
        <v>79</v>
      </c>
      <c r="E197" s="20" t="s">
        <v>8441</v>
      </c>
      <c r="F197" s="20" t="s">
        <v>6209</v>
      </c>
      <c r="G197" s="20" t="s">
        <v>2804</v>
      </c>
      <c r="H197" s="26" t="n">
        <v>374.4</v>
      </c>
      <c r="I197" s="26" t="n">
        <v>0</v>
      </c>
      <c r="J197" s="26" t="n">
        <v>0</v>
      </c>
      <c r="K197" s="26" t="n">
        <v>0</v>
      </c>
      <c r="L197" s="26" t="n">
        <v>0</v>
      </c>
      <c r="M197" s="26" t="n">
        <f aca="false">SUM(H197:L197)</f>
        <v>374.4</v>
      </c>
      <c r="N197" s="25" t="n">
        <v>374.4</v>
      </c>
      <c r="O197" s="25" t="n">
        <f aca="false">M197-N197</f>
        <v>0</v>
      </c>
      <c r="P197" s="25" t="n">
        <f aca="false">K197+L197</f>
        <v>0</v>
      </c>
      <c r="Q197" s="23" t="str">
        <f aca="false">IF(AND(E197="OCCUPIED",P197&gt;0),"DELINQUENT &gt;90","CLEAR")</f>
        <v>CLEAR</v>
      </c>
      <c r="R197" s="23" t="s">
        <v>8663</v>
      </c>
      <c r="S197" s="23" t="s">
        <v>8443</v>
      </c>
      <c r="T197" s="23" t="s">
        <v>8471</v>
      </c>
      <c r="U197" s="23"/>
      <c r="V197" s="23" t="s">
        <v>8918</v>
      </c>
    </row>
    <row r="198" customFormat="false" ht="15" hidden="false" customHeight="false" outlineLevel="0" collapsed="false">
      <c r="A198" s="20" t="s">
        <v>8919</v>
      </c>
      <c r="B198" s="20" t="s">
        <v>6216</v>
      </c>
      <c r="C198" s="20" t="s">
        <v>6214</v>
      </c>
      <c r="D198" s="20" t="s">
        <v>79</v>
      </c>
      <c r="E198" s="20" t="s">
        <v>8441</v>
      </c>
      <c r="F198" s="20" t="s">
        <v>6215</v>
      </c>
      <c r="G198" s="20" t="s">
        <v>2804</v>
      </c>
      <c r="H198" s="26" t="n">
        <v>374.4</v>
      </c>
      <c r="I198" s="26" t="n">
        <v>374.4</v>
      </c>
      <c r="J198" s="26" t="n">
        <v>0</v>
      </c>
      <c r="K198" s="26" t="n">
        <v>0</v>
      </c>
      <c r="L198" s="26" t="n">
        <v>0</v>
      </c>
      <c r="M198" s="26" t="n">
        <f aca="false">SUM(H198:L198)</f>
        <v>748.8</v>
      </c>
      <c r="N198" s="25" t="n">
        <v>748.8</v>
      </c>
      <c r="O198" s="25" t="n">
        <f aca="false">M198-N198</f>
        <v>0</v>
      </c>
      <c r="P198" s="25" t="n">
        <f aca="false">K198+L198</f>
        <v>0</v>
      </c>
      <c r="Q198" s="23" t="str">
        <f aca="false">IF(AND(E198="OCCUPIED",P198&gt;0),"DELINQUENT &gt;90","CLEAR")</f>
        <v>CLEAR</v>
      </c>
      <c r="R198" s="23" t="s">
        <v>8532</v>
      </c>
      <c r="S198" s="23" t="s">
        <v>8467</v>
      </c>
      <c r="T198" s="23" t="s">
        <v>8555</v>
      </c>
      <c r="U198" s="23"/>
      <c r="V198" s="23" t="s">
        <v>8920</v>
      </c>
    </row>
    <row r="199" customFormat="false" ht="15" hidden="false" customHeight="false" outlineLevel="0" collapsed="false">
      <c r="A199" s="20" t="s">
        <v>8921</v>
      </c>
      <c r="B199" s="20" t="s">
        <v>6222</v>
      </c>
      <c r="C199" s="20" t="s">
        <v>6220</v>
      </c>
      <c r="D199" s="20" t="s">
        <v>79</v>
      </c>
      <c r="E199" s="20" t="s">
        <v>8441</v>
      </c>
      <c r="F199" s="20" t="s">
        <v>6221</v>
      </c>
      <c r="G199" s="20" t="s">
        <v>2804</v>
      </c>
      <c r="H199" s="26" t="n">
        <v>613.6</v>
      </c>
      <c r="I199" s="26" t="n">
        <v>0</v>
      </c>
      <c r="J199" s="26" t="n">
        <v>0</v>
      </c>
      <c r="K199" s="26" t="n">
        <v>0</v>
      </c>
      <c r="L199" s="26" t="n">
        <v>0</v>
      </c>
      <c r="M199" s="26" t="n">
        <f aca="false">SUM(H199:L199)</f>
        <v>613.6</v>
      </c>
      <c r="N199" s="25" t="n">
        <v>613.6</v>
      </c>
      <c r="O199" s="25" t="n">
        <f aca="false">M199-N199</f>
        <v>0</v>
      </c>
      <c r="P199" s="25" t="n">
        <f aca="false">K199+L199</f>
        <v>0</v>
      </c>
      <c r="Q199" s="23" t="str">
        <f aca="false">IF(AND(E199="OCCUPIED",P199&gt;0),"DELINQUENT &gt;90","CLEAR")</f>
        <v>CLEAR</v>
      </c>
      <c r="R199" s="23" t="s">
        <v>8477</v>
      </c>
      <c r="S199" s="23" t="s">
        <v>8443</v>
      </c>
      <c r="T199" s="23" t="s">
        <v>8555</v>
      </c>
      <c r="U199" s="23"/>
      <c r="V199" s="23" t="s">
        <v>8922</v>
      </c>
    </row>
    <row r="200" customFormat="false" ht="15" hidden="false" customHeight="false" outlineLevel="0" collapsed="false">
      <c r="A200" s="20" t="s">
        <v>8923</v>
      </c>
      <c r="B200" s="20" t="s">
        <v>6228</v>
      </c>
      <c r="C200" s="20" t="s">
        <v>6226</v>
      </c>
      <c r="D200" s="20" t="s">
        <v>79</v>
      </c>
      <c r="E200" s="20" t="s">
        <v>8441</v>
      </c>
      <c r="F200" s="20" t="s">
        <v>6227</v>
      </c>
      <c r="G200" s="20" t="s">
        <v>2804</v>
      </c>
      <c r="H200" s="26" t="n">
        <v>332.8</v>
      </c>
      <c r="I200" s="26" t="n">
        <v>0</v>
      </c>
      <c r="J200" s="26" t="n">
        <v>0</v>
      </c>
      <c r="K200" s="26" t="n">
        <v>0</v>
      </c>
      <c r="L200" s="26" t="n">
        <v>0</v>
      </c>
      <c r="M200" s="26" t="n">
        <f aca="false">SUM(H200:L200)</f>
        <v>332.8</v>
      </c>
      <c r="N200" s="25" t="n">
        <v>332.8</v>
      </c>
      <c r="O200" s="25" t="n">
        <f aca="false">M200-N200</f>
        <v>0</v>
      </c>
      <c r="P200" s="25" t="n">
        <f aca="false">K200+L200</f>
        <v>0</v>
      </c>
      <c r="Q200" s="23" t="str">
        <f aca="false">IF(AND(E200="OCCUPIED",P200&gt;0),"DELINQUENT &gt;90","CLEAR")</f>
        <v>CLEAR</v>
      </c>
      <c r="R200" s="23" t="s">
        <v>8485</v>
      </c>
      <c r="S200" s="23" t="s">
        <v>8443</v>
      </c>
      <c r="T200" s="23" t="s">
        <v>8451</v>
      </c>
      <c r="U200" s="23"/>
      <c r="V200" s="23" t="s">
        <v>8924</v>
      </c>
    </row>
    <row r="201" customFormat="false" ht="15" hidden="false" customHeight="false" outlineLevel="0" collapsed="false">
      <c r="A201" s="20" t="s">
        <v>8925</v>
      </c>
      <c r="B201" s="20" t="s">
        <v>6234</v>
      </c>
      <c r="C201" s="20" t="s">
        <v>6232</v>
      </c>
      <c r="D201" s="20" t="s">
        <v>79</v>
      </c>
      <c r="E201" s="20" t="s">
        <v>8441</v>
      </c>
      <c r="F201" s="20" t="s">
        <v>6233</v>
      </c>
      <c r="G201" s="20" t="s">
        <v>2804</v>
      </c>
      <c r="H201" s="26" t="n">
        <v>405.6</v>
      </c>
      <c r="I201" s="26" t="n">
        <v>0</v>
      </c>
      <c r="J201" s="26" t="n">
        <v>0</v>
      </c>
      <c r="K201" s="26" t="n">
        <v>0</v>
      </c>
      <c r="L201" s="26" t="n">
        <v>0</v>
      </c>
      <c r="M201" s="26" t="n">
        <f aca="false">SUM(H201:L201)</f>
        <v>405.6</v>
      </c>
      <c r="N201" s="25" t="n">
        <v>405.6</v>
      </c>
      <c r="O201" s="25" t="n">
        <f aca="false">M201-N201</f>
        <v>0</v>
      </c>
      <c r="P201" s="25" t="n">
        <f aca="false">K201+L201</f>
        <v>0</v>
      </c>
      <c r="Q201" s="23" t="str">
        <f aca="false">IF(AND(E201="OCCUPIED",P201&gt;0),"DELINQUENT &gt;90","CLEAR")</f>
        <v>CLEAR</v>
      </c>
      <c r="R201" s="23" t="s">
        <v>8562</v>
      </c>
      <c r="S201" s="23" t="s">
        <v>8443</v>
      </c>
      <c r="T201" s="23" t="s">
        <v>8722</v>
      </c>
      <c r="U201" s="23" t="s">
        <v>8463</v>
      </c>
      <c r="V201" s="23" t="s">
        <v>8926</v>
      </c>
    </row>
    <row r="202" customFormat="false" ht="15" hidden="false" customHeight="false" outlineLevel="0" collapsed="false">
      <c r="A202" s="20" t="s">
        <v>8927</v>
      </c>
      <c r="B202" s="20" t="s">
        <v>6240</v>
      </c>
      <c r="C202" s="20" t="s">
        <v>6238</v>
      </c>
      <c r="D202" s="20" t="s">
        <v>79</v>
      </c>
      <c r="E202" s="20" t="s">
        <v>8441</v>
      </c>
      <c r="F202" s="20" t="s">
        <v>6239</v>
      </c>
      <c r="G202" s="20" t="s">
        <v>2804</v>
      </c>
      <c r="H202" s="26" t="n">
        <v>291.2</v>
      </c>
      <c r="I202" s="26" t="n">
        <v>0</v>
      </c>
      <c r="J202" s="26" t="n">
        <v>0</v>
      </c>
      <c r="K202" s="26" t="n">
        <v>0</v>
      </c>
      <c r="L202" s="26" t="n">
        <v>0</v>
      </c>
      <c r="M202" s="26" t="n">
        <f aca="false">SUM(H202:L202)</f>
        <v>291.2</v>
      </c>
      <c r="N202" s="25" t="n">
        <v>291.2</v>
      </c>
      <c r="O202" s="25" t="n">
        <f aca="false">M202-N202</f>
        <v>0</v>
      </c>
      <c r="P202" s="25" t="n">
        <f aca="false">K202+L202</f>
        <v>0</v>
      </c>
      <c r="Q202" s="23" t="str">
        <f aca="false">IF(AND(E202="OCCUPIED",P202&gt;0),"DELINQUENT &gt;90","CLEAR")</f>
        <v>CLEAR</v>
      </c>
      <c r="R202" s="23" t="s">
        <v>8526</v>
      </c>
      <c r="S202" s="23" t="s">
        <v>8443</v>
      </c>
      <c r="T202" s="23" t="s">
        <v>8477</v>
      </c>
      <c r="U202" s="23"/>
      <c r="V202" s="23" t="s">
        <v>8928</v>
      </c>
    </row>
    <row r="203" customFormat="false" ht="15" hidden="false" customHeight="false" outlineLevel="0" collapsed="false">
      <c r="A203" s="20" t="s">
        <v>8929</v>
      </c>
      <c r="B203" s="20" t="s">
        <v>6245</v>
      </c>
      <c r="C203" s="20" t="s">
        <v>6244</v>
      </c>
      <c r="D203" s="20" t="s">
        <v>79</v>
      </c>
      <c r="E203" s="20" t="s">
        <v>8441</v>
      </c>
      <c r="F203" s="20" t="s">
        <v>1851</v>
      </c>
      <c r="G203" s="20" t="s">
        <v>2804</v>
      </c>
      <c r="H203" s="26" t="n">
        <v>603.2</v>
      </c>
      <c r="I203" s="26" t="n">
        <v>0</v>
      </c>
      <c r="J203" s="26" t="n">
        <v>0</v>
      </c>
      <c r="K203" s="26" t="n">
        <v>0</v>
      </c>
      <c r="L203" s="26" t="n">
        <v>0</v>
      </c>
      <c r="M203" s="26" t="n">
        <f aca="false">SUM(H203:L203)</f>
        <v>603.2</v>
      </c>
      <c r="N203" s="25" t="n">
        <v>603.2</v>
      </c>
      <c r="O203" s="25" t="n">
        <f aca="false">M203-N203</f>
        <v>0</v>
      </c>
      <c r="P203" s="25" t="n">
        <f aca="false">K203+L203</f>
        <v>0</v>
      </c>
      <c r="Q203" s="23" t="str">
        <f aca="false">IF(AND(E203="OCCUPIED",P203&gt;0),"DELINQUENT &gt;90","CLEAR")</f>
        <v>CLEAR</v>
      </c>
      <c r="R203" s="23" t="s">
        <v>8448</v>
      </c>
      <c r="S203" s="23" t="s">
        <v>8443</v>
      </c>
      <c r="T203" s="23" t="s">
        <v>8651</v>
      </c>
      <c r="U203" s="23"/>
      <c r="V203" s="23" t="s">
        <v>8930</v>
      </c>
    </row>
    <row r="204" customFormat="false" ht="15" hidden="false" customHeight="false" outlineLevel="0" collapsed="false">
      <c r="A204" s="20" t="s">
        <v>8931</v>
      </c>
      <c r="B204" s="20" t="s">
        <v>6250</v>
      </c>
      <c r="C204" s="20" t="s">
        <v>1757</v>
      </c>
      <c r="D204" s="20" t="s">
        <v>79</v>
      </c>
      <c r="E204" s="20" t="s">
        <v>8441</v>
      </c>
      <c r="F204" s="20" t="s">
        <v>6249</v>
      </c>
      <c r="G204" s="20" t="s">
        <v>2804</v>
      </c>
      <c r="H204" s="26" t="n">
        <v>249.6</v>
      </c>
      <c r="I204" s="26" t="n">
        <v>0</v>
      </c>
      <c r="J204" s="26" t="n">
        <v>0</v>
      </c>
      <c r="K204" s="26" t="n">
        <v>0</v>
      </c>
      <c r="L204" s="26" t="n">
        <v>0</v>
      </c>
      <c r="M204" s="26" t="n">
        <f aca="false">SUM(H204:L204)</f>
        <v>249.6</v>
      </c>
      <c r="N204" s="25" t="n">
        <v>249.6</v>
      </c>
      <c r="O204" s="25" t="n">
        <f aca="false">M204-N204</f>
        <v>0</v>
      </c>
      <c r="P204" s="25" t="n">
        <f aca="false">K204+L204</f>
        <v>0</v>
      </c>
      <c r="Q204" s="23" t="str">
        <f aca="false">IF(AND(E204="OCCUPIED",P204&gt;0),"DELINQUENT &gt;90","CLEAR")</f>
        <v>CLEAR</v>
      </c>
      <c r="R204" s="23" t="s">
        <v>8507</v>
      </c>
      <c r="S204" s="23" t="s">
        <v>8443</v>
      </c>
      <c r="T204" s="23" t="s">
        <v>8444</v>
      </c>
      <c r="U204" s="23"/>
      <c r="V204" s="23" t="s">
        <v>8932</v>
      </c>
    </row>
    <row r="205" customFormat="false" ht="15" hidden="false" customHeight="false" outlineLevel="0" collapsed="false">
      <c r="A205" s="20" t="s">
        <v>8933</v>
      </c>
      <c r="B205" s="20" t="s">
        <v>6256</v>
      </c>
      <c r="C205" s="20" t="s">
        <v>6254</v>
      </c>
      <c r="D205" s="20" t="s">
        <v>79</v>
      </c>
      <c r="E205" s="20" t="s">
        <v>8441</v>
      </c>
      <c r="F205" s="20" t="s">
        <v>6255</v>
      </c>
      <c r="G205" s="20" t="s">
        <v>2804</v>
      </c>
      <c r="H205" s="26" t="n">
        <v>624</v>
      </c>
      <c r="I205" s="26" t="n">
        <v>0</v>
      </c>
      <c r="J205" s="26" t="n">
        <v>0</v>
      </c>
      <c r="K205" s="26" t="n">
        <v>0</v>
      </c>
      <c r="L205" s="26" t="n">
        <v>0</v>
      </c>
      <c r="M205" s="26" t="n">
        <f aca="false">SUM(H205:L205)</f>
        <v>624</v>
      </c>
      <c r="N205" s="25" t="n">
        <v>624</v>
      </c>
      <c r="O205" s="25" t="n">
        <f aca="false">M205-N205</f>
        <v>0</v>
      </c>
      <c r="P205" s="25" t="n">
        <f aca="false">K205+L205</f>
        <v>0</v>
      </c>
      <c r="Q205" s="23" t="str">
        <f aca="false">IF(AND(E205="OCCUPIED",P205&gt;0),"DELINQUENT &gt;90","CLEAR")</f>
        <v>CLEAR</v>
      </c>
      <c r="R205" s="23" t="s">
        <v>8523</v>
      </c>
      <c r="S205" s="23" t="s">
        <v>8443</v>
      </c>
      <c r="T205" s="23" t="s">
        <v>8663</v>
      </c>
      <c r="U205" s="23"/>
      <c r="V205" s="23" t="s">
        <v>8934</v>
      </c>
    </row>
    <row r="206" customFormat="false" ht="15" hidden="false" customHeight="false" outlineLevel="0" collapsed="false">
      <c r="A206" s="20" t="s">
        <v>8935</v>
      </c>
      <c r="B206" s="20" t="s">
        <v>6262</v>
      </c>
      <c r="C206" s="20" t="s">
        <v>878</v>
      </c>
      <c r="D206" s="20" t="s">
        <v>79</v>
      </c>
      <c r="E206" s="20" t="s">
        <v>8441</v>
      </c>
      <c r="F206" s="20" t="s">
        <v>6261</v>
      </c>
      <c r="G206" s="20" t="s">
        <v>2804</v>
      </c>
      <c r="H206" s="26" t="n">
        <v>572</v>
      </c>
      <c r="I206" s="26" t="n">
        <v>0</v>
      </c>
      <c r="J206" s="26" t="n">
        <v>0</v>
      </c>
      <c r="K206" s="26" t="n">
        <v>0</v>
      </c>
      <c r="L206" s="26" t="n">
        <v>0</v>
      </c>
      <c r="M206" s="26" t="n">
        <f aca="false">SUM(H206:L206)</f>
        <v>572</v>
      </c>
      <c r="N206" s="25" t="n">
        <v>572</v>
      </c>
      <c r="O206" s="25" t="n">
        <f aca="false">M206-N206</f>
        <v>0</v>
      </c>
      <c r="P206" s="25" t="n">
        <f aca="false">K206+L206</f>
        <v>0</v>
      </c>
      <c r="Q206" s="23" t="str">
        <f aca="false">IF(AND(E206="OCCUPIED",P206&gt;0),"DELINQUENT &gt;90","CLEAR")</f>
        <v>CLEAR</v>
      </c>
      <c r="R206" s="23" t="s">
        <v>8663</v>
      </c>
      <c r="S206" s="23" t="s">
        <v>8443</v>
      </c>
      <c r="T206" s="23" t="s">
        <v>8529</v>
      </c>
      <c r="U206" s="23"/>
      <c r="V206" s="23" t="s">
        <v>8936</v>
      </c>
    </row>
    <row r="207" customFormat="false" ht="15" hidden="false" customHeight="false" outlineLevel="0" collapsed="false">
      <c r="A207" s="20" t="s">
        <v>8937</v>
      </c>
      <c r="B207" s="20" t="s">
        <v>6268</v>
      </c>
      <c r="C207" s="20" t="s">
        <v>6266</v>
      </c>
      <c r="D207" s="20" t="s">
        <v>79</v>
      </c>
      <c r="E207" s="20" t="s">
        <v>8441</v>
      </c>
      <c r="F207" s="20" t="s">
        <v>6267</v>
      </c>
      <c r="G207" s="20" t="s">
        <v>2804</v>
      </c>
      <c r="H207" s="26" t="n">
        <v>644.8</v>
      </c>
      <c r="I207" s="26" t="n">
        <v>0</v>
      </c>
      <c r="J207" s="26" t="n">
        <v>0</v>
      </c>
      <c r="K207" s="26" t="n">
        <v>0</v>
      </c>
      <c r="L207" s="26" t="n">
        <v>0</v>
      </c>
      <c r="M207" s="26" t="n">
        <f aca="false">SUM(H207:L207)</f>
        <v>644.8</v>
      </c>
      <c r="N207" s="25" t="n">
        <v>644.8</v>
      </c>
      <c r="O207" s="25" t="n">
        <f aca="false">M207-N207</f>
        <v>0</v>
      </c>
      <c r="P207" s="25" t="n">
        <f aca="false">K207+L207</f>
        <v>0</v>
      </c>
      <c r="Q207" s="23" t="str">
        <f aca="false">IF(AND(E207="OCCUPIED",P207&gt;0),"DELINQUENT &gt;90","CLEAR")</f>
        <v>CLEAR</v>
      </c>
      <c r="R207" s="23" t="s">
        <v>8452</v>
      </c>
      <c r="S207" s="23" t="s">
        <v>8443</v>
      </c>
      <c r="T207" s="23" t="s">
        <v>8584</v>
      </c>
      <c r="U207" s="23"/>
      <c r="V207" s="23" t="s">
        <v>8938</v>
      </c>
    </row>
    <row r="208" customFormat="false" ht="15" hidden="false" customHeight="false" outlineLevel="0" collapsed="false">
      <c r="A208" s="20" t="s">
        <v>8939</v>
      </c>
      <c r="B208" s="20" t="s">
        <v>6274</v>
      </c>
      <c r="C208" s="20" t="s">
        <v>6272</v>
      </c>
      <c r="D208" s="20" t="s">
        <v>79</v>
      </c>
      <c r="E208" s="20" t="s">
        <v>8441</v>
      </c>
      <c r="F208" s="20" t="s">
        <v>6273</v>
      </c>
      <c r="G208" s="20" t="s">
        <v>2804</v>
      </c>
      <c r="H208" s="26" t="n">
        <v>592.8</v>
      </c>
      <c r="I208" s="26" t="n">
        <v>592.8</v>
      </c>
      <c r="J208" s="26" t="n">
        <v>592.8</v>
      </c>
      <c r="K208" s="26" t="n">
        <v>0</v>
      </c>
      <c r="L208" s="26" t="n">
        <v>0</v>
      </c>
      <c r="M208" s="26" t="n">
        <f aca="false">SUM(H208:L208)</f>
        <v>1778.4</v>
      </c>
      <c r="N208" s="25" t="n">
        <v>1778.4</v>
      </c>
      <c r="O208" s="25" t="n">
        <f aca="false">M208-N208</f>
        <v>0</v>
      </c>
      <c r="P208" s="25" t="n">
        <f aca="false">K208+L208</f>
        <v>0</v>
      </c>
      <c r="Q208" s="23" t="str">
        <f aca="false">IF(AND(E208="OCCUPIED",P208&gt;0),"DELINQUENT &gt;90","CLEAR")</f>
        <v>CLEAR</v>
      </c>
      <c r="R208" s="23" t="s">
        <v>8651</v>
      </c>
      <c r="S208" s="23" t="s">
        <v>8516</v>
      </c>
      <c r="T208" s="23" t="s">
        <v>8739</v>
      </c>
      <c r="U208" s="23"/>
      <c r="V208" s="23" t="s">
        <v>8940</v>
      </c>
    </row>
    <row r="209" customFormat="false" ht="15" hidden="false" customHeight="false" outlineLevel="0" collapsed="false">
      <c r="A209" s="20" t="s">
        <v>8941</v>
      </c>
      <c r="B209" s="20" t="s">
        <v>6280</v>
      </c>
      <c r="C209" s="20" t="s">
        <v>6278</v>
      </c>
      <c r="D209" s="20" t="s">
        <v>79</v>
      </c>
      <c r="E209" s="20" t="s">
        <v>8441</v>
      </c>
      <c r="F209" s="20" t="s">
        <v>6279</v>
      </c>
      <c r="G209" s="20" t="s">
        <v>2804</v>
      </c>
      <c r="H209" s="26" t="n">
        <v>353.6</v>
      </c>
      <c r="I209" s="26" t="n">
        <v>0</v>
      </c>
      <c r="J209" s="26" t="n">
        <v>0</v>
      </c>
      <c r="K209" s="26" t="n">
        <v>0</v>
      </c>
      <c r="L209" s="26" t="n">
        <v>0</v>
      </c>
      <c r="M209" s="26" t="n">
        <f aca="false">SUM(H209:L209)</f>
        <v>353.6</v>
      </c>
      <c r="N209" s="25" t="n">
        <v>353.6</v>
      </c>
      <c r="O209" s="25" t="n">
        <f aca="false">M209-N209</f>
        <v>0</v>
      </c>
      <c r="P209" s="25" t="n">
        <f aca="false">K209+L209</f>
        <v>0</v>
      </c>
      <c r="Q209" s="23" t="str">
        <f aca="false">IF(AND(E209="OCCUPIED",P209&gt;0),"DELINQUENT &gt;90","CLEAR")</f>
        <v>CLEAR</v>
      </c>
      <c r="R209" s="23" t="s">
        <v>8492</v>
      </c>
      <c r="S209" s="23" t="s">
        <v>8443</v>
      </c>
      <c r="T209" s="23" t="s">
        <v>8651</v>
      </c>
      <c r="U209" s="23"/>
      <c r="V209" s="23" t="s">
        <v>8942</v>
      </c>
    </row>
    <row r="210" customFormat="false" ht="15" hidden="false" customHeight="false" outlineLevel="0" collapsed="false">
      <c r="A210" s="20" t="s">
        <v>8943</v>
      </c>
      <c r="B210" s="20" t="s">
        <v>6286</v>
      </c>
      <c r="C210" s="20" t="s">
        <v>6284</v>
      </c>
      <c r="D210" s="20" t="s">
        <v>79</v>
      </c>
      <c r="E210" s="20" t="s">
        <v>8441</v>
      </c>
      <c r="F210" s="20" t="s">
        <v>6285</v>
      </c>
      <c r="G210" s="20" t="s">
        <v>2804</v>
      </c>
      <c r="H210" s="26" t="n">
        <v>395.2</v>
      </c>
      <c r="I210" s="26" t="n">
        <v>0</v>
      </c>
      <c r="J210" s="26" t="n">
        <v>0</v>
      </c>
      <c r="K210" s="26" t="n">
        <v>0</v>
      </c>
      <c r="L210" s="26" t="n">
        <v>0</v>
      </c>
      <c r="M210" s="26" t="n">
        <f aca="false">SUM(H210:L210)</f>
        <v>395.2</v>
      </c>
      <c r="N210" s="25" t="n">
        <v>395.2</v>
      </c>
      <c r="O210" s="25" t="n">
        <f aca="false">M210-N210</f>
        <v>0</v>
      </c>
      <c r="P210" s="25" t="n">
        <f aca="false">K210+L210</f>
        <v>0</v>
      </c>
      <c r="Q210" s="23" t="str">
        <f aca="false">IF(AND(E210="OCCUPIED",P210&gt;0),"DELINQUENT &gt;90","CLEAR")</f>
        <v>CLEAR</v>
      </c>
      <c r="R210" s="23" t="s">
        <v>8604</v>
      </c>
      <c r="S210" s="23" t="s">
        <v>8443</v>
      </c>
      <c r="T210" s="23" t="s">
        <v>8593</v>
      </c>
      <c r="U210" s="23"/>
      <c r="V210" s="23" t="s">
        <v>8944</v>
      </c>
    </row>
    <row r="211" customFormat="false" ht="15" hidden="false" customHeight="false" outlineLevel="0" collapsed="false">
      <c r="A211" s="20" t="s">
        <v>8945</v>
      </c>
      <c r="B211" s="20" t="s">
        <v>6292</v>
      </c>
      <c r="C211" s="20" t="s">
        <v>6290</v>
      </c>
      <c r="D211" s="20" t="s">
        <v>79</v>
      </c>
      <c r="E211" s="20" t="s">
        <v>8441</v>
      </c>
      <c r="F211" s="20" t="s">
        <v>6291</v>
      </c>
      <c r="G211" s="20" t="s">
        <v>2804</v>
      </c>
      <c r="H211" s="26" t="n">
        <v>374.4</v>
      </c>
      <c r="I211" s="26" t="n">
        <v>0</v>
      </c>
      <c r="J211" s="26" t="n">
        <v>0</v>
      </c>
      <c r="K211" s="26" t="n">
        <v>0</v>
      </c>
      <c r="L211" s="26" t="n">
        <v>0</v>
      </c>
      <c r="M211" s="26" t="n">
        <f aca="false">SUM(H211:L211)</f>
        <v>374.4</v>
      </c>
      <c r="N211" s="25" t="n">
        <v>374.4</v>
      </c>
      <c r="O211" s="25" t="n">
        <f aca="false">M211-N211</f>
        <v>0</v>
      </c>
      <c r="P211" s="25" t="n">
        <f aca="false">K211+L211</f>
        <v>0</v>
      </c>
      <c r="Q211" s="23" t="str">
        <f aca="false">IF(AND(E211="OCCUPIED",P211&gt;0),"DELINQUENT &gt;90","CLEAR")</f>
        <v>CLEAR</v>
      </c>
      <c r="R211" s="23" t="s">
        <v>8554</v>
      </c>
      <c r="S211" s="23" t="s">
        <v>8443</v>
      </c>
      <c r="T211" s="23" t="s">
        <v>8687</v>
      </c>
      <c r="U211" s="23" t="s">
        <v>8463</v>
      </c>
      <c r="V211" s="23" t="s">
        <v>8946</v>
      </c>
    </row>
    <row r="212" customFormat="false" ht="15" hidden="false" customHeight="false" outlineLevel="0" collapsed="false">
      <c r="A212" s="20" t="s">
        <v>8947</v>
      </c>
      <c r="B212" s="20" t="s">
        <v>6298</v>
      </c>
      <c r="C212" s="20" t="s">
        <v>6296</v>
      </c>
      <c r="D212" s="20" t="s">
        <v>79</v>
      </c>
      <c r="E212" s="20" t="s">
        <v>8441</v>
      </c>
      <c r="F212" s="20" t="s">
        <v>6297</v>
      </c>
      <c r="G212" s="20" t="s">
        <v>2804</v>
      </c>
      <c r="H212" s="26" t="n">
        <v>603.2</v>
      </c>
      <c r="I212" s="26" t="n">
        <v>0</v>
      </c>
      <c r="J212" s="26" t="n">
        <v>0</v>
      </c>
      <c r="K212" s="26" t="n">
        <v>0</v>
      </c>
      <c r="L212" s="26" t="n">
        <v>0</v>
      </c>
      <c r="M212" s="26" t="n">
        <f aca="false">SUM(H212:L212)</f>
        <v>603.2</v>
      </c>
      <c r="N212" s="25" t="n">
        <v>603.2</v>
      </c>
      <c r="O212" s="25" t="n">
        <f aca="false">M212-N212</f>
        <v>0</v>
      </c>
      <c r="P212" s="25" t="n">
        <f aca="false">K212+L212</f>
        <v>0</v>
      </c>
      <c r="Q212" s="23" t="str">
        <f aca="false">IF(AND(E212="OCCUPIED",P212&gt;0),"DELINQUENT &gt;90","CLEAR")</f>
        <v>CLEAR</v>
      </c>
      <c r="R212" s="23" t="s">
        <v>8722</v>
      </c>
      <c r="S212" s="23" t="s">
        <v>8443</v>
      </c>
      <c r="T212" s="23" t="s">
        <v>8517</v>
      </c>
      <c r="U212" s="23"/>
      <c r="V212" s="23" t="s">
        <v>8948</v>
      </c>
    </row>
    <row r="213" customFormat="false" ht="15" hidden="false" customHeight="false" outlineLevel="0" collapsed="false">
      <c r="A213" s="20" t="s">
        <v>8949</v>
      </c>
      <c r="B213" s="20" t="s">
        <v>6304</v>
      </c>
      <c r="C213" s="20" t="s">
        <v>6302</v>
      </c>
      <c r="D213" s="20" t="s">
        <v>79</v>
      </c>
      <c r="E213" s="20" t="s">
        <v>8441</v>
      </c>
      <c r="F213" s="20" t="s">
        <v>6303</v>
      </c>
      <c r="G213" s="20" t="s">
        <v>2804</v>
      </c>
      <c r="H213" s="26" t="n">
        <v>613.6</v>
      </c>
      <c r="I213" s="26" t="n">
        <v>0</v>
      </c>
      <c r="J213" s="26" t="n">
        <v>0</v>
      </c>
      <c r="K213" s="26" t="n">
        <v>0</v>
      </c>
      <c r="L213" s="26" t="n">
        <v>0</v>
      </c>
      <c r="M213" s="26" t="n">
        <f aca="false">SUM(H213:L213)</f>
        <v>613.6</v>
      </c>
      <c r="N213" s="25" t="n">
        <v>613.6</v>
      </c>
      <c r="O213" s="25" t="n">
        <f aca="false">M213-N213</f>
        <v>0</v>
      </c>
      <c r="P213" s="25" t="n">
        <f aca="false">K213+L213</f>
        <v>0</v>
      </c>
      <c r="Q213" s="23" t="str">
        <f aca="false">IF(AND(E213="OCCUPIED",P213&gt;0),"DELINQUENT &gt;90","CLEAR")</f>
        <v>CLEAR</v>
      </c>
      <c r="R213" s="23" t="s">
        <v>8506</v>
      </c>
      <c r="S213" s="23" t="s">
        <v>8443</v>
      </c>
      <c r="T213" s="23" t="s">
        <v>8610</v>
      </c>
      <c r="U213" s="23"/>
      <c r="V213" s="23" t="s">
        <v>8950</v>
      </c>
    </row>
    <row r="214" customFormat="false" ht="15" hidden="false" customHeight="false" outlineLevel="0" collapsed="false">
      <c r="A214" s="20" t="s">
        <v>8951</v>
      </c>
      <c r="B214" s="20" t="s">
        <v>6309</v>
      </c>
      <c r="C214" s="20" t="s">
        <v>1876</v>
      </c>
      <c r="D214" s="20" t="s">
        <v>79</v>
      </c>
      <c r="E214" s="20" t="s">
        <v>8441</v>
      </c>
      <c r="F214" s="20" t="s">
        <v>6308</v>
      </c>
      <c r="G214" s="20" t="s">
        <v>2804</v>
      </c>
      <c r="H214" s="26" t="n">
        <v>332.8</v>
      </c>
      <c r="I214" s="26" t="n">
        <v>0</v>
      </c>
      <c r="J214" s="26" t="n">
        <v>0</v>
      </c>
      <c r="K214" s="26" t="n">
        <v>0</v>
      </c>
      <c r="L214" s="26" t="n">
        <v>0</v>
      </c>
      <c r="M214" s="26" t="n">
        <f aca="false">SUM(H214:L214)</f>
        <v>332.8</v>
      </c>
      <c r="N214" s="25" t="n">
        <v>332.8</v>
      </c>
      <c r="O214" s="25" t="n">
        <f aca="false">M214-N214</f>
        <v>0</v>
      </c>
      <c r="P214" s="25" t="n">
        <f aca="false">K214+L214</f>
        <v>0</v>
      </c>
      <c r="Q214" s="23" t="str">
        <f aca="false">IF(AND(E214="OCCUPIED",P214&gt;0),"DELINQUENT &gt;90","CLEAR")</f>
        <v>CLEAR</v>
      </c>
      <c r="R214" s="23" t="s">
        <v>8587</v>
      </c>
      <c r="S214" s="23" t="s">
        <v>8443</v>
      </c>
      <c r="T214" s="23" t="s">
        <v>8489</v>
      </c>
      <c r="U214" s="23"/>
      <c r="V214" s="23" t="s">
        <v>8952</v>
      </c>
    </row>
    <row r="215" customFormat="false" ht="15" hidden="false" customHeight="false" outlineLevel="0" collapsed="false">
      <c r="A215" s="20" t="s">
        <v>8953</v>
      </c>
      <c r="B215" s="20" t="s">
        <v>6315</v>
      </c>
      <c r="C215" s="20" t="s">
        <v>6313</v>
      </c>
      <c r="D215" s="20" t="s">
        <v>79</v>
      </c>
      <c r="E215" s="20" t="s">
        <v>8441</v>
      </c>
      <c r="F215" s="20" t="s">
        <v>6314</v>
      </c>
      <c r="G215" s="20" t="s">
        <v>2804</v>
      </c>
      <c r="H215" s="26" t="n">
        <v>644.8</v>
      </c>
      <c r="I215" s="26" t="n">
        <v>0</v>
      </c>
      <c r="J215" s="26" t="n">
        <v>0</v>
      </c>
      <c r="K215" s="26" t="n">
        <v>0</v>
      </c>
      <c r="L215" s="26" t="n">
        <v>0</v>
      </c>
      <c r="M215" s="26" t="n">
        <f aca="false">SUM(H215:L215)</f>
        <v>644.8</v>
      </c>
      <c r="N215" s="25" t="n">
        <v>644.8</v>
      </c>
      <c r="O215" s="25" t="n">
        <f aca="false">M215-N215</f>
        <v>0</v>
      </c>
      <c r="P215" s="25" t="n">
        <f aca="false">K215+L215</f>
        <v>0</v>
      </c>
      <c r="Q215" s="23" t="str">
        <f aca="false">IF(AND(E215="OCCUPIED",P215&gt;0),"DELINQUENT &gt;90","CLEAR")</f>
        <v>CLEAR</v>
      </c>
      <c r="R215" s="23" t="s">
        <v>8523</v>
      </c>
      <c r="S215" s="23" t="s">
        <v>8443</v>
      </c>
      <c r="T215" s="23" t="s">
        <v>8492</v>
      </c>
      <c r="U215" s="23" t="s">
        <v>8463</v>
      </c>
      <c r="V215" s="23" t="s">
        <v>8954</v>
      </c>
    </row>
    <row r="216" customFormat="false" ht="15" hidden="false" customHeight="false" outlineLevel="0" collapsed="false">
      <c r="A216" s="20" t="s">
        <v>8955</v>
      </c>
      <c r="B216" s="20" t="s">
        <v>901</v>
      </c>
      <c r="C216" s="20" t="s">
        <v>6319</v>
      </c>
      <c r="D216" s="20" t="s">
        <v>79</v>
      </c>
      <c r="E216" s="20" t="s">
        <v>8441</v>
      </c>
      <c r="F216" s="20" t="s">
        <v>900</v>
      </c>
      <c r="G216" s="20" t="s">
        <v>2804</v>
      </c>
      <c r="H216" s="26" t="n">
        <v>426.4</v>
      </c>
      <c r="I216" s="26" t="n">
        <v>0</v>
      </c>
      <c r="J216" s="26" t="n">
        <v>0</v>
      </c>
      <c r="K216" s="26" t="n">
        <v>0</v>
      </c>
      <c r="L216" s="26" t="n">
        <v>0</v>
      </c>
      <c r="M216" s="26" t="n">
        <f aca="false">SUM(H216:L216)</f>
        <v>426.4</v>
      </c>
      <c r="N216" s="25" t="n">
        <v>426.4</v>
      </c>
      <c r="O216" s="25" t="n">
        <f aca="false">M216-N216</f>
        <v>0</v>
      </c>
      <c r="P216" s="25" t="n">
        <f aca="false">K216+L216</f>
        <v>0</v>
      </c>
      <c r="Q216" s="23" t="str">
        <f aca="false">IF(AND(E216="OCCUPIED",P216&gt;0),"DELINQUENT &gt;90","CLEAR")</f>
        <v>CLEAR</v>
      </c>
      <c r="R216" s="23" t="s">
        <v>8462</v>
      </c>
      <c r="S216" s="23" t="s">
        <v>8443</v>
      </c>
      <c r="T216" s="23" t="s">
        <v>8678</v>
      </c>
      <c r="U216" s="23"/>
      <c r="V216" s="23" t="s">
        <v>8956</v>
      </c>
    </row>
    <row r="217" customFormat="false" ht="15" hidden="false" customHeight="false" outlineLevel="0" collapsed="false">
      <c r="A217" s="20" t="s">
        <v>8957</v>
      </c>
      <c r="B217" s="20" t="s">
        <v>6325</v>
      </c>
      <c r="C217" s="20" t="s">
        <v>6323</v>
      </c>
      <c r="D217" s="20" t="s">
        <v>79</v>
      </c>
      <c r="E217" s="20" t="s">
        <v>8441</v>
      </c>
      <c r="F217" s="20" t="s">
        <v>6324</v>
      </c>
      <c r="G217" s="20" t="s">
        <v>2804</v>
      </c>
      <c r="H217" s="26" t="n">
        <v>301.6</v>
      </c>
      <c r="I217" s="26" t="n">
        <v>301.6</v>
      </c>
      <c r="J217" s="26" t="n">
        <v>0</v>
      </c>
      <c r="K217" s="26" t="n">
        <v>0</v>
      </c>
      <c r="L217" s="26" t="n">
        <v>0</v>
      </c>
      <c r="M217" s="26" t="n">
        <f aca="false">SUM(H217:L217)</f>
        <v>603.2</v>
      </c>
      <c r="N217" s="25" t="n">
        <v>603.2</v>
      </c>
      <c r="O217" s="25" t="n">
        <f aca="false">M217-N217</f>
        <v>0</v>
      </c>
      <c r="P217" s="25" t="n">
        <f aca="false">K217+L217</f>
        <v>0</v>
      </c>
      <c r="Q217" s="23" t="str">
        <f aca="false">IF(AND(E217="OCCUPIED",P217&gt;0),"DELINQUENT &gt;90","CLEAR")</f>
        <v>CLEAR</v>
      </c>
      <c r="R217" s="23" t="s">
        <v>8719</v>
      </c>
      <c r="S217" s="23" t="s">
        <v>8467</v>
      </c>
      <c r="T217" s="23" t="s">
        <v>8511</v>
      </c>
      <c r="U217" s="23"/>
      <c r="V217" s="23" t="s">
        <v>8958</v>
      </c>
    </row>
    <row r="218" customFormat="false" ht="15" hidden="false" customHeight="false" outlineLevel="0" collapsed="false">
      <c r="A218" s="20" t="s">
        <v>8959</v>
      </c>
      <c r="B218" s="20" t="s">
        <v>410</v>
      </c>
      <c r="C218" s="20" t="s">
        <v>6329</v>
      </c>
      <c r="D218" s="20" t="s">
        <v>79</v>
      </c>
      <c r="E218" s="20" t="s">
        <v>8441</v>
      </c>
      <c r="F218" s="20" t="s">
        <v>409</v>
      </c>
      <c r="G218" s="20" t="s">
        <v>2804</v>
      </c>
      <c r="H218" s="26" t="n">
        <v>291.2</v>
      </c>
      <c r="I218" s="26" t="n">
        <v>0</v>
      </c>
      <c r="J218" s="26" t="n">
        <v>0</v>
      </c>
      <c r="K218" s="26" t="n">
        <v>0</v>
      </c>
      <c r="L218" s="26" t="n">
        <v>0</v>
      </c>
      <c r="M218" s="26" t="n">
        <f aca="false">SUM(H218:L218)</f>
        <v>291.2</v>
      </c>
      <c r="N218" s="25" t="n">
        <v>0</v>
      </c>
      <c r="O218" s="25" t="n">
        <f aca="false">M218-N218</f>
        <v>291.2</v>
      </c>
      <c r="P218" s="25" t="n">
        <f aca="false">K218+L218</f>
        <v>0</v>
      </c>
      <c r="Q218" s="23" t="str">
        <f aca="false">IF(AND(E218="OCCUPIED",P218&gt;0),"DELINQUENT &gt;90","CLEAR")</f>
        <v>CLEAR</v>
      </c>
      <c r="R218" s="23" t="s">
        <v>8579</v>
      </c>
      <c r="S218" s="23" t="s">
        <v>8443</v>
      </c>
      <c r="T218" s="23" t="s">
        <v>8484</v>
      </c>
      <c r="U218" s="23" t="s">
        <v>8463</v>
      </c>
      <c r="V218" s="23" t="s">
        <v>8960</v>
      </c>
    </row>
    <row r="219" customFormat="false" ht="15" hidden="false" customHeight="false" outlineLevel="0" collapsed="false">
      <c r="A219" s="20" t="s">
        <v>8961</v>
      </c>
      <c r="B219" s="20" t="s">
        <v>6334</v>
      </c>
      <c r="C219" s="20" t="s">
        <v>6333</v>
      </c>
      <c r="D219" s="20" t="s">
        <v>79</v>
      </c>
      <c r="E219" s="20" t="s">
        <v>8441</v>
      </c>
      <c r="F219" s="20" t="s">
        <v>317</v>
      </c>
      <c r="G219" s="20" t="s">
        <v>2804</v>
      </c>
      <c r="H219" s="26" t="n">
        <v>249.6</v>
      </c>
      <c r="I219" s="26" t="n">
        <v>0</v>
      </c>
      <c r="J219" s="26" t="n">
        <v>0</v>
      </c>
      <c r="K219" s="26" t="n">
        <v>0</v>
      </c>
      <c r="L219" s="26" t="n">
        <v>0</v>
      </c>
      <c r="M219" s="26" t="n">
        <f aca="false">SUM(H219:L219)</f>
        <v>249.6</v>
      </c>
      <c r="N219" s="25" t="n">
        <v>249.6</v>
      </c>
      <c r="O219" s="25" t="n">
        <f aca="false">M219-N219</f>
        <v>0</v>
      </c>
      <c r="P219" s="25" t="n">
        <f aca="false">K219+L219</f>
        <v>0</v>
      </c>
      <c r="Q219" s="23" t="str">
        <f aca="false">IF(AND(E219="OCCUPIED",P219&gt;0),"DELINQUENT &gt;90","CLEAR")</f>
        <v>CLEAR</v>
      </c>
      <c r="R219" s="23" t="s">
        <v>8462</v>
      </c>
      <c r="S219" s="23" t="s">
        <v>8443</v>
      </c>
      <c r="T219" s="23" t="s">
        <v>8640</v>
      </c>
      <c r="U219" s="23"/>
      <c r="V219" s="23" t="s">
        <v>8962</v>
      </c>
    </row>
    <row r="220" customFormat="false" ht="15" hidden="false" customHeight="false" outlineLevel="0" collapsed="false">
      <c r="A220" s="20" t="s">
        <v>8963</v>
      </c>
      <c r="B220" s="20" t="s">
        <v>6340</v>
      </c>
      <c r="C220" s="20" t="s">
        <v>6338</v>
      </c>
      <c r="D220" s="20" t="s">
        <v>79</v>
      </c>
      <c r="E220" s="20" t="s">
        <v>8441</v>
      </c>
      <c r="F220" s="20" t="s">
        <v>6339</v>
      </c>
      <c r="G220" s="20" t="s">
        <v>2804</v>
      </c>
      <c r="H220" s="26" t="n">
        <v>291.2</v>
      </c>
      <c r="I220" s="26" t="n">
        <v>0</v>
      </c>
      <c r="J220" s="26" t="n">
        <v>0</v>
      </c>
      <c r="K220" s="26" t="n">
        <v>0</v>
      </c>
      <c r="L220" s="26" t="n">
        <v>0</v>
      </c>
      <c r="M220" s="26" t="n">
        <f aca="false">SUM(H220:L220)</f>
        <v>291.2</v>
      </c>
      <c r="N220" s="25" t="n">
        <v>291.2</v>
      </c>
      <c r="O220" s="25" t="n">
        <f aca="false">M220-N220</f>
        <v>0</v>
      </c>
      <c r="P220" s="25" t="n">
        <f aca="false">K220+L220</f>
        <v>0</v>
      </c>
      <c r="Q220" s="23" t="str">
        <f aca="false">IF(AND(E220="OCCUPIED",P220&gt;0),"DELINQUENT &gt;90","CLEAR")</f>
        <v>CLEAR</v>
      </c>
      <c r="R220" s="23" t="s">
        <v>8739</v>
      </c>
      <c r="S220" s="23" t="s">
        <v>8443</v>
      </c>
      <c r="T220" s="23" t="s">
        <v>8459</v>
      </c>
      <c r="U220" s="23"/>
      <c r="V220" s="23" t="s">
        <v>8964</v>
      </c>
    </row>
    <row r="221" customFormat="false" ht="15" hidden="false" customHeight="false" outlineLevel="0" collapsed="false">
      <c r="A221" s="20" t="s">
        <v>8965</v>
      </c>
      <c r="B221" s="20" t="s">
        <v>6346</v>
      </c>
      <c r="C221" s="20" t="s">
        <v>6344</v>
      </c>
      <c r="D221" s="20" t="s">
        <v>79</v>
      </c>
      <c r="E221" s="20" t="s">
        <v>8441</v>
      </c>
      <c r="F221" s="20" t="s">
        <v>6345</v>
      </c>
      <c r="G221" s="20" t="s">
        <v>2804</v>
      </c>
      <c r="H221" s="26" t="n">
        <v>582.4</v>
      </c>
      <c r="I221" s="26" t="n">
        <v>0</v>
      </c>
      <c r="J221" s="26" t="n">
        <v>0</v>
      </c>
      <c r="K221" s="26" t="n">
        <v>0</v>
      </c>
      <c r="L221" s="26" t="n">
        <v>0</v>
      </c>
      <c r="M221" s="26" t="n">
        <f aca="false">SUM(H221:L221)</f>
        <v>582.4</v>
      </c>
      <c r="N221" s="25" t="n">
        <v>582.4</v>
      </c>
      <c r="O221" s="25" t="n">
        <f aca="false">M221-N221</f>
        <v>0</v>
      </c>
      <c r="P221" s="25" t="n">
        <f aca="false">K221+L221</f>
        <v>0</v>
      </c>
      <c r="Q221" s="23" t="str">
        <f aca="false">IF(AND(E221="OCCUPIED",P221&gt;0),"DELINQUENT &gt;90","CLEAR")</f>
        <v>CLEAR</v>
      </c>
      <c r="R221" s="23" t="s">
        <v>8578</v>
      </c>
      <c r="S221" s="23" t="s">
        <v>8443</v>
      </c>
      <c r="T221" s="23" t="s">
        <v>8452</v>
      </c>
      <c r="U221" s="23"/>
      <c r="V221" s="23" t="s">
        <v>8966</v>
      </c>
    </row>
    <row r="222" customFormat="false" ht="15" hidden="false" customHeight="false" outlineLevel="0" collapsed="false">
      <c r="A222" s="20" t="s">
        <v>8967</v>
      </c>
      <c r="B222" s="20" t="s">
        <v>6352</v>
      </c>
      <c r="C222" s="20" t="s">
        <v>6350</v>
      </c>
      <c r="D222" s="20" t="s">
        <v>79</v>
      </c>
      <c r="E222" s="20" t="s">
        <v>8441</v>
      </c>
      <c r="F222" s="20" t="s">
        <v>6351</v>
      </c>
      <c r="G222" s="20" t="s">
        <v>2804</v>
      </c>
      <c r="H222" s="26" t="n">
        <v>561.6</v>
      </c>
      <c r="I222" s="26" t="n">
        <v>0</v>
      </c>
      <c r="J222" s="26" t="n">
        <v>0</v>
      </c>
      <c r="K222" s="26" t="n">
        <v>0</v>
      </c>
      <c r="L222" s="26" t="n">
        <v>0</v>
      </c>
      <c r="M222" s="26" t="n">
        <f aca="false">SUM(H222:L222)</f>
        <v>561.6</v>
      </c>
      <c r="N222" s="25" t="n">
        <v>561.6</v>
      </c>
      <c r="O222" s="25" t="n">
        <f aca="false">M222-N222</f>
        <v>0</v>
      </c>
      <c r="P222" s="25" t="n">
        <f aca="false">K222+L222</f>
        <v>0</v>
      </c>
      <c r="Q222" s="23" t="str">
        <f aca="false">IF(AND(E222="OCCUPIED",P222&gt;0),"DELINQUENT &gt;90","CLEAR")</f>
        <v>CLEAR</v>
      </c>
      <c r="R222" s="23" t="s">
        <v>8495</v>
      </c>
      <c r="S222" s="23" t="s">
        <v>8443</v>
      </c>
      <c r="T222" s="23" t="s">
        <v>8477</v>
      </c>
      <c r="U222" s="23"/>
      <c r="V222" s="23" t="s">
        <v>8968</v>
      </c>
    </row>
    <row r="223" customFormat="false" ht="15" hidden="false" customHeight="false" outlineLevel="0" collapsed="false">
      <c r="A223" s="20" t="s">
        <v>8969</v>
      </c>
      <c r="B223" s="20" t="s">
        <v>6358</v>
      </c>
      <c r="C223" s="20" t="s">
        <v>6356</v>
      </c>
      <c r="D223" s="20" t="s">
        <v>79</v>
      </c>
      <c r="E223" s="20" t="s">
        <v>8441</v>
      </c>
      <c r="F223" s="20" t="s">
        <v>6357</v>
      </c>
      <c r="G223" s="20" t="s">
        <v>2804</v>
      </c>
      <c r="H223" s="26" t="n">
        <v>332.8</v>
      </c>
      <c r="I223" s="26" t="n">
        <v>0</v>
      </c>
      <c r="J223" s="26" t="n">
        <v>0</v>
      </c>
      <c r="K223" s="26" t="n">
        <v>0</v>
      </c>
      <c r="L223" s="26" t="n">
        <v>0</v>
      </c>
      <c r="M223" s="26" t="n">
        <f aca="false">SUM(H223:L223)</f>
        <v>332.8</v>
      </c>
      <c r="N223" s="25" t="n">
        <v>332.8</v>
      </c>
      <c r="O223" s="25" t="n">
        <f aca="false">M223-N223</f>
        <v>0</v>
      </c>
      <c r="P223" s="25" t="n">
        <f aca="false">K223+L223</f>
        <v>0</v>
      </c>
      <c r="Q223" s="23" t="str">
        <f aca="false">IF(AND(E223="OCCUPIED",P223&gt;0),"DELINQUENT &gt;90","CLEAR")</f>
        <v>CLEAR</v>
      </c>
      <c r="R223" s="23" t="s">
        <v>8855</v>
      </c>
      <c r="S223" s="23" t="s">
        <v>8443</v>
      </c>
      <c r="T223" s="23" t="s">
        <v>8448</v>
      </c>
      <c r="U223" s="23"/>
      <c r="V223" s="23" t="s">
        <v>8970</v>
      </c>
    </row>
    <row r="224" customFormat="false" ht="15" hidden="false" customHeight="false" outlineLevel="0" collapsed="false">
      <c r="A224" s="20" t="s">
        <v>8971</v>
      </c>
      <c r="B224" s="20" t="s">
        <v>6364</v>
      </c>
      <c r="C224" s="20" t="s">
        <v>6362</v>
      </c>
      <c r="D224" s="20" t="s">
        <v>79</v>
      </c>
      <c r="E224" s="20" t="s">
        <v>8441</v>
      </c>
      <c r="F224" s="20" t="s">
        <v>6363</v>
      </c>
      <c r="G224" s="20" t="s">
        <v>2804</v>
      </c>
      <c r="H224" s="26" t="n">
        <v>384.8</v>
      </c>
      <c r="I224" s="26" t="n">
        <v>0</v>
      </c>
      <c r="J224" s="26" t="n">
        <v>0</v>
      </c>
      <c r="K224" s="26" t="n">
        <v>0</v>
      </c>
      <c r="L224" s="26" t="n">
        <v>0</v>
      </c>
      <c r="M224" s="26" t="n">
        <f aca="false">SUM(H224:L224)</f>
        <v>384.8</v>
      </c>
      <c r="N224" s="25" t="n">
        <v>0</v>
      </c>
      <c r="O224" s="25" t="n">
        <f aca="false">M224-N224</f>
        <v>384.8</v>
      </c>
      <c r="P224" s="25" t="n">
        <f aca="false">K224+L224</f>
        <v>0</v>
      </c>
      <c r="Q224" s="23" t="str">
        <f aca="false">IF(AND(E224="OCCUPIED",P224&gt;0),"DELINQUENT &gt;90","CLEAR")</f>
        <v>CLEAR</v>
      </c>
      <c r="R224" s="23" t="s">
        <v>8455</v>
      </c>
      <c r="S224" s="23" t="s">
        <v>8443</v>
      </c>
      <c r="T224" s="23" t="s">
        <v>8462</v>
      </c>
      <c r="U224" s="23"/>
      <c r="V224" s="23" t="s">
        <v>8972</v>
      </c>
    </row>
    <row r="225" customFormat="false" ht="15" hidden="false" customHeight="false" outlineLevel="0" collapsed="false">
      <c r="A225" s="20" t="s">
        <v>8973</v>
      </c>
      <c r="B225" s="20" t="s">
        <v>6370</v>
      </c>
      <c r="C225" s="20" t="s">
        <v>6368</v>
      </c>
      <c r="D225" s="20" t="s">
        <v>79</v>
      </c>
      <c r="E225" s="20" t="s">
        <v>8441</v>
      </c>
      <c r="F225" s="20" t="s">
        <v>6369</v>
      </c>
      <c r="G225" s="20" t="s">
        <v>2804</v>
      </c>
      <c r="H225" s="26" t="n">
        <v>301.6</v>
      </c>
      <c r="I225" s="26" t="n">
        <v>0</v>
      </c>
      <c r="J225" s="26" t="n">
        <v>0</v>
      </c>
      <c r="K225" s="26" t="n">
        <v>0</v>
      </c>
      <c r="L225" s="26" t="n">
        <v>0</v>
      </c>
      <c r="M225" s="26" t="n">
        <f aca="false">SUM(H225:L225)</f>
        <v>301.6</v>
      </c>
      <c r="N225" s="25" t="n">
        <v>301.6</v>
      </c>
      <c r="O225" s="25" t="n">
        <f aca="false">M225-N225</f>
        <v>0</v>
      </c>
      <c r="P225" s="25" t="n">
        <f aca="false">K225+L225</f>
        <v>0</v>
      </c>
      <c r="Q225" s="23" t="str">
        <f aca="false">IF(AND(E225="OCCUPIED",P225&gt;0),"DELINQUENT &gt;90","CLEAR")</f>
        <v>CLEAR</v>
      </c>
      <c r="R225" s="23" t="s">
        <v>8478</v>
      </c>
      <c r="S225" s="23" t="s">
        <v>8443</v>
      </c>
      <c r="T225" s="23" t="s">
        <v>8523</v>
      </c>
      <c r="U225" s="23"/>
      <c r="V225" s="23" t="s">
        <v>8974</v>
      </c>
    </row>
    <row r="226" customFormat="false" ht="15" hidden="false" customHeight="false" outlineLevel="0" collapsed="false">
      <c r="A226" s="20" t="s">
        <v>8975</v>
      </c>
      <c r="B226" s="20" t="s">
        <v>6376</v>
      </c>
      <c r="C226" s="20" t="s">
        <v>6374</v>
      </c>
      <c r="D226" s="20" t="s">
        <v>79</v>
      </c>
      <c r="E226" s="20" t="s">
        <v>8441</v>
      </c>
      <c r="F226" s="20" t="s">
        <v>6375</v>
      </c>
      <c r="G226" s="20" t="s">
        <v>2804</v>
      </c>
      <c r="H226" s="26" t="n">
        <v>249.6</v>
      </c>
      <c r="I226" s="26" t="n">
        <v>0</v>
      </c>
      <c r="J226" s="26" t="n">
        <v>0</v>
      </c>
      <c r="K226" s="26" t="n">
        <v>0</v>
      </c>
      <c r="L226" s="26" t="n">
        <v>0</v>
      </c>
      <c r="M226" s="26" t="n">
        <f aca="false">SUM(H226:L226)</f>
        <v>249.6</v>
      </c>
      <c r="N226" s="25" t="n">
        <v>249.6</v>
      </c>
      <c r="O226" s="25" t="n">
        <f aca="false">M226-N226</f>
        <v>0</v>
      </c>
      <c r="P226" s="25" t="n">
        <f aca="false">K226+L226</f>
        <v>0</v>
      </c>
      <c r="Q226" s="23" t="str">
        <f aca="false">IF(AND(E226="OCCUPIED",P226&gt;0),"DELINQUENT &gt;90","CLEAR")</f>
        <v>CLEAR</v>
      </c>
      <c r="R226" s="23" t="s">
        <v>8596</v>
      </c>
      <c r="S226" s="23" t="s">
        <v>8443</v>
      </c>
      <c r="T226" s="23" t="s">
        <v>8466</v>
      </c>
      <c r="U226" s="23"/>
      <c r="V226" s="23" t="s">
        <v>8976</v>
      </c>
    </row>
    <row r="227" customFormat="false" ht="15" hidden="false" customHeight="false" outlineLevel="0" collapsed="false">
      <c r="A227" s="20" t="s">
        <v>8977</v>
      </c>
      <c r="B227" s="20" t="s">
        <v>6381</v>
      </c>
      <c r="C227" s="20" t="s">
        <v>884</v>
      </c>
      <c r="D227" s="20" t="s">
        <v>79</v>
      </c>
      <c r="E227" s="20" t="s">
        <v>8441</v>
      </c>
      <c r="F227" s="20" t="s">
        <v>6380</v>
      </c>
      <c r="G227" s="20" t="s">
        <v>2804</v>
      </c>
      <c r="H227" s="26" t="n">
        <v>561.6</v>
      </c>
      <c r="I227" s="26" t="n">
        <v>0</v>
      </c>
      <c r="J227" s="26" t="n">
        <v>0</v>
      </c>
      <c r="K227" s="26" t="n">
        <v>0</v>
      </c>
      <c r="L227" s="26" t="n">
        <v>0</v>
      </c>
      <c r="M227" s="26" t="n">
        <f aca="false">SUM(H227:L227)</f>
        <v>561.6</v>
      </c>
      <c r="N227" s="25" t="n">
        <v>561.6</v>
      </c>
      <c r="O227" s="25" t="n">
        <f aca="false">M227-N227</f>
        <v>0</v>
      </c>
      <c r="P227" s="25" t="n">
        <f aca="false">K227+L227</f>
        <v>0</v>
      </c>
      <c r="Q227" s="23" t="str">
        <f aca="false">IF(AND(E227="OCCUPIED",P227&gt;0),"DELINQUENT &gt;90","CLEAR")</f>
        <v>CLEAR</v>
      </c>
      <c r="R227" s="23" t="s">
        <v>8507</v>
      </c>
      <c r="S227" s="23" t="s">
        <v>8443</v>
      </c>
      <c r="T227" s="23" t="s">
        <v>8462</v>
      </c>
      <c r="U227" s="23"/>
      <c r="V227" s="23" t="s">
        <v>8978</v>
      </c>
    </row>
    <row r="228" customFormat="false" ht="15" hidden="false" customHeight="false" outlineLevel="0" collapsed="false">
      <c r="A228" s="20" t="s">
        <v>8979</v>
      </c>
      <c r="B228" s="20" t="s">
        <v>6386</v>
      </c>
      <c r="C228" s="20" t="s">
        <v>1706</v>
      </c>
      <c r="D228" s="20" t="s">
        <v>79</v>
      </c>
      <c r="E228" s="20" t="s">
        <v>8441</v>
      </c>
      <c r="F228" s="20" t="s">
        <v>6385</v>
      </c>
      <c r="G228" s="20" t="s">
        <v>2804</v>
      </c>
      <c r="H228" s="26" t="n">
        <v>572</v>
      </c>
      <c r="I228" s="26" t="n">
        <v>0</v>
      </c>
      <c r="J228" s="26" t="n">
        <v>0</v>
      </c>
      <c r="K228" s="26" t="n">
        <v>0</v>
      </c>
      <c r="L228" s="26" t="n">
        <v>0</v>
      </c>
      <c r="M228" s="26" t="n">
        <f aca="false">SUM(H228:L228)</f>
        <v>572</v>
      </c>
      <c r="N228" s="25" t="n">
        <v>572</v>
      </c>
      <c r="O228" s="25" t="n">
        <f aca="false">M228-N228</f>
        <v>0</v>
      </c>
      <c r="P228" s="25" t="n">
        <f aca="false">K228+L228</f>
        <v>0</v>
      </c>
      <c r="Q228" s="23" t="str">
        <f aca="false">IF(AND(E228="OCCUPIED",P228&gt;0),"DELINQUENT &gt;90","CLEAR")</f>
        <v>CLEAR</v>
      </c>
      <c r="R228" s="23" t="s">
        <v>8488</v>
      </c>
      <c r="S228" s="23" t="s">
        <v>8443</v>
      </c>
      <c r="T228" s="23" t="s">
        <v>8663</v>
      </c>
      <c r="U228" s="23"/>
      <c r="V228" s="23" t="s">
        <v>8980</v>
      </c>
    </row>
    <row r="229" customFormat="false" ht="15" hidden="false" customHeight="false" outlineLevel="0" collapsed="false">
      <c r="A229" s="20" t="s">
        <v>8981</v>
      </c>
      <c r="B229" s="20" t="s">
        <v>6392</v>
      </c>
      <c r="C229" s="20" t="s">
        <v>1819</v>
      </c>
      <c r="D229" s="20" t="s">
        <v>79</v>
      </c>
      <c r="E229" s="20" t="s">
        <v>8441</v>
      </c>
      <c r="F229" s="20" t="s">
        <v>6391</v>
      </c>
      <c r="G229" s="20" t="s">
        <v>2804</v>
      </c>
      <c r="H229" s="26" t="n">
        <v>332.8</v>
      </c>
      <c r="I229" s="26" t="n">
        <v>0</v>
      </c>
      <c r="J229" s="26" t="n">
        <v>0</v>
      </c>
      <c r="K229" s="26" t="n">
        <v>0</v>
      </c>
      <c r="L229" s="26" t="n">
        <v>0</v>
      </c>
      <c r="M229" s="26" t="n">
        <f aca="false">SUM(H229:L229)</f>
        <v>332.8</v>
      </c>
      <c r="N229" s="25" t="n">
        <v>332.8</v>
      </c>
      <c r="O229" s="25" t="n">
        <f aca="false">M229-N229</f>
        <v>0</v>
      </c>
      <c r="P229" s="25" t="n">
        <f aca="false">K229+L229</f>
        <v>0</v>
      </c>
      <c r="Q229" s="23" t="str">
        <f aca="false">IF(AND(E229="OCCUPIED",P229&gt;0),"DELINQUENT &gt;90","CLEAR")</f>
        <v>CLEAR</v>
      </c>
      <c r="R229" s="23" t="s">
        <v>8532</v>
      </c>
      <c r="S229" s="23" t="s">
        <v>8443</v>
      </c>
      <c r="T229" s="23" t="s">
        <v>8510</v>
      </c>
      <c r="U229" s="23"/>
      <c r="V229" s="23" t="s">
        <v>8982</v>
      </c>
    </row>
    <row r="230" customFormat="false" ht="15" hidden="false" customHeight="false" outlineLevel="0" collapsed="false">
      <c r="A230" s="20" t="s">
        <v>8983</v>
      </c>
      <c r="B230" s="20" t="s">
        <v>6398</v>
      </c>
      <c r="C230" s="20" t="s">
        <v>239</v>
      </c>
      <c r="D230" s="20" t="s">
        <v>79</v>
      </c>
      <c r="E230" s="20" t="s">
        <v>8441</v>
      </c>
      <c r="F230" s="20" t="s">
        <v>6397</v>
      </c>
      <c r="G230" s="20" t="s">
        <v>2804</v>
      </c>
      <c r="H230" s="26" t="n">
        <v>561.6</v>
      </c>
      <c r="I230" s="26" t="n">
        <v>0</v>
      </c>
      <c r="J230" s="26" t="n">
        <v>0</v>
      </c>
      <c r="K230" s="26" t="n">
        <v>0</v>
      </c>
      <c r="L230" s="26" t="n">
        <v>0</v>
      </c>
      <c r="M230" s="26" t="n">
        <f aca="false">SUM(H230:L230)</f>
        <v>561.6</v>
      </c>
      <c r="N230" s="25" t="n">
        <v>561.6</v>
      </c>
      <c r="O230" s="25" t="n">
        <f aca="false">M230-N230</f>
        <v>0</v>
      </c>
      <c r="P230" s="25" t="n">
        <f aca="false">K230+L230</f>
        <v>0</v>
      </c>
      <c r="Q230" s="23" t="str">
        <f aca="false">IF(AND(E230="OCCUPIED",P230&gt;0),"DELINQUENT &gt;90","CLEAR")</f>
        <v>CLEAR</v>
      </c>
      <c r="R230" s="23" t="s">
        <v>8506</v>
      </c>
      <c r="S230" s="23" t="s">
        <v>8443</v>
      </c>
      <c r="T230" s="23" t="s">
        <v>8511</v>
      </c>
      <c r="U230" s="23"/>
      <c r="V230" s="23" t="s">
        <v>8984</v>
      </c>
    </row>
    <row r="231" customFormat="false" ht="15" hidden="false" customHeight="false" outlineLevel="0" collapsed="false">
      <c r="A231" s="20" t="s">
        <v>8985</v>
      </c>
      <c r="B231" s="20" t="s">
        <v>6404</v>
      </c>
      <c r="C231" s="20" t="s">
        <v>1781</v>
      </c>
      <c r="D231" s="20" t="s">
        <v>79</v>
      </c>
      <c r="E231" s="20" t="s">
        <v>8441</v>
      </c>
      <c r="F231" s="20" t="s">
        <v>6403</v>
      </c>
      <c r="G231" s="20" t="s">
        <v>2804</v>
      </c>
      <c r="H231" s="26" t="n">
        <v>509.6</v>
      </c>
      <c r="I231" s="26" t="n">
        <v>0</v>
      </c>
      <c r="J231" s="26" t="n">
        <v>0</v>
      </c>
      <c r="K231" s="26" t="n">
        <v>0</v>
      </c>
      <c r="L231" s="26" t="n">
        <v>0</v>
      </c>
      <c r="M231" s="26" t="n">
        <f aca="false">SUM(H231:L231)</f>
        <v>509.6</v>
      </c>
      <c r="N231" s="25" t="n">
        <v>509.6</v>
      </c>
      <c r="O231" s="25" t="n">
        <f aca="false">M231-N231</f>
        <v>0</v>
      </c>
      <c r="P231" s="25" t="n">
        <f aca="false">K231+L231</f>
        <v>0</v>
      </c>
      <c r="Q231" s="23" t="str">
        <f aca="false">IF(AND(E231="OCCUPIED",P231&gt;0),"DELINQUENT &gt;90","CLEAR")</f>
        <v>CLEAR</v>
      </c>
      <c r="R231" s="23" t="s">
        <v>8442</v>
      </c>
      <c r="S231" s="23" t="s">
        <v>8443</v>
      </c>
      <c r="T231" s="23" t="s">
        <v>8618</v>
      </c>
      <c r="U231" s="23"/>
      <c r="V231" s="23" t="s">
        <v>8986</v>
      </c>
    </row>
    <row r="232" customFormat="false" ht="15" hidden="false" customHeight="false" outlineLevel="0" collapsed="false">
      <c r="A232" s="20" t="s">
        <v>8987</v>
      </c>
      <c r="B232" s="20" t="s">
        <v>6411</v>
      </c>
      <c r="C232" s="20" t="s">
        <v>6409</v>
      </c>
      <c r="D232" s="20" t="s">
        <v>79</v>
      </c>
      <c r="E232" s="20" t="s">
        <v>8441</v>
      </c>
      <c r="F232" s="20" t="s">
        <v>6410</v>
      </c>
      <c r="G232" s="20" t="s">
        <v>2804</v>
      </c>
      <c r="H232" s="26" t="n">
        <v>249.6</v>
      </c>
      <c r="I232" s="26" t="n">
        <v>0</v>
      </c>
      <c r="J232" s="26" t="n">
        <v>0</v>
      </c>
      <c r="K232" s="26" t="n">
        <v>0</v>
      </c>
      <c r="L232" s="26" t="n">
        <v>0</v>
      </c>
      <c r="M232" s="26" t="n">
        <f aca="false">SUM(H232:L232)</f>
        <v>249.6</v>
      </c>
      <c r="N232" s="25" t="n">
        <v>249.6</v>
      </c>
      <c r="O232" s="25" t="n">
        <f aca="false">M232-N232</f>
        <v>0</v>
      </c>
      <c r="P232" s="25" t="n">
        <f aca="false">K232+L232</f>
        <v>0</v>
      </c>
      <c r="Q232" s="23" t="str">
        <f aca="false">IF(AND(E232="OCCUPIED",P232&gt;0),"DELINQUENT &gt;90","CLEAR")</f>
        <v>CLEAR</v>
      </c>
      <c r="R232" s="23" t="s">
        <v>8554</v>
      </c>
      <c r="S232" s="23" t="s">
        <v>8443</v>
      </c>
      <c r="T232" s="23" t="s">
        <v>8478</v>
      </c>
      <c r="U232" s="23"/>
      <c r="V232" s="23" t="s">
        <v>8988</v>
      </c>
    </row>
    <row r="233" customFormat="false" ht="15" hidden="false" customHeight="false" outlineLevel="0" collapsed="false">
      <c r="A233" s="20" t="s">
        <v>8989</v>
      </c>
      <c r="B233" s="20" t="s">
        <v>6417</v>
      </c>
      <c r="C233" s="20" t="s">
        <v>1147</v>
      </c>
      <c r="D233" s="20" t="s">
        <v>79</v>
      </c>
      <c r="E233" s="20" t="s">
        <v>8441</v>
      </c>
      <c r="F233" s="20" t="s">
        <v>6416</v>
      </c>
      <c r="G233" s="20" t="s">
        <v>2804</v>
      </c>
      <c r="H233" s="26" t="n">
        <v>499.2</v>
      </c>
      <c r="I233" s="26" t="n">
        <v>0</v>
      </c>
      <c r="J233" s="26" t="n">
        <v>0</v>
      </c>
      <c r="K233" s="26" t="n">
        <v>0</v>
      </c>
      <c r="L233" s="26" t="n">
        <v>0</v>
      </c>
      <c r="M233" s="26" t="n">
        <f aca="false">SUM(H233:L233)</f>
        <v>499.2</v>
      </c>
      <c r="N233" s="25" t="n">
        <v>499.2</v>
      </c>
      <c r="O233" s="25" t="n">
        <f aca="false">M233-N233</f>
        <v>0</v>
      </c>
      <c r="P233" s="25" t="n">
        <f aca="false">K233+L233</f>
        <v>0</v>
      </c>
      <c r="Q233" s="23" t="str">
        <f aca="false">IF(AND(E233="OCCUPIED",P233&gt;0),"DELINQUENT &gt;90","CLEAR")</f>
        <v>CLEAR</v>
      </c>
      <c r="R233" s="23" t="s">
        <v>8444</v>
      </c>
      <c r="S233" s="23" t="s">
        <v>8443</v>
      </c>
      <c r="T233" s="23" t="s">
        <v>8495</v>
      </c>
      <c r="U233" s="23"/>
      <c r="V233" s="23" t="s">
        <v>8990</v>
      </c>
    </row>
    <row r="234" customFormat="false" ht="15" hidden="false" customHeight="false" outlineLevel="0" collapsed="false">
      <c r="A234" s="20" t="s">
        <v>8991</v>
      </c>
      <c r="B234" s="20" t="s">
        <v>6423</v>
      </c>
      <c r="C234" s="20" t="s">
        <v>1191</v>
      </c>
      <c r="D234" s="20" t="s">
        <v>79</v>
      </c>
      <c r="E234" s="20" t="s">
        <v>8441</v>
      </c>
      <c r="F234" s="20" t="s">
        <v>6422</v>
      </c>
      <c r="G234" s="20" t="s">
        <v>2804</v>
      </c>
      <c r="H234" s="26" t="n">
        <v>332.8</v>
      </c>
      <c r="I234" s="26" t="n">
        <v>332.8</v>
      </c>
      <c r="J234" s="26" t="n">
        <v>0</v>
      </c>
      <c r="K234" s="26" t="n">
        <v>0</v>
      </c>
      <c r="L234" s="26" t="n">
        <v>0</v>
      </c>
      <c r="M234" s="26" t="n">
        <f aca="false">SUM(H234:L234)</f>
        <v>665.6</v>
      </c>
      <c r="N234" s="25" t="n">
        <v>665.6</v>
      </c>
      <c r="O234" s="25" t="n">
        <f aca="false">M234-N234</f>
        <v>0</v>
      </c>
      <c r="P234" s="25" t="n">
        <f aca="false">K234+L234</f>
        <v>0</v>
      </c>
      <c r="Q234" s="23" t="str">
        <f aca="false">IF(AND(E234="OCCUPIED",P234&gt;0),"DELINQUENT &gt;90","CLEAR")</f>
        <v>CLEAR</v>
      </c>
      <c r="R234" s="23" t="s">
        <v>8750</v>
      </c>
      <c r="S234" s="23" t="s">
        <v>8467</v>
      </c>
      <c r="T234" s="23" t="s">
        <v>8496</v>
      </c>
      <c r="U234" s="23"/>
      <c r="V234" s="23" t="s">
        <v>8992</v>
      </c>
    </row>
    <row r="235" customFormat="false" ht="15" hidden="false" customHeight="false" outlineLevel="0" collapsed="false">
      <c r="A235" s="20" t="s">
        <v>8993</v>
      </c>
      <c r="B235" s="20" t="s">
        <v>6429</v>
      </c>
      <c r="C235" s="20" t="s">
        <v>1591</v>
      </c>
      <c r="D235" s="20" t="s">
        <v>79</v>
      </c>
      <c r="E235" s="20" t="s">
        <v>8441</v>
      </c>
      <c r="F235" s="20" t="s">
        <v>6428</v>
      </c>
      <c r="G235" s="20" t="s">
        <v>2804</v>
      </c>
      <c r="H235" s="26" t="n">
        <v>312</v>
      </c>
      <c r="I235" s="26" t="n">
        <v>312</v>
      </c>
      <c r="J235" s="26" t="n">
        <v>312</v>
      </c>
      <c r="K235" s="26" t="n">
        <v>0</v>
      </c>
      <c r="L235" s="26" t="n">
        <v>0</v>
      </c>
      <c r="M235" s="26" t="n">
        <f aca="false">SUM(H235:L235)</f>
        <v>936</v>
      </c>
      <c r="N235" s="25" t="n">
        <v>936</v>
      </c>
      <c r="O235" s="25" t="n">
        <f aca="false">M235-N235</f>
        <v>0</v>
      </c>
      <c r="P235" s="25" t="n">
        <f aca="false">K235+L235</f>
        <v>0</v>
      </c>
      <c r="Q235" s="23" t="str">
        <f aca="false">IF(AND(E235="OCCUPIED",P235&gt;0),"DELINQUENT &gt;90","CLEAR")</f>
        <v>CLEAR</v>
      </c>
      <c r="R235" s="23" t="s">
        <v>8455</v>
      </c>
      <c r="S235" s="23" t="s">
        <v>8516</v>
      </c>
      <c r="T235" s="23" t="s">
        <v>8458</v>
      </c>
      <c r="U235" s="23"/>
      <c r="V235" s="23" t="s">
        <v>8994</v>
      </c>
    </row>
    <row r="236" customFormat="false" ht="15" hidden="false" customHeight="false" outlineLevel="0" collapsed="false">
      <c r="A236" s="20" t="s">
        <v>8995</v>
      </c>
      <c r="B236" s="20" t="s">
        <v>6436</v>
      </c>
      <c r="C236" s="20" t="s">
        <v>6434</v>
      </c>
      <c r="D236" s="20" t="s">
        <v>79</v>
      </c>
      <c r="E236" s="20" t="s">
        <v>8441</v>
      </c>
      <c r="F236" s="20" t="s">
        <v>6435</v>
      </c>
      <c r="G236" s="20" t="s">
        <v>2804</v>
      </c>
      <c r="H236" s="26" t="n">
        <v>364</v>
      </c>
      <c r="I236" s="26" t="n">
        <v>364</v>
      </c>
      <c r="J236" s="26" t="n">
        <v>0</v>
      </c>
      <c r="K236" s="26" t="n">
        <v>0</v>
      </c>
      <c r="L236" s="26" t="n">
        <v>0</v>
      </c>
      <c r="M236" s="26" t="n">
        <f aca="false">SUM(H236:L236)</f>
        <v>728</v>
      </c>
      <c r="N236" s="25" t="n">
        <v>364</v>
      </c>
      <c r="O236" s="25" t="n">
        <f aca="false">M236-N236</f>
        <v>364</v>
      </c>
      <c r="P236" s="25" t="n">
        <f aca="false">K236+L236</f>
        <v>0</v>
      </c>
      <c r="Q236" s="23" t="str">
        <f aca="false">IF(AND(E236="OCCUPIED",P236&gt;0),"DELINQUENT &gt;90","CLEAR")</f>
        <v>CLEAR</v>
      </c>
      <c r="R236" s="23" t="s">
        <v>8549</v>
      </c>
      <c r="S236" s="23" t="s">
        <v>8443</v>
      </c>
      <c r="T236" s="23" t="s">
        <v>8492</v>
      </c>
      <c r="U236" s="23"/>
      <c r="V236" s="23" t="s">
        <v>8996</v>
      </c>
    </row>
    <row r="237" customFormat="false" ht="15" hidden="false" customHeight="false" outlineLevel="0" collapsed="false">
      <c r="A237" s="20" t="s">
        <v>8997</v>
      </c>
      <c r="B237" s="20" t="s">
        <v>1669</v>
      </c>
      <c r="C237" s="20" t="s">
        <v>6441</v>
      </c>
      <c r="D237" s="20" t="s">
        <v>79</v>
      </c>
      <c r="E237" s="20" t="s">
        <v>8441</v>
      </c>
      <c r="F237" s="20" t="s">
        <v>1668</v>
      </c>
      <c r="G237" s="20" t="s">
        <v>2804</v>
      </c>
      <c r="H237" s="26" t="n">
        <v>572</v>
      </c>
      <c r="I237" s="26" t="n">
        <v>0</v>
      </c>
      <c r="J237" s="26" t="n">
        <v>0</v>
      </c>
      <c r="K237" s="26" t="n">
        <v>0</v>
      </c>
      <c r="L237" s="26" t="n">
        <v>0</v>
      </c>
      <c r="M237" s="26" t="n">
        <f aca="false">SUM(H237:L237)</f>
        <v>572</v>
      </c>
      <c r="N237" s="25" t="n">
        <v>572</v>
      </c>
      <c r="O237" s="25" t="n">
        <f aca="false">M237-N237</f>
        <v>0</v>
      </c>
      <c r="P237" s="25" t="n">
        <f aca="false">K237+L237</f>
        <v>0</v>
      </c>
      <c r="Q237" s="23" t="str">
        <f aca="false">IF(AND(E237="OCCUPIED",P237&gt;0),"DELINQUENT &gt;90","CLEAR")</f>
        <v>CLEAR</v>
      </c>
      <c r="R237" s="23" t="s">
        <v>8511</v>
      </c>
      <c r="S237" s="23" t="s">
        <v>8443</v>
      </c>
      <c r="T237" s="23" t="s">
        <v>8722</v>
      </c>
      <c r="U237" s="23"/>
      <c r="V237" s="23" t="s">
        <v>8998</v>
      </c>
    </row>
    <row r="238" customFormat="false" ht="15" hidden="false" customHeight="false" outlineLevel="0" collapsed="false">
      <c r="A238" s="20" t="s">
        <v>8999</v>
      </c>
      <c r="B238" s="20" t="s">
        <v>6448</v>
      </c>
      <c r="C238" s="20" t="s">
        <v>6446</v>
      </c>
      <c r="D238" s="20" t="s">
        <v>79</v>
      </c>
      <c r="E238" s="20" t="s">
        <v>8441</v>
      </c>
      <c r="F238" s="20" t="s">
        <v>6447</v>
      </c>
      <c r="G238" s="20" t="s">
        <v>2804</v>
      </c>
      <c r="H238" s="26" t="n">
        <v>416</v>
      </c>
      <c r="I238" s="26" t="n">
        <v>0</v>
      </c>
      <c r="J238" s="26" t="n">
        <v>0</v>
      </c>
      <c r="K238" s="26" t="n">
        <v>0</v>
      </c>
      <c r="L238" s="26" t="n">
        <v>0</v>
      </c>
      <c r="M238" s="26" t="n">
        <f aca="false">SUM(H238:L238)</f>
        <v>416</v>
      </c>
      <c r="N238" s="25" t="n">
        <v>416</v>
      </c>
      <c r="O238" s="25" t="n">
        <f aca="false">M238-N238</f>
        <v>0</v>
      </c>
      <c r="P238" s="25" t="n">
        <f aca="false">K238+L238</f>
        <v>0</v>
      </c>
      <c r="Q238" s="23" t="str">
        <f aca="false">IF(AND(E238="OCCUPIED",P238&gt;0),"DELINQUENT &gt;90","CLEAR")</f>
        <v>CLEAR</v>
      </c>
      <c r="R238" s="23" t="s">
        <v>8855</v>
      </c>
      <c r="S238" s="23" t="s">
        <v>8443</v>
      </c>
      <c r="T238" s="23" t="s">
        <v>8750</v>
      </c>
      <c r="U238" s="23"/>
      <c r="V238" s="23" t="s">
        <v>9000</v>
      </c>
    </row>
    <row r="239" customFormat="false" ht="15" hidden="false" customHeight="false" outlineLevel="0" collapsed="false">
      <c r="A239" s="20" t="s">
        <v>9001</v>
      </c>
      <c r="B239" s="20" t="s">
        <v>6455</v>
      </c>
      <c r="C239" s="20" t="s">
        <v>6453</v>
      </c>
      <c r="D239" s="20" t="s">
        <v>79</v>
      </c>
      <c r="E239" s="20" t="s">
        <v>8441</v>
      </c>
      <c r="F239" s="20" t="s">
        <v>6454</v>
      </c>
      <c r="G239" s="20" t="s">
        <v>2804</v>
      </c>
      <c r="H239" s="26" t="n">
        <v>249.6</v>
      </c>
      <c r="I239" s="26" t="n">
        <v>0</v>
      </c>
      <c r="J239" s="26" t="n">
        <v>0</v>
      </c>
      <c r="K239" s="26" t="n">
        <v>0</v>
      </c>
      <c r="L239" s="26" t="n">
        <v>0</v>
      </c>
      <c r="M239" s="26" t="n">
        <f aca="false">SUM(H239:L239)</f>
        <v>249.6</v>
      </c>
      <c r="N239" s="25" t="n">
        <v>249.6</v>
      </c>
      <c r="O239" s="25" t="n">
        <f aca="false">M239-N239</f>
        <v>0</v>
      </c>
      <c r="P239" s="25" t="n">
        <f aca="false">K239+L239</f>
        <v>0</v>
      </c>
      <c r="Q239" s="23" t="str">
        <f aca="false">IF(AND(E239="OCCUPIED",P239&gt;0),"DELINQUENT &gt;90","CLEAR")</f>
        <v>CLEAR</v>
      </c>
      <c r="R239" s="23" t="s">
        <v>8623</v>
      </c>
      <c r="S239" s="23" t="s">
        <v>8443</v>
      </c>
      <c r="T239" s="23" t="s">
        <v>8555</v>
      </c>
      <c r="U239" s="23"/>
      <c r="V239" s="23" t="s">
        <v>9002</v>
      </c>
    </row>
    <row r="240" customFormat="false" ht="15" hidden="false" customHeight="false" outlineLevel="0" collapsed="false">
      <c r="A240" s="20" t="s">
        <v>9003</v>
      </c>
      <c r="B240" s="20" t="s">
        <v>6462</v>
      </c>
      <c r="C240" s="20" t="s">
        <v>6460</v>
      </c>
      <c r="D240" s="20" t="s">
        <v>79</v>
      </c>
      <c r="E240" s="20" t="s">
        <v>8441</v>
      </c>
      <c r="F240" s="20" t="s">
        <v>6461</v>
      </c>
      <c r="G240" s="20" t="s">
        <v>2804</v>
      </c>
      <c r="H240" s="26" t="n">
        <v>332.8</v>
      </c>
      <c r="I240" s="26" t="n">
        <v>0</v>
      </c>
      <c r="J240" s="26" t="n">
        <v>0</v>
      </c>
      <c r="K240" s="26" t="n">
        <v>0</v>
      </c>
      <c r="L240" s="26" t="n">
        <v>0</v>
      </c>
      <c r="M240" s="26" t="n">
        <f aca="false">SUM(H240:L240)</f>
        <v>332.8</v>
      </c>
      <c r="N240" s="25" t="n">
        <v>0</v>
      </c>
      <c r="O240" s="25" t="n">
        <f aca="false">M240-N240</f>
        <v>332.8</v>
      </c>
      <c r="P240" s="25" t="n">
        <f aca="false">K240+L240</f>
        <v>0</v>
      </c>
      <c r="Q240" s="23" t="str">
        <f aca="false">IF(AND(E240="OCCUPIED",P240&gt;0),"DELINQUENT &gt;90","CLEAR")</f>
        <v>CLEAR</v>
      </c>
      <c r="R240" s="23" t="s">
        <v>8499</v>
      </c>
      <c r="S240" s="23" t="s">
        <v>8443</v>
      </c>
      <c r="T240" s="23" t="s">
        <v>8488</v>
      </c>
      <c r="U240" s="23"/>
      <c r="V240" s="23" t="s">
        <v>9004</v>
      </c>
    </row>
    <row r="241" customFormat="false" ht="15" hidden="false" customHeight="false" outlineLevel="0" collapsed="false">
      <c r="A241" s="20" t="s">
        <v>9005</v>
      </c>
      <c r="B241" s="20" t="s">
        <v>6469</v>
      </c>
      <c r="C241" s="20" t="s">
        <v>6467</v>
      </c>
      <c r="D241" s="20" t="s">
        <v>79</v>
      </c>
      <c r="E241" s="20" t="s">
        <v>8441</v>
      </c>
      <c r="F241" s="20" t="s">
        <v>6468</v>
      </c>
      <c r="G241" s="20" t="s">
        <v>2804</v>
      </c>
      <c r="H241" s="26" t="n">
        <v>613.6</v>
      </c>
      <c r="I241" s="26" t="n">
        <v>0</v>
      </c>
      <c r="J241" s="26" t="n">
        <v>0</v>
      </c>
      <c r="K241" s="26" t="n">
        <v>0</v>
      </c>
      <c r="L241" s="26" t="n">
        <v>0</v>
      </c>
      <c r="M241" s="26" t="n">
        <f aca="false">SUM(H241:L241)</f>
        <v>613.6</v>
      </c>
      <c r="N241" s="25" t="n">
        <v>613.6</v>
      </c>
      <c r="O241" s="25" t="n">
        <f aca="false">M241-N241</f>
        <v>0</v>
      </c>
      <c r="P241" s="25" t="n">
        <f aca="false">K241+L241</f>
        <v>0</v>
      </c>
      <c r="Q241" s="23" t="str">
        <f aca="false">IF(AND(E241="OCCUPIED",P241&gt;0),"DELINQUENT &gt;90","CLEAR")</f>
        <v>CLEAR</v>
      </c>
      <c r="R241" s="23" t="s">
        <v>8690</v>
      </c>
      <c r="S241" s="23" t="s">
        <v>8443</v>
      </c>
      <c r="T241" s="23" t="s">
        <v>8452</v>
      </c>
      <c r="U241" s="23"/>
      <c r="V241" s="23" t="s">
        <v>9006</v>
      </c>
    </row>
    <row r="242" customFormat="false" ht="15" hidden="false" customHeight="false" outlineLevel="0" collapsed="false">
      <c r="A242" s="20" t="s">
        <v>9007</v>
      </c>
      <c r="B242" s="20" t="s">
        <v>6475</v>
      </c>
      <c r="C242" s="20" t="s">
        <v>131</v>
      </c>
      <c r="D242" s="20" t="s">
        <v>79</v>
      </c>
      <c r="E242" s="20" t="s">
        <v>8441</v>
      </c>
      <c r="F242" s="20" t="s">
        <v>6474</v>
      </c>
      <c r="G242" s="20" t="s">
        <v>2804</v>
      </c>
      <c r="H242" s="26" t="n">
        <v>384.8</v>
      </c>
      <c r="I242" s="26" t="n">
        <v>0</v>
      </c>
      <c r="J242" s="26" t="n">
        <v>0</v>
      </c>
      <c r="K242" s="26" t="n">
        <v>0</v>
      </c>
      <c r="L242" s="26" t="n">
        <v>0</v>
      </c>
      <c r="M242" s="26" t="n">
        <f aca="false">SUM(H242:L242)</f>
        <v>384.8</v>
      </c>
      <c r="N242" s="25" t="n">
        <v>384.8</v>
      </c>
      <c r="O242" s="25" t="n">
        <f aca="false">M242-N242</f>
        <v>0</v>
      </c>
      <c r="P242" s="25" t="n">
        <f aca="false">K242+L242</f>
        <v>0</v>
      </c>
      <c r="Q242" s="23" t="str">
        <f aca="false">IF(AND(E242="OCCUPIED",P242&gt;0),"DELINQUENT &gt;90","CLEAR")</f>
        <v>CLEAR</v>
      </c>
      <c r="R242" s="23" t="s">
        <v>8611</v>
      </c>
      <c r="S242" s="23" t="s">
        <v>8443</v>
      </c>
      <c r="T242" s="23" t="s">
        <v>8448</v>
      </c>
      <c r="U242" s="23"/>
      <c r="V242" s="23" t="s">
        <v>9008</v>
      </c>
    </row>
    <row r="243" customFormat="false" ht="15" hidden="false" customHeight="false" outlineLevel="0" collapsed="false">
      <c r="A243" s="20" t="s">
        <v>9009</v>
      </c>
      <c r="B243" s="20" t="s">
        <v>6482</v>
      </c>
      <c r="C243" s="20" t="s">
        <v>6480</v>
      </c>
      <c r="D243" s="20" t="s">
        <v>79</v>
      </c>
      <c r="E243" s="20" t="s">
        <v>8441</v>
      </c>
      <c r="F243" s="20" t="s">
        <v>6481</v>
      </c>
      <c r="G243" s="20" t="s">
        <v>2804</v>
      </c>
      <c r="H243" s="26" t="n">
        <v>644.8</v>
      </c>
      <c r="I243" s="26" t="n">
        <v>0</v>
      </c>
      <c r="J243" s="26" t="n">
        <v>0</v>
      </c>
      <c r="K243" s="26" t="n">
        <v>0</v>
      </c>
      <c r="L243" s="26" t="n">
        <v>0</v>
      </c>
      <c r="M243" s="26" t="n">
        <f aca="false">SUM(H243:L243)</f>
        <v>644.8</v>
      </c>
      <c r="N243" s="25" t="n">
        <v>644.8</v>
      </c>
      <c r="O243" s="25" t="n">
        <f aca="false">M243-N243</f>
        <v>0</v>
      </c>
      <c r="P243" s="25" t="n">
        <f aca="false">K243+L243</f>
        <v>0</v>
      </c>
      <c r="Q243" s="23" t="str">
        <f aca="false">IF(AND(E243="OCCUPIED",P243&gt;0),"DELINQUENT &gt;90","CLEAR")</f>
        <v>CLEAR</v>
      </c>
      <c r="R243" s="23" t="s">
        <v>8489</v>
      </c>
      <c r="S243" s="23" t="s">
        <v>8443</v>
      </c>
      <c r="T243" s="23" t="s">
        <v>8678</v>
      </c>
      <c r="U243" s="23"/>
      <c r="V243" s="23" t="s">
        <v>9010</v>
      </c>
    </row>
    <row r="244" customFormat="false" ht="15" hidden="false" customHeight="false" outlineLevel="0" collapsed="false">
      <c r="A244" s="20" t="s">
        <v>9011</v>
      </c>
      <c r="B244" s="20" t="s">
        <v>6489</v>
      </c>
      <c r="C244" s="20" t="s">
        <v>6487</v>
      </c>
      <c r="D244" s="20" t="s">
        <v>79</v>
      </c>
      <c r="E244" s="20" t="s">
        <v>8441</v>
      </c>
      <c r="F244" s="20" t="s">
        <v>6488</v>
      </c>
      <c r="G244" s="20" t="s">
        <v>2804</v>
      </c>
      <c r="H244" s="26" t="n">
        <v>624</v>
      </c>
      <c r="I244" s="26" t="n">
        <v>624</v>
      </c>
      <c r="J244" s="26" t="n">
        <v>0</v>
      </c>
      <c r="K244" s="26" t="n">
        <v>0</v>
      </c>
      <c r="L244" s="26" t="n">
        <v>0</v>
      </c>
      <c r="M244" s="26" t="n">
        <f aca="false">SUM(H244:L244)</f>
        <v>1248</v>
      </c>
      <c r="N244" s="25" t="n">
        <v>1248</v>
      </c>
      <c r="O244" s="25" t="n">
        <f aca="false">M244-N244</f>
        <v>0</v>
      </c>
      <c r="P244" s="25" t="n">
        <f aca="false">K244+L244</f>
        <v>0</v>
      </c>
      <c r="Q244" s="23" t="str">
        <f aca="false">IF(AND(E244="OCCUPIED",P244&gt;0),"DELINQUENT &gt;90","CLEAR")</f>
        <v>CLEAR</v>
      </c>
      <c r="R244" s="23" t="s">
        <v>8804</v>
      </c>
      <c r="S244" s="23" t="s">
        <v>8467</v>
      </c>
      <c r="T244" s="23" t="s">
        <v>8471</v>
      </c>
      <c r="U244" s="23"/>
      <c r="V244" s="23" t="s">
        <v>9012</v>
      </c>
    </row>
    <row r="245" customFormat="false" ht="15" hidden="false" customHeight="false" outlineLevel="0" collapsed="false">
      <c r="A245" s="20" t="s">
        <v>9013</v>
      </c>
      <c r="B245" s="20" t="s">
        <v>6496</v>
      </c>
      <c r="C245" s="20" t="s">
        <v>6494</v>
      </c>
      <c r="D245" s="20" t="s">
        <v>79</v>
      </c>
      <c r="E245" s="20" t="s">
        <v>8441</v>
      </c>
      <c r="F245" s="20" t="s">
        <v>6495</v>
      </c>
      <c r="G245" s="20" t="s">
        <v>2804</v>
      </c>
      <c r="H245" s="26" t="n">
        <v>436.8</v>
      </c>
      <c r="I245" s="26" t="n">
        <v>0</v>
      </c>
      <c r="J245" s="26" t="n">
        <v>0</v>
      </c>
      <c r="K245" s="26" t="n">
        <v>0</v>
      </c>
      <c r="L245" s="26" t="n">
        <v>0</v>
      </c>
      <c r="M245" s="26" t="n">
        <f aca="false">SUM(H245:L245)</f>
        <v>436.8</v>
      </c>
      <c r="N245" s="25" t="n">
        <v>436.8</v>
      </c>
      <c r="O245" s="25" t="n">
        <f aca="false">M245-N245</f>
        <v>0</v>
      </c>
      <c r="P245" s="25" t="n">
        <f aca="false">K245+L245</f>
        <v>0</v>
      </c>
      <c r="Q245" s="23" t="str">
        <f aca="false">IF(AND(E245="OCCUPIED",P245&gt;0),"DELINQUENT &gt;90","CLEAR")</f>
        <v>CLEAR</v>
      </c>
      <c r="R245" s="23" t="s">
        <v>8462</v>
      </c>
      <c r="S245" s="23" t="s">
        <v>8443</v>
      </c>
      <c r="T245" s="23" t="s">
        <v>8559</v>
      </c>
      <c r="U245" s="23"/>
      <c r="V245" s="23" t="s">
        <v>9014</v>
      </c>
    </row>
    <row r="246" customFormat="false" ht="15" hidden="false" customHeight="false" outlineLevel="0" collapsed="false">
      <c r="A246" s="20" t="s">
        <v>9015</v>
      </c>
      <c r="B246" s="20" t="s">
        <v>6503</v>
      </c>
      <c r="C246" s="20" t="s">
        <v>6501</v>
      </c>
      <c r="D246" s="20" t="s">
        <v>79</v>
      </c>
      <c r="E246" s="20" t="s">
        <v>8441</v>
      </c>
      <c r="F246" s="20" t="s">
        <v>6502</v>
      </c>
      <c r="G246" s="20" t="s">
        <v>2804</v>
      </c>
      <c r="H246" s="26" t="n">
        <v>332.8</v>
      </c>
      <c r="I246" s="26" t="n">
        <v>0</v>
      </c>
      <c r="J246" s="26" t="n">
        <v>0</v>
      </c>
      <c r="K246" s="26" t="n">
        <v>0</v>
      </c>
      <c r="L246" s="26" t="n">
        <v>0</v>
      </c>
      <c r="M246" s="26" t="n">
        <f aca="false">SUM(H246:L246)</f>
        <v>332.8</v>
      </c>
      <c r="N246" s="25" t="n">
        <v>332.8</v>
      </c>
      <c r="O246" s="25" t="n">
        <f aca="false">M246-N246</f>
        <v>0</v>
      </c>
      <c r="P246" s="25" t="n">
        <f aca="false">K246+L246</f>
        <v>0</v>
      </c>
      <c r="Q246" s="23" t="str">
        <f aca="false">IF(AND(E246="OCCUPIED",P246&gt;0),"DELINQUENT &gt;90","CLEAR")</f>
        <v>CLEAR</v>
      </c>
      <c r="R246" s="23" t="s">
        <v>8579</v>
      </c>
      <c r="S246" s="23" t="s">
        <v>8443</v>
      </c>
      <c r="T246" s="23" t="s">
        <v>8611</v>
      </c>
      <c r="U246" s="23"/>
      <c r="V246" s="23" t="s">
        <v>9016</v>
      </c>
    </row>
    <row r="247" customFormat="false" ht="15" hidden="false" customHeight="false" outlineLevel="0" collapsed="false">
      <c r="A247" s="20" t="s">
        <v>9017</v>
      </c>
      <c r="B247" s="20" t="s">
        <v>7172</v>
      </c>
      <c r="C247" s="20" t="s">
        <v>7170</v>
      </c>
      <c r="D247" s="20" t="s">
        <v>99</v>
      </c>
      <c r="E247" s="20" t="s">
        <v>8441</v>
      </c>
      <c r="F247" s="20" t="s">
        <v>7171</v>
      </c>
      <c r="G247" s="20" t="s">
        <v>2804</v>
      </c>
      <c r="H247" s="26" t="n">
        <v>634.4</v>
      </c>
      <c r="I247" s="26" t="n">
        <v>0</v>
      </c>
      <c r="J247" s="26" t="n">
        <v>0</v>
      </c>
      <c r="K247" s="26" t="n">
        <v>0</v>
      </c>
      <c r="L247" s="26" t="n">
        <v>0</v>
      </c>
      <c r="M247" s="26" t="n">
        <f aca="false">SUM(H247:L247)</f>
        <v>634.4</v>
      </c>
      <c r="N247" s="25" t="n">
        <v>634.4</v>
      </c>
      <c r="O247" s="25" t="n">
        <f aca="false">M247-N247</f>
        <v>0</v>
      </c>
      <c r="P247" s="25" t="n">
        <f aca="false">K247+L247</f>
        <v>0</v>
      </c>
      <c r="Q247" s="23" t="str">
        <f aca="false">IF(AND(E247="OCCUPIED",P247&gt;0),"DELINQUENT &gt;90","CLEAR")</f>
        <v>CLEAR</v>
      </c>
      <c r="R247" s="23" t="s">
        <v>8750</v>
      </c>
      <c r="S247" s="23" t="s">
        <v>8443</v>
      </c>
      <c r="T247" s="23" t="s">
        <v>8539</v>
      </c>
      <c r="U247" s="23"/>
      <c r="V247" s="23" t="s">
        <v>9018</v>
      </c>
    </row>
    <row r="248" customFormat="false" ht="15" hidden="false" customHeight="false" outlineLevel="0" collapsed="false">
      <c r="A248" s="20" t="s">
        <v>9019</v>
      </c>
      <c r="B248" s="20" t="s">
        <v>7178</v>
      </c>
      <c r="C248" s="20" t="s">
        <v>7176</v>
      </c>
      <c r="D248" s="20" t="s">
        <v>99</v>
      </c>
      <c r="E248" s="20" t="s">
        <v>8441</v>
      </c>
      <c r="F248" s="20" t="s">
        <v>7177</v>
      </c>
      <c r="G248" s="20" t="s">
        <v>2804</v>
      </c>
      <c r="H248" s="26" t="n">
        <v>353.6</v>
      </c>
      <c r="I248" s="26" t="n">
        <v>0</v>
      </c>
      <c r="J248" s="26" t="n">
        <v>0</v>
      </c>
      <c r="K248" s="26" t="n">
        <v>0</v>
      </c>
      <c r="L248" s="26" t="n">
        <v>0</v>
      </c>
      <c r="M248" s="26" t="n">
        <f aca="false">SUM(H248:L248)</f>
        <v>353.6</v>
      </c>
      <c r="N248" s="25" t="n">
        <v>353.6</v>
      </c>
      <c r="O248" s="25" t="n">
        <f aca="false">M248-N248</f>
        <v>0</v>
      </c>
      <c r="P248" s="25" t="n">
        <f aca="false">K248+L248</f>
        <v>0</v>
      </c>
      <c r="Q248" s="23" t="str">
        <f aca="false">IF(AND(E248="OCCUPIED",P248&gt;0),"DELINQUENT &gt;90","CLEAR")</f>
        <v>CLEAR</v>
      </c>
      <c r="R248" s="23" t="s">
        <v>8596</v>
      </c>
      <c r="S248" s="23" t="s">
        <v>8443</v>
      </c>
      <c r="T248" s="23" t="s">
        <v>8584</v>
      </c>
      <c r="U248" s="23"/>
      <c r="V248" s="23" t="s">
        <v>9020</v>
      </c>
    </row>
    <row r="249" customFormat="false" ht="15" hidden="false" customHeight="false" outlineLevel="0" collapsed="false">
      <c r="A249" s="20" t="s">
        <v>9021</v>
      </c>
      <c r="B249" s="20" t="s">
        <v>7183</v>
      </c>
      <c r="C249" s="20" t="s">
        <v>7182</v>
      </c>
      <c r="D249" s="20" t="s">
        <v>99</v>
      </c>
      <c r="E249" s="20" t="s">
        <v>8441</v>
      </c>
      <c r="F249" s="20" t="s">
        <v>1738</v>
      </c>
      <c r="G249" s="20" t="s">
        <v>2804</v>
      </c>
      <c r="H249" s="26" t="n">
        <v>405.6</v>
      </c>
      <c r="I249" s="26" t="n">
        <v>0</v>
      </c>
      <c r="J249" s="26" t="n">
        <v>0</v>
      </c>
      <c r="K249" s="26" t="n">
        <v>0</v>
      </c>
      <c r="L249" s="26" t="n">
        <v>0</v>
      </c>
      <c r="M249" s="26" t="n">
        <f aca="false">SUM(H249:L249)</f>
        <v>405.6</v>
      </c>
      <c r="N249" s="25" t="n">
        <v>405.6</v>
      </c>
      <c r="O249" s="25" t="n">
        <f aca="false">M249-N249</f>
        <v>0</v>
      </c>
      <c r="P249" s="25" t="n">
        <f aca="false">K249+L249</f>
        <v>0</v>
      </c>
      <c r="Q249" s="23" t="str">
        <f aca="false">IF(AND(E249="OCCUPIED",P249&gt;0),"DELINQUENT &gt;90","CLEAR")</f>
        <v>CLEAR</v>
      </c>
      <c r="R249" s="23" t="s">
        <v>8452</v>
      </c>
      <c r="S249" s="23" t="s">
        <v>8443</v>
      </c>
      <c r="T249" s="23" t="s">
        <v>8610</v>
      </c>
      <c r="U249" s="23"/>
      <c r="V249" s="23" t="s">
        <v>9022</v>
      </c>
    </row>
    <row r="250" customFormat="false" ht="15" hidden="false" customHeight="false" outlineLevel="0" collapsed="false">
      <c r="A250" s="20" t="s">
        <v>9023</v>
      </c>
      <c r="B250" s="20" t="s">
        <v>7189</v>
      </c>
      <c r="C250" s="20" t="s">
        <v>7187</v>
      </c>
      <c r="D250" s="20" t="s">
        <v>99</v>
      </c>
      <c r="E250" s="20" t="s">
        <v>8441</v>
      </c>
      <c r="F250" s="20" t="s">
        <v>7188</v>
      </c>
      <c r="G250" s="20" t="s">
        <v>2804</v>
      </c>
      <c r="H250" s="26" t="n">
        <v>561.6</v>
      </c>
      <c r="I250" s="26" t="n">
        <v>0</v>
      </c>
      <c r="J250" s="26" t="n">
        <v>0</v>
      </c>
      <c r="K250" s="26" t="n">
        <v>0</v>
      </c>
      <c r="L250" s="26" t="n">
        <v>0</v>
      </c>
      <c r="M250" s="26" t="n">
        <f aca="false">SUM(H250:L250)</f>
        <v>561.6</v>
      </c>
      <c r="N250" s="25" t="n">
        <v>561.6</v>
      </c>
      <c r="O250" s="25" t="n">
        <f aca="false">M250-N250</f>
        <v>0</v>
      </c>
      <c r="P250" s="25" t="n">
        <f aca="false">K250+L250</f>
        <v>0</v>
      </c>
      <c r="Q250" s="23" t="str">
        <f aca="false">IF(AND(E250="OCCUPIED",P250&gt;0),"DELINQUENT &gt;90","CLEAR")</f>
        <v>CLEAR</v>
      </c>
      <c r="R250" s="23" t="s">
        <v>8517</v>
      </c>
      <c r="S250" s="23" t="s">
        <v>8443</v>
      </c>
      <c r="T250" s="23" t="s">
        <v>8542</v>
      </c>
      <c r="U250" s="23"/>
      <c r="V250" s="23" t="s">
        <v>9024</v>
      </c>
    </row>
    <row r="251" customFormat="false" ht="15" hidden="false" customHeight="false" outlineLevel="0" collapsed="false">
      <c r="A251" s="20" t="s">
        <v>9025</v>
      </c>
      <c r="B251" s="20" t="s">
        <v>7195</v>
      </c>
      <c r="C251" s="20" t="s">
        <v>7193</v>
      </c>
      <c r="D251" s="20" t="s">
        <v>99</v>
      </c>
      <c r="E251" s="20" t="s">
        <v>8441</v>
      </c>
      <c r="F251" s="20" t="s">
        <v>7194</v>
      </c>
      <c r="G251" s="20" t="s">
        <v>2804</v>
      </c>
      <c r="H251" s="26" t="n">
        <v>509.6</v>
      </c>
      <c r="I251" s="26" t="n">
        <v>0</v>
      </c>
      <c r="J251" s="26" t="n">
        <v>0</v>
      </c>
      <c r="K251" s="26" t="n">
        <v>0</v>
      </c>
      <c r="L251" s="26" t="n">
        <v>0</v>
      </c>
      <c r="M251" s="26" t="n">
        <f aca="false">SUM(H251:L251)</f>
        <v>509.6</v>
      </c>
      <c r="N251" s="25" t="n">
        <v>509.6</v>
      </c>
      <c r="O251" s="25" t="n">
        <f aca="false">M251-N251</f>
        <v>0</v>
      </c>
      <c r="P251" s="25" t="n">
        <f aca="false">K251+L251</f>
        <v>0</v>
      </c>
      <c r="Q251" s="23" t="str">
        <f aca="false">IF(AND(E251="OCCUPIED",P251&gt;0),"DELINQUENT &gt;90","CLEAR")</f>
        <v>CLEAR</v>
      </c>
      <c r="R251" s="23" t="s">
        <v>8532</v>
      </c>
      <c r="S251" s="23" t="s">
        <v>8443</v>
      </c>
      <c r="T251" s="23" t="s">
        <v>8542</v>
      </c>
      <c r="U251" s="23"/>
      <c r="V251" s="23" t="s">
        <v>9026</v>
      </c>
    </row>
    <row r="252" customFormat="false" ht="15" hidden="false" customHeight="false" outlineLevel="0" collapsed="false">
      <c r="A252" s="20" t="s">
        <v>9027</v>
      </c>
      <c r="B252" s="20" t="s">
        <v>1184</v>
      </c>
      <c r="C252" s="20" t="s">
        <v>7199</v>
      </c>
      <c r="D252" s="20" t="s">
        <v>99</v>
      </c>
      <c r="E252" s="20" t="s">
        <v>8441</v>
      </c>
      <c r="F252" s="20" t="s">
        <v>1183</v>
      </c>
      <c r="G252" s="20" t="s">
        <v>2804</v>
      </c>
      <c r="H252" s="26" t="n">
        <v>374.4</v>
      </c>
      <c r="I252" s="26" t="n">
        <v>0</v>
      </c>
      <c r="J252" s="26" t="n">
        <v>0</v>
      </c>
      <c r="K252" s="26" t="n">
        <v>0</v>
      </c>
      <c r="L252" s="26" t="n">
        <v>0</v>
      </c>
      <c r="M252" s="26" t="n">
        <f aca="false">SUM(H252:L252)</f>
        <v>374.4</v>
      </c>
      <c r="N252" s="25" t="n">
        <v>374.4</v>
      </c>
      <c r="O252" s="25" t="n">
        <f aca="false">M252-N252</f>
        <v>0</v>
      </c>
      <c r="P252" s="25" t="n">
        <f aca="false">K252+L252</f>
        <v>0</v>
      </c>
      <c r="Q252" s="23" t="str">
        <f aca="false">IF(AND(E252="OCCUPIED",P252&gt;0),"DELINQUENT &gt;90","CLEAR")</f>
        <v>CLEAR</v>
      </c>
      <c r="R252" s="23" t="s">
        <v>8462</v>
      </c>
      <c r="S252" s="23" t="s">
        <v>8443</v>
      </c>
      <c r="T252" s="23" t="s">
        <v>8799</v>
      </c>
      <c r="U252" s="23"/>
      <c r="V252" s="23" t="s">
        <v>9028</v>
      </c>
    </row>
    <row r="253" customFormat="false" ht="15" hidden="false" customHeight="false" outlineLevel="0" collapsed="false">
      <c r="A253" s="20" t="s">
        <v>9029</v>
      </c>
      <c r="B253" s="20" t="s">
        <v>7205</v>
      </c>
      <c r="C253" s="20" t="s">
        <v>7203</v>
      </c>
      <c r="D253" s="20" t="s">
        <v>99</v>
      </c>
      <c r="E253" s="20" t="s">
        <v>8441</v>
      </c>
      <c r="F253" s="20" t="s">
        <v>7204</v>
      </c>
      <c r="G253" s="20" t="s">
        <v>2804</v>
      </c>
      <c r="H253" s="26" t="n">
        <v>332.8</v>
      </c>
      <c r="I253" s="26" t="n">
        <v>332.8</v>
      </c>
      <c r="J253" s="26" t="n">
        <v>0</v>
      </c>
      <c r="K253" s="26" t="n">
        <v>0</v>
      </c>
      <c r="L253" s="26" t="n">
        <v>0</v>
      </c>
      <c r="M253" s="26" t="n">
        <f aca="false">SUM(H253:L253)</f>
        <v>665.6</v>
      </c>
      <c r="N253" s="25" t="n">
        <v>665.6</v>
      </c>
      <c r="O253" s="25" t="n">
        <f aca="false">M253-N253</f>
        <v>0</v>
      </c>
      <c r="P253" s="25" t="n">
        <f aca="false">K253+L253</f>
        <v>0</v>
      </c>
      <c r="Q253" s="23" t="str">
        <f aca="false">IF(AND(E253="OCCUPIED",P253&gt;0),"DELINQUENT &gt;90","CLEAR")</f>
        <v>CLEAR</v>
      </c>
      <c r="R253" s="23" t="s">
        <v>8489</v>
      </c>
      <c r="S253" s="23" t="s">
        <v>8467</v>
      </c>
      <c r="T253" s="23" t="s">
        <v>8471</v>
      </c>
      <c r="U253" s="23"/>
      <c r="V253" s="23" t="s">
        <v>9030</v>
      </c>
    </row>
    <row r="254" customFormat="false" ht="15" hidden="false" customHeight="false" outlineLevel="0" collapsed="false">
      <c r="A254" s="20" t="s">
        <v>9031</v>
      </c>
      <c r="B254" s="20" t="s">
        <v>7211</v>
      </c>
      <c r="C254" s="20" t="s">
        <v>7209</v>
      </c>
      <c r="D254" s="20" t="s">
        <v>99</v>
      </c>
      <c r="E254" s="20" t="s">
        <v>8441</v>
      </c>
      <c r="F254" s="20" t="s">
        <v>7210</v>
      </c>
      <c r="G254" s="20" t="s">
        <v>2804</v>
      </c>
      <c r="H254" s="26" t="n">
        <v>322.4</v>
      </c>
      <c r="I254" s="26" t="n">
        <v>0</v>
      </c>
      <c r="J254" s="26" t="n">
        <v>0</v>
      </c>
      <c r="K254" s="26" t="n">
        <v>0</v>
      </c>
      <c r="L254" s="26" t="n">
        <v>0</v>
      </c>
      <c r="M254" s="26" t="n">
        <f aca="false">SUM(H254:L254)</f>
        <v>322.4</v>
      </c>
      <c r="N254" s="25" t="n">
        <v>322.4</v>
      </c>
      <c r="O254" s="25" t="n">
        <f aca="false">M254-N254</f>
        <v>0</v>
      </c>
      <c r="P254" s="25" t="n">
        <f aca="false">K254+L254</f>
        <v>0</v>
      </c>
      <c r="Q254" s="23" t="str">
        <f aca="false">IF(AND(E254="OCCUPIED",P254&gt;0),"DELINQUENT &gt;90","CLEAR")</f>
        <v>CLEAR</v>
      </c>
      <c r="R254" s="23" t="s">
        <v>8468</v>
      </c>
      <c r="S254" s="23" t="s">
        <v>8443</v>
      </c>
      <c r="T254" s="23" t="s">
        <v>8554</v>
      </c>
      <c r="U254" s="23"/>
      <c r="V254" s="23" t="s">
        <v>9032</v>
      </c>
    </row>
    <row r="255" customFormat="false" ht="15" hidden="false" customHeight="false" outlineLevel="0" collapsed="false">
      <c r="A255" s="20" t="s">
        <v>9033</v>
      </c>
      <c r="B255" s="20" t="s">
        <v>4962</v>
      </c>
      <c r="C255" s="20" t="s">
        <v>7215</v>
      </c>
      <c r="D255" s="20" t="s">
        <v>99</v>
      </c>
      <c r="E255" s="20" t="s">
        <v>8441</v>
      </c>
      <c r="F255" s="20" t="s">
        <v>7216</v>
      </c>
      <c r="G255" s="20" t="s">
        <v>2804</v>
      </c>
      <c r="H255" s="26" t="n">
        <v>540.8</v>
      </c>
      <c r="I255" s="26" t="n">
        <v>0</v>
      </c>
      <c r="J255" s="26" t="n">
        <v>0</v>
      </c>
      <c r="K255" s="26" t="n">
        <v>0</v>
      </c>
      <c r="L255" s="26" t="n">
        <v>0</v>
      </c>
      <c r="M255" s="26" t="n">
        <f aca="false">SUM(H255:L255)</f>
        <v>540.8</v>
      </c>
      <c r="N255" s="25" t="n">
        <v>540.8</v>
      </c>
      <c r="O255" s="25" t="n">
        <f aca="false">M255-N255</f>
        <v>0</v>
      </c>
      <c r="P255" s="25" t="n">
        <f aca="false">K255+L255</f>
        <v>0</v>
      </c>
      <c r="Q255" s="23" t="str">
        <f aca="false">IF(AND(E255="OCCUPIED",P255&gt;0),"DELINQUENT &gt;90","CLEAR")</f>
        <v>CLEAR</v>
      </c>
      <c r="R255" s="23" t="s">
        <v>8502</v>
      </c>
      <c r="S255" s="23" t="s">
        <v>8443</v>
      </c>
      <c r="T255" s="23" t="s">
        <v>8452</v>
      </c>
      <c r="U255" s="23"/>
      <c r="V255" s="23" t="s">
        <v>9034</v>
      </c>
    </row>
    <row r="256" customFormat="false" ht="15" hidden="false" customHeight="false" outlineLevel="0" collapsed="false">
      <c r="A256" s="20" t="s">
        <v>9035</v>
      </c>
      <c r="B256" s="20" t="s">
        <v>7222</v>
      </c>
      <c r="C256" s="20" t="s">
        <v>7220</v>
      </c>
      <c r="D256" s="20" t="s">
        <v>99</v>
      </c>
      <c r="E256" s="20" t="s">
        <v>8441</v>
      </c>
      <c r="F256" s="20" t="s">
        <v>7221</v>
      </c>
      <c r="G256" s="20" t="s">
        <v>2804</v>
      </c>
      <c r="H256" s="26" t="n">
        <v>405.6</v>
      </c>
      <c r="I256" s="26" t="n">
        <v>0</v>
      </c>
      <c r="J256" s="26" t="n">
        <v>0</v>
      </c>
      <c r="K256" s="26" t="n">
        <v>0</v>
      </c>
      <c r="L256" s="26" t="n">
        <v>0</v>
      </c>
      <c r="M256" s="26" t="n">
        <f aca="false">SUM(H256:L256)</f>
        <v>405.6</v>
      </c>
      <c r="N256" s="25" t="n">
        <v>0</v>
      </c>
      <c r="O256" s="25" t="n">
        <f aca="false">M256-N256</f>
        <v>405.6</v>
      </c>
      <c r="P256" s="25" t="n">
        <f aca="false">K256+L256</f>
        <v>0</v>
      </c>
      <c r="Q256" s="23" t="str">
        <f aca="false">IF(AND(E256="OCCUPIED",P256&gt;0),"DELINQUENT &gt;90","CLEAR")</f>
        <v>CLEAR</v>
      </c>
      <c r="R256" s="23" t="s">
        <v>8722</v>
      </c>
      <c r="S256" s="23" t="s">
        <v>8443</v>
      </c>
      <c r="T256" s="23" t="s">
        <v>8799</v>
      </c>
      <c r="U256" s="23"/>
      <c r="V256" s="23" t="s">
        <v>9036</v>
      </c>
    </row>
    <row r="257" customFormat="false" ht="15" hidden="false" customHeight="false" outlineLevel="0" collapsed="false">
      <c r="A257" s="20" t="s">
        <v>9037</v>
      </c>
      <c r="B257" s="20" t="s">
        <v>7228</v>
      </c>
      <c r="C257" s="20" t="s">
        <v>7226</v>
      </c>
      <c r="D257" s="20" t="s">
        <v>99</v>
      </c>
      <c r="E257" s="20" t="s">
        <v>8441</v>
      </c>
      <c r="F257" s="20" t="s">
        <v>7227</v>
      </c>
      <c r="G257" s="20" t="s">
        <v>2804</v>
      </c>
      <c r="H257" s="26" t="n">
        <v>551.2</v>
      </c>
      <c r="I257" s="26" t="n">
        <v>0</v>
      </c>
      <c r="J257" s="26" t="n">
        <v>0</v>
      </c>
      <c r="K257" s="26" t="n">
        <v>0</v>
      </c>
      <c r="L257" s="26" t="n">
        <v>0</v>
      </c>
      <c r="M257" s="26" t="n">
        <f aca="false">SUM(H257:L257)</f>
        <v>551.2</v>
      </c>
      <c r="N257" s="25" t="n">
        <v>551.2</v>
      </c>
      <c r="O257" s="25" t="n">
        <f aca="false">M257-N257</f>
        <v>0</v>
      </c>
      <c r="P257" s="25" t="n">
        <f aca="false">K257+L257</f>
        <v>0</v>
      </c>
      <c r="Q257" s="23" t="str">
        <f aca="false">IF(AND(E257="OCCUPIED",P257&gt;0),"DELINQUENT &gt;90","CLEAR")</f>
        <v>CLEAR</v>
      </c>
      <c r="R257" s="23" t="s">
        <v>8575</v>
      </c>
      <c r="S257" s="23" t="s">
        <v>8443</v>
      </c>
      <c r="T257" s="23" t="s">
        <v>8739</v>
      </c>
      <c r="U257" s="23"/>
      <c r="V257" s="23" t="s">
        <v>9038</v>
      </c>
    </row>
    <row r="258" customFormat="false" ht="15" hidden="false" customHeight="false" outlineLevel="0" collapsed="false">
      <c r="A258" s="20" t="s">
        <v>9039</v>
      </c>
      <c r="B258" s="20" t="s">
        <v>7233</v>
      </c>
      <c r="C258" s="20" t="s">
        <v>295</v>
      </c>
      <c r="D258" s="20" t="s">
        <v>99</v>
      </c>
      <c r="E258" s="20" t="s">
        <v>8441</v>
      </c>
      <c r="F258" s="20" t="s">
        <v>7232</v>
      </c>
      <c r="G258" s="20" t="s">
        <v>2804</v>
      </c>
      <c r="H258" s="26" t="n">
        <v>291.2</v>
      </c>
      <c r="I258" s="26" t="n">
        <v>0</v>
      </c>
      <c r="J258" s="26" t="n">
        <v>0</v>
      </c>
      <c r="K258" s="26" t="n">
        <v>0</v>
      </c>
      <c r="L258" s="26" t="n">
        <v>0</v>
      </c>
      <c r="M258" s="26" t="n">
        <f aca="false">SUM(H258:L258)</f>
        <v>291.2</v>
      </c>
      <c r="N258" s="25" t="n">
        <v>291.2</v>
      </c>
      <c r="O258" s="25" t="n">
        <f aca="false">M258-N258</f>
        <v>0</v>
      </c>
      <c r="P258" s="25" t="n">
        <f aca="false">K258+L258</f>
        <v>0</v>
      </c>
      <c r="Q258" s="23" t="str">
        <f aca="false">IF(AND(E258="OCCUPIED",P258&gt;0),"DELINQUENT &gt;90","CLEAR")</f>
        <v>CLEAR</v>
      </c>
      <c r="R258" s="23" t="s">
        <v>8559</v>
      </c>
      <c r="S258" s="23" t="s">
        <v>8443</v>
      </c>
      <c r="T258" s="23" t="s">
        <v>8799</v>
      </c>
      <c r="U258" s="23"/>
      <c r="V258" s="23" t="s">
        <v>9040</v>
      </c>
    </row>
    <row r="259" customFormat="false" ht="15" hidden="false" customHeight="false" outlineLevel="0" collapsed="false">
      <c r="A259" s="20" t="s">
        <v>9041</v>
      </c>
      <c r="B259" s="20" t="s">
        <v>7239</v>
      </c>
      <c r="C259" s="20" t="s">
        <v>7237</v>
      </c>
      <c r="D259" s="20" t="s">
        <v>99</v>
      </c>
      <c r="E259" s="20" t="s">
        <v>8441</v>
      </c>
      <c r="F259" s="20" t="s">
        <v>7238</v>
      </c>
      <c r="G259" s="20" t="s">
        <v>2804</v>
      </c>
      <c r="H259" s="26" t="n">
        <v>426.4</v>
      </c>
      <c r="I259" s="26" t="n">
        <v>0</v>
      </c>
      <c r="J259" s="26" t="n">
        <v>0</v>
      </c>
      <c r="K259" s="26" t="n">
        <v>0</v>
      </c>
      <c r="L259" s="26" t="n">
        <v>0</v>
      </c>
      <c r="M259" s="26" t="n">
        <f aca="false">SUM(H259:L259)</f>
        <v>426.4</v>
      </c>
      <c r="N259" s="25" t="n">
        <v>426.4</v>
      </c>
      <c r="O259" s="25" t="n">
        <f aca="false">M259-N259</f>
        <v>0</v>
      </c>
      <c r="P259" s="25" t="n">
        <f aca="false">K259+L259</f>
        <v>0</v>
      </c>
      <c r="Q259" s="23" t="str">
        <f aca="false">IF(AND(E259="OCCUPIED",P259&gt;0),"DELINQUENT &gt;90","CLEAR")</f>
        <v>CLEAR</v>
      </c>
      <c r="R259" s="23" t="s">
        <v>8517</v>
      </c>
      <c r="S259" s="23" t="s">
        <v>8443</v>
      </c>
      <c r="T259" s="23" t="s">
        <v>8503</v>
      </c>
      <c r="U259" s="23"/>
      <c r="V259" s="23" t="s">
        <v>9042</v>
      </c>
    </row>
    <row r="260" customFormat="false" ht="15" hidden="false" customHeight="false" outlineLevel="0" collapsed="false">
      <c r="A260" s="20" t="s">
        <v>9043</v>
      </c>
      <c r="B260" s="20" t="s">
        <v>7245</v>
      </c>
      <c r="C260" s="20" t="s">
        <v>7243</v>
      </c>
      <c r="D260" s="20" t="s">
        <v>99</v>
      </c>
      <c r="E260" s="20" t="s">
        <v>8441</v>
      </c>
      <c r="F260" s="20" t="s">
        <v>7244</v>
      </c>
      <c r="G260" s="20" t="s">
        <v>2804</v>
      </c>
      <c r="H260" s="26" t="n">
        <v>332.8</v>
      </c>
      <c r="I260" s="26" t="n">
        <v>332.8</v>
      </c>
      <c r="J260" s="26" t="n">
        <v>0</v>
      </c>
      <c r="K260" s="26" t="n">
        <v>0</v>
      </c>
      <c r="L260" s="26" t="n">
        <v>0</v>
      </c>
      <c r="M260" s="26" t="n">
        <f aca="false">SUM(H260:L260)</f>
        <v>665.6</v>
      </c>
      <c r="N260" s="25" t="n">
        <v>332.8</v>
      </c>
      <c r="O260" s="25" t="n">
        <f aca="false">M260-N260</f>
        <v>332.8</v>
      </c>
      <c r="P260" s="25" t="n">
        <f aca="false">K260+L260</f>
        <v>0</v>
      </c>
      <c r="Q260" s="23" t="str">
        <f aca="false">IF(AND(E260="OCCUPIED",P260&gt;0),"DELINQUENT &gt;90","CLEAR")</f>
        <v>CLEAR</v>
      </c>
      <c r="R260" s="23" t="s">
        <v>8496</v>
      </c>
      <c r="S260" s="23" t="s">
        <v>8443</v>
      </c>
      <c r="T260" s="23" t="s">
        <v>8651</v>
      </c>
      <c r="U260" s="23"/>
      <c r="V260" s="23" t="s">
        <v>9044</v>
      </c>
    </row>
    <row r="261" customFormat="false" ht="15" hidden="false" customHeight="false" outlineLevel="0" collapsed="false">
      <c r="A261" s="20" t="s">
        <v>9045</v>
      </c>
      <c r="B261" s="20" t="s">
        <v>7251</v>
      </c>
      <c r="C261" s="20" t="s">
        <v>7249</v>
      </c>
      <c r="D261" s="20" t="s">
        <v>99</v>
      </c>
      <c r="E261" s="20" t="s">
        <v>8441</v>
      </c>
      <c r="F261" s="20" t="s">
        <v>7250</v>
      </c>
      <c r="G261" s="20" t="s">
        <v>2804</v>
      </c>
      <c r="H261" s="26" t="n">
        <v>572</v>
      </c>
      <c r="I261" s="26" t="n">
        <v>0</v>
      </c>
      <c r="J261" s="26" t="n">
        <v>0</v>
      </c>
      <c r="K261" s="26" t="n">
        <v>0</v>
      </c>
      <c r="L261" s="26" t="n">
        <v>0</v>
      </c>
      <c r="M261" s="26" t="n">
        <f aca="false">SUM(H261:L261)</f>
        <v>572</v>
      </c>
      <c r="N261" s="25" t="n">
        <v>572</v>
      </c>
      <c r="O261" s="25" t="n">
        <f aca="false">M261-N261</f>
        <v>0</v>
      </c>
      <c r="P261" s="25" t="n">
        <f aca="false">K261+L261</f>
        <v>0</v>
      </c>
      <c r="Q261" s="23" t="str">
        <f aca="false">IF(AND(E261="OCCUPIED",P261&gt;0),"DELINQUENT &gt;90","CLEAR")</f>
        <v>CLEAR</v>
      </c>
      <c r="R261" s="23" t="s">
        <v>8506</v>
      </c>
      <c r="S261" s="23" t="s">
        <v>8443</v>
      </c>
      <c r="T261" s="23" t="s">
        <v>8546</v>
      </c>
      <c r="U261" s="23"/>
      <c r="V261" s="23" t="s">
        <v>9046</v>
      </c>
    </row>
    <row r="262" customFormat="false" ht="15" hidden="false" customHeight="false" outlineLevel="0" collapsed="false">
      <c r="A262" s="20" t="s">
        <v>9047</v>
      </c>
      <c r="B262" s="20" t="s">
        <v>7257</v>
      </c>
      <c r="C262" s="20" t="s">
        <v>7255</v>
      </c>
      <c r="D262" s="20" t="s">
        <v>99</v>
      </c>
      <c r="E262" s="20" t="s">
        <v>8441</v>
      </c>
      <c r="F262" s="20" t="s">
        <v>7256</v>
      </c>
      <c r="G262" s="20" t="s">
        <v>2804</v>
      </c>
      <c r="H262" s="26" t="n">
        <v>561.6</v>
      </c>
      <c r="I262" s="26" t="n">
        <v>0</v>
      </c>
      <c r="J262" s="26" t="n">
        <v>0</v>
      </c>
      <c r="K262" s="26" t="n">
        <v>0</v>
      </c>
      <c r="L262" s="26" t="n">
        <v>0</v>
      </c>
      <c r="M262" s="26" t="n">
        <f aca="false">SUM(H262:L262)</f>
        <v>561.6</v>
      </c>
      <c r="N262" s="25" t="n">
        <v>561.6</v>
      </c>
      <c r="O262" s="25" t="n">
        <f aca="false">M262-N262</f>
        <v>0</v>
      </c>
      <c r="P262" s="25" t="n">
        <f aca="false">K262+L262</f>
        <v>0</v>
      </c>
      <c r="Q262" s="23" t="str">
        <f aca="false">IF(AND(E262="OCCUPIED",P262&gt;0),"DELINQUENT &gt;90","CLEAR")</f>
        <v>CLEAR</v>
      </c>
      <c r="R262" s="23" t="s">
        <v>8520</v>
      </c>
      <c r="S262" s="23" t="s">
        <v>8443</v>
      </c>
      <c r="T262" s="23" t="s">
        <v>8799</v>
      </c>
      <c r="U262" s="23"/>
      <c r="V262" s="23" t="s">
        <v>9048</v>
      </c>
    </row>
    <row r="263" customFormat="false" ht="15" hidden="false" customHeight="false" outlineLevel="0" collapsed="false">
      <c r="A263" s="20" t="s">
        <v>9049</v>
      </c>
      <c r="B263" s="20" t="s">
        <v>7261</v>
      </c>
      <c r="C263" s="20" t="s">
        <v>610</v>
      </c>
      <c r="D263" s="20" t="s">
        <v>99</v>
      </c>
      <c r="E263" s="20" t="s">
        <v>8441</v>
      </c>
      <c r="F263" s="20" t="s">
        <v>475</v>
      </c>
      <c r="G263" s="20" t="s">
        <v>2804</v>
      </c>
      <c r="H263" s="26" t="n">
        <v>457.6</v>
      </c>
      <c r="I263" s="26" t="n">
        <v>0</v>
      </c>
      <c r="J263" s="26" t="n">
        <v>0</v>
      </c>
      <c r="K263" s="26" t="n">
        <v>0</v>
      </c>
      <c r="L263" s="26" t="n">
        <v>0</v>
      </c>
      <c r="M263" s="26" t="n">
        <f aca="false">SUM(H263:L263)</f>
        <v>457.6</v>
      </c>
      <c r="N263" s="25" t="n">
        <v>457.6</v>
      </c>
      <c r="O263" s="25" t="n">
        <f aca="false">M263-N263</f>
        <v>0</v>
      </c>
      <c r="P263" s="25" t="n">
        <f aca="false">K263+L263</f>
        <v>0</v>
      </c>
      <c r="Q263" s="23" t="str">
        <f aca="false">IF(AND(E263="OCCUPIED",P263&gt;0),"DELINQUENT &gt;90","CLEAR")</f>
        <v>CLEAR</v>
      </c>
      <c r="R263" s="23" t="s">
        <v>8656</v>
      </c>
      <c r="S263" s="23" t="s">
        <v>8443</v>
      </c>
      <c r="T263" s="23" t="s">
        <v>8558</v>
      </c>
      <c r="U263" s="23"/>
      <c r="V263" s="23" t="s">
        <v>9050</v>
      </c>
    </row>
    <row r="264" customFormat="false" ht="15" hidden="false" customHeight="false" outlineLevel="0" collapsed="false">
      <c r="A264" s="20" t="s">
        <v>9051</v>
      </c>
      <c r="B264" s="20" t="s">
        <v>7267</v>
      </c>
      <c r="C264" s="20" t="s">
        <v>7265</v>
      </c>
      <c r="D264" s="20" t="s">
        <v>99</v>
      </c>
      <c r="E264" s="20" t="s">
        <v>8441</v>
      </c>
      <c r="F264" s="20" t="s">
        <v>7266</v>
      </c>
      <c r="G264" s="20" t="s">
        <v>2804</v>
      </c>
      <c r="H264" s="26" t="n">
        <v>644.8</v>
      </c>
      <c r="I264" s="26" t="n">
        <v>0</v>
      </c>
      <c r="J264" s="26" t="n">
        <v>0</v>
      </c>
      <c r="K264" s="26" t="n">
        <v>0</v>
      </c>
      <c r="L264" s="26" t="n">
        <v>0</v>
      </c>
      <c r="M264" s="26" t="n">
        <f aca="false">SUM(H264:L264)</f>
        <v>644.8</v>
      </c>
      <c r="N264" s="25" t="n">
        <v>644.8</v>
      </c>
      <c r="O264" s="25" t="n">
        <f aca="false">M264-N264</f>
        <v>0</v>
      </c>
      <c r="P264" s="25" t="n">
        <f aca="false">K264+L264</f>
        <v>0</v>
      </c>
      <c r="Q264" s="23" t="str">
        <f aca="false">IF(AND(E264="OCCUPIED",P264&gt;0),"DELINQUENT &gt;90","CLEAR")</f>
        <v>CLEAR</v>
      </c>
      <c r="R264" s="23" t="s">
        <v>8499</v>
      </c>
      <c r="S264" s="23" t="s">
        <v>8443</v>
      </c>
      <c r="T264" s="23" t="s">
        <v>8503</v>
      </c>
      <c r="U264" s="23"/>
      <c r="V264" s="23" t="s">
        <v>9052</v>
      </c>
    </row>
    <row r="265" customFormat="false" ht="15" hidden="false" customHeight="false" outlineLevel="0" collapsed="false">
      <c r="A265" s="20" t="s">
        <v>9053</v>
      </c>
      <c r="B265" s="20" t="s">
        <v>7273</v>
      </c>
      <c r="C265" s="20" t="s">
        <v>7271</v>
      </c>
      <c r="D265" s="20" t="s">
        <v>99</v>
      </c>
      <c r="E265" s="20" t="s">
        <v>8441</v>
      </c>
      <c r="F265" s="20" t="s">
        <v>7272</v>
      </c>
      <c r="G265" s="20" t="s">
        <v>2804</v>
      </c>
      <c r="H265" s="26" t="n">
        <v>499.2</v>
      </c>
      <c r="I265" s="26" t="n">
        <v>0</v>
      </c>
      <c r="J265" s="26" t="n">
        <v>0</v>
      </c>
      <c r="K265" s="26" t="n">
        <v>0</v>
      </c>
      <c r="L265" s="26" t="n">
        <v>0</v>
      </c>
      <c r="M265" s="26" t="n">
        <f aca="false">SUM(H265:L265)</f>
        <v>499.2</v>
      </c>
      <c r="N265" s="25" t="n">
        <v>0</v>
      </c>
      <c r="O265" s="25" t="n">
        <f aca="false">M265-N265</f>
        <v>499.2</v>
      </c>
      <c r="P265" s="25" t="n">
        <f aca="false">K265+L265</f>
        <v>0</v>
      </c>
      <c r="Q265" s="23" t="str">
        <f aca="false">IF(AND(E265="OCCUPIED",P265&gt;0),"DELINQUENT &gt;90","CLEAR")</f>
        <v>CLEAR</v>
      </c>
      <c r="R265" s="23" t="s">
        <v>8466</v>
      </c>
      <c r="S265" s="23" t="s">
        <v>8443</v>
      </c>
      <c r="T265" s="23" t="s">
        <v>8532</v>
      </c>
      <c r="U265" s="23"/>
      <c r="V265" s="23" t="s">
        <v>9054</v>
      </c>
    </row>
  </sheetData>
  <autoFilter ref="A5:V265"/>
  <mergeCells count="4">
    <mergeCell ref="A1:V1"/>
    <mergeCell ref="A2:V2"/>
    <mergeCell ref="A3:V3"/>
    <mergeCell ref="A4:V4"/>
  </mergeCells>
  <conditionalFormatting sqref="Q6:Q265">
    <cfRule type="expression" priority="2" aboveAverage="0" equalAverage="0" bottom="0" percent="0" rank="0" text="" dxfId="7">
      <formula>$Q6="DELINQUENT &gt;90"</formula>
    </cfRule>
  </conditionalFormatting>
  <conditionalFormatting sqref="O6:O265">
    <cfRule type="cellIs" priority="3" operator="greaterThan" aboveAverage="0" equalAverage="0" bottom="0" percent="0" rank="0" text="" dxfId="8">
      <formula>0.004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&amp;C&amp;"Noto Sans,Regular"&amp;8 Chaldale Harbor District | Prepared 2026-08-01 | Page &amp;P of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2026-09-07T14:20:33Z</dcterms:created>
  <dc:creator>Chaldale Harbor District</dc:creator>
  <dc:description>Prepared for Administrator Ginny Marina and Board review on 2026-08-01.</dc:description>
  <dc:language>en-US</dc:language>
  <cp:lastModifiedBy/>
  <dcterms:modified xsi:type="dcterms:W3CDTF">2026-09-07T14:20:33Z</dcterms:modified>
  <cp:revision>0</cp:revision>
  <dc:subject>Queue skips, vessel-length amendments, active billing, and aging audit</dc:subject>
  <dc:title>Chaldale Moorage Audit - August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