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illing Reconciliations" sheetId="2" state="visible" r:id="rId2"/>
    <sheet xmlns:r="http://schemas.openxmlformats.org/officeDocument/2006/relationships" name="Queue Exceptions" sheetId="3" state="visible" r:id="rId3"/>
    <sheet xmlns:r="http://schemas.openxmlformats.org/officeDocument/2006/relationships" name="Ag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Exceptions/Discrepancies</t>
        </is>
      </c>
      <c r="C1" t="inlineStr">
        <is>
          <t>Total Value</t>
        </is>
      </c>
    </row>
    <row r="2">
      <c r="A2" t="inlineStr">
        <is>
          <t>Queue Exceptions</t>
        </is>
      </c>
      <c r="B2">
        <f>COUNTA('Queue Exceptions'!A2:A1000)</f>
        <v/>
      </c>
      <c r="C2" t="inlineStr"/>
    </row>
    <row r="3">
      <c r="A3" t="inlineStr">
        <is>
          <t>Billing Reconciliations</t>
        </is>
      </c>
      <c r="B3">
        <f>COUNTA('Billing Reconciliations'!A2:A1000)</f>
        <v/>
      </c>
      <c r="C3">
        <f>SUM('Billing Reconciliations'!G2:G1000)</f>
        <v/>
      </c>
    </row>
    <row r="4">
      <c r="A4" t="inlineStr">
        <is>
          <t>Delinquent Accounts</t>
        </is>
      </c>
      <c r="B4">
        <f>COUNTA(Aging!A2:A1000)</f>
        <v/>
      </c>
      <c r="C4">
        <f>SUM(Aging!I2:I1000)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Slip ID</t>
        </is>
      </c>
      <c r="B1" t="inlineStr">
        <is>
          <t>Tenant</t>
        </is>
      </c>
      <c r="C1" t="inlineStr">
        <is>
          <t>Vessel LOA</t>
        </is>
      </c>
      <c r="D1" t="inlineStr">
        <is>
          <t>Billable Length</t>
        </is>
      </c>
      <c r="E1" t="inlineStr">
        <is>
          <t>Expected Bill</t>
        </is>
      </c>
      <c r="F1" t="inlineStr">
        <is>
          <t>Actual Billed</t>
        </is>
      </c>
      <c r="G1" t="inlineStr">
        <is>
          <t>Variance</t>
        </is>
      </c>
    </row>
    <row r="2">
      <c r="A2" t="inlineStr">
        <is>
          <t>LP-0102</t>
        </is>
      </c>
      <c r="B2" t="inlineStr">
        <is>
          <t>Damon Phillips</t>
        </is>
      </c>
      <c r="C2" t="n">
        <v>21.9</v>
      </c>
      <c r="D2" t="n">
        <v>22</v>
      </c>
      <c r="E2" t="n">
        <v>228.8</v>
      </c>
      <c r="F2" t="n">
        <v>416</v>
      </c>
      <c r="G2">
        <f>F2-E2</f>
        <v/>
      </c>
    </row>
    <row r="3">
      <c r="A3" t="inlineStr">
        <is>
          <t>LP-0108</t>
        </is>
      </c>
      <c r="B3" t="inlineStr">
        <is>
          <t>Alan Thomas</t>
        </is>
      </c>
      <c r="C3" t="n">
        <v>23.4</v>
      </c>
      <c r="D3" t="n">
        <v>24</v>
      </c>
      <c r="E3" t="n">
        <v>249.6</v>
      </c>
      <c r="F3" t="n">
        <v>332.8</v>
      </c>
      <c r="G3">
        <f>F3-E3</f>
        <v/>
      </c>
    </row>
    <row r="4">
      <c r="A4" t="inlineStr">
        <is>
          <t>LP-0109</t>
        </is>
      </c>
      <c r="B4" t="inlineStr">
        <is>
          <t>Sandra Sweeney</t>
        </is>
      </c>
      <c r="C4" t="n">
        <v>20.8</v>
      </c>
      <c r="D4" t="n">
        <v>21</v>
      </c>
      <c r="E4" t="n">
        <v>218.4</v>
      </c>
      <c r="F4" t="n">
        <v>332.8</v>
      </c>
      <c r="G4">
        <f>F4-E4</f>
        <v/>
      </c>
    </row>
    <row r="5">
      <c r="A5" t="inlineStr">
        <is>
          <t>LP-0110</t>
        </is>
      </c>
      <c r="B5" t="inlineStr">
        <is>
          <t>Jason Martinez</t>
        </is>
      </c>
      <c r="C5" t="n">
        <v>26</v>
      </c>
      <c r="D5" t="n">
        <v>26</v>
      </c>
      <c r="E5" t="n">
        <v>270.4</v>
      </c>
      <c r="F5" t="n">
        <v>291.2</v>
      </c>
      <c r="G5">
        <f>F5-E5</f>
        <v/>
      </c>
    </row>
    <row r="6">
      <c r="A6" t="inlineStr">
        <is>
          <t>LP-0113</t>
        </is>
      </c>
      <c r="B6" t="inlineStr">
        <is>
          <t>Elizabeth Williams</t>
        </is>
      </c>
      <c r="C6" t="n">
        <v>26</v>
      </c>
      <c r="D6" t="n">
        <v>26</v>
      </c>
      <c r="E6" t="n">
        <v>270.4</v>
      </c>
      <c r="F6" t="n">
        <v>374.4</v>
      </c>
      <c r="G6">
        <f>F6-E6</f>
        <v/>
      </c>
    </row>
    <row r="7">
      <c r="A7" t="inlineStr">
        <is>
          <t>LP-0115</t>
        </is>
      </c>
      <c r="B7" t="inlineStr">
        <is>
          <t>Matthew Thomas</t>
        </is>
      </c>
      <c r="C7" t="n">
        <v>18.8</v>
      </c>
      <c r="D7" t="n">
        <v>19</v>
      </c>
      <c r="E7" t="n">
        <v>197.6</v>
      </c>
      <c r="F7" t="n">
        <v>291.2</v>
      </c>
      <c r="G7">
        <f>F7-E7</f>
        <v/>
      </c>
    </row>
    <row r="8">
      <c r="A8" t="inlineStr">
        <is>
          <t>LP-0116</t>
        </is>
      </c>
      <c r="B8" t="inlineStr">
        <is>
          <t>Joseph Bishop</t>
        </is>
      </c>
      <c r="C8" t="n">
        <v>19.2</v>
      </c>
      <c r="D8" t="n">
        <v>20</v>
      </c>
      <c r="E8" t="n">
        <v>208</v>
      </c>
      <c r="F8" t="n">
        <v>291.2</v>
      </c>
      <c r="G8">
        <f>F8-E8</f>
        <v/>
      </c>
    </row>
    <row r="9">
      <c r="A9" t="inlineStr">
        <is>
          <t>LP-0117</t>
        </is>
      </c>
      <c r="B9" t="inlineStr">
        <is>
          <t>Benjamin Willis</t>
        </is>
      </c>
      <c r="C9" t="n">
        <v>28.7</v>
      </c>
      <c r="D9" t="n">
        <v>29</v>
      </c>
      <c r="E9" t="n">
        <v>301.6</v>
      </c>
      <c r="F9" t="n">
        <v>332.8</v>
      </c>
      <c r="G9">
        <f>F9-E9</f>
        <v/>
      </c>
    </row>
    <row r="10">
      <c r="A10" t="inlineStr">
        <is>
          <t>LP-0118</t>
        </is>
      </c>
      <c r="B10" t="inlineStr">
        <is>
          <t>Keith Powell</t>
        </is>
      </c>
      <c r="C10" t="n">
        <v>22.1</v>
      </c>
      <c r="D10" t="n">
        <v>23</v>
      </c>
      <c r="E10" t="n">
        <v>239.2</v>
      </c>
      <c r="F10" t="n">
        <v>249.6</v>
      </c>
      <c r="G10">
        <f>F10-E10</f>
        <v/>
      </c>
    </row>
    <row r="11">
      <c r="A11" t="inlineStr">
        <is>
          <t>LP-0120</t>
        </is>
      </c>
      <c r="B11" t="inlineStr">
        <is>
          <t>Kayla Johnson</t>
        </is>
      </c>
      <c r="C11" t="n">
        <v>30.8</v>
      </c>
      <c r="D11" t="n">
        <v>31</v>
      </c>
      <c r="E11" t="n">
        <v>322.4</v>
      </c>
      <c r="F11" t="n">
        <v>332.8</v>
      </c>
      <c r="G11">
        <f>F11-E11</f>
        <v/>
      </c>
    </row>
    <row r="12">
      <c r="A12" t="inlineStr">
        <is>
          <t>LP-0123</t>
        </is>
      </c>
      <c r="B12" t="inlineStr">
        <is>
          <t>Brittney Daugherty</t>
        </is>
      </c>
      <c r="C12" t="n">
        <v>25.3</v>
      </c>
      <c r="D12" t="n">
        <v>26</v>
      </c>
      <c r="E12" t="n">
        <v>270.4</v>
      </c>
      <c r="F12" t="n">
        <v>332.8</v>
      </c>
      <c r="G12">
        <f>F12-E12</f>
        <v/>
      </c>
    </row>
    <row r="13">
      <c r="A13" t="inlineStr">
        <is>
          <t>LP-0205</t>
        </is>
      </c>
      <c r="B13" t="inlineStr">
        <is>
          <t>Gary Young</t>
        </is>
      </c>
      <c r="C13" t="n">
        <v>23</v>
      </c>
      <c r="D13" t="n">
        <v>23</v>
      </c>
      <c r="E13" t="n">
        <v>239.2</v>
      </c>
      <c r="F13" t="n">
        <v>416</v>
      </c>
      <c r="G13">
        <f>F13-E13</f>
        <v/>
      </c>
    </row>
    <row r="14">
      <c r="A14" t="inlineStr">
        <is>
          <t>LP-0209</t>
        </is>
      </c>
      <c r="B14" t="inlineStr">
        <is>
          <t>Manuel Abbott</t>
        </is>
      </c>
      <c r="C14" t="n">
        <v>19.8</v>
      </c>
      <c r="D14" t="n">
        <v>20</v>
      </c>
      <c r="E14" t="n">
        <v>208</v>
      </c>
      <c r="F14" t="n">
        <v>332.8</v>
      </c>
      <c r="G14">
        <f>F14-E14</f>
        <v/>
      </c>
    </row>
    <row r="15">
      <c r="A15" t="inlineStr">
        <is>
          <t>LP-0210</t>
        </is>
      </c>
      <c r="B15" t="inlineStr">
        <is>
          <t>Thomas Stone</t>
        </is>
      </c>
      <c r="C15" t="n">
        <v>24.8</v>
      </c>
      <c r="D15" t="n">
        <v>25</v>
      </c>
      <c r="E15" t="n">
        <v>260</v>
      </c>
      <c r="F15" t="n">
        <v>416</v>
      </c>
      <c r="G15">
        <f>F15-E15</f>
        <v/>
      </c>
    </row>
    <row r="16">
      <c r="A16" t="inlineStr">
        <is>
          <t>LP-0215</t>
        </is>
      </c>
      <c r="B16" t="inlineStr">
        <is>
          <t>Anna Wright</t>
        </is>
      </c>
      <c r="C16" t="n">
        <v>26.3</v>
      </c>
      <c r="D16" t="n">
        <v>27</v>
      </c>
      <c r="E16" t="n">
        <v>280.8</v>
      </c>
      <c r="F16" t="n">
        <v>291.2</v>
      </c>
      <c r="G16">
        <f>F16-E16</f>
        <v/>
      </c>
    </row>
    <row r="17">
      <c r="A17" t="inlineStr">
        <is>
          <t>LP-0222</t>
        </is>
      </c>
      <c r="B17" t="inlineStr">
        <is>
          <t>Stephen Burke</t>
        </is>
      </c>
      <c r="C17" t="n">
        <v>25.5</v>
      </c>
      <c r="D17" t="n">
        <v>26</v>
      </c>
      <c r="E17" t="n">
        <v>270.4</v>
      </c>
      <c r="F17" t="n">
        <v>374.4</v>
      </c>
      <c r="G17">
        <f>F17-E17</f>
        <v/>
      </c>
    </row>
    <row r="18">
      <c r="A18" t="inlineStr">
        <is>
          <t>LP-0224</t>
        </is>
      </c>
      <c r="B18" t="inlineStr">
        <is>
          <t>Anita Rose</t>
        </is>
      </c>
      <c r="C18" t="n">
        <v>26.7</v>
      </c>
      <c r="D18" t="n">
        <v>27</v>
      </c>
      <c r="E18" t="n">
        <v>280.8</v>
      </c>
      <c r="F18" t="n">
        <v>416</v>
      </c>
      <c r="G18">
        <f>F18-E18</f>
        <v/>
      </c>
    </row>
    <row r="19">
      <c r="A19" t="inlineStr">
        <is>
          <t>LP-0301</t>
        </is>
      </c>
      <c r="B19" t="inlineStr">
        <is>
          <t>Miranda Neal</t>
        </is>
      </c>
      <c r="C19" t="n">
        <v>18.4</v>
      </c>
      <c r="D19" t="n">
        <v>19</v>
      </c>
      <c r="E19" t="n">
        <v>197.6</v>
      </c>
      <c r="F19" t="n">
        <v>291.2</v>
      </c>
      <c r="G19">
        <f>F19-E19</f>
        <v/>
      </c>
    </row>
    <row r="20">
      <c r="A20" t="inlineStr">
        <is>
          <t>LP-0305</t>
        </is>
      </c>
      <c r="B20" t="inlineStr">
        <is>
          <t>Nathan Huffman</t>
        </is>
      </c>
      <c r="C20" t="n">
        <v>19.4</v>
      </c>
      <c r="D20" t="n">
        <v>20</v>
      </c>
      <c r="E20" t="n">
        <v>208</v>
      </c>
      <c r="F20" t="n">
        <v>332.8</v>
      </c>
      <c r="G20">
        <f>F20-E20</f>
        <v/>
      </c>
    </row>
    <row r="21">
      <c r="A21" t="inlineStr">
        <is>
          <t>LP-0313</t>
        </is>
      </c>
      <c r="B21" t="inlineStr">
        <is>
          <t>Christopher Lopez</t>
        </is>
      </c>
      <c r="C21" t="n">
        <v>24.8</v>
      </c>
      <c r="D21" t="n">
        <v>25</v>
      </c>
      <c r="E21" t="n">
        <v>260</v>
      </c>
      <c r="F21" t="n">
        <v>332.8</v>
      </c>
      <c r="G21">
        <f>F21-E21</f>
        <v/>
      </c>
    </row>
    <row r="22">
      <c r="A22" t="inlineStr">
        <is>
          <t>LP-0314</t>
        </is>
      </c>
      <c r="B22" t="inlineStr">
        <is>
          <t>Brenda Matthews</t>
        </is>
      </c>
      <c r="C22" t="n">
        <v>26.3</v>
      </c>
      <c r="D22" t="n">
        <v>27</v>
      </c>
      <c r="E22" t="n">
        <v>280.8</v>
      </c>
      <c r="F22" t="n">
        <v>332.8</v>
      </c>
      <c r="G22">
        <f>F22-E22</f>
        <v/>
      </c>
    </row>
    <row r="23">
      <c r="A23" t="inlineStr">
        <is>
          <t>LP-0317</t>
        </is>
      </c>
      <c r="B23" t="inlineStr">
        <is>
          <t>Randall Cummings</t>
        </is>
      </c>
      <c r="C23" t="n">
        <v>22.7</v>
      </c>
      <c r="D23" t="n">
        <v>23</v>
      </c>
      <c r="E23" t="n">
        <v>239.2</v>
      </c>
      <c r="F23" t="n">
        <v>416</v>
      </c>
      <c r="G23">
        <f>F23-E23</f>
        <v/>
      </c>
    </row>
    <row r="24">
      <c r="A24" t="inlineStr">
        <is>
          <t>LP-0408</t>
        </is>
      </c>
      <c r="B24" t="inlineStr">
        <is>
          <t>Kari Snow</t>
        </is>
      </c>
      <c r="C24" t="n">
        <v>23.9</v>
      </c>
      <c r="D24" t="n">
        <v>24</v>
      </c>
      <c r="E24" t="n">
        <v>249.6</v>
      </c>
      <c r="F24" t="n">
        <v>416</v>
      </c>
      <c r="G24">
        <f>F24-E24</f>
        <v/>
      </c>
    </row>
    <row r="25">
      <c r="A25" t="inlineStr">
        <is>
          <t>LP-0413</t>
        </is>
      </c>
      <c r="B25" t="inlineStr">
        <is>
          <t>Tammie Johnson</t>
        </is>
      </c>
      <c r="C25" t="n">
        <v>23.7</v>
      </c>
      <c r="D25" t="n">
        <v>24</v>
      </c>
      <c r="E25" t="n">
        <v>249.6</v>
      </c>
      <c r="F25" t="n">
        <v>291.2</v>
      </c>
      <c r="G25">
        <f>F25-E25</f>
        <v/>
      </c>
    </row>
    <row r="26">
      <c r="A26" t="inlineStr">
        <is>
          <t>LP-0420</t>
        </is>
      </c>
      <c r="B26" t="inlineStr">
        <is>
          <t>Megan Nguyen</t>
        </is>
      </c>
      <c r="C26" t="n">
        <v>28.9</v>
      </c>
      <c r="D26" t="n">
        <v>29</v>
      </c>
      <c r="E26" t="n">
        <v>301.6</v>
      </c>
      <c r="F26" t="n">
        <v>374.4</v>
      </c>
      <c r="G26">
        <f>F26-E26</f>
        <v/>
      </c>
    </row>
    <row r="27">
      <c r="A27" t="inlineStr">
        <is>
          <t>LP-0421</t>
        </is>
      </c>
      <c r="B27" t="inlineStr">
        <is>
          <t>Mary Hicks</t>
        </is>
      </c>
      <c r="C27" t="n">
        <v>25.1</v>
      </c>
      <c r="D27" t="n">
        <v>26</v>
      </c>
      <c r="E27" t="n">
        <v>270.4</v>
      </c>
      <c r="F27" t="n">
        <v>291.2</v>
      </c>
      <c r="G27">
        <f>F27-E27</f>
        <v/>
      </c>
    </row>
    <row r="28">
      <c r="A28" t="inlineStr">
        <is>
          <t>LP-0423</t>
        </is>
      </c>
      <c r="B28" t="inlineStr">
        <is>
          <t>Margaret Brown</t>
        </is>
      </c>
      <c r="C28" t="n">
        <v>34.6</v>
      </c>
      <c r="D28" t="n">
        <v>35</v>
      </c>
      <c r="E28" t="n">
        <v>364</v>
      </c>
      <c r="F28" t="n">
        <v>416</v>
      </c>
      <c r="G28">
        <f>F28-E28</f>
        <v/>
      </c>
    </row>
    <row r="29">
      <c r="A29" t="inlineStr">
        <is>
          <t>LP-0511</t>
        </is>
      </c>
      <c r="B29" t="inlineStr">
        <is>
          <t>Michael Cole</t>
        </is>
      </c>
      <c r="C29" t="n">
        <v>23.7</v>
      </c>
      <c r="D29" t="n">
        <v>24</v>
      </c>
      <c r="E29" t="n">
        <v>249.6</v>
      </c>
      <c r="F29" t="n">
        <v>416</v>
      </c>
      <c r="G29">
        <f>F29-E29</f>
        <v/>
      </c>
    </row>
    <row r="30">
      <c r="A30" t="inlineStr">
        <is>
          <t>LP-0512</t>
        </is>
      </c>
      <c r="B30" t="inlineStr">
        <is>
          <t>Micheal Perez</t>
        </is>
      </c>
      <c r="C30" t="n">
        <v>19</v>
      </c>
      <c r="D30" t="n">
        <v>19</v>
      </c>
      <c r="E30" t="n">
        <v>197.6</v>
      </c>
      <c r="F30" t="n">
        <v>416</v>
      </c>
      <c r="G30">
        <f>F30-E30</f>
        <v/>
      </c>
    </row>
    <row r="31">
      <c r="A31" t="inlineStr">
        <is>
          <t>LP-0514</t>
        </is>
      </c>
      <c r="B31" t="inlineStr">
        <is>
          <t>Brandy Rogers</t>
        </is>
      </c>
      <c r="C31" t="n">
        <v>23.3</v>
      </c>
      <c r="D31" t="n">
        <v>24</v>
      </c>
      <c r="E31" t="n">
        <v>249.6</v>
      </c>
      <c r="F31" t="n">
        <v>291.2</v>
      </c>
      <c r="G31">
        <f>F31-E31</f>
        <v/>
      </c>
    </row>
    <row r="32">
      <c r="A32" t="inlineStr">
        <is>
          <t>LP-0516</t>
        </is>
      </c>
      <c r="B32" t="inlineStr">
        <is>
          <t>Mallory Rodgers</t>
        </is>
      </c>
      <c r="C32" t="n">
        <v>18.9</v>
      </c>
      <c r="D32" t="n">
        <v>19</v>
      </c>
      <c r="E32" t="n">
        <v>197.6</v>
      </c>
      <c r="F32" t="n">
        <v>416</v>
      </c>
      <c r="G32">
        <f>F32-E32</f>
        <v/>
      </c>
    </row>
    <row r="33">
      <c r="A33" t="inlineStr">
        <is>
          <t>LP-0518</t>
        </is>
      </c>
      <c r="B33" t="inlineStr">
        <is>
          <t>Jennifer Liu</t>
        </is>
      </c>
      <c r="C33" t="n">
        <v>34.6</v>
      </c>
      <c r="D33" t="n">
        <v>35</v>
      </c>
      <c r="E33" t="n">
        <v>364</v>
      </c>
      <c r="F33" t="n">
        <v>374.4</v>
      </c>
      <c r="G33">
        <f>F33-E33</f>
        <v/>
      </c>
    </row>
    <row r="34">
      <c r="A34" t="inlineStr">
        <is>
          <t>LP-0524</t>
        </is>
      </c>
      <c r="B34" t="inlineStr">
        <is>
          <t>Anthony Hamilton</t>
        </is>
      </c>
      <c r="C34" t="n">
        <v>24.6</v>
      </c>
      <c r="D34" t="n">
        <v>25</v>
      </c>
      <c r="E34" t="n">
        <v>260</v>
      </c>
      <c r="F34" t="n">
        <v>291.2</v>
      </c>
      <c r="G34">
        <f>F34-E34</f>
        <v/>
      </c>
    </row>
    <row r="35">
      <c r="A35" t="inlineStr">
        <is>
          <t>LP-0607</t>
        </is>
      </c>
      <c r="B35" t="inlineStr">
        <is>
          <t>Morgan Clark</t>
        </is>
      </c>
      <c r="C35" t="n">
        <v>30.7</v>
      </c>
      <c r="D35" t="n">
        <v>31</v>
      </c>
      <c r="E35" t="n">
        <v>322.4</v>
      </c>
      <c r="F35" t="n">
        <v>416</v>
      </c>
      <c r="G35">
        <f>F35-E35</f>
        <v/>
      </c>
    </row>
    <row r="36">
      <c r="A36" t="inlineStr">
        <is>
          <t>LP-0608</t>
        </is>
      </c>
      <c r="B36" t="inlineStr">
        <is>
          <t>Jamie Carpenter</t>
        </is>
      </c>
      <c r="C36" t="n">
        <v>22.6</v>
      </c>
      <c r="D36" t="n">
        <v>23</v>
      </c>
      <c r="E36" t="n">
        <v>239.2</v>
      </c>
      <c r="F36" t="n">
        <v>291.2</v>
      </c>
      <c r="G36">
        <f>F36-E36</f>
        <v/>
      </c>
    </row>
    <row r="37">
      <c r="A37" t="inlineStr">
        <is>
          <t>LP-0612</t>
        </is>
      </c>
      <c r="B37" t="inlineStr">
        <is>
          <t>Albert Rowland</t>
        </is>
      </c>
      <c r="C37" t="n">
        <v>18.6</v>
      </c>
      <c r="D37" t="n">
        <v>19</v>
      </c>
      <c r="E37" t="n">
        <v>197.6</v>
      </c>
      <c r="F37" t="n">
        <v>332.8</v>
      </c>
      <c r="G37">
        <f>F37-E37</f>
        <v/>
      </c>
    </row>
    <row r="38">
      <c r="A38" t="inlineStr">
        <is>
          <t>LP-0614</t>
        </is>
      </c>
      <c r="B38" t="inlineStr">
        <is>
          <t>Dean Gonzalez</t>
        </is>
      </c>
      <c r="C38" t="n">
        <v>18.7</v>
      </c>
      <c r="D38" t="n">
        <v>19</v>
      </c>
      <c r="E38" t="n">
        <v>197.6</v>
      </c>
      <c r="F38" t="n">
        <v>291.2</v>
      </c>
      <c r="G38">
        <f>F38-E38</f>
        <v/>
      </c>
    </row>
    <row r="39">
      <c r="A39" t="inlineStr">
        <is>
          <t>LP-0618</t>
        </is>
      </c>
      <c r="B39" t="inlineStr">
        <is>
          <t>Natalie Tyler</t>
        </is>
      </c>
      <c r="C39" t="n">
        <v>30.1</v>
      </c>
      <c r="D39" t="n">
        <v>31</v>
      </c>
      <c r="E39" t="n">
        <v>322.4</v>
      </c>
      <c r="F39" t="n">
        <v>332.8</v>
      </c>
      <c r="G39">
        <f>F39-E39</f>
        <v/>
      </c>
    </row>
    <row r="40">
      <c r="A40" t="inlineStr">
        <is>
          <t>LP-0621</t>
        </is>
      </c>
      <c r="B40" t="inlineStr">
        <is>
          <t>Victoria Williamson</t>
        </is>
      </c>
      <c r="C40" t="n">
        <v>22</v>
      </c>
      <c r="D40" t="n">
        <v>22</v>
      </c>
      <c r="E40" t="n">
        <v>228.8</v>
      </c>
      <c r="F40" t="n">
        <v>416</v>
      </c>
      <c r="G40">
        <f>F40-E40</f>
        <v/>
      </c>
    </row>
    <row r="41">
      <c r="A41" t="inlineStr">
        <is>
          <t>LP-0718</t>
        </is>
      </c>
      <c r="B41" t="inlineStr">
        <is>
          <t>Charles Case</t>
        </is>
      </c>
      <c r="C41" t="n">
        <v>25.4</v>
      </c>
      <c r="D41" t="n">
        <v>26</v>
      </c>
      <c r="E41" t="n">
        <v>270.4</v>
      </c>
      <c r="F41" t="n">
        <v>332.8</v>
      </c>
      <c r="G41">
        <f>F41-E41</f>
        <v/>
      </c>
    </row>
    <row r="42">
      <c r="A42" t="inlineStr">
        <is>
          <t>LP-0802</t>
        </is>
      </c>
      <c r="B42" t="inlineStr">
        <is>
          <t>Michael West</t>
        </is>
      </c>
      <c r="C42" t="n">
        <v>35.1</v>
      </c>
      <c r="D42" t="n">
        <v>36</v>
      </c>
      <c r="E42" t="n">
        <v>374.4</v>
      </c>
      <c r="F42" t="n">
        <v>416</v>
      </c>
      <c r="G42">
        <f>F42-E42</f>
        <v/>
      </c>
    </row>
    <row r="43">
      <c r="A43" t="inlineStr">
        <is>
          <t>LP-0812</t>
        </is>
      </c>
      <c r="B43" t="inlineStr">
        <is>
          <t>Brett Lee</t>
        </is>
      </c>
      <c r="C43" t="n">
        <v>25.6</v>
      </c>
      <c r="D43" t="n">
        <v>26</v>
      </c>
      <c r="E43" t="n">
        <v>270.4</v>
      </c>
      <c r="F43" t="n">
        <v>291.2</v>
      </c>
      <c r="G43">
        <f>F43-E43</f>
        <v/>
      </c>
    </row>
    <row r="44">
      <c r="A44" t="inlineStr">
        <is>
          <t>LP-0817</t>
        </is>
      </c>
      <c r="B44" t="inlineStr">
        <is>
          <t>Tiffany Torres</t>
        </is>
      </c>
      <c r="C44" t="n">
        <v>22.2</v>
      </c>
      <c r="D44" t="n">
        <v>23</v>
      </c>
      <c r="E44" t="n">
        <v>239.2</v>
      </c>
      <c r="F44" t="n">
        <v>332.8</v>
      </c>
      <c r="G44">
        <f>F44-E44</f>
        <v/>
      </c>
    </row>
    <row r="45">
      <c r="A45" t="inlineStr">
        <is>
          <t>LP-0819</t>
        </is>
      </c>
      <c r="B45" t="inlineStr">
        <is>
          <t>Adrienne Thompson</t>
        </is>
      </c>
      <c r="C45" t="n">
        <v>19.1</v>
      </c>
      <c r="D45" t="n">
        <v>20</v>
      </c>
      <c r="E45" t="n">
        <v>208</v>
      </c>
      <c r="F45" t="n">
        <v>332.8</v>
      </c>
      <c r="G45">
        <f>F45-E45</f>
        <v/>
      </c>
    </row>
    <row r="46">
      <c r="A46" t="inlineStr">
        <is>
          <t>LP-0901</t>
        </is>
      </c>
      <c r="B46" t="inlineStr">
        <is>
          <t>Angela Poole</t>
        </is>
      </c>
      <c r="C46" t="n">
        <v>24.3</v>
      </c>
      <c r="D46" t="n">
        <v>25</v>
      </c>
      <c r="E46" t="n">
        <v>260</v>
      </c>
      <c r="F46" t="n">
        <v>416</v>
      </c>
      <c r="G46">
        <f>F46-E46</f>
        <v/>
      </c>
    </row>
    <row r="47">
      <c r="A47" t="inlineStr">
        <is>
          <t>LP-0903</t>
        </is>
      </c>
      <c r="B47" t="inlineStr">
        <is>
          <t>Mindy Medina</t>
        </is>
      </c>
      <c r="C47" t="n">
        <v>20.2</v>
      </c>
      <c r="D47" t="n">
        <v>21</v>
      </c>
      <c r="E47" t="n">
        <v>218.4</v>
      </c>
      <c r="F47" t="n">
        <v>374.4</v>
      </c>
      <c r="G47">
        <f>F47-E47</f>
        <v/>
      </c>
    </row>
    <row r="48">
      <c r="A48" t="inlineStr">
        <is>
          <t>LP-0914</t>
        </is>
      </c>
      <c r="B48" t="inlineStr">
        <is>
          <t>Paige Brown</t>
        </is>
      </c>
      <c r="C48" t="n">
        <v>35.1</v>
      </c>
      <c r="D48" t="n">
        <v>36</v>
      </c>
      <c r="E48" t="n">
        <v>374.4</v>
      </c>
      <c r="F48" t="n">
        <v>416</v>
      </c>
      <c r="G48">
        <f>F48-E48</f>
        <v/>
      </c>
    </row>
    <row r="49">
      <c r="A49" t="inlineStr">
        <is>
          <t>LP-0917</t>
        </is>
      </c>
      <c r="B49" t="inlineStr">
        <is>
          <t>Ryan Carr</t>
        </is>
      </c>
      <c r="C49" t="n">
        <v>34.5</v>
      </c>
      <c r="D49" t="n">
        <v>35</v>
      </c>
      <c r="E49" t="n">
        <v>364</v>
      </c>
      <c r="F49" t="n">
        <v>374.4</v>
      </c>
      <c r="G49">
        <f>F49-E49</f>
        <v/>
      </c>
    </row>
    <row r="50">
      <c r="A50" t="inlineStr">
        <is>
          <t>LP-0919</t>
        </is>
      </c>
      <c r="B50" t="inlineStr">
        <is>
          <t>Pamela Wright</t>
        </is>
      </c>
      <c r="C50" t="n">
        <v>24.5</v>
      </c>
      <c r="D50" t="n">
        <v>25</v>
      </c>
      <c r="E50" t="n">
        <v>260</v>
      </c>
      <c r="F50" t="n">
        <v>332.8</v>
      </c>
      <c r="G50">
        <f>F50-E50</f>
        <v/>
      </c>
    </row>
    <row r="51">
      <c r="A51" t="inlineStr">
        <is>
          <t>LP-0921</t>
        </is>
      </c>
      <c r="B51" t="inlineStr">
        <is>
          <t>Chris Chavez</t>
        </is>
      </c>
      <c r="C51" t="n">
        <v>24.8</v>
      </c>
      <c r="D51" t="n">
        <v>25</v>
      </c>
      <c r="E51" t="n">
        <v>260</v>
      </c>
      <c r="F51" t="n">
        <v>291.2</v>
      </c>
      <c r="G51">
        <f>F51-E51</f>
        <v/>
      </c>
    </row>
    <row r="52">
      <c r="A52" t="inlineStr">
        <is>
          <t>LP-0923</t>
        </is>
      </c>
      <c r="B52" t="inlineStr">
        <is>
          <t>Russell Barnes</t>
        </is>
      </c>
      <c r="C52" t="n">
        <v>21</v>
      </c>
      <c r="D52" t="n">
        <v>21</v>
      </c>
      <c r="E52" t="n">
        <v>218.4</v>
      </c>
      <c r="F52" t="n">
        <v>249.6</v>
      </c>
      <c r="G52">
        <f>F52-E52</f>
        <v/>
      </c>
    </row>
    <row r="53">
      <c r="A53" t="inlineStr">
        <is>
          <t>LP-1006</t>
        </is>
      </c>
      <c r="B53" t="inlineStr">
        <is>
          <t>Carol Scott</t>
        </is>
      </c>
      <c r="C53" t="n">
        <v>19.5</v>
      </c>
      <c r="D53" t="n">
        <v>20</v>
      </c>
      <c r="E53" t="n">
        <v>208</v>
      </c>
      <c r="F53" t="n">
        <v>374.4</v>
      </c>
      <c r="G53">
        <f>F53-E53</f>
        <v/>
      </c>
    </row>
    <row r="54">
      <c r="A54" t="inlineStr">
        <is>
          <t>LP-1009</t>
        </is>
      </c>
      <c r="B54" t="inlineStr">
        <is>
          <t>Bradley Franklin</t>
        </is>
      </c>
      <c r="C54" t="n">
        <v>19.3</v>
      </c>
      <c r="D54" t="n">
        <v>20</v>
      </c>
      <c r="E54" t="n">
        <v>208</v>
      </c>
      <c r="F54" t="n">
        <v>332.8</v>
      </c>
      <c r="G54">
        <f>F54-E54</f>
        <v/>
      </c>
    </row>
    <row r="55">
      <c r="A55" t="inlineStr">
        <is>
          <t>LP-1013</t>
        </is>
      </c>
      <c r="B55" t="inlineStr">
        <is>
          <t>Melissa Villanueva</t>
        </is>
      </c>
      <c r="C55" t="n">
        <v>19.5</v>
      </c>
      <c r="D55" t="n">
        <v>20</v>
      </c>
      <c r="E55" t="n">
        <v>208</v>
      </c>
      <c r="F55" t="n">
        <v>291.2</v>
      </c>
      <c r="G55">
        <f>F55-E55</f>
        <v/>
      </c>
    </row>
    <row r="56">
      <c r="A56" t="inlineStr">
        <is>
          <t>LP-1014</t>
        </is>
      </c>
      <c r="B56" t="inlineStr">
        <is>
          <t>Shari Hess</t>
        </is>
      </c>
      <c r="C56" t="n">
        <v>19.4</v>
      </c>
      <c r="D56" t="n">
        <v>20</v>
      </c>
      <c r="E56" t="n">
        <v>208</v>
      </c>
      <c r="F56" t="n">
        <v>249.6</v>
      </c>
      <c r="G56">
        <f>F56-E56</f>
        <v/>
      </c>
    </row>
    <row r="57">
      <c r="A57" t="inlineStr">
        <is>
          <t>LP-1016</t>
        </is>
      </c>
      <c r="B57" t="inlineStr">
        <is>
          <t>Joshua Rivera</t>
        </is>
      </c>
      <c r="C57" t="n">
        <v>25.9</v>
      </c>
      <c r="D57" t="n">
        <v>26</v>
      </c>
      <c r="E57" t="n">
        <v>270.4</v>
      </c>
      <c r="F57" t="n">
        <v>291.2</v>
      </c>
      <c r="G57">
        <f>F57-E57</f>
        <v/>
      </c>
    </row>
    <row r="58">
      <c r="A58" t="inlineStr">
        <is>
          <t>LP-1020</t>
        </is>
      </c>
      <c r="B58" t="inlineStr">
        <is>
          <t>Michael Taylor</t>
        </is>
      </c>
      <c r="C58" t="n">
        <v>25.1</v>
      </c>
      <c r="D58" t="n">
        <v>26</v>
      </c>
      <c r="E58" t="n">
        <v>270.4</v>
      </c>
      <c r="F58" t="n">
        <v>332.8</v>
      </c>
      <c r="G58">
        <f>F58-E58</f>
        <v/>
      </c>
    </row>
    <row r="59">
      <c r="A59" t="inlineStr">
        <is>
          <t>LP-1023</t>
        </is>
      </c>
      <c r="B59" t="inlineStr">
        <is>
          <t>Patrick Richmond</t>
        </is>
      </c>
      <c r="C59" t="n">
        <v>20</v>
      </c>
      <c r="D59" t="n">
        <v>20</v>
      </c>
      <c r="E59" t="n">
        <v>208</v>
      </c>
      <c r="F59" t="n">
        <v>249.6</v>
      </c>
      <c r="G59">
        <f>F59-E59</f>
        <v/>
      </c>
    </row>
    <row r="60">
      <c r="A60" t="inlineStr">
        <is>
          <t>LP-1103</t>
        </is>
      </c>
      <c r="B60" t="inlineStr">
        <is>
          <t>Amanda Clayton</t>
        </is>
      </c>
      <c r="C60" t="n">
        <v>23.2</v>
      </c>
      <c r="D60" t="n">
        <v>24</v>
      </c>
      <c r="E60" t="n">
        <v>249.6</v>
      </c>
      <c r="F60" t="n">
        <v>332.8</v>
      </c>
      <c r="G60">
        <f>F60-E60</f>
        <v/>
      </c>
    </row>
    <row r="61">
      <c r="A61" t="inlineStr">
        <is>
          <t>LP-1106</t>
        </is>
      </c>
      <c r="B61" t="inlineStr">
        <is>
          <t>Marisa Alexander</t>
        </is>
      </c>
      <c r="C61" t="n">
        <v>18.6</v>
      </c>
      <c r="D61" t="n">
        <v>19</v>
      </c>
      <c r="E61" t="n">
        <v>197.6</v>
      </c>
      <c r="F61" t="n">
        <v>249.6</v>
      </c>
      <c r="G61">
        <f>F61-E61</f>
        <v/>
      </c>
    </row>
    <row r="62">
      <c r="A62" t="inlineStr">
        <is>
          <t>LP-1108</t>
        </is>
      </c>
      <c r="B62" t="inlineStr">
        <is>
          <t>Victoria Aguirre</t>
        </is>
      </c>
      <c r="C62" t="n">
        <v>30.9</v>
      </c>
      <c r="D62" t="n">
        <v>31</v>
      </c>
      <c r="E62" t="n">
        <v>322.4</v>
      </c>
      <c r="F62" t="n">
        <v>332.8</v>
      </c>
      <c r="G62">
        <f>F62-E62</f>
        <v/>
      </c>
    </row>
    <row r="63">
      <c r="A63" t="inlineStr">
        <is>
          <t>LP-1112</t>
        </is>
      </c>
      <c r="B63" t="inlineStr">
        <is>
          <t>Nicole Richmond</t>
        </is>
      </c>
      <c r="C63" t="n">
        <v>34.5</v>
      </c>
      <c r="D63" t="n">
        <v>35</v>
      </c>
      <c r="E63" t="n">
        <v>364</v>
      </c>
      <c r="F63" t="n">
        <v>416</v>
      </c>
      <c r="G63">
        <f>F63-E63</f>
        <v/>
      </c>
    </row>
    <row r="64">
      <c r="A64" t="inlineStr">
        <is>
          <t>LP-1113</t>
        </is>
      </c>
      <c r="B64" t="inlineStr">
        <is>
          <t>Whitney Jackson</t>
        </is>
      </c>
      <c r="C64" t="n">
        <v>18</v>
      </c>
      <c r="D64" t="n">
        <v>18</v>
      </c>
      <c r="E64" t="n">
        <v>187.2</v>
      </c>
      <c r="F64" t="n">
        <v>249.6</v>
      </c>
      <c r="G64">
        <f>F64-E64</f>
        <v/>
      </c>
    </row>
    <row r="65">
      <c r="A65" t="inlineStr">
        <is>
          <t>LP-1114</t>
        </is>
      </c>
      <c r="B65" t="inlineStr">
        <is>
          <t>Sara Nelson</t>
        </is>
      </c>
      <c r="C65" t="n">
        <v>21.4</v>
      </c>
      <c r="D65" t="n">
        <v>22</v>
      </c>
      <c r="E65" t="n">
        <v>228.8</v>
      </c>
      <c r="F65" t="n">
        <v>332.8</v>
      </c>
      <c r="G65">
        <f>F65-E65</f>
        <v/>
      </c>
    </row>
    <row r="66">
      <c r="A66" t="inlineStr">
        <is>
          <t>LP-1120</t>
        </is>
      </c>
      <c r="B66" t="inlineStr">
        <is>
          <t>Deborah Freeman</t>
        </is>
      </c>
      <c r="C66" t="n">
        <v>24.1</v>
      </c>
      <c r="D66" t="n">
        <v>25</v>
      </c>
      <c r="E66" t="n">
        <v>260</v>
      </c>
      <c r="F66" t="n">
        <v>332.8</v>
      </c>
      <c r="G66">
        <f>F66-E66</f>
        <v/>
      </c>
    </row>
    <row r="67">
      <c r="A67" t="inlineStr">
        <is>
          <t>VB-0108</t>
        </is>
      </c>
      <c r="B67" t="inlineStr">
        <is>
          <t>Jerry Davis</t>
        </is>
      </c>
      <c r="C67" t="n">
        <v>29.7</v>
      </c>
      <c r="D67" t="n">
        <v>30</v>
      </c>
      <c r="E67" t="n">
        <v>312</v>
      </c>
      <c r="F67" t="n">
        <v>332.8</v>
      </c>
      <c r="G67">
        <f>F67-E67</f>
        <v/>
      </c>
    </row>
    <row r="68">
      <c r="A68" t="inlineStr">
        <is>
          <t>VB-0113</t>
        </is>
      </c>
      <c r="B68" t="inlineStr">
        <is>
          <t>Kimberly Solomon</t>
        </is>
      </c>
      <c r="C68" t="n">
        <v>24.8</v>
      </c>
      <c r="D68" t="n">
        <v>25</v>
      </c>
      <c r="E68" t="n">
        <v>260</v>
      </c>
      <c r="F68" t="n">
        <v>291.2</v>
      </c>
      <c r="G68">
        <f>F68-E68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 ID</t>
        </is>
      </c>
      <c r="B1" t="inlineStr">
        <is>
          <t>Event Date</t>
        </is>
      </c>
      <c r="C1" t="inlineStr">
        <is>
          <t>Event Type</t>
        </is>
      </c>
      <c r="D1" t="inlineStr">
        <is>
          <t>Exception Type</t>
        </is>
      </c>
      <c r="E1" t="inlineStr">
        <is>
          <t>Details</t>
        </is>
      </c>
    </row>
    <row r="2">
      <c r="A2" t="inlineStr">
        <is>
          <t>WL-01695</t>
        </is>
      </c>
      <c r="B2" t="inlineStr">
        <is>
          <t>2023-01-10</t>
        </is>
      </c>
      <c r="C2" t="inlineStr">
        <is>
          <t>Skip</t>
        </is>
      </c>
      <c r="D2" t="inlineStr">
        <is>
          <t>No contemporaneous proof</t>
        </is>
      </c>
      <c r="E2" t="inlineStr">
        <is>
          <t>Reason: vessel-fit</t>
        </is>
      </c>
    </row>
    <row r="3">
      <c r="A3" t="inlineStr">
        <is>
          <t>WL-03523</t>
        </is>
      </c>
      <c r="B3" t="inlineStr">
        <is>
          <t>2023-03-15</t>
        </is>
      </c>
      <c r="C3" t="inlineStr">
        <is>
          <t>Skip</t>
        </is>
      </c>
      <c r="D3" t="inlineStr">
        <is>
          <t>No contemporaneous proof</t>
        </is>
      </c>
      <c r="E3" t="inlineStr">
        <is>
          <t>Reason: vessel-fit</t>
        </is>
      </c>
    </row>
    <row r="4">
      <c r="A4" t="inlineStr">
        <is>
          <t>WL-01781</t>
        </is>
      </c>
      <c r="B4" t="inlineStr">
        <is>
          <t>2023-06-15</t>
        </is>
      </c>
      <c r="C4" t="inlineStr">
        <is>
          <t>Skip</t>
        </is>
      </c>
      <c r="D4" t="inlineStr">
        <is>
          <t>No contemporaneous proof</t>
        </is>
      </c>
      <c r="E4" t="inlineStr">
        <is>
          <t>Reason: preference-mismatch</t>
        </is>
      </c>
    </row>
    <row r="5">
      <c r="A5" t="inlineStr">
        <is>
          <t>WL-03844</t>
        </is>
      </c>
      <c r="B5" t="inlineStr">
        <is>
          <t>2023-09-16</t>
        </is>
      </c>
      <c r="C5" t="inlineStr">
        <is>
          <t>Skip</t>
        </is>
      </c>
      <c r="D5" t="inlineStr">
        <is>
          <t>No contemporaneous proof</t>
        </is>
      </c>
      <c r="E5" t="inlineStr">
        <is>
          <t>Reason: vessel-fit</t>
        </is>
      </c>
    </row>
    <row r="6">
      <c r="A6" t="inlineStr">
        <is>
          <t>WL-02285</t>
        </is>
      </c>
      <c r="B6" t="inlineStr">
        <is>
          <t>2023-09-11</t>
        </is>
      </c>
      <c r="C6" t="inlineStr">
        <is>
          <t>Skip</t>
        </is>
      </c>
      <c r="D6" t="inlineStr">
        <is>
          <t>No contemporaneous proof</t>
        </is>
      </c>
      <c r="E6" t="inlineStr">
        <is>
          <t>Reason: declined-prior-offer</t>
        </is>
      </c>
    </row>
    <row r="7">
      <c r="A7" t="inlineStr">
        <is>
          <t>WL-01950</t>
        </is>
      </c>
      <c r="B7" t="inlineStr">
        <is>
          <t>2024-04-02</t>
        </is>
      </c>
      <c r="C7" t="inlineStr">
        <is>
          <t>Skip</t>
        </is>
      </c>
      <c r="D7" t="inlineStr">
        <is>
          <t>No contemporaneous proof</t>
        </is>
      </c>
      <c r="E7" t="inlineStr">
        <is>
          <t>Reason: vessel-fit</t>
        </is>
      </c>
    </row>
    <row r="8">
      <c r="A8" t="inlineStr">
        <is>
          <t>WL-02948</t>
        </is>
      </c>
      <c r="B8" t="inlineStr">
        <is>
          <t>2024-04-21</t>
        </is>
      </c>
      <c r="C8" t="inlineStr">
        <is>
          <t>Skip</t>
        </is>
      </c>
      <c r="D8" t="inlineStr">
        <is>
          <t>No contemporaneous proof</t>
        </is>
      </c>
      <c r="E8" t="inlineStr">
        <is>
          <t>Reason: vessel-fit</t>
        </is>
      </c>
    </row>
    <row r="9">
      <c r="A9" t="inlineStr">
        <is>
          <t>WL-01144</t>
        </is>
      </c>
      <c r="B9" t="inlineStr">
        <is>
          <t>2024-06-05</t>
        </is>
      </c>
      <c r="C9" t="inlineStr">
        <is>
          <t>Skip</t>
        </is>
      </c>
      <c r="D9" t="inlineStr">
        <is>
          <t>No contemporaneous proof</t>
        </is>
      </c>
      <c r="E9" t="inlineStr">
        <is>
          <t>Reason: vessel-fit</t>
        </is>
      </c>
    </row>
    <row r="10">
      <c r="A10" t="inlineStr">
        <is>
          <t>WL-02598</t>
        </is>
      </c>
      <c r="B10" t="inlineStr">
        <is>
          <t>2024-11-17</t>
        </is>
      </c>
      <c r="C10" t="inlineStr">
        <is>
          <t>Skip</t>
        </is>
      </c>
      <c r="D10" t="inlineStr">
        <is>
          <t>No contemporaneous proof</t>
        </is>
      </c>
      <c r="E10" t="inlineStr">
        <is>
          <t>Reason: vessel-fit</t>
        </is>
      </c>
    </row>
    <row r="11">
      <c r="A11" t="inlineStr">
        <is>
          <t>WL-02298</t>
        </is>
      </c>
      <c r="B11" t="inlineStr">
        <is>
          <t>2025-07-06</t>
        </is>
      </c>
      <c r="C11" t="inlineStr">
        <is>
          <t>Skip</t>
        </is>
      </c>
      <c r="D11" t="inlineStr">
        <is>
          <t>No contemporaneous proof</t>
        </is>
      </c>
      <c r="E11" t="inlineStr">
        <is>
          <t>Reason: vessel-fit</t>
        </is>
      </c>
    </row>
    <row r="12">
      <c r="A12" t="inlineStr">
        <is>
          <t>WL-03094</t>
        </is>
      </c>
      <c r="B12" t="inlineStr">
        <is>
          <t>2025-07-28</t>
        </is>
      </c>
      <c r="C12" t="inlineStr">
        <is>
          <t>Skip</t>
        </is>
      </c>
      <c r="D12" t="inlineStr">
        <is>
          <t>No contemporaneous proof</t>
        </is>
      </c>
      <c r="E12" t="inlineStr">
        <is>
          <t>Reason: not-current</t>
        </is>
      </c>
    </row>
    <row r="13">
      <c r="A13" t="inlineStr">
        <is>
          <t>WL-02838</t>
        </is>
      </c>
      <c r="B13" t="inlineStr">
        <is>
          <t>2025-08-28</t>
        </is>
      </c>
      <c r="C13" t="inlineStr">
        <is>
          <t>Skip</t>
        </is>
      </c>
      <c r="D13" t="inlineStr">
        <is>
          <t>No contemporaneous proof</t>
        </is>
      </c>
      <c r="E13" t="inlineStr">
        <is>
          <t>Reason: declined-prior-offer</t>
        </is>
      </c>
    </row>
    <row r="14">
      <c r="A14" t="inlineStr">
        <is>
          <t>WL-01089</t>
        </is>
      </c>
      <c r="B14" t="inlineStr">
        <is>
          <t>2025-10-11</t>
        </is>
      </c>
      <c r="C14" t="inlineStr">
        <is>
          <t>Skip</t>
        </is>
      </c>
      <c r="D14" t="inlineStr">
        <is>
          <t>No contemporaneous proof</t>
        </is>
      </c>
      <c r="E14" t="inlineStr">
        <is>
          <t>Reason: vessel-fit</t>
        </is>
      </c>
    </row>
    <row r="15">
      <c r="A15" t="inlineStr">
        <is>
          <t>WL-03054</t>
        </is>
      </c>
      <c r="B15" t="inlineStr">
        <is>
          <t>2026-01-01</t>
        </is>
      </c>
      <c r="C15" t="inlineStr">
        <is>
          <t>Skip</t>
        </is>
      </c>
      <c r="D15" t="inlineStr">
        <is>
          <t>No contemporaneous proof</t>
        </is>
      </c>
      <c r="E15" t="inlineStr">
        <is>
          <t>Reason: vessel-fit</t>
        </is>
      </c>
    </row>
    <row r="16">
      <c r="A16" t="inlineStr">
        <is>
          <t>WL-03896</t>
        </is>
      </c>
      <c r="B16" t="inlineStr">
        <is>
          <t>2026-05-08</t>
        </is>
      </c>
      <c r="C16" t="inlineStr">
        <is>
          <t>Skip</t>
        </is>
      </c>
      <c r="D16" t="inlineStr">
        <is>
          <t>No contemporaneous proof</t>
        </is>
      </c>
      <c r="E16" t="inlineStr">
        <is>
          <t>Reason: vessel-fit</t>
        </is>
      </c>
    </row>
    <row r="17">
      <c r="A17" t="inlineStr">
        <is>
          <t>WL-01936</t>
        </is>
      </c>
      <c r="B17" t="inlineStr">
        <is>
          <t>2026-06-22</t>
        </is>
      </c>
      <c r="C17" t="inlineStr">
        <is>
          <t>Skip</t>
        </is>
      </c>
      <c r="D17" t="inlineStr">
        <is>
          <t>No contemporaneous proof</t>
        </is>
      </c>
      <c r="E17" t="inlineStr">
        <is>
          <t>Reason: not-current</t>
        </is>
      </c>
    </row>
    <row r="18">
      <c r="A18" t="inlineStr">
        <is>
          <t>WL-02618</t>
        </is>
      </c>
      <c r="B18" t="inlineStr">
        <is>
          <t>2023-05-02</t>
        </is>
      </c>
      <c r="C18" t="inlineStr">
        <is>
          <t>Skip</t>
        </is>
      </c>
      <c r="D18" t="inlineStr">
        <is>
          <t>No contemporaneous proof</t>
        </is>
      </c>
      <c r="E18" t="inlineStr">
        <is>
          <t>Reason: vessel-fit</t>
        </is>
      </c>
    </row>
    <row r="19">
      <c r="A19" t="inlineStr">
        <is>
          <t>WL-03044</t>
        </is>
      </c>
      <c r="B19" t="inlineStr">
        <is>
          <t>2024-02-20</t>
        </is>
      </c>
      <c r="C19" t="inlineStr">
        <is>
          <t>Skip</t>
        </is>
      </c>
      <c r="D19" t="inlineStr">
        <is>
          <t>No contemporaneous proof</t>
        </is>
      </c>
      <c r="E19" t="inlineStr">
        <is>
          <t>Reason: preference-mismatch</t>
        </is>
      </c>
    </row>
    <row r="20">
      <c r="A20" t="inlineStr">
        <is>
          <t>WL-03390</t>
        </is>
      </c>
      <c r="B20" t="inlineStr">
        <is>
          <t>2024-11-05</t>
        </is>
      </c>
      <c r="C20" t="inlineStr">
        <is>
          <t>Skip</t>
        </is>
      </c>
      <c r="D20" t="inlineStr">
        <is>
          <t>No contemporaneous proof</t>
        </is>
      </c>
      <c r="E20" t="inlineStr">
        <is>
          <t>Reason: declined-prior-offer</t>
        </is>
      </c>
    </row>
    <row r="21">
      <c r="A21" t="inlineStr">
        <is>
          <t>WL-02085</t>
        </is>
      </c>
      <c r="B21" t="inlineStr">
        <is>
          <t>2026-02-10</t>
        </is>
      </c>
      <c r="C21" t="inlineStr">
        <is>
          <t>Offer</t>
        </is>
      </c>
      <c r="D21" t="inlineStr">
        <is>
          <t>Use of uncertified length</t>
        </is>
      </c>
      <c r="E21" t="inlineStr">
        <is>
          <t>Offer OFR-2026-1292 accepted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Tenant</t>
        </is>
      </c>
      <c r="C1" t="inlineStr">
        <is>
          <t>Slip ID</t>
        </is>
      </c>
      <c r="D1" t="inlineStr">
        <is>
          <t>Current</t>
        </is>
      </c>
      <c r="E1" t="inlineStr">
        <is>
          <t>30 Days</t>
        </is>
      </c>
      <c r="F1" t="inlineStr">
        <is>
          <t>60 Days</t>
        </is>
      </c>
      <c r="G1" t="inlineStr">
        <is>
          <t>90 Days</t>
        </is>
      </c>
      <c r="H1" t="inlineStr">
        <is>
          <t>120+ Days</t>
        </is>
      </c>
      <c r="I1" t="inlineStr">
        <is>
          <t>Total Due</t>
        </is>
      </c>
    </row>
    <row r="2">
      <c r="A2" t="inlineStr">
        <is>
          <t>AC-LP-0122</t>
        </is>
      </c>
      <c r="B2" t="inlineStr">
        <is>
          <t>Paula Arroyo</t>
        </is>
      </c>
      <c r="C2" t="inlineStr">
        <is>
          <t>LP-0122</t>
        </is>
      </c>
      <c r="D2" t="n">
        <v>509.6</v>
      </c>
      <c r="E2" t="n">
        <v>509.6</v>
      </c>
      <c r="F2" t="n">
        <v>509.6</v>
      </c>
      <c r="G2" t="n">
        <v>509.6</v>
      </c>
      <c r="H2" t="n">
        <v>0</v>
      </c>
      <c r="I2">
        <f>SUM(D2:H2)</f>
        <v/>
      </c>
    </row>
    <row r="3">
      <c r="A3" t="inlineStr">
        <is>
          <t>AC-LP-0402</t>
        </is>
      </c>
      <c r="B3" t="inlineStr">
        <is>
          <t>Dawn Brown</t>
        </is>
      </c>
      <c r="C3" t="inlineStr">
        <is>
          <t>LP-0402</t>
        </is>
      </c>
      <c r="D3" t="n">
        <v>384.8</v>
      </c>
      <c r="E3" t="n">
        <v>384.8</v>
      </c>
      <c r="F3" t="n">
        <v>384.8</v>
      </c>
      <c r="G3" t="n">
        <v>384.8</v>
      </c>
      <c r="H3" t="n">
        <v>0</v>
      </c>
      <c r="I3">
        <f>SUM(D3:H3)</f>
        <v/>
      </c>
    </row>
    <row r="4">
      <c r="A4" t="inlineStr">
        <is>
          <t>AC-LP-0602</t>
        </is>
      </c>
      <c r="B4" t="inlineStr">
        <is>
          <t>Lee Maldonado</t>
        </is>
      </c>
      <c r="C4" t="inlineStr">
        <is>
          <t>LP-0602</t>
        </is>
      </c>
      <c r="D4" t="n">
        <v>603.2</v>
      </c>
      <c r="E4" t="n">
        <v>603.2</v>
      </c>
      <c r="F4" t="n">
        <v>603.2</v>
      </c>
      <c r="G4" t="n">
        <v>603.2</v>
      </c>
      <c r="H4" t="n">
        <v>603.2</v>
      </c>
      <c r="I4">
        <f>SUM(D4:H4)</f>
        <v/>
      </c>
    </row>
    <row r="5">
      <c r="A5" t="inlineStr">
        <is>
          <t>AC-LP-0605</t>
        </is>
      </c>
      <c r="B5" t="inlineStr">
        <is>
          <t>Andrew Anderson</t>
        </is>
      </c>
      <c r="C5" t="inlineStr">
        <is>
          <t>LP-0605</t>
        </is>
      </c>
      <c r="D5" t="n">
        <v>530.4</v>
      </c>
      <c r="E5" t="n">
        <v>530.4</v>
      </c>
      <c r="F5" t="n">
        <v>530.4</v>
      </c>
      <c r="G5" t="n">
        <v>530.4</v>
      </c>
      <c r="H5" t="n">
        <v>0</v>
      </c>
      <c r="I5">
        <f>SUM(D5:H5)</f>
        <v/>
      </c>
    </row>
    <row r="6">
      <c r="A6" t="inlineStr">
        <is>
          <t>AC-LP-0713</t>
        </is>
      </c>
      <c r="B6" t="inlineStr">
        <is>
          <t>Stacey Mitchell</t>
        </is>
      </c>
      <c r="C6" t="inlineStr">
        <is>
          <t>LP-0713</t>
        </is>
      </c>
      <c r="D6" t="n">
        <v>416</v>
      </c>
      <c r="E6" t="n">
        <v>416</v>
      </c>
      <c r="F6" t="n">
        <v>416</v>
      </c>
      <c r="G6" t="n">
        <v>416</v>
      </c>
      <c r="H6" t="n">
        <v>832</v>
      </c>
      <c r="I6">
        <f>SUM(D6:H6)</f>
        <v/>
      </c>
    </row>
    <row r="7">
      <c r="A7" t="inlineStr">
        <is>
          <t>AC-LP-0801</t>
        </is>
      </c>
      <c r="B7" t="inlineStr">
        <is>
          <t>Allison Nguyen</t>
        </is>
      </c>
      <c r="C7" t="inlineStr">
        <is>
          <t>LP-0801</t>
        </is>
      </c>
      <c r="D7" t="n">
        <v>488.8</v>
      </c>
      <c r="E7" t="n">
        <v>488.8</v>
      </c>
      <c r="F7" t="n">
        <v>488.8</v>
      </c>
      <c r="G7" t="n">
        <v>488.8</v>
      </c>
      <c r="H7" t="n">
        <v>0</v>
      </c>
      <c r="I7">
        <f>SUM(D7:H7)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2026-09-07T12:20:56Z</dcterms:created>
  <dcterms:modified xmlns:dcterms="http://purl.org/dc/terms/" xmlns:xsi="http://www.w3.org/2001/XMLSchema-instance" xsi:type="dcterms:W3CDTF">2026-09-07T12:20:56Z</dcterms:modified>
</cp:coreProperties>
</file>