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ue Exceptions" sheetId="2" state="visible" r:id="rId2"/>
    <sheet xmlns:r="http://schemas.openxmlformats.org/officeDocument/2006/relationships" name="Billing Reconciliations" sheetId="3" state="visible" r:id="rId3"/>
    <sheet xmlns:r="http://schemas.openxmlformats.org/officeDocument/2006/relationships" name="Aging" sheetId="4" state="visible" r:id="rId4"/>
  </sheets>
  <definedNames>
    <definedName name="_xlnm.Print_Area" localSheetId="0">'Summary'!$A$1:$F$25</definedName>
    <definedName name="_xlnm.Print_Titles" localSheetId="1">'Queue Exceptions'!10:10</definedName>
    <definedName name="_xlnm.Print_Area" localSheetId="1">'Queue Exceptions'!$A$1:$L$13</definedName>
    <definedName name="_xlnm.Print_Titles" localSheetId="2">'Billing Reconciliations'!1:9</definedName>
    <definedName name="_xlnm.Print_Area" localSheetId="2">'Billing Reconciliations'!$A$1:$J$7</definedName>
    <definedName name="_xlnm.Print_Titles" localSheetId="3">'Aging'!1:9</definedName>
    <definedName name="_xlnm.Print_Area" localSheetId="3">'Aging'!$A$1:$O$17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$#,##0.00;[Red]-$#,##0.00"/>
    <numFmt numFmtId="165" formatCode="yyyy-mm-dd h:mm:ss"/>
    <numFmt numFmtId="166" formatCode="yyyy-mm-dd"/>
    <numFmt numFmtId="167" formatCode="0.0"/>
    <numFmt numFmtId="168" formatCode="$0.00"/>
    <numFmt numFmtId="169" formatCode="0.0%"/>
  </numFmts>
  <fonts count="10">
    <font>
      <name val="Calibri"/>
      <family val="2"/>
      <color theme="1"/>
      <sz val="11"/>
      <scheme val="minor"/>
    </font>
    <font>
      <name val="Liberation Sans"/>
      <b val="1"/>
      <color rgb="00FFFFFF"/>
      <sz val="18"/>
    </font>
    <font>
      <name val="Liberation Sans"/>
      <i val="1"/>
      <color rgb="00566573"/>
      <sz val="10"/>
    </font>
    <font>
      <name val="Liberation Sans"/>
      <b val="1"/>
      <color rgb="00147D7E"/>
      <sz val="10"/>
    </font>
    <font>
      <name val="Liberation Sans"/>
      <color rgb="001C2833"/>
      <sz val="9"/>
    </font>
    <font>
      <name val="Liberation Sans"/>
      <b val="1"/>
      <color rgb="001C2833"/>
      <sz val="9"/>
    </font>
    <font>
      <name val="Liberation Sans"/>
      <b val="1"/>
      <color rgb="001C2833"/>
      <sz val="8.5"/>
    </font>
    <font>
      <name val="Liberation Sans"/>
      <color rgb="001C2833"/>
      <sz val="8.5"/>
    </font>
    <font>
      <name val="Liberation Sans"/>
      <b val="1"/>
      <color rgb="00FFFFFF"/>
      <sz val="9"/>
    </font>
    <font>
      <name val="Liberation Sans"/>
      <color rgb="001C2833"/>
      <sz val="9.5"/>
    </font>
  </fonts>
  <fills count="9">
    <fill>
      <patternFill/>
    </fill>
    <fill>
      <patternFill patternType="gray125"/>
    </fill>
    <fill>
      <patternFill patternType="solid">
        <fgColor rgb="0018324A"/>
      </patternFill>
    </fill>
    <fill>
      <patternFill patternType="solid">
        <fgColor rgb="00FFFFFF"/>
      </patternFill>
    </fill>
    <fill>
      <patternFill patternType="solid">
        <fgColor rgb="00EDF3F7"/>
      </patternFill>
    </fill>
    <fill>
      <patternFill patternType="solid">
        <fgColor rgb="00FFF3D6"/>
      </patternFill>
    </fill>
    <fill>
      <patternFill patternType="solid">
        <fgColor rgb="00DDEFEF"/>
      </patternFill>
    </fill>
    <fill>
      <patternFill patternType="solid">
        <fgColor rgb="00147D7E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CCD6DD"/>
      </left>
      <right style="thin">
        <color rgb="00CCD6DD"/>
      </right>
      <top style="thin">
        <color rgb="00CCD6DD"/>
      </top>
      <bottom style="thin">
        <color rgb="00CCD6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6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164" fontId="5" fillId="6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top" wrapText="1"/>
    </xf>
    <xf numFmtId="167" fontId="7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8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right" vertical="center"/>
    </xf>
    <xf numFmtId="164" fontId="9" fillId="0" borderId="1" applyAlignment="1" pivotButton="0" quotePrefix="0" xfId="0">
      <alignment vertical="top" wrapText="1"/>
    </xf>
    <xf numFmtId="169" fontId="9" fillId="0" borderId="1" applyAlignment="1" pivotButton="0" quotePrefix="0" xfId="0">
      <alignment vertical="top" wrapText="1"/>
    </xf>
    <xf numFmtId="169" fontId="8" fillId="2" borderId="1" applyAlignment="1" pivotButton="0" quotePrefix="0" xfId="0">
      <alignment horizontal="right" vertical="center"/>
    </xf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4F2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ueueExceptionTable" displayName="QueueExceptionTable" ref="A10:L13" headerRowCount="1">
  <autoFilter ref="A10:L13"/>
  <tableColumns count="12">
    <tableColumn id="1" name="Priority"/>
    <tableColumn id="2" name="Applicant ID"/>
    <tableColumn id="3" name="Skip date"/>
    <tableColumn id="4" name="Rank"/>
    <tableColumn id="5" name="Reason code"/>
    <tableColumn id="6" name="Physical-file slip"/>
    <tableColumn id="7" name="Skip-export slip"/>
    <tableColumn id="8" name="Required contemporaneous support"/>
    <tableColumn id="9" name="File at work date"/>
    <tableColumn id="10" name="LOA s.4.3 test"/>
    <tableColumn id="11" name="Result"/>
    <tableColumn id="12" name="Appeal risk / record 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illingReconciliationTable" displayName="BillingReconciliationTable" ref="A9:P269" headerRowCount="1">
  <autoFilter ref="A9:P269"/>
  <tableColumns count="16">
    <tableColumn id="1" name="Account ID"/>
    <tableColumn id="2" name="Tenant"/>
    <tableColumn id="3" name="Slip ID"/>
    <tableColumn id="4" name="Basin"/>
    <tableColumn id="5" name="Basin type"/>
    <tableColumn id="6" name="Slip status"/>
    <tableColumn id="7" name="Inventory LOA ft"/>
    <tableColumn id="8" name="Posted slip ft"/>
    <tableColumn id="9" name="Billable ft"/>
    <tableColumn id="10" name="July current charge"/>
    <tableColumn id="11" name="Applicable rate"/>
    <tableColumn id="12" name="Expected charge"/>
    <tableColumn id="13" name="Variance"/>
    <tableColumn id="14" name="Leakage"/>
    <tableColumn id="15" name="Status"/>
    <tableColumn id="16" name="Source 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gingExceptionTable" displayName="AgingExceptionTable" ref="A9:O15" headerRowCount="1">
  <autoFilter ref="A9:O15"/>
  <tableColumns count="15">
    <tableColumn id="1" name="Account ID"/>
    <tableColumn id="2" name="Tenant"/>
    <tableColumn id="3" name="Slip ID"/>
    <tableColumn id="4" name="Basin"/>
    <tableColumn id="5" name="Current"/>
    <tableColumn id="6" name="31-60"/>
    <tableColumn id="7" name="61-90"/>
    <tableColumn id="8" name="91-120"/>
    <tableColumn id="9" name="120+"/>
    <tableColumn id="10" name="&gt;90 balance"/>
    <tableColumn id="11" name="Total due"/>
    <tableColumn id="12" name="% due &gt;90"/>
    <tableColumn id="13" name="Last payment"/>
    <tableColumn id="14" name="Active?"/>
    <tableColumn id="15" name="Source row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18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Chaldale Moorage Audit | August 2026</t>
        </is>
      </c>
    </row>
    <row r="2" ht="28" customHeight="1">
      <c r="A2" s="2" t="inlineStr">
        <is>
          <t>Administrator Ginny Marina | Audit period: January 1, 2023 through July 31, 2026 | Prepared August 1, 2026</t>
        </is>
      </c>
    </row>
    <row r="4">
      <c r="A4" s="3" t="inlineStr">
        <is>
          <t>BOARD-LEVEL RESULTS</t>
        </is>
      </c>
    </row>
    <row r="5" ht="26" customHeight="1">
      <c r="A5" s="4" t="inlineStr">
        <is>
          <t>Queue files lacking contemporaneous support</t>
        </is>
      </c>
      <c r="B5" s="5">
        <f>COUNTIF('Queue Exceptions'!$K$11:$K$13,"EXCEPTION")</f>
        <v/>
      </c>
      <c r="C5" s="4" t="inlineStr">
        <is>
          <t>files</t>
        </is>
      </c>
      <c r="D5" s="4">
        <f>IF(B5=0,"No queue exceptions identified",B5&amp;" files require appeal review")</f>
        <v/>
      </c>
      <c r="E5" s="4" t="n"/>
      <c r="F5" s="4" t="n"/>
    </row>
    <row r="6" ht="26" customHeight="1">
      <c r="A6" s="6" t="inlineStr">
        <is>
          <t>Unsupported LOA uses in in-window skips</t>
        </is>
      </c>
      <c r="B6" s="7">
        <f>COUNTIF('Queue Exceptions'!$J$11:$J$13,"UNSUPPORTED")</f>
        <v/>
      </c>
      <c r="C6" s="6" t="inlineStr">
        <is>
          <t>events</t>
        </is>
      </c>
      <c r="D6" s="6">
        <f>IF(B6=0,"No unsupported-length exceptions identified","Unsupported-length exceptions identified")</f>
        <v/>
      </c>
      <c r="E6" s="6" t="n"/>
      <c r="F6" s="6" t="n"/>
    </row>
    <row r="7" ht="26" customHeight="1">
      <c r="A7" s="4" t="inlineStr">
        <is>
          <t>Billing rate / length exceptions</t>
        </is>
      </c>
      <c r="B7" s="5">
        <f>COUNTIF('Billing Reconciliations'!$O$10:$O$269,"&lt;&gt;OK")</f>
        <v/>
      </c>
      <c r="C7" s="4" t="inlineStr">
        <is>
          <t>accounts</t>
        </is>
      </c>
      <c r="D7" s="4">
        <f>IF(B7=0,"No billing exceptions identified",B7&amp;" billing exceptions identified")</f>
        <v/>
      </c>
      <c r="E7" s="4" t="n"/>
      <c r="F7" s="4" t="n"/>
    </row>
    <row r="8" ht="26" customHeight="1">
      <c r="A8" s="6" t="inlineStr">
        <is>
          <t>Identified monthly revenue leakage</t>
        </is>
      </c>
      <c r="B8" s="8">
        <f>SUM('Billing Reconciliations'!$N$10:$N$269)</f>
        <v/>
      </c>
      <c r="C8" s="6" t="inlineStr">
        <is>
          <t>per month</t>
        </is>
      </c>
      <c r="D8" s="6">
        <f>IF(B8=0,"No rate/length leakage in reconciled ledger population","Recovery review required")</f>
        <v/>
      </c>
      <c r="E8" s="6" t="n"/>
      <c r="F8" s="6" t="n"/>
    </row>
    <row r="9" ht="26" customHeight="1">
      <c r="A9" s="4" t="inlineStr">
        <is>
          <t>Active holders more than 90 days delinquent</t>
        </is>
      </c>
      <c r="B9" s="5">
        <f>COUNTIF(Aging!$N$10:$N$15,"ACTIVE")</f>
        <v/>
      </c>
      <c r="C9" s="4" t="inlineStr">
        <is>
          <t>holders</t>
        </is>
      </c>
      <c r="D9" s="4">
        <f>B9&amp;" active accounts require collections review"</f>
        <v/>
      </c>
      <c r="E9" s="4" t="n"/>
      <c r="F9" s="4" t="n"/>
    </row>
    <row r="10" ht="26" customHeight="1">
      <c r="A10" s="6" t="inlineStr">
        <is>
          <t>Balance more than 90 days</t>
        </is>
      </c>
      <c r="B10" s="8">
        <f>SUM(Aging!$J$10:$J$15)</f>
        <v/>
      </c>
      <c r="C10" s="6" t="inlineStr">
        <is>
          <t>aged receivable</t>
        </is>
      </c>
      <c r="D10" s="6">
        <f>"91-120 plus 120+ buckets"</f>
        <v/>
      </c>
      <c r="E10" s="6" t="n"/>
      <c r="F10" s="6" t="n"/>
    </row>
    <row r="11" ht="26" customHeight="1">
      <c r="A11" s="4" t="inlineStr">
        <is>
          <t>Total due from those holders</t>
        </is>
      </c>
      <c r="B11" s="9">
        <f>SUM(Aging!$K$10:$K$15)</f>
        <v/>
      </c>
      <c r="C11" s="4" t="inlineStr">
        <is>
          <t>all aging buckets</t>
        </is>
      </c>
      <c r="D11" s="4">
        <f>"Separate from revenue leakage"</f>
        <v/>
      </c>
      <c r="E11" s="4" t="n"/>
      <c r="F11" s="4" t="n"/>
    </row>
    <row r="14">
      <c r="A14" s="3" t="inlineStr">
        <is>
          <t>AUDIT BASIS AND DECISIONS</t>
        </is>
      </c>
    </row>
    <row r="15" ht="46" customHeight="1">
      <c r="A15" s="10" t="inlineStr">
        <is>
          <t>Queue scope</t>
        </is>
      </c>
      <c r="B15" s="11" t="inlineStr">
        <is>
          <t>309 skip-register rows dated 2023-01-01 through 2026-07-31; the exception schedule reports only files explicitly evidenced as cover-sheet-only. The physical file controls completeness; the absent date-specific day logs prevent resolution of conflicting slip IDs.</t>
        </is>
      </c>
      <c r="C15" s="11" t="n"/>
      <c r="D15" s="11" t="n"/>
      <c r="E15" s="11" t="n"/>
      <c r="F15" s="11" t="n"/>
    </row>
    <row r="16" ht="46" customHeight="1">
      <c r="A16" s="12" t="inlineStr">
        <is>
          <t>Documentation rule</t>
        </is>
      </c>
      <c r="B16" s="13" t="inlineStr">
        <is>
          <t>Standing Order 15-3 sections 3.2-3.3: same-day cover sheet plus reason-specific support. A cover sheet alone does not satisfy the standard.</t>
        </is>
      </c>
      <c r="C16" s="13" t="n"/>
      <c r="D16" s="13" t="n"/>
      <c r="E16" s="13" t="n"/>
      <c r="F16" s="13" t="n"/>
    </row>
    <row r="17" ht="46" customHeight="1">
      <c r="A17" s="10" t="inlineStr">
        <is>
          <t>LOA rule</t>
        </is>
      </c>
      <c r="B17" s="11" t="inlineStr">
        <is>
          <t>Resolution 2022-06 sections 4.3 and 8.1: post-2022-08-01 LOA amendments require a measurement certificate or yard haul-out measurement at entry. No unsupported amendment was used in an in-window skip; WL-03102 is supported.</t>
        </is>
      </c>
      <c r="C17" s="11" t="n"/>
      <c r="D17" s="11" t="n"/>
      <c r="E17" s="11" t="n"/>
      <c r="F17" s="11" t="n"/>
    </row>
    <row r="18" ht="46" customHeight="1">
      <c r="A18" s="12" t="inlineStr">
        <is>
          <t>Billing basis</t>
        </is>
      </c>
      <c r="B18" s="13" t="inlineStr">
        <is>
          <t>260 active accounts carried on AR_Aging at 2026-07-31. Expected charge = greater of rounded-up inventory LOA and posted slip length, multiplied by $10.40 covered or $7.55 open. This is a rate/length test, not an occupancy-to-ledger completeness test.</t>
        </is>
      </c>
      <c r="C18" s="13" t="n"/>
      <c r="D18" s="13" t="n"/>
      <c r="E18" s="13" t="n"/>
      <c r="F18" s="13" t="n"/>
    </row>
    <row r="19" ht="46" customHeight="1">
      <c r="A19" s="10" t="inlineStr">
        <is>
          <t>Aging basis</t>
        </is>
      </c>
      <c r="B19" s="11" t="inlineStr">
        <is>
          <t>More than 90 days means the source ledger's days_90 (labeled 91-120 on its Summary sheet) plus days_120_plus. Delinquency is receivable exposure, not revenue leakage.</t>
        </is>
      </c>
      <c r="C19" s="11" t="n"/>
      <c r="D19" s="11" t="n"/>
      <c r="E19" s="11" t="n"/>
      <c r="F19" s="11" t="n"/>
    </row>
    <row r="20" ht="46" customHeight="1">
      <c r="A20" s="12" t="inlineStr">
        <is>
          <t>Source hierarchy</t>
        </is>
      </c>
      <c r="B20" s="13" t="inlineStr">
        <is>
          <t>The tariff and Board resolution govern rate and measurement. Standing Order 15-3 governs file assembly. Where the skip register and physical file disagree on slip identity, the missing contemporaneous day log would settle the conflict; the discrepancy remains an appeal risk.</t>
        </is>
      </c>
      <c r="C20" s="13" t="n"/>
      <c r="D20" s="13" t="n"/>
      <c r="E20" s="13" t="n"/>
      <c r="F20" s="13" t="n"/>
    </row>
    <row r="22">
      <c r="A22" s="3" t="inlineStr">
        <is>
          <t>PRIORITY ACTIONS</t>
        </is>
      </c>
    </row>
    <row r="23" ht="34" customHeight="1">
      <c r="A23" s="14" t="inlineStr">
        <is>
          <t>1</t>
        </is>
      </c>
      <c r="B23" s="15" t="inlineStr">
        <is>
          <t>Preserve and retrieve the date-specific day logs and original offer packets for WL-03390, WL-03044, and WL-02618 before any appeal response.</t>
        </is>
      </c>
      <c r="C23" s="15" t="n"/>
      <c r="D23" s="15" t="n"/>
      <c r="E23" s="15" t="n"/>
      <c r="F23" s="15" t="n"/>
    </row>
    <row r="24" ht="34" customHeight="1">
      <c r="A24" s="16" t="inlineStr">
        <is>
          <t>2</t>
        </is>
      </c>
      <c r="B24" s="4" t="inlineStr">
        <is>
          <t>Place WL-03390 first: the cited prior offer is absent from the offer export and the physical and electronic slip IDs conflict.</t>
        </is>
      </c>
      <c r="C24" s="4" t="n"/>
      <c r="D24" s="4" t="n"/>
      <c r="E24" s="4" t="n"/>
      <c r="F24" s="4" t="n"/>
    </row>
    <row r="25" ht="34" customHeight="1">
      <c r="A25" s="16" t="inlineStr">
        <is>
          <t>3</t>
        </is>
      </c>
      <c r="B25" s="4" t="inlineStr">
        <is>
          <t>Refer the six Aging-tab accounts to collections while keeping the $4,368 aged balance separate from the $0 identified billing leakage.</t>
        </is>
      </c>
      <c r="C25" s="4" t="n"/>
      <c r="D25" s="4" t="n"/>
      <c r="E25" s="4" t="n"/>
      <c r="F25" s="4" t="n"/>
    </row>
  </sheetData>
  <mergeCells count="21">
    <mergeCell ref="A1:F1"/>
    <mergeCell ref="A2:F2"/>
    <mergeCell ref="A4:F4"/>
    <mergeCell ref="D5:F5"/>
    <mergeCell ref="D6:F6"/>
    <mergeCell ref="D7:F7"/>
    <mergeCell ref="D8:F8"/>
    <mergeCell ref="D9:F9"/>
    <mergeCell ref="D10:F10"/>
    <mergeCell ref="D11:F11"/>
    <mergeCell ref="A14:F14"/>
    <mergeCell ref="B15:F15"/>
    <mergeCell ref="B16:F16"/>
    <mergeCell ref="B17:F17"/>
    <mergeCell ref="B18:F18"/>
    <mergeCell ref="B19:F19"/>
    <mergeCell ref="B20:F20"/>
    <mergeCell ref="A22:F22"/>
    <mergeCell ref="B23:F23"/>
    <mergeCell ref="B24:F24"/>
    <mergeCell ref="B25:F25"/>
  </mergeCells>
  <pageMargins left="0.25" right="0.25" top="0.45" bottom="0.45" header="0.18" footer="0.18"/>
  <pageSetup orientation="landscape" paperSize="1" fitToHeight="1" fitToWidth="1"/>
  <headerFooter>
    <oddHeader>&amp;L&amp;8 &amp;K566573CONFIDENTIAL - BOARD REVIEW</oddHeader>
    <oddFooter>&amp;C&amp;8 Chaldale Harbor District | Moorage audit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showGridLines="0" zoomScale="85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8" customWidth="1" min="4" max="4"/>
    <col width="20" customWidth="1" min="5" max="5"/>
    <col width="16" customWidth="1" min="6" max="6"/>
    <col width="16" customWidth="1" min="7" max="7"/>
    <col width="25" customWidth="1" min="8" max="8"/>
    <col width="17" customWidth="1" min="9" max="9"/>
    <col width="20" customWidth="1" min="10" max="10"/>
    <col width="13" customWidth="1" min="11" max="11"/>
    <col width="54" customWidth="1" min="12" max="12"/>
  </cols>
  <sheetData>
    <row r="1" ht="30" customHeight="1">
      <c r="A1" s="1" t="inlineStr">
        <is>
          <t>Queue Exceptions</t>
        </is>
      </c>
    </row>
    <row r="2" ht="28" customHeight="1">
      <c r="A2" s="2" t="inlineStr">
        <is>
          <t>Same-day support test under Standing Order 15-3; LOA amendment test under Resolution 2022-06 section 4.3</t>
        </is>
      </c>
    </row>
    <row r="4" ht="27" customHeight="1">
      <c r="A4" s="17" t="inlineStr">
        <is>
          <t>Documentation exceptions</t>
        </is>
      </c>
      <c r="B4" s="17">
        <f>COUNTIF($K$11:$K$13,"EXCEPTION")</f>
        <v/>
      </c>
      <c r="C4" s="18" t="n"/>
      <c r="D4" s="17" t="inlineStr">
        <is>
          <t>Unsupported LOA uses</t>
        </is>
      </c>
      <c r="E4" s="17">
        <f>COUNTIF($J$11:$J$13,"UNSUPPORTED")</f>
        <v/>
      </c>
      <c r="F4" s="18" t="n"/>
      <c r="G4" s="17" t="inlineStr">
        <is>
          <t>Status</t>
        </is>
      </c>
      <c r="H4" s="18">
        <f>IF(E4=0,"No unsupported-length exceptions identified","Unsupported-length exception(s) identified")</f>
        <v/>
      </c>
      <c r="I4" s="18" t="n"/>
      <c r="J4" s="18" t="n"/>
      <c r="K4" s="18" t="n"/>
      <c r="L4" s="18" t="n"/>
    </row>
    <row r="6" ht="28" customHeight="1">
      <c r="A6" s="15" t="inlineStr">
        <is>
          <t>Finding basis: the skip_events export marks these records N with no documentation type and explicitly notes 'Cover sheet only - supporting record not attached'; each physical PDF ends at its cover sheet. The physical files and export disagree on slip identity, so the date-specific day log required by Standing Order 15-3 section 1.1 is needed before the District can defend the merits.</t>
        </is>
      </c>
    </row>
    <row r="7" ht="28" customHeight="1"/>
    <row r="10" ht="32" customHeight="1">
      <c r="A10" s="19" t="inlineStr">
        <is>
          <t>Priority</t>
        </is>
      </c>
      <c r="B10" s="19" t="inlineStr">
        <is>
          <t>Applicant ID</t>
        </is>
      </c>
      <c r="C10" s="19" t="inlineStr">
        <is>
          <t>Skip date</t>
        </is>
      </c>
      <c r="D10" s="19" t="inlineStr">
        <is>
          <t>Rank</t>
        </is>
      </c>
      <c r="E10" s="19" t="inlineStr">
        <is>
          <t>Reason code</t>
        </is>
      </c>
      <c r="F10" s="19" t="inlineStr">
        <is>
          <t>Physical-file slip</t>
        </is>
      </c>
      <c r="G10" s="19" t="inlineStr">
        <is>
          <t>Skip-export slip</t>
        </is>
      </c>
      <c r="H10" s="19" t="inlineStr">
        <is>
          <t>Required contemporaneous support</t>
        </is>
      </c>
      <c r="I10" s="19" t="inlineStr">
        <is>
          <t>File at work date</t>
        </is>
      </c>
      <c r="J10" s="19" t="inlineStr">
        <is>
          <t>LOA s.4.3 test</t>
        </is>
      </c>
      <c r="K10" s="19" t="inlineStr">
        <is>
          <t>Result</t>
        </is>
      </c>
      <c r="L10" s="19" t="inlineStr">
        <is>
          <t>Appeal risk / record action</t>
        </is>
      </c>
    </row>
    <row r="11" ht="78" customHeight="1">
      <c r="A11" s="20" t="inlineStr">
        <is>
          <t>CRITICAL</t>
        </is>
      </c>
      <c r="B11" s="21" t="inlineStr">
        <is>
          <t>WL-03390</t>
        </is>
      </c>
      <c r="C11" s="22" t="n">
        <v>45601</v>
      </c>
      <c r="D11" s="21" t="n">
        <v>2390</v>
      </c>
      <c r="E11" s="21" t="inlineStr">
        <is>
          <t>declined-prior-offer</t>
        </is>
      </c>
      <c r="F11" s="21" t="inlineStr">
        <is>
          <t>VB-0144</t>
        </is>
      </c>
      <c r="G11" s="21" t="inlineStr">
        <is>
          <t>SB-0120</t>
        </is>
      </c>
      <c r="H11" s="21" t="inlineStr">
        <is>
          <t>Prior offer by date and slip</t>
        </is>
      </c>
      <c r="I11" s="21" t="inlineStr">
        <is>
          <t>Cover sheet only</t>
        </is>
      </c>
      <c r="J11" s="21" t="inlineStr">
        <is>
          <t>NO AMENDMENT USED</t>
        </is>
      </c>
      <c r="K11" s="20">
        <f>IF(I11="Complete","CLEARED","EXCEPTION")</f>
        <v/>
      </c>
      <c r="L11" s="21" t="inlineStr">
        <is>
          <t>No prior-offer support; cited OFR-2024-0402 is absent from offer export; physical and export slip IDs conflict. Source: WL-03390 skip file p.1; skip_events row 411; offer_events export</t>
        </is>
      </c>
    </row>
    <row r="12" ht="78" customHeight="1">
      <c r="A12" s="23" t="inlineStr">
        <is>
          <t>HIGH</t>
        </is>
      </c>
      <c r="B12" s="21" t="inlineStr">
        <is>
          <t>WL-02618</t>
        </is>
      </c>
      <c r="C12" s="22" t="n">
        <v>45048</v>
      </c>
      <c r="D12" s="21" t="n">
        <v>1618</v>
      </c>
      <c r="E12" s="21" t="inlineStr">
        <is>
          <t>vessel-fit</t>
        </is>
      </c>
      <c r="F12" s="21" t="inlineStr">
        <is>
          <t>EW-0414</t>
        </is>
      </c>
      <c r="G12" s="21" t="inlineStr">
        <is>
          <t>GW-0610</t>
        </is>
      </c>
      <c r="H12" s="21" t="inlineStr">
        <is>
          <t>Vessel particulars relied on</t>
        </is>
      </c>
      <c r="I12" s="21" t="inlineStr">
        <is>
          <t>Cover sheet only</t>
        </is>
      </c>
      <c r="J12" s="21" t="inlineStr">
        <is>
          <t>NO AMENDMENT USED</t>
        </is>
      </c>
      <c r="K12" s="20">
        <f>IF(I12="Complete","CLEARED","EXCEPTION")</f>
        <v/>
      </c>
      <c r="L12" s="21" t="inlineStr">
        <is>
          <t>No particulars; physical and export slip IDs conflict; current register chronology cannot sustain the 2023 merits. Source: WL-02618 skip file p.1; skip_events row 409; applicant register row 1619</t>
        </is>
      </c>
    </row>
    <row r="13" ht="78" customHeight="1">
      <c r="A13" s="23" t="inlineStr">
        <is>
          <t>HIGH</t>
        </is>
      </c>
      <c r="B13" s="21" t="inlineStr">
        <is>
          <t>WL-03044</t>
        </is>
      </c>
      <c r="C13" s="22" t="n">
        <v>45342</v>
      </c>
      <c r="D13" s="21" t="n">
        <v>2044</v>
      </c>
      <c r="E13" s="21" t="inlineStr">
        <is>
          <t>preference-mismatch</t>
        </is>
      </c>
      <c r="F13" s="21" t="inlineStr">
        <is>
          <t>EW-0603</t>
        </is>
      </c>
      <c r="G13" s="21" t="inlineStr">
        <is>
          <t>VB-0904</t>
        </is>
      </c>
      <c r="H13" s="21" t="inlineStr">
        <is>
          <t>Recorded preference sheet</t>
        </is>
      </c>
      <c r="I13" s="21" t="inlineStr">
        <is>
          <t>Cover sheet only</t>
        </is>
      </c>
      <c r="J13" s="21" t="inlineStr">
        <is>
          <t>NO AMENDMENT USED</t>
        </is>
      </c>
      <c r="K13" s="20">
        <f>IF(I13="Complete","CLEARED","EXCEPTION")</f>
        <v/>
      </c>
      <c r="L13" s="21" t="inlineStr">
        <is>
          <t>No preference sheet; current register preference and export slip conflict with the cover sheet. Source: WL-03044 skip file p.1; skip_events row 410; applicant register row 2045</t>
        </is>
      </c>
    </row>
  </sheetData>
  <mergeCells count="4">
    <mergeCell ref="A1:L1"/>
    <mergeCell ref="A2:L2"/>
    <mergeCell ref="H4:L4"/>
    <mergeCell ref="A6:L7"/>
  </mergeCells>
  <pageMargins left="0.25" right="0.25" top="0.45" bottom="0.45" header="0.18" footer="0.18"/>
  <pageSetup orientation="landscape" paperSize="5" fitToHeight="1" fitToWidth="1"/>
  <headerFooter>
    <oddHeader>&amp;L&amp;8 &amp;K566573CONFIDENTIAL - BOARD REVIEW</oddHeader>
    <oddFooter>&amp;C&amp;8 Queue exceptions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71"/>
  <sheetViews>
    <sheetView showGridLines="0" zoomScale="8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3" customWidth="1" min="3" max="3"/>
    <col width="14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8" customWidth="1" min="10" max="10"/>
    <col width="15" customWidth="1" min="11" max="11"/>
    <col width="17" customWidth="1" min="12" max="12"/>
    <col width="14" customWidth="1" min="13" max="13"/>
    <col width="14" customWidth="1" min="14" max="14"/>
    <col width="14" customWidth="1" min="15" max="15"/>
    <col width="30" customWidth="1" min="16" max="16"/>
  </cols>
  <sheetData>
    <row r="1" ht="30" customHeight="1">
      <c r="A1" s="1" t="inlineStr">
        <is>
          <t>Billing Reconciliations</t>
        </is>
      </c>
    </row>
    <row r="2" ht="28" customHeight="1">
      <c r="A2" s="2" t="inlineStr">
        <is>
          <t>Active accounts appearing on the July 31, 2026 aging ledger; current charge re-priced from inventory LOA, posted slip length, and Board rates</t>
        </is>
      </c>
    </row>
    <row r="4" ht="27" customHeight="1">
      <c r="A4" s="17" t="inlineStr">
        <is>
          <t>Accounts tested</t>
        </is>
      </c>
      <c r="B4" s="17">
        <f>COUNTA($A$10:$A$269)</f>
        <v/>
      </c>
      <c r="C4" s="17" t="inlineStr">
        <is>
          <t>Exceptions</t>
        </is>
      </c>
      <c r="D4" s="17">
        <f>COUNTIF($O$10:$O$269,"&lt;&gt;OK")</f>
        <v/>
      </c>
      <c r="E4" s="17" t="inlineStr">
        <is>
          <t>Monthly leakage</t>
        </is>
      </c>
      <c r="F4" s="24">
        <f>SUM($N$10:$N$269)</f>
        <v/>
      </c>
      <c r="G4" s="17" t="inlineStr">
        <is>
          <t>Status</t>
        </is>
      </c>
      <c r="H4" s="18">
        <f>IF(D4=0,"No billing exceptions identified",D4&amp;" exception(s) listed below")</f>
        <v/>
      </c>
      <c r="I4" s="18" t="n"/>
      <c r="J4" s="18" t="n"/>
      <c r="K4" s="18" t="n"/>
      <c r="L4" s="18" t="n"/>
      <c r="M4" s="18" t="n"/>
      <c r="N4" s="18" t="n"/>
      <c r="O4" s="18" t="n"/>
      <c r="P4" s="18" t="n"/>
    </row>
    <row r="5" ht="27" customHeight="1">
      <c r="A5" s="25" t="inlineStr">
        <is>
          <t>Expected monthly</t>
        </is>
      </c>
      <c r="B5" s="26">
        <f>SUM($L$10:$L$269)</f>
        <v/>
      </c>
      <c r="C5" s="25" t="inlineStr">
        <is>
          <t>Billed monthly</t>
        </is>
      </c>
      <c r="D5" s="26">
        <f>SUM($J$10:$J$269)</f>
        <v/>
      </c>
      <c r="E5" s="25" t="inlineStr">
        <is>
          <t>Net variance</t>
        </is>
      </c>
      <c r="F5" s="26">
        <f>SUM($M$10:$M$269)</f>
        <v/>
      </c>
      <c r="G5" s="25" t="inlineStr">
        <is>
          <t>Control result</t>
        </is>
      </c>
      <c r="H5" s="6">
        <f>IF(ABS(F5)&lt;0.005,"Expected and billed totals agree","Variance requires review")</f>
        <v/>
      </c>
      <c r="I5" s="6" t="n"/>
      <c r="J5" s="6" t="n"/>
      <c r="K5" s="6" t="n"/>
      <c r="L5" s="6" t="n"/>
      <c r="M5" s="6" t="n"/>
      <c r="N5" s="6" t="n"/>
      <c r="O5" s="6" t="n"/>
      <c r="P5" s="6" t="n"/>
    </row>
    <row r="6" ht="28" customHeight="1">
      <c r="A6" s="6" t="inlineStr">
        <is>
          <t>Formula basis: billable feet = MAX(ROUNDUP(inventory LOA, 0), posted slip feet); applicable rate = $10.40 for Ledgport/Vessbank and $7.55 for Eastwey/Gullwing/Salmonberry; variance = expected charge - July current charge. Sources: Tariff Resolution 2019-14 sections 1(4) and 2.4, as amended by Resolution 2022-06 sections 1.1-1.3; AR_Aging rows 3-262; slip_inventory_2026-08.csv. The formula-driven 260-account detail remains available below this print control panel for filtering and re-performance.</t>
        </is>
      </c>
    </row>
    <row r="7" ht="28" customHeight="1"/>
    <row r="9" ht="32" customHeight="1">
      <c r="A9" s="19" t="inlineStr">
        <is>
          <t>Account ID</t>
        </is>
      </c>
      <c r="B9" s="19" t="inlineStr">
        <is>
          <t>Tenant</t>
        </is>
      </c>
      <c r="C9" s="19" t="inlineStr">
        <is>
          <t>Slip ID</t>
        </is>
      </c>
      <c r="D9" s="19" t="inlineStr">
        <is>
          <t>Basin</t>
        </is>
      </c>
      <c r="E9" s="19" t="inlineStr">
        <is>
          <t>Basin type</t>
        </is>
      </c>
      <c r="F9" s="19" t="inlineStr">
        <is>
          <t>Slip status</t>
        </is>
      </c>
      <c r="G9" s="19" t="inlineStr">
        <is>
          <t>Inventory LOA ft</t>
        </is>
      </c>
      <c r="H9" s="19" t="inlineStr">
        <is>
          <t>Posted slip ft</t>
        </is>
      </c>
      <c r="I9" s="19" t="inlineStr">
        <is>
          <t>Billable ft</t>
        </is>
      </c>
      <c r="J9" s="19" t="inlineStr">
        <is>
          <t>July current charge</t>
        </is>
      </c>
      <c r="K9" s="19" t="inlineStr">
        <is>
          <t>Applicable rate</t>
        </is>
      </c>
      <c r="L9" s="19" t="inlineStr">
        <is>
          <t>Expected charge</t>
        </is>
      </c>
      <c r="M9" s="19" t="inlineStr">
        <is>
          <t>Variance</t>
        </is>
      </c>
      <c r="N9" s="19" t="inlineStr">
        <is>
          <t>Leakage</t>
        </is>
      </c>
      <c r="O9" s="19" t="inlineStr">
        <is>
          <t>Status</t>
        </is>
      </c>
      <c r="P9" s="19" t="inlineStr">
        <is>
          <t>Source rows</t>
        </is>
      </c>
    </row>
    <row r="10" ht="23" customHeight="1">
      <c r="A10" s="27" t="inlineStr">
        <is>
          <t>AC-LP-0101</t>
        </is>
      </c>
      <c r="B10" s="27" t="inlineStr">
        <is>
          <t>Elizabeth Burns</t>
        </is>
      </c>
      <c r="C10" s="27" t="inlineStr">
        <is>
          <t>LP-0101</t>
        </is>
      </c>
      <c r="D10" s="27" t="inlineStr">
        <is>
          <t>Ledgport</t>
        </is>
      </c>
      <c r="E10" s="27" t="inlineStr">
        <is>
          <t>covered</t>
        </is>
      </c>
      <c r="F10" s="27" t="inlineStr">
        <is>
          <t>OCCUPIED</t>
        </is>
      </c>
      <c r="G10" s="28" t="n">
        <v>51</v>
      </c>
      <c r="H10" s="28" t="n">
        <v>24</v>
      </c>
      <c r="I10" s="28">
        <f>MAX(ROUNDUP(G10,0),H10)</f>
        <v/>
      </c>
      <c r="J10" s="29" t="n">
        <v>530.4</v>
      </c>
      <c r="K10" s="30">
        <f>IF(OR(D10="Ledgport",D10="Vessbank"),10.4,7.55)</f>
        <v/>
      </c>
      <c r="L10" s="29">
        <f>I10*K10</f>
        <v/>
      </c>
      <c r="M10" s="29">
        <f>L10-J10</f>
        <v/>
      </c>
      <c r="N10" s="29">
        <f>MAX(0,M10)</f>
        <v/>
      </c>
      <c r="O10" s="31">
        <f>IF(ABS(M10)&lt;0.005,"OK",IF(M10&gt;0,"UNDERBILLED","OVERBILLED"))</f>
        <v/>
      </c>
      <c r="P10" s="27" t="inlineStr">
        <is>
          <t>AR_Aging row 3; inventory row 2</t>
        </is>
      </c>
    </row>
    <row r="11" ht="23" customHeight="1">
      <c r="A11" s="27" t="inlineStr">
        <is>
          <t>AC-LP-0102</t>
        </is>
      </c>
      <c r="B11" s="27" t="inlineStr">
        <is>
          <t>Damon Phillips</t>
        </is>
      </c>
      <c r="C11" s="27" t="inlineStr">
        <is>
          <t>LP-0102</t>
        </is>
      </c>
      <c r="D11" s="27" t="inlineStr">
        <is>
          <t>Ledgport</t>
        </is>
      </c>
      <c r="E11" s="27" t="inlineStr">
        <is>
          <t>covered</t>
        </is>
      </c>
      <c r="F11" s="27" t="inlineStr">
        <is>
          <t>OCCUPIED</t>
        </is>
      </c>
      <c r="G11" s="28" t="n">
        <v>21.9</v>
      </c>
      <c r="H11" s="28" t="n">
        <v>40</v>
      </c>
      <c r="I11" s="28">
        <f>MAX(ROUNDUP(G11,0),H11)</f>
        <v/>
      </c>
      <c r="J11" s="29" t="n">
        <v>416</v>
      </c>
      <c r="K11" s="30">
        <f>IF(OR(D11="Ledgport",D11="Vessbank"),10.4,7.55)</f>
        <v/>
      </c>
      <c r="L11" s="29">
        <f>I11*K11</f>
        <v/>
      </c>
      <c r="M11" s="29">
        <f>L11-J11</f>
        <v/>
      </c>
      <c r="N11" s="29">
        <f>MAX(0,M11)</f>
        <v/>
      </c>
      <c r="O11" s="31">
        <f>IF(ABS(M11)&lt;0.005,"OK",IF(M11&gt;0,"UNDERBILLED","OVERBILLED"))</f>
        <v/>
      </c>
      <c r="P11" s="27" t="inlineStr">
        <is>
          <t>AR_Aging row 4; inventory row 3</t>
        </is>
      </c>
    </row>
    <row r="12" ht="23" customHeight="1">
      <c r="A12" s="27" t="inlineStr">
        <is>
          <t>AC-LP-0103</t>
        </is>
      </c>
      <c r="B12" s="27" t="inlineStr">
        <is>
          <t>Charles Hudson</t>
        </is>
      </c>
      <c r="C12" s="27" t="inlineStr">
        <is>
          <t>LP-0103</t>
        </is>
      </c>
      <c r="D12" s="27" t="inlineStr">
        <is>
          <t>Ledgport</t>
        </is>
      </c>
      <c r="E12" s="27" t="inlineStr">
        <is>
          <t>covered</t>
        </is>
      </c>
      <c r="F12" s="27" t="inlineStr">
        <is>
          <t>OCCUPIED</t>
        </is>
      </c>
      <c r="G12" s="28" t="n">
        <v>32.7</v>
      </c>
      <c r="H12" s="28" t="n">
        <v>28</v>
      </c>
      <c r="I12" s="28">
        <f>MAX(ROUNDUP(G12,0),H12)</f>
        <v/>
      </c>
      <c r="J12" s="29" t="n">
        <v>343.2</v>
      </c>
      <c r="K12" s="30">
        <f>IF(OR(D12="Ledgport",D12="Vessbank"),10.4,7.55)</f>
        <v/>
      </c>
      <c r="L12" s="29">
        <f>I12*K12</f>
        <v/>
      </c>
      <c r="M12" s="29">
        <f>L12-J12</f>
        <v/>
      </c>
      <c r="N12" s="29">
        <f>MAX(0,M12)</f>
        <v/>
      </c>
      <c r="O12" s="31">
        <f>IF(ABS(M12)&lt;0.005,"OK",IF(M12&gt;0,"UNDERBILLED","OVERBILLED"))</f>
        <v/>
      </c>
      <c r="P12" s="27" t="inlineStr">
        <is>
          <t>AR_Aging row 5; inventory row 4</t>
        </is>
      </c>
    </row>
    <row r="13" ht="23" customHeight="1">
      <c r="A13" s="27" t="inlineStr">
        <is>
          <t>AC-LP-0104</t>
        </is>
      </c>
      <c r="B13" s="27" t="inlineStr">
        <is>
          <t>Vincent Johnson</t>
        </is>
      </c>
      <c r="C13" s="27" t="inlineStr">
        <is>
          <t>LP-0104</t>
        </is>
      </c>
      <c r="D13" s="27" t="inlineStr">
        <is>
          <t>Ledgport</t>
        </is>
      </c>
      <c r="E13" s="27" t="inlineStr">
        <is>
          <t>covered</t>
        </is>
      </c>
      <c r="F13" s="27" t="inlineStr">
        <is>
          <t>OCCUPIED</t>
        </is>
      </c>
      <c r="G13" s="28" t="n">
        <v>42.8</v>
      </c>
      <c r="H13" s="28" t="n">
        <v>24</v>
      </c>
      <c r="I13" s="28">
        <f>MAX(ROUNDUP(G13,0),H13)</f>
        <v/>
      </c>
      <c r="J13" s="29" t="n">
        <v>447.2</v>
      </c>
      <c r="K13" s="30">
        <f>IF(OR(D13="Ledgport",D13="Vessbank"),10.4,7.55)</f>
        <v/>
      </c>
      <c r="L13" s="29">
        <f>I13*K13</f>
        <v/>
      </c>
      <c r="M13" s="29">
        <f>L13-J13</f>
        <v/>
      </c>
      <c r="N13" s="29">
        <f>MAX(0,M13)</f>
        <v/>
      </c>
      <c r="O13" s="31">
        <f>IF(ABS(M13)&lt;0.005,"OK",IF(M13&gt;0,"UNDERBILLED","OVERBILLED"))</f>
        <v/>
      </c>
      <c r="P13" s="27" t="inlineStr">
        <is>
          <t>AR_Aging row 6; inventory row 5</t>
        </is>
      </c>
    </row>
    <row r="14" ht="23" customHeight="1">
      <c r="A14" s="27" t="inlineStr">
        <is>
          <t>AC-LP-0105</t>
        </is>
      </c>
      <c r="B14" s="27" t="inlineStr">
        <is>
          <t>John Heath</t>
        </is>
      </c>
      <c r="C14" s="27" t="inlineStr">
        <is>
          <t>LP-0105</t>
        </is>
      </c>
      <c r="D14" s="27" t="inlineStr">
        <is>
          <t>Ledgport</t>
        </is>
      </c>
      <c r="E14" s="27" t="inlineStr">
        <is>
          <t>covered</t>
        </is>
      </c>
      <c r="F14" s="27" t="inlineStr">
        <is>
          <t>OCCUPIED</t>
        </is>
      </c>
      <c r="G14" s="28" t="n">
        <v>39</v>
      </c>
      <c r="H14" s="28" t="n">
        <v>36</v>
      </c>
      <c r="I14" s="28">
        <f>MAX(ROUNDUP(G14,0),H14)</f>
        <v/>
      </c>
      <c r="J14" s="29" t="n">
        <v>405.6</v>
      </c>
      <c r="K14" s="30">
        <f>IF(OR(D14="Ledgport",D14="Vessbank"),10.4,7.55)</f>
        <v/>
      </c>
      <c r="L14" s="29">
        <f>I14*K14</f>
        <v/>
      </c>
      <c r="M14" s="29">
        <f>L14-J14</f>
        <v/>
      </c>
      <c r="N14" s="29">
        <f>MAX(0,M14)</f>
        <v/>
      </c>
      <c r="O14" s="31">
        <f>IF(ABS(M14)&lt;0.005,"OK",IF(M14&gt;0,"UNDERBILLED","OVERBILLED"))</f>
        <v/>
      </c>
      <c r="P14" s="27" t="inlineStr">
        <is>
          <t>AR_Aging row 7; inventory row 6</t>
        </is>
      </c>
    </row>
    <row r="15" ht="23" customHeight="1">
      <c r="A15" s="27" t="inlineStr">
        <is>
          <t>AC-LP-0106</t>
        </is>
      </c>
      <c r="B15" s="27" t="inlineStr">
        <is>
          <t>Cheryl Elliott</t>
        </is>
      </c>
      <c r="C15" s="27" t="inlineStr">
        <is>
          <t>LP-0106</t>
        </is>
      </c>
      <c r="D15" s="27" t="inlineStr">
        <is>
          <t>Ledgport</t>
        </is>
      </c>
      <c r="E15" s="27" t="inlineStr">
        <is>
          <t>covered</t>
        </is>
      </c>
      <c r="F15" s="27" t="inlineStr">
        <is>
          <t>OCCUPIED</t>
        </is>
      </c>
      <c r="G15" s="28" t="n">
        <v>39</v>
      </c>
      <c r="H15" s="28" t="n">
        <v>24</v>
      </c>
      <c r="I15" s="28">
        <f>MAX(ROUNDUP(G15,0),H15)</f>
        <v/>
      </c>
      <c r="J15" s="29" t="n">
        <v>405.6</v>
      </c>
      <c r="K15" s="30">
        <f>IF(OR(D15="Ledgport",D15="Vessbank"),10.4,7.55)</f>
        <v/>
      </c>
      <c r="L15" s="29">
        <f>I15*K15</f>
        <v/>
      </c>
      <c r="M15" s="29">
        <f>L15-J15</f>
        <v/>
      </c>
      <c r="N15" s="29">
        <f>MAX(0,M15)</f>
        <v/>
      </c>
      <c r="O15" s="31">
        <f>IF(ABS(M15)&lt;0.005,"OK",IF(M15&gt;0,"UNDERBILLED","OVERBILLED"))</f>
        <v/>
      </c>
      <c r="P15" s="27" t="inlineStr">
        <is>
          <t>AR_Aging row 8; inventory row 7</t>
        </is>
      </c>
    </row>
    <row r="16" ht="23" customHeight="1">
      <c r="A16" s="27" t="inlineStr">
        <is>
          <t>AC-LP-0107</t>
        </is>
      </c>
      <c r="B16" s="27" t="inlineStr">
        <is>
          <t>Sean Charles</t>
        </is>
      </c>
      <c r="C16" s="27" t="inlineStr">
        <is>
          <t>LP-0107</t>
        </is>
      </c>
      <c r="D16" s="27" t="inlineStr">
        <is>
          <t>Ledgport</t>
        </is>
      </c>
      <c r="E16" s="27" t="inlineStr">
        <is>
          <t>covered</t>
        </is>
      </c>
      <c r="F16" s="27" t="inlineStr">
        <is>
          <t>OCCUPIED</t>
        </is>
      </c>
      <c r="G16" s="28" t="n">
        <v>30.4</v>
      </c>
      <c r="H16" s="28" t="n">
        <v>24</v>
      </c>
      <c r="I16" s="28">
        <f>MAX(ROUNDUP(G16,0),H16)</f>
        <v/>
      </c>
      <c r="J16" s="29" t="n">
        <v>322.4</v>
      </c>
      <c r="K16" s="30">
        <f>IF(OR(D16="Ledgport",D16="Vessbank"),10.4,7.55)</f>
        <v/>
      </c>
      <c r="L16" s="29">
        <f>I16*K16</f>
        <v/>
      </c>
      <c r="M16" s="29">
        <f>L16-J16</f>
        <v/>
      </c>
      <c r="N16" s="29">
        <f>MAX(0,M16)</f>
        <v/>
      </c>
      <c r="O16" s="31">
        <f>IF(ABS(M16)&lt;0.005,"OK",IF(M16&gt;0,"UNDERBILLED","OVERBILLED"))</f>
        <v/>
      </c>
      <c r="P16" s="27" t="inlineStr">
        <is>
          <t>AR_Aging row 9; inventory row 8</t>
        </is>
      </c>
    </row>
    <row r="17" ht="23" customHeight="1">
      <c r="A17" s="27" t="inlineStr">
        <is>
          <t>AC-LP-0108</t>
        </is>
      </c>
      <c r="B17" s="27" t="inlineStr">
        <is>
          <t>Alan Thomas</t>
        </is>
      </c>
      <c r="C17" s="27" t="inlineStr">
        <is>
          <t>LP-0108</t>
        </is>
      </c>
      <c r="D17" s="27" t="inlineStr">
        <is>
          <t>Ledgport</t>
        </is>
      </c>
      <c r="E17" s="27" t="inlineStr">
        <is>
          <t>covered</t>
        </is>
      </c>
      <c r="F17" s="27" t="inlineStr">
        <is>
          <t>OCCUPIED</t>
        </is>
      </c>
      <c r="G17" s="28" t="n">
        <v>23.4</v>
      </c>
      <c r="H17" s="28" t="n">
        <v>32</v>
      </c>
      <c r="I17" s="28">
        <f>MAX(ROUNDUP(G17,0),H17)</f>
        <v/>
      </c>
      <c r="J17" s="29" t="n">
        <v>332.8</v>
      </c>
      <c r="K17" s="30">
        <f>IF(OR(D17="Ledgport",D17="Vessbank"),10.4,7.55)</f>
        <v/>
      </c>
      <c r="L17" s="29">
        <f>I17*K17</f>
        <v/>
      </c>
      <c r="M17" s="29">
        <f>L17-J17</f>
        <v/>
      </c>
      <c r="N17" s="29">
        <f>MAX(0,M17)</f>
        <v/>
      </c>
      <c r="O17" s="31">
        <f>IF(ABS(M17)&lt;0.005,"OK",IF(M17&gt;0,"UNDERBILLED","OVERBILLED"))</f>
        <v/>
      </c>
      <c r="P17" s="27" t="inlineStr">
        <is>
          <t>AR_Aging row 10; inventory row 9</t>
        </is>
      </c>
    </row>
    <row r="18" ht="23" customHeight="1">
      <c r="A18" s="27" t="inlineStr">
        <is>
          <t>AC-LP-0109</t>
        </is>
      </c>
      <c r="B18" s="27" t="inlineStr">
        <is>
          <t>Sandra Sweeney</t>
        </is>
      </c>
      <c r="C18" s="27" t="inlineStr">
        <is>
          <t>LP-0109</t>
        </is>
      </c>
      <c r="D18" s="27" t="inlineStr">
        <is>
          <t>Ledgport</t>
        </is>
      </c>
      <c r="E18" s="27" t="inlineStr">
        <is>
          <t>covered</t>
        </is>
      </c>
      <c r="F18" s="27" t="inlineStr">
        <is>
          <t>OCCUPIED</t>
        </is>
      </c>
      <c r="G18" s="28" t="n">
        <v>20.8</v>
      </c>
      <c r="H18" s="28" t="n">
        <v>32</v>
      </c>
      <c r="I18" s="28">
        <f>MAX(ROUNDUP(G18,0),H18)</f>
        <v/>
      </c>
      <c r="J18" s="29" t="n">
        <v>332.8</v>
      </c>
      <c r="K18" s="30">
        <f>IF(OR(D18="Ledgport",D18="Vessbank"),10.4,7.55)</f>
        <v/>
      </c>
      <c r="L18" s="29">
        <f>I18*K18</f>
        <v/>
      </c>
      <c r="M18" s="29">
        <f>L18-J18</f>
        <v/>
      </c>
      <c r="N18" s="29">
        <f>MAX(0,M18)</f>
        <v/>
      </c>
      <c r="O18" s="31">
        <f>IF(ABS(M18)&lt;0.005,"OK",IF(M18&gt;0,"UNDERBILLED","OVERBILLED"))</f>
        <v/>
      </c>
      <c r="P18" s="27" t="inlineStr">
        <is>
          <t>AR_Aging row 11; inventory row 10</t>
        </is>
      </c>
    </row>
    <row r="19" ht="23" customHeight="1">
      <c r="A19" s="27" t="inlineStr">
        <is>
          <t>AC-LP-0110</t>
        </is>
      </c>
      <c r="B19" s="27" t="inlineStr">
        <is>
          <t>Jason Martinez</t>
        </is>
      </c>
      <c r="C19" s="27" t="inlineStr">
        <is>
          <t>LP-0110</t>
        </is>
      </c>
      <c r="D19" s="27" t="inlineStr">
        <is>
          <t>Ledgport</t>
        </is>
      </c>
      <c r="E19" s="27" t="inlineStr">
        <is>
          <t>covered</t>
        </is>
      </c>
      <c r="F19" s="27" t="inlineStr">
        <is>
          <t>OCCUPIED</t>
        </is>
      </c>
      <c r="G19" s="28" t="n">
        <v>26</v>
      </c>
      <c r="H19" s="28" t="n">
        <v>28</v>
      </c>
      <c r="I19" s="28">
        <f>MAX(ROUNDUP(G19,0),H19)</f>
        <v/>
      </c>
      <c r="J19" s="29" t="n">
        <v>291.2</v>
      </c>
      <c r="K19" s="30">
        <f>IF(OR(D19="Ledgport",D19="Vessbank"),10.4,7.55)</f>
        <v/>
      </c>
      <c r="L19" s="29">
        <f>I19*K19</f>
        <v/>
      </c>
      <c r="M19" s="29">
        <f>L19-J19</f>
        <v/>
      </c>
      <c r="N19" s="29">
        <f>MAX(0,M19)</f>
        <v/>
      </c>
      <c r="O19" s="31">
        <f>IF(ABS(M19)&lt;0.005,"OK",IF(M19&gt;0,"UNDERBILLED","OVERBILLED"))</f>
        <v/>
      </c>
      <c r="P19" s="27" t="inlineStr">
        <is>
          <t>AR_Aging row 12; inventory row 11</t>
        </is>
      </c>
    </row>
    <row r="20" ht="23" customHeight="1">
      <c r="A20" s="27" t="inlineStr">
        <is>
          <t>AC-LP-0111</t>
        </is>
      </c>
      <c r="B20" s="27" t="inlineStr">
        <is>
          <t>Denise Powers</t>
        </is>
      </c>
      <c r="C20" s="27" t="inlineStr">
        <is>
          <t>LP-0111</t>
        </is>
      </c>
      <c r="D20" s="27" t="inlineStr">
        <is>
          <t>Ledgport</t>
        </is>
      </c>
      <c r="E20" s="27" t="inlineStr">
        <is>
          <t>covered</t>
        </is>
      </c>
      <c r="F20" s="27" t="inlineStr">
        <is>
          <t>OCCUPIED</t>
        </is>
      </c>
      <c r="G20" s="28" t="n">
        <v>53.5</v>
      </c>
      <c r="H20" s="28" t="n">
        <v>40</v>
      </c>
      <c r="I20" s="28">
        <f>MAX(ROUNDUP(G20,0),H20)</f>
        <v/>
      </c>
      <c r="J20" s="29" t="n">
        <v>561.6</v>
      </c>
      <c r="K20" s="30">
        <f>IF(OR(D20="Ledgport",D20="Vessbank"),10.4,7.55)</f>
        <v/>
      </c>
      <c r="L20" s="29">
        <f>I20*K20</f>
        <v/>
      </c>
      <c r="M20" s="29">
        <f>L20-J20</f>
        <v/>
      </c>
      <c r="N20" s="29">
        <f>MAX(0,M20)</f>
        <v/>
      </c>
      <c r="O20" s="31">
        <f>IF(ABS(M20)&lt;0.005,"OK",IF(M20&gt;0,"UNDERBILLED","OVERBILLED"))</f>
        <v/>
      </c>
      <c r="P20" s="27" t="inlineStr">
        <is>
          <t>AR_Aging row 13; inventory row 12</t>
        </is>
      </c>
    </row>
    <row r="21" ht="23" customHeight="1">
      <c r="A21" s="27" t="inlineStr">
        <is>
          <t>AC-LP-0113</t>
        </is>
      </c>
      <c r="B21" s="27" t="inlineStr">
        <is>
          <t>Elizabeth Williams</t>
        </is>
      </c>
      <c r="C21" s="27" t="inlineStr">
        <is>
          <t>LP-0113</t>
        </is>
      </c>
      <c r="D21" s="27" t="inlineStr">
        <is>
          <t>Ledgport</t>
        </is>
      </c>
      <c r="E21" s="27" t="inlineStr">
        <is>
          <t>covered</t>
        </is>
      </c>
      <c r="F21" s="27" t="inlineStr">
        <is>
          <t>OCCUPIED</t>
        </is>
      </c>
      <c r="G21" s="28" t="n">
        <v>26</v>
      </c>
      <c r="H21" s="28" t="n">
        <v>36</v>
      </c>
      <c r="I21" s="28">
        <f>MAX(ROUNDUP(G21,0),H21)</f>
        <v/>
      </c>
      <c r="J21" s="29" t="n">
        <v>374.4</v>
      </c>
      <c r="K21" s="30">
        <f>IF(OR(D21="Ledgport",D21="Vessbank"),10.4,7.55)</f>
        <v/>
      </c>
      <c r="L21" s="29">
        <f>I21*K21</f>
        <v/>
      </c>
      <c r="M21" s="29">
        <f>L21-J21</f>
        <v/>
      </c>
      <c r="N21" s="29">
        <f>MAX(0,M21)</f>
        <v/>
      </c>
      <c r="O21" s="31">
        <f>IF(ABS(M21)&lt;0.005,"OK",IF(M21&gt;0,"UNDERBILLED","OVERBILLED"))</f>
        <v/>
      </c>
      <c r="P21" s="27" t="inlineStr">
        <is>
          <t>AR_Aging row 14; inventory row 14</t>
        </is>
      </c>
    </row>
    <row r="22" ht="23" customHeight="1">
      <c r="A22" s="27" t="inlineStr">
        <is>
          <t>AC-LP-0114</t>
        </is>
      </c>
      <c r="B22" s="27" t="inlineStr">
        <is>
          <t>William Powell</t>
        </is>
      </c>
      <c r="C22" s="27" t="inlineStr">
        <is>
          <t>LP-0114</t>
        </is>
      </c>
      <c r="D22" s="27" t="inlineStr">
        <is>
          <t>Ledgport</t>
        </is>
      </c>
      <c r="E22" s="27" t="inlineStr">
        <is>
          <t>covered</t>
        </is>
      </c>
      <c r="F22" s="27" t="inlineStr">
        <is>
          <t>OCCUPIED</t>
        </is>
      </c>
      <c r="G22" s="28" t="n">
        <v>28.2</v>
      </c>
      <c r="H22" s="28" t="n">
        <v>24</v>
      </c>
      <c r="I22" s="28">
        <f>MAX(ROUNDUP(G22,0),H22)</f>
        <v/>
      </c>
      <c r="J22" s="29" t="n">
        <v>301.6</v>
      </c>
      <c r="K22" s="30">
        <f>IF(OR(D22="Ledgport",D22="Vessbank"),10.4,7.55)</f>
        <v/>
      </c>
      <c r="L22" s="29">
        <f>I22*K22</f>
        <v/>
      </c>
      <c r="M22" s="29">
        <f>L22-J22</f>
        <v/>
      </c>
      <c r="N22" s="29">
        <f>MAX(0,M22)</f>
        <v/>
      </c>
      <c r="O22" s="31">
        <f>IF(ABS(M22)&lt;0.005,"OK",IF(M22&gt;0,"UNDERBILLED","OVERBILLED"))</f>
        <v/>
      </c>
      <c r="P22" s="27" t="inlineStr">
        <is>
          <t>AR_Aging row 15; inventory row 15</t>
        </is>
      </c>
    </row>
    <row r="23" ht="23" customHeight="1">
      <c r="A23" s="27" t="inlineStr">
        <is>
          <t>AC-LP-0115</t>
        </is>
      </c>
      <c r="B23" s="27" t="inlineStr">
        <is>
          <t>Matthew Thomas</t>
        </is>
      </c>
      <c r="C23" s="27" t="inlineStr">
        <is>
          <t>LP-0115</t>
        </is>
      </c>
      <c r="D23" s="27" t="inlineStr">
        <is>
          <t>Ledgport</t>
        </is>
      </c>
      <c r="E23" s="27" t="inlineStr">
        <is>
          <t>covered</t>
        </is>
      </c>
      <c r="F23" s="27" t="inlineStr">
        <is>
          <t>OCCUPIED</t>
        </is>
      </c>
      <c r="G23" s="28" t="n">
        <v>18.8</v>
      </c>
      <c r="H23" s="28" t="n">
        <v>28</v>
      </c>
      <c r="I23" s="28">
        <f>MAX(ROUNDUP(G23,0),H23)</f>
        <v/>
      </c>
      <c r="J23" s="29" t="n">
        <v>291.2</v>
      </c>
      <c r="K23" s="30">
        <f>IF(OR(D23="Ledgport",D23="Vessbank"),10.4,7.55)</f>
        <v/>
      </c>
      <c r="L23" s="29">
        <f>I23*K23</f>
        <v/>
      </c>
      <c r="M23" s="29">
        <f>L23-J23</f>
        <v/>
      </c>
      <c r="N23" s="29">
        <f>MAX(0,M23)</f>
        <v/>
      </c>
      <c r="O23" s="31">
        <f>IF(ABS(M23)&lt;0.005,"OK",IF(M23&gt;0,"UNDERBILLED","OVERBILLED"))</f>
        <v/>
      </c>
      <c r="P23" s="27" t="inlineStr">
        <is>
          <t>AR_Aging row 16; inventory row 16</t>
        </is>
      </c>
    </row>
    <row r="24" ht="23" customHeight="1">
      <c r="A24" s="27" t="inlineStr">
        <is>
          <t>AC-LP-0116</t>
        </is>
      </c>
      <c r="B24" s="27" t="inlineStr">
        <is>
          <t>Joseph Bishop</t>
        </is>
      </c>
      <c r="C24" s="27" t="inlineStr">
        <is>
          <t>LP-0116</t>
        </is>
      </c>
      <c r="D24" s="27" t="inlineStr">
        <is>
          <t>Ledgport</t>
        </is>
      </c>
      <c r="E24" s="27" t="inlineStr">
        <is>
          <t>covered</t>
        </is>
      </c>
      <c r="F24" s="27" t="inlineStr">
        <is>
          <t>OCCUPIED</t>
        </is>
      </c>
      <c r="G24" s="28" t="n">
        <v>19.2</v>
      </c>
      <c r="H24" s="28" t="n">
        <v>28</v>
      </c>
      <c r="I24" s="28">
        <f>MAX(ROUNDUP(G24,0),H24)</f>
        <v/>
      </c>
      <c r="J24" s="29" t="n">
        <v>291.2</v>
      </c>
      <c r="K24" s="30">
        <f>IF(OR(D24="Ledgport",D24="Vessbank"),10.4,7.55)</f>
        <v/>
      </c>
      <c r="L24" s="29">
        <f>I24*K24</f>
        <v/>
      </c>
      <c r="M24" s="29">
        <f>L24-J24</f>
        <v/>
      </c>
      <c r="N24" s="29">
        <f>MAX(0,M24)</f>
        <v/>
      </c>
      <c r="O24" s="31">
        <f>IF(ABS(M24)&lt;0.005,"OK",IF(M24&gt;0,"UNDERBILLED","OVERBILLED"))</f>
        <v/>
      </c>
      <c r="P24" s="27" t="inlineStr">
        <is>
          <t>AR_Aging row 17; inventory row 17</t>
        </is>
      </c>
    </row>
    <row r="25" ht="23" customHeight="1">
      <c r="A25" s="27" t="inlineStr">
        <is>
          <t>AC-LP-0117</t>
        </is>
      </c>
      <c r="B25" s="27" t="inlineStr">
        <is>
          <t>Benjamin Willis</t>
        </is>
      </c>
      <c r="C25" s="27" t="inlineStr">
        <is>
          <t>LP-0117</t>
        </is>
      </c>
      <c r="D25" s="27" t="inlineStr">
        <is>
          <t>Ledgport</t>
        </is>
      </c>
      <c r="E25" s="27" t="inlineStr">
        <is>
          <t>covered</t>
        </is>
      </c>
      <c r="F25" s="27" t="inlineStr">
        <is>
          <t>OCCUPIED</t>
        </is>
      </c>
      <c r="G25" s="28" t="n">
        <v>28.7</v>
      </c>
      <c r="H25" s="28" t="n">
        <v>32</v>
      </c>
      <c r="I25" s="28">
        <f>MAX(ROUNDUP(G25,0),H25)</f>
        <v/>
      </c>
      <c r="J25" s="29" t="n">
        <v>332.8</v>
      </c>
      <c r="K25" s="30">
        <f>IF(OR(D25="Ledgport",D25="Vessbank"),10.4,7.55)</f>
        <v/>
      </c>
      <c r="L25" s="29">
        <f>I25*K25</f>
        <v/>
      </c>
      <c r="M25" s="29">
        <f>L25-J25</f>
        <v/>
      </c>
      <c r="N25" s="29">
        <f>MAX(0,M25)</f>
        <v/>
      </c>
      <c r="O25" s="31">
        <f>IF(ABS(M25)&lt;0.005,"OK",IF(M25&gt;0,"UNDERBILLED","OVERBILLED"))</f>
        <v/>
      </c>
      <c r="P25" s="27" t="inlineStr">
        <is>
          <t>AR_Aging row 18; inventory row 18</t>
        </is>
      </c>
    </row>
    <row r="26" ht="23" customHeight="1">
      <c r="A26" s="27" t="inlineStr">
        <is>
          <t>AC-LP-0118</t>
        </is>
      </c>
      <c r="B26" s="27" t="inlineStr">
        <is>
          <t>Keith Powell</t>
        </is>
      </c>
      <c r="C26" s="27" t="inlineStr">
        <is>
          <t>LP-0118</t>
        </is>
      </c>
      <c r="D26" s="27" t="inlineStr">
        <is>
          <t>Ledgport</t>
        </is>
      </c>
      <c r="E26" s="27" t="inlineStr">
        <is>
          <t>covered</t>
        </is>
      </c>
      <c r="F26" s="27" t="inlineStr">
        <is>
          <t>OCCUPIED</t>
        </is>
      </c>
      <c r="G26" s="28" t="n">
        <v>22.1</v>
      </c>
      <c r="H26" s="28" t="n">
        <v>24</v>
      </c>
      <c r="I26" s="28">
        <f>MAX(ROUNDUP(G26,0),H26)</f>
        <v/>
      </c>
      <c r="J26" s="29" t="n">
        <v>249.6</v>
      </c>
      <c r="K26" s="30">
        <f>IF(OR(D26="Ledgport",D26="Vessbank"),10.4,7.55)</f>
        <v/>
      </c>
      <c r="L26" s="29">
        <f>I26*K26</f>
        <v/>
      </c>
      <c r="M26" s="29">
        <f>L26-J26</f>
        <v/>
      </c>
      <c r="N26" s="29">
        <f>MAX(0,M26)</f>
        <v/>
      </c>
      <c r="O26" s="31">
        <f>IF(ABS(M26)&lt;0.005,"OK",IF(M26&gt;0,"UNDERBILLED","OVERBILLED"))</f>
        <v/>
      </c>
      <c r="P26" s="27" t="inlineStr">
        <is>
          <t>AR_Aging row 19; inventory row 19</t>
        </is>
      </c>
    </row>
    <row r="27" ht="23" customHeight="1">
      <c r="A27" s="27" t="inlineStr">
        <is>
          <t>AC-LP-0119</t>
        </is>
      </c>
      <c r="B27" s="27" t="inlineStr">
        <is>
          <t>Walter Torres</t>
        </is>
      </c>
      <c r="C27" s="27" t="inlineStr">
        <is>
          <t>LP-0119</t>
        </is>
      </c>
      <c r="D27" s="27" t="inlineStr">
        <is>
          <t>Ledgport</t>
        </is>
      </c>
      <c r="E27" s="27" t="inlineStr">
        <is>
          <t>covered</t>
        </is>
      </c>
      <c r="F27" s="27" t="inlineStr">
        <is>
          <t>OCCUPIED</t>
        </is>
      </c>
      <c r="G27" s="28" t="n">
        <v>43.5</v>
      </c>
      <c r="H27" s="28" t="n">
        <v>24</v>
      </c>
      <c r="I27" s="28">
        <f>MAX(ROUNDUP(G27,0),H27)</f>
        <v/>
      </c>
      <c r="J27" s="29" t="n">
        <v>457.6</v>
      </c>
      <c r="K27" s="30">
        <f>IF(OR(D27="Ledgport",D27="Vessbank"),10.4,7.55)</f>
        <v/>
      </c>
      <c r="L27" s="29">
        <f>I27*K27</f>
        <v/>
      </c>
      <c r="M27" s="29">
        <f>L27-J27</f>
        <v/>
      </c>
      <c r="N27" s="29">
        <f>MAX(0,M27)</f>
        <v/>
      </c>
      <c r="O27" s="31">
        <f>IF(ABS(M27)&lt;0.005,"OK",IF(M27&gt;0,"UNDERBILLED","OVERBILLED"))</f>
        <v/>
      </c>
      <c r="P27" s="27" t="inlineStr">
        <is>
          <t>AR_Aging row 20; inventory row 20</t>
        </is>
      </c>
    </row>
    <row r="28" ht="23" customHeight="1">
      <c r="A28" s="27" t="inlineStr">
        <is>
          <t>AC-LP-0120</t>
        </is>
      </c>
      <c r="B28" s="27" t="inlineStr">
        <is>
          <t>Kayla Johnson</t>
        </is>
      </c>
      <c r="C28" s="27" t="inlineStr">
        <is>
          <t>LP-0120</t>
        </is>
      </c>
      <c r="D28" s="27" t="inlineStr">
        <is>
          <t>Ledgport</t>
        </is>
      </c>
      <c r="E28" s="27" t="inlineStr">
        <is>
          <t>covered</t>
        </is>
      </c>
      <c r="F28" s="27" t="inlineStr">
        <is>
          <t>OCCUPIED</t>
        </is>
      </c>
      <c r="G28" s="28" t="n">
        <v>30.8</v>
      </c>
      <c r="H28" s="28" t="n">
        <v>32</v>
      </c>
      <c r="I28" s="28">
        <f>MAX(ROUNDUP(G28,0),H28)</f>
        <v/>
      </c>
      <c r="J28" s="29" t="n">
        <v>332.8</v>
      </c>
      <c r="K28" s="30">
        <f>IF(OR(D28="Ledgport",D28="Vessbank"),10.4,7.55)</f>
        <v/>
      </c>
      <c r="L28" s="29">
        <f>I28*K28</f>
        <v/>
      </c>
      <c r="M28" s="29">
        <f>L28-J28</f>
        <v/>
      </c>
      <c r="N28" s="29">
        <f>MAX(0,M28)</f>
        <v/>
      </c>
      <c r="O28" s="31">
        <f>IF(ABS(M28)&lt;0.005,"OK",IF(M28&gt;0,"UNDERBILLED","OVERBILLED"))</f>
        <v/>
      </c>
      <c r="P28" s="27" t="inlineStr">
        <is>
          <t>AR_Aging row 21; inventory row 21</t>
        </is>
      </c>
    </row>
    <row r="29" ht="23" customHeight="1">
      <c r="A29" s="27" t="inlineStr">
        <is>
          <t>AC-LP-0121</t>
        </is>
      </c>
      <c r="B29" s="27" t="inlineStr">
        <is>
          <t>Darryl Garcia</t>
        </is>
      </c>
      <c r="C29" s="27" t="inlineStr">
        <is>
          <t>LP-0121</t>
        </is>
      </c>
      <c r="D29" s="27" t="inlineStr">
        <is>
          <t>Ledgport</t>
        </is>
      </c>
      <c r="E29" s="27" t="inlineStr">
        <is>
          <t>covered</t>
        </is>
      </c>
      <c r="F29" s="27" t="inlineStr">
        <is>
          <t>OCCUPIED</t>
        </is>
      </c>
      <c r="G29" s="28" t="n">
        <v>51.3</v>
      </c>
      <c r="H29" s="28" t="n">
        <v>32</v>
      </c>
      <c r="I29" s="28">
        <f>MAX(ROUNDUP(G29,0),H29)</f>
        <v/>
      </c>
      <c r="J29" s="29" t="n">
        <v>540.8</v>
      </c>
      <c r="K29" s="30">
        <f>IF(OR(D29="Ledgport",D29="Vessbank"),10.4,7.55)</f>
        <v/>
      </c>
      <c r="L29" s="29">
        <f>I29*K29</f>
        <v/>
      </c>
      <c r="M29" s="29">
        <f>L29-J29</f>
        <v/>
      </c>
      <c r="N29" s="29">
        <f>MAX(0,M29)</f>
        <v/>
      </c>
      <c r="O29" s="31">
        <f>IF(ABS(M29)&lt;0.005,"OK",IF(M29&gt;0,"UNDERBILLED","OVERBILLED"))</f>
        <v/>
      </c>
      <c r="P29" s="27" t="inlineStr">
        <is>
          <t>AR_Aging row 22; inventory row 22</t>
        </is>
      </c>
    </row>
    <row r="30" ht="23" customHeight="1">
      <c r="A30" s="27" t="inlineStr">
        <is>
          <t>AC-LP-0122</t>
        </is>
      </c>
      <c r="B30" s="27" t="inlineStr">
        <is>
          <t>Paula Arroyo</t>
        </is>
      </c>
      <c r="C30" s="27" t="inlineStr">
        <is>
          <t>LP-0122</t>
        </is>
      </c>
      <c r="D30" s="27" t="inlineStr">
        <is>
          <t>Ledgport</t>
        </is>
      </c>
      <c r="E30" s="27" t="inlineStr">
        <is>
          <t>covered</t>
        </is>
      </c>
      <c r="F30" s="27" t="inlineStr">
        <is>
          <t>OCCUPIED</t>
        </is>
      </c>
      <c r="G30" s="28" t="n">
        <v>48.2</v>
      </c>
      <c r="H30" s="28" t="n">
        <v>36</v>
      </c>
      <c r="I30" s="28">
        <f>MAX(ROUNDUP(G30,0),H30)</f>
        <v/>
      </c>
      <c r="J30" s="29" t="n">
        <v>509.6</v>
      </c>
      <c r="K30" s="30">
        <f>IF(OR(D30="Ledgport",D30="Vessbank"),10.4,7.55)</f>
        <v/>
      </c>
      <c r="L30" s="29">
        <f>I30*K30</f>
        <v/>
      </c>
      <c r="M30" s="29">
        <f>L30-J30</f>
        <v/>
      </c>
      <c r="N30" s="29">
        <f>MAX(0,M30)</f>
        <v/>
      </c>
      <c r="O30" s="31">
        <f>IF(ABS(M30)&lt;0.005,"OK",IF(M30&gt;0,"UNDERBILLED","OVERBILLED"))</f>
        <v/>
      </c>
      <c r="P30" s="27" t="inlineStr">
        <is>
          <t>AR_Aging row 23; inventory row 23</t>
        </is>
      </c>
    </row>
    <row r="31" ht="23" customHeight="1">
      <c r="A31" s="27" t="inlineStr">
        <is>
          <t>AC-LP-0123</t>
        </is>
      </c>
      <c r="B31" s="27" t="inlineStr">
        <is>
          <t>Brittney Daugherty</t>
        </is>
      </c>
      <c r="C31" s="27" t="inlineStr">
        <is>
          <t>LP-0123</t>
        </is>
      </c>
      <c r="D31" s="27" t="inlineStr">
        <is>
          <t>Ledgport</t>
        </is>
      </c>
      <c r="E31" s="27" t="inlineStr">
        <is>
          <t>covered</t>
        </is>
      </c>
      <c r="F31" s="27" t="inlineStr">
        <is>
          <t>OCCUPIED</t>
        </is>
      </c>
      <c r="G31" s="28" t="n">
        <v>25.3</v>
      </c>
      <c r="H31" s="28" t="n">
        <v>32</v>
      </c>
      <c r="I31" s="28">
        <f>MAX(ROUNDUP(G31,0),H31)</f>
        <v/>
      </c>
      <c r="J31" s="29" t="n">
        <v>332.8</v>
      </c>
      <c r="K31" s="30">
        <f>IF(OR(D31="Ledgport",D31="Vessbank"),10.4,7.55)</f>
        <v/>
      </c>
      <c r="L31" s="29">
        <f>I31*K31</f>
        <v/>
      </c>
      <c r="M31" s="29">
        <f>L31-J31</f>
        <v/>
      </c>
      <c r="N31" s="29">
        <f>MAX(0,M31)</f>
        <v/>
      </c>
      <c r="O31" s="31">
        <f>IF(ABS(M31)&lt;0.005,"OK",IF(M31&gt;0,"UNDERBILLED","OVERBILLED"))</f>
        <v/>
      </c>
      <c r="P31" s="27" t="inlineStr">
        <is>
          <t>AR_Aging row 24; inventory row 24</t>
        </is>
      </c>
    </row>
    <row r="32" ht="23" customHeight="1">
      <c r="A32" s="27" t="inlineStr">
        <is>
          <t>AC-LP-0124</t>
        </is>
      </c>
      <c r="B32" s="27" t="inlineStr">
        <is>
          <t>Audrey Le</t>
        </is>
      </c>
      <c r="C32" s="27" t="inlineStr">
        <is>
          <t>LP-0124</t>
        </is>
      </c>
      <c r="D32" s="27" t="inlineStr">
        <is>
          <t>Ledgport</t>
        </is>
      </c>
      <c r="E32" s="27" t="inlineStr">
        <is>
          <t>covered</t>
        </is>
      </c>
      <c r="F32" s="27" t="inlineStr">
        <is>
          <t>OCCUPIED</t>
        </is>
      </c>
      <c r="G32" s="28" t="n">
        <v>38.8</v>
      </c>
      <c r="H32" s="28" t="n">
        <v>28</v>
      </c>
      <c r="I32" s="28">
        <f>MAX(ROUNDUP(G32,0),H32)</f>
        <v/>
      </c>
      <c r="J32" s="29" t="n">
        <v>405.6</v>
      </c>
      <c r="K32" s="30">
        <f>IF(OR(D32="Ledgport",D32="Vessbank"),10.4,7.55)</f>
        <v/>
      </c>
      <c r="L32" s="29">
        <f>I32*K32</f>
        <v/>
      </c>
      <c r="M32" s="29">
        <f>L32-J32</f>
        <v/>
      </c>
      <c r="N32" s="29">
        <f>MAX(0,M32)</f>
        <v/>
      </c>
      <c r="O32" s="31">
        <f>IF(ABS(M32)&lt;0.005,"OK",IF(M32&gt;0,"UNDERBILLED","OVERBILLED"))</f>
        <v/>
      </c>
      <c r="P32" s="27" t="inlineStr">
        <is>
          <t>AR_Aging row 25; inventory row 25</t>
        </is>
      </c>
    </row>
    <row r="33" ht="23" customHeight="1">
      <c r="A33" s="27" t="inlineStr">
        <is>
          <t>AC-LP-0201</t>
        </is>
      </c>
      <c r="B33" s="27" t="inlineStr">
        <is>
          <t>Melissa Wagner</t>
        </is>
      </c>
      <c r="C33" s="27" t="inlineStr">
        <is>
          <t>LP-0201</t>
        </is>
      </c>
      <c r="D33" s="27" t="inlineStr">
        <is>
          <t>Ledgport</t>
        </is>
      </c>
      <c r="E33" s="27" t="inlineStr">
        <is>
          <t>covered</t>
        </is>
      </c>
      <c r="F33" s="27" t="inlineStr">
        <is>
          <t>OCCUPIED</t>
        </is>
      </c>
      <c r="G33" s="28" t="n">
        <v>51.3</v>
      </c>
      <c r="H33" s="28" t="n">
        <v>36</v>
      </c>
      <c r="I33" s="28">
        <f>MAX(ROUNDUP(G33,0),H33)</f>
        <v/>
      </c>
      <c r="J33" s="29" t="n">
        <v>540.8</v>
      </c>
      <c r="K33" s="30">
        <f>IF(OR(D33="Ledgport",D33="Vessbank"),10.4,7.55)</f>
        <v/>
      </c>
      <c r="L33" s="29">
        <f>I33*K33</f>
        <v/>
      </c>
      <c r="M33" s="29">
        <f>L33-J33</f>
        <v/>
      </c>
      <c r="N33" s="29">
        <f>MAX(0,M33)</f>
        <v/>
      </c>
      <c r="O33" s="31">
        <f>IF(ABS(M33)&lt;0.005,"OK",IF(M33&gt;0,"UNDERBILLED","OVERBILLED"))</f>
        <v/>
      </c>
      <c r="P33" s="27" t="inlineStr">
        <is>
          <t>AR_Aging row 26; inventory row 26</t>
        </is>
      </c>
    </row>
    <row r="34" ht="23" customHeight="1">
      <c r="A34" s="27" t="inlineStr">
        <is>
          <t>AC-LP-0202</t>
        </is>
      </c>
      <c r="B34" s="27" t="inlineStr">
        <is>
          <t>Christopher Boyd</t>
        </is>
      </c>
      <c r="C34" s="27" t="inlineStr">
        <is>
          <t>LP-0202</t>
        </is>
      </c>
      <c r="D34" s="27" t="inlineStr">
        <is>
          <t>Ledgport</t>
        </is>
      </c>
      <c r="E34" s="27" t="inlineStr">
        <is>
          <t>covered</t>
        </is>
      </c>
      <c r="F34" s="27" t="inlineStr">
        <is>
          <t>OCCUPIED</t>
        </is>
      </c>
      <c r="G34" s="28" t="n">
        <v>37.5</v>
      </c>
      <c r="H34" s="28" t="n">
        <v>36</v>
      </c>
      <c r="I34" s="28">
        <f>MAX(ROUNDUP(G34,0),H34)</f>
        <v/>
      </c>
      <c r="J34" s="29" t="n">
        <v>395.2</v>
      </c>
      <c r="K34" s="30">
        <f>IF(OR(D34="Ledgport",D34="Vessbank"),10.4,7.55)</f>
        <v/>
      </c>
      <c r="L34" s="29">
        <f>I34*K34</f>
        <v/>
      </c>
      <c r="M34" s="29">
        <f>L34-J34</f>
        <v/>
      </c>
      <c r="N34" s="29">
        <f>MAX(0,M34)</f>
        <v/>
      </c>
      <c r="O34" s="31">
        <f>IF(ABS(M34)&lt;0.005,"OK",IF(M34&gt;0,"UNDERBILLED","OVERBILLED"))</f>
        <v/>
      </c>
      <c r="P34" s="27" t="inlineStr">
        <is>
          <t>AR_Aging row 27; inventory row 27</t>
        </is>
      </c>
    </row>
    <row r="35" ht="23" customHeight="1">
      <c r="A35" s="27" t="inlineStr">
        <is>
          <t>AC-LP-0203</t>
        </is>
      </c>
      <c r="B35" s="27" t="inlineStr">
        <is>
          <t>Andrew Petty</t>
        </is>
      </c>
      <c r="C35" s="27" t="inlineStr">
        <is>
          <t>LP-0203</t>
        </is>
      </c>
      <c r="D35" s="27" t="inlineStr">
        <is>
          <t>Ledgport</t>
        </is>
      </c>
      <c r="E35" s="27" t="inlineStr">
        <is>
          <t>covered</t>
        </is>
      </c>
      <c r="F35" s="27" t="inlineStr">
        <is>
          <t>OCCUPIED</t>
        </is>
      </c>
      <c r="G35" s="28" t="n">
        <v>28.3</v>
      </c>
      <c r="H35" s="28" t="n">
        <v>28</v>
      </c>
      <c r="I35" s="28">
        <f>MAX(ROUNDUP(G35,0),H35)</f>
        <v/>
      </c>
      <c r="J35" s="29" t="n">
        <v>301.6</v>
      </c>
      <c r="K35" s="30">
        <f>IF(OR(D35="Ledgport",D35="Vessbank"),10.4,7.55)</f>
        <v/>
      </c>
      <c r="L35" s="29">
        <f>I35*K35</f>
        <v/>
      </c>
      <c r="M35" s="29">
        <f>L35-J35</f>
        <v/>
      </c>
      <c r="N35" s="29">
        <f>MAX(0,M35)</f>
        <v/>
      </c>
      <c r="O35" s="31">
        <f>IF(ABS(M35)&lt;0.005,"OK",IF(M35&gt;0,"UNDERBILLED","OVERBILLED"))</f>
        <v/>
      </c>
      <c r="P35" s="27" t="inlineStr">
        <is>
          <t>AR_Aging row 28; inventory row 28</t>
        </is>
      </c>
    </row>
    <row r="36" ht="23" customHeight="1">
      <c r="A36" s="27" t="inlineStr">
        <is>
          <t>AC-LP-0204</t>
        </is>
      </c>
      <c r="B36" s="27" t="inlineStr">
        <is>
          <t>Patrick Guzman</t>
        </is>
      </c>
      <c r="C36" s="27" t="inlineStr">
        <is>
          <t>LP-0204</t>
        </is>
      </c>
      <c r="D36" s="27" t="inlineStr">
        <is>
          <t>Ledgport</t>
        </is>
      </c>
      <c r="E36" s="27" t="inlineStr">
        <is>
          <t>covered</t>
        </is>
      </c>
      <c r="F36" s="27" t="inlineStr">
        <is>
          <t>OCCUPIED</t>
        </is>
      </c>
      <c r="G36" s="28" t="n">
        <v>35.6</v>
      </c>
      <c r="H36" s="28" t="n">
        <v>28</v>
      </c>
      <c r="I36" s="28">
        <f>MAX(ROUNDUP(G36,0),H36)</f>
        <v/>
      </c>
      <c r="J36" s="29" t="n">
        <v>374.4</v>
      </c>
      <c r="K36" s="30">
        <f>IF(OR(D36="Ledgport",D36="Vessbank"),10.4,7.55)</f>
        <v/>
      </c>
      <c r="L36" s="29">
        <f>I36*K36</f>
        <v/>
      </c>
      <c r="M36" s="29">
        <f>L36-J36</f>
        <v/>
      </c>
      <c r="N36" s="29">
        <f>MAX(0,M36)</f>
        <v/>
      </c>
      <c r="O36" s="31">
        <f>IF(ABS(M36)&lt;0.005,"OK",IF(M36&gt;0,"UNDERBILLED","OVERBILLED"))</f>
        <v/>
      </c>
      <c r="P36" s="27" t="inlineStr">
        <is>
          <t>AR_Aging row 29; inventory row 29</t>
        </is>
      </c>
    </row>
    <row r="37" ht="23" customHeight="1">
      <c r="A37" s="27" t="inlineStr">
        <is>
          <t>AC-LP-0205</t>
        </is>
      </c>
      <c r="B37" s="27" t="inlineStr">
        <is>
          <t>Gary Young</t>
        </is>
      </c>
      <c r="C37" s="27" t="inlineStr">
        <is>
          <t>LP-0205</t>
        </is>
      </c>
      <c r="D37" s="27" t="inlineStr">
        <is>
          <t>Ledgport</t>
        </is>
      </c>
      <c r="E37" s="27" t="inlineStr">
        <is>
          <t>covered</t>
        </is>
      </c>
      <c r="F37" s="27" t="inlineStr">
        <is>
          <t>OCCUPIED</t>
        </is>
      </c>
      <c r="G37" s="28" t="n">
        <v>23</v>
      </c>
      <c r="H37" s="28" t="n">
        <v>40</v>
      </c>
      <c r="I37" s="28">
        <f>MAX(ROUNDUP(G37,0),H37)</f>
        <v/>
      </c>
      <c r="J37" s="29" t="n">
        <v>416</v>
      </c>
      <c r="K37" s="30">
        <f>IF(OR(D37="Ledgport",D37="Vessbank"),10.4,7.55)</f>
        <v/>
      </c>
      <c r="L37" s="29">
        <f>I37*K37</f>
        <v/>
      </c>
      <c r="M37" s="29">
        <f>L37-J37</f>
        <v/>
      </c>
      <c r="N37" s="29">
        <f>MAX(0,M37)</f>
        <v/>
      </c>
      <c r="O37" s="31">
        <f>IF(ABS(M37)&lt;0.005,"OK",IF(M37&gt;0,"UNDERBILLED","OVERBILLED"))</f>
        <v/>
      </c>
      <c r="P37" s="27" t="inlineStr">
        <is>
          <t>AR_Aging row 30; inventory row 30</t>
        </is>
      </c>
    </row>
    <row r="38" ht="23" customHeight="1">
      <c r="A38" s="27" t="inlineStr">
        <is>
          <t>AC-LP-0206</t>
        </is>
      </c>
      <c r="B38" s="27" t="inlineStr">
        <is>
          <t>Crystal Glover</t>
        </is>
      </c>
      <c r="C38" s="27" t="inlineStr">
        <is>
          <t>LP-0206</t>
        </is>
      </c>
      <c r="D38" s="27" t="inlineStr">
        <is>
          <t>Ledgport</t>
        </is>
      </c>
      <c r="E38" s="27" t="inlineStr">
        <is>
          <t>covered</t>
        </is>
      </c>
      <c r="F38" s="27" t="inlineStr">
        <is>
          <t>OCCUPIED</t>
        </is>
      </c>
      <c r="G38" s="28" t="n">
        <v>41.4</v>
      </c>
      <c r="H38" s="28" t="n">
        <v>24</v>
      </c>
      <c r="I38" s="28">
        <f>MAX(ROUNDUP(G38,0),H38)</f>
        <v/>
      </c>
      <c r="J38" s="29" t="n">
        <v>436.8</v>
      </c>
      <c r="K38" s="30">
        <f>IF(OR(D38="Ledgport",D38="Vessbank"),10.4,7.55)</f>
        <v/>
      </c>
      <c r="L38" s="29">
        <f>I38*K38</f>
        <v/>
      </c>
      <c r="M38" s="29">
        <f>L38-J38</f>
        <v/>
      </c>
      <c r="N38" s="29">
        <f>MAX(0,M38)</f>
        <v/>
      </c>
      <c r="O38" s="31">
        <f>IF(ABS(M38)&lt;0.005,"OK",IF(M38&gt;0,"UNDERBILLED","OVERBILLED"))</f>
        <v/>
      </c>
      <c r="P38" s="27" t="inlineStr">
        <is>
          <t>AR_Aging row 31; inventory row 31</t>
        </is>
      </c>
    </row>
    <row r="39" ht="23" customHeight="1">
      <c r="A39" s="27" t="inlineStr">
        <is>
          <t>AC-LP-0208</t>
        </is>
      </c>
      <c r="B39" s="27" t="inlineStr">
        <is>
          <t>James Olson</t>
        </is>
      </c>
      <c r="C39" s="27" t="inlineStr">
        <is>
          <t>LP-0208</t>
        </is>
      </c>
      <c r="D39" s="27" t="inlineStr">
        <is>
          <t>Ledgport</t>
        </is>
      </c>
      <c r="E39" s="27" t="inlineStr">
        <is>
          <t>covered</t>
        </is>
      </c>
      <c r="F39" s="27" t="inlineStr">
        <is>
          <t>OCCUPIED</t>
        </is>
      </c>
      <c r="G39" s="28" t="n">
        <v>35.9</v>
      </c>
      <c r="H39" s="28" t="n">
        <v>32</v>
      </c>
      <c r="I39" s="28">
        <f>MAX(ROUNDUP(G39,0),H39)</f>
        <v/>
      </c>
      <c r="J39" s="29" t="n">
        <v>374.4</v>
      </c>
      <c r="K39" s="30">
        <f>IF(OR(D39="Ledgport",D39="Vessbank"),10.4,7.55)</f>
        <v/>
      </c>
      <c r="L39" s="29">
        <f>I39*K39</f>
        <v/>
      </c>
      <c r="M39" s="29">
        <f>L39-J39</f>
        <v/>
      </c>
      <c r="N39" s="29">
        <f>MAX(0,M39)</f>
        <v/>
      </c>
      <c r="O39" s="31">
        <f>IF(ABS(M39)&lt;0.005,"OK",IF(M39&gt;0,"UNDERBILLED","OVERBILLED"))</f>
        <v/>
      </c>
      <c r="P39" s="27" t="inlineStr">
        <is>
          <t>AR_Aging row 32; inventory row 33</t>
        </is>
      </c>
    </row>
    <row r="40" ht="23" customHeight="1">
      <c r="A40" s="27" t="inlineStr">
        <is>
          <t>AC-LP-0209</t>
        </is>
      </c>
      <c r="B40" s="27" t="inlineStr">
        <is>
          <t>Manuel Abbott</t>
        </is>
      </c>
      <c r="C40" s="27" t="inlineStr">
        <is>
          <t>LP-0209</t>
        </is>
      </c>
      <c r="D40" s="27" t="inlineStr">
        <is>
          <t>Ledgport</t>
        </is>
      </c>
      <c r="E40" s="27" t="inlineStr">
        <is>
          <t>covered</t>
        </is>
      </c>
      <c r="F40" s="27" t="inlineStr">
        <is>
          <t>OCCUPIED</t>
        </is>
      </c>
      <c r="G40" s="28" t="n">
        <v>19.8</v>
      </c>
      <c r="H40" s="28" t="n">
        <v>32</v>
      </c>
      <c r="I40" s="28">
        <f>MAX(ROUNDUP(G40,0),H40)</f>
        <v/>
      </c>
      <c r="J40" s="29" t="n">
        <v>332.8</v>
      </c>
      <c r="K40" s="30">
        <f>IF(OR(D40="Ledgport",D40="Vessbank"),10.4,7.55)</f>
        <v/>
      </c>
      <c r="L40" s="29">
        <f>I40*K40</f>
        <v/>
      </c>
      <c r="M40" s="29">
        <f>L40-J40</f>
        <v/>
      </c>
      <c r="N40" s="29">
        <f>MAX(0,M40)</f>
        <v/>
      </c>
      <c r="O40" s="31">
        <f>IF(ABS(M40)&lt;0.005,"OK",IF(M40&gt;0,"UNDERBILLED","OVERBILLED"))</f>
        <v/>
      </c>
      <c r="P40" s="27" t="inlineStr">
        <is>
          <t>AR_Aging row 33; inventory row 34</t>
        </is>
      </c>
    </row>
    <row r="41" ht="23" customHeight="1">
      <c r="A41" s="27" t="inlineStr">
        <is>
          <t>AC-LP-0210</t>
        </is>
      </c>
      <c r="B41" s="27" t="inlineStr">
        <is>
          <t>Thomas Stone</t>
        </is>
      </c>
      <c r="C41" s="27" t="inlineStr">
        <is>
          <t>LP-0210</t>
        </is>
      </c>
      <c r="D41" s="27" t="inlineStr">
        <is>
          <t>Ledgport</t>
        </is>
      </c>
      <c r="E41" s="27" t="inlineStr">
        <is>
          <t>covered</t>
        </is>
      </c>
      <c r="F41" s="27" t="inlineStr">
        <is>
          <t>OCCUPIED</t>
        </is>
      </c>
      <c r="G41" s="28" t="n">
        <v>24.8</v>
      </c>
      <c r="H41" s="28" t="n">
        <v>40</v>
      </c>
      <c r="I41" s="28">
        <f>MAX(ROUNDUP(G41,0),H41)</f>
        <v/>
      </c>
      <c r="J41" s="29" t="n">
        <v>416</v>
      </c>
      <c r="K41" s="30">
        <f>IF(OR(D41="Ledgport",D41="Vessbank"),10.4,7.55)</f>
        <v/>
      </c>
      <c r="L41" s="29">
        <f>I41*K41</f>
        <v/>
      </c>
      <c r="M41" s="29">
        <f>L41-J41</f>
        <v/>
      </c>
      <c r="N41" s="29">
        <f>MAX(0,M41)</f>
        <v/>
      </c>
      <c r="O41" s="31">
        <f>IF(ABS(M41)&lt;0.005,"OK",IF(M41&gt;0,"UNDERBILLED","OVERBILLED"))</f>
        <v/>
      </c>
      <c r="P41" s="27" t="inlineStr">
        <is>
          <t>AR_Aging row 34; inventory row 35</t>
        </is>
      </c>
    </row>
    <row r="42" ht="23" customHeight="1">
      <c r="A42" s="27" t="inlineStr">
        <is>
          <t>AC-LP-0212</t>
        </is>
      </c>
      <c r="B42" s="27" t="inlineStr">
        <is>
          <t>Sandra Jackson</t>
        </is>
      </c>
      <c r="C42" s="27" t="inlineStr">
        <is>
          <t>LP-0212</t>
        </is>
      </c>
      <c r="D42" s="27" t="inlineStr">
        <is>
          <t>Ledgport</t>
        </is>
      </c>
      <c r="E42" s="27" t="inlineStr">
        <is>
          <t>covered</t>
        </is>
      </c>
      <c r="F42" s="27" t="inlineStr">
        <is>
          <t>OCCUPIED</t>
        </is>
      </c>
      <c r="G42" s="28" t="n">
        <v>57.4</v>
      </c>
      <c r="H42" s="28" t="n">
        <v>24</v>
      </c>
      <c r="I42" s="28">
        <f>MAX(ROUNDUP(G42,0),H42)</f>
        <v/>
      </c>
      <c r="J42" s="29" t="n">
        <v>603.2</v>
      </c>
      <c r="K42" s="30">
        <f>IF(OR(D42="Ledgport",D42="Vessbank"),10.4,7.55)</f>
        <v/>
      </c>
      <c r="L42" s="29">
        <f>I42*K42</f>
        <v/>
      </c>
      <c r="M42" s="29">
        <f>L42-J42</f>
        <v/>
      </c>
      <c r="N42" s="29">
        <f>MAX(0,M42)</f>
        <v/>
      </c>
      <c r="O42" s="31">
        <f>IF(ABS(M42)&lt;0.005,"OK",IF(M42&gt;0,"UNDERBILLED","OVERBILLED"))</f>
        <v/>
      </c>
      <c r="P42" s="27" t="inlineStr">
        <is>
          <t>AR_Aging row 35; inventory row 37</t>
        </is>
      </c>
    </row>
    <row r="43" ht="23" customHeight="1">
      <c r="A43" s="27" t="inlineStr">
        <is>
          <t>AC-LP-0213</t>
        </is>
      </c>
      <c r="B43" s="27" t="inlineStr">
        <is>
          <t>Gregory Brady</t>
        </is>
      </c>
      <c r="C43" s="27" t="inlineStr">
        <is>
          <t>LP-0213</t>
        </is>
      </c>
      <c r="D43" s="27" t="inlineStr">
        <is>
          <t>Ledgport</t>
        </is>
      </c>
      <c r="E43" s="27" t="inlineStr">
        <is>
          <t>covered</t>
        </is>
      </c>
      <c r="F43" s="27" t="inlineStr">
        <is>
          <t>OCCUPIED</t>
        </is>
      </c>
      <c r="G43" s="28" t="n">
        <v>49.7</v>
      </c>
      <c r="H43" s="28" t="n">
        <v>40</v>
      </c>
      <c r="I43" s="28">
        <f>MAX(ROUNDUP(G43,0),H43)</f>
        <v/>
      </c>
      <c r="J43" s="29" t="n">
        <v>520</v>
      </c>
      <c r="K43" s="30">
        <f>IF(OR(D43="Ledgport",D43="Vessbank"),10.4,7.55)</f>
        <v/>
      </c>
      <c r="L43" s="29">
        <f>I43*K43</f>
        <v/>
      </c>
      <c r="M43" s="29">
        <f>L43-J43</f>
        <v/>
      </c>
      <c r="N43" s="29">
        <f>MAX(0,M43)</f>
        <v/>
      </c>
      <c r="O43" s="31">
        <f>IF(ABS(M43)&lt;0.005,"OK",IF(M43&gt;0,"UNDERBILLED","OVERBILLED"))</f>
        <v/>
      </c>
      <c r="P43" s="27" t="inlineStr">
        <is>
          <t>AR_Aging row 36; inventory row 38</t>
        </is>
      </c>
    </row>
    <row r="44" ht="23" customHeight="1">
      <c r="A44" s="27" t="inlineStr">
        <is>
          <t>AC-LP-0214</t>
        </is>
      </c>
      <c r="B44" s="27" t="inlineStr">
        <is>
          <t>Jeanne Bennett</t>
        </is>
      </c>
      <c r="C44" s="27" t="inlineStr">
        <is>
          <t>LP-0214</t>
        </is>
      </c>
      <c r="D44" s="27" t="inlineStr">
        <is>
          <t>Ledgport</t>
        </is>
      </c>
      <c r="E44" s="27" t="inlineStr">
        <is>
          <t>covered</t>
        </is>
      </c>
      <c r="F44" s="27" t="inlineStr">
        <is>
          <t>OCCUPIED</t>
        </is>
      </c>
      <c r="G44" s="28" t="n">
        <v>31</v>
      </c>
      <c r="H44" s="28" t="n">
        <v>28</v>
      </c>
      <c r="I44" s="28">
        <f>MAX(ROUNDUP(G44,0),H44)</f>
        <v/>
      </c>
      <c r="J44" s="29" t="n">
        <v>322.4</v>
      </c>
      <c r="K44" s="30">
        <f>IF(OR(D44="Ledgport",D44="Vessbank"),10.4,7.55)</f>
        <v/>
      </c>
      <c r="L44" s="29">
        <f>I44*K44</f>
        <v/>
      </c>
      <c r="M44" s="29">
        <f>L44-J44</f>
        <v/>
      </c>
      <c r="N44" s="29">
        <f>MAX(0,M44)</f>
        <v/>
      </c>
      <c r="O44" s="31">
        <f>IF(ABS(M44)&lt;0.005,"OK",IF(M44&gt;0,"UNDERBILLED","OVERBILLED"))</f>
        <v/>
      </c>
      <c r="P44" s="27" t="inlineStr">
        <is>
          <t>AR_Aging row 37; inventory row 39</t>
        </is>
      </c>
    </row>
    <row r="45" ht="23" customHeight="1">
      <c r="A45" s="27" t="inlineStr">
        <is>
          <t>AC-LP-0215</t>
        </is>
      </c>
      <c r="B45" s="27" t="inlineStr">
        <is>
          <t>Anna Wright</t>
        </is>
      </c>
      <c r="C45" s="27" t="inlineStr">
        <is>
          <t>LP-0215</t>
        </is>
      </c>
      <c r="D45" s="27" t="inlineStr">
        <is>
          <t>Ledgport</t>
        </is>
      </c>
      <c r="E45" s="27" t="inlineStr">
        <is>
          <t>covered</t>
        </is>
      </c>
      <c r="F45" s="27" t="inlineStr">
        <is>
          <t>OCCUPIED</t>
        </is>
      </c>
      <c r="G45" s="28" t="n">
        <v>26.3</v>
      </c>
      <c r="H45" s="28" t="n">
        <v>28</v>
      </c>
      <c r="I45" s="28">
        <f>MAX(ROUNDUP(G45,0),H45)</f>
        <v/>
      </c>
      <c r="J45" s="29" t="n">
        <v>291.2</v>
      </c>
      <c r="K45" s="30">
        <f>IF(OR(D45="Ledgport",D45="Vessbank"),10.4,7.55)</f>
        <v/>
      </c>
      <c r="L45" s="29">
        <f>I45*K45</f>
        <v/>
      </c>
      <c r="M45" s="29">
        <f>L45-J45</f>
        <v/>
      </c>
      <c r="N45" s="29">
        <f>MAX(0,M45)</f>
        <v/>
      </c>
      <c r="O45" s="31">
        <f>IF(ABS(M45)&lt;0.005,"OK",IF(M45&gt;0,"UNDERBILLED","OVERBILLED"))</f>
        <v/>
      </c>
      <c r="P45" s="27" t="inlineStr">
        <is>
          <t>AR_Aging row 38; inventory row 40</t>
        </is>
      </c>
    </row>
    <row r="46" ht="23" customHeight="1">
      <c r="A46" s="27" t="inlineStr">
        <is>
          <t>AC-LP-0216</t>
        </is>
      </c>
      <c r="B46" s="27" t="inlineStr">
        <is>
          <t>Audrey Taylor</t>
        </is>
      </c>
      <c r="C46" s="27" t="inlineStr">
        <is>
          <t>LP-0216</t>
        </is>
      </c>
      <c r="D46" s="27" t="inlineStr">
        <is>
          <t>Ledgport</t>
        </is>
      </c>
      <c r="E46" s="27" t="inlineStr">
        <is>
          <t>covered</t>
        </is>
      </c>
      <c r="F46" s="27" t="inlineStr">
        <is>
          <t>OCCUPIED</t>
        </is>
      </c>
      <c r="G46" s="28" t="n">
        <v>57</v>
      </c>
      <c r="H46" s="28" t="n">
        <v>32</v>
      </c>
      <c r="I46" s="28">
        <f>MAX(ROUNDUP(G46,0),H46)</f>
        <v/>
      </c>
      <c r="J46" s="29" t="n">
        <v>592.8</v>
      </c>
      <c r="K46" s="30">
        <f>IF(OR(D46="Ledgport",D46="Vessbank"),10.4,7.55)</f>
        <v/>
      </c>
      <c r="L46" s="29">
        <f>I46*K46</f>
        <v/>
      </c>
      <c r="M46" s="29">
        <f>L46-J46</f>
        <v/>
      </c>
      <c r="N46" s="29">
        <f>MAX(0,M46)</f>
        <v/>
      </c>
      <c r="O46" s="31">
        <f>IF(ABS(M46)&lt;0.005,"OK",IF(M46&gt;0,"UNDERBILLED","OVERBILLED"))</f>
        <v/>
      </c>
      <c r="P46" s="27" t="inlineStr">
        <is>
          <t>AR_Aging row 39; inventory row 41</t>
        </is>
      </c>
    </row>
    <row r="47" ht="23" customHeight="1">
      <c r="A47" s="27" t="inlineStr">
        <is>
          <t>AC-LP-0217</t>
        </is>
      </c>
      <c r="B47" s="27" t="inlineStr">
        <is>
          <t>Aaron Ellis</t>
        </is>
      </c>
      <c r="C47" s="27" t="inlineStr">
        <is>
          <t>LP-0217</t>
        </is>
      </c>
      <c r="D47" s="27" t="inlineStr">
        <is>
          <t>Ledgport</t>
        </is>
      </c>
      <c r="E47" s="27" t="inlineStr">
        <is>
          <t>covered</t>
        </is>
      </c>
      <c r="F47" s="27" t="inlineStr">
        <is>
          <t>OCCUPIED</t>
        </is>
      </c>
      <c r="G47" s="28" t="n">
        <v>58.7</v>
      </c>
      <c r="H47" s="28" t="n">
        <v>40</v>
      </c>
      <c r="I47" s="28">
        <f>MAX(ROUNDUP(G47,0),H47)</f>
        <v/>
      </c>
      <c r="J47" s="29" t="n">
        <v>613.6</v>
      </c>
      <c r="K47" s="30">
        <f>IF(OR(D47="Ledgport",D47="Vessbank"),10.4,7.55)</f>
        <v/>
      </c>
      <c r="L47" s="29">
        <f>I47*K47</f>
        <v/>
      </c>
      <c r="M47" s="29">
        <f>L47-J47</f>
        <v/>
      </c>
      <c r="N47" s="29">
        <f>MAX(0,M47)</f>
        <v/>
      </c>
      <c r="O47" s="31">
        <f>IF(ABS(M47)&lt;0.005,"OK",IF(M47&gt;0,"UNDERBILLED","OVERBILLED"))</f>
        <v/>
      </c>
      <c r="P47" s="27" t="inlineStr">
        <is>
          <t>AR_Aging row 40; inventory row 42</t>
        </is>
      </c>
    </row>
    <row r="48" ht="23" customHeight="1">
      <c r="A48" s="27" t="inlineStr">
        <is>
          <t>AC-LP-0218</t>
        </is>
      </c>
      <c r="B48" s="27" t="inlineStr">
        <is>
          <t>Sydney Moore</t>
        </is>
      </c>
      <c r="C48" s="27" t="inlineStr">
        <is>
          <t>LP-0218</t>
        </is>
      </c>
      <c r="D48" s="27" t="inlineStr">
        <is>
          <t>Ledgport</t>
        </is>
      </c>
      <c r="E48" s="27" t="inlineStr">
        <is>
          <t>covered</t>
        </is>
      </c>
      <c r="F48" s="27" t="inlineStr">
        <is>
          <t>OCCUPIED</t>
        </is>
      </c>
      <c r="G48" s="28" t="n">
        <v>41.6</v>
      </c>
      <c r="H48" s="28" t="n">
        <v>24</v>
      </c>
      <c r="I48" s="28">
        <f>MAX(ROUNDUP(G48,0),H48)</f>
        <v/>
      </c>
      <c r="J48" s="29" t="n">
        <v>436.8</v>
      </c>
      <c r="K48" s="30">
        <f>IF(OR(D48="Ledgport",D48="Vessbank"),10.4,7.55)</f>
        <v/>
      </c>
      <c r="L48" s="29">
        <f>I48*K48</f>
        <v/>
      </c>
      <c r="M48" s="29">
        <f>L48-J48</f>
        <v/>
      </c>
      <c r="N48" s="29">
        <f>MAX(0,M48)</f>
        <v/>
      </c>
      <c r="O48" s="31">
        <f>IF(ABS(M48)&lt;0.005,"OK",IF(M48&gt;0,"UNDERBILLED","OVERBILLED"))</f>
        <v/>
      </c>
      <c r="P48" s="27" t="inlineStr">
        <is>
          <t>AR_Aging row 41; inventory row 43</t>
        </is>
      </c>
    </row>
    <row r="49" ht="23" customHeight="1">
      <c r="A49" s="27" t="inlineStr">
        <is>
          <t>AC-LP-0219</t>
        </is>
      </c>
      <c r="B49" s="27" t="inlineStr">
        <is>
          <t>Bradley Baker</t>
        </is>
      </c>
      <c r="C49" s="27" t="inlineStr">
        <is>
          <t>LP-0219</t>
        </is>
      </c>
      <c r="D49" s="27" t="inlineStr">
        <is>
          <t>Ledgport</t>
        </is>
      </c>
      <c r="E49" s="27" t="inlineStr">
        <is>
          <t>covered</t>
        </is>
      </c>
      <c r="F49" s="27" t="inlineStr">
        <is>
          <t>OCCUPIED</t>
        </is>
      </c>
      <c r="G49" s="28" t="n">
        <v>46.9</v>
      </c>
      <c r="H49" s="28" t="n">
        <v>28</v>
      </c>
      <c r="I49" s="28">
        <f>MAX(ROUNDUP(G49,0),H49)</f>
        <v/>
      </c>
      <c r="J49" s="29" t="n">
        <v>488.8</v>
      </c>
      <c r="K49" s="30">
        <f>IF(OR(D49="Ledgport",D49="Vessbank"),10.4,7.55)</f>
        <v/>
      </c>
      <c r="L49" s="29">
        <f>I49*K49</f>
        <v/>
      </c>
      <c r="M49" s="29">
        <f>L49-J49</f>
        <v/>
      </c>
      <c r="N49" s="29">
        <f>MAX(0,M49)</f>
        <v/>
      </c>
      <c r="O49" s="31">
        <f>IF(ABS(M49)&lt;0.005,"OK",IF(M49&gt;0,"UNDERBILLED","OVERBILLED"))</f>
        <v/>
      </c>
      <c r="P49" s="27" t="inlineStr">
        <is>
          <t>AR_Aging row 42; inventory row 44</t>
        </is>
      </c>
    </row>
    <row r="50" ht="23" customHeight="1">
      <c r="A50" s="27" t="inlineStr">
        <is>
          <t>AC-LP-0220</t>
        </is>
      </c>
      <c r="B50" s="27" t="inlineStr">
        <is>
          <t>Loretta Murillo</t>
        </is>
      </c>
      <c r="C50" s="27" t="inlineStr">
        <is>
          <t>LP-0220</t>
        </is>
      </c>
      <c r="D50" s="27" t="inlineStr">
        <is>
          <t>Ledgport</t>
        </is>
      </c>
      <c r="E50" s="27" t="inlineStr">
        <is>
          <t>covered</t>
        </is>
      </c>
      <c r="F50" s="27" t="inlineStr">
        <is>
          <t>OCCUPIED</t>
        </is>
      </c>
      <c r="G50" s="28" t="n">
        <v>45.1</v>
      </c>
      <c r="H50" s="28" t="n">
        <v>28</v>
      </c>
      <c r="I50" s="28">
        <f>MAX(ROUNDUP(G50,0),H50)</f>
        <v/>
      </c>
      <c r="J50" s="29" t="n">
        <v>478.4</v>
      </c>
      <c r="K50" s="30">
        <f>IF(OR(D50="Ledgport",D50="Vessbank"),10.4,7.55)</f>
        <v/>
      </c>
      <c r="L50" s="29">
        <f>I50*K50</f>
        <v/>
      </c>
      <c r="M50" s="29">
        <f>L50-J50</f>
        <v/>
      </c>
      <c r="N50" s="29">
        <f>MAX(0,M50)</f>
        <v/>
      </c>
      <c r="O50" s="31">
        <f>IF(ABS(M50)&lt;0.005,"OK",IF(M50&gt;0,"UNDERBILLED","OVERBILLED"))</f>
        <v/>
      </c>
      <c r="P50" s="27" t="inlineStr">
        <is>
          <t>AR_Aging row 43; inventory row 45</t>
        </is>
      </c>
    </row>
    <row r="51" ht="23" customHeight="1">
      <c r="A51" s="27" t="inlineStr">
        <is>
          <t>AC-LP-0221</t>
        </is>
      </c>
      <c r="B51" s="27" t="inlineStr">
        <is>
          <t>Allison Anthony</t>
        </is>
      </c>
      <c r="C51" s="27" t="inlineStr">
        <is>
          <t>LP-0221</t>
        </is>
      </c>
      <c r="D51" s="27" t="inlineStr">
        <is>
          <t>Ledgport</t>
        </is>
      </c>
      <c r="E51" s="27" t="inlineStr">
        <is>
          <t>covered</t>
        </is>
      </c>
      <c r="F51" s="27" t="inlineStr">
        <is>
          <t>OCCUPIED</t>
        </is>
      </c>
      <c r="G51" s="28" t="n">
        <v>57.8</v>
      </c>
      <c r="H51" s="28" t="n">
        <v>24</v>
      </c>
      <c r="I51" s="28">
        <f>MAX(ROUNDUP(G51,0),H51)</f>
        <v/>
      </c>
      <c r="J51" s="29" t="n">
        <v>603.2</v>
      </c>
      <c r="K51" s="30">
        <f>IF(OR(D51="Ledgport",D51="Vessbank"),10.4,7.55)</f>
        <v/>
      </c>
      <c r="L51" s="29">
        <f>I51*K51</f>
        <v/>
      </c>
      <c r="M51" s="29">
        <f>L51-J51</f>
        <v/>
      </c>
      <c r="N51" s="29">
        <f>MAX(0,M51)</f>
        <v/>
      </c>
      <c r="O51" s="31">
        <f>IF(ABS(M51)&lt;0.005,"OK",IF(M51&gt;0,"UNDERBILLED","OVERBILLED"))</f>
        <v/>
      </c>
      <c r="P51" s="27" t="inlineStr">
        <is>
          <t>AR_Aging row 44; inventory row 46</t>
        </is>
      </c>
    </row>
    <row r="52" ht="23" customHeight="1">
      <c r="A52" s="27" t="inlineStr">
        <is>
          <t>AC-LP-0222</t>
        </is>
      </c>
      <c r="B52" s="27" t="inlineStr">
        <is>
          <t>Stephen Burke</t>
        </is>
      </c>
      <c r="C52" s="27" t="inlineStr">
        <is>
          <t>LP-0222</t>
        </is>
      </c>
      <c r="D52" s="27" t="inlineStr">
        <is>
          <t>Ledgport</t>
        </is>
      </c>
      <c r="E52" s="27" t="inlineStr">
        <is>
          <t>covered</t>
        </is>
      </c>
      <c r="F52" s="27" t="inlineStr">
        <is>
          <t>OCCUPIED</t>
        </is>
      </c>
      <c r="G52" s="28" t="n">
        <v>25.5</v>
      </c>
      <c r="H52" s="28" t="n">
        <v>36</v>
      </c>
      <c r="I52" s="28">
        <f>MAX(ROUNDUP(G52,0),H52)</f>
        <v/>
      </c>
      <c r="J52" s="29" t="n">
        <v>374.4</v>
      </c>
      <c r="K52" s="30">
        <f>IF(OR(D52="Ledgport",D52="Vessbank"),10.4,7.55)</f>
        <v/>
      </c>
      <c r="L52" s="29">
        <f>I52*K52</f>
        <v/>
      </c>
      <c r="M52" s="29">
        <f>L52-J52</f>
        <v/>
      </c>
      <c r="N52" s="29">
        <f>MAX(0,M52)</f>
        <v/>
      </c>
      <c r="O52" s="31">
        <f>IF(ABS(M52)&lt;0.005,"OK",IF(M52&gt;0,"UNDERBILLED","OVERBILLED"))</f>
        <v/>
      </c>
      <c r="P52" s="27" t="inlineStr">
        <is>
          <t>AR_Aging row 45; inventory row 47</t>
        </is>
      </c>
    </row>
    <row r="53" ht="23" customHeight="1">
      <c r="A53" s="27" t="inlineStr">
        <is>
          <t>AC-LP-0223</t>
        </is>
      </c>
      <c r="B53" s="27" t="inlineStr">
        <is>
          <t>Renee Dean</t>
        </is>
      </c>
      <c r="C53" s="27" t="inlineStr">
        <is>
          <t>LP-0223</t>
        </is>
      </c>
      <c r="D53" s="27" t="inlineStr">
        <is>
          <t>Ledgport</t>
        </is>
      </c>
      <c r="E53" s="27" t="inlineStr">
        <is>
          <t>covered</t>
        </is>
      </c>
      <c r="F53" s="27" t="inlineStr">
        <is>
          <t>OCCUPIED</t>
        </is>
      </c>
      <c r="G53" s="28" t="n">
        <v>49.8</v>
      </c>
      <c r="H53" s="28" t="n">
        <v>24</v>
      </c>
      <c r="I53" s="28">
        <f>MAX(ROUNDUP(G53,0),H53)</f>
        <v/>
      </c>
      <c r="J53" s="29" t="n">
        <v>520</v>
      </c>
      <c r="K53" s="30">
        <f>IF(OR(D53="Ledgport",D53="Vessbank"),10.4,7.55)</f>
        <v/>
      </c>
      <c r="L53" s="29">
        <f>I53*K53</f>
        <v/>
      </c>
      <c r="M53" s="29">
        <f>L53-J53</f>
        <v/>
      </c>
      <c r="N53" s="29">
        <f>MAX(0,M53)</f>
        <v/>
      </c>
      <c r="O53" s="31">
        <f>IF(ABS(M53)&lt;0.005,"OK",IF(M53&gt;0,"UNDERBILLED","OVERBILLED"))</f>
        <v/>
      </c>
      <c r="P53" s="27" t="inlineStr">
        <is>
          <t>AR_Aging row 46; inventory row 48</t>
        </is>
      </c>
    </row>
    <row r="54" ht="23" customHeight="1">
      <c r="A54" s="27" t="inlineStr">
        <is>
          <t>AC-LP-0224</t>
        </is>
      </c>
      <c r="B54" s="27" t="inlineStr">
        <is>
          <t>Anita Rose</t>
        </is>
      </c>
      <c r="C54" s="27" t="inlineStr">
        <is>
          <t>LP-0224</t>
        </is>
      </c>
      <c r="D54" s="27" t="inlineStr">
        <is>
          <t>Ledgport</t>
        </is>
      </c>
      <c r="E54" s="27" t="inlineStr">
        <is>
          <t>covered</t>
        </is>
      </c>
      <c r="F54" s="27" t="inlineStr">
        <is>
          <t>OCCUPIED</t>
        </is>
      </c>
      <c r="G54" s="28" t="n">
        <v>26.7</v>
      </c>
      <c r="H54" s="28" t="n">
        <v>40</v>
      </c>
      <c r="I54" s="28">
        <f>MAX(ROUNDUP(G54,0),H54)</f>
        <v/>
      </c>
      <c r="J54" s="29" t="n">
        <v>416</v>
      </c>
      <c r="K54" s="30">
        <f>IF(OR(D54="Ledgport",D54="Vessbank"),10.4,7.55)</f>
        <v/>
      </c>
      <c r="L54" s="29">
        <f>I54*K54</f>
        <v/>
      </c>
      <c r="M54" s="29">
        <f>L54-J54</f>
        <v/>
      </c>
      <c r="N54" s="29">
        <f>MAX(0,M54)</f>
        <v/>
      </c>
      <c r="O54" s="31">
        <f>IF(ABS(M54)&lt;0.005,"OK",IF(M54&gt;0,"UNDERBILLED","OVERBILLED"))</f>
        <v/>
      </c>
      <c r="P54" s="27" t="inlineStr">
        <is>
          <t>AR_Aging row 47; inventory row 49</t>
        </is>
      </c>
    </row>
    <row r="55" ht="23" customHeight="1">
      <c r="A55" s="27" t="inlineStr">
        <is>
          <t>AC-LP-0301</t>
        </is>
      </c>
      <c r="B55" s="27" t="inlineStr">
        <is>
          <t>Miranda Neal</t>
        </is>
      </c>
      <c r="C55" s="27" t="inlineStr">
        <is>
          <t>LP-0301</t>
        </is>
      </c>
      <c r="D55" s="27" t="inlineStr">
        <is>
          <t>Ledgport</t>
        </is>
      </c>
      <c r="E55" s="27" t="inlineStr">
        <is>
          <t>covered</t>
        </is>
      </c>
      <c r="F55" s="27" t="inlineStr">
        <is>
          <t>OCCUPIED</t>
        </is>
      </c>
      <c r="G55" s="28" t="n">
        <v>18.4</v>
      </c>
      <c r="H55" s="28" t="n">
        <v>28</v>
      </c>
      <c r="I55" s="28">
        <f>MAX(ROUNDUP(G55,0),H55)</f>
        <v/>
      </c>
      <c r="J55" s="29" t="n">
        <v>291.2</v>
      </c>
      <c r="K55" s="30">
        <f>IF(OR(D55="Ledgport",D55="Vessbank"),10.4,7.55)</f>
        <v/>
      </c>
      <c r="L55" s="29">
        <f>I55*K55</f>
        <v/>
      </c>
      <c r="M55" s="29">
        <f>L55-J55</f>
        <v/>
      </c>
      <c r="N55" s="29">
        <f>MAX(0,M55)</f>
        <v/>
      </c>
      <c r="O55" s="31">
        <f>IF(ABS(M55)&lt;0.005,"OK",IF(M55&gt;0,"UNDERBILLED","OVERBILLED"))</f>
        <v/>
      </c>
      <c r="P55" s="27" t="inlineStr">
        <is>
          <t>AR_Aging row 48; inventory row 50</t>
        </is>
      </c>
    </row>
    <row r="56" ht="23" customHeight="1">
      <c r="A56" s="27" t="inlineStr">
        <is>
          <t>AC-LP-0302</t>
        </is>
      </c>
      <c r="B56" s="27" t="inlineStr">
        <is>
          <t>Brian Campbell</t>
        </is>
      </c>
      <c r="C56" s="27" t="inlineStr">
        <is>
          <t>LP-0302</t>
        </is>
      </c>
      <c r="D56" s="27" t="inlineStr">
        <is>
          <t>Ledgport</t>
        </is>
      </c>
      <c r="E56" s="27" t="inlineStr">
        <is>
          <t>covered</t>
        </is>
      </c>
      <c r="F56" s="27" t="inlineStr">
        <is>
          <t>OCCUPIED</t>
        </is>
      </c>
      <c r="G56" s="28" t="n">
        <v>37.3</v>
      </c>
      <c r="H56" s="28" t="n">
        <v>32</v>
      </c>
      <c r="I56" s="28">
        <f>MAX(ROUNDUP(G56,0),H56)</f>
        <v/>
      </c>
      <c r="J56" s="29" t="n">
        <v>395.2</v>
      </c>
      <c r="K56" s="30">
        <f>IF(OR(D56="Ledgport",D56="Vessbank"),10.4,7.55)</f>
        <v/>
      </c>
      <c r="L56" s="29">
        <f>I56*K56</f>
        <v/>
      </c>
      <c r="M56" s="29">
        <f>L56-J56</f>
        <v/>
      </c>
      <c r="N56" s="29">
        <f>MAX(0,M56)</f>
        <v/>
      </c>
      <c r="O56" s="31">
        <f>IF(ABS(M56)&lt;0.005,"OK",IF(M56&gt;0,"UNDERBILLED","OVERBILLED"))</f>
        <v/>
      </c>
      <c r="P56" s="27" t="inlineStr">
        <is>
          <t>AR_Aging row 49; inventory row 51</t>
        </is>
      </c>
    </row>
    <row r="57" ht="23" customHeight="1">
      <c r="A57" s="27" t="inlineStr">
        <is>
          <t>AC-LP-0303</t>
        </is>
      </c>
      <c r="B57" s="27" t="inlineStr">
        <is>
          <t>Adam Stevens</t>
        </is>
      </c>
      <c r="C57" s="27" t="inlineStr">
        <is>
          <t>LP-0303</t>
        </is>
      </c>
      <c r="D57" s="27" t="inlineStr">
        <is>
          <t>Ledgport</t>
        </is>
      </c>
      <c r="E57" s="27" t="inlineStr">
        <is>
          <t>covered</t>
        </is>
      </c>
      <c r="F57" s="27" t="inlineStr">
        <is>
          <t>OCCUPIED</t>
        </is>
      </c>
      <c r="G57" s="28" t="n">
        <v>54</v>
      </c>
      <c r="H57" s="28" t="n">
        <v>32</v>
      </c>
      <c r="I57" s="28">
        <f>MAX(ROUNDUP(G57,0),H57)</f>
        <v/>
      </c>
      <c r="J57" s="29" t="n">
        <v>561.6</v>
      </c>
      <c r="K57" s="30">
        <f>IF(OR(D57="Ledgport",D57="Vessbank"),10.4,7.55)</f>
        <v/>
      </c>
      <c r="L57" s="29">
        <f>I57*K57</f>
        <v/>
      </c>
      <c r="M57" s="29">
        <f>L57-J57</f>
        <v/>
      </c>
      <c r="N57" s="29">
        <f>MAX(0,M57)</f>
        <v/>
      </c>
      <c r="O57" s="31">
        <f>IF(ABS(M57)&lt;0.005,"OK",IF(M57&gt;0,"UNDERBILLED","OVERBILLED"))</f>
        <v/>
      </c>
      <c r="P57" s="27" t="inlineStr">
        <is>
          <t>AR_Aging row 50; inventory row 52</t>
        </is>
      </c>
    </row>
    <row r="58" ht="23" customHeight="1">
      <c r="A58" s="27" t="inlineStr">
        <is>
          <t>AC-LP-0305</t>
        </is>
      </c>
      <c r="B58" s="27" t="inlineStr">
        <is>
          <t>Nathan Huffman</t>
        </is>
      </c>
      <c r="C58" s="27" t="inlineStr">
        <is>
          <t>LP-0305</t>
        </is>
      </c>
      <c r="D58" s="27" t="inlineStr">
        <is>
          <t>Ledgport</t>
        </is>
      </c>
      <c r="E58" s="27" t="inlineStr">
        <is>
          <t>covered</t>
        </is>
      </c>
      <c r="F58" s="27" t="inlineStr">
        <is>
          <t>OCCUPIED</t>
        </is>
      </c>
      <c r="G58" s="28" t="n">
        <v>19.4</v>
      </c>
      <c r="H58" s="28" t="n">
        <v>32</v>
      </c>
      <c r="I58" s="28">
        <f>MAX(ROUNDUP(G58,0),H58)</f>
        <v/>
      </c>
      <c r="J58" s="29" t="n">
        <v>332.8</v>
      </c>
      <c r="K58" s="30">
        <f>IF(OR(D58="Ledgport",D58="Vessbank"),10.4,7.55)</f>
        <v/>
      </c>
      <c r="L58" s="29">
        <f>I58*K58</f>
        <v/>
      </c>
      <c r="M58" s="29">
        <f>L58-J58</f>
        <v/>
      </c>
      <c r="N58" s="29">
        <f>MAX(0,M58)</f>
        <v/>
      </c>
      <c r="O58" s="31">
        <f>IF(ABS(M58)&lt;0.005,"OK",IF(M58&gt;0,"UNDERBILLED","OVERBILLED"))</f>
        <v/>
      </c>
      <c r="P58" s="27" t="inlineStr">
        <is>
          <t>AR_Aging row 51; inventory row 54</t>
        </is>
      </c>
    </row>
    <row r="59" ht="23" customHeight="1">
      <c r="A59" s="27" t="inlineStr">
        <is>
          <t>AC-LP-0306</t>
        </is>
      </c>
      <c r="B59" s="27" t="inlineStr">
        <is>
          <t>Brian Wade</t>
        </is>
      </c>
      <c r="C59" s="27" t="inlineStr">
        <is>
          <t>LP-0306</t>
        </is>
      </c>
      <c r="D59" s="27" t="inlineStr">
        <is>
          <t>Ledgport</t>
        </is>
      </c>
      <c r="E59" s="27" t="inlineStr">
        <is>
          <t>covered</t>
        </is>
      </c>
      <c r="F59" s="27" t="inlineStr">
        <is>
          <t>OCCUPIED</t>
        </is>
      </c>
      <c r="G59" s="28" t="n">
        <v>54.1</v>
      </c>
      <c r="H59" s="28" t="n">
        <v>32</v>
      </c>
      <c r="I59" s="28">
        <f>MAX(ROUNDUP(G59,0),H59)</f>
        <v/>
      </c>
      <c r="J59" s="29" t="n">
        <v>572</v>
      </c>
      <c r="K59" s="30">
        <f>IF(OR(D59="Ledgport",D59="Vessbank"),10.4,7.55)</f>
        <v/>
      </c>
      <c r="L59" s="29">
        <f>I59*K59</f>
        <v/>
      </c>
      <c r="M59" s="29">
        <f>L59-J59</f>
        <v/>
      </c>
      <c r="N59" s="29">
        <f>MAX(0,M59)</f>
        <v/>
      </c>
      <c r="O59" s="31">
        <f>IF(ABS(M59)&lt;0.005,"OK",IF(M59&gt;0,"UNDERBILLED","OVERBILLED"))</f>
        <v/>
      </c>
      <c r="P59" s="27" t="inlineStr">
        <is>
          <t>AR_Aging row 52; inventory row 55</t>
        </is>
      </c>
    </row>
    <row r="60" ht="23" customHeight="1">
      <c r="A60" s="27" t="inlineStr">
        <is>
          <t>AC-LP-0307</t>
        </is>
      </c>
      <c r="B60" s="27" t="inlineStr">
        <is>
          <t>Cory Park</t>
        </is>
      </c>
      <c r="C60" s="27" t="inlineStr">
        <is>
          <t>LP-0307</t>
        </is>
      </c>
      <c r="D60" s="27" t="inlineStr">
        <is>
          <t>Ledgport</t>
        </is>
      </c>
      <c r="E60" s="27" t="inlineStr">
        <is>
          <t>covered</t>
        </is>
      </c>
      <c r="F60" s="27" t="inlineStr">
        <is>
          <t>OCCUPIED</t>
        </is>
      </c>
      <c r="G60" s="28" t="n">
        <v>60.7</v>
      </c>
      <c r="H60" s="28" t="n">
        <v>36</v>
      </c>
      <c r="I60" s="28">
        <f>MAX(ROUNDUP(G60,0),H60)</f>
        <v/>
      </c>
      <c r="J60" s="29" t="n">
        <v>634.4</v>
      </c>
      <c r="K60" s="30">
        <f>IF(OR(D60="Ledgport",D60="Vessbank"),10.4,7.55)</f>
        <v/>
      </c>
      <c r="L60" s="29">
        <f>I60*K60</f>
        <v/>
      </c>
      <c r="M60" s="29">
        <f>L60-J60</f>
        <v/>
      </c>
      <c r="N60" s="29">
        <f>MAX(0,M60)</f>
        <v/>
      </c>
      <c r="O60" s="31">
        <f>IF(ABS(M60)&lt;0.005,"OK",IF(M60&gt;0,"UNDERBILLED","OVERBILLED"))</f>
        <v/>
      </c>
      <c r="P60" s="27" t="inlineStr">
        <is>
          <t>AR_Aging row 53; inventory row 56</t>
        </is>
      </c>
    </row>
    <row r="61" ht="23" customHeight="1">
      <c r="A61" s="27" t="inlineStr">
        <is>
          <t>AC-LP-0309</t>
        </is>
      </c>
      <c r="B61" s="27" t="inlineStr">
        <is>
          <t>James Rivera</t>
        </is>
      </c>
      <c r="C61" s="27" t="inlineStr">
        <is>
          <t>LP-0309</t>
        </is>
      </c>
      <c r="D61" s="27" t="inlineStr">
        <is>
          <t>Ledgport</t>
        </is>
      </c>
      <c r="E61" s="27" t="inlineStr">
        <is>
          <t>covered</t>
        </is>
      </c>
      <c r="F61" s="27" t="inlineStr">
        <is>
          <t>OCCUPIED</t>
        </is>
      </c>
      <c r="G61" s="28" t="n">
        <v>42.3</v>
      </c>
      <c r="H61" s="28" t="n">
        <v>40</v>
      </c>
      <c r="I61" s="28">
        <f>MAX(ROUNDUP(G61,0),H61)</f>
        <v/>
      </c>
      <c r="J61" s="29" t="n">
        <v>447.2</v>
      </c>
      <c r="K61" s="30">
        <f>IF(OR(D61="Ledgport",D61="Vessbank"),10.4,7.55)</f>
        <v/>
      </c>
      <c r="L61" s="29">
        <f>I61*K61</f>
        <v/>
      </c>
      <c r="M61" s="29">
        <f>L61-J61</f>
        <v/>
      </c>
      <c r="N61" s="29">
        <f>MAX(0,M61)</f>
        <v/>
      </c>
      <c r="O61" s="31">
        <f>IF(ABS(M61)&lt;0.005,"OK",IF(M61&gt;0,"UNDERBILLED","OVERBILLED"))</f>
        <v/>
      </c>
      <c r="P61" s="27" t="inlineStr">
        <is>
          <t>AR_Aging row 54; inventory row 58</t>
        </is>
      </c>
    </row>
    <row r="62" ht="23" customHeight="1">
      <c r="A62" s="27" t="inlineStr">
        <is>
          <t>AC-LP-0311</t>
        </is>
      </c>
      <c r="B62" s="27" t="inlineStr">
        <is>
          <t>Joel English</t>
        </is>
      </c>
      <c r="C62" s="27" t="inlineStr">
        <is>
          <t>LP-0311</t>
        </is>
      </c>
      <c r="D62" s="27" t="inlineStr">
        <is>
          <t>Ledgport</t>
        </is>
      </c>
      <c r="E62" s="27" t="inlineStr">
        <is>
          <t>covered</t>
        </is>
      </c>
      <c r="F62" s="27" t="inlineStr">
        <is>
          <t>OCCUPIED</t>
        </is>
      </c>
      <c r="G62" s="28" t="n">
        <v>23.9</v>
      </c>
      <c r="H62" s="28" t="n">
        <v>24</v>
      </c>
      <c r="I62" s="28">
        <f>MAX(ROUNDUP(G62,0),H62)</f>
        <v/>
      </c>
      <c r="J62" s="29" t="n">
        <v>249.6</v>
      </c>
      <c r="K62" s="30">
        <f>IF(OR(D62="Ledgport",D62="Vessbank"),10.4,7.55)</f>
        <v/>
      </c>
      <c r="L62" s="29">
        <f>I62*K62</f>
        <v/>
      </c>
      <c r="M62" s="29">
        <f>L62-J62</f>
        <v/>
      </c>
      <c r="N62" s="29">
        <f>MAX(0,M62)</f>
        <v/>
      </c>
      <c r="O62" s="31">
        <f>IF(ABS(M62)&lt;0.005,"OK",IF(M62&gt;0,"UNDERBILLED","OVERBILLED"))</f>
        <v/>
      </c>
      <c r="P62" s="27" t="inlineStr">
        <is>
          <t>AR_Aging row 55; inventory row 60</t>
        </is>
      </c>
    </row>
    <row r="63" ht="23" customHeight="1">
      <c r="A63" s="27" t="inlineStr">
        <is>
          <t>AC-LP-0312</t>
        </is>
      </c>
      <c r="B63" s="27" t="inlineStr">
        <is>
          <t>Steven Greene</t>
        </is>
      </c>
      <c r="C63" s="27" t="inlineStr">
        <is>
          <t>LP-0312</t>
        </is>
      </c>
      <c r="D63" s="27" t="inlineStr">
        <is>
          <t>Ledgport</t>
        </is>
      </c>
      <c r="E63" s="27" t="inlineStr">
        <is>
          <t>covered</t>
        </is>
      </c>
      <c r="F63" s="27" t="inlineStr">
        <is>
          <t>OCCUPIED</t>
        </is>
      </c>
      <c r="G63" s="28" t="n">
        <v>31.1</v>
      </c>
      <c r="H63" s="28" t="n">
        <v>24</v>
      </c>
      <c r="I63" s="28">
        <f>MAX(ROUNDUP(G63,0),H63)</f>
        <v/>
      </c>
      <c r="J63" s="29" t="n">
        <v>332.8</v>
      </c>
      <c r="K63" s="30">
        <f>IF(OR(D63="Ledgport",D63="Vessbank"),10.4,7.55)</f>
        <v/>
      </c>
      <c r="L63" s="29">
        <f>I63*K63</f>
        <v/>
      </c>
      <c r="M63" s="29">
        <f>L63-J63</f>
        <v/>
      </c>
      <c r="N63" s="29">
        <f>MAX(0,M63)</f>
        <v/>
      </c>
      <c r="O63" s="31">
        <f>IF(ABS(M63)&lt;0.005,"OK",IF(M63&gt;0,"UNDERBILLED","OVERBILLED"))</f>
        <v/>
      </c>
      <c r="P63" s="27" t="inlineStr">
        <is>
          <t>AR_Aging row 56; inventory row 61</t>
        </is>
      </c>
    </row>
    <row r="64" ht="23" customHeight="1">
      <c r="A64" s="27" t="inlineStr">
        <is>
          <t>AC-LP-0313</t>
        </is>
      </c>
      <c r="B64" s="27" t="inlineStr">
        <is>
          <t>Christopher Lopez</t>
        </is>
      </c>
      <c r="C64" s="27" t="inlineStr">
        <is>
          <t>LP-0313</t>
        </is>
      </c>
      <c r="D64" s="27" t="inlineStr">
        <is>
          <t>Ledgport</t>
        </is>
      </c>
      <c r="E64" s="27" t="inlineStr">
        <is>
          <t>covered</t>
        </is>
      </c>
      <c r="F64" s="27" t="inlineStr">
        <is>
          <t>OCCUPIED</t>
        </is>
      </c>
      <c r="G64" s="28" t="n">
        <v>24.8</v>
      </c>
      <c r="H64" s="28" t="n">
        <v>32</v>
      </c>
      <c r="I64" s="28">
        <f>MAX(ROUNDUP(G64,0),H64)</f>
        <v/>
      </c>
      <c r="J64" s="29" t="n">
        <v>332.8</v>
      </c>
      <c r="K64" s="30">
        <f>IF(OR(D64="Ledgport",D64="Vessbank"),10.4,7.55)</f>
        <v/>
      </c>
      <c r="L64" s="29">
        <f>I64*K64</f>
        <v/>
      </c>
      <c r="M64" s="29">
        <f>L64-J64</f>
        <v/>
      </c>
      <c r="N64" s="29">
        <f>MAX(0,M64)</f>
        <v/>
      </c>
      <c r="O64" s="31">
        <f>IF(ABS(M64)&lt;0.005,"OK",IF(M64&gt;0,"UNDERBILLED","OVERBILLED"))</f>
        <v/>
      </c>
      <c r="P64" s="27" t="inlineStr">
        <is>
          <t>AR_Aging row 57; inventory row 62</t>
        </is>
      </c>
    </row>
    <row r="65" ht="23" customHeight="1">
      <c r="A65" s="27" t="inlineStr">
        <is>
          <t>AC-LP-0314</t>
        </is>
      </c>
      <c r="B65" s="27" t="inlineStr">
        <is>
          <t>Brenda Matthews</t>
        </is>
      </c>
      <c r="C65" s="27" t="inlineStr">
        <is>
          <t>LP-0314</t>
        </is>
      </c>
      <c r="D65" s="27" t="inlineStr">
        <is>
          <t>Ledgport</t>
        </is>
      </c>
      <c r="E65" s="27" t="inlineStr">
        <is>
          <t>covered</t>
        </is>
      </c>
      <c r="F65" s="27" t="inlineStr">
        <is>
          <t>OCCUPIED</t>
        </is>
      </c>
      <c r="G65" s="28" t="n">
        <v>26.3</v>
      </c>
      <c r="H65" s="28" t="n">
        <v>32</v>
      </c>
      <c r="I65" s="28">
        <f>MAX(ROUNDUP(G65,0),H65)</f>
        <v/>
      </c>
      <c r="J65" s="29" t="n">
        <v>332.8</v>
      </c>
      <c r="K65" s="30">
        <f>IF(OR(D65="Ledgport",D65="Vessbank"),10.4,7.55)</f>
        <v/>
      </c>
      <c r="L65" s="29">
        <f>I65*K65</f>
        <v/>
      </c>
      <c r="M65" s="29">
        <f>L65-J65</f>
        <v/>
      </c>
      <c r="N65" s="29">
        <f>MAX(0,M65)</f>
        <v/>
      </c>
      <c r="O65" s="31">
        <f>IF(ABS(M65)&lt;0.005,"OK",IF(M65&gt;0,"UNDERBILLED","OVERBILLED"))</f>
        <v/>
      </c>
      <c r="P65" s="27" t="inlineStr">
        <is>
          <t>AR_Aging row 58; inventory row 63</t>
        </is>
      </c>
    </row>
    <row r="66" ht="23" customHeight="1">
      <c r="A66" s="27" t="inlineStr">
        <is>
          <t>AC-LP-0315</t>
        </is>
      </c>
      <c r="B66" s="27" t="inlineStr">
        <is>
          <t>Gregory Phillips</t>
        </is>
      </c>
      <c r="C66" s="27" t="inlineStr">
        <is>
          <t>LP-0315</t>
        </is>
      </c>
      <c r="D66" s="27" t="inlineStr">
        <is>
          <t>Ledgport</t>
        </is>
      </c>
      <c r="E66" s="27" t="inlineStr">
        <is>
          <t>covered</t>
        </is>
      </c>
      <c r="F66" s="27" t="inlineStr">
        <is>
          <t>OCCUPIED</t>
        </is>
      </c>
      <c r="G66" s="28" t="n">
        <v>31.6</v>
      </c>
      <c r="H66" s="28" t="n">
        <v>24</v>
      </c>
      <c r="I66" s="28">
        <f>MAX(ROUNDUP(G66,0),H66)</f>
        <v/>
      </c>
      <c r="J66" s="29" t="n">
        <v>332.8</v>
      </c>
      <c r="K66" s="30">
        <f>IF(OR(D66="Ledgport",D66="Vessbank"),10.4,7.55)</f>
        <v/>
      </c>
      <c r="L66" s="29">
        <f>I66*K66</f>
        <v/>
      </c>
      <c r="M66" s="29">
        <f>L66-J66</f>
        <v/>
      </c>
      <c r="N66" s="29">
        <f>MAX(0,M66)</f>
        <v/>
      </c>
      <c r="O66" s="31">
        <f>IF(ABS(M66)&lt;0.005,"OK",IF(M66&gt;0,"UNDERBILLED","OVERBILLED"))</f>
        <v/>
      </c>
      <c r="P66" s="27" t="inlineStr">
        <is>
          <t>AR_Aging row 59; inventory row 64</t>
        </is>
      </c>
    </row>
    <row r="67" ht="23" customHeight="1">
      <c r="A67" s="27" t="inlineStr">
        <is>
          <t>AC-LP-0316</t>
        </is>
      </c>
      <c r="B67" s="27" t="inlineStr">
        <is>
          <t>Adam Webster</t>
        </is>
      </c>
      <c r="C67" s="27" t="inlineStr">
        <is>
          <t>LP-0316</t>
        </is>
      </c>
      <c r="D67" s="27" t="inlineStr">
        <is>
          <t>Ledgport</t>
        </is>
      </c>
      <c r="E67" s="27" t="inlineStr">
        <is>
          <t>covered</t>
        </is>
      </c>
      <c r="F67" s="27" t="inlineStr">
        <is>
          <t>OCCUPIED</t>
        </is>
      </c>
      <c r="G67" s="28" t="n">
        <v>53.5</v>
      </c>
      <c r="H67" s="28" t="n">
        <v>40</v>
      </c>
      <c r="I67" s="28">
        <f>MAX(ROUNDUP(G67,0),H67)</f>
        <v/>
      </c>
      <c r="J67" s="29" t="n">
        <v>561.6</v>
      </c>
      <c r="K67" s="30">
        <f>IF(OR(D67="Ledgport",D67="Vessbank"),10.4,7.55)</f>
        <v/>
      </c>
      <c r="L67" s="29">
        <f>I67*K67</f>
        <v/>
      </c>
      <c r="M67" s="29">
        <f>L67-J67</f>
        <v/>
      </c>
      <c r="N67" s="29">
        <f>MAX(0,M67)</f>
        <v/>
      </c>
      <c r="O67" s="31">
        <f>IF(ABS(M67)&lt;0.005,"OK",IF(M67&gt;0,"UNDERBILLED","OVERBILLED"))</f>
        <v/>
      </c>
      <c r="P67" s="27" t="inlineStr">
        <is>
          <t>AR_Aging row 60; inventory row 65</t>
        </is>
      </c>
    </row>
    <row r="68" ht="23" customHeight="1">
      <c r="A68" s="27" t="inlineStr">
        <is>
          <t>AC-LP-0317</t>
        </is>
      </c>
      <c r="B68" s="27" t="inlineStr">
        <is>
          <t>Randall Cummings</t>
        </is>
      </c>
      <c r="C68" s="27" t="inlineStr">
        <is>
          <t>LP-0317</t>
        </is>
      </c>
      <c r="D68" s="27" t="inlineStr">
        <is>
          <t>Ledgport</t>
        </is>
      </c>
      <c r="E68" s="27" t="inlineStr">
        <is>
          <t>covered</t>
        </is>
      </c>
      <c r="F68" s="27" t="inlineStr">
        <is>
          <t>OCCUPIED</t>
        </is>
      </c>
      <c r="G68" s="28" t="n">
        <v>22.7</v>
      </c>
      <c r="H68" s="28" t="n">
        <v>40</v>
      </c>
      <c r="I68" s="28">
        <f>MAX(ROUNDUP(G68,0),H68)</f>
        <v/>
      </c>
      <c r="J68" s="29" t="n">
        <v>416</v>
      </c>
      <c r="K68" s="30">
        <f>IF(OR(D68="Ledgport",D68="Vessbank"),10.4,7.55)</f>
        <v/>
      </c>
      <c r="L68" s="29">
        <f>I68*K68</f>
        <v/>
      </c>
      <c r="M68" s="29">
        <f>L68-J68</f>
        <v/>
      </c>
      <c r="N68" s="29">
        <f>MAX(0,M68)</f>
        <v/>
      </c>
      <c r="O68" s="31">
        <f>IF(ABS(M68)&lt;0.005,"OK",IF(M68&gt;0,"UNDERBILLED","OVERBILLED"))</f>
        <v/>
      </c>
      <c r="P68" s="27" t="inlineStr">
        <is>
          <t>AR_Aging row 61; inventory row 66</t>
        </is>
      </c>
    </row>
    <row r="69" ht="23" customHeight="1">
      <c r="A69" s="27" t="inlineStr">
        <is>
          <t>AC-LP-0318</t>
        </is>
      </c>
      <c r="B69" s="27" t="inlineStr">
        <is>
          <t>Albert Hill</t>
        </is>
      </c>
      <c r="C69" s="27" t="inlineStr">
        <is>
          <t>LP-0318</t>
        </is>
      </c>
      <c r="D69" s="27" t="inlineStr">
        <is>
          <t>Ledgport</t>
        </is>
      </c>
      <c r="E69" s="27" t="inlineStr">
        <is>
          <t>covered</t>
        </is>
      </c>
      <c r="F69" s="27" t="inlineStr">
        <is>
          <t>OCCUPIED</t>
        </is>
      </c>
      <c r="G69" s="28" t="n">
        <v>34.5</v>
      </c>
      <c r="H69" s="28" t="n">
        <v>32</v>
      </c>
      <c r="I69" s="28">
        <f>MAX(ROUNDUP(G69,0),H69)</f>
        <v/>
      </c>
      <c r="J69" s="29" t="n">
        <v>364</v>
      </c>
      <c r="K69" s="30">
        <f>IF(OR(D69="Ledgport",D69="Vessbank"),10.4,7.55)</f>
        <v/>
      </c>
      <c r="L69" s="29">
        <f>I69*K69</f>
        <v/>
      </c>
      <c r="M69" s="29">
        <f>L69-J69</f>
        <v/>
      </c>
      <c r="N69" s="29">
        <f>MAX(0,M69)</f>
        <v/>
      </c>
      <c r="O69" s="31">
        <f>IF(ABS(M69)&lt;0.005,"OK",IF(M69&gt;0,"UNDERBILLED","OVERBILLED"))</f>
        <v/>
      </c>
      <c r="P69" s="27" t="inlineStr">
        <is>
          <t>AR_Aging row 62; inventory row 67</t>
        </is>
      </c>
    </row>
    <row r="70" ht="23" customHeight="1">
      <c r="A70" s="27" t="inlineStr">
        <is>
          <t>AC-LP-0320</t>
        </is>
      </c>
      <c r="B70" s="27" t="inlineStr">
        <is>
          <t>Douglas Herrera</t>
        </is>
      </c>
      <c r="C70" s="27" t="inlineStr">
        <is>
          <t>LP-0320</t>
        </is>
      </c>
      <c r="D70" s="27" t="inlineStr">
        <is>
          <t>Ledgport</t>
        </is>
      </c>
      <c r="E70" s="27" t="inlineStr">
        <is>
          <t>covered</t>
        </is>
      </c>
      <c r="F70" s="27" t="inlineStr">
        <is>
          <t>OCCUPIED</t>
        </is>
      </c>
      <c r="G70" s="28" t="n">
        <v>53.4</v>
      </c>
      <c r="H70" s="28" t="n">
        <v>24</v>
      </c>
      <c r="I70" s="28">
        <f>MAX(ROUNDUP(G70,0),H70)</f>
        <v/>
      </c>
      <c r="J70" s="29" t="n">
        <v>561.6</v>
      </c>
      <c r="K70" s="30">
        <f>IF(OR(D70="Ledgport",D70="Vessbank"),10.4,7.55)</f>
        <v/>
      </c>
      <c r="L70" s="29">
        <f>I70*K70</f>
        <v/>
      </c>
      <c r="M70" s="29">
        <f>L70-J70</f>
        <v/>
      </c>
      <c r="N70" s="29">
        <f>MAX(0,M70)</f>
        <v/>
      </c>
      <c r="O70" s="31">
        <f>IF(ABS(M70)&lt;0.005,"OK",IF(M70&gt;0,"UNDERBILLED","OVERBILLED"))</f>
        <v/>
      </c>
      <c r="P70" s="27" t="inlineStr">
        <is>
          <t>AR_Aging row 63; inventory row 69</t>
        </is>
      </c>
    </row>
    <row r="71" ht="23" customHeight="1">
      <c r="A71" s="27" t="inlineStr">
        <is>
          <t>AC-LP-0321</t>
        </is>
      </c>
      <c r="B71" s="27" t="inlineStr">
        <is>
          <t>Jennifer Leonard</t>
        </is>
      </c>
      <c r="C71" s="27" t="inlineStr">
        <is>
          <t>LP-0321</t>
        </is>
      </c>
      <c r="D71" s="27" t="inlineStr">
        <is>
          <t>Ledgport</t>
        </is>
      </c>
      <c r="E71" s="27" t="inlineStr">
        <is>
          <t>covered</t>
        </is>
      </c>
      <c r="F71" s="27" t="inlineStr">
        <is>
          <t>OCCUPIED</t>
        </is>
      </c>
      <c r="G71" s="28" t="n">
        <v>34.2</v>
      </c>
      <c r="H71" s="28" t="n">
        <v>28</v>
      </c>
      <c r="I71" s="28">
        <f>MAX(ROUNDUP(G71,0),H71)</f>
        <v/>
      </c>
      <c r="J71" s="29" t="n">
        <v>364</v>
      </c>
      <c r="K71" s="30">
        <f>IF(OR(D71="Ledgport",D71="Vessbank"),10.4,7.55)</f>
        <v/>
      </c>
      <c r="L71" s="29">
        <f>I71*K71</f>
        <v/>
      </c>
      <c r="M71" s="29">
        <f>L71-J71</f>
        <v/>
      </c>
      <c r="N71" s="29">
        <f>MAX(0,M71)</f>
        <v/>
      </c>
      <c r="O71" s="31">
        <f>IF(ABS(M71)&lt;0.005,"OK",IF(M71&gt;0,"UNDERBILLED","OVERBILLED"))</f>
        <v/>
      </c>
      <c r="P71" s="27" t="inlineStr">
        <is>
          <t>AR_Aging row 64; inventory row 70</t>
        </is>
      </c>
    </row>
    <row r="72" ht="23" customHeight="1">
      <c r="A72" s="27" t="inlineStr">
        <is>
          <t>AC-LP-0322</t>
        </is>
      </c>
      <c r="B72" s="27" t="inlineStr">
        <is>
          <t>Robert Nolan</t>
        </is>
      </c>
      <c r="C72" s="27" t="inlineStr">
        <is>
          <t>LP-0322</t>
        </is>
      </c>
      <c r="D72" s="27" t="inlineStr">
        <is>
          <t>Ledgport</t>
        </is>
      </c>
      <c r="E72" s="27" t="inlineStr">
        <is>
          <t>covered</t>
        </is>
      </c>
      <c r="F72" s="27" t="inlineStr">
        <is>
          <t>OCCUPIED</t>
        </is>
      </c>
      <c r="G72" s="28" t="n">
        <v>57.4</v>
      </c>
      <c r="H72" s="28" t="n">
        <v>24</v>
      </c>
      <c r="I72" s="28">
        <f>MAX(ROUNDUP(G72,0),H72)</f>
        <v/>
      </c>
      <c r="J72" s="29" t="n">
        <v>603.2</v>
      </c>
      <c r="K72" s="30">
        <f>IF(OR(D72="Ledgport",D72="Vessbank"),10.4,7.55)</f>
        <v/>
      </c>
      <c r="L72" s="29">
        <f>I72*K72</f>
        <v/>
      </c>
      <c r="M72" s="29">
        <f>L72-J72</f>
        <v/>
      </c>
      <c r="N72" s="29">
        <f>MAX(0,M72)</f>
        <v/>
      </c>
      <c r="O72" s="31">
        <f>IF(ABS(M72)&lt;0.005,"OK",IF(M72&gt;0,"UNDERBILLED","OVERBILLED"))</f>
        <v/>
      </c>
      <c r="P72" s="27" t="inlineStr">
        <is>
          <t>AR_Aging row 65; inventory row 71</t>
        </is>
      </c>
    </row>
    <row r="73" ht="23" customHeight="1">
      <c r="A73" s="27" t="inlineStr">
        <is>
          <t>AC-LP-0323</t>
        </is>
      </c>
      <c r="B73" s="27" t="inlineStr">
        <is>
          <t>Robert Swanson</t>
        </is>
      </c>
      <c r="C73" s="27" t="inlineStr">
        <is>
          <t>LP-0323</t>
        </is>
      </c>
      <c r="D73" s="27" t="inlineStr">
        <is>
          <t>Ledgport</t>
        </is>
      </c>
      <c r="E73" s="27" t="inlineStr">
        <is>
          <t>covered</t>
        </is>
      </c>
      <c r="F73" s="27" t="inlineStr">
        <is>
          <t>OCCUPIED</t>
        </is>
      </c>
      <c r="G73" s="28" t="n">
        <v>48.5</v>
      </c>
      <c r="H73" s="28" t="n">
        <v>24</v>
      </c>
      <c r="I73" s="28">
        <f>MAX(ROUNDUP(G73,0),H73)</f>
        <v/>
      </c>
      <c r="J73" s="29" t="n">
        <v>509.6</v>
      </c>
      <c r="K73" s="30">
        <f>IF(OR(D73="Ledgport",D73="Vessbank"),10.4,7.55)</f>
        <v/>
      </c>
      <c r="L73" s="29">
        <f>I73*K73</f>
        <v/>
      </c>
      <c r="M73" s="29">
        <f>L73-J73</f>
        <v/>
      </c>
      <c r="N73" s="29">
        <f>MAX(0,M73)</f>
        <v/>
      </c>
      <c r="O73" s="31">
        <f>IF(ABS(M73)&lt;0.005,"OK",IF(M73&gt;0,"UNDERBILLED","OVERBILLED"))</f>
        <v/>
      </c>
      <c r="P73" s="27" t="inlineStr">
        <is>
          <t>AR_Aging row 66; inventory row 72</t>
        </is>
      </c>
    </row>
    <row r="74" ht="23" customHeight="1">
      <c r="A74" s="27" t="inlineStr">
        <is>
          <t>AC-LP-0324</t>
        </is>
      </c>
      <c r="B74" s="27" t="inlineStr">
        <is>
          <t>Stephanie Hart</t>
        </is>
      </c>
      <c r="C74" s="27" t="inlineStr">
        <is>
          <t>LP-0324</t>
        </is>
      </c>
      <c r="D74" s="27" t="inlineStr">
        <is>
          <t>Ledgport</t>
        </is>
      </c>
      <c r="E74" s="27" t="inlineStr">
        <is>
          <t>covered</t>
        </is>
      </c>
      <c r="F74" s="27" t="inlineStr">
        <is>
          <t>OCCUPIED</t>
        </is>
      </c>
      <c r="G74" s="28" t="n">
        <v>44.5</v>
      </c>
      <c r="H74" s="28" t="n">
        <v>32</v>
      </c>
      <c r="I74" s="28">
        <f>MAX(ROUNDUP(G74,0),H74)</f>
        <v/>
      </c>
      <c r="J74" s="29" t="n">
        <v>468</v>
      </c>
      <c r="K74" s="30">
        <f>IF(OR(D74="Ledgport",D74="Vessbank"),10.4,7.55)</f>
        <v/>
      </c>
      <c r="L74" s="29">
        <f>I74*K74</f>
        <v/>
      </c>
      <c r="M74" s="29">
        <f>L74-J74</f>
        <v/>
      </c>
      <c r="N74" s="29">
        <f>MAX(0,M74)</f>
        <v/>
      </c>
      <c r="O74" s="31">
        <f>IF(ABS(M74)&lt;0.005,"OK",IF(M74&gt;0,"UNDERBILLED","OVERBILLED"))</f>
        <v/>
      </c>
      <c r="P74" s="27" t="inlineStr">
        <is>
          <t>AR_Aging row 67; inventory row 73</t>
        </is>
      </c>
    </row>
    <row r="75" ht="23" customHeight="1">
      <c r="A75" s="27" t="inlineStr">
        <is>
          <t>AC-LP-0402</t>
        </is>
      </c>
      <c r="B75" s="27" t="inlineStr">
        <is>
          <t>Dawn Brown</t>
        </is>
      </c>
      <c r="C75" s="27" t="inlineStr">
        <is>
          <t>LP-0402</t>
        </is>
      </c>
      <c r="D75" s="27" t="inlineStr">
        <is>
          <t>Ledgport</t>
        </is>
      </c>
      <c r="E75" s="27" t="inlineStr">
        <is>
          <t>covered</t>
        </is>
      </c>
      <c r="F75" s="27" t="inlineStr">
        <is>
          <t>OCCUPIED</t>
        </is>
      </c>
      <c r="G75" s="28" t="n">
        <v>36.5</v>
      </c>
      <c r="H75" s="28" t="n">
        <v>28</v>
      </c>
      <c r="I75" s="28">
        <f>MAX(ROUNDUP(G75,0),H75)</f>
        <v/>
      </c>
      <c r="J75" s="29" t="n">
        <v>384.8</v>
      </c>
      <c r="K75" s="30">
        <f>IF(OR(D75="Ledgport",D75="Vessbank"),10.4,7.55)</f>
        <v/>
      </c>
      <c r="L75" s="29">
        <f>I75*K75</f>
        <v/>
      </c>
      <c r="M75" s="29">
        <f>L75-J75</f>
        <v/>
      </c>
      <c r="N75" s="29">
        <f>MAX(0,M75)</f>
        <v/>
      </c>
      <c r="O75" s="31">
        <f>IF(ABS(M75)&lt;0.005,"OK",IF(M75&gt;0,"UNDERBILLED","OVERBILLED"))</f>
        <v/>
      </c>
      <c r="P75" s="27" t="inlineStr">
        <is>
          <t>AR_Aging row 68; inventory row 75</t>
        </is>
      </c>
    </row>
    <row r="76" ht="23" customHeight="1">
      <c r="A76" s="27" t="inlineStr">
        <is>
          <t>AC-LP-0403</t>
        </is>
      </c>
      <c r="B76" s="27" t="inlineStr">
        <is>
          <t>Donna Mitchell</t>
        </is>
      </c>
      <c r="C76" s="27" t="inlineStr">
        <is>
          <t>LP-0403</t>
        </is>
      </c>
      <c r="D76" s="27" t="inlineStr">
        <is>
          <t>Ledgport</t>
        </is>
      </c>
      <c r="E76" s="27" t="inlineStr">
        <is>
          <t>covered</t>
        </is>
      </c>
      <c r="F76" s="27" t="inlineStr">
        <is>
          <t>OCCUPIED</t>
        </is>
      </c>
      <c r="G76" s="28" t="n">
        <v>46.9</v>
      </c>
      <c r="H76" s="28" t="n">
        <v>24</v>
      </c>
      <c r="I76" s="28">
        <f>MAX(ROUNDUP(G76,0),H76)</f>
        <v/>
      </c>
      <c r="J76" s="29" t="n">
        <v>488.8</v>
      </c>
      <c r="K76" s="30">
        <f>IF(OR(D76="Ledgport",D76="Vessbank"),10.4,7.55)</f>
        <v/>
      </c>
      <c r="L76" s="29">
        <f>I76*K76</f>
        <v/>
      </c>
      <c r="M76" s="29">
        <f>L76-J76</f>
        <v/>
      </c>
      <c r="N76" s="29">
        <f>MAX(0,M76)</f>
        <v/>
      </c>
      <c r="O76" s="31">
        <f>IF(ABS(M76)&lt;0.005,"OK",IF(M76&gt;0,"UNDERBILLED","OVERBILLED"))</f>
        <v/>
      </c>
      <c r="P76" s="27" t="inlineStr">
        <is>
          <t>AR_Aging row 69; inventory row 76</t>
        </is>
      </c>
    </row>
    <row r="77" ht="23" customHeight="1">
      <c r="A77" s="27" t="inlineStr">
        <is>
          <t>AC-LP-0404</t>
        </is>
      </c>
      <c r="B77" s="27" t="inlineStr">
        <is>
          <t>Rachel Flores</t>
        </is>
      </c>
      <c r="C77" s="27" t="inlineStr">
        <is>
          <t>LP-0404</t>
        </is>
      </c>
      <c r="D77" s="27" t="inlineStr">
        <is>
          <t>Ledgport</t>
        </is>
      </c>
      <c r="E77" s="27" t="inlineStr">
        <is>
          <t>covered</t>
        </is>
      </c>
      <c r="F77" s="27" t="inlineStr">
        <is>
          <t>OCCUPIED</t>
        </is>
      </c>
      <c r="G77" s="28" t="n">
        <v>27.2</v>
      </c>
      <c r="H77" s="28" t="n">
        <v>24</v>
      </c>
      <c r="I77" s="28">
        <f>MAX(ROUNDUP(G77,0),H77)</f>
        <v/>
      </c>
      <c r="J77" s="29" t="n">
        <v>291.2</v>
      </c>
      <c r="K77" s="30">
        <f>IF(OR(D77="Ledgport",D77="Vessbank"),10.4,7.55)</f>
        <v/>
      </c>
      <c r="L77" s="29">
        <f>I77*K77</f>
        <v/>
      </c>
      <c r="M77" s="29">
        <f>L77-J77</f>
        <v/>
      </c>
      <c r="N77" s="29">
        <f>MAX(0,M77)</f>
        <v/>
      </c>
      <c r="O77" s="31">
        <f>IF(ABS(M77)&lt;0.005,"OK",IF(M77&gt;0,"UNDERBILLED","OVERBILLED"))</f>
        <v/>
      </c>
      <c r="P77" s="27" t="inlineStr">
        <is>
          <t>AR_Aging row 70; inventory row 77</t>
        </is>
      </c>
    </row>
    <row r="78" ht="23" customHeight="1">
      <c r="A78" s="27" t="inlineStr">
        <is>
          <t>AC-LP-0405</t>
        </is>
      </c>
      <c r="B78" s="27" t="inlineStr">
        <is>
          <t>David Lopez</t>
        </is>
      </c>
      <c r="C78" s="27" t="inlineStr">
        <is>
          <t>LP-0405</t>
        </is>
      </c>
      <c r="D78" s="27" t="inlineStr">
        <is>
          <t>Ledgport</t>
        </is>
      </c>
      <c r="E78" s="27" t="inlineStr">
        <is>
          <t>covered</t>
        </is>
      </c>
      <c r="F78" s="27" t="inlineStr">
        <is>
          <t>OCCUPIED</t>
        </is>
      </c>
      <c r="G78" s="28" t="n">
        <v>34.5</v>
      </c>
      <c r="H78" s="28" t="n">
        <v>24</v>
      </c>
      <c r="I78" s="28">
        <f>MAX(ROUNDUP(G78,0),H78)</f>
        <v/>
      </c>
      <c r="J78" s="29" t="n">
        <v>364</v>
      </c>
      <c r="K78" s="30">
        <f>IF(OR(D78="Ledgport",D78="Vessbank"),10.4,7.55)</f>
        <v/>
      </c>
      <c r="L78" s="29">
        <f>I78*K78</f>
        <v/>
      </c>
      <c r="M78" s="29">
        <f>L78-J78</f>
        <v/>
      </c>
      <c r="N78" s="29">
        <f>MAX(0,M78)</f>
        <v/>
      </c>
      <c r="O78" s="31">
        <f>IF(ABS(M78)&lt;0.005,"OK",IF(M78&gt;0,"UNDERBILLED","OVERBILLED"))</f>
        <v/>
      </c>
      <c r="P78" s="27" t="inlineStr">
        <is>
          <t>AR_Aging row 71; inventory row 78</t>
        </is>
      </c>
    </row>
    <row r="79" ht="23" customHeight="1">
      <c r="A79" s="27" t="inlineStr">
        <is>
          <t>AC-LP-0406</t>
        </is>
      </c>
      <c r="B79" s="27" t="inlineStr">
        <is>
          <t>Michael King</t>
        </is>
      </c>
      <c r="C79" s="27" t="inlineStr">
        <is>
          <t>LP-0406</t>
        </is>
      </c>
      <c r="D79" s="27" t="inlineStr">
        <is>
          <t>Ledgport</t>
        </is>
      </c>
      <c r="E79" s="27" t="inlineStr">
        <is>
          <t>covered</t>
        </is>
      </c>
      <c r="F79" s="27" t="inlineStr">
        <is>
          <t>OCCUPIED</t>
        </is>
      </c>
      <c r="G79" s="28" t="n">
        <v>59.6</v>
      </c>
      <c r="H79" s="28" t="n">
        <v>24</v>
      </c>
      <c r="I79" s="28">
        <f>MAX(ROUNDUP(G79,0),H79)</f>
        <v/>
      </c>
      <c r="J79" s="29" t="n">
        <v>624</v>
      </c>
      <c r="K79" s="30">
        <f>IF(OR(D79="Ledgport",D79="Vessbank"),10.4,7.55)</f>
        <v/>
      </c>
      <c r="L79" s="29">
        <f>I79*K79</f>
        <v/>
      </c>
      <c r="M79" s="29">
        <f>L79-J79</f>
        <v/>
      </c>
      <c r="N79" s="29">
        <f>MAX(0,M79)</f>
        <v/>
      </c>
      <c r="O79" s="31">
        <f>IF(ABS(M79)&lt;0.005,"OK",IF(M79&gt;0,"UNDERBILLED","OVERBILLED"))</f>
        <v/>
      </c>
      <c r="P79" s="27" t="inlineStr">
        <is>
          <t>AR_Aging row 72; inventory row 79</t>
        </is>
      </c>
    </row>
    <row r="80" ht="23" customHeight="1">
      <c r="A80" s="27" t="inlineStr">
        <is>
          <t>AC-LP-0407</t>
        </is>
      </c>
      <c r="B80" s="27" t="inlineStr">
        <is>
          <t>Karla Cross</t>
        </is>
      </c>
      <c r="C80" s="27" t="inlineStr">
        <is>
          <t>LP-0407</t>
        </is>
      </c>
      <c r="D80" s="27" t="inlineStr">
        <is>
          <t>Ledgport</t>
        </is>
      </c>
      <c r="E80" s="27" t="inlineStr">
        <is>
          <t>covered</t>
        </is>
      </c>
      <c r="F80" s="27" t="inlineStr">
        <is>
          <t>OCCUPIED</t>
        </is>
      </c>
      <c r="G80" s="28" t="n">
        <v>38.4</v>
      </c>
      <c r="H80" s="28" t="n">
        <v>28</v>
      </c>
      <c r="I80" s="28">
        <f>MAX(ROUNDUP(G80,0),H80)</f>
        <v/>
      </c>
      <c r="J80" s="29" t="n">
        <v>405.6</v>
      </c>
      <c r="K80" s="30">
        <f>IF(OR(D80="Ledgport",D80="Vessbank"),10.4,7.55)</f>
        <v/>
      </c>
      <c r="L80" s="29">
        <f>I80*K80</f>
        <v/>
      </c>
      <c r="M80" s="29">
        <f>L80-J80</f>
        <v/>
      </c>
      <c r="N80" s="29">
        <f>MAX(0,M80)</f>
        <v/>
      </c>
      <c r="O80" s="31">
        <f>IF(ABS(M80)&lt;0.005,"OK",IF(M80&gt;0,"UNDERBILLED","OVERBILLED"))</f>
        <v/>
      </c>
      <c r="P80" s="27" t="inlineStr">
        <is>
          <t>AR_Aging row 73; inventory row 80</t>
        </is>
      </c>
    </row>
    <row r="81" ht="23" customHeight="1">
      <c r="A81" s="27" t="inlineStr">
        <is>
          <t>AC-LP-0408</t>
        </is>
      </c>
      <c r="B81" s="27" t="inlineStr">
        <is>
          <t>Kari Snow</t>
        </is>
      </c>
      <c r="C81" s="27" t="inlineStr">
        <is>
          <t>LP-0408</t>
        </is>
      </c>
      <c r="D81" s="27" t="inlineStr">
        <is>
          <t>Ledgport</t>
        </is>
      </c>
      <c r="E81" s="27" t="inlineStr">
        <is>
          <t>covered</t>
        </is>
      </c>
      <c r="F81" s="27" t="inlineStr">
        <is>
          <t>OCCUPIED</t>
        </is>
      </c>
      <c r="G81" s="28" t="n">
        <v>23.9</v>
      </c>
      <c r="H81" s="28" t="n">
        <v>40</v>
      </c>
      <c r="I81" s="28">
        <f>MAX(ROUNDUP(G81,0),H81)</f>
        <v/>
      </c>
      <c r="J81" s="29" t="n">
        <v>416</v>
      </c>
      <c r="K81" s="30">
        <f>IF(OR(D81="Ledgport",D81="Vessbank"),10.4,7.55)</f>
        <v/>
      </c>
      <c r="L81" s="29">
        <f>I81*K81</f>
        <v/>
      </c>
      <c r="M81" s="29">
        <f>L81-J81</f>
        <v/>
      </c>
      <c r="N81" s="29">
        <f>MAX(0,M81)</f>
        <v/>
      </c>
      <c r="O81" s="31">
        <f>IF(ABS(M81)&lt;0.005,"OK",IF(M81&gt;0,"UNDERBILLED","OVERBILLED"))</f>
        <v/>
      </c>
      <c r="P81" s="27" t="inlineStr">
        <is>
          <t>AR_Aging row 74; inventory row 81</t>
        </is>
      </c>
    </row>
    <row r="82" ht="23" customHeight="1">
      <c r="A82" s="27" t="inlineStr">
        <is>
          <t>AC-LP-0409</t>
        </is>
      </c>
      <c r="B82" s="27" t="inlineStr">
        <is>
          <t>Joseph Cohen</t>
        </is>
      </c>
      <c r="C82" s="27" t="inlineStr">
        <is>
          <t>LP-0409</t>
        </is>
      </c>
      <c r="D82" s="27" t="inlineStr">
        <is>
          <t>Ledgport</t>
        </is>
      </c>
      <c r="E82" s="27" t="inlineStr">
        <is>
          <t>covered</t>
        </is>
      </c>
      <c r="F82" s="27" t="inlineStr">
        <is>
          <t>OCCUPIED</t>
        </is>
      </c>
      <c r="G82" s="28" t="n">
        <v>48.1</v>
      </c>
      <c r="H82" s="28" t="n">
        <v>32</v>
      </c>
      <c r="I82" s="28">
        <f>MAX(ROUNDUP(G82,0),H82)</f>
        <v/>
      </c>
      <c r="J82" s="29" t="n">
        <v>509.6</v>
      </c>
      <c r="K82" s="30">
        <f>IF(OR(D82="Ledgport",D82="Vessbank"),10.4,7.55)</f>
        <v/>
      </c>
      <c r="L82" s="29">
        <f>I82*K82</f>
        <v/>
      </c>
      <c r="M82" s="29">
        <f>L82-J82</f>
        <v/>
      </c>
      <c r="N82" s="29">
        <f>MAX(0,M82)</f>
        <v/>
      </c>
      <c r="O82" s="31">
        <f>IF(ABS(M82)&lt;0.005,"OK",IF(M82&gt;0,"UNDERBILLED","OVERBILLED"))</f>
        <v/>
      </c>
      <c r="P82" s="27" t="inlineStr">
        <is>
          <t>AR_Aging row 75; inventory row 82</t>
        </is>
      </c>
    </row>
    <row r="83" ht="23" customHeight="1">
      <c r="A83" s="27" t="inlineStr">
        <is>
          <t>AC-LP-0410</t>
        </is>
      </c>
      <c r="B83" s="27" t="inlineStr">
        <is>
          <t>Kristina Savage</t>
        </is>
      </c>
      <c r="C83" s="27" t="inlineStr">
        <is>
          <t>LP-0410</t>
        </is>
      </c>
      <c r="D83" s="27" t="inlineStr">
        <is>
          <t>Ledgport</t>
        </is>
      </c>
      <c r="E83" s="27" t="inlineStr">
        <is>
          <t>covered</t>
        </is>
      </c>
      <c r="F83" s="27" t="inlineStr">
        <is>
          <t>OCCUPIED</t>
        </is>
      </c>
      <c r="G83" s="28" t="n">
        <v>39.7</v>
      </c>
      <c r="H83" s="28" t="n">
        <v>24</v>
      </c>
      <c r="I83" s="28">
        <f>MAX(ROUNDUP(G83,0),H83)</f>
        <v/>
      </c>
      <c r="J83" s="29" t="n">
        <v>416</v>
      </c>
      <c r="K83" s="30">
        <f>IF(OR(D83="Ledgport",D83="Vessbank"),10.4,7.55)</f>
        <v/>
      </c>
      <c r="L83" s="29">
        <f>I83*K83</f>
        <v/>
      </c>
      <c r="M83" s="29">
        <f>L83-J83</f>
        <v/>
      </c>
      <c r="N83" s="29">
        <f>MAX(0,M83)</f>
        <v/>
      </c>
      <c r="O83" s="31">
        <f>IF(ABS(M83)&lt;0.005,"OK",IF(M83&gt;0,"UNDERBILLED","OVERBILLED"))</f>
        <v/>
      </c>
      <c r="P83" s="27" t="inlineStr">
        <is>
          <t>AR_Aging row 76; inventory row 83</t>
        </is>
      </c>
    </row>
    <row r="84" ht="23" customHeight="1">
      <c r="A84" s="27" t="inlineStr">
        <is>
          <t>AC-LP-0411</t>
        </is>
      </c>
      <c r="B84" s="27" t="inlineStr">
        <is>
          <t>Clayton Williams</t>
        </is>
      </c>
      <c r="C84" s="27" t="inlineStr">
        <is>
          <t>LP-0411</t>
        </is>
      </c>
      <c r="D84" s="27" t="inlineStr">
        <is>
          <t>Ledgport</t>
        </is>
      </c>
      <c r="E84" s="27" t="inlineStr">
        <is>
          <t>covered</t>
        </is>
      </c>
      <c r="F84" s="27" t="inlineStr">
        <is>
          <t>OCCUPIED</t>
        </is>
      </c>
      <c r="G84" s="28" t="n">
        <v>24.6</v>
      </c>
      <c r="H84" s="28" t="n">
        <v>24</v>
      </c>
      <c r="I84" s="28">
        <f>MAX(ROUNDUP(G84,0),H84)</f>
        <v/>
      </c>
      <c r="J84" s="29" t="n">
        <v>260</v>
      </c>
      <c r="K84" s="30">
        <f>IF(OR(D84="Ledgport",D84="Vessbank"),10.4,7.55)</f>
        <v/>
      </c>
      <c r="L84" s="29">
        <f>I84*K84</f>
        <v/>
      </c>
      <c r="M84" s="29">
        <f>L84-J84</f>
        <v/>
      </c>
      <c r="N84" s="29">
        <f>MAX(0,M84)</f>
        <v/>
      </c>
      <c r="O84" s="31">
        <f>IF(ABS(M84)&lt;0.005,"OK",IF(M84&gt;0,"UNDERBILLED","OVERBILLED"))</f>
        <v/>
      </c>
      <c r="P84" s="27" t="inlineStr">
        <is>
          <t>AR_Aging row 77; inventory row 84</t>
        </is>
      </c>
    </row>
    <row r="85" ht="23" customHeight="1">
      <c r="A85" s="27" t="inlineStr">
        <is>
          <t>AC-LP-0412</t>
        </is>
      </c>
      <c r="B85" s="27" t="inlineStr">
        <is>
          <t>Edward Cook</t>
        </is>
      </c>
      <c r="C85" s="27" t="inlineStr">
        <is>
          <t>LP-0412</t>
        </is>
      </c>
      <c r="D85" s="27" t="inlineStr">
        <is>
          <t>Ledgport</t>
        </is>
      </c>
      <c r="E85" s="27" t="inlineStr">
        <is>
          <t>covered</t>
        </is>
      </c>
      <c r="F85" s="27" t="inlineStr">
        <is>
          <t>OCCUPIED</t>
        </is>
      </c>
      <c r="G85" s="28" t="n">
        <v>41.2</v>
      </c>
      <c r="H85" s="28" t="n">
        <v>32</v>
      </c>
      <c r="I85" s="28">
        <f>MAX(ROUNDUP(G85,0),H85)</f>
        <v/>
      </c>
      <c r="J85" s="29" t="n">
        <v>436.8</v>
      </c>
      <c r="K85" s="30">
        <f>IF(OR(D85="Ledgport",D85="Vessbank"),10.4,7.55)</f>
        <v/>
      </c>
      <c r="L85" s="29">
        <f>I85*K85</f>
        <v/>
      </c>
      <c r="M85" s="29">
        <f>L85-J85</f>
        <v/>
      </c>
      <c r="N85" s="29">
        <f>MAX(0,M85)</f>
        <v/>
      </c>
      <c r="O85" s="31">
        <f>IF(ABS(M85)&lt;0.005,"OK",IF(M85&gt;0,"UNDERBILLED","OVERBILLED"))</f>
        <v/>
      </c>
      <c r="P85" s="27" t="inlineStr">
        <is>
          <t>AR_Aging row 78; inventory row 85</t>
        </is>
      </c>
    </row>
    <row r="86" ht="23" customHeight="1">
      <c r="A86" s="27" t="inlineStr">
        <is>
          <t>AC-LP-0413</t>
        </is>
      </c>
      <c r="B86" s="27" t="inlineStr">
        <is>
          <t>Tammie Johnson</t>
        </is>
      </c>
      <c r="C86" s="27" t="inlineStr">
        <is>
          <t>LP-0413</t>
        </is>
      </c>
      <c r="D86" s="27" t="inlineStr">
        <is>
          <t>Ledgport</t>
        </is>
      </c>
      <c r="E86" s="27" t="inlineStr">
        <is>
          <t>covered</t>
        </is>
      </c>
      <c r="F86" s="27" t="inlineStr">
        <is>
          <t>OCCUPIED</t>
        </is>
      </c>
      <c r="G86" s="28" t="n">
        <v>23.7</v>
      </c>
      <c r="H86" s="28" t="n">
        <v>28</v>
      </c>
      <c r="I86" s="28">
        <f>MAX(ROUNDUP(G86,0),H86)</f>
        <v/>
      </c>
      <c r="J86" s="29" t="n">
        <v>291.2</v>
      </c>
      <c r="K86" s="30">
        <f>IF(OR(D86="Ledgport",D86="Vessbank"),10.4,7.55)</f>
        <v/>
      </c>
      <c r="L86" s="29">
        <f>I86*K86</f>
        <v/>
      </c>
      <c r="M86" s="29">
        <f>L86-J86</f>
        <v/>
      </c>
      <c r="N86" s="29">
        <f>MAX(0,M86)</f>
        <v/>
      </c>
      <c r="O86" s="31">
        <f>IF(ABS(M86)&lt;0.005,"OK",IF(M86&gt;0,"UNDERBILLED","OVERBILLED"))</f>
        <v/>
      </c>
      <c r="P86" s="27" t="inlineStr">
        <is>
          <t>AR_Aging row 79; inventory row 86</t>
        </is>
      </c>
    </row>
    <row r="87" ht="23" customHeight="1">
      <c r="A87" s="27" t="inlineStr">
        <is>
          <t>AC-LP-0415</t>
        </is>
      </c>
      <c r="B87" s="27" t="inlineStr">
        <is>
          <t>Ryan Collins</t>
        </is>
      </c>
      <c r="C87" s="27" t="inlineStr">
        <is>
          <t>LP-0415</t>
        </is>
      </c>
      <c r="D87" s="27" t="inlineStr">
        <is>
          <t>Ledgport</t>
        </is>
      </c>
      <c r="E87" s="27" t="inlineStr">
        <is>
          <t>covered</t>
        </is>
      </c>
      <c r="F87" s="27" t="inlineStr">
        <is>
          <t>OCCUPIED</t>
        </is>
      </c>
      <c r="G87" s="28" t="n">
        <v>35.9</v>
      </c>
      <c r="H87" s="28" t="n">
        <v>24</v>
      </c>
      <c r="I87" s="28">
        <f>MAX(ROUNDUP(G87,0),H87)</f>
        <v/>
      </c>
      <c r="J87" s="29" t="n">
        <v>374.4</v>
      </c>
      <c r="K87" s="30">
        <f>IF(OR(D87="Ledgport",D87="Vessbank"),10.4,7.55)</f>
        <v/>
      </c>
      <c r="L87" s="29">
        <f>I87*K87</f>
        <v/>
      </c>
      <c r="M87" s="29">
        <f>L87-J87</f>
        <v/>
      </c>
      <c r="N87" s="29">
        <f>MAX(0,M87)</f>
        <v/>
      </c>
      <c r="O87" s="31">
        <f>IF(ABS(M87)&lt;0.005,"OK",IF(M87&gt;0,"UNDERBILLED","OVERBILLED"))</f>
        <v/>
      </c>
      <c r="P87" s="27" t="inlineStr">
        <is>
          <t>AR_Aging row 80; inventory row 88</t>
        </is>
      </c>
    </row>
    <row r="88" ht="23" customHeight="1">
      <c r="A88" s="27" t="inlineStr">
        <is>
          <t>AC-LP-0416</t>
        </is>
      </c>
      <c r="B88" s="27" t="inlineStr">
        <is>
          <t>Kevin Fuller</t>
        </is>
      </c>
      <c r="C88" s="27" t="inlineStr">
        <is>
          <t>LP-0416</t>
        </is>
      </c>
      <c r="D88" s="27" t="inlineStr">
        <is>
          <t>Ledgport</t>
        </is>
      </c>
      <c r="E88" s="27" t="inlineStr">
        <is>
          <t>covered</t>
        </is>
      </c>
      <c r="F88" s="27" t="inlineStr">
        <is>
          <t>OCCUPIED</t>
        </is>
      </c>
      <c r="G88" s="28" t="n">
        <v>47.8</v>
      </c>
      <c r="H88" s="28" t="n">
        <v>24</v>
      </c>
      <c r="I88" s="28">
        <f>MAX(ROUNDUP(G88,0),H88)</f>
        <v/>
      </c>
      <c r="J88" s="29" t="n">
        <v>499.2</v>
      </c>
      <c r="K88" s="30">
        <f>IF(OR(D88="Ledgport",D88="Vessbank"),10.4,7.55)</f>
        <v/>
      </c>
      <c r="L88" s="29">
        <f>I88*K88</f>
        <v/>
      </c>
      <c r="M88" s="29">
        <f>L88-J88</f>
        <v/>
      </c>
      <c r="N88" s="29">
        <f>MAX(0,M88)</f>
        <v/>
      </c>
      <c r="O88" s="31">
        <f>IF(ABS(M88)&lt;0.005,"OK",IF(M88&gt;0,"UNDERBILLED","OVERBILLED"))</f>
        <v/>
      </c>
      <c r="P88" s="27" t="inlineStr">
        <is>
          <t>AR_Aging row 81; inventory row 89</t>
        </is>
      </c>
    </row>
    <row r="89" ht="23" customHeight="1">
      <c r="A89" s="27" t="inlineStr">
        <is>
          <t>AC-LP-0417</t>
        </is>
      </c>
      <c r="B89" s="27" t="inlineStr">
        <is>
          <t>Julie Silva</t>
        </is>
      </c>
      <c r="C89" s="27" t="inlineStr">
        <is>
          <t>LP-0417</t>
        </is>
      </c>
      <c r="D89" s="27" t="inlineStr">
        <is>
          <t>Ledgport</t>
        </is>
      </c>
      <c r="E89" s="27" t="inlineStr">
        <is>
          <t>covered</t>
        </is>
      </c>
      <c r="F89" s="27" t="inlineStr">
        <is>
          <t>OCCUPIED</t>
        </is>
      </c>
      <c r="G89" s="28" t="n">
        <v>60.9</v>
      </c>
      <c r="H89" s="28" t="n">
        <v>40</v>
      </c>
      <c r="I89" s="28">
        <f>MAX(ROUNDUP(G89,0),H89)</f>
        <v/>
      </c>
      <c r="J89" s="29" t="n">
        <v>634.4</v>
      </c>
      <c r="K89" s="30">
        <f>IF(OR(D89="Ledgport",D89="Vessbank"),10.4,7.55)</f>
        <v/>
      </c>
      <c r="L89" s="29">
        <f>I89*K89</f>
        <v/>
      </c>
      <c r="M89" s="29">
        <f>L89-J89</f>
        <v/>
      </c>
      <c r="N89" s="29">
        <f>MAX(0,M89)</f>
        <v/>
      </c>
      <c r="O89" s="31">
        <f>IF(ABS(M89)&lt;0.005,"OK",IF(M89&gt;0,"UNDERBILLED","OVERBILLED"))</f>
        <v/>
      </c>
      <c r="P89" s="27" t="inlineStr">
        <is>
          <t>AR_Aging row 82; inventory row 90</t>
        </is>
      </c>
    </row>
    <row r="90" ht="23" customHeight="1">
      <c r="A90" s="27" t="inlineStr">
        <is>
          <t>AC-LP-0418</t>
        </is>
      </c>
      <c r="B90" s="27" t="inlineStr">
        <is>
          <t>Jorge Avery</t>
        </is>
      </c>
      <c r="C90" s="27" t="inlineStr">
        <is>
          <t>LP-0418</t>
        </is>
      </c>
      <c r="D90" s="27" t="inlineStr">
        <is>
          <t>Ledgport</t>
        </is>
      </c>
      <c r="E90" s="27" t="inlineStr">
        <is>
          <t>covered</t>
        </is>
      </c>
      <c r="F90" s="27" t="inlineStr">
        <is>
          <t>OCCUPIED</t>
        </is>
      </c>
      <c r="G90" s="28" t="n">
        <v>43.7</v>
      </c>
      <c r="H90" s="28" t="n">
        <v>24</v>
      </c>
      <c r="I90" s="28">
        <f>MAX(ROUNDUP(G90,0),H90)</f>
        <v/>
      </c>
      <c r="J90" s="29" t="n">
        <v>457.6</v>
      </c>
      <c r="K90" s="30">
        <f>IF(OR(D90="Ledgport",D90="Vessbank"),10.4,7.55)</f>
        <v/>
      </c>
      <c r="L90" s="29">
        <f>I90*K90</f>
        <v/>
      </c>
      <c r="M90" s="29">
        <f>L90-J90</f>
        <v/>
      </c>
      <c r="N90" s="29">
        <f>MAX(0,M90)</f>
        <v/>
      </c>
      <c r="O90" s="31">
        <f>IF(ABS(M90)&lt;0.005,"OK",IF(M90&gt;0,"UNDERBILLED","OVERBILLED"))</f>
        <v/>
      </c>
      <c r="P90" s="27" t="inlineStr">
        <is>
          <t>AR_Aging row 83; inventory row 91</t>
        </is>
      </c>
    </row>
    <row r="91" ht="23" customHeight="1">
      <c r="A91" s="27" t="inlineStr">
        <is>
          <t>AC-LP-0419</t>
        </is>
      </c>
      <c r="B91" s="27" t="inlineStr">
        <is>
          <t>Pamela Harris</t>
        </is>
      </c>
      <c r="C91" s="27" t="inlineStr">
        <is>
          <t>LP-0419</t>
        </is>
      </c>
      <c r="D91" s="27" t="inlineStr">
        <is>
          <t>Ledgport</t>
        </is>
      </c>
      <c r="E91" s="27" t="inlineStr">
        <is>
          <t>covered</t>
        </is>
      </c>
      <c r="F91" s="27" t="inlineStr">
        <is>
          <t>OCCUPIED</t>
        </is>
      </c>
      <c r="G91" s="28" t="n">
        <v>44.4</v>
      </c>
      <c r="H91" s="28" t="n">
        <v>24</v>
      </c>
      <c r="I91" s="28">
        <f>MAX(ROUNDUP(G91,0),H91)</f>
        <v/>
      </c>
      <c r="J91" s="29" t="n">
        <v>468</v>
      </c>
      <c r="K91" s="30">
        <f>IF(OR(D91="Ledgport",D91="Vessbank"),10.4,7.55)</f>
        <v/>
      </c>
      <c r="L91" s="29">
        <f>I91*K91</f>
        <v/>
      </c>
      <c r="M91" s="29">
        <f>L91-J91</f>
        <v/>
      </c>
      <c r="N91" s="29">
        <f>MAX(0,M91)</f>
        <v/>
      </c>
      <c r="O91" s="31">
        <f>IF(ABS(M91)&lt;0.005,"OK",IF(M91&gt;0,"UNDERBILLED","OVERBILLED"))</f>
        <v/>
      </c>
      <c r="P91" s="27" t="inlineStr">
        <is>
          <t>AR_Aging row 84; inventory row 92</t>
        </is>
      </c>
    </row>
    <row r="92" ht="23" customHeight="1">
      <c r="A92" s="27" t="inlineStr">
        <is>
          <t>AC-LP-0420</t>
        </is>
      </c>
      <c r="B92" s="27" t="inlineStr">
        <is>
          <t>Megan Nguyen</t>
        </is>
      </c>
      <c r="C92" s="27" t="inlineStr">
        <is>
          <t>LP-0420</t>
        </is>
      </c>
      <c r="D92" s="27" t="inlineStr">
        <is>
          <t>Ledgport</t>
        </is>
      </c>
      <c r="E92" s="27" t="inlineStr">
        <is>
          <t>covered</t>
        </is>
      </c>
      <c r="F92" s="27" t="inlineStr">
        <is>
          <t>OCCUPIED</t>
        </is>
      </c>
      <c r="G92" s="28" t="n">
        <v>28.9</v>
      </c>
      <c r="H92" s="28" t="n">
        <v>36</v>
      </c>
      <c r="I92" s="28">
        <f>MAX(ROUNDUP(G92,0),H92)</f>
        <v/>
      </c>
      <c r="J92" s="29" t="n">
        <v>374.4</v>
      </c>
      <c r="K92" s="30">
        <f>IF(OR(D92="Ledgport",D92="Vessbank"),10.4,7.55)</f>
        <v/>
      </c>
      <c r="L92" s="29">
        <f>I92*K92</f>
        <v/>
      </c>
      <c r="M92" s="29">
        <f>L92-J92</f>
        <v/>
      </c>
      <c r="N92" s="29">
        <f>MAX(0,M92)</f>
        <v/>
      </c>
      <c r="O92" s="31">
        <f>IF(ABS(M92)&lt;0.005,"OK",IF(M92&gt;0,"UNDERBILLED","OVERBILLED"))</f>
        <v/>
      </c>
      <c r="P92" s="27" t="inlineStr">
        <is>
          <t>AR_Aging row 85; inventory row 93</t>
        </is>
      </c>
    </row>
    <row r="93" ht="23" customHeight="1">
      <c r="A93" s="27" t="inlineStr">
        <is>
          <t>AC-LP-0421</t>
        </is>
      </c>
      <c r="B93" s="27" t="inlineStr">
        <is>
          <t>Mary Hicks</t>
        </is>
      </c>
      <c r="C93" s="27" t="inlineStr">
        <is>
          <t>LP-0421</t>
        </is>
      </c>
      <c r="D93" s="27" t="inlineStr">
        <is>
          <t>Ledgport</t>
        </is>
      </c>
      <c r="E93" s="27" t="inlineStr">
        <is>
          <t>covered</t>
        </is>
      </c>
      <c r="F93" s="27" t="inlineStr">
        <is>
          <t>OCCUPIED</t>
        </is>
      </c>
      <c r="G93" s="28" t="n">
        <v>25.1</v>
      </c>
      <c r="H93" s="28" t="n">
        <v>28</v>
      </c>
      <c r="I93" s="28">
        <f>MAX(ROUNDUP(G93,0),H93)</f>
        <v/>
      </c>
      <c r="J93" s="29" t="n">
        <v>291.2</v>
      </c>
      <c r="K93" s="30">
        <f>IF(OR(D93="Ledgport",D93="Vessbank"),10.4,7.55)</f>
        <v/>
      </c>
      <c r="L93" s="29">
        <f>I93*K93</f>
        <v/>
      </c>
      <c r="M93" s="29">
        <f>L93-J93</f>
        <v/>
      </c>
      <c r="N93" s="29">
        <f>MAX(0,M93)</f>
        <v/>
      </c>
      <c r="O93" s="31">
        <f>IF(ABS(M93)&lt;0.005,"OK",IF(M93&gt;0,"UNDERBILLED","OVERBILLED"))</f>
        <v/>
      </c>
      <c r="P93" s="27" t="inlineStr">
        <is>
          <t>AR_Aging row 86; inventory row 94</t>
        </is>
      </c>
    </row>
    <row r="94" ht="23" customHeight="1">
      <c r="A94" s="27" t="inlineStr">
        <is>
          <t>AC-LP-0422</t>
        </is>
      </c>
      <c r="B94" s="27" t="inlineStr">
        <is>
          <t>Frank Beard</t>
        </is>
      </c>
      <c r="C94" s="27" t="inlineStr">
        <is>
          <t>LP-0422</t>
        </is>
      </c>
      <c r="D94" s="27" t="inlineStr">
        <is>
          <t>Ledgport</t>
        </is>
      </c>
      <c r="E94" s="27" t="inlineStr">
        <is>
          <t>covered</t>
        </is>
      </c>
      <c r="F94" s="27" t="inlineStr">
        <is>
          <t>OCCUPIED</t>
        </is>
      </c>
      <c r="G94" s="28" t="n">
        <v>33.5</v>
      </c>
      <c r="H94" s="28" t="n">
        <v>32</v>
      </c>
      <c r="I94" s="28">
        <f>MAX(ROUNDUP(G94,0),H94)</f>
        <v/>
      </c>
      <c r="J94" s="29" t="n">
        <v>353.6</v>
      </c>
      <c r="K94" s="30">
        <f>IF(OR(D94="Ledgport",D94="Vessbank"),10.4,7.55)</f>
        <v/>
      </c>
      <c r="L94" s="29">
        <f>I94*K94</f>
        <v/>
      </c>
      <c r="M94" s="29">
        <f>L94-J94</f>
        <v/>
      </c>
      <c r="N94" s="29">
        <f>MAX(0,M94)</f>
        <v/>
      </c>
      <c r="O94" s="31">
        <f>IF(ABS(M94)&lt;0.005,"OK",IF(M94&gt;0,"UNDERBILLED","OVERBILLED"))</f>
        <v/>
      </c>
      <c r="P94" s="27" t="inlineStr">
        <is>
          <t>AR_Aging row 87; inventory row 95</t>
        </is>
      </c>
    </row>
    <row r="95" ht="23" customHeight="1">
      <c r="A95" s="27" t="inlineStr">
        <is>
          <t>AC-LP-0423</t>
        </is>
      </c>
      <c r="B95" s="27" t="inlineStr">
        <is>
          <t>Margaret Brown</t>
        </is>
      </c>
      <c r="C95" s="27" t="inlineStr">
        <is>
          <t>LP-0423</t>
        </is>
      </c>
      <c r="D95" s="27" t="inlineStr">
        <is>
          <t>Ledgport</t>
        </is>
      </c>
      <c r="E95" s="27" t="inlineStr">
        <is>
          <t>covered</t>
        </is>
      </c>
      <c r="F95" s="27" t="inlineStr">
        <is>
          <t>OCCUPIED</t>
        </is>
      </c>
      <c r="G95" s="28" t="n">
        <v>34.6</v>
      </c>
      <c r="H95" s="28" t="n">
        <v>40</v>
      </c>
      <c r="I95" s="28">
        <f>MAX(ROUNDUP(G95,0),H95)</f>
        <v/>
      </c>
      <c r="J95" s="29" t="n">
        <v>416</v>
      </c>
      <c r="K95" s="30">
        <f>IF(OR(D95="Ledgport",D95="Vessbank"),10.4,7.55)</f>
        <v/>
      </c>
      <c r="L95" s="29">
        <f>I95*K95</f>
        <v/>
      </c>
      <c r="M95" s="29">
        <f>L95-J95</f>
        <v/>
      </c>
      <c r="N95" s="29">
        <f>MAX(0,M95)</f>
        <v/>
      </c>
      <c r="O95" s="31">
        <f>IF(ABS(M95)&lt;0.005,"OK",IF(M95&gt;0,"UNDERBILLED","OVERBILLED"))</f>
        <v/>
      </c>
      <c r="P95" s="27" t="inlineStr">
        <is>
          <t>AR_Aging row 88; inventory row 96</t>
        </is>
      </c>
    </row>
    <row r="96" ht="23" customHeight="1">
      <c r="A96" s="27" t="inlineStr">
        <is>
          <t>AC-LP-0424</t>
        </is>
      </c>
      <c r="B96" s="27" t="inlineStr">
        <is>
          <t>Michael Perez</t>
        </is>
      </c>
      <c r="C96" s="27" t="inlineStr">
        <is>
          <t>LP-0424</t>
        </is>
      </c>
      <c r="D96" s="27" t="inlineStr">
        <is>
          <t>Ledgport</t>
        </is>
      </c>
      <c r="E96" s="27" t="inlineStr">
        <is>
          <t>covered</t>
        </is>
      </c>
      <c r="F96" s="27" t="inlineStr">
        <is>
          <t>OCCUPIED</t>
        </is>
      </c>
      <c r="G96" s="28" t="n">
        <v>28.5</v>
      </c>
      <c r="H96" s="28" t="n">
        <v>28</v>
      </c>
      <c r="I96" s="28">
        <f>MAX(ROUNDUP(G96,0),H96)</f>
        <v/>
      </c>
      <c r="J96" s="29" t="n">
        <v>301.6</v>
      </c>
      <c r="K96" s="30">
        <f>IF(OR(D96="Ledgport",D96="Vessbank"),10.4,7.55)</f>
        <v/>
      </c>
      <c r="L96" s="29">
        <f>I96*K96</f>
        <v/>
      </c>
      <c r="M96" s="29">
        <f>L96-J96</f>
        <v/>
      </c>
      <c r="N96" s="29">
        <f>MAX(0,M96)</f>
        <v/>
      </c>
      <c r="O96" s="31">
        <f>IF(ABS(M96)&lt;0.005,"OK",IF(M96&gt;0,"UNDERBILLED","OVERBILLED"))</f>
        <v/>
      </c>
      <c r="P96" s="27" t="inlineStr">
        <is>
          <t>AR_Aging row 89; inventory row 97</t>
        </is>
      </c>
    </row>
    <row r="97" ht="23" customHeight="1">
      <c r="A97" s="27" t="inlineStr">
        <is>
          <t>AC-LP-0502</t>
        </is>
      </c>
      <c r="B97" s="27" t="inlineStr">
        <is>
          <t>Michelle Cooper</t>
        </is>
      </c>
      <c r="C97" s="27" t="inlineStr">
        <is>
          <t>LP-0502</t>
        </is>
      </c>
      <c r="D97" s="27" t="inlineStr">
        <is>
          <t>Ledgport</t>
        </is>
      </c>
      <c r="E97" s="27" t="inlineStr">
        <is>
          <t>covered</t>
        </is>
      </c>
      <c r="F97" s="27" t="inlineStr">
        <is>
          <t>OCCUPIED</t>
        </is>
      </c>
      <c r="G97" s="28" t="n">
        <v>53.6</v>
      </c>
      <c r="H97" s="28" t="n">
        <v>32</v>
      </c>
      <c r="I97" s="28">
        <f>MAX(ROUNDUP(G97,0),H97)</f>
        <v/>
      </c>
      <c r="J97" s="29" t="n">
        <v>561.6</v>
      </c>
      <c r="K97" s="30">
        <f>IF(OR(D97="Ledgport",D97="Vessbank"),10.4,7.55)</f>
        <v/>
      </c>
      <c r="L97" s="29">
        <f>I97*K97</f>
        <v/>
      </c>
      <c r="M97" s="29">
        <f>L97-J97</f>
        <v/>
      </c>
      <c r="N97" s="29">
        <f>MAX(0,M97)</f>
        <v/>
      </c>
      <c r="O97" s="31">
        <f>IF(ABS(M97)&lt;0.005,"OK",IF(M97&gt;0,"UNDERBILLED","OVERBILLED"))</f>
        <v/>
      </c>
      <c r="P97" s="27" t="inlineStr">
        <is>
          <t>AR_Aging row 90; inventory row 99</t>
        </is>
      </c>
    </row>
    <row r="98" ht="23" customHeight="1">
      <c r="A98" s="27" t="inlineStr">
        <is>
          <t>AC-LP-0503</t>
        </is>
      </c>
      <c r="B98" s="27" t="inlineStr">
        <is>
          <t>Steven Sanders</t>
        </is>
      </c>
      <c r="C98" s="27" t="inlineStr">
        <is>
          <t>LP-0503</t>
        </is>
      </c>
      <c r="D98" s="27" t="inlineStr">
        <is>
          <t>Ledgport</t>
        </is>
      </c>
      <c r="E98" s="27" t="inlineStr">
        <is>
          <t>covered</t>
        </is>
      </c>
      <c r="F98" s="27" t="inlineStr">
        <is>
          <t>OCCUPIED</t>
        </is>
      </c>
      <c r="G98" s="28" t="n">
        <v>34</v>
      </c>
      <c r="H98" s="28" t="n">
        <v>24</v>
      </c>
      <c r="I98" s="28">
        <f>MAX(ROUNDUP(G98,0),H98)</f>
        <v/>
      </c>
      <c r="J98" s="29" t="n">
        <v>353.6</v>
      </c>
      <c r="K98" s="30">
        <f>IF(OR(D98="Ledgport",D98="Vessbank"),10.4,7.55)</f>
        <v/>
      </c>
      <c r="L98" s="29">
        <f>I98*K98</f>
        <v/>
      </c>
      <c r="M98" s="29">
        <f>L98-J98</f>
        <v/>
      </c>
      <c r="N98" s="29">
        <f>MAX(0,M98)</f>
        <v/>
      </c>
      <c r="O98" s="31">
        <f>IF(ABS(M98)&lt;0.005,"OK",IF(M98&gt;0,"UNDERBILLED","OVERBILLED"))</f>
        <v/>
      </c>
      <c r="P98" s="27" t="inlineStr">
        <is>
          <t>AR_Aging row 91; inventory row 100</t>
        </is>
      </c>
    </row>
    <row r="99" ht="23" customHeight="1">
      <c r="A99" s="27" t="inlineStr">
        <is>
          <t>AC-LP-0504</t>
        </is>
      </c>
      <c r="B99" s="27" t="inlineStr">
        <is>
          <t>Natasha Wilson</t>
        </is>
      </c>
      <c r="C99" s="27" t="inlineStr">
        <is>
          <t>LP-0504</t>
        </is>
      </c>
      <c r="D99" s="27" t="inlineStr">
        <is>
          <t>Ledgport</t>
        </is>
      </c>
      <c r="E99" s="27" t="inlineStr">
        <is>
          <t>covered</t>
        </is>
      </c>
      <c r="F99" s="27" t="inlineStr">
        <is>
          <t>OCCUPIED</t>
        </is>
      </c>
      <c r="G99" s="28" t="n">
        <v>57.8</v>
      </c>
      <c r="H99" s="28" t="n">
        <v>28</v>
      </c>
      <c r="I99" s="28">
        <f>MAX(ROUNDUP(G99,0),H99)</f>
        <v/>
      </c>
      <c r="J99" s="29" t="n">
        <v>603.2</v>
      </c>
      <c r="K99" s="30">
        <f>IF(OR(D99="Ledgport",D99="Vessbank"),10.4,7.55)</f>
        <v/>
      </c>
      <c r="L99" s="29">
        <f>I99*K99</f>
        <v/>
      </c>
      <c r="M99" s="29">
        <f>L99-J99</f>
        <v/>
      </c>
      <c r="N99" s="29">
        <f>MAX(0,M99)</f>
        <v/>
      </c>
      <c r="O99" s="31">
        <f>IF(ABS(M99)&lt;0.005,"OK",IF(M99&gt;0,"UNDERBILLED","OVERBILLED"))</f>
        <v/>
      </c>
      <c r="P99" s="27" t="inlineStr">
        <is>
          <t>AR_Aging row 92; inventory row 101</t>
        </is>
      </c>
    </row>
    <row r="100" ht="23" customHeight="1">
      <c r="A100" s="27" t="inlineStr">
        <is>
          <t>AC-LP-0505</t>
        </is>
      </c>
      <c r="B100" s="27" t="inlineStr">
        <is>
          <t>Jordan Casey</t>
        </is>
      </c>
      <c r="C100" s="27" t="inlineStr">
        <is>
          <t>LP-0505</t>
        </is>
      </c>
      <c r="D100" s="27" t="inlineStr">
        <is>
          <t>Ledgport</t>
        </is>
      </c>
      <c r="E100" s="27" t="inlineStr">
        <is>
          <t>covered</t>
        </is>
      </c>
      <c r="F100" s="27" t="inlineStr">
        <is>
          <t>OCCUPIED</t>
        </is>
      </c>
      <c r="G100" s="28" t="n">
        <v>57.9</v>
      </c>
      <c r="H100" s="28" t="n">
        <v>28</v>
      </c>
      <c r="I100" s="28">
        <f>MAX(ROUNDUP(G100,0),H100)</f>
        <v/>
      </c>
      <c r="J100" s="29" t="n">
        <v>603.2</v>
      </c>
      <c r="K100" s="30">
        <f>IF(OR(D100="Ledgport",D100="Vessbank"),10.4,7.55)</f>
        <v/>
      </c>
      <c r="L100" s="29">
        <f>I100*K100</f>
        <v/>
      </c>
      <c r="M100" s="29">
        <f>L100-J100</f>
        <v/>
      </c>
      <c r="N100" s="29">
        <f>MAX(0,M100)</f>
        <v/>
      </c>
      <c r="O100" s="31">
        <f>IF(ABS(M100)&lt;0.005,"OK",IF(M100&gt;0,"UNDERBILLED","OVERBILLED"))</f>
        <v/>
      </c>
      <c r="P100" s="27" t="inlineStr">
        <is>
          <t>AR_Aging row 93; inventory row 102</t>
        </is>
      </c>
    </row>
    <row r="101" ht="23" customHeight="1">
      <c r="A101" s="27" t="inlineStr">
        <is>
          <t>AC-LP-0506</t>
        </is>
      </c>
      <c r="B101" s="27" t="inlineStr">
        <is>
          <t>Julia Mills</t>
        </is>
      </c>
      <c r="C101" s="27" t="inlineStr">
        <is>
          <t>LP-0506</t>
        </is>
      </c>
      <c r="D101" s="27" t="inlineStr">
        <is>
          <t>Ledgport</t>
        </is>
      </c>
      <c r="E101" s="27" t="inlineStr">
        <is>
          <t>covered</t>
        </is>
      </c>
      <c r="F101" s="27" t="inlineStr">
        <is>
          <t>OCCUPIED</t>
        </is>
      </c>
      <c r="G101" s="28" t="n">
        <v>46.7</v>
      </c>
      <c r="H101" s="28" t="n">
        <v>24</v>
      </c>
      <c r="I101" s="28">
        <f>MAX(ROUNDUP(G101,0),H101)</f>
        <v/>
      </c>
      <c r="J101" s="29" t="n">
        <v>488.8</v>
      </c>
      <c r="K101" s="30">
        <f>IF(OR(D101="Ledgport",D101="Vessbank"),10.4,7.55)</f>
        <v/>
      </c>
      <c r="L101" s="29">
        <f>I101*K101</f>
        <v/>
      </c>
      <c r="M101" s="29">
        <f>L101-J101</f>
        <v/>
      </c>
      <c r="N101" s="29">
        <f>MAX(0,M101)</f>
        <v/>
      </c>
      <c r="O101" s="31">
        <f>IF(ABS(M101)&lt;0.005,"OK",IF(M101&gt;0,"UNDERBILLED","OVERBILLED"))</f>
        <v/>
      </c>
      <c r="P101" s="27" t="inlineStr">
        <is>
          <t>AR_Aging row 94; inventory row 103</t>
        </is>
      </c>
    </row>
    <row r="102" ht="23" customHeight="1">
      <c r="A102" s="27" t="inlineStr">
        <is>
          <t>AC-LP-0507</t>
        </is>
      </c>
      <c r="B102" s="27" t="inlineStr">
        <is>
          <t>Shane Lee</t>
        </is>
      </c>
      <c r="C102" s="27" t="inlineStr">
        <is>
          <t>LP-0507</t>
        </is>
      </c>
      <c r="D102" s="27" t="inlineStr">
        <is>
          <t>Ledgport</t>
        </is>
      </c>
      <c r="E102" s="27" t="inlineStr">
        <is>
          <t>covered</t>
        </is>
      </c>
      <c r="F102" s="27" t="inlineStr">
        <is>
          <t>OCCUPIED</t>
        </is>
      </c>
      <c r="G102" s="28" t="n">
        <v>41</v>
      </c>
      <c r="H102" s="28" t="n">
        <v>32</v>
      </c>
      <c r="I102" s="28">
        <f>MAX(ROUNDUP(G102,0),H102)</f>
        <v/>
      </c>
      <c r="J102" s="29" t="n">
        <v>426.4</v>
      </c>
      <c r="K102" s="30">
        <f>IF(OR(D102="Ledgport",D102="Vessbank"),10.4,7.55)</f>
        <v/>
      </c>
      <c r="L102" s="29">
        <f>I102*K102</f>
        <v/>
      </c>
      <c r="M102" s="29">
        <f>L102-J102</f>
        <v/>
      </c>
      <c r="N102" s="29">
        <f>MAX(0,M102)</f>
        <v/>
      </c>
      <c r="O102" s="31">
        <f>IF(ABS(M102)&lt;0.005,"OK",IF(M102&gt;0,"UNDERBILLED","OVERBILLED"))</f>
        <v/>
      </c>
      <c r="P102" s="27" t="inlineStr">
        <is>
          <t>AR_Aging row 95; inventory row 104</t>
        </is>
      </c>
    </row>
    <row r="103" ht="23" customHeight="1">
      <c r="A103" s="27" t="inlineStr">
        <is>
          <t>AC-LP-0508</t>
        </is>
      </c>
      <c r="B103" s="27" t="inlineStr">
        <is>
          <t>Maria Wright</t>
        </is>
      </c>
      <c r="C103" s="27" t="inlineStr">
        <is>
          <t>LP-0508</t>
        </is>
      </c>
      <c r="D103" s="27" t="inlineStr">
        <is>
          <t>Ledgport</t>
        </is>
      </c>
      <c r="E103" s="27" t="inlineStr">
        <is>
          <t>covered</t>
        </is>
      </c>
      <c r="F103" s="27" t="inlineStr">
        <is>
          <t>OCCUPIED</t>
        </is>
      </c>
      <c r="G103" s="28" t="n">
        <v>56.6</v>
      </c>
      <c r="H103" s="28" t="n">
        <v>24</v>
      </c>
      <c r="I103" s="28">
        <f>MAX(ROUNDUP(G103,0),H103)</f>
        <v/>
      </c>
      <c r="J103" s="29" t="n">
        <v>592.8</v>
      </c>
      <c r="K103" s="30">
        <f>IF(OR(D103="Ledgport",D103="Vessbank"),10.4,7.55)</f>
        <v/>
      </c>
      <c r="L103" s="29">
        <f>I103*K103</f>
        <v/>
      </c>
      <c r="M103" s="29">
        <f>L103-J103</f>
        <v/>
      </c>
      <c r="N103" s="29">
        <f>MAX(0,M103)</f>
        <v/>
      </c>
      <c r="O103" s="31">
        <f>IF(ABS(M103)&lt;0.005,"OK",IF(M103&gt;0,"UNDERBILLED","OVERBILLED"))</f>
        <v/>
      </c>
      <c r="P103" s="27" t="inlineStr">
        <is>
          <t>AR_Aging row 96; inventory row 105</t>
        </is>
      </c>
    </row>
    <row r="104" ht="23" customHeight="1">
      <c r="A104" s="27" t="inlineStr">
        <is>
          <t>AC-LP-0509</t>
        </is>
      </c>
      <c r="B104" s="27" t="inlineStr">
        <is>
          <t>Cheryl Lewis</t>
        </is>
      </c>
      <c r="C104" s="27" t="inlineStr">
        <is>
          <t>LP-0509</t>
        </is>
      </c>
      <c r="D104" s="27" t="inlineStr">
        <is>
          <t>Ledgport</t>
        </is>
      </c>
      <c r="E104" s="27" t="inlineStr">
        <is>
          <t>covered</t>
        </is>
      </c>
      <c r="F104" s="27" t="inlineStr">
        <is>
          <t>OCCUPIED</t>
        </is>
      </c>
      <c r="G104" s="28" t="n">
        <v>50</v>
      </c>
      <c r="H104" s="28" t="n">
        <v>32</v>
      </c>
      <c r="I104" s="28">
        <f>MAX(ROUNDUP(G104,0),H104)</f>
        <v/>
      </c>
      <c r="J104" s="29" t="n">
        <v>520</v>
      </c>
      <c r="K104" s="30">
        <f>IF(OR(D104="Ledgport",D104="Vessbank"),10.4,7.55)</f>
        <v/>
      </c>
      <c r="L104" s="29">
        <f>I104*K104</f>
        <v/>
      </c>
      <c r="M104" s="29">
        <f>L104-J104</f>
        <v/>
      </c>
      <c r="N104" s="29">
        <f>MAX(0,M104)</f>
        <v/>
      </c>
      <c r="O104" s="31">
        <f>IF(ABS(M104)&lt;0.005,"OK",IF(M104&gt;0,"UNDERBILLED","OVERBILLED"))</f>
        <v/>
      </c>
      <c r="P104" s="27" t="inlineStr">
        <is>
          <t>AR_Aging row 97; inventory row 106</t>
        </is>
      </c>
    </row>
    <row r="105" ht="23" customHeight="1">
      <c r="A105" s="27" t="inlineStr">
        <is>
          <t>AC-LP-0510</t>
        </is>
      </c>
      <c r="B105" s="27" t="inlineStr">
        <is>
          <t>Jaclyn Ingram</t>
        </is>
      </c>
      <c r="C105" s="27" t="inlineStr">
        <is>
          <t>LP-0510</t>
        </is>
      </c>
      <c r="D105" s="27" t="inlineStr">
        <is>
          <t>Ledgport</t>
        </is>
      </c>
      <c r="E105" s="27" t="inlineStr">
        <is>
          <t>covered</t>
        </is>
      </c>
      <c r="F105" s="27" t="inlineStr">
        <is>
          <t>OCCUPIED</t>
        </is>
      </c>
      <c r="G105" s="28" t="n">
        <v>58.7</v>
      </c>
      <c r="H105" s="28" t="n">
        <v>36</v>
      </c>
      <c r="I105" s="28">
        <f>MAX(ROUNDUP(G105,0),H105)</f>
        <v/>
      </c>
      <c r="J105" s="29" t="n">
        <v>613.6</v>
      </c>
      <c r="K105" s="30">
        <f>IF(OR(D105="Ledgport",D105="Vessbank"),10.4,7.55)</f>
        <v/>
      </c>
      <c r="L105" s="29">
        <f>I105*K105</f>
        <v/>
      </c>
      <c r="M105" s="29">
        <f>L105-J105</f>
        <v/>
      </c>
      <c r="N105" s="29">
        <f>MAX(0,M105)</f>
        <v/>
      </c>
      <c r="O105" s="31">
        <f>IF(ABS(M105)&lt;0.005,"OK",IF(M105&gt;0,"UNDERBILLED","OVERBILLED"))</f>
        <v/>
      </c>
      <c r="P105" s="27" t="inlineStr">
        <is>
          <t>AR_Aging row 98; inventory row 107</t>
        </is>
      </c>
    </row>
    <row r="106" ht="23" customHeight="1">
      <c r="A106" s="27" t="inlineStr">
        <is>
          <t>AC-LP-0511</t>
        </is>
      </c>
      <c r="B106" s="27" t="inlineStr">
        <is>
          <t>Michael Cole</t>
        </is>
      </c>
      <c r="C106" s="27" t="inlineStr">
        <is>
          <t>LP-0511</t>
        </is>
      </c>
      <c r="D106" s="27" t="inlineStr">
        <is>
          <t>Ledgport</t>
        </is>
      </c>
      <c r="E106" s="27" t="inlineStr">
        <is>
          <t>covered</t>
        </is>
      </c>
      <c r="F106" s="27" t="inlineStr">
        <is>
          <t>OCCUPIED</t>
        </is>
      </c>
      <c r="G106" s="28" t="n">
        <v>23.7</v>
      </c>
      <c r="H106" s="28" t="n">
        <v>40</v>
      </c>
      <c r="I106" s="28">
        <f>MAX(ROUNDUP(G106,0),H106)</f>
        <v/>
      </c>
      <c r="J106" s="29" t="n">
        <v>416</v>
      </c>
      <c r="K106" s="30">
        <f>IF(OR(D106="Ledgport",D106="Vessbank"),10.4,7.55)</f>
        <v/>
      </c>
      <c r="L106" s="29">
        <f>I106*K106</f>
        <v/>
      </c>
      <c r="M106" s="29">
        <f>L106-J106</f>
        <v/>
      </c>
      <c r="N106" s="29">
        <f>MAX(0,M106)</f>
        <v/>
      </c>
      <c r="O106" s="31">
        <f>IF(ABS(M106)&lt;0.005,"OK",IF(M106&gt;0,"UNDERBILLED","OVERBILLED"))</f>
        <v/>
      </c>
      <c r="P106" s="27" t="inlineStr">
        <is>
          <t>AR_Aging row 99; inventory row 108</t>
        </is>
      </c>
    </row>
    <row r="107" ht="23" customHeight="1">
      <c r="A107" s="27" t="inlineStr">
        <is>
          <t>AC-LP-0512</t>
        </is>
      </c>
      <c r="B107" s="27" t="inlineStr">
        <is>
          <t>Micheal Perez</t>
        </is>
      </c>
      <c r="C107" s="27" t="inlineStr">
        <is>
          <t>LP-0512</t>
        </is>
      </c>
      <c r="D107" s="27" t="inlineStr">
        <is>
          <t>Ledgport</t>
        </is>
      </c>
      <c r="E107" s="27" t="inlineStr">
        <is>
          <t>covered</t>
        </is>
      </c>
      <c r="F107" s="27" t="inlineStr">
        <is>
          <t>OCCUPIED</t>
        </is>
      </c>
      <c r="G107" s="28" t="n">
        <v>19</v>
      </c>
      <c r="H107" s="28" t="n">
        <v>40</v>
      </c>
      <c r="I107" s="28">
        <f>MAX(ROUNDUP(G107,0),H107)</f>
        <v/>
      </c>
      <c r="J107" s="29" t="n">
        <v>416</v>
      </c>
      <c r="K107" s="30">
        <f>IF(OR(D107="Ledgport",D107="Vessbank"),10.4,7.55)</f>
        <v/>
      </c>
      <c r="L107" s="29">
        <f>I107*K107</f>
        <v/>
      </c>
      <c r="M107" s="29">
        <f>L107-J107</f>
        <v/>
      </c>
      <c r="N107" s="29">
        <f>MAX(0,M107)</f>
        <v/>
      </c>
      <c r="O107" s="31">
        <f>IF(ABS(M107)&lt;0.005,"OK",IF(M107&gt;0,"UNDERBILLED","OVERBILLED"))</f>
        <v/>
      </c>
      <c r="P107" s="27" t="inlineStr">
        <is>
          <t>AR_Aging row 100; inventory row 109</t>
        </is>
      </c>
    </row>
    <row r="108" ht="23" customHeight="1">
      <c r="A108" s="27" t="inlineStr">
        <is>
          <t>AC-LP-0513</t>
        </is>
      </c>
      <c r="B108" s="27" t="inlineStr">
        <is>
          <t>William Hatfield</t>
        </is>
      </c>
      <c r="C108" s="27" t="inlineStr">
        <is>
          <t>LP-0513</t>
        </is>
      </c>
      <c r="D108" s="27" t="inlineStr">
        <is>
          <t>Ledgport</t>
        </is>
      </c>
      <c r="E108" s="27" t="inlineStr">
        <is>
          <t>covered</t>
        </is>
      </c>
      <c r="F108" s="27" t="inlineStr">
        <is>
          <t>OCCUPIED</t>
        </is>
      </c>
      <c r="G108" s="28" t="n">
        <v>40.2</v>
      </c>
      <c r="H108" s="28" t="n">
        <v>24</v>
      </c>
      <c r="I108" s="28">
        <f>MAX(ROUNDUP(G108,0),H108)</f>
        <v/>
      </c>
      <c r="J108" s="29" t="n">
        <v>426.4</v>
      </c>
      <c r="K108" s="30">
        <f>IF(OR(D108="Ledgport",D108="Vessbank"),10.4,7.55)</f>
        <v/>
      </c>
      <c r="L108" s="29">
        <f>I108*K108</f>
        <v/>
      </c>
      <c r="M108" s="29">
        <f>L108-J108</f>
        <v/>
      </c>
      <c r="N108" s="29">
        <f>MAX(0,M108)</f>
        <v/>
      </c>
      <c r="O108" s="31">
        <f>IF(ABS(M108)&lt;0.005,"OK",IF(M108&gt;0,"UNDERBILLED","OVERBILLED"))</f>
        <v/>
      </c>
      <c r="P108" s="27" t="inlineStr">
        <is>
          <t>AR_Aging row 101; inventory row 110</t>
        </is>
      </c>
    </row>
    <row r="109" ht="23" customHeight="1">
      <c r="A109" s="27" t="inlineStr">
        <is>
          <t>AC-LP-0514</t>
        </is>
      </c>
      <c r="B109" s="27" t="inlineStr">
        <is>
          <t>Brandy Rogers</t>
        </is>
      </c>
      <c r="C109" s="27" t="inlineStr">
        <is>
          <t>LP-0514</t>
        </is>
      </c>
      <c r="D109" s="27" t="inlineStr">
        <is>
          <t>Ledgport</t>
        </is>
      </c>
      <c r="E109" s="27" t="inlineStr">
        <is>
          <t>covered</t>
        </is>
      </c>
      <c r="F109" s="27" t="inlineStr">
        <is>
          <t>OCCUPIED</t>
        </is>
      </c>
      <c r="G109" s="28" t="n">
        <v>23.3</v>
      </c>
      <c r="H109" s="28" t="n">
        <v>28</v>
      </c>
      <c r="I109" s="28">
        <f>MAX(ROUNDUP(G109,0),H109)</f>
        <v/>
      </c>
      <c r="J109" s="29" t="n">
        <v>291.2</v>
      </c>
      <c r="K109" s="30">
        <f>IF(OR(D109="Ledgport",D109="Vessbank"),10.4,7.55)</f>
        <v/>
      </c>
      <c r="L109" s="29">
        <f>I109*K109</f>
        <v/>
      </c>
      <c r="M109" s="29">
        <f>L109-J109</f>
        <v/>
      </c>
      <c r="N109" s="29">
        <f>MAX(0,M109)</f>
        <v/>
      </c>
      <c r="O109" s="31">
        <f>IF(ABS(M109)&lt;0.005,"OK",IF(M109&gt;0,"UNDERBILLED","OVERBILLED"))</f>
        <v/>
      </c>
      <c r="P109" s="27" t="inlineStr">
        <is>
          <t>AR_Aging row 102; inventory row 111</t>
        </is>
      </c>
    </row>
    <row r="110" ht="23" customHeight="1">
      <c r="A110" s="27" t="inlineStr">
        <is>
          <t>AC-LP-0516</t>
        </is>
      </c>
      <c r="B110" s="27" t="inlineStr">
        <is>
          <t>Mallory Rodgers</t>
        </is>
      </c>
      <c r="C110" s="27" t="inlineStr">
        <is>
          <t>LP-0516</t>
        </is>
      </c>
      <c r="D110" s="27" t="inlineStr">
        <is>
          <t>Ledgport</t>
        </is>
      </c>
      <c r="E110" s="27" t="inlineStr">
        <is>
          <t>covered</t>
        </is>
      </c>
      <c r="F110" s="27" t="inlineStr">
        <is>
          <t>OCCUPIED</t>
        </is>
      </c>
      <c r="G110" s="28" t="n">
        <v>18.9</v>
      </c>
      <c r="H110" s="28" t="n">
        <v>40</v>
      </c>
      <c r="I110" s="28">
        <f>MAX(ROUNDUP(G110,0),H110)</f>
        <v/>
      </c>
      <c r="J110" s="29" t="n">
        <v>416</v>
      </c>
      <c r="K110" s="30">
        <f>IF(OR(D110="Ledgport",D110="Vessbank"),10.4,7.55)</f>
        <v/>
      </c>
      <c r="L110" s="29">
        <f>I110*K110</f>
        <v/>
      </c>
      <c r="M110" s="29">
        <f>L110-J110</f>
        <v/>
      </c>
      <c r="N110" s="29">
        <f>MAX(0,M110)</f>
        <v/>
      </c>
      <c r="O110" s="31">
        <f>IF(ABS(M110)&lt;0.005,"OK",IF(M110&gt;0,"UNDERBILLED","OVERBILLED"))</f>
        <v/>
      </c>
      <c r="P110" s="27" t="inlineStr">
        <is>
          <t>AR_Aging row 103; inventory row 113</t>
        </is>
      </c>
    </row>
    <row r="111" ht="23" customHeight="1">
      <c r="A111" s="27" t="inlineStr">
        <is>
          <t>AC-LP-0517</t>
        </is>
      </c>
      <c r="B111" s="27" t="inlineStr">
        <is>
          <t>John Nguyen</t>
        </is>
      </c>
      <c r="C111" s="27" t="inlineStr">
        <is>
          <t>LP-0517</t>
        </is>
      </c>
      <c r="D111" s="27" t="inlineStr">
        <is>
          <t>Ledgport</t>
        </is>
      </c>
      <c r="E111" s="27" t="inlineStr">
        <is>
          <t>covered</t>
        </is>
      </c>
      <c r="F111" s="27" t="inlineStr">
        <is>
          <t>OCCUPIED</t>
        </is>
      </c>
      <c r="G111" s="28" t="n">
        <v>55</v>
      </c>
      <c r="H111" s="28" t="n">
        <v>36</v>
      </c>
      <c r="I111" s="28">
        <f>MAX(ROUNDUP(G111,0),H111)</f>
        <v/>
      </c>
      <c r="J111" s="29" t="n">
        <v>572</v>
      </c>
      <c r="K111" s="30">
        <f>IF(OR(D111="Ledgport",D111="Vessbank"),10.4,7.55)</f>
        <v/>
      </c>
      <c r="L111" s="29">
        <f>I111*K111</f>
        <v/>
      </c>
      <c r="M111" s="29">
        <f>L111-J111</f>
        <v/>
      </c>
      <c r="N111" s="29">
        <f>MAX(0,M111)</f>
        <v/>
      </c>
      <c r="O111" s="31">
        <f>IF(ABS(M111)&lt;0.005,"OK",IF(M111&gt;0,"UNDERBILLED","OVERBILLED"))</f>
        <v/>
      </c>
      <c r="P111" s="27" t="inlineStr">
        <is>
          <t>AR_Aging row 104; inventory row 114</t>
        </is>
      </c>
    </row>
    <row r="112" ht="23" customHeight="1">
      <c r="A112" s="27" t="inlineStr">
        <is>
          <t>AC-LP-0518</t>
        </is>
      </c>
      <c r="B112" s="27" t="inlineStr">
        <is>
          <t>Jennifer Liu</t>
        </is>
      </c>
      <c r="C112" s="27" t="inlineStr">
        <is>
          <t>LP-0518</t>
        </is>
      </c>
      <c r="D112" s="27" t="inlineStr">
        <is>
          <t>Ledgport</t>
        </is>
      </c>
      <c r="E112" s="27" t="inlineStr">
        <is>
          <t>covered</t>
        </is>
      </c>
      <c r="F112" s="27" t="inlineStr">
        <is>
          <t>OCCUPIED</t>
        </is>
      </c>
      <c r="G112" s="28" t="n">
        <v>34.6</v>
      </c>
      <c r="H112" s="28" t="n">
        <v>36</v>
      </c>
      <c r="I112" s="28">
        <f>MAX(ROUNDUP(G112,0),H112)</f>
        <v/>
      </c>
      <c r="J112" s="29" t="n">
        <v>374.4</v>
      </c>
      <c r="K112" s="30">
        <f>IF(OR(D112="Ledgport",D112="Vessbank"),10.4,7.55)</f>
        <v/>
      </c>
      <c r="L112" s="29">
        <f>I112*K112</f>
        <v/>
      </c>
      <c r="M112" s="29">
        <f>L112-J112</f>
        <v/>
      </c>
      <c r="N112" s="29">
        <f>MAX(0,M112)</f>
        <v/>
      </c>
      <c r="O112" s="31">
        <f>IF(ABS(M112)&lt;0.005,"OK",IF(M112&gt;0,"UNDERBILLED","OVERBILLED"))</f>
        <v/>
      </c>
      <c r="P112" s="27" t="inlineStr">
        <is>
          <t>AR_Aging row 105; inventory row 115</t>
        </is>
      </c>
    </row>
    <row r="113" ht="23" customHeight="1">
      <c r="A113" s="27" t="inlineStr">
        <is>
          <t>AC-LP-0519</t>
        </is>
      </c>
      <c r="B113" s="27" t="inlineStr">
        <is>
          <t>Annette Collins</t>
        </is>
      </c>
      <c r="C113" s="27" t="inlineStr">
        <is>
          <t>LP-0519</t>
        </is>
      </c>
      <c r="D113" s="27" t="inlineStr">
        <is>
          <t>Ledgport</t>
        </is>
      </c>
      <c r="E113" s="27" t="inlineStr">
        <is>
          <t>covered</t>
        </is>
      </c>
      <c r="F113" s="27" t="inlineStr">
        <is>
          <t>OCCUPIED</t>
        </is>
      </c>
      <c r="G113" s="28" t="n">
        <v>36.5</v>
      </c>
      <c r="H113" s="28" t="n">
        <v>32</v>
      </c>
      <c r="I113" s="28">
        <f>MAX(ROUNDUP(G113,0),H113)</f>
        <v/>
      </c>
      <c r="J113" s="29" t="n">
        <v>384.8</v>
      </c>
      <c r="K113" s="30">
        <f>IF(OR(D113="Ledgport",D113="Vessbank"),10.4,7.55)</f>
        <v/>
      </c>
      <c r="L113" s="29">
        <f>I113*K113</f>
        <v/>
      </c>
      <c r="M113" s="29">
        <f>L113-J113</f>
        <v/>
      </c>
      <c r="N113" s="29">
        <f>MAX(0,M113)</f>
        <v/>
      </c>
      <c r="O113" s="31">
        <f>IF(ABS(M113)&lt;0.005,"OK",IF(M113&gt;0,"UNDERBILLED","OVERBILLED"))</f>
        <v/>
      </c>
      <c r="P113" s="27" t="inlineStr">
        <is>
          <t>AR_Aging row 106; inventory row 116</t>
        </is>
      </c>
    </row>
    <row r="114" ht="23" customHeight="1">
      <c r="A114" s="27" t="inlineStr">
        <is>
          <t>AC-LP-0520</t>
        </is>
      </c>
      <c r="B114" s="27" t="inlineStr">
        <is>
          <t>Meredith Williams</t>
        </is>
      </c>
      <c r="C114" s="27" t="inlineStr">
        <is>
          <t>LP-0520</t>
        </is>
      </c>
      <c r="D114" s="27" t="inlineStr">
        <is>
          <t>Ledgport</t>
        </is>
      </c>
      <c r="E114" s="27" t="inlineStr">
        <is>
          <t>covered</t>
        </is>
      </c>
      <c r="F114" s="27" t="inlineStr">
        <is>
          <t>OCCUPIED</t>
        </is>
      </c>
      <c r="G114" s="28" t="n">
        <v>38.5</v>
      </c>
      <c r="H114" s="28" t="n">
        <v>32</v>
      </c>
      <c r="I114" s="28">
        <f>MAX(ROUNDUP(G114,0),H114)</f>
        <v/>
      </c>
      <c r="J114" s="29" t="n">
        <v>405.6</v>
      </c>
      <c r="K114" s="30">
        <f>IF(OR(D114="Ledgport",D114="Vessbank"),10.4,7.55)</f>
        <v/>
      </c>
      <c r="L114" s="29">
        <f>I114*K114</f>
        <v/>
      </c>
      <c r="M114" s="29">
        <f>L114-J114</f>
        <v/>
      </c>
      <c r="N114" s="29">
        <f>MAX(0,M114)</f>
        <v/>
      </c>
      <c r="O114" s="31">
        <f>IF(ABS(M114)&lt;0.005,"OK",IF(M114&gt;0,"UNDERBILLED","OVERBILLED"))</f>
        <v/>
      </c>
      <c r="P114" s="27" t="inlineStr">
        <is>
          <t>AR_Aging row 107; inventory row 117</t>
        </is>
      </c>
    </row>
    <row r="115" ht="23" customHeight="1">
      <c r="A115" s="27" t="inlineStr">
        <is>
          <t>AC-LP-0521</t>
        </is>
      </c>
      <c r="B115" s="27" t="inlineStr">
        <is>
          <t>Ashley Hall</t>
        </is>
      </c>
      <c r="C115" s="27" t="inlineStr">
        <is>
          <t>LP-0521</t>
        </is>
      </c>
      <c r="D115" s="27" t="inlineStr">
        <is>
          <t>Ledgport</t>
        </is>
      </c>
      <c r="E115" s="27" t="inlineStr">
        <is>
          <t>covered</t>
        </is>
      </c>
      <c r="F115" s="27" t="inlineStr">
        <is>
          <t>OCCUPIED</t>
        </is>
      </c>
      <c r="G115" s="28" t="n">
        <v>39.5</v>
      </c>
      <c r="H115" s="28" t="n">
        <v>40</v>
      </c>
      <c r="I115" s="28">
        <f>MAX(ROUNDUP(G115,0),H115)</f>
        <v/>
      </c>
      <c r="J115" s="29" t="n">
        <v>416</v>
      </c>
      <c r="K115" s="30">
        <f>IF(OR(D115="Ledgport",D115="Vessbank"),10.4,7.55)</f>
        <v/>
      </c>
      <c r="L115" s="29">
        <f>I115*K115</f>
        <v/>
      </c>
      <c r="M115" s="29">
        <f>L115-J115</f>
        <v/>
      </c>
      <c r="N115" s="29">
        <f>MAX(0,M115)</f>
        <v/>
      </c>
      <c r="O115" s="31">
        <f>IF(ABS(M115)&lt;0.005,"OK",IF(M115&gt;0,"UNDERBILLED","OVERBILLED"))</f>
        <v/>
      </c>
      <c r="P115" s="27" t="inlineStr">
        <is>
          <t>AR_Aging row 108; inventory row 118</t>
        </is>
      </c>
    </row>
    <row r="116" ht="23" customHeight="1">
      <c r="A116" s="27" t="inlineStr">
        <is>
          <t>AC-LP-0522</t>
        </is>
      </c>
      <c r="B116" s="27" t="inlineStr">
        <is>
          <t>Patrick Barnes</t>
        </is>
      </c>
      <c r="C116" s="27" t="inlineStr">
        <is>
          <t>LP-0522</t>
        </is>
      </c>
      <c r="D116" s="27" t="inlineStr">
        <is>
          <t>Ledgport</t>
        </is>
      </c>
      <c r="E116" s="27" t="inlineStr">
        <is>
          <t>covered</t>
        </is>
      </c>
      <c r="F116" s="27" t="inlineStr">
        <is>
          <t>OCCUPIED</t>
        </is>
      </c>
      <c r="G116" s="28" t="n">
        <v>60.6</v>
      </c>
      <c r="H116" s="28" t="n">
        <v>40</v>
      </c>
      <c r="I116" s="28">
        <f>MAX(ROUNDUP(G116,0),H116)</f>
        <v/>
      </c>
      <c r="J116" s="29" t="n">
        <v>634.4</v>
      </c>
      <c r="K116" s="30">
        <f>IF(OR(D116="Ledgport",D116="Vessbank"),10.4,7.55)</f>
        <v/>
      </c>
      <c r="L116" s="29">
        <f>I116*K116</f>
        <v/>
      </c>
      <c r="M116" s="29">
        <f>L116-J116</f>
        <v/>
      </c>
      <c r="N116" s="29">
        <f>MAX(0,M116)</f>
        <v/>
      </c>
      <c r="O116" s="31">
        <f>IF(ABS(M116)&lt;0.005,"OK",IF(M116&gt;0,"UNDERBILLED","OVERBILLED"))</f>
        <v/>
      </c>
      <c r="P116" s="27" t="inlineStr">
        <is>
          <t>AR_Aging row 109; inventory row 119</t>
        </is>
      </c>
    </row>
    <row r="117" ht="23" customHeight="1">
      <c r="A117" s="27" t="inlineStr">
        <is>
          <t>AC-LP-0523</t>
        </is>
      </c>
      <c r="B117" s="27" t="inlineStr">
        <is>
          <t>Damon Garcia</t>
        </is>
      </c>
      <c r="C117" s="27" t="inlineStr">
        <is>
          <t>LP-0523</t>
        </is>
      </c>
      <c r="D117" s="27" t="inlineStr">
        <is>
          <t>Ledgport</t>
        </is>
      </c>
      <c r="E117" s="27" t="inlineStr">
        <is>
          <t>covered</t>
        </is>
      </c>
      <c r="F117" s="27" t="inlineStr">
        <is>
          <t>OCCUPIED</t>
        </is>
      </c>
      <c r="G117" s="28" t="n">
        <v>24.2</v>
      </c>
      <c r="H117" s="28" t="n">
        <v>24</v>
      </c>
      <c r="I117" s="28">
        <f>MAX(ROUNDUP(G117,0),H117)</f>
        <v/>
      </c>
      <c r="J117" s="29" t="n">
        <v>260</v>
      </c>
      <c r="K117" s="30">
        <f>IF(OR(D117="Ledgport",D117="Vessbank"),10.4,7.55)</f>
        <v/>
      </c>
      <c r="L117" s="29">
        <f>I117*K117</f>
        <v/>
      </c>
      <c r="M117" s="29">
        <f>L117-J117</f>
        <v/>
      </c>
      <c r="N117" s="29">
        <f>MAX(0,M117)</f>
        <v/>
      </c>
      <c r="O117" s="31">
        <f>IF(ABS(M117)&lt;0.005,"OK",IF(M117&gt;0,"UNDERBILLED","OVERBILLED"))</f>
        <v/>
      </c>
      <c r="P117" s="27" t="inlineStr">
        <is>
          <t>AR_Aging row 110; inventory row 120</t>
        </is>
      </c>
    </row>
    <row r="118" ht="23" customHeight="1">
      <c r="A118" s="27" t="inlineStr">
        <is>
          <t>AC-LP-0524</t>
        </is>
      </c>
      <c r="B118" s="27" t="inlineStr">
        <is>
          <t>Anthony Hamilton</t>
        </is>
      </c>
      <c r="C118" s="27" t="inlineStr">
        <is>
          <t>LP-0524</t>
        </is>
      </c>
      <c r="D118" s="27" t="inlineStr">
        <is>
          <t>Ledgport</t>
        </is>
      </c>
      <c r="E118" s="27" t="inlineStr">
        <is>
          <t>covered</t>
        </is>
      </c>
      <c r="F118" s="27" t="inlineStr">
        <is>
          <t>OCCUPIED</t>
        </is>
      </c>
      <c r="G118" s="28" t="n">
        <v>24.6</v>
      </c>
      <c r="H118" s="28" t="n">
        <v>28</v>
      </c>
      <c r="I118" s="28">
        <f>MAX(ROUNDUP(G118,0),H118)</f>
        <v/>
      </c>
      <c r="J118" s="29" t="n">
        <v>291.2</v>
      </c>
      <c r="K118" s="30">
        <f>IF(OR(D118="Ledgport",D118="Vessbank"),10.4,7.55)</f>
        <v/>
      </c>
      <c r="L118" s="29">
        <f>I118*K118</f>
        <v/>
      </c>
      <c r="M118" s="29">
        <f>L118-J118</f>
        <v/>
      </c>
      <c r="N118" s="29">
        <f>MAX(0,M118)</f>
        <v/>
      </c>
      <c r="O118" s="31">
        <f>IF(ABS(M118)&lt;0.005,"OK",IF(M118&gt;0,"UNDERBILLED","OVERBILLED"))</f>
        <v/>
      </c>
      <c r="P118" s="27" t="inlineStr">
        <is>
          <t>AR_Aging row 111; inventory row 121</t>
        </is>
      </c>
    </row>
    <row r="119" ht="23" customHeight="1">
      <c r="A119" s="27" t="inlineStr">
        <is>
          <t>AC-LP-0601</t>
        </is>
      </c>
      <c r="B119" s="27" t="inlineStr">
        <is>
          <t>Ronald Moore</t>
        </is>
      </c>
      <c r="C119" s="27" t="inlineStr">
        <is>
          <t>LP-0601</t>
        </is>
      </c>
      <c r="D119" s="27" t="inlineStr">
        <is>
          <t>Ledgport</t>
        </is>
      </c>
      <c r="E119" s="27" t="inlineStr">
        <is>
          <t>covered</t>
        </is>
      </c>
      <c r="F119" s="27" t="inlineStr">
        <is>
          <t>OCCUPIED</t>
        </is>
      </c>
      <c r="G119" s="28" t="n">
        <v>29.3</v>
      </c>
      <c r="H119" s="28" t="n">
        <v>24</v>
      </c>
      <c r="I119" s="28">
        <f>MAX(ROUNDUP(G119,0),H119)</f>
        <v/>
      </c>
      <c r="J119" s="29" t="n">
        <v>312</v>
      </c>
      <c r="K119" s="30">
        <f>IF(OR(D119="Ledgport",D119="Vessbank"),10.4,7.55)</f>
        <v/>
      </c>
      <c r="L119" s="29">
        <f>I119*K119</f>
        <v/>
      </c>
      <c r="M119" s="29">
        <f>L119-J119</f>
        <v/>
      </c>
      <c r="N119" s="29">
        <f>MAX(0,M119)</f>
        <v/>
      </c>
      <c r="O119" s="31">
        <f>IF(ABS(M119)&lt;0.005,"OK",IF(M119&gt;0,"UNDERBILLED","OVERBILLED"))</f>
        <v/>
      </c>
      <c r="P119" s="27" t="inlineStr">
        <is>
          <t>AR_Aging row 112; inventory row 122</t>
        </is>
      </c>
    </row>
    <row r="120" ht="23" customHeight="1">
      <c r="A120" s="27" t="inlineStr">
        <is>
          <t>AC-LP-0602</t>
        </is>
      </c>
      <c r="B120" s="27" t="inlineStr">
        <is>
          <t>Lee Maldonado</t>
        </is>
      </c>
      <c r="C120" s="27" t="inlineStr">
        <is>
          <t>LP-0602</t>
        </is>
      </c>
      <c r="D120" s="27" t="inlineStr">
        <is>
          <t>Ledgport</t>
        </is>
      </c>
      <c r="E120" s="27" t="inlineStr">
        <is>
          <t>covered</t>
        </is>
      </c>
      <c r="F120" s="27" t="inlineStr">
        <is>
          <t>OCCUPIED</t>
        </is>
      </c>
      <c r="G120" s="28" t="n">
        <v>57.7</v>
      </c>
      <c r="H120" s="28" t="n">
        <v>36</v>
      </c>
      <c r="I120" s="28">
        <f>MAX(ROUNDUP(G120,0),H120)</f>
        <v/>
      </c>
      <c r="J120" s="29" t="n">
        <v>603.2</v>
      </c>
      <c r="K120" s="30">
        <f>IF(OR(D120="Ledgport",D120="Vessbank"),10.4,7.55)</f>
        <v/>
      </c>
      <c r="L120" s="29">
        <f>I120*K120</f>
        <v/>
      </c>
      <c r="M120" s="29">
        <f>L120-J120</f>
        <v/>
      </c>
      <c r="N120" s="29">
        <f>MAX(0,M120)</f>
        <v/>
      </c>
      <c r="O120" s="31">
        <f>IF(ABS(M120)&lt;0.005,"OK",IF(M120&gt;0,"UNDERBILLED","OVERBILLED"))</f>
        <v/>
      </c>
      <c r="P120" s="27" t="inlineStr">
        <is>
          <t>AR_Aging row 113; inventory row 123</t>
        </is>
      </c>
    </row>
    <row r="121" ht="23" customHeight="1">
      <c r="A121" s="27" t="inlineStr">
        <is>
          <t>AC-LP-0603</t>
        </is>
      </c>
      <c r="B121" s="27" t="inlineStr">
        <is>
          <t>Marissa Hatfield</t>
        </is>
      </c>
      <c r="C121" s="27" t="inlineStr">
        <is>
          <t>LP-0603</t>
        </is>
      </c>
      <c r="D121" s="27" t="inlineStr">
        <is>
          <t>Ledgport</t>
        </is>
      </c>
      <c r="E121" s="27" t="inlineStr">
        <is>
          <t>covered</t>
        </is>
      </c>
      <c r="F121" s="27" t="inlineStr">
        <is>
          <t>OCCUPIED</t>
        </is>
      </c>
      <c r="G121" s="28" t="n">
        <v>32.2</v>
      </c>
      <c r="H121" s="28" t="n">
        <v>28</v>
      </c>
      <c r="I121" s="28">
        <f>MAX(ROUNDUP(G121,0),H121)</f>
        <v/>
      </c>
      <c r="J121" s="29" t="n">
        <v>343.2</v>
      </c>
      <c r="K121" s="30">
        <f>IF(OR(D121="Ledgport",D121="Vessbank"),10.4,7.55)</f>
        <v/>
      </c>
      <c r="L121" s="29">
        <f>I121*K121</f>
        <v/>
      </c>
      <c r="M121" s="29">
        <f>L121-J121</f>
        <v/>
      </c>
      <c r="N121" s="29">
        <f>MAX(0,M121)</f>
        <v/>
      </c>
      <c r="O121" s="31">
        <f>IF(ABS(M121)&lt;0.005,"OK",IF(M121&gt;0,"UNDERBILLED","OVERBILLED"))</f>
        <v/>
      </c>
      <c r="P121" s="27" t="inlineStr">
        <is>
          <t>AR_Aging row 114; inventory row 124</t>
        </is>
      </c>
    </row>
    <row r="122" ht="23" customHeight="1">
      <c r="A122" s="27" t="inlineStr">
        <is>
          <t>AC-LP-0604</t>
        </is>
      </c>
      <c r="B122" s="27" t="inlineStr">
        <is>
          <t>Timothy Porter</t>
        </is>
      </c>
      <c r="C122" s="27" t="inlineStr">
        <is>
          <t>LP-0604</t>
        </is>
      </c>
      <c r="D122" s="27" t="inlineStr">
        <is>
          <t>Ledgport</t>
        </is>
      </c>
      <c r="E122" s="27" t="inlineStr">
        <is>
          <t>covered</t>
        </is>
      </c>
      <c r="F122" s="27" t="inlineStr">
        <is>
          <t>OCCUPIED</t>
        </is>
      </c>
      <c r="G122" s="28" t="n">
        <v>51</v>
      </c>
      <c r="H122" s="28" t="n">
        <v>40</v>
      </c>
      <c r="I122" s="28">
        <f>MAX(ROUNDUP(G122,0),H122)</f>
        <v/>
      </c>
      <c r="J122" s="29" t="n">
        <v>530.4</v>
      </c>
      <c r="K122" s="30">
        <f>IF(OR(D122="Ledgport",D122="Vessbank"),10.4,7.55)</f>
        <v/>
      </c>
      <c r="L122" s="29">
        <f>I122*K122</f>
        <v/>
      </c>
      <c r="M122" s="29">
        <f>L122-J122</f>
        <v/>
      </c>
      <c r="N122" s="29">
        <f>MAX(0,M122)</f>
        <v/>
      </c>
      <c r="O122" s="31">
        <f>IF(ABS(M122)&lt;0.005,"OK",IF(M122&gt;0,"UNDERBILLED","OVERBILLED"))</f>
        <v/>
      </c>
      <c r="P122" s="27" t="inlineStr">
        <is>
          <t>AR_Aging row 115; inventory row 125</t>
        </is>
      </c>
    </row>
    <row r="123" ht="23" customHeight="1">
      <c r="A123" s="27" t="inlineStr">
        <is>
          <t>AC-LP-0605</t>
        </is>
      </c>
      <c r="B123" s="27" t="inlineStr">
        <is>
          <t>Andrew Anderson</t>
        </is>
      </c>
      <c r="C123" s="27" t="inlineStr">
        <is>
          <t>LP-0605</t>
        </is>
      </c>
      <c r="D123" s="27" t="inlineStr">
        <is>
          <t>Ledgport</t>
        </is>
      </c>
      <c r="E123" s="27" t="inlineStr">
        <is>
          <t>covered</t>
        </is>
      </c>
      <c r="F123" s="27" t="inlineStr">
        <is>
          <t>OCCUPIED</t>
        </is>
      </c>
      <c r="G123" s="28" t="n">
        <v>50.9</v>
      </c>
      <c r="H123" s="28" t="n">
        <v>24</v>
      </c>
      <c r="I123" s="28">
        <f>MAX(ROUNDUP(G123,0),H123)</f>
        <v/>
      </c>
      <c r="J123" s="29" t="n">
        <v>530.4</v>
      </c>
      <c r="K123" s="30">
        <f>IF(OR(D123="Ledgport",D123="Vessbank"),10.4,7.55)</f>
        <v/>
      </c>
      <c r="L123" s="29">
        <f>I123*K123</f>
        <v/>
      </c>
      <c r="M123" s="29">
        <f>L123-J123</f>
        <v/>
      </c>
      <c r="N123" s="29">
        <f>MAX(0,M123)</f>
        <v/>
      </c>
      <c r="O123" s="31">
        <f>IF(ABS(M123)&lt;0.005,"OK",IF(M123&gt;0,"UNDERBILLED","OVERBILLED"))</f>
        <v/>
      </c>
      <c r="P123" s="27" t="inlineStr">
        <is>
          <t>AR_Aging row 116; inventory row 126</t>
        </is>
      </c>
    </row>
    <row r="124" ht="23" customHeight="1">
      <c r="A124" s="27" t="inlineStr">
        <is>
          <t>AC-LP-0606</t>
        </is>
      </c>
      <c r="B124" s="27" t="inlineStr">
        <is>
          <t>Kyle Foster</t>
        </is>
      </c>
      <c r="C124" s="27" t="inlineStr">
        <is>
          <t>LP-0606</t>
        </is>
      </c>
      <c r="D124" s="27" t="inlineStr">
        <is>
          <t>Ledgport</t>
        </is>
      </c>
      <c r="E124" s="27" t="inlineStr">
        <is>
          <t>covered</t>
        </is>
      </c>
      <c r="F124" s="27" t="inlineStr">
        <is>
          <t>OCCUPIED</t>
        </is>
      </c>
      <c r="G124" s="28" t="n">
        <v>61.2</v>
      </c>
      <c r="H124" s="28" t="n">
        <v>24</v>
      </c>
      <c r="I124" s="28">
        <f>MAX(ROUNDUP(G124,0),H124)</f>
        <v/>
      </c>
      <c r="J124" s="29" t="n">
        <v>644.8</v>
      </c>
      <c r="K124" s="30">
        <f>IF(OR(D124="Ledgport",D124="Vessbank"),10.4,7.55)</f>
        <v/>
      </c>
      <c r="L124" s="29">
        <f>I124*K124</f>
        <v/>
      </c>
      <c r="M124" s="29">
        <f>L124-J124</f>
        <v/>
      </c>
      <c r="N124" s="29">
        <f>MAX(0,M124)</f>
        <v/>
      </c>
      <c r="O124" s="31">
        <f>IF(ABS(M124)&lt;0.005,"OK",IF(M124&gt;0,"UNDERBILLED","OVERBILLED"))</f>
        <v/>
      </c>
      <c r="P124" s="27" t="inlineStr">
        <is>
          <t>AR_Aging row 117; inventory row 127</t>
        </is>
      </c>
    </row>
    <row r="125" ht="23" customHeight="1">
      <c r="A125" s="27" t="inlineStr">
        <is>
          <t>AC-LP-0607</t>
        </is>
      </c>
      <c r="B125" s="27" t="inlineStr">
        <is>
          <t>Morgan Clark</t>
        </is>
      </c>
      <c r="C125" s="27" t="inlineStr">
        <is>
          <t>LP-0607</t>
        </is>
      </c>
      <c r="D125" s="27" t="inlineStr">
        <is>
          <t>Ledgport</t>
        </is>
      </c>
      <c r="E125" s="27" t="inlineStr">
        <is>
          <t>covered</t>
        </is>
      </c>
      <c r="F125" s="27" t="inlineStr">
        <is>
          <t>OCCUPIED</t>
        </is>
      </c>
      <c r="G125" s="28" t="n">
        <v>30.7</v>
      </c>
      <c r="H125" s="28" t="n">
        <v>40</v>
      </c>
      <c r="I125" s="28">
        <f>MAX(ROUNDUP(G125,0),H125)</f>
        <v/>
      </c>
      <c r="J125" s="29" t="n">
        <v>416</v>
      </c>
      <c r="K125" s="30">
        <f>IF(OR(D125="Ledgport",D125="Vessbank"),10.4,7.55)</f>
        <v/>
      </c>
      <c r="L125" s="29">
        <f>I125*K125</f>
        <v/>
      </c>
      <c r="M125" s="29">
        <f>L125-J125</f>
        <v/>
      </c>
      <c r="N125" s="29">
        <f>MAX(0,M125)</f>
        <v/>
      </c>
      <c r="O125" s="31">
        <f>IF(ABS(M125)&lt;0.005,"OK",IF(M125&gt;0,"UNDERBILLED","OVERBILLED"))</f>
        <v/>
      </c>
      <c r="P125" s="27" t="inlineStr">
        <is>
          <t>AR_Aging row 118; inventory row 128</t>
        </is>
      </c>
    </row>
    <row r="126" ht="23" customHeight="1">
      <c r="A126" s="27" t="inlineStr">
        <is>
          <t>AC-LP-0608</t>
        </is>
      </c>
      <c r="B126" s="27" t="inlineStr">
        <is>
          <t>Jamie Carpenter</t>
        </is>
      </c>
      <c r="C126" s="27" t="inlineStr">
        <is>
          <t>LP-0608</t>
        </is>
      </c>
      <c r="D126" s="27" t="inlineStr">
        <is>
          <t>Ledgport</t>
        </is>
      </c>
      <c r="E126" s="27" t="inlineStr">
        <is>
          <t>covered</t>
        </is>
      </c>
      <c r="F126" s="27" t="inlineStr">
        <is>
          <t>OCCUPIED</t>
        </is>
      </c>
      <c r="G126" s="28" t="n">
        <v>22.6</v>
      </c>
      <c r="H126" s="28" t="n">
        <v>28</v>
      </c>
      <c r="I126" s="28">
        <f>MAX(ROUNDUP(G126,0),H126)</f>
        <v/>
      </c>
      <c r="J126" s="29" t="n">
        <v>291.2</v>
      </c>
      <c r="K126" s="30">
        <f>IF(OR(D126="Ledgport",D126="Vessbank"),10.4,7.55)</f>
        <v/>
      </c>
      <c r="L126" s="29">
        <f>I126*K126</f>
        <v/>
      </c>
      <c r="M126" s="29">
        <f>L126-J126</f>
        <v/>
      </c>
      <c r="N126" s="29">
        <f>MAX(0,M126)</f>
        <v/>
      </c>
      <c r="O126" s="31">
        <f>IF(ABS(M126)&lt;0.005,"OK",IF(M126&gt;0,"UNDERBILLED","OVERBILLED"))</f>
        <v/>
      </c>
      <c r="P126" s="27" t="inlineStr">
        <is>
          <t>AR_Aging row 119; inventory row 129</t>
        </is>
      </c>
    </row>
    <row r="127" ht="23" customHeight="1">
      <c r="A127" s="27" t="inlineStr">
        <is>
          <t>AC-LP-0609</t>
        </is>
      </c>
      <c r="B127" s="27" t="inlineStr">
        <is>
          <t>Micheal Martinez</t>
        </is>
      </c>
      <c r="C127" s="27" t="inlineStr">
        <is>
          <t>LP-0609</t>
        </is>
      </c>
      <c r="D127" s="27" t="inlineStr">
        <is>
          <t>Ledgport</t>
        </is>
      </c>
      <c r="E127" s="27" t="inlineStr">
        <is>
          <t>covered</t>
        </is>
      </c>
      <c r="F127" s="27" t="inlineStr">
        <is>
          <t>OCCUPIED</t>
        </is>
      </c>
      <c r="G127" s="28" t="n">
        <v>37.3</v>
      </c>
      <c r="H127" s="28" t="n">
        <v>24</v>
      </c>
      <c r="I127" s="28">
        <f>MAX(ROUNDUP(G127,0),H127)</f>
        <v/>
      </c>
      <c r="J127" s="29" t="n">
        <v>395.2</v>
      </c>
      <c r="K127" s="30">
        <f>IF(OR(D127="Ledgport",D127="Vessbank"),10.4,7.55)</f>
        <v/>
      </c>
      <c r="L127" s="29">
        <f>I127*K127</f>
        <v/>
      </c>
      <c r="M127" s="29">
        <f>L127-J127</f>
        <v/>
      </c>
      <c r="N127" s="29">
        <f>MAX(0,M127)</f>
        <v/>
      </c>
      <c r="O127" s="31">
        <f>IF(ABS(M127)&lt;0.005,"OK",IF(M127&gt;0,"UNDERBILLED","OVERBILLED"))</f>
        <v/>
      </c>
      <c r="P127" s="27" t="inlineStr">
        <is>
          <t>AR_Aging row 120; inventory row 130</t>
        </is>
      </c>
    </row>
    <row r="128" ht="23" customHeight="1">
      <c r="A128" s="27" t="inlineStr">
        <is>
          <t>AC-LP-0610</t>
        </is>
      </c>
      <c r="B128" s="27" t="inlineStr">
        <is>
          <t>James Williams</t>
        </is>
      </c>
      <c r="C128" s="27" t="inlineStr">
        <is>
          <t>LP-0610</t>
        </is>
      </c>
      <c r="D128" s="27" t="inlineStr">
        <is>
          <t>Ledgport</t>
        </is>
      </c>
      <c r="E128" s="27" t="inlineStr">
        <is>
          <t>covered</t>
        </is>
      </c>
      <c r="F128" s="27" t="inlineStr">
        <is>
          <t>OCCUPIED</t>
        </is>
      </c>
      <c r="G128" s="28" t="n">
        <v>34.5</v>
      </c>
      <c r="H128" s="28" t="n">
        <v>28</v>
      </c>
      <c r="I128" s="28">
        <f>MAX(ROUNDUP(G128,0),H128)</f>
        <v/>
      </c>
      <c r="J128" s="29" t="n">
        <v>364</v>
      </c>
      <c r="K128" s="30">
        <f>IF(OR(D128="Ledgport",D128="Vessbank"),10.4,7.55)</f>
        <v/>
      </c>
      <c r="L128" s="29">
        <f>I128*K128</f>
        <v/>
      </c>
      <c r="M128" s="29">
        <f>L128-J128</f>
        <v/>
      </c>
      <c r="N128" s="29">
        <f>MAX(0,M128)</f>
        <v/>
      </c>
      <c r="O128" s="31">
        <f>IF(ABS(M128)&lt;0.005,"OK",IF(M128&gt;0,"UNDERBILLED","OVERBILLED"))</f>
        <v/>
      </c>
      <c r="P128" s="27" t="inlineStr">
        <is>
          <t>AR_Aging row 121; inventory row 131</t>
        </is>
      </c>
    </row>
    <row r="129" ht="23" customHeight="1">
      <c r="A129" s="27" t="inlineStr">
        <is>
          <t>AC-LP-0611</t>
        </is>
      </c>
      <c r="B129" s="27" t="inlineStr">
        <is>
          <t>Scott Bird</t>
        </is>
      </c>
      <c r="C129" s="27" t="inlineStr">
        <is>
          <t>LP-0611</t>
        </is>
      </c>
      <c r="D129" s="27" t="inlineStr">
        <is>
          <t>Ledgport</t>
        </is>
      </c>
      <c r="E129" s="27" t="inlineStr">
        <is>
          <t>covered</t>
        </is>
      </c>
      <c r="F129" s="27" t="inlineStr">
        <is>
          <t>OCCUPIED</t>
        </is>
      </c>
      <c r="G129" s="28" t="n">
        <v>60.7</v>
      </c>
      <c r="H129" s="28" t="n">
        <v>24</v>
      </c>
      <c r="I129" s="28">
        <f>MAX(ROUNDUP(G129,0),H129)</f>
        <v/>
      </c>
      <c r="J129" s="29" t="n">
        <v>634.4</v>
      </c>
      <c r="K129" s="30">
        <f>IF(OR(D129="Ledgport",D129="Vessbank"),10.4,7.55)</f>
        <v/>
      </c>
      <c r="L129" s="29">
        <f>I129*K129</f>
        <v/>
      </c>
      <c r="M129" s="29">
        <f>L129-J129</f>
        <v/>
      </c>
      <c r="N129" s="29">
        <f>MAX(0,M129)</f>
        <v/>
      </c>
      <c r="O129" s="31">
        <f>IF(ABS(M129)&lt;0.005,"OK",IF(M129&gt;0,"UNDERBILLED","OVERBILLED"))</f>
        <v/>
      </c>
      <c r="P129" s="27" t="inlineStr">
        <is>
          <t>AR_Aging row 122; inventory row 132</t>
        </is>
      </c>
    </row>
    <row r="130" ht="23" customHeight="1">
      <c r="A130" s="27" t="inlineStr">
        <is>
          <t>AC-LP-0612</t>
        </is>
      </c>
      <c r="B130" s="27" t="inlineStr">
        <is>
          <t>Albert Rowland</t>
        </is>
      </c>
      <c r="C130" s="27" t="inlineStr">
        <is>
          <t>LP-0612</t>
        </is>
      </c>
      <c r="D130" s="27" t="inlineStr">
        <is>
          <t>Ledgport</t>
        </is>
      </c>
      <c r="E130" s="27" t="inlineStr">
        <is>
          <t>covered</t>
        </is>
      </c>
      <c r="F130" s="27" t="inlineStr">
        <is>
          <t>OCCUPIED</t>
        </is>
      </c>
      <c r="G130" s="28" t="n">
        <v>18.6</v>
      </c>
      <c r="H130" s="28" t="n">
        <v>32</v>
      </c>
      <c r="I130" s="28">
        <f>MAX(ROUNDUP(G130,0),H130)</f>
        <v/>
      </c>
      <c r="J130" s="29" t="n">
        <v>332.8</v>
      </c>
      <c r="K130" s="30">
        <f>IF(OR(D130="Ledgport",D130="Vessbank"),10.4,7.55)</f>
        <v/>
      </c>
      <c r="L130" s="29">
        <f>I130*K130</f>
        <v/>
      </c>
      <c r="M130" s="29">
        <f>L130-J130</f>
        <v/>
      </c>
      <c r="N130" s="29">
        <f>MAX(0,M130)</f>
        <v/>
      </c>
      <c r="O130" s="31">
        <f>IF(ABS(M130)&lt;0.005,"OK",IF(M130&gt;0,"UNDERBILLED","OVERBILLED"))</f>
        <v/>
      </c>
      <c r="P130" s="27" t="inlineStr">
        <is>
          <t>AR_Aging row 123; inventory row 133</t>
        </is>
      </c>
    </row>
    <row r="131" ht="23" customHeight="1">
      <c r="A131" s="27" t="inlineStr">
        <is>
          <t>AC-LP-0613</t>
        </is>
      </c>
      <c r="B131" s="27" t="inlineStr">
        <is>
          <t>Matthew Mcdonald</t>
        </is>
      </c>
      <c r="C131" s="27" t="inlineStr">
        <is>
          <t>LP-0613</t>
        </is>
      </c>
      <c r="D131" s="27" t="inlineStr">
        <is>
          <t>Ledgport</t>
        </is>
      </c>
      <c r="E131" s="27" t="inlineStr">
        <is>
          <t>covered</t>
        </is>
      </c>
      <c r="F131" s="27" t="inlineStr">
        <is>
          <t>OCCUPIED</t>
        </is>
      </c>
      <c r="G131" s="28" t="n">
        <v>52.8</v>
      </c>
      <c r="H131" s="28" t="n">
        <v>24</v>
      </c>
      <c r="I131" s="28">
        <f>MAX(ROUNDUP(G131,0),H131)</f>
        <v/>
      </c>
      <c r="J131" s="29" t="n">
        <v>551.2</v>
      </c>
      <c r="K131" s="30">
        <f>IF(OR(D131="Ledgport",D131="Vessbank"),10.4,7.55)</f>
        <v/>
      </c>
      <c r="L131" s="29">
        <f>I131*K131</f>
        <v/>
      </c>
      <c r="M131" s="29">
        <f>L131-J131</f>
        <v/>
      </c>
      <c r="N131" s="29">
        <f>MAX(0,M131)</f>
        <v/>
      </c>
      <c r="O131" s="31">
        <f>IF(ABS(M131)&lt;0.005,"OK",IF(M131&gt;0,"UNDERBILLED","OVERBILLED"))</f>
        <v/>
      </c>
      <c r="P131" s="27" t="inlineStr">
        <is>
          <t>AR_Aging row 124; inventory row 134</t>
        </is>
      </c>
    </row>
    <row r="132" ht="23" customHeight="1">
      <c r="A132" s="27" t="inlineStr">
        <is>
          <t>AC-LP-0614</t>
        </is>
      </c>
      <c r="B132" s="27" t="inlineStr">
        <is>
          <t>Dean Gonzalez</t>
        </is>
      </c>
      <c r="C132" s="27" t="inlineStr">
        <is>
          <t>LP-0614</t>
        </is>
      </c>
      <c r="D132" s="27" t="inlineStr">
        <is>
          <t>Ledgport</t>
        </is>
      </c>
      <c r="E132" s="27" t="inlineStr">
        <is>
          <t>covered</t>
        </is>
      </c>
      <c r="F132" s="27" t="inlineStr">
        <is>
          <t>OCCUPIED</t>
        </is>
      </c>
      <c r="G132" s="28" t="n">
        <v>18.7</v>
      </c>
      <c r="H132" s="28" t="n">
        <v>28</v>
      </c>
      <c r="I132" s="28">
        <f>MAX(ROUNDUP(G132,0),H132)</f>
        <v/>
      </c>
      <c r="J132" s="29" t="n">
        <v>291.2</v>
      </c>
      <c r="K132" s="30">
        <f>IF(OR(D132="Ledgport",D132="Vessbank"),10.4,7.55)</f>
        <v/>
      </c>
      <c r="L132" s="29">
        <f>I132*K132</f>
        <v/>
      </c>
      <c r="M132" s="29">
        <f>L132-J132</f>
        <v/>
      </c>
      <c r="N132" s="29">
        <f>MAX(0,M132)</f>
        <v/>
      </c>
      <c r="O132" s="31">
        <f>IF(ABS(M132)&lt;0.005,"OK",IF(M132&gt;0,"UNDERBILLED","OVERBILLED"))</f>
        <v/>
      </c>
      <c r="P132" s="27" t="inlineStr">
        <is>
          <t>AR_Aging row 125; inventory row 135</t>
        </is>
      </c>
    </row>
    <row r="133" ht="23" customHeight="1">
      <c r="A133" s="27" t="inlineStr">
        <is>
          <t>AC-LP-0615</t>
        </is>
      </c>
      <c r="B133" s="27" t="inlineStr">
        <is>
          <t>Abigail Brooks</t>
        </is>
      </c>
      <c r="C133" s="27" t="inlineStr">
        <is>
          <t>LP-0615</t>
        </is>
      </c>
      <c r="D133" s="27" t="inlineStr">
        <is>
          <t>Ledgport</t>
        </is>
      </c>
      <c r="E133" s="27" t="inlineStr">
        <is>
          <t>covered</t>
        </is>
      </c>
      <c r="F133" s="27" t="inlineStr">
        <is>
          <t>OCCUPIED</t>
        </is>
      </c>
      <c r="G133" s="28" t="n">
        <v>37.5</v>
      </c>
      <c r="H133" s="28" t="n">
        <v>36</v>
      </c>
      <c r="I133" s="28">
        <f>MAX(ROUNDUP(G133,0),H133)</f>
        <v/>
      </c>
      <c r="J133" s="29" t="n">
        <v>395.2</v>
      </c>
      <c r="K133" s="30">
        <f>IF(OR(D133="Ledgport",D133="Vessbank"),10.4,7.55)</f>
        <v/>
      </c>
      <c r="L133" s="29">
        <f>I133*K133</f>
        <v/>
      </c>
      <c r="M133" s="29">
        <f>L133-J133</f>
        <v/>
      </c>
      <c r="N133" s="29">
        <f>MAX(0,M133)</f>
        <v/>
      </c>
      <c r="O133" s="31">
        <f>IF(ABS(M133)&lt;0.005,"OK",IF(M133&gt;0,"UNDERBILLED","OVERBILLED"))</f>
        <v/>
      </c>
      <c r="P133" s="27" t="inlineStr">
        <is>
          <t>AR_Aging row 126; inventory row 136</t>
        </is>
      </c>
    </row>
    <row r="134" ht="23" customHeight="1">
      <c r="A134" s="27" t="inlineStr">
        <is>
          <t>AC-LP-0616</t>
        </is>
      </c>
      <c r="B134" s="27" t="inlineStr">
        <is>
          <t>Brandon Jackson</t>
        </is>
      </c>
      <c r="C134" s="27" t="inlineStr">
        <is>
          <t>LP-0616</t>
        </is>
      </c>
      <c r="D134" s="27" t="inlineStr">
        <is>
          <t>Ledgport</t>
        </is>
      </c>
      <c r="E134" s="27" t="inlineStr">
        <is>
          <t>covered</t>
        </is>
      </c>
      <c r="F134" s="27" t="inlineStr">
        <is>
          <t>OCCUPIED</t>
        </is>
      </c>
      <c r="G134" s="28" t="n">
        <v>51.4</v>
      </c>
      <c r="H134" s="28" t="n">
        <v>24</v>
      </c>
      <c r="I134" s="28">
        <f>MAX(ROUNDUP(G134,0),H134)</f>
        <v/>
      </c>
      <c r="J134" s="29" t="n">
        <v>540.8</v>
      </c>
      <c r="K134" s="30">
        <f>IF(OR(D134="Ledgport",D134="Vessbank"),10.4,7.55)</f>
        <v/>
      </c>
      <c r="L134" s="29">
        <f>I134*K134</f>
        <v/>
      </c>
      <c r="M134" s="29">
        <f>L134-J134</f>
        <v/>
      </c>
      <c r="N134" s="29">
        <f>MAX(0,M134)</f>
        <v/>
      </c>
      <c r="O134" s="31">
        <f>IF(ABS(M134)&lt;0.005,"OK",IF(M134&gt;0,"UNDERBILLED","OVERBILLED"))</f>
        <v/>
      </c>
      <c r="P134" s="27" t="inlineStr">
        <is>
          <t>AR_Aging row 127; inventory row 137</t>
        </is>
      </c>
    </row>
    <row r="135" ht="23" customHeight="1">
      <c r="A135" s="27" t="inlineStr">
        <is>
          <t>AC-LP-0617</t>
        </is>
      </c>
      <c r="B135" s="27" t="inlineStr">
        <is>
          <t>Susan Jordan</t>
        </is>
      </c>
      <c r="C135" s="27" t="inlineStr">
        <is>
          <t>LP-0617</t>
        </is>
      </c>
      <c r="D135" s="27" t="inlineStr">
        <is>
          <t>Ledgport</t>
        </is>
      </c>
      <c r="E135" s="27" t="inlineStr">
        <is>
          <t>covered</t>
        </is>
      </c>
      <c r="F135" s="27" t="inlineStr">
        <is>
          <t>OCCUPIED</t>
        </is>
      </c>
      <c r="G135" s="28" t="n">
        <v>35.6</v>
      </c>
      <c r="H135" s="28" t="n">
        <v>28</v>
      </c>
      <c r="I135" s="28">
        <f>MAX(ROUNDUP(G135,0),H135)</f>
        <v/>
      </c>
      <c r="J135" s="29" t="n">
        <v>374.4</v>
      </c>
      <c r="K135" s="30">
        <f>IF(OR(D135="Ledgport",D135="Vessbank"),10.4,7.55)</f>
        <v/>
      </c>
      <c r="L135" s="29">
        <f>I135*K135</f>
        <v/>
      </c>
      <c r="M135" s="29">
        <f>L135-J135</f>
        <v/>
      </c>
      <c r="N135" s="29">
        <f>MAX(0,M135)</f>
        <v/>
      </c>
      <c r="O135" s="31">
        <f>IF(ABS(M135)&lt;0.005,"OK",IF(M135&gt;0,"UNDERBILLED","OVERBILLED"))</f>
        <v/>
      </c>
      <c r="P135" s="27" t="inlineStr">
        <is>
          <t>AR_Aging row 128; inventory row 138</t>
        </is>
      </c>
    </row>
    <row r="136" ht="23" customHeight="1">
      <c r="A136" s="27" t="inlineStr">
        <is>
          <t>AC-LP-0618</t>
        </is>
      </c>
      <c r="B136" s="27" t="inlineStr">
        <is>
          <t>Natalie Tyler</t>
        </is>
      </c>
      <c r="C136" s="27" t="inlineStr">
        <is>
          <t>LP-0618</t>
        </is>
      </c>
      <c r="D136" s="27" t="inlineStr">
        <is>
          <t>Ledgport</t>
        </is>
      </c>
      <c r="E136" s="27" t="inlineStr">
        <is>
          <t>covered</t>
        </is>
      </c>
      <c r="F136" s="27" t="inlineStr">
        <is>
          <t>OCCUPIED</t>
        </is>
      </c>
      <c r="G136" s="28" t="n">
        <v>30.1</v>
      </c>
      <c r="H136" s="28" t="n">
        <v>32</v>
      </c>
      <c r="I136" s="28">
        <f>MAX(ROUNDUP(G136,0),H136)</f>
        <v/>
      </c>
      <c r="J136" s="29" t="n">
        <v>332.8</v>
      </c>
      <c r="K136" s="30">
        <f>IF(OR(D136="Ledgport",D136="Vessbank"),10.4,7.55)</f>
        <v/>
      </c>
      <c r="L136" s="29">
        <f>I136*K136</f>
        <v/>
      </c>
      <c r="M136" s="29">
        <f>L136-J136</f>
        <v/>
      </c>
      <c r="N136" s="29">
        <f>MAX(0,M136)</f>
        <v/>
      </c>
      <c r="O136" s="31">
        <f>IF(ABS(M136)&lt;0.005,"OK",IF(M136&gt;0,"UNDERBILLED","OVERBILLED"))</f>
        <v/>
      </c>
      <c r="P136" s="27" t="inlineStr">
        <is>
          <t>AR_Aging row 129; inventory row 139</t>
        </is>
      </c>
    </row>
    <row r="137" ht="23" customHeight="1">
      <c r="A137" s="27" t="inlineStr">
        <is>
          <t>AC-LP-0620</t>
        </is>
      </c>
      <c r="B137" s="27" t="inlineStr">
        <is>
          <t>Juan Martin</t>
        </is>
      </c>
      <c r="C137" s="27" t="inlineStr">
        <is>
          <t>LP-0620</t>
        </is>
      </c>
      <c r="D137" s="27" t="inlineStr">
        <is>
          <t>Ledgport</t>
        </is>
      </c>
      <c r="E137" s="27" t="inlineStr">
        <is>
          <t>covered</t>
        </is>
      </c>
      <c r="F137" s="27" t="inlineStr">
        <is>
          <t>OCCUPIED</t>
        </is>
      </c>
      <c r="G137" s="28" t="n">
        <v>40.5</v>
      </c>
      <c r="H137" s="28" t="n">
        <v>32</v>
      </c>
      <c r="I137" s="28">
        <f>MAX(ROUNDUP(G137,0),H137)</f>
        <v/>
      </c>
      <c r="J137" s="29" t="n">
        <v>426.4</v>
      </c>
      <c r="K137" s="30">
        <f>IF(OR(D137="Ledgport",D137="Vessbank"),10.4,7.55)</f>
        <v/>
      </c>
      <c r="L137" s="29">
        <f>I137*K137</f>
        <v/>
      </c>
      <c r="M137" s="29">
        <f>L137-J137</f>
        <v/>
      </c>
      <c r="N137" s="29">
        <f>MAX(0,M137)</f>
        <v/>
      </c>
      <c r="O137" s="31">
        <f>IF(ABS(M137)&lt;0.005,"OK",IF(M137&gt;0,"UNDERBILLED","OVERBILLED"))</f>
        <v/>
      </c>
      <c r="P137" s="27" t="inlineStr">
        <is>
          <t>AR_Aging row 130; inventory row 141</t>
        </is>
      </c>
    </row>
    <row r="138" ht="23" customHeight="1">
      <c r="A138" s="27" t="inlineStr">
        <is>
          <t>AC-LP-0621</t>
        </is>
      </c>
      <c r="B138" s="27" t="inlineStr">
        <is>
          <t>Victoria Williamson</t>
        </is>
      </c>
      <c r="C138" s="27" t="inlineStr">
        <is>
          <t>LP-0621</t>
        </is>
      </c>
      <c r="D138" s="27" t="inlineStr">
        <is>
          <t>Ledgport</t>
        </is>
      </c>
      <c r="E138" s="27" t="inlineStr">
        <is>
          <t>covered</t>
        </is>
      </c>
      <c r="F138" s="27" t="inlineStr">
        <is>
          <t>OCCUPIED</t>
        </is>
      </c>
      <c r="G138" s="28" t="n">
        <v>22</v>
      </c>
      <c r="H138" s="28" t="n">
        <v>40</v>
      </c>
      <c r="I138" s="28">
        <f>MAX(ROUNDUP(G138,0),H138)</f>
        <v/>
      </c>
      <c r="J138" s="29" t="n">
        <v>416</v>
      </c>
      <c r="K138" s="30">
        <f>IF(OR(D138="Ledgport",D138="Vessbank"),10.4,7.55)</f>
        <v/>
      </c>
      <c r="L138" s="29">
        <f>I138*K138</f>
        <v/>
      </c>
      <c r="M138" s="29">
        <f>L138-J138</f>
        <v/>
      </c>
      <c r="N138" s="29">
        <f>MAX(0,M138)</f>
        <v/>
      </c>
      <c r="O138" s="31">
        <f>IF(ABS(M138)&lt;0.005,"OK",IF(M138&gt;0,"UNDERBILLED","OVERBILLED"))</f>
        <v/>
      </c>
      <c r="P138" s="27" t="inlineStr">
        <is>
          <t>AR_Aging row 131; inventory row 142</t>
        </is>
      </c>
    </row>
    <row r="139" ht="23" customHeight="1">
      <c r="A139" s="27" t="inlineStr">
        <is>
          <t>AC-LP-0622</t>
        </is>
      </c>
      <c r="B139" s="27" t="inlineStr">
        <is>
          <t>Ross Green</t>
        </is>
      </c>
      <c r="C139" s="27" t="inlineStr">
        <is>
          <t>LP-0622</t>
        </is>
      </c>
      <c r="D139" s="27" t="inlineStr">
        <is>
          <t>Ledgport</t>
        </is>
      </c>
      <c r="E139" s="27" t="inlineStr">
        <is>
          <t>covered</t>
        </is>
      </c>
      <c r="F139" s="27" t="inlineStr">
        <is>
          <t>OCCUPIED</t>
        </is>
      </c>
      <c r="G139" s="28" t="n">
        <v>39.4</v>
      </c>
      <c r="H139" s="28" t="n">
        <v>32</v>
      </c>
      <c r="I139" s="28">
        <f>MAX(ROUNDUP(G139,0),H139)</f>
        <v/>
      </c>
      <c r="J139" s="29" t="n">
        <v>416</v>
      </c>
      <c r="K139" s="30">
        <f>IF(OR(D139="Ledgport",D139="Vessbank"),10.4,7.55)</f>
        <v/>
      </c>
      <c r="L139" s="29">
        <f>I139*K139</f>
        <v/>
      </c>
      <c r="M139" s="29">
        <f>L139-J139</f>
        <v/>
      </c>
      <c r="N139" s="29">
        <f>MAX(0,M139)</f>
        <v/>
      </c>
      <c r="O139" s="31">
        <f>IF(ABS(M139)&lt;0.005,"OK",IF(M139&gt;0,"UNDERBILLED","OVERBILLED"))</f>
        <v/>
      </c>
      <c r="P139" s="27" t="inlineStr">
        <is>
          <t>AR_Aging row 132; inventory row 143</t>
        </is>
      </c>
    </row>
    <row r="140" ht="23" customHeight="1">
      <c r="A140" s="27" t="inlineStr">
        <is>
          <t>AC-LP-0623</t>
        </is>
      </c>
      <c r="B140" s="27" t="inlineStr">
        <is>
          <t>Craig Kelley</t>
        </is>
      </c>
      <c r="C140" s="27" t="inlineStr">
        <is>
          <t>LP-0623</t>
        </is>
      </c>
      <c r="D140" s="27" t="inlineStr">
        <is>
          <t>Ledgport</t>
        </is>
      </c>
      <c r="E140" s="27" t="inlineStr">
        <is>
          <t>covered</t>
        </is>
      </c>
      <c r="F140" s="27" t="inlineStr">
        <is>
          <t>OCCUPIED</t>
        </is>
      </c>
      <c r="G140" s="28" t="n">
        <v>53.9</v>
      </c>
      <c r="H140" s="28" t="n">
        <v>32</v>
      </c>
      <c r="I140" s="28">
        <f>MAX(ROUNDUP(G140,0),H140)</f>
        <v/>
      </c>
      <c r="J140" s="29" t="n">
        <v>561.6</v>
      </c>
      <c r="K140" s="30">
        <f>IF(OR(D140="Ledgport",D140="Vessbank"),10.4,7.55)</f>
        <v/>
      </c>
      <c r="L140" s="29">
        <f>I140*K140</f>
        <v/>
      </c>
      <c r="M140" s="29">
        <f>L140-J140</f>
        <v/>
      </c>
      <c r="N140" s="29">
        <f>MAX(0,M140)</f>
        <v/>
      </c>
      <c r="O140" s="31">
        <f>IF(ABS(M140)&lt;0.005,"OK",IF(M140&gt;0,"UNDERBILLED","OVERBILLED"))</f>
        <v/>
      </c>
      <c r="P140" s="27" t="inlineStr">
        <is>
          <t>AR_Aging row 133; inventory row 144</t>
        </is>
      </c>
    </row>
    <row r="141" ht="23" customHeight="1">
      <c r="A141" s="27" t="inlineStr">
        <is>
          <t>AC-LP-0624</t>
        </is>
      </c>
      <c r="B141" s="27" t="inlineStr">
        <is>
          <t>Evelyn Thompson</t>
        </is>
      </c>
      <c r="C141" s="27" t="inlineStr">
        <is>
          <t>LP-0624</t>
        </is>
      </c>
      <c r="D141" s="27" t="inlineStr">
        <is>
          <t>Ledgport</t>
        </is>
      </c>
      <c r="E141" s="27" t="inlineStr">
        <is>
          <t>covered</t>
        </is>
      </c>
      <c r="F141" s="27" t="inlineStr">
        <is>
          <t>OCCUPIED</t>
        </is>
      </c>
      <c r="G141" s="28" t="n">
        <v>49.8</v>
      </c>
      <c r="H141" s="28" t="n">
        <v>40</v>
      </c>
      <c r="I141" s="28">
        <f>MAX(ROUNDUP(G141,0),H141)</f>
        <v/>
      </c>
      <c r="J141" s="29" t="n">
        <v>520</v>
      </c>
      <c r="K141" s="30">
        <f>IF(OR(D141="Ledgport",D141="Vessbank"),10.4,7.55)</f>
        <v/>
      </c>
      <c r="L141" s="29">
        <f>I141*K141</f>
        <v/>
      </c>
      <c r="M141" s="29">
        <f>L141-J141</f>
        <v/>
      </c>
      <c r="N141" s="29">
        <f>MAX(0,M141)</f>
        <v/>
      </c>
      <c r="O141" s="31">
        <f>IF(ABS(M141)&lt;0.005,"OK",IF(M141&gt;0,"UNDERBILLED","OVERBILLED"))</f>
        <v/>
      </c>
      <c r="P141" s="27" t="inlineStr">
        <is>
          <t>AR_Aging row 134; inventory row 145</t>
        </is>
      </c>
    </row>
    <row r="142" ht="23" customHeight="1">
      <c r="A142" s="27" t="inlineStr">
        <is>
          <t>AC-LP-0701</t>
        </is>
      </c>
      <c r="B142" s="27" t="inlineStr">
        <is>
          <t>Michael Combs</t>
        </is>
      </c>
      <c r="C142" s="27" t="inlineStr">
        <is>
          <t>LP-0701</t>
        </is>
      </c>
      <c r="D142" s="27" t="inlineStr">
        <is>
          <t>Ledgport</t>
        </is>
      </c>
      <c r="E142" s="27" t="inlineStr">
        <is>
          <t>covered</t>
        </is>
      </c>
      <c r="F142" s="27" t="inlineStr">
        <is>
          <t>OCCUPIED</t>
        </is>
      </c>
      <c r="G142" s="28" t="n">
        <v>43.4</v>
      </c>
      <c r="H142" s="28" t="n">
        <v>24</v>
      </c>
      <c r="I142" s="28">
        <f>MAX(ROUNDUP(G142,0),H142)</f>
        <v/>
      </c>
      <c r="J142" s="29" t="n">
        <v>457.6</v>
      </c>
      <c r="K142" s="30">
        <f>IF(OR(D142="Ledgport",D142="Vessbank"),10.4,7.55)</f>
        <v/>
      </c>
      <c r="L142" s="29">
        <f>I142*K142</f>
        <v/>
      </c>
      <c r="M142" s="29">
        <f>L142-J142</f>
        <v/>
      </c>
      <c r="N142" s="29">
        <f>MAX(0,M142)</f>
        <v/>
      </c>
      <c r="O142" s="31">
        <f>IF(ABS(M142)&lt;0.005,"OK",IF(M142&gt;0,"UNDERBILLED","OVERBILLED"))</f>
        <v/>
      </c>
      <c r="P142" s="27" t="inlineStr">
        <is>
          <t>AR_Aging row 135; inventory row 146</t>
        </is>
      </c>
    </row>
    <row r="143" ht="23" customHeight="1">
      <c r="A143" s="27" t="inlineStr">
        <is>
          <t>AC-LP-0702</t>
        </is>
      </c>
      <c r="B143" s="27" t="inlineStr">
        <is>
          <t>Julie Peterson</t>
        </is>
      </c>
      <c r="C143" s="27" t="inlineStr">
        <is>
          <t>LP-0702</t>
        </is>
      </c>
      <c r="D143" s="27" t="inlineStr">
        <is>
          <t>Ledgport</t>
        </is>
      </c>
      <c r="E143" s="27" t="inlineStr">
        <is>
          <t>covered</t>
        </is>
      </c>
      <c r="F143" s="27" t="inlineStr">
        <is>
          <t>OCCUPIED</t>
        </is>
      </c>
      <c r="G143" s="28" t="n">
        <v>51.4</v>
      </c>
      <c r="H143" s="28" t="n">
        <v>32</v>
      </c>
      <c r="I143" s="28">
        <f>MAX(ROUNDUP(G143,0),H143)</f>
        <v/>
      </c>
      <c r="J143" s="29" t="n">
        <v>540.8</v>
      </c>
      <c r="K143" s="30">
        <f>IF(OR(D143="Ledgport",D143="Vessbank"),10.4,7.55)</f>
        <v/>
      </c>
      <c r="L143" s="29">
        <f>I143*K143</f>
        <v/>
      </c>
      <c r="M143" s="29">
        <f>L143-J143</f>
        <v/>
      </c>
      <c r="N143" s="29">
        <f>MAX(0,M143)</f>
        <v/>
      </c>
      <c r="O143" s="31">
        <f>IF(ABS(M143)&lt;0.005,"OK",IF(M143&gt;0,"UNDERBILLED","OVERBILLED"))</f>
        <v/>
      </c>
      <c r="P143" s="27" t="inlineStr">
        <is>
          <t>AR_Aging row 136; inventory row 147</t>
        </is>
      </c>
    </row>
    <row r="144" ht="23" customHeight="1">
      <c r="A144" s="27" t="inlineStr">
        <is>
          <t>AC-LP-0703</t>
        </is>
      </c>
      <c r="B144" s="27" t="inlineStr">
        <is>
          <t>Ruth Peters</t>
        </is>
      </c>
      <c r="C144" s="27" t="inlineStr">
        <is>
          <t>LP-0703</t>
        </is>
      </c>
      <c r="D144" s="27" t="inlineStr">
        <is>
          <t>Ledgport</t>
        </is>
      </c>
      <c r="E144" s="27" t="inlineStr">
        <is>
          <t>covered</t>
        </is>
      </c>
      <c r="F144" s="27" t="inlineStr">
        <is>
          <t>OCCUPIED</t>
        </is>
      </c>
      <c r="G144" s="28" t="n">
        <v>58.9</v>
      </c>
      <c r="H144" s="28" t="n">
        <v>40</v>
      </c>
      <c r="I144" s="28">
        <f>MAX(ROUNDUP(G144,0),H144)</f>
        <v/>
      </c>
      <c r="J144" s="29" t="n">
        <v>613.6</v>
      </c>
      <c r="K144" s="30">
        <f>IF(OR(D144="Ledgport",D144="Vessbank"),10.4,7.55)</f>
        <v/>
      </c>
      <c r="L144" s="29">
        <f>I144*K144</f>
        <v/>
      </c>
      <c r="M144" s="29">
        <f>L144-J144</f>
        <v/>
      </c>
      <c r="N144" s="29">
        <f>MAX(0,M144)</f>
        <v/>
      </c>
      <c r="O144" s="31">
        <f>IF(ABS(M144)&lt;0.005,"OK",IF(M144&gt;0,"UNDERBILLED","OVERBILLED"))</f>
        <v/>
      </c>
      <c r="P144" s="27" t="inlineStr">
        <is>
          <t>AR_Aging row 137; inventory row 148</t>
        </is>
      </c>
    </row>
    <row r="145" ht="23" customHeight="1">
      <c r="A145" s="27" t="inlineStr">
        <is>
          <t>AC-LP-0704</t>
        </is>
      </c>
      <c r="B145" s="27" t="inlineStr">
        <is>
          <t>Jason Brooks</t>
        </is>
      </c>
      <c r="C145" s="27" t="inlineStr">
        <is>
          <t>LP-0704</t>
        </is>
      </c>
      <c r="D145" s="27" t="inlineStr">
        <is>
          <t>Ledgport</t>
        </is>
      </c>
      <c r="E145" s="27" t="inlineStr">
        <is>
          <t>covered</t>
        </is>
      </c>
      <c r="F145" s="27" t="inlineStr">
        <is>
          <t>OCCUPIED</t>
        </is>
      </c>
      <c r="G145" s="28" t="n">
        <v>52.4</v>
      </c>
      <c r="H145" s="28" t="n">
        <v>28</v>
      </c>
      <c r="I145" s="28">
        <f>MAX(ROUNDUP(G145,0),H145)</f>
        <v/>
      </c>
      <c r="J145" s="29" t="n">
        <v>551.2</v>
      </c>
      <c r="K145" s="30">
        <f>IF(OR(D145="Ledgport",D145="Vessbank"),10.4,7.55)</f>
        <v/>
      </c>
      <c r="L145" s="29">
        <f>I145*K145</f>
        <v/>
      </c>
      <c r="M145" s="29">
        <f>L145-J145</f>
        <v/>
      </c>
      <c r="N145" s="29">
        <f>MAX(0,M145)</f>
        <v/>
      </c>
      <c r="O145" s="31">
        <f>IF(ABS(M145)&lt;0.005,"OK",IF(M145&gt;0,"UNDERBILLED","OVERBILLED"))</f>
        <v/>
      </c>
      <c r="P145" s="27" t="inlineStr">
        <is>
          <t>AR_Aging row 138; inventory row 149</t>
        </is>
      </c>
    </row>
    <row r="146" ht="23" customHeight="1">
      <c r="A146" s="27" t="inlineStr">
        <is>
          <t>AC-LP-0705</t>
        </is>
      </c>
      <c r="B146" s="27" t="inlineStr">
        <is>
          <t>Sarah Hogan</t>
        </is>
      </c>
      <c r="C146" s="27" t="inlineStr">
        <is>
          <t>LP-0705</t>
        </is>
      </c>
      <c r="D146" s="27" t="inlineStr">
        <is>
          <t>Ledgport</t>
        </is>
      </c>
      <c r="E146" s="27" t="inlineStr">
        <is>
          <t>covered</t>
        </is>
      </c>
      <c r="F146" s="27" t="inlineStr">
        <is>
          <t>OCCUPIED</t>
        </is>
      </c>
      <c r="G146" s="28" t="n">
        <v>43.6</v>
      </c>
      <c r="H146" s="28" t="n">
        <v>24</v>
      </c>
      <c r="I146" s="28">
        <f>MAX(ROUNDUP(G146,0),H146)</f>
        <v/>
      </c>
      <c r="J146" s="29" t="n">
        <v>457.6</v>
      </c>
      <c r="K146" s="30">
        <f>IF(OR(D146="Ledgport",D146="Vessbank"),10.4,7.55)</f>
        <v/>
      </c>
      <c r="L146" s="29">
        <f>I146*K146</f>
        <v/>
      </c>
      <c r="M146" s="29">
        <f>L146-J146</f>
        <v/>
      </c>
      <c r="N146" s="29">
        <f>MAX(0,M146)</f>
        <v/>
      </c>
      <c r="O146" s="31">
        <f>IF(ABS(M146)&lt;0.005,"OK",IF(M146&gt;0,"UNDERBILLED","OVERBILLED"))</f>
        <v/>
      </c>
      <c r="P146" s="27" t="inlineStr">
        <is>
          <t>AR_Aging row 139; inventory row 150</t>
        </is>
      </c>
    </row>
    <row r="147" ht="23" customHeight="1">
      <c r="A147" s="27" t="inlineStr">
        <is>
          <t>AC-LP-0706</t>
        </is>
      </c>
      <c r="B147" s="27" t="inlineStr">
        <is>
          <t>Anthony Morales</t>
        </is>
      </c>
      <c r="C147" s="27" t="inlineStr">
        <is>
          <t>LP-0706</t>
        </is>
      </c>
      <c r="D147" s="27" t="inlineStr">
        <is>
          <t>Ledgport</t>
        </is>
      </c>
      <c r="E147" s="27" t="inlineStr">
        <is>
          <t>covered</t>
        </is>
      </c>
      <c r="F147" s="27" t="inlineStr">
        <is>
          <t>OCCUPIED</t>
        </is>
      </c>
      <c r="G147" s="28" t="n">
        <v>43.6</v>
      </c>
      <c r="H147" s="28" t="n">
        <v>28</v>
      </c>
      <c r="I147" s="28">
        <f>MAX(ROUNDUP(G147,0),H147)</f>
        <v/>
      </c>
      <c r="J147" s="29" t="n">
        <v>457.6</v>
      </c>
      <c r="K147" s="30">
        <f>IF(OR(D147="Ledgport",D147="Vessbank"),10.4,7.55)</f>
        <v/>
      </c>
      <c r="L147" s="29">
        <f>I147*K147</f>
        <v/>
      </c>
      <c r="M147" s="29">
        <f>L147-J147</f>
        <v/>
      </c>
      <c r="N147" s="29">
        <f>MAX(0,M147)</f>
        <v/>
      </c>
      <c r="O147" s="31">
        <f>IF(ABS(M147)&lt;0.005,"OK",IF(M147&gt;0,"UNDERBILLED","OVERBILLED"))</f>
        <v/>
      </c>
      <c r="P147" s="27" t="inlineStr">
        <is>
          <t>AR_Aging row 140; inventory row 151</t>
        </is>
      </c>
    </row>
    <row r="148" ht="23" customHeight="1">
      <c r="A148" s="27" t="inlineStr">
        <is>
          <t>AC-LP-0707</t>
        </is>
      </c>
      <c r="B148" s="27" t="inlineStr">
        <is>
          <t>Laurie Smith</t>
        </is>
      </c>
      <c r="C148" s="27" t="inlineStr">
        <is>
          <t>LP-0707</t>
        </is>
      </c>
      <c r="D148" s="27" t="inlineStr">
        <is>
          <t>Ledgport</t>
        </is>
      </c>
      <c r="E148" s="27" t="inlineStr">
        <is>
          <t>covered</t>
        </is>
      </c>
      <c r="F148" s="27" t="inlineStr">
        <is>
          <t>OCCUPIED</t>
        </is>
      </c>
      <c r="G148" s="28" t="n">
        <v>45.6</v>
      </c>
      <c r="H148" s="28" t="n">
        <v>28</v>
      </c>
      <c r="I148" s="28">
        <f>MAX(ROUNDUP(G148,0),H148)</f>
        <v/>
      </c>
      <c r="J148" s="29" t="n">
        <v>478.4</v>
      </c>
      <c r="K148" s="30">
        <f>IF(OR(D148="Ledgport",D148="Vessbank"),10.4,7.55)</f>
        <v/>
      </c>
      <c r="L148" s="29">
        <f>I148*K148</f>
        <v/>
      </c>
      <c r="M148" s="29">
        <f>L148-J148</f>
        <v/>
      </c>
      <c r="N148" s="29">
        <f>MAX(0,M148)</f>
        <v/>
      </c>
      <c r="O148" s="31">
        <f>IF(ABS(M148)&lt;0.005,"OK",IF(M148&gt;0,"UNDERBILLED","OVERBILLED"))</f>
        <v/>
      </c>
      <c r="P148" s="27" t="inlineStr">
        <is>
          <t>AR_Aging row 141; inventory row 152</t>
        </is>
      </c>
    </row>
    <row r="149" ht="23" customHeight="1">
      <c r="A149" s="27" t="inlineStr">
        <is>
          <t>AC-LP-0708</t>
        </is>
      </c>
      <c r="B149" s="27" t="inlineStr">
        <is>
          <t>Elizabeth Mathews</t>
        </is>
      </c>
      <c r="C149" s="27" t="inlineStr">
        <is>
          <t>LP-0708</t>
        </is>
      </c>
      <c r="D149" s="27" t="inlineStr">
        <is>
          <t>Ledgport</t>
        </is>
      </c>
      <c r="E149" s="27" t="inlineStr">
        <is>
          <t>covered</t>
        </is>
      </c>
      <c r="F149" s="27" t="inlineStr">
        <is>
          <t>OCCUPIED</t>
        </is>
      </c>
      <c r="G149" s="28" t="n">
        <v>43.3</v>
      </c>
      <c r="H149" s="28" t="n">
        <v>32</v>
      </c>
      <c r="I149" s="28">
        <f>MAX(ROUNDUP(G149,0),H149)</f>
        <v/>
      </c>
      <c r="J149" s="29" t="n">
        <v>457.6</v>
      </c>
      <c r="K149" s="30">
        <f>IF(OR(D149="Ledgport",D149="Vessbank"),10.4,7.55)</f>
        <v/>
      </c>
      <c r="L149" s="29">
        <f>I149*K149</f>
        <v/>
      </c>
      <c r="M149" s="29">
        <f>L149-J149</f>
        <v/>
      </c>
      <c r="N149" s="29">
        <f>MAX(0,M149)</f>
        <v/>
      </c>
      <c r="O149" s="31">
        <f>IF(ABS(M149)&lt;0.005,"OK",IF(M149&gt;0,"UNDERBILLED","OVERBILLED"))</f>
        <v/>
      </c>
      <c r="P149" s="27" t="inlineStr">
        <is>
          <t>AR_Aging row 142; inventory row 153</t>
        </is>
      </c>
    </row>
    <row r="150" ht="23" customHeight="1">
      <c r="A150" s="27" t="inlineStr">
        <is>
          <t>AC-LP-0709</t>
        </is>
      </c>
      <c r="B150" s="27" t="inlineStr">
        <is>
          <t>Patrick Allen</t>
        </is>
      </c>
      <c r="C150" s="27" t="inlineStr">
        <is>
          <t>LP-0709</t>
        </is>
      </c>
      <c r="D150" s="27" t="inlineStr">
        <is>
          <t>Ledgport</t>
        </is>
      </c>
      <c r="E150" s="27" t="inlineStr">
        <is>
          <t>covered</t>
        </is>
      </c>
      <c r="F150" s="27" t="inlineStr">
        <is>
          <t>OCCUPIED</t>
        </is>
      </c>
      <c r="G150" s="28" t="n">
        <v>45.7</v>
      </c>
      <c r="H150" s="28" t="n">
        <v>28</v>
      </c>
      <c r="I150" s="28">
        <f>MAX(ROUNDUP(G150,0),H150)</f>
        <v/>
      </c>
      <c r="J150" s="29" t="n">
        <v>478.4</v>
      </c>
      <c r="K150" s="30">
        <f>IF(OR(D150="Ledgport",D150="Vessbank"),10.4,7.55)</f>
        <v/>
      </c>
      <c r="L150" s="29">
        <f>I150*K150</f>
        <v/>
      </c>
      <c r="M150" s="29">
        <f>L150-J150</f>
        <v/>
      </c>
      <c r="N150" s="29">
        <f>MAX(0,M150)</f>
        <v/>
      </c>
      <c r="O150" s="31">
        <f>IF(ABS(M150)&lt;0.005,"OK",IF(M150&gt;0,"UNDERBILLED","OVERBILLED"))</f>
        <v/>
      </c>
      <c r="P150" s="27" t="inlineStr">
        <is>
          <t>AR_Aging row 143; inventory row 154</t>
        </is>
      </c>
    </row>
    <row r="151" ht="23" customHeight="1">
      <c r="A151" s="27" t="inlineStr">
        <is>
          <t>AC-LP-0710</t>
        </is>
      </c>
      <c r="B151" s="27" t="inlineStr">
        <is>
          <t>Peggy Trevino</t>
        </is>
      </c>
      <c r="C151" s="27" t="inlineStr">
        <is>
          <t>LP-0710</t>
        </is>
      </c>
      <c r="D151" s="27" t="inlineStr">
        <is>
          <t>Ledgport</t>
        </is>
      </c>
      <c r="E151" s="27" t="inlineStr">
        <is>
          <t>covered</t>
        </is>
      </c>
      <c r="F151" s="27" t="inlineStr">
        <is>
          <t>OCCUPIED</t>
        </is>
      </c>
      <c r="G151" s="28" t="n">
        <v>33.7</v>
      </c>
      <c r="H151" s="28" t="n">
        <v>28</v>
      </c>
      <c r="I151" s="28">
        <f>MAX(ROUNDUP(G151,0),H151)</f>
        <v/>
      </c>
      <c r="J151" s="29" t="n">
        <v>353.6</v>
      </c>
      <c r="K151" s="30">
        <f>IF(OR(D151="Ledgport",D151="Vessbank"),10.4,7.55)</f>
        <v/>
      </c>
      <c r="L151" s="29">
        <f>I151*K151</f>
        <v/>
      </c>
      <c r="M151" s="29">
        <f>L151-J151</f>
        <v/>
      </c>
      <c r="N151" s="29">
        <f>MAX(0,M151)</f>
        <v/>
      </c>
      <c r="O151" s="31">
        <f>IF(ABS(M151)&lt;0.005,"OK",IF(M151&gt;0,"UNDERBILLED","OVERBILLED"))</f>
        <v/>
      </c>
      <c r="P151" s="27" t="inlineStr">
        <is>
          <t>AR_Aging row 144; inventory row 155</t>
        </is>
      </c>
    </row>
    <row r="152" ht="23" customHeight="1">
      <c r="A152" s="27" t="inlineStr">
        <is>
          <t>AC-LP-0711</t>
        </is>
      </c>
      <c r="B152" s="27" t="inlineStr">
        <is>
          <t>Lisa Wyatt</t>
        </is>
      </c>
      <c r="C152" s="27" t="inlineStr">
        <is>
          <t>LP-0711</t>
        </is>
      </c>
      <c r="D152" s="27" t="inlineStr">
        <is>
          <t>Ledgport</t>
        </is>
      </c>
      <c r="E152" s="27" t="inlineStr">
        <is>
          <t>covered</t>
        </is>
      </c>
      <c r="F152" s="27" t="inlineStr">
        <is>
          <t>OCCUPIED</t>
        </is>
      </c>
      <c r="G152" s="28" t="n">
        <v>43.4</v>
      </c>
      <c r="H152" s="28" t="n">
        <v>36</v>
      </c>
      <c r="I152" s="28">
        <f>MAX(ROUNDUP(G152,0),H152)</f>
        <v/>
      </c>
      <c r="J152" s="29" t="n">
        <v>457.6</v>
      </c>
      <c r="K152" s="30">
        <f>IF(OR(D152="Ledgport",D152="Vessbank"),10.4,7.55)</f>
        <v/>
      </c>
      <c r="L152" s="29">
        <f>I152*K152</f>
        <v/>
      </c>
      <c r="M152" s="29">
        <f>L152-J152</f>
        <v/>
      </c>
      <c r="N152" s="29">
        <f>MAX(0,M152)</f>
        <v/>
      </c>
      <c r="O152" s="31">
        <f>IF(ABS(M152)&lt;0.005,"OK",IF(M152&gt;0,"UNDERBILLED","OVERBILLED"))</f>
        <v/>
      </c>
      <c r="P152" s="27" t="inlineStr">
        <is>
          <t>AR_Aging row 145; inventory row 156</t>
        </is>
      </c>
    </row>
    <row r="153" ht="23" customHeight="1">
      <c r="A153" s="27" t="inlineStr">
        <is>
          <t>AC-LP-0712</t>
        </is>
      </c>
      <c r="B153" s="27" t="inlineStr">
        <is>
          <t>Matthew Spencer</t>
        </is>
      </c>
      <c r="C153" s="27" t="inlineStr">
        <is>
          <t>LP-0712</t>
        </is>
      </c>
      <c r="D153" s="27" t="inlineStr">
        <is>
          <t>Ledgport</t>
        </is>
      </c>
      <c r="E153" s="27" t="inlineStr">
        <is>
          <t>covered</t>
        </is>
      </c>
      <c r="F153" s="27" t="inlineStr">
        <is>
          <t>OCCUPIED</t>
        </is>
      </c>
      <c r="G153" s="28" t="n">
        <v>36.1</v>
      </c>
      <c r="H153" s="28" t="n">
        <v>36</v>
      </c>
      <c r="I153" s="28">
        <f>MAX(ROUNDUP(G153,0),H153)</f>
        <v/>
      </c>
      <c r="J153" s="29" t="n">
        <v>384.8</v>
      </c>
      <c r="K153" s="30">
        <f>IF(OR(D153="Ledgport",D153="Vessbank"),10.4,7.55)</f>
        <v/>
      </c>
      <c r="L153" s="29">
        <f>I153*K153</f>
        <v/>
      </c>
      <c r="M153" s="29">
        <f>L153-J153</f>
        <v/>
      </c>
      <c r="N153" s="29">
        <f>MAX(0,M153)</f>
        <v/>
      </c>
      <c r="O153" s="31">
        <f>IF(ABS(M153)&lt;0.005,"OK",IF(M153&gt;0,"UNDERBILLED","OVERBILLED"))</f>
        <v/>
      </c>
      <c r="P153" s="27" t="inlineStr">
        <is>
          <t>AR_Aging row 146; inventory row 157</t>
        </is>
      </c>
    </row>
    <row r="154" ht="23" customHeight="1">
      <c r="A154" s="27" t="inlineStr">
        <is>
          <t>AC-LP-0713</t>
        </is>
      </c>
      <c r="B154" s="27" t="inlineStr">
        <is>
          <t>Stacey Mitchell</t>
        </is>
      </c>
      <c r="C154" s="27" t="inlineStr">
        <is>
          <t>LP-0713</t>
        </is>
      </c>
      <c r="D154" s="27" t="inlineStr">
        <is>
          <t>Ledgport</t>
        </is>
      </c>
      <c r="E154" s="27" t="inlineStr">
        <is>
          <t>covered</t>
        </is>
      </c>
      <c r="F154" s="27" t="inlineStr">
        <is>
          <t>OCCUPIED</t>
        </is>
      </c>
      <c r="G154" s="28" t="n">
        <v>39.1</v>
      </c>
      <c r="H154" s="28" t="n">
        <v>40</v>
      </c>
      <c r="I154" s="28">
        <f>MAX(ROUNDUP(G154,0),H154)</f>
        <v/>
      </c>
      <c r="J154" s="29" t="n">
        <v>416</v>
      </c>
      <c r="K154" s="30">
        <f>IF(OR(D154="Ledgport",D154="Vessbank"),10.4,7.55)</f>
        <v/>
      </c>
      <c r="L154" s="29">
        <f>I154*K154</f>
        <v/>
      </c>
      <c r="M154" s="29">
        <f>L154-J154</f>
        <v/>
      </c>
      <c r="N154" s="29">
        <f>MAX(0,M154)</f>
        <v/>
      </c>
      <c r="O154" s="31">
        <f>IF(ABS(M154)&lt;0.005,"OK",IF(M154&gt;0,"UNDERBILLED","OVERBILLED"))</f>
        <v/>
      </c>
      <c r="P154" s="27" t="inlineStr">
        <is>
          <t>AR_Aging row 147; inventory row 158</t>
        </is>
      </c>
    </row>
    <row r="155" ht="23" customHeight="1">
      <c r="A155" s="27" t="inlineStr">
        <is>
          <t>AC-LP-0714</t>
        </is>
      </c>
      <c r="B155" s="27" t="inlineStr">
        <is>
          <t>Nicholas Woodward</t>
        </is>
      </c>
      <c r="C155" s="27" t="inlineStr">
        <is>
          <t>LP-0714</t>
        </is>
      </c>
      <c r="D155" s="27" t="inlineStr">
        <is>
          <t>Ledgport</t>
        </is>
      </c>
      <c r="E155" s="27" t="inlineStr">
        <is>
          <t>covered</t>
        </is>
      </c>
      <c r="F155" s="27" t="inlineStr">
        <is>
          <t>OCCUPIED</t>
        </is>
      </c>
      <c r="G155" s="28" t="n">
        <v>31.9</v>
      </c>
      <c r="H155" s="28" t="n">
        <v>24</v>
      </c>
      <c r="I155" s="28">
        <f>MAX(ROUNDUP(G155,0),H155)</f>
        <v/>
      </c>
      <c r="J155" s="29" t="n">
        <v>332.8</v>
      </c>
      <c r="K155" s="30">
        <f>IF(OR(D155="Ledgport",D155="Vessbank"),10.4,7.55)</f>
        <v/>
      </c>
      <c r="L155" s="29">
        <f>I155*K155</f>
        <v/>
      </c>
      <c r="M155" s="29">
        <f>L155-J155</f>
        <v/>
      </c>
      <c r="N155" s="29">
        <f>MAX(0,M155)</f>
        <v/>
      </c>
      <c r="O155" s="31">
        <f>IF(ABS(M155)&lt;0.005,"OK",IF(M155&gt;0,"UNDERBILLED","OVERBILLED"))</f>
        <v/>
      </c>
      <c r="P155" s="27" t="inlineStr">
        <is>
          <t>AR_Aging row 148; inventory row 159</t>
        </is>
      </c>
    </row>
    <row r="156" ht="23" customHeight="1">
      <c r="A156" s="27" t="inlineStr">
        <is>
          <t>AC-LP-0715</t>
        </is>
      </c>
      <c r="B156" s="27" t="inlineStr">
        <is>
          <t>Jason Ramirez</t>
        </is>
      </c>
      <c r="C156" s="27" t="inlineStr">
        <is>
          <t>LP-0715</t>
        </is>
      </c>
      <c r="D156" s="27" t="inlineStr">
        <is>
          <t>Ledgport</t>
        </is>
      </c>
      <c r="E156" s="27" t="inlineStr">
        <is>
          <t>covered</t>
        </is>
      </c>
      <c r="F156" s="27" t="inlineStr">
        <is>
          <t>OCCUPIED</t>
        </is>
      </c>
      <c r="G156" s="28" t="n">
        <v>55.9</v>
      </c>
      <c r="H156" s="28" t="n">
        <v>32</v>
      </c>
      <c r="I156" s="28">
        <f>MAX(ROUNDUP(G156,0),H156)</f>
        <v/>
      </c>
      <c r="J156" s="29" t="n">
        <v>582.4</v>
      </c>
      <c r="K156" s="30">
        <f>IF(OR(D156="Ledgport",D156="Vessbank"),10.4,7.55)</f>
        <v/>
      </c>
      <c r="L156" s="29">
        <f>I156*K156</f>
        <v/>
      </c>
      <c r="M156" s="29">
        <f>L156-J156</f>
        <v/>
      </c>
      <c r="N156" s="29">
        <f>MAX(0,M156)</f>
        <v/>
      </c>
      <c r="O156" s="31">
        <f>IF(ABS(M156)&lt;0.005,"OK",IF(M156&gt;0,"UNDERBILLED","OVERBILLED"))</f>
        <v/>
      </c>
      <c r="P156" s="27" t="inlineStr">
        <is>
          <t>AR_Aging row 149; inventory row 160</t>
        </is>
      </c>
    </row>
    <row r="157" ht="23" customHeight="1">
      <c r="A157" s="27" t="inlineStr">
        <is>
          <t>AC-LP-0716</t>
        </is>
      </c>
      <c r="B157" s="27" t="inlineStr">
        <is>
          <t>Teresa Smith</t>
        </is>
      </c>
      <c r="C157" s="27" t="inlineStr">
        <is>
          <t>LP-0716</t>
        </is>
      </c>
      <c r="D157" s="27" t="inlineStr">
        <is>
          <t>Ledgport</t>
        </is>
      </c>
      <c r="E157" s="27" t="inlineStr">
        <is>
          <t>covered</t>
        </is>
      </c>
      <c r="F157" s="27" t="inlineStr">
        <is>
          <t>OCCUPIED</t>
        </is>
      </c>
      <c r="G157" s="28" t="n">
        <v>40.5</v>
      </c>
      <c r="H157" s="28" t="n">
        <v>24</v>
      </c>
      <c r="I157" s="28">
        <f>MAX(ROUNDUP(G157,0),H157)</f>
        <v/>
      </c>
      <c r="J157" s="29" t="n">
        <v>426.4</v>
      </c>
      <c r="K157" s="30">
        <f>IF(OR(D157="Ledgport",D157="Vessbank"),10.4,7.55)</f>
        <v/>
      </c>
      <c r="L157" s="29">
        <f>I157*K157</f>
        <v/>
      </c>
      <c r="M157" s="29">
        <f>L157-J157</f>
        <v/>
      </c>
      <c r="N157" s="29">
        <f>MAX(0,M157)</f>
        <v/>
      </c>
      <c r="O157" s="31">
        <f>IF(ABS(M157)&lt;0.005,"OK",IF(M157&gt;0,"UNDERBILLED","OVERBILLED"))</f>
        <v/>
      </c>
      <c r="P157" s="27" t="inlineStr">
        <is>
          <t>AR_Aging row 150; inventory row 161</t>
        </is>
      </c>
    </row>
    <row r="158" ht="23" customHeight="1">
      <c r="A158" s="27" t="inlineStr">
        <is>
          <t>AC-LP-0717</t>
        </is>
      </c>
      <c r="B158" s="27" t="inlineStr">
        <is>
          <t>Justin Richardson</t>
        </is>
      </c>
      <c r="C158" s="27" t="inlineStr">
        <is>
          <t>LP-0717</t>
        </is>
      </c>
      <c r="D158" s="27" t="inlineStr">
        <is>
          <t>Ledgport</t>
        </is>
      </c>
      <c r="E158" s="27" t="inlineStr">
        <is>
          <t>covered</t>
        </is>
      </c>
      <c r="F158" s="27" t="inlineStr">
        <is>
          <t>OCCUPIED</t>
        </is>
      </c>
      <c r="G158" s="28" t="n">
        <v>55.2</v>
      </c>
      <c r="H158" s="28" t="n">
        <v>24</v>
      </c>
      <c r="I158" s="28">
        <f>MAX(ROUNDUP(G158,0),H158)</f>
        <v/>
      </c>
      <c r="J158" s="29" t="n">
        <v>582.4</v>
      </c>
      <c r="K158" s="30">
        <f>IF(OR(D158="Ledgport",D158="Vessbank"),10.4,7.55)</f>
        <v/>
      </c>
      <c r="L158" s="29">
        <f>I158*K158</f>
        <v/>
      </c>
      <c r="M158" s="29">
        <f>L158-J158</f>
        <v/>
      </c>
      <c r="N158" s="29">
        <f>MAX(0,M158)</f>
        <v/>
      </c>
      <c r="O158" s="31">
        <f>IF(ABS(M158)&lt;0.005,"OK",IF(M158&gt;0,"UNDERBILLED","OVERBILLED"))</f>
        <v/>
      </c>
      <c r="P158" s="27" t="inlineStr">
        <is>
          <t>AR_Aging row 151; inventory row 162</t>
        </is>
      </c>
    </row>
    <row r="159" ht="23" customHeight="1">
      <c r="A159" s="27" t="inlineStr">
        <is>
          <t>AC-LP-0718</t>
        </is>
      </c>
      <c r="B159" s="27" t="inlineStr">
        <is>
          <t>Charles Case</t>
        </is>
      </c>
      <c r="C159" s="27" t="inlineStr">
        <is>
          <t>LP-0718</t>
        </is>
      </c>
      <c r="D159" s="27" t="inlineStr">
        <is>
          <t>Ledgport</t>
        </is>
      </c>
      <c r="E159" s="27" t="inlineStr">
        <is>
          <t>covered</t>
        </is>
      </c>
      <c r="F159" s="27" t="inlineStr">
        <is>
          <t>OCCUPIED</t>
        </is>
      </c>
      <c r="G159" s="28" t="n">
        <v>25.4</v>
      </c>
      <c r="H159" s="28" t="n">
        <v>32</v>
      </c>
      <c r="I159" s="28">
        <f>MAX(ROUNDUP(G159,0),H159)</f>
        <v/>
      </c>
      <c r="J159" s="29" t="n">
        <v>332.8</v>
      </c>
      <c r="K159" s="30">
        <f>IF(OR(D159="Ledgport",D159="Vessbank"),10.4,7.55)</f>
        <v/>
      </c>
      <c r="L159" s="29">
        <f>I159*K159</f>
        <v/>
      </c>
      <c r="M159" s="29">
        <f>L159-J159</f>
        <v/>
      </c>
      <c r="N159" s="29">
        <f>MAX(0,M159)</f>
        <v/>
      </c>
      <c r="O159" s="31">
        <f>IF(ABS(M159)&lt;0.005,"OK",IF(M159&gt;0,"UNDERBILLED","OVERBILLED"))</f>
        <v/>
      </c>
      <c r="P159" s="27" t="inlineStr">
        <is>
          <t>AR_Aging row 152; inventory row 163</t>
        </is>
      </c>
    </row>
    <row r="160" ht="23" customHeight="1">
      <c r="A160" s="27" t="inlineStr">
        <is>
          <t>AC-LP-0719</t>
        </is>
      </c>
      <c r="B160" s="27" t="inlineStr">
        <is>
          <t>Natalie Olsen</t>
        </is>
      </c>
      <c r="C160" s="27" t="inlineStr">
        <is>
          <t>LP-0719</t>
        </is>
      </c>
      <c r="D160" s="27" t="inlineStr">
        <is>
          <t>Ledgport</t>
        </is>
      </c>
      <c r="E160" s="27" t="inlineStr">
        <is>
          <t>covered</t>
        </is>
      </c>
      <c r="F160" s="27" t="inlineStr">
        <is>
          <t>OCCUPIED</t>
        </is>
      </c>
      <c r="G160" s="28" t="n">
        <v>32.7</v>
      </c>
      <c r="H160" s="28" t="n">
        <v>32</v>
      </c>
      <c r="I160" s="28">
        <f>MAX(ROUNDUP(G160,0),H160)</f>
        <v/>
      </c>
      <c r="J160" s="29" t="n">
        <v>343.2</v>
      </c>
      <c r="K160" s="30">
        <f>IF(OR(D160="Ledgport",D160="Vessbank"),10.4,7.55)</f>
        <v/>
      </c>
      <c r="L160" s="29">
        <f>I160*K160</f>
        <v/>
      </c>
      <c r="M160" s="29">
        <f>L160-J160</f>
        <v/>
      </c>
      <c r="N160" s="29">
        <f>MAX(0,M160)</f>
        <v/>
      </c>
      <c r="O160" s="31">
        <f>IF(ABS(M160)&lt;0.005,"OK",IF(M160&gt;0,"UNDERBILLED","OVERBILLED"))</f>
        <v/>
      </c>
      <c r="P160" s="27" t="inlineStr">
        <is>
          <t>AR_Aging row 153; inventory row 164</t>
        </is>
      </c>
    </row>
    <row r="161" ht="23" customHeight="1">
      <c r="A161" s="27" t="inlineStr">
        <is>
          <t>AC-LP-0720</t>
        </is>
      </c>
      <c r="B161" s="27" t="inlineStr">
        <is>
          <t>Alexander Stephens</t>
        </is>
      </c>
      <c r="C161" s="27" t="inlineStr">
        <is>
          <t>LP-0720</t>
        </is>
      </c>
      <c r="D161" s="27" t="inlineStr">
        <is>
          <t>Ledgport</t>
        </is>
      </c>
      <c r="E161" s="27" t="inlineStr">
        <is>
          <t>covered</t>
        </is>
      </c>
      <c r="F161" s="27" t="inlineStr">
        <is>
          <t>OCCUPIED</t>
        </is>
      </c>
      <c r="G161" s="28" t="n">
        <v>53.5</v>
      </c>
      <c r="H161" s="28" t="n">
        <v>32</v>
      </c>
      <c r="I161" s="28">
        <f>MAX(ROUNDUP(G161,0),H161)</f>
        <v/>
      </c>
      <c r="J161" s="29" t="n">
        <v>561.6</v>
      </c>
      <c r="K161" s="30">
        <f>IF(OR(D161="Ledgport",D161="Vessbank"),10.4,7.55)</f>
        <v/>
      </c>
      <c r="L161" s="29">
        <f>I161*K161</f>
        <v/>
      </c>
      <c r="M161" s="29">
        <f>L161-J161</f>
        <v/>
      </c>
      <c r="N161" s="29">
        <f>MAX(0,M161)</f>
        <v/>
      </c>
      <c r="O161" s="31">
        <f>IF(ABS(M161)&lt;0.005,"OK",IF(M161&gt;0,"UNDERBILLED","OVERBILLED"))</f>
        <v/>
      </c>
      <c r="P161" s="27" t="inlineStr">
        <is>
          <t>AR_Aging row 154; inventory row 165</t>
        </is>
      </c>
    </row>
    <row r="162" ht="23" customHeight="1">
      <c r="A162" s="27" t="inlineStr">
        <is>
          <t>AC-LP-0722</t>
        </is>
      </c>
      <c r="B162" s="27" t="inlineStr">
        <is>
          <t>Matthew Wright</t>
        </is>
      </c>
      <c r="C162" s="27" t="inlineStr">
        <is>
          <t>LP-0722</t>
        </is>
      </c>
      <c r="D162" s="27" t="inlineStr">
        <is>
          <t>Ledgport</t>
        </is>
      </c>
      <c r="E162" s="27" t="inlineStr">
        <is>
          <t>covered</t>
        </is>
      </c>
      <c r="F162" s="27" t="inlineStr">
        <is>
          <t>OCCUPIED</t>
        </is>
      </c>
      <c r="G162" s="28" t="n">
        <v>59.7</v>
      </c>
      <c r="H162" s="28" t="n">
        <v>24</v>
      </c>
      <c r="I162" s="28">
        <f>MAX(ROUNDUP(G162,0),H162)</f>
        <v/>
      </c>
      <c r="J162" s="29" t="n">
        <v>624</v>
      </c>
      <c r="K162" s="30">
        <f>IF(OR(D162="Ledgport",D162="Vessbank"),10.4,7.55)</f>
        <v/>
      </c>
      <c r="L162" s="29">
        <f>I162*K162</f>
        <v/>
      </c>
      <c r="M162" s="29">
        <f>L162-J162</f>
        <v/>
      </c>
      <c r="N162" s="29">
        <f>MAX(0,M162)</f>
        <v/>
      </c>
      <c r="O162" s="31">
        <f>IF(ABS(M162)&lt;0.005,"OK",IF(M162&gt;0,"UNDERBILLED","OVERBILLED"))</f>
        <v/>
      </c>
      <c r="P162" s="27" t="inlineStr">
        <is>
          <t>AR_Aging row 155; inventory row 167</t>
        </is>
      </c>
    </row>
    <row r="163" ht="23" customHeight="1">
      <c r="A163" s="27" t="inlineStr">
        <is>
          <t>AC-LP-0723</t>
        </is>
      </c>
      <c r="B163" s="27" t="inlineStr">
        <is>
          <t>Michael Perez</t>
        </is>
      </c>
      <c r="C163" s="27" t="inlineStr">
        <is>
          <t>LP-0723</t>
        </is>
      </c>
      <c r="D163" s="27" t="inlineStr">
        <is>
          <t>Ledgport</t>
        </is>
      </c>
      <c r="E163" s="27" t="inlineStr">
        <is>
          <t>covered</t>
        </is>
      </c>
      <c r="F163" s="27" t="inlineStr">
        <is>
          <t>OCCUPIED</t>
        </is>
      </c>
      <c r="G163" s="28" t="n">
        <v>37.7</v>
      </c>
      <c r="H163" s="28" t="n">
        <v>28</v>
      </c>
      <c r="I163" s="28">
        <f>MAX(ROUNDUP(G163,0),H163)</f>
        <v/>
      </c>
      <c r="J163" s="29" t="n">
        <v>395.2</v>
      </c>
      <c r="K163" s="30">
        <f>IF(OR(D163="Ledgport",D163="Vessbank"),10.4,7.55)</f>
        <v/>
      </c>
      <c r="L163" s="29">
        <f>I163*K163</f>
        <v/>
      </c>
      <c r="M163" s="29">
        <f>L163-J163</f>
        <v/>
      </c>
      <c r="N163" s="29">
        <f>MAX(0,M163)</f>
        <v/>
      </c>
      <c r="O163" s="31">
        <f>IF(ABS(M163)&lt;0.005,"OK",IF(M163&gt;0,"UNDERBILLED","OVERBILLED"))</f>
        <v/>
      </c>
      <c r="P163" s="27" t="inlineStr">
        <is>
          <t>AR_Aging row 156; inventory row 168</t>
        </is>
      </c>
    </row>
    <row r="164" ht="23" customHeight="1">
      <c r="A164" s="27" t="inlineStr">
        <is>
          <t>AC-LP-0724</t>
        </is>
      </c>
      <c r="B164" s="27" t="inlineStr">
        <is>
          <t>Zachary Kramer</t>
        </is>
      </c>
      <c r="C164" s="27" t="inlineStr">
        <is>
          <t>LP-0724</t>
        </is>
      </c>
      <c r="D164" s="27" t="inlineStr">
        <is>
          <t>Ledgport</t>
        </is>
      </c>
      <c r="E164" s="27" t="inlineStr">
        <is>
          <t>covered</t>
        </is>
      </c>
      <c r="F164" s="27" t="inlineStr">
        <is>
          <t>OCCUPIED</t>
        </is>
      </c>
      <c r="G164" s="28" t="n">
        <v>56.3</v>
      </c>
      <c r="H164" s="28" t="n">
        <v>28</v>
      </c>
      <c r="I164" s="28">
        <f>MAX(ROUNDUP(G164,0),H164)</f>
        <v/>
      </c>
      <c r="J164" s="29" t="n">
        <v>592.8</v>
      </c>
      <c r="K164" s="30">
        <f>IF(OR(D164="Ledgport",D164="Vessbank"),10.4,7.55)</f>
        <v/>
      </c>
      <c r="L164" s="29">
        <f>I164*K164</f>
        <v/>
      </c>
      <c r="M164" s="29">
        <f>L164-J164</f>
        <v/>
      </c>
      <c r="N164" s="29">
        <f>MAX(0,M164)</f>
        <v/>
      </c>
      <c r="O164" s="31">
        <f>IF(ABS(M164)&lt;0.005,"OK",IF(M164&gt;0,"UNDERBILLED","OVERBILLED"))</f>
        <v/>
      </c>
      <c r="P164" s="27" t="inlineStr">
        <is>
          <t>AR_Aging row 157; inventory row 169</t>
        </is>
      </c>
    </row>
    <row r="165" ht="23" customHeight="1">
      <c r="A165" s="27" t="inlineStr">
        <is>
          <t>AC-LP-0801</t>
        </is>
      </c>
      <c r="B165" s="27" t="inlineStr">
        <is>
          <t>Allison Nguyen</t>
        </is>
      </c>
      <c r="C165" s="27" t="inlineStr">
        <is>
          <t>LP-0801</t>
        </is>
      </c>
      <c r="D165" s="27" t="inlineStr">
        <is>
          <t>Ledgport</t>
        </is>
      </c>
      <c r="E165" s="27" t="inlineStr">
        <is>
          <t>covered</t>
        </is>
      </c>
      <c r="F165" s="27" t="inlineStr">
        <is>
          <t>OCCUPIED</t>
        </is>
      </c>
      <c r="G165" s="28" t="n">
        <v>46.1</v>
      </c>
      <c r="H165" s="28" t="n">
        <v>36</v>
      </c>
      <c r="I165" s="28">
        <f>MAX(ROUNDUP(G165,0),H165)</f>
        <v/>
      </c>
      <c r="J165" s="29" t="n">
        <v>488.8</v>
      </c>
      <c r="K165" s="30">
        <f>IF(OR(D165="Ledgport",D165="Vessbank"),10.4,7.55)</f>
        <v/>
      </c>
      <c r="L165" s="29">
        <f>I165*K165</f>
        <v/>
      </c>
      <c r="M165" s="29">
        <f>L165-J165</f>
        <v/>
      </c>
      <c r="N165" s="29">
        <f>MAX(0,M165)</f>
        <v/>
      </c>
      <c r="O165" s="31">
        <f>IF(ABS(M165)&lt;0.005,"OK",IF(M165&gt;0,"UNDERBILLED","OVERBILLED"))</f>
        <v/>
      </c>
      <c r="P165" s="27" t="inlineStr">
        <is>
          <t>AR_Aging row 158; inventory row 170</t>
        </is>
      </c>
    </row>
    <row r="166" ht="23" customHeight="1">
      <c r="A166" s="27" t="inlineStr">
        <is>
          <t>AC-LP-0802</t>
        </is>
      </c>
      <c r="B166" s="27" t="inlineStr">
        <is>
          <t>Michael West</t>
        </is>
      </c>
      <c r="C166" s="27" t="inlineStr">
        <is>
          <t>LP-0802</t>
        </is>
      </c>
      <c r="D166" s="27" t="inlineStr">
        <is>
          <t>Ledgport</t>
        </is>
      </c>
      <c r="E166" s="27" t="inlineStr">
        <is>
          <t>covered</t>
        </is>
      </c>
      <c r="F166" s="27" t="inlineStr">
        <is>
          <t>OCCUPIED</t>
        </is>
      </c>
      <c r="G166" s="28" t="n">
        <v>35.1</v>
      </c>
      <c r="H166" s="28" t="n">
        <v>40</v>
      </c>
      <c r="I166" s="28">
        <f>MAX(ROUNDUP(G166,0),H166)</f>
        <v/>
      </c>
      <c r="J166" s="29" t="n">
        <v>416</v>
      </c>
      <c r="K166" s="30">
        <f>IF(OR(D166="Ledgport",D166="Vessbank"),10.4,7.55)</f>
        <v/>
      </c>
      <c r="L166" s="29">
        <f>I166*K166</f>
        <v/>
      </c>
      <c r="M166" s="29">
        <f>L166-J166</f>
        <v/>
      </c>
      <c r="N166" s="29">
        <f>MAX(0,M166)</f>
        <v/>
      </c>
      <c r="O166" s="31">
        <f>IF(ABS(M166)&lt;0.005,"OK",IF(M166&gt;0,"UNDERBILLED","OVERBILLED"))</f>
        <v/>
      </c>
      <c r="P166" s="27" t="inlineStr">
        <is>
          <t>AR_Aging row 159; inventory row 171</t>
        </is>
      </c>
    </row>
    <row r="167" ht="23" customHeight="1">
      <c r="A167" s="27" t="inlineStr">
        <is>
          <t>AC-LP-0803</t>
        </is>
      </c>
      <c r="B167" s="27" t="inlineStr">
        <is>
          <t>Jill Stevenson</t>
        </is>
      </c>
      <c r="C167" s="27" t="inlineStr">
        <is>
          <t>LP-0803</t>
        </is>
      </c>
      <c r="D167" s="27" t="inlineStr">
        <is>
          <t>Ledgport</t>
        </is>
      </c>
      <c r="E167" s="27" t="inlineStr">
        <is>
          <t>covered</t>
        </is>
      </c>
      <c r="F167" s="27" t="inlineStr">
        <is>
          <t>OCCUPIED</t>
        </is>
      </c>
      <c r="G167" s="28" t="n">
        <v>47.8</v>
      </c>
      <c r="H167" s="28" t="n">
        <v>28</v>
      </c>
      <c r="I167" s="28">
        <f>MAX(ROUNDUP(G167,0),H167)</f>
        <v/>
      </c>
      <c r="J167" s="29" t="n">
        <v>499.2</v>
      </c>
      <c r="K167" s="30">
        <f>IF(OR(D167="Ledgport",D167="Vessbank"),10.4,7.55)</f>
        <v/>
      </c>
      <c r="L167" s="29">
        <f>I167*K167</f>
        <v/>
      </c>
      <c r="M167" s="29">
        <f>L167-J167</f>
        <v/>
      </c>
      <c r="N167" s="29">
        <f>MAX(0,M167)</f>
        <v/>
      </c>
      <c r="O167" s="31">
        <f>IF(ABS(M167)&lt;0.005,"OK",IF(M167&gt;0,"UNDERBILLED","OVERBILLED"))</f>
        <v/>
      </c>
      <c r="P167" s="27" t="inlineStr">
        <is>
          <t>AR_Aging row 160; inventory row 172</t>
        </is>
      </c>
    </row>
    <row r="168" ht="23" customHeight="1">
      <c r="A168" s="27" t="inlineStr">
        <is>
          <t>AC-LP-0805</t>
        </is>
      </c>
      <c r="B168" s="27" t="inlineStr">
        <is>
          <t>Victoria Nash</t>
        </is>
      </c>
      <c r="C168" s="27" t="inlineStr">
        <is>
          <t>LP-0805</t>
        </is>
      </c>
      <c r="D168" s="27" t="inlineStr">
        <is>
          <t>Ledgport</t>
        </is>
      </c>
      <c r="E168" s="27" t="inlineStr">
        <is>
          <t>covered</t>
        </is>
      </c>
      <c r="F168" s="27" t="inlineStr">
        <is>
          <t>OCCUPIED</t>
        </is>
      </c>
      <c r="G168" s="28" t="n">
        <v>39.6</v>
      </c>
      <c r="H168" s="28" t="n">
        <v>36</v>
      </c>
      <c r="I168" s="28">
        <f>MAX(ROUNDUP(G168,0),H168)</f>
        <v/>
      </c>
      <c r="J168" s="29" t="n">
        <v>416</v>
      </c>
      <c r="K168" s="30">
        <f>IF(OR(D168="Ledgport",D168="Vessbank"),10.4,7.55)</f>
        <v/>
      </c>
      <c r="L168" s="29">
        <f>I168*K168</f>
        <v/>
      </c>
      <c r="M168" s="29">
        <f>L168-J168</f>
        <v/>
      </c>
      <c r="N168" s="29">
        <f>MAX(0,M168)</f>
        <v/>
      </c>
      <c r="O168" s="31">
        <f>IF(ABS(M168)&lt;0.005,"OK",IF(M168&gt;0,"UNDERBILLED","OVERBILLED"))</f>
        <v/>
      </c>
      <c r="P168" s="27" t="inlineStr">
        <is>
          <t>AR_Aging row 161; inventory row 174</t>
        </is>
      </c>
    </row>
    <row r="169" ht="23" customHeight="1">
      <c r="A169" s="27" t="inlineStr">
        <is>
          <t>AC-LP-0806</t>
        </is>
      </c>
      <c r="B169" s="27" t="inlineStr">
        <is>
          <t>Lisa Garcia</t>
        </is>
      </c>
      <c r="C169" s="27" t="inlineStr">
        <is>
          <t>LP-0806</t>
        </is>
      </c>
      <c r="D169" s="27" t="inlineStr">
        <is>
          <t>Ledgport</t>
        </is>
      </c>
      <c r="E169" s="27" t="inlineStr">
        <is>
          <t>covered</t>
        </is>
      </c>
      <c r="F169" s="27" t="inlineStr">
        <is>
          <t>OCCUPIED</t>
        </is>
      </c>
      <c r="G169" s="28" t="n">
        <v>55.1</v>
      </c>
      <c r="H169" s="28" t="n">
        <v>36</v>
      </c>
      <c r="I169" s="28">
        <f>MAX(ROUNDUP(G169,0),H169)</f>
        <v/>
      </c>
      <c r="J169" s="29" t="n">
        <v>582.4</v>
      </c>
      <c r="K169" s="30">
        <f>IF(OR(D169="Ledgport",D169="Vessbank"),10.4,7.55)</f>
        <v/>
      </c>
      <c r="L169" s="29">
        <f>I169*K169</f>
        <v/>
      </c>
      <c r="M169" s="29">
        <f>L169-J169</f>
        <v/>
      </c>
      <c r="N169" s="29">
        <f>MAX(0,M169)</f>
        <v/>
      </c>
      <c r="O169" s="31">
        <f>IF(ABS(M169)&lt;0.005,"OK",IF(M169&gt;0,"UNDERBILLED","OVERBILLED"))</f>
        <v/>
      </c>
      <c r="P169" s="27" t="inlineStr">
        <is>
          <t>AR_Aging row 162; inventory row 175</t>
        </is>
      </c>
    </row>
    <row r="170" ht="23" customHeight="1">
      <c r="A170" s="27" t="inlineStr">
        <is>
          <t>AC-LP-0807</t>
        </is>
      </c>
      <c r="B170" s="27" t="inlineStr">
        <is>
          <t>Seth Perez</t>
        </is>
      </c>
      <c r="C170" s="27" t="inlineStr">
        <is>
          <t>LP-0807</t>
        </is>
      </c>
      <c r="D170" s="27" t="inlineStr">
        <is>
          <t>Ledgport</t>
        </is>
      </c>
      <c r="E170" s="27" t="inlineStr">
        <is>
          <t>covered</t>
        </is>
      </c>
      <c r="F170" s="27" t="inlineStr">
        <is>
          <t>OCCUPIED</t>
        </is>
      </c>
      <c r="G170" s="28" t="n">
        <v>40.6</v>
      </c>
      <c r="H170" s="28" t="n">
        <v>24</v>
      </c>
      <c r="I170" s="28">
        <f>MAX(ROUNDUP(G170,0),H170)</f>
        <v/>
      </c>
      <c r="J170" s="29" t="n">
        <v>426.4</v>
      </c>
      <c r="K170" s="30">
        <f>IF(OR(D170="Ledgport",D170="Vessbank"),10.4,7.55)</f>
        <v/>
      </c>
      <c r="L170" s="29">
        <f>I170*K170</f>
        <v/>
      </c>
      <c r="M170" s="29">
        <f>L170-J170</f>
        <v/>
      </c>
      <c r="N170" s="29">
        <f>MAX(0,M170)</f>
        <v/>
      </c>
      <c r="O170" s="31">
        <f>IF(ABS(M170)&lt;0.005,"OK",IF(M170&gt;0,"UNDERBILLED","OVERBILLED"))</f>
        <v/>
      </c>
      <c r="P170" s="27" t="inlineStr">
        <is>
          <t>AR_Aging row 163; inventory row 176</t>
        </is>
      </c>
    </row>
    <row r="171" ht="23" customHeight="1">
      <c r="A171" s="27" t="inlineStr">
        <is>
          <t>AC-LP-0808</t>
        </is>
      </c>
      <c r="B171" s="27" t="inlineStr">
        <is>
          <t>Denise Jordan</t>
        </is>
      </c>
      <c r="C171" s="27" t="inlineStr">
        <is>
          <t>LP-0808</t>
        </is>
      </c>
      <c r="D171" s="27" t="inlineStr">
        <is>
          <t>Ledgport</t>
        </is>
      </c>
      <c r="E171" s="27" t="inlineStr">
        <is>
          <t>covered</t>
        </is>
      </c>
      <c r="F171" s="27" t="inlineStr">
        <is>
          <t>OCCUPIED</t>
        </is>
      </c>
      <c r="G171" s="28" t="n">
        <v>42.3</v>
      </c>
      <c r="H171" s="28" t="n">
        <v>40</v>
      </c>
      <c r="I171" s="28">
        <f>MAX(ROUNDUP(G171,0),H171)</f>
        <v/>
      </c>
      <c r="J171" s="29" t="n">
        <v>447.2</v>
      </c>
      <c r="K171" s="30">
        <f>IF(OR(D171="Ledgport",D171="Vessbank"),10.4,7.55)</f>
        <v/>
      </c>
      <c r="L171" s="29">
        <f>I171*K171</f>
        <v/>
      </c>
      <c r="M171" s="29">
        <f>L171-J171</f>
        <v/>
      </c>
      <c r="N171" s="29">
        <f>MAX(0,M171)</f>
        <v/>
      </c>
      <c r="O171" s="31">
        <f>IF(ABS(M171)&lt;0.005,"OK",IF(M171&gt;0,"UNDERBILLED","OVERBILLED"))</f>
        <v/>
      </c>
      <c r="P171" s="27" t="inlineStr">
        <is>
          <t>AR_Aging row 164; inventory row 177</t>
        </is>
      </c>
    </row>
    <row r="172" ht="23" customHeight="1">
      <c r="A172" s="27" t="inlineStr">
        <is>
          <t>AC-LP-0809</t>
        </is>
      </c>
      <c r="B172" s="27" t="inlineStr">
        <is>
          <t>Robert Rivas</t>
        </is>
      </c>
      <c r="C172" s="27" t="inlineStr">
        <is>
          <t>LP-0809</t>
        </is>
      </c>
      <c r="D172" s="27" t="inlineStr">
        <is>
          <t>Ledgport</t>
        </is>
      </c>
      <c r="E172" s="27" t="inlineStr">
        <is>
          <t>covered</t>
        </is>
      </c>
      <c r="F172" s="27" t="inlineStr">
        <is>
          <t>OCCUPIED</t>
        </is>
      </c>
      <c r="G172" s="28" t="n">
        <v>34.3</v>
      </c>
      <c r="H172" s="28" t="n">
        <v>28</v>
      </c>
      <c r="I172" s="28">
        <f>MAX(ROUNDUP(G172,0),H172)</f>
        <v/>
      </c>
      <c r="J172" s="29" t="n">
        <v>364</v>
      </c>
      <c r="K172" s="30">
        <f>IF(OR(D172="Ledgport",D172="Vessbank"),10.4,7.55)</f>
        <v/>
      </c>
      <c r="L172" s="29">
        <f>I172*K172</f>
        <v/>
      </c>
      <c r="M172" s="29">
        <f>L172-J172</f>
        <v/>
      </c>
      <c r="N172" s="29">
        <f>MAX(0,M172)</f>
        <v/>
      </c>
      <c r="O172" s="31">
        <f>IF(ABS(M172)&lt;0.005,"OK",IF(M172&gt;0,"UNDERBILLED","OVERBILLED"))</f>
        <v/>
      </c>
      <c r="P172" s="27" t="inlineStr">
        <is>
          <t>AR_Aging row 165; inventory row 178</t>
        </is>
      </c>
    </row>
    <row r="173" ht="23" customHeight="1">
      <c r="A173" s="27" t="inlineStr">
        <is>
          <t>AC-LP-0811</t>
        </is>
      </c>
      <c r="B173" s="27" t="inlineStr">
        <is>
          <t>Scott Brooks</t>
        </is>
      </c>
      <c r="C173" s="27" t="inlineStr">
        <is>
          <t>LP-0811</t>
        </is>
      </c>
      <c r="D173" s="27" t="inlineStr">
        <is>
          <t>Ledgport</t>
        </is>
      </c>
      <c r="E173" s="27" t="inlineStr">
        <is>
          <t>covered</t>
        </is>
      </c>
      <c r="F173" s="27" t="inlineStr">
        <is>
          <t>OCCUPIED</t>
        </is>
      </c>
      <c r="G173" s="28" t="n">
        <v>51.3</v>
      </c>
      <c r="H173" s="28" t="n">
        <v>36</v>
      </c>
      <c r="I173" s="28">
        <f>MAX(ROUNDUP(G173,0),H173)</f>
        <v/>
      </c>
      <c r="J173" s="29" t="n">
        <v>540.8</v>
      </c>
      <c r="K173" s="30">
        <f>IF(OR(D173="Ledgport",D173="Vessbank"),10.4,7.55)</f>
        <v/>
      </c>
      <c r="L173" s="29">
        <f>I173*K173</f>
        <v/>
      </c>
      <c r="M173" s="29">
        <f>L173-J173</f>
        <v/>
      </c>
      <c r="N173" s="29">
        <f>MAX(0,M173)</f>
        <v/>
      </c>
      <c r="O173" s="31">
        <f>IF(ABS(M173)&lt;0.005,"OK",IF(M173&gt;0,"UNDERBILLED","OVERBILLED"))</f>
        <v/>
      </c>
      <c r="P173" s="27" t="inlineStr">
        <is>
          <t>AR_Aging row 166; inventory row 180</t>
        </is>
      </c>
    </row>
    <row r="174" ht="23" customHeight="1">
      <c r="A174" s="27" t="inlineStr">
        <is>
          <t>AC-LP-0812</t>
        </is>
      </c>
      <c r="B174" s="27" t="inlineStr">
        <is>
          <t>Brett Lee</t>
        </is>
      </c>
      <c r="C174" s="27" t="inlineStr">
        <is>
          <t>LP-0812</t>
        </is>
      </c>
      <c r="D174" s="27" t="inlineStr">
        <is>
          <t>Ledgport</t>
        </is>
      </c>
      <c r="E174" s="27" t="inlineStr">
        <is>
          <t>covered</t>
        </is>
      </c>
      <c r="F174" s="27" t="inlineStr">
        <is>
          <t>OCCUPIED</t>
        </is>
      </c>
      <c r="G174" s="28" t="n">
        <v>25.6</v>
      </c>
      <c r="H174" s="28" t="n">
        <v>28</v>
      </c>
      <c r="I174" s="28">
        <f>MAX(ROUNDUP(G174,0),H174)</f>
        <v/>
      </c>
      <c r="J174" s="29" t="n">
        <v>291.2</v>
      </c>
      <c r="K174" s="30">
        <f>IF(OR(D174="Ledgport",D174="Vessbank"),10.4,7.55)</f>
        <v/>
      </c>
      <c r="L174" s="29">
        <f>I174*K174</f>
        <v/>
      </c>
      <c r="M174" s="29">
        <f>L174-J174</f>
        <v/>
      </c>
      <c r="N174" s="29">
        <f>MAX(0,M174)</f>
        <v/>
      </c>
      <c r="O174" s="31">
        <f>IF(ABS(M174)&lt;0.005,"OK",IF(M174&gt;0,"UNDERBILLED","OVERBILLED"))</f>
        <v/>
      </c>
      <c r="P174" s="27" t="inlineStr">
        <is>
          <t>AR_Aging row 167; inventory row 181</t>
        </is>
      </c>
    </row>
    <row r="175" ht="23" customHeight="1">
      <c r="A175" s="27" t="inlineStr">
        <is>
          <t>AC-LP-0813</t>
        </is>
      </c>
      <c r="B175" s="27" t="inlineStr">
        <is>
          <t>Emily Parker</t>
        </is>
      </c>
      <c r="C175" s="27" t="inlineStr">
        <is>
          <t>LP-0813</t>
        </is>
      </c>
      <c r="D175" s="27" t="inlineStr">
        <is>
          <t>Ledgport</t>
        </is>
      </c>
      <c r="E175" s="27" t="inlineStr">
        <is>
          <t>covered</t>
        </is>
      </c>
      <c r="F175" s="27" t="inlineStr">
        <is>
          <t>OCCUPIED</t>
        </is>
      </c>
      <c r="G175" s="28" t="n">
        <v>37.5</v>
      </c>
      <c r="H175" s="28" t="n">
        <v>32</v>
      </c>
      <c r="I175" s="28">
        <f>MAX(ROUNDUP(G175,0),H175)</f>
        <v/>
      </c>
      <c r="J175" s="29" t="n">
        <v>395.2</v>
      </c>
      <c r="K175" s="30">
        <f>IF(OR(D175="Ledgport",D175="Vessbank"),10.4,7.55)</f>
        <v/>
      </c>
      <c r="L175" s="29">
        <f>I175*K175</f>
        <v/>
      </c>
      <c r="M175" s="29">
        <f>L175-J175</f>
        <v/>
      </c>
      <c r="N175" s="29">
        <f>MAX(0,M175)</f>
        <v/>
      </c>
      <c r="O175" s="31">
        <f>IF(ABS(M175)&lt;0.005,"OK",IF(M175&gt;0,"UNDERBILLED","OVERBILLED"))</f>
        <v/>
      </c>
      <c r="P175" s="27" t="inlineStr">
        <is>
          <t>AR_Aging row 168; inventory row 182</t>
        </is>
      </c>
    </row>
    <row r="176" ht="23" customHeight="1">
      <c r="A176" s="27" t="inlineStr">
        <is>
          <t>AC-LP-0814</t>
        </is>
      </c>
      <c r="B176" s="27" t="inlineStr">
        <is>
          <t>Danny Sexton</t>
        </is>
      </c>
      <c r="C176" s="27" t="inlineStr">
        <is>
          <t>LP-0814</t>
        </is>
      </c>
      <c r="D176" s="27" t="inlineStr">
        <is>
          <t>Ledgport</t>
        </is>
      </c>
      <c r="E176" s="27" t="inlineStr">
        <is>
          <t>covered</t>
        </is>
      </c>
      <c r="F176" s="27" t="inlineStr">
        <is>
          <t>OCCUPIED</t>
        </is>
      </c>
      <c r="G176" s="28" t="n">
        <v>34.5</v>
      </c>
      <c r="H176" s="28" t="n">
        <v>32</v>
      </c>
      <c r="I176" s="28">
        <f>MAX(ROUNDUP(G176,0),H176)</f>
        <v/>
      </c>
      <c r="J176" s="29" t="n">
        <v>364</v>
      </c>
      <c r="K176" s="30">
        <f>IF(OR(D176="Ledgport",D176="Vessbank"),10.4,7.55)</f>
        <v/>
      </c>
      <c r="L176" s="29">
        <f>I176*K176</f>
        <v/>
      </c>
      <c r="M176" s="29">
        <f>L176-J176</f>
        <v/>
      </c>
      <c r="N176" s="29">
        <f>MAX(0,M176)</f>
        <v/>
      </c>
      <c r="O176" s="31">
        <f>IF(ABS(M176)&lt;0.005,"OK",IF(M176&gt;0,"UNDERBILLED","OVERBILLED"))</f>
        <v/>
      </c>
      <c r="P176" s="27" t="inlineStr">
        <is>
          <t>AR_Aging row 169; inventory row 183</t>
        </is>
      </c>
    </row>
    <row r="177" ht="23" customHeight="1">
      <c r="A177" s="27" t="inlineStr">
        <is>
          <t>AC-LP-0815</t>
        </is>
      </c>
      <c r="B177" s="27" t="inlineStr">
        <is>
          <t>Teresa Mcdowell</t>
        </is>
      </c>
      <c r="C177" s="27" t="inlineStr">
        <is>
          <t>LP-0815</t>
        </is>
      </c>
      <c r="D177" s="27" t="inlineStr">
        <is>
          <t>Ledgport</t>
        </is>
      </c>
      <c r="E177" s="27" t="inlineStr">
        <is>
          <t>covered</t>
        </is>
      </c>
      <c r="F177" s="27" t="inlineStr">
        <is>
          <t>OCCUPIED</t>
        </is>
      </c>
      <c r="G177" s="28" t="n">
        <v>49.8</v>
      </c>
      <c r="H177" s="28" t="n">
        <v>24</v>
      </c>
      <c r="I177" s="28">
        <f>MAX(ROUNDUP(G177,0),H177)</f>
        <v/>
      </c>
      <c r="J177" s="29" t="n">
        <v>520</v>
      </c>
      <c r="K177" s="30">
        <f>IF(OR(D177="Ledgport",D177="Vessbank"),10.4,7.55)</f>
        <v/>
      </c>
      <c r="L177" s="29">
        <f>I177*K177</f>
        <v/>
      </c>
      <c r="M177" s="29">
        <f>L177-J177</f>
        <v/>
      </c>
      <c r="N177" s="29">
        <f>MAX(0,M177)</f>
        <v/>
      </c>
      <c r="O177" s="31">
        <f>IF(ABS(M177)&lt;0.005,"OK",IF(M177&gt;0,"UNDERBILLED","OVERBILLED"))</f>
        <v/>
      </c>
      <c r="P177" s="27" t="inlineStr">
        <is>
          <t>AR_Aging row 170; inventory row 184</t>
        </is>
      </c>
    </row>
    <row r="178" ht="23" customHeight="1">
      <c r="A178" s="27" t="inlineStr">
        <is>
          <t>AC-LP-0816</t>
        </is>
      </c>
      <c r="B178" s="27" t="inlineStr">
        <is>
          <t>Jessica Long</t>
        </is>
      </c>
      <c r="C178" s="27" t="inlineStr">
        <is>
          <t>LP-0816</t>
        </is>
      </c>
      <c r="D178" s="27" t="inlineStr">
        <is>
          <t>Ledgport</t>
        </is>
      </c>
      <c r="E178" s="27" t="inlineStr">
        <is>
          <t>covered</t>
        </is>
      </c>
      <c r="F178" s="27" t="inlineStr">
        <is>
          <t>OCCUPIED</t>
        </is>
      </c>
      <c r="G178" s="28" t="n">
        <v>47.4</v>
      </c>
      <c r="H178" s="28" t="n">
        <v>28</v>
      </c>
      <c r="I178" s="28">
        <f>MAX(ROUNDUP(G178,0),H178)</f>
        <v/>
      </c>
      <c r="J178" s="29" t="n">
        <v>499.2</v>
      </c>
      <c r="K178" s="30">
        <f>IF(OR(D178="Ledgport",D178="Vessbank"),10.4,7.55)</f>
        <v/>
      </c>
      <c r="L178" s="29">
        <f>I178*K178</f>
        <v/>
      </c>
      <c r="M178" s="29">
        <f>L178-J178</f>
        <v/>
      </c>
      <c r="N178" s="29">
        <f>MAX(0,M178)</f>
        <v/>
      </c>
      <c r="O178" s="31">
        <f>IF(ABS(M178)&lt;0.005,"OK",IF(M178&gt;0,"UNDERBILLED","OVERBILLED"))</f>
        <v/>
      </c>
      <c r="P178" s="27" t="inlineStr">
        <is>
          <t>AR_Aging row 171; inventory row 185</t>
        </is>
      </c>
    </row>
    <row r="179" ht="23" customHeight="1">
      <c r="A179" s="27" t="inlineStr">
        <is>
          <t>AC-LP-0817</t>
        </is>
      </c>
      <c r="B179" s="27" t="inlineStr">
        <is>
          <t>Tiffany Torres</t>
        </is>
      </c>
      <c r="C179" s="27" t="inlineStr">
        <is>
          <t>LP-0817</t>
        </is>
      </c>
      <c r="D179" s="27" t="inlineStr">
        <is>
          <t>Ledgport</t>
        </is>
      </c>
      <c r="E179" s="27" t="inlineStr">
        <is>
          <t>covered</t>
        </is>
      </c>
      <c r="F179" s="27" t="inlineStr">
        <is>
          <t>OCCUPIED</t>
        </is>
      </c>
      <c r="G179" s="28" t="n">
        <v>22.2</v>
      </c>
      <c r="H179" s="28" t="n">
        <v>32</v>
      </c>
      <c r="I179" s="28">
        <f>MAX(ROUNDUP(G179,0),H179)</f>
        <v/>
      </c>
      <c r="J179" s="29" t="n">
        <v>332.8</v>
      </c>
      <c r="K179" s="30">
        <f>IF(OR(D179="Ledgport",D179="Vessbank"),10.4,7.55)</f>
        <v/>
      </c>
      <c r="L179" s="29">
        <f>I179*K179</f>
        <v/>
      </c>
      <c r="M179" s="29">
        <f>L179-J179</f>
        <v/>
      </c>
      <c r="N179" s="29">
        <f>MAX(0,M179)</f>
        <v/>
      </c>
      <c r="O179" s="31">
        <f>IF(ABS(M179)&lt;0.005,"OK",IF(M179&gt;0,"UNDERBILLED","OVERBILLED"))</f>
        <v/>
      </c>
      <c r="P179" s="27" t="inlineStr">
        <is>
          <t>AR_Aging row 172; inventory row 186</t>
        </is>
      </c>
    </row>
    <row r="180" ht="23" customHeight="1">
      <c r="A180" s="27" t="inlineStr">
        <is>
          <t>AC-LP-0818</t>
        </is>
      </c>
      <c r="B180" s="27" t="inlineStr">
        <is>
          <t>Victor Turner</t>
        </is>
      </c>
      <c r="C180" s="27" t="inlineStr">
        <is>
          <t>LP-0818</t>
        </is>
      </c>
      <c r="D180" s="27" t="inlineStr">
        <is>
          <t>Ledgport</t>
        </is>
      </c>
      <c r="E180" s="27" t="inlineStr">
        <is>
          <t>covered</t>
        </is>
      </c>
      <c r="F180" s="27" t="inlineStr">
        <is>
          <t>OCCUPIED</t>
        </is>
      </c>
      <c r="G180" s="28" t="n">
        <v>60.9</v>
      </c>
      <c r="H180" s="28" t="n">
        <v>28</v>
      </c>
      <c r="I180" s="28">
        <f>MAX(ROUNDUP(G180,0),H180)</f>
        <v/>
      </c>
      <c r="J180" s="29" t="n">
        <v>634.4</v>
      </c>
      <c r="K180" s="30">
        <f>IF(OR(D180="Ledgport",D180="Vessbank"),10.4,7.55)</f>
        <v/>
      </c>
      <c r="L180" s="29">
        <f>I180*K180</f>
        <v/>
      </c>
      <c r="M180" s="29">
        <f>L180-J180</f>
        <v/>
      </c>
      <c r="N180" s="29">
        <f>MAX(0,M180)</f>
        <v/>
      </c>
      <c r="O180" s="31">
        <f>IF(ABS(M180)&lt;0.005,"OK",IF(M180&gt;0,"UNDERBILLED","OVERBILLED"))</f>
        <v/>
      </c>
      <c r="P180" s="27" t="inlineStr">
        <is>
          <t>AR_Aging row 173; inventory row 187</t>
        </is>
      </c>
    </row>
    <row r="181" ht="23" customHeight="1">
      <c r="A181" s="27" t="inlineStr">
        <is>
          <t>AC-LP-0819</t>
        </is>
      </c>
      <c r="B181" s="27" t="inlineStr">
        <is>
          <t>Adrienne Thompson</t>
        </is>
      </c>
      <c r="C181" s="27" t="inlineStr">
        <is>
          <t>LP-0819</t>
        </is>
      </c>
      <c r="D181" s="27" t="inlineStr">
        <is>
          <t>Ledgport</t>
        </is>
      </c>
      <c r="E181" s="27" t="inlineStr">
        <is>
          <t>covered</t>
        </is>
      </c>
      <c r="F181" s="27" t="inlineStr">
        <is>
          <t>OCCUPIED</t>
        </is>
      </c>
      <c r="G181" s="28" t="n">
        <v>19.1</v>
      </c>
      <c r="H181" s="28" t="n">
        <v>32</v>
      </c>
      <c r="I181" s="28">
        <f>MAX(ROUNDUP(G181,0),H181)</f>
        <v/>
      </c>
      <c r="J181" s="29" t="n">
        <v>332.8</v>
      </c>
      <c r="K181" s="30">
        <f>IF(OR(D181="Ledgport",D181="Vessbank"),10.4,7.55)</f>
        <v/>
      </c>
      <c r="L181" s="29">
        <f>I181*K181</f>
        <v/>
      </c>
      <c r="M181" s="29">
        <f>L181-J181</f>
        <v/>
      </c>
      <c r="N181" s="29">
        <f>MAX(0,M181)</f>
        <v/>
      </c>
      <c r="O181" s="31">
        <f>IF(ABS(M181)&lt;0.005,"OK",IF(M181&gt;0,"UNDERBILLED","OVERBILLED"))</f>
        <v/>
      </c>
      <c r="P181" s="27" t="inlineStr">
        <is>
          <t>AR_Aging row 174; inventory row 188</t>
        </is>
      </c>
    </row>
    <row r="182" ht="23" customHeight="1">
      <c r="A182" s="27" t="inlineStr">
        <is>
          <t>AC-LP-0820</t>
        </is>
      </c>
      <c r="B182" s="27" t="inlineStr">
        <is>
          <t>Patrick Sanchez</t>
        </is>
      </c>
      <c r="C182" s="27" t="inlineStr">
        <is>
          <t>LP-0820</t>
        </is>
      </c>
      <c r="D182" s="27" t="inlineStr">
        <is>
          <t>Ledgport</t>
        </is>
      </c>
      <c r="E182" s="27" t="inlineStr">
        <is>
          <t>covered</t>
        </is>
      </c>
      <c r="F182" s="27" t="inlineStr">
        <is>
          <t>OCCUPIED</t>
        </is>
      </c>
      <c r="G182" s="28" t="n">
        <v>43.9</v>
      </c>
      <c r="H182" s="28" t="n">
        <v>32</v>
      </c>
      <c r="I182" s="28">
        <f>MAX(ROUNDUP(G182,0),H182)</f>
        <v/>
      </c>
      <c r="J182" s="29" t="n">
        <v>457.6</v>
      </c>
      <c r="K182" s="30">
        <f>IF(OR(D182="Ledgport",D182="Vessbank"),10.4,7.55)</f>
        <v/>
      </c>
      <c r="L182" s="29">
        <f>I182*K182</f>
        <v/>
      </c>
      <c r="M182" s="29">
        <f>L182-J182</f>
        <v/>
      </c>
      <c r="N182" s="29">
        <f>MAX(0,M182)</f>
        <v/>
      </c>
      <c r="O182" s="31">
        <f>IF(ABS(M182)&lt;0.005,"OK",IF(M182&gt;0,"UNDERBILLED","OVERBILLED"))</f>
        <v/>
      </c>
      <c r="P182" s="27" t="inlineStr">
        <is>
          <t>AR_Aging row 175; inventory row 189</t>
        </is>
      </c>
    </row>
    <row r="183" ht="23" customHeight="1">
      <c r="A183" s="27" t="inlineStr">
        <is>
          <t>AC-LP-0821</t>
        </is>
      </c>
      <c r="B183" s="27" t="inlineStr">
        <is>
          <t>Debra Rogers</t>
        </is>
      </c>
      <c r="C183" s="27" t="inlineStr">
        <is>
          <t>LP-0821</t>
        </is>
      </c>
      <c r="D183" s="27" t="inlineStr">
        <is>
          <t>Ledgport</t>
        </is>
      </c>
      <c r="E183" s="27" t="inlineStr">
        <is>
          <t>covered</t>
        </is>
      </c>
      <c r="F183" s="27" t="inlineStr">
        <is>
          <t>OCCUPIED</t>
        </is>
      </c>
      <c r="G183" s="28" t="n">
        <v>53.2</v>
      </c>
      <c r="H183" s="28" t="n">
        <v>28</v>
      </c>
      <c r="I183" s="28">
        <f>MAX(ROUNDUP(G183,0),H183)</f>
        <v/>
      </c>
      <c r="J183" s="29" t="n">
        <v>561.6</v>
      </c>
      <c r="K183" s="30">
        <f>IF(OR(D183="Ledgport",D183="Vessbank"),10.4,7.55)</f>
        <v/>
      </c>
      <c r="L183" s="29">
        <f>I183*K183</f>
        <v/>
      </c>
      <c r="M183" s="29">
        <f>L183-J183</f>
        <v/>
      </c>
      <c r="N183" s="29">
        <f>MAX(0,M183)</f>
        <v/>
      </c>
      <c r="O183" s="31">
        <f>IF(ABS(M183)&lt;0.005,"OK",IF(M183&gt;0,"UNDERBILLED","OVERBILLED"))</f>
        <v/>
      </c>
      <c r="P183" s="27" t="inlineStr">
        <is>
          <t>AR_Aging row 176; inventory row 190</t>
        </is>
      </c>
    </row>
    <row r="184" ht="23" customHeight="1">
      <c r="A184" s="27" t="inlineStr">
        <is>
          <t>AC-LP-0822</t>
        </is>
      </c>
      <c r="B184" s="27" t="inlineStr">
        <is>
          <t>Ralph Archer</t>
        </is>
      </c>
      <c r="C184" s="27" t="inlineStr">
        <is>
          <t>LP-0822</t>
        </is>
      </c>
      <c r="D184" s="27" t="inlineStr">
        <is>
          <t>Ledgport</t>
        </is>
      </c>
      <c r="E184" s="27" t="inlineStr">
        <is>
          <t>covered</t>
        </is>
      </c>
      <c r="F184" s="27" t="inlineStr">
        <is>
          <t>OCCUPIED</t>
        </is>
      </c>
      <c r="G184" s="28" t="n">
        <v>60.7</v>
      </c>
      <c r="H184" s="28" t="n">
        <v>36</v>
      </c>
      <c r="I184" s="28">
        <f>MAX(ROUNDUP(G184,0),H184)</f>
        <v/>
      </c>
      <c r="J184" s="29" t="n">
        <v>634.4</v>
      </c>
      <c r="K184" s="30">
        <f>IF(OR(D184="Ledgport",D184="Vessbank"),10.4,7.55)</f>
        <v/>
      </c>
      <c r="L184" s="29">
        <f>I184*K184</f>
        <v/>
      </c>
      <c r="M184" s="29">
        <f>L184-J184</f>
        <v/>
      </c>
      <c r="N184" s="29">
        <f>MAX(0,M184)</f>
        <v/>
      </c>
      <c r="O184" s="31">
        <f>IF(ABS(M184)&lt;0.005,"OK",IF(M184&gt;0,"UNDERBILLED","OVERBILLED"))</f>
        <v/>
      </c>
      <c r="P184" s="27" t="inlineStr">
        <is>
          <t>AR_Aging row 177; inventory row 191</t>
        </is>
      </c>
    </row>
    <row r="185" ht="23" customHeight="1">
      <c r="A185" s="27" t="inlineStr">
        <is>
          <t>AC-LP-0823</t>
        </is>
      </c>
      <c r="B185" s="27" t="inlineStr">
        <is>
          <t>Maria Robinson</t>
        </is>
      </c>
      <c r="C185" s="27" t="inlineStr">
        <is>
          <t>LP-0823</t>
        </is>
      </c>
      <c r="D185" s="27" t="inlineStr">
        <is>
          <t>Ledgport</t>
        </is>
      </c>
      <c r="E185" s="27" t="inlineStr">
        <is>
          <t>covered</t>
        </is>
      </c>
      <c r="F185" s="27" t="inlineStr">
        <is>
          <t>OCCUPIED</t>
        </is>
      </c>
      <c r="G185" s="28" t="n">
        <v>42.5</v>
      </c>
      <c r="H185" s="28" t="n">
        <v>24</v>
      </c>
      <c r="I185" s="28">
        <f>MAX(ROUNDUP(G185,0),H185)</f>
        <v/>
      </c>
      <c r="J185" s="29" t="n">
        <v>447.2</v>
      </c>
      <c r="K185" s="30">
        <f>IF(OR(D185="Ledgport",D185="Vessbank"),10.4,7.55)</f>
        <v/>
      </c>
      <c r="L185" s="29">
        <f>I185*K185</f>
        <v/>
      </c>
      <c r="M185" s="29">
        <f>L185-J185</f>
        <v/>
      </c>
      <c r="N185" s="29">
        <f>MAX(0,M185)</f>
        <v/>
      </c>
      <c r="O185" s="31">
        <f>IF(ABS(M185)&lt;0.005,"OK",IF(M185&gt;0,"UNDERBILLED","OVERBILLED"))</f>
        <v/>
      </c>
      <c r="P185" s="27" t="inlineStr">
        <is>
          <t>AR_Aging row 178; inventory row 192</t>
        </is>
      </c>
    </row>
    <row r="186" ht="23" customHeight="1">
      <c r="A186" s="27" t="inlineStr">
        <is>
          <t>AC-LP-0824</t>
        </is>
      </c>
      <c r="B186" s="27" t="inlineStr">
        <is>
          <t>Jennifer Henson</t>
        </is>
      </c>
      <c r="C186" s="27" t="inlineStr">
        <is>
          <t>LP-0824</t>
        </is>
      </c>
      <c r="D186" s="27" t="inlineStr">
        <is>
          <t>Ledgport</t>
        </is>
      </c>
      <c r="E186" s="27" t="inlineStr">
        <is>
          <t>covered</t>
        </is>
      </c>
      <c r="F186" s="27" t="inlineStr">
        <is>
          <t>OCCUPIED</t>
        </is>
      </c>
      <c r="G186" s="28" t="n">
        <v>48.1</v>
      </c>
      <c r="H186" s="28" t="n">
        <v>40</v>
      </c>
      <c r="I186" s="28">
        <f>MAX(ROUNDUP(G186,0),H186)</f>
        <v/>
      </c>
      <c r="J186" s="29" t="n">
        <v>509.6</v>
      </c>
      <c r="K186" s="30">
        <f>IF(OR(D186="Ledgport",D186="Vessbank"),10.4,7.55)</f>
        <v/>
      </c>
      <c r="L186" s="29">
        <f>I186*K186</f>
        <v/>
      </c>
      <c r="M186" s="29">
        <f>L186-J186</f>
        <v/>
      </c>
      <c r="N186" s="29">
        <f>MAX(0,M186)</f>
        <v/>
      </c>
      <c r="O186" s="31">
        <f>IF(ABS(M186)&lt;0.005,"OK",IF(M186&gt;0,"UNDERBILLED","OVERBILLED"))</f>
        <v/>
      </c>
      <c r="P186" s="27" t="inlineStr">
        <is>
          <t>AR_Aging row 179; inventory row 193</t>
        </is>
      </c>
    </row>
    <row r="187" ht="23" customHeight="1">
      <c r="A187" s="27" t="inlineStr">
        <is>
          <t>AC-LP-0901</t>
        </is>
      </c>
      <c r="B187" s="27" t="inlineStr">
        <is>
          <t>Angela Poole</t>
        </is>
      </c>
      <c r="C187" s="27" t="inlineStr">
        <is>
          <t>LP-0901</t>
        </is>
      </c>
      <c r="D187" s="27" t="inlineStr">
        <is>
          <t>Ledgport</t>
        </is>
      </c>
      <c r="E187" s="27" t="inlineStr">
        <is>
          <t>covered</t>
        </is>
      </c>
      <c r="F187" s="27" t="inlineStr">
        <is>
          <t>OCCUPIED</t>
        </is>
      </c>
      <c r="G187" s="28" t="n">
        <v>24.3</v>
      </c>
      <c r="H187" s="28" t="n">
        <v>40</v>
      </c>
      <c r="I187" s="28">
        <f>MAX(ROUNDUP(G187,0),H187)</f>
        <v/>
      </c>
      <c r="J187" s="29" t="n">
        <v>416</v>
      </c>
      <c r="K187" s="30">
        <f>IF(OR(D187="Ledgport",D187="Vessbank"),10.4,7.55)</f>
        <v/>
      </c>
      <c r="L187" s="29">
        <f>I187*K187</f>
        <v/>
      </c>
      <c r="M187" s="29">
        <f>L187-J187</f>
        <v/>
      </c>
      <c r="N187" s="29">
        <f>MAX(0,M187)</f>
        <v/>
      </c>
      <c r="O187" s="31">
        <f>IF(ABS(M187)&lt;0.005,"OK",IF(M187&gt;0,"UNDERBILLED","OVERBILLED"))</f>
        <v/>
      </c>
      <c r="P187" s="27" t="inlineStr">
        <is>
          <t>AR_Aging row 180; inventory row 194</t>
        </is>
      </c>
    </row>
    <row r="188" ht="23" customHeight="1">
      <c r="A188" s="27" t="inlineStr">
        <is>
          <t>AC-LP-0902</t>
        </is>
      </c>
      <c r="B188" s="27" t="inlineStr">
        <is>
          <t>Neil Adkins</t>
        </is>
      </c>
      <c r="C188" s="27" t="inlineStr">
        <is>
          <t>LP-0902</t>
        </is>
      </c>
      <c r="D188" s="27" t="inlineStr">
        <is>
          <t>Ledgport</t>
        </is>
      </c>
      <c r="E188" s="27" t="inlineStr">
        <is>
          <t>covered</t>
        </is>
      </c>
      <c r="F188" s="27" t="inlineStr">
        <is>
          <t>OCCUPIED</t>
        </is>
      </c>
      <c r="G188" s="28" t="n">
        <v>57.6</v>
      </c>
      <c r="H188" s="28" t="n">
        <v>32</v>
      </c>
      <c r="I188" s="28">
        <f>MAX(ROUNDUP(G188,0),H188)</f>
        <v/>
      </c>
      <c r="J188" s="29" t="n">
        <v>603.2</v>
      </c>
      <c r="K188" s="30">
        <f>IF(OR(D188="Ledgport",D188="Vessbank"),10.4,7.55)</f>
        <v/>
      </c>
      <c r="L188" s="29">
        <f>I188*K188</f>
        <v/>
      </c>
      <c r="M188" s="29">
        <f>L188-J188</f>
        <v/>
      </c>
      <c r="N188" s="29">
        <f>MAX(0,M188)</f>
        <v/>
      </c>
      <c r="O188" s="31">
        <f>IF(ABS(M188)&lt;0.005,"OK",IF(M188&gt;0,"UNDERBILLED","OVERBILLED"))</f>
        <v/>
      </c>
      <c r="P188" s="27" t="inlineStr">
        <is>
          <t>AR_Aging row 181; inventory row 195</t>
        </is>
      </c>
    </row>
    <row r="189" ht="23" customHeight="1">
      <c r="A189" s="27" t="inlineStr">
        <is>
          <t>AC-LP-0903</t>
        </is>
      </c>
      <c r="B189" s="27" t="inlineStr">
        <is>
          <t>Mindy Medina</t>
        </is>
      </c>
      <c r="C189" s="27" t="inlineStr">
        <is>
          <t>LP-0903</t>
        </is>
      </c>
      <c r="D189" s="27" t="inlineStr">
        <is>
          <t>Ledgport</t>
        </is>
      </c>
      <c r="E189" s="27" t="inlineStr">
        <is>
          <t>covered</t>
        </is>
      </c>
      <c r="F189" s="27" t="inlineStr">
        <is>
          <t>OCCUPIED</t>
        </is>
      </c>
      <c r="G189" s="28" t="n">
        <v>20.2</v>
      </c>
      <c r="H189" s="28" t="n">
        <v>36</v>
      </c>
      <c r="I189" s="28">
        <f>MAX(ROUNDUP(G189,0),H189)</f>
        <v/>
      </c>
      <c r="J189" s="29" t="n">
        <v>374.4</v>
      </c>
      <c r="K189" s="30">
        <f>IF(OR(D189="Ledgport",D189="Vessbank"),10.4,7.55)</f>
        <v/>
      </c>
      <c r="L189" s="29">
        <f>I189*K189</f>
        <v/>
      </c>
      <c r="M189" s="29">
        <f>L189-J189</f>
        <v/>
      </c>
      <c r="N189" s="29">
        <f>MAX(0,M189)</f>
        <v/>
      </c>
      <c r="O189" s="31">
        <f>IF(ABS(M189)&lt;0.005,"OK",IF(M189&gt;0,"UNDERBILLED","OVERBILLED"))</f>
        <v/>
      </c>
      <c r="P189" s="27" t="inlineStr">
        <is>
          <t>AR_Aging row 182; inventory row 196</t>
        </is>
      </c>
    </row>
    <row r="190" ht="23" customHeight="1">
      <c r="A190" s="27" t="inlineStr">
        <is>
          <t>AC-LP-0904</t>
        </is>
      </c>
      <c r="B190" s="27" t="inlineStr">
        <is>
          <t>Alexander Cross</t>
        </is>
      </c>
      <c r="C190" s="27" t="inlineStr">
        <is>
          <t>LP-0904</t>
        </is>
      </c>
      <c r="D190" s="27" t="inlineStr">
        <is>
          <t>Ledgport</t>
        </is>
      </c>
      <c r="E190" s="27" t="inlineStr">
        <is>
          <t>covered</t>
        </is>
      </c>
      <c r="F190" s="27" t="inlineStr">
        <is>
          <t>OCCUPIED</t>
        </is>
      </c>
      <c r="G190" s="28" t="n">
        <v>61.6</v>
      </c>
      <c r="H190" s="28" t="n">
        <v>32</v>
      </c>
      <c r="I190" s="28">
        <f>MAX(ROUNDUP(G190,0),H190)</f>
        <v/>
      </c>
      <c r="J190" s="29" t="n">
        <v>644.8</v>
      </c>
      <c r="K190" s="30">
        <f>IF(OR(D190="Ledgport",D190="Vessbank"),10.4,7.55)</f>
        <v/>
      </c>
      <c r="L190" s="29">
        <f>I190*K190</f>
        <v/>
      </c>
      <c r="M190" s="29">
        <f>L190-J190</f>
        <v/>
      </c>
      <c r="N190" s="29">
        <f>MAX(0,M190)</f>
        <v/>
      </c>
      <c r="O190" s="31">
        <f>IF(ABS(M190)&lt;0.005,"OK",IF(M190&gt;0,"UNDERBILLED","OVERBILLED"))</f>
        <v/>
      </c>
      <c r="P190" s="27" t="inlineStr">
        <is>
          <t>AR_Aging row 183; inventory row 197</t>
        </is>
      </c>
    </row>
    <row r="191" ht="23" customHeight="1">
      <c r="A191" s="27" t="inlineStr">
        <is>
          <t>AC-LP-0905</t>
        </is>
      </c>
      <c r="B191" s="27" t="inlineStr">
        <is>
          <t>Emily Alexander</t>
        </is>
      </c>
      <c r="C191" s="27" t="inlineStr">
        <is>
          <t>LP-0905</t>
        </is>
      </c>
      <c r="D191" s="27" t="inlineStr">
        <is>
          <t>Ledgport</t>
        </is>
      </c>
      <c r="E191" s="27" t="inlineStr">
        <is>
          <t>covered</t>
        </is>
      </c>
      <c r="F191" s="27" t="inlineStr">
        <is>
          <t>OCCUPIED</t>
        </is>
      </c>
      <c r="G191" s="28" t="n">
        <v>53.6</v>
      </c>
      <c r="H191" s="28" t="n">
        <v>36</v>
      </c>
      <c r="I191" s="28">
        <f>MAX(ROUNDUP(G191,0),H191)</f>
        <v/>
      </c>
      <c r="J191" s="29" t="n">
        <v>561.6</v>
      </c>
      <c r="K191" s="30">
        <f>IF(OR(D191="Ledgport",D191="Vessbank"),10.4,7.55)</f>
        <v/>
      </c>
      <c r="L191" s="29">
        <f>I191*K191</f>
        <v/>
      </c>
      <c r="M191" s="29">
        <f>L191-J191</f>
        <v/>
      </c>
      <c r="N191" s="29">
        <f>MAX(0,M191)</f>
        <v/>
      </c>
      <c r="O191" s="31">
        <f>IF(ABS(M191)&lt;0.005,"OK",IF(M191&gt;0,"UNDERBILLED","OVERBILLED"))</f>
        <v/>
      </c>
      <c r="P191" s="27" t="inlineStr">
        <is>
          <t>AR_Aging row 184; inventory row 198</t>
        </is>
      </c>
    </row>
    <row r="192" ht="23" customHeight="1">
      <c r="A192" s="27" t="inlineStr">
        <is>
          <t>AC-LP-0906</t>
        </is>
      </c>
      <c r="B192" s="27" t="inlineStr">
        <is>
          <t>Denise Bonilla</t>
        </is>
      </c>
      <c r="C192" s="27" t="inlineStr">
        <is>
          <t>LP-0906</t>
        </is>
      </c>
      <c r="D192" s="27" t="inlineStr">
        <is>
          <t>Ledgport</t>
        </is>
      </c>
      <c r="E192" s="27" t="inlineStr">
        <is>
          <t>covered</t>
        </is>
      </c>
      <c r="F192" s="27" t="inlineStr">
        <is>
          <t>OCCUPIED</t>
        </is>
      </c>
      <c r="G192" s="28" t="n">
        <v>57.3</v>
      </c>
      <c r="H192" s="28" t="n">
        <v>28</v>
      </c>
      <c r="I192" s="28">
        <f>MAX(ROUNDUP(G192,0),H192)</f>
        <v/>
      </c>
      <c r="J192" s="29" t="n">
        <v>603.2</v>
      </c>
      <c r="K192" s="30">
        <f>IF(OR(D192="Ledgport",D192="Vessbank"),10.4,7.55)</f>
        <v/>
      </c>
      <c r="L192" s="29">
        <f>I192*K192</f>
        <v/>
      </c>
      <c r="M192" s="29">
        <f>L192-J192</f>
        <v/>
      </c>
      <c r="N192" s="29">
        <f>MAX(0,M192)</f>
        <v/>
      </c>
      <c r="O192" s="31">
        <f>IF(ABS(M192)&lt;0.005,"OK",IF(M192&gt;0,"UNDERBILLED","OVERBILLED"))</f>
        <v/>
      </c>
      <c r="P192" s="27" t="inlineStr">
        <is>
          <t>AR_Aging row 185; inventory row 199</t>
        </is>
      </c>
    </row>
    <row r="193" ht="23" customHeight="1">
      <c r="A193" s="27" t="inlineStr">
        <is>
          <t>AC-LP-0907</t>
        </is>
      </c>
      <c r="B193" s="27" t="inlineStr">
        <is>
          <t>Brittany Wilkerson</t>
        </is>
      </c>
      <c r="C193" s="27" t="inlineStr">
        <is>
          <t>LP-0907</t>
        </is>
      </c>
      <c r="D193" s="27" t="inlineStr">
        <is>
          <t>Ledgport</t>
        </is>
      </c>
      <c r="E193" s="27" t="inlineStr">
        <is>
          <t>covered</t>
        </is>
      </c>
      <c r="F193" s="27" t="inlineStr">
        <is>
          <t>OCCUPIED</t>
        </is>
      </c>
      <c r="G193" s="28" t="n">
        <v>45.7</v>
      </c>
      <c r="H193" s="28" t="n">
        <v>24</v>
      </c>
      <c r="I193" s="28">
        <f>MAX(ROUNDUP(G193,0),H193)</f>
        <v/>
      </c>
      <c r="J193" s="29" t="n">
        <v>478.4</v>
      </c>
      <c r="K193" s="30">
        <f>IF(OR(D193="Ledgport",D193="Vessbank"),10.4,7.55)</f>
        <v/>
      </c>
      <c r="L193" s="29">
        <f>I193*K193</f>
        <v/>
      </c>
      <c r="M193" s="29">
        <f>L193-J193</f>
        <v/>
      </c>
      <c r="N193" s="29">
        <f>MAX(0,M193)</f>
        <v/>
      </c>
      <c r="O193" s="31">
        <f>IF(ABS(M193)&lt;0.005,"OK",IF(M193&gt;0,"UNDERBILLED","OVERBILLED"))</f>
        <v/>
      </c>
      <c r="P193" s="27" t="inlineStr">
        <is>
          <t>AR_Aging row 186; inventory row 200</t>
        </is>
      </c>
    </row>
    <row r="194" ht="23" customHeight="1">
      <c r="A194" s="27" t="inlineStr">
        <is>
          <t>AC-LP-0908</t>
        </is>
      </c>
      <c r="B194" s="27" t="inlineStr">
        <is>
          <t>Joseph Sharp</t>
        </is>
      </c>
      <c r="C194" s="27" t="inlineStr">
        <is>
          <t>LP-0908</t>
        </is>
      </c>
      <c r="D194" s="27" t="inlineStr">
        <is>
          <t>Ledgport</t>
        </is>
      </c>
      <c r="E194" s="27" t="inlineStr">
        <is>
          <t>covered</t>
        </is>
      </c>
      <c r="F194" s="27" t="inlineStr">
        <is>
          <t>OCCUPIED</t>
        </is>
      </c>
      <c r="G194" s="28" t="n">
        <v>49.9</v>
      </c>
      <c r="H194" s="28" t="n">
        <v>28</v>
      </c>
      <c r="I194" s="28">
        <f>MAX(ROUNDUP(G194,0),H194)</f>
        <v/>
      </c>
      <c r="J194" s="29" t="n">
        <v>520</v>
      </c>
      <c r="K194" s="30">
        <f>IF(OR(D194="Ledgport",D194="Vessbank"),10.4,7.55)</f>
        <v/>
      </c>
      <c r="L194" s="29">
        <f>I194*K194</f>
        <v/>
      </c>
      <c r="M194" s="29">
        <f>L194-J194</f>
        <v/>
      </c>
      <c r="N194" s="29">
        <f>MAX(0,M194)</f>
        <v/>
      </c>
      <c r="O194" s="31">
        <f>IF(ABS(M194)&lt;0.005,"OK",IF(M194&gt;0,"UNDERBILLED","OVERBILLED"))</f>
        <v/>
      </c>
      <c r="P194" s="27" t="inlineStr">
        <is>
          <t>AR_Aging row 187; inventory row 201</t>
        </is>
      </c>
    </row>
    <row r="195" ht="23" customHeight="1">
      <c r="A195" s="27" t="inlineStr">
        <is>
          <t>AC-LP-0909</t>
        </is>
      </c>
      <c r="B195" s="27" t="inlineStr">
        <is>
          <t>Jason Shepard</t>
        </is>
      </c>
      <c r="C195" s="27" t="inlineStr">
        <is>
          <t>LP-0909</t>
        </is>
      </c>
      <c r="D195" s="27" t="inlineStr">
        <is>
          <t>Ledgport</t>
        </is>
      </c>
      <c r="E195" s="27" t="inlineStr">
        <is>
          <t>covered</t>
        </is>
      </c>
      <c r="F195" s="27" t="inlineStr">
        <is>
          <t>OCCUPIED</t>
        </is>
      </c>
      <c r="G195" s="28" t="n">
        <v>46.7</v>
      </c>
      <c r="H195" s="28" t="n">
        <v>24</v>
      </c>
      <c r="I195" s="28">
        <f>MAX(ROUNDUP(G195,0),H195)</f>
        <v/>
      </c>
      <c r="J195" s="29" t="n">
        <v>488.8</v>
      </c>
      <c r="K195" s="30">
        <f>IF(OR(D195="Ledgport",D195="Vessbank"),10.4,7.55)</f>
        <v/>
      </c>
      <c r="L195" s="29">
        <f>I195*K195</f>
        <v/>
      </c>
      <c r="M195" s="29">
        <f>L195-J195</f>
        <v/>
      </c>
      <c r="N195" s="29">
        <f>MAX(0,M195)</f>
        <v/>
      </c>
      <c r="O195" s="31">
        <f>IF(ABS(M195)&lt;0.005,"OK",IF(M195&gt;0,"UNDERBILLED","OVERBILLED"))</f>
        <v/>
      </c>
      <c r="P195" s="27" t="inlineStr">
        <is>
          <t>AR_Aging row 188; inventory row 202</t>
        </is>
      </c>
    </row>
    <row r="196" ht="23" customHeight="1">
      <c r="A196" s="27" t="inlineStr">
        <is>
          <t>AC-LP-0910</t>
        </is>
      </c>
      <c r="B196" s="27" t="inlineStr">
        <is>
          <t>John Davis</t>
        </is>
      </c>
      <c r="C196" s="27" t="inlineStr">
        <is>
          <t>LP-0910</t>
        </is>
      </c>
      <c r="D196" s="27" t="inlineStr">
        <is>
          <t>Ledgport</t>
        </is>
      </c>
      <c r="E196" s="27" t="inlineStr">
        <is>
          <t>covered</t>
        </is>
      </c>
      <c r="F196" s="27" t="inlineStr">
        <is>
          <t>OCCUPIED</t>
        </is>
      </c>
      <c r="G196" s="28" t="n">
        <v>38</v>
      </c>
      <c r="H196" s="28" t="n">
        <v>28</v>
      </c>
      <c r="I196" s="28">
        <f>MAX(ROUNDUP(G196,0),H196)</f>
        <v/>
      </c>
      <c r="J196" s="29" t="n">
        <v>395.2</v>
      </c>
      <c r="K196" s="30">
        <f>IF(OR(D196="Ledgport",D196="Vessbank"),10.4,7.55)</f>
        <v/>
      </c>
      <c r="L196" s="29">
        <f>I196*K196</f>
        <v/>
      </c>
      <c r="M196" s="29">
        <f>L196-J196</f>
        <v/>
      </c>
      <c r="N196" s="29">
        <f>MAX(0,M196)</f>
        <v/>
      </c>
      <c r="O196" s="31">
        <f>IF(ABS(M196)&lt;0.005,"OK",IF(M196&gt;0,"UNDERBILLED","OVERBILLED"))</f>
        <v/>
      </c>
      <c r="P196" s="27" t="inlineStr">
        <is>
          <t>AR_Aging row 189; inventory row 203</t>
        </is>
      </c>
    </row>
    <row r="197" ht="23" customHeight="1">
      <c r="A197" s="27" t="inlineStr">
        <is>
          <t>AC-LP-0911</t>
        </is>
      </c>
      <c r="B197" s="27" t="inlineStr">
        <is>
          <t>Katherine Johnson</t>
        </is>
      </c>
      <c r="C197" s="27" t="inlineStr">
        <is>
          <t>LP-0911</t>
        </is>
      </c>
      <c r="D197" s="27" t="inlineStr">
        <is>
          <t>Ledgport</t>
        </is>
      </c>
      <c r="E197" s="27" t="inlineStr">
        <is>
          <t>covered</t>
        </is>
      </c>
      <c r="F197" s="27" t="inlineStr">
        <is>
          <t>OCCUPIED</t>
        </is>
      </c>
      <c r="G197" s="28" t="n">
        <v>43.3</v>
      </c>
      <c r="H197" s="28" t="n">
        <v>24</v>
      </c>
      <c r="I197" s="28">
        <f>MAX(ROUNDUP(G197,0),H197)</f>
        <v/>
      </c>
      <c r="J197" s="29" t="n">
        <v>457.6</v>
      </c>
      <c r="K197" s="30">
        <f>IF(OR(D197="Ledgport",D197="Vessbank"),10.4,7.55)</f>
        <v/>
      </c>
      <c r="L197" s="29">
        <f>I197*K197</f>
        <v/>
      </c>
      <c r="M197" s="29">
        <f>L197-J197</f>
        <v/>
      </c>
      <c r="N197" s="29">
        <f>MAX(0,M197)</f>
        <v/>
      </c>
      <c r="O197" s="31">
        <f>IF(ABS(M197)&lt;0.005,"OK",IF(M197&gt;0,"UNDERBILLED","OVERBILLED"))</f>
        <v/>
      </c>
      <c r="P197" s="27" t="inlineStr">
        <is>
          <t>AR_Aging row 190; inventory row 204</t>
        </is>
      </c>
    </row>
    <row r="198" ht="23" customHeight="1">
      <c r="A198" s="27" t="inlineStr">
        <is>
          <t>AC-LP-0912</t>
        </is>
      </c>
      <c r="B198" s="27" t="inlineStr">
        <is>
          <t>Harry Koch</t>
        </is>
      </c>
      <c r="C198" s="27" t="inlineStr">
        <is>
          <t>LP-0912</t>
        </is>
      </c>
      <c r="D198" s="27" t="inlineStr">
        <is>
          <t>Ledgport</t>
        </is>
      </c>
      <c r="E198" s="27" t="inlineStr">
        <is>
          <t>covered</t>
        </is>
      </c>
      <c r="F198" s="27" t="inlineStr">
        <is>
          <t>OCCUPIED</t>
        </is>
      </c>
      <c r="G198" s="28" t="n">
        <v>32.6</v>
      </c>
      <c r="H198" s="28" t="n">
        <v>32</v>
      </c>
      <c r="I198" s="28">
        <f>MAX(ROUNDUP(G198,0),H198)</f>
        <v/>
      </c>
      <c r="J198" s="29" t="n">
        <v>343.2</v>
      </c>
      <c r="K198" s="30">
        <f>IF(OR(D198="Ledgport",D198="Vessbank"),10.4,7.55)</f>
        <v/>
      </c>
      <c r="L198" s="29">
        <f>I198*K198</f>
        <v/>
      </c>
      <c r="M198" s="29">
        <f>L198-J198</f>
        <v/>
      </c>
      <c r="N198" s="29">
        <f>MAX(0,M198)</f>
        <v/>
      </c>
      <c r="O198" s="31">
        <f>IF(ABS(M198)&lt;0.005,"OK",IF(M198&gt;0,"UNDERBILLED","OVERBILLED"))</f>
        <v/>
      </c>
      <c r="P198" s="27" t="inlineStr">
        <is>
          <t>AR_Aging row 191; inventory row 205</t>
        </is>
      </c>
    </row>
    <row r="199" ht="23" customHeight="1">
      <c r="A199" s="27" t="inlineStr">
        <is>
          <t>AC-LP-0913</t>
        </is>
      </c>
      <c r="B199" s="27" t="inlineStr">
        <is>
          <t>Christina Hernandez</t>
        </is>
      </c>
      <c r="C199" s="27" t="inlineStr">
        <is>
          <t>LP-0913</t>
        </is>
      </c>
      <c r="D199" s="27" t="inlineStr">
        <is>
          <t>Ledgport</t>
        </is>
      </c>
      <c r="E199" s="27" t="inlineStr">
        <is>
          <t>covered</t>
        </is>
      </c>
      <c r="F199" s="27" t="inlineStr">
        <is>
          <t>OCCUPIED</t>
        </is>
      </c>
      <c r="G199" s="28" t="n">
        <v>43.1</v>
      </c>
      <c r="H199" s="28" t="n">
        <v>32</v>
      </c>
      <c r="I199" s="28">
        <f>MAX(ROUNDUP(G199,0),H199)</f>
        <v/>
      </c>
      <c r="J199" s="29" t="n">
        <v>457.6</v>
      </c>
      <c r="K199" s="30">
        <f>IF(OR(D199="Ledgport",D199="Vessbank"),10.4,7.55)</f>
        <v/>
      </c>
      <c r="L199" s="29">
        <f>I199*K199</f>
        <v/>
      </c>
      <c r="M199" s="29">
        <f>L199-J199</f>
        <v/>
      </c>
      <c r="N199" s="29">
        <f>MAX(0,M199)</f>
        <v/>
      </c>
      <c r="O199" s="31">
        <f>IF(ABS(M199)&lt;0.005,"OK",IF(M199&gt;0,"UNDERBILLED","OVERBILLED"))</f>
        <v/>
      </c>
      <c r="P199" s="27" t="inlineStr">
        <is>
          <t>AR_Aging row 192; inventory row 206</t>
        </is>
      </c>
    </row>
    <row r="200" ht="23" customHeight="1">
      <c r="A200" s="27" t="inlineStr">
        <is>
          <t>AC-LP-0914</t>
        </is>
      </c>
      <c r="B200" s="27" t="inlineStr">
        <is>
          <t>Paige Brown</t>
        </is>
      </c>
      <c r="C200" s="27" t="inlineStr">
        <is>
          <t>LP-0914</t>
        </is>
      </c>
      <c r="D200" s="27" t="inlineStr">
        <is>
          <t>Ledgport</t>
        </is>
      </c>
      <c r="E200" s="27" t="inlineStr">
        <is>
          <t>covered</t>
        </is>
      </c>
      <c r="F200" s="27" t="inlineStr">
        <is>
          <t>OCCUPIED</t>
        </is>
      </c>
      <c r="G200" s="28" t="n">
        <v>35.1</v>
      </c>
      <c r="H200" s="28" t="n">
        <v>40</v>
      </c>
      <c r="I200" s="28">
        <f>MAX(ROUNDUP(G200,0),H200)</f>
        <v/>
      </c>
      <c r="J200" s="29" t="n">
        <v>416</v>
      </c>
      <c r="K200" s="30">
        <f>IF(OR(D200="Ledgport",D200="Vessbank"),10.4,7.55)</f>
        <v/>
      </c>
      <c r="L200" s="29">
        <f>I200*K200</f>
        <v/>
      </c>
      <c r="M200" s="29">
        <f>L200-J200</f>
        <v/>
      </c>
      <c r="N200" s="29">
        <f>MAX(0,M200)</f>
        <v/>
      </c>
      <c r="O200" s="31">
        <f>IF(ABS(M200)&lt;0.005,"OK",IF(M200&gt;0,"UNDERBILLED","OVERBILLED"))</f>
        <v/>
      </c>
      <c r="P200" s="27" t="inlineStr">
        <is>
          <t>AR_Aging row 193; inventory row 207</t>
        </is>
      </c>
    </row>
    <row r="201" ht="23" customHeight="1">
      <c r="A201" s="27" t="inlineStr">
        <is>
          <t>AC-LP-0915</t>
        </is>
      </c>
      <c r="B201" s="27" t="inlineStr">
        <is>
          <t>Carmen Hernandez</t>
        </is>
      </c>
      <c r="C201" s="27" t="inlineStr">
        <is>
          <t>LP-0915</t>
        </is>
      </c>
      <c r="D201" s="27" t="inlineStr">
        <is>
          <t>Ledgport</t>
        </is>
      </c>
      <c r="E201" s="27" t="inlineStr">
        <is>
          <t>covered</t>
        </is>
      </c>
      <c r="F201" s="27" t="inlineStr">
        <is>
          <t>OCCUPIED</t>
        </is>
      </c>
      <c r="G201" s="28" t="n">
        <v>35.1</v>
      </c>
      <c r="H201" s="28" t="n">
        <v>32</v>
      </c>
      <c r="I201" s="28">
        <f>MAX(ROUNDUP(G201,0),H201)</f>
        <v/>
      </c>
      <c r="J201" s="29" t="n">
        <v>374.4</v>
      </c>
      <c r="K201" s="30">
        <f>IF(OR(D201="Ledgport",D201="Vessbank"),10.4,7.55)</f>
        <v/>
      </c>
      <c r="L201" s="29">
        <f>I201*K201</f>
        <v/>
      </c>
      <c r="M201" s="29">
        <f>L201-J201</f>
        <v/>
      </c>
      <c r="N201" s="29">
        <f>MAX(0,M201)</f>
        <v/>
      </c>
      <c r="O201" s="31">
        <f>IF(ABS(M201)&lt;0.005,"OK",IF(M201&gt;0,"UNDERBILLED","OVERBILLED"))</f>
        <v/>
      </c>
      <c r="P201" s="27" t="inlineStr">
        <is>
          <t>AR_Aging row 194; inventory row 208</t>
        </is>
      </c>
    </row>
    <row r="202" ht="23" customHeight="1">
      <c r="A202" s="27" t="inlineStr">
        <is>
          <t>AC-LP-0917</t>
        </is>
      </c>
      <c r="B202" s="27" t="inlineStr">
        <is>
          <t>Ryan Carr</t>
        </is>
      </c>
      <c r="C202" s="27" t="inlineStr">
        <is>
          <t>LP-0917</t>
        </is>
      </c>
      <c r="D202" s="27" t="inlineStr">
        <is>
          <t>Ledgport</t>
        </is>
      </c>
      <c r="E202" s="27" t="inlineStr">
        <is>
          <t>covered</t>
        </is>
      </c>
      <c r="F202" s="27" t="inlineStr">
        <is>
          <t>OCCUPIED</t>
        </is>
      </c>
      <c r="G202" s="28" t="n">
        <v>34.5</v>
      </c>
      <c r="H202" s="28" t="n">
        <v>36</v>
      </c>
      <c r="I202" s="28">
        <f>MAX(ROUNDUP(G202,0),H202)</f>
        <v/>
      </c>
      <c r="J202" s="29" t="n">
        <v>374.4</v>
      </c>
      <c r="K202" s="30">
        <f>IF(OR(D202="Ledgport",D202="Vessbank"),10.4,7.55)</f>
        <v/>
      </c>
      <c r="L202" s="29">
        <f>I202*K202</f>
        <v/>
      </c>
      <c r="M202" s="29">
        <f>L202-J202</f>
        <v/>
      </c>
      <c r="N202" s="29">
        <f>MAX(0,M202)</f>
        <v/>
      </c>
      <c r="O202" s="31">
        <f>IF(ABS(M202)&lt;0.005,"OK",IF(M202&gt;0,"UNDERBILLED","OVERBILLED"))</f>
        <v/>
      </c>
      <c r="P202" s="27" t="inlineStr">
        <is>
          <t>AR_Aging row 195; inventory row 210</t>
        </is>
      </c>
    </row>
    <row r="203" ht="23" customHeight="1">
      <c r="A203" s="27" t="inlineStr">
        <is>
          <t>AC-LP-0918</t>
        </is>
      </c>
      <c r="B203" s="27" t="inlineStr">
        <is>
          <t>Jennifer Campbell</t>
        </is>
      </c>
      <c r="C203" s="27" t="inlineStr">
        <is>
          <t>LP-0918</t>
        </is>
      </c>
      <c r="D203" s="27" t="inlineStr">
        <is>
          <t>Ledgport</t>
        </is>
      </c>
      <c r="E203" s="27" t="inlineStr">
        <is>
          <t>covered</t>
        </is>
      </c>
      <c r="F203" s="27" t="inlineStr">
        <is>
          <t>OCCUPIED</t>
        </is>
      </c>
      <c r="G203" s="28" t="n">
        <v>58.2</v>
      </c>
      <c r="H203" s="28" t="n">
        <v>36</v>
      </c>
      <c r="I203" s="28">
        <f>MAX(ROUNDUP(G203,0),H203)</f>
        <v/>
      </c>
      <c r="J203" s="29" t="n">
        <v>613.6</v>
      </c>
      <c r="K203" s="30">
        <f>IF(OR(D203="Ledgport",D203="Vessbank"),10.4,7.55)</f>
        <v/>
      </c>
      <c r="L203" s="29">
        <f>I203*K203</f>
        <v/>
      </c>
      <c r="M203" s="29">
        <f>L203-J203</f>
        <v/>
      </c>
      <c r="N203" s="29">
        <f>MAX(0,M203)</f>
        <v/>
      </c>
      <c r="O203" s="31">
        <f>IF(ABS(M203)&lt;0.005,"OK",IF(M203&gt;0,"UNDERBILLED","OVERBILLED"))</f>
        <v/>
      </c>
      <c r="P203" s="27" t="inlineStr">
        <is>
          <t>AR_Aging row 196; inventory row 211</t>
        </is>
      </c>
    </row>
    <row r="204" ht="23" customHeight="1">
      <c r="A204" s="27" t="inlineStr">
        <is>
          <t>AC-LP-0919</t>
        </is>
      </c>
      <c r="B204" s="27" t="inlineStr">
        <is>
          <t>Pamela Wright</t>
        </is>
      </c>
      <c r="C204" s="27" t="inlineStr">
        <is>
          <t>LP-0919</t>
        </is>
      </c>
      <c r="D204" s="27" t="inlineStr">
        <is>
          <t>Ledgport</t>
        </is>
      </c>
      <c r="E204" s="27" t="inlineStr">
        <is>
          <t>covered</t>
        </is>
      </c>
      <c r="F204" s="27" t="inlineStr">
        <is>
          <t>OCCUPIED</t>
        </is>
      </c>
      <c r="G204" s="28" t="n">
        <v>24.5</v>
      </c>
      <c r="H204" s="28" t="n">
        <v>32</v>
      </c>
      <c r="I204" s="28">
        <f>MAX(ROUNDUP(G204,0),H204)</f>
        <v/>
      </c>
      <c r="J204" s="29" t="n">
        <v>332.8</v>
      </c>
      <c r="K204" s="30">
        <f>IF(OR(D204="Ledgport",D204="Vessbank"),10.4,7.55)</f>
        <v/>
      </c>
      <c r="L204" s="29">
        <f>I204*K204</f>
        <v/>
      </c>
      <c r="M204" s="29">
        <f>L204-J204</f>
        <v/>
      </c>
      <c r="N204" s="29">
        <f>MAX(0,M204)</f>
        <v/>
      </c>
      <c r="O204" s="31">
        <f>IF(ABS(M204)&lt;0.005,"OK",IF(M204&gt;0,"UNDERBILLED","OVERBILLED"))</f>
        <v/>
      </c>
      <c r="P204" s="27" t="inlineStr">
        <is>
          <t>AR_Aging row 197; inventory row 212</t>
        </is>
      </c>
    </row>
    <row r="205" ht="23" customHeight="1">
      <c r="A205" s="27" t="inlineStr">
        <is>
          <t>AC-LP-0920</t>
        </is>
      </c>
      <c r="B205" s="27" t="inlineStr">
        <is>
          <t>Jason Kim</t>
        </is>
      </c>
      <c r="C205" s="27" t="inlineStr">
        <is>
          <t>LP-0920</t>
        </is>
      </c>
      <c r="D205" s="27" t="inlineStr">
        <is>
          <t>Ledgport</t>
        </is>
      </c>
      <c r="E205" s="27" t="inlineStr">
        <is>
          <t>covered</t>
        </is>
      </c>
      <c r="F205" s="27" t="inlineStr">
        <is>
          <t>OCCUPIED</t>
        </is>
      </c>
      <c r="G205" s="28" t="n">
        <v>38.3</v>
      </c>
      <c r="H205" s="28" t="n">
        <v>28</v>
      </c>
      <c r="I205" s="28">
        <f>MAX(ROUNDUP(G205,0),H205)</f>
        <v/>
      </c>
      <c r="J205" s="29" t="n">
        <v>405.6</v>
      </c>
      <c r="K205" s="30">
        <f>IF(OR(D205="Ledgport",D205="Vessbank"),10.4,7.55)</f>
        <v/>
      </c>
      <c r="L205" s="29">
        <f>I205*K205</f>
        <v/>
      </c>
      <c r="M205" s="29">
        <f>L205-J205</f>
        <v/>
      </c>
      <c r="N205" s="29">
        <f>MAX(0,M205)</f>
        <v/>
      </c>
      <c r="O205" s="31">
        <f>IF(ABS(M205)&lt;0.005,"OK",IF(M205&gt;0,"UNDERBILLED","OVERBILLED"))</f>
        <v/>
      </c>
      <c r="P205" s="27" t="inlineStr">
        <is>
          <t>AR_Aging row 198; inventory row 213</t>
        </is>
      </c>
    </row>
    <row r="206" ht="23" customHeight="1">
      <c r="A206" s="27" t="inlineStr">
        <is>
          <t>AC-LP-0921</t>
        </is>
      </c>
      <c r="B206" s="27" t="inlineStr">
        <is>
          <t>Chris Chavez</t>
        </is>
      </c>
      <c r="C206" s="27" t="inlineStr">
        <is>
          <t>LP-0921</t>
        </is>
      </c>
      <c r="D206" s="27" t="inlineStr">
        <is>
          <t>Ledgport</t>
        </is>
      </c>
      <c r="E206" s="27" t="inlineStr">
        <is>
          <t>covered</t>
        </is>
      </c>
      <c r="F206" s="27" t="inlineStr">
        <is>
          <t>OCCUPIED</t>
        </is>
      </c>
      <c r="G206" s="28" t="n">
        <v>24.8</v>
      </c>
      <c r="H206" s="28" t="n">
        <v>28</v>
      </c>
      <c r="I206" s="28">
        <f>MAX(ROUNDUP(G206,0),H206)</f>
        <v/>
      </c>
      <c r="J206" s="29" t="n">
        <v>291.2</v>
      </c>
      <c r="K206" s="30">
        <f>IF(OR(D206="Ledgport",D206="Vessbank"),10.4,7.55)</f>
        <v/>
      </c>
      <c r="L206" s="29">
        <f>I206*K206</f>
        <v/>
      </c>
      <c r="M206" s="29">
        <f>L206-J206</f>
        <v/>
      </c>
      <c r="N206" s="29">
        <f>MAX(0,M206)</f>
        <v/>
      </c>
      <c r="O206" s="31">
        <f>IF(ABS(M206)&lt;0.005,"OK",IF(M206&gt;0,"UNDERBILLED","OVERBILLED"))</f>
        <v/>
      </c>
      <c r="P206" s="27" t="inlineStr">
        <is>
          <t>AR_Aging row 199; inventory row 214</t>
        </is>
      </c>
    </row>
    <row r="207" ht="23" customHeight="1">
      <c r="A207" s="27" t="inlineStr">
        <is>
          <t>AC-LP-0922</t>
        </is>
      </c>
      <c r="B207" s="27" t="inlineStr">
        <is>
          <t>Joel Thomas</t>
        </is>
      </c>
      <c r="C207" s="27" t="inlineStr">
        <is>
          <t>LP-0922</t>
        </is>
      </c>
      <c r="D207" s="27" t="inlineStr">
        <is>
          <t>Ledgport</t>
        </is>
      </c>
      <c r="E207" s="27" t="inlineStr">
        <is>
          <t>covered</t>
        </is>
      </c>
      <c r="F207" s="27" t="inlineStr">
        <is>
          <t>OCCUPIED</t>
        </is>
      </c>
      <c r="G207" s="28" t="n">
        <v>58</v>
      </c>
      <c r="H207" s="28" t="n">
        <v>24</v>
      </c>
      <c r="I207" s="28">
        <f>MAX(ROUNDUP(G207,0),H207)</f>
        <v/>
      </c>
      <c r="J207" s="29" t="n">
        <v>603.2</v>
      </c>
      <c r="K207" s="30">
        <f>IF(OR(D207="Ledgport",D207="Vessbank"),10.4,7.55)</f>
        <v/>
      </c>
      <c r="L207" s="29">
        <f>I207*K207</f>
        <v/>
      </c>
      <c r="M207" s="29">
        <f>L207-J207</f>
        <v/>
      </c>
      <c r="N207" s="29">
        <f>MAX(0,M207)</f>
        <v/>
      </c>
      <c r="O207" s="31">
        <f>IF(ABS(M207)&lt;0.005,"OK",IF(M207&gt;0,"UNDERBILLED","OVERBILLED"))</f>
        <v/>
      </c>
      <c r="P207" s="27" t="inlineStr">
        <is>
          <t>AR_Aging row 200; inventory row 215</t>
        </is>
      </c>
    </row>
    <row r="208" ht="23" customHeight="1">
      <c r="A208" s="27" t="inlineStr">
        <is>
          <t>AC-LP-0923</t>
        </is>
      </c>
      <c r="B208" s="27" t="inlineStr">
        <is>
          <t>Russell Barnes</t>
        </is>
      </c>
      <c r="C208" s="27" t="inlineStr">
        <is>
          <t>LP-0923</t>
        </is>
      </c>
      <c r="D208" s="27" t="inlineStr">
        <is>
          <t>Ledgport</t>
        </is>
      </c>
      <c r="E208" s="27" t="inlineStr">
        <is>
          <t>covered</t>
        </is>
      </c>
      <c r="F208" s="27" t="inlineStr">
        <is>
          <t>OCCUPIED</t>
        </is>
      </c>
      <c r="G208" s="28" t="n">
        <v>21</v>
      </c>
      <c r="H208" s="28" t="n">
        <v>24</v>
      </c>
      <c r="I208" s="28">
        <f>MAX(ROUNDUP(G208,0),H208)</f>
        <v/>
      </c>
      <c r="J208" s="29" t="n">
        <v>249.6</v>
      </c>
      <c r="K208" s="30">
        <f>IF(OR(D208="Ledgport",D208="Vessbank"),10.4,7.55)</f>
        <v/>
      </c>
      <c r="L208" s="29">
        <f>I208*K208</f>
        <v/>
      </c>
      <c r="M208" s="29">
        <f>L208-J208</f>
        <v/>
      </c>
      <c r="N208" s="29">
        <f>MAX(0,M208)</f>
        <v/>
      </c>
      <c r="O208" s="31">
        <f>IF(ABS(M208)&lt;0.005,"OK",IF(M208&gt;0,"UNDERBILLED","OVERBILLED"))</f>
        <v/>
      </c>
      <c r="P208" s="27" t="inlineStr">
        <is>
          <t>AR_Aging row 201; inventory row 216</t>
        </is>
      </c>
    </row>
    <row r="209" ht="23" customHeight="1">
      <c r="A209" s="27" t="inlineStr">
        <is>
          <t>AC-LP-0924</t>
        </is>
      </c>
      <c r="B209" s="27" t="inlineStr">
        <is>
          <t>Matthew King</t>
        </is>
      </c>
      <c r="C209" s="27" t="inlineStr">
        <is>
          <t>LP-0924</t>
        </is>
      </c>
      <c r="D209" s="27" t="inlineStr">
        <is>
          <t>Ledgport</t>
        </is>
      </c>
      <c r="E209" s="27" t="inlineStr">
        <is>
          <t>covered</t>
        </is>
      </c>
      <c r="F209" s="27" t="inlineStr">
        <is>
          <t>OCCUPIED</t>
        </is>
      </c>
      <c r="G209" s="28" t="n">
        <v>59.9</v>
      </c>
      <c r="H209" s="28" t="n">
        <v>28</v>
      </c>
      <c r="I209" s="28">
        <f>MAX(ROUNDUP(G209,0),H209)</f>
        <v/>
      </c>
      <c r="J209" s="29" t="n">
        <v>624</v>
      </c>
      <c r="K209" s="30">
        <f>IF(OR(D209="Ledgport",D209="Vessbank"),10.4,7.55)</f>
        <v/>
      </c>
      <c r="L209" s="29">
        <f>I209*K209</f>
        <v/>
      </c>
      <c r="M209" s="29">
        <f>L209-J209</f>
        <v/>
      </c>
      <c r="N209" s="29">
        <f>MAX(0,M209)</f>
        <v/>
      </c>
      <c r="O209" s="31">
        <f>IF(ABS(M209)&lt;0.005,"OK",IF(M209&gt;0,"UNDERBILLED","OVERBILLED"))</f>
        <v/>
      </c>
      <c r="P209" s="27" t="inlineStr">
        <is>
          <t>AR_Aging row 202; inventory row 217</t>
        </is>
      </c>
    </row>
    <row r="210" ht="23" customHeight="1">
      <c r="A210" s="27" t="inlineStr">
        <is>
          <t>AC-LP-1001</t>
        </is>
      </c>
      <c r="B210" s="27" t="inlineStr">
        <is>
          <t>Lindsay Alexander</t>
        </is>
      </c>
      <c r="C210" s="27" t="inlineStr">
        <is>
          <t>LP-1001</t>
        </is>
      </c>
      <c r="D210" s="27" t="inlineStr">
        <is>
          <t>Ledgport</t>
        </is>
      </c>
      <c r="E210" s="27" t="inlineStr">
        <is>
          <t>covered</t>
        </is>
      </c>
      <c r="F210" s="27" t="inlineStr">
        <is>
          <t>OCCUPIED</t>
        </is>
      </c>
      <c r="G210" s="28" t="n">
        <v>54.4</v>
      </c>
      <c r="H210" s="28" t="n">
        <v>40</v>
      </c>
      <c r="I210" s="28">
        <f>MAX(ROUNDUP(G210,0),H210)</f>
        <v/>
      </c>
      <c r="J210" s="29" t="n">
        <v>572</v>
      </c>
      <c r="K210" s="30">
        <f>IF(OR(D210="Ledgport",D210="Vessbank"),10.4,7.55)</f>
        <v/>
      </c>
      <c r="L210" s="29">
        <f>I210*K210</f>
        <v/>
      </c>
      <c r="M210" s="29">
        <f>L210-J210</f>
        <v/>
      </c>
      <c r="N210" s="29">
        <f>MAX(0,M210)</f>
        <v/>
      </c>
      <c r="O210" s="31">
        <f>IF(ABS(M210)&lt;0.005,"OK",IF(M210&gt;0,"UNDERBILLED","OVERBILLED"))</f>
        <v/>
      </c>
      <c r="P210" s="27" t="inlineStr">
        <is>
          <t>AR_Aging row 203; inventory row 218</t>
        </is>
      </c>
    </row>
    <row r="211" ht="23" customHeight="1">
      <c r="A211" s="27" t="inlineStr">
        <is>
          <t>AC-LP-1002</t>
        </is>
      </c>
      <c r="B211" s="27" t="inlineStr">
        <is>
          <t>Richard Norris</t>
        </is>
      </c>
      <c r="C211" s="27" t="inlineStr">
        <is>
          <t>LP-1002</t>
        </is>
      </c>
      <c r="D211" s="27" t="inlineStr">
        <is>
          <t>Ledgport</t>
        </is>
      </c>
      <c r="E211" s="27" t="inlineStr">
        <is>
          <t>covered</t>
        </is>
      </c>
      <c r="F211" s="27" t="inlineStr">
        <is>
          <t>OCCUPIED</t>
        </is>
      </c>
      <c r="G211" s="28" t="n">
        <v>62</v>
      </c>
      <c r="H211" s="28" t="n">
        <v>32</v>
      </c>
      <c r="I211" s="28">
        <f>MAX(ROUNDUP(G211,0),H211)</f>
        <v/>
      </c>
      <c r="J211" s="29" t="n">
        <v>644.8</v>
      </c>
      <c r="K211" s="30">
        <f>IF(OR(D211="Ledgport",D211="Vessbank"),10.4,7.55)</f>
        <v/>
      </c>
      <c r="L211" s="29">
        <f>I211*K211</f>
        <v/>
      </c>
      <c r="M211" s="29">
        <f>L211-J211</f>
        <v/>
      </c>
      <c r="N211" s="29">
        <f>MAX(0,M211)</f>
        <v/>
      </c>
      <c r="O211" s="31">
        <f>IF(ABS(M211)&lt;0.005,"OK",IF(M211&gt;0,"UNDERBILLED","OVERBILLED"))</f>
        <v/>
      </c>
      <c r="P211" s="27" t="inlineStr">
        <is>
          <t>AR_Aging row 204; inventory row 219</t>
        </is>
      </c>
    </row>
    <row r="212" ht="23" customHeight="1">
      <c r="A212" s="27" t="inlineStr">
        <is>
          <t>AC-LP-1003</t>
        </is>
      </c>
      <c r="B212" s="27" t="inlineStr">
        <is>
          <t>Donna Weber</t>
        </is>
      </c>
      <c r="C212" s="27" t="inlineStr">
        <is>
          <t>LP-1003</t>
        </is>
      </c>
      <c r="D212" s="27" t="inlineStr">
        <is>
          <t>Ledgport</t>
        </is>
      </c>
      <c r="E212" s="27" t="inlineStr">
        <is>
          <t>covered</t>
        </is>
      </c>
      <c r="F212" s="27" t="inlineStr">
        <is>
          <t>OCCUPIED</t>
        </is>
      </c>
      <c r="G212" s="28" t="n">
        <v>56.2</v>
      </c>
      <c r="H212" s="28" t="n">
        <v>28</v>
      </c>
      <c r="I212" s="28">
        <f>MAX(ROUNDUP(G212,0),H212)</f>
        <v/>
      </c>
      <c r="J212" s="29" t="n">
        <v>592.8</v>
      </c>
      <c r="K212" s="30">
        <f>IF(OR(D212="Ledgport",D212="Vessbank"),10.4,7.55)</f>
        <v/>
      </c>
      <c r="L212" s="29">
        <f>I212*K212</f>
        <v/>
      </c>
      <c r="M212" s="29">
        <f>L212-J212</f>
        <v/>
      </c>
      <c r="N212" s="29">
        <f>MAX(0,M212)</f>
        <v/>
      </c>
      <c r="O212" s="31">
        <f>IF(ABS(M212)&lt;0.005,"OK",IF(M212&gt;0,"UNDERBILLED","OVERBILLED"))</f>
        <v/>
      </c>
      <c r="P212" s="27" t="inlineStr">
        <is>
          <t>AR_Aging row 205; inventory row 220</t>
        </is>
      </c>
    </row>
    <row r="213" ht="23" customHeight="1">
      <c r="A213" s="27" t="inlineStr">
        <is>
          <t>AC-LP-1004</t>
        </is>
      </c>
      <c r="B213" s="27" t="inlineStr">
        <is>
          <t>Mary Ford</t>
        </is>
      </c>
      <c r="C213" s="27" t="inlineStr">
        <is>
          <t>LP-1004</t>
        </is>
      </c>
      <c r="D213" s="27" t="inlineStr">
        <is>
          <t>Ledgport</t>
        </is>
      </c>
      <c r="E213" s="27" t="inlineStr">
        <is>
          <t>covered</t>
        </is>
      </c>
      <c r="F213" s="27" t="inlineStr">
        <is>
          <t>OCCUPIED</t>
        </is>
      </c>
      <c r="G213" s="28" t="n">
        <v>33.9</v>
      </c>
      <c r="H213" s="28" t="n">
        <v>24</v>
      </c>
      <c r="I213" s="28">
        <f>MAX(ROUNDUP(G213,0),H213)</f>
        <v/>
      </c>
      <c r="J213" s="29" t="n">
        <v>353.6</v>
      </c>
      <c r="K213" s="30">
        <f>IF(OR(D213="Ledgport",D213="Vessbank"),10.4,7.55)</f>
        <v/>
      </c>
      <c r="L213" s="29">
        <f>I213*K213</f>
        <v/>
      </c>
      <c r="M213" s="29">
        <f>L213-J213</f>
        <v/>
      </c>
      <c r="N213" s="29">
        <f>MAX(0,M213)</f>
        <v/>
      </c>
      <c r="O213" s="31">
        <f>IF(ABS(M213)&lt;0.005,"OK",IF(M213&gt;0,"UNDERBILLED","OVERBILLED"))</f>
        <v/>
      </c>
      <c r="P213" s="27" t="inlineStr">
        <is>
          <t>AR_Aging row 206; inventory row 221</t>
        </is>
      </c>
    </row>
    <row r="214" ht="23" customHeight="1">
      <c r="A214" s="27" t="inlineStr">
        <is>
          <t>AC-LP-1005</t>
        </is>
      </c>
      <c r="B214" s="27" t="inlineStr">
        <is>
          <t>Gary Wade</t>
        </is>
      </c>
      <c r="C214" s="27" t="inlineStr">
        <is>
          <t>LP-1005</t>
        </is>
      </c>
      <c r="D214" s="27" t="inlineStr">
        <is>
          <t>Ledgport</t>
        </is>
      </c>
      <c r="E214" s="27" t="inlineStr">
        <is>
          <t>covered</t>
        </is>
      </c>
      <c r="F214" s="27" t="inlineStr">
        <is>
          <t>OCCUPIED</t>
        </is>
      </c>
      <c r="G214" s="28" t="n">
        <v>38</v>
      </c>
      <c r="H214" s="28" t="n">
        <v>28</v>
      </c>
      <c r="I214" s="28">
        <f>MAX(ROUNDUP(G214,0),H214)</f>
        <v/>
      </c>
      <c r="J214" s="29" t="n">
        <v>395.2</v>
      </c>
      <c r="K214" s="30">
        <f>IF(OR(D214="Ledgport",D214="Vessbank"),10.4,7.55)</f>
        <v/>
      </c>
      <c r="L214" s="29">
        <f>I214*K214</f>
        <v/>
      </c>
      <c r="M214" s="29">
        <f>L214-J214</f>
        <v/>
      </c>
      <c r="N214" s="29">
        <f>MAX(0,M214)</f>
        <v/>
      </c>
      <c r="O214" s="31">
        <f>IF(ABS(M214)&lt;0.005,"OK",IF(M214&gt;0,"UNDERBILLED","OVERBILLED"))</f>
        <v/>
      </c>
      <c r="P214" s="27" t="inlineStr">
        <is>
          <t>AR_Aging row 207; inventory row 222</t>
        </is>
      </c>
    </row>
    <row r="215" ht="23" customHeight="1">
      <c r="A215" s="27" t="inlineStr">
        <is>
          <t>AC-LP-1006</t>
        </is>
      </c>
      <c r="B215" s="27" t="inlineStr">
        <is>
          <t>Carol Scott</t>
        </is>
      </c>
      <c r="C215" s="27" t="inlineStr">
        <is>
          <t>LP-1006</t>
        </is>
      </c>
      <c r="D215" s="27" t="inlineStr">
        <is>
          <t>Ledgport</t>
        </is>
      </c>
      <c r="E215" s="27" t="inlineStr">
        <is>
          <t>covered</t>
        </is>
      </c>
      <c r="F215" s="27" t="inlineStr">
        <is>
          <t>OCCUPIED</t>
        </is>
      </c>
      <c r="G215" s="28" t="n">
        <v>19.5</v>
      </c>
      <c r="H215" s="28" t="n">
        <v>36</v>
      </c>
      <c r="I215" s="28">
        <f>MAX(ROUNDUP(G215,0),H215)</f>
        <v/>
      </c>
      <c r="J215" s="29" t="n">
        <v>374.4</v>
      </c>
      <c r="K215" s="30">
        <f>IF(OR(D215="Ledgport",D215="Vessbank"),10.4,7.55)</f>
        <v/>
      </c>
      <c r="L215" s="29">
        <f>I215*K215</f>
        <v/>
      </c>
      <c r="M215" s="29">
        <f>L215-J215</f>
        <v/>
      </c>
      <c r="N215" s="29">
        <f>MAX(0,M215)</f>
        <v/>
      </c>
      <c r="O215" s="31">
        <f>IF(ABS(M215)&lt;0.005,"OK",IF(M215&gt;0,"UNDERBILLED","OVERBILLED"))</f>
        <v/>
      </c>
      <c r="P215" s="27" t="inlineStr">
        <is>
          <t>AR_Aging row 208; inventory row 223</t>
        </is>
      </c>
    </row>
    <row r="216" ht="23" customHeight="1">
      <c r="A216" s="27" t="inlineStr">
        <is>
          <t>AC-LP-1007</t>
        </is>
      </c>
      <c r="B216" s="27" t="inlineStr">
        <is>
          <t>Shawn Carter</t>
        </is>
      </c>
      <c r="C216" s="27" t="inlineStr">
        <is>
          <t>LP-1007</t>
        </is>
      </c>
      <c r="D216" s="27" t="inlineStr">
        <is>
          <t>Ledgport</t>
        </is>
      </c>
      <c r="E216" s="27" t="inlineStr">
        <is>
          <t>covered</t>
        </is>
      </c>
      <c r="F216" s="27" t="inlineStr">
        <is>
          <t>OCCUPIED</t>
        </is>
      </c>
      <c r="G216" s="28" t="n">
        <v>57.9</v>
      </c>
      <c r="H216" s="28" t="n">
        <v>32</v>
      </c>
      <c r="I216" s="28">
        <f>MAX(ROUNDUP(G216,0),H216)</f>
        <v/>
      </c>
      <c r="J216" s="29" t="n">
        <v>603.2</v>
      </c>
      <c r="K216" s="30">
        <f>IF(OR(D216="Ledgport",D216="Vessbank"),10.4,7.55)</f>
        <v/>
      </c>
      <c r="L216" s="29">
        <f>I216*K216</f>
        <v/>
      </c>
      <c r="M216" s="29">
        <f>L216-J216</f>
        <v/>
      </c>
      <c r="N216" s="29">
        <f>MAX(0,M216)</f>
        <v/>
      </c>
      <c r="O216" s="31">
        <f>IF(ABS(M216)&lt;0.005,"OK",IF(M216&gt;0,"UNDERBILLED","OVERBILLED"))</f>
        <v/>
      </c>
      <c r="P216" s="27" t="inlineStr">
        <is>
          <t>AR_Aging row 209; inventory row 224</t>
        </is>
      </c>
    </row>
    <row r="217" ht="23" customHeight="1">
      <c r="A217" s="27" t="inlineStr">
        <is>
          <t>AC-LP-1008</t>
        </is>
      </c>
      <c r="B217" s="27" t="inlineStr">
        <is>
          <t>Travis Sexton</t>
        </is>
      </c>
      <c r="C217" s="27" t="inlineStr">
        <is>
          <t>LP-1008</t>
        </is>
      </c>
      <c r="D217" s="27" t="inlineStr">
        <is>
          <t>Ledgport</t>
        </is>
      </c>
      <c r="E217" s="27" t="inlineStr">
        <is>
          <t>covered</t>
        </is>
      </c>
      <c r="F217" s="27" t="inlineStr">
        <is>
          <t>OCCUPIED</t>
        </is>
      </c>
      <c r="G217" s="28" t="n">
        <v>58.9</v>
      </c>
      <c r="H217" s="28" t="n">
        <v>32</v>
      </c>
      <c r="I217" s="28">
        <f>MAX(ROUNDUP(G217,0),H217)</f>
        <v/>
      </c>
      <c r="J217" s="29" t="n">
        <v>613.6</v>
      </c>
      <c r="K217" s="30">
        <f>IF(OR(D217="Ledgport",D217="Vessbank"),10.4,7.55)</f>
        <v/>
      </c>
      <c r="L217" s="29">
        <f>I217*K217</f>
        <v/>
      </c>
      <c r="M217" s="29">
        <f>L217-J217</f>
        <v/>
      </c>
      <c r="N217" s="29">
        <f>MAX(0,M217)</f>
        <v/>
      </c>
      <c r="O217" s="31">
        <f>IF(ABS(M217)&lt;0.005,"OK",IF(M217&gt;0,"UNDERBILLED","OVERBILLED"))</f>
        <v/>
      </c>
      <c r="P217" s="27" t="inlineStr">
        <is>
          <t>AR_Aging row 210; inventory row 225</t>
        </is>
      </c>
    </row>
    <row r="218" ht="23" customHeight="1">
      <c r="A218" s="27" t="inlineStr">
        <is>
          <t>AC-LP-1009</t>
        </is>
      </c>
      <c r="B218" s="27" t="inlineStr">
        <is>
          <t>Bradley Franklin</t>
        </is>
      </c>
      <c r="C218" s="27" t="inlineStr">
        <is>
          <t>LP-1009</t>
        </is>
      </c>
      <c r="D218" s="27" t="inlineStr">
        <is>
          <t>Ledgport</t>
        </is>
      </c>
      <c r="E218" s="27" t="inlineStr">
        <is>
          <t>covered</t>
        </is>
      </c>
      <c r="F218" s="27" t="inlineStr">
        <is>
          <t>OCCUPIED</t>
        </is>
      </c>
      <c r="G218" s="28" t="n">
        <v>19.3</v>
      </c>
      <c r="H218" s="28" t="n">
        <v>32</v>
      </c>
      <c r="I218" s="28">
        <f>MAX(ROUNDUP(G218,0),H218)</f>
        <v/>
      </c>
      <c r="J218" s="29" t="n">
        <v>332.8</v>
      </c>
      <c r="K218" s="30">
        <f>IF(OR(D218="Ledgport",D218="Vessbank"),10.4,7.55)</f>
        <v/>
      </c>
      <c r="L218" s="29">
        <f>I218*K218</f>
        <v/>
      </c>
      <c r="M218" s="29">
        <f>L218-J218</f>
        <v/>
      </c>
      <c r="N218" s="29">
        <f>MAX(0,M218)</f>
        <v/>
      </c>
      <c r="O218" s="31">
        <f>IF(ABS(M218)&lt;0.005,"OK",IF(M218&gt;0,"UNDERBILLED","OVERBILLED"))</f>
        <v/>
      </c>
      <c r="P218" s="27" t="inlineStr">
        <is>
          <t>AR_Aging row 211; inventory row 226</t>
        </is>
      </c>
    </row>
    <row r="219" ht="23" customHeight="1">
      <c r="A219" s="27" t="inlineStr">
        <is>
          <t>AC-LP-1010</t>
        </is>
      </c>
      <c r="B219" s="27" t="inlineStr">
        <is>
          <t>Sherry Fletcher</t>
        </is>
      </c>
      <c r="C219" s="27" t="inlineStr">
        <is>
          <t>LP-1010</t>
        </is>
      </c>
      <c r="D219" s="27" t="inlineStr">
        <is>
          <t>Ledgport</t>
        </is>
      </c>
      <c r="E219" s="27" t="inlineStr">
        <is>
          <t>covered</t>
        </is>
      </c>
      <c r="F219" s="27" t="inlineStr">
        <is>
          <t>OCCUPIED</t>
        </is>
      </c>
      <c r="G219" s="28" t="n">
        <v>61.8</v>
      </c>
      <c r="H219" s="28" t="n">
        <v>32</v>
      </c>
      <c r="I219" s="28">
        <f>MAX(ROUNDUP(G219,0),H219)</f>
        <v/>
      </c>
      <c r="J219" s="29" t="n">
        <v>644.8</v>
      </c>
      <c r="K219" s="30">
        <f>IF(OR(D219="Ledgport",D219="Vessbank"),10.4,7.55)</f>
        <v/>
      </c>
      <c r="L219" s="29">
        <f>I219*K219</f>
        <v/>
      </c>
      <c r="M219" s="29">
        <f>L219-J219</f>
        <v/>
      </c>
      <c r="N219" s="29">
        <f>MAX(0,M219)</f>
        <v/>
      </c>
      <c r="O219" s="31">
        <f>IF(ABS(M219)&lt;0.005,"OK",IF(M219&gt;0,"UNDERBILLED","OVERBILLED"))</f>
        <v/>
      </c>
      <c r="P219" s="27" t="inlineStr">
        <is>
          <t>AR_Aging row 212; inventory row 227</t>
        </is>
      </c>
    </row>
    <row r="220" ht="23" customHeight="1">
      <c r="A220" s="27" t="inlineStr">
        <is>
          <t>AC-LP-1011</t>
        </is>
      </c>
      <c r="B220" s="27" t="inlineStr">
        <is>
          <t>Leslie Marsh</t>
        </is>
      </c>
      <c r="C220" s="27" t="inlineStr">
        <is>
          <t>LP-1011</t>
        </is>
      </c>
      <c r="D220" s="27" t="inlineStr">
        <is>
          <t>Ledgport</t>
        </is>
      </c>
      <c r="E220" s="27" t="inlineStr">
        <is>
          <t>covered</t>
        </is>
      </c>
      <c r="F220" s="27" t="inlineStr">
        <is>
          <t>OCCUPIED</t>
        </is>
      </c>
      <c r="G220" s="28" t="n">
        <v>40.9</v>
      </c>
      <c r="H220" s="28" t="n">
        <v>24</v>
      </c>
      <c r="I220" s="28">
        <f>MAX(ROUNDUP(G220,0),H220)</f>
        <v/>
      </c>
      <c r="J220" s="29" t="n">
        <v>426.4</v>
      </c>
      <c r="K220" s="30">
        <f>IF(OR(D220="Ledgport",D220="Vessbank"),10.4,7.55)</f>
        <v/>
      </c>
      <c r="L220" s="29">
        <f>I220*K220</f>
        <v/>
      </c>
      <c r="M220" s="29">
        <f>L220-J220</f>
        <v/>
      </c>
      <c r="N220" s="29">
        <f>MAX(0,M220)</f>
        <v/>
      </c>
      <c r="O220" s="31">
        <f>IF(ABS(M220)&lt;0.005,"OK",IF(M220&gt;0,"UNDERBILLED","OVERBILLED"))</f>
        <v/>
      </c>
      <c r="P220" s="27" t="inlineStr">
        <is>
          <t>AR_Aging row 213; inventory row 228</t>
        </is>
      </c>
    </row>
    <row r="221" ht="23" customHeight="1">
      <c r="A221" s="27" t="inlineStr">
        <is>
          <t>AC-LP-1012</t>
        </is>
      </c>
      <c r="B221" s="27" t="inlineStr">
        <is>
          <t>Yvonne Collins</t>
        </is>
      </c>
      <c r="C221" s="27" t="inlineStr">
        <is>
          <t>LP-1012</t>
        </is>
      </c>
      <c r="D221" s="27" t="inlineStr">
        <is>
          <t>Ledgport</t>
        </is>
      </c>
      <c r="E221" s="27" t="inlineStr">
        <is>
          <t>covered</t>
        </is>
      </c>
      <c r="F221" s="27" t="inlineStr">
        <is>
          <t>OCCUPIED</t>
        </is>
      </c>
      <c r="G221" s="28" t="n">
        <v>28.7</v>
      </c>
      <c r="H221" s="28" t="n">
        <v>28</v>
      </c>
      <c r="I221" s="28">
        <f>MAX(ROUNDUP(G221,0),H221)</f>
        <v/>
      </c>
      <c r="J221" s="29" t="n">
        <v>301.6</v>
      </c>
      <c r="K221" s="30">
        <f>IF(OR(D221="Ledgport",D221="Vessbank"),10.4,7.55)</f>
        <v/>
      </c>
      <c r="L221" s="29">
        <f>I221*K221</f>
        <v/>
      </c>
      <c r="M221" s="29">
        <f>L221-J221</f>
        <v/>
      </c>
      <c r="N221" s="29">
        <f>MAX(0,M221)</f>
        <v/>
      </c>
      <c r="O221" s="31">
        <f>IF(ABS(M221)&lt;0.005,"OK",IF(M221&gt;0,"UNDERBILLED","OVERBILLED"))</f>
        <v/>
      </c>
      <c r="P221" s="27" t="inlineStr">
        <is>
          <t>AR_Aging row 214; inventory row 229</t>
        </is>
      </c>
    </row>
    <row r="222" ht="23" customHeight="1">
      <c r="A222" s="27" t="inlineStr">
        <is>
          <t>AC-LP-1013</t>
        </is>
      </c>
      <c r="B222" s="27" t="inlineStr">
        <is>
          <t>Melissa Villanueva</t>
        </is>
      </c>
      <c r="C222" s="27" t="inlineStr">
        <is>
          <t>LP-1013</t>
        </is>
      </c>
      <c r="D222" s="27" t="inlineStr">
        <is>
          <t>Ledgport</t>
        </is>
      </c>
      <c r="E222" s="27" t="inlineStr">
        <is>
          <t>covered</t>
        </is>
      </c>
      <c r="F222" s="27" t="inlineStr">
        <is>
          <t>OCCUPIED</t>
        </is>
      </c>
      <c r="G222" s="28" t="n">
        <v>19.5</v>
      </c>
      <c r="H222" s="28" t="n">
        <v>28</v>
      </c>
      <c r="I222" s="28">
        <f>MAX(ROUNDUP(G222,0),H222)</f>
        <v/>
      </c>
      <c r="J222" s="29" t="n">
        <v>291.2</v>
      </c>
      <c r="K222" s="30">
        <f>IF(OR(D222="Ledgport",D222="Vessbank"),10.4,7.55)</f>
        <v/>
      </c>
      <c r="L222" s="29">
        <f>I222*K222</f>
        <v/>
      </c>
      <c r="M222" s="29">
        <f>L222-J222</f>
        <v/>
      </c>
      <c r="N222" s="29">
        <f>MAX(0,M222)</f>
        <v/>
      </c>
      <c r="O222" s="31">
        <f>IF(ABS(M222)&lt;0.005,"OK",IF(M222&gt;0,"UNDERBILLED","OVERBILLED"))</f>
        <v/>
      </c>
      <c r="P222" s="27" t="inlineStr">
        <is>
          <t>AR_Aging row 215; inventory row 230</t>
        </is>
      </c>
    </row>
    <row r="223" ht="23" customHeight="1">
      <c r="A223" s="27" t="inlineStr">
        <is>
          <t>AC-LP-1014</t>
        </is>
      </c>
      <c r="B223" s="27" t="inlineStr">
        <is>
          <t>Shari Hess</t>
        </is>
      </c>
      <c r="C223" s="27" t="inlineStr">
        <is>
          <t>LP-1014</t>
        </is>
      </c>
      <c r="D223" s="27" t="inlineStr">
        <is>
          <t>Ledgport</t>
        </is>
      </c>
      <c r="E223" s="27" t="inlineStr">
        <is>
          <t>covered</t>
        </is>
      </c>
      <c r="F223" s="27" t="inlineStr">
        <is>
          <t>OCCUPIED</t>
        </is>
      </c>
      <c r="G223" s="28" t="n">
        <v>19.4</v>
      </c>
      <c r="H223" s="28" t="n">
        <v>24</v>
      </c>
      <c r="I223" s="28">
        <f>MAX(ROUNDUP(G223,0),H223)</f>
        <v/>
      </c>
      <c r="J223" s="29" t="n">
        <v>249.6</v>
      </c>
      <c r="K223" s="30">
        <f>IF(OR(D223="Ledgport",D223="Vessbank"),10.4,7.55)</f>
        <v/>
      </c>
      <c r="L223" s="29">
        <f>I223*K223</f>
        <v/>
      </c>
      <c r="M223" s="29">
        <f>L223-J223</f>
        <v/>
      </c>
      <c r="N223" s="29">
        <f>MAX(0,M223)</f>
        <v/>
      </c>
      <c r="O223" s="31">
        <f>IF(ABS(M223)&lt;0.005,"OK",IF(M223&gt;0,"UNDERBILLED","OVERBILLED"))</f>
        <v/>
      </c>
      <c r="P223" s="27" t="inlineStr">
        <is>
          <t>AR_Aging row 216; inventory row 231</t>
        </is>
      </c>
    </row>
    <row r="224" ht="23" customHeight="1">
      <c r="A224" s="27" t="inlineStr">
        <is>
          <t>AC-LP-1016</t>
        </is>
      </c>
      <c r="B224" s="27" t="inlineStr">
        <is>
          <t>Joshua Rivera</t>
        </is>
      </c>
      <c r="C224" s="27" t="inlineStr">
        <is>
          <t>LP-1016</t>
        </is>
      </c>
      <c r="D224" s="27" t="inlineStr">
        <is>
          <t>Ledgport</t>
        </is>
      </c>
      <c r="E224" s="27" t="inlineStr">
        <is>
          <t>covered</t>
        </is>
      </c>
      <c r="F224" s="27" t="inlineStr">
        <is>
          <t>OCCUPIED</t>
        </is>
      </c>
      <c r="G224" s="28" t="n">
        <v>25.9</v>
      </c>
      <c r="H224" s="28" t="n">
        <v>28</v>
      </c>
      <c r="I224" s="28">
        <f>MAX(ROUNDUP(G224,0),H224)</f>
        <v/>
      </c>
      <c r="J224" s="29" t="n">
        <v>291.2</v>
      </c>
      <c r="K224" s="30">
        <f>IF(OR(D224="Ledgport",D224="Vessbank"),10.4,7.55)</f>
        <v/>
      </c>
      <c r="L224" s="29">
        <f>I224*K224</f>
        <v/>
      </c>
      <c r="M224" s="29">
        <f>L224-J224</f>
        <v/>
      </c>
      <c r="N224" s="29">
        <f>MAX(0,M224)</f>
        <v/>
      </c>
      <c r="O224" s="31">
        <f>IF(ABS(M224)&lt;0.005,"OK",IF(M224&gt;0,"UNDERBILLED","OVERBILLED"))</f>
        <v/>
      </c>
      <c r="P224" s="27" t="inlineStr">
        <is>
          <t>AR_Aging row 217; inventory row 233</t>
        </is>
      </c>
    </row>
    <row r="225" ht="23" customHeight="1">
      <c r="A225" s="27" t="inlineStr">
        <is>
          <t>AC-LP-1017</t>
        </is>
      </c>
      <c r="B225" s="27" t="inlineStr">
        <is>
          <t>James Gregory</t>
        </is>
      </c>
      <c r="C225" s="27" t="inlineStr">
        <is>
          <t>LP-1017</t>
        </is>
      </c>
      <c r="D225" s="27" t="inlineStr">
        <is>
          <t>Ledgport</t>
        </is>
      </c>
      <c r="E225" s="27" t="inlineStr">
        <is>
          <t>covered</t>
        </is>
      </c>
      <c r="F225" s="27" t="inlineStr">
        <is>
          <t>OCCUPIED</t>
        </is>
      </c>
      <c r="G225" s="28" t="n">
        <v>55.1</v>
      </c>
      <c r="H225" s="28" t="n">
        <v>32</v>
      </c>
      <c r="I225" s="28">
        <f>MAX(ROUNDUP(G225,0),H225)</f>
        <v/>
      </c>
      <c r="J225" s="29" t="n">
        <v>582.4</v>
      </c>
      <c r="K225" s="30">
        <f>IF(OR(D225="Ledgport",D225="Vessbank"),10.4,7.55)</f>
        <v/>
      </c>
      <c r="L225" s="29">
        <f>I225*K225</f>
        <v/>
      </c>
      <c r="M225" s="29">
        <f>L225-J225</f>
        <v/>
      </c>
      <c r="N225" s="29">
        <f>MAX(0,M225)</f>
        <v/>
      </c>
      <c r="O225" s="31">
        <f>IF(ABS(M225)&lt;0.005,"OK",IF(M225&gt;0,"UNDERBILLED","OVERBILLED"))</f>
        <v/>
      </c>
      <c r="P225" s="27" t="inlineStr">
        <is>
          <t>AR_Aging row 218; inventory row 234</t>
        </is>
      </c>
    </row>
    <row r="226" ht="23" customHeight="1">
      <c r="A226" s="27" t="inlineStr">
        <is>
          <t>AC-LP-1018</t>
        </is>
      </c>
      <c r="B226" s="27" t="inlineStr">
        <is>
          <t>Christina Rivera</t>
        </is>
      </c>
      <c r="C226" s="27" t="inlineStr">
        <is>
          <t>LP-1018</t>
        </is>
      </c>
      <c r="D226" s="27" t="inlineStr">
        <is>
          <t>Ledgport</t>
        </is>
      </c>
      <c r="E226" s="27" t="inlineStr">
        <is>
          <t>covered</t>
        </is>
      </c>
      <c r="F226" s="27" t="inlineStr">
        <is>
          <t>OCCUPIED</t>
        </is>
      </c>
      <c r="G226" s="28" t="n">
        <v>53.2</v>
      </c>
      <c r="H226" s="28" t="n">
        <v>32</v>
      </c>
      <c r="I226" s="28">
        <f>MAX(ROUNDUP(G226,0),H226)</f>
        <v/>
      </c>
      <c r="J226" s="29" t="n">
        <v>561.6</v>
      </c>
      <c r="K226" s="30">
        <f>IF(OR(D226="Ledgport",D226="Vessbank"),10.4,7.55)</f>
        <v/>
      </c>
      <c r="L226" s="29">
        <f>I226*K226</f>
        <v/>
      </c>
      <c r="M226" s="29">
        <f>L226-J226</f>
        <v/>
      </c>
      <c r="N226" s="29">
        <f>MAX(0,M226)</f>
        <v/>
      </c>
      <c r="O226" s="31">
        <f>IF(ABS(M226)&lt;0.005,"OK",IF(M226&gt;0,"UNDERBILLED","OVERBILLED"))</f>
        <v/>
      </c>
      <c r="P226" s="27" t="inlineStr">
        <is>
          <t>AR_Aging row 219; inventory row 235</t>
        </is>
      </c>
    </row>
    <row r="227" ht="23" customHeight="1">
      <c r="A227" s="27" t="inlineStr">
        <is>
          <t>AC-LP-1020</t>
        </is>
      </c>
      <c r="B227" s="27" t="inlineStr">
        <is>
          <t>Michael Taylor</t>
        </is>
      </c>
      <c r="C227" s="27" t="inlineStr">
        <is>
          <t>LP-1020</t>
        </is>
      </c>
      <c r="D227" s="27" t="inlineStr">
        <is>
          <t>Ledgport</t>
        </is>
      </c>
      <c r="E227" s="27" t="inlineStr">
        <is>
          <t>covered</t>
        </is>
      </c>
      <c r="F227" s="27" t="inlineStr">
        <is>
          <t>OCCUPIED</t>
        </is>
      </c>
      <c r="G227" s="28" t="n">
        <v>25.1</v>
      </c>
      <c r="H227" s="28" t="n">
        <v>32</v>
      </c>
      <c r="I227" s="28">
        <f>MAX(ROUNDUP(G227,0),H227)</f>
        <v/>
      </c>
      <c r="J227" s="29" t="n">
        <v>332.8</v>
      </c>
      <c r="K227" s="30">
        <f>IF(OR(D227="Ledgport",D227="Vessbank"),10.4,7.55)</f>
        <v/>
      </c>
      <c r="L227" s="29">
        <f>I227*K227</f>
        <v/>
      </c>
      <c r="M227" s="29">
        <f>L227-J227</f>
        <v/>
      </c>
      <c r="N227" s="29">
        <f>MAX(0,M227)</f>
        <v/>
      </c>
      <c r="O227" s="31">
        <f>IF(ABS(M227)&lt;0.005,"OK",IF(M227&gt;0,"UNDERBILLED","OVERBILLED"))</f>
        <v/>
      </c>
      <c r="P227" s="27" t="inlineStr">
        <is>
          <t>AR_Aging row 220; inventory row 237</t>
        </is>
      </c>
    </row>
    <row r="228" ht="23" customHeight="1">
      <c r="A228" s="27" t="inlineStr">
        <is>
          <t>AC-LP-1021</t>
        </is>
      </c>
      <c r="B228" s="27" t="inlineStr">
        <is>
          <t>Kimberly Wilson</t>
        </is>
      </c>
      <c r="C228" s="27" t="inlineStr">
        <is>
          <t>LP-1021</t>
        </is>
      </c>
      <c r="D228" s="27" t="inlineStr">
        <is>
          <t>Ledgport</t>
        </is>
      </c>
      <c r="E228" s="27" t="inlineStr">
        <is>
          <t>covered</t>
        </is>
      </c>
      <c r="F228" s="27" t="inlineStr">
        <is>
          <t>OCCUPIED</t>
        </is>
      </c>
      <c r="G228" s="28" t="n">
        <v>36.2</v>
      </c>
      <c r="H228" s="28" t="n">
        <v>24</v>
      </c>
      <c r="I228" s="28">
        <f>MAX(ROUNDUP(G228,0),H228)</f>
        <v/>
      </c>
      <c r="J228" s="29" t="n">
        <v>384.8</v>
      </c>
      <c r="K228" s="30">
        <f>IF(OR(D228="Ledgport",D228="Vessbank"),10.4,7.55)</f>
        <v/>
      </c>
      <c r="L228" s="29">
        <f>I228*K228</f>
        <v/>
      </c>
      <c r="M228" s="29">
        <f>L228-J228</f>
        <v/>
      </c>
      <c r="N228" s="29">
        <f>MAX(0,M228)</f>
        <v/>
      </c>
      <c r="O228" s="31">
        <f>IF(ABS(M228)&lt;0.005,"OK",IF(M228&gt;0,"UNDERBILLED","OVERBILLED"))</f>
        <v/>
      </c>
      <c r="P228" s="27" t="inlineStr">
        <is>
          <t>AR_Aging row 221; inventory row 238</t>
        </is>
      </c>
    </row>
    <row r="229" ht="23" customHeight="1">
      <c r="A229" s="27" t="inlineStr">
        <is>
          <t>AC-LP-1022</t>
        </is>
      </c>
      <c r="B229" s="27" t="inlineStr">
        <is>
          <t>Kathleen Mcdonald</t>
        </is>
      </c>
      <c r="C229" s="27" t="inlineStr">
        <is>
          <t>LP-1022</t>
        </is>
      </c>
      <c r="D229" s="27" t="inlineStr">
        <is>
          <t>Ledgport</t>
        </is>
      </c>
      <c r="E229" s="27" t="inlineStr">
        <is>
          <t>covered</t>
        </is>
      </c>
      <c r="F229" s="27" t="inlineStr">
        <is>
          <t>OCCUPIED</t>
        </is>
      </c>
      <c r="G229" s="28" t="n">
        <v>28.7</v>
      </c>
      <c r="H229" s="28" t="n">
        <v>24</v>
      </c>
      <c r="I229" s="28">
        <f>MAX(ROUNDUP(G229,0),H229)</f>
        <v/>
      </c>
      <c r="J229" s="29" t="n">
        <v>301.6</v>
      </c>
      <c r="K229" s="30">
        <f>IF(OR(D229="Ledgport",D229="Vessbank"),10.4,7.55)</f>
        <v/>
      </c>
      <c r="L229" s="29">
        <f>I229*K229</f>
        <v/>
      </c>
      <c r="M229" s="29">
        <f>L229-J229</f>
        <v/>
      </c>
      <c r="N229" s="29">
        <f>MAX(0,M229)</f>
        <v/>
      </c>
      <c r="O229" s="31">
        <f>IF(ABS(M229)&lt;0.005,"OK",IF(M229&gt;0,"UNDERBILLED","OVERBILLED"))</f>
        <v/>
      </c>
      <c r="P229" s="27" t="inlineStr">
        <is>
          <t>AR_Aging row 222; inventory row 239</t>
        </is>
      </c>
    </row>
    <row r="230" ht="23" customHeight="1">
      <c r="A230" s="27" t="inlineStr">
        <is>
          <t>AC-LP-1023</t>
        </is>
      </c>
      <c r="B230" s="27" t="inlineStr">
        <is>
          <t>Patrick Richmond</t>
        </is>
      </c>
      <c r="C230" s="27" t="inlineStr">
        <is>
          <t>LP-1023</t>
        </is>
      </c>
      <c r="D230" s="27" t="inlineStr">
        <is>
          <t>Ledgport</t>
        </is>
      </c>
      <c r="E230" s="27" t="inlineStr">
        <is>
          <t>covered</t>
        </is>
      </c>
      <c r="F230" s="27" t="inlineStr">
        <is>
          <t>OCCUPIED</t>
        </is>
      </c>
      <c r="G230" s="28" t="n">
        <v>20</v>
      </c>
      <c r="H230" s="28" t="n">
        <v>24</v>
      </c>
      <c r="I230" s="28">
        <f>MAX(ROUNDUP(G230,0),H230)</f>
        <v/>
      </c>
      <c r="J230" s="29" t="n">
        <v>249.6</v>
      </c>
      <c r="K230" s="30">
        <f>IF(OR(D230="Ledgport",D230="Vessbank"),10.4,7.55)</f>
        <v/>
      </c>
      <c r="L230" s="29">
        <f>I230*K230</f>
        <v/>
      </c>
      <c r="M230" s="29">
        <f>L230-J230</f>
        <v/>
      </c>
      <c r="N230" s="29">
        <f>MAX(0,M230)</f>
        <v/>
      </c>
      <c r="O230" s="31">
        <f>IF(ABS(M230)&lt;0.005,"OK",IF(M230&gt;0,"UNDERBILLED","OVERBILLED"))</f>
        <v/>
      </c>
      <c r="P230" s="27" t="inlineStr">
        <is>
          <t>AR_Aging row 223; inventory row 240</t>
        </is>
      </c>
    </row>
    <row r="231" ht="23" customHeight="1">
      <c r="A231" s="27" t="inlineStr">
        <is>
          <t>AC-LP-1024</t>
        </is>
      </c>
      <c r="B231" s="27" t="inlineStr">
        <is>
          <t>Brittany Benson</t>
        </is>
      </c>
      <c r="C231" s="27" t="inlineStr">
        <is>
          <t>LP-1024</t>
        </is>
      </c>
      <c r="D231" s="27" t="inlineStr">
        <is>
          <t>Ledgport</t>
        </is>
      </c>
      <c r="E231" s="27" t="inlineStr">
        <is>
          <t>covered</t>
        </is>
      </c>
      <c r="F231" s="27" t="inlineStr">
        <is>
          <t>OCCUPIED</t>
        </is>
      </c>
      <c r="G231" s="28" t="n">
        <v>53.7</v>
      </c>
      <c r="H231" s="28" t="n">
        <v>32</v>
      </c>
      <c r="I231" s="28">
        <f>MAX(ROUNDUP(G231,0),H231)</f>
        <v/>
      </c>
      <c r="J231" s="29" t="n">
        <v>561.6</v>
      </c>
      <c r="K231" s="30">
        <f>IF(OR(D231="Ledgport",D231="Vessbank"),10.4,7.55)</f>
        <v/>
      </c>
      <c r="L231" s="29">
        <f>I231*K231</f>
        <v/>
      </c>
      <c r="M231" s="29">
        <f>L231-J231</f>
        <v/>
      </c>
      <c r="N231" s="29">
        <f>MAX(0,M231)</f>
        <v/>
      </c>
      <c r="O231" s="31">
        <f>IF(ABS(M231)&lt;0.005,"OK",IF(M231&gt;0,"UNDERBILLED","OVERBILLED"))</f>
        <v/>
      </c>
      <c r="P231" s="27" t="inlineStr">
        <is>
          <t>AR_Aging row 224; inventory row 241</t>
        </is>
      </c>
    </row>
    <row r="232" ht="23" customHeight="1">
      <c r="A232" s="27" t="inlineStr">
        <is>
          <t>AC-LP-1102</t>
        </is>
      </c>
      <c r="B232" s="27" t="inlineStr">
        <is>
          <t>Rodney Morris</t>
        </is>
      </c>
      <c r="C232" s="27" t="inlineStr">
        <is>
          <t>LP-1102</t>
        </is>
      </c>
      <c r="D232" s="27" t="inlineStr">
        <is>
          <t>Ledgport</t>
        </is>
      </c>
      <c r="E232" s="27" t="inlineStr">
        <is>
          <t>covered</t>
        </is>
      </c>
      <c r="F232" s="27" t="inlineStr">
        <is>
          <t>OCCUPIED</t>
        </is>
      </c>
      <c r="G232" s="28" t="n">
        <v>54.9</v>
      </c>
      <c r="H232" s="28" t="n">
        <v>28</v>
      </c>
      <c r="I232" s="28">
        <f>MAX(ROUNDUP(G232,0),H232)</f>
        <v/>
      </c>
      <c r="J232" s="29" t="n">
        <v>572</v>
      </c>
      <c r="K232" s="30">
        <f>IF(OR(D232="Ledgport",D232="Vessbank"),10.4,7.55)</f>
        <v/>
      </c>
      <c r="L232" s="29">
        <f>I232*K232</f>
        <v/>
      </c>
      <c r="M232" s="29">
        <f>L232-J232</f>
        <v/>
      </c>
      <c r="N232" s="29">
        <f>MAX(0,M232)</f>
        <v/>
      </c>
      <c r="O232" s="31">
        <f>IF(ABS(M232)&lt;0.005,"OK",IF(M232&gt;0,"UNDERBILLED","OVERBILLED"))</f>
        <v/>
      </c>
      <c r="P232" s="27" t="inlineStr">
        <is>
          <t>AR_Aging row 225; inventory row 243</t>
        </is>
      </c>
    </row>
    <row r="233" ht="23" customHeight="1">
      <c r="A233" s="27" t="inlineStr">
        <is>
          <t>AC-LP-1103</t>
        </is>
      </c>
      <c r="B233" s="27" t="inlineStr">
        <is>
          <t>Amanda Clayton</t>
        </is>
      </c>
      <c r="C233" s="27" t="inlineStr">
        <is>
          <t>LP-1103</t>
        </is>
      </c>
      <c r="D233" s="27" t="inlineStr">
        <is>
          <t>Ledgport</t>
        </is>
      </c>
      <c r="E233" s="27" t="inlineStr">
        <is>
          <t>covered</t>
        </is>
      </c>
      <c r="F233" s="27" t="inlineStr">
        <is>
          <t>OCCUPIED</t>
        </is>
      </c>
      <c r="G233" s="28" t="n">
        <v>23.2</v>
      </c>
      <c r="H233" s="28" t="n">
        <v>32</v>
      </c>
      <c r="I233" s="28">
        <f>MAX(ROUNDUP(G233,0),H233)</f>
        <v/>
      </c>
      <c r="J233" s="29" t="n">
        <v>332.8</v>
      </c>
      <c r="K233" s="30">
        <f>IF(OR(D233="Ledgport",D233="Vessbank"),10.4,7.55)</f>
        <v/>
      </c>
      <c r="L233" s="29">
        <f>I233*K233</f>
        <v/>
      </c>
      <c r="M233" s="29">
        <f>L233-J233</f>
        <v/>
      </c>
      <c r="N233" s="29">
        <f>MAX(0,M233)</f>
        <v/>
      </c>
      <c r="O233" s="31">
        <f>IF(ABS(M233)&lt;0.005,"OK",IF(M233&gt;0,"UNDERBILLED","OVERBILLED"))</f>
        <v/>
      </c>
      <c r="P233" s="27" t="inlineStr">
        <is>
          <t>AR_Aging row 226; inventory row 244</t>
        </is>
      </c>
    </row>
    <row r="234" ht="23" customHeight="1">
      <c r="A234" s="27" t="inlineStr">
        <is>
          <t>AC-LP-1104</t>
        </is>
      </c>
      <c r="B234" s="27" t="inlineStr">
        <is>
          <t>Trevor Turner</t>
        </is>
      </c>
      <c r="C234" s="27" t="inlineStr">
        <is>
          <t>LP-1104</t>
        </is>
      </c>
      <c r="D234" s="27" t="inlineStr">
        <is>
          <t>Ledgport</t>
        </is>
      </c>
      <c r="E234" s="27" t="inlineStr">
        <is>
          <t>covered</t>
        </is>
      </c>
      <c r="F234" s="27" t="inlineStr">
        <is>
          <t>OCCUPIED</t>
        </is>
      </c>
      <c r="G234" s="28" t="n">
        <v>53.6</v>
      </c>
      <c r="H234" s="28" t="n">
        <v>32</v>
      </c>
      <c r="I234" s="28">
        <f>MAX(ROUNDUP(G234,0),H234)</f>
        <v/>
      </c>
      <c r="J234" s="29" t="n">
        <v>561.6</v>
      </c>
      <c r="K234" s="30">
        <f>IF(OR(D234="Ledgport",D234="Vessbank"),10.4,7.55)</f>
        <v/>
      </c>
      <c r="L234" s="29">
        <f>I234*K234</f>
        <v/>
      </c>
      <c r="M234" s="29">
        <f>L234-J234</f>
        <v/>
      </c>
      <c r="N234" s="29">
        <f>MAX(0,M234)</f>
        <v/>
      </c>
      <c r="O234" s="31">
        <f>IF(ABS(M234)&lt;0.005,"OK",IF(M234&gt;0,"UNDERBILLED","OVERBILLED"))</f>
        <v/>
      </c>
      <c r="P234" s="27" t="inlineStr">
        <is>
          <t>AR_Aging row 227; inventory row 245</t>
        </is>
      </c>
    </row>
    <row r="235" ht="23" customHeight="1">
      <c r="A235" s="27" t="inlineStr">
        <is>
          <t>AC-LP-1105</t>
        </is>
      </c>
      <c r="B235" s="27" t="inlineStr">
        <is>
          <t>Kenneth Frazier</t>
        </is>
      </c>
      <c r="C235" s="27" t="inlineStr">
        <is>
          <t>LP-1105</t>
        </is>
      </c>
      <c r="D235" s="27" t="inlineStr">
        <is>
          <t>Ledgport</t>
        </is>
      </c>
      <c r="E235" s="27" t="inlineStr">
        <is>
          <t>covered</t>
        </is>
      </c>
      <c r="F235" s="27" t="inlineStr">
        <is>
          <t>OCCUPIED</t>
        </is>
      </c>
      <c r="G235" s="28" t="n">
        <v>48.9</v>
      </c>
      <c r="H235" s="28" t="n">
        <v>36</v>
      </c>
      <c r="I235" s="28">
        <f>MAX(ROUNDUP(G235,0),H235)</f>
        <v/>
      </c>
      <c r="J235" s="29" t="n">
        <v>509.6</v>
      </c>
      <c r="K235" s="30">
        <f>IF(OR(D235="Ledgport",D235="Vessbank"),10.4,7.55)</f>
        <v/>
      </c>
      <c r="L235" s="29">
        <f>I235*K235</f>
        <v/>
      </c>
      <c r="M235" s="29">
        <f>L235-J235</f>
        <v/>
      </c>
      <c r="N235" s="29">
        <f>MAX(0,M235)</f>
        <v/>
      </c>
      <c r="O235" s="31">
        <f>IF(ABS(M235)&lt;0.005,"OK",IF(M235&gt;0,"UNDERBILLED","OVERBILLED"))</f>
        <v/>
      </c>
      <c r="P235" s="27" t="inlineStr">
        <is>
          <t>AR_Aging row 228; inventory row 246</t>
        </is>
      </c>
    </row>
    <row r="236" ht="23" customHeight="1">
      <c r="A236" s="27" t="inlineStr">
        <is>
          <t>AC-LP-1106</t>
        </is>
      </c>
      <c r="B236" s="27" t="inlineStr">
        <is>
          <t>Marisa Alexander</t>
        </is>
      </c>
      <c r="C236" s="27" t="inlineStr">
        <is>
          <t>LP-1106</t>
        </is>
      </c>
      <c r="D236" s="27" t="inlineStr">
        <is>
          <t>Ledgport</t>
        </is>
      </c>
      <c r="E236" s="27" t="inlineStr">
        <is>
          <t>covered</t>
        </is>
      </c>
      <c r="F236" s="27" t="inlineStr">
        <is>
          <t>OCCUPIED</t>
        </is>
      </c>
      <c r="G236" s="28" t="n">
        <v>18.6</v>
      </c>
      <c r="H236" s="28" t="n">
        <v>24</v>
      </c>
      <c r="I236" s="28">
        <f>MAX(ROUNDUP(G236,0),H236)</f>
        <v/>
      </c>
      <c r="J236" s="29" t="n">
        <v>249.6</v>
      </c>
      <c r="K236" s="30">
        <f>IF(OR(D236="Ledgport",D236="Vessbank"),10.4,7.55)</f>
        <v/>
      </c>
      <c r="L236" s="29">
        <f>I236*K236</f>
        <v/>
      </c>
      <c r="M236" s="29">
        <f>L236-J236</f>
        <v/>
      </c>
      <c r="N236" s="29">
        <f>MAX(0,M236)</f>
        <v/>
      </c>
      <c r="O236" s="31">
        <f>IF(ABS(M236)&lt;0.005,"OK",IF(M236&gt;0,"UNDERBILLED","OVERBILLED"))</f>
        <v/>
      </c>
      <c r="P236" s="27" t="inlineStr">
        <is>
          <t>AR_Aging row 229; inventory row 247</t>
        </is>
      </c>
    </row>
    <row r="237" ht="23" customHeight="1">
      <c r="A237" s="27" t="inlineStr">
        <is>
          <t>AC-LP-1107</t>
        </is>
      </c>
      <c r="B237" s="27" t="inlineStr">
        <is>
          <t>Michael Ramirez</t>
        </is>
      </c>
      <c r="C237" s="27" t="inlineStr">
        <is>
          <t>LP-1107</t>
        </is>
      </c>
      <c r="D237" s="27" t="inlineStr">
        <is>
          <t>Ledgport</t>
        </is>
      </c>
      <c r="E237" s="27" t="inlineStr">
        <is>
          <t>covered</t>
        </is>
      </c>
      <c r="F237" s="27" t="inlineStr">
        <is>
          <t>OCCUPIED</t>
        </is>
      </c>
      <c r="G237" s="28" t="n">
        <v>47.6</v>
      </c>
      <c r="H237" s="28" t="n">
        <v>28</v>
      </c>
      <c r="I237" s="28">
        <f>MAX(ROUNDUP(G237,0),H237)</f>
        <v/>
      </c>
      <c r="J237" s="29" t="n">
        <v>499.2</v>
      </c>
      <c r="K237" s="30">
        <f>IF(OR(D237="Ledgport",D237="Vessbank"),10.4,7.55)</f>
        <v/>
      </c>
      <c r="L237" s="29">
        <f>I237*K237</f>
        <v/>
      </c>
      <c r="M237" s="29">
        <f>L237-J237</f>
        <v/>
      </c>
      <c r="N237" s="29">
        <f>MAX(0,M237)</f>
        <v/>
      </c>
      <c r="O237" s="31">
        <f>IF(ABS(M237)&lt;0.005,"OK",IF(M237&gt;0,"UNDERBILLED","OVERBILLED"))</f>
        <v/>
      </c>
      <c r="P237" s="27" t="inlineStr">
        <is>
          <t>AR_Aging row 230; inventory row 248</t>
        </is>
      </c>
    </row>
    <row r="238" ht="23" customHeight="1">
      <c r="A238" s="27" t="inlineStr">
        <is>
          <t>AC-LP-1108</t>
        </is>
      </c>
      <c r="B238" s="27" t="inlineStr">
        <is>
          <t>Victoria Aguirre</t>
        </is>
      </c>
      <c r="C238" s="27" t="inlineStr">
        <is>
          <t>LP-1108</t>
        </is>
      </c>
      <c r="D238" s="27" t="inlineStr">
        <is>
          <t>Ledgport</t>
        </is>
      </c>
      <c r="E238" s="27" t="inlineStr">
        <is>
          <t>covered</t>
        </is>
      </c>
      <c r="F238" s="27" t="inlineStr">
        <is>
          <t>OCCUPIED</t>
        </is>
      </c>
      <c r="G238" s="28" t="n">
        <v>30.9</v>
      </c>
      <c r="H238" s="28" t="n">
        <v>32</v>
      </c>
      <c r="I238" s="28">
        <f>MAX(ROUNDUP(G238,0),H238)</f>
        <v/>
      </c>
      <c r="J238" s="29" t="n">
        <v>332.8</v>
      </c>
      <c r="K238" s="30">
        <f>IF(OR(D238="Ledgport",D238="Vessbank"),10.4,7.55)</f>
        <v/>
      </c>
      <c r="L238" s="29">
        <f>I238*K238</f>
        <v/>
      </c>
      <c r="M238" s="29">
        <f>L238-J238</f>
        <v/>
      </c>
      <c r="N238" s="29">
        <f>MAX(0,M238)</f>
        <v/>
      </c>
      <c r="O238" s="31">
        <f>IF(ABS(M238)&lt;0.005,"OK",IF(M238&gt;0,"UNDERBILLED","OVERBILLED"))</f>
        <v/>
      </c>
      <c r="P238" s="27" t="inlineStr">
        <is>
          <t>AR_Aging row 231; inventory row 249</t>
        </is>
      </c>
    </row>
    <row r="239" ht="23" customHeight="1">
      <c r="A239" s="27" t="inlineStr">
        <is>
          <t>AC-LP-1109</t>
        </is>
      </c>
      <c r="B239" s="27" t="inlineStr">
        <is>
          <t>Pamela Le</t>
        </is>
      </c>
      <c r="C239" s="27" t="inlineStr">
        <is>
          <t>LP-1109</t>
        </is>
      </c>
      <c r="D239" s="27" t="inlineStr">
        <is>
          <t>Ledgport</t>
        </is>
      </c>
      <c r="E239" s="27" t="inlineStr">
        <is>
          <t>covered</t>
        </is>
      </c>
      <c r="F239" s="27" t="inlineStr">
        <is>
          <t>OCCUPIED</t>
        </is>
      </c>
      <c r="G239" s="28" t="n">
        <v>29.2</v>
      </c>
      <c r="H239" s="28" t="n">
        <v>24</v>
      </c>
      <c r="I239" s="28">
        <f>MAX(ROUNDUP(G239,0),H239)</f>
        <v/>
      </c>
      <c r="J239" s="29" t="n">
        <v>312</v>
      </c>
      <c r="K239" s="30">
        <f>IF(OR(D239="Ledgport",D239="Vessbank"),10.4,7.55)</f>
        <v/>
      </c>
      <c r="L239" s="29">
        <f>I239*K239</f>
        <v/>
      </c>
      <c r="M239" s="29">
        <f>L239-J239</f>
        <v/>
      </c>
      <c r="N239" s="29">
        <f>MAX(0,M239)</f>
        <v/>
      </c>
      <c r="O239" s="31">
        <f>IF(ABS(M239)&lt;0.005,"OK",IF(M239&gt;0,"UNDERBILLED","OVERBILLED"))</f>
        <v/>
      </c>
      <c r="P239" s="27" t="inlineStr">
        <is>
          <t>AR_Aging row 232; inventory row 250</t>
        </is>
      </c>
    </row>
    <row r="240" ht="23" customHeight="1">
      <c r="A240" s="27" t="inlineStr">
        <is>
          <t>AC-LP-1110</t>
        </is>
      </c>
      <c r="B240" s="27" t="inlineStr">
        <is>
          <t>John Garcia</t>
        </is>
      </c>
      <c r="C240" s="27" t="inlineStr">
        <is>
          <t>LP-1110</t>
        </is>
      </c>
      <c r="D240" s="27" t="inlineStr">
        <is>
          <t>Ledgport</t>
        </is>
      </c>
      <c r="E240" s="27" t="inlineStr">
        <is>
          <t>covered</t>
        </is>
      </c>
      <c r="F240" s="27" t="inlineStr">
        <is>
          <t>OCCUPIED</t>
        </is>
      </c>
      <c r="G240" s="28" t="n">
        <v>34.1</v>
      </c>
      <c r="H240" s="28" t="n">
        <v>24</v>
      </c>
      <c r="I240" s="28">
        <f>MAX(ROUNDUP(G240,0),H240)</f>
        <v/>
      </c>
      <c r="J240" s="29" t="n">
        <v>364</v>
      </c>
      <c r="K240" s="30">
        <f>IF(OR(D240="Ledgport",D240="Vessbank"),10.4,7.55)</f>
        <v/>
      </c>
      <c r="L240" s="29">
        <f>I240*K240</f>
        <v/>
      </c>
      <c r="M240" s="29">
        <f>L240-J240</f>
        <v/>
      </c>
      <c r="N240" s="29">
        <f>MAX(0,M240)</f>
        <v/>
      </c>
      <c r="O240" s="31">
        <f>IF(ABS(M240)&lt;0.005,"OK",IF(M240&gt;0,"UNDERBILLED","OVERBILLED"))</f>
        <v/>
      </c>
      <c r="P240" s="27" t="inlineStr">
        <is>
          <t>AR_Aging row 233; inventory row 251</t>
        </is>
      </c>
    </row>
    <row r="241" ht="23" customHeight="1">
      <c r="A241" s="27" t="inlineStr">
        <is>
          <t>AC-LP-1111</t>
        </is>
      </c>
      <c r="B241" s="27" t="inlineStr">
        <is>
          <t>Valerie Macias</t>
        </is>
      </c>
      <c r="C241" s="27" t="inlineStr">
        <is>
          <t>LP-1111</t>
        </is>
      </c>
      <c r="D241" s="27" t="inlineStr">
        <is>
          <t>Ledgport</t>
        </is>
      </c>
      <c r="E241" s="27" t="inlineStr">
        <is>
          <t>covered</t>
        </is>
      </c>
      <c r="F241" s="27" t="inlineStr">
        <is>
          <t>OCCUPIED</t>
        </is>
      </c>
      <c r="G241" s="28" t="n">
        <v>54.5</v>
      </c>
      <c r="H241" s="28" t="n">
        <v>32</v>
      </c>
      <c r="I241" s="28">
        <f>MAX(ROUNDUP(G241,0),H241)</f>
        <v/>
      </c>
      <c r="J241" s="29" t="n">
        <v>572</v>
      </c>
      <c r="K241" s="30">
        <f>IF(OR(D241="Ledgport",D241="Vessbank"),10.4,7.55)</f>
        <v/>
      </c>
      <c r="L241" s="29">
        <f>I241*K241</f>
        <v/>
      </c>
      <c r="M241" s="29">
        <f>L241-J241</f>
        <v/>
      </c>
      <c r="N241" s="29">
        <f>MAX(0,M241)</f>
        <v/>
      </c>
      <c r="O241" s="31">
        <f>IF(ABS(M241)&lt;0.005,"OK",IF(M241&gt;0,"UNDERBILLED","OVERBILLED"))</f>
        <v/>
      </c>
      <c r="P241" s="27" t="inlineStr">
        <is>
          <t>AR_Aging row 234; inventory row 252</t>
        </is>
      </c>
    </row>
    <row r="242" ht="23" customHeight="1">
      <c r="A242" s="27" t="inlineStr">
        <is>
          <t>AC-LP-1112</t>
        </is>
      </c>
      <c r="B242" s="27" t="inlineStr">
        <is>
          <t>Nicole Richmond</t>
        </is>
      </c>
      <c r="C242" s="27" t="inlineStr">
        <is>
          <t>LP-1112</t>
        </is>
      </c>
      <c r="D242" s="27" t="inlineStr">
        <is>
          <t>Ledgport</t>
        </is>
      </c>
      <c r="E242" s="27" t="inlineStr">
        <is>
          <t>covered</t>
        </is>
      </c>
      <c r="F242" s="27" t="inlineStr">
        <is>
          <t>OCCUPIED</t>
        </is>
      </c>
      <c r="G242" s="28" t="n">
        <v>34.5</v>
      </c>
      <c r="H242" s="28" t="n">
        <v>40</v>
      </c>
      <c r="I242" s="28">
        <f>MAX(ROUNDUP(G242,0),H242)</f>
        <v/>
      </c>
      <c r="J242" s="29" t="n">
        <v>416</v>
      </c>
      <c r="K242" s="30">
        <f>IF(OR(D242="Ledgport",D242="Vessbank"),10.4,7.55)</f>
        <v/>
      </c>
      <c r="L242" s="29">
        <f>I242*K242</f>
        <v/>
      </c>
      <c r="M242" s="29">
        <f>L242-J242</f>
        <v/>
      </c>
      <c r="N242" s="29">
        <f>MAX(0,M242)</f>
        <v/>
      </c>
      <c r="O242" s="31">
        <f>IF(ABS(M242)&lt;0.005,"OK",IF(M242&gt;0,"UNDERBILLED","OVERBILLED"))</f>
        <v/>
      </c>
      <c r="P242" s="27" t="inlineStr">
        <is>
          <t>AR_Aging row 235; inventory row 253</t>
        </is>
      </c>
    </row>
    <row r="243" ht="23" customHeight="1">
      <c r="A243" s="27" t="inlineStr">
        <is>
          <t>AC-LP-1113</t>
        </is>
      </c>
      <c r="B243" s="27" t="inlineStr">
        <is>
          <t>Whitney Jackson</t>
        </is>
      </c>
      <c r="C243" s="27" t="inlineStr">
        <is>
          <t>LP-1113</t>
        </is>
      </c>
      <c r="D243" s="27" t="inlineStr">
        <is>
          <t>Ledgport</t>
        </is>
      </c>
      <c r="E243" s="27" t="inlineStr">
        <is>
          <t>covered</t>
        </is>
      </c>
      <c r="F243" s="27" t="inlineStr">
        <is>
          <t>OCCUPIED</t>
        </is>
      </c>
      <c r="G243" s="28" t="n">
        <v>18</v>
      </c>
      <c r="H243" s="28" t="n">
        <v>24</v>
      </c>
      <c r="I243" s="28">
        <f>MAX(ROUNDUP(G243,0),H243)</f>
        <v/>
      </c>
      <c r="J243" s="29" t="n">
        <v>249.6</v>
      </c>
      <c r="K243" s="30">
        <f>IF(OR(D243="Ledgport",D243="Vessbank"),10.4,7.55)</f>
        <v/>
      </c>
      <c r="L243" s="29">
        <f>I243*K243</f>
        <v/>
      </c>
      <c r="M243" s="29">
        <f>L243-J243</f>
        <v/>
      </c>
      <c r="N243" s="29">
        <f>MAX(0,M243)</f>
        <v/>
      </c>
      <c r="O243" s="31">
        <f>IF(ABS(M243)&lt;0.005,"OK",IF(M243&gt;0,"UNDERBILLED","OVERBILLED"))</f>
        <v/>
      </c>
      <c r="P243" s="27" t="inlineStr">
        <is>
          <t>AR_Aging row 236; inventory row 254</t>
        </is>
      </c>
    </row>
    <row r="244" ht="23" customHeight="1">
      <c r="A244" s="27" t="inlineStr">
        <is>
          <t>AC-LP-1114</t>
        </is>
      </c>
      <c r="B244" s="27" t="inlineStr">
        <is>
          <t>Sara Nelson</t>
        </is>
      </c>
      <c r="C244" s="27" t="inlineStr">
        <is>
          <t>LP-1114</t>
        </is>
      </c>
      <c r="D244" s="27" t="inlineStr">
        <is>
          <t>Ledgport</t>
        </is>
      </c>
      <c r="E244" s="27" t="inlineStr">
        <is>
          <t>covered</t>
        </is>
      </c>
      <c r="F244" s="27" t="inlineStr">
        <is>
          <t>OCCUPIED</t>
        </is>
      </c>
      <c r="G244" s="28" t="n">
        <v>21.4</v>
      </c>
      <c r="H244" s="28" t="n">
        <v>32</v>
      </c>
      <c r="I244" s="28">
        <f>MAX(ROUNDUP(G244,0),H244)</f>
        <v/>
      </c>
      <c r="J244" s="29" t="n">
        <v>332.8</v>
      </c>
      <c r="K244" s="30">
        <f>IF(OR(D244="Ledgport",D244="Vessbank"),10.4,7.55)</f>
        <v/>
      </c>
      <c r="L244" s="29">
        <f>I244*K244</f>
        <v/>
      </c>
      <c r="M244" s="29">
        <f>L244-J244</f>
        <v/>
      </c>
      <c r="N244" s="29">
        <f>MAX(0,M244)</f>
        <v/>
      </c>
      <c r="O244" s="31">
        <f>IF(ABS(M244)&lt;0.005,"OK",IF(M244&gt;0,"UNDERBILLED","OVERBILLED"))</f>
        <v/>
      </c>
      <c r="P244" s="27" t="inlineStr">
        <is>
          <t>AR_Aging row 237; inventory row 255</t>
        </is>
      </c>
    </row>
    <row r="245" ht="23" customHeight="1">
      <c r="A245" s="27" t="inlineStr">
        <is>
          <t>AC-LP-1115</t>
        </is>
      </c>
      <c r="B245" s="27" t="inlineStr">
        <is>
          <t>Michelle Marsh</t>
        </is>
      </c>
      <c r="C245" s="27" t="inlineStr">
        <is>
          <t>LP-1115</t>
        </is>
      </c>
      <c r="D245" s="27" t="inlineStr">
        <is>
          <t>Ledgport</t>
        </is>
      </c>
      <c r="E245" s="27" t="inlineStr">
        <is>
          <t>covered</t>
        </is>
      </c>
      <c r="F245" s="27" t="inlineStr">
        <is>
          <t>OCCUPIED</t>
        </is>
      </c>
      <c r="G245" s="28" t="n">
        <v>58.7</v>
      </c>
      <c r="H245" s="28" t="n">
        <v>28</v>
      </c>
      <c r="I245" s="28">
        <f>MAX(ROUNDUP(G245,0),H245)</f>
        <v/>
      </c>
      <c r="J245" s="29" t="n">
        <v>613.6</v>
      </c>
      <c r="K245" s="30">
        <f>IF(OR(D245="Ledgport",D245="Vessbank"),10.4,7.55)</f>
        <v/>
      </c>
      <c r="L245" s="29">
        <f>I245*K245</f>
        <v/>
      </c>
      <c r="M245" s="29">
        <f>L245-J245</f>
        <v/>
      </c>
      <c r="N245" s="29">
        <f>MAX(0,M245)</f>
        <v/>
      </c>
      <c r="O245" s="31">
        <f>IF(ABS(M245)&lt;0.005,"OK",IF(M245&gt;0,"UNDERBILLED","OVERBILLED"))</f>
        <v/>
      </c>
      <c r="P245" s="27" t="inlineStr">
        <is>
          <t>AR_Aging row 238; inventory row 256</t>
        </is>
      </c>
    </row>
    <row r="246" ht="23" customHeight="1">
      <c r="A246" s="27" t="inlineStr">
        <is>
          <t>AC-LP-1116</t>
        </is>
      </c>
      <c r="B246" s="27" t="inlineStr">
        <is>
          <t>Kelly Johnson</t>
        </is>
      </c>
      <c r="C246" s="27" t="inlineStr">
        <is>
          <t>LP-1116</t>
        </is>
      </c>
      <c r="D246" s="27" t="inlineStr">
        <is>
          <t>Ledgport</t>
        </is>
      </c>
      <c r="E246" s="27" t="inlineStr">
        <is>
          <t>covered</t>
        </is>
      </c>
      <c r="F246" s="27" t="inlineStr">
        <is>
          <t>OCCUPIED</t>
        </is>
      </c>
      <c r="G246" s="28" t="n">
        <v>36.8</v>
      </c>
      <c r="H246" s="28" t="n">
        <v>28</v>
      </c>
      <c r="I246" s="28">
        <f>MAX(ROUNDUP(G246,0),H246)</f>
        <v/>
      </c>
      <c r="J246" s="29" t="n">
        <v>384.8</v>
      </c>
      <c r="K246" s="30">
        <f>IF(OR(D246="Ledgport",D246="Vessbank"),10.4,7.55)</f>
        <v/>
      </c>
      <c r="L246" s="29">
        <f>I246*K246</f>
        <v/>
      </c>
      <c r="M246" s="29">
        <f>L246-J246</f>
        <v/>
      </c>
      <c r="N246" s="29">
        <f>MAX(0,M246)</f>
        <v/>
      </c>
      <c r="O246" s="31">
        <f>IF(ABS(M246)&lt;0.005,"OK",IF(M246&gt;0,"UNDERBILLED","OVERBILLED"))</f>
        <v/>
      </c>
      <c r="P246" s="27" t="inlineStr">
        <is>
          <t>AR_Aging row 239; inventory row 257</t>
        </is>
      </c>
    </row>
    <row r="247" ht="23" customHeight="1">
      <c r="A247" s="27" t="inlineStr">
        <is>
          <t>AC-LP-1117</t>
        </is>
      </c>
      <c r="B247" s="27" t="inlineStr">
        <is>
          <t>Tina Wells</t>
        </is>
      </c>
      <c r="C247" s="27" t="inlineStr">
        <is>
          <t>LP-1117</t>
        </is>
      </c>
      <c r="D247" s="27" t="inlineStr">
        <is>
          <t>Ledgport</t>
        </is>
      </c>
      <c r="E247" s="27" t="inlineStr">
        <is>
          <t>covered</t>
        </is>
      </c>
      <c r="F247" s="27" t="inlineStr">
        <is>
          <t>OCCUPIED</t>
        </is>
      </c>
      <c r="G247" s="28" t="n">
        <v>62</v>
      </c>
      <c r="H247" s="28" t="n">
        <v>24</v>
      </c>
      <c r="I247" s="28">
        <f>MAX(ROUNDUP(G247,0),H247)</f>
        <v/>
      </c>
      <c r="J247" s="29" t="n">
        <v>644.8</v>
      </c>
      <c r="K247" s="30">
        <f>IF(OR(D247="Ledgport",D247="Vessbank"),10.4,7.55)</f>
        <v/>
      </c>
      <c r="L247" s="29">
        <f>I247*K247</f>
        <v/>
      </c>
      <c r="M247" s="29">
        <f>L247-J247</f>
        <v/>
      </c>
      <c r="N247" s="29">
        <f>MAX(0,M247)</f>
        <v/>
      </c>
      <c r="O247" s="31">
        <f>IF(ABS(M247)&lt;0.005,"OK",IF(M247&gt;0,"UNDERBILLED","OVERBILLED"))</f>
        <v/>
      </c>
      <c r="P247" s="27" t="inlineStr">
        <is>
          <t>AR_Aging row 240; inventory row 258</t>
        </is>
      </c>
    </row>
    <row r="248" ht="23" customHeight="1">
      <c r="A248" s="27" t="inlineStr">
        <is>
          <t>AC-LP-1118</t>
        </is>
      </c>
      <c r="B248" s="27" t="inlineStr">
        <is>
          <t>Caitlin Burgess</t>
        </is>
      </c>
      <c r="C248" s="27" t="inlineStr">
        <is>
          <t>LP-1118</t>
        </is>
      </c>
      <c r="D248" s="27" t="inlineStr">
        <is>
          <t>Ledgport</t>
        </is>
      </c>
      <c r="E248" s="27" t="inlineStr">
        <is>
          <t>covered</t>
        </is>
      </c>
      <c r="F248" s="27" t="inlineStr">
        <is>
          <t>OCCUPIED</t>
        </is>
      </c>
      <c r="G248" s="28" t="n">
        <v>59.8</v>
      </c>
      <c r="H248" s="28" t="n">
        <v>24</v>
      </c>
      <c r="I248" s="28">
        <f>MAX(ROUNDUP(G248,0),H248)</f>
        <v/>
      </c>
      <c r="J248" s="29" t="n">
        <v>624</v>
      </c>
      <c r="K248" s="30">
        <f>IF(OR(D248="Ledgport",D248="Vessbank"),10.4,7.55)</f>
        <v/>
      </c>
      <c r="L248" s="29">
        <f>I248*K248</f>
        <v/>
      </c>
      <c r="M248" s="29">
        <f>L248-J248</f>
        <v/>
      </c>
      <c r="N248" s="29">
        <f>MAX(0,M248)</f>
        <v/>
      </c>
      <c r="O248" s="31">
        <f>IF(ABS(M248)&lt;0.005,"OK",IF(M248&gt;0,"UNDERBILLED","OVERBILLED"))</f>
        <v/>
      </c>
      <c r="P248" s="27" t="inlineStr">
        <is>
          <t>AR_Aging row 241; inventory row 259</t>
        </is>
      </c>
    </row>
    <row r="249" ht="23" customHeight="1">
      <c r="A249" s="27" t="inlineStr">
        <is>
          <t>AC-LP-1119</t>
        </is>
      </c>
      <c r="B249" s="27" t="inlineStr">
        <is>
          <t>John Gregory</t>
        </is>
      </c>
      <c r="C249" s="27" t="inlineStr">
        <is>
          <t>LP-1119</t>
        </is>
      </c>
      <c r="D249" s="27" t="inlineStr">
        <is>
          <t>Ledgport</t>
        </is>
      </c>
      <c r="E249" s="27" t="inlineStr">
        <is>
          <t>covered</t>
        </is>
      </c>
      <c r="F249" s="27" t="inlineStr">
        <is>
          <t>OCCUPIED</t>
        </is>
      </c>
      <c r="G249" s="28" t="n">
        <v>41.3</v>
      </c>
      <c r="H249" s="28" t="n">
        <v>32</v>
      </c>
      <c r="I249" s="28">
        <f>MAX(ROUNDUP(G249,0),H249)</f>
        <v/>
      </c>
      <c r="J249" s="29" t="n">
        <v>436.8</v>
      </c>
      <c r="K249" s="30">
        <f>IF(OR(D249="Ledgport",D249="Vessbank"),10.4,7.55)</f>
        <v/>
      </c>
      <c r="L249" s="29">
        <f>I249*K249</f>
        <v/>
      </c>
      <c r="M249" s="29">
        <f>L249-J249</f>
        <v/>
      </c>
      <c r="N249" s="29">
        <f>MAX(0,M249)</f>
        <v/>
      </c>
      <c r="O249" s="31">
        <f>IF(ABS(M249)&lt;0.005,"OK",IF(M249&gt;0,"UNDERBILLED","OVERBILLED"))</f>
        <v/>
      </c>
      <c r="P249" s="27" t="inlineStr">
        <is>
          <t>AR_Aging row 242; inventory row 260</t>
        </is>
      </c>
    </row>
    <row r="250" ht="23" customHeight="1">
      <c r="A250" s="27" t="inlineStr">
        <is>
          <t>AC-LP-1120</t>
        </is>
      </c>
      <c r="B250" s="27" t="inlineStr">
        <is>
          <t>Deborah Freeman</t>
        </is>
      </c>
      <c r="C250" s="27" t="inlineStr">
        <is>
          <t>LP-1120</t>
        </is>
      </c>
      <c r="D250" s="27" t="inlineStr">
        <is>
          <t>Ledgport</t>
        </is>
      </c>
      <c r="E250" s="27" t="inlineStr">
        <is>
          <t>covered</t>
        </is>
      </c>
      <c r="F250" s="27" t="inlineStr">
        <is>
          <t>OCCUPIED</t>
        </is>
      </c>
      <c r="G250" s="28" t="n">
        <v>24.1</v>
      </c>
      <c r="H250" s="28" t="n">
        <v>32</v>
      </c>
      <c r="I250" s="28">
        <f>MAX(ROUNDUP(G250,0),H250)</f>
        <v/>
      </c>
      <c r="J250" s="29" t="n">
        <v>332.8</v>
      </c>
      <c r="K250" s="30">
        <f>IF(OR(D250="Ledgport",D250="Vessbank"),10.4,7.55)</f>
        <v/>
      </c>
      <c r="L250" s="29">
        <f>I250*K250</f>
        <v/>
      </c>
      <c r="M250" s="29">
        <f>L250-J250</f>
        <v/>
      </c>
      <c r="N250" s="29">
        <f>MAX(0,M250)</f>
        <v/>
      </c>
      <c r="O250" s="31">
        <f>IF(ABS(M250)&lt;0.005,"OK",IF(M250&gt;0,"UNDERBILLED","OVERBILLED"))</f>
        <v/>
      </c>
      <c r="P250" s="27" t="inlineStr">
        <is>
          <t>AR_Aging row 243; inventory row 261</t>
        </is>
      </c>
    </row>
    <row r="251" ht="23" customHeight="1">
      <c r="A251" s="27" t="inlineStr">
        <is>
          <t>AC-VB-0101</t>
        </is>
      </c>
      <c r="B251" s="27" t="inlineStr">
        <is>
          <t>Sarah Walker</t>
        </is>
      </c>
      <c r="C251" s="27" t="inlineStr">
        <is>
          <t>VB-0101</t>
        </is>
      </c>
      <c r="D251" s="27" t="inlineStr">
        <is>
          <t>Vessbank</t>
        </is>
      </c>
      <c r="E251" s="27" t="inlineStr">
        <is>
          <t>covered</t>
        </is>
      </c>
      <c r="F251" s="27" t="inlineStr">
        <is>
          <t>OCCUPIED</t>
        </is>
      </c>
      <c r="G251" s="28" t="n">
        <v>61</v>
      </c>
      <c r="H251" s="28" t="n">
        <v>36</v>
      </c>
      <c r="I251" s="28">
        <f>MAX(ROUNDUP(G251,0),H251)</f>
        <v/>
      </c>
      <c r="J251" s="29" t="n">
        <v>634.4</v>
      </c>
      <c r="K251" s="30">
        <f>IF(OR(D251="Ledgport",D251="Vessbank"),10.4,7.55)</f>
        <v/>
      </c>
      <c r="L251" s="29">
        <f>I251*K251</f>
        <v/>
      </c>
      <c r="M251" s="29">
        <f>L251-J251</f>
        <v/>
      </c>
      <c r="N251" s="29">
        <f>MAX(0,M251)</f>
        <v/>
      </c>
      <c r="O251" s="31">
        <f>IF(ABS(M251)&lt;0.005,"OK",IF(M251&gt;0,"UNDERBILLED","OVERBILLED"))</f>
        <v/>
      </c>
      <c r="P251" s="27" t="inlineStr">
        <is>
          <t>AR_Aging row 244; inventory row 262</t>
        </is>
      </c>
    </row>
    <row r="252" ht="23" customHeight="1">
      <c r="A252" s="27" t="inlineStr">
        <is>
          <t>AC-VB-0102</t>
        </is>
      </c>
      <c r="B252" s="27" t="inlineStr">
        <is>
          <t>Nathaniel Flores</t>
        </is>
      </c>
      <c r="C252" s="27" t="inlineStr">
        <is>
          <t>VB-0102</t>
        </is>
      </c>
      <c r="D252" s="27" t="inlineStr">
        <is>
          <t>Vessbank</t>
        </is>
      </c>
      <c r="E252" s="27" t="inlineStr">
        <is>
          <t>covered</t>
        </is>
      </c>
      <c r="F252" s="27" t="inlineStr">
        <is>
          <t>OCCUPIED</t>
        </is>
      </c>
      <c r="G252" s="28" t="n">
        <v>33.2</v>
      </c>
      <c r="H252" s="28" t="n">
        <v>24</v>
      </c>
      <c r="I252" s="28">
        <f>MAX(ROUNDUP(G252,0),H252)</f>
        <v/>
      </c>
      <c r="J252" s="29" t="n">
        <v>353.6</v>
      </c>
      <c r="K252" s="30">
        <f>IF(OR(D252="Ledgport",D252="Vessbank"),10.4,7.55)</f>
        <v/>
      </c>
      <c r="L252" s="29">
        <f>I252*K252</f>
        <v/>
      </c>
      <c r="M252" s="29">
        <f>L252-J252</f>
        <v/>
      </c>
      <c r="N252" s="29">
        <f>MAX(0,M252)</f>
        <v/>
      </c>
      <c r="O252" s="31">
        <f>IF(ABS(M252)&lt;0.005,"OK",IF(M252&gt;0,"UNDERBILLED","OVERBILLED"))</f>
        <v/>
      </c>
      <c r="P252" s="27" t="inlineStr">
        <is>
          <t>AR_Aging row 245; inventory row 263</t>
        </is>
      </c>
    </row>
    <row r="253" ht="23" customHeight="1">
      <c r="A253" s="27" t="inlineStr">
        <is>
          <t>AC-VB-0103</t>
        </is>
      </c>
      <c r="B253" s="27" t="inlineStr">
        <is>
          <t>Kenneth Simmons</t>
        </is>
      </c>
      <c r="C253" s="27" t="inlineStr">
        <is>
          <t>VB-0103</t>
        </is>
      </c>
      <c r="D253" s="27" t="inlineStr">
        <is>
          <t>Vessbank</t>
        </is>
      </c>
      <c r="E253" s="27" t="inlineStr">
        <is>
          <t>covered</t>
        </is>
      </c>
      <c r="F253" s="27" t="inlineStr">
        <is>
          <t>OCCUPIED</t>
        </is>
      </c>
      <c r="G253" s="28" t="n">
        <v>38.9</v>
      </c>
      <c r="H253" s="28" t="n">
        <v>24</v>
      </c>
      <c r="I253" s="28">
        <f>MAX(ROUNDUP(G253,0),H253)</f>
        <v/>
      </c>
      <c r="J253" s="29" t="n">
        <v>405.6</v>
      </c>
      <c r="K253" s="30">
        <f>IF(OR(D253="Ledgport",D253="Vessbank"),10.4,7.55)</f>
        <v/>
      </c>
      <c r="L253" s="29">
        <f>I253*K253</f>
        <v/>
      </c>
      <c r="M253" s="29">
        <f>L253-J253</f>
        <v/>
      </c>
      <c r="N253" s="29">
        <f>MAX(0,M253)</f>
        <v/>
      </c>
      <c r="O253" s="31">
        <f>IF(ABS(M253)&lt;0.005,"OK",IF(M253&gt;0,"UNDERBILLED","OVERBILLED"))</f>
        <v/>
      </c>
      <c r="P253" s="27" t="inlineStr">
        <is>
          <t>AR_Aging row 246; inventory row 264</t>
        </is>
      </c>
    </row>
    <row r="254" ht="23" customHeight="1">
      <c r="A254" s="27" t="inlineStr">
        <is>
          <t>AC-VB-0105</t>
        </is>
      </c>
      <c r="B254" s="27" t="inlineStr">
        <is>
          <t>Tricia Davila</t>
        </is>
      </c>
      <c r="C254" s="27" t="inlineStr">
        <is>
          <t>VB-0105</t>
        </is>
      </c>
      <c r="D254" s="27" t="inlineStr">
        <is>
          <t>Vessbank</t>
        </is>
      </c>
      <c r="E254" s="27" t="inlineStr">
        <is>
          <t>covered</t>
        </is>
      </c>
      <c r="F254" s="27" t="inlineStr">
        <is>
          <t>OCCUPIED</t>
        </is>
      </c>
      <c r="G254" s="28" t="n">
        <v>53.9</v>
      </c>
      <c r="H254" s="28" t="n">
        <v>40</v>
      </c>
      <c r="I254" s="28">
        <f>MAX(ROUNDUP(G254,0),H254)</f>
        <v/>
      </c>
      <c r="J254" s="29" t="n">
        <v>561.6</v>
      </c>
      <c r="K254" s="30">
        <f>IF(OR(D254="Ledgport",D254="Vessbank"),10.4,7.55)</f>
        <v/>
      </c>
      <c r="L254" s="29">
        <f>I254*K254</f>
        <v/>
      </c>
      <c r="M254" s="29">
        <f>L254-J254</f>
        <v/>
      </c>
      <c r="N254" s="29">
        <f>MAX(0,M254)</f>
        <v/>
      </c>
      <c r="O254" s="31">
        <f>IF(ABS(M254)&lt;0.005,"OK",IF(M254&gt;0,"UNDERBILLED","OVERBILLED"))</f>
        <v/>
      </c>
      <c r="P254" s="27" t="inlineStr">
        <is>
          <t>AR_Aging row 247; inventory row 266</t>
        </is>
      </c>
    </row>
    <row r="255" ht="23" customHeight="1">
      <c r="A255" s="27" t="inlineStr">
        <is>
          <t>AC-VB-0106</t>
        </is>
      </c>
      <c r="B255" s="27" t="inlineStr">
        <is>
          <t>Regina Brown</t>
        </is>
      </c>
      <c r="C255" s="27" t="inlineStr">
        <is>
          <t>VB-0106</t>
        </is>
      </c>
      <c r="D255" s="27" t="inlineStr">
        <is>
          <t>Vessbank</t>
        </is>
      </c>
      <c r="E255" s="27" t="inlineStr">
        <is>
          <t>covered</t>
        </is>
      </c>
      <c r="F255" s="27" t="inlineStr">
        <is>
          <t>OCCUPIED</t>
        </is>
      </c>
      <c r="G255" s="28" t="n">
        <v>48.2</v>
      </c>
      <c r="H255" s="28" t="n">
        <v>24</v>
      </c>
      <c r="I255" s="28">
        <f>MAX(ROUNDUP(G255,0),H255)</f>
        <v/>
      </c>
      <c r="J255" s="29" t="n">
        <v>509.6</v>
      </c>
      <c r="K255" s="30">
        <f>IF(OR(D255="Ledgport",D255="Vessbank"),10.4,7.55)</f>
        <v/>
      </c>
      <c r="L255" s="29">
        <f>I255*K255</f>
        <v/>
      </c>
      <c r="M255" s="29">
        <f>L255-J255</f>
        <v/>
      </c>
      <c r="N255" s="29">
        <f>MAX(0,M255)</f>
        <v/>
      </c>
      <c r="O255" s="31">
        <f>IF(ABS(M255)&lt;0.005,"OK",IF(M255&gt;0,"UNDERBILLED","OVERBILLED"))</f>
        <v/>
      </c>
      <c r="P255" s="27" t="inlineStr">
        <is>
          <t>AR_Aging row 248; inventory row 267</t>
        </is>
      </c>
    </row>
    <row r="256" ht="23" customHeight="1">
      <c r="A256" s="27" t="inlineStr">
        <is>
          <t>AC-VB-0107</t>
        </is>
      </c>
      <c r="B256" s="27" t="inlineStr">
        <is>
          <t>Joshua Ortiz</t>
        </is>
      </c>
      <c r="C256" s="27" t="inlineStr">
        <is>
          <t>VB-0107</t>
        </is>
      </c>
      <c r="D256" s="27" t="inlineStr">
        <is>
          <t>Vessbank</t>
        </is>
      </c>
      <c r="E256" s="27" t="inlineStr">
        <is>
          <t>covered</t>
        </is>
      </c>
      <c r="F256" s="27" t="inlineStr">
        <is>
          <t>OCCUPIED</t>
        </is>
      </c>
      <c r="G256" s="28" t="n">
        <v>35.5</v>
      </c>
      <c r="H256" s="28" t="n">
        <v>24</v>
      </c>
      <c r="I256" s="28">
        <f>MAX(ROUNDUP(G256,0),H256)</f>
        <v/>
      </c>
      <c r="J256" s="29" t="n">
        <v>374.4</v>
      </c>
      <c r="K256" s="30">
        <f>IF(OR(D256="Ledgport",D256="Vessbank"),10.4,7.55)</f>
        <v/>
      </c>
      <c r="L256" s="29">
        <f>I256*K256</f>
        <v/>
      </c>
      <c r="M256" s="29">
        <f>L256-J256</f>
        <v/>
      </c>
      <c r="N256" s="29">
        <f>MAX(0,M256)</f>
        <v/>
      </c>
      <c r="O256" s="31">
        <f>IF(ABS(M256)&lt;0.005,"OK",IF(M256&gt;0,"UNDERBILLED","OVERBILLED"))</f>
        <v/>
      </c>
      <c r="P256" s="27" t="inlineStr">
        <is>
          <t>AR_Aging row 249; inventory row 268</t>
        </is>
      </c>
    </row>
    <row r="257" ht="23" customHeight="1">
      <c r="A257" s="27" t="inlineStr">
        <is>
          <t>AC-VB-0108</t>
        </is>
      </c>
      <c r="B257" s="27" t="inlineStr">
        <is>
          <t>Jerry Davis</t>
        </is>
      </c>
      <c r="C257" s="27" t="inlineStr">
        <is>
          <t>VB-0108</t>
        </is>
      </c>
      <c r="D257" s="27" t="inlineStr">
        <is>
          <t>Vessbank</t>
        </is>
      </c>
      <c r="E257" s="27" t="inlineStr">
        <is>
          <t>covered</t>
        </is>
      </c>
      <c r="F257" s="27" t="inlineStr">
        <is>
          <t>OCCUPIED</t>
        </is>
      </c>
      <c r="G257" s="28" t="n">
        <v>29.7</v>
      </c>
      <c r="H257" s="28" t="n">
        <v>32</v>
      </c>
      <c r="I257" s="28">
        <f>MAX(ROUNDUP(G257,0),H257)</f>
        <v/>
      </c>
      <c r="J257" s="29" t="n">
        <v>332.8</v>
      </c>
      <c r="K257" s="30">
        <f>IF(OR(D257="Ledgport",D257="Vessbank"),10.4,7.55)</f>
        <v/>
      </c>
      <c r="L257" s="29">
        <f>I257*K257</f>
        <v/>
      </c>
      <c r="M257" s="29">
        <f>L257-J257</f>
        <v/>
      </c>
      <c r="N257" s="29">
        <f>MAX(0,M257)</f>
        <v/>
      </c>
      <c r="O257" s="31">
        <f>IF(ABS(M257)&lt;0.005,"OK",IF(M257&gt;0,"UNDERBILLED","OVERBILLED"))</f>
        <v/>
      </c>
      <c r="P257" s="27" t="inlineStr">
        <is>
          <t>AR_Aging row 250; inventory row 269</t>
        </is>
      </c>
    </row>
    <row r="258" ht="23" customHeight="1">
      <c r="A258" s="27" t="inlineStr">
        <is>
          <t>AC-VB-0109</t>
        </is>
      </c>
      <c r="B258" s="27" t="inlineStr">
        <is>
          <t>Nicole Brown</t>
        </is>
      </c>
      <c r="C258" s="27" t="inlineStr">
        <is>
          <t>VB-0109</t>
        </is>
      </c>
      <c r="D258" s="27" t="inlineStr">
        <is>
          <t>Vessbank</t>
        </is>
      </c>
      <c r="E258" s="27" t="inlineStr">
        <is>
          <t>covered</t>
        </is>
      </c>
      <c r="F258" s="27" t="inlineStr">
        <is>
          <t>OCCUPIED</t>
        </is>
      </c>
      <c r="G258" s="28" t="n">
        <v>30.9</v>
      </c>
      <c r="H258" s="28" t="n">
        <v>28</v>
      </c>
      <c r="I258" s="28">
        <f>MAX(ROUNDUP(G258,0),H258)</f>
        <v/>
      </c>
      <c r="J258" s="29" t="n">
        <v>322.4</v>
      </c>
      <c r="K258" s="30">
        <f>IF(OR(D258="Ledgport",D258="Vessbank"),10.4,7.55)</f>
        <v/>
      </c>
      <c r="L258" s="29">
        <f>I258*K258</f>
        <v/>
      </c>
      <c r="M258" s="29">
        <f>L258-J258</f>
        <v/>
      </c>
      <c r="N258" s="29">
        <f>MAX(0,M258)</f>
        <v/>
      </c>
      <c r="O258" s="31">
        <f>IF(ABS(M258)&lt;0.005,"OK",IF(M258&gt;0,"UNDERBILLED","OVERBILLED"))</f>
        <v/>
      </c>
      <c r="P258" s="27" t="inlineStr">
        <is>
          <t>AR_Aging row 251; inventory row 270</t>
        </is>
      </c>
    </row>
    <row r="259" ht="23" customHeight="1">
      <c r="A259" s="27" t="inlineStr">
        <is>
          <t>AC-VB-0110</t>
        </is>
      </c>
      <c r="B259" s="27" t="inlineStr">
        <is>
          <t>Lisa Brown</t>
        </is>
      </c>
      <c r="C259" s="27" t="inlineStr">
        <is>
          <t>VB-0110</t>
        </is>
      </c>
      <c r="D259" s="27" t="inlineStr">
        <is>
          <t>Vessbank</t>
        </is>
      </c>
      <c r="E259" s="27" t="inlineStr">
        <is>
          <t>covered</t>
        </is>
      </c>
      <c r="F259" s="27" t="inlineStr">
        <is>
          <t>OCCUPIED</t>
        </is>
      </c>
      <c r="G259" s="28" t="n">
        <v>52</v>
      </c>
      <c r="H259" s="28" t="n">
        <v>24</v>
      </c>
      <c r="I259" s="28">
        <f>MAX(ROUNDUP(G259,0),H259)</f>
        <v/>
      </c>
      <c r="J259" s="29" t="n">
        <v>540.8</v>
      </c>
      <c r="K259" s="30">
        <f>IF(OR(D259="Ledgport",D259="Vessbank"),10.4,7.55)</f>
        <v/>
      </c>
      <c r="L259" s="29">
        <f>I259*K259</f>
        <v/>
      </c>
      <c r="M259" s="29">
        <f>L259-J259</f>
        <v/>
      </c>
      <c r="N259" s="29">
        <f>MAX(0,M259)</f>
        <v/>
      </c>
      <c r="O259" s="31">
        <f>IF(ABS(M259)&lt;0.005,"OK",IF(M259&gt;0,"UNDERBILLED","OVERBILLED"))</f>
        <v/>
      </c>
      <c r="P259" s="27" t="inlineStr">
        <is>
          <t>AR_Aging row 252; inventory row 271</t>
        </is>
      </c>
    </row>
    <row r="260" ht="23" customHeight="1">
      <c r="A260" s="27" t="inlineStr">
        <is>
          <t>AC-VB-0111</t>
        </is>
      </c>
      <c r="B260" s="27" t="inlineStr">
        <is>
          <t>Toni Graves</t>
        </is>
      </c>
      <c r="C260" s="27" t="inlineStr">
        <is>
          <t>VB-0111</t>
        </is>
      </c>
      <c r="D260" s="27" t="inlineStr">
        <is>
          <t>Vessbank</t>
        </is>
      </c>
      <c r="E260" s="27" t="inlineStr">
        <is>
          <t>covered</t>
        </is>
      </c>
      <c r="F260" s="27" t="inlineStr">
        <is>
          <t>OCCUPIED</t>
        </is>
      </c>
      <c r="G260" s="28" t="n">
        <v>39</v>
      </c>
      <c r="H260" s="28" t="n">
        <v>32</v>
      </c>
      <c r="I260" s="28">
        <f>MAX(ROUNDUP(G260,0),H260)</f>
        <v/>
      </c>
      <c r="J260" s="29" t="n">
        <v>405.6</v>
      </c>
      <c r="K260" s="30">
        <f>IF(OR(D260="Ledgport",D260="Vessbank"),10.4,7.55)</f>
        <v/>
      </c>
      <c r="L260" s="29">
        <f>I260*K260</f>
        <v/>
      </c>
      <c r="M260" s="29">
        <f>L260-J260</f>
        <v/>
      </c>
      <c r="N260" s="29">
        <f>MAX(0,M260)</f>
        <v/>
      </c>
      <c r="O260" s="31">
        <f>IF(ABS(M260)&lt;0.005,"OK",IF(M260&gt;0,"UNDERBILLED","OVERBILLED"))</f>
        <v/>
      </c>
      <c r="P260" s="27" t="inlineStr">
        <is>
          <t>AR_Aging row 253; inventory row 272</t>
        </is>
      </c>
    </row>
    <row r="261" ht="23" customHeight="1">
      <c r="A261" s="27" t="inlineStr">
        <is>
          <t>AC-VB-0112</t>
        </is>
      </c>
      <c r="B261" s="27" t="inlineStr">
        <is>
          <t>Valerie Montgomery</t>
        </is>
      </c>
      <c r="C261" s="27" t="inlineStr">
        <is>
          <t>VB-0112</t>
        </is>
      </c>
      <c r="D261" s="27" t="inlineStr">
        <is>
          <t>Vessbank</t>
        </is>
      </c>
      <c r="E261" s="27" t="inlineStr">
        <is>
          <t>covered</t>
        </is>
      </c>
      <c r="F261" s="27" t="inlineStr">
        <is>
          <t>OCCUPIED</t>
        </is>
      </c>
      <c r="G261" s="28" t="n">
        <v>53</v>
      </c>
      <c r="H261" s="28" t="n">
        <v>36</v>
      </c>
      <c r="I261" s="28">
        <f>MAX(ROUNDUP(G261,0),H261)</f>
        <v/>
      </c>
      <c r="J261" s="29" t="n">
        <v>551.2</v>
      </c>
      <c r="K261" s="30">
        <f>IF(OR(D261="Ledgport",D261="Vessbank"),10.4,7.55)</f>
        <v/>
      </c>
      <c r="L261" s="29">
        <f>I261*K261</f>
        <v/>
      </c>
      <c r="M261" s="29">
        <f>L261-J261</f>
        <v/>
      </c>
      <c r="N261" s="29">
        <f>MAX(0,M261)</f>
        <v/>
      </c>
      <c r="O261" s="31">
        <f>IF(ABS(M261)&lt;0.005,"OK",IF(M261&gt;0,"UNDERBILLED","OVERBILLED"))</f>
        <v/>
      </c>
      <c r="P261" s="27" t="inlineStr">
        <is>
          <t>AR_Aging row 254; inventory row 273</t>
        </is>
      </c>
    </row>
    <row r="262" ht="23" customHeight="1">
      <c r="A262" s="27" t="inlineStr">
        <is>
          <t>AC-VB-0113</t>
        </is>
      </c>
      <c r="B262" s="27" t="inlineStr">
        <is>
          <t>Kimberly Solomon</t>
        </is>
      </c>
      <c r="C262" s="27" t="inlineStr">
        <is>
          <t>VB-0113</t>
        </is>
      </c>
      <c r="D262" s="27" t="inlineStr">
        <is>
          <t>Vessbank</t>
        </is>
      </c>
      <c r="E262" s="27" t="inlineStr">
        <is>
          <t>covered</t>
        </is>
      </c>
      <c r="F262" s="27" t="inlineStr">
        <is>
          <t>OCCUPIED</t>
        </is>
      </c>
      <c r="G262" s="28" t="n">
        <v>24.8</v>
      </c>
      <c r="H262" s="28" t="n">
        <v>28</v>
      </c>
      <c r="I262" s="28">
        <f>MAX(ROUNDUP(G262,0),H262)</f>
        <v/>
      </c>
      <c r="J262" s="29" t="n">
        <v>291.2</v>
      </c>
      <c r="K262" s="30">
        <f>IF(OR(D262="Ledgport",D262="Vessbank"),10.4,7.55)</f>
        <v/>
      </c>
      <c r="L262" s="29">
        <f>I262*K262</f>
        <v/>
      </c>
      <c r="M262" s="29">
        <f>L262-J262</f>
        <v/>
      </c>
      <c r="N262" s="29">
        <f>MAX(0,M262)</f>
        <v/>
      </c>
      <c r="O262" s="31">
        <f>IF(ABS(M262)&lt;0.005,"OK",IF(M262&gt;0,"UNDERBILLED","OVERBILLED"))</f>
        <v/>
      </c>
      <c r="P262" s="27" t="inlineStr">
        <is>
          <t>AR_Aging row 255; inventory row 274</t>
        </is>
      </c>
    </row>
    <row r="263" ht="23" customHeight="1">
      <c r="A263" s="27" t="inlineStr">
        <is>
          <t>AC-VB-0114</t>
        </is>
      </c>
      <c r="B263" s="27" t="inlineStr">
        <is>
          <t>Ariana Jenkins</t>
        </is>
      </c>
      <c r="C263" s="27" t="inlineStr">
        <is>
          <t>VB-0114</t>
        </is>
      </c>
      <c r="D263" s="27" t="inlineStr">
        <is>
          <t>Vessbank</t>
        </is>
      </c>
      <c r="E263" s="27" t="inlineStr">
        <is>
          <t>covered</t>
        </is>
      </c>
      <c r="F263" s="27" t="inlineStr">
        <is>
          <t>OCCUPIED</t>
        </is>
      </c>
      <c r="G263" s="28" t="n">
        <v>40.2</v>
      </c>
      <c r="H263" s="28" t="n">
        <v>28</v>
      </c>
      <c r="I263" s="28">
        <f>MAX(ROUNDUP(G263,0),H263)</f>
        <v/>
      </c>
      <c r="J263" s="29" t="n">
        <v>426.4</v>
      </c>
      <c r="K263" s="30">
        <f>IF(OR(D263="Ledgport",D263="Vessbank"),10.4,7.55)</f>
        <v/>
      </c>
      <c r="L263" s="29">
        <f>I263*K263</f>
        <v/>
      </c>
      <c r="M263" s="29">
        <f>L263-J263</f>
        <v/>
      </c>
      <c r="N263" s="29">
        <f>MAX(0,M263)</f>
        <v/>
      </c>
      <c r="O263" s="31">
        <f>IF(ABS(M263)&lt;0.005,"OK",IF(M263&gt;0,"UNDERBILLED","OVERBILLED"))</f>
        <v/>
      </c>
      <c r="P263" s="27" t="inlineStr">
        <is>
          <t>AR_Aging row 256; inventory row 275</t>
        </is>
      </c>
    </row>
    <row r="264" ht="23" customHeight="1">
      <c r="A264" s="27" t="inlineStr">
        <is>
          <t>AC-VB-0115</t>
        </is>
      </c>
      <c r="B264" s="27" t="inlineStr">
        <is>
          <t>Anne Thomas</t>
        </is>
      </c>
      <c r="C264" s="27" t="inlineStr">
        <is>
          <t>VB-0115</t>
        </is>
      </c>
      <c r="D264" s="27" t="inlineStr">
        <is>
          <t>Vessbank</t>
        </is>
      </c>
      <c r="E264" s="27" t="inlineStr">
        <is>
          <t>covered</t>
        </is>
      </c>
      <c r="F264" s="27" t="inlineStr">
        <is>
          <t>OCCUPIED</t>
        </is>
      </c>
      <c r="G264" s="28" t="n">
        <v>32</v>
      </c>
      <c r="H264" s="28" t="n">
        <v>24</v>
      </c>
      <c r="I264" s="28">
        <f>MAX(ROUNDUP(G264,0),H264)</f>
        <v/>
      </c>
      <c r="J264" s="29" t="n">
        <v>332.8</v>
      </c>
      <c r="K264" s="30">
        <f>IF(OR(D264="Ledgport",D264="Vessbank"),10.4,7.55)</f>
        <v/>
      </c>
      <c r="L264" s="29">
        <f>I264*K264</f>
        <v/>
      </c>
      <c r="M264" s="29">
        <f>L264-J264</f>
        <v/>
      </c>
      <c r="N264" s="29">
        <f>MAX(0,M264)</f>
        <v/>
      </c>
      <c r="O264" s="31">
        <f>IF(ABS(M264)&lt;0.005,"OK",IF(M264&gt;0,"UNDERBILLED","OVERBILLED"))</f>
        <v/>
      </c>
      <c r="P264" s="27" t="inlineStr">
        <is>
          <t>AR_Aging row 257; inventory row 276</t>
        </is>
      </c>
    </row>
    <row r="265" ht="23" customHeight="1">
      <c r="A265" s="27" t="inlineStr">
        <is>
          <t>AC-VB-0116</t>
        </is>
      </c>
      <c r="B265" s="27" t="inlineStr">
        <is>
          <t>Amanda Jackson</t>
        </is>
      </c>
      <c r="C265" s="27" t="inlineStr">
        <is>
          <t>VB-0116</t>
        </is>
      </c>
      <c r="D265" s="27" t="inlineStr">
        <is>
          <t>Vessbank</t>
        </is>
      </c>
      <c r="E265" s="27" t="inlineStr">
        <is>
          <t>covered</t>
        </is>
      </c>
      <c r="F265" s="27" t="inlineStr">
        <is>
          <t>OCCUPIED</t>
        </is>
      </c>
      <c r="G265" s="28" t="n">
        <v>54.6</v>
      </c>
      <c r="H265" s="28" t="n">
        <v>36</v>
      </c>
      <c r="I265" s="28">
        <f>MAX(ROUNDUP(G265,0),H265)</f>
        <v/>
      </c>
      <c r="J265" s="29" t="n">
        <v>572</v>
      </c>
      <c r="K265" s="30">
        <f>IF(OR(D265="Ledgport",D265="Vessbank"),10.4,7.55)</f>
        <v/>
      </c>
      <c r="L265" s="29">
        <f>I265*K265</f>
        <v/>
      </c>
      <c r="M265" s="29">
        <f>L265-J265</f>
        <v/>
      </c>
      <c r="N265" s="29">
        <f>MAX(0,M265)</f>
        <v/>
      </c>
      <c r="O265" s="31">
        <f>IF(ABS(M265)&lt;0.005,"OK",IF(M265&gt;0,"UNDERBILLED","OVERBILLED"))</f>
        <v/>
      </c>
      <c r="P265" s="27" t="inlineStr">
        <is>
          <t>AR_Aging row 258; inventory row 277</t>
        </is>
      </c>
    </row>
    <row r="266" ht="23" customHeight="1">
      <c r="A266" s="27" t="inlineStr">
        <is>
          <t>AC-VB-0117</t>
        </is>
      </c>
      <c r="B266" s="27" t="inlineStr">
        <is>
          <t>Michael Lee</t>
        </is>
      </c>
      <c r="C266" s="27" t="inlineStr">
        <is>
          <t>VB-0117</t>
        </is>
      </c>
      <c r="D266" s="27" t="inlineStr">
        <is>
          <t>Vessbank</t>
        </is>
      </c>
      <c r="E266" s="27" t="inlineStr">
        <is>
          <t>covered</t>
        </is>
      </c>
      <c r="F266" s="27" t="inlineStr">
        <is>
          <t>OCCUPIED</t>
        </is>
      </c>
      <c r="G266" s="28" t="n">
        <v>53.2</v>
      </c>
      <c r="H266" s="28" t="n">
        <v>32</v>
      </c>
      <c r="I266" s="28">
        <f>MAX(ROUNDUP(G266,0),H266)</f>
        <v/>
      </c>
      <c r="J266" s="29" t="n">
        <v>561.6</v>
      </c>
      <c r="K266" s="30">
        <f>IF(OR(D266="Ledgport",D266="Vessbank"),10.4,7.55)</f>
        <v/>
      </c>
      <c r="L266" s="29">
        <f>I266*K266</f>
        <v/>
      </c>
      <c r="M266" s="29">
        <f>L266-J266</f>
        <v/>
      </c>
      <c r="N266" s="29">
        <f>MAX(0,M266)</f>
        <v/>
      </c>
      <c r="O266" s="31">
        <f>IF(ABS(M266)&lt;0.005,"OK",IF(M266&gt;0,"UNDERBILLED","OVERBILLED"))</f>
        <v/>
      </c>
      <c r="P266" s="27" t="inlineStr">
        <is>
          <t>AR_Aging row 259; inventory row 278</t>
        </is>
      </c>
    </row>
    <row r="267" ht="23" customHeight="1">
      <c r="A267" s="27" t="inlineStr">
        <is>
          <t>AC-VB-0118</t>
        </is>
      </c>
      <c r="B267" s="27" t="inlineStr">
        <is>
          <t>Alan Harris</t>
        </is>
      </c>
      <c r="C267" s="27" t="inlineStr">
        <is>
          <t>VB-0118</t>
        </is>
      </c>
      <c r="D267" s="27" t="inlineStr">
        <is>
          <t>Vessbank</t>
        </is>
      </c>
      <c r="E267" s="27" t="inlineStr">
        <is>
          <t>covered</t>
        </is>
      </c>
      <c r="F267" s="27" t="inlineStr">
        <is>
          <t>OCCUPIED</t>
        </is>
      </c>
      <c r="G267" s="28" t="n">
        <v>44</v>
      </c>
      <c r="H267" s="28" t="n">
        <v>24</v>
      </c>
      <c r="I267" s="28">
        <f>MAX(ROUNDUP(G267,0),H267)</f>
        <v/>
      </c>
      <c r="J267" s="29" t="n">
        <v>457.6</v>
      </c>
      <c r="K267" s="30">
        <f>IF(OR(D267="Ledgport",D267="Vessbank"),10.4,7.55)</f>
        <v/>
      </c>
      <c r="L267" s="29">
        <f>I267*K267</f>
        <v/>
      </c>
      <c r="M267" s="29">
        <f>L267-J267</f>
        <v/>
      </c>
      <c r="N267" s="29">
        <f>MAX(0,M267)</f>
        <v/>
      </c>
      <c r="O267" s="31">
        <f>IF(ABS(M267)&lt;0.005,"OK",IF(M267&gt;0,"UNDERBILLED","OVERBILLED"))</f>
        <v/>
      </c>
      <c r="P267" s="27" t="inlineStr">
        <is>
          <t>AR_Aging row 260; inventory row 279</t>
        </is>
      </c>
    </row>
    <row r="268" ht="23" customHeight="1">
      <c r="A268" s="27" t="inlineStr">
        <is>
          <t>AC-VB-0119</t>
        </is>
      </c>
      <c r="B268" s="27" t="inlineStr">
        <is>
          <t>Tammy Stone</t>
        </is>
      </c>
      <c r="C268" s="27" t="inlineStr">
        <is>
          <t>VB-0119</t>
        </is>
      </c>
      <c r="D268" s="27" t="inlineStr">
        <is>
          <t>Vessbank</t>
        </is>
      </c>
      <c r="E268" s="27" t="inlineStr">
        <is>
          <t>covered</t>
        </is>
      </c>
      <c r="F268" s="27" t="inlineStr">
        <is>
          <t>OCCUPIED</t>
        </is>
      </c>
      <c r="G268" s="28" t="n">
        <v>61.3</v>
      </c>
      <c r="H268" s="28" t="n">
        <v>32</v>
      </c>
      <c r="I268" s="28">
        <f>MAX(ROUNDUP(G268,0),H268)</f>
        <v/>
      </c>
      <c r="J268" s="29" t="n">
        <v>644.8</v>
      </c>
      <c r="K268" s="30">
        <f>IF(OR(D268="Ledgport",D268="Vessbank"),10.4,7.55)</f>
        <v/>
      </c>
      <c r="L268" s="29">
        <f>I268*K268</f>
        <v/>
      </c>
      <c r="M268" s="29">
        <f>L268-J268</f>
        <v/>
      </c>
      <c r="N268" s="29">
        <f>MAX(0,M268)</f>
        <v/>
      </c>
      <c r="O268" s="31">
        <f>IF(ABS(M268)&lt;0.005,"OK",IF(M268&gt;0,"UNDERBILLED","OVERBILLED"))</f>
        <v/>
      </c>
      <c r="P268" s="27" t="inlineStr">
        <is>
          <t>AR_Aging row 261; inventory row 280</t>
        </is>
      </c>
    </row>
    <row r="269" ht="23" customHeight="1">
      <c r="A269" s="27" t="inlineStr">
        <is>
          <t>AC-VB-0120</t>
        </is>
      </c>
      <c r="B269" s="27" t="inlineStr">
        <is>
          <t>Adam Carr</t>
        </is>
      </c>
      <c r="C269" s="27" t="inlineStr">
        <is>
          <t>VB-0120</t>
        </is>
      </c>
      <c r="D269" s="27" t="inlineStr">
        <is>
          <t>Vessbank</t>
        </is>
      </c>
      <c r="E269" s="27" t="inlineStr">
        <is>
          <t>covered</t>
        </is>
      </c>
      <c r="F269" s="27" t="inlineStr">
        <is>
          <t>OCCUPIED</t>
        </is>
      </c>
      <c r="G269" s="28" t="n">
        <v>47.6</v>
      </c>
      <c r="H269" s="28" t="n">
        <v>28</v>
      </c>
      <c r="I269" s="28">
        <f>MAX(ROUNDUP(G269,0),H269)</f>
        <v/>
      </c>
      <c r="J269" s="29" t="n">
        <v>499.2</v>
      </c>
      <c r="K269" s="30">
        <f>IF(OR(D269="Ledgport",D269="Vessbank"),10.4,7.55)</f>
        <v/>
      </c>
      <c r="L269" s="29">
        <f>I269*K269</f>
        <v/>
      </c>
      <c r="M269" s="29">
        <f>L269-J269</f>
        <v/>
      </c>
      <c r="N269" s="29">
        <f>MAX(0,M269)</f>
        <v/>
      </c>
      <c r="O269" s="31">
        <f>IF(ABS(M269)&lt;0.005,"OK",IF(M269&gt;0,"UNDERBILLED","OVERBILLED"))</f>
        <v/>
      </c>
      <c r="P269" s="27" t="inlineStr">
        <is>
          <t>AR_Aging row 262; inventory row 281</t>
        </is>
      </c>
    </row>
    <row r="271" ht="26" customHeight="1">
      <c r="A271" s="32" t="inlineStr">
        <is>
          <t>FORMULA TOTAL</t>
        </is>
      </c>
      <c r="B271" s="32" t="n"/>
      <c r="C271" s="32" t="n"/>
      <c r="D271" s="32" t="n"/>
      <c r="E271" s="32" t="n"/>
      <c r="F271" s="32" t="n"/>
      <c r="G271" s="32" t="n"/>
      <c r="H271" s="32" t="n"/>
      <c r="I271" s="33">
        <f>SUM(I10:I269)</f>
        <v/>
      </c>
      <c r="J271" s="34">
        <f>SUM(J10:J269)</f>
        <v/>
      </c>
      <c r="K271" s="32" t="n"/>
      <c r="L271" s="34">
        <f>SUM(L10:L269)</f>
        <v/>
      </c>
      <c r="M271" s="34">
        <f>SUM(M10:M269)</f>
        <v/>
      </c>
      <c r="N271" s="34">
        <f>SUM(N10:N269)</f>
        <v/>
      </c>
      <c r="O271" s="32">
        <f>IF(COUNTIF(O10:O269,"&lt;&gt;OK")=0,"NO EXCEPTIONS","REVIEW")</f>
        <v/>
      </c>
      <c r="P271" s="32" t="n"/>
    </row>
  </sheetData>
  <mergeCells count="6">
    <mergeCell ref="A1:P1"/>
    <mergeCell ref="A2:P2"/>
    <mergeCell ref="H4:J4"/>
    <mergeCell ref="H5:J5"/>
    <mergeCell ref="A6:J7"/>
    <mergeCell ref="A271:H271"/>
  </mergeCells>
  <conditionalFormatting sqref="M10:M269">
    <cfRule type="cellIs" priority="1" operator="notEqual" dxfId="0">
      <formula>0</formula>
    </cfRule>
  </conditionalFormatting>
  <conditionalFormatting sqref="O10:O269">
    <cfRule type="expression" priority="2" dxfId="1">
      <formula>$O10="OK"</formula>
    </cfRule>
  </conditionalFormatting>
  <pageMargins left="0.25" right="0.25" top="0.45" bottom="0.45" header="0.18" footer="0.18"/>
  <pageSetup orientation="landscape" paperSize="1" fitToHeight="1" fitToWidth="1"/>
  <headerFooter>
    <oddHeader>&amp;L&amp;8 &amp;K566573CONFIDENTIAL - BOARD REVIEW</oddHeader>
    <oddFooter>&amp;C&amp;8 Billing reconciliation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"/>
  <sheetViews>
    <sheetView showGridLines="0" zoomScale="85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3" customWidth="1" min="3" max="3"/>
    <col width="14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13" customWidth="1" min="12" max="12"/>
    <col width="14" customWidth="1" min="13" max="13"/>
    <col width="13" customWidth="1" min="14" max="14"/>
    <col width="18" customWidth="1" min="15" max="15"/>
  </cols>
  <sheetData>
    <row r="1" ht="30" customHeight="1">
      <c r="A1" s="1" t="inlineStr">
        <is>
          <t>Aging</t>
        </is>
      </c>
    </row>
    <row r="2" ht="28" customHeight="1">
      <c r="A2" s="2" t="inlineStr">
        <is>
          <t>Active slip holders with balances more than 90 days delinquent on the July 31, 2026 ledger</t>
        </is>
      </c>
    </row>
    <row r="4" ht="27" customHeight="1">
      <c r="A4" s="17" t="inlineStr">
        <is>
          <t>Active holders &gt;90 days</t>
        </is>
      </c>
      <c r="B4" s="17">
        <f>COUNTIF($N$10:$N$15,"ACTIVE")</f>
        <v/>
      </c>
      <c r="C4" s="18" t="n"/>
      <c r="D4" s="17" t="inlineStr">
        <is>
          <t>Balance &gt;90 days</t>
        </is>
      </c>
      <c r="E4" s="24">
        <f>SUM($J$10:$J$15)</f>
        <v/>
      </c>
      <c r="F4" s="18" t="n"/>
      <c r="G4" s="17" t="inlineStr">
        <is>
          <t>Total due</t>
        </is>
      </c>
      <c r="H4" s="24">
        <f>SUM($K$10:$K$15)</f>
        <v/>
      </c>
      <c r="I4" s="18" t="n"/>
      <c r="J4" s="17" t="inlineStr">
        <is>
          <t>Status</t>
        </is>
      </c>
      <c r="K4" s="18">
        <f>IF(B4=0,"No active holders more than 90 days delinquent",B4&amp;" active holders listed below")</f>
        <v/>
      </c>
      <c r="L4" s="18" t="n"/>
      <c r="M4" s="18" t="n"/>
      <c r="N4" s="18" t="n"/>
      <c r="O4" s="18" t="n"/>
    </row>
    <row r="6" ht="26" customHeight="1">
      <c r="A6" s="6" t="inlineStr">
        <is>
          <t>Threshold basis: days_90 is the source workbook's 91-120 bucket (see its Summary sheet); more than 90 days therefore equals days_90 + days_120_plus. Active status is formula-checked against the Billing Reconciliations slip population. If no qualifying account exists, the status cell above states that fact.</t>
        </is>
      </c>
    </row>
    <row r="7" ht="26" customHeight="1"/>
    <row r="9" ht="32" customHeight="1">
      <c r="A9" s="19" t="inlineStr">
        <is>
          <t>Account ID</t>
        </is>
      </c>
      <c r="B9" s="19" t="inlineStr">
        <is>
          <t>Tenant</t>
        </is>
      </c>
      <c r="C9" s="19" t="inlineStr">
        <is>
          <t>Slip ID</t>
        </is>
      </c>
      <c r="D9" s="19" t="inlineStr">
        <is>
          <t>Basin</t>
        </is>
      </c>
      <c r="E9" s="19" t="inlineStr">
        <is>
          <t>Current</t>
        </is>
      </c>
      <c r="F9" s="19" t="inlineStr">
        <is>
          <t>31-60</t>
        </is>
      </c>
      <c r="G9" s="19" t="inlineStr">
        <is>
          <t>61-90</t>
        </is>
      </c>
      <c r="H9" s="19" t="inlineStr">
        <is>
          <t>91-120</t>
        </is>
      </c>
      <c r="I9" s="19" t="inlineStr">
        <is>
          <t>120+</t>
        </is>
      </c>
      <c r="J9" s="19" t="inlineStr">
        <is>
          <t>&gt;90 balance</t>
        </is>
      </c>
      <c r="K9" s="19" t="inlineStr">
        <is>
          <t>Total due</t>
        </is>
      </c>
      <c r="L9" s="19" t="inlineStr">
        <is>
          <t>% due &gt;90</t>
        </is>
      </c>
      <c r="M9" s="19" t="inlineStr">
        <is>
          <t>Last payment</t>
        </is>
      </c>
      <c r="N9" s="19" t="inlineStr">
        <is>
          <t>Active?</t>
        </is>
      </c>
      <c r="O9" s="19" t="inlineStr">
        <is>
          <t>Source row</t>
        </is>
      </c>
    </row>
    <row r="10" ht="28" customHeight="1">
      <c r="A10" s="21" t="inlineStr">
        <is>
          <t>AC-LP-0122</t>
        </is>
      </c>
      <c r="B10" s="21" t="inlineStr">
        <is>
          <t>Paula Arroyo</t>
        </is>
      </c>
      <c r="C10" s="21" t="inlineStr">
        <is>
          <t>LP-0122</t>
        </is>
      </c>
      <c r="D10" s="21" t="inlineStr">
        <is>
          <t>Ledgport</t>
        </is>
      </c>
      <c r="E10" s="35" t="n">
        <v>509.6</v>
      </c>
      <c r="F10" s="35" t="n">
        <v>509.6</v>
      </c>
      <c r="G10" s="35" t="n">
        <v>509.6</v>
      </c>
      <c r="H10" s="35" t="n">
        <v>509.6</v>
      </c>
      <c r="I10" s="35" t="n">
        <v>0</v>
      </c>
      <c r="J10" s="35">
        <f>H10+I10</f>
        <v/>
      </c>
      <c r="K10" s="35" t="n">
        <v>2038.4</v>
      </c>
      <c r="L10" s="36">
        <f>IFERROR(J10/K10,0)</f>
        <v/>
      </c>
      <c r="M10" s="22" t="inlineStr">
        <is>
          <t>2026-05-29</t>
        </is>
      </c>
      <c r="N10" s="20">
        <f>IF(COUNTIF('Billing Reconciliations'!$C$10:$C$269,C10)&gt;0,"ACTIVE","NOT ACTIVE")</f>
        <v/>
      </c>
      <c r="O10" s="21" t="inlineStr">
        <is>
          <t>AR_Aging row 23</t>
        </is>
      </c>
    </row>
    <row r="11" ht="28" customHeight="1">
      <c r="A11" s="21" t="inlineStr">
        <is>
          <t>AC-LP-0402</t>
        </is>
      </c>
      <c r="B11" s="21" t="inlineStr">
        <is>
          <t>Dawn Brown</t>
        </is>
      </c>
      <c r="C11" s="21" t="inlineStr">
        <is>
          <t>LP-0402</t>
        </is>
      </c>
      <c r="D11" s="21" t="inlineStr">
        <is>
          <t>Ledgport</t>
        </is>
      </c>
      <c r="E11" s="35" t="n">
        <v>384.8</v>
      </c>
      <c r="F11" s="35" t="n">
        <v>384.8</v>
      </c>
      <c r="G11" s="35" t="n">
        <v>384.8</v>
      </c>
      <c r="H11" s="35" t="n">
        <v>384.8</v>
      </c>
      <c r="I11" s="35" t="n">
        <v>0</v>
      </c>
      <c r="J11" s="35">
        <f>H11+I11</f>
        <v/>
      </c>
      <c r="K11" s="35" t="n">
        <v>1539.2</v>
      </c>
      <c r="L11" s="36">
        <f>IFERROR(J11/K11,0)</f>
        <v/>
      </c>
      <c r="M11" s="22" t="inlineStr">
        <is>
          <t>2026-07-11</t>
        </is>
      </c>
      <c r="N11" s="20">
        <f>IF(COUNTIF('Billing Reconciliations'!$C$10:$C$269,C11)&gt;0,"ACTIVE","NOT ACTIVE")</f>
        <v/>
      </c>
      <c r="O11" s="21" t="inlineStr">
        <is>
          <t>AR_Aging row 68</t>
        </is>
      </c>
    </row>
    <row r="12" ht="28" customHeight="1">
      <c r="A12" s="21" t="inlineStr">
        <is>
          <t>AC-LP-0602</t>
        </is>
      </c>
      <c r="B12" s="21" t="inlineStr">
        <is>
          <t>Lee Maldonado</t>
        </is>
      </c>
      <c r="C12" s="21" t="inlineStr">
        <is>
          <t>LP-0602</t>
        </is>
      </c>
      <c r="D12" s="21" t="inlineStr">
        <is>
          <t>Ledgport</t>
        </is>
      </c>
      <c r="E12" s="35" t="n">
        <v>603.2</v>
      </c>
      <c r="F12" s="35" t="n">
        <v>603.2</v>
      </c>
      <c r="G12" s="35" t="n">
        <v>603.2</v>
      </c>
      <c r="H12" s="35" t="n">
        <v>603.2</v>
      </c>
      <c r="I12" s="35" t="n">
        <v>603.2</v>
      </c>
      <c r="J12" s="35">
        <f>H12+I12</f>
        <v/>
      </c>
      <c r="K12" s="35" t="n">
        <v>3016</v>
      </c>
      <c r="L12" s="36">
        <f>IFERROR(J12/K12,0)</f>
        <v/>
      </c>
      <c r="M12" s="22" t="inlineStr">
        <is>
          <t>2026-07-18</t>
        </is>
      </c>
      <c r="N12" s="20">
        <f>IF(COUNTIF('Billing Reconciliations'!$C$10:$C$269,C12)&gt;0,"ACTIVE","NOT ACTIVE")</f>
        <v/>
      </c>
      <c r="O12" s="21" t="inlineStr">
        <is>
          <t>AR_Aging row 113</t>
        </is>
      </c>
    </row>
    <row r="13" ht="28" customHeight="1">
      <c r="A13" s="21" t="inlineStr">
        <is>
          <t>AC-LP-0605</t>
        </is>
      </c>
      <c r="B13" s="21" t="inlineStr">
        <is>
          <t>Andrew Anderson</t>
        </is>
      </c>
      <c r="C13" s="21" t="inlineStr">
        <is>
          <t>LP-0605</t>
        </is>
      </c>
      <c r="D13" s="21" t="inlineStr">
        <is>
          <t>Ledgport</t>
        </is>
      </c>
      <c r="E13" s="35" t="n">
        <v>530.4</v>
      </c>
      <c r="F13" s="35" t="n">
        <v>530.4</v>
      </c>
      <c r="G13" s="35" t="n">
        <v>530.4</v>
      </c>
      <c r="H13" s="35" t="n">
        <v>530.4</v>
      </c>
      <c r="I13" s="35" t="n">
        <v>0</v>
      </c>
      <c r="J13" s="35">
        <f>H13+I13</f>
        <v/>
      </c>
      <c r="K13" s="35" t="n">
        <v>2121.6</v>
      </c>
      <c r="L13" s="36">
        <f>IFERROR(J13/K13,0)</f>
        <v/>
      </c>
      <c r="M13" s="22" t="inlineStr">
        <is>
          <t>2026-05-06</t>
        </is>
      </c>
      <c r="N13" s="20">
        <f>IF(COUNTIF('Billing Reconciliations'!$C$10:$C$269,C13)&gt;0,"ACTIVE","NOT ACTIVE")</f>
        <v/>
      </c>
      <c r="O13" s="21" t="inlineStr">
        <is>
          <t>AR_Aging row 116</t>
        </is>
      </c>
    </row>
    <row r="14" ht="28" customHeight="1">
      <c r="A14" s="21" t="inlineStr">
        <is>
          <t>AC-LP-0713</t>
        </is>
      </c>
      <c r="B14" s="21" t="inlineStr">
        <is>
          <t>Stacey Mitchell</t>
        </is>
      </c>
      <c r="C14" s="21" t="inlineStr">
        <is>
          <t>LP-0713</t>
        </is>
      </c>
      <c r="D14" s="21" t="inlineStr">
        <is>
          <t>Ledgport</t>
        </is>
      </c>
      <c r="E14" s="35" t="n">
        <v>416</v>
      </c>
      <c r="F14" s="35" t="n">
        <v>416</v>
      </c>
      <c r="G14" s="35" t="n">
        <v>416</v>
      </c>
      <c r="H14" s="35" t="n">
        <v>416</v>
      </c>
      <c r="I14" s="35" t="n">
        <v>832</v>
      </c>
      <c r="J14" s="35">
        <f>H14+I14</f>
        <v/>
      </c>
      <c r="K14" s="35" t="n">
        <v>2496</v>
      </c>
      <c r="L14" s="36">
        <f>IFERROR(J14/K14,0)</f>
        <v/>
      </c>
      <c r="M14" s="22" t="inlineStr">
        <is>
          <t>2026-05-15</t>
        </is>
      </c>
      <c r="N14" s="20">
        <f>IF(COUNTIF('Billing Reconciliations'!$C$10:$C$269,C14)&gt;0,"ACTIVE","NOT ACTIVE")</f>
        <v/>
      </c>
      <c r="O14" s="21" t="inlineStr">
        <is>
          <t>AR_Aging row 147</t>
        </is>
      </c>
    </row>
    <row r="15" ht="28" customHeight="1">
      <c r="A15" s="21" t="inlineStr">
        <is>
          <t>AC-LP-0801</t>
        </is>
      </c>
      <c r="B15" s="21" t="inlineStr">
        <is>
          <t>Allison Nguyen</t>
        </is>
      </c>
      <c r="C15" s="21" t="inlineStr">
        <is>
          <t>LP-0801</t>
        </is>
      </c>
      <c r="D15" s="21" t="inlineStr">
        <is>
          <t>Ledgport</t>
        </is>
      </c>
      <c r="E15" s="35" t="n">
        <v>488.8</v>
      </c>
      <c r="F15" s="35" t="n">
        <v>488.8</v>
      </c>
      <c r="G15" s="35" t="n">
        <v>488.8</v>
      </c>
      <c r="H15" s="35" t="n">
        <v>488.8</v>
      </c>
      <c r="I15" s="35" t="n">
        <v>0</v>
      </c>
      <c r="J15" s="35">
        <f>H15+I15</f>
        <v/>
      </c>
      <c r="K15" s="35" t="n">
        <v>1955.2</v>
      </c>
      <c r="L15" s="36">
        <f>IFERROR(J15/K15,0)</f>
        <v/>
      </c>
      <c r="M15" s="22" t="inlineStr">
        <is>
          <t>2026-07-08</t>
        </is>
      </c>
      <c r="N15" s="20">
        <f>IF(COUNTIF('Billing Reconciliations'!$C$10:$C$269,C15)&gt;0,"ACTIVE","NOT ACTIVE")</f>
        <v/>
      </c>
      <c r="O15" s="21" t="inlineStr">
        <is>
          <t>AR_Aging row 158</t>
        </is>
      </c>
    </row>
    <row r="17" ht="26" customHeight="1">
      <c r="A17" s="32" t="inlineStr">
        <is>
          <t>FORMULA TOTAL</t>
        </is>
      </c>
      <c r="B17" s="32" t="n"/>
      <c r="C17" s="32" t="n"/>
      <c r="D17" s="32" t="n"/>
      <c r="E17" s="34">
        <f>SUM(E10:E15)</f>
        <v/>
      </c>
      <c r="F17" s="34">
        <f>SUM(F10:F15)</f>
        <v/>
      </c>
      <c r="G17" s="34">
        <f>SUM(G10:G15)</f>
        <v/>
      </c>
      <c r="H17" s="34">
        <f>SUM(H10:H15)</f>
        <v/>
      </c>
      <c r="I17" s="34">
        <f>SUM(I10:I15)</f>
        <v/>
      </c>
      <c r="J17" s="34">
        <f>SUM(J10:J15)</f>
        <v/>
      </c>
      <c r="K17" s="34">
        <f>SUM(K10:K15)</f>
        <v/>
      </c>
      <c r="L17" s="37">
        <f>IFERROR(J17/K17,0)</f>
        <v/>
      </c>
      <c r="M17" s="32" t="n"/>
      <c r="N17" s="32">
        <f>COUNTIF(N10:N15,"ACTIVE")&amp;" ACTIVE"</f>
        <v/>
      </c>
      <c r="O17" s="32" t="n"/>
    </row>
  </sheetData>
  <mergeCells count="5">
    <mergeCell ref="A1:O1"/>
    <mergeCell ref="A2:O2"/>
    <mergeCell ref="K4:O4"/>
    <mergeCell ref="A6:O7"/>
    <mergeCell ref="A17:D17"/>
  </mergeCells>
  <pageMargins left="0.25" right="0.25" top="0.45" bottom="0.45" header="0.18" footer="0.18"/>
  <pageSetup orientation="landscape" paperSize="5" fitToHeight="1" fitToWidth="1"/>
  <headerFooter>
    <oddHeader>&amp;L&amp;8 &amp;K566573CONFIDENTIAL - BOARD REVIEW</oddHeader>
    <oddFooter>&amp;C&amp;8 Aging exceptions |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Chaldale Harbor District</dc:creator>
  <dc:title xmlns:dc="http://purl.org/dc/elements/1.1/">Chaldale Moorage Audit - August 2026</dc:title>
  <dc:description xmlns:dc="http://purl.org/dc/elements/1.1/">Prepared for Administrator Ginny Marina and Board review.</dc:description>
  <dc:subject xmlns:dc="http://purl.org/dc/elements/1.1/">Queue documentation, billing reconciliation, and aging</dc:subject>
  <dcterms:created xmlns:dcterms="http://purl.org/dc/terms/" xmlns:xsi="http://www.w3.org/2001/XMLSchema-instance" xsi:type="dcterms:W3CDTF">2026-09-07T12:34:10Z</dcterms:created>
  <dcterms:modified xmlns:dcterms="http://purl.org/dc/terms/" xmlns:xsi="http://www.w3.org/2001/XMLSchema-instance" xsi:type="dcterms:W3CDTF">2026-09-07T12:34:10Z</dcterms:modified>
</cp:coreProperties>
</file>