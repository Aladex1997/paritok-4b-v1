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Chaldale Moorage Audit - August 1, 2026</t>
        </is>
      </c>
      <c r="B1" s="1" t="n"/>
      <c r="C1" s="1" t="n"/>
    </row>
    <row r="3">
      <c r="A3" t="inlineStr">
        <is>
          <t>Category</t>
        </is>
      </c>
      <c r="B3" t="inlineStr">
        <is>
          <t>Count</t>
        </is>
      </c>
      <c r="C3" t="inlineStr">
        <is>
          <t>Total Variance / Leakage ($)</t>
        </is>
      </c>
    </row>
    <row r="4">
      <c r="A4" t="inlineStr">
        <is>
          <t>Queue Exceptions (Bypass)</t>
        </is>
      </c>
      <c r="B4">
        <f>COUNTIF('Queue Exceptions'!A2:A1000, "Bypass - No Contemporaneous Proof")</f>
        <v/>
      </c>
    </row>
    <row r="5">
      <c r="A5" t="inlineStr">
        <is>
          <t>Queue Exceptions (Uncertified Length)</t>
        </is>
      </c>
      <c r="B5">
        <f>COUNTIF('Queue Exceptions'!A2:A1000, "Uncertified Vessel Length")</f>
        <v/>
      </c>
    </row>
    <row r="6">
      <c r="A6" t="inlineStr">
        <is>
          <t>Billing Discrepancies</t>
        </is>
      </c>
      <c r="B6">
        <f>COUNTA('Billing Reconciliations'!A2:A1000)</f>
        <v/>
      </c>
      <c r="C6">
        <f>SUM('Billing Reconciliations'!I2:I1000)</f>
        <v/>
      </c>
    </row>
    <row r="7">
      <c r="A7" t="inlineStr">
        <is>
          <t>&gt;90 Days Delinquent</t>
        </is>
      </c>
      <c r="B7">
        <f>COUNTA('Aging'!A2:A1000)</f>
        <v/>
      </c>
      <c r="C7">
        <f>SUM('Aging'!F2:F1000)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 Type</t>
        </is>
      </c>
      <c r="B1" s="1" t="inlineStr">
        <is>
          <t>Date</t>
        </is>
      </c>
      <c r="C1" s="1" t="inlineStr">
        <is>
          <t>Offer ID</t>
        </is>
      </c>
      <c r="D1" s="1" t="inlineStr">
        <is>
          <t>Applicant ID</t>
        </is>
      </c>
      <c r="E1" s="1" t="inlineStr">
        <is>
          <t>Slip ID</t>
        </is>
      </c>
      <c r="F1" s="1" t="inlineStr">
        <is>
          <t>Skip Reason</t>
        </is>
      </c>
    </row>
    <row r="2">
      <c r="A2" t="inlineStr">
        <is>
          <t>Bypass - No Contemporaneous Proof</t>
        </is>
      </c>
      <c r="B2" t="inlineStr">
        <is>
          <t>2023-01-08</t>
        </is>
      </c>
      <c r="C2" t="inlineStr">
        <is>
          <t>OFR-2023-0323</t>
        </is>
      </c>
      <c r="D2" t="inlineStr">
        <is>
          <t>WL-03099</t>
        </is>
      </c>
      <c r="E2" t="inlineStr">
        <is>
          <t>LP-0317</t>
        </is>
      </c>
      <c r="F2" t="inlineStr">
        <is>
          <t>vessel-fit</t>
        </is>
      </c>
    </row>
    <row r="3">
      <c r="A3" t="inlineStr">
        <is>
          <t>Bypass - No Contemporaneous Proof</t>
        </is>
      </c>
      <c r="B3" t="inlineStr">
        <is>
          <t>2023-01-08</t>
        </is>
      </c>
      <c r="C3" t="inlineStr">
        <is>
          <t>OFR-2023-0324</t>
        </is>
      </c>
      <c r="D3" t="inlineStr">
        <is>
          <t>WL-02685</t>
        </is>
      </c>
      <c r="E3" t="inlineStr">
        <is>
          <t>LP-0906</t>
        </is>
      </c>
      <c r="F3" t="inlineStr">
        <is>
          <t>vessel-fit</t>
        </is>
      </c>
    </row>
    <row r="4">
      <c r="A4" t="inlineStr">
        <is>
          <t>Bypass - No Contemporaneous Proof</t>
        </is>
      </c>
      <c r="B4" t="inlineStr">
        <is>
          <t>2023-01-26</t>
        </is>
      </c>
      <c r="C4" t="inlineStr">
        <is>
          <t>OFR-2023-0326</t>
        </is>
      </c>
      <c r="D4" t="inlineStr">
        <is>
          <t>WL-01298</t>
        </is>
      </c>
      <c r="E4" t="inlineStr">
        <is>
          <t>GW-0708</t>
        </is>
      </c>
      <c r="F4" t="inlineStr">
        <is>
          <t>vessel-fit</t>
        </is>
      </c>
    </row>
    <row r="5">
      <c r="A5" t="inlineStr">
        <is>
          <t>Bypass - No Contemporaneous Proof</t>
        </is>
      </c>
      <c r="B5" t="inlineStr">
        <is>
          <t>2023-01-08</t>
        </is>
      </c>
      <c r="C5" t="inlineStr">
        <is>
          <t>OFR-2023-0334</t>
        </is>
      </c>
      <c r="D5" t="inlineStr">
        <is>
          <t>WL-01959</t>
        </is>
      </c>
      <c r="E5" t="inlineStr">
        <is>
          <t>VB-1023</t>
        </is>
      </c>
      <c r="F5" t="inlineStr">
        <is>
          <t>not-current</t>
        </is>
      </c>
    </row>
    <row r="6">
      <c r="A6" t="inlineStr">
        <is>
          <t>Bypass - No Contemporaneous Proof</t>
        </is>
      </c>
      <c r="B6" t="inlineStr">
        <is>
          <t>2023-01-10</t>
        </is>
      </c>
      <c r="C6" t="inlineStr">
        <is>
          <t>OFR-2023-0338</t>
        </is>
      </c>
      <c r="D6" t="inlineStr">
        <is>
          <t>WL-01695</t>
        </is>
      </c>
      <c r="E6" t="inlineStr">
        <is>
          <t>EW-0203</t>
        </is>
      </c>
      <c r="F6" t="inlineStr">
        <is>
          <t>vessel-fit</t>
        </is>
      </c>
    </row>
    <row r="7">
      <c r="A7" t="inlineStr">
        <is>
          <t>Bypass - No Contemporaneous Proof</t>
        </is>
      </c>
      <c r="B7" t="inlineStr">
        <is>
          <t>2023-02-18</t>
        </is>
      </c>
      <c r="C7" t="inlineStr">
        <is>
          <t>OFR-2023-0343</t>
        </is>
      </c>
      <c r="D7" t="inlineStr">
        <is>
          <t>WL-02565</t>
        </is>
      </c>
      <c r="E7" t="inlineStr">
        <is>
          <t>GW-0116</t>
        </is>
      </c>
      <c r="F7" t="inlineStr">
        <is>
          <t>vessel-fit</t>
        </is>
      </c>
    </row>
    <row r="8">
      <c r="A8" t="inlineStr">
        <is>
          <t>Bypass - No Contemporaneous Proof</t>
        </is>
      </c>
      <c r="B8" t="inlineStr">
        <is>
          <t>2023-02-19</t>
        </is>
      </c>
      <c r="C8" t="inlineStr">
        <is>
          <t>OFR-2023-0345</t>
        </is>
      </c>
      <c r="D8" t="inlineStr">
        <is>
          <t>WL-02664</t>
        </is>
      </c>
      <c r="E8" t="inlineStr">
        <is>
          <t>GW-0220</t>
        </is>
      </c>
      <c r="F8" t="inlineStr">
        <is>
          <t>preference-mismatch</t>
        </is>
      </c>
    </row>
    <row r="9">
      <c r="A9" t="inlineStr">
        <is>
          <t>Bypass - No Contemporaneous Proof</t>
        </is>
      </c>
      <c r="B9" t="inlineStr">
        <is>
          <t>2023-02-10</t>
        </is>
      </c>
      <c r="C9" t="inlineStr">
        <is>
          <t>OFR-2023-0346</t>
        </is>
      </c>
      <c r="D9" t="inlineStr">
        <is>
          <t>WL-03582</t>
        </is>
      </c>
      <c r="E9" t="inlineStr">
        <is>
          <t>GW-0615</t>
        </is>
      </c>
      <c r="F9" t="inlineStr">
        <is>
          <t>not-current</t>
        </is>
      </c>
    </row>
    <row r="10">
      <c r="A10" t="inlineStr">
        <is>
          <t>Bypass - No Contemporaneous Proof</t>
        </is>
      </c>
      <c r="B10" t="inlineStr">
        <is>
          <t>2023-02-17</t>
        </is>
      </c>
      <c r="C10" t="inlineStr">
        <is>
          <t>OFR-2023-0350</t>
        </is>
      </c>
      <c r="D10" t="inlineStr">
        <is>
          <t>WL-02918</t>
        </is>
      </c>
      <c r="E10" t="inlineStr">
        <is>
          <t>LP-1116</t>
        </is>
      </c>
      <c r="F10" t="inlineStr">
        <is>
          <t>declined-prior-offer</t>
        </is>
      </c>
    </row>
    <row r="11">
      <c r="A11" t="inlineStr">
        <is>
          <t>Bypass - No Contemporaneous Proof</t>
        </is>
      </c>
      <c r="B11" t="inlineStr">
        <is>
          <t>2023-03-15</t>
        </is>
      </c>
      <c r="C11" t="inlineStr">
        <is>
          <t>OFR-2023-0360</t>
        </is>
      </c>
      <c r="D11" t="inlineStr">
        <is>
          <t>WL-03523</t>
        </is>
      </c>
      <c r="E11" t="inlineStr">
        <is>
          <t>SB-0210</t>
        </is>
      </c>
      <c r="F11" t="inlineStr">
        <is>
          <t>vessel-fit</t>
        </is>
      </c>
    </row>
    <row r="12">
      <c r="A12" t="inlineStr">
        <is>
          <t>Bypass - No Contemporaneous Proof</t>
        </is>
      </c>
      <c r="B12" t="inlineStr">
        <is>
          <t>2023-03-06</t>
        </is>
      </c>
      <c r="C12" t="inlineStr">
        <is>
          <t>OFR-2023-0361</t>
        </is>
      </c>
      <c r="D12" t="inlineStr">
        <is>
          <t>WL-02366</t>
        </is>
      </c>
      <c r="E12" t="inlineStr">
        <is>
          <t>LP-1116</t>
        </is>
      </c>
      <c r="F12" t="inlineStr">
        <is>
          <t>vessel-fit</t>
        </is>
      </c>
    </row>
    <row r="13">
      <c r="A13" t="inlineStr">
        <is>
          <t>Bypass - No Contemporaneous Proof</t>
        </is>
      </c>
      <c r="B13" t="inlineStr">
        <is>
          <t>2023-03-27</t>
        </is>
      </c>
      <c r="C13" t="inlineStr">
        <is>
          <t>OFR-2023-0364</t>
        </is>
      </c>
      <c r="D13" t="inlineStr">
        <is>
          <t>WL-01388</t>
        </is>
      </c>
      <c r="E13" t="inlineStr">
        <is>
          <t>SB-0617</t>
        </is>
      </c>
      <c r="F13" t="inlineStr">
        <is>
          <t>vessel-fit</t>
        </is>
      </c>
    </row>
    <row r="14">
      <c r="A14" t="inlineStr">
        <is>
          <t>Bypass - No Contemporaneous Proof</t>
        </is>
      </c>
      <c r="B14" t="inlineStr">
        <is>
          <t>2023-03-10</t>
        </is>
      </c>
      <c r="C14" t="inlineStr">
        <is>
          <t>OFR-2023-0368</t>
        </is>
      </c>
      <c r="D14" t="inlineStr">
        <is>
          <t>WL-01984</t>
        </is>
      </c>
      <c r="E14" t="inlineStr">
        <is>
          <t>GW-0606</t>
        </is>
      </c>
      <c r="F14" t="inlineStr">
        <is>
          <t>declined-prior-offer</t>
        </is>
      </c>
    </row>
    <row r="15">
      <c r="A15" t="inlineStr">
        <is>
          <t>Bypass - No Contemporaneous Proof</t>
        </is>
      </c>
      <c r="B15" t="inlineStr">
        <is>
          <t>2023-03-21</t>
        </is>
      </c>
      <c r="C15" t="inlineStr">
        <is>
          <t>OFR-2023-0370</t>
        </is>
      </c>
      <c r="D15" t="inlineStr">
        <is>
          <t>WL-01649</t>
        </is>
      </c>
      <c r="E15" t="inlineStr">
        <is>
          <t>VB-0717</t>
        </is>
      </c>
      <c r="F15" t="inlineStr">
        <is>
          <t>vessel-fit</t>
        </is>
      </c>
    </row>
    <row r="16">
      <c r="A16" t="inlineStr">
        <is>
          <t>Bypass - No Contemporaneous Proof</t>
        </is>
      </c>
      <c r="B16" t="inlineStr">
        <is>
          <t>2023-03-25</t>
        </is>
      </c>
      <c r="C16" t="inlineStr">
        <is>
          <t>OFR-2023-0371</t>
        </is>
      </c>
      <c r="D16" t="inlineStr">
        <is>
          <t>WL-03535</t>
        </is>
      </c>
      <c r="E16" t="inlineStr">
        <is>
          <t>GW-0101</t>
        </is>
      </c>
      <c r="F16" t="inlineStr">
        <is>
          <t>vessel-fit</t>
        </is>
      </c>
    </row>
    <row r="17">
      <c r="A17" t="inlineStr">
        <is>
          <t>Bypass - No Contemporaneous Proof</t>
        </is>
      </c>
      <c r="B17" t="inlineStr">
        <is>
          <t>2023-04-20</t>
        </is>
      </c>
      <c r="C17" t="inlineStr">
        <is>
          <t>OFR-2023-0374</t>
        </is>
      </c>
      <c r="D17" t="inlineStr">
        <is>
          <t>WL-01473</t>
        </is>
      </c>
      <c r="E17" t="inlineStr">
        <is>
          <t>SB-0623</t>
        </is>
      </c>
      <c r="F17" t="inlineStr">
        <is>
          <t>vessel-fit</t>
        </is>
      </c>
    </row>
    <row r="18">
      <c r="A18" t="inlineStr">
        <is>
          <t>Bypass - No Contemporaneous Proof</t>
        </is>
      </c>
      <c r="B18" t="inlineStr">
        <is>
          <t>2023-04-20</t>
        </is>
      </c>
      <c r="C18" t="inlineStr">
        <is>
          <t>OFR-2023-0375</t>
        </is>
      </c>
      <c r="D18" t="inlineStr">
        <is>
          <t>WL-02941</t>
        </is>
      </c>
      <c r="E18" t="inlineStr">
        <is>
          <t>SB-0109</t>
        </is>
      </c>
      <c r="F18" t="inlineStr">
        <is>
          <t>vessel-fit</t>
        </is>
      </c>
    </row>
    <row r="19">
      <c r="A19" t="inlineStr">
        <is>
          <t>Bypass - No Contemporaneous Proof</t>
        </is>
      </c>
      <c r="B19" t="inlineStr">
        <is>
          <t>2023-04-03</t>
        </is>
      </c>
      <c r="C19" t="inlineStr">
        <is>
          <t>OFR-2023-0387</t>
        </is>
      </c>
      <c r="D19" t="inlineStr">
        <is>
          <t>WL-03014</t>
        </is>
      </c>
      <c r="E19" t="inlineStr">
        <is>
          <t>LP-0204</t>
        </is>
      </c>
      <c r="F19" t="inlineStr">
        <is>
          <t>vessel-fit</t>
        </is>
      </c>
    </row>
    <row r="20">
      <c r="A20" t="inlineStr">
        <is>
          <t>Bypass - No Contemporaneous Proof</t>
        </is>
      </c>
      <c r="B20" t="inlineStr">
        <is>
          <t>2023-04-09</t>
        </is>
      </c>
      <c r="C20" t="inlineStr">
        <is>
          <t>OFR-2023-0392</t>
        </is>
      </c>
      <c r="D20" t="inlineStr">
        <is>
          <t>WL-01886</t>
        </is>
      </c>
      <c r="E20" t="inlineStr">
        <is>
          <t>GW-0116</t>
        </is>
      </c>
      <c r="F20" t="inlineStr">
        <is>
          <t>not-current</t>
        </is>
      </c>
    </row>
    <row r="21">
      <c r="A21" t="inlineStr">
        <is>
          <t>Bypass - No Contemporaneous Proof</t>
        </is>
      </c>
      <c r="B21" t="inlineStr">
        <is>
          <t>2023-04-11</t>
        </is>
      </c>
      <c r="C21" t="inlineStr">
        <is>
          <t>OFR-2023-0395</t>
        </is>
      </c>
      <c r="D21" t="inlineStr">
        <is>
          <t>WL-02074</t>
        </is>
      </c>
      <c r="E21" t="inlineStr">
        <is>
          <t>EW-1007</t>
        </is>
      </c>
      <c r="F21" t="inlineStr">
        <is>
          <t>vessel-fit</t>
        </is>
      </c>
    </row>
    <row r="22">
      <c r="A22" t="inlineStr">
        <is>
          <t>Bypass - No Contemporaneous Proof</t>
        </is>
      </c>
      <c r="B22" t="inlineStr">
        <is>
          <t>2023-04-08</t>
        </is>
      </c>
      <c r="C22" t="inlineStr">
        <is>
          <t>OFR-2023-0401</t>
        </is>
      </c>
      <c r="D22" t="inlineStr">
        <is>
          <t>WL-01145</t>
        </is>
      </c>
      <c r="E22" t="inlineStr">
        <is>
          <t>EW-0304</t>
        </is>
      </c>
      <c r="F22" t="inlineStr">
        <is>
          <t>not-current</t>
        </is>
      </c>
    </row>
    <row r="23">
      <c r="A23" t="inlineStr">
        <is>
          <t>Bypass - No Contemporaneous Proof</t>
        </is>
      </c>
      <c r="B23" t="inlineStr">
        <is>
          <t>2023-04-28</t>
        </is>
      </c>
      <c r="C23" t="inlineStr">
        <is>
          <t>OFR-2023-0403</t>
        </is>
      </c>
      <c r="D23" t="inlineStr">
        <is>
          <t>WL-01274</t>
        </is>
      </c>
      <c r="E23" t="inlineStr">
        <is>
          <t>GW-0905</t>
        </is>
      </c>
      <c r="F23" t="inlineStr">
        <is>
          <t>vessel-fit</t>
        </is>
      </c>
    </row>
    <row r="24">
      <c r="A24" t="inlineStr">
        <is>
          <t>Bypass - No Contemporaneous Proof</t>
        </is>
      </c>
      <c r="B24" t="inlineStr">
        <is>
          <t>2023-04-02</t>
        </is>
      </c>
      <c r="C24" t="inlineStr">
        <is>
          <t>OFR-2023-0409</t>
        </is>
      </c>
      <c r="D24" t="inlineStr">
        <is>
          <t>WL-01089</t>
        </is>
      </c>
      <c r="E24" t="inlineStr">
        <is>
          <t>GW-0306</t>
        </is>
      </c>
      <c r="F24" t="inlineStr">
        <is>
          <t>declined-prior-offer</t>
        </is>
      </c>
    </row>
    <row r="25">
      <c r="A25" t="inlineStr">
        <is>
          <t>Bypass - No Contemporaneous Proof</t>
        </is>
      </c>
      <c r="B25" t="inlineStr">
        <is>
          <t>2023-05-13</t>
        </is>
      </c>
      <c r="C25" t="inlineStr">
        <is>
          <t>OFR-2023-0411</t>
        </is>
      </c>
      <c r="D25" t="inlineStr">
        <is>
          <t>WL-02485</t>
        </is>
      </c>
      <c r="E25" t="inlineStr">
        <is>
          <t>VB-0521</t>
        </is>
      </c>
      <c r="F25" t="inlineStr">
        <is>
          <t>not-current</t>
        </is>
      </c>
    </row>
    <row r="26">
      <c r="A26" t="inlineStr">
        <is>
          <t>Bypass - No Contemporaneous Proof</t>
        </is>
      </c>
      <c r="B26" t="inlineStr">
        <is>
          <t>2023-05-05</t>
        </is>
      </c>
      <c r="C26" t="inlineStr">
        <is>
          <t>OFR-2023-0412</t>
        </is>
      </c>
      <c r="D26" t="inlineStr">
        <is>
          <t>WL-03151</t>
        </is>
      </c>
      <c r="E26" t="inlineStr">
        <is>
          <t>VB-0220</t>
        </is>
      </c>
      <c r="F26" t="inlineStr">
        <is>
          <t>declined-prior-offer</t>
        </is>
      </c>
    </row>
    <row r="27">
      <c r="A27" t="inlineStr">
        <is>
          <t>Bypass - No Contemporaneous Proof</t>
        </is>
      </c>
      <c r="B27" t="inlineStr">
        <is>
          <t>2023-05-02</t>
        </is>
      </c>
      <c r="C27" t="inlineStr">
        <is>
          <t>OFR-2023-0417</t>
        </is>
      </c>
      <c r="D27" t="inlineStr">
        <is>
          <t>WL-01469</t>
        </is>
      </c>
      <c r="E27" t="inlineStr">
        <is>
          <t>LP-1104</t>
        </is>
      </c>
      <c r="F27" t="inlineStr">
        <is>
          <t>vessel-fit</t>
        </is>
      </c>
    </row>
    <row r="28">
      <c r="A28" t="inlineStr">
        <is>
          <t>Bypass - No Contemporaneous Proof</t>
        </is>
      </c>
      <c r="B28" t="inlineStr">
        <is>
          <t>2023-05-12</t>
        </is>
      </c>
      <c r="C28" t="inlineStr">
        <is>
          <t>OFR-2023-0418</t>
        </is>
      </c>
      <c r="D28" t="inlineStr">
        <is>
          <t>WL-03181</t>
        </is>
      </c>
      <c r="E28" t="inlineStr">
        <is>
          <t>SB-0903</t>
        </is>
      </c>
      <c r="F28" t="inlineStr">
        <is>
          <t>vessel-fit</t>
        </is>
      </c>
    </row>
    <row r="29">
      <c r="A29" t="inlineStr">
        <is>
          <t>Bypass - No Contemporaneous Proof</t>
        </is>
      </c>
      <c r="B29" t="inlineStr">
        <is>
          <t>2023-05-20</t>
        </is>
      </c>
      <c r="C29" t="inlineStr">
        <is>
          <t>OFR-2023-0419</t>
        </is>
      </c>
      <c r="D29" t="inlineStr">
        <is>
          <t>WL-03816</t>
        </is>
      </c>
      <c r="E29" t="inlineStr">
        <is>
          <t>VB-0113</t>
        </is>
      </c>
      <c r="F29" t="inlineStr">
        <is>
          <t>preference-mismatch</t>
        </is>
      </c>
    </row>
    <row r="30">
      <c r="A30" t="inlineStr">
        <is>
          <t>Bypass - No Contemporaneous Proof</t>
        </is>
      </c>
      <c r="B30" t="inlineStr">
        <is>
          <t>2023-05-21</t>
        </is>
      </c>
      <c r="C30" t="inlineStr">
        <is>
          <t>OFR-2023-0421</t>
        </is>
      </c>
      <c r="D30" t="inlineStr">
        <is>
          <t>WL-03712</t>
        </is>
      </c>
      <c r="E30" t="inlineStr">
        <is>
          <t>LP-0113</t>
        </is>
      </c>
      <c r="F30" t="inlineStr">
        <is>
          <t>declined-prior-offer</t>
        </is>
      </c>
    </row>
    <row r="31">
      <c r="A31" t="inlineStr">
        <is>
          <t>Bypass - No Contemporaneous Proof</t>
        </is>
      </c>
      <c r="B31" t="inlineStr">
        <is>
          <t>2023-05-19</t>
        </is>
      </c>
      <c r="C31" t="inlineStr">
        <is>
          <t>OFR-2023-0422</t>
        </is>
      </c>
      <c r="D31" t="inlineStr">
        <is>
          <t>WL-02100</t>
        </is>
      </c>
      <c r="E31" t="inlineStr">
        <is>
          <t>VB-0504</t>
        </is>
      </c>
      <c r="F31" t="inlineStr">
        <is>
          <t>preference-mismatch</t>
        </is>
      </c>
    </row>
    <row r="32">
      <c r="A32" t="inlineStr">
        <is>
          <t>Bypass - No Contemporaneous Proof</t>
        </is>
      </c>
      <c r="B32" t="inlineStr">
        <is>
          <t>2023-05-21</t>
        </is>
      </c>
      <c r="C32" t="inlineStr">
        <is>
          <t>OFR-2023-0429</t>
        </is>
      </c>
      <c r="D32" t="inlineStr">
        <is>
          <t>WL-02777</t>
        </is>
      </c>
      <c r="E32" t="inlineStr">
        <is>
          <t>LP-0402</t>
        </is>
      </c>
      <c r="F32" t="inlineStr">
        <is>
          <t>vessel-fit</t>
        </is>
      </c>
    </row>
    <row r="33">
      <c r="A33" t="inlineStr">
        <is>
          <t>Bypass - No Contemporaneous Proof</t>
        </is>
      </c>
      <c r="B33" t="inlineStr">
        <is>
          <t>2023-05-10</t>
        </is>
      </c>
      <c r="C33" t="inlineStr">
        <is>
          <t>OFR-2023-0432</t>
        </is>
      </c>
      <c r="D33" t="inlineStr">
        <is>
          <t>WL-02134</t>
        </is>
      </c>
      <c r="E33" t="inlineStr">
        <is>
          <t>EW-0320</t>
        </is>
      </c>
      <c r="F33" t="inlineStr">
        <is>
          <t>not-current</t>
        </is>
      </c>
    </row>
    <row r="34">
      <c r="A34" t="inlineStr">
        <is>
          <t>Bypass - No Contemporaneous Proof</t>
        </is>
      </c>
      <c r="B34" t="inlineStr">
        <is>
          <t>2023-05-21</t>
        </is>
      </c>
      <c r="C34" t="inlineStr">
        <is>
          <t>OFR-2023-0435</t>
        </is>
      </c>
      <c r="D34" t="inlineStr">
        <is>
          <t>WL-01420</t>
        </is>
      </c>
      <c r="E34" t="inlineStr">
        <is>
          <t>SB-0405</t>
        </is>
      </c>
      <c r="F34" t="inlineStr">
        <is>
          <t>vessel-fit</t>
        </is>
      </c>
    </row>
    <row r="35">
      <c r="A35" t="inlineStr">
        <is>
          <t>Bypass - No Contemporaneous Proof</t>
        </is>
      </c>
      <c r="B35" t="inlineStr">
        <is>
          <t>2023-05-04</t>
        </is>
      </c>
      <c r="C35" t="inlineStr">
        <is>
          <t>OFR-2023-0436</t>
        </is>
      </c>
      <c r="D35" t="inlineStr">
        <is>
          <t>WL-03537</t>
        </is>
      </c>
      <c r="E35" t="inlineStr">
        <is>
          <t>GW-0709</t>
        </is>
      </c>
      <c r="F35" t="inlineStr">
        <is>
          <t>not-current</t>
        </is>
      </c>
    </row>
    <row r="36">
      <c r="A36" t="inlineStr">
        <is>
          <t>Bypass - No Contemporaneous Proof</t>
        </is>
      </c>
      <c r="B36" t="inlineStr">
        <is>
          <t>2023-05-02</t>
        </is>
      </c>
      <c r="C36" t="inlineStr">
        <is>
          <t>OFR-2023-0440</t>
        </is>
      </c>
      <c r="D36" t="inlineStr">
        <is>
          <t>WL-03178</t>
        </is>
      </c>
      <c r="E36" t="inlineStr">
        <is>
          <t>VB-0810</t>
        </is>
      </c>
      <c r="F36" t="inlineStr">
        <is>
          <t>vessel-fit</t>
        </is>
      </c>
    </row>
    <row r="37">
      <c r="A37" t="inlineStr">
        <is>
          <t>Bypass - No Contemporaneous Proof</t>
        </is>
      </c>
      <c r="B37" t="inlineStr">
        <is>
          <t>2023-06-12</t>
        </is>
      </c>
      <c r="C37" t="inlineStr">
        <is>
          <t>OFR-2023-0447</t>
        </is>
      </c>
      <c r="D37" t="inlineStr">
        <is>
          <t>WL-02924</t>
        </is>
      </c>
      <c r="E37" t="inlineStr">
        <is>
          <t>VB-0720</t>
        </is>
      </c>
      <c r="F37" t="inlineStr">
        <is>
          <t>not-current</t>
        </is>
      </c>
    </row>
    <row r="38">
      <c r="A38" t="inlineStr">
        <is>
          <t>Bypass - No Contemporaneous Proof</t>
        </is>
      </c>
      <c r="B38" t="inlineStr">
        <is>
          <t>2023-06-15</t>
        </is>
      </c>
      <c r="C38" t="inlineStr">
        <is>
          <t>OFR-2023-0448</t>
        </is>
      </c>
      <c r="D38" t="inlineStr">
        <is>
          <t>WL-01781</t>
        </is>
      </c>
      <c r="E38" t="inlineStr">
        <is>
          <t>LP-0220</t>
        </is>
      </c>
      <c r="F38" t="inlineStr">
        <is>
          <t>preference-mismatch</t>
        </is>
      </c>
    </row>
    <row r="39">
      <c r="A39" t="inlineStr">
        <is>
          <t>Bypass - No Contemporaneous Proof</t>
        </is>
      </c>
      <c r="B39" t="inlineStr">
        <is>
          <t>2023-06-08</t>
        </is>
      </c>
      <c r="C39" t="inlineStr">
        <is>
          <t>OFR-2023-0449</t>
        </is>
      </c>
      <c r="D39" t="inlineStr">
        <is>
          <t>WL-01193</t>
        </is>
      </c>
      <c r="E39" t="inlineStr">
        <is>
          <t>VB-0205</t>
        </is>
      </c>
      <c r="F39" t="inlineStr">
        <is>
          <t>declined-prior-offer</t>
        </is>
      </c>
    </row>
    <row r="40">
      <c r="A40" t="inlineStr">
        <is>
          <t>Bypass - No Contemporaneous Proof</t>
        </is>
      </c>
      <c r="B40" t="inlineStr">
        <is>
          <t>2023-06-10</t>
        </is>
      </c>
      <c r="C40" t="inlineStr">
        <is>
          <t>OFR-2023-0457</t>
        </is>
      </c>
      <c r="D40" t="inlineStr">
        <is>
          <t>WL-01319</t>
        </is>
      </c>
      <c r="E40" t="inlineStr">
        <is>
          <t>GW-1008</t>
        </is>
      </c>
      <c r="F40" t="inlineStr">
        <is>
          <t>not-current</t>
        </is>
      </c>
    </row>
    <row r="41">
      <c r="A41" t="inlineStr">
        <is>
          <t>Bypass - No Contemporaneous Proof</t>
        </is>
      </c>
      <c r="B41" t="inlineStr">
        <is>
          <t>2023-06-24</t>
        </is>
      </c>
      <c r="C41" t="inlineStr">
        <is>
          <t>OFR-2023-0458</t>
        </is>
      </c>
      <c r="D41" t="inlineStr">
        <is>
          <t>WL-02173</t>
        </is>
      </c>
      <c r="E41" t="inlineStr">
        <is>
          <t>SB-0205</t>
        </is>
      </c>
      <c r="F41" t="inlineStr">
        <is>
          <t>vessel-fit</t>
        </is>
      </c>
    </row>
    <row r="42">
      <c r="A42" t="inlineStr">
        <is>
          <t>Bypass - No Contemporaneous Proof</t>
        </is>
      </c>
      <c r="B42" t="inlineStr">
        <is>
          <t>2023-06-25</t>
        </is>
      </c>
      <c r="C42" t="inlineStr">
        <is>
          <t>OFR-2023-0460</t>
        </is>
      </c>
      <c r="D42" t="inlineStr">
        <is>
          <t>WL-01568</t>
        </is>
      </c>
      <c r="E42" t="inlineStr">
        <is>
          <t>LP-0219</t>
        </is>
      </c>
      <c r="F42" t="inlineStr">
        <is>
          <t>declined-prior-offer</t>
        </is>
      </c>
    </row>
    <row r="43">
      <c r="A43" t="inlineStr">
        <is>
          <t>Bypass - No Contemporaneous Proof</t>
        </is>
      </c>
      <c r="B43" t="inlineStr">
        <is>
          <t>2023-06-08</t>
        </is>
      </c>
      <c r="C43" t="inlineStr">
        <is>
          <t>OFR-2023-0461</t>
        </is>
      </c>
      <c r="D43" t="inlineStr">
        <is>
          <t>WL-03758</t>
        </is>
      </c>
      <c r="E43" t="inlineStr">
        <is>
          <t>LP-0121</t>
        </is>
      </c>
      <c r="F43" t="inlineStr">
        <is>
          <t>preference-mismatch</t>
        </is>
      </c>
    </row>
    <row r="44">
      <c r="A44" t="inlineStr">
        <is>
          <t>Bypass - No Contemporaneous Proof</t>
        </is>
      </c>
      <c r="B44" t="inlineStr">
        <is>
          <t>2023-06-07</t>
        </is>
      </c>
      <c r="C44" t="inlineStr">
        <is>
          <t>OFR-2023-0462</t>
        </is>
      </c>
      <c r="D44" t="inlineStr">
        <is>
          <t>WL-02535</t>
        </is>
      </c>
      <c r="E44" t="inlineStr">
        <is>
          <t>VB-0805</t>
        </is>
      </c>
      <c r="F44" t="inlineStr">
        <is>
          <t>declined-prior-offer</t>
        </is>
      </c>
    </row>
    <row r="45">
      <c r="A45" t="inlineStr">
        <is>
          <t>Bypass - No Contemporaneous Proof</t>
        </is>
      </c>
      <c r="B45" t="inlineStr">
        <is>
          <t>2023-06-13</t>
        </is>
      </c>
      <c r="C45" t="inlineStr">
        <is>
          <t>OFR-2023-0464</t>
        </is>
      </c>
      <c r="D45" t="inlineStr">
        <is>
          <t>WL-02663</t>
        </is>
      </c>
      <c r="E45" t="inlineStr">
        <is>
          <t>GW-0810</t>
        </is>
      </c>
      <c r="F45" t="inlineStr">
        <is>
          <t>vessel-fit</t>
        </is>
      </c>
    </row>
    <row r="46">
      <c r="A46" t="inlineStr">
        <is>
          <t>Bypass - No Contemporaneous Proof</t>
        </is>
      </c>
      <c r="B46" t="inlineStr">
        <is>
          <t>2023-06-09</t>
        </is>
      </c>
      <c r="C46" t="inlineStr">
        <is>
          <t>OFR-2023-0469</t>
        </is>
      </c>
      <c r="D46" t="inlineStr">
        <is>
          <t>WL-01129</t>
        </is>
      </c>
      <c r="E46" t="inlineStr">
        <is>
          <t>GW-0414</t>
        </is>
      </c>
      <c r="F46" t="inlineStr">
        <is>
          <t>preference-mismatch</t>
        </is>
      </c>
    </row>
    <row r="47">
      <c r="A47" t="inlineStr">
        <is>
          <t>Bypass - No Contemporaneous Proof</t>
        </is>
      </c>
      <c r="B47" t="inlineStr">
        <is>
          <t>2023-06-12</t>
        </is>
      </c>
      <c r="C47" t="inlineStr">
        <is>
          <t>OFR-2023-0473</t>
        </is>
      </c>
      <c r="D47" t="inlineStr">
        <is>
          <t>WL-03100</t>
        </is>
      </c>
      <c r="E47" t="inlineStr">
        <is>
          <t>EW-0622</t>
        </is>
      </c>
      <c r="F47" t="inlineStr">
        <is>
          <t>vessel-fit</t>
        </is>
      </c>
    </row>
    <row r="48">
      <c r="A48" t="inlineStr">
        <is>
          <t>Bypass - No Contemporaneous Proof</t>
        </is>
      </c>
      <c r="B48" t="inlineStr">
        <is>
          <t>2023-07-04</t>
        </is>
      </c>
      <c r="C48" t="inlineStr">
        <is>
          <t>OFR-2023-0478</t>
        </is>
      </c>
      <c r="D48" t="inlineStr">
        <is>
          <t>WL-03857</t>
        </is>
      </c>
      <c r="E48" t="inlineStr">
        <is>
          <t>SB-0602</t>
        </is>
      </c>
      <c r="F48" t="inlineStr">
        <is>
          <t>not-current</t>
        </is>
      </c>
    </row>
    <row r="49">
      <c r="A49" t="inlineStr">
        <is>
          <t>Bypass - No Contemporaneous Proof</t>
        </is>
      </c>
      <c r="B49" t="inlineStr">
        <is>
          <t>2023-07-15</t>
        </is>
      </c>
      <c r="C49" t="inlineStr">
        <is>
          <t>OFR-2023-0479</t>
        </is>
      </c>
      <c r="D49" t="inlineStr">
        <is>
          <t>WL-01054</t>
        </is>
      </c>
      <c r="E49" t="inlineStr">
        <is>
          <t>VB-0620</t>
        </is>
      </c>
      <c r="F49" t="inlineStr">
        <is>
          <t>vessel-fit</t>
        </is>
      </c>
    </row>
    <row r="50">
      <c r="A50" t="inlineStr">
        <is>
          <t>Bypass - No Contemporaneous Proof</t>
        </is>
      </c>
      <c r="B50" t="inlineStr">
        <is>
          <t>2023-07-03</t>
        </is>
      </c>
      <c r="C50" t="inlineStr">
        <is>
          <t>OFR-2023-0481</t>
        </is>
      </c>
      <c r="D50" t="inlineStr">
        <is>
          <t>WL-01712</t>
        </is>
      </c>
      <c r="E50" t="inlineStr">
        <is>
          <t>GW-0118</t>
        </is>
      </c>
      <c r="F50" t="inlineStr">
        <is>
          <t>vessel-fit</t>
        </is>
      </c>
    </row>
    <row r="51">
      <c r="A51" t="inlineStr">
        <is>
          <t>Bypass - No Contemporaneous Proof</t>
        </is>
      </c>
      <c r="B51" t="inlineStr">
        <is>
          <t>2023-07-07</t>
        </is>
      </c>
      <c r="C51" t="inlineStr">
        <is>
          <t>OFR-2023-0483</t>
        </is>
      </c>
      <c r="D51" t="inlineStr">
        <is>
          <t>WL-02160</t>
        </is>
      </c>
      <c r="E51" t="inlineStr">
        <is>
          <t>LP-0520</t>
        </is>
      </c>
      <c r="F51" t="inlineStr">
        <is>
          <t>not-current</t>
        </is>
      </c>
    </row>
    <row r="52">
      <c r="A52" t="inlineStr">
        <is>
          <t>Bypass - No Contemporaneous Proof</t>
        </is>
      </c>
      <c r="B52" t="inlineStr">
        <is>
          <t>2023-07-09</t>
        </is>
      </c>
      <c r="C52" t="inlineStr">
        <is>
          <t>OFR-2023-0485</t>
        </is>
      </c>
      <c r="D52" t="inlineStr">
        <is>
          <t>WL-01242</t>
        </is>
      </c>
      <c r="E52" t="inlineStr">
        <is>
          <t>SB-0314</t>
        </is>
      </c>
      <c r="F52" t="inlineStr">
        <is>
          <t>vessel-fit</t>
        </is>
      </c>
    </row>
    <row r="53">
      <c r="A53" t="inlineStr">
        <is>
          <t>Bypass - No Contemporaneous Proof</t>
        </is>
      </c>
      <c r="B53" t="inlineStr">
        <is>
          <t>2023-07-24</t>
        </is>
      </c>
      <c r="C53" t="inlineStr">
        <is>
          <t>OFR-2023-0486</t>
        </is>
      </c>
      <c r="D53" t="inlineStr">
        <is>
          <t>WL-02199</t>
        </is>
      </c>
      <c r="E53" t="inlineStr">
        <is>
          <t>GW-1003</t>
        </is>
      </c>
      <c r="F53" t="inlineStr">
        <is>
          <t>not-current</t>
        </is>
      </c>
    </row>
    <row r="54">
      <c r="A54" t="inlineStr">
        <is>
          <t>Bypass - No Contemporaneous Proof</t>
        </is>
      </c>
      <c r="B54" t="inlineStr">
        <is>
          <t>2023-07-26</t>
        </is>
      </c>
      <c r="C54" t="inlineStr">
        <is>
          <t>OFR-2023-0489</t>
        </is>
      </c>
      <c r="D54" t="inlineStr">
        <is>
          <t>WL-01248</t>
        </is>
      </c>
      <c r="E54" t="inlineStr">
        <is>
          <t>SB-0915</t>
        </is>
      </c>
      <c r="F54" t="inlineStr">
        <is>
          <t>preference-mismatch</t>
        </is>
      </c>
    </row>
    <row r="55">
      <c r="A55" t="inlineStr">
        <is>
          <t>Bypass - No Contemporaneous Proof</t>
        </is>
      </c>
      <c r="B55" t="inlineStr">
        <is>
          <t>2023-07-11</t>
        </is>
      </c>
      <c r="C55" t="inlineStr">
        <is>
          <t>OFR-2023-0490</t>
        </is>
      </c>
      <c r="D55" t="inlineStr">
        <is>
          <t>WL-02206</t>
        </is>
      </c>
      <c r="E55" t="inlineStr">
        <is>
          <t>GW-0719</t>
        </is>
      </c>
      <c r="F55" t="inlineStr">
        <is>
          <t>vessel-fit</t>
        </is>
      </c>
    </row>
    <row r="56">
      <c r="A56" t="inlineStr">
        <is>
          <t>Bypass - No Contemporaneous Proof</t>
        </is>
      </c>
      <c r="B56" t="inlineStr">
        <is>
          <t>2023-07-26</t>
        </is>
      </c>
      <c r="C56" t="inlineStr">
        <is>
          <t>OFR-2023-0495</t>
        </is>
      </c>
      <c r="D56" t="inlineStr">
        <is>
          <t>WL-02706</t>
        </is>
      </c>
      <c r="E56" t="inlineStr">
        <is>
          <t>LP-0104</t>
        </is>
      </c>
      <c r="F56" t="inlineStr">
        <is>
          <t>declined-prior-offer</t>
        </is>
      </c>
    </row>
    <row r="57">
      <c r="A57" t="inlineStr">
        <is>
          <t>Bypass - No Contemporaneous Proof</t>
        </is>
      </c>
      <c r="B57" t="inlineStr">
        <is>
          <t>2023-07-03</t>
        </is>
      </c>
      <c r="C57" t="inlineStr">
        <is>
          <t>OFR-2023-0501</t>
        </is>
      </c>
      <c r="D57" t="inlineStr">
        <is>
          <t>WL-01924</t>
        </is>
      </c>
      <c r="E57" t="inlineStr">
        <is>
          <t>EW-0111</t>
        </is>
      </c>
      <c r="F57" t="inlineStr">
        <is>
          <t>vessel-fit</t>
        </is>
      </c>
    </row>
    <row r="58">
      <c r="A58" t="inlineStr">
        <is>
          <t>Bypass - No Contemporaneous Proof</t>
        </is>
      </c>
      <c r="B58" t="inlineStr">
        <is>
          <t>2023-07-27</t>
        </is>
      </c>
      <c r="C58" t="inlineStr">
        <is>
          <t>OFR-2023-0504</t>
        </is>
      </c>
      <c r="D58" t="inlineStr">
        <is>
          <t>WL-03652</t>
        </is>
      </c>
      <c r="E58" t="inlineStr">
        <is>
          <t>GW-0301</t>
        </is>
      </c>
      <c r="F58" t="inlineStr">
        <is>
          <t>vessel-fit</t>
        </is>
      </c>
    </row>
    <row r="59">
      <c r="A59" t="inlineStr">
        <is>
          <t>Bypass - No Contemporaneous Proof</t>
        </is>
      </c>
      <c r="B59" t="inlineStr">
        <is>
          <t>2023-07-20</t>
        </is>
      </c>
      <c r="C59" t="inlineStr">
        <is>
          <t>OFR-2023-0505</t>
        </is>
      </c>
      <c r="D59" t="inlineStr">
        <is>
          <t>WL-03411</t>
        </is>
      </c>
      <c r="E59" t="inlineStr">
        <is>
          <t>VB-0719</t>
        </is>
      </c>
      <c r="F59" t="inlineStr">
        <is>
          <t>preference-mismatch</t>
        </is>
      </c>
    </row>
    <row r="60">
      <c r="A60" t="inlineStr">
        <is>
          <t>Bypass - No Contemporaneous Proof</t>
        </is>
      </c>
      <c r="B60" t="inlineStr">
        <is>
          <t>2023-08-06</t>
        </is>
      </c>
      <c r="C60" t="inlineStr">
        <is>
          <t>OFR-2023-0508</t>
        </is>
      </c>
      <c r="D60" t="inlineStr">
        <is>
          <t>WL-01029</t>
        </is>
      </c>
      <c r="E60" t="inlineStr">
        <is>
          <t>EW-0119</t>
        </is>
      </c>
      <c r="F60" t="inlineStr">
        <is>
          <t>preference-mismatch</t>
        </is>
      </c>
    </row>
    <row r="61">
      <c r="A61" t="inlineStr">
        <is>
          <t>Bypass - No Contemporaneous Proof</t>
        </is>
      </c>
      <c r="B61" t="inlineStr">
        <is>
          <t>2023-08-16</t>
        </is>
      </c>
      <c r="C61" t="inlineStr">
        <is>
          <t>OFR-2023-0515</t>
        </is>
      </c>
      <c r="D61" t="inlineStr">
        <is>
          <t>WL-01847</t>
        </is>
      </c>
      <c r="E61" t="inlineStr">
        <is>
          <t>EW-0110</t>
        </is>
      </c>
      <c r="F61" t="inlineStr">
        <is>
          <t>not-current</t>
        </is>
      </c>
    </row>
    <row r="62">
      <c r="A62" t="inlineStr">
        <is>
          <t>Bypass - No Contemporaneous Proof</t>
        </is>
      </c>
      <c r="B62" t="inlineStr">
        <is>
          <t>2023-08-09</t>
        </is>
      </c>
      <c r="C62" t="inlineStr">
        <is>
          <t>OFR-2023-0517</t>
        </is>
      </c>
      <c r="D62" t="inlineStr">
        <is>
          <t>WL-01297</t>
        </is>
      </c>
      <c r="E62" t="inlineStr">
        <is>
          <t>VB-0512</t>
        </is>
      </c>
      <c r="F62" t="inlineStr">
        <is>
          <t>not-current</t>
        </is>
      </c>
    </row>
    <row r="63">
      <c r="A63" t="inlineStr">
        <is>
          <t>Bypass - No Contemporaneous Proof</t>
        </is>
      </c>
      <c r="B63" t="inlineStr">
        <is>
          <t>2023-08-02</t>
        </is>
      </c>
      <c r="C63" t="inlineStr">
        <is>
          <t>OFR-2023-0518</t>
        </is>
      </c>
      <c r="D63" t="inlineStr">
        <is>
          <t>WL-02603</t>
        </is>
      </c>
      <c r="E63" t="inlineStr">
        <is>
          <t>GW-0611</t>
        </is>
      </c>
      <c r="F63" t="inlineStr">
        <is>
          <t>declined-prior-offer</t>
        </is>
      </c>
    </row>
    <row r="64">
      <c r="A64" t="inlineStr">
        <is>
          <t>Bypass - No Contemporaneous Proof</t>
        </is>
      </c>
      <c r="B64" t="inlineStr">
        <is>
          <t>2023-08-22</t>
        </is>
      </c>
      <c r="C64" t="inlineStr">
        <is>
          <t>OFR-2023-0524</t>
        </is>
      </c>
      <c r="D64" t="inlineStr">
        <is>
          <t>WL-03153</t>
        </is>
      </c>
      <c r="E64" t="inlineStr">
        <is>
          <t>EW-0213</t>
        </is>
      </c>
      <c r="F64" t="inlineStr">
        <is>
          <t>preference-mismatch</t>
        </is>
      </c>
    </row>
    <row r="65">
      <c r="A65" t="inlineStr">
        <is>
          <t>Bypass - No Contemporaneous Proof</t>
        </is>
      </c>
      <c r="B65" t="inlineStr">
        <is>
          <t>2023-08-22</t>
        </is>
      </c>
      <c r="C65" t="inlineStr">
        <is>
          <t>OFR-2023-0526</t>
        </is>
      </c>
      <c r="D65" t="inlineStr">
        <is>
          <t>WL-02650</t>
        </is>
      </c>
      <c r="E65" t="inlineStr">
        <is>
          <t>EW-0310</t>
        </is>
      </c>
      <c r="F65" t="inlineStr">
        <is>
          <t>declined-prior-offer</t>
        </is>
      </c>
    </row>
    <row r="66">
      <c r="A66" t="inlineStr">
        <is>
          <t>Bypass - No Contemporaneous Proof</t>
        </is>
      </c>
      <c r="B66" t="inlineStr">
        <is>
          <t>2023-08-10</t>
        </is>
      </c>
      <c r="C66" t="inlineStr">
        <is>
          <t>OFR-2023-0528</t>
        </is>
      </c>
      <c r="D66" t="inlineStr">
        <is>
          <t>WL-01360</t>
        </is>
      </c>
      <c r="E66" t="inlineStr">
        <is>
          <t>LP-0516</t>
        </is>
      </c>
      <c r="F66" t="inlineStr">
        <is>
          <t>vessel-fit</t>
        </is>
      </c>
    </row>
    <row r="67">
      <c r="A67" t="inlineStr">
        <is>
          <t>Bypass - No Contemporaneous Proof</t>
        </is>
      </c>
      <c r="B67" t="inlineStr">
        <is>
          <t>2023-08-05</t>
        </is>
      </c>
      <c r="C67" t="inlineStr">
        <is>
          <t>OFR-2023-0530</t>
        </is>
      </c>
      <c r="D67" t="inlineStr">
        <is>
          <t>WL-01367</t>
        </is>
      </c>
      <c r="E67" t="inlineStr">
        <is>
          <t>GW-0703</t>
        </is>
      </c>
      <c r="F67" t="inlineStr">
        <is>
          <t>vessel-fit</t>
        </is>
      </c>
    </row>
    <row r="68">
      <c r="A68" t="inlineStr">
        <is>
          <t>Bypass - No Contemporaneous Proof</t>
        </is>
      </c>
      <c r="B68" t="inlineStr">
        <is>
          <t>2023-08-18</t>
        </is>
      </c>
      <c r="C68" t="inlineStr">
        <is>
          <t>OFR-2023-0533</t>
        </is>
      </c>
      <c r="D68" t="inlineStr">
        <is>
          <t>WL-02793</t>
        </is>
      </c>
      <c r="E68" t="inlineStr">
        <is>
          <t>EW-0814</t>
        </is>
      </c>
      <c r="F68" t="inlineStr">
        <is>
          <t>vessel-fit</t>
        </is>
      </c>
    </row>
    <row r="69">
      <c r="A69" t="inlineStr">
        <is>
          <t>Bypass - No Contemporaneous Proof</t>
        </is>
      </c>
      <c r="B69" t="inlineStr">
        <is>
          <t>2023-09-18</t>
        </is>
      </c>
      <c r="C69" t="inlineStr">
        <is>
          <t>OFR-2023-0541</t>
        </is>
      </c>
      <c r="D69" t="inlineStr">
        <is>
          <t>WL-03249</t>
        </is>
      </c>
      <c r="E69" t="inlineStr">
        <is>
          <t>EW-0518</t>
        </is>
      </c>
      <c r="F69" t="inlineStr">
        <is>
          <t>not-current</t>
        </is>
      </c>
    </row>
    <row r="70">
      <c r="A70" t="inlineStr">
        <is>
          <t>Bypass - No Contemporaneous Proof</t>
        </is>
      </c>
      <c r="B70" t="inlineStr">
        <is>
          <t>2023-09-11</t>
        </is>
      </c>
      <c r="C70" t="inlineStr">
        <is>
          <t>OFR-2023-0546</t>
        </is>
      </c>
      <c r="D70" t="inlineStr">
        <is>
          <t>WL-03629</t>
        </is>
      </c>
      <c r="E70" t="inlineStr">
        <is>
          <t>LP-1116</t>
        </is>
      </c>
      <c r="F70" t="inlineStr">
        <is>
          <t>vessel-fit</t>
        </is>
      </c>
    </row>
    <row r="71">
      <c r="A71" t="inlineStr">
        <is>
          <t>Bypass - No Contemporaneous Proof</t>
        </is>
      </c>
      <c r="B71" t="inlineStr">
        <is>
          <t>2023-09-05</t>
        </is>
      </c>
      <c r="C71" t="inlineStr">
        <is>
          <t>OFR-2023-0547</t>
        </is>
      </c>
      <c r="D71" t="inlineStr">
        <is>
          <t>WL-03673</t>
        </is>
      </c>
      <c r="E71" t="inlineStr">
        <is>
          <t>GW-0801</t>
        </is>
      </c>
      <c r="F71" t="inlineStr">
        <is>
          <t>preference-mismatch</t>
        </is>
      </c>
    </row>
    <row r="72">
      <c r="A72" t="inlineStr">
        <is>
          <t>Bypass - No Contemporaneous Proof</t>
        </is>
      </c>
      <c r="B72" t="inlineStr">
        <is>
          <t>2023-09-05</t>
        </is>
      </c>
      <c r="C72" t="inlineStr">
        <is>
          <t>OFR-2023-0550</t>
        </is>
      </c>
      <c r="D72" t="inlineStr">
        <is>
          <t>WL-01746</t>
        </is>
      </c>
      <c r="E72" t="inlineStr">
        <is>
          <t>SB-0209</t>
        </is>
      </c>
      <c r="F72" t="inlineStr">
        <is>
          <t>not-current</t>
        </is>
      </c>
    </row>
    <row r="73">
      <c r="A73" t="inlineStr">
        <is>
          <t>Bypass - No Contemporaneous Proof</t>
        </is>
      </c>
      <c r="B73" t="inlineStr">
        <is>
          <t>2023-09-16</t>
        </is>
      </c>
      <c r="C73" t="inlineStr">
        <is>
          <t>OFR-2023-0551</t>
        </is>
      </c>
      <c r="D73" t="inlineStr">
        <is>
          <t>WL-03844</t>
        </is>
      </c>
      <c r="E73" t="inlineStr">
        <is>
          <t>EW-0109</t>
        </is>
      </c>
      <c r="F73" t="inlineStr">
        <is>
          <t>vessel-fit</t>
        </is>
      </c>
    </row>
    <row r="74">
      <c r="A74" t="inlineStr">
        <is>
          <t>Bypass - No Contemporaneous Proof</t>
        </is>
      </c>
      <c r="B74" t="inlineStr">
        <is>
          <t>2023-09-25</t>
        </is>
      </c>
      <c r="C74" t="inlineStr">
        <is>
          <t>OFR-2023-0555</t>
        </is>
      </c>
      <c r="D74" t="inlineStr">
        <is>
          <t>WL-01566</t>
        </is>
      </c>
      <c r="E74" t="inlineStr">
        <is>
          <t>LP-0706</t>
        </is>
      </c>
      <c r="F74" t="inlineStr">
        <is>
          <t>vessel-fit</t>
        </is>
      </c>
    </row>
    <row r="75">
      <c r="A75" t="inlineStr">
        <is>
          <t>Bypass - No Contemporaneous Proof</t>
        </is>
      </c>
      <c r="B75" t="inlineStr">
        <is>
          <t>2023-09-13</t>
        </is>
      </c>
      <c r="C75" t="inlineStr">
        <is>
          <t>OFR-2023-0559</t>
        </is>
      </c>
      <c r="D75" t="inlineStr">
        <is>
          <t>WL-02912</t>
        </is>
      </c>
      <c r="E75" t="inlineStr">
        <is>
          <t>SB-0916</t>
        </is>
      </c>
      <c r="F75" t="inlineStr">
        <is>
          <t>vessel-fit</t>
        </is>
      </c>
    </row>
    <row r="76">
      <c r="A76" t="inlineStr">
        <is>
          <t>Bypass - No Contemporaneous Proof</t>
        </is>
      </c>
      <c r="B76" t="inlineStr">
        <is>
          <t>2023-09-21</t>
        </is>
      </c>
      <c r="C76" t="inlineStr">
        <is>
          <t>OFR-2023-0567</t>
        </is>
      </c>
      <c r="D76" t="inlineStr">
        <is>
          <t>WL-01168</t>
        </is>
      </c>
      <c r="E76" t="inlineStr">
        <is>
          <t>LP-0604</t>
        </is>
      </c>
      <c r="F76" t="inlineStr">
        <is>
          <t>declined-prior-offer</t>
        </is>
      </c>
    </row>
    <row r="77">
      <c r="A77" t="inlineStr">
        <is>
          <t>Bypass - No Contemporaneous Proof</t>
        </is>
      </c>
      <c r="B77" t="inlineStr">
        <is>
          <t>2023-09-04</t>
        </is>
      </c>
      <c r="C77" t="inlineStr">
        <is>
          <t>OFR-2023-0571</t>
        </is>
      </c>
      <c r="D77" t="inlineStr">
        <is>
          <t>WL-03700</t>
        </is>
      </c>
      <c r="E77" t="inlineStr">
        <is>
          <t>LP-0412</t>
        </is>
      </c>
      <c r="F77" t="inlineStr">
        <is>
          <t>not-current</t>
        </is>
      </c>
    </row>
    <row r="78">
      <c r="A78" t="inlineStr">
        <is>
          <t>Bypass - No Contemporaneous Proof</t>
        </is>
      </c>
      <c r="B78" t="inlineStr">
        <is>
          <t>2023-09-16</t>
        </is>
      </c>
      <c r="C78" t="inlineStr">
        <is>
          <t>OFR-2023-0573</t>
        </is>
      </c>
      <c r="D78" t="inlineStr">
        <is>
          <t>WL-02000</t>
        </is>
      </c>
      <c r="E78" t="inlineStr">
        <is>
          <t>VB-0820</t>
        </is>
      </c>
      <c r="F78" t="inlineStr">
        <is>
          <t>preference-mismatch</t>
        </is>
      </c>
    </row>
    <row r="79">
      <c r="A79" t="inlineStr">
        <is>
          <t>Bypass - No Contemporaneous Proof</t>
        </is>
      </c>
      <c r="B79" t="inlineStr">
        <is>
          <t>2023-09-17</t>
        </is>
      </c>
      <c r="C79" t="inlineStr">
        <is>
          <t>OFR-2023-0574</t>
        </is>
      </c>
      <c r="D79" t="inlineStr">
        <is>
          <t>WL-01080</t>
        </is>
      </c>
      <c r="E79" t="inlineStr">
        <is>
          <t>EW-0511</t>
        </is>
      </c>
      <c r="F79" t="inlineStr">
        <is>
          <t>declined-prior-offer</t>
        </is>
      </c>
    </row>
    <row r="80">
      <c r="A80" t="inlineStr">
        <is>
          <t>Bypass - No Contemporaneous Proof</t>
        </is>
      </c>
      <c r="B80" t="inlineStr">
        <is>
          <t>2023-09-03</t>
        </is>
      </c>
      <c r="C80" t="inlineStr">
        <is>
          <t>OFR-2023-0577</t>
        </is>
      </c>
      <c r="D80" t="inlineStr">
        <is>
          <t>WL-03715</t>
        </is>
      </c>
      <c r="E80" t="inlineStr">
        <is>
          <t>VB-0705</t>
        </is>
      </c>
      <c r="F80" t="inlineStr">
        <is>
          <t>vessel-fit</t>
        </is>
      </c>
    </row>
    <row r="81">
      <c r="A81" t="inlineStr">
        <is>
          <t>Bypass - No Contemporaneous Proof</t>
        </is>
      </c>
      <c r="B81" t="inlineStr">
        <is>
          <t>2023-09-11</t>
        </is>
      </c>
      <c r="C81" t="inlineStr">
        <is>
          <t>OFR-2023-0578</t>
        </is>
      </c>
      <c r="D81" t="inlineStr">
        <is>
          <t>WL-02285</t>
        </is>
      </c>
      <c r="E81" t="inlineStr">
        <is>
          <t>EW-0107</t>
        </is>
      </c>
      <c r="F81" t="inlineStr">
        <is>
          <t>declined-prior-offer</t>
        </is>
      </c>
    </row>
    <row r="82">
      <c r="A82" t="inlineStr">
        <is>
          <t>Bypass - No Contemporaneous Proof</t>
        </is>
      </c>
      <c r="B82" t="inlineStr">
        <is>
          <t>2023-10-06</t>
        </is>
      </c>
      <c r="C82" t="inlineStr">
        <is>
          <t>OFR-2023-0586</t>
        </is>
      </c>
      <c r="D82" t="inlineStr">
        <is>
          <t>WL-01003</t>
        </is>
      </c>
      <c r="E82" t="inlineStr">
        <is>
          <t>SB-0401</t>
        </is>
      </c>
      <c r="F82" t="inlineStr">
        <is>
          <t>not-current</t>
        </is>
      </c>
    </row>
    <row r="83">
      <c r="A83" t="inlineStr">
        <is>
          <t>Bypass - No Contemporaneous Proof</t>
        </is>
      </c>
      <c r="B83" t="inlineStr">
        <is>
          <t>2023-10-05</t>
        </is>
      </c>
      <c r="C83" t="inlineStr">
        <is>
          <t>OFR-2023-0604</t>
        </is>
      </c>
      <c r="D83" t="inlineStr">
        <is>
          <t>WL-01594</t>
        </is>
      </c>
      <c r="E83" t="inlineStr">
        <is>
          <t>GW-0705</t>
        </is>
      </c>
      <c r="F83" t="inlineStr">
        <is>
          <t>vessel-fit</t>
        </is>
      </c>
    </row>
    <row r="84">
      <c r="A84" t="inlineStr">
        <is>
          <t>Bypass - No Contemporaneous Proof</t>
        </is>
      </c>
      <c r="B84" t="inlineStr">
        <is>
          <t>2023-10-21</t>
        </is>
      </c>
      <c r="C84" t="inlineStr">
        <is>
          <t>OFR-2023-0609</t>
        </is>
      </c>
      <c r="D84" t="inlineStr">
        <is>
          <t>WL-01918</t>
        </is>
      </c>
      <c r="E84" t="inlineStr">
        <is>
          <t>VB-0118</t>
        </is>
      </c>
      <c r="F84" t="inlineStr">
        <is>
          <t>preference-mismatch</t>
        </is>
      </c>
    </row>
    <row r="85">
      <c r="A85" t="inlineStr">
        <is>
          <t>Bypass - No Contemporaneous Proof</t>
        </is>
      </c>
      <c r="B85" t="inlineStr">
        <is>
          <t>2023-10-24</t>
        </is>
      </c>
      <c r="C85" t="inlineStr">
        <is>
          <t>OFR-2023-0613</t>
        </is>
      </c>
      <c r="D85" t="inlineStr">
        <is>
          <t>WL-03849</t>
        </is>
      </c>
      <c r="E85" t="inlineStr">
        <is>
          <t>SB-0406</t>
        </is>
      </c>
      <c r="F85" t="inlineStr">
        <is>
          <t>not-current</t>
        </is>
      </c>
    </row>
    <row r="86">
      <c r="A86" t="inlineStr">
        <is>
          <t>Bypass - No Contemporaneous Proof</t>
        </is>
      </c>
      <c r="B86" t="inlineStr">
        <is>
          <t>2023-10-09</t>
        </is>
      </c>
      <c r="C86" t="inlineStr">
        <is>
          <t>OFR-2023-0617</t>
        </is>
      </c>
      <c r="D86" t="inlineStr">
        <is>
          <t>WL-01704</t>
        </is>
      </c>
      <c r="E86" t="inlineStr">
        <is>
          <t>EW-0804</t>
        </is>
      </c>
      <c r="F86" t="inlineStr">
        <is>
          <t>preference-mismatch</t>
        </is>
      </c>
    </row>
    <row r="87">
      <c r="A87" t="inlineStr">
        <is>
          <t>Bypass - No Contemporaneous Proof</t>
        </is>
      </c>
      <c r="B87" t="inlineStr">
        <is>
          <t>2023-11-22</t>
        </is>
      </c>
      <c r="C87" t="inlineStr">
        <is>
          <t>OFR-2023-0623</t>
        </is>
      </c>
      <c r="D87" t="inlineStr">
        <is>
          <t>WL-03696</t>
        </is>
      </c>
      <c r="E87" t="inlineStr">
        <is>
          <t>LP-0114</t>
        </is>
      </c>
      <c r="F87" t="inlineStr">
        <is>
          <t>vessel-fit</t>
        </is>
      </c>
    </row>
    <row r="88">
      <c r="A88" t="inlineStr">
        <is>
          <t>Bypass - No Contemporaneous Proof</t>
        </is>
      </c>
      <c r="B88" t="inlineStr">
        <is>
          <t>2023-12-17</t>
        </is>
      </c>
      <c r="C88" t="inlineStr">
        <is>
          <t>OFR-2023-0634</t>
        </is>
      </c>
      <c r="D88" t="inlineStr">
        <is>
          <t>WL-01016</t>
        </is>
      </c>
      <c r="E88" t="inlineStr">
        <is>
          <t>LP-0416</t>
        </is>
      </c>
      <c r="F88" t="inlineStr">
        <is>
          <t>vessel-fit</t>
        </is>
      </c>
    </row>
    <row r="89">
      <c r="A89" t="inlineStr">
        <is>
          <t>Bypass - No Contemporaneous Proof</t>
        </is>
      </c>
      <c r="B89" t="inlineStr">
        <is>
          <t>2023-12-21</t>
        </is>
      </c>
      <c r="C89" t="inlineStr">
        <is>
          <t>OFR-2023-0636</t>
        </is>
      </c>
      <c r="D89" t="inlineStr">
        <is>
          <t>WL-01186</t>
        </is>
      </c>
      <c r="E89" t="inlineStr">
        <is>
          <t>SB-0610</t>
        </is>
      </c>
      <c r="F89" t="inlineStr">
        <is>
          <t>not-current</t>
        </is>
      </c>
    </row>
    <row r="90">
      <c r="A90" t="inlineStr">
        <is>
          <t>Bypass - No Contemporaneous Proof</t>
        </is>
      </c>
      <c r="B90" t="inlineStr">
        <is>
          <t>2023-12-26</t>
        </is>
      </c>
      <c r="C90" t="inlineStr">
        <is>
          <t>OFR-2023-0638</t>
        </is>
      </c>
      <c r="D90" t="inlineStr">
        <is>
          <t>WL-01524</t>
        </is>
      </c>
      <c r="E90" t="inlineStr">
        <is>
          <t>VB-0804</t>
        </is>
      </c>
      <c r="F90" t="inlineStr">
        <is>
          <t>not-current</t>
        </is>
      </c>
    </row>
    <row r="91">
      <c r="A91" t="inlineStr">
        <is>
          <t>Bypass - No Contemporaneous Proof</t>
        </is>
      </c>
      <c r="B91" t="inlineStr">
        <is>
          <t>2023-12-26</t>
        </is>
      </c>
      <c r="C91" t="inlineStr">
        <is>
          <t>OFR-2023-0643</t>
        </is>
      </c>
      <c r="D91" t="inlineStr">
        <is>
          <t>WL-03111</t>
        </is>
      </c>
      <c r="E91" t="inlineStr">
        <is>
          <t>VB-0311</t>
        </is>
      </c>
      <c r="F91" t="inlineStr">
        <is>
          <t>not-current</t>
        </is>
      </c>
    </row>
    <row r="92">
      <c r="A92" t="inlineStr">
        <is>
          <t>Bypass - No Contemporaneous Proof</t>
        </is>
      </c>
      <c r="B92" t="inlineStr">
        <is>
          <t>2023-12-24</t>
        </is>
      </c>
      <c r="C92" t="inlineStr">
        <is>
          <t>OFR-2023-0645</t>
        </is>
      </c>
      <c r="D92" t="inlineStr">
        <is>
          <t>WL-02726</t>
        </is>
      </c>
      <c r="E92" t="inlineStr">
        <is>
          <t>EW-0916</t>
        </is>
      </c>
      <c r="F92" t="inlineStr">
        <is>
          <t>vessel-fit</t>
        </is>
      </c>
    </row>
    <row r="93">
      <c r="A93" t="inlineStr">
        <is>
          <t>Bypass - No Contemporaneous Proof</t>
        </is>
      </c>
      <c r="B93" t="inlineStr">
        <is>
          <t>2023-12-03</t>
        </is>
      </c>
      <c r="C93" t="inlineStr">
        <is>
          <t>OFR-2023-0648</t>
        </is>
      </c>
      <c r="D93" t="inlineStr">
        <is>
          <t>WL-01924</t>
        </is>
      </c>
      <c r="E93" t="inlineStr">
        <is>
          <t>EW-1002</t>
        </is>
      </c>
      <c r="F93" t="inlineStr">
        <is>
          <t>declined-prior-offer</t>
        </is>
      </c>
    </row>
    <row r="94">
      <c r="A94" t="inlineStr">
        <is>
          <t>Bypass - No Contemporaneous Proof</t>
        </is>
      </c>
      <c r="B94" t="inlineStr">
        <is>
          <t>2024-01-14</t>
        </is>
      </c>
      <c r="C94" t="inlineStr">
        <is>
          <t>OFR-2024-0653</t>
        </is>
      </c>
      <c r="D94" t="inlineStr">
        <is>
          <t>WL-02759</t>
        </is>
      </c>
      <c r="E94" t="inlineStr">
        <is>
          <t>EW-0708</t>
        </is>
      </c>
      <c r="F94" t="inlineStr">
        <is>
          <t>vessel-fit</t>
        </is>
      </c>
    </row>
    <row r="95">
      <c r="A95" t="inlineStr">
        <is>
          <t>Bypass - No Contemporaneous Proof</t>
        </is>
      </c>
      <c r="B95" t="inlineStr">
        <is>
          <t>2024-01-04</t>
        </is>
      </c>
      <c r="C95" t="inlineStr">
        <is>
          <t>OFR-2024-0654</t>
        </is>
      </c>
      <c r="D95" t="inlineStr">
        <is>
          <t>WL-01632</t>
        </is>
      </c>
      <c r="E95" t="inlineStr">
        <is>
          <t>SB-0306</t>
        </is>
      </c>
      <c r="F95" t="inlineStr">
        <is>
          <t>preference-mismatch</t>
        </is>
      </c>
    </row>
    <row r="96">
      <c r="A96" t="inlineStr">
        <is>
          <t>Bypass - No Contemporaneous Proof</t>
        </is>
      </c>
      <c r="B96" t="inlineStr">
        <is>
          <t>2024-02-20</t>
        </is>
      </c>
      <c r="C96" t="inlineStr">
        <is>
          <t>OFR-2024-0661</t>
        </is>
      </c>
      <c r="D96" t="inlineStr">
        <is>
          <t>WL-03141</t>
        </is>
      </c>
      <c r="E96" t="inlineStr">
        <is>
          <t>LP-0203</t>
        </is>
      </c>
      <c r="F96" t="inlineStr">
        <is>
          <t>vessel-fit</t>
        </is>
      </c>
    </row>
    <row r="97">
      <c r="A97" t="inlineStr">
        <is>
          <t>Bypass - No Contemporaneous Proof</t>
        </is>
      </c>
      <c r="B97" t="inlineStr">
        <is>
          <t>2024-02-24</t>
        </is>
      </c>
      <c r="C97" t="inlineStr">
        <is>
          <t>OFR-2024-0663</t>
        </is>
      </c>
      <c r="D97" t="inlineStr">
        <is>
          <t>WL-02349</t>
        </is>
      </c>
      <c r="E97" t="inlineStr">
        <is>
          <t>SB-0403</t>
        </is>
      </c>
      <c r="F97" t="inlineStr">
        <is>
          <t>preference-mismatch</t>
        </is>
      </c>
    </row>
    <row r="98">
      <c r="A98" t="inlineStr">
        <is>
          <t>Bypass - No Contemporaneous Proof</t>
        </is>
      </c>
      <c r="B98" t="inlineStr">
        <is>
          <t>2024-02-03</t>
        </is>
      </c>
      <c r="C98" t="inlineStr">
        <is>
          <t>OFR-2024-0666</t>
        </is>
      </c>
      <c r="D98" t="inlineStr">
        <is>
          <t>WL-01253</t>
        </is>
      </c>
      <c r="E98" t="inlineStr">
        <is>
          <t>LP-0307</t>
        </is>
      </c>
      <c r="F98" t="inlineStr">
        <is>
          <t>declined-prior-offer</t>
        </is>
      </c>
    </row>
    <row r="99">
      <c r="A99" t="inlineStr">
        <is>
          <t>Bypass - No Contemporaneous Proof</t>
        </is>
      </c>
      <c r="B99" t="inlineStr">
        <is>
          <t>2024-02-15</t>
        </is>
      </c>
      <c r="C99" t="inlineStr">
        <is>
          <t>OFR-2024-0670</t>
        </is>
      </c>
      <c r="D99" t="inlineStr">
        <is>
          <t>WL-03127</t>
        </is>
      </c>
      <c r="E99" t="inlineStr">
        <is>
          <t>LP-0515</t>
        </is>
      </c>
      <c r="F99" t="inlineStr">
        <is>
          <t>preference-mismatch</t>
        </is>
      </c>
    </row>
    <row r="100">
      <c r="A100" t="inlineStr">
        <is>
          <t>Bypass - No Contemporaneous Proof</t>
        </is>
      </c>
      <c r="B100" t="inlineStr">
        <is>
          <t>2024-02-08</t>
        </is>
      </c>
      <c r="C100" t="inlineStr">
        <is>
          <t>OFR-2024-0671</t>
        </is>
      </c>
      <c r="D100" t="inlineStr">
        <is>
          <t>WL-02653</t>
        </is>
      </c>
      <c r="E100" t="inlineStr">
        <is>
          <t>SB-0616</t>
        </is>
      </c>
      <c r="F100" t="inlineStr">
        <is>
          <t>vessel-fit</t>
        </is>
      </c>
    </row>
    <row r="101">
      <c r="A101" t="inlineStr">
        <is>
          <t>Bypass - No Contemporaneous Proof</t>
        </is>
      </c>
      <c r="B101" t="inlineStr">
        <is>
          <t>2024-02-07</t>
        </is>
      </c>
      <c r="C101" t="inlineStr">
        <is>
          <t>OFR-2024-0672</t>
        </is>
      </c>
      <c r="D101" t="inlineStr">
        <is>
          <t>WL-01347</t>
        </is>
      </c>
      <c r="E101" t="inlineStr">
        <is>
          <t>EW-0624</t>
        </is>
      </c>
      <c r="F101" t="inlineStr">
        <is>
          <t>preference-mismatch</t>
        </is>
      </c>
    </row>
    <row r="102">
      <c r="A102" t="inlineStr">
        <is>
          <t>Bypass - No Contemporaneous Proof</t>
        </is>
      </c>
      <c r="B102" t="inlineStr">
        <is>
          <t>2024-02-09</t>
        </is>
      </c>
      <c r="C102" t="inlineStr">
        <is>
          <t>OFR-2024-0673</t>
        </is>
      </c>
      <c r="D102" t="inlineStr">
        <is>
          <t>WL-01562</t>
        </is>
      </c>
      <c r="E102" t="inlineStr">
        <is>
          <t>GW-0219</t>
        </is>
      </c>
      <c r="F102" t="inlineStr">
        <is>
          <t>preference-mismatch</t>
        </is>
      </c>
    </row>
    <row r="103">
      <c r="A103" t="inlineStr">
        <is>
          <t>Bypass - No Contemporaneous Proof</t>
        </is>
      </c>
      <c r="B103" t="inlineStr">
        <is>
          <t>2024-03-23</t>
        </is>
      </c>
      <c r="C103" t="inlineStr">
        <is>
          <t>OFR-2024-0676</t>
        </is>
      </c>
      <c r="D103" t="inlineStr">
        <is>
          <t>WL-02629</t>
        </is>
      </c>
      <c r="E103" t="inlineStr">
        <is>
          <t>VB-1021</t>
        </is>
      </c>
      <c r="F103" t="inlineStr">
        <is>
          <t>vessel-fit</t>
        </is>
      </c>
    </row>
    <row r="104">
      <c r="A104" t="inlineStr">
        <is>
          <t>Bypass - No Contemporaneous Proof</t>
        </is>
      </c>
      <c r="B104" t="inlineStr">
        <is>
          <t>2024-03-28</t>
        </is>
      </c>
      <c r="C104" t="inlineStr">
        <is>
          <t>OFR-2024-0679</t>
        </is>
      </c>
      <c r="D104" t="inlineStr">
        <is>
          <t>WL-03621</t>
        </is>
      </c>
      <c r="E104" t="inlineStr">
        <is>
          <t>SB-0601</t>
        </is>
      </c>
      <c r="F104" t="inlineStr">
        <is>
          <t>declined-prior-offer</t>
        </is>
      </c>
    </row>
    <row r="105">
      <c r="A105" t="inlineStr">
        <is>
          <t>Bypass - No Contemporaneous Proof</t>
        </is>
      </c>
      <c r="B105" t="inlineStr">
        <is>
          <t>2024-03-22</t>
        </is>
      </c>
      <c r="C105" t="inlineStr">
        <is>
          <t>OFR-2024-0683</t>
        </is>
      </c>
      <c r="D105" t="inlineStr">
        <is>
          <t>WL-02027</t>
        </is>
      </c>
      <c r="E105" t="inlineStr">
        <is>
          <t>GW-0801</t>
        </is>
      </c>
      <c r="F105" t="inlineStr">
        <is>
          <t>not-current</t>
        </is>
      </c>
    </row>
    <row r="106">
      <c r="A106" t="inlineStr">
        <is>
          <t>Bypass - No Contemporaneous Proof</t>
        </is>
      </c>
      <c r="B106" t="inlineStr">
        <is>
          <t>2024-03-27</t>
        </is>
      </c>
      <c r="C106" t="inlineStr">
        <is>
          <t>OFR-2024-0690</t>
        </is>
      </c>
      <c r="D106" t="inlineStr">
        <is>
          <t>WL-03185</t>
        </is>
      </c>
      <c r="E106" t="inlineStr">
        <is>
          <t>SB-0824</t>
        </is>
      </c>
      <c r="F106" t="inlineStr">
        <is>
          <t>vessel-fit</t>
        </is>
      </c>
    </row>
    <row r="107">
      <c r="A107" t="inlineStr">
        <is>
          <t>Bypass - No Contemporaneous Proof</t>
        </is>
      </c>
      <c r="B107" t="inlineStr">
        <is>
          <t>2024-03-02</t>
        </is>
      </c>
      <c r="C107" t="inlineStr">
        <is>
          <t>OFR-2024-0693</t>
        </is>
      </c>
      <c r="D107" t="inlineStr">
        <is>
          <t>WL-02893</t>
        </is>
      </c>
      <c r="E107" t="inlineStr">
        <is>
          <t>EW-1021</t>
        </is>
      </c>
      <c r="F107" t="inlineStr">
        <is>
          <t>declined-prior-offer</t>
        </is>
      </c>
    </row>
    <row r="108">
      <c r="A108" t="inlineStr">
        <is>
          <t>Bypass - No Contemporaneous Proof</t>
        </is>
      </c>
      <c r="B108" t="inlineStr">
        <is>
          <t>2024-03-25</t>
        </is>
      </c>
      <c r="C108" t="inlineStr">
        <is>
          <t>OFR-2024-0698</t>
        </is>
      </c>
      <c r="D108" t="inlineStr">
        <is>
          <t>WL-02274</t>
        </is>
      </c>
      <c r="E108" t="inlineStr">
        <is>
          <t>VB-0721</t>
        </is>
      </c>
      <c r="F108" t="inlineStr">
        <is>
          <t>vessel-fit</t>
        </is>
      </c>
    </row>
    <row r="109">
      <c r="A109" t="inlineStr">
        <is>
          <t>Bypass - No Contemporaneous Proof</t>
        </is>
      </c>
      <c r="B109" t="inlineStr">
        <is>
          <t>2024-03-20</t>
        </is>
      </c>
      <c r="C109" t="inlineStr">
        <is>
          <t>OFR-2024-0700</t>
        </is>
      </c>
      <c r="D109" t="inlineStr">
        <is>
          <t>WL-03661</t>
        </is>
      </c>
      <c r="E109" t="inlineStr">
        <is>
          <t>EW-0709</t>
        </is>
      </c>
      <c r="F109" t="inlineStr">
        <is>
          <t>vessel-fit</t>
        </is>
      </c>
    </row>
    <row r="110">
      <c r="A110" t="inlineStr">
        <is>
          <t>Bypass - No Contemporaneous Proof</t>
        </is>
      </c>
      <c r="B110" t="inlineStr">
        <is>
          <t>2024-03-02</t>
        </is>
      </c>
      <c r="C110" t="inlineStr">
        <is>
          <t>OFR-2024-0701</t>
        </is>
      </c>
      <c r="D110" t="inlineStr">
        <is>
          <t>WL-02769</t>
        </is>
      </c>
      <c r="E110" t="inlineStr">
        <is>
          <t>EW-0902</t>
        </is>
      </c>
      <c r="F110" t="inlineStr">
        <is>
          <t>declined-prior-offer</t>
        </is>
      </c>
    </row>
    <row r="111">
      <c r="A111" t="inlineStr">
        <is>
          <t>Bypass - No Contemporaneous Proof</t>
        </is>
      </c>
      <c r="B111" t="inlineStr">
        <is>
          <t>2024-04-02</t>
        </is>
      </c>
      <c r="C111" t="inlineStr">
        <is>
          <t>OFR-2024-0704</t>
        </is>
      </c>
      <c r="D111" t="inlineStr">
        <is>
          <t>WL-01950</t>
        </is>
      </c>
      <c r="E111" t="inlineStr">
        <is>
          <t>EW-0608</t>
        </is>
      </c>
      <c r="F111" t="inlineStr">
        <is>
          <t>vessel-fit</t>
        </is>
      </c>
    </row>
    <row r="112">
      <c r="A112" t="inlineStr">
        <is>
          <t>Bypass - No Contemporaneous Proof</t>
        </is>
      </c>
      <c r="B112" t="inlineStr">
        <is>
          <t>2024-04-25</t>
        </is>
      </c>
      <c r="C112" t="inlineStr">
        <is>
          <t>OFR-2024-0707</t>
        </is>
      </c>
      <c r="D112" t="inlineStr">
        <is>
          <t>WL-02895</t>
        </is>
      </c>
      <c r="E112" t="inlineStr">
        <is>
          <t>EW-0306</t>
        </is>
      </c>
      <c r="F112" t="inlineStr">
        <is>
          <t>vessel-fit</t>
        </is>
      </c>
    </row>
    <row r="113">
      <c r="A113" t="inlineStr">
        <is>
          <t>Bypass - No Contemporaneous Proof</t>
        </is>
      </c>
      <c r="B113" t="inlineStr">
        <is>
          <t>2024-04-08</t>
        </is>
      </c>
      <c r="C113" t="inlineStr">
        <is>
          <t>OFR-2024-0724</t>
        </is>
      </c>
      <c r="D113" t="inlineStr">
        <is>
          <t>WL-03018</t>
        </is>
      </c>
      <c r="E113" t="inlineStr">
        <is>
          <t>VB-0617</t>
        </is>
      </c>
      <c r="F113" t="inlineStr">
        <is>
          <t>vessel-fit</t>
        </is>
      </c>
    </row>
    <row r="114">
      <c r="A114" t="inlineStr">
        <is>
          <t>Bypass - No Contemporaneous Proof</t>
        </is>
      </c>
      <c r="B114" t="inlineStr">
        <is>
          <t>2024-04-21</t>
        </is>
      </c>
      <c r="C114" t="inlineStr">
        <is>
          <t>OFR-2024-0729</t>
        </is>
      </c>
      <c r="D114" t="inlineStr">
        <is>
          <t>WL-02948</t>
        </is>
      </c>
      <c r="E114" t="inlineStr">
        <is>
          <t>GW-1013</t>
        </is>
      </c>
      <c r="F114" t="inlineStr">
        <is>
          <t>vessel-fit</t>
        </is>
      </c>
    </row>
    <row r="115">
      <c r="A115" t="inlineStr">
        <is>
          <t>Bypass - No Contemporaneous Proof</t>
        </is>
      </c>
      <c r="B115" t="inlineStr">
        <is>
          <t>2024-05-08</t>
        </is>
      </c>
      <c r="C115" t="inlineStr">
        <is>
          <t>OFR-2024-0737</t>
        </is>
      </c>
      <c r="D115" t="inlineStr">
        <is>
          <t>WL-02305</t>
        </is>
      </c>
      <c r="E115" t="inlineStr">
        <is>
          <t>GW-0823</t>
        </is>
      </c>
      <c r="F115" t="inlineStr">
        <is>
          <t>declined-prior-offer</t>
        </is>
      </c>
    </row>
    <row r="116">
      <c r="A116" t="inlineStr">
        <is>
          <t>Bypass - No Contemporaneous Proof</t>
        </is>
      </c>
      <c r="B116" t="inlineStr">
        <is>
          <t>2024-05-13</t>
        </is>
      </c>
      <c r="C116" t="inlineStr">
        <is>
          <t>OFR-2024-0746</t>
        </is>
      </c>
      <c r="D116" t="inlineStr">
        <is>
          <t>WL-01675</t>
        </is>
      </c>
      <c r="E116" t="inlineStr">
        <is>
          <t>VB-0808</t>
        </is>
      </c>
      <c r="F116" t="inlineStr">
        <is>
          <t>preference-mismatch</t>
        </is>
      </c>
    </row>
    <row r="117">
      <c r="A117" t="inlineStr">
        <is>
          <t>Bypass - No Contemporaneous Proof</t>
        </is>
      </c>
      <c r="B117" t="inlineStr">
        <is>
          <t>2024-05-23</t>
        </is>
      </c>
      <c r="C117" t="inlineStr">
        <is>
          <t>OFR-2024-0747</t>
        </is>
      </c>
      <c r="D117" t="inlineStr">
        <is>
          <t>WL-01242</t>
        </is>
      </c>
      <c r="E117" t="inlineStr">
        <is>
          <t>GW-0905</t>
        </is>
      </c>
      <c r="F117" t="inlineStr">
        <is>
          <t>declined-prior-offer</t>
        </is>
      </c>
    </row>
    <row r="118">
      <c r="A118" t="inlineStr">
        <is>
          <t>Bypass - No Contemporaneous Proof</t>
        </is>
      </c>
      <c r="B118" t="inlineStr">
        <is>
          <t>2024-05-19</t>
        </is>
      </c>
      <c r="C118" t="inlineStr">
        <is>
          <t>OFR-2024-0752</t>
        </is>
      </c>
      <c r="D118" t="inlineStr">
        <is>
          <t>WL-01536</t>
        </is>
      </c>
      <c r="E118" t="inlineStr">
        <is>
          <t>GW-0522</t>
        </is>
      </c>
      <c r="F118" t="inlineStr">
        <is>
          <t>not-current</t>
        </is>
      </c>
    </row>
    <row r="119">
      <c r="A119" t="inlineStr">
        <is>
          <t>Bypass - No Contemporaneous Proof</t>
        </is>
      </c>
      <c r="B119" t="inlineStr">
        <is>
          <t>2024-05-22</t>
        </is>
      </c>
      <c r="C119" t="inlineStr">
        <is>
          <t>OFR-2024-0755</t>
        </is>
      </c>
      <c r="D119" t="inlineStr">
        <is>
          <t>WL-02013</t>
        </is>
      </c>
      <c r="E119" t="inlineStr">
        <is>
          <t>VB-0602</t>
        </is>
      </c>
      <c r="F119" t="inlineStr">
        <is>
          <t>not-current</t>
        </is>
      </c>
    </row>
    <row r="120">
      <c r="A120" t="inlineStr">
        <is>
          <t>Bypass - No Contemporaneous Proof</t>
        </is>
      </c>
      <c r="B120" t="inlineStr">
        <is>
          <t>2024-05-15</t>
        </is>
      </c>
      <c r="C120" t="inlineStr">
        <is>
          <t>OFR-2024-0759</t>
        </is>
      </c>
      <c r="D120" t="inlineStr">
        <is>
          <t>WL-01753</t>
        </is>
      </c>
      <c r="E120" t="inlineStr">
        <is>
          <t>LP-0722</t>
        </is>
      </c>
      <c r="F120" t="inlineStr">
        <is>
          <t>declined-prior-offer</t>
        </is>
      </c>
    </row>
    <row r="121">
      <c r="A121" t="inlineStr">
        <is>
          <t>Bypass - No Contemporaneous Proof</t>
        </is>
      </c>
      <c r="B121" t="inlineStr">
        <is>
          <t>2024-05-01</t>
        </is>
      </c>
      <c r="C121" t="inlineStr">
        <is>
          <t>OFR-2024-0762</t>
        </is>
      </c>
      <c r="D121" t="inlineStr">
        <is>
          <t>WL-01318</t>
        </is>
      </c>
      <c r="E121" t="inlineStr">
        <is>
          <t>SB-0405</t>
        </is>
      </c>
      <c r="F121" t="inlineStr">
        <is>
          <t>preference-mismatch</t>
        </is>
      </c>
    </row>
    <row r="122">
      <c r="A122" t="inlineStr">
        <is>
          <t>Bypass - No Contemporaneous Proof</t>
        </is>
      </c>
      <c r="B122" t="inlineStr">
        <is>
          <t>2024-05-21</t>
        </is>
      </c>
      <c r="C122" t="inlineStr">
        <is>
          <t>OFR-2024-0766</t>
        </is>
      </c>
      <c r="D122" t="inlineStr">
        <is>
          <t>WL-03891</t>
        </is>
      </c>
      <c r="E122" t="inlineStr">
        <is>
          <t>EW-0607</t>
        </is>
      </c>
      <c r="F122" t="inlineStr">
        <is>
          <t>vessel-fit</t>
        </is>
      </c>
    </row>
    <row r="123">
      <c r="A123" t="inlineStr">
        <is>
          <t>Bypass - No Contemporaneous Proof</t>
        </is>
      </c>
      <c r="B123" t="inlineStr">
        <is>
          <t>2024-06-12</t>
        </is>
      </c>
      <c r="C123" t="inlineStr">
        <is>
          <t>OFR-2024-0772</t>
        </is>
      </c>
      <c r="D123" t="inlineStr">
        <is>
          <t>WL-03026</t>
        </is>
      </c>
      <c r="E123" t="inlineStr">
        <is>
          <t>LP-0324</t>
        </is>
      </c>
      <c r="F123" t="inlineStr">
        <is>
          <t>not-current</t>
        </is>
      </c>
    </row>
    <row r="124">
      <c r="A124" t="inlineStr">
        <is>
          <t>Bypass - No Contemporaneous Proof</t>
        </is>
      </c>
      <c r="B124" t="inlineStr">
        <is>
          <t>2024-06-15</t>
        </is>
      </c>
      <c r="C124" t="inlineStr">
        <is>
          <t>OFR-2024-0774</t>
        </is>
      </c>
      <c r="D124" t="inlineStr">
        <is>
          <t>WL-03245</t>
        </is>
      </c>
      <c r="E124" t="inlineStr">
        <is>
          <t>LP-1001</t>
        </is>
      </c>
      <c r="F124" t="inlineStr">
        <is>
          <t>vessel-fit</t>
        </is>
      </c>
    </row>
    <row r="125">
      <c r="A125" t="inlineStr">
        <is>
          <t>Bypass - No Contemporaneous Proof</t>
        </is>
      </c>
      <c r="B125" t="inlineStr">
        <is>
          <t>2024-06-14</t>
        </is>
      </c>
      <c r="C125" t="inlineStr">
        <is>
          <t>OFR-2024-0784</t>
        </is>
      </c>
      <c r="D125" t="inlineStr">
        <is>
          <t>WL-03527</t>
        </is>
      </c>
      <c r="E125" t="inlineStr">
        <is>
          <t>EW-0523</t>
        </is>
      </c>
      <c r="F125" t="inlineStr">
        <is>
          <t>not-current</t>
        </is>
      </c>
    </row>
    <row r="126">
      <c r="A126" t="inlineStr">
        <is>
          <t>Bypass - No Contemporaneous Proof</t>
        </is>
      </c>
      <c r="B126" t="inlineStr">
        <is>
          <t>2024-06-05</t>
        </is>
      </c>
      <c r="C126" t="inlineStr">
        <is>
          <t>OFR-2024-0789</t>
        </is>
      </c>
      <c r="D126" t="inlineStr">
        <is>
          <t>WL-01144</t>
        </is>
      </c>
      <c r="E126" t="inlineStr">
        <is>
          <t>LP-0216</t>
        </is>
      </c>
      <c r="F126" t="inlineStr">
        <is>
          <t>vessel-fit</t>
        </is>
      </c>
    </row>
    <row r="127">
      <c r="A127" t="inlineStr">
        <is>
          <t>Bypass - No Contemporaneous Proof</t>
        </is>
      </c>
      <c r="B127" t="inlineStr">
        <is>
          <t>2024-06-08</t>
        </is>
      </c>
      <c r="C127" t="inlineStr">
        <is>
          <t>OFR-2024-0791</t>
        </is>
      </c>
      <c r="D127" t="inlineStr">
        <is>
          <t>WL-03390</t>
        </is>
      </c>
      <c r="E127" t="inlineStr">
        <is>
          <t>SB-0302</t>
        </is>
      </c>
      <c r="F127" t="inlineStr">
        <is>
          <t>declined-prior-offer</t>
        </is>
      </c>
    </row>
    <row r="128">
      <c r="A128" t="inlineStr">
        <is>
          <t>Bypass - No Contemporaneous Proof</t>
        </is>
      </c>
      <c r="B128" t="inlineStr">
        <is>
          <t>2024-06-09</t>
        </is>
      </c>
      <c r="C128" t="inlineStr">
        <is>
          <t>OFR-2024-0792</t>
        </is>
      </c>
      <c r="D128" t="inlineStr">
        <is>
          <t>WL-01368</t>
        </is>
      </c>
      <c r="E128" t="inlineStr">
        <is>
          <t>VB-0924</t>
        </is>
      </c>
      <c r="F128" t="inlineStr">
        <is>
          <t>preference-mismatch</t>
        </is>
      </c>
    </row>
    <row r="129">
      <c r="A129" t="inlineStr">
        <is>
          <t>Bypass - No Contemporaneous Proof</t>
        </is>
      </c>
      <c r="B129" t="inlineStr">
        <is>
          <t>2024-07-28</t>
        </is>
      </c>
      <c r="C129" t="inlineStr">
        <is>
          <t>OFR-2024-0818</t>
        </is>
      </c>
      <c r="D129" t="inlineStr">
        <is>
          <t>WL-01889</t>
        </is>
      </c>
      <c r="E129" t="inlineStr">
        <is>
          <t>GW-0206</t>
        </is>
      </c>
      <c r="F129" t="inlineStr">
        <is>
          <t>vessel-fit</t>
        </is>
      </c>
    </row>
    <row r="130">
      <c r="A130" t="inlineStr">
        <is>
          <t>Bypass - No Contemporaneous Proof</t>
        </is>
      </c>
      <c r="B130" t="inlineStr">
        <is>
          <t>2024-07-05</t>
        </is>
      </c>
      <c r="C130" t="inlineStr">
        <is>
          <t>OFR-2024-0823</t>
        </is>
      </c>
      <c r="D130" t="inlineStr">
        <is>
          <t>WL-01691</t>
        </is>
      </c>
      <c r="E130" t="inlineStr">
        <is>
          <t>LP-1024</t>
        </is>
      </c>
      <c r="F130" t="inlineStr">
        <is>
          <t>preference-mismatch</t>
        </is>
      </c>
    </row>
    <row r="131">
      <c r="A131" t="inlineStr">
        <is>
          <t>Bypass - No Contemporaneous Proof</t>
        </is>
      </c>
      <c r="B131" t="inlineStr">
        <is>
          <t>2024-07-14</t>
        </is>
      </c>
      <c r="C131" t="inlineStr">
        <is>
          <t>OFR-2024-0824</t>
        </is>
      </c>
      <c r="D131" t="inlineStr">
        <is>
          <t>WL-02850</t>
        </is>
      </c>
      <c r="E131" t="inlineStr">
        <is>
          <t>SB-0107</t>
        </is>
      </c>
      <c r="F131" t="inlineStr">
        <is>
          <t>vessel-fit</t>
        </is>
      </c>
    </row>
    <row r="132">
      <c r="A132" t="inlineStr">
        <is>
          <t>Bypass - No Contemporaneous Proof</t>
        </is>
      </c>
      <c r="B132" t="inlineStr">
        <is>
          <t>2024-08-18</t>
        </is>
      </c>
      <c r="C132" t="inlineStr">
        <is>
          <t>OFR-2024-0828</t>
        </is>
      </c>
      <c r="D132" t="inlineStr">
        <is>
          <t>WL-03762</t>
        </is>
      </c>
      <c r="E132" t="inlineStr">
        <is>
          <t>LP-0513</t>
        </is>
      </c>
      <c r="F132" t="inlineStr">
        <is>
          <t>vessel-fit</t>
        </is>
      </c>
    </row>
    <row r="133">
      <c r="A133" t="inlineStr">
        <is>
          <t>Bypass - No Contemporaneous Proof</t>
        </is>
      </c>
      <c r="B133" t="inlineStr">
        <is>
          <t>2024-08-06</t>
        </is>
      </c>
      <c r="C133" t="inlineStr">
        <is>
          <t>OFR-2024-0829</t>
        </is>
      </c>
      <c r="D133" t="inlineStr">
        <is>
          <t>WL-03542</t>
        </is>
      </c>
      <c r="E133" t="inlineStr">
        <is>
          <t>SB-0319</t>
        </is>
      </c>
      <c r="F133" t="inlineStr">
        <is>
          <t>vessel-fit</t>
        </is>
      </c>
    </row>
    <row r="134">
      <c r="A134" t="inlineStr">
        <is>
          <t>Bypass - No Contemporaneous Proof</t>
        </is>
      </c>
      <c r="B134" t="inlineStr">
        <is>
          <t>2024-08-16</t>
        </is>
      </c>
      <c r="C134" t="inlineStr">
        <is>
          <t>OFR-2024-0830</t>
        </is>
      </c>
      <c r="D134" t="inlineStr">
        <is>
          <t>WL-03759</t>
        </is>
      </c>
      <c r="E134" t="inlineStr">
        <is>
          <t>GW-0123</t>
        </is>
      </c>
      <c r="F134" t="inlineStr">
        <is>
          <t>not-current</t>
        </is>
      </c>
    </row>
    <row r="135">
      <c r="A135" t="inlineStr">
        <is>
          <t>Bypass - No Contemporaneous Proof</t>
        </is>
      </c>
      <c r="B135" t="inlineStr">
        <is>
          <t>2024-08-10</t>
        </is>
      </c>
      <c r="C135" t="inlineStr">
        <is>
          <t>OFR-2024-0831</t>
        </is>
      </c>
      <c r="D135" t="inlineStr">
        <is>
          <t>WL-01001</t>
        </is>
      </c>
      <c r="E135" t="inlineStr">
        <is>
          <t>VB-1008</t>
        </is>
      </c>
      <c r="F135" t="inlineStr">
        <is>
          <t>not-current</t>
        </is>
      </c>
    </row>
    <row r="136">
      <c r="A136" t="inlineStr">
        <is>
          <t>Bypass - No Contemporaneous Proof</t>
        </is>
      </c>
      <c r="B136" t="inlineStr">
        <is>
          <t>2024-08-25</t>
        </is>
      </c>
      <c r="C136" t="inlineStr">
        <is>
          <t>OFR-2024-0838</t>
        </is>
      </c>
      <c r="D136" t="inlineStr">
        <is>
          <t>WL-02791</t>
        </is>
      </c>
      <c r="E136" t="inlineStr">
        <is>
          <t>SB-0205</t>
        </is>
      </c>
      <c r="F136" t="inlineStr">
        <is>
          <t>vessel-fit</t>
        </is>
      </c>
    </row>
    <row r="137">
      <c r="A137" t="inlineStr">
        <is>
          <t>Bypass - No Contemporaneous Proof</t>
        </is>
      </c>
      <c r="B137" t="inlineStr">
        <is>
          <t>2024-08-28</t>
        </is>
      </c>
      <c r="C137" t="inlineStr">
        <is>
          <t>OFR-2024-0845</t>
        </is>
      </c>
      <c r="D137" t="inlineStr">
        <is>
          <t>WL-01998</t>
        </is>
      </c>
      <c r="E137" t="inlineStr">
        <is>
          <t>EW-0118</t>
        </is>
      </c>
      <c r="F137" t="inlineStr">
        <is>
          <t>vessel-fit</t>
        </is>
      </c>
    </row>
    <row r="138">
      <c r="A138" t="inlineStr">
        <is>
          <t>Bypass - No Contemporaneous Proof</t>
        </is>
      </c>
      <c r="B138" t="inlineStr">
        <is>
          <t>2024-08-04</t>
        </is>
      </c>
      <c r="C138" t="inlineStr">
        <is>
          <t>OFR-2024-0862</t>
        </is>
      </c>
      <c r="D138" t="inlineStr">
        <is>
          <t>WL-02925</t>
        </is>
      </c>
      <c r="E138" t="inlineStr">
        <is>
          <t>EW-0324</t>
        </is>
      </c>
      <c r="F138" t="inlineStr">
        <is>
          <t>preference-mismatch</t>
        </is>
      </c>
    </row>
    <row r="139">
      <c r="A139" t="inlineStr">
        <is>
          <t>Bypass - No Contemporaneous Proof</t>
        </is>
      </c>
      <c r="B139" t="inlineStr">
        <is>
          <t>2024-09-01</t>
        </is>
      </c>
      <c r="C139" t="inlineStr">
        <is>
          <t>OFR-2024-0869</t>
        </is>
      </c>
      <c r="D139" t="inlineStr">
        <is>
          <t>WL-03615</t>
        </is>
      </c>
      <c r="E139" t="inlineStr">
        <is>
          <t>VB-0518</t>
        </is>
      </c>
      <c r="F139" t="inlineStr">
        <is>
          <t>declined-prior-offer</t>
        </is>
      </c>
    </row>
    <row r="140">
      <c r="A140" t="inlineStr">
        <is>
          <t>Bypass - No Contemporaneous Proof</t>
        </is>
      </c>
      <c r="B140" t="inlineStr">
        <is>
          <t>2024-09-11</t>
        </is>
      </c>
      <c r="C140" t="inlineStr">
        <is>
          <t>OFR-2024-0870</t>
        </is>
      </c>
      <c r="D140" t="inlineStr">
        <is>
          <t>WL-03062</t>
        </is>
      </c>
      <c r="E140" t="inlineStr">
        <is>
          <t>LP-0303</t>
        </is>
      </c>
      <c r="F140" t="inlineStr">
        <is>
          <t>declined-prior-offer</t>
        </is>
      </c>
    </row>
    <row r="141">
      <c r="A141" t="inlineStr">
        <is>
          <t>Bypass - No Contemporaneous Proof</t>
        </is>
      </c>
      <c r="B141" t="inlineStr">
        <is>
          <t>2024-09-07</t>
        </is>
      </c>
      <c r="C141" t="inlineStr">
        <is>
          <t>OFR-2024-0871</t>
        </is>
      </c>
      <c r="D141" t="inlineStr">
        <is>
          <t>WL-01779</t>
        </is>
      </c>
      <c r="E141" t="inlineStr">
        <is>
          <t>SB-0313</t>
        </is>
      </c>
      <c r="F141" t="inlineStr">
        <is>
          <t>preference-mismatch</t>
        </is>
      </c>
    </row>
    <row r="142">
      <c r="A142" t="inlineStr">
        <is>
          <t>Bypass - No Contemporaneous Proof</t>
        </is>
      </c>
      <c r="B142" t="inlineStr">
        <is>
          <t>2024-09-01</t>
        </is>
      </c>
      <c r="C142" t="inlineStr">
        <is>
          <t>OFR-2024-0876</t>
        </is>
      </c>
      <c r="D142" t="inlineStr">
        <is>
          <t>WL-03228</t>
        </is>
      </c>
      <c r="E142" t="inlineStr">
        <is>
          <t>EW-0319</t>
        </is>
      </c>
      <c r="F142" t="inlineStr">
        <is>
          <t>declined-prior-offer</t>
        </is>
      </c>
    </row>
    <row r="143">
      <c r="A143" t="inlineStr">
        <is>
          <t>Bypass - No Contemporaneous Proof</t>
        </is>
      </c>
      <c r="B143" t="inlineStr">
        <is>
          <t>2024-09-10</t>
        </is>
      </c>
      <c r="C143" t="inlineStr">
        <is>
          <t>OFR-2024-0877</t>
        </is>
      </c>
      <c r="D143" t="inlineStr">
        <is>
          <t>WL-03479</t>
        </is>
      </c>
      <c r="E143" t="inlineStr">
        <is>
          <t>SB-0607</t>
        </is>
      </c>
      <c r="F143" t="inlineStr">
        <is>
          <t>vessel-fit</t>
        </is>
      </c>
    </row>
    <row r="144">
      <c r="A144" t="inlineStr">
        <is>
          <t>Bypass - No Contemporaneous Proof</t>
        </is>
      </c>
      <c r="B144" t="inlineStr">
        <is>
          <t>2024-09-14</t>
        </is>
      </c>
      <c r="C144" t="inlineStr">
        <is>
          <t>OFR-2024-0878</t>
        </is>
      </c>
      <c r="D144" t="inlineStr">
        <is>
          <t>WL-02574</t>
        </is>
      </c>
      <c r="E144" t="inlineStr">
        <is>
          <t>SB-0403</t>
        </is>
      </c>
      <c r="F144" t="inlineStr">
        <is>
          <t>not-current</t>
        </is>
      </c>
    </row>
    <row r="145">
      <c r="A145" t="inlineStr">
        <is>
          <t>Bypass - No Contemporaneous Proof</t>
        </is>
      </c>
      <c r="B145" t="inlineStr">
        <is>
          <t>2024-09-10</t>
        </is>
      </c>
      <c r="C145" t="inlineStr">
        <is>
          <t>OFR-2024-0883</t>
        </is>
      </c>
      <c r="D145" t="inlineStr">
        <is>
          <t>WL-02336</t>
        </is>
      </c>
      <c r="E145" t="inlineStr">
        <is>
          <t>VB-0517</t>
        </is>
      </c>
      <c r="F145" t="inlineStr">
        <is>
          <t>not-current</t>
        </is>
      </c>
    </row>
    <row r="146">
      <c r="A146" t="inlineStr">
        <is>
          <t>Bypass - No Contemporaneous Proof</t>
        </is>
      </c>
      <c r="B146" t="inlineStr">
        <is>
          <t>2024-09-02</t>
        </is>
      </c>
      <c r="C146" t="inlineStr">
        <is>
          <t>OFR-2024-0887</t>
        </is>
      </c>
      <c r="D146" t="inlineStr">
        <is>
          <t>WL-01504</t>
        </is>
      </c>
      <c r="E146" t="inlineStr">
        <is>
          <t>VB-0223</t>
        </is>
      </c>
      <c r="F146" t="inlineStr">
        <is>
          <t>vessel-fit</t>
        </is>
      </c>
    </row>
    <row r="147">
      <c r="A147" t="inlineStr">
        <is>
          <t>Bypass - No Contemporaneous Proof</t>
        </is>
      </c>
      <c r="B147" t="inlineStr">
        <is>
          <t>2024-09-25</t>
        </is>
      </c>
      <c r="C147" t="inlineStr">
        <is>
          <t>OFR-2024-0889</t>
        </is>
      </c>
      <c r="D147" t="inlineStr">
        <is>
          <t>WL-01718</t>
        </is>
      </c>
      <c r="E147" t="inlineStr">
        <is>
          <t>SB-0821</t>
        </is>
      </c>
      <c r="F147" t="inlineStr">
        <is>
          <t>declined-prior-offer</t>
        </is>
      </c>
    </row>
    <row r="148">
      <c r="A148" t="inlineStr">
        <is>
          <t>Bypass - No Contemporaneous Proof</t>
        </is>
      </c>
      <c r="B148" t="inlineStr">
        <is>
          <t>2024-10-26</t>
        </is>
      </c>
      <c r="C148" t="inlineStr">
        <is>
          <t>OFR-2024-0893</t>
        </is>
      </c>
      <c r="D148" t="inlineStr">
        <is>
          <t>WL-01026</t>
        </is>
      </c>
      <c r="E148" t="inlineStr">
        <is>
          <t>SB-0214</t>
        </is>
      </c>
      <c r="F148" t="inlineStr">
        <is>
          <t>declined-prior-offer</t>
        </is>
      </c>
    </row>
    <row r="149">
      <c r="A149" t="inlineStr">
        <is>
          <t>Bypass - No Contemporaneous Proof</t>
        </is>
      </c>
      <c r="B149" t="inlineStr">
        <is>
          <t>2024-10-21</t>
        </is>
      </c>
      <c r="C149" t="inlineStr">
        <is>
          <t>OFR-2024-0895</t>
        </is>
      </c>
      <c r="D149" t="inlineStr">
        <is>
          <t>WL-03831</t>
        </is>
      </c>
      <c r="E149" t="inlineStr">
        <is>
          <t>EW-1022</t>
        </is>
      </c>
      <c r="F149" t="inlineStr">
        <is>
          <t>not-current</t>
        </is>
      </c>
    </row>
    <row r="150">
      <c r="A150" t="inlineStr">
        <is>
          <t>Bypass - No Contemporaneous Proof</t>
        </is>
      </c>
      <c r="B150" t="inlineStr">
        <is>
          <t>2024-10-21</t>
        </is>
      </c>
      <c r="C150" t="inlineStr">
        <is>
          <t>OFR-2024-0901</t>
        </is>
      </c>
      <c r="D150" t="inlineStr">
        <is>
          <t>WL-01264</t>
        </is>
      </c>
      <c r="E150" t="inlineStr">
        <is>
          <t>VB-0917</t>
        </is>
      </c>
      <c r="F150" t="inlineStr">
        <is>
          <t>preference-mismatch</t>
        </is>
      </c>
    </row>
    <row r="151">
      <c r="A151" t="inlineStr">
        <is>
          <t>Bypass - No Contemporaneous Proof</t>
        </is>
      </c>
      <c r="B151" t="inlineStr">
        <is>
          <t>2024-10-25</t>
        </is>
      </c>
      <c r="C151" t="inlineStr">
        <is>
          <t>OFR-2024-0903</t>
        </is>
      </c>
      <c r="D151" t="inlineStr">
        <is>
          <t>WL-03708</t>
        </is>
      </c>
      <c r="E151" t="inlineStr">
        <is>
          <t>GW-0813</t>
        </is>
      </c>
      <c r="F151" t="inlineStr">
        <is>
          <t>not-current</t>
        </is>
      </c>
    </row>
    <row r="152">
      <c r="A152" t="inlineStr">
        <is>
          <t>Bypass - No Contemporaneous Proof</t>
        </is>
      </c>
      <c r="B152" t="inlineStr">
        <is>
          <t>2024-10-27</t>
        </is>
      </c>
      <c r="C152" t="inlineStr">
        <is>
          <t>OFR-2024-0909</t>
        </is>
      </c>
      <c r="D152" t="inlineStr">
        <is>
          <t>WL-03808</t>
        </is>
      </c>
      <c r="E152" t="inlineStr">
        <is>
          <t>VB-0601</t>
        </is>
      </c>
      <c r="F152" t="inlineStr">
        <is>
          <t>declined-prior-offer</t>
        </is>
      </c>
    </row>
    <row r="153">
      <c r="A153" t="inlineStr">
        <is>
          <t>Bypass - No Contemporaneous Proof</t>
        </is>
      </c>
      <c r="B153" t="inlineStr">
        <is>
          <t>2024-10-15</t>
        </is>
      </c>
      <c r="C153" t="inlineStr">
        <is>
          <t>OFR-2024-0922</t>
        </is>
      </c>
      <c r="D153" t="inlineStr">
        <is>
          <t>WL-01269</t>
        </is>
      </c>
      <c r="E153" t="inlineStr">
        <is>
          <t>VB-0306</t>
        </is>
      </c>
      <c r="F153" t="inlineStr">
        <is>
          <t>vessel-fit</t>
        </is>
      </c>
    </row>
    <row r="154">
      <c r="A154" t="inlineStr">
        <is>
          <t>Bypass - No Contemporaneous Proof</t>
        </is>
      </c>
      <c r="B154" t="inlineStr">
        <is>
          <t>2024-10-20</t>
        </is>
      </c>
      <c r="C154" t="inlineStr">
        <is>
          <t>OFR-2024-0924</t>
        </is>
      </c>
      <c r="D154" t="inlineStr">
        <is>
          <t>WL-03733</t>
        </is>
      </c>
      <c r="E154" t="inlineStr">
        <is>
          <t>GW-0814</t>
        </is>
      </c>
      <c r="F154" t="inlineStr">
        <is>
          <t>vessel-fit</t>
        </is>
      </c>
    </row>
    <row r="155">
      <c r="A155" t="inlineStr">
        <is>
          <t>Bypass - No Contemporaneous Proof</t>
        </is>
      </c>
      <c r="B155" t="inlineStr">
        <is>
          <t>2024-11-22</t>
        </is>
      </c>
      <c r="C155" t="inlineStr">
        <is>
          <t>OFR-2024-0929</t>
        </is>
      </c>
      <c r="D155" t="inlineStr">
        <is>
          <t>WL-02139</t>
        </is>
      </c>
      <c r="E155" t="inlineStr">
        <is>
          <t>LP-0215</t>
        </is>
      </c>
      <c r="F155" t="inlineStr">
        <is>
          <t>vessel-fit</t>
        </is>
      </c>
    </row>
    <row r="156">
      <c r="A156" t="inlineStr">
        <is>
          <t>Bypass - No Contemporaneous Proof</t>
        </is>
      </c>
      <c r="B156" t="inlineStr">
        <is>
          <t>2024-11-17</t>
        </is>
      </c>
      <c r="C156" t="inlineStr">
        <is>
          <t>OFR-2024-0930</t>
        </is>
      </c>
      <c r="D156" t="inlineStr">
        <is>
          <t>WL-02598</t>
        </is>
      </c>
      <c r="E156" t="inlineStr">
        <is>
          <t>GW-0902</t>
        </is>
      </c>
      <c r="F156" t="inlineStr">
        <is>
          <t>vessel-fit</t>
        </is>
      </c>
    </row>
    <row r="157">
      <c r="A157" t="inlineStr">
        <is>
          <t>Bypass - No Contemporaneous Proof</t>
        </is>
      </c>
      <c r="B157" t="inlineStr">
        <is>
          <t>2024-11-23</t>
        </is>
      </c>
      <c r="C157" t="inlineStr">
        <is>
          <t>OFR-2024-0940</t>
        </is>
      </c>
      <c r="D157" t="inlineStr">
        <is>
          <t>WL-01832</t>
        </is>
      </c>
      <c r="E157" t="inlineStr">
        <is>
          <t>VB-0222</t>
        </is>
      </c>
      <c r="F157" t="inlineStr">
        <is>
          <t>not-current</t>
        </is>
      </c>
    </row>
    <row r="158">
      <c r="A158" t="inlineStr">
        <is>
          <t>Bypass - No Contemporaneous Proof</t>
        </is>
      </c>
      <c r="B158" t="inlineStr">
        <is>
          <t>2024-11-03</t>
        </is>
      </c>
      <c r="C158" t="inlineStr">
        <is>
          <t>OFR-2024-0942</t>
        </is>
      </c>
      <c r="D158" t="inlineStr">
        <is>
          <t>WL-03857</t>
        </is>
      </c>
      <c r="E158" t="inlineStr">
        <is>
          <t>SB-0407</t>
        </is>
      </c>
      <c r="F158" t="inlineStr">
        <is>
          <t>vessel-fit</t>
        </is>
      </c>
    </row>
    <row r="159">
      <c r="A159" t="inlineStr">
        <is>
          <t>Bypass - No Contemporaneous Proof</t>
        </is>
      </c>
      <c r="B159" t="inlineStr">
        <is>
          <t>2024-12-13</t>
        </is>
      </c>
      <c r="C159" t="inlineStr">
        <is>
          <t>OFR-2024-0951</t>
        </is>
      </c>
      <c r="D159" t="inlineStr">
        <is>
          <t>WL-02412</t>
        </is>
      </c>
      <c r="E159" t="inlineStr">
        <is>
          <t>GW-0201</t>
        </is>
      </c>
      <c r="F159" t="inlineStr">
        <is>
          <t>preference-mismatch</t>
        </is>
      </c>
    </row>
    <row r="160">
      <c r="A160" t="inlineStr">
        <is>
          <t>Bypass - No Contemporaneous Proof</t>
        </is>
      </c>
      <c r="B160" t="inlineStr">
        <is>
          <t>2024-12-24</t>
        </is>
      </c>
      <c r="C160" t="inlineStr">
        <is>
          <t>OFR-2024-0952</t>
        </is>
      </c>
      <c r="D160" t="inlineStr">
        <is>
          <t>WL-03079</t>
        </is>
      </c>
      <c r="E160" t="inlineStr">
        <is>
          <t>SB-0106</t>
        </is>
      </c>
      <c r="F160" t="inlineStr">
        <is>
          <t>not-current</t>
        </is>
      </c>
    </row>
    <row r="161">
      <c r="A161" t="inlineStr">
        <is>
          <t>Bypass - No Contemporaneous Proof</t>
        </is>
      </c>
      <c r="B161" t="inlineStr">
        <is>
          <t>2024-12-11</t>
        </is>
      </c>
      <c r="C161" t="inlineStr">
        <is>
          <t>OFR-2024-0954</t>
        </is>
      </c>
      <c r="D161" t="inlineStr">
        <is>
          <t>WL-03294</t>
        </is>
      </c>
      <c r="E161" t="inlineStr">
        <is>
          <t>LP-0102</t>
        </is>
      </c>
      <c r="F161" t="inlineStr">
        <is>
          <t>vessel-fit</t>
        </is>
      </c>
    </row>
    <row r="162">
      <c r="A162" t="inlineStr">
        <is>
          <t>Bypass - No Contemporaneous Proof</t>
        </is>
      </c>
      <c r="B162" t="inlineStr">
        <is>
          <t>2024-12-22</t>
        </is>
      </c>
      <c r="C162" t="inlineStr">
        <is>
          <t>OFR-2024-0955</t>
        </is>
      </c>
      <c r="D162" t="inlineStr">
        <is>
          <t>WL-01844</t>
        </is>
      </c>
      <c r="E162" t="inlineStr">
        <is>
          <t>EW-0519</t>
        </is>
      </c>
      <c r="F162" t="inlineStr">
        <is>
          <t>vessel-fit</t>
        </is>
      </c>
    </row>
    <row r="163">
      <c r="A163" t="inlineStr">
        <is>
          <t>Bypass - No Contemporaneous Proof</t>
        </is>
      </c>
      <c r="B163" t="inlineStr">
        <is>
          <t>2024-12-18</t>
        </is>
      </c>
      <c r="C163" t="inlineStr">
        <is>
          <t>OFR-2024-0960</t>
        </is>
      </c>
      <c r="D163" t="inlineStr">
        <is>
          <t>WL-02923</t>
        </is>
      </c>
      <c r="E163" t="inlineStr">
        <is>
          <t>LP-0822</t>
        </is>
      </c>
      <c r="F163" t="inlineStr">
        <is>
          <t>preference-mismatch</t>
        </is>
      </c>
    </row>
    <row r="164">
      <c r="A164" t="inlineStr">
        <is>
          <t>Bypass - No Contemporaneous Proof</t>
        </is>
      </c>
      <c r="B164" t="inlineStr">
        <is>
          <t>2025-01-15</t>
        </is>
      </c>
      <c r="C164" t="inlineStr">
        <is>
          <t>OFR-2025-0964</t>
        </is>
      </c>
      <c r="D164" t="inlineStr">
        <is>
          <t>WL-03628</t>
        </is>
      </c>
      <c r="E164" t="inlineStr">
        <is>
          <t>LP-0715</t>
        </is>
      </c>
      <c r="F164" t="inlineStr">
        <is>
          <t>preference-mismatch</t>
        </is>
      </c>
    </row>
    <row r="165">
      <c r="A165" t="inlineStr">
        <is>
          <t>Bypass - No Contemporaneous Proof</t>
        </is>
      </c>
      <c r="B165" t="inlineStr">
        <is>
          <t>2025-01-17</t>
        </is>
      </c>
      <c r="C165" t="inlineStr">
        <is>
          <t>OFR-2025-0968</t>
        </is>
      </c>
      <c r="D165" t="inlineStr">
        <is>
          <t>WL-01918</t>
        </is>
      </c>
      <c r="E165" t="inlineStr">
        <is>
          <t>GW-0517</t>
        </is>
      </c>
      <c r="F165" t="inlineStr">
        <is>
          <t>not-current</t>
        </is>
      </c>
    </row>
    <row r="166">
      <c r="A166" t="inlineStr">
        <is>
          <t>Bypass - No Contemporaneous Proof</t>
        </is>
      </c>
      <c r="B166" t="inlineStr">
        <is>
          <t>2025-01-01</t>
        </is>
      </c>
      <c r="C166" t="inlineStr">
        <is>
          <t>OFR-2025-0969</t>
        </is>
      </c>
      <c r="D166" t="inlineStr">
        <is>
          <t>WL-01382</t>
        </is>
      </c>
      <c r="E166" t="inlineStr">
        <is>
          <t>GW-0908</t>
        </is>
      </c>
      <c r="F166" t="inlineStr">
        <is>
          <t>vessel-fit</t>
        </is>
      </c>
    </row>
    <row r="167">
      <c r="A167" t="inlineStr">
        <is>
          <t>Bypass - No Contemporaneous Proof</t>
        </is>
      </c>
      <c r="B167" t="inlineStr">
        <is>
          <t>2025-01-12</t>
        </is>
      </c>
      <c r="C167" t="inlineStr">
        <is>
          <t>OFR-2025-0970</t>
        </is>
      </c>
      <c r="D167" t="inlineStr">
        <is>
          <t>WL-03888</t>
        </is>
      </c>
      <c r="E167" t="inlineStr">
        <is>
          <t>SB-0603</t>
        </is>
      </c>
      <c r="F167" t="inlineStr">
        <is>
          <t>declined-prior-offer</t>
        </is>
      </c>
    </row>
    <row r="168">
      <c r="A168" t="inlineStr">
        <is>
          <t>Bypass - No Contemporaneous Proof</t>
        </is>
      </c>
      <c r="B168" t="inlineStr">
        <is>
          <t>2025-01-16</t>
        </is>
      </c>
      <c r="C168" t="inlineStr">
        <is>
          <t>OFR-2025-0974</t>
        </is>
      </c>
      <c r="D168" t="inlineStr">
        <is>
          <t>WL-02733</t>
        </is>
      </c>
      <c r="E168" t="inlineStr">
        <is>
          <t>LP-0803</t>
        </is>
      </c>
      <c r="F168" t="inlineStr">
        <is>
          <t>vessel-fit</t>
        </is>
      </c>
    </row>
    <row r="169">
      <c r="A169" t="inlineStr">
        <is>
          <t>Bypass - No Contemporaneous Proof</t>
        </is>
      </c>
      <c r="B169" t="inlineStr">
        <is>
          <t>2025-02-20</t>
        </is>
      </c>
      <c r="C169" t="inlineStr">
        <is>
          <t>OFR-2025-0985</t>
        </is>
      </c>
      <c r="D169" t="inlineStr">
        <is>
          <t>WL-03244</t>
        </is>
      </c>
      <c r="E169" t="inlineStr">
        <is>
          <t>EW-1015</t>
        </is>
      </c>
      <c r="F169" t="inlineStr">
        <is>
          <t>not-current</t>
        </is>
      </c>
    </row>
    <row r="170">
      <c r="A170" t="inlineStr">
        <is>
          <t>Bypass - No Contemporaneous Proof</t>
        </is>
      </c>
      <c r="B170" t="inlineStr">
        <is>
          <t>2025-03-22</t>
        </is>
      </c>
      <c r="C170" t="inlineStr">
        <is>
          <t>OFR-2025-0999</t>
        </is>
      </c>
      <c r="D170" t="inlineStr">
        <is>
          <t>WL-02067</t>
        </is>
      </c>
      <c r="E170" t="inlineStr">
        <is>
          <t>LP-1107</t>
        </is>
      </c>
      <c r="F170" t="inlineStr">
        <is>
          <t>not-current</t>
        </is>
      </c>
    </row>
    <row r="171">
      <c r="A171" t="inlineStr">
        <is>
          <t>Bypass - No Contemporaneous Proof</t>
        </is>
      </c>
      <c r="B171" t="inlineStr">
        <is>
          <t>2025-03-27</t>
        </is>
      </c>
      <c r="C171" t="inlineStr">
        <is>
          <t>OFR-2025-1001</t>
        </is>
      </c>
      <c r="D171" t="inlineStr">
        <is>
          <t>WL-01523</t>
        </is>
      </c>
      <c r="E171" t="inlineStr">
        <is>
          <t>LP-0304</t>
        </is>
      </c>
      <c r="F171" t="inlineStr">
        <is>
          <t>not-current</t>
        </is>
      </c>
    </row>
    <row r="172">
      <c r="A172" t="inlineStr">
        <is>
          <t>Bypass - No Contemporaneous Proof</t>
        </is>
      </c>
      <c r="B172" t="inlineStr">
        <is>
          <t>2025-03-12</t>
        </is>
      </c>
      <c r="C172" t="inlineStr">
        <is>
          <t>OFR-2025-1003</t>
        </is>
      </c>
      <c r="D172" t="inlineStr">
        <is>
          <t>WL-03442</t>
        </is>
      </c>
      <c r="E172" t="inlineStr">
        <is>
          <t>SB-0203</t>
        </is>
      </c>
      <c r="F172" t="inlineStr">
        <is>
          <t>not-current</t>
        </is>
      </c>
    </row>
    <row r="173">
      <c r="A173" t="inlineStr">
        <is>
          <t>Bypass - No Contemporaneous Proof</t>
        </is>
      </c>
      <c r="B173" t="inlineStr">
        <is>
          <t>2025-03-09</t>
        </is>
      </c>
      <c r="C173" t="inlineStr">
        <is>
          <t>OFR-2025-1005</t>
        </is>
      </c>
      <c r="D173" t="inlineStr">
        <is>
          <t>WL-03604</t>
        </is>
      </c>
      <c r="E173" t="inlineStr">
        <is>
          <t>EW-0909</t>
        </is>
      </c>
      <c r="F173" t="inlineStr">
        <is>
          <t>not-current</t>
        </is>
      </c>
    </row>
    <row r="174">
      <c r="A174" t="inlineStr">
        <is>
          <t>Bypass - No Contemporaneous Proof</t>
        </is>
      </c>
      <c r="B174" t="inlineStr">
        <is>
          <t>2025-03-01</t>
        </is>
      </c>
      <c r="C174" t="inlineStr">
        <is>
          <t>OFR-2025-1010</t>
        </is>
      </c>
      <c r="D174" t="inlineStr">
        <is>
          <t>WL-03815</t>
        </is>
      </c>
      <c r="E174" t="inlineStr">
        <is>
          <t>LP-0324</t>
        </is>
      </c>
      <c r="F174" t="inlineStr">
        <is>
          <t>preference-mismatch</t>
        </is>
      </c>
    </row>
    <row r="175">
      <c r="A175" t="inlineStr">
        <is>
          <t>Bypass - No Contemporaneous Proof</t>
        </is>
      </c>
      <c r="B175" t="inlineStr">
        <is>
          <t>2025-04-16</t>
        </is>
      </c>
      <c r="C175" t="inlineStr">
        <is>
          <t>OFR-2025-1012</t>
        </is>
      </c>
      <c r="D175" t="inlineStr">
        <is>
          <t>WL-01578</t>
        </is>
      </c>
      <c r="E175" t="inlineStr">
        <is>
          <t>LP-1108</t>
        </is>
      </c>
      <c r="F175" t="inlineStr">
        <is>
          <t>not-current</t>
        </is>
      </c>
    </row>
    <row r="176">
      <c r="A176" t="inlineStr">
        <is>
          <t>Bypass - No Contemporaneous Proof</t>
        </is>
      </c>
      <c r="B176" t="inlineStr">
        <is>
          <t>2025-04-02</t>
        </is>
      </c>
      <c r="C176" t="inlineStr">
        <is>
          <t>OFR-2025-1018</t>
        </is>
      </c>
      <c r="D176" t="inlineStr">
        <is>
          <t>WL-02178</t>
        </is>
      </c>
      <c r="E176" t="inlineStr">
        <is>
          <t>GW-0201</t>
        </is>
      </c>
      <c r="F176" t="inlineStr">
        <is>
          <t>vessel-fit</t>
        </is>
      </c>
    </row>
    <row r="177">
      <c r="A177" t="inlineStr">
        <is>
          <t>Bypass - No Contemporaneous Proof</t>
        </is>
      </c>
      <c r="B177" t="inlineStr">
        <is>
          <t>2025-04-09</t>
        </is>
      </c>
      <c r="C177" t="inlineStr">
        <is>
          <t>OFR-2025-1023</t>
        </is>
      </c>
      <c r="D177" t="inlineStr">
        <is>
          <t>WL-02653</t>
        </is>
      </c>
      <c r="E177" t="inlineStr">
        <is>
          <t>GW-0615</t>
        </is>
      </c>
      <c r="F177" t="inlineStr">
        <is>
          <t>not-current</t>
        </is>
      </c>
    </row>
    <row r="178">
      <c r="A178" t="inlineStr">
        <is>
          <t>Bypass - No Contemporaneous Proof</t>
        </is>
      </c>
      <c r="B178" t="inlineStr">
        <is>
          <t>2025-04-07</t>
        </is>
      </c>
      <c r="C178" t="inlineStr">
        <is>
          <t>OFR-2025-1028</t>
        </is>
      </c>
      <c r="D178" t="inlineStr">
        <is>
          <t>WL-01808</t>
        </is>
      </c>
      <c r="E178" t="inlineStr">
        <is>
          <t>LP-0316</t>
        </is>
      </c>
      <c r="F178" t="inlineStr">
        <is>
          <t>not-current</t>
        </is>
      </c>
    </row>
    <row r="179">
      <c r="A179" t="inlineStr">
        <is>
          <t>Bypass - No Contemporaneous Proof</t>
        </is>
      </c>
      <c r="B179" t="inlineStr">
        <is>
          <t>2025-04-22</t>
        </is>
      </c>
      <c r="C179" t="inlineStr">
        <is>
          <t>OFR-2025-1029</t>
        </is>
      </c>
      <c r="D179" t="inlineStr">
        <is>
          <t>WL-02693</t>
        </is>
      </c>
      <c r="E179" t="inlineStr">
        <is>
          <t>VB-0906</t>
        </is>
      </c>
      <c r="F179" t="inlineStr">
        <is>
          <t>preference-mismatch</t>
        </is>
      </c>
    </row>
    <row r="180">
      <c r="A180" t="inlineStr">
        <is>
          <t>Bypass - No Contemporaneous Proof</t>
        </is>
      </c>
      <c r="B180" t="inlineStr">
        <is>
          <t>2025-04-27</t>
        </is>
      </c>
      <c r="C180" t="inlineStr">
        <is>
          <t>OFR-2025-1030</t>
        </is>
      </c>
      <c r="D180" t="inlineStr">
        <is>
          <t>WL-01328</t>
        </is>
      </c>
      <c r="E180" t="inlineStr">
        <is>
          <t>SB-0704</t>
        </is>
      </c>
      <c r="F180" t="inlineStr">
        <is>
          <t>vessel-fit</t>
        </is>
      </c>
    </row>
    <row r="181">
      <c r="A181" t="inlineStr">
        <is>
          <t>Bypass - No Contemporaneous Proof</t>
        </is>
      </c>
      <c r="B181" t="inlineStr">
        <is>
          <t>2025-04-09</t>
        </is>
      </c>
      <c r="C181" t="inlineStr">
        <is>
          <t>OFR-2025-1032</t>
        </is>
      </c>
      <c r="D181" t="inlineStr">
        <is>
          <t>WL-02188</t>
        </is>
      </c>
      <c r="E181" t="inlineStr">
        <is>
          <t>LP-0817</t>
        </is>
      </c>
      <c r="F181" t="inlineStr">
        <is>
          <t>vessel-fit</t>
        </is>
      </c>
    </row>
    <row r="182">
      <c r="A182" t="inlineStr">
        <is>
          <t>Bypass - No Contemporaneous Proof</t>
        </is>
      </c>
      <c r="B182" t="inlineStr">
        <is>
          <t>2025-04-05</t>
        </is>
      </c>
      <c r="C182" t="inlineStr">
        <is>
          <t>OFR-2025-1037</t>
        </is>
      </c>
      <c r="D182" t="inlineStr">
        <is>
          <t>WL-02524</t>
        </is>
      </c>
      <c r="E182" t="inlineStr">
        <is>
          <t>SB-0102</t>
        </is>
      </c>
      <c r="F182" t="inlineStr">
        <is>
          <t>vessel-fit</t>
        </is>
      </c>
    </row>
    <row r="183">
      <c r="A183" t="inlineStr">
        <is>
          <t>Bypass - No Contemporaneous Proof</t>
        </is>
      </c>
      <c r="B183" t="inlineStr">
        <is>
          <t>2025-04-14</t>
        </is>
      </c>
      <c r="C183" t="inlineStr">
        <is>
          <t>OFR-2025-1039</t>
        </is>
      </c>
      <c r="D183" t="inlineStr">
        <is>
          <t>WL-02845</t>
        </is>
      </c>
      <c r="E183" t="inlineStr">
        <is>
          <t>SB-0410</t>
        </is>
      </c>
      <c r="F183" t="inlineStr">
        <is>
          <t>declined-prior-offer</t>
        </is>
      </c>
    </row>
    <row r="184">
      <c r="A184" t="inlineStr">
        <is>
          <t>Bypass - No Contemporaneous Proof</t>
        </is>
      </c>
      <c r="B184" t="inlineStr">
        <is>
          <t>2025-05-07</t>
        </is>
      </c>
      <c r="C184" t="inlineStr">
        <is>
          <t>OFR-2025-1042</t>
        </is>
      </c>
      <c r="D184" t="inlineStr">
        <is>
          <t>WL-03839</t>
        </is>
      </c>
      <c r="E184" t="inlineStr">
        <is>
          <t>EW-0209</t>
        </is>
      </c>
      <c r="F184" t="inlineStr">
        <is>
          <t>vessel-fit</t>
        </is>
      </c>
    </row>
    <row r="185">
      <c r="A185" t="inlineStr">
        <is>
          <t>Bypass - No Contemporaneous Proof</t>
        </is>
      </c>
      <c r="B185" t="inlineStr">
        <is>
          <t>2025-05-17</t>
        </is>
      </c>
      <c r="C185" t="inlineStr">
        <is>
          <t>OFR-2025-1053</t>
        </is>
      </c>
      <c r="D185" t="inlineStr">
        <is>
          <t>WL-03094</t>
        </is>
      </c>
      <c r="E185" t="inlineStr">
        <is>
          <t>LP-0316</t>
        </is>
      </c>
      <c r="F185" t="inlineStr">
        <is>
          <t>vessel-fit</t>
        </is>
      </c>
    </row>
    <row r="186">
      <c r="A186" t="inlineStr">
        <is>
          <t>Bypass - No Contemporaneous Proof</t>
        </is>
      </c>
      <c r="B186" t="inlineStr">
        <is>
          <t>2025-05-05</t>
        </is>
      </c>
      <c r="C186" t="inlineStr">
        <is>
          <t>OFR-2025-1054</t>
        </is>
      </c>
      <c r="D186" t="inlineStr">
        <is>
          <t>WL-03662</t>
        </is>
      </c>
      <c r="E186" t="inlineStr">
        <is>
          <t>VB-0604</t>
        </is>
      </c>
      <c r="F186" t="inlineStr">
        <is>
          <t>not-current</t>
        </is>
      </c>
    </row>
    <row r="187">
      <c r="A187" t="inlineStr">
        <is>
          <t>Bypass - No Contemporaneous Proof</t>
        </is>
      </c>
      <c r="B187" t="inlineStr">
        <is>
          <t>2025-05-07</t>
        </is>
      </c>
      <c r="C187" t="inlineStr">
        <is>
          <t>OFR-2025-1059</t>
        </is>
      </c>
      <c r="D187" t="inlineStr">
        <is>
          <t>WL-01472</t>
        </is>
      </c>
      <c r="E187" t="inlineStr">
        <is>
          <t>SB-0720</t>
        </is>
      </c>
      <c r="F187" t="inlineStr">
        <is>
          <t>preference-mismatch</t>
        </is>
      </c>
    </row>
    <row r="188">
      <c r="A188" t="inlineStr">
        <is>
          <t>Bypass - No Contemporaneous Proof</t>
        </is>
      </c>
      <c r="B188" t="inlineStr">
        <is>
          <t>2025-05-10</t>
        </is>
      </c>
      <c r="C188" t="inlineStr">
        <is>
          <t>OFR-2025-1068</t>
        </is>
      </c>
      <c r="D188" t="inlineStr">
        <is>
          <t>WL-03360</t>
        </is>
      </c>
      <c r="E188" t="inlineStr">
        <is>
          <t>EW-1003</t>
        </is>
      </c>
      <c r="F188" t="inlineStr">
        <is>
          <t>not-current</t>
        </is>
      </c>
    </row>
    <row r="189">
      <c r="A189" t="inlineStr">
        <is>
          <t>Bypass - No Contemporaneous Proof</t>
        </is>
      </c>
      <c r="B189" t="inlineStr">
        <is>
          <t>2025-06-18</t>
        </is>
      </c>
      <c r="C189" t="inlineStr">
        <is>
          <t>OFR-2025-1072</t>
        </is>
      </c>
      <c r="D189" t="inlineStr">
        <is>
          <t>WL-02747</t>
        </is>
      </c>
      <c r="E189" t="inlineStr">
        <is>
          <t>GW-0401</t>
        </is>
      </c>
      <c r="F189" t="inlineStr">
        <is>
          <t>preference-mismatch</t>
        </is>
      </c>
    </row>
    <row r="190">
      <c r="A190" t="inlineStr">
        <is>
          <t>Bypass - No Contemporaneous Proof</t>
        </is>
      </c>
      <c r="B190" t="inlineStr">
        <is>
          <t>2025-06-18</t>
        </is>
      </c>
      <c r="C190" t="inlineStr">
        <is>
          <t>OFR-2025-1075</t>
        </is>
      </c>
      <c r="D190" t="inlineStr">
        <is>
          <t>WL-01333</t>
        </is>
      </c>
      <c r="E190" t="inlineStr">
        <is>
          <t>LP-0208</t>
        </is>
      </c>
      <c r="F190" t="inlineStr">
        <is>
          <t>not-current</t>
        </is>
      </c>
    </row>
    <row r="191">
      <c r="A191" t="inlineStr">
        <is>
          <t>Bypass - No Contemporaneous Proof</t>
        </is>
      </c>
      <c r="B191" t="inlineStr">
        <is>
          <t>2025-06-15</t>
        </is>
      </c>
      <c r="C191" t="inlineStr">
        <is>
          <t>OFR-2025-1076</t>
        </is>
      </c>
      <c r="D191" t="inlineStr">
        <is>
          <t>WL-02698</t>
        </is>
      </c>
      <c r="E191" t="inlineStr">
        <is>
          <t>VB-0409</t>
        </is>
      </c>
      <c r="F191" t="inlineStr">
        <is>
          <t>preference-mismatch</t>
        </is>
      </c>
    </row>
    <row r="192">
      <c r="A192" t="inlineStr">
        <is>
          <t>Bypass - No Contemporaneous Proof</t>
        </is>
      </c>
      <c r="B192" t="inlineStr">
        <is>
          <t>2025-06-02</t>
        </is>
      </c>
      <c r="C192" t="inlineStr">
        <is>
          <t>OFR-2025-1079</t>
        </is>
      </c>
      <c r="D192" t="inlineStr">
        <is>
          <t>WL-03047</t>
        </is>
      </c>
      <c r="E192" t="inlineStr">
        <is>
          <t>EW-0415</t>
        </is>
      </c>
      <c r="F192" t="inlineStr">
        <is>
          <t>preference-mismatch</t>
        </is>
      </c>
    </row>
    <row r="193">
      <c r="A193" t="inlineStr">
        <is>
          <t>Bypass - No Contemporaneous Proof</t>
        </is>
      </c>
      <c r="B193" t="inlineStr">
        <is>
          <t>2025-06-14</t>
        </is>
      </c>
      <c r="C193" t="inlineStr">
        <is>
          <t>OFR-2025-1081</t>
        </is>
      </c>
      <c r="D193" t="inlineStr">
        <is>
          <t>WL-01151</t>
        </is>
      </c>
      <c r="E193" t="inlineStr">
        <is>
          <t>SB-0804</t>
        </is>
      </c>
      <c r="F193" t="inlineStr">
        <is>
          <t>not-current</t>
        </is>
      </c>
    </row>
    <row r="194">
      <c r="A194" t="inlineStr">
        <is>
          <t>Bypass - No Contemporaneous Proof</t>
        </is>
      </c>
      <c r="B194" t="inlineStr">
        <is>
          <t>2025-06-19</t>
        </is>
      </c>
      <c r="C194" t="inlineStr">
        <is>
          <t>OFR-2025-1090</t>
        </is>
      </c>
      <c r="D194" t="inlineStr">
        <is>
          <t>WL-02314</t>
        </is>
      </c>
      <c r="E194" t="inlineStr">
        <is>
          <t>LP-0124</t>
        </is>
      </c>
      <c r="F194" t="inlineStr">
        <is>
          <t>not-current</t>
        </is>
      </c>
    </row>
    <row r="195">
      <c r="A195" t="inlineStr">
        <is>
          <t>Bypass - No Contemporaneous Proof</t>
        </is>
      </c>
      <c r="B195" t="inlineStr">
        <is>
          <t>2025-06-09</t>
        </is>
      </c>
      <c r="C195" t="inlineStr">
        <is>
          <t>OFR-2025-1091</t>
        </is>
      </c>
      <c r="D195" t="inlineStr">
        <is>
          <t>WL-02356</t>
        </is>
      </c>
      <c r="E195" t="inlineStr">
        <is>
          <t>SB-0411</t>
        </is>
      </c>
      <c r="F195" t="inlineStr">
        <is>
          <t>preference-mismatch</t>
        </is>
      </c>
    </row>
    <row r="196">
      <c r="A196" t="inlineStr">
        <is>
          <t>Bypass - No Contemporaneous Proof</t>
        </is>
      </c>
      <c r="B196" t="inlineStr">
        <is>
          <t>2025-06-02</t>
        </is>
      </c>
      <c r="C196" t="inlineStr">
        <is>
          <t>OFR-2025-1098</t>
        </is>
      </c>
      <c r="D196" t="inlineStr">
        <is>
          <t>WL-02013</t>
        </is>
      </c>
      <c r="E196" t="inlineStr">
        <is>
          <t>LP-0901</t>
        </is>
      </c>
      <c r="F196" t="inlineStr">
        <is>
          <t>not-current</t>
        </is>
      </c>
    </row>
    <row r="197">
      <c r="A197" t="inlineStr">
        <is>
          <t>Bypass - No Contemporaneous Proof</t>
        </is>
      </c>
      <c r="B197" t="inlineStr">
        <is>
          <t>2025-07-10</t>
        </is>
      </c>
      <c r="C197" t="inlineStr">
        <is>
          <t>OFR-2025-1101</t>
        </is>
      </c>
      <c r="D197" t="inlineStr">
        <is>
          <t>WL-01813</t>
        </is>
      </c>
      <c r="E197" t="inlineStr">
        <is>
          <t>GW-0910</t>
        </is>
      </c>
      <c r="F197" t="inlineStr">
        <is>
          <t>not-current</t>
        </is>
      </c>
    </row>
    <row r="198">
      <c r="A198" t="inlineStr">
        <is>
          <t>Bypass - No Contemporaneous Proof</t>
        </is>
      </c>
      <c r="B198" t="inlineStr">
        <is>
          <t>2025-07-25</t>
        </is>
      </c>
      <c r="C198" t="inlineStr">
        <is>
          <t>OFR-2025-1113</t>
        </is>
      </c>
      <c r="D198" t="inlineStr">
        <is>
          <t>WL-03227</t>
        </is>
      </c>
      <c r="E198" t="inlineStr">
        <is>
          <t>LP-0414</t>
        </is>
      </c>
      <c r="F198" t="inlineStr">
        <is>
          <t>declined-prior-offer</t>
        </is>
      </c>
    </row>
    <row r="199">
      <c r="A199" t="inlineStr">
        <is>
          <t>Bypass - No Contemporaneous Proof</t>
        </is>
      </c>
      <c r="B199" t="inlineStr">
        <is>
          <t>2025-07-06</t>
        </is>
      </c>
      <c r="C199" t="inlineStr">
        <is>
          <t>OFR-2025-1117</t>
        </is>
      </c>
      <c r="D199" t="inlineStr">
        <is>
          <t>WL-02298</t>
        </is>
      </c>
      <c r="E199" t="inlineStr">
        <is>
          <t>GW-1017</t>
        </is>
      </c>
      <c r="F199" t="inlineStr">
        <is>
          <t>vessel-fit</t>
        </is>
      </c>
    </row>
    <row r="200">
      <c r="A200" t="inlineStr">
        <is>
          <t>Bypass - No Contemporaneous Proof</t>
        </is>
      </c>
      <c r="B200" t="inlineStr">
        <is>
          <t>2025-07-12</t>
        </is>
      </c>
      <c r="C200" t="inlineStr">
        <is>
          <t>OFR-2025-1123</t>
        </is>
      </c>
      <c r="D200" t="inlineStr">
        <is>
          <t>WL-03516</t>
        </is>
      </c>
      <c r="E200" t="inlineStr">
        <is>
          <t>VB-0209</t>
        </is>
      </c>
      <c r="F200" t="inlineStr">
        <is>
          <t>preference-mismatch</t>
        </is>
      </c>
    </row>
    <row r="201">
      <c r="A201" t="inlineStr">
        <is>
          <t>Bypass - No Contemporaneous Proof</t>
        </is>
      </c>
      <c r="B201" t="inlineStr">
        <is>
          <t>2025-07-11</t>
        </is>
      </c>
      <c r="C201" t="inlineStr">
        <is>
          <t>OFR-2025-1124</t>
        </is>
      </c>
      <c r="D201" t="inlineStr">
        <is>
          <t>WL-03579</t>
        </is>
      </c>
      <c r="E201" t="inlineStr">
        <is>
          <t>LP-0816</t>
        </is>
      </c>
      <c r="F201" t="inlineStr">
        <is>
          <t>declined-prior-offer</t>
        </is>
      </c>
    </row>
    <row r="202">
      <c r="A202" t="inlineStr">
        <is>
          <t>Bypass - No Contemporaneous Proof</t>
        </is>
      </c>
      <c r="B202" t="inlineStr">
        <is>
          <t>2025-07-17</t>
        </is>
      </c>
      <c r="C202" t="inlineStr">
        <is>
          <t>OFR-2025-1125</t>
        </is>
      </c>
      <c r="D202" t="inlineStr">
        <is>
          <t>WL-03248</t>
        </is>
      </c>
      <c r="E202" t="inlineStr">
        <is>
          <t>LP-0616</t>
        </is>
      </c>
      <c r="F202" t="inlineStr">
        <is>
          <t>preference-mismatch</t>
        </is>
      </c>
    </row>
    <row r="203">
      <c r="A203" t="inlineStr">
        <is>
          <t>Bypass - No Contemporaneous Proof</t>
        </is>
      </c>
      <c r="B203" t="inlineStr">
        <is>
          <t>2025-07-22</t>
        </is>
      </c>
      <c r="C203" t="inlineStr">
        <is>
          <t>OFR-2025-1126</t>
        </is>
      </c>
      <c r="D203" t="inlineStr">
        <is>
          <t>WL-03526</t>
        </is>
      </c>
      <c r="E203" t="inlineStr">
        <is>
          <t>SB-0102</t>
        </is>
      </c>
      <c r="F203" t="inlineStr">
        <is>
          <t>preference-mismatch</t>
        </is>
      </c>
    </row>
    <row r="204">
      <c r="A204" t="inlineStr">
        <is>
          <t>Bypass - No Contemporaneous Proof</t>
        </is>
      </c>
      <c r="B204" t="inlineStr">
        <is>
          <t>2025-07-28</t>
        </is>
      </c>
      <c r="C204" t="inlineStr">
        <is>
          <t>OFR-2025-1129</t>
        </is>
      </c>
      <c r="D204" t="inlineStr">
        <is>
          <t>WL-03094</t>
        </is>
      </c>
      <c r="E204" t="inlineStr">
        <is>
          <t>GW-0103</t>
        </is>
      </c>
      <c r="F204" t="inlineStr">
        <is>
          <t>not-current</t>
        </is>
      </c>
    </row>
    <row r="205">
      <c r="A205" t="inlineStr">
        <is>
          <t>Bypass - No Contemporaneous Proof</t>
        </is>
      </c>
      <c r="B205" t="inlineStr">
        <is>
          <t>2025-08-26</t>
        </is>
      </c>
      <c r="C205" t="inlineStr">
        <is>
          <t>OFR-2025-1134</t>
        </is>
      </c>
      <c r="D205" t="inlineStr">
        <is>
          <t>WL-02774</t>
        </is>
      </c>
      <c r="E205" t="inlineStr">
        <is>
          <t>LP-0208</t>
        </is>
      </c>
      <c r="F205" t="inlineStr">
        <is>
          <t>declined-prior-offer</t>
        </is>
      </c>
    </row>
    <row r="206">
      <c r="A206" t="inlineStr">
        <is>
          <t>Bypass - No Contemporaneous Proof</t>
        </is>
      </c>
      <c r="B206" t="inlineStr">
        <is>
          <t>2025-08-26</t>
        </is>
      </c>
      <c r="C206" t="inlineStr">
        <is>
          <t>OFR-2025-1136</t>
        </is>
      </c>
      <c r="D206" t="inlineStr">
        <is>
          <t>WL-03311</t>
        </is>
      </c>
      <c r="E206" t="inlineStr">
        <is>
          <t>GW-0116</t>
        </is>
      </c>
      <c r="F206" t="inlineStr">
        <is>
          <t>preference-mismatch</t>
        </is>
      </c>
    </row>
    <row r="207">
      <c r="A207" t="inlineStr">
        <is>
          <t>Bypass - No Contemporaneous Proof</t>
        </is>
      </c>
      <c r="B207" t="inlineStr">
        <is>
          <t>2025-08-18</t>
        </is>
      </c>
      <c r="C207" t="inlineStr">
        <is>
          <t>OFR-2025-1138</t>
        </is>
      </c>
      <c r="D207" t="inlineStr">
        <is>
          <t>WL-01537</t>
        </is>
      </c>
      <c r="E207" t="inlineStr">
        <is>
          <t>GW-0701</t>
        </is>
      </c>
      <c r="F207" t="inlineStr">
        <is>
          <t>vessel-fit</t>
        </is>
      </c>
    </row>
    <row r="208">
      <c r="A208" t="inlineStr">
        <is>
          <t>Bypass - No Contemporaneous Proof</t>
        </is>
      </c>
      <c r="B208" t="inlineStr">
        <is>
          <t>2025-08-26</t>
        </is>
      </c>
      <c r="C208" t="inlineStr">
        <is>
          <t>OFR-2025-1143</t>
        </is>
      </c>
      <c r="D208" t="inlineStr">
        <is>
          <t>WL-01788</t>
        </is>
      </c>
      <c r="E208" t="inlineStr">
        <is>
          <t>GW-0305</t>
        </is>
      </c>
      <c r="F208" t="inlineStr">
        <is>
          <t>vessel-fit</t>
        </is>
      </c>
    </row>
    <row r="209">
      <c r="A209" t="inlineStr">
        <is>
          <t>Bypass - No Contemporaneous Proof</t>
        </is>
      </c>
      <c r="B209" t="inlineStr">
        <is>
          <t>2025-08-22</t>
        </is>
      </c>
      <c r="C209" t="inlineStr">
        <is>
          <t>OFR-2025-1147</t>
        </is>
      </c>
      <c r="D209" t="inlineStr">
        <is>
          <t>WL-01702</t>
        </is>
      </c>
      <c r="E209" t="inlineStr">
        <is>
          <t>VB-1014</t>
        </is>
      </c>
      <c r="F209" t="inlineStr">
        <is>
          <t>vessel-fit</t>
        </is>
      </c>
    </row>
    <row r="210">
      <c r="A210" t="inlineStr">
        <is>
          <t>Bypass - No Contemporaneous Proof</t>
        </is>
      </c>
      <c r="B210" t="inlineStr">
        <is>
          <t>2025-08-10</t>
        </is>
      </c>
      <c r="C210" t="inlineStr">
        <is>
          <t>OFR-2025-1153</t>
        </is>
      </c>
      <c r="D210" t="inlineStr">
        <is>
          <t>WL-02607</t>
        </is>
      </c>
      <c r="E210" t="inlineStr">
        <is>
          <t>LP-1024</t>
        </is>
      </c>
      <c r="F210" t="inlineStr">
        <is>
          <t>vessel-fit</t>
        </is>
      </c>
    </row>
    <row r="211">
      <c r="A211" t="inlineStr">
        <is>
          <t>Bypass - No Contemporaneous Proof</t>
        </is>
      </c>
      <c r="B211" t="inlineStr">
        <is>
          <t>2025-08-15</t>
        </is>
      </c>
      <c r="C211" t="inlineStr">
        <is>
          <t>OFR-2025-1155</t>
        </is>
      </c>
      <c r="D211" t="inlineStr">
        <is>
          <t>WL-03314</t>
        </is>
      </c>
      <c r="E211" t="inlineStr">
        <is>
          <t>LP-0319</t>
        </is>
      </c>
      <c r="F211" t="inlineStr">
        <is>
          <t>preference-mismatch</t>
        </is>
      </c>
    </row>
    <row r="212">
      <c r="A212" t="inlineStr">
        <is>
          <t>Bypass - No Contemporaneous Proof</t>
        </is>
      </c>
      <c r="B212" t="inlineStr">
        <is>
          <t>2025-08-14</t>
        </is>
      </c>
      <c r="C212" t="inlineStr">
        <is>
          <t>OFR-2025-1157</t>
        </is>
      </c>
      <c r="D212" t="inlineStr">
        <is>
          <t>WL-03134</t>
        </is>
      </c>
      <c r="E212" t="inlineStr">
        <is>
          <t>SB-0624</t>
        </is>
      </c>
      <c r="F212" t="inlineStr">
        <is>
          <t>vessel-fit</t>
        </is>
      </c>
    </row>
    <row r="213">
      <c r="A213" t="inlineStr">
        <is>
          <t>Bypass - No Contemporaneous Proof</t>
        </is>
      </c>
      <c r="B213" t="inlineStr">
        <is>
          <t>2025-08-08</t>
        </is>
      </c>
      <c r="C213" t="inlineStr">
        <is>
          <t>OFR-2025-1160</t>
        </is>
      </c>
      <c r="D213" t="inlineStr">
        <is>
          <t>WL-02912</t>
        </is>
      </c>
      <c r="E213" t="inlineStr">
        <is>
          <t>SB-0420</t>
        </is>
      </c>
      <c r="F213" t="inlineStr">
        <is>
          <t>preference-mismatch</t>
        </is>
      </c>
    </row>
    <row r="214">
      <c r="A214" t="inlineStr">
        <is>
          <t>Bypass - No Contemporaneous Proof</t>
        </is>
      </c>
      <c r="B214" t="inlineStr">
        <is>
          <t>2025-08-05</t>
        </is>
      </c>
      <c r="C214" t="inlineStr">
        <is>
          <t>OFR-2025-1164</t>
        </is>
      </c>
      <c r="D214" t="inlineStr">
        <is>
          <t>WL-02323</t>
        </is>
      </c>
      <c r="E214" t="inlineStr">
        <is>
          <t>EW-0118</t>
        </is>
      </c>
      <c r="F214" t="inlineStr">
        <is>
          <t>not-current</t>
        </is>
      </c>
    </row>
    <row r="215">
      <c r="A215" t="inlineStr">
        <is>
          <t>Bypass - No Contemporaneous Proof</t>
        </is>
      </c>
      <c r="B215" t="inlineStr">
        <is>
          <t>2025-08-03</t>
        </is>
      </c>
      <c r="C215" t="inlineStr">
        <is>
          <t>OFR-2025-1165</t>
        </is>
      </c>
      <c r="D215" t="inlineStr">
        <is>
          <t>WL-03481</t>
        </is>
      </c>
      <c r="E215" t="inlineStr">
        <is>
          <t>GW-0915</t>
        </is>
      </c>
      <c r="F215" t="inlineStr">
        <is>
          <t>vessel-fit</t>
        </is>
      </c>
    </row>
    <row r="216">
      <c r="A216" t="inlineStr">
        <is>
          <t>Bypass - No Contemporaneous Proof</t>
        </is>
      </c>
      <c r="B216" t="inlineStr">
        <is>
          <t>2025-08-28</t>
        </is>
      </c>
      <c r="C216" t="inlineStr">
        <is>
          <t>OFR-2025-1167</t>
        </is>
      </c>
      <c r="D216" t="inlineStr">
        <is>
          <t>WL-02838</t>
        </is>
      </c>
      <c r="E216" t="inlineStr">
        <is>
          <t>LP-0413</t>
        </is>
      </c>
      <c r="F216" t="inlineStr">
        <is>
          <t>declined-prior-offer</t>
        </is>
      </c>
    </row>
    <row r="217">
      <c r="A217" t="inlineStr">
        <is>
          <t>Bypass - No Contemporaneous Proof</t>
        </is>
      </c>
      <c r="B217" t="inlineStr">
        <is>
          <t>2025-08-28</t>
        </is>
      </c>
      <c r="C217" t="inlineStr">
        <is>
          <t>OFR-2025-1168</t>
        </is>
      </c>
      <c r="D217" t="inlineStr">
        <is>
          <t>WL-01617</t>
        </is>
      </c>
      <c r="E217" t="inlineStr">
        <is>
          <t>VB-0813</t>
        </is>
      </c>
      <c r="F217" t="inlineStr">
        <is>
          <t>vessel-fit</t>
        </is>
      </c>
    </row>
    <row r="218">
      <c r="A218" t="inlineStr">
        <is>
          <t>Bypass - No Contemporaneous Proof</t>
        </is>
      </c>
      <c r="B218" t="inlineStr">
        <is>
          <t>2025-08-19</t>
        </is>
      </c>
      <c r="C218" t="inlineStr">
        <is>
          <t>OFR-2025-1171</t>
        </is>
      </c>
      <c r="D218" t="inlineStr">
        <is>
          <t>WL-01843</t>
        </is>
      </c>
      <c r="E218" t="inlineStr">
        <is>
          <t>SB-0109</t>
        </is>
      </c>
      <c r="F218" t="inlineStr">
        <is>
          <t>preference-mismatch</t>
        </is>
      </c>
    </row>
    <row r="219">
      <c r="A219" t="inlineStr">
        <is>
          <t>Bypass - No Contemporaneous Proof</t>
        </is>
      </c>
      <c r="B219" t="inlineStr">
        <is>
          <t>2025-09-17</t>
        </is>
      </c>
      <c r="C219" t="inlineStr">
        <is>
          <t>OFR-2025-1181</t>
        </is>
      </c>
      <c r="D219" t="inlineStr">
        <is>
          <t>WL-01715</t>
        </is>
      </c>
      <c r="E219" t="inlineStr">
        <is>
          <t>GW-0216</t>
        </is>
      </c>
      <c r="F219" t="inlineStr">
        <is>
          <t>vessel-fit</t>
        </is>
      </c>
    </row>
    <row r="220">
      <c r="A220" t="inlineStr">
        <is>
          <t>Bypass - No Contemporaneous Proof</t>
        </is>
      </c>
      <c r="B220" t="inlineStr">
        <is>
          <t>2025-09-03</t>
        </is>
      </c>
      <c r="C220" t="inlineStr">
        <is>
          <t>OFR-2025-1182</t>
        </is>
      </c>
      <c r="D220" t="inlineStr">
        <is>
          <t>WL-01334</t>
        </is>
      </c>
      <c r="E220" t="inlineStr">
        <is>
          <t>LP-0514</t>
        </is>
      </c>
      <c r="F220" t="inlineStr">
        <is>
          <t>not-current</t>
        </is>
      </c>
    </row>
    <row r="221">
      <c r="A221" t="inlineStr">
        <is>
          <t>Bypass - No Contemporaneous Proof</t>
        </is>
      </c>
      <c r="B221" t="inlineStr">
        <is>
          <t>2025-09-17</t>
        </is>
      </c>
      <c r="C221" t="inlineStr">
        <is>
          <t>OFR-2025-1185</t>
        </is>
      </c>
      <c r="D221" t="inlineStr">
        <is>
          <t>WL-02428</t>
        </is>
      </c>
      <c r="E221" t="inlineStr">
        <is>
          <t>SB-0109</t>
        </is>
      </c>
      <c r="F221" t="inlineStr">
        <is>
          <t>vessel-fit</t>
        </is>
      </c>
    </row>
    <row r="222">
      <c r="A222" t="inlineStr">
        <is>
          <t>Bypass - No Contemporaneous Proof</t>
        </is>
      </c>
      <c r="B222" t="inlineStr">
        <is>
          <t>2025-09-22</t>
        </is>
      </c>
      <c r="C222" t="inlineStr">
        <is>
          <t>OFR-2025-1188</t>
        </is>
      </c>
      <c r="D222" t="inlineStr">
        <is>
          <t>WL-03861</t>
        </is>
      </c>
      <c r="E222" t="inlineStr">
        <is>
          <t>VB-0123</t>
        </is>
      </c>
      <c r="F222" t="inlineStr">
        <is>
          <t>not-current</t>
        </is>
      </c>
    </row>
    <row r="223">
      <c r="A223" t="inlineStr">
        <is>
          <t>Bypass - No Contemporaneous Proof</t>
        </is>
      </c>
      <c r="B223" t="inlineStr">
        <is>
          <t>2025-09-20</t>
        </is>
      </c>
      <c r="C223" t="inlineStr">
        <is>
          <t>OFR-2025-1189</t>
        </is>
      </c>
      <c r="D223" t="inlineStr">
        <is>
          <t>WL-02153</t>
        </is>
      </c>
      <c r="E223" t="inlineStr">
        <is>
          <t>LP-0113</t>
        </is>
      </c>
      <c r="F223" t="inlineStr">
        <is>
          <t>preference-mismatch</t>
        </is>
      </c>
    </row>
    <row r="224">
      <c r="A224" t="inlineStr">
        <is>
          <t>Bypass - No Contemporaneous Proof</t>
        </is>
      </c>
      <c r="B224" t="inlineStr">
        <is>
          <t>2025-09-23</t>
        </is>
      </c>
      <c r="C224" t="inlineStr">
        <is>
          <t>OFR-2025-1195</t>
        </is>
      </c>
      <c r="D224" t="inlineStr">
        <is>
          <t>WL-02445</t>
        </is>
      </c>
      <c r="E224" t="inlineStr">
        <is>
          <t>SB-0222</t>
        </is>
      </c>
      <c r="F224" t="inlineStr">
        <is>
          <t>vessel-fit</t>
        </is>
      </c>
    </row>
    <row r="225">
      <c r="A225" t="inlineStr">
        <is>
          <t>Bypass - No Contemporaneous Proof</t>
        </is>
      </c>
      <c r="B225" t="inlineStr">
        <is>
          <t>2025-09-19</t>
        </is>
      </c>
      <c r="C225" t="inlineStr">
        <is>
          <t>OFR-2025-1197</t>
        </is>
      </c>
      <c r="D225" t="inlineStr">
        <is>
          <t>WL-02890</t>
        </is>
      </c>
      <c r="E225" t="inlineStr">
        <is>
          <t>EW-0716</t>
        </is>
      </c>
      <c r="F225" t="inlineStr">
        <is>
          <t>not-current</t>
        </is>
      </c>
    </row>
    <row r="226">
      <c r="A226" t="inlineStr">
        <is>
          <t>Bypass - No Contemporaneous Proof</t>
        </is>
      </c>
      <c r="B226" t="inlineStr">
        <is>
          <t>2025-09-20</t>
        </is>
      </c>
      <c r="C226" t="inlineStr">
        <is>
          <t>OFR-2025-1199</t>
        </is>
      </c>
      <c r="D226" t="inlineStr">
        <is>
          <t>WL-01913</t>
        </is>
      </c>
      <c r="E226" t="inlineStr">
        <is>
          <t>EW-0819</t>
        </is>
      </c>
      <c r="F226" t="inlineStr">
        <is>
          <t>preference-mismatch</t>
        </is>
      </c>
    </row>
    <row r="227">
      <c r="A227" t="inlineStr">
        <is>
          <t>Bypass - No Contemporaneous Proof</t>
        </is>
      </c>
      <c r="B227" t="inlineStr">
        <is>
          <t>2025-09-09</t>
        </is>
      </c>
      <c r="C227" t="inlineStr">
        <is>
          <t>OFR-2025-1201</t>
        </is>
      </c>
      <c r="D227" t="inlineStr">
        <is>
          <t>WL-02167</t>
        </is>
      </c>
      <c r="E227" t="inlineStr">
        <is>
          <t>VB-0304</t>
        </is>
      </c>
      <c r="F227" t="inlineStr">
        <is>
          <t>vessel-fit</t>
        </is>
      </c>
    </row>
    <row r="228">
      <c r="A228" t="inlineStr">
        <is>
          <t>Bypass - No Contemporaneous Proof</t>
        </is>
      </c>
      <c r="B228" t="inlineStr">
        <is>
          <t>2025-09-11</t>
        </is>
      </c>
      <c r="C228" t="inlineStr">
        <is>
          <t>OFR-2025-1207</t>
        </is>
      </c>
      <c r="D228" t="inlineStr">
        <is>
          <t>WL-03865</t>
        </is>
      </c>
      <c r="E228" t="inlineStr">
        <is>
          <t>SB-0106</t>
        </is>
      </c>
      <c r="F228" t="inlineStr">
        <is>
          <t>declined-prior-offer</t>
        </is>
      </c>
    </row>
    <row r="229">
      <c r="A229" t="inlineStr">
        <is>
          <t>Bypass - No Contemporaneous Proof</t>
        </is>
      </c>
      <c r="B229" t="inlineStr">
        <is>
          <t>2025-09-05</t>
        </is>
      </c>
      <c r="C229" t="inlineStr">
        <is>
          <t>OFR-2025-1208</t>
        </is>
      </c>
      <c r="D229" t="inlineStr">
        <is>
          <t>WL-02002</t>
        </is>
      </c>
      <c r="E229" t="inlineStr">
        <is>
          <t>LP-0822</t>
        </is>
      </c>
      <c r="F229" t="inlineStr">
        <is>
          <t>not-current</t>
        </is>
      </c>
    </row>
    <row r="230">
      <c r="A230" t="inlineStr">
        <is>
          <t>Bypass - No Contemporaneous Proof</t>
        </is>
      </c>
      <c r="B230" t="inlineStr">
        <is>
          <t>2025-10-26</t>
        </is>
      </c>
      <c r="C230" t="inlineStr">
        <is>
          <t>OFR-2025-1212</t>
        </is>
      </c>
      <c r="D230" t="inlineStr">
        <is>
          <t>WL-02284</t>
        </is>
      </c>
      <c r="E230" t="inlineStr">
        <is>
          <t>SB-0801</t>
        </is>
      </c>
      <c r="F230" t="inlineStr">
        <is>
          <t>vessel-fit</t>
        </is>
      </c>
    </row>
    <row r="231">
      <c r="A231" t="inlineStr">
        <is>
          <t>Bypass - No Contemporaneous Proof</t>
        </is>
      </c>
      <c r="B231" t="inlineStr">
        <is>
          <t>2025-10-28</t>
        </is>
      </c>
      <c r="C231" t="inlineStr">
        <is>
          <t>OFR-2025-1215</t>
        </is>
      </c>
      <c r="D231" t="inlineStr">
        <is>
          <t>WL-02187</t>
        </is>
      </c>
      <c r="E231" t="inlineStr">
        <is>
          <t>SB-0806</t>
        </is>
      </c>
      <c r="F231" t="inlineStr">
        <is>
          <t>vessel-fit</t>
        </is>
      </c>
    </row>
    <row r="232">
      <c r="A232" t="inlineStr">
        <is>
          <t>Bypass - No Contemporaneous Proof</t>
        </is>
      </c>
      <c r="B232" t="inlineStr">
        <is>
          <t>2025-10-03</t>
        </is>
      </c>
      <c r="C232" t="inlineStr">
        <is>
          <t>OFR-2025-1218</t>
        </is>
      </c>
      <c r="D232" t="inlineStr">
        <is>
          <t>WL-03750</t>
        </is>
      </c>
      <c r="E232" t="inlineStr">
        <is>
          <t>GW-0622</t>
        </is>
      </c>
      <c r="F232" t="inlineStr">
        <is>
          <t>vessel-fit</t>
        </is>
      </c>
    </row>
    <row r="233">
      <c r="A233" t="inlineStr">
        <is>
          <t>Bypass - No Contemporaneous Proof</t>
        </is>
      </c>
      <c r="B233" t="inlineStr">
        <is>
          <t>2025-10-26</t>
        </is>
      </c>
      <c r="C233" t="inlineStr">
        <is>
          <t>OFR-2025-1219</t>
        </is>
      </c>
      <c r="D233" t="inlineStr">
        <is>
          <t>WL-03857</t>
        </is>
      </c>
      <c r="E233" t="inlineStr">
        <is>
          <t>LP-0705</t>
        </is>
      </c>
      <c r="F233" t="inlineStr">
        <is>
          <t>not-current</t>
        </is>
      </c>
    </row>
    <row r="234">
      <c r="A234" t="inlineStr">
        <is>
          <t>Bypass - No Contemporaneous Proof</t>
        </is>
      </c>
      <c r="B234" t="inlineStr">
        <is>
          <t>2025-10-23</t>
        </is>
      </c>
      <c r="C234" t="inlineStr">
        <is>
          <t>OFR-2025-1225</t>
        </is>
      </c>
      <c r="D234" t="inlineStr">
        <is>
          <t>WL-01645</t>
        </is>
      </c>
      <c r="E234" t="inlineStr">
        <is>
          <t>GW-1020</t>
        </is>
      </c>
      <c r="F234" t="inlineStr">
        <is>
          <t>declined-prior-offer</t>
        </is>
      </c>
    </row>
    <row r="235">
      <c r="A235" t="inlineStr">
        <is>
          <t>Bypass - No Contemporaneous Proof</t>
        </is>
      </c>
      <c r="B235" t="inlineStr">
        <is>
          <t>2025-10-11</t>
        </is>
      </c>
      <c r="C235" t="inlineStr">
        <is>
          <t>OFR-2025-1230</t>
        </is>
      </c>
      <c r="D235" t="inlineStr">
        <is>
          <t>WL-01089</t>
        </is>
      </c>
      <c r="E235" t="inlineStr">
        <is>
          <t>SB-0115</t>
        </is>
      </c>
      <c r="F235" t="inlineStr">
        <is>
          <t>vessel-fit</t>
        </is>
      </c>
    </row>
    <row r="236">
      <c r="A236" t="inlineStr">
        <is>
          <t>Bypass - No Contemporaneous Proof</t>
        </is>
      </c>
      <c r="B236" t="inlineStr">
        <is>
          <t>2025-10-13</t>
        </is>
      </c>
      <c r="C236" t="inlineStr">
        <is>
          <t>OFR-2025-1233</t>
        </is>
      </c>
      <c r="D236" t="inlineStr">
        <is>
          <t>WL-01128</t>
        </is>
      </c>
      <c r="E236" t="inlineStr">
        <is>
          <t>LP-0504</t>
        </is>
      </c>
      <c r="F236" t="inlineStr">
        <is>
          <t>declined-prior-offer</t>
        </is>
      </c>
    </row>
    <row r="237">
      <c r="A237" t="inlineStr">
        <is>
          <t>Bypass - No Contemporaneous Proof</t>
        </is>
      </c>
      <c r="B237" t="inlineStr">
        <is>
          <t>2025-10-02</t>
        </is>
      </c>
      <c r="C237" t="inlineStr">
        <is>
          <t>OFR-2025-1240</t>
        </is>
      </c>
      <c r="D237" t="inlineStr">
        <is>
          <t>WL-02676</t>
        </is>
      </c>
      <c r="E237" t="inlineStr">
        <is>
          <t>EW-0124</t>
        </is>
      </c>
      <c r="F237" t="inlineStr">
        <is>
          <t>vessel-fit</t>
        </is>
      </c>
    </row>
    <row r="238">
      <c r="A238" t="inlineStr">
        <is>
          <t>Bypass - No Contemporaneous Proof</t>
        </is>
      </c>
      <c r="B238" t="inlineStr">
        <is>
          <t>2025-10-07</t>
        </is>
      </c>
      <c r="C238" t="inlineStr">
        <is>
          <t>OFR-2025-1246</t>
        </is>
      </c>
      <c r="D238" t="inlineStr">
        <is>
          <t>WL-03455</t>
        </is>
      </c>
      <c r="E238" t="inlineStr">
        <is>
          <t>SB-0402</t>
        </is>
      </c>
      <c r="F238" t="inlineStr">
        <is>
          <t>vessel-fit</t>
        </is>
      </c>
    </row>
    <row r="239">
      <c r="A239" t="inlineStr">
        <is>
          <t>Bypass - No Contemporaneous Proof</t>
        </is>
      </c>
      <c r="B239" t="inlineStr">
        <is>
          <t>2025-10-13</t>
        </is>
      </c>
      <c r="C239" t="inlineStr">
        <is>
          <t>OFR-2025-1247</t>
        </is>
      </c>
      <c r="D239" t="inlineStr">
        <is>
          <t>WL-02711</t>
        </is>
      </c>
      <c r="E239" t="inlineStr">
        <is>
          <t>LP-0215</t>
        </is>
      </c>
      <c r="F239" t="inlineStr">
        <is>
          <t>declined-prior-offer</t>
        </is>
      </c>
    </row>
    <row r="240">
      <c r="A240" t="inlineStr">
        <is>
          <t>Bypass - No Contemporaneous Proof</t>
        </is>
      </c>
      <c r="B240" t="inlineStr">
        <is>
          <t>2025-10-13</t>
        </is>
      </c>
      <c r="C240" t="inlineStr">
        <is>
          <t>OFR-2025-1249</t>
        </is>
      </c>
      <c r="D240" t="inlineStr">
        <is>
          <t>WL-02448</t>
        </is>
      </c>
      <c r="E240" t="inlineStr">
        <is>
          <t>LP-0908</t>
        </is>
      </c>
      <c r="F240" t="inlineStr">
        <is>
          <t>vessel-fit</t>
        </is>
      </c>
    </row>
    <row r="241">
      <c r="A241" t="inlineStr">
        <is>
          <t>Bypass - No Contemporaneous Proof</t>
        </is>
      </c>
      <c r="B241" t="inlineStr">
        <is>
          <t>2025-11-27</t>
        </is>
      </c>
      <c r="C241" t="inlineStr">
        <is>
          <t>OFR-2025-1253</t>
        </is>
      </c>
      <c r="D241" t="inlineStr">
        <is>
          <t>WL-01264</t>
        </is>
      </c>
      <c r="E241" t="inlineStr">
        <is>
          <t>SB-0623</t>
        </is>
      </c>
      <c r="F241" t="inlineStr">
        <is>
          <t>vessel-fit</t>
        </is>
      </c>
    </row>
    <row r="242">
      <c r="A242" t="inlineStr">
        <is>
          <t>Bypass - No Contemporaneous Proof</t>
        </is>
      </c>
      <c r="B242" t="inlineStr">
        <is>
          <t>2025-11-17</t>
        </is>
      </c>
      <c r="C242" t="inlineStr">
        <is>
          <t>OFR-2025-1258</t>
        </is>
      </c>
      <c r="D242" t="inlineStr">
        <is>
          <t>WL-02404</t>
        </is>
      </c>
      <c r="E242" t="inlineStr">
        <is>
          <t>VB-0201</t>
        </is>
      </c>
      <c r="F242" t="inlineStr">
        <is>
          <t>not-current</t>
        </is>
      </c>
    </row>
    <row r="243">
      <c r="A243" t="inlineStr">
        <is>
          <t>Bypass - No Contemporaneous Proof</t>
        </is>
      </c>
      <c r="B243" t="inlineStr">
        <is>
          <t>2025-12-15</t>
        </is>
      </c>
      <c r="C243" t="inlineStr">
        <is>
          <t>OFR-2025-1265</t>
        </is>
      </c>
      <c r="D243" t="inlineStr">
        <is>
          <t>WL-01776</t>
        </is>
      </c>
      <c r="E243" t="inlineStr">
        <is>
          <t>GW-0419</t>
        </is>
      </c>
      <c r="F243" t="inlineStr">
        <is>
          <t>not-current</t>
        </is>
      </c>
    </row>
    <row r="244">
      <c r="A244" t="inlineStr">
        <is>
          <t>Bypass - No Contemporaneous Proof</t>
        </is>
      </c>
      <c r="B244" t="inlineStr">
        <is>
          <t>2025-12-26</t>
        </is>
      </c>
      <c r="C244" t="inlineStr">
        <is>
          <t>OFR-2025-1276</t>
        </is>
      </c>
      <c r="D244" t="inlineStr">
        <is>
          <t>WL-02991</t>
        </is>
      </c>
      <c r="E244" t="inlineStr">
        <is>
          <t>SB-0408</t>
        </is>
      </c>
      <c r="F244" t="inlineStr">
        <is>
          <t>vessel-fit</t>
        </is>
      </c>
    </row>
    <row r="245">
      <c r="A245" t="inlineStr">
        <is>
          <t>Bypass - No Contemporaneous Proof</t>
        </is>
      </c>
      <c r="B245" t="inlineStr">
        <is>
          <t>2026-01-13</t>
        </is>
      </c>
      <c r="C245" t="inlineStr">
        <is>
          <t>OFR-2026-1278</t>
        </is>
      </c>
      <c r="D245" t="inlineStr">
        <is>
          <t>WL-03011</t>
        </is>
      </c>
      <c r="E245" t="inlineStr">
        <is>
          <t>SB-0719</t>
        </is>
      </c>
      <c r="F245" t="inlineStr">
        <is>
          <t>vessel-fit</t>
        </is>
      </c>
    </row>
    <row r="246">
      <c r="A246" t="inlineStr">
        <is>
          <t>Bypass - No Contemporaneous Proof</t>
        </is>
      </c>
      <c r="B246" t="inlineStr">
        <is>
          <t>2026-01-13</t>
        </is>
      </c>
      <c r="C246" t="inlineStr">
        <is>
          <t>OFR-2026-1279</t>
        </is>
      </c>
      <c r="D246" t="inlineStr">
        <is>
          <t>WL-01368</t>
        </is>
      </c>
      <c r="E246" t="inlineStr">
        <is>
          <t>EW-0813</t>
        </is>
      </c>
      <c r="F246" t="inlineStr">
        <is>
          <t>preference-mismatch</t>
        </is>
      </c>
    </row>
    <row r="247">
      <c r="A247" t="inlineStr">
        <is>
          <t>Bypass - No Contemporaneous Proof</t>
        </is>
      </c>
      <c r="B247" t="inlineStr">
        <is>
          <t>2026-01-21</t>
        </is>
      </c>
      <c r="C247" t="inlineStr">
        <is>
          <t>OFR-2026-1280</t>
        </is>
      </c>
      <c r="D247" t="inlineStr">
        <is>
          <t>WL-01435</t>
        </is>
      </c>
      <c r="E247" t="inlineStr">
        <is>
          <t>GW-0708</t>
        </is>
      </c>
      <c r="F247" t="inlineStr">
        <is>
          <t>not-current</t>
        </is>
      </c>
    </row>
    <row r="248">
      <c r="A248" t="inlineStr">
        <is>
          <t>Bypass - No Contemporaneous Proof</t>
        </is>
      </c>
      <c r="B248" t="inlineStr">
        <is>
          <t>2026-01-27</t>
        </is>
      </c>
      <c r="C248" t="inlineStr">
        <is>
          <t>OFR-2026-1283</t>
        </is>
      </c>
      <c r="D248" t="inlineStr">
        <is>
          <t>WL-03197</t>
        </is>
      </c>
      <c r="E248" t="inlineStr">
        <is>
          <t>LP-1109</t>
        </is>
      </c>
      <c r="F248" t="inlineStr">
        <is>
          <t>declined-prior-offer</t>
        </is>
      </c>
    </row>
    <row r="249">
      <c r="A249" t="inlineStr">
        <is>
          <t>Bypass - No Contemporaneous Proof</t>
        </is>
      </c>
      <c r="B249" t="inlineStr">
        <is>
          <t>2026-01-01</t>
        </is>
      </c>
      <c r="C249" t="inlineStr">
        <is>
          <t>OFR-2026-1284</t>
        </is>
      </c>
      <c r="D249" t="inlineStr">
        <is>
          <t>WL-01558</t>
        </is>
      </c>
      <c r="E249" t="inlineStr">
        <is>
          <t>EW-0421</t>
        </is>
      </c>
      <c r="F249" t="inlineStr">
        <is>
          <t>vessel-fit</t>
        </is>
      </c>
    </row>
    <row r="250">
      <c r="A250" t="inlineStr">
        <is>
          <t>Bypass - No Contemporaneous Proof</t>
        </is>
      </c>
      <c r="B250" t="inlineStr">
        <is>
          <t>2026-01-01</t>
        </is>
      </c>
      <c r="C250" t="inlineStr">
        <is>
          <t>OFR-2026-1285</t>
        </is>
      </c>
      <c r="D250" t="inlineStr">
        <is>
          <t>WL-03054</t>
        </is>
      </c>
      <c r="E250" t="inlineStr">
        <is>
          <t>VB-0224</t>
        </is>
      </c>
      <c r="F250" t="inlineStr">
        <is>
          <t>vessel-fit</t>
        </is>
      </c>
    </row>
    <row r="251">
      <c r="A251" t="inlineStr">
        <is>
          <t>Bypass - No Contemporaneous Proof</t>
        </is>
      </c>
      <c r="B251" t="inlineStr">
        <is>
          <t>2026-02-22</t>
        </is>
      </c>
      <c r="C251" t="inlineStr">
        <is>
          <t>OFR-2026-1291</t>
        </is>
      </c>
      <c r="D251" t="inlineStr">
        <is>
          <t>WL-03817</t>
        </is>
      </c>
      <c r="E251" t="inlineStr">
        <is>
          <t>SB-0907</t>
        </is>
      </c>
      <c r="F251" t="inlineStr">
        <is>
          <t>vessel-fit</t>
        </is>
      </c>
    </row>
    <row r="252">
      <c r="A252" t="inlineStr">
        <is>
          <t>Bypass - No Contemporaneous Proof</t>
        </is>
      </c>
      <c r="B252" t="inlineStr">
        <is>
          <t>2026-02-27</t>
        </is>
      </c>
      <c r="C252" t="inlineStr">
        <is>
          <t>OFR-2026-1297</t>
        </is>
      </c>
      <c r="D252" t="inlineStr">
        <is>
          <t>WL-03653</t>
        </is>
      </c>
      <c r="E252" t="inlineStr">
        <is>
          <t>LP-0614</t>
        </is>
      </c>
      <c r="F252" t="inlineStr">
        <is>
          <t>vessel-fit</t>
        </is>
      </c>
    </row>
    <row r="253">
      <c r="A253" t="inlineStr">
        <is>
          <t>Bypass - No Contemporaneous Proof</t>
        </is>
      </c>
      <c r="B253" t="inlineStr">
        <is>
          <t>2026-02-14</t>
        </is>
      </c>
      <c r="C253" t="inlineStr">
        <is>
          <t>OFR-2026-1298</t>
        </is>
      </c>
      <c r="D253" t="inlineStr">
        <is>
          <t>WL-01605</t>
        </is>
      </c>
      <c r="E253" t="inlineStr">
        <is>
          <t>VB-0912</t>
        </is>
      </c>
      <c r="F253" t="inlineStr">
        <is>
          <t>preference-mismatch</t>
        </is>
      </c>
    </row>
    <row r="254">
      <c r="A254" t="inlineStr">
        <is>
          <t>Bypass - No Contemporaneous Proof</t>
        </is>
      </c>
      <c r="B254" t="inlineStr">
        <is>
          <t>2026-02-22</t>
        </is>
      </c>
      <c r="C254" t="inlineStr">
        <is>
          <t>OFR-2026-1299</t>
        </is>
      </c>
      <c r="D254" t="inlineStr">
        <is>
          <t>WL-01550</t>
        </is>
      </c>
      <c r="E254" t="inlineStr">
        <is>
          <t>EW-1015</t>
        </is>
      </c>
      <c r="F254" t="inlineStr">
        <is>
          <t>vessel-fit</t>
        </is>
      </c>
    </row>
    <row r="255">
      <c r="A255" t="inlineStr">
        <is>
          <t>Bypass - No Contemporaneous Proof</t>
        </is>
      </c>
      <c r="B255" t="inlineStr">
        <is>
          <t>2026-02-22</t>
        </is>
      </c>
      <c r="C255" t="inlineStr">
        <is>
          <t>OFR-2026-1305</t>
        </is>
      </c>
      <c r="D255" t="inlineStr">
        <is>
          <t>WL-02930</t>
        </is>
      </c>
      <c r="E255" t="inlineStr">
        <is>
          <t>LP-0915</t>
        </is>
      </c>
      <c r="F255" t="inlineStr">
        <is>
          <t>declined-prior-offer</t>
        </is>
      </c>
    </row>
    <row r="256">
      <c r="A256" t="inlineStr">
        <is>
          <t>Bypass - No Contemporaneous Proof</t>
        </is>
      </c>
      <c r="B256" t="inlineStr">
        <is>
          <t>2026-02-07</t>
        </is>
      </c>
      <c r="C256" t="inlineStr">
        <is>
          <t>OFR-2026-1306</t>
        </is>
      </c>
      <c r="D256" t="inlineStr">
        <is>
          <t>WL-03816</t>
        </is>
      </c>
      <c r="E256" t="inlineStr">
        <is>
          <t>EW-0804</t>
        </is>
      </c>
      <c r="F256" t="inlineStr">
        <is>
          <t>vessel-fit</t>
        </is>
      </c>
    </row>
    <row r="257">
      <c r="A257" t="inlineStr">
        <is>
          <t>Bypass - No Contemporaneous Proof</t>
        </is>
      </c>
      <c r="B257" t="inlineStr">
        <is>
          <t>2026-03-12</t>
        </is>
      </c>
      <c r="C257" t="inlineStr">
        <is>
          <t>OFR-2026-1310</t>
        </is>
      </c>
      <c r="D257" t="inlineStr">
        <is>
          <t>WL-01038</t>
        </is>
      </c>
      <c r="E257" t="inlineStr">
        <is>
          <t>GW-0105</t>
        </is>
      </c>
      <c r="F257" t="inlineStr">
        <is>
          <t>not-current</t>
        </is>
      </c>
    </row>
    <row r="258">
      <c r="A258" t="inlineStr">
        <is>
          <t>Bypass - No Contemporaneous Proof</t>
        </is>
      </c>
      <c r="B258" t="inlineStr">
        <is>
          <t>2026-03-15</t>
        </is>
      </c>
      <c r="C258" t="inlineStr">
        <is>
          <t>OFR-2026-1321</t>
        </is>
      </c>
      <c r="D258" t="inlineStr">
        <is>
          <t>WL-02306</t>
        </is>
      </c>
      <c r="E258" t="inlineStr">
        <is>
          <t>SB-0709</t>
        </is>
      </c>
      <c r="F258" t="inlineStr">
        <is>
          <t>not-current</t>
        </is>
      </c>
    </row>
    <row r="259">
      <c r="A259" t="inlineStr">
        <is>
          <t>Bypass - No Contemporaneous Proof</t>
        </is>
      </c>
      <c r="B259" t="inlineStr">
        <is>
          <t>2026-03-26</t>
        </is>
      </c>
      <c r="C259" t="inlineStr">
        <is>
          <t>OFR-2026-1322</t>
        </is>
      </c>
      <c r="D259" t="inlineStr">
        <is>
          <t>WL-01139</t>
        </is>
      </c>
      <c r="E259" t="inlineStr">
        <is>
          <t>GW-0314</t>
        </is>
      </c>
      <c r="F259" t="inlineStr">
        <is>
          <t>vessel-fit</t>
        </is>
      </c>
    </row>
    <row r="260">
      <c r="A260" t="inlineStr">
        <is>
          <t>Bypass - No Contemporaneous Proof</t>
        </is>
      </c>
      <c r="B260" t="inlineStr">
        <is>
          <t>2026-03-13</t>
        </is>
      </c>
      <c r="C260" t="inlineStr">
        <is>
          <t>OFR-2026-1323</t>
        </is>
      </c>
      <c r="D260" t="inlineStr">
        <is>
          <t>WL-03279</t>
        </is>
      </c>
      <c r="E260" t="inlineStr">
        <is>
          <t>EW-0916</t>
        </is>
      </c>
      <c r="F260" t="inlineStr">
        <is>
          <t>vessel-fit</t>
        </is>
      </c>
    </row>
    <row r="261">
      <c r="A261" t="inlineStr">
        <is>
          <t>Bypass - No Contemporaneous Proof</t>
        </is>
      </c>
      <c r="B261" t="inlineStr">
        <is>
          <t>2026-03-26</t>
        </is>
      </c>
      <c r="C261" t="inlineStr">
        <is>
          <t>OFR-2026-1327</t>
        </is>
      </c>
      <c r="D261" t="inlineStr">
        <is>
          <t>WL-03305</t>
        </is>
      </c>
      <c r="E261" t="inlineStr">
        <is>
          <t>GW-0509</t>
        </is>
      </c>
      <c r="F261" t="inlineStr">
        <is>
          <t>declined-prior-offer</t>
        </is>
      </c>
    </row>
    <row r="262">
      <c r="A262" t="inlineStr">
        <is>
          <t>Bypass - No Contemporaneous Proof</t>
        </is>
      </c>
      <c r="B262" t="inlineStr">
        <is>
          <t>2026-03-18</t>
        </is>
      </c>
      <c r="C262" t="inlineStr">
        <is>
          <t>OFR-2026-1328</t>
        </is>
      </c>
      <c r="D262" t="inlineStr">
        <is>
          <t>WL-02417</t>
        </is>
      </c>
      <c r="E262" t="inlineStr">
        <is>
          <t>GW-0323</t>
        </is>
      </c>
      <c r="F262" t="inlineStr">
        <is>
          <t>declined-prior-offer</t>
        </is>
      </c>
    </row>
    <row r="263">
      <c r="A263" t="inlineStr">
        <is>
          <t>Bypass - No Contemporaneous Proof</t>
        </is>
      </c>
      <c r="B263" t="inlineStr">
        <is>
          <t>2026-04-01</t>
        </is>
      </c>
      <c r="C263" t="inlineStr">
        <is>
          <t>OFR-2026-1330</t>
        </is>
      </c>
      <c r="D263" t="inlineStr">
        <is>
          <t>WL-01084</t>
        </is>
      </c>
      <c r="E263" t="inlineStr">
        <is>
          <t>SB-0419</t>
        </is>
      </c>
      <c r="F263" t="inlineStr">
        <is>
          <t>declined-prior-offer</t>
        </is>
      </c>
    </row>
    <row r="264">
      <c r="A264" t="inlineStr">
        <is>
          <t>Bypass - No Contemporaneous Proof</t>
        </is>
      </c>
      <c r="B264" t="inlineStr">
        <is>
          <t>2026-04-05</t>
        </is>
      </c>
      <c r="C264" t="inlineStr">
        <is>
          <t>OFR-2026-1332</t>
        </is>
      </c>
      <c r="D264" t="inlineStr">
        <is>
          <t>WL-03306</t>
        </is>
      </c>
      <c r="E264" t="inlineStr">
        <is>
          <t>SB-0307</t>
        </is>
      </c>
      <c r="F264" t="inlineStr">
        <is>
          <t>declined-prior-offer</t>
        </is>
      </c>
    </row>
    <row r="265">
      <c r="A265" t="inlineStr">
        <is>
          <t>Bypass - No Contemporaneous Proof</t>
        </is>
      </c>
      <c r="B265" t="inlineStr">
        <is>
          <t>2026-04-04</t>
        </is>
      </c>
      <c r="C265" t="inlineStr">
        <is>
          <t>OFR-2026-1333</t>
        </is>
      </c>
      <c r="D265" t="inlineStr">
        <is>
          <t>WL-01283</t>
        </is>
      </c>
      <c r="E265" t="inlineStr">
        <is>
          <t>SB-0911</t>
        </is>
      </c>
      <c r="F265" t="inlineStr">
        <is>
          <t>vessel-fit</t>
        </is>
      </c>
    </row>
    <row r="266">
      <c r="A266" t="inlineStr">
        <is>
          <t>Bypass - No Contemporaneous Proof</t>
        </is>
      </c>
      <c r="B266" t="inlineStr">
        <is>
          <t>2026-04-01</t>
        </is>
      </c>
      <c r="C266" t="inlineStr">
        <is>
          <t>OFR-2026-1335</t>
        </is>
      </c>
      <c r="D266" t="inlineStr">
        <is>
          <t>WL-02766</t>
        </is>
      </c>
      <c r="E266" t="inlineStr">
        <is>
          <t>SB-0908</t>
        </is>
      </c>
      <c r="F266" t="inlineStr">
        <is>
          <t>not-current</t>
        </is>
      </c>
    </row>
    <row r="267">
      <c r="A267" t="inlineStr">
        <is>
          <t>Bypass - No Contemporaneous Proof</t>
        </is>
      </c>
      <c r="B267" t="inlineStr">
        <is>
          <t>2026-04-05</t>
        </is>
      </c>
      <c r="C267" t="inlineStr">
        <is>
          <t>OFR-2026-1337</t>
        </is>
      </c>
      <c r="D267" t="inlineStr">
        <is>
          <t>WL-03088</t>
        </is>
      </c>
      <c r="E267" t="inlineStr">
        <is>
          <t>SB-0213</t>
        </is>
      </c>
      <c r="F267" t="inlineStr">
        <is>
          <t>declined-prior-offer</t>
        </is>
      </c>
    </row>
    <row r="268">
      <c r="A268" t="inlineStr">
        <is>
          <t>Bypass - No Contemporaneous Proof</t>
        </is>
      </c>
      <c r="B268" t="inlineStr">
        <is>
          <t>2026-04-12</t>
        </is>
      </c>
      <c r="C268" t="inlineStr">
        <is>
          <t>OFR-2026-1339</t>
        </is>
      </c>
      <c r="D268" t="inlineStr">
        <is>
          <t>WL-03139</t>
        </is>
      </c>
      <c r="E268" t="inlineStr">
        <is>
          <t>GW-0601</t>
        </is>
      </c>
      <c r="F268" t="inlineStr">
        <is>
          <t>declined-prior-offer</t>
        </is>
      </c>
    </row>
    <row r="269">
      <c r="A269" t="inlineStr">
        <is>
          <t>Bypass - No Contemporaneous Proof</t>
        </is>
      </c>
      <c r="B269" t="inlineStr">
        <is>
          <t>2026-04-13</t>
        </is>
      </c>
      <c r="C269" t="inlineStr">
        <is>
          <t>OFR-2026-1344</t>
        </is>
      </c>
      <c r="D269" t="inlineStr">
        <is>
          <t>WL-02120</t>
        </is>
      </c>
      <c r="E269" t="inlineStr">
        <is>
          <t>LP-0312</t>
        </is>
      </c>
      <c r="F269" t="inlineStr">
        <is>
          <t>vessel-fit</t>
        </is>
      </c>
    </row>
    <row r="270">
      <c r="A270" t="inlineStr">
        <is>
          <t>Bypass - No Contemporaneous Proof</t>
        </is>
      </c>
      <c r="B270" t="inlineStr">
        <is>
          <t>2026-04-06</t>
        </is>
      </c>
      <c r="C270" t="inlineStr">
        <is>
          <t>OFR-2026-1345</t>
        </is>
      </c>
      <c r="D270" t="inlineStr">
        <is>
          <t>WL-02353</t>
        </is>
      </c>
      <c r="E270" t="inlineStr">
        <is>
          <t>LP-0601</t>
        </is>
      </c>
      <c r="F270" t="inlineStr">
        <is>
          <t>preference-mismatch</t>
        </is>
      </c>
    </row>
    <row r="271">
      <c r="A271" t="inlineStr">
        <is>
          <t>Bypass - No Contemporaneous Proof</t>
        </is>
      </c>
      <c r="B271" t="inlineStr">
        <is>
          <t>2026-04-19</t>
        </is>
      </c>
      <c r="C271" t="inlineStr">
        <is>
          <t>OFR-2026-1346</t>
        </is>
      </c>
      <c r="D271" t="inlineStr">
        <is>
          <t>WL-02504</t>
        </is>
      </c>
      <c r="E271" t="inlineStr">
        <is>
          <t>SB-0104</t>
        </is>
      </c>
      <c r="F271" t="inlineStr">
        <is>
          <t>not-current</t>
        </is>
      </c>
    </row>
    <row r="272">
      <c r="A272" t="inlineStr">
        <is>
          <t>Bypass - No Contemporaneous Proof</t>
        </is>
      </c>
      <c r="B272" t="inlineStr">
        <is>
          <t>2026-04-17</t>
        </is>
      </c>
      <c r="C272" t="inlineStr">
        <is>
          <t>OFR-2026-1347</t>
        </is>
      </c>
      <c r="D272" t="inlineStr">
        <is>
          <t>WL-02706</t>
        </is>
      </c>
      <c r="E272" t="inlineStr">
        <is>
          <t>GW-0513</t>
        </is>
      </c>
      <c r="F272" t="inlineStr">
        <is>
          <t>not-current</t>
        </is>
      </c>
    </row>
    <row r="273">
      <c r="A273" t="inlineStr">
        <is>
          <t>Bypass - No Contemporaneous Proof</t>
        </is>
      </c>
      <c r="B273" t="inlineStr">
        <is>
          <t>2026-04-02</t>
        </is>
      </c>
      <c r="C273" t="inlineStr">
        <is>
          <t>OFR-2026-1348</t>
        </is>
      </c>
      <c r="D273" t="inlineStr">
        <is>
          <t>WL-01288</t>
        </is>
      </c>
      <c r="E273" t="inlineStr">
        <is>
          <t>VB-0916</t>
        </is>
      </c>
      <c r="F273" t="inlineStr">
        <is>
          <t>declined-prior-offer</t>
        </is>
      </c>
    </row>
    <row r="274">
      <c r="A274" t="inlineStr">
        <is>
          <t>Bypass - No Contemporaneous Proof</t>
        </is>
      </c>
      <c r="B274" t="inlineStr">
        <is>
          <t>2026-04-07</t>
        </is>
      </c>
      <c r="C274" t="inlineStr">
        <is>
          <t>OFR-2026-1350</t>
        </is>
      </c>
      <c r="D274" t="inlineStr">
        <is>
          <t>WL-02639</t>
        </is>
      </c>
      <c r="E274" t="inlineStr">
        <is>
          <t>LP-1102</t>
        </is>
      </c>
      <c r="F274" t="inlineStr">
        <is>
          <t>vessel-fit</t>
        </is>
      </c>
    </row>
    <row r="275">
      <c r="A275" t="inlineStr">
        <is>
          <t>Bypass - No Contemporaneous Proof</t>
        </is>
      </c>
      <c r="B275" t="inlineStr">
        <is>
          <t>2026-05-09</t>
        </is>
      </c>
      <c r="C275" t="inlineStr">
        <is>
          <t>OFR-2026-1358</t>
        </is>
      </c>
      <c r="D275" t="inlineStr">
        <is>
          <t>WL-03754</t>
        </is>
      </c>
      <c r="E275" t="inlineStr">
        <is>
          <t>LP-0923</t>
        </is>
      </c>
      <c r="F275" t="inlineStr">
        <is>
          <t>not-current</t>
        </is>
      </c>
    </row>
    <row r="276">
      <c r="A276" t="inlineStr">
        <is>
          <t>Bypass - No Contemporaneous Proof</t>
        </is>
      </c>
      <c r="B276" t="inlineStr">
        <is>
          <t>2026-05-06</t>
        </is>
      </c>
      <c r="C276" t="inlineStr">
        <is>
          <t>OFR-2026-1360</t>
        </is>
      </c>
      <c r="D276" t="inlineStr">
        <is>
          <t>WL-01205</t>
        </is>
      </c>
      <c r="E276" t="inlineStr">
        <is>
          <t>GW-0620</t>
        </is>
      </c>
      <c r="F276" t="inlineStr">
        <is>
          <t>preference-mismatch</t>
        </is>
      </c>
    </row>
    <row r="277">
      <c r="A277" t="inlineStr">
        <is>
          <t>Bypass - No Contemporaneous Proof</t>
        </is>
      </c>
      <c r="B277" t="inlineStr">
        <is>
          <t>2026-05-18</t>
        </is>
      </c>
      <c r="C277" t="inlineStr">
        <is>
          <t>OFR-2026-1361</t>
        </is>
      </c>
      <c r="D277" t="inlineStr">
        <is>
          <t>WL-03607</t>
        </is>
      </c>
      <c r="E277" t="inlineStr">
        <is>
          <t>LP-1105</t>
        </is>
      </c>
      <c r="F277" t="inlineStr">
        <is>
          <t>not-current</t>
        </is>
      </c>
    </row>
    <row r="278">
      <c r="A278" t="inlineStr">
        <is>
          <t>Bypass - No Contemporaneous Proof</t>
        </is>
      </c>
      <c r="B278" t="inlineStr">
        <is>
          <t>2026-05-08</t>
        </is>
      </c>
      <c r="C278" t="inlineStr">
        <is>
          <t>OFR-2026-1363</t>
        </is>
      </c>
      <c r="D278" t="inlineStr">
        <is>
          <t>WL-03896</t>
        </is>
      </c>
      <c r="E278" t="inlineStr">
        <is>
          <t>LP-0220</t>
        </is>
      </c>
      <c r="F278" t="inlineStr">
        <is>
          <t>vessel-fit</t>
        </is>
      </c>
    </row>
    <row r="279">
      <c r="A279" t="inlineStr">
        <is>
          <t>Bypass - No Contemporaneous Proof</t>
        </is>
      </c>
      <c r="B279" t="inlineStr">
        <is>
          <t>2026-05-24</t>
        </is>
      </c>
      <c r="C279" t="inlineStr">
        <is>
          <t>OFR-2026-1366</t>
        </is>
      </c>
      <c r="D279" t="inlineStr">
        <is>
          <t>WL-03247</t>
        </is>
      </c>
      <c r="E279" t="inlineStr">
        <is>
          <t>VB-0916</t>
        </is>
      </c>
      <c r="F279" t="inlineStr">
        <is>
          <t>vessel-fit</t>
        </is>
      </c>
    </row>
    <row r="280">
      <c r="A280" t="inlineStr">
        <is>
          <t>Bypass - No Contemporaneous Proof</t>
        </is>
      </c>
      <c r="B280" t="inlineStr">
        <is>
          <t>2026-05-02</t>
        </is>
      </c>
      <c r="C280" t="inlineStr">
        <is>
          <t>OFR-2026-1372</t>
        </is>
      </c>
      <c r="D280" t="inlineStr">
        <is>
          <t>WL-02671</t>
        </is>
      </c>
      <c r="E280" t="inlineStr">
        <is>
          <t>LP-1019</t>
        </is>
      </c>
      <c r="F280" t="inlineStr">
        <is>
          <t>vessel-fit</t>
        </is>
      </c>
    </row>
    <row r="281">
      <c r="A281" t="inlineStr">
        <is>
          <t>Bypass - No Contemporaneous Proof</t>
        </is>
      </c>
      <c r="B281" t="inlineStr">
        <is>
          <t>2026-05-11</t>
        </is>
      </c>
      <c r="C281" t="inlineStr">
        <is>
          <t>OFR-2026-1375</t>
        </is>
      </c>
      <c r="D281" t="inlineStr">
        <is>
          <t>WL-01404</t>
        </is>
      </c>
      <c r="E281" t="inlineStr">
        <is>
          <t>VB-0619</t>
        </is>
      </c>
      <c r="F281" t="inlineStr">
        <is>
          <t>not-current</t>
        </is>
      </c>
    </row>
    <row r="282">
      <c r="A282" t="inlineStr">
        <is>
          <t>Bypass - No Contemporaneous Proof</t>
        </is>
      </c>
      <c r="B282" t="inlineStr">
        <is>
          <t>2026-05-18</t>
        </is>
      </c>
      <c r="C282" t="inlineStr">
        <is>
          <t>OFR-2026-1378</t>
        </is>
      </c>
      <c r="D282" t="inlineStr">
        <is>
          <t>WL-01299</t>
        </is>
      </c>
      <c r="E282" t="inlineStr">
        <is>
          <t>GW-0814</t>
        </is>
      </c>
      <c r="F282" t="inlineStr">
        <is>
          <t>not-current</t>
        </is>
      </c>
    </row>
    <row r="283">
      <c r="A283" t="inlineStr">
        <is>
          <t>Bypass - No Contemporaneous Proof</t>
        </is>
      </c>
      <c r="B283" t="inlineStr">
        <is>
          <t>2026-05-02</t>
        </is>
      </c>
      <c r="C283" t="inlineStr">
        <is>
          <t>OFR-2026-1380</t>
        </is>
      </c>
      <c r="D283" t="inlineStr">
        <is>
          <t>WL-03152</t>
        </is>
      </c>
      <c r="E283" t="inlineStr">
        <is>
          <t>LP-0104</t>
        </is>
      </c>
      <c r="F283" t="inlineStr">
        <is>
          <t>preference-mismatch</t>
        </is>
      </c>
    </row>
    <row r="284">
      <c r="A284" t="inlineStr">
        <is>
          <t>Bypass - No Contemporaneous Proof</t>
        </is>
      </c>
      <c r="B284" t="inlineStr">
        <is>
          <t>2026-05-14</t>
        </is>
      </c>
      <c r="C284" t="inlineStr">
        <is>
          <t>OFR-2026-1381</t>
        </is>
      </c>
      <c r="D284" t="inlineStr">
        <is>
          <t>WL-01255</t>
        </is>
      </c>
      <c r="E284" t="inlineStr">
        <is>
          <t>EW-0522</t>
        </is>
      </c>
      <c r="F284" t="inlineStr">
        <is>
          <t>not-current</t>
        </is>
      </c>
    </row>
    <row r="285">
      <c r="A285" t="inlineStr">
        <is>
          <t>Bypass - No Contemporaneous Proof</t>
        </is>
      </c>
      <c r="B285" t="inlineStr">
        <is>
          <t>2026-05-10</t>
        </is>
      </c>
      <c r="C285" t="inlineStr">
        <is>
          <t>OFR-2026-1384</t>
        </is>
      </c>
      <c r="D285" t="inlineStr">
        <is>
          <t>WL-01109</t>
        </is>
      </c>
      <c r="E285" t="inlineStr">
        <is>
          <t>LP-0820</t>
        </is>
      </c>
      <c r="F285" t="inlineStr">
        <is>
          <t>preference-mismatch</t>
        </is>
      </c>
    </row>
    <row r="286">
      <c r="A286" t="inlineStr">
        <is>
          <t>Bypass - No Contemporaneous Proof</t>
        </is>
      </c>
      <c r="B286" t="inlineStr">
        <is>
          <t>2026-06-02</t>
        </is>
      </c>
      <c r="C286" t="inlineStr">
        <is>
          <t>OFR-2026-1387</t>
        </is>
      </c>
      <c r="D286" t="inlineStr">
        <is>
          <t>WL-02315</t>
        </is>
      </c>
      <c r="E286" t="inlineStr">
        <is>
          <t>SB-0302</t>
        </is>
      </c>
      <c r="F286" t="inlineStr">
        <is>
          <t>not-current</t>
        </is>
      </c>
    </row>
    <row r="287">
      <c r="A287" t="inlineStr">
        <is>
          <t>Bypass - No Contemporaneous Proof</t>
        </is>
      </c>
      <c r="B287" t="inlineStr">
        <is>
          <t>2026-06-21</t>
        </is>
      </c>
      <c r="C287" t="inlineStr">
        <is>
          <t>OFR-2026-1391</t>
        </is>
      </c>
      <c r="D287" t="inlineStr">
        <is>
          <t>WL-03078</t>
        </is>
      </c>
      <c r="E287" t="inlineStr">
        <is>
          <t>VB-0415</t>
        </is>
      </c>
      <c r="F287" t="inlineStr">
        <is>
          <t>declined-prior-offer</t>
        </is>
      </c>
    </row>
    <row r="288">
      <c r="A288" t="inlineStr">
        <is>
          <t>Bypass - No Contemporaneous Proof</t>
        </is>
      </c>
      <c r="B288" t="inlineStr">
        <is>
          <t>2026-06-09</t>
        </is>
      </c>
      <c r="C288" t="inlineStr">
        <is>
          <t>OFR-2026-1398</t>
        </is>
      </c>
      <c r="D288" t="inlineStr">
        <is>
          <t>WL-01954</t>
        </is>
      </c>
      <c r="E288" t="inlineStr">
        <is>
          <t>SB-0416</t>
        </is>
      </c>
      <c r="F288" t="inlineStr">
        <is>
          <t>preference-mismatch</t>
        </is>
      </c>
    </row>
    <row r="289">
      <c r="A289" t="inlineStr">
        <is>
          <t>Bypass - No Contemporaneous Proof</t>
        </is>
      </c>
      <c r="B289" t="inlineStr">
        <is>
          <t>2026-06-28</t>
        </is>
      </c>
      <c r="C289" t="inlineStr">
        <is>
          <t>OFR-2026-1399</t>
        </is>
      </c>
      <c r="D289" t="inlineStr">
        <is>
          <t>WL-02098</t>
        </is>
      </c>
      <c r="E289" t="inlineStr">
        <is>
          <t>VB-0707</t>
        </is>
      </c>
      <c r="F289" t="inlineStr">
        <is>
          <t>vessel-fit</t>
        </is>
      </c>
    </row>
    <row r="290">
      <c r="A290" t="inlineStr">
        <is>
          <t>Bypass - No Contemporaneous Proof</t>
        </is>
      </c>
      <c r="B290" t="inlineStr">
        <is>
          <t>2026-06-20</t>
        </is>
      </c>
      <c r="C290" t="inlineStr">
        <is>
          <t>OFR-2026-1400</t>
        </is>
      </c>
      <c r="D290" t="inlineStr">
        <is>
          <t>WL-01256</t>
        </is>
      </c>
      <c r="E290" t="inlineStr">
        <is>
          <t>LP-1103</t>
        </is>
      </c>
      <c r="F290" t="inlineStr">
        <is>
          <t>not-current</t>
        </is>
      </c>
    </row>
    <row r="291">
      <c r="A291" t="inlineStr">
        <is>
          <t>Bypass - No Contemporaneous Proof</t>
        </is>
      </c>
      <c r="B291" t="inlineStr">
        <is>
          <t>2026-06-22</t>
        </is>
      </c>
      <c r="C291" t="inlineStr">
        <is>
          <t>OFR-2026-1402</t>
        </is>
      </c>
      <c r="D291" t="inlineStr">
        <is>
          <t>WL-01936</t>
        </is>
      </c>
      <c r="E291" t="inlineStr">
        <is>
          <t>VB-0507</t>
        </is>
      </c>
      <c r="F291" t="inlineStr">
        <is>
          <t>not-current</t>
        </is>
      </c>
    </row>
    <row r="292">
      <c r="A292" t="inlineStr">
        <is>
          <t>Bypass - No Contemporaneous Proof</t>
        </is>
      </c>
      <c r="B292" t="inlineStr">
        <is>
          <t>2026-06-25</t>
        </is>
      </c>
      <c r="C292" t="inlineStr">
        <is>
          <t>OFR-2026-1403</t>
        </is>
      </c>
      <c r="D292" t="inlineStr">
        <is>
          <t>WL-03690</t>
        </is>
      </c>
      <c r="E292" t="inlineStr">
        <is>
          <t>VB-0312</t>
        </is>
      </c>
      <c r="F292" t="inlineStr">
        <is>
          <t>vessel-fit</t>
        </is>
      </c>
    </row>
    <row r="293">
      <c r="A293" t="inlineStr">
        <is>
          <t>Bypass - No Contemporaneous Proof</t>
        </is>
      </c>
      <c r="B293" t="inlineStr">
        <is>
          <t>2026-06-03</t>
        </is>
      </c>
      <c r="C293" t="inlineStr">
        <is>
          <t>OFR-2026-1410</t>
        </is>
      </c>
      <c r="D293" t="inlineStr">
        <is>
          <t>WL-03787</t>
        </is>
      </c>
      <c r="E293" t="inlineStr">
        <is>
          <t>GW-0214</t>
        </is>
      </c>
      <c r="F293" t="inlineStr">
        <is>
          <t>declined-prior-offer</t>
        </is>
      </c>
    </row>
    <row r="294">
      <c r="A294" t="inlineStr">
        <is>
          <t>Bypass - No Contemporaneous Proof</t>
        </is>
      </c>
      <c r="B294" t="inlineStr">
        <is>
          <t>2026-06-25</t>
        </is>
      </c>
      <c r="C294" t="inlineStr">
        <is>
          <t>OFR-2026-1411</t>
        </is>
      </c>
      <c r="D294" t="inlineStr">
        <is>
          <t>WL-01843</t>
        </is>
      </c>
      <c r="E294" t="inlineStr">
        <is>
          <t>VB-0402</t>
        </is>
      </c>
      <c r="F294" t="inlineStr">
        <is>
          <t>not-current</t>
        </is>
      </c>
    </row>
    <row r="295">
      <c r="A295" t="inlineStr">
        <is>
          <t>Bypass - No Contemporaneous Proof</t>
        </is>
      </c>
      <c r="B295" t="inlineStr">
        <is>
          <t>2026-06-04</t>
        </is>
      </c>
      <c r="C295" t="inlineStr">
        <is>
          <t>OFR-2026-1412</t>
        </is>
      </c>
      <c r="D295" t="inlineStr">
        <is>
          <t>WL-01982</t>
        </is>
      </c>
      <c r="E295" t="inlineStr">
        <is>
          <t>GW-0305</t>
        </is>
      </c>
      <c r="F295" t="inlineStr">
        <is>
          <t>vessel-fit</t>
        </is>
      </c>
    </row>
    <row r="296">
      <c r="A296" t="inlineStr">
        <is>
          <t>Bypass - No Contemporaneous Proof</t>
        </is>
      </c>
      <c r="B296" t="inlineStr">
        <is>
          <t>2026-07-17</t>
        </is>
      </c>
      <c r="C296" t="inlineStr">
        <is>
          <t>OFR-2026-1419</t>
        </is>
      </c>
      <c r="D296" t="inlineStr">
        <is>
          <t>WL-02013</t>
        </is>
      </c>
      <c r="E296" t="inlineStr">
        <is>
          <t>SB-0902</t>
        </is>
      </c>
      <c r="F296" t="inlineStr">
        <is>
          <t>not-current</t>
        </is>
      </c>
    </row>
    <row r="297">
      <c r="A297" t="inlineStr">
        <is>
          <t>Bypass - No Contemporaneous Proof</t>
        </is>
      </c>
      <c r="B297" t="inlineStr">
        <is>
          <t>2026-07-25</t>
        </is>
      </c>
      <c r="C297" t="inlineStr">
        <is>
          <t>OFR-2026-1422</t>
        </is>
      </c>
      <c r="D297" t="inlineStr">
        <is>
          <t>WL-03071</t>
        </is>
      </c>
      <c r="E297" t="inlineStr">
        <is>
          <t>SB-0411</t>
        </is>
      </c>
      <c r="F297" t="inlineStr">
        <is>
          <t>vessel-fit</t>
        </is>
      </c>
    </row>
    <row r="298">
      <c r="A298" t="inlineStr">
        <is>
          <t>Bypass - No Contemporaneous Proof</t>
        </is>
      </c>
      <c r="B298" t="inlineStr">
        <is>
          <t>2026-07-21</t>
        </is>
      </c>
      <c r="C298" t="inlineStr">
        <is>
          <t>OFR-2026-1429</t>
        </is>
      </c>
      <c r="D298" t="inlineStr">
        <is>
          <t>WL-03106</t>
        </is>
      </c>
      <c r="E298" t="inlineStr">
        <is>
          <t>LP-0609</t>
        </is>
      </c>
      <c r="F298" t="inlineStr">
        <is>
          <t>not-current</t>
        </is>
      </c>
    </row>
    <row r="299">
      <c r="A299" t="inlineStr">
        <is>
          <t>Bypass - No Contemporaneous Proof</t>
        </is>
      </c>
      <c r="B299" t="inlineStr">
        <is>
          <t>2026-07-02</t>
        </is>
      </c>
      <c r="C299" t="inlineStr">
        <is>
          <t>OFR-2026-1432</t>
        </is>
      </c>
      <c r="D299" t="inlineStr">
        <is>
          <t>WL-03260</t>
        </is>
      </c>
      <c r="E299" t="inlineStr">
        <is>
          <t>EW-0104</t>
        </is>
      </c>
      <c r="F299" t="inlineStr">
        <is>
          <t>preference-mismatch</t>
        </is>
      </c>
    </row>
    <row r="300">
      <c r="A300" t="inlineStr">
        <is>
          <t>Bypass - No Contemporaneous Proof</t>
        </is>
      </c>
      <c r="B300" t="inlineStr">
        <is>
          <t>2026-07-14</t>
        </is>
      </c>
      <c r="C300" t="inlineStr">
        <is>
          <t>OFR-2026-1436</t>
        </is>
      </c>
      <c r="D300" t="inlineStr">
        <is>
          <t>WL-02358</t>
        </is>
      </c>
      <c r="E300" t="inlineStr">
        <is>
          <t>LP-1009</t>
        </is>
      </c>
      <c r="F300" t="inlineStr">
        <is>
          <t>declined-prior-offer</t>
        </is>
      </c>
    </row>
    <row r="301">
      <c r="A301" t="inlineStr">
        <is>
          <t>Bypass - No Contemporaneous Proof</t>
        </is>
      </c>
      <c r="B301" t="inlineStr">
        <is>
          <t>2026-07-03</t>
        </is>
      </c>
      <c r="C301" t="inlineStr">
        <is>
          <t>OFR-2026-1441</t>
        </is>
      </c>
      <c r="D301" t="inlineStr">
        <is>
          <t>WL-03397</t>
        </is>
      </c>
      <c r="E301" t="inlineStr">
        <is>
          <t>LP-0104</t>
        </is>
      </c>
      <c r="F301" t="inlineStr">
        <is>
          <t>declined-prior-offer</t>
        </is>
      </c>
    </row>
    <row r="302">
      <c r="A302" t="inlineStr">
        <is>
          <t>Bypass - No Contemporaneous Proof</t>
        </is>
      </c>
      <c r="B302" t="inlineStr">
        <is>
          <t>2026-07-07</t>
        </is>
      </c>
      <c r="C302" t="inlineStr">
        <is>
          <t>OFR-2026-1442</t>
        </is>
      </c>
      <c r="D302" t="inlineStr">
        <is>
          <t>WL-02900</t>
        </is>
      </c>
      <c r="E302" t="inlineStr">
        <is>
          <t>GW-0415</t>
        </is>
      </c>
      <c r="F302" t="inlineStr">
        <is>
          <t>preference-mismatch</t>
        </is>
      </c>
    </row>
    <row r="303">
      <c r="A303" t="inlineStr">
        <is>
          <t>Bypass - No Contemporaneous Proof</t>
        </is>
      </c>
      <c r="B303" t="inlineStr">
        <is>
          <t>2026-07-15</t>
        </is>
      </c>
      <c r="C303" t="inlineStr">
        <is>
          <t>OFR-2026-1443</t>
        </is>
      </c>
      <c r="D303" t="inlineStr">
        <is>
          <t>WL-02436</t>
        </is>
      </c>
      <c r="E303" t="inlineStr">
        <is>
          <t>SB-0905</t>
        </is>
      </c>
      <c r="F303" t="inlineStr">
        <is>
          <t>preference-mismatch</t>
        </is>
      </c>
    </row>
    <row r="304">
      <c r="A304" t="inlineStr">
        <is>
          <t>Bypass - No Contemporaneous Proof</t>
        </is>
      </c>
      <c r="B304" t="inlineStr">
        <is>
          <t>2026-07-21</t>
        </is>
      </c>
      <c r="C304" t="inlineStr">
        <is>
          <t>OFR-2026-1447</t>
        </is>
      </c>
      <c r="D304" t="inlineStr">
        <is>
          <t>WL-01722</t>
        </is>
      </c>
      <c r="E304" t="inlineStr">
        <is>
          <t>VB-0404</t>
        </is>
      </c>
      <c r="F304" t="inlineStr">
        <is>
          <t>not-current</t>
        </is>
      </c>
    </row>
    <row r="305">
      <c r="A305" t="inlineStr">
        <is>
          <t>Bypass - No Contemporaneous Proof</t>
        </is>
      </c>
      <c r="B305" t="inlineStr">
        <is>
          <t>2026-07-05</t>
        </is>
      </c>
      <c r="C305" t="inlineStr">
        <is>
          <t>OFR-2026-1452</t>
        </is>
      </c>
      <c r="D305" t="inlineStr">
        <is>
          <t>WL-03059</t>
        </is>
      </c>
      <c r="E305" t="inlineStr">
        <is>
          <t>GW-0223</t>
        </is>
      </c>
      <c r="F305" t="inlineStr">
        <is>
          <t>not-current</t>
        </is>
      </c>
    </row>
    <row r="307">
      <c r="A307" t="inlineStr">
        <is>
          <t>Uncertified Vessel Length category has no exceptions to report.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Slip ID</t>
        </is>
      </c>
      <c r="C1" s="1" t="inlineStr">
        <is>
          <t>Tenant</t>
        </is>
      </c>
      <c r="D1" s="1" t="inlineStr">
        <is>
          <t>LOA (ft)</t>
        </is>
      </c>
      <c r="E1" s="1" t="inlineStr">
        <is>
          <t>Billable Length (ft)</t>
        </is>
      </c>
      <c r="F1" s="1" t="inlineStr">
        <is>
          <t>Covered/Open</t>
        </is>
      </c>
      <c r="G1" s="1" t="inlineStr">
        <is>
          <t>Billed Rate ($)</t>
        </is>
      </c>
      <c r="H1" s="1" t="inlineStr">
        <is>
          <t>Expected Rate ($)</t>
        </is>
      </c>
      <c r="I1" s="1" t="inlineStr">
        <is>
          <t>Variance ($)</t>
        </is>
      </c>
    </row>
    <row r="2">
      <c r="A2" t="inlineStr">
        <is>
          <t>AC-LP-0102</t>
        </is>
      </c>
      <c r="B2" t="inlineStr">
        <is>
          <t>LP-0102</t>
        </is>
      </c>
      <c r="C2" t="inlineStr">
        <is>
          <t>Damon Phillips</t>
        </is>
      </c>
      <c r="D2" t="n">
        <v>21.9</v>
      </c>
      <c r="E2" t="n">
        <v>22</v>
      </c>
      <c r="F2" t="inlineStr">
        <is>
          <t>COVERED</t>
        </is>
      </c>
      <c r="G2" t="n">
        <v>416</v>
      </c>
      <c r="H2">
        <f>IF(F2="COVERED", E2*10.40, E2*7.55)</f>
        <v/>
      </c>
      <c r="I2">
        <f>G2-H2</f>
        <v/>
      </c>
    </row>
    <row r="3">
      <c r="A3" t="inlineStr">
        <is>
          <t>AC-LP-0108</t>
        </is>
      </c>
      <c r="B3" t="inlineStr">
        <is>
          <t>LP-0108</t>
        </is>
      </c>
      <c r="C3" t="inlineStr">
        <is>
          <t>Alan Thomas</t>
        </is>
      </c>
      <c r="D3" t="n">
        <v>23.4</v>
      </c>
      <c r="E3" t="n">
        <v>24</v>
      </c>
      <c r="F3" t="inlineStr">
        <is>
          <t>COVERED</t>
        </is>
      </c>
      <c r="G3" t="n">
        <v>332.8</v>
      </c>
      <c r="H3">
        <f>IF(F3="COVERED", E3*10.40, E3*7.55)</f>
        <v/>
      </c>
      <c r="I3">
        <f>G3-H3</f>
        <v/>
      </c>
    </row>
    <row r="4">
      <c r="A4" t="inlineStr">
        <is>
          <t>AC-LP-0109</t>
        </is>
      </c>
      <c r="B4" t="inlineStr">
        <is>
          <t>LP-0109</t>
        </is>
      </c>
      <c r="C4" t="inlineStr">
        <is>
          <t>Sandra Sweeney</t>
        </is>
      </c>
      <c r="D4" t="n">
        <v>20.8</v>
      </c>
      <c r="E4" t="n">
        <v>21</v>
      </c>
      <c r="F4" t="inlineStr">
        <is>
          <t>COVERED</t>
        </is>
      </c>
      <c r="G4" t="n">
        <v>332.8</v>
      </c>
      <c r="H4">
        <f>IF(F4="COVERED", E4*10.40, E4*7.55)</f>
        <v/>
      </c>
      <c r="I4">
        <f>G4-H4</f>
        <v/>
      </c>
    </row>
    <row r="5">
      <c r="A5" t="inlineStr">
        <is>
          <t>AC-LP-0110</t>
        </is>
      </c>
      <c r="B5" t="inlineStr">
        <is>
          <t>LP-0110</t>
        </is>
      </c>
      <c r="C5" t="inlineStr">
        <is>
          <t>Jason Martinez</t>
        </is>
      </c>
      <c r="D5" t="n">
        <v>26</v>
      </c>
      <c r="E5" t="n">
        <v>26</v>
      </c>
      <c r="F5" t="inlineStr">
        <is>
          <t>COVERED</t>
        </is>
      </c>
      <c r="G5" t="n">
        <v>291.2</v>
      </c>
      <c r="H5">
        <f>IF(F5="COVERED", E5*10.40, E5*7.55)</f>
        <v/>
      </c>
      <c r="I5">
        <f>G5-H5</f>
        <v/>
      </c>
    </row>
    <row r="6">
      <c r="A6" t="inlineStr">
        <is>
          <t>AC-LP-0113</t>
        </is>
      </c>
      <c r="B6" t="inlineStr">
        <is>
          <t>LP-0113</t>
        </is>
      </c>
      <c r="C6" t="inlineStr">
        <is>
          <t>Elizabeth Williams</t>
        </is>
      </c>
      <c r="D6" t="n">
        <v>26</v>
      </c>
      <c r="E6" t="n">
        <v>26</v>
      </c>
      <c r="F6" t="inlineStr">
        <is>
          <t>COVERED</t>
        </is>
      </c>
      <c r="G6" t="n">
        <v>374.4</v>
      </c>
      <c r="H6">
        <f>IF(F6="COVERED", E6*10.40, E6*7.55)</f>
        <v/>
      </c>
      <c r="I6">
        <f>G6-H6</f>
        <v/>
      </c>
    </row>
    <row r="7">
      <c r="A7" t="inlineStr">
        <is>
          <t>AC-LP-0115</t>
        </is>
      </c>
      <c r="B7" t="inlineStr">
        <is>
          <t>LP-0115</t>
        </is>
      </c>
      <c r="C7" t="inlineStr">
        <is>
          <t>Matthew Thomas</t>
        </is>
      </c>
      <c r="D7" t="n">
        <v>18.8</v>
      </c>
      <c r="E7" t="n">
        <v>19</v>
      </c>
      <c r="F7" t="inlineStr">
        <is>
          <t>COVERED</t>
        </is>
      </c>
      <c r="G7" t="n">
        <v>291.2</v>
      </c>
      <c r="H7">
        <f>IF(F7="COVERED", E7*10.40, E7*7.55)</f>
        <v/>
      </c>
      <c r="I7">
        <f>G7-H7</f>
        <v/>
      </c>
    </row>
    <row r="8">
      <c r="A8" t="inlineStr">
        <is>
          <t>AC-LP-0116</t>
        </is>
      </c>
      <c r="B8" t="inlineStr">
        <is>
          <t>LP-0116</t>
        </is>
      </c>
      <c r="C8" t="inlineStr">
        <is>
          <t>Joseph Bishop</t>
        </is>
      </c>
      <c r="D8" t="n">
        <v>19.2</v>
      </c>
      <c r="E8" t="n">
        <v>20</v>
      </c>
      <c r="F8" t="inlineStr">
        <is>
          <t>COVERED</t>
        </is>
      </c>
      <c r="G8" t="n">
        <v>291.2</v>
      </c>
      <c r="H8">
        <f>IF(F8="COVERED", E8*10.40, E8*7.55)</f>
        <v/>
      </c>
      <c r="I8">
        <f>G8-H8</f>
        <v/>
      </c>
    </row>
    <row r="9">
      <c r="A9" t="inlineStr">
        <is>
          <t>AC-LP-0117</t>
        </is>
      </c>
      <c r="B9" t="inlineStr">
        <is>
          <t>LP-0117</t>
        </is>
      </c>
      <c r="C9" t="inlineStr">
        <is>
          <t>Benjamin Willis</t>
        </is>
      </c>
      <c r="D9" t="n">
        <v>28.7</v>
      </c>
      <c r="E9" t="n">
        <v>29</v>
      </c>
      <c r="F9" t="inlineStr">
        <is>
          <t>COVERED</t>
        </is>
      </c>
      <c r="G9" t="n">
        <v>332.8</v>
      </c>
      <c r="H9">
        <f>IF(F9="COVERED", E9*10.40, E9*7.55)</f>
        <v/>
      </c>
      <c r="I9">
        <f>G9-H9</f>
        <v/>
      </c>
    </row>
    <row r="10">
      <c r="A10" t="inlineStr">
        <is>
          <t>AC-LP-0118</t>
        </is>
      </c>
      <c r="B10" t="inlineStr">
        <is>
          <t>LP-0118</t>
        </is>
      </c>
      <c r="C10" t="inlineStr">
        <is>
          <t>Keith Powell</t>
        </is>
      </c>
      <c r="D10" t="n">
        <v>22.1</v>
      </c>
      <c r="E10" t="n">
        <v>23</v>
      </c>
      <c r="F10" t="inlineStr">
        <is>
          <t>COVERED</t>
        </is>
      </c>
      <c r="G10" t="n">
        <v>249.6</v>
      </c>
      <c r="H10">
        <f>IF(F10="COVERED", E10*10.40, E10*7.55)</f>
        <v/>
      </c>
      <c r="I10">
        <f>G10-H10</f>
        <v/>
      </c>
    </row>
    <row r="11">
      <c r="A11" t="inlineStr">
        <is>
          <t>AC-LP-0120</t>
        </is>
      </c>
      <c r="B11" t="inlineStr">
        <is>
          <t>LP-0120</t>
        </is>
      </c>
      <c r="C11" t="inlineStr">
        <is>
          <t>Kayla Johnson</t>
        </is>
      </c>
      <c r="D11" t="n">
        <v>30.8</v>
      </c>
      <c r="E11" t="n">
        <v>31</v>
      </c>
      <c r="F11" t="inlineStr">
        <is>
          <t>COVERED</t>
        </is>
      </c>
      <c r="G11" t="n">
        <v>332.8</v>
      </c>
      <c r="H11">
        <f>IF(F11="COVERED", E11*10.40, E11*7.55)</f>
        <v/>
      </c>
      <c r="I11">
        <f>G11-H11</f>
        <v/>
      </c>
    </row>
    <row r="12">
      <c r="A12" t="inlineStr">
        <is>
          <t>AC-LP-0123</t>
        </is>
      </c>
      <c r="B12" t="inlineStr">
        <is>
          <t>LP-0123</t>
        </is>
      </c>
      <c r="C12" t="inlineStr">
        <is>
          <t>Brittney Daugherty</t>
        </is>
      </c>
      <c r="D12" t="n">
        <v>25.3</v>
      </c>
      <c r="E12" t="n">
        <v>26</v>
      </c>
      <c r="F12" t="inlineStr">
        <is>
          <t>COVERED</t>
        </is>
      </c>
      <c r="G12" t="n">
        <v>332.8</v>
      </c>
      <c r="H12">
        <f>IF(F12="COVERED", E12*10.40, E12*7.55)</f>
        <v/>
      </c>
      <c r="I12">
        <f>G12-H12</f>
        <v/>
      </c>
    </row>
    <row r="13">
      <c r="A13" t="inlineStr">
        <is>
          <t>AC-LP-0205</t>
        </is>
      </c>
      <c r="B13" t="inlineStr">
        <is>
          <t>LP-0205</t>
        </is>
      </c>
      <c r="C13" t="inlineStr">
        <is>
          <t>Gary Young</t>
        </is>
      </c>
      <c r="D13" t="n">
        <v>23</v>
      </c>
      <c r="E13" t="n">
        <v>23</v>
      </c>
      <c r="F13" t="inlineStr">
        <is>
          <t>COVERED</t>
        </is>
      </c>
      <c r="G13" t="n">
        <v>416</v>
      </c>
      <c r="H13">
        <f>IF(F13="COVERED", E13*10.40, E13*7.55)</f>
        <v/>
      </c>
      <c r="I13">
        <f>G13-H13</f>
        <v/>
      </c>
    </row>
    <row r="14">
      <c r="A14" t="inlineStr">
        <is>
          <t>AC-LP-0209</t>
        </is>
      </c>
      <c r="B14" t="inlineStr">
        <is>
          <t>LP-0209</t>
        </is>
      </c>
      <c r="C14" t="inlineStr">
        <is>
          <t>Manuel Abbott</t>
        </is>
      </c>
      <c r="D14" t="n">
        <v>19.8</v>
      </c>
      <c r="E14" t="n">
        <v>20</v>
      </c>
      <c r="F14" t="inlineStr">
        <is>
          <t>COVERED</t>
        </is>
      </c>
      <c r="G14" t="n">
        <v>332.8</v>
      </c>
      <c r="H14">
        <f>IF(F14="COVERED", E14*10.40, E14*7.55)</f>
        <v/>
      </c>
      <c r="I14">
        <f>G14-H14</f>
        <v/>
      </c>
    </row>
    <row r="15">
      <c r="A15" t="inlineStr">
        <is>
          <t>AC-LP-0210</t>
        </is>
      </c>
      <c r="B15" t="inlineStr">
        <is>
          <t>LP-0210</t>
        </is>
      </c>
      <c r="C15" t="inlineStr">
        <is>
          <t>Thomas Stone</t>
        </is>
      </c>
      <c r="D15" t="n">
        <v>24.8</v>
      </c>
      <c r="E15" t="n">
        <v>25</v>
      </c>
      <c r="F15" t="inlineStr">
        <is>
          <t>COVERED</t>
        </is>
      </c>
      <c r="G15" t="n">
        <v>416</v>
      </c>
      <c r="H15">
        <f>IF(F15="COVERED", E15*10.40, E15*7.55)</f>
        <v/>
      </c>
      <c r="I15">
        <f>G15-H15</f>
        <v/>
      </c>
    </row>
    <row r="16">
      <c r="A16" t="inlineStr">
        <is>
          <t>AC-LP-0215</t>
        </is>
      </c>
      <c r="B16" t="inlineStr">
        <is>
          <t>LP-0215</t>
        </is>
      </c>
      <c r="C16" t="inlineStr">
        <is>
          <t>Anna Wright</t>
        </is>
      </c>
      <c r="D16" t="n">
        <v>26.3</v>
      </c>
      <c r="E16" t="n">
        <v>27</v>
      </c>
      <c r="F16" t="inlineStr">
        <is>
          <t>COVERED</t>
        </is>
      </c>
      <c r="G16" t="n">
        <v>291.2</v>
      </c>
      <c r="H16">
        <f>IF(F16="COVERED", E16*10.40, E16*7.55)</f>
        <v/>
      </c>
      <c r="I16">
        <f>G16-H16</f>
        <v/>
      </c>
    </row>
    <row r="17">
      <c r="A17" t="inlineStr">
        <is>
          <t>AC-LP-0222</t>
        </is>
      </c>
      <c r="B17" t="inlineStr">
        <is>
          <t>LP-0222</t>
        </is>
      </c>
      <c r="C17" t="inlineStr">
        <is>
          <t>Stephen Burke</t>
        </is>
      </c>
      <c r="D17" t="n">
        <v>25.5</v>
      </c>
      <c r="E17" t="n">
        <v>26</v>
      </c>
      <c r="F17" t="inlineStr">
        <is>
          <t>COVERED</t>
        </is>
      </c>
      <c r="G17" t="n">
        <v>374.4</v>
      </c>
      <c r="H17">
        <f>IF(F17="COVERED", E17*10.40, E17*7.55)</f>
        <v/>
      </c>
      <c r="I17">
        <f>G17-H17</f>
        <v/>
      </c>
    </row>
    <row r="18">
      <c r="A18" t="inlineStr">
        <is>
          <t>AC-LP-0224</t>
        </is>
      </c>
      <c r="B18" t="inlineStr">
        <is>
          <t>LP-0224</t>
        </is>
      </c>
      <c r="C18" t="inlineStr">
        <is>
          <t>Anita Rose</t>
        </is>
      </c>
      <c r="D18" t="n">
        <v>26.7</v>
      </c>
      <c r="E18" t="n">
        <v>27</v>
      </c>
      <c r="F18" t="inlineStr">
        <is>
          <t>COVERED</t>
        </is>
      </c>
      <c r="G18" t="n">
        <v>416</v>
      </c>
      <c r="H18">
        <f>IF(F18="COVERED", E18*10.40, E18*7.55)</f>
        <v/>
      </c>
      <c r="I18">
        <f>G18-H18</f>
        <v/>
      </c>
    </row>
    <row r="19">
      <c r="A19" t="inlineStr">
        <is>
          <t>AC-LP-0301</t>
        </is>
      </c>
      <c r="B19" t="inlineStr">
        <is>
          <t>LP-0301</t>
        </is>
      </c>
      <c r="C19" t="inlineStr">
        <is>
          <t>Miranda Neal</t>
        </is>
      </c>
      <c r="D19" t="n">
        <v>18.4</v>
      </c>
      <c r="E19" t="n">
        <v>19</v>
      </c>
      <c r="F19" t="inlineStr">
        <is>
          <t>COVERED</t>
        </is>
      </c>
      <c r="G19" t="n">
        <v>291.2</v>
      </c>
      <c r="H19">
        <f>IF(F19="COVERED", E19*10.40, E19*7.55)</f>
        <v/>
      </c>
      <c r="I19">
        <f>G19-H19</f>
        <v/>
      </c>
    </row>
    <row r="20">
      <c r="A20" t="inlineStr">
        <is>
          <t>AC-LP-0305</t>
        </is>
      </c>
      <c r="B20" t="inlineStr">
        <is>
          <t>LP-0305</t>
        </is>
      </c>
      <c r="C20" t="inlineStr">
        <is>
          <t>Nathan Huffman</t>
        </is>
      </c>
      <c r="D20" t="n">
        <v>19.4</v>
      </c>
      <c r="E20" t="n">
        <v>20</v>
      </c>
      <c r="F20" t="inlineStr">
        <is>
          <t>COVERED</t>
        </is>
      </c>
      <c r="G20" t="n">
        <v>332.8</v>
      </c>
      <c r="H20">
        <f>IF(F20="COVERED", E20*10.40, E20*7.55)</f>
        <v/>
      </c>
      <c r="I20">
        <f>G20-H20</f>
        <v/>
      </c>
    </row>
    <row r="21">
      <c r="A21" t="inlineStr">
        <is>
          <t>AC-LP-0313</t>
        </is>
      </c>
      <c r="B21" t="inlineStr">
        <is>
          <t>LP-0313</t>
        </is>
      </c>
      <c r="C21" t="inlineStr">
        <is>
          <t>Christopher Lopez</t>
        </is>
      </c>
      <c r="D21" t="n">
        <v>24.8</v>
      </c>
      <c r="E21" t="n">
        <v>25</v>
      </c>
      <c r="F21" t="inlineStr">
        <is>
          <t>COVERED</t>
        </is>
      </c>
      <c r="G21" t="n">
        <v>332.8</v>
      </c>
      <c r="H21">
        <f>IF(F21="COVERED", E21*10.40, E21*7.55)</f>
        <v/>
      </c>
      <c r="I21">
        <f>G21-H21</f>
        <v/>
      </c>
    </row>
    <row r="22">
      <c r="A22" t="inlineStr">
        <is>
          <t>AC-LP-0314</t>
        </is>
      </c>
      <c r="B22" t="inlineStr">
        <is>
          <t>LP-0314</t>
        </is>
      </c>
      <c r="C22" t="inlineStr">
        <is>
          <t>Brenda Matthews</t>
        </is>
      </c>
      <c r="D22" t="n">
        <v>26.3</v>
      </c>
      <c r="E22" t="n">
        <v>27</v>
      </c>
      <c r="F22" t="inlineStr">
        <is>
          <t>COVERED</t>
        </is>
      </c>
      <c r="G22" t="n">
        <v>332.8</v>
      </c>
      <c r="H22">
        <f>IF(F22="COVERED", E22*10.40, E22*7.55)</f>
        <v/>
      </c>
      <c r="I22">
        <f>G22-H22</f>
        <v/>
      </c>
    </row>
    <row r="23">
      <c r="A23" t="inlineStr">
        <is>
          <t>AC-LP-0317</t>
        </is>
      </c>
      <c r="B23" t="inlineStr">
        <is>
          <t>LP-0317</t>
        </is>
      </c>
      <c r="C23" t="inlineStr">
        <is>
          <t>Randall Cummings</t>
        </is>
      </c>
      <c r="D23" t="n">
        <v>22.7</v>
      </c>
      <c r="E23" t="n">
        <v>23</v>
      </c>
      <c r="F23" t="inlineStr">
        <is>
          <t>COVERED</t>
        </is>
      </c>
      <c r="G23" t="n">
        <v>416</v>
      </c>
      <c r="H23">
        <f>IF(F23="COVERED", E23*10.40, E23*7.55)</f>
        <v/>
      </c>
      <c r="I23">
        <f>G23-H23</f>
        <v/>
      </c>
    </row>
    <row r="24">
      <c r="A24" t="inlineStr">
        <is>
          <t>AC-LP-0408</t>
        </is>
      </c>
      <c r="B24" t="inlineStr">
        <is>
          <t>LP-0408</t>
        </is>
      </c>
      <c r="C24" t="inlineStr">
        <is>
          <t>Kari Snow</t>
        </is>
      </c>
      <c r="D24" t="n">
        <v>23.9</v>
      </c>
      <c r="E24" t="n">
        <v>24</v>
      </c>
      <c r="F24" t="inlineStr">
        <is>
          <t>COVERED</t>
        </is>
      </c>
      <c r="G24" t="n">
        <v>416</v>
      </c>
      <c r="H24">
        <f>IF(F24="COVERED", E24*10.40, E24*7.55)</f>
        <v/>
      </c>
      <c r="I24">
        <f>G24-H24</f>
        <v/>
      </c>
    </row>
    <row r="25">
      <c r="A25" t="inlineStr">
        <is>
          <t>AC-LP-0413</t>
        </is>
      </c>
      <c r="B25" t="inlineStr">
        <is>
          <t>LP-0413</t>
        </is>
      </c>
      <c r="C25" t="inlineStr">
        <is>
          <t>Tammie Johnson</t>
        </is>
      </c>
      <c r="D25" t="n">
        <v>23.7</v>
      </c>
      <c r="E25" t="n">
        <v>24</v>
      </c>
      <c r="F25" t="inlineStr">
        <is>
          <t>COVERED</t>
        </is>
      </c>
      <c r="G25" t="n">
        <v>291.2</v>
      </c>
      <c r="H25">
        <f>IF(F25="COVERED", E25*10.40, E25*7.55)</f>
        <v/>
      </c>
      <c r="I25">
        <f>G25-H25</f>
        <v/>
      </c>
    </row>
    <row r="26">
      <c r="A26" t="inlineStr">
        <is>
          <t>AC-LP-0420</t>
        </is>
      </c>
      <c r="B26" t="inlineStr">
        <is>
          <t>LP-0420</t>
        </is>
      </c>
      <c r="C26" t="inlineStr">
        <is>
          <t>Megan Nguyen</t>
        </is>
      </c>
      <c r="D26" t="n">
        <v>28.9</v>
      </c>
      <c r="E26" t="n">
        <v>29</v>
      </c>
      <c r="F26" t="inlineStr">
        <is>
          <t>COVERED</t>
        </is>
      </c>
      <c r="G26" t="n">
        <v>374.4</v>
      </c>
      <c r="H26">
        <f>IF(F26="COVERED", E26*10.40, E26*7.55)</f>
        <v/>
      </c>
      <c r="I26">
        <f>G26-H26</f>
        <v/>
      </c>
    </row>
    <row r="27">
      <c r="A27" t="inlineStr">
        <is>
          <t>AC-LP-0421</t>
        </is>
      </c>
      <c r="B27" t="inlineStr">
        <is>
          <t>LP-0421</t>
        </is>
      </c>
      <c r="C27" t="inlineStr">
        <is>
          <t>Mary Hicks</t>
        </is>
      </c>
      <c r="D27" t="n">
        <v>25.1</v>
      </c>
      <c r="E27" t="n">
        <v>26</v>
      </c>
      <c r="F27" t="inlineStr">
        <is>
          <t>COVERED</t>
        </is>
      </c>
      <c r="G27" t="n">
        <v>291.2</v>
      </c>
      <c r="H27">
        <f>IF(F27="COVERED", E27*10.40, E27*7.55)</f>
        <v/>
      </c>
      <c r="I27">
        <f>G27-H27</f>
        <v/>
      </c>
    </row>
    <row r="28">
      <c r="A28" t="inlineStr">
        <is>
          <t>AC-LP-0423</t>
        </is>
      </c>
      <c r="B28" t="inlineStr">
        <is>
          <t>LP-0423</t>
        </is>
      </c>
      <c r="C28" t="inlineStr">
        <is>
          <t>Margaret Brown</t>
        </is>
      </c>
      <c r="D28" t="n">
        <v>34.6</v>
      </c>
      <c r="E28" t="n">
        <v>35</v>
      </c>
      <c r="F28" t="inlineStr">
        <is>
          <t>COVERED</t>
        </is>
      </c>
      <c r="G28" t="n">
        <v>416</v>
      </c>
      <c r="H28">
        <f>IF(F28="COVERED", E28*10.40, E28*7.55)</f>
        <v/>
      </c>
      <c r="I28">
        <f>G28-H28</f>
        <v/>
      </c>
    </row>
    <row r="29">
      <c r="A29" t="inlineStr">
        <is>
          <t>AC-LP-0511</t>
        </is>
      </c>
      <c r="B29" t="inlineStr">
        <is>
          <t>LP-0511</t>
        </is>
      </c>
      <c r="C29" t="inlineStr">
        <is>
          <t>Michael Cole</t>
        </is>
      </c>
      <c r="D29" t="n">
        <v>23.7</v>
      </c>
      <c r="E29" t="n">
        <v>24</v>
      </c>
      <c r="F29" t="inlineStr">
        <is>
          <t>COVERED</t>
        </is>
      </c>
      <c r="G29" t="n">
        <v>416</v>
      </c>
      <c r="H29">
        <f>IF(F29="COVERED", E29*10.40, E29*7.55)</f>
        <v/>
      </c>
      <c r="I29">
        <f>G29-H29</f>
        <v/>
      </c>
    </row>
    <row r="30">
      <c r="A30" t="inlineStr">
        <is>
          <t>AC-LP-0512</t>
        </is>
      </c>
      <c r="B30" t="inlineStr">
        <is>
          <t>LP-0512</t>
        </is>
      </c>
      <c r="C30" t="inlineStr">
        <is>
          <t>Micheal Perez</t>
        </is>
      </c>
      <c r="D30" t="n">
        <v>19</v>
      </c>
      <c r="E30" t="n">
        <v>19</v>
      </c>
      <c r="F30" t="inlineStr">
        <is>
          <t>COVERED</t>
        </is>
      </c>
      <c r="G30" t="n">
        <v>416</v>
      </c>
      <c r="H30">
        <f>IF(F30="COVERED", E30*10.40, E30*7.55)</f>
        <v/>
      </c>
      <c r="I30">
        <f>G30-H30</f>
        <v/>
      </c>
    </row>
    <row r="31">
      <c r="A31" t="inlineStr">
        <is>
          <t>AC-LP-0514</t>
        </is>
      </c>
      <c r="B31" t="inlineStr">
        <is>
          <t>LP-0514</t>
        </is>
      </c>
      <c r="C31" t="inlineStr">
        <is>
          <t>Brandy Rogers</t>
        </is>
      </c>
      <c r="D31" t="n">
        <v>23.3</v>
      </c>
      <c r="E31" t="n">
        <v>24</v>
      </c>
      <c r="F31" t="inlineStr">
        <is>
          <t>COVERED</t>
        </is>
      </c>
      <c r="G31" t="n">
        <v>291.2</v>
      </c>
      <c r="H31">
        <f>IF(F31="COVERED", E31*10.40, E31*7.55)</f>
        <v/>
      </c>
      <c r="I31">
        <f>G31-H31</f>
        <v/>
      </c>
    </row>
    <row r="32">
      <c r="A32" t="inlineStr">
        <is>
          <t>AC-LP-0516</t>
        </is>
      </c>
      <c r="B32" t="inlineStr">
        <is>
          <t>LP-0516</t>
        </is>
      </c>
      <c r="C32" t="inlineStr">
        <is>
          <t>Mallory Rodgers</t>
        </is>
      </c>
      <c r="D32" t="n">
        <v>18.9</v>
      </c>
      <c r="E32" t="n">
        <v>19</v>
      </c>
      <c r="F32" t="inlineStr">
        <is>
          <t>COVERED</t>
        </is>
      </c>
      <c r="G32" t="n">
        <v>416</v>
      </c>
      <c r="H32">
        <f>IF(F32="COVERED", E32*10.40, E32*7.55)</f>
        <v/>
      </c>
      <c r="I32">
        <f>G32-H32</f>
        <v/>
      </c>
    </row>
    <row r="33">
      <c r="A33" t="inlineStr">
        <is>
          <t>AC-LP-0518</t>
        </is>
      </c>
      <c r="B33" t="inlineStr">
        <is>
          <t>LP-0518</t>
        </is>
      </c>
      <c r="C33" t="inlineStr">
        <is>
          <t>Jennifer Liu</t>
        </is>
      </c>
      <c r="D33" t="n">
        <v>34.6</v>
      </c>
      <c r="E33" t="n">
        <v>35</v>
      </c>
      <c r="F33" t="inlineStr">
        <is>
          <t>COVERED</t>
        </is>
      </c>
      <c r="G33" t="n">
        <v>374.4</v>
      </c>
      <c r="H33">
        <f>IF(F33="COVERED", E33*10.40, E33*7.55)</f>
        <v/>
      </c>
      <c r="I33">
        <f>G33-H33</f>
        <v/>
      </c>
    </row>
    <row r="34">
      <c r="A34" t="inlineStr">
        <is>
          <t>AC-LP-0524</t>
        </is>
      </c>
      <c r="B34" t="inlineStr">
        <is>
          <t>LP-0524</t>
        </is>
      </c>
      <c r="C34" t="inlineStr">
        <is>
          <t>Anthony Hamilton</t>
        </is>
      </c>
      <c r="D34" t="n">
        <v>24.6</v>
      </c>
      <c r="E34" t="n">
        <v>25</v>
      </c>
      <c r="F34" t="inlineStr">
        <is>
          <t>COVERED</t>
        </is>
      </c>
      <c r="G34" t="n">
        <v>291.2</v>
      </c>
      <c r="H34">
        <f>IF(F34="COVERED", E34*10.40, E34*7.55)</f>
        <v/>
      </c>
      <c r="I34">
        <f>G34-H34</f>
        <v/>
      </c>
    </row>
    <row r="35">
      <c r="A35" t="inlineStr">
        <is>
          <t>AC-LP-0607</t>
        </is>
      </c>
      <c r="B35" t="inlineStr">
        <is>
          <t>LP-0607</t>
        </is>
      </c>
      <c r="C35" t="inlineStr">
        <is>
          <t>Morgan Clark</t>
        </is>
      </c>
      <c r="D35" t="n">
        <v>30.7</v>
      </c>
      <c r="E35" t="n">
        <v>31</v>
      </c>
      <c r="F35" t="inlineStr">
        <is>
          <t>COVERED</t>
        </is>
      </c>
      <c r="G35" t="n">
        <v>416</v>
      </c>
      <c r="H35">
        <f>IF(F35="COVERED", E35*10.40, E35*7.55)</f>
        <v/>
      </c>
      <c r="I35">
        <f>G35-H35</f>
        <v/>
      </c>
    </row>
    <row r="36">
      <c r="A36" t="inlineStr">
        <is>
          <t>AC-LP-0608</t>
        </is>
      </c>
      <c r="B36" t="inlineStr">
        <is>
          <t>LP-0608</t>
        </is>
      </c>
      <c r="C36" t="inlineStr">
        <is>
          <t>Jamie Carpenter</t>
        </is>
      </c>
      <c r="D36" t="n">
        <v>22.6</v>
      </c>
      <c r="E36" t="n">
        <v>23</v>
      </c>
      <c r="F36" t="inlineStr">
        <is>
          <t>COVERED</t>
        </is>
      </c>
      <c r="G36" t="n">
        <v>291.2</v>
      </c>
      <c r="H36">
        <f>IF(F36="COVERED", E36*10.40, E36*7.55)</f>
        <v/>
      </c>
      <c r="I36">
        <f>G36-H36</f>
        <v/>
      </c>
    </row>
    <row r="37">
      <c r="A37" t="inlineStr">
        <is>
          <t>AC-LP-0612</t>
        </is>
      </c>
      <c r="B37" t="inlineStr">
        <is>
          <t>LP-0612</t>
        </is>
      </c>
      <c r="C37" t="inlineStr">
        <is>
          <t>Albert Rowland</t>
        </is>
      </c>
      <c r="D37" t="n">
        <v>18.6</v>
      </c>
      <c r="E37" t="n">
        <v>19</v>
      </c>
      <c r="F37" t="inlineStr">
        <is>
          <t>COVERED</t>
        </is>
      </c>
      <c r="G37" t="n">
        <v>332.8</v>
      </c>
      <c r="H37">
        <f>IF(F37="COVERED", E37*10.40, E37*7.55)</f>
        <v/>
      </c>
      <c r="I37">
        <f>G37-H37</f>
        <v/>
      </c>
    </row>
    <row r="38">
      <c r="A38" t="inlineStr">
        <is>
          <t>AC-LP-0614</t>
        </is>
      </c>
      <c r="B38" t="inlineStr">
        <is>
          <t>LP-0614</t>
        </is>
      </c>
      <c r="C38" t="inlineStr">
        <is>
          <t>Dean Gonzalez</t>
        </is>
      </c>
      <c r="D38" t="n">
        <v>18.7</v>
      </c>
      <c r="E38" t="n">
        <v>19</v>
      </c>
      <c r="F38" t="inlineStr">
        <is>
          <t>COVERED</t>
        </is>
      </c>
      <c r="G38" t="n">
        <v>291.2</v>
      </c>
      <c r="H38">
        <f>IF(F38="COVERED", E38*10.40, E38*7.55)</f>
        <v/>
      </c>
      <c r="I38">
        <f>G38-H38</f>
        <v/>
      </c>
    </row>
    <row r="39">
      <c r="A39" t="inlineStr">
        <is>
          <t>AC-LP-0618</t>
        </is>
      </c>
      <c r="B39" t="inlineStr">
        <is>
          <t>LP-0618</t>
        </is>
      </c>
      <c r="C39" t="inlineStr">
        <is>
          <t>Natalie Tyler</t>
        </is>
      </c>
      <c r="D39" t="n">
        <v>30.1</v>
      </c>
      <c r="E39" t="n">
        <v>31</v>
      </c>
      <c r="F39" t="inlineStr">
        <is>
          <t>COVERED</t>
        </is>
      </c>
      <c r="G39" t="n">
        <v>332.8</v>
      </c>
      <c r="H39">
        <f>IF(F39="COVERED", E39*10.40, E39*7.55)</f>
        <v/>
      </c>
      <c r="I39">
        <f>G39-H39</f>
        <v/>
      </c>
    </row>
    <row r="40">
      <c r="A40" t="inlineStr">
        <is>
          <t>AC-LP-0621</t>
        </is>
      </c>
      <c r="B40" t="inlineStr">
        <is>
          <t>LP-0621</t>
        </is>
      </c>
      <c r="C40" t="inlineStr">
        <is>
          <t>Victoria Williamson</t>
        </is>
      </c>
      <c r="D40" t="n">
        <v>22</v>
      </c>
      <c r="E40" t="n">
        <v>22</v>
      </c>
      <c r="F40" t="inlineStr">
        <is>
          <t>COVERED</t>
        </is>
      </c>
      <c r="G40" t="n">
        <v>416</v>
      </c>
      <c r="H40">
        <f>IF(F40="COVERED", E40*10.40, E40*7.55)</f>
        <v/>
      </c>
      <c r="I40">
        <f>G40-H40</f>
        <v/>
      </c>
    </row>
    <row r="41">
      <c r="A41" t="inlineStr">
        <is>
          <t>AC-LP-0718</t>
        </is>
      </c>
      <c r="B41" t="inlineStr">
        <is>
          <t>LP-0718</t>
        </is>
      </c>
      <c r="C41" t="inlineStr">
        <is>
          <t>Charles Case</t>
        </is>
      </c>
      <c r="D41" t="n">
        <v>25.4</v>
      </c>
      <c r="E41" t="n">
        <v>26</v>
      </c>
      <c r="F41" t="inlineStr">
        <is>
          <t>COVERED</t>
        </is>
      </c>
      <c r="G41" t="n">
        <v>332.8</v>
      </c>
      <c r="H41">
        <f>IF(F41="COVERED", E41*10.40, E41*7.55)</f>
        <v/>
      </c>
      <c r="I41">
        <f>G41-H41</f>
        <v/>
      </c>
    </row>
    <row r="42">
      <c r="A42" t="inlineStr">
        <is>
          <t>AC-LP-0802</t>
        </is>
      </c>
      <c r="B42" t="inlineStr">
        <is>
          <t>LP-0802</t>
        </is>
      </c>
      <c r="C42" t="inlineStr">
        <is>
          <t>Michael West</t>
        </is>
      </c>
      <c r="D42" t="n">
        <v>35.1</v>
      </c>
      <c r="E42" t="n">
        <v>36</v>
      </c>
      <c r="F42" t="inlineStr">
        <is>
          <t>COVERED</t>
        </is>
      </c>
      <c r="G42" t="n">
        <v>416</v>
      </c>
      <c r="H42">
        <f>IF(F42="COVERED", E42*10.40, E42*7.55)</f>
        <v/>
      </c>
      <c r="I42">
        <f>G42-H42</f>
        <v/>
      </c>
    </row>
    <row r="43">
      <c r="A43" t="inlineStr">
        <is>
          <t>AC-LP-0812</t>
        </is>
      </c>
      <c r="B43" t="inlineStr">
        <is>
          <t>LP-0812</t>
        </is>
      </c>
      <c r="C43" t="inlineStr">
        <is>
          <t>Brett Lee</t>
        </is>
      </c>
      <c r="D43" t="n">
        <v>25.6</v>
      </c>
      <c r="E43" t="n">
        <v>26</v>
      </c>
      <c r="F43" t="inlineStr">
        <is>
          <t>COVERED</t>
        </is>
      </c>
      <c r="G43" t="n">
        <v>291.2</v>
      </c>
      <c r="H43">
        <f>IF(F43="COVERED", E43*10.40, E43*7.55)</f>
        <v/>
      </c>
      <c r="I43">
        <f>G43-H43</f>
        <v/>
      </c>
    </row>
    <row r="44">
      <c r="A44" t="inlineStr">
        <is>
          <t>AC-LP-0817</t>
        </is>
      </c>
      <c r="B44" t="inlineStr">
        <is>
          <t>LP-0817</t>
        </is>
      </c>
      <c r="C44" t="inlineStr">
        <is>
          <t>Tiffany Torres</t>
        </is>
      </c>
      <c r="D44" t="n">
        <v>22.2</v>
      </c>
      <c r="E44" t="n">
        <v>23</v>
      </c>
      <c r="F44" t="inlineStr">
        <is>
          <t>COVERED</t>
        </is>
      </c>
      <c r="G44" t="n">
        <v>332.8</v>
      </c>
      <c r="H44">
        <f>IF(F44="COVERED", E44*10.40, E44*7.55)</f>
        <v/>
      </c>
      <c r="I44">
        <f>G44-H44</f>
        <v/>
      </c>
    </row>
    <row r="45">
      <c r="A45" t="inlineStr">
        <is>
          <t>AC-LP-0819</t>
        </is>
      </c>
      <c r="B45" t="inlineStr">
        <is>
          <t>LP-0819</t>
        </is>
      </c>
      <c r="C45" t="inlineStr">
        <is>
          <t>Adrienne Thompson</t>
        </is>
      </c>
      <c r="D45" t="n">
        <v>19.1</v>
      </c>
      <c r="E45" t="n">
        <v>20</v>
      </c>
      <c r="F45" t="inlineStr">
        <is>
          <t>COVERED</t>
        </is>
      </c>
      <c r="G45" t="n">
        <v>332.8</v>
      </c>
      <c r="H45">
        <f>IF(F45="COVERED", E45*10.40, E45*7.55)</f>
        <v/>
      </c>
      <c r="I45">
        <f>G45-H45</f>
        <v/>
      </c>
    </row>
    <row r="46">
      <c r="A46" t="inlineStr">
        <is>
          <t>AC-LP-0901</t>
        </is>
      </c>
      <c r="B46" t="inlineStr">
        <is>
          <t>LP-0901</t>
        </is>
      </c>
      <c r="C46" t="inlineStr">
        <is>
          <t>Angela Poole</t>
        </is>
      </c>
      <c r="D46" t="n">
        <v>24.3</v>
      </c>
      <c r="E46" t="n">
        <v>25</v>
      </c>
      <c r="F46" t="inlineStr">
        <is>
          <t>COVERED</t>
        </is>
      </c>
      <c r="G46" t="n">
        <v>416</v>
      </c>
      <c r="H46">
        <f>IF(F46="COVERED", E46*10.40, E46*7.55)</f>
        <v/>
      </c>
      <c r="I46">
        <f>G46-H46</f>
        <v/>
      </c>
    </row>
    <row r="47">
      <c r="A47" t="inlineStr">
        <is>
          <t>AC-LP-0903</t>
        </is>
      </c>
      <c r="B47" t="inlineStr">
        <is>
          <t>LP-0903</t>
        </is>
      </c>
      <c r="C47" t="inlineStr">
        <is>
          <t>Mindy Medina</t>
        </is>
      </c>
      <c r="D47" t="n">
        <v>20.2</v>
      </c>
      <c r="E47" t="n">
        <v>21</v>
      </c>
      <c r="F47" t="inlineStr">
        <is>
          <t>COVERED</t>
        </is>
      </c>
      <c r="G47" t="n">
        <v>374.4</v>
      </c>
      <c r="H47">
        <f>IF(F47="COVERED", E47*10.40, E47*7.55)</f>
        <v/>
      </c>
      <c r="I47">
        <f>G47-H47</f>
        <v/>
      </c>
    </row>
    <row r="48">
      <c r="A48" t="inlineStr">
        <is>
          <t>AC-LP-0914</t>
        </is>
      </c>
      <c r="B48" t="inlineStr">
        <is>
          <t>LP-0914</t>
        </is>
      </c>
      <c r="C48" t="inlineStr">
        <is>
          <t>Paige Brown</t>
        </is>
      </c>
      <c r="D48" t="n">
        <v>35.1</v>
      </c>
      <c r="E48" t="n">
        <v>36</v>
      </c>
      <c r="F48" t="inlineStr">
        <is>
          <t>COVERED</t>
        </is>
      </c>
      <c r="G48" t="n">
        <v>416</v>
      </c>
      <c r="H48">
        <f>IF(F48="COVERED", E48*10.40, E48*7.55)</f>
        <v/>
      </c>
      <c r="I48">
        <f>G48-H48</f>
        <v/>
      </c>
    </row>
    <row r="49">
      <c r="A49" t="inlineStr">
        <is>
          <t>AC-LP-0917</t>
        </is>
      </c>
      <c r="B49" t="inlineStr">
        <is>
          <t>LP-0917</t>
        </is>
      </c>
      <c r="C49" t="inlineStr">
        <is>
          <t>Ryan Carr</t>
        </is>
      </c>
      <c r="D49" t="n">
        <v>34.5</v>
      </c>
      <c r="E49" t="n">
        <v>35</v>
      </c>
      <c r="F49" t="inlineStr">
        <is>
          <t>COVERED</t>
        </is>
      </c>
      <c r="G49" t="n">
        <v>374.4</v>
      </c>
      <c r="H49">
        <f>IF(F49="COVERED", E49*10.40, E49*7.55)</f>
        <v/>
      </c>
      <c r="I49">
        <f>G49-H49</f>
        <v/>
      </c>
    </row>
    <row r="50">
      <c r="A50" t="inlineStr">
        <is>
          <t>AC-LP-0919</t>
        </is>
      </c>
      <c r="B50" t="inlineStr">
        <is>
          <t>LP-0919</t>
        </is>
      </c>
      <c r="C50" t="inlineStr">
        <is>
          <t>Pamela Wright</t>
        </is>
      </c>
      <c r="D50" t="n">
        <v>24.5</v>
      </c>
      <c r="E50" t="n">
        <v>25</v>
      </c>
      <c r="F50" t="inlineStr">
        <is>
          <t>COVERED</t>
        </is>
      </c>
      <c r="G50" t="n">
        <v>332.8</v>
      </c>
      <c r="H50">
        <f>IF(F50="COVERED", E50*10.40, E50*7.55)</f>
        <v/>
      </c>
      <c r="I50">
        <f>G50-H50</f>
        <v/>
      </c>
    </row>
    <row r="51">
      <c r="A51" t="inlineStr">
        <is>
          <t>AC-LP-0921</t>
        </is>
      </c>
      <c r="B51" t="inlineStr">
        <is>
          <t>LP-0921</t>
        </is>
      </c>
      <c r="C51" t="inlineStr">
        <is>
          <t>Chris Chavez</t>
        </is>
      </c>
      <c r="D51" t="n">
        <v>24.8</v>
      </c>
      <c r="E51" t="n">
        <v>25</v>
      </c>
      <c r="F51" t="inlineStr">
        <is>
          <t>COVERED</t>
        </is>
      </c>
      <c r="G51" t="n">
        <v>291.2</v>
      </c>
      <c r="H51">
        <f>IF(F51="COVERED", E51*10.40, E51*7.55)</f>
        <v/>
      </c>
      <c r="I51">
        <f>G51-H51</f>
        <v/>
      </c>
    </row>
    <row r="52">
      <c r="A52" t="inlineStr">
        <is>
          <t>AC-LP-0923</t>
        </is>
      </c>
      <c r="B52" t="inlineStr">
        <is>
          <t>LP-0923</t>
        </is>
      </c>
      <c r="C52" t="inlineStr">
        <is>
          <t>Russell Barnes</t>
        </is>
      </c>
      <c r="D52" t="n">
        <v>21</v>
      </c>
      <c r="E52" t="n">
        <v>21</v>
      </c>
      <c r="F52" t="inlineStr">
        <is>
          <t>COVERED</t>
        </is>
      </c>
      <c r="G52" t="n">
        <v>249.6</v>
      </c>
      <c r="H52">
        <f>IF(F52="COVERED", E52*10.40, E52*7.55)</f>
        <v/>
      </c>
      <c r="I52">
        <f>G52-H52</f>
        <v/>
      </c>
    </row>
    <row r="53">
      <c r="A53" t="inlineStr">
        <is>
          <t>AC-LP-1006</t>
        </is>
      </c>
      <c r="B53" t="inlineStr">
        <is>
          <t>LP-1006</t>
        </is>
      </c>
      <c r="C53" t="inlineStr">
        <is>
          <t>Carol Scott</t>
        </is>
      </c>
      <c r="D53" t="n">
        <v>19.5</v>
      </c>
      <c r="E53" t="n">
        <v>20</v>
      </c>
      <c r="F53" t="inlineStr">
        <is>
          <t>COVERED</t>
        </is>
      </c>
      <c r="G53" t="n">
        <v>374.4</v>
      </c>
      <c r="H53">
        <f>IF(F53="COVERED", E53*10.40, E53*7.55)</f>
        <v/>
      </c>
      <c r="I53">
        <f>G53-H53</f>
        <v/>
      </c>
    </row>
    <row r="54">
      <c r="A54" t="inlineStr">
        <is>
          <t>AC-LP-1009</t>
        </is>
      </c>
      <c r="B54" t="inlineStr">
        <is>
          <t>LP-1009</t>
        </is>
      </c>
      <c r="C54" t="inlineStr">
        <is>
          <t>Bradley Franklin</t>
        </is>
      </c>
      <c r="D54" t="n">
        <v>19.3</v>
      </c>
      <c r="E54" t="n">
        <v>20</v>
      </c>
      <c r="F54" t="inlineStr">
        <is>
          <t>COVERED</t>
        </is>
      </c>
      <c r="G54" t="n">
        <v>332.8</v>
      </c>
      <c r="H54">
        <f>IF(F54="COVERED", E54*10.40, E54*7.55)</f>
        <v/>
      </c>
      <c r="I54">
        <f>G54-H54</f>
        <v/>
      </c>
    </row>
    <row r="55">
      <c r="A55" t="inlineStr">
        <is>
          <t>AC-LP-1013</t>
        </is>
      </c>
      <c r="B55" t="inlineStr">
        <is>
          <t>LP-1013</t>
        </is>
      </c>
      <c r="C55" t="inlineStr">
        <is>
          <t>Melissa Villanueva</t>
        </is>
      </c>
      <c r="D55" t="n">
        <v>19.5</v>
      </c>
      <c r="E55" t="n">
        <v>20</v>
      </c>
      <c r="F55" t="inlineStr">
        <is>
          <t>COVERED</t>
        </is>
      </c>
      <c r="G55" t="n">
        <v>291.2</v>
      </c>
      <c r="H55">
        <f>IF(F55="COVERED", E55*10.40, E55*7.55)</f>
        <v/>
      </c>
      <c r="I55">
        <f>G55-H55</f>
        <v/>
      </c>
    </row>
    <row r="56">
      <c r="A56" t="inlineStr">
        <is>
          <t>AC-LP-1014</t>
        </is>
      </c>
      <c r="B56" t="inlineStr">
        <is>
          <t>LP-1014</t>
        </is>
      </c>
      <c r="C56" t="inlineStr">
        <is>
          <t>Shari Hess</t>
        </is>
      </c>
      <c r="D56" t="n">
        <v>19.4</v>
      </c>
      <c r="E56" t="n">
        <v>20</v>
      </c>
      <c r="F56" t="inlineStr">
        <is>
          <t>COVERED</t>
        </is>
      </c>
      <c r="G56" t="n">
        <v>249.6</v>
      </c>
      <c r="H56">
        <f>IF(F56="COVERED", E56*10.40, E56*7.55)</f>
        <v/>
      </c>
      <c r="I56">
        <f>G56-H56</f>
        <v/>
      </c>
    </row>
    <row r="57">
      <c r="A57" t="inlineStr">
        <is>
          <t>AC-LP-1016</t>
        </is>
      </c>
      <c r="B57" t="inlineStr">
        <is>
          <t>LP-1016</t>
        </is>
      </c>
      <c r="C57" t="inlineStr">
        <is>
          <t>Joshua Rivera</t>
        </is>
      </c>
      <c r="D57" t="n">
        <v>25.9</v>
      </c>
      <c r="E57" t="n">
        <v>26</v>
      </c>
      <c r="F57" t="inlineStr">
        <is>
          <t>COVERED</t>
        </is>
      </c>
      <c r="G57" t="n">
        <v>291.2</v>
      </c>
      <c r="H57">
        <f>IF(F57="COVERED", E57*10.40, E57*7.55)</f>
        <v/>
      </c>
      <c r="I57">
        <f>G57-H57</f>
        <v/>
      </c>
    </row>
    <row r="58">
      <c r="A58" t="inlineStr">
        <is>
          <t>AC-LP-1020</t>
        </is>
      </c>
      <c r="B58" t="inlineStr">
        <is>
          <t>LP-1020</t>
        </is>
      </c>
      <c r="C58" t="inlineStr">
        <is>
          <t>Michael Taylor</t>
        </is>
      </c>
      <c r="D58" t="n">
        <v>25.1</v>
      </c>
      <c r="E58" t="n">
        <v>26</v>
      </c>
      <c r="F58" t="inlineStr">
        <is>
          <t>COVERED</t>
        </is>
      </c>
      <c r="G58" t="n">
        <v>332.8</v>
      </c>
      <c r="H58">
        <f>IF(F58="COVERED", E58*10.40, E58*7.55)</f>
        <v/>
      </c>
      <c r="I58">
        <f>G58-H58</f>
        <v/>
      </c>
    </row>
    <row r="59">
      <c r="A59" t="inlineStr">
        <is>
          <t>AC-LP-1023</t>
        </is>
      </c>
      <c r="B59" t="inlineStr">
        <is>
          <t>LP-1023</t>
        </is>
      </c>
      <c r="C59" t="inlineStr">
        <is>
          <t>Patrick Richmond</t>
        </is>
      </c>
      <c r="D59" t="n">
        <v>20</v>
      </c>
      <c r="E59" t="n">
        <v>20</v>
      </c>
      <c r="F59" t="inlineStr">
        <is>
          <t>COVERED</t>
        </is>
      </c>
      <c r="G59" t="n">
        <v>249.6</v>
      </c>
      <c r="H59">
        <f>IF(F59="COVERED", E59*10.40, E59*7.55)</f>
        <v/>
      </c>
      <c r="I59">
        <f>G59-H59</f>
        <v/>
      </c>
    </row>
    <row r="60">
      <c r="A60" t="inlineStr">
        <is>
          <t>AC-LP-1103</t>
        </is>
      </c>
      <c r="B60" t="inlineStr">
        <is>
          <t>LP-1103</t>
        </is>
      </c>
      <c r="C60" t="inlineStr">
        <is>
          <t>Amanda Clayton</t>
        </is>
      </c>
      <c r="D60" t="n">
        <v>23.2</v>
      </c>
      <c r="E60" t="n">
        <v>24</v>
      </c>
      <c r="F60" t="inlineStr">
        <is>
          <t>COVERED</t>
        </is>
      </c>
      <c r="G60" t="n">
        <v>332.8</v>
      </c>
      <c r="H60">
        <f>IF(F60="COVERED", E60*10.40, E60*7.55)</f>
        <v/>
      </c>
      <c r="I60">
        <f>G60-H60</f>
        <v/>
      </c>
    </row>
    <row r="61">
      <c r="A61" t="inlineStr">
        <is>
          <t>AC-LP-1106</t>
        </is>
      </c>
      <c r="B61" t="inlineStr">
        <is>
          <t>LP-1106</t>
        </is>
      </c>
      <c r="C61" t="inlineStr">
        <is>
          <t>Marisa Alexander</t>
        </is>
      </c>
      <c r="D61" t="n">
        <v>18.6</v>
      </c>
      <c r="E61" t="n">
        <v>19</v>
      </c>
      <c r="F61" t="inlineStr">
        <is>
          <t>COVERED</t>
        </is>
      </c>
      <c r="G61" t="n">
        <v>249.6</v>
      </c>
      <c r="H61">
        <f>IF(F61="COVERED", E61*10.40, E61*7.55)</f>
        <v/>
      </c>
      <c r="I61">
        <f>G61-H61</f>
        <v/>
      </c>
    </row>
    <row r="62">
      <c r="A62" t="inlineStr">
        <is>
          <t>AC-LP-1108</t>
        </is>
      </c>
      <c r="B62" t="inlineStr">
        <is>
          <t>LP-1108</t>
        </is>
      </c>
      <c r="C62" t="inlineStr">
        <is>
          <t>Victoria Aguirre</t>
        </is>
      </c>
      <c r="D62" t="n">
        <v>30.9</v>
      </c>
      <c r="E62" t="n">
        <v>31</v>
      </c>
      <c r="F62" t="inlineStr">
        <is>
          <t>COVERED</t>
        </is>
      </c>
      <c r="G62" t="n">
        <v>332.8</v>
      </c>
      <c r="H62">
        <f>IF(F62="COVERED", E62*10.40, E62*7.55)</f>
        <v/>
      </c>
      <c r="I62">
        <f>G62-H62</f>
        <v/>
      </c>
    </row>
    <row r="63">
      <c r="A63" t="inlineStr">
        <is>
          <t>AC-LP-1112</t>
        </is>
      </c>
      <c r="B63" t="inlineStr">
        <is>
          <t>LP-1112</t>
        </is>
      </c>
      <c r="C63" t="inlineStr">
        <is>
          <t>Nicole Richmond</t>
        </is>
      </c>
      <c r="D63" t="n">
        <v>34.5</v>
      </c>
      <c r="E63" t="n">
        <v>35</v>
      </c>
      <c r="F63" t="inlineStr">
        <is>
          <t>COVERED</t>
        </is>
      </c>
      <c r="G63" t="n">
        <v>416</v>
      </c>
      <c r="H63">
        <f>IF(F63="COVERED", E63*10.40, E63*7.55)</f>
        <v/>
      </c>
      <c r="I63">
        <f>G63-H63</f>
        <v/>
      </c>
    </row>
    <row r="64">
      <c r="A64" t="inlineStr">
        <is>
          <t>AC-LP-1113</t>
        </is>
      </c>
      <c r="B64" t="inlineStr">
        <is>
          <t>LP-1113</t>
        </is>
      </c>
      <c r="C64" t="inlineStr">
        <is>
          <t>Whitney Jackson</t>
        </is>
      </c>
      <c r="D64" t="n">
        <v>18</v>
      </c>
      <c r="E64" t="n">
        <v>18</v>
      </c>
      <c r="F64" t="inlineStr">
        <is>
          <t>COVERED</t>
        </is>
      </c>
      <c r="G64" t="n">
        <v>249.6</v>
      </c>
      <c r="H64">
        <f>IF(F64="COVERED", E64*10.40, E64*7.55)</f>
        <v/>
      </c>
      <c r="I64">
        <f>G64-H64</f>
        <v/>
      </c>
    </row>
    <row r="65">
      <c r="A65" t="inlineStr">
        <is>
          <t>AC-LP-1114</t>
        </is>
      </c>
      <c r="B65" t="inlineStr">
        <is>
          <t>LP-1114</t>
        </is>
      </c>
      <c r="C65" t="inlineStr">
        <is>
          <t>Sara Nelson</t>
        </is>
      </c>
      <c r="D65" t="n">
        <v>21.4</v>
      </c>
      <c r="E65" t="n">
        <v>22</v>
      </c>
      <c r="F65" t="inlineStr">
        <is>
          <t>COVERED</t>
        </is>
      </c>
      <c r="G65" t="n">
        <v>332.8</v>
      </c>
      <c r="H65">
        <f>IF(F65="COVERED", E65*10.40, E65*7.55)</f>
        <v/>
      </c>
      <c r="I65">
        <f>G65-H65</f>
        <v/>
      </c>
    </row>
    <row r="66">
      <c r="A66" t="inlineStr">
        <is>
          <t>AC-LP-1120</t>
        </is>
      </c>
      <c r="B66" t="inlineStr">
        <is>
          <t>LP-1120</t>
        </is>
      </c>
      <c r="C66" t="inlineStr">
        <is>
          <t>Deborah Freeman</t>
        </is>
      </c>
      <c r="D66" t="n">
        <v>24.1</v>
      </c>
      <c r="E66" t="n">
        <v>25</v>
      </c>
      <c r="F66" t="inlineStr">
        <is>
          <t>COVERED</t>
        </is>
      </c>
      <c r="G66" t="n">
        <v>332.8</v>
      </c>
      <c r="H66">
        <f>IF(F66="COVERED", E66*10.40, E66*7.55)</f>
        <v/>
      </c>
      <c r="I66">
        <f>G66-H66</f>
        <v/>
      </c>
    </row>
    <row r="67">
      <c r="A67" t="inlineStr">
        <is>
          <t>AC-VB-0108</t>
        </is>
      </c>
      <c r="B67" t="inlineStr">
        <is>
          <t>VB-0108</t>
        </is>
      </c>
      <c r="C67" t="inlineStr">
        <is>
          <t>Jerry Davis</t>
        </is>
      </c>
      <c r="D67" t="n">
        <v>29.7</v>
      </c>
      <c r="E67" t="n">
        <v>30</v>
      </c>
      <c r="F67" t="inlineStr">
        <is>
          <t>COVERED</t>
        </is>
      </c>
      <c r="G67" t="n">
        <v>332.8</v>
      </c>
      <c r="H67">
        <f>IF(F67="COVERED", E67*10.40, E67*7.55)</f>
        <v/>
      </c>
      <c r="I67">
        <f>G67-H67</f>
        <v/>
      </c>
    </row>
    <row r="68">
      <c r="A68" t="inlineStr">
        <is>
          <t>AC-VB-0113</t>
        </is>
      </c>
      <c r="B68" t="inlineStr">
        <is>
          <t>VB-0113</t>
        </is>
      </c>
      <c r="C68" t="inlineStr">
        <is>
          <t>Kimberly Solomon</t>
        </is>
      </c>
      <c r="D68" t="n">
        <v>24.8</v>
      </c>
      <c r="E68" t="n">
        <v>25</v>
      </c>
      <c r="F68" t="inlineStr">
        <is>
          <t>COVERED</t>
        </is>
      </c>
      <c r="G68" t="n">
        <v>291.2</v>
      </c>
      <c r="H68">
        <f>IF(F68="COVERED", E68*10.40, E68*7.55)</f>
        <v/>
      </c>
      <c r="I68">
        <f>G68-H68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Slip ID</t>
        </is>
      </c>
      <c r="C1" s="1" t="inlineStr">
        <is>
          <t>Tenant</t>
        </is>
      </c>
      <c r="D1" s="1" t="inlineStr">
        <is>
          <t>90 Days ($)</t>
        </is>
      </c>
      <c r="E1" s="1" t="inlineStr">
        <is>
          <t>120+ Days ($)</t>
        </is>
      </c>
      <c r="F1" s="1" t="inlineStr">
        <is>
          <t>Total Due ($)</t>
        </is>
      </c>
    </row>
    <row r="2">
      <c r="A2" t="inlineStr">
        <is>
          <t>AC-LP-0122</t>
        </is>
      </c>
      <c r="B2" t="inlineStr">
        <is>
          <t>LP-0122</t>
        </is>
      </c>
      <c r="C2" t="inlineStr">
        <is>
          <t>Paula Arroyo</t>
        </is>
      </c>
      <c r="D2" t="n">
        <v>509.6</v>
      </c>
      <c r="E2" t="n">
        <v>0</v>
      </c>
      <c r="F2" t="n">
        <v>2038.4</v>
      </c>
    </row>
    <row r="3">
      <c r="A3" t="inlineStr">
        <is>
          <t>AC-LP-0402</t>
        </is>
      </c>
      <c r="B3" t="inlineStr">
        <is>
          <t>LP-0402</t>
        </is>
      </c>
      <c r="C3" t="inlineStr">
        <is>
          <t>Dawn Brown</t>
        </is>
      </c>
      <c r="D3" t="n">
        <v>384.8</v>
      </c>
      <c r="E3" t="n">
        <v>0</v>
      </c>
      <c r="F3" t="n">
        <v>1539.2</v>
      </c>
    </row>
    <row r="4">
      <c r="A4" t="inlineStr">
        <is>
          <t>AC-LP-0602</t>
        </is>
      </c>
      <c r="B4" t="inlineStr">
        <is>
          <t>LP-0602</t>
        </is>
      </c>
      <c r="C4" t="inlineStr">
        <is>
          <t>Lee Maldonado</t>
        </is>
      </c>
      <c r="D4" t="n">
        <v>603.2</v>
      </c>
      <c r="E4" t="n">
        <v>603.2</v>
      </c>
      <c r="F4" t="n">
        <v>3016</v>
      </c>
    </row>
    <row r="5">
      <c r="A5" t="inlineStr">
        <is>
          <t>AC-LP-0605</t>
        </is>
      </c>
      <c r="B5" t="inlineStr">
        <is>
          <t>LP-0605</t>
        </is>
      </c>
      <c r="C5" t="inlineStr">
        <is>
          <t>Andrew Anderson</t>
        </is>
      </c>
      <c r="D5" t="n">
        <v>530.4</v>
      </c>
      <c r="E5" t="n">
        <v>0</v>
      </c>
      <c r="F5" t="n">
        <v>2121.6</v>
      </c>
    </row>
    <row r="6">
      <c r="A6" t="inlineStr">
        <is>
          <t>AC-LP-0713</t>
        </is>
      </c>
      <c r="B6" t="inlineStr">
        <is>
          <t>LP-0713</t>
        </is>
      </c>
      <c r="C6" t="inlineStr">
        <is>
          <t>Stacey Mitchell</t>
        </is>
      </c>
      <c r="D6" t="n">
        <v>416</v>
      </c>
      <c r="E6" t="n">
        <v>832</v>
      </c>
      <c r="F6" t="n">
        <v>2496</v>
      </c>
    </row>
    <row r="7">
      <c r="A7" t="inlineStr">
        <is>
          <t>AC-LP-0801</t>
        </is>
      </c>
      <c r="B7" t="inlineStr">
        <is>
          <t>LP-0801</t>
        </is>
      </c>
      <c r="C7" t="inlineStr">
        <is>
          <t>Allison Nguyen</t>
        </is>
      </c>
      <c r="D7" t="n">
        <v>488.8</v>
      </c>
      <c r="E7" t="n">
        <v>0</v>
      </c>
      <c r="F7" t="n">
        <v>1955.2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2026-09-07T12:19:16Z</dcterms:created>
  <dcterms:modified xmlns:dcterms="http://purl.org/dc/terms/" xmlns:xsi="http://www.w3.org/2001/XMLSchema-instance" xsi:type="dcterms:W3CDTF">2026-09-07T12:21:07Z</dcterms:modified>
</cp:coreProperties>
</file>